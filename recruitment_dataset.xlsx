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HomePC\Desktop\"/>
    </mc:Choice>
  </mc:AlternateContent>
  <xr:revisionPtr revIDLastSave="0" documentId="13_ncr:1_{95F3AFA0-FAF1-4C33-8962-435D3F4BAD25}" xr6:coauthVersionLast="47" xr6:coauthVersionMax="47" xr10:uidLastSave="{00000000-0000-0000-0000-000000000000}"/>
  <bookViews>
    <workbookView xWindow="-110" yWindow="-110" windowWidth="19420" windowHeight="10300" firstSheet="1" activeTab="4" xr2:uid="{00000000-000D-0000-FFFF-FFFF00000000}"/>
  </bookViews>
  <sheets>
    <sheet name="Hire status" sheetId="1" r:id="rId1"/>
    <sheet name="Application status" sheetId="2" r:id="rId2"/>
    <sheet name="Recruitment source" sheetId="6" r:id="rId3"/>
    <sheet name="Rejection Reason" sheetId="15" r:id="rId4"/>
    <sheet name="Recruitment Data" sheetId="3" r:id="rId5"/>
    <sheet name="Recruitment performan dashboard" sheetId="4" r:id="rId6"/>
  </sheets>
  <definedNames>
    <definedName name="_xlnm._FilterDatabase" localSheetId="4" hidden="1">'Recruitment Data'!$I$1:$I$2401</definedName>
    <definedName name="Slicer_Department">#N/A</definedName>
    <definedName name="Slicer_Hired">#N/A</definedName>
    <definedName name="Slicer_Level_Ban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77" i="3" l="1"/>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K1472" i="3"/>
  <c r="AK1473" i="3"/>
  <c r="AK1474" i="3"/>
  <c r="AK1475" i="3"/>
  <c r="AK1476" i="3"/>
  <c r="AK1477" i="3"/>
  <c r="AK1478" i="3"/>
  <c r="AK1479" i="3"/>
  <c r="AK1480" i="3"/>
  <c r="AK1481" i="3"/>
  <c r="AK1482" i="3"/>
  <c r="AK1483" i="3"/>
  <c r="AK1484" i="3"/>
  <c r="AK1485" i="3"/>
  <c r="AK1486" i="3"/>
  <c r="AK1487" i="3"/>
  <c r="AK1488" i="3"/>
  <c r="AK1489" i="3"/>
  <c r="AK1490" i="3"/>
  <c r="AK1491" i="3"/>
  <c r="AK1492" i="3"/>
  <c r="AK1493" i="3"/>
  <c r="AK1494" i="3"/>
  <c r="AK1495" i="3"/>
  <c r="AK1496" i="3"/>
  <c r="AK1497" i="3"/>
  <c r="AK1498" i="3"/>
  <c r="AK1499" i="3"/>
  <c r="AK1500" i="3"/>
  <c r="AK1501" i="3"/>
  <c r="AK1502" i="3"/>
  <c r="AK1503" i="3"/>
  <c r="AK1504" i="3"/>
  <c r="AK1505" i="3"/>
  <c r="AK1506" i="3"/>
  <c r="AK1507" i="3"/>
  <c r="AK1508" i="3"/>
  <c r="AK1509" i="3"/>
  <c r="AK1510" i="3"/>
  <c r="AK1511" i="3"/>
  <c r="AK1512" i="3"/>
  <c r="AK1513" i="3"/>
  <c r="AK1514" i="3"/>
  <c r="AK1515" i="3"/>
  <c r="AK1516" i="3"/>
  <c r="AK1517" i="3"/>
  <c r="AK1518" i="3"/>
  <c r="AK1519" i="3"/>
  <c r="AK1520" i="3"/>
  <c r="AK1521" i="3"/>
  <c r="AK1522" i="3"/>
  <c r="AK1523" i="3"/>
  <c r="AK1524" i="3"/>
  <c r="AK1525" i="3"/>
  <c r="AK1526" i="3"/>
  <c r="AK1527" i="3"/>
  <c r="AK1528" i="3"/>
  <c r="AK1529" i="3"/>
  <c r="AK1530" i="3"/>
  <c r="AK1531" i="3"/>
  <c r="AK1532" i="3"/>
  <c r="AK1533" i="3"/>
  <c r="AK1534" i="3"/>
  <c r="AK1535" i="3"/>
  <c r="AK1536" i="3"/>
  <c r="AK1537" i="3"/>
  <c r="AK1538" i="3"/>
  <c r="AK1539" i="3"/>
  <c r="AK1540" i="3"/>
  <c r="AK1541" i="3"/>
  <c r="AK1542" i="3"/>
  <c r="AK1543" i="3"/>
  <c r="AK1544" i="3"/>
  <c r="AK1545" i="3"/>
  <c r="AK1546" i="3"/>
  <c r="AK1547" i="3"/>
  <c r="AK1548" i="3"/>
  <c r="AK1549" i="3"/>
  <c r="AK1550" i="3"/>
  <c r="AK1551" i="3"/>
  <c r="AK1552" i="3"/>
  <c r="AK1553" i="3"/>
  <c r="AK1554" i="3"/>
  <c r="AK1555" i="3"/>
  <c r="AK1556" i="3"/>
  <c r="AK1557" i="3"/>
  <c r="AK1558" i="3"/>
  <c r="AK1559" i="3"/>
  <c r="AK1560" i="3"/>
  <c r="AK1561" i="3"/>
  <c r="AK1562" i="3"/>
  <c r="AK1563" i="3"/>
  <c r="AK1564" i="3"/>
  <c r="AK1565" i="3"/>
  <c r="AK1566" i="3"/>
  <c r="AK1567" i="3"/>
  <c r="AK1568" i="3"/>
  <c r="AK1569" i="3"/>
  <c r="AK1570" i="3"/>
  <c r="AK1571" i="3"/>
  <c r="AK1572" i="3"/>
  <c r="AK1573" i="3"/>
  <c r="AK1574" i="3"/>
  <c r="AK1575" i="3"/>
  <c r="AK1576" i="3"/>
  <c r="AK1577" i="3"/>
  <c r="AK1578" i="3"/>
  <c r="AK1579" i="3"/>
  <c r="AK1580" i="3"/>
  <c r="AK1581" i="3"/>
  <c r="AK1582" i="3"/>
  <c r="AK1583" i="3"/>
  <c r="AK1584" i="3"/>
  <c r="AK1585" i="3"/>
  <c r="AK1586" i="3"/>
  <c r="AK1587" i="3"/>
  <c r="AK1588" i="3"/>
  <c r="AK1589" i="3"/>
  <c r="AK1590" i="3"/>
  <c r="AK1591" i="3"/>
  <c r="AK1592" i="3"/>
  <c r="AK1593" i="3"/>
  <c r="AK1594" i="3"/>
  <c r="AK1595" i="3"/>
  <c r="AK1596" i="3"/>
  <c r="AK1597" i="3"/>
  <c r="AK1598" i="3"/>
  <c r="AK1599" i="3"/>
  <c r="AK1600" i="3"/>
  <c r="AK1601" i="3"/>
  <c r="AK1602" i="3"/>
  <c r="AK1603" i="3"/>
  <c r="AK1604" i="3"/>
  <c r="AK1605" i="3"/>
  <c r="AK1606" i="3"/>
  <c r="AK1607" i="3"/>
  <c r="AK1608" i="3"/>
  <c r="AK1609" i="3"/>
  <c r="AK1610" i="3"/>
  <c r="AK1611" i="3"/>
  <c r="AK1612" i="3"/>
  <c r="AK1613" i="3"/>
  <c r="AK1614" i="3"/>
  <c r="AK1615" i="3"/>
  <c r="AK1616" i="3"/>
  <c r="AK1617" i="3"/>
  <c r="AK1618" i="3"/>
  <c r="AK1619" i="3"/>
  <c r="AK1620" i="3"/>
  <c r="AK1621" i="3"/>
  <c r="AK1622" i="3"/>
  <c r="AK1623" i="3"/>
  <c r="AK1624" i="3"/>
  <c r="AK1625" i="3"/>
  <c r="AK1626" i="3"/>
  <c r="AK1627" i="3"/>
  <c r="AK1628" i="3"/>
  <c r="AK1629" i="3"/>
  <c r="AK1630" i="3"/>
  <c r="AK1631" i="3"/>
  <c r="AK1632" i="3"/>
  <c r="AK1633" i="3"/>
  <c r="AK1634" i="3"/>
  <c r="AK1635" i="3"/>
  <c r="AK1636" i="3"/>
  <c r="AK1637" i="3"/>
  <c r="AK1638" i="3"/>
  <c r="AK1639" i="3"/>
  <c r="AK1640" i="3"/>
  <c r="AK1641" i="3"/>
  <c r="AK1642" i="3"/>
  <c r="AK1643" i="3"/>
  <c r="AK1644" i="3"/>
  <c r="AK1645" i="3"/>
  <c r="AK1646" i="3"/>
  <c r="AK1647" i="3"/>
  <c r="AK1648" i="3"/>
  <c r="AK1649" i="3"/>
  <c r="AK1650" i="3"/>
  <c r="AK1651" i="3"/>
  <c r="AK1652" i="3"/>
  <c r="AK1653" i="3"/>
  <c r="AK1654" i="3"/>
  <c r="AK1655" i="3"/>
  <c r="AK1656" i="3"/>
  <c r="AK1657" i="3"/>
  <c r="AK1658" i="3"/>
  <c r="AK1659" i="3"/>
  <c r="AK1660" i="3"/>
  <c r="AK1661" i="3"/>
  <c r="AK1662" i="3"/>
  <c r="AK1663" i="3"/>
  <c r="AK1664" i="3"/>
  <c r="AK1665" i="3"/>
  <c r="AK1666" i="3"/>
  <c r="AK1667" i="3"/>
  <c r="AK1668" i="3"/>
  <c r="AK1669" i="3"/>
  <c r="AK1670" i="3"/>
  <c r="AK1671" i="3"/>
  <c r="AK1672" i="3"/>
  <c r="AK1673" i="3"/>
  <c r="AK1674" i="3"/>
  <c r="AK1675" i="3"/>
  <c r="AK1676" i="3"/>
  <c r="AK1677" i="3"/>
  <c r="AK1678" i="3"/>
  <c r="AK1679" i="3"/>
  <c r="AK1680" i="3"/>
  <c r="AK1681" i="3"/>
  <c r="AK1682" i="3"/>
  <c r="AK1683" i="3"/>
  <c r="AK1684" i="3"/>
  <c r="AK1685" i="3"/>
  <c r="AK1686" i="3"/>
  <c r="AK1687" i="3"/>
  <c r="AK1688" i="3"/>
  <c r="AK1689" i="3"/>
  <c r="AK1690" i="3"/>
  <c r="AK1691" i="3"/>
  <c r="AK1692" i="3"/>
  <c r="AK1693" i="3"/>
  <c r="AK1694" i="3"/>
  <c r="AK1695" i="3"/>
  <c r="AK1696" i="3"/>
  <c r="AK1697" i="3"/>
  <c r="AK1698" i="3"/>
  <c r="AK1699" i="3"/>
  <c r="AK1700" i="3"/>
  <c r="AK1701" i="3"/>
  <c r="AK1702" i="3"/>
  <c r="AK1703" i="3"/>
  <c r="AK1704" i="3"/>
  <c r="AK1705" i="3"/>
  <c r="AK1706" i="3"/>
  <c r="AK1707" i="3"/>
  <c r="AK1708" i="3"/>
  <c r="AK1709" i="3"/>
  <c r="AK1710" i="3"/>
  <c r="AK1711" i="3"/>
  <c r="AK1712" i="3"/>
  <c r="AK1713" i="3"/>
  <c r="AK1714" i="3"/>
  <c r="AK1715" i="3"/>
  <c r="AK1716" i="3"/>
  <c r="AK1717" i="3"/>
  <c r="AK1718" i="3"/>
  <c r="AK1719" i="3"/>
  <c r="AK1720" i="3"/>
  <c r="AK1721" i="3"/>
  <c r="AK1722" i="3"/>
  <c r="AK1723" i="3"/>
  <c r="AK1724" i="3"/>
  <c r="AK1725" i="3"/>
  <c r="AK1726" i="3"/>
  <c r="AK1727" i="3"/>
  <c r="AK1728" i="3"/>
  <c r="AK1729" i="3"/>
  <c r="AK1730" i="3"/>
  <c r="AK1731" i="3"/>
  <c r="AK1732" i="3"/>
  <c r="AK1733" i="3"/>
  <c r="AK1734" i="3"/>
  <c r="AK1735" i="3"/>
  <c r="AK1736" i="3"/>
  <c r="AK1737" i="3"/>
  <c r="AK1738" i="3"/>
  <c r="AK1739" i="3"/>
  <c r="AK1740" i="3"/>
  <c r="AK1741" i="3"/>
  <c r="AK1742" i="3"/>
  <c r="AK1743" i="3"/>
  <c r="AK1744" i="3"/>
  <c r="AK1745" i="3"/>
  <c r="AK1746" i="3"/>
  <c r="AK1747" i="3"/>
  <c r="AK1748" i="3"/>
  <c r="AK1749" i="3"/>
  <c r="AK1750" i="3"/>
  <c r="AK1751" i="3"/>
  <c r="AK1752" i="3"/>
  <c r="AK1753" i="3"/>
  <c r="AK1754" i="3"/>
  <c r="AK1755" i="3"/>
  <c r="AK1756" i="3"/>
  <c r="AK1757" i="3"/>
  <c r="AK1758" i="3"/>
  <c r="AK1759" i="3"/>
  <c r="AK1760" i="3"/>
  <c r="AK1761" i="3"/>
  <c r="AK1762" i="3"/>
  <c r="AK1763" i="3"/>
  <c r="AK1764" i="3"/>
  <c r="AK1765" i="3"/>
  <c r="AK1766" i="3"/>
  <c r="AK1767" i="3"/>
  <c r="AK1768" i="3"/>
  <c r="AK1769" i="3"/>
  <c r="AK1770" i="3"/>
  <c r="AK1771" i="3"/>
  <c r="AK1772" i="3"/>
  <c r="AK1773" i="3"/>
  <c r="AK1774" i="3"/>
  <c r="AK1775" i="3"/>
  <c r="AK1776" i="3"/>
  <c r="AK1777" i="3"/>
  <c r="AK1778" i="3"/>
  <c r="AK1779" i="3"/>
  <c r="AK1780" i="3"/>
  <c r="AK1781" i="3"/>
  <c r="AK1782" i="3"/>
  <c r="AK1783" i="3"/>
  <c r="AK1784" i="3"/>
  <c r="AK1785" i="3"/>
  <c r="AK1786" i="3"/>
  <c r="AK1787" i="3"/>
  <c r="AK1788" i="3"/>
  <c r="AK1789" i="3"/>
  <c r="AK1790" i="3"/>
  <c r="AK1791" i="3"/>
  <c r="AK1792" i="3"/>
  <c r="AK1793" i="3"/>
  <c r="AK1794" i="3"/>
  <c r="AK1795" i="3"/>
  <c r="AK1796" i="3"/>
  <c r="AK1797" i="3"/>
  <c r="AK1798" i="3"/>
  <c r="AK1799" i="3"/>
  <c r="AK1800" i="3"/>
  <c r="AK1801" i="3"/>
  <c r="AK1802" i="3"/>
  <c r="AK1803" i="3"/>
  <c r="AK1804" i="3"/>
  <c r="AK1805" i="3"/>
  <c r="AK1806" i="3"/>
  <c r="AK1807" i="3"/>
  <c r="AK1808" i="3"/>
  <c r="AK1809" i="3"/>
  <c r="AK1810" i="3"/>
  <c r="AK1811" i="3"/>
  <c r="AK1812" i="3"/>
  <c r="AK1813" i="3"/>
  <c r="AK1814" i="3"/>
  <c r="AK1815" i="3"/>
  <c r="AK1816" i="3"/>
  <c r="AK1817" i="3"/>
  <c r="AK1818" i="3"/>
  <c r="AK1819" i="3"/>
  <c r="AK1820" i="3"/>
  <c r="AK1821" i="3"/>
  <c r="AK1822" i="3"/>
  <c r="AK1823" i="3"/>
  <c r="AK1824" i="3"/>
  <c r="AK1825" i="3"/>
  <c r="AK1826" i="3"/>
  <c r="AK1827" i="3"/>
  <c r="AK1828" i="3"/>
  <c r="AK1829" i="3"/>
  <c r="AK1830" i="3"/>
  <c r="AK1831" i="3"/>
  <c r="AK1832" i="3"/>
  <c r="AK1833" i="3"/>
  <c r="AK1834" i="3"/>
  <c r="AK1835" i="3"/>
  <c r="AK1836" i="3"/>
  <c r="AK1837" i="3"/>
  <c r="AK1838" i="3"/>
  <c r="AK1839" i="3"/>
  <c r="AK1840" i="3"/>
  <c r="AK1841" i="3"/>
  <c r="AK1842" i="3"/>
  <c r="AK1843" i="3"/>
  <c r="AK1844" i="3"/>
  <c r="AK1845" i="3"/>
  <c r="AK1846" i="3"/>
  <c r="AK1847" i="3"/>
  <c r="AK1848" i="3"/>
  <c r="AK1849" i="3"/>
  <c r="AK1850" i="3"/>
  <c r="AK1851" i="3"/>
  <c r="AK1852" i="3"/>
  <c r="AK1853" i="3"/>
  <c r="AK1854" i="3"/>
  <c r="AK1855" i="3"/>
  <c r="AK1856" i="3"/>
  <c r="AK1857" i="3"/>
  <c r="AK1858" i="3"/>
  <c r="AK1859" i="3"/>
  <c r="AK1860" i="3"/>
  <c r="AK1861" i="3"/>
  <c r="AK1862" i="3"/>
  <c r="AK1863" i="3"/>
  <c r="AK1864" i="3"/>
  <c r="AK1865" i="3"/>
  <c r="AK1866" i="3"/>
  <c r="AK1867" i="3"/>
  <c r="AK1868" i="3"/>
  <c r="AK1869" i="3"/>
  <c r="AK1870" i="3"/>
  <c r="AK1871" i="3"/>
  <c r="AK1872" i="3"/>
  <c r="AK1873" i="3"/>
  <c r="AK1874" i="3"/>
  <c r="AK1875" i="3"/>
  <c r="AK1876" i="3"/>
  <c r="AK1877" i="3"/>
  <c r="AK1878" i="3"/>
  <c r="AK1879" i="3"/>
  <c r="AK1880" i="3"/>
  <c r="AK1881" i="3"/>
  <c r="AK1882" i="3"/>
  <c r="AK1883" i="3"/>
  <c r="AK1884" i="3"/>
  <c r="AK1885" i="3"/>
  <c r="AK1886" i="3"/>
  <c r="AK1887" i="3"/>
  <c r="AK1888" i="3"/>
  <c r="AK1889" i="3"/>
  <c r="AK1890" i="3"/>
  <c r="AK1891" i="3"/>
  <c r="AK1892" i="3"/>
  <c r="AK1893" i="3"/>
  <c r="AK1894" i="3"/>
  <c r="AK1895" i="3"/>
  <c r="AK1896" i="3"/>
  <c r="AK1897" i="3"/>
  <c r="AK1898" i="3"/>
  <c r="AK1899" i="3"/>
  <c r="AK1900" i="3"/>
  <c r="AK1901" i="3"/>
  <c r="AK1902" i="3"/>
  <c r="AK1903" i="3"/>
  <c r="AK1904" i="3"/>
  <c r="AK1905" i="3"/>
  <c r="AK1906" i="3"/>
  <c r="AK1907" i="3"/>
  <c r="AK1908" i="3"/>
  <c r="AK1909" i="3"/>
  <c r="AK1910" i="3"/>
  <c r="AK1911" i="3"/>
  <c r="AK1912" i="3"/>
  <c r="AK1913" i="3"/>
  <c r="AK1914" i="3"/>
  <c r="AK1915" i="3"/>
  <c r="AK1916" i="3"/>
  <c r="AK1917" i="3"/>
  <c r="AK1918" i="3"/>
  <c r="AK1919" i="3"/>
  <c r="AK1920" i="3"/>
  <c r="AK1921" i="3"/>
  <c r="AK1922" i="3"/>
  <c r="AK1923" i="3"/>
  <c r="AK1924" i="3"/>
  <c r="AK1925" i="3"/>
  <c r="AK1926" i="3"/>
  <c r="AK1927" i="3"/>
  <c r="AK1928" i="3"/>
  <c r="AK1929" i="3"/>
  <c r="AK1930" i="3"/>
  <c r="AK1931" i="3"/>
  <c r="AK1932" i="3"/>
  <c r="AK1933" i="3"/>
  <c r="AK1934" i="3"/>
  <c r="AK1935" i="3"/>
  <c r="AK1936" i="3"/>
  <c r="AK1937" i="3"/>
  <c r="AK1938" i="3"/>
  <c r="AK1939" i="3"/>
  <c r="AK1940" i="3"/>
  <c r="AK1941" i="3"/>
  <c r="AK1942" i="3"/>
  <c r="AK1943" i="3"/>
  <c r="AK1944" i="3"/>
  <c r="AK1945" i="3"/>
  <c r="AK1946" i="3"/>
  <c r="AK1947" i="3"/>
  <c r="AK1948" i="3"/>
  <c r="AK1949" i="3"/>
  <c r="AK1950" i="3"/>
  <c r="AK1951" i="3"/>
  <c r="AK1952" i="3"/>
  <c r="AK1953" i="3"/>
  <c r="AK1954" i="3"/>
  <c r="AK1955" i="3"/>
  <c r="AK1956" i="3"/>
  <c r="AK1957" i="3"/>
  <c r="AK1958" i="3"/>
  <c r="AK1959" i="3"/>
  <c r="AK1960" i="3"/>
  <c r="AK1961" i="3"/>
  <c r="AK1962" i="3"/>
  <c r="AK1963" i="3"/>
  <c r="AK1964" i="3"/>
  <c r="AK1965" i="3"/>
  <c r="AK1966" i="3"/>
  <c r="AK1967" i="3"/>
  <c r="AK1968" i="3"/>
  <c r="AK1969" i="3"/>
  <c r="AK1970" i="3"/>
  <c r="AK1971" i="3"/>
  <c r="AK1972" i="3"/>
  <c r="AK1973" i="3"/>
  <c r="AK1974" i="3"/>
  <c r="AK1975" i="3"/>
  <c r="AK1976" i="3"/>
  <c r="AK1977" i="3"/>
  <c r="AK1978" i="3"/>
  <c r="AK1979" i="3"/>
  <c r="AK1980" i="3"/>
  <c r="AK1981" i="3"/>
  <c r="AK1982" i="3"/>
  <c r="AK1983" i="3"/>
  <c r="AK1984" i="3"/>
  <c r="AK1985" i="3"/>
  <c r="AK1986" i="3"/>
  <c r="AK1987" i="3"/>
  <c r="AK1988" i="3"/>
  <c r="AK1989" i="3"/>
  <c r="AK1990" i="3"/>
  <c r="AK1991" i="3"/>
  <c r="AK1992" i="3"/>
  <c r="AK1993" i="3"/>
  <c r="AK1994" i="3"/>
  <c r="AK1995" i="3"/>
  <c r="AK1996" i="3"/>
  <c r="AK1997" i="3"/>
  <c r="AK1998" i="3"/>
  <c r="AK1999" i="3"/>
  <c r="AK2000" i="3"/>
  <c r="AK2001" i="3"/>
  <c r="AK2002" i="3"/>
  <c r="AK2003" i="3"/>
  <c r="AK2004" i="3"/>
  <c r="AK2005" i="3"/>
  <c r="AK2006" i="3"/>
  <c r="AK2007" i="3"/>
  <c r="AK2008" i="3"/>
  <c r="AK2009" i="3"/>
  <c r="AK2010" i="3"/>
  <c r="AK2011" i="3"/>
  <c r="AK2012" i="3"/>
  <c r="AK2013" i="3"/>
  <c r="AK2014" i="3"/>
  <c r="AK2015" i="3"/>
  <c r="AK2016" i="3"/>
  <c r="AK2017" i="3"/>
  <c r="AK2018" i="3"/>
  <c r="AK2019" i="3"/>
  <c r="AK2020" i="3"/>
  <c r="AK2021" i="3"/>
  <c r="AK2022" i="3"/>
  <c r="AK2023" i="3"/>
  <c r="AK2024" i="3"/>
  <c r="AK2025" i="3"/>
  <c r="AK2026" i="3"/>
  <c r="AK2027" i="3"/>
  <c r="AK2028" i="3"/>
  <c r="AK2029" i="3"/>
  <c r="AK2030" i="3"/>
  <c r="AK2031" i="3"/>
  <c r="AK2032" i="3"/>
  <c r="AK2033" i="3"/>
  <c r="AK2034" i="3"/>
  <c r="AK2035" i="3"/>
  <c r="AK2036" i="3"/>
  <c r="AK2037" i="3"/>
  <c r="AK2038" i="3"/>
  <c r="AK2039" i="3"/>
  <c r="AK2040" i="3"/>
  <c r="AK2041" i="3"/>
  <c r="AK2042" i="3"/>
  <c r="AK2043" i="3"/>
  <c r="AK2044" i="3"/>
  <c r="AK2045" i="3"/>
  <c r="AK2046" i="3"/>
  <c r="AK2047" i="3"/>
  <c r="AK2048" i="3"/>
  <c r="AK2049" i="3"/>
  <c r="AK2050" i="3"/>
  <c r="AK2051" i="3"/>
  <c r="AK2052" i="3"/>
  <c r="AK2053" i="3"/>
  <c r="AK2054" i="3"/>
  <c r="AK2055" i="3"/>
  <c r="AK2056" i="3"/>
  <c r="AK2057" i="3"/>
  <c r="AK2058" i="3"/>
  <c r="AK2059" i="3"/>
  <c r="AK2060" i="3"/>
  <c r="AK2061" i="3"/>
  <c r="AK2062" i="3"/>
  <c r="AK2063" i="3"/>
  <c r="AK2064" i="3"/>
  <c r="AK2065" i="3"/>
  <c r="AK2066" i="3"/>
  <c r="AK2067" i="3"/>
  <c r="AK2068" i="3"/>
  <c r="AK2069" i="3"/>
  <c r="AK2070" i="3"/>
  <c r="AK2071" i="3"/>
  <c r="AK2072" i="3"/>
  <c r="AK2073" i="3"/>
  <c r="AK2074" i="3"/>
  <c r="AK2075" i="3"/>
  <c r="AK2076" i="3"/>
  <c r="AK2077" i="3"/>
  <c r="AK2078" i="3"/>
  <c r="AK2079" i="3"/>
  <c r="AK2080" i="3"/>
  <c r="AK2081" i="3"/>
  <c r="AK2082" i="3"/>
  <c r="AK2083" i="3"/>
  <c r="AK2084" i="3"/>
  <c r="AK2085" i="3"/>
  <c r="AK2086" i="3"/>
  <c r="AK2087" i="3"/>
  <c r="AK2088" i="3"/>
  <c r="AK2089" i="3"/>
  <c r="AK2090" i="3"/>
  <c r="AK2091" i="3"/>
  <c r="AK2092" i="3"/>
  <c r="AK2093" i="3"/>
  <c r="AK2094" i="3"/>
  <c r="AK2095" i="3"/>
  <c r="AK2096" i="3"/>
  <c r="AK2097" i="3"/>
  <c r="AK2098" i="3"/>
  <c r="AK2099" i="3"/>
  <c r="AK2100" i="3"/>
  <c r="AK2101" i="3"/>
  <c r="AK2102" i="3"/>
  <c r="AK2103" i="3"/>
  <c r="AK2104" i="3"/>
  <c r="AK2105" i="3"/>
  <c r="AK2106" i="3"/>
  <c r="AK2107" i="3"/>
  <c r="AK2108" i="3"/>
  <c r="AK2109" i="3"/>
  <c r="AK2110" i="3"/>
  <c r="AK2111" i="3"/>
  <c r="AK2112" i="3"/>
  <c r="AK2113" i="3"/>
  <c r="AK2114" i="3"/>
  <c r="AK2115" i="3"/>
  <c r="AK2116" i="3"/>
  <c r="AK2117" i="3"/>
  <c r="AK2118" i="3"/>
  <c r="AK2119" i="3"/>
  <c r="AK2120" i="3"/>
  <c r="AK2121" i="3"/>
  <c r="AK2122" i="3"/>
  <c r="AK2123" i="3"/>
  <c r="AK2124" i="3"/>
  <c r="AK2125" i="3"/>
  <c r="AK2126" i="3"/>
  <c r="AK2127" i="3"/>
  <c r="AK2128" i="3"/>
  <c r="AK2129" i="3"/>
  <c r="AK2130" i="3"/>
  <c r="AK2131" i="3"/>
  <c r="AK2132" i="3"/>
  <c r="AK2133" i="3"/>
  <c r="AK2134" i="3"/>
  <c r="AK2135" i="3"/>
  <c r="AK2136" i="3"/>
  <c r="AK2137" i="3"/>
  <c r="AK2138" i="3"/>
  <c r="AK2139" i="3"/>
  <c r="AK2140" i="3"/>
  <c r="AK2141" i="3"/>
  <c r="AK2142" i="3"/>
  <c r="AK2143" i="3"/>
  <c r="AK2144" i="3"/>
  <c r="AK2145" i="3"/>
  <c r="AK2146" i="3"/>
  <c r="AK2147" i="3"/>
  <c r="AK2148" i="3"/>
  <c r="AK2149" i="3"/>
  <c r="AK2150" i="3"/>
  <c r="AK2151" i="3"/>
  <c r="AK2152" i="3"/>
  <c r="AK2153" i="3"/>
  <c r="AK2154" i="3"/>
  <c r="AK2155" i="3"/>
  <c r="AK2156" i="3"/>
  <c r="AK2157" i="3"/>
  <c r="AK2158" i="3"/>
  <c r="AK2159" i="3"/>
  <c r="AK2160" i="3"/>
  <c r="AK2161" i="3"/>
  <c r="AK2162" i="3"/>
  <c r="AK2163" i="3"/>
  <c r="AK2164" i="3"/>
  <c r="AK2165" i="3"/>
  <c r="AK2166" i="3"/>
  <c r="AK2167" i="3"/>
  <c r="AK2168" i="3"/>
  <c r="AK2169" i="3"/>
  <c r="AK2170" i="3"/>
  <c r="AK2171" i="3"/>
  <c r="AK2172" i="3"/>
  <c r="AK2173" i="3"/>
  <c r="AK2174" i="3"/>
  <c r="AK2175" i="3"/>
  <c r="AK2176" i="3"/>
  <c r="AK2177" i="3"/>
  <c r="AK2178" i="3"/>
  <c r="AK2179" i="3"/>
  <c r="AK2180" i="3"/>
  <c r="AK2181" i="3"/>
  <c r="AK2182" i="3"/>
  <c r="AK2183" i="3"/>
  <c r="AK2184" i="3"/>
  <c r="AK2185" i="3"/>
  <c r="AK2186" i="3"/>
  <c r="AK2187" i="3"/>
  <c r="AK2188" i="3"/>
  <c r="AK2189" i="3"/>
  <c r="AK2190" i="3"/>
  <c r="AK2191" i="3"/>
  <c r="AK2192" i="3"/>
  <c r="AK2193" i="3"/>
  <c r="AK2194" i="3"/>
  <c r="AK2195" i="3"/>
  <c r="AK2196" i="3"/>
  <c r="AK2197" i="3"/>
  <c r="AK2198" i="3"/>
  <c r="AK2199" i="3"/>
  <c r="AK2200" i="3"/>
  <c r="AK2201" i="3"/>
  <c r="AK2202" i="3"/>
  <c r="AK2203" i="3"/>
  <c r="AK2204" i="3"/>
  <c r="AK2205" i="3"/>
  <c r="AK2206" i="3"/>
  <c r="AK2207" i="3"/>
  <c r="AK2208" i="3"/>
  <c r="AK2209" i="3"/>
  <c r="AK2210" i="3"/>
  <c r="AK2211" i="3"/>
  <c r="AK2212" i="3"/>
  <c r="AK2213" i="3"/>
  <c r="AK2214" i="3"/>
  <c r="AK2215" i="3"/>
  <c r="AK2216" i="3"/>
  <c r="AK2217" i="3"/>
  <c r="AK2218" i="3"/>
  <c r="AK2219" i="3"/>
  <c r="AK2220" i="3"/>
  <c r="AK2221" i="3"/>
  <c r="AK2222" i="3"/>
  <c r="AK2223" i="3"/>
  <c r="AK2224" i="3"/>
  <c r="AK2225" i="3"/>
  <c r="AK2226" i="3"/>
  <c r="AK2227" i="3"/>
  <c r="AK2228" i="3"/>
  <c r="AK2229" i="3"/>
  <c r="AK2230" i="3"/>
  <c r="AK2231" i="3"/>
  <c r="AK2232" i="3"/>
  <c r="AK2233" i="3"/>
  <c r="AK2234" i="3"/>
  <c r="AK2235" i="3"/>
  <c r="AK2236" i="3"/>
  <c r="AK2237" i="3"/>
  <c r="AK2238" i="3"/>
  <c r="AK2239" i="3"/>
  <c r="AK2240" i="3"/>
  <c r="AK2241" i="3"/>
  <c r="AK2242" i="3"/>
  <c r="AK2243" i="3"/>
  <c r="AK2244" i="3"/>
  <c r="AK2245" i="3"/>
  <c r="AK2246" i="3"/>
  <c r="AK2247" i="3"/>
  <c r="AK2248" i="3"/>
  <c r="AK2249" i="3"/>
  <c r="AK2250" i="3"/>
  <c r="AK2251" i="3"/>
  <c r="AK2252" i="3"/>
  <c r="AK2253" i="3"/>
  <c r="AK2254" i="3"/>
  <c r="AK2255" i="3"/>
  <c r="AK2256" i="3"/>
  <c r="AK2257" i="3"/>
  <c r="AK2258" i="3"/>
  <c r="AK2259" i="3"/>
  <c r="AK2260" i="3"/>
  <c r="AK2261" i="3"/>
  <c r="AK2262" i="3"/>
  <c r="AK2263" i="3"/>
  <c r="AK2264" i="3"/>
  <c r="AK2265" i="3"/>
  <c r="AK2266" i="3"/>
  <c r="AK2267" i="3"/>
  <c r="AK2268" i="3"/>
  <c r="AK2269" i="3"/>
  <c r="AK2270" i="3"/>
  <c r="AK2271" i="3"/>
  <c r="AK2272" i="3"/>
  <c r="AK2273" i="3"/>
  <c r="AK2274" i="3"/>
  <c r="AK2275" i="3"/>
  <c r="AK2276" i="3"/>
  <c r="AK2277" i="3"/>
  <c r="AK2278" i="3"/>
  <c r="AK2279" i="3"/>
  <c r="AK2280" i="3"/>
  <c r="AK2281" i="3"/>
  <c r="AK2282" i="3"/>
  <c r="AK2283" i="3"/>
  <c r="AK2284" i="3"/>
  <c r="AK2285" i="3"/>
  <c r="AK2286" i="3"/>
  <c r="AK2287" i="3"/>
  <c r="AK2288" i="3"/>
  <c r="AK2289" i="3"/>
  <c r="AK2290" i="3"/>
  <c r="AK2291" i="3"/>
  <c r="AK2292" i="3"/>
  <c r="AK2293" i="3"/>
  <c r="AK2294" i="3"/>
  <c r="AK2295" i="3"/>
  <c r="AK2296" i="3"/>
  <c r="AK2297" i="3"/>
  <c r="AK2298" i="3"/>
  <c r="AK2299" i="3"/>
  <c r="AK2300" i="3"/>
  <c r="AK2301" i="3"/>
  <c r="AK2302" i="3"/>
  <c r="AK2303" i="3"/>
  <c r="AK2304" i="3"/>
  <c r="AK2305" i="3"/>
  <c r="AK2306" i="3"/>
  <c r="AK2307" i="3"/>
  <c r="AK2308" i="3"/>
  <c r="AK2309" i="3"/>
  <c r="AK2310" i="3"/>
  <c r="AK2311" i="3"/>
  <c r="AK2312" i="3"/>
  <c r="AK2313" i="3"/>
  <c r="AK2314" i="3"/>
  <c r="AK2315" i="3"/>
  <c r="AK2316" i="3"/>
  <c r="AK2317" i="3"/>
  <c r="AK2318" i="3"/>
  <c r="AK2319" i="3"/>
  <c r="AK2320" i="3"/>
  <c r="AK2321" i="3"/>
  <c r="AK2322" i="3"/>
  <c r="AK2323" i="3"/>
  <c r="AK2324" i="3"/>
  <c r="AK2325" i="3"/>
  <c r="AK2326" i="3"/>
  <c r="AK2327" i="3"/>
  <c r="AK2328" i="3"/>
  <c r="AK2329" i="3"/>
  <c r="AK2330" i="3"/>
  <c r="AK2331" i="3"/>
  <c r="AK2332" i="3"/>
  <c r="AK2333" i="3"/>
  <c r="AK2334" i="3"/>
  <c r="AK2335" i="3"/>
  <c r="AK2336" i="3"/>
  <c r="AK2337" i="3"/>
  <c r="AK2338" i="3"/>
  <c r="AK2339" i="3"/>
  <c r="AK2340" i="3"/>
  <c r="AK2341" i="3"/>
  <c r="AK2342" i="3"/>
  <c r="AK2343" i="3"/>
  <c r="AK2344" i="3"/>
  <c r="AK2345" i="3"/>
  <c r="AK2346" i="3"/>
  <c r="AK2347" i="3"/>
  <c r="AK2348" i="3"/>
  <c r="AK2349" i="3"/>
  <c r="AK2350" i="3"/>
  <c r="AK2351" i="3"/>
  <c r="AK2352" i="3"/>
  <c r="AK2353" i="3"/>
  <c r="AK2354" i="3"/>
  <c r="AK2355" i="3"/>
  <c r="AK2356" i="3"/>
  <c r="AK2357" i="3"/>
  <c r="AK2358" i="3"/>
  <c r="AK2359" i="3"/>
  <c r="AK2360" i="3"/>
  <c r="AK2361" i="3"/>
  <c r="AK2362" i="3"/>
  <c r="AK2363" i="3"/>
  <c r="AK2364" i="3"/>
  <c r="AK2365" i="3"/>
  <c r="AK2366" i="3"/>
  <c r="AK2367" i="3"/>
  <c r="AK2368" i="3"/>
  <c r="AK2369" i="3"/>
  <c r="AK2370" i="3"/>
  <c r="AK2371" i="3"/>
  <c r="AK2372" i="3"/>
  <c r="AK2373" i="3"/>
  <c r="AK2374" i="3"/>
  <c r="AK2375" i="3"/>
  <c r="AK2376" i="3"/>
  <c r="AK2377" i="3"/>
  <c r="AK2378" i="3"/>
  <c r="AK2379" i="3"/>
  <c r="AK2380" i="3"/>
  <c r="AK2381" i="3"/>
  <c r="AK2382" i="3"/>
  <c r="AK2383" i="3"/>
  <c r="AK2384" i="3"/>
  <c r="AK2385" i="3"/>
  <c r="AK2386" i="3"/>
  <c r="AK2387" i="3"/>
  <c r="AK2388" i="3"/>
  <c r="AK2389" i="3"/>
  <c r="AK2390" i="3"/>
  <c r="AK2391" i="3"/>
  <c r="AK2392" i="3"/>
  <c r="AK2393" i="3"/>
  <c r="AK2394" i="3"/>
  <c r="AK2395" i="3"/>
  <c r="AK2396" i="3"/>
  <c r="AK2397" i="3"/>
  <c r="AK2398" i="3"/>
  <c r="AK2399" i="3"/>
  <c r="AK2400" i="3"/>
  <c r="AK2401" i="3"/>
  <c r="AK54" i="3"/>
  <c r="AK55" i="3"/>
  <c r="AK56" i="3"/>
  <c r="AK57" i="3"/>
  <c r="AK58" i="3"/>
  <c r="AK59" i="3"/>
  <c r="AK60" i="3"/>
  <c r="AK61" i="3"/>
  <c r="AK62" i="3"/>
  <c r="AK63" i="3"/>
  <c r="AK64" i="3"/>
  <c r="AK65" i="3"/>
  <c r="AK66" i="3"/>
  <c r="AK67" i="3"/>
  <c r="AK68" i="3"/>
  <c r="AK69" i="3"/>
  <c r="AK70" i="3"/>
  <c r="AK71" i="3"/>
  <c r="AK72" i="3"/>
  <c r="AK73" i="3"/>
  <c r="AK74" i="3"/>
  <c r="AK75" i="3"/>
  <c r="AK76" i="3"/>
  <c r="AK35" i="3"/>
  <c r="AK36" i="3"/>
  <c r="AK37" i="3"/>
  <c r="AK38" i="3"/>
  <c r="AK39" i="3"/>
  <c r="AK40" i="3"/>
  <c r="AK41" i="3"/>
  <c r="AK42" i="3"/>
  <c r="AK43" i="3"/>
  <c r="AK44" i="3"/>
  <c r="AK45" i="3"/>
  <c r="AK46" i="3"/>
  <c r="AK47" i="3"/>
  <c r="AK48" i="3"/>
  <c r="AK49" i="3"/>
  <c r="AK50" i="3"/>
  <c r="AK51" i="3"/>
  <c r="AK52" i="3"/>
  <c r="AK53" i="3"/>
  <c r="AK33" i="3"/>
  <c r="AK34" i="3"/>
  <c r="AK19" i="3"/>
  <c r="AK20" i="3"/>
  <c r="AK21" i="3"/>
  <c r="AK22" i="3"/>
  <c r="AK23" i="3"/>
  <c r="AK24" i="3"/>
  <c r="AK25" i="3"/>
  <c r="AK26" i="3"/>
  <c r="AK27" i="3"/>
  <c r="AK28" i="3"/>
  <c r="AK29" i="3"/>
  <c r="AK30" i="3"/>
  <c r="AK31" i="3"/>
  <c r="AK32" i="3"/>
  <c r="AK3" i="3"/>
  <c r="AK4" i="3"/>
  <c r="AK5" i="3"/>
  <c r="AK6" i="3"/>
  <c r="AK7" i="3"/>
  <c r="AK8" i="3"/>
  <c r="AK9" i="3"/>
  <c r="AK10" i="3"/>
  <c r="AK11" i="3"/>
  <c r="AK12" i="3"/>
  <c r="AK13" i="3"/>
  <c r="AK14" i="3"/>
  <c r="AK15" i="3"/>
  <c r="AK16" i="3"/>
  <c r="AK17" i="3"/>
  <c r="AK18" i="3"/>
  <c r="AK2" i="3"/>
  <c r="L16" i="3"/>
  <c r="L17" i="3"/>
  <c r="L18" i="3"/>
  <c r="L19" i="3"/>
  <c r="D5" i="4"/>
  <c r="G5" i="4" s="1"/>
  <c r="A5" i="4"/>
  <c r="AI2401" i="3"/>
  <c r="AI2400" i="3"/>
  <c r="AI2399" i="3"/>
  <c r="AI2398" i="3"/>
  <c r="AI2397" i="3"/>
  <c r="AI2396" i="3"/>
  <c r="AI2395" i="3"/>
  <c r="AI2392" i="3"/>
  <c r="AI2391" i="3"/>
  <c r="AI2390" i="3"/>
  <c r="AI2389" i="3"/>
  <c r="AI2386" i="3"/>
  <c r="AI2385" i="3"/>
  <c r="AI2384" i="3"/>
  <c r="AI2383" i="3"/>
  <c r="AI2382" i="3"/>
  <c r="AI2381" i="3"/>
  <c r="AI2380" i="3"/>
  <c r="AI2379" i="3"/>
  <c r="AI2378" i="3"/>
  <c r="AI2376" i="3"/>
  <c r="AI2374" i="3"/>
  <c r="AI2372" i="3"/>
  <c r="AI2370" i="3"/>
  <c r="AI2368" i="3"/>
  <c r="AI2367" i="3"/>
  <c r="AI2365" i="3"/>
  <c r="AI2364" i="3"/>
  <c r="AI2363" i="3"/>
  <c r="AI2361" i="3"/>
  <c r="AI2360" i="3"/>
  <c r="AI2359" i="3"/>
  <c r="AI2358" i="3"/>
  <c r="AI2354" i="3"/>
  <c r="AI2352" i="3"/>
  <c r="AI2351" i="3"/>
  <c r="AI2350" i="3"/>
  <c r="AI2348" i="3"/>
  <c r="AI2346" i="3"/>
  <c r="AI2345" i="3"/>
  <c r="AI2344" i="3"/>
  <c r="AI2342" i="3"/>
  <c r="AI2341" i="3"/>
  <c r="AI2340" i="3"/>
  <c r="AI2339" i="3"/>
  <c r="AI2338" i="3"/>
  <c r="AI2337" i="3"/>
  <c r="AI2336" i="3"/>
  <c r="AI2335" i="3"/>
  <c r="AI2334" i="3"/>
  <c r="AI2333" i="3"/>
  <c r="AI2332" i="3"/>
  <c r="AI2329" i="3"/>
  <c r="AI2327" i="3"/>
  <c r="AI2326" i="3"/>
  <c r="AI2325" i="3"/>
  <c r="AI2324" i="3"/>
  <c r="AI2322" i="3"/>
  <c r="AI2321" i="3"/>
  <c r="AI2320" i="3"/>
  <c r="AI2319" i="3"/>
  <c r="AI2318" i="3"/>
  <c r="AI2317" i="3"/>
  <c r="AI2316" i="3"/>
  <c r="AI2315" i="3"/>
  <c r="AI2313" i="3"/>
  <c r="AI2311" i="3"/>
  <c r="AI2310" i="3"/>
  <c r="AI2309" i="3"/>
  <c r="AI2308" i="3"/>
  <c r="AI2307" i="3"/>
  <c r="AI2306" i="3"/>
  <c r="AI2305" i="3"/>
  <c r="AI2303" i="3"/>
  <c r="AI2301" i="3"/>
  <c r="AI2300" i="3"/>
  <c r="AI2299" i="3"/>
  <c r="AI2298" i="3"/>
  <c r="AI2297" i="3"/>
  <c r="AI2296" i="3"/>
  <c r="AI2293" i="3"/>
  <c r="AI2292" i="3"/>
  <c r="AI2291" i="3"/>
  <c r="AI2290" i="3"/>
  <c r="AI2289" i="3"/>
  <c r="AI2288" i="3"/>
  <c r="AI2287" i="3"/>
  <c r="AI2285" i="3"/>
  <c r="AI2283" i="3"/>
  <c r="AI2282" i="3"/>
  <c r="AI2280" i="3"/>
  <c r="AI2279" i="3"/>
  <c r="AI2278" i="3"/>
  <c r="AI2277" i="3"/>
  <c r="AI2276" i="3"/>
  <c r="AI2275" i="3"/>
  <c r="AI2274" i="3"/>
  <c r="AI2273" i="3"/>
  <c r="AI2272" i="3"/>
  <c r="AI2270" i="3"/>
  <c r="AI2269" i="3"/>
  <c r="AI2268" i="3"/>
  <c r="AI2267" i="3"/>
  <c r="AI2266" i="3"/>
  <c r="AI2265" i="3"/>
  <c r="AI2264" i="3"/>
  <c r="AI2262" i="3"/>
  <c r="AI2258" i="3"/>
  <c r="AI2257" i="3"/>
  <c r="AI2256" i="3"/>
  <c r="AI2254" i="3"/>
  <c r="AI2253" i="3"/>
  <c r="AI2252" i="3"/>
  <c r="AI2251" i="3"/>
  <c r="AI2247" i="3"/>
  <c r="AI2246" i="3"/>
  <c r="AI2245" i="3"/>
  <c r="AI2244" i="3"/>
  <c r="AI2242" i="3"/>
  <c r="AI2240" i="3"/>
  <c r="AI2239" i="3"/>
  <c r="AI2237" i="3"/>
  <c r="AI2236" i="3"/>
  <c r="AI2235" i="3"/>
  <c r="AI2234" i="3"/>
  <c r="AI2233" i="3"/>
  <c r="AI2232" i="3"/>
  <c r="AI2231" i="3"/>
  <c r="AI2229" i="3"/>
  <c r="AI2225" i="3"/>
  <c r="AI2224" i="3"/>
  <c r="AI2223" i="3"/>
  <c r="AI2222" i="3"/>
  <c r="AI2221" i="3"/>
  <c r="AI2220" i="3"/>
  <c r="AI2219" i="3"/>
  <c r="AI2218" i="3"/>
  <c r="AI2217" i="3"/>
  <c r="AI2216" i="3"/>
  <c r="AI2212" i="3"/>
  <c r="AI2211" i="3"/>
  <c r="AI2210" i="3"/>
  <c r="AI2209" i="3"/>
  <c r="AI2205" i="3"/>
  <c r="AI2202" i="3"/>
  <c r="AI2201" i="3"/>
  <c r="AI2200" i="3"/>
  <c r="AI2199" i="3"/>
  <c r="AI2198" i="3"/>
  <c r="AI2197" i="3"/>
  <c r="AI2196" i="3"/>
  <c r="AI2195" i="3"/>
  <c r="AI2194" i="3"/>
  <c r="AI2193" i="3"/>
  <c r="AI2192" i="3"/>
  <c r="AI2191" i="3"/>
  <c r="AI2189" i="3"/>
  <c r="AI2188" i="3"/>
  <c r="AI2187" i="3"/>
  <c r="AI2185" i="3"/>
  <c r="AI2183" i="3"/>
  <c r="AI2182" i="3"/>
  <c r="AI2180" i="3"/>
  <c r="AI2178" i="3"/>
  <c r="AI2176" i="3"/>
  <c r="AI2175" i="3"/>
  <c r="AI2173" i="3"/>
  <c r="AI2172" i="3"/>
  <c r="AI2171" i="3"/>
  <c r="AI2170" i="3"/>
  <c r="AI2169" i="3"/>
  <c r="AI2168" i="3"/>
  <c r="AI2167" i="3"/>
  <c r="AI2166" i="3"/>
  <c r="AI2165" i="3"/>
  <c r="AI2163" i="3"/>
  <c r="AI2162" i="3"/>
  <c r="AI2161" i="3"/>
  <c r="AI2160" i="3"/>
  <c r="AI2159" i="3"/>
  <c r="AI2158" i="3"/>
  <c r="AI2157" i="3"/>
  <c r="AI2154" i="3"/>
  <c r="AI2153" i="3"/>
  <c r="AI2152" i="3"/>
  <c r="AI2151" i="3"/>
  <c r="AI2150" i="3"/>
  <c r="AI2149" i="3"/>
  <c r="AI2148" i="3"/>
  <c r="AI2147" i="3"/>
  <c r="AI2146" i="3"/>
  <c r="AI2145" i="3"/>
  <c r="AI2144" i="3"/>
  <c r="AI2143" i="3"/>
  <c r="AI2142" i="3"/>
  <c r="AI2141" i="3"/>
  <c r="AI2140" i="3"/>
  <c r="AI2139" i="3"/>
  <c r="AI2137" i="3"/>
  <c r="AI2136" i="3"/>
  <c r="AI2135" i="3"/>
  <c r="AI2133" i="3"/>
  <c r="AI2132" i="3"/>
  <c r="AI2131" i="3"/>
  <c r="AI2130" i="3"/>
  <c r="AI2129" i="3"/>
  <c r="AI2128" i="3"/>
  <c r="AI2127" i="3"/>
  <c r="AI2123" i="3"/>
  <c r="AI2121" i="3"/>
  <c r="AI2119" i="3"/>
  <c r="AI2118" i="3"/>
  <c r="AI2117" i="3"/>
  <c r="AI2116" i="3"/>
  <c r="AI2111" i="3"/>
  <c r="AI2110" i="3"/>
  <c r="AI2107" i="3"/>
  <c r="AI2106" i="3"/>
  <c r="AI2105" i="3"/>
  <c r="AI2104" i="3"/>
  <c r="AI2103" i="3"/>
  <c r="AI2102" i="3"/>
  <c r="AI2101" i="3"/>
  <c r="AI2100" i="3"/>
  <c r="AI2098" i="3"/>
  <c r="AI2097" i="3"/>
  <c r="AI2096" i="3"/>
  <c r="AI2095" i="3"/>
  <c r="AI2094" i="3"/>
  <c r="AI2092" i="3"/>
  <c r="AI2089" i="3"/>
  <c r="AI2087" i="3"/>
  <c r="AI2086" i="3"/>
  <c r="AI2084" i="3"/>
  <c r="AI2081" i="3"/>
  <c r="AI2080" i="3"/>
  <c r="AI2079" i="3"/>
  <c r="AI2078" i="3"/>
  <c r="AI2077" i="3"/>
  <c r="AI2075" i="3"/>
  <c r="AI2074" i="3"/>
  <c r="AI2073" i="3"/>
  <c r="AI2072" i="3"/>
  <c r="AI2070" i="3"/>
  <c r="AI2069" i="3"/>
  <c r="AI2067" i="3"/>
  <c r="AI2066" i="3"/>
  <c r="AI2064" i="3"/>
  <c r="AI2062" i="3"/>
  <c r="AI2060" i="3"/>
  <c r="AI2059" i="3"/>
  <c r="AI2058" i="3"/>
  <c r="AI2057" i="3"/>
  <c r="AI2056" i="3"/>
  <c r="AI2053" i="3"/>
  <c r="AI2052" i="3"/>
  <c r="AI2051" i="3"/>
  <c r="AI2050" i="3"/>
  <c r="AI2048" i="3"/>
  <c r="AI2047" i="3"/>
  <c r="AI2046" i="3"/>
  <c r="AI2045" i="3"/>
  <c r="AI2044" i="3"/>
  <c r="AI2043" i="3"/>
  <c r="AI2042" i="3"/>
  <c r="AI2041" i="3"/>
  <c r="AI2039" i="3"/>
  <c r="AI2037" i="3"/>
  <c r="AI2036" i="3"/>
  <c r="AI2035" i="3"/>
  <c r="AI2034" i="3"/>
  <c r="AI2033" i="3"/>
  <c r="AI2032" i="3"/>
  <c r="AI2031" i="3"/>
  <c r="AI2030" i="3"/>
  <c r="AI2029" i="3"/>
  <c r="AI2028" i="3"/>
  <c r="AI2027" i="3"/>
  <c r="AI2026" i="3"/>
  <c r="AI2025" i="3"/>
  <c r="AI2024" i="3"/>
  <c r="AI2023" i="3"/>
  <c r="AI2022" i="3"/>
  <c r="AI2019" i="3"/>
  <c r="AI2018" i="3"/>
  <c r="AI2016" i="3"/>
  <c r="AI2013" i="3"/>
  <c r="AI2009" i="3"/>
  <c r="AI2008" i="3"/>
  <c r="AI2007" i="3"/>
  <c r="AI2005" i="3"/>
  <c r="AI2004" i="3"/>
  <c r="AI2003" i="3"/>
  <c r="AI2002" i="3"/>
  <c r="AI2001" i="3"/>
  <c r="AI1998" i="3"/>
  <c r="AI1997" i="3"/>
  <c r="AI1996" i="3"/>
  <c r="AI1995" i="3"/>
  <c r="AI1992" i="3"/>
  <c r="AI1990" i="3"/>
  <c r="AI1988" i="3"/>
  <c r="AI1987" i="3"/>
  <c r="AI1986" i="3"/>
  <c r="AI1984" i="3"/>
  <c r="AI1983" i="3"/>
  <c r="AI1982" i="3"/>
  <c r="AI1980" i="3"/>
  <c r="AI1977" i="3"/>
  <c r="AI1976" i="3"/>
  <c r="AI1974" i="3"/>
  <c r="AI1973" i="3"/>
  <c r="AI1972" i="3"/>
  <c r="AI1971" i="3"/>
  <c r="AI1970" i="3"/>
  <c r="AI1969" i="3"/>
  <c r="AI1968" i="3"/>
  <c r="AI1967" i="3"/>
  <c r="AI1966" i="3"/>
  <c r="AI1965" i="3"/>
  <c r="AI1964" i="3"/>
  <c r="AI1961" i="3"/>
  <c r="AI1960" i="3"/>
  <c r="AI1958" i="3"/>
  <c r="AI1957" i="3"/>
  <c r="AI1955" i="3"/>
  <c r="AI1954" i="3"/>
  <c r="AI1953" i="3"/>
  <c r="AI1952" i="3"/>
  <c r="AI1951" i="3"/>
  <c r="AI1950" i="3"/>
  <c r="AI1945" i="3"/>
  <c r="AI1942" i="3"/>
  <c r="AI1941" i="3"/>
  <c r="AI1940" i="3"/>
  <c r="AI1939" i="3"/>
  <c r="AI1938" i="3"/>
  <c r="AI1937" i="3"/>
  <c r="AI1936" i="3"/>
  <c r="AI1935" i="3"/>
  <c r="AI1934" i="3"/>
  <c r="AI1933" i="3"/>
  <c r="AI1932" i="3"/>
  <c r="AI1931" i="3"/>
  <c r="AI1930" i="3"/>
  <c r="AI1927" i="3"/>
  <c r="AI1926" i="3"/>
  <c r="AI1925" i="3"/>
  <c r="AI1924" i="3"/>
  <c r="AI1923" i="3"/>
  <c r="AI1922" i="3"/>
  <c r="AI1921" i="3"/>
  <c r="AI1920" i="3"/>
  <c r="AI1918" i="3"/>
  <c r="AI1917" i="3"/>
  <c r="AI1916" i="3"/>
  <c r="AI1915" i="3"/>
  <c r="AI1914" i="3"/>
  <c r="AI1913" i="3"/>
  <c r="AI1912" i="3"/>
  <c r="AI1911" i="3"/>
  <c r="AI1910" i="3"/>
  <c r="AI1909" i="3"/>
  <c r="AI1907" i="3"/>
  <c r="AI1904" i="3"/>
  <c r="AI1903" i="3"/>
  <c r="AI1902" i="3"/>
  <c r="AI1900" i="3"/>
  <c r="AI1898" i="3"/>
  <c r="AI1897" i="3"/>
  <c r="AI1896" i="3"/>
  <c r="AI1894" i="3"/>
  <c r="AI1893" i="3"/>
  <c r="AI1891" i="3"/>
  <c r="AI1890" i="3"/>
  <c r="AI1889" i="3"/>
  <c r="AI1887" i="3"/>
  <c r="AI1886" i="3"/>
  <c r="AI1885" i="3"/>
  <c r="AI1884" i="3"/>
  <c r="AI1883" i="3"/>
  <c r="AI1882" i="3"/>
  <c r="AI1880" i="3"/>
  <c r="AI1879" i="3"/>
  <c r="AI1878" i="3"/>
  <c r="AI1877" i="3"/>
  <c r="AI1871" i="3"/>
  <c r="AI1870" i="3"/>
  <c r="AI1869" i="3"/>
  <c r="AI1868" i="3"/>
  <c r="AI1867" i="3"/>
  <c r="AI1866" i="3"/>
  <c r="AI1864" i="3"/>
  <c r="AI1863" i="3"/>
  <c r="AI1862" i="3"/>
  <c r="AI1861" i="3"/>
  <c r="AI1859" i="3"/>
  <c r="AI1858" i="3"/>
  <c r="AI1857" i="3"/>
  <c r="AI1855" i="3"/>
  <c r="AI1854" i="3"/>
  <c r="AI1853" i="3"/>
  <c r="AI1852" i="3"/>
  <c r="AI1850" i="3"/>
  <c r="AI1849" i="3"/>
  <c r="AI1846" i="3"/>
  <c r="AI1845" i="3"/>
  <c r="AI1844" i="3"/>
  <c r="AI1843" i="3"/>
  <c r="AI1842" i="3"/>
  <c r="AI1841" i="3"/>
  <c r="AI1840" i="3"/>
  <c r="AI1838" i="3"/>
  <c r="AI1837" i="3"/>
  <c r="AI1834" i="3"/>
  <c r="AI1831" i="3"/>
  <c r="AI1830" i="3"/>
  <c r="AI1829" i="3"/>
  <c r="AI1828" i="3"/>
  <c r="AI1827" i="3"/>
  <c r="AI1826" i="3"/>
  <c r="AI1825" i="3"/>
  <c r="AI1824" i="3"/>
  <c r="AI1822" i="3"/>
  <c r="AI1821" i="3"/>
  <c r="AI1820" i="3"/>
  <c r="AI1818" i="3"/>
  <c r="AI1817" i="3"/>
  <c r="AI1816" i="3"/>
  <c r="AI1815" i="3"/>
  <c r="AI1814" i="3"/>
  <c r="AI1813" i="3"/>
  <c r="AI1811" i="3"/>
  <c r="AI1809" i="3"/>
  <c r="AI1808" i="3"/>
  <c r="AI1807" i="3"/>
  <c r="AI1806" i="3"/>
  <c r="AI1805" i="3"/>
  <c r="AI1802" i="3"/>
  <c r="AI1801" i="3"/>
  <c r="AI1800" i="3"/>
  <c r="AI1799" i="3"/>
  <c r="AI1798" i="3"/>
  <c r="AI1797" i="3"/>
  <c r="AI1796" i="3"/>
  <c r="AI1795" i="3"/>
  <c r="AI1794" i="3"/>
  <c r="AI1793" i="3"/>
  <c r="AI1791" i="3"/>
  <c r="AI1790" i="3"/>
  <c r="AI1789" i="3"/>
  <c r="AI1788" i="3"/>
  <c r="AI1787" i="3"/>
  <c r="AI1785" i="3"/>
  <c r="AI1783" i="3"/>
  <c r="AI1781" i="3"/>
  <c r="AI1780" i="3"/>
  <c r="AI1778" i="3"/>
  <c r="AI1777" i="3"/>
  <c r="AI1776" i="3"/>
  <c r="AI1775" i="3"/>
  <c r="AI1774" i="3"/>
  <c r="AI1773" i="3"/>
  <c r="AI1772" i="3"/>
  <c r="AI1771" i="3"/>
  <c r="AI1768" i="3"/>
  <c r="AI1767" i="3"/>
  <c r="AI1766" i="3"/>
  <c r="AI1765" i="3"/>
  <c r="AI1764" i="3"/>
  <c r="AI1763" i="3"/>
  <c r="AI1761" i="3"/>
  <c r="AI1760" i="3"/>
  <c r="AI1758" i="3"/>
  <c r="AI1757" i="3"/>
  <c r="AI1756" i="3"/>
  <c r="AI1755" i="3"/>
  <c r="AI1753" i="3"/>
  <c r="AI1752" i="3"/>
  <c r="AI1750" i="3"/>
  <c r="AI1749" i="3"/>
  <c r="AI1748" i="3"/>
  <c r="AI1747" i="3"/>
  <c r="AI1746" i="3"/>
  <c r="AI1742" i="3"/>
  <c r="AI1741" i="3"/>
  <c r="AI1740" i="3"/>
  <c r="AI1739" i="3"/>
  <c r="AI1737" i="3"/>
  <c r="AI1736" i="3"/>
  <c r="AI1735" i="3"/>
  <c r="AI1732" i="3"/>
  <c r="AI1731" i="3"/>
  <c r="AI1729" i="3"/>
  <c r="AI1728" i="3"/>
  <c r="AI1727" i="3"/>
  <c r="AI1726" i="3"/>
  <c r="AI1724" i="3"/>
  <c r="AI1722" i="3"/>
  <c r="AI1721" i="3"/>
  <c r="AI1720" i="3"/>
  <c r="AI1719" i="3"/>
  <c r="AI1718" i="3"/>
  <c r="AI1717" i="3"/>
  <c r="AI1716" i="3"/>
  <c r="AI1715" i="3"/>
  <c r="AI1714" i="3"/>
  <c r="AI1713" i="3"/>
  <c r="AI1712" i="3"/>
  <c r="AI1711" i="3"/>
  <c r="AI1709" i="3"/>
  <c r="AI1708" i="3"/>
  <c r="AI1705" i="3"/>
  <c r="AI1704" i="3"/>
  <c r="AI1702" i="3"/>
  <c r="AI1700" i="3"/>
  <c r="AI1697" i="3"/>
  <c r="AI1696" i="3"/>
  <c r="AI1695" i="3"/>
  <c r="AI1694" i="3"/>
  <c r="AI1693" i="3"/>
  <c r="AI1692" i="3"/>
  <c r="AI1691" i="3"/>
  <c r="AI1690" i="3"/>
  <c r="AI1689" i="3"/>
  <c r="AI1688" i="3"/>
  <c r="AI1687" i="3"/>
  <c r="AI1686" i="3"/>
  <c r="AI1684" i="3"/>
  <c r="AI1683" i="3"/>
  <c r="AI1682" i="3"/>
  <c r="AI1681" i="3"/>
  <c r="AI1680" i="3"/>
  <c r="AI1679" i="3"/>
  <c r="AI1678" i="3"/>
  <c r="AI1677" i="3"/>
  <c r="AI1676" i="3"/>
  <c r="AI1675" i="3"/>
  <c r="AI1674" i="3"/>
  <c r="AI1673" i="3"/>
  <c r="AI1672" i="3"/>
  <c r="AI1671" i="3"/>
  <c r="AI1668" i="3"/>
  <c r="AI1666" i="3"/>
  <c r="AI1665" i="3"/>
  <c r="AI1663" i="3"/>
  <c r="AI1662" i="3"/>
  <c r="AI1661" i="3"/>
  <c r="AI1659" i="3"/>
  <c r="AI1658" i="3"/>
  <c r="AI1655" i="3"/>
  <c r="AI1654" i="3"/>
  <c r="AI1651" i="3"/>
  <c r="AI1650" i="3"/>
  <c r="AI1649" i="3"/>
  <c r="AI1647" i="3"/>
  <c r="AI1643" i="3"/>
  <c r="AI1642" i="3"/>
  <c r="AI1640" i="3"/>
  <c r="AI1638" i="3"/>
  <c r="AI1637" i="3"/>
  <c r="AI1636" i="3"/>
  <c r="AI1635" i="3"/>
  <c r="AI1634" i="3"/>
  <c r="AI1633" i="3"/>
  <c r="AI1632" i="3"/>
  <c r="AI1630" i="3"/>
  <c r="AI1628" i="3"/>
  <c r="AI1626" i="3"/>
  <c r="AI1623" i="3"/>
  <c r="AI1621" i="3"/>
  <c r="AI1620" i="3"/>
  <c r="AI1619" i="3"/>
  <c r="AI1618" i="3"/>
  <c r="AI1617" i="3"/>
  <c r="AI1616" i="3"/>
  <c r="AI1615" i="3"/>
  <c r="AI1614" i="3"/>
  <c r="AI1613" i="3"/>
  <c r="AI1612" i="3"/>
  <c r="AI1611" i="3"/>
  <c r="AI1610" i="3"/>
  <c r="AI1609" i="3"/>
  <c r="AI1608" i="3"/>
  <c r="AI1606" i="3"/>
  <c r="AI1603" i="3"/>
  <c r="AI1601" i="3"/>
  <c r="AI1600" i="3"/>
  <c r="AI1599" i="3"/>
  <c r="AI1597" i="3"/>
  <c r="AI1594" i="3"/>
  <c r="AI1592" i="3"/>
  <c r="AI1591" i="3"/>
  <c r="AI1589" i="3"/>
  <c r="AI1588" i="3"/>
  <c r="AI1586" i="3"/>
  <c r="AI1585" i="3"/>
  <c r="AI1584" i="3"/>
  <c r="AI1583" i="3"/>
  <c r="AI1582" i="3"/>
  <c r="AI1581" i="3"/>
  <c r="AI1580" i="3"/>
  <c r="AI1579" i="3"/>
  <c r="AI1578" i="3"/>
  <c r="AI1577" i="3"/>
  <c r="AI1576" i="3"/>
  <c r="AI1575" i="3"/>
  <c r="AI1571" i="3"/>
  <c r="AI1570" i="3"/>
  <c r="AI1569" i="3"/>
  <c r="AI1567" i="3"/>
  <c r="AI1566" i="3"/>
  <c r="AI1565" i="3"/>
  <c r="AI1564" i="3"/>
  <c r="AI1563" i="3"/>
  <c r="AI1561" i="3"/>
  <c r="AI1560" i="3"/>
  <c r="AI1559" i="3"/>
  <c r="AI1558" i="3"/>
  <c r="AI1557" i="3"/>
  <c r="AI1555" i="3"/>
  <c r="AI1554" i="3"/>
  <c r="AI1553" i="3"/>
  <c r="AI1552" i="3"/>
  <c r="AI1550" i="3"/>
  <c r="AI1549" i="3"/>
  <c r="AI1547" i="3"/>
  <c r="AI1546" i="3"/>
  <c r="AI1545" i="3"/>
  <c r="AI1544" i="3"/>
  <c r="AI1539" i="3"/>
  <c r="AI1538" i="3"/>
  <c r="AI1537" i="3"/>
  <c r="AI1536" i="3"/>
  <c r="AI1535" i="3"/>
  <c r="AI1532" i="3"/>
  <c r="AI1531" i="3"/>
  <c r="AI1529" i="3"/>
  <c r="AI1528" i="3"/>
  <c r="AI1527" i="3"/>
  <c r="AI1525" i="3"/>
  <c r="AI1524" i="3"/>
  <c r="AI1523" i="3"/>
  <c r="AI1522" i="3"/>
  <c r="AI1521" i="3"/>
  <c r="AI1520" i="3"/>
  <c r="AI1519" i="3"/>
  <c r="AI1518" i="3"/>
  <c r="AI1516" i="3"/>
  <c r="AI1515" i="3"/>
  <c r="AI1514" i="3"/>
  <c r="AI1513" i="3"/>
  <c r="AI1511" i="3"/>
  <c r="AI1509" i="3"/>
  <c r="AI1507" i="3"/>
  <c r="AI1506" i="3"/>
  <c r="AI1505" i="3"/>
  <c r="AI1504" i="3"/>
  <c r="AI1502" i="3"/>
  <c r="AI1501" i="3"/>
  <c r="AI1500" i="3"/>
  <c r="AI1499" i="3"/>
  <c r="AI1498" i="3"/>
  <c r="AI1495" i="3"/>
  <c r="AI1492" i="3"/>
  <c r="AI1491" i="3"/>
  <c r="AI1490" i="3"/>
  <c r="AI1489" i="3"/>
  <c r="AI1488" i="3"/>
  <c r="AI1487" i="3"/>
  <c r="AI1484" i="3"/>
  <c r="AI1483" i="3"/>
  <c r="AI1482" i="3"/>
  <c r="AI1481" i="3"/>
  <c r="AI1480" i="3"/>
  <c r="AI1479" i="3"/>
  <c r="AI1477" i="3"/>
  <c r="AI1476" i="3"/>
  <c r="AI1475" i="3"/>
  <c r="AI1473" i="3"/>
  <c r="AI1472" i="3"/>
  <c r="AI1471" i="3"/>
  <c r="AI1470" i="3"/>
  <c r="AI1469" i="3"/>
  <c r="AI1468" i="3"/>
  <c r="AI1467" i="3"/>
  <c r="AI1466" i="3"/>
  <c r="AI1461" i="3"/>
  <c r="AI1460" i="3"/>
  <c r="AI1459" i="3"/>
  <c r="AI1458" i="3"/>
  <c r="AI1457" i="3"/>
  <c r="AI1456" i="3"/>
  <c r="AI1455" i="3"/>
  <c r="AI1454" i="3"/>
  <c r="AI1453" i="3"/>
  <c r="AI1452" i="3"/>
  <c r="AI1451" i="3"/>
  <c r="AI1450" i="3"/>
  <c r="AI1448" i="3"/>
  <c r="AI1447" i="3"/>
  <c r="AI1446" i="3"/>
  <c r="AI1445" i="3"/>
  <c r="AI1444" i="3"/>
  <c r="AI1443" i="3"/>
  <c r="AI1442" i="3"/>
  <c r="AI1441" i="3"/>
  <c r="AI1440" i="3"/>
  <c r="AI1439" i="3"/>
  <c r="AI1438" i="3"/>
  <c r="AI1437" i="3"/>
  <c r="AI1436" i="3"/>
  <c r="AI1434" i="3"/>
  <c r="AI1433" i="3"/>
  <c r="AI1432" i="3"/>
  <c r="AI1431" i="3"/>
  <c r="AI1429" i="3"/>
  <c r="AI1428" i="3"/>
  <c r="AI1427" i="3"/>
  <c r="AI1426" i="3"/>
  <c r="AI1425" i="3"/>
  <c r="AI1423" i="3"/>
  <c r="AI1422" i="3"/>
  <c r="AI1421" i="3"/>
  <c r="AI1420" i="3"/>
  <c r="AI1419" i="3"/>
  <c r="AI1418" i="3"/>
  <c r="AI1415" i="3"/>
  <c r="AI1414" i="3"/>
  <c r="AI1413" i="3"/>
  <c r="AI1412" i="3"/>
  <c r="AI1411" i="3"/>
  <c r="AI1409" i="3"/>
  <c r="AI1408" i="3"/>
  <c r="AI1407" i="3"/>
  <c r="AI1406" i="3"/>
  <c r="AI1405" i="3"/>
  <c r="AI1404" i="3"/>
  <c r="AI1400" i="3"/>
  <c r="AI1399" i="3"/>
  <c r="AI1398" i="3"/>
  <c r="AI1397" i="3"/>
  <c r="AI1396" i="3"/>
  <c r="AI1395" i="3"/>
  <c r="AI1393" i="3"/>
  <c r="AI1392" i="3"/>
  <c r="AI1391" i="3"/>
  <c r="AI1389" i="3"/>
  <c r="AI1387" i="3"/>
  <c r="AI1386" i="3"/>
  <c r="AI1385" i="3"/>
  <c r="AI1384" i="3"/>
  <c r="AI1383" i="3"/>
  <c r="AI1382" i="3"/>
  <c r="AI1379" i="3"/>
  <c r="AI1377" i="3"/>
  <c r="AI1375" i="3"/>
  <c r="AI1374" i="3"/>
  <c r="AI1373" i="3"/>
  <c r="AI1372" i="3"/>
  <c r="AI1371" i="3"/>
  <c r="AI1370" i="3"/>
  <c r="AI1369" i="3"/>
  <c r="AI1368" i="3"/>
  <c r="AI1367" i="3"/>
  <c r="AI1366" i="3"/>
  <c r="AI1365" i="3"/>
  <c r="AI1363" i="3"/>
  <c r="AI1362" i="3"/>
  <c r="AI1361" i="3"/>
  <c r="AI1360" i="3"/>
  <c r="AI1359" i="3"/>
  <c r="AI1358" i="3"/>
  <c r="AI1355" i="3"/>
  <c r="AI1354" i="3"/>
  <c r="AI1353" i="3"/>
  <c r="AI1352" i="3"/>
  <c r="AI1351" i="3"/>
  <c r="AI1350" i="3"/>
  <c r="AI1349" i="3"/>
  <c r="AI1348" i="3"/>
  <c r="AI1345" i="3"/>
  <c r="AI1344" i="3"/>
  <c r="AI1343" i="3"/>
  <c r="AI1342" i="3"/>
  <c r="AI1341" i="3"/>
  <c r="AI1340" i="3"/>
  <c r="AI1339" i="3"/>
  <c r="AI1333" i="3"/>
  <c r="AI1330" i="3"/>
  <c r="AI1329" i="3"/>
  <c r="AI1328" i="3"/>
  <c r="AI1327" i="3"/>
  <c r="AI1326" i="3"/>
  <c r="AI1322" i="3"/>
  <c r="AI1321" i="3"/>
  <c r="AI1320" i="3"/>
  <c r="AI1319" i="3"/>
  <c r="AI1318" i="3"/>
  <c r="AI1317" i="3"/>
  <c r="AI1316" i="3"/>
  <c r="AI1314" i="3"/>
  <c r="AI1313" i="3"/>
  <c r="AI1311" i="3"/>
  <c r="AI1310" i="3"/>
  <c r="AI1307" i="3"/>
  <c r="AI1306" i="3"/>
  <c r="AI1303" i="3"/>
  <c r="AI1302" i="3"/>
  <c r="AI1301" i="3"/>
  <c r="AI1300" i="3"/>
  <c r="AI1299" i="3"/>
  <c r="AI1298" i="3"/>
  <c r="AI1297" i="3"/>
  <c r="AI1296" i="3"/>
  <c r="AI1295" i="3"/>
  <c r="AI1294" i="3"/>
  <c r="AI1293" i="3"/>
  <c r="AI1291" i="3"/>
  <c r="AI1289" i="3"/>
  <c r="AI1288" i="3"/>
  <c r="AI1287" i="3"/>
  <c r="AI1286" i="3"/>
  <c r="AI1285" i="3"/>
  <c r="AI1283" i="3"/>
  <c r="AI1282" i="3"/>
  <c r="AI1280" i="3"/>
  <c r="AI1279" i="3"/>
  <c r="AI1278" i="3"/>
  <c r="AI1277" i="3"/>
  <c r="AI1276" i="3"/>
  <c r="AI1275" i="3"/>
  <c r="AI1274" i="3"/>
  <c r="AI1273" i="3"/>
  <c r="AI1272" i="3"/>
  <c r="AI1271" i="3"/>
  <c r="AI1270" i="3"/>
  <c r="AI1268" i="3"/>
  <c r="AI1267" i="3"/>
  <c r="AI1266" i="3"/>
  <c r="AI1265" i="3"/>
  <c r="AI1264" i="3"/>
  <c r="AI1263" i="3"/>
  <c r="AI1262" i="3"/>
  <c r="AI1261" i="3"/>
  <c r="AI1258" i="3"/>
  <c r="AI1256" i="3"/>
  <c r="AI1255" i="3"/>
  <c r="AI1254" i="3"/>
  <c r="AI1253" i="3"/>
  <c r="AI1252" i="3"/>
  <c r="AI1251" i="3"/>
  <c r="AI1250" i="3"/>
  <c r="AI1249" i="3"/>
  <c r="AI1248" i="3"/>
  <c r="AI1247" i="3"/>
  <c r="AI1246" i="3"/>
  <c r="AI1245" i="3"/>
  <c r="AI1244" i="3"/>
  <c r="AI1243" i="3"/>
  <c r="AI1241" i="3"/>
  <c r="AI1240" i="3"/>
  <c r="AI1239" i="3"/>
  <c r="AI1237" i="3"/>
  <c r="AI1236" i="3"/>
  <c r="AI1235" i="3"/>
  <c r="AI1233" i="3"/>
  <c r="AI1232" i="3"/>
  <c r="AI1231" i="3"/>
  <c r="AI1230" i="3"/>
  <c r="AI1228" i="3"/>
  <c r="AI1227" i="3"/>
  <c r="AI1226" i="3"/>
  <c r="AI1224" i="3"/>
  <c r="AI1222" i="3"/>
  <c r="AI1221" i="3"/>
  <c r="AI1220" i="3"/>
  <c r="AI1219" i="3"/>
  <c r="AI1218" i="3"/>
  <c r="AI1217" i="3"/>
  <c r="AI1216" i="3"/>
  <c r="AI1215" i="3"/>
  <c r="AI1214" i="3"/>
  <c r="AI1213" i="3"/>
  <c r="AI1212" i="3"/>
  <c r="AI1211" i="3"/>
  <c r="AI1208" i="3"/>
  <c r="AI1206" i="3"/>
  <c r="AI1205" i="3"/>
  <c r="AI1204" i="3"/>
  <c r="AI1203" i="3"/>
  <c r="AI1202" i="3"/>
  <c r="AI1201" i="3"/>
  <c r="AI1199" i="3"/>
  <c r="AI1198" i="3"/>
  <c r="AI1197" i="3"/>
  <c r="AI1196" i="3"/>
  <c r="AI1194" i="3"/>
  <c r="AI1193" i="3"/>
  <c r="AI1192" i="3"/>
  <c r="AI1191" i="3"/>
  <c r="AI1190" i="3"/>
  <c r="AI1189" i="3"/>
  <c r="AI1186" i="3"/>
  <c r="AI1184" i="3"/>
  <c r="AI1183" i="3"/>
  <c r="AI1182" i="3"/>
  <c r="AI1181" i="3"/>
  <c r="AI1179" i="3"/>
  <c r="AI1177" i="3"/>
  <c r="AI1176" i="3"/>
  <c r="AI1175" i="3"/>
  <c r="AI1174" i="3"/>
  <c r="AI1173" i="3"/>
  <c r="AI1172" i="3"/>
  <c r="AI1171" i="3"/>
  <c r="AI1170" i="3"/>
  <c r="AI1165" i="3"/>
  <c r="AI1164" i="3"/>
  <c r="AI1161" i="3"/>
  <c r="AI1160" i="3"/>
  <c r="AI1159" i="3"/>
  <c r="AI1158" i="3"/>
  <c r="AI1156" i="3"/>
  <c r="AI1155" i="3"/>
  <c r="AI1154" i="3"/>
  <c r="AI1153" i="3"/>
  <c r="AI1152" i="3"/>
  <c r="AI1151" i="3"/>
  <c r="AI1150" i="3"/>
  <c r="AI1148" i="3"/>
  <c r="AI1147" i="3"/>
  <c r="AI1146" i="3"/>
  <c r="AI1145" i="3"/>
  <c r="AI1144" i="3"/>
  <c r="AI1143" i="3"/>
  <c r="AI1140" i="3"/>
  <c r="AI1139" i="3"/>
  <c r="AI1138" i="3"/>
  <c r="AI1137" i="3"/>
  <c r="AI1136" i="3"/>
  <c r="AI1135" i="3"/>
  <c r="AI1134" i="3"/>
  <c r="AI1132" i="3"/>
  <c r="AI1131" i="3"/>
  <c r="AI1130" i="3"/>
  <c r="AI1129" i="3"/>
  <c r="AI1128" i="3"/>
  <c r="AI1127" i="3"/>
  <c r="AI1126" i="3"/>
  <c r="AI1125" i="3"/>
  <c r="AI1124" i="3"/>
  <c r="AI1123" i="3"/>
  <c r="AI1118" i="3"/>
  <c r="AI1117" i="3"/>
  <c r="AI1116" i="3"/>
  <c r="AI1115" i="3"/>
  <c r="AI1114" i="3"/>
  <c r="AI1113" i="3"/>
  <c r="AI1112" i="3"/>
  <c r="AI1109" i="3"/>
  <c r="AI1105" i="3"/>
  <c r="AI1101" i="3"/>
  <c r="AI1100" i="3"/>
  <c r="AI1099" i="3"/>
  <c r="AI1098" i="3"/>
  <c r="AI1097" i="3"/>
  <c r="AI1094" i="3"/>
  <c r="AI1093" i="3"/>
  <c r="AI1092" i="3"/>
  <c r="AI1089" i="3"/>
  <c r="AI1088" i="3"/>
  <c r="AI1087" i="3"/>
  <c r="AI1083" i="3"/>
  <c r="AI1080" i="3"/>
  <c r="AI1077" i="3"/>
  <c r="AI1076" i="3"/>
  <c r="AI1074" i="3"/>
  <c r="AI1073" i="3"/>
  <c r="AI1072" i="3"/>
  <c r="AI1071" i="3"/>
  <c r="AI1070" i="3"/>
  <c r="AI1069" i="3"/>
  <c r="AI1068" i="3"/>
  <c r="AI1067" i="3"/>
  <c r="AI1065" i="3"/>
  <c r="AI1064" i="3"/>
  <c r="AI1063" i="3"/>
  <c r="AI1062" i="3"/>
  <c r="AI1060" i="3"/>
  <c r="AI1059" i="3"/>
  <c r="AI1057" i="3"/>
  <c r="AI1055" i="3"/>
  <c r="AI1054" i="3"/>
  <c r="AI1053" i="3"/>
  <c r="AI1052" i="3"/>
  <c r="AI1051" i="3"/>
  <c r="AI1050" i="3"/>
  <c r="AI1049" i="3"/>
  <c r="AI1048" i="3"/>
  <c r="AI1046" i="3"/>
  <c r="AI1041" i="3"/>
  <c r="AI1040" i="3"/>
  <c r="AI1039" i="3"/>
  <c r="AI1038" i="3"/>
  <c r="AI1037" i="3"/>
  <c r="AI1035" i="3"/>
  <c r="AI1033" i="3"/>
  <c r="AI1032" i="3"/>
  <c r="AI1031" i="3"/>
  <c r="AI1029" i="3"/>
  <c r="AI1028" i="3"/>
  <c r="AI1027" i="3"/>
  <c r="AI1026" i="3"/>
  <c r="AI1025" i="3"/>
  <c r="AI1024" i="3"/>
  <c r="AI1023" i="3"/>
  <c r="AI1022" i="3"/>
  <c r="AI1021" i="3"/>
  <c r="AI1020" i="3"/>
  <c r="AI1018" i="3"/>
  <c r="AI1017" i="3"/>
  <c r="AI1016" i="3"/>
  <c r="AI1015" i="3"/>
  <c r="AI1014" i="3"/>
  <c r="AI1012" i="3"/>
  <c r="AI1011" i="3"/>
  <c r="AI1010" i="3"/>
  <c r="AI1007" i="3"/>
  <c r="AI1006" i="3"/>
  <c r="AI1005" i="3"/>
  <c r="AI1004" i="3"/>
  <c r="AI1002" i="3"/>
  <c r="AI1001" i="3"/>
  <c r="AI1000" i="3"/>
  <c r="AI999" i="3"/>
  <c r="AI998" i="3"/>
  <c r="AI997" i="3"/>
  <c r="AI996" i="3"/>
  <c r="AI995" i="3"/>
  <c r="AI994" i="3"/>
  <c r="AI991" i="3"/>
  <c r="AI990" i="3"/>
  <c r="AI986" i="3"/>
  <c r="AI985" i="3"/>
  <c r="AI984" i="3"/>
  <c r="AI983" i="3"/>
  <c r="AI982" i="3"/>
  <c r="AI981" i="3"/>
  <c r="AI980" i="3"/>
  <c r="AI979" i="3"/>
  <c r="AI978" i="3"/>
  <c r="AI976" i="3"/>
  <c r="AI975" i="3"/>
  <c r="AI974" i="3"/>
  <c r="AI973" i="3"/>
  <c r="AI972" i="3"/>
  <c r="AI971" i="3"/>
  <c r="AI969" i="3"/>
  <c r="AI968" i="3"/>
  <c r="AI967" i="3"/>
  <c r="AI966" i="3"/>
  <c r="AI964" i="3"/>
  <c r="AI963" i="3"/>
  <c r="AI962" i="3"/>
  <c r="AI959" i="3"/>
  <c r="AI958" i="3"/>
  <c r="AI957" i="3"/>
  <c r="AI956" i="3"/>
  <c r="AI955" i="3"/>
  <c r="AI953" i="3"/>
  <c r="AI952" i="3"/>
  <c r="AI951" i="3"/>
  <c r="AI950" i="3"/>
  <c r="AI947" i="3"/>
  <c r="AI946" i="3"/>
  <c r="AI942" i="3"/>
  <c r="AI941" i="3"/>
  <c r="AI940" i="3"/>
  <c r="AI939" i="3"/>
  <c r="AI938" i="3"/>
  <c r="AI937" i="3"/>
  <c r="AI935" i="3"/>
  <c r="AI934" i="3"/>
  <c r="AI932" i="3"/>
  <c r="AI931" i="3"/>
  <c r="AI930" i="3"/>
  <c r="AI929" i="3"/>
  <c r="AI928" i="3"/>
  <c r="AI927" i="3"/>
  <c r="AI926" i="3"/>
  <c r="AI925" i="3"/>
  <c r="AI924" i="3"/>
  <c r="AI923" i="3"/>
  <c r="AI922" i="3"/>
  <c r="AI921" i="3"/>
  <c r="AI920" i="3"/>
  <c r="AI919" i="3"/>
  <c r="AI918" i="3"/>
  <c r="AI917" i="3"/>
  <c r="AI916" i="3"/>
  <c r="AI915" i="3"/>
  <c r="AI914" i="3"/>
  <c r="AI912" i="3"/>
  <c r="AI911" i="3"/>
  <c r="AI910" i="3"/>
  <c r="AI909" i="3"/>
  <c r="AI907" i="3"/>
  <c r="AI905" i="3"/>
  <c r="AI904" i="3"/>
  <c r="AI903" i="3"/>
  <c r="AI902" i="3"/>
  <c r="AI901" i="3"/>
  <c r="AI900" i="3"/>
  <c r="AI899" i="3"/>
  <c r="AI897" i="3"/>
  <c r="AI896" i="3"/>
  <c r="AI895" i="3"/>
  <c r="AI894" i="3"/>
  <c r="AI893" i="3"/>
  <c r="AI892" i="3"/>
  <c r="AI891" i="3"/>
  <c r="AI890" i="3"/>
  <c r="AI889" i="3"/>
  <c r="AI888" i="3"/>
  <c r="AI886" i="3"/>
  <c r="AI885" i="3"/>
  <c r="AI884" i="3"/>
  <c r="AI883" i="3"/>
  <c r="AI881" i="3"/>
  <c r="AI880" i="3"/>
  <c r="AI878" i="3"/>
  <c r="AI877" i="3"/>
  <c r="AI876" i="3"/>
  <c r="AI875" i="3"/>
  <c r="AI871" i="3"/>
  <c r="AI866" i="3"/>
  <c r="AI865" i="3"/>
  <c r="AI864" i="3"/>
  <c r="AI863" i="3"/>
  <c r="AI861" i="3"/>
  <c r="AI858" i="3"/>
  <c r="AI857" i="3"/>
  <c r="AI855" i="3"/>
  <c r="AI854" i="3"/>
  <c r="AI853" i="3"/>
  <c r="AI852" i="3"/>
  <c r="AI851" i="3"/>
  <c r="AI850" i="3"/>
  <c r="AI849" i="3"/>
  <c r="AI848" i="3"/>
  <c r="AI847" i="3"/>
  <c r="AI845" i="3"/>
  <c r="AI844" i="3"/>
  <c r="AI843" i="3"/>
  <c r="AI841" i="3"/>
  <c r="AI840" i="3"/>
  <c r="AI839" i="3"/>
  <c r="AI838" i="3"/>
  <c r="AI836" i="3"/>
  <c r="AI832" i="3"/>
  <c r="AI831" i="3"/>
  <c r="AI830" i="3"/>
  <c r="AI829" i="3"/>
  <c r="AI828" i="3"/>
  <c r="AI827" i="3"/>
  <c r="AI826" i="3"/>
  <c r="AI825" i="3"/>
  <c r="AI824" i="3"/>
  <c r="AI822" i="3"/>
  <c r="AI821" i="3"/>
  <c r="AI819" i="3"/>
  <c r="AI817" i="3"/>
  <c r="AI816" i="3"/>
  <c r="AI815" i="3"/>
  <c r="AI814" i="3"/>
  <c r="AI813" i="3"/>
  <c r="AI808" i="3"/>
  <c r="AI806" i="3"/>
  <c r="AI805" i="3"/>
  <c r="AI802" i="3"/>
  <c r="AI801" i="3"/>
  <c r="AI800" i="3"/>
  <c r="AI798" i="3"/>
  <c r="AI797" i="3"/>
  <c r="AI796" i="3"/>
  <c r="AI795" i="3"/>
  <c r="AI794" i="3"/>
  <c r="AI793" i="3"/>
  <c r="AI792" i="3"/>
  <c r="AI791" i="3"/>
  <c r="AI790" i="3"/>
  <c r="AI789" i="3"/>
  <c r="AI788" i="3"/>
  <c r="AI786" i="3"/>
  <c r="AI785" i="3"/>
  <c r="AI783" i="3"/>
  <c r="AI782" i="3"/>
  <c r="AI781" i="3"/>
  <c r="AI780" i="3"/>
  <c r="AI779" i="3"/>
  <c r="AI778" i="3"/>
  <c r="AI776" i="3"/>
  <c r="AI775" i="3"/>
  <c r="AI773" i="3"/>
  <c r="AI772" i="3"/>
  <c r="AI771" i="3"/>
  <c r="AI770" i="3"/>
  <c r="AI768" i="3"/>
  <c r="AI766" i="3"/>
  <c r="AI765" i="3"/>
  <c r="AI764" i="3"/>
  <c r="AI763" i="3"/>
  <c r="AI762" i="3"/>
  <c r="AI761" i="3"/>
  <c r="AI760" i="3"/>
  <c r="AI759" i="3"/>
  <c r="AI758" i="3"/>
  <c r="AI756" i="3"/>
  <c r="AI750" i="3"/>
  <c r="AI748" i="3"/>
  <c r="AI747" i="3"/>
  <c r="AI746" i="3"/>
  <c r="AI745" i="3"/>
  <c r="AI744" i="3"/>
  <c r="AI743" i="3"/>
  <c r="AI742" i="3"/>
  <c r="AI741" i="3"/>
  <c r="AI739" i="3"/>
  <c r="AI738" i="3"/>
  <c r="AI737" i="3"/>
  <c r="AI735" i="3"/>
  <c r="AI734" i="3"/>
  <c r="AI733" i="3"/>
  <c r="AI730" i="3"/>
  <c r="AI728" i="3"/>
  <c r="AI727" i="3"/>
  <c r="AI726" i="3"/>
  <c r="AI724" i="3"/>
  <c r="AI723" i="3"/>
  <c r="AI722" i="3"/>
  <c r="AI721" i="3"/>
  <c r="AI720" i="3"/>
  <c r="AI719" i="3"/>
  <c r="AI718" i="3"/>
  <c r="AI717" i="3"/>
  <c r="AI716" i="3"/>
  <c r="AI715" i="3"/>
  <c r="AI714" i="3"/>
  <c r="AI713" i="3"/>
  <c r="AI712" i="3"/>
  <c r="AI709" i="3"/>
  <c r="AI708" i="3"/>
  <c r="AI707" i="3"/>
  <c r="AI706" i="3"/>
  <c r="AI704" i="3"/>
  <c r="AI703" i="3"/>
  <c r="AI702" i="3"/>
  <c r="AI700" i="3"/>
  <c r="AI699" i="3"/>
  <c r="AI698" i="3"/>
  <c r="AI697" i="3"/>
  <c r="AI692" i="3"/>
  <c r="AI691" i="3"/>
  <c r="AI689" i="3"/>
  <c r="AI688" i="3"/>
  <c r="AI687" i="3"/>
  <c r="AI685" i="3"/>
  <c r="AI684" i="3"/>
  <c r="AI683" i="3"/>
  <c r="AI682" i="3"/>
  <c r="AI681" i="3"/>
  <c r="AI680" i="3"/>
  <c r="AI678" i="3"/>
  <c r="AI677" i="3"/>
  <c r="AI676" i="3"/>
  <c r="AI673" i="3"/>
  <c r="AI672" i="3"/>
  <c r="AI670" i="3"/>
  <c r="AI669" i="3"/>
  <c r="AI668" i="3"/>
  <c r="AI667" i="3"/>
  <c r="AI666" i="3"/>
  <c r="AI665" i="3"/>
  <c r="AI664" i="3"/>
  <c r="AI663" i="3"/>
  <c r="AI661" i="3"/>
  <c r="AI660" i="3"/>
  <c r="AI659" i="3"/>
  <c r="AI655" i="3"/>
  <c r="AI654" i="3"/>
  <c r="AI653" i="3"/>
  <c r="AI652" i="3"/>
  <c r="AI650" i="3"/>
  <c r="AI649" i="3"/>
  <c r="AI645" i="3"/>
  <c r="AI644" i="3"/>
  <c r="AI642" i="3"/>
  <c r="AI641" i="3"/>
  <c r="AI639" i="3"/>
  <c r="AI638" i="3"/>
  <c r="AI636" i="3"/>
  <c r="AI635" i="3"/>
  <c r="AI634" i="3"/>
  <c r="AI633" i="3"/>
  <c r="AI632" i="3"/>
  <c r="AI631" i="3"/>
  <c r="AI630" i="3"/>
  <c r="AI629" i="3"/>
  <c r="AI627" i="3"/>
  <c r="AI626" i="3"/>
  <c r="AI625" i="3"/>
  <c r="AI624" i="3"/>
  <c r="AI623" i="3"/>
  <c r="AI620" i="3"/>
  <c r="AI618" i="3"/>
  <c r="AI617" i="3"/>
  <c r="AI615" i="3"/>
  <c r="AI614" i="3"/>
  <c r="AI613" i="3"/>
  <c r="AI611" i="3"/>
  <c r="AI610" i="3"/>
  <c r="AI609" i="3"/>
  <c r="AI608" i="3"/>
  <c r="AI607" i="3"/>
  <c r="AI606" i="3"/>
  <c r="AI605" i="3"/>
  <c r="AI604" i="3"/>
  <c r="AI603" i="3"/>
  <c r="AI601" i="3"/>
  <c r="AI600" i="3"/>
  <c r="AI599" i="3"/>
  <c r="AI597" i="3"/>
  <c r="AI596" i="3"/>
  <c r="AI595" i="3"/>
  <c r="AI594" i="3"/>
  <c r="AI593" i="3"/>
  <c r="AI590" i="3"/>
  <c r="AI589" i="3"/>
  <c r="AI586" i="3"/>
  <c r="AI585" i="3"/>
  <c r="AI584" i="3"/>
  <c r="AI581" i="3"/>
  <c r="AI580" i="3"/>
  <c r="AI579" i="3"/>
  <c r="AI578" i="3"/>
  <c r="AI577" i="3"/>
  <c r="AI576" i="3"/>
  <c r="AI575" i="3"/>
  <c r="AI574" i="3"/>
  <c r="AI573" i="3"/>
  <c r="AI568" i="3"/>
  <c r="AI567" i="3"/>
  <c r="AI566" i="3"/>
  <c r="AI564" i="3"/>
  <c r="AI563" i="3"/>
  <c r="AI560" i="3"/>
  <c r="AI559" i="3"/>
  <c r="AI558" i="3"/>
  <c r="AI556" i="3"/>
  <c r="AI555" i="3"/>
  <c r="AI554" i="3"/>
  <c r="AI553" i="3"/>
  <c r="AI552" i="3"/>
  <c r="AI550" i="3"/>
  <c r="AI549" i="3"/>
  <c r="AI547" i="3"/>
  <c r="AI545" i="3"/>
  <c r="AI544" i="3"/>
  <c r="AI543" i="3"/>
  <c r="AI541" i="3"/>
  <c r="AI540" i="3"/>
  <c r="AI538" i="3"/>
  <c r="AI536" i="3"/>
  <c r="AI535" i="3"/>
  <c r="AI534" i="3"/>
  <c r="AI533" i="3"/>
  <c r="AI532" i="3"/>
  <c r="AI531" i="3"/>
  <c r="AI530" i="3"/>
  <c r="AI528" i="3"/>
  <c r="AI527" i="3"/>
  <c r="AI526" i="3"/>
  <c r="AI524" i="3"/>
  <c r="AI523" i="3"/>
  <c r="AI522" i="3"/>
  <c r="AI521" i="3"/>
  <c r="AI520" i="3"/>
  <c r="AI517" i="3"/>
  <c r="AI516" i="3"/>
  <c r="AI515" i="3"/>
  <c r="AI512" i="3"/>
  <c r="AI511" i="3"/>
  <c r="AI510" i="3"/>
  <c r="AI508" i="3"/>
  <c r="AI507" i="3"/>
  <c r="AI506" i="3"/>
  <c r="AI505" i="3"/>
  <c r="AI504" i="3"/>
  <c r="AI503" i="3"/>
  <c r="AI502" i="3"/>
  <c r="AI501" i="3"/>
  <c r="AI500" i="3"/>
  <c r="AI499" i="3"/>
  <c r="AI498" i="3"/>
  <c r="AI497" i="3"/>
  <c r="AI494" i="3"/>
  <c r="AI492" i="3"/>
  <c r="AI491" i="3"/>
  <c r="AI490" i="3"/>
  <c r="AI489" i="3"/>
  <c r="AI486" i="3"/>
  <c r="AI483" i="3"/>
  <c r="AI482" i="3"/>
  <c r="AI481" i="3"/>
  <c r="AI480" i="3"/>
  <c r="AI479" i="3"/>
  <c r="AI478" i="3"/>
  <c r="AI477" i="3"/>
  <c r="AI474" i="3"/>
  <c r="AI473" i="3"/>
  <c r="AI471" i="3"/>
  <c r="AI470" i="3"/>
  <c r="AI468" i="3"/>
  <c r="AI466" i="3"/>
  <c r="AI465" i="3"/>
  <c r="AI464" i="3"/>
  <c r="AI463" i="3"/>
  <c r="AI462" i="3"/>
  <c r="AI461" i="3"/>
  <c r="AI460" i="3"/>
  <c r="AI458" i="3"/>
  <c r="AI457" i="3"/>
  <c r="AI454" i="3"/>
  <c r="AI453" i="3"/>
  <c r="AI452" i="3"/>
  <c r="AI451" i="3"/>
  <c r="AI449" i="3"/>
  <c r="AI448" i="3"/>
  <c r="AI447" i="3"/>
  <c r="AI446" i="3"/>
  <c r="AI445" i="3"/>
  <c r="AI441" i="3"/>
  <c r="AI440" i="3"/>
  <c r="AI439" i="3"/>
  <c r="AI437" i="3"/>
  <c r="AI436" i="3"/>
  <c r="AI435" i="3"/>
  <c r="AI434" i="3"/>
  <c r="AI431" i="3"/>
  <c r="AI429" i="3"/>
  <c r="AI427" i="3"/>
  <c r="AI425" i="3"/>
  <c r="AI424" i="3"/>
  <c r="AI423" i="3"/>
  <c r="AI422" i="3"/>
  <c r="AI421" i="3"/>
  <c r="AI420" i="3"/>
  <c r="AI419" i="3"/>
  <c r="AI418" i="3"/>
  <c r="AI417" i="3"/>
  <c r="AI416" i="3"/>
  <c r="AI414" i="3"/>
  <c r="AI413" i="3"/>
  <c r="AI412" i="3"/>
  <c r="AI411" i="3"/>
  <c r="AI410" i="3"/>
  <c r="AI409" i="3"/>
  <c r="AI408" i="3"/>
  <c r="AI405" i="3"/>
  <c r="AI404" i="3"/>
  <c r="AI403" i="3"/>
  <c r="AI402" i="3"/>
  <c r="AI401" i="3"/>
  <c r="AI399" i="3"/>
  <c r="AI398" i="3"/>
  <c r="AI397" i="3"/>
  <c r="AI395" i="3"/>
  <c r="AI386" i="3"/>
  <c r="AI385" i="3"/>
  <c r="AI384" i="3"/>
  <c r="AI382" i="3"/>
  <c r="AI381" i="3"/>
  <c r="AI380" i="3"/>
  <c r="AI379" i="3"/>
  <c r="AI378" i="3"/>
  <c r="AI377" i="3"/>
  <c r="AI376" i="3"/>
  <c r="AI375" i="3"/>
  <c r="AI374" i="3"/>
  <c r="AI373" i="3"/>
  <c r="AI372" i="3"/>
  <c r="AI371" i="3"/>
  <c r="AI370" i="3"/>
  <c r="AI369" i="3"/>
  <c r="AI368" i="3"/>
  <c r="AI367" i="3"/>
  <c r="AI366" i="3"/>
  <c r="AI365" i="3"/>
  <c r="AI364" i="3"/>
  <c r="AI363" i="3"/>
  <c r="AI362" i="3"/>
  <c r="AI360" i="3"/>
  <c r="AI358" i="3"/>
  <c r="AI357" i="3"/>
  <c r="AI356" i="3"/>
  <c r="AI353" i="3"/>
  <c r="AI352" i="3"/>
  <c r="AI351" i="3"/>
  <c r="AI349" i="3"/>
  <c r="AI348" i="3"/>
  <c r="AI345" i="3"/>
  <c r="AI341" i="3"/>
  <c r="AI338" i="3"/>
  <c r="AI333" i="3"/>
  <c r="AI332" i="3"/>
  <c r="AI331" i="3"/>
  <c r="AI330" i="3"/>
  <c r="AI329" i="3"/>
  <c r="AI328" i="3"/>
  <c r="AI326" i="3"/>
  <c r="AI325" i="3"/>
  <c r="AI324" i="3"/>
  <c r="AI323" i="3"/>
  <c r="AI321" i="3"/>
  <c r="AI320" i="3"/>
  <c r="AI318" i="3"/>
  <c r="AI317" i="3"/>
  <c r="AI316" i="3"/>
  <c r="AI315" i="3"/>
  <c r="AI314" i="3"/>
  <c r="AI313" i="3"/>
  <c r="AI311" i="3"/>
  <c r="AI310" i="3"/>
  <c r="AI309" i="3"/>
  <c r="AI307" i="3"/>
  <c r="AI306" i="3"/>
  <c r="AI305" i="3"/>
  <c r="AI304" i="3"/>
  <c r="AI303" i="3"/>
  <c r="AI302" i="3"/>
  <c r="AI301" i="3"/>
  <c r="AI300" i="3"/>
  <c r="AI299" i="3"/>
  <c r="AI298" i="3"/>
  <c r="AI297" i="3"/>
  <c r="AI296" i="3"/>
  <c r="AI295" i="3"/>
  <c r="AI294" i="3"/>
  <c r="AI293" i="3"/>
  <c r="AI292" i="3"/>
  <c r="AI291" i="3"/>
  <c r="AI290" i="3"/>
  <c r="AI289" i="3"/>
  <c r="AI288" i="3"/>
  <c r="AI287" i="3"/>
  <c r="AI286" i="3"/>
  <c r="AI284" i="3"/>
  <c r="AI282" i="3"/>
  <c r="AI281" i="3"/>
  <c r="AI280" i="3"/>
  <c r="AI278" i="3"/>
  <c r="AI276" i="3"/>
  <c r="AI275" i="3"/>
  <c r="AI274" i="3"/>
  <c r="AI273" i="3"/>
  <c r="AI272" i="3"/>
  <c r="AI271" i="3"/>
  <c r="AI269" i="3"/>
  <c r="AI268" i="3"/>
  <c r="AI267" i="3"/>
  <c r="AI264" i="3"/>
  <c r="AI263" i="3"/>
  <c r="AI262" i="3"/>
  <c r="AI259" i="3"/>
  <c r="AI258" i="3"/>
  <c r="AI255" i="3"/>
  <c r="AI254" i="3"/>
  <c r="AI253" i="3"/>
  <c r="AI251" i="3"/>
  <c r="AI250" i="3"/>
  <c r="AI249" i="3"/>
  <c r="AI248" i="3"/>
  <c r="AI247" i="3"/>
  <c r="AI246" i="3"/>
  <c r="AI244" i="3"/>
  <c r="AI242" i="3"/>
  <c r="AI241" i="3"/>
  <c r="AI240" i="3"/>
  <c r="AI239" i="3"/>
  <c r="AI238" i="3"/>
  <c r="AI236" i="3"/>
  <c r="AI235" i="3"/>
  <c r="AI234" i="3"/>
  <c r="AI233" i="3"/>
  <c r="AI232" i="3"/>
  <c r="AI227" i="3"/>
  <c r="AI226" i="3"/>
  <c r="AI224" i="3"/>
  <c r="AI222" i="3"/>
  <c r="AI221" i="3"/>
  <c r="AI220" i="3"/>
  <c r="AI218" i="3"/>
  <c r="AI217" i="3"/>
  <c r="AI216" i="3"/>
  <c r="AI214" i="3"/>
  <c r="AI213" i="3"/>
  <c r="AI212" i="3"/>
  <c r="AI210" i="3"/>
  <c r="AI208" i="3"/>
  <c r="AI206" i="3"/>
  <c r="AI204" i="3"/>
  <c r="AI203" i="3"/>
  <c r="AI201" i="3"/>
  <c r="AI200" i="3"/>
  <c r="AI199" i="3"/>
  <c r="AI198" i="3"/>
  <c r="AI197" i="3"/>
  <c r="AI195" i="3"/>
  <c r="AI194" i="3"/>
  <c r="AI193" i="3"/>
  <c r="AI192" i="3"/>
  <c r="AI191" i="3"/>
  <c r="AI190" i="3"/>
  <c r="AI188" i="3"/>
  <c r="AI187" i="3"/>
  <c r="AI186" i="3"/>
  <c r="AI184" i="3"/>
  <c r="AI183" i="3"/>
  <c r="AI182" i="3"/>
  <c r="AI181" i="3"/>
  <c r="AI177" i="3"/>
  <c r="AI176" i="3"/>
  <c r="AI173" i="3"/>
  <c r="AI172" i="3"/>
  <c r="AI171" i="3"/>
  <c r="AI170" i="3"/>
  <c r="AI169" i="3"/>
  <c r="AI168" i="3"/>
  <c r="AI166" i="3"/>
  <c r="AI165" i="3"/>
  <c r="AI162" i="3"/>
  <c r="AI161" i="3"/>
  <c r="AI159" i="3"/>
  <c r="AI158" i="3"/>
  <c r="AI156" i="3"/>
  <c r="AI155" i="3"/>
  <c r="AI154" i="3"/>
  <c r="AI153" i="3"/>
  <c r="AI152" i="3"/>
  <c r="AI151" i="3"/>
  <c r="AI149" i="3"/>
  <c r="AI148" i="3"/>
  <c r="AI147" i="3"/>
  <c r="AI143" i="3"/>
  <c r="AI142" i="3"/>
  <c r="AI140" i="3"/>
  <c r="AI138" i="3"/>
  <c r="AI137" i="3"/>
  <c r="AI136" i="3"/>
  <c r="AI133" i="3"/>
  <c r="AI132" i="3"/>
  <c r="AI131" i="3"/>
  <c r="AI128" i="3"/>
  <c r="AI127" i="3"/>
  <c r="AI125" i="3"/>
  <c r="AI124" i="3"/>
  <c r="AI122" i="3"/>
  <c r="AI121" i="3"/>
  <c r="AI120" i="3"/>
  <c r="AI119" i="3"/>
  <c r="AI118" i="3"/>
  <c r="AI117" i="3"/>
  <c r="AI114" i="3"/>
  <c r="AI110" i="3"/>
  <c r="AI109" i="3"/>
  <c r="AI107" i="3"/>
  <c r="AI106" i="3"/>
  <c r="AI103" i="3"/>
  <c r="AI101" i="3"/>
  <c r="AI100" i="3"/>
  <c r="AI99" i="3"/>
  <c r="AI96" i="3"/>
  <c r="AI95" i="3"/>
  <c r="AI94" i="3"/>
  <c r="AI92" i="3"/>
  <c r="AI91" i="3"/>
  <c r="AI90" i="3"/>
  <c r="AI89" i="3"/>
  <c r="AI87" i="3"/>
  <c r="AI86" i="3"/>
  <c r="AI84" i="3"/>
  <c r="AI83" i="3"/>
  <c r="AI82" i="3"/>
  <c r="AI81" i="3"/>
  <c r="AI80" i="3"/>
  <c r="AI79" i="3"/>
  <c r="AI78" i="3"/>
  <c r="AI77" i="3"/>
  <c r="AI75" i="3"/>
  <c r="AI74" i="3"/>
  <c r="AI73" i="3"/>
  <c r="AI72" i="3"/>
  <c r="AI71" i="3"/>
  <c r="AI69" i="3"/>
  <c r="AI68" i="3"/>
  <c r="AI67" i="3"/>
  <c r="AI65" i="3"/>
  <c r="AI62" i="3"/>
  <c r="AI60" i="3"/>
  <c r="AI59" i="3"/>
  <c r="AI57" i="3"/>
  <c r="AI56" i="3"/>
  <c r="AI55" i="3"/>
  <c r="AI53" i="3"/>
  <c r="AI52" i="3"/>
  <c r="AI50" i="3"/>
  <c r="AI49" i="3"/>
  <c r="AI48" i="3"/>
  <c r="AI47" i="3"/>
  <c r="AI46" i="3"/>
  <c r="AI45" i="3"/>
  <c r="AI44" i="3"/>
  <c r="AI43" i="3"/>
  <c r="AI42" i="3"/>
  <c r="AI41" i="3"/>
  <c r="AI39" i="3"/>
  <c r="AI38" i="3"/>
  <c r="AI37" i="3"/>
  <c r="AI36" i="3"/>
  <c r="AI34" i="3"/>
  <c r="AI33" i="3"/>
  <c r="AI32" i="3"/>
  <c r="AI31" i="3"/>
  <c r="AI30" i="3"/>
  <c r="AI29" i="3"/>
  <c r="AI28" i="3"/>
  <c r="AI27" i="3"/>
  <c r="AI26" i="3"/>
  <c r="AI24" i="3"/>
  <c r="AI23" i="3"/>
  <c r="AI22" i="3"/>
  <c r="AI21" i="3"/>
  <c r="AI20" i="3"/>
  <c r="AI15" i="3"/>
  <c r="AI14" i="3"/>
  <c r="AI13" i="3"/>
  <c r="AI12" i="3"/>
  <c r="AI10" i="3"/>
  <c r="AI9" i="3"/>
  <c r="AI8" i="3"/>
  <c r="AI7" i="3"/>
  <c r="AI6" i="3"/>
  <c r="AI5" i="3"/>
  <c r="AI4" i="3"/>
  <c r="AJ2401" i="3"/>
  <c r="AJ2400" i="3"/>
  <c r="AJ2399" i="3"/>
  <c r="AJ2398" i="3"/>
  <c r="AJ2397" i="3"/>
  <c r="AJ2396" i="3"/>
  <c r="AJ2395" i="3"/>
  <c r="AJ2392" i="3"/>
  <c r="AJ2391" i="3"/>
  <c r="AJ2390" i="3"/>
  <c r="AJ2389" i="3"/>
  <c r="AJ2386" i="3"/>
  <c r="AJ2385" i="3"/>
  <c r="AJ2384" i="3"/>
  <c r="AJ2383" i="3"/>
  <c r="AJ2382" i="3"/>
  <c r="AJ2381" i="3"/>
  <c r="AJ2380" i="3"/>
  <c r="AJ2379" i="3"/>
  <c r="AJ2378" i="3"/>
  <c r="AJ2376" i="3"/>
  <c r="AJ2374" i="3"/>
  <c r="AJ2372" i="3"/>
  <c r="AJ2370" i="3"/>
  <c r="AJ2368" i="3"/>
  <c r="AJ2367" i="3"/>
  <c r="AJ2365" i="3"/>
  <c r="AJ2364" i="3"/>
  <c r="AJ2363" i="3"/>
  <c r="AJ2361" i="3"/>
  <c r="AJ2360" i="3"/>
  <c r="AJ2359" i="3"/>
  <c r="AJ2358" i="3"/>
  <c r="AJ2354" i="3"/>
  <c r="AJ2352" i="3"/>
  <c r="AJ2351" i="3"/>
  <c r="AJ2350" i="3"/>
  <c r="AJ2348" i="3"/>
  <c r="AJ2346" i="3"/>
  <c r="AJ2345" i="3"/>
  <c r="AJ2344" i="3"/>
  <c r="AJ2342" i="3"/>
  <c r="AJ2341" i="3"/>
  <c r="AJ2340" i="3"/>
  <c r="AJ2339" i="3"/>
  <c r="AJ2338" i="3"/>
  <c r="AJ2337" i="3"/>
  <c r="AJ2336" i="3"/>
  <c r="AJ2335" i="3"/>
  <c r="AJ2334" i="3"/>
  <c r="AJ2333" i="3"/>
  <c r="AJ2332" i="3"/>
  <c r="AJ2329" i="3"/>
  <c r="AJ2327" i="3"/>
  <c r="AJ2326" i="3"/>
  <c r="AJ2325" i="3"/>
  <c r="AJ2324" i="3"/>
  <c r="AJ2322" i="3"/>
  <c r="AJ2321" i="3"/>
  <c r="AJ2320" i="3"/>
  <c r="AJ2319" i="3"/>
  <c r="AJ2318" i="3"/>
  <c r="AJ2317" i="3"/>
  <c r="AJ2316" i="3"/>
  <c r="AJ2315" i="3"/>
  <c r="AJ2313" i="3"/>
  <c r="AJ2311" i="3"/>
  <c r="AJ2310" i="3"/>
  <c r="AJ2309" i="3"/>
  <c r="AJ2308" i="3"/>
  <c r="AJ2307" i="3"/>
  <c r="AJ2306" i="3"/>
  <c r="AJ2305" i="3"/>
  <c r="AJ2303" i="3"/>
  <c r="AJ2301" i="3"/>
  <c r="AJ2300" i="3"/>
  <c r="AJ2299" i="3"/>
  <c r="AJ2298" i="3"/>
  <c r="AJ2297" i="3"/>
  <c r="AJ2296" i="3"/>
  <c r="AJ2293" i="3"/>
  <c r="AJ2292" i="3"/>
  <c r="AJ2291" i="3"/>
  <c r="AJ2290" i="3"/>
  <c r="AJ2289" i="3"/>
  <c r="AJ2288" i="3"/>
  <c r="AJ2287" i="3"/>
  <c r="AJ2285" i="3"/>
  <c r="AJ2283" i="3"/>
  <c r="AJ2282" i="3"/>
  <c r="AJ2280" i="3"/>
  <c r="AJ2279" i="3"/>
  <c r="AJ2278" i="3"/>
  <c r="AJ2277" i="3"/>
  <c r="AJ2276" i="3"/>
  <c r="AJ2275" i="3"/>
  <c r="AJ2274" i="3"/>
  <c r="AJ2273" i="3"/>
  <c r="AJ2272" i="3"/>
  <c r="AJ2270" i="3"/>
  <c r="AJ2269" i="3"/>
  <c r="AJ2268" i="3"/>
  <c r="AJ2267" i="3"/>
  <c r="AJ2266" i="3"/>
  <c r="AJ2265" i="3"/>
  <c r="AJ2264" i="3"/>
  <c r="AJ2262" i="3"/>
  <c r="AJ2258" i="3"/>
  <c r="AJ2257" i="3"/>
  <c r="AJ2256" i="3"/>
  <c r="AJ2254" i="3"/>
  <c r="AJ2253" i="3"/>
  <c r="AJ2252" i="3"/>
  <c r="AJ2251" i="3"/>
  <c r="AJ2247" i="3"/>
  <c r="AJ2246" i="3"/>
  <c r="AJ2245" i="3"/>
  <c r="AJ2244" i="3"/>
  <c r="AJ2242" i="3"/>
  <c r="AJ2240" i="3"/>
  <c r="AJ2239" i="3"/>
  <c r="AJ2237" i="3"/>
  <c r="AJ2236" i="3"/>
  <c r="AJ2235" i="3"/>
  <c r="AJ2234" i="3"/>
  <c r="AJ2233" i="3"/>
  <c r="AJ2232" i="3"/>
  <c r="AJ2231" i="3"/>
  <c r="AJ2229" i="3"/>
  <c r="AJ2225" i="3"/>
  <c r="AJ2224" i="3"/>
  <c r="AJ2223" i="3"/>
  <c r="AJ2222" i="3"/>
  <c r="AJ2221" i="3"/>
  <c r="AJ2220" i="3"/>
  <c r="AJ2219" i="3"/>
  <c r="AJ2218" i="3"/>
  <c r="AJ2217" i="3"/>
  <c r="AJ2216" i="3"/>
  <c r="AJ2212" i="3"/>
  <c r="AJ2211" i="3"/>
  <c r="AJ2210" i="3"/>
  <c r="AJ2209" i="3"/>
  <c r="AJ2205" i="3"/>
  <c r="AJ2202" i="3"/>
  <c r="AJ2201" i="3"/>
  <c r="AJ2200" i="3"/>
  <c r="AJ2199" i="3"/>
  <c r="AJ2198" i="3"/>
  <c r="AJ2197" i="3"/>
  <c r="AJ2196" i="3"/>
  <c r="AJ2195" i="3"/>
  <c r="AJ2194" i="3"/>
  <c r="AJ2193" i="3"/>
  <c r="AJ2192" i="3"/>
  <c r="AJ2191" i="3"/>
  <c r="AJ2189" i="3"/>
  <c r="AJ2188" i="3"/>
  <c r="AJ2187" i="3"/>
  <c r="AJ2185" i="3"/>
  <c r="AJ2183" i="3"/>
  <c r="AJ2182" i="3"/>
  <c r="AJ2180" i="3"/>
  <c r="AJ2178" i="3"/>
  <c r="AJ2176" i="3"/>
  <c r="AJ2175" i="3"/>
  <c r="AJ2173" i="3"/>
  <c r="AJ2172" i="3"/>
  <c r="AJ2171" i="3"/>
  <c r="AJ2170" i="3"/>
  <c r="AJ2169" i="3"/>
  <c r="AJ2168" i="3"/>
  <c r="AJ2167" i="3"/>
  <c r="AJ2166" i="3"/>
  <c r="AJ2165" i="3"/>
  <c r="AJ2163" i="3"/>
  <c r="AJ2162" i="3"/>
  <c r="AJ2161" i="3"/>
  <c r="AJ2160" i="3"/>
  <c r="AJ2159" i="3"/>
  <c r="AJ2158" i="3"/>
  <c r="AJ2157" i="3"/>
  <c r="AJ2154" i="3"/>
  <c r="AJ2153" i="3"/>
  <c r="AJ2152" i="3"/>
  <c r="AJ2151" i="3"/>
  <c r="AJ2150" i="3"/>
  <c r="AJ2149" i="3"/>
  <c r="AJ2148" i="3"/>
  <c r="AJ2147" i="3"/>
  <c r="AJ2146" i="3"/>
  <c r="AJ2145" i="3"/>
  <c r="AJ2144" i="3"/>
  <c r="AJ2143" i="3"/>
  <c r="AJ2142" i="3"/>
  <c r="AJ2141" i="3"/>
  <c r="AJ2140" i="3"/>
  <c r="AJ2139" i="3"/>
  <c r="AJ2137" i="3"/>
  <c r="AJ2136" i="3"/>
  <c r="AJ2135" i="3"/>
  <c r="AJ2133" i="3"/>
  <c r="AJ2132" i="3"/>
  <c r="AJ2131" i="3"/>
  <c r="AJ2130" i="3"/>
  <c r="AJ2129" i="3"/>
  <c r="AJ2128" i="3"/>
  <c r="AJ2127" i="3"/>
  <c r="AJ2123" i="3"/>
  <c r="AJ2121" i="3"/>
  <c r="AJ2119" i="3"/>
  <c r="AJ2118" i="3"/>
  <c r="AJ2117" i="3"/>
  <c r="AJ2116" i="3"/>
  <c r="AJ2111" i="3"/>
  <c r="AJ2110" i="3"/>
  <c r="AJ2107" i="3"/>
  <c r="AJ2106" i="3"/>
  <c r="AJ2105" i="3"/>
  <c r="AJ2104" i="3"/>
  <c r="AJ2103" i="3"/>
  <c r="AJ2102" i="3"/>
  <c r="AJ2101" i="3"/>
  <c r="AJ2100" i="3"/>
  <c r="AJ2098" i="3"/>
  <c r="AJ2097" i="3"/>
  <c r="AJ2096" i="3"/>
  <c r="AJ2095" i="3"/>
  <c r="AJ2094" i="3"/>
  <c r="AJ2092" i="3"/>
  <c r="AJ2089" i="3"/>
  <c r="AJ2087" i="3"/>
  <c r="AJ2086" i="3"/>
  <c r="AJ2084" i="3"/>
  <c r="AJ2081" i="3"/>
  <c r="AJ2080" i="3"/>
  <c r="AJ2079" i="3"/>
  <c r="AJ2078" i="3"/>
  <c r="AJ2077" i="3"/>
  <c r="AJ2075" i="3"/>
  <c r="AJ2074" i="3"/>
  <c r="AJ2073" i="3"/>
  <c r="AJ2072" i="3"/>
  <c r="AJ2070" i="3"/>
  <c r="AJ2069" i="3"/>
  <c r="AJ2067" i="3"/>
  <c r="AJ2066" i="3"/>
  <c r="AJ2064" i="3"/>
  <c r="AJ2062" i="3"/>
  <c r="AJ2060" i="3"/>
  <c r="AJ2059" i="3"/>
  <c r="AJ2058" i="3"/>
  <c r="AJ2057" i="3"/>
  <c r="AJ2056" i="3"/>
  <c r="AJ2053" i="3"/>
  <c r="AJ2052" i="3"/>
  <c r="AJ2051" i="3"/>
  <c r="AJ2050" i="3"/>
  <c r="AJ2048" i="3"/>
  <c r="AJ2047" i="3"/>
  <c r="AJ2046" i="3"/>
  <c r="AJ2045" i="3"/>
  <c r="AJ2044" i="3"/>
  <c r="AJ2043" i="3"/>
  <c r="AJ2042" i="3"/>
  <c r="AJ2041" i="3"/>
  <c r="AJ2039" i="3"/>
  <c r="AJ2037" i="3"/>
  <c r="AJ2036" i="3"/>
  <c r="AJ2035" i="3"/>
  <c r="AJ2034" i="3"/>
  <c r="AJ2033" i="3"/>
  <c r="AJ2032" i="3"/>
  <c r="AJ2031" i="3"/>
  <c r="AJ2030" i="3"/>
  <c r="AJ2029" i="3"/>
  <c r="AJ2028" i="3"/>
  <c r="AJ2027" i="3"/>
  <c r="AJ2026" i="3"/>
  <c r="AJ2025" i="3"/>
  <c r="AJ2024" i="3"/>
  <c r="AJ2023" i="3"/>
  <c r="AJ2022" i="3"/>
  <c r="AJ2019" i="3"/>
  <c r="AJ2018" i="3"/>
  <c r="AJ2016" i="3"/>
  <c r="AJ2013" i="3"/>
  <c r="AJ2009" i="3"/>
  <c r="AJ2008" i="3"/>
  <c r="AJ2007" i="3"/>
  <c r="AJ2005" i="3"/>
  <c r="AJ2004" i="3"/>
  <c r="AJ2003" i="3"/>
  <c r="AJ2002" i="3"/>
  <c r="AJ2001" i="3"/>
  <c r="AJ1998" i="3"/>
  <c r="AJ1997" i="3"/>
  <c r="AJ1996" i="3"/>
  <c r="AJ1995" i="3"/>
  <c r="AJ1992" i="3"/>
  <c r="AJ1990" i="3"/>
  <c r="AJ1988" i="3"/>
  <c r="AJ1987" i="3"/>
  <c r="AJ1986" i="3"/>
  <c r="AJ1984" i="3"/>
  <c r="AJ1983" i="3"/>
  <c r="AJ1982" i="3"/>
  <c r="AJ1980" i="3"/>
  <c r="AJ1977" i="3"/>
  <c r="AJ1976" i="3"/>
  <c r="AJ1974" i="3"/>
  <c r="AJ1973" i="3"/>
  <c r="AJ1972" i="3"/>
  <c r="AJ1971" i="3"/>
  <c r="AJ1970" i="3"/>
  <c r="AJ1969" i="3"/>
  <c r="AJ1968" i="3"/>
  <c r="AJ1967" i="3"/>
  <c r="AJ1966" i="3"/>
  <c r="AJ1965" i="3"/>
  <c r="AJ1964" i="3"/>
  <c r="AJ1961" i="3"/>
  <c r="AJ1960" i="3"/>
  <c r="AJ1958" i="3"/>
  <c r="AJ1957" i="3"/>
  <c r="AJ1955" i="3"/>
  <c r="AJ1954" i="3"/>
  <c r="AJ1953" i="3"/>
  <c r="AJ1952" i="3"/>
  <c r="AJ1951" i="3"/>
  <c r="AJ1950" i="3"/>
  <c r="AJ1945" i="3"/>
  <c r="AJ1942" i="3"/>
  <c r="AJ1941" i="3"/>
  <c r="AJ1940" i="3"/>
  <c r="AJ1939" i="3"/>
  <c r="AJ1938" i="3"/>
  <c r="AJ1937" i="3"/>
  <c r="AJ1936" i="3"/>
  <c r="AJ1935" i="3"/>
  <c r="AJ1934" i="3"/>
  <c r="AJ1933" i="3"/>
  <c r="AJ1932" i="3"/>
  <c r="AJ1931" i="3"/>
  <c r="AJ1930" i="3"/>
  <c r="AJ1927" i="3"/>
  <c r="AJ1926" i="3"/>
  <c r="AJ1925" i="3"/>
  <c r="AJ1924" i="3"/>
  <c r="AJ1923" i="3"/>
  <c r="AJ1922" i="3"/>
  <c r="AJ1921" i="3"/>
  <c r="AJ1920" i="3"/>
  <c r="AJ1918" i="3"/>
  <c r="AJ1917" i="3"/>
  <c r="AJ1916" i="3"/>
  <c r="AJ1915" i="3"/>
  <c r="AJ1914" i="3"/>
  <c r="AJ1913" i="3"/>
  <c r="AJ1912" i="3"/>
  <c r="AJ1911" i="3"/>
  <c r="AJ1910" i="3"/>
  <c r="AJ1909" i="3"/>
  <c r="AJ1907" i="3"/>
  <c r="AJ1904" i="3"/>
  <c r="AJ1903" i="3"/>
  <c r="AJ1902" i="3"/>
  <c r="AJ1900" i="3"/>
  <c r="AJ1898" i="3"/>
  <c r="AJ1897" i="3"/>
  <c r="AJ1896" i="3"/>
  <c r="AJ1894" i="3"/>
  <c r="AJ1893" i="3"/>
  <c r="AJ1891" i="3"/>
  <c r="AJ1890" i="3"/>
  <c r="AJ1889" i="3"/>
  <c r="AJ1887" i="3"/>
  <c r="AJ1886" i="3"/>
  <c r="AJ1885" i="3"/>
  <c r="AJ1884" i="3"/>
  <c r="AJ1883" i="3"/>
  <c r="AJ1882" i="3"/>
  <c r="AJ1880" i="3"/>
  <c r="AJ1879" i="3"/>
  <c r="AJ1878" i="3"/>
  <c r="AJ1877" i="3"/>
  <c r="AJ1871" i="3"/>
  <c r="AJ1870" i="3"/>
  <c r="AJ1869" i="3"/>
  <c r="AJ1868" i="3"/>
  <c r="AJ1867" i="3"/>
  <c r="AJ1866" i="3"/>
  <c r="AJ1864" i="3"/>
  <c r="AJ1863" i="3"/>
  <c r="AJ1862" i="3"/>
  <c r="AJ1861" i="3"/>
  <c r="AJ1859" i="3"/>
  <c r="AJ1858" i="3"/>
  <c r="AJ1857" i="3"/>
  <c r="AJ1855" i="3"/>
  <c r="AJ1854" i="3"/>
  <c r="AJ1853" i="3"/>
  <c r="AJ1852" i="3"/>
  <c r="AJ1850" i="3"/>
  <c r="AJ1849" i="3"/>
  <c r="AJ1846" i="3"/>
  <c r="AJ1845" i="3"/>
  <c r="AJ1844" i="3"/>
  <c r="AJ1843" i="3"/>
  <c r="AJ1842" i="3"/>
  <c r="AJ1841" i="3"/>
  <c r="AJ1840" i="3"/>
  <c r="AJ1838" i="3"/>
  <c r="AJ1837" i="3"/>
  <c r="AJ1834" i="3"/>
  <c r="AJ1831" i="3"/>
  <c r="AJ1830" i="3"/>
  <c r="AJ1829" i="3"/>
  <c r="AJ1828" i="3"/>
  <c r="AJ1827" i="3"/>
  <c r="AJ1826" i="3"/>
  <c r="AJ1825" i="3"/>
  <c r="AJ1824" i="3"/>
  <c r="AJ1822" i="3"/>
  <c r="AJ1821" i="3"/>
  <c r="AJ1820" i="3"/>
  <c r="AJ1818" i="3"/>
  <c r="AJ1817" i="3"/>
  <c r="AJ1816" i="3"/>
  <c r="AJ1815" i="3"/>
  <c r="AJ1814" i="3"/>
  <c r="AJ1813" i="3"/>
  <c r="AJ1811" i="3"/>
  <c r="AJ1809" i="3"/>
  <c r="AJ1808" i="3"/>
  <c r="AJ1807" i="3"/>
  <c r="AJ1806" i="3"/>
  <c r="AJ1805" i="3"/>
  <c r="AJ1802" i="3"/>
  <c r="AJ1801" i="3"/>
  <c r="AJ1800" i="3"/>
  <c r="AJ1799" i="3"/>
  <c r="AJ1798" i="3"/>
  <c r="AJ1797" i="3"/>
  <c r="AJ1796" i="3"/>
  <c r="AJ1795" i="3"/>
  <c r="AJ1794" i="3"/>
  <c r="AJ1793" i="3"/>
  <c r="AJ1791" i="3"/>
  <c r="AJ1790" i="3"/>
  <c r="AJ1789" i="3"/>
  <c r="AJ1788" i="3"/>
  <c r="AJ1787" i="3"/>
  <c r="AJ1785" i="3"/>
  <c r="AJ1783" i="3"/>
  <c r="AJ1781" i="3"/>
  <c r="AJ1780" i="3"/>
  <c r="AJ1778" i="3"/>
  <c r="AJ1777" i="3"/>
  <c r="AJ1776" i="3"/>
  <c r="AJ1775" i="3"/>
  <c r="AJ1774" i="3"/>
  <c r="AJ1773" i="3"/>
  <c r="AJ1772" i="3"/>
  <c r="AJ1771" i="3"/>
  <c r="AJ1768" i="3"/>
  <c r="AJ1767" i="3"/>
  <c r="AJ1766" i="3"/>
  <c r="AJ1765" i="3"/>
  <c r="AJ1764" i="3"/>
  <c r="AJ1763" i="3"/>
  <c r="AJ1761" i="3"/>
  <c r="AJ1760" i="3"/>
  <c r="AJ1758" i="3"/>
  <c r="AJ1757" i="3"/>
  <c r="AJ1756" i="3"/>
  <c r="AJ1755" i="3"/>
  <c r="AJ1753" i="3"/>
  <c r="AJ1752" i="3"/>
  <c r="AJ1750" i="3"/>
  <c r="AJ1749" i="3"/>
  <c r="AJ1748" i="3"/>
  <c r="AJ1747" i="3"/>
  <c r="AJ1746" i="3"/>
  <c r="AJ1742" i="3"/>
  <c r="AJ1741" i="3"/>
  <c r="AJ1740" i="3"/>
  <c r="AJ1739" i="3"/>
  <c r="AJ1737" i="3"/>
  <c r="AJ1736" i="3"/>
  <c r="AJ1735" i="3"/>
  <c r="AJ1732" i="3"/>
  <c r="AJ1731" i="3"/>
  <c r="AJ1729" i="3"/>
  <c r="AJ1728" i="3"/>
  <c r="AJ1727" i="3"/>
  <c r="AJ1726" i="3"/>
  <c r="AJ1724" i="3"/>
  <c r="AJ1722" i="3"/>
  <c r="AJ1721" i="3"/>
  <c r="AJ1720" i="3"/>
  <c r="AJ1719" i="3"/>
  <c r="AJ1718" i="3"/>
  <c r="AJ1717" i="3"/>
  <c r="AJ1716" i="3"/>
  <c r="AJ1715" i="3"/>
  <c r="AJ1714" i="3"/>
  <c r="AJ1713" i="3"/>
  <c r="AJ1712" i="3"/>
  <c r="AJ1711" i="3"/>
  <c r="AJ1709" i="3"/>
  <c r="AJ1708" i="3"/>
  <c r="AJ1705" i="3"/>
  <c r="AJ1704" i="3"/>
  <c r="AJ1702" i="3"/>
  <c r="AJ1700" i="3"/>
  <c r="AJ1697" i="3"/>
  <c r="AJ1696" i="3"/>
  <c r="AJ1695" i="3"/>
  <c r="AJ1694" i="3"/>
  <c r="AJ1693" i="3"/>
  <c r="AJ1692" i="3"/>
  <c r="AJ1691" i="3"/>
  <c r="AJ1690" i="3"/>
  <c r="AJ1689" i="3"/>
  <c r="AJ1688" i="3"/>
  <c r="AJ1687" i="3"/>
  <c r="AJ1686" i="3"/>
  <c r="AJ1684" i="3"/>
  <c r="AJ1683" i="3"/>
  <c r="AJ1682" i="3"/>
  <c r="AJ1681" i="3"/>
  <c r="AJ1680" i="3"/>
  <c r="AJ1679" i="3"/>
  <c r="AJ1678" i="3"/>
  <c r="AJ1677" i="3"/>
  <c r="AJ1676" i="3"/>
  <c r="AJ1675" i="3"/>
  <c r="AJ1674" i="3"/>
  <c r="AJ1673" i="3"/>
  <c r="AJ1672" i="3"/>
  <c r="AJ1671" i="3"/>
  <c r="AJ1668" i="3"/>
  <c r="AJ1666" i="3"/>
  <c r="AJ1665" i="3"/>
  <c r="AJ1663" i="3"/>
  <c r="AJ1662" i="3"/>
  <c r="AJ1661" i="3"/>
  <c r="AJ1659" i="3"/>
  <c r="AJ1658" i="3"/>
  <c r="AJ1655" i="3"/>
  <c r="AJ1654" i="3"/>
  <c r="AJ1651" i="3"/>
  <c r="AJ1650" i="3"/>
  <c r="AJ1649" i="3"/>
  <c r="AJ1647" i="3"/>
  <c r="AJ1643" i="3"/>
  <c r="AJ1642" i="3"/>
  <c r="AJ1640" i="3"/>
  <c r="AJ1638" i="3"/>
  <c r="AJ1637" i="3"/>
  <c r="AJ1636" i="3"/>
  <c r="AJ1635" i="3"/>
  <c r="AJ1634" i="3"/>
  <c r="AJ1633" i="3"/>
  <c r="AJ1632" i="3"/>
  <c r="AJ1630" i="3"/>
  <c r="AJ1628" i="3"/>
  <c r="AJ1626" i="3"/>
  <c r="AJ1623" i="3"/>
  <c r="AJ1621" i="3"/>
  <c r="AJ1620" i="3"/>
  <c r="AJ1619" i="3"/>
  <c r="AJ1618" i="3"/>
  <c r="AJ1617" i="3"/>
  <c r="AJ1616" i="3"/>
  <c r="AJ1615" i="3"/>
  <c r="AJ1614" i="3"/>
  <c r="AJ1613" i="3"/>
  <c r="AJ1612" i="3"/>
  <c r="AJ1611" i="3"/>
  <c r="AJ1610" i="3"/>
  <c r="AJ1609" i="3"/>
  <c r="AJ1608" i="3"/>
  <c r="AJ1606" i="3"/>
  <c r="AJ1603" i="3"/>
  <c r="AJ1601" i="3"/>
  <c r="AJ1600" i="3"/>
  <c r="AJ1599" i="3"/>
  <c r="AJ1597" i="3"/>
  <c r="AJ1594" i="3"/>
  <c r="AJ1592" i="3"/>
  <c r="AJ1591" i="3"/>
  <c r="AJ1589" i="3"/>
  <c r="AJ1588" i="3"/>
  <c r="AJ1586" i="3"/>
  <c r="AJ1585" i="3"/>
  <c r="AJ1584" i="3"/>
  <c r="AJ1583" i="3"/>
  <c r="AJ1582" i="3"/>
  <c r="AJ1581" i="3"/>
  <c r="AJ1580" i="3"/>
  <c r="AJ1579" i="3"/>
  <c r="AJ1578" i="3"/>
  <c r="AJ1577" i="3"/>
  <c r="AJ1576" i="3"/>
  <c r="AJ1575" i="3"/>
  <c r="AJ1571" i="3"/>
  <c r="AJ1570" i="3"/>
  <c r="AJ1569" i="3"/>
  <c r="AJ1567" i="3"/>
  <c r="AJ1566" i="3"/>
  <c r="AJ1565" i="3"/>
  <c r="AJ1564" i="3"/>
  <c r="AJ1563" i="3"/>
  <c r="AJ1561" i="3"/>
  <c r="AJ1560" i="3"/>
  <c r="AJ1559" i="3"/>
  <c r="AJ1558" i="3"/>
  <c r="AJ1557" i="3"/>
  <c r="AJ1555" i="3"/>
  <c r="AJ1554" i="3"/>
  <c r="AJ1553" i="3"/>
  <c r="AJ1552" i="3"/>
  <c r="AJ1550" i="3"/>
  <c r="AJ1549" i="3"/>
  <c r="AJ1547" i="3"/>
  <c r="AJ1546" i="3"/>
  <c r="AJ1545" i="3"/>
  <c r="AJ1544" i="3"/>
  <c r="AJ1539" i="3"/>
  <c r="AJ1538" i="3"/>
  <c r="AJ1537" i="3"/>
  <c r="AJ1536" i="3"/>
  <c r="AJ1535" i="3"/>
  <c r="AJ1532" i="3"/>
  <c r="AJ1531" i="3"/>
  <c r="AJ1529" i="3"/>
  <c r="AJ1528" i="3"/>
  <c r="AJ1527" i="3"/>
  <c r="AJ1525" i="3"/>
  <c r="AJ1524" i="3"/>
  <c r="AJ1523" i="3"/>
  <c r="AJ1522" i="3"/>
  <c r="AJ1521" i="3"/>
  <c r="AJ1520" i="3"/>
  <c r="AJ1519" i="3"/>
  <c r="AJ1518" i="3"/>
  <c r="AJ1516" i="3"/>
  <c r="AJ1515" i="3"/>
  <c r="AJ1514" i="3"/>
  <c r="AJ1513" i="3"/>
  <c r="AJ1511" i="3"/>
  <c r="AJ1509" i="3"/>
  <c r="AJ1507" i="3"/>
  <c r="AJ1506" i="3"/>
  <c r="AJ1505" i="3"/>
  <c r="AJ1504" i="3"/>
  <c r="AJ1502" i="3"/>
  <c r="AJ1501" i="3"/>
  <c r="AJ1500" i="3"/>
  <c r="AJ1499" i="3"/>
  <c r="AJ1498" i="3"/>
  <c r="AJ1495" i="3"/>
  <c r="AJ1492" i="3"/>
  <c r="AJ1491" i="3"/>
  <c r="AJ1490" i="3"/>
  <c r="AJ1489" i="3"/>
  <c r="AJ1488" i="3"/>
  <c r="AJ1487" i="3"/>
  <c r="AJ1484" i="3"/>
  <c r="AJ1483" i="3"/>
  <c r="AJ1482" i="3"/>
  <c r="AJ1481" i="3"/>
  <c r="AJ1480" i="3"/>
  <c r="AJ1479" i="3"/>
  <c r="AJ1477" i="3"/>
  <c r="AJ1476" i="3"/>
  <c r="AJ1475" i="3"/>
  <c r="AJ1473" i="3"/>
  <c r="AJ1472" i="3"/>
  <c r="AJ1471" i="3"/>
  <c r="AJ1470" i="3"/>
  <c r="AJ1469" i="3"/>
  <c r="AJ1468" i="3"/>
  <c r="AJ1467" i="3"/>
  <c r="AJ1466" i="3"/>
  <c r="AJ1461" i="3"/>
  <c r="AJ1460" i="3"/>
  <c r="AJ1459" i="3"/>
  <c r="AJ1458" i="3"/>
  <c r="AJ1457" i="3"/>
  <c r="AJ1456" i="3"/>
  <c r="AJ1455" i="3"/>
  <c r="AJ1454" i="3"/>
  <c r="AJ1453" i="3"/>
  <c r="AJ1452" i="3"/>
  <c r="AJ1451" i="3"/>
  <c r="AJ1450" i="3"/>
  <c r="AJ1448" i="3"/>
  <c r="AJ1447" i="3"/>
  <c r="AJ1446" i="3"/>
  <c r="AJ1445" i="3"/>
  <c r="AJ1444" i="3"/>
  <c r="AJ1443" i="3"/>
  <c r="AJ1442" i="3"/>
  <c r="AJ1441" i="3"/>
  <c r="AJ1440" i="3"/>
  <c r="AJ1439" i="3"/>
  <c r="AJ1438" i="3"/>
  <c r="AJ1437" i="3"/>
  <c r="AJ1436" i="3"/>
  <c r="AJ1434" i="3"/>
  <c r="AJ1433" i="3"/>
  <c r="AJ1432" i="3"/>
  <c r="AJ1431" i="3"/>
  <c r="AJ1429" i="3"/>
  <c r="AJ1428" i="3"/>
  <c r="AJ1427" i="3"/>
  <c r="AJ1426" i="3"/>
  <c r="AJ1425" i="3"/>
  <c r="AJ1423" i="3"/>
  <c r="AJ1422" i="3"/>
  <c r="AJ1421" i="3"/>
  <c r="AJ1420" i="3"/>
  <c r="AJ1419" i="3"/>
  <c r="AJ1418" i="3"/>
  <c r="AJ1415" i="3"/>
  <c r="AJ1414" i="3"/>
  <c r="AJ1413" i="3"/>
  <c r="AJ1412" i="3"/>
  <c r="AJ1411" i="3"/>
  <c r="AJ1409" i="3"/>
  <c r="AJ1408" i="3"/>
  <c r="AJ1407" i="3"/>
  <c r="AJ1406" i="3"/>
  <c r="AJ1405" i="3"/>
  <c r="AJ1404" i="3"/>
  <c r="AJ1400" i="3"/>
  <c r="AJ1399" i="3"/>
  <c r="AJ1398" i="3"/>
  <c r="AJ1397" i="3"/>
  <c r="AJ1396" i="3"/>
  <c r="AJ1395" i="3"/>
  <c r="AJ1393" i="3"/>
  <c r="AJ1392" i="3"/>
  <c r="AJ1391" i="3"/>
  <c r="AJ1389" i="3"/>
  <c r="AJ1387" i="3"/>
  <c r="AJ1386" i="3"/>
  <c r="AJ1385" i="3"/>
  <c r="AJ1384" i="3"/>
  <c r="AJ1383" i="3"/>
  <c r="AJ1382" i="3"/>
  <c r="AJ1379" i="3"/>
  <c r="AJ1377" i="3"/>
  <c r="AJ1375" i="3"/>
  <c r="AJ1374" i="3"/>
  <c r="AJ1373" i="3"/>
  <c r="AJ1372" i="3"/>
  <c r="AJ1371" i="3"/>
  <c r="AJ1370" i="3"/>
  <c r="AJ1369" i="3"/>
  <c r="AJ1368" i="3"/>
  <c r="AJ1367" i="3"/>
  <c r="AJ1366" i="3"/>
  <c r="AJ1365" i="3"/>
  <c r="AJ1363" i="3"/>
  <c r="AJ1362" i="3"/>
  <c r="AJ1361" i="3"/>
  <c r="AJ1360" i="3"/>
  <c r="AJ1359" i="3"/>
  <c r="AJ1358" i="3"/>
  <c r="AJ1355" i="3"/>
  <c r="AJ1354" i="3"/>
  <c r="AJ1353" i="3"/>
  <c r="AJ1352" i="3"/>
  <c r="AJ1351" i="3"/>
  <c r="AJ1350" i="3"/>
  <c r="AJ1349" i="3"/>
  <c r="AJ1348" i="3"/>
  <c r="AJ1345" i="3"/>
  <c r="AJ1344" i="3"/>
  <c r="AJ1343" i="3"/>
  <c r="AJ1342" i="3"/>
  <c r="AJ1341" i="3"/>
  <c r="AJ1340" i="3"/>
  <c r="AJ1339" i="3"/>
  <c r="AJ1333" i="3"/>
  <c r="AJ1330" i="3"/>
  <c r="AJ1329" i="3"/>
  <c r="AJ1328" i="3"/>
  <c r="AJ1327" i="3"/>
  <c r="AJ1326" i="3"/>
  <c r="AJ1322" i="3"/>
  <c r="AJ1321" i="3"/>
  <c r="AJ1320" i="3"/>
  <c r="AJ1319" i="3"/>
  <c r="AJ1318" i="3"/>
  <c r="AJ1317" i="3"/>
  <c r="AJ1316" i="3"/>
  <c r="AJ1314" i="3"/>
  <c r="AJ1313" i="3"/>
  <c r="AJ1311" i="3"/>
  <c r="AJ1310" i="3"/>
  <c r="AJ1307" i="3"/>
  <c r="AJ1306" i="3"/>
  <c r="AJ1303" i="3"/>
  <c r="AJ1302" i="3"/>
  <c r="AJ1301" i="3"/>
  <c r="AJ1300" i="3"/>
  <c r="AJ1299" i="3"/>
  <c r="AJ1298" i="3"/>
  <c r="AJ1297" i="3"/>
  <c r="AJ1296" i="3"/>
  <c r="AJ1295" i="3"/>
  <c r="AJ1294" i="3"/>
  <c r="AJ1293" i="3"/>
  <c r="AJ1291" i="3"/>
  <c r="AJ1289" i="3"/>
  <c r="AJ1288" i="3"/>
  <c r="AJ1287" i="3"/>
  <c r="AJ1286" i="3"/>
  <c r="AJ1285" i="3"/>
  <c r="AJ1283" i="3"/>
  <c r="AJ1282" i="3"/>
  <c r="AJ1280" i="3"/>
  <c r="AJ1279" i="3"/>
  <c r="AJ1278" i="3"/>
  <c r="AJ1277" i="3"/>
  <c r="AJ1276" i="3"/>
  <c r="AJ1275" i="3"/>
  <c r="AJ1274" i="3"/>
  <c r="AJ1273" i="3"/>
  <c r="AJ1272" i="3"/>
  <c r="AJ1271" i="3"/>
  <c r="AJ1270" i="3"/>
  <c r="AJ1268" i="3"/>
  <c r="AJ1267" i="3"/>
  <c r="AJ1266" i="3"/>
  <c r="AJ1265" i="3"/>
  <c r="AJ1264" i="3"/>
  <c r="AJ1263" i="3"/>
  <c r="AJ1262" i="3"/>
  <c r="AJ1261" i="3"/>
  <c r="AJ1258" i="3"/>
  <c r="AJ1256" i="3"/>
  <c r="AJ1255" i="3"/>
  <c r="AJ1254" i="3"/>
  <c r="AJ1253" i="3"/>
  <c r="AJ1252" i="3"/>
  <c r="AJ1251" i="3"/>
  <c r="AJ1250" i="3"/>
  <c r="AJ1249" i="3"/>
  <c r="AJ1248" i="3"/>
  <c r="AJ1247" i="3"/>
  <c r="AJ1246" i="3"/>
  <c r="AJ1245" i="3"/>
  <c r="AJ1244" i="3"/>
  <c r="AJ1243" i="3"/>
  <c r="AJ1241" i="3"/>
  <c r="AJ1240" i="3"/>
  <c r="AJ1239" i="3"/>
  <c r="AJ1237" i="3"/>
  <c r="AJ1236" i="3"/>
  <c r="AJ1235" i="3"/>
  <c r="AJ1233" i="3"/>
  <c r="AJ1232" i="3"/>
  <c r="AJ1231" i="3"/>
  <c r="AJ1230" i="3"/>
  <c r="AJ1228" i="3"/>
  <c r="AJ1227" i="3"/>
  <c r="AJ1226" i="3"/>
  <c r="AJ1224" i="3"/>
  <c r="AJ1222" i="3"/>
  <c r="AJ1221" i="3"/>
  <c r="AJ1220" i="3"/>
  <c r="AJ1219" i="3"/>
  <c r="AJ1218" i="3"/>
  <c r="AJ1217" i="3"/>
  <c r="AJ1216" i="3"/>
  <c r="AJ1215" i="3"/>
  <c r="AJ1214" i="3"/>
  <c r="AJ1213" i="3"/>
  <c r="AJ1212" i="3"/>
  <c r="AJ1211" i="3"/>
  <c r="AJ1208" i="3"/>
  <c r="AJ1206" i="3"/>
  <c r="AJ1205" i="3"/>
  <c r="AJ1204" i="3"/>
  <c r="AJ1203" i="3"/>
  <c r="AJ1202" i="3"/>
  <c r="AJ1201" i="3"/>
  <c r="AJ1199" i="3"/>
  <c r="AJ1198" i="3"/>
  <c r="AJ1197" i="3"/>
  <c r="AJ1196" i="3"/>
  <c r="AJ1194" i="3"/>
  <c r="AJ1193" i="3"/>
  <c r="AJ1192" i="3"/>
  <c r="AJ1191" i="3"/>
  <c r="AJ1190" i="3"/>
  <c r="AJ1189" i="3"/>
  <c r="AJ1186" i="3"/>
  <c r="AJ1184" i="3"/>
  <c r="AJ1183" i="3"/>
  <c r="AJ1182" i="3"/>
  <c r="AJ1181" i="3"/>
  <c r="AJ1179" i="3"/>
  <c r="AJ1177" i="3"/>
  <c r="AJ1176" i="3"/>
  <c r="AJ1175" i="3"/>
  <c r="AJ1174" i="3"/>
  <c r="AJ1173" i="3"/>
  <c r="AJ1172" i="3"/>
  <c r="AJ1171" i="3"/>
  <c r="AJ1170" i="3"/>
  <c r="AJ1165" i="3"/>
  <c r="AJ1164" i="3"/>
  <c r="AJ1161" i="3"/>
  <c r="AJ1160" i="3"/>
  <c r="AJ1159" i="3"/>
  <c r="AJ1158" i="3"/>
  <c r="AJ1156" i="3"/>
  <c r="AJ1155" i="3"/>
  <c r="AJ1154" i="3"/>
  <c r="AJ1153" i="3"/>
  <c r="AJ1152" i="3"/>
  <c r="AJ1151" i="3"/>
  <c r="AJ1150" i="3"/>
  <c r="AJ1148" i="3"/>
  <c r="AJ1147" i="3"/>
  <c r="AJ1146" i="3"/>
  <c r="AJ1145" i="3"/>
  <c r="AJ1144" i="3"/>
  <c r="AJ1143" i="3"/>
  <c r="AJ1140" i="3"/>
  <c r="AJ1139" i="3"/>
  <c r="AJ1138" i="3"/>
  <c r="AJ1137" i="3"/>
  <c r="AJ1136" i="3"/>
  <c r="AJ1135" i="3"/>
  <c r="AJ1134" i="3"/>
  <c r="AJ1132" i="3"/>
  <c r="AJ1131" i="3"/>
  <c r="AJ1130" i="3"/>
  <c r="AJ1129" i="3"/>
  <c r="AJ1128" i="3"/>
  <c r="AJ1127" i="3"/>
  <c r="AJ1126" i="3"/>
  <c r="AJ1125" i="3"/>
  <c r="AJ1124" i="3"/>
  <c r="AJ1123" i="3"/>
  <c r="AJ1118" i="3"/>
  <c r="AJ1117" i="3"/>
  <c r="AJ1116" i="3"/>
  <c r="AJ1115" i="3"/>
  <c r="AJ1114" i="3"/>
  <c r="AJ1113" i="3"/>
  <c r="AJ1112" i="3"/>
  <c r="AJ1109" i="3"/>
  <c r="AJ1105" i="3"/>
  <c r="AJ1101" i="3"/>
  <c r="AJ1100" i="3"/>
  <c r="AJ1099" i="3"/>
  <c r="AJ1098" i="3"/>
  <c r="AJ1097" i="3"/>
  <c r="AJ1094" i="3"/>
  <c r="AJ1093" i="3"/>
  <c r="AJ1092" i="3"/>
  <c r="AJ1089" i="3"/>
  <c r="AJ1088" i="3"/>
  <c r="AJ1087" i="3"/>
  <c r="AJ1083" i="3"/>
  <c r="AJ1080" i="3"/>
  <c r="AJ1077" i="3"/>
  <c r="AJ1076" i="3"/>
  <c r="AJ1074" i="3"/>
  <c r="AJ1073" i="3"/>
  <c r="AJ1072" i="3"/>
  <c r="AJ1071" i="3"/>
  <c r="AJ1070" i="3"/>
  <c r="AJ1069" i="3"/>
  <c r="AJ1068" i="3"/>
  <c r="AJ1067" i="3"/>
  <c r="AJ1065" i="3"/>
  <c r="AJ1064" i="3"/>
  <c r="AJ1063" i="3"/>
  <c r="AJ1062" i="3"/>
  <c r="AJ1060" i="3"/>
  <c r="AJ1059" i="3"/>
  <c r="AJ1057" i="3"/>
  <c r="AJ1055" i="3"/>
  <c r="AJ1054" i="3"/>
  <c r="AJ1053" i="3"/>
  <c r="AJ1052" i="3"/>
  <c r="AJ1051" i="3"/>
  <c r="AJ1050" i="3"/>
  <c r="AJ1049" i="3"/>
  <c r="AJ1048" i="3"/>
  <c r="AJ1046" i="3"/>
  <c r="AJ1041" i="3"/>
  <c r="AJ1040" i="3"/>
  <c r="AJ1039" i="3"/>
  <c r="AJ1038" i="3"/>
  <c r="AJ1037" i="3"/>
  <c r="AJ1035" i="3"/>
  <c r="AJ1033" i="3"/>
  <c r="AJ1032" i="3"/>
  <c r="AJ1031" i="3"/>
  <c r="AJ1029" i="3"/>
  <c r="AJ1028" i="3"/>
  <c r="AJ1027" i="3"/>
  <c r="AJ1026" i="3"/>
  <c r="AJ1025" i="3"/>
  <c r="AJ1024" i="3"/>
  <c r="AJ1023" i="3"/>
  <c r="AJ1022" i="3"/>
  <c r="AJ1021" i="3"/>
  <c r="AJ1020" i="3"/>
  <c r="AJ1018" i="3"/>
  <c r="AJ1017" i="3"/>
  <c r="AJ1016" i="3"/>
  <c r="AJ1015" i="3"/>
  <c r="AJ1014" i="3"/>
  <c r="AJ1012" i="3"/>
  <c r="AJ1011" i="3"/>
  <c r="AJ1010" i="3"/>
  <c r="AJ1007" i="3"/>
  <c r="AJ1006" i="3"/>
  <c r="AJ1005" i="3"/>
  <c r="AJ1004" i="3"/>
  <c r="AJ1002" i="3"/>
  <c r="AJ1001" i="3"/>
  <c r="AJ1000" i="3"/>
  <c r="AJ999" i="3"/>
  <c r="AJ998" i="3"/>
  <c r="AJ997" i="3"/>
  <c r="AJ996" i="3"/>
  <c r="AJ995" i="3"/>
  <c r="AJ994" i="3"/>
  <c r="AJ991" i="3"/>
  <c r="AJ990" i="3"/>
  <c r="AJ986" i="3"/>
  <c r="AJ985" i="3"/>
  <c r="AJ984" i="3"/>
  <c r="AJ983" i="3"/>
  <c r="AJ982" i="3"/>
  <c r="AJ981" i="3"/>
  <c r="AJ980" i="3"/>
  <c r="AJ979" i="3"/>
  <c r="AJ978" i="3"/>
  <c r="AJ976" i="3"/>
  <c r="AJ975" i="3"/>
  <c r="AJ974" i="3"/>
  <c r="AJ973" i="3"/>
  <c r="AJ972" i="3"/>
  <c r="AJ971" i="3"/>
  <c r="AJ969" i="3"/>
  <c r="AJ968" i="3"/>
  <c r="AJ967" i="3"/>
  <c r="AJ966" i="3"/>
  <c r="AJ964" i="3"/>
  <c r="AJ963" i="3"/>
  <c r="AJ962" i="3"/>
  <c r="AJ959" i="3"/>
  <c r="AJ958" i="3"/>
  <c r="AJ957" i="3"/>
  <c r="AJ956" i="3"/>
  <c r="AJ955" i="3"/>
  <c r="AJ953" i="3"/>
  <c r="AJ952" i="3"/>
  <c r="AJ951" i="3"/>
  <c r="AJ950" i="3"/>
  <c r="AJ947" i="3"/>
  <c r="AJ946" i="3"/>
  <c r="AJ942" i="3"/>
  <c r="AJ941" i="3"/>
  <c r="AJ940" i="3"/>
  <c r="AJ939" i="3"/>
  <c r="AJ938" i="3"/>
  <c r="AJ937" i="3"/>
  <c r="AJ935" i="3"/>
  <c r="AJ934" i="3"/>
  <c r="AJ932" i="3"/>
  <c r="AJ931" i="3"/>
  <c r="AJ930" i="3"/>
  <c r="AJ929" i="3"/>
  <c r="AJ928" i="3"/>
  <c r="AJ927" i="3"/>
  <c r="AJ926" i="3"/>
  <c r="AJ925" i="3"/>
  <c r="AJ924" i="3"/>
  <c r="AJ923" i="3"/>
  <c r="AJ922" i="3"/>
  <c r="AJ921" i="3"/>
  <c r="AJ920" i="3"/>
  <c r="AJ919" i="3"/>
  <c r="AJ918" i="3"/>
  <c r="AJ917" i="3"/>
  <c r="AJ916" i="3"/>
  <c r="AJ915" i="3"/>
  <c r="AJ914" i="3"/>
  <c r="AJ912" i="3"/>
  <c r="AJ911" i="3"/>
  <c r="AJ910" i="3"/>
  <c r="AJ909" i="3"/>
  <c r="AJ907" i="3"/>
  <c r="AJ905" i="3"/>
  <c r="AJ904" i="3"/>
  <c r="AJ903" i="3"/>
  <c r="AJ902" i="3"/>
  <c r="AJ901" i="3"/>
  <c r="AJ900" i="3"/>
  <c r="AJ899" i="3"/>
  <c r="AJ897" i="3"/>
  <c r="AJ896" i="3"/>
  <c r="AJ895" i="3"/>
  <c r="AJ894" i="3"/>
  <c r="AJ893" i="3"/>
  <c r="AJ892" i="3"/>
  <c r="AJ891" i="3"/>
  <c r="AJ890" i="3"/>
  <c r="AJ889" i="3"/>
  <c r="AJ888" i="3"/>
  <c r="AJ886" i="3"/>
  <c r="AJ885" i="3"/>
  <c r="AJ884" i="3"/>
  <c r="AJ883" i="3"/>
  <c r="AJ881" i="3"/>
  <c r="AJ880" i="3"/>
  <c r="AJ878" i="3"/>
  <c r="AJ877" i="3"/>
  <c r="AJ876" i="3"/>
  <c r="AJ875" i="3"/>
  <c r="AJ871" i="3"/>
  <c r="AJ866" i="3"/>
  <c r="AJ865" i="3"/>
  <c r="AJ864" i="3"/>
  <c r="AJ863" i="3"/>
  <c r="AJ861" i="3"/>
  <c r="AJ858" i="3"/>
  <c r="AJ857" i="3"/>
  <c r="AJ855" i="3"/>
  <c r="AJ854" i="3"/>
  <c r="AJ853" i="3"/>
  <c r="AJ852" i="3"/>
  <c r="AJ851" i="3"/>
  <c r="AJ850" i="3"/>
  <c r="AJ849" i="3"/>
  <c r="AJ848" i="3"/>
  <c r="AJ847" i="3"/>
  <c r="AJ845" i="3"/>
  <c r="AJ844" i="3"/>
  <c r="AJ843" i="3"/>
  <c r="AJ841" i="3"/>
  <c r="AJ840" i="3"/>
  <c r="AJ839" i="3"/>
  <c r="AJ838" i="3"/>
  <c r="AJ836" i="3"/>
  <c r="AJ832" i="3"/>
  <c r="AJ831" i="3"/>
  <c r="AJ830" i="3"/>
  <c r="AJ829" i="3"/>
  <c r="AJ828" i="3"/>
  <c r="AJ827" i="3"/>
  <c r="AJ826" i="3"/>
  <c r="AJ825" i="3"/>
  <c r="AJ824" i="3"/>
  <c r="AJ822" i="3"/>
  <c r="AJ821" i="3"/>
  <c r="AJ819" i="3"/>
  <c r="AJ817" i="3"/>
  <c r="AJ816" i="3"/>
  <c r="AJ815" i="3"/>
  <c r="AJ814" i="3"/>
  <c r="AJ813" i="3"/>
  <c r="AJ808" i="3"/>
  <c r="AJ806" i="3"/>
  <c r="AJ805" i="3"/>
  <c r="AJ802" i="3"/>
  <c r="AJ801" i="3"/>
  <c r="AJ800" i="3"/>
  <c r="AJ798" i="3"/>
  <c r="AJ797" i="3"/>
  <c r="AJ796" i="3"/>
  <c r="AJ795" i="3"/>
  <c r="AJ794" i="3"/>
  <c r="AJ793" i="3"/>
  <c r="AJ792" i="3"/>
  <c r="AJ791" i="3"/>
  <c r="AJ790" i="3"/>
  <c r="AJ789" i="3"/>
  <c r="AJ788" i="3"/>
  <c r="AJ786" i="3"/>
  <c r="AJ785" i="3"/>
  <c r="AJ783" i="3"/>
  <c r="AJ782" i="3"/>
  <c r="AJ781" i="3"/>
  <c r="AJ780" i="3"/>
  <c r="AJ779" i="3"/>
  <c r="AJ778" i="3"/>
  <c r="AJ776" i="3"/>
  <c r="AJ775" i="3"/>
  <c r="AJ773" i="3"/>
  <c r="AJ772" i="3"/>
  <c r="AJ771" i="3"/>
  <c r="AJ770" i="3"/>
  <c r="AJ768" i="3"/>
  <c r="AJ766" i="3"/>
  <c r="AJ765" i="3"/>
  <c r="AJ764" i="3"/>
  <c r="AJ763" i="3"/>
  <c r="AJ762" i="3"/>
  <c r="AJ761" i="3"/>
  <c r="AJ760" i="3"/>
  <c r="AJ759" i="3"/>
  <c r="AJ758" i="3"/>
  <c r="AJ756" i="3"/>
  <c r="AJ750" i="3"/>
  <c r="AJ748" i="3"/>
  <c r="AJ747" i="3"/>
  <c r="AJ746" i="3"/>
  <c r="AJ745" i="3"/>
  <c r="AJ744" i="3"/>
  <c r="AJ743" i="3"/>
  <c r="AJ742" i="3"/>
  <c r="AJ741" i="3"/>
  <c r="AJ739" i="3"/>
  <c r="AJ738" i="3"/>
  <c r="AJ737" i="3"/>
  <c r="AJ735" i="3"/>
  <c r="AJ734" i="3"/>
  <c r="AJ733" i="3"/>
  <c r="AJ730" i="3"/>
  <c r="AJ728" i="3"/>
  <c r="AJ727" i="3"/>
  <c r="AJ726" i="3"/>
  <c r="AJ724" i="3"/>
  <c r="AJ723" i="3"/>
  <c r="AJ722" i="3"/>
  <c r="AJ721" i="3"/>
  <c r="AJ720" i="3"/>
  <c r="AJ719" i="3"/>
  <c r="AJ718" i="3"/>
  <c r="AJ717" i="3"/>
  <c r="AJ716" i="3"/>
  <c r="AJ715" i="3"/>
  <c r="AJ714" i="3"/>
  <c r="AJ713" i="3"/>
  <c r="AJ712" i="3"/>
  <c r="AJ709" i="3"/>
  <c r="AJ708" i="3"/>
  <c r="AJ707" i="3"/>
  <c r="AJ706" i="3"/>
  <c r="AJ704" i="3"/>
  <c r="AJ703" i="3"/>
  <c r="AJ702" i="3"/>
  <c r="AJ700" i="3"/>
  <c r="AJ699" i="3"/>
  <c r="AJ698" i="3"/>
  <c r="AJ697" i="3"/>
  <c r="AJ692" i="3"/>
  <c r="AJ691" i="3"/>
  <c r="AJ689" i="3"/>
  <c r="AJ688" i="3"/>
  <c r="AJ687" i="3"/>
  <c r="AJ685" i="3"/>
  <c r="AJ684" i="3"/>
  <c r="AJ683" i="3"/>
  <c r="AJ682" i="3"/>
  <c r="AJ681" i="3"/>
  <c r="AJ680" i="3"/>
  <c r="AJ678" i="3"/>
  <c r="AJ677" i="3"/>
  <c r="AJ676" i="3"/>
  <c r="AJ673" i="3"/>
  <c r="AJ672" i="3"/>
  <c r="AJ670" i="3"/>
  <c r="AJ669" i="3"/>
  <c r="AJ668" i="3"/>
  <c r="AJ667" i="3"/>
  <c r="AJ666" i="3"/>
  <c r="AJ665" i="3"/>
  <c r="AJ664" i="3"/>
  <c r="AJ663" i="3"/>
  <c r="AJ661" i="3"/>
  <c r="AJ660" i="3"/>
  <c r="AJ659" i="3"/>
  <c r="AJ655" i="3"/>
  <c r="AJ654" i="3"/>
  <c r="AJ653" i="3"/>
  <c r="AJ652" i="3"/>
  <c r="AJ650" i="3"/>
  <c r="AJ649" i="3"/>
  <c r="AJ645" i="3"/>
  <c r="AJ644" i="3"/>
  <c r="AJ642" i="3"/>
  <c r="AJ641" i="3"/>
  <c r="AJ639" i="3"/>
  <c r="AJ638" i="3"/>
  <c r="AJ636" i="3"/>
  <c r="AJ635" i="3"/>
  <c r="AJ634" i="3"/>
  <c r="AJ633" i="3"/>
  <c r="AJ632" i="3"/>
  <c r="AJ631" i="3"/>
  <c r="AJ630" i="3"/>
  <c r="AJ629" i="3"/>
  <c r="AJ627" i="3"/>
  <c r="AJ626" i="3"/>
  <c r="AJ625" i="3"/>
  <c r="AJ624" i="3"/>
  <c r="AJ623" i="3"/>
  <c r="AJ620" i="3"/>
  <c r="AJ618" i="3"/>
  <c r="AJ617" i="3"/>
  <c r="AJ615" i="3"/>
  <c r="AJ614" i="3"/>
  <c r="AJ613" i="3"/>
  <c r="AJ611" i="3"/>
  <c r="AJ610" i="3"/>
  <c r="AJ609" i="3"/>
  <c r="AJ608" i="3"/>
  <c r="AJ607" i="3"/>
  <c r="AJ606" i="3"/>
  <c r="AJ605" i="3"/>
  <c r="AJ604" i="3"/>
  <c r="AJ603" i="3"/>
  <c r="AJ601" i="3"/>
  <c r="AJ600" i="3"/>
  <c r="AJ599" i="3"/>
  <c r="AJ597" i="3"/>
  <c r="AJ596" i="3"/>
  <c r="AJ595" i="3"/>
  <c r="AJ594" i="3"/>
  <c r="AJ593" i="3"/>
  <c r="AJ590" i="3"/>
  <c r="AJ589" i="3"/>
  <c r="AJ586" i="3"/>
  <c r="AJ585" i="3"/>
  <c r="AJ584" i="3"/>
  <c r="AJ581" i="3"/>
  <c r="AJ580" i="3"/>
  <c r="AJ579" i="3"/>
  <c r="AJ578" i="3"/>
  <c r="AJ577" i="3"/>
  <c r="AJ576" i="3"/>
  <c r="AJ575" i="3"/>
  <c r="AJ574" i="3"/>
  <c r="AJ573" i="3"/>
  <c r="AJ568" i="3"/>
  <c r="AJ567" i="3"/>
  <c r="AJ566" i="3"/>
  <c r="AJ564" i="3"/>
  <c r="AJ563" i="3"/>
  <c r="AJ560" i="3"/>
  <c r="AJ559" i="3"/>
  <c r="AJ558" i="3"/>
  <c r="AJ556" i="3"/>
  <c r="AJ555" i="3"/>
  <c r="AJ554" i="3"/>
  <c r="AJ553" i="3"/>
  <c r="AJ552" i="3"/>
  <c r="AJ550" i="3"/>
  <c r="AJ549" i="3"/>
  <c r="AJ547" i="3"/>
  <c r="AJ545" i="3"/>
  <c r="AJ544" i="3"/>
  <c r="AJ543" i="3"/>
  <c r="AJ541" i="3"/>
  <c r="AJ540" i="3"/>
  <c r="AJ538" i="3"/>
  <c r="AJ536" i="3"/>
  <c r="AJ535" i="3"/>
  <c r="AJ534" i="3"/>
  <c r="AJ533" i="3"/>
  <c r="AJ532" i="3"/>
  <c r="AJ531" i="3"/>
  <c r="AJ530" i="3"/>
  <c r="AJ528" i="3"/>
  <c r="AJ527" i="3"/>
  <c r="AJ526" i="3"/>
  <c r="AJ524" i="3"/>
  <c r="AJ523" i="3"/>
  <c r="AJ522" i="3"/>
  <c r="AJ521" i="3"/>
  <c r="AJ520" i="3"/>
  <c r="AJ517" i="3"/>
  <c r="AJ516" i="3"/>
  <c r="AJ515" i="3"/>
  <c r="AJ512" i="3"/>
  <c r="AJ511" i="3"/>
  <c r="AJ510" i="3"/>
  <c r="AJ508" i="3"/>
  <c r="AJ507" i="3"/>
  <c r="AJ506" i="3"/>
  <c r="AJ505" i="3"/>
  <c r="AJ504" i="3"/>
  <c r="AJ503" i="3"/>
  <c r="AJ502" i="3"/>
  <c r="AJ501" i="3"/>
  <c r="AJ500" i="3"/>
  <c r="AJ499" i="3"/>
  <c r="AJ498" i="3"/>
  <c r="AJ497" i="3"/>
  <c r="AJ494" i="3"/>
  <c r="AJ492" i="3"/>
  <c r="AJ491" i="3"/>
  <c r="AJ490" i="3"/>
  <c r="AJ489" i="3"/>
  <c r="AJ486" i="3"/>
  <c r="AJ483" i="3"/>
  <c r="AJ482" i="3"/>
  <c r="AJ481" i="3"/>
  <c r="AJ480" i="3"/>
  <c r="AJ479" i="3"/>
  <c r="AJ478" i="3"/>
  <c r="AJ477" i="3"/>
  <c r="AJ474" i="3"/>
  <c r="AJ473" i="3"/>
  <c r="AJ471" i="3"/>
  <c r="AJ470" i="3"/>
  <c r="AJ468" i="3"/>
  <c r="AJ466" i="3"/>
  <c r="AJ465" i="3"/>
  <c r="AJ464" i="3"/>
  <c r="AJ463" i="3"/>
  <c r="AJ462" i="3"/>
  <c r="AJ461" i="3"/>
  <c r="AJ460" i="3"/>
  <c r="AJ458" i="3"/>
  <c r="AJ457" i="3"/>
  <c r="AJ454" i="3"/>
  <c r="AJ453" i="3"/>
  <c r="AJ452" i="3"/>
  <c r="AJ451" i="3"/>
  <c r="AJ449" i="3"/>
  <c r="AJ448" i="3"/>
  <c r="AJ447" i="3"/>
  <c r="AJ446" i="3"/>
  <c r="AJ445" i="3"/>
  <c r="AJ441" i="3"/>
  <c r="AJ440" i="3"/>
  <c r="AJ439" i="3"/>
  <c r="AJ437" i="3"/>
  <c r="AJ436" i="3"/>
  <c r="AJ435" i="3"/>
  <c r="AJ434" i="3"/>
  <c r="AJ431" i="3"/>
  <c r="AJ429" i="3"/>
  <c r="AJ427" i="3"/>
  <c r="AJ425" i="3"/>
  <c r="AJ424" i="3"/>
  <c r="AJ423" i="3"/>
  <c r="AJ422" i="3"/>
  <c r="AJ421" i="3"/>
  <c r="AJ420" i="3"/>
  <c r="AJ419" i="3"/>
  <c r="AJ418" i="3"/>
  <c r="AJ417" i="3"/>
  <c r="AJ416" i="3"/>
  <c r="AJ414" i="3"/>
  <c r="AJ413" i="3"/>
  <c r="AJ412" i="3"/>
  <c r="AJ411" i="3"/>
  <c r="AJ410" i="3"/>
  <c r="AJ409" i="3"/>
  <c r="AJ408" i="3"/>
  <c r="AJ405" i="3"/>
  <c r="AJ404" i="3"/>
  <c r="AJ403" i="3"/>
  <c r="AJ402" i="3"/>
  <c r="AJ401" i="3"/>
  <c r="AJ399" i="3"/>
  <c r="AJ398" i="3"/>
  <c r="AJ397" i="3"/>
  <c r="AJ395" i="3"/>
  <c r="AJ386" i="3"/>
  <c r="AJ385" i="3"/>
  <c r="AJ384" i="3"/>
  <c r="AJ382" i="3"/>
  <c r="AJ381" i="3"/>
  <c r="AJ380" i="3"/>
  <c r="AJ379" i="3"/>
  <c r="AJ378" i="3"/>
  <c r="AJ377" i="3"/>
  <c r="AJ376" i="3"/>
  <c r="AJ375" i="3"/>
  <c r="AJ374" i="3"/>
  <c r="AJ373" i="3"/>
  <c r="AJ372" i="3"/>
  <c r="AJ371" i="3"/>
  <c r="AJ370" i="3"/>
  <c r="AJ369" i="3"/>
  <c r="AJ368" i="3"/>
  <c r="AJ367" i="3"/>
  <c r="AJ366" i="3"/>
  <c r="AJ365" i="3"/>
  <c r="AJ364" i="3"/>
  <c r="AJ363" i="3"/>
  <c r="AJ362" i="3"/>
  <c r="AJ360" i="3"/>
  <c r="AJ358" i="3"/>
  <c r="AJ357" i="3"/>
  <c r="AJ356" i="3"/>
  <c r="AJ353" i="3"/>
  <c r="AJ352" i="3"/>
  <c r="AJ351" i="3"/>
  <c r="AJ349" i="3"/>
  <c r="AJ348" i="3"/>
  <c r="AJ345" i="3"/>
  <c r="AJ341" i="3"/>
  <c r="AJ338" i="3"/>
  <c r="AJ333" i="3"/>
  <c r="AJ332" i="3"/>
  <c r="AJ331" i="3"/>
  <c r="AJ330" i="3"/>
  <c r="AJ329" i="3"/>
  <c r="AJ328" i="3"/>
  <c r="AJ326" i="3"/>
  <c r="AJ325" i="3"/>
  <c r="AJ324" i="3"/>
  <c r="AJ323" i="3"/>
  <c r="AJ321" i="3"/>
  <c r="AJ320" i="3"/>
  <c r="AJ318" i="3"/>
  <c r="AJ317" i="3"/>
  <c r="AJ316" i="3"/>
  <c r="AJ315" i="3"/>
  <c r="AJ314" i="3"/>
  <c r="AJ313" i="3"/>
  <c r="AJ311" i="3"/>
  <c r="AJ310" i="3"/>
  <c r="AJ309" i="3"/>
  <c r="AJ307" i="3"/>
  <c r="AJ306" i="3"/>
  <c r="AJ305" i="3"/>
  <c r="AJ304" i="3"/>
  <c r="AJ303" i="3"/>
  <c r="AJ302" i="3"/>
  <c r="AJ301" i="3"/>
  <c r="AJ300" i="3"/>
  <c r="AJ299" i="3"/>
  <c r="AJ298" i="3"/>
  <c r="AJ297" i="3"/>
  <c r="AJ296" i="3"/>
  <c r="AJ295" i="3"/>
  <c r="AJ294" i="3"/>
  <c r="AJ293" i="3"/>
  <c r="AJ292" i="3"/>
  <c r="AJ291" i="3"/>
  <c r="AJ290" i="3"/>
  <c r="AJ289" i="3"/>
  <c r="AJ288" i="3"/>
  <c r="AJ287" i="3"/>
  <c r="AJ286" i="3"/>
  <c r="AJ284" i="3"/>
  <c r="AJ282" i="3"/>
  <c r="AJ281" i="3"/>
  <c r="AJ280" i="3"/>
  <c r="AJ278" i="3"/>
  <c r="AJ276" i="3"/>
  <c r="AJ275" i="3"/>
  <c r="AJ274" i="3"/>
  <c r="AJ273" i="3"/>
  <c r="AJ272" i="3"/>
  <c r="AJ271" i="3"/>
  <c r="AJ269" i="3"/>
  <c r="AJ268" i="3"/>
  <c r="AJ267" i="3"/>
  <c r="AJ264" i="3"/>
  <c r="AJ263" i="3"/>
  <c r="AJ262" i="3"/>
  <c r="AJ259" i="3"/>
  <c r="AJ258" i="3"/>
  <c r="AJ255" i="3"/>
  <c r="AJ254" i="3"/>
  <c r="AJ253" i="3"/>
  <c r="AJ251" i="3"/>
  <c r="AJ250" i="3"/>
  <c r="AJ249" i="3"/>
  <c r="AJ248" i="3"/>
  <c r="AJ247" i="3"/>
  <c r="AJ246" i="3"/>
  <c r="AJ244" i="3"/>
  <c r="AJ242" i="3"/>
  <c r="AJ241" i="3"/>
  <c r="AJ240" i="3"/>
  <c r="AJ239" i="3"/>
  <c r="AJ238" i="3"/>
  <c r="AJ236" i="3"/>
  <c r="AJ235" i="3"/>
  <c r="AJ234" i="3"/>
  <c r="AJ233" i="3"/>
  <c r="AJ232" i="3"/>
  <c r="AJ227" i="3"/>
  <c r="AJ226" i="3"/>
  <c r="AJ224" i="3"/>
  <c r="AJ222" i="3"/>
  <c r="AJ221" i="3"/>
  <c r="AJ220" i="3"/>
  <c r="AJ218" i="3"/>
  <c r="AJ217" i="3"/>
  <c r="AJ216" i="3"/>
  <c r="AJ214" i="3"/>
  <c r="AJ213" i="3"/>
  <c r="AJ212" i="3"/>
  <c r="AJ210" i="3"/>
  <c r="AJ208" i="3"/>
  <c r="AJ206" i="3"/>
  <c r="AJ204" i="3"/>
  <c r="AJ203" i="3"/>
  <c r="AJ201" i="3"/>
  <c r="AJ200" i="3"/>
  <c r="AJ199" i="3"/>
  <c r="AJ198" i="3"/>
  <c r="AJ197" i="3"/>
  <c r="AJ195" i="3"/>
  <c r="AJ194" i="3"/>
  <c r="AJ193" i="3"/>
  <c r="AJ192" i="3"/>
  <c r="AJ191" i="3"/>
  <c r="AJ190" i="3"/>
  <c r="AJ188" i="3"/>
  <c r="AJ187" i="3"/>
  <c r="AJ186" i="3"/>
  <c r="AJ184" i="3"/>
  <c r="AJ183" i="3"/>
  <c r="AJ182" i="3"/>
  <c r="AJ181" i="3"/>
  <c r="AJ177" i="3"/>
  <c r="AJ176" i="3"/>
  <c r="AJ173" i="3"/>
  <c r="AJ172" i="3"/>
  <c r="AJ171" i="3"/>
  <c r="AJ170" i="3"/>
  <c r="AJ169" i="3"/>
  <c r="AJ168" i="3"/>
  <c r="AJ166" i="3"/>
  <c r="AJ165" i="3"/>
  <c r="AJ162" i="3"/>
  <c r="AJ161" i="3"/>
  <c r="AJ159" i="3"/>
  <c r="AJ158" i="3"/>
  <c r="AJ156" i="3"/>
  <c r="AJ155" i="3"/>
  <c r="AJ154" i="3"/>
  <c r="AJ153" i="3"/>
  <c r="AJ152" i="3"/>
  <c r="AJ151" i="3"/>
  <c r="AJ149" i="3"/>
  <c r="AJ148" i="3"/>
  <c r="AJ147" i="3"/>
  <c r="AJ143" i="3"/>
  <c r="AJ142" i="3"/>
  <c r="AJ140" i="3"/>
  <c r="AJ138" i="3"/>
  <c r="AJ137" i="3"/>
  <c r="AJ136" i="3"/>
  <c r="AJ133" i="3"/>
  <c r="AJ132" i="3"/>
  <c r="AJ131" i="3"/>
  <c r="AJ128" i="3"/>
  <c r="AJ127" i="3"/>
  <c r="AJ125" i="3"/>
  <c r="AJ124" i="3"/>
  <c r="AJ122" i="3"/>
  <c r="AJ121" i="3"/>
  <c r="AJ120" i="3"/>
  <c r="AJ119" i="3"/>
  <c r="AJ118" i="3"/>
  <c r="AJ117" i="3"/>
  <c r="AJ114" i="3"/>
  <c r="AJ110" i="3"/>
  <c r="AJ109" i="3"/>
  <c r="AJ107" i="3"/>
  <c r="AJ106" i="3"/>
  <c r="AJ103" i="3"/>
  <c r="AJ101" i="3"/>
  <c r="AJ100" i="3"/>
  <c r="AJ99" i="3"/>
  <c r="AJ96" i="3"/>
  <c r="AJ95" i="3"/>
  <c r="AJ94" i="3"/>
  <c r="AJ92" i="3"/>
  <c r="AJ91" i="3"/>
  <c r="AJ90" i="3"/>
  <c r="AJ89" i="3"/>
  <c r="AJ87" i="3"/>
  <c r="AJ86" i="3"/>
  <c r="AJ84" i="3"/>
  <c r="AJ83" i="3"/>
  <c r="AJ82" i="3"/>
  <c r="AJ81" i="3"/>
  <c r="AJ80" i="3"/>
  <c r="AJ79" i="3"/>
  <c r="AJ78" i="3"/>
  <c r="AJ77" i="3"/>
  <c r="AJ75" i="3"/>
  <c r="AJ74" i="3"/>
  <c r="AJ73" i="3"/>
  <c r="AJ72" i="3"/>
  <c r="AJ71" i="3"/>
  <c r="AJ69" i="3"/>
  <c r="AJ68" i="3"/>
  <c r="AJ67" i="3"/>
  <c r="AJ65" i="3"/>
  <c r="AJ62" i="3"/>
  <c r="AJ60" i="3"/>
  <c r="AJ59" i="3"/>
  <c r="AJ57" i="3"/>
  <c r="AJ56" i="3"/>
  <c r="AJ55" i="3"/>
  <c r="AJ53" i="3"/>
  <c r="AJ52" i="3"/>
  <c r="AJ50" i="3"/>
  <c r="AJ49" i="3"/>
  <c r="AJ48" i="3"/>
  <c r="AJ47" i="3"/>
  <c r="AJ46" i="3"/>
  <c r="AJ45" i="3"/>
  <c r="AJ44" i="3"/>
  <c r="AJ43" i="3"/>
  <c r="AJ42" i="3"/>
  <c r="AJ41" i="3"/>
  <c r="AJ39" i="3"/>
  <c r="AJ38" i="3"/>
  <c r="AJ37" i="3"/>
  <c r="AJ36" i="3"/>
  <c r="AJ34" i="3"/>
  <c r="AJ33" i="3"/>
  <c r="AJ32" i="3"/>
  <c r="AJ31" i="3"/>
  <c r="AJ30" i="3"/>
  <c r="AJ29" i="3"/>
  <c r="AJ28" i="3"/>
  <c r="AJ27" i="3"/>
  <c r="AJ26" i="3"/>
  <c r="AJ24" i="3"/>
  <c r="AJ23" i="3"/>
  <c r="AJ22" i="3"/>
  <c r="AJ21" i="3"/>
  <c r="AJ20" i="3"/>
  <c r="AJ15" i="3"/>
  <c r="AJ14" i="3"/>
  <c r="AJ13" i="3"/>
  <c r="AJ12" i="3"/>
  <c r="AJ10" i="3"/>
  <c r="AJ9" i="3"/>
  <c r="AJ8" i="3"/>
  <c r="AJ7" i="3"/>
  <c r="AJ6" i="3"/>
  <c r="AJ5" i="3"/>
  <c r="AJ4" i="3"/>
  <c r="AQ2401" i="3"/>
  <c r="AP2401" i="3"/>
  <c r="AO2401" i="3"/>
  <c r="AN2401" i="3"/>
  <c r="AM2401" i="3"/>
  <c r="AL2401" i="3"/>
  <c r="L2401" i="3"/>
  <c r="D2401" i="3"/>
  <c r="AQ2400" i="3"/>
  <c r="AP2400" i="3"/>
  <c r="AO2400" i="3"/>
  <c r="AN2400" i="3"/>
  <c r="AM2400" i="3"/>
  <c r="AL2400" i="3"/>
  <c r="L2400" i="3"/>
  <c r="D2400" i="3"/>
  <c r="AQ2399" i="3"/>
  <c r="AP2399" i="3"/>
  <c r="AO2399" i="3"/>
  <c r="AN2399" i="3"/>
  <c r="AM2399" i="3"/>
  <c r="AL2399" i="3"/>
  <c r="L2399" i="3"/>
  <c r="D2399" i="3"/>
  <c r="AQ2398" i="3"/>
  <c r="AP2398" i="3"/>
  <c r="AO2398" i="3"/>
  <c r="AN2398" i="3"/>
  <c r="AM2398" i="3"/>
  <c r="AL2398" i="3"/>
  <c r="L2398" i="3"/>
  <c r="D2398" i="3"/>
  <c r="AQ2397" i="3"/>
  <c r="AP2397" i="3"/>
  <c r="AO2397" i="3"/>
  <c r="AN2397" i="3"/>
  <c r="AM2397" i="3"/>
  <c r="AL2397" i="3"/>
  <c r="L2397" i="3"/>
  <c r="D2397" i="3"/>
  <c r="AQ2396" i="3"/>
  <c r="AP2396" i="3"/>
  <c r="AO2396" i="3"/>
  <c r="AN2396" i="3"/>
  <c r="AM2396" i="3"/>
  <c r="AL2396" i="3"/>
  <c r="L2396" i="3"/>
  <c r="D2396" i="3"/>
  <c r="AQ2395" i="3"/>
  <c r="AP2395" i="3"/>
  <c r="AO2395" i="3"/>
  <c r="AN2395" i="3"/>
  <c r="AM2395" i="3"/>
  <c r="AL2395" i="3"/>
  <c r="L2395" i="3"/>
  <c r="D2395" i="3"/>
  <c r="L2394" i="3"/>
  <c r="D2394" i="3"/>
  <c r="L2393" i="3"/>
  <c r="D2393" i="3"/>
  <c r="AQ2392" i="3"/>
  <c r="AP2392" i="3"/>
  <c r="AO2392" i="3"/>
  <c r="AN2392" i="3"/>
  <c r="AM2392" i="3"/>
  <c r="AL2392" i="3"/>
  <c r="L2392" i="3"/>
  <c r="D2392" i="3"/>
  <c r="AQ2391" i="3"/>
  <c r="AP2391" i="3"/>
  <c r="AO2391" i="3"/>
  <c r="AN2391" i="3"/>
  <c r="AM2391" i="3"/>
  <c r="AL2391" i="3"/>
  <c r="L2391" i="3"/>
  <c r="D2391" i="3"/>
  <c r="AQ2390" i="3"/>
  <c r="AP2390" i="3"/>
  <c r="AO2390" i="3"/>
  <c r="AN2390" i="3"/>
  <c r="AM2390" i="3"/>
  <c r="AL2390" i="3"/>
  <c r="L2390" i="3"/>
  <c r="D2390" i="3"/>
  <c r="AQ2389" i="3"/>
  <c r="AP2389" i="3"/>
  <c r="AO2389" i="3"/>
  <c r="AN2389" i="3"/>
  <c r="AM2389" i="3"/>
  <c r="AL2389" i="3"/>
  <c r="L2389" i="3"/>
  <c r="D2389" i="3"/>
  <c r="L2388" i="3"/>
  <c r="D2388" i="3"/>
  <c r="L2387" i="3"/>
  <c r="D2387" i="3"/>
  <c r="AQ2386" i="3"/>
  <c r="AP2386" i="3"/>
  <c r="AO2386" i="3"/>
  <c r="AN2386" i="3"/>
  <c r="AM2386" i="3"/>
  <c r="AL2386" i="3"/>
  <c r="L2386" i="3"/>
  <c r="D2386" i="3"/>
  <c r="AQ2385" i="3"/>
  <c r="AP2385" i="3"/>
  <c r="AO2385" i="3"/>
  <c r="AN2385" i="3"/>
  <c r="AM2385" i="3"/>
  <c r="AL2385" i="3"/>
  <c r="L2385" i="3"/>
  <c r="D2385" i="3"/>
  <c r="AQ2384" i="3"/>
  <c r="AP2384" i="3"/>
  <c r="AO2384" i="3"/>
  <c r="AN2384" i="3"/>
  <c r="AM2384" i="3"/>
  <c r="AL2384" i="3"/>
  <c r="L2384" i="3"/>
  <c r="D2384" i="3"/>
  <c r="AQ2383" i="3"/>
  <c r="AP2383" i="3"/>
  <c r="AO2383" i="3"/>
  <c r="AN2383" i="3"/>
  <c r="AM2383" i="3"/>
  <c r="AL2383" i="3"/>
  <c r="L2383" i="3"/>
  <c r="D2383" i="3"/>
  <c r="AQ2382" i="3"/>
  <c r="AP2382" i="3"/>
  <c r="AO2382" i="3"/>
  <c r="AN2382" i="3"/>
  <c r="AM2382" i="3"/>
  <c r="AL2382" i="3"/>
  <c r="L2382" i="3"/>
  <c r="D2382" i="3"/>
  <c r="AQ2381" i="3"/>
  <c r="AP2381" i="3"/>
  <c r="AO2381" i="3"/>
  <c r="AN2381" i="3"/>
  <c r="AM2381" i="3"/>
  <c r="AL2381" i="3"/>
  <c r="L2381" i="3"/>
  <c r="D2381" i="3"/>
  <c r="AQ2380" i="3"/>
  <c r="AP2380" i="3"/>
  <c r="AO2380" i="3"/>
  <c r="AN2380" i="3"/>
  <c r="AM2380" i="3"/>
  <c r="AL2380" i="3"/>
  <c r="L2380" i="3"/>
  <c r="D2380" i="3"/>
  <c r="AQ2379" i="3"/>
  <c r="AP2379" i="3"/>
  <c r="AO2379" i="3"/>
  <c r="AN2379" i="3"/>
  <c r="AM2379" i="3"/>
  <c r="AL2379" i="3"/>
  <c r="L2379" i="3"/>
  <c r="D2379" i="3"/>
  <c r="AQ2378" i="3"/>
  <c r="AP2378" i="3"/>
  <c r="AO2378" i="3"/>
  <c r="AN2378" i="3"/>
  <c r="AM2378" i="3"/>
  <c r="AL2378" i="3"/>
  <c r="L2378" i="3"/>
  <c r="D2378" i="3"/>
  <c r="L2377" i="3"/>
  <c r="D2377" i="3"/>
  <c r="AQ2376" i="3"/>
  <c r="AP2376" i="3"/>
  <c r="AO2376" i="3"/>
  <c r="AN2376" i="3"/>
  <c r="AM2376" i="3"/>
  <c r="AL2376" i="3"/>
  <c r="L2376" i="3"/>
  <c r="D2376" i="3"/>
  <c r="L2375" i="3"/>
  <c r="D2375" i="3"/>
  <c r="AQ2374" i="3"/>
  <c r="AP2374" i="3"/>
  <c r="AO2374" i="3"/>
  <c r="AN2374" i="3"/>
  <c r="AM2374" i="3"/>
  <c r="AL2374" i="3"/>
  <c r="L2374" i="3"/>
  <c r="D2374" i="3"/>
  <c r="L2373" i="3"/>
  <c r="D2373" i="3"/>
  <c r="AQ2372" i="3"/>
  <c r="AP2372" i="3"/>
  <c r="AO2372" i="3"/>
  <c r="AN2372" i="3"/>
  <c r="AM2372" i="3"/>
  <c r="AL2372" i="3"/>
  <c r="L2372" i="3"/>
  <c r="D2372" i="3"/>
  <c r="L2371" i="3"/>
  <c r="D2371" i="3"/>
  <c r="AQ2370" i="3"/>
  <c r="AP2370" i="3"/>
  <c r="AO2370" i="3"/>
  <c r="AN2370" i="3"/>
  <c r="AM2370" i="3"/>
  <c r="AL2370" i="3"/>
  <c r="L2370" i="3"/>
  <c r="D2370" i="3"/>
  <c r="L2369" i="3"/>
  <c r="D2369" i="3"/>
  <c r="AQ2368" i="3"/>
  <c r="AP2368" i="3"/>
  <c r="AO2368" i="3"/>
  <c r="AN2368" i="3"/>
  <c r="AM2368" i="3"/>
  <c r="AL2368" i="3"/>
  <c r="L2368" i="3"/>
  <c r="D2368" i="3"/>
  <c r="AQ2367" i="3"/>
  <c r="AP2367" i="3"/>
  <c r="AO2367" i="3"/>
  <c r="AN2367" i="3"/>
  <c r="AM2367" i="3"/>
  <c r="AL2367" i="3"/>
  <c r="L2367" i="3"/>
  <c r="D2367" i="3"/>
  <c r="L2366" i="3"/>
  <c r="D2366" i="3"/>
  <c r="AQ2365" i="3"/>
  <c r="AP2365" i="3"/>
  <c r="AO2365" i="3"/>
  <c r="AN2365" i="3"/>
  <c r="AM2365" i="3"/>
  <c r="AL2365" i="3"/>
  <c r="L2365" i="3"/>
  <c r="D2365" i="3"/>
  <c r="AQ2364" i="3"/>
  <c r="AP2364" i="3"/>
  <c r="AO2364" i="3"/>
  <c r="AN2364" i="3"/>
  <c r="AM2364" i="3"/>
  <c r="AL2364" i="3"/>
  <c r="L2364" i="3"/>
  <c r="D2364" i="3"/>
  <c r="AQ2363" i="3"/>
  <c r="AP2363" i="3"/>
  <c r="AO2363" i="3"/>
  <c r="AN2363" i="3"/>
  <c r="AM2363" i="3"/>
  <c r="AL2363" i="3"/>
  <c r="L2363" i="3"/>
  <c r="D2363" i="3"/>
  <c r="L2362" i="3"/>
  <c r="D2362" i="3"/>
  <c r="AQ2361" i="3"/>
  <c r="AP2361" i="3"/>
  <c r="AO2361" i="3"/>
  <c r="AN2361" i="3"/>
  <c r="AM2361" i="3"/>
  <c r="AL2361" i="3"/>
  <c r="L2361" i="3"/>
  <c r="D2361" i="3"/>
  <c r="AQ2360" i="3"/>
  <c r="AP2360" i="3"/>
  <c r="AO2360" i="3"/>
  <c r="AN2360" i="3"/>
  <c r="AM2360" i="3"/>
  <c r="AL2360" i="3"/>
  <c r="L2360" i="3"/>
  <c r="D2360" i="3"/>
  <c r="AQ2359" i="3"/>
  <c r="AP2359" i="3"/>
  <c r="AO2359" i="3"/>
  <c r="AN2359" i="3"/>
  <c r="AM2359" i="3"/>
  <c r="AL2359" i="3"/>
  <c r="L2359" i="3"/>
  <c r="D2359" i="3"/>
  <c r="AQ2358" i="3"/>
  <c r="AP2358" i="3"/>
  <c r="AO2358" i="3"/>
  <c r="AN2358" i="3"/>
  <c r="AM2358" i="3"/>
  <c r="AL2358" i="3"/>
  <c r="L2358" i="3"/>
  <c r="D2358" i="3"/>
  <c r="L2357" i="3"/>
  <c r="D2357" i="3"/>
  <c r="L2356" i="3"/>
  <c r="D2356" i="3"/>
  <c r="L2355" i="3"/>
  <c r="D2355" i="3"/>
  <c r="AQ2354" i="3"/>
  <c r="AP2354" i="3"/>
  <c r="AO2354" i="3"/>
  <c r="AN2354" i="3"/>
  <c r="AM2354" i="3"/>
  <c r="AL2354" i="3"/>
  <c r="L2354" i="3"/>
  <c r="D2354" i="3"/>
  <c r="L2353" i="3"/>
  <c r="D2353" i="3"/>
  <c r="AQ2352" i="3"/>
  <c r="AP2352" i="3"/>
  <c r="AO2352" i="3"/>
  <c r="AN2352" i="3"/>
  <c r="AM2352" i="3"/>
  <c r="AL2352" i="3"/>
  <c r="L2352" i="3"/>
  <c r="D2352" i="3"/>
  <c r="AQ2351" i="3"/>
  <c r="AP2351" i="3"/>
  <c r="AO2351" i="3"/>
  <c r="AN2351" i="3"/>
  <c r="AM2351" i="3"/>
  <c r="AL2351" i="3"/>
  <c r="L2351" i="3"/>
  <c r="D2351" i="3"/>
  <c r="AQ2350" i="3"/>
  <c r="AP2350" i="3"/>
  <c r="AO2350" i="3"/>
  <c r="AN2350" i="3"/>
  <c r="AM2350" i="3"/>
  <c r="AL2350" i="3"/>
  <c r="L2350" i="3"/>
  <c r="D2350" i="3"/>
  <c r="L2349" i="3"/>
  <c r="D2349" i="3"/>
  <c r="AQ2348" i="3"/>
  <c r="AP2348" i="3"/>
  <c r="AO2348" i="3"/>
  <c r="AN2348" i="3"/>
  <c r="AM2348" i="3"/>
  <c r="AL2348" i="3"/>
  <c r="L2348" i="3"/>
  <c r="D2348" i="3"/>
  <c r="L2347" i="3"/>
  <c r="D2347" i="3"/>
  <c r="AQ2346" i="3"/>
  <c r="AP2346" i="3"/>
  <c r="AO2346" i="3"/>
  <c r="AN2346" i="3"/>
  <c r="AM2346" i="3"/>
  <c r="AL2346" i="3"/>
  <c r="L2346" i="3"/>
  <c r="D2346" i="3"/>
  <c r="AQ2345" i="3"/>
  <c r="AP2345" i="3"/>
  <c r="AO2345" i="3"/>
  <c r="AN2345" i="3"/>
  <c r="AM2345" i="3"/>
  <c r="AL2345" i="3"/>
  <c r="L2345" i="3"/>
  <c r="D2345" i="3"/>
  <c r="AQ2344" i="3"/>
  <c r="AP2344" i="3"/>
  <c r="AO2344" i="3"/>
  <c r="AN2344" i="3"/>
  <c r="AM2344" i="3"/>
  <c r="AL2344" i="3"/>
  <c r="L2344" i="3"/>
  <c r="D2344" i="3"/>
  <c r="L2343" i="3"/>
  <c r="D2343" i="3"/>
  <c r="AQ2342" i="3"/>
  <c r="AP2342" i="3"/>
  <c r="AO2342" i="3"/>
  <c r="AN2342" i="3"/>
  <c r="AM2342" i="3"/>
  <c r="AL2342" i="3"/>
  <c r="L2342" i="3"/>
  <c r="D2342" i="3"/>
  <c r="AQ2341" i="3"/>
  <c r="AP2341" i="3"/>
  <c r="AO2341" i="3"/>
  <c r="AN2341" i="3"/>
  <c r="AM2341" i="3"/>
  <c r="AL2341" i="3"/>
  <c r="L2341" i="3"/>
  <c r="D2341" i="3"/>
  <c r="AQ2340" i="3"/>
  <c r="AP2340" i="3"/>
  <c r="AO2340" i="3"/>
  <c r="AN2340" i="3"/>
  <c r="AM2340" i="3"/>
  <c r="AL2340" i="3"/>
  <c r="L2340" i="3"/>
  <c r="D2340" i="3"/>
  <c r="AQ2339" i="3"/>
  <c r="AP2339" i="3"/>
  <c r="AO2339" i="3"/>
  <c r="AN2339" i="3"/>
  <c r="AM2339" i="3"/>
  <c r="AL2339" i="3"/>
  <c r="L2339" i="3"/>
  <c r="D2339" i="3"/>
  <c r="AQ2338" i="3"/>
  <c r="AP2338" i="3"/>
  <c r="AO2338" i="3"/>
  <c r="AN2338" i="3"/>
  <c r="AM2338" i="3"/>
  <c r="AL2338" i="3"/>
  <c r="L2338" i="3"/>
  <c r="D2338" i="3"/>
  <c r="AQ2337" i="3"/>
  <c r="AP2337" i="3"/>
  <c r="AO2337" i="3"/>
  <c r="AN2337" i="3"/>
  <c r="AM2337" i="3"/>
  <c r="AL2337" i="3"/>
  <c r="L2337" i="3"/>
  <c r="D2337" i="3"/>
  <c r="AQ2336" i="3"/>
  <c r="AP2336" i="3"/>
  <c r="AO2336" i="3"/>
  <c r="AN2336" i="3"/>
  <c r="AM2336" i="3"/>
  <c r="AL2336" i="3"/>
  <c r="L2336" i="3"/>
  <c r="D2336" i="3"/>
  <c r="AQ2335" i="3"/>
  <c r="AP2335" i="3"/>
  <c r="AO2335" i="3"/>
  <c r="AN2335" i="3"/>
  <c r="AM2335" i="3"/>
  <c r="AL2335" i="3"/>
  <c r="L2335" i="3"/>
  <c r="D2335" i="3"/>
  <c r="AQ2334" i="3"/>
  <c r="AP2334" i="3"/>
  <c r="AO2334" i="3"/>
  <c r="AN2334" i="3"/>
  <c r="AM2334" i="3"/>
  <c r="AL2334" i="3"/>
  <c r="L2334" i="3"/>
  <c r="D2334" i="3"/>
  <c r="AQ2333" i="3"/>
  <c r="AP2333" i="3"/>
  <c r="AO2333" i="3"/>
  <c r="AN2333" i="3"/>
  <c r="AM2333" i="3"/>
  <c r="AL2333" i="3"/>
  <c r="L2333" i="3"/>
  <c r="D2333" i="3"/>
  <c r="AQ2332" i="3"/>
  <c r="AP2332" i="3"/>
  <c r="AO2332" i="3"/>
  <c r="AN2332" i="3"/>
  <c r="AM2332" i="3"/>
  <c r="AL2332" i="3"/>
  <c r="L2332" i="3"/>
  <c r="D2332" i="3"/>
  <c r="L2331" i="3"/>
  <c r="D2331" i="3"/>
  <c r="L2330" i="3"/>
  <c r="D2330" i="3"/>
  <c r="AQ2329" i="3"/>
  <c r="AP2329" i="3"/>
  <c r="AO2329" i="3"/>
  <c r="AN2329" i="3"/>
  <c r="AM2329" i="3"/>
  <c r="AL2329" i="3"/>
  <c r="L2329" i="3"/>
  <c r="D2329" i="3"/>
  <c r="L2328" i="3"/>
  <c r="D2328" i="3"/>
  <c r="AQ2327" i="3"/>
  <c r="AP2327" i="3"/>
  <c r="AO2327" i="3"/>
  <c r="AN2327" i="3"/>
  <c r="AM2327" i="3"/>
  <c r="AL2327" i="3"/>
  <c r="L2327" i="3"/>
  <c r="D2327" i="3"/>
  <c r="AQ2326" i="3"/>
  <c r="AP2326" i="3"/>
  <c r="AO2326" i="3"/>
  <c r="AN2326" i="3"/>
  <c r="AM2326" i="3"/>
  <c r="AL2326" i="3"/>
  <c r="L2326" i="3"/>
  <c r="D2326" i="3"/>
  <c r="AQ2325" i="3"/>
  <c r="AP2325" i="3"/>
  <c r="AO2325" i="3"/>
  <c r="AN2325" i="3"/>
  <c r="AM2325" i="3"/>
  <c r="AL2325" i="3"/>
  <c r="L2325" i="3"/>
  <c r="D2325" i="3"/>
  <c r="AQ2324" i="3"/>
  <c r="AP2324" i="3"/>
  <c r="AO2324" i="3"/>
  <c r="AN2324" i="3"/>
  <c r="AM2324" i="3"/>
  <c r="AL2324" i="3"/>
  <c r="L2324" i="3"/>
  <c r="D2324" i="3"/>
  <c r="L2323" i="3"/>
  <c r="D2323" i="3"/>
  <c r="AQ2322" i="3"/>
  <c r="AP2322" i="3"/>
  <c r="AO2322" i="3"/>
  <c r="AN2322" i="3"/>
  <c r="AM2322" i="3"/>
  <c r="AL2322" i="3"/>
  <c r="L2322" i="3"/>
  <c r="D2322" i="3"/>
  <c r="AQ2321" i="3"/>
  <c r="AP2321" i="3"/>
  <c r="AO2321" i="3"/>
  <c r="AN2321" i="3"/>
  <c r="AM2321" i="3"/>
  <c r="AL2321" i="3"/>
  <c r="L2321" i="3"/>
  <c r="D2321" i="3"/>
  <c r="AQ2320" i="3"/>
  <c r="AP2320" i="3"/>
  <c r="AO2320" i="3"/>
  <c r="AN2320" i="3"/>
  <c r="AM2320" i="3"/>
  <c r="AL2320" i="3"/>
  <c r="L2320" i="3"/>
  <c r="D2320" i="3"/>
  <c r="AQ2319" i="3"/>
  <c r="AP2319" i="3"/>
  <c r="AO2319" i="3"/>
  <c r="AN2319" i="3"/>
  <c r="AM2319" i="3"/>
  <c r="AL2319" i="3"/>
  <c r="L2319" i="3"/>
  <c r="D2319" i="3"/>
  <c r="AQ2318" i="3"/>
  <c r="AP2318" i="3"/>
  <c r="AO2318" i="3"/>
  <c r="AN2318" i="3"/>
  <c r="AM2318" i="3"/>
  <c r="AL2318" i="3"/>
  <c r="L2318" i="3"/>
  <c r="D2318" i="3"/>
  <c r="AQ2317" i="3"/>
  <c r="AP2317" i="3"/>
  <c r="AO2317" i="3"/>
  <c r="AN2317" i="3"/>
  <c r="AM2317" i="3"/>
  <c r="AL2317" i="3"/>
  <c r="L2317" i="3"/>
  <c r="D2317" i="3"/>
  <c r="AQ2316" i="3"/>
  <c r="AP2316" i="3"/>
  <c r="AO2316" i="3"/>
  <c r="AN2316" i="3"/>
  <c r="AM2316" i="3"/>
  <c r="AL2316" i="3"/>
  <c r="L2316" i="3"/>
  <c r="D2316" i="3"/>
  <c r="AQ2315" i="3"/>
  <c r="AP2315" i="3"/>
  <c r="AO2315" i="3"/>
  <c r="AN2315" i="3"/>
  <c r="AM2315" i="3"/>
  <c r="AL2315" i="3"/>
  <c r="L2315" i="3"/>
  <c r="D2315" i="3"/>
  <c r="L2314" i="3"/>
  <c r="D2314" i="3"/>
  <c r="AQ2313" i="3"/>
  <c r="AP2313" i="3"/>
  <c r="AO2313" i="3"/>
  <c r="AN2313" i="3"/>
  <c r="AM2313" i="3"/>
  <c r="AL2313" i="3"/>
  <c r="L2313" i="3"/>
  <c r="D2313" i="3"/>
  <c r="L2312" i="3"/>
  <c r="D2312" i="3"/>
  <c r="AQ2311" i="3"/>
  <c r="AP2311" i="3"/>
  <c r="AO2311" i="3"/>
  <c r="AN2311" i="3"/>
  <c r="AM2311" i="3"/>
  <c r="AL2311" i="3"/>
  <c r="L2311" i="3"/>
  <c r="D2311" i="3"/>
  <c r="AQ2310" i="3"/>
  <c r="AP2310" i="3"/>
  <c r="AO2310" i="3"/>
  <c r="AN2310" i="3"/>
  <c r="AM2310" i="3"/>
  <c r="AL2310" i="3"/>
  <c r="L2310" i="3"/>
  <c r="D2310" i="3"/>
  <c r="AQ2309" i="3"/>
  <c r="AP2309" i="3"/>
  <c r="AO2309" i="3"/>
  <c r="AN2309" i="3"/>
  <c r="AM2309" i="3"/>
  <c r="AL2309" i="3"/>
  <c r="L2309" i="3"/>
  <c r="D2309" i="3"/>
  <c r="AQ2308" i="3"/>
  <c r="AP2308" i="3"/>
  <c r="AO2308" i="3"/>
  <c r="AN2308" i="3"/>
  <c r="AM2308" i="3"/>
  <c r="AL2308" i="3"/>
  <c r="L2308" i="3"/>
  <c r="D2308" i="3"/>
  <c r="AQ2307" i="3"/>
  <c r="AP2307" i="3"/>
  <c r="AO2307" i="3"/>
  <c r="AN2307" i="3"/>
  <c r="AM2307" i="3"/>
  <c r="AL2307" i="3"/>
  <c r="L2307" i="3"/>
  <c r="D2307" i="3"/>
  <c r="AQ2306" i="3"/>
  <c r="AP2306" i="3"/>
  <c r="AO2306" i="3"/>
  <c r="AN2306" i="3"/>
  <c r="AM2306" i="3"/>
  <c r="AL2306" i="3"/>
  <c r="L2306" i="3"/>
  <c r="D2306" i="3"/>
  <c r="AQ2305" i="3"/>
  <c r="AP2305" i="3"/>
  <c r="AO2305" i="3"/>
  <c r="AN2305" i="3"/>
  <c r="AM2305" i="3"/>
  <c r="AL2305" i="3"/>
  <c r="L2305" i="3"/>
  <c r="D2305" i="3"/>
  <c r="L2304" i="3"/>
  <c r="D2304" i="3"/>
  <c r="AQ2303" i="3"/>
  <c r="AP2303" i="3"/>
  <c r="AO2303" i="3"/>
  <c r="AN2303" i="3"/>
  <c r="AM2303" i="3"/>
  <c r="AL2303" i="3"/>
  <c r="L2303" i="3"/>
  <c r="D2303" i="3"/>
  <c r="L2302" i="3"/>
  <c r="D2302" i="3"/>
  <c r="AQ2301" i="3"/>
  <c r="AP2301" i="3"/>
  <c r="AO2301" i="3"/>
  <c r="AN2301" i="3"/>
  <c r="AM2301" i="3"/>
  <c r="AL2301" i="3"/>
  <c r="L2301" i="3"/>
  <c r="D2301" i="3"/>
  <c r="AQ2300" i="3"/>
  <c r="AP2300" i="3"/>
  <c r="AO2300" i="3"/>
  <c r="AN2300" i="3"/>
  <c r="AM2300" i="3"/>
  <c r="AL2300" i="3"/>
  <c r="L2300" i="3"/>
  <c r="D2300" i="3"/>
  <c r="AQ2299" i="3"/>
  <c r="AP2299" i="3"/>
  <c r="AO2299" i="3"/>
  <c r="AN2299" i="3"/>
  <c r="AM2299" i="3"/>
  <c r="AL2299" i="3"/>
  <c r="L2299" i="3"/>
  <c r="D2299" i="3"/>
  <c r="AQ2298" i="3"/>
  <c r="AP2298" i="3"/>
  <c r="AO2298" i="3"/>
  <c r="AN2298" i="3"/>
  <c r="AM2298" i="3"/>
  <c r="AL2298" i="3"/>
  <c r="L2298" i="3"/>
  <c r="D2298" i="3"/>
  <c r="AQ2297" i="3"/>
  <c r="AP2297" i="3"/>
  <c r="AO2297" i="3"/>
  <c r="AN2297" i="3"/>
  <c r="AM2297" i="3"/>
  <c r="AL2297" i="3"/>
  <c r="L2297" i="3"/>
  <c r="D2297" i="3"/>
  <c r="AQ2296" i="3"/>
  <c r="AP2296" i="3"/>
  <c r="AO2296" i="3"/>
  <c r="AN2296" i="3"/>
  <c r="AM2296" i="3"/>
  <c r="AL2296" i="3"/>
  <c r="L2296" i="3"/>
  <c r="D2296" i="3"/>
  <c r="L2295" i="3"/>
  <c r="D2295" i="3"/>
  <c r="L2294" i="3"/>
  <c r="D2294" i="3"/>
  <c r="AQ2293" i="3"/>
  <c r="AP2293" i="3"/>
  <c r="AO2293" i="3"/>
  <c r="AN2293" i="3"/>
  <c r="AM2293" i="3"/>
  <c r="AL2293" i="3"/>
  <c r="L2293" i="3"/>
  <c r="D2293" i="3"/>
  <c r="AQ2292" i="3"/>
  <c r="AP2292" i="3"/>
  <c r="AO2292" i="3"/>
  <c r="AN2292" i="3"/>
  <c r="AM2292" i="3"/>
  <c r="AL2292" i="3"/>
  <c r="L2292" i="3"/>
  <c r="D2292" i="3"/>
  <c r="AQ2291" i="3"/>
  <c r="AP2291" i="3"/>
  <c r="AO2291" i="3"/>
  <c r="AN2291" i="3"/>
  <c r="AM2291" i="3"/>
  <c r="AL2291" i="3"/>
  <c r="L2291" i="3"/>
  <c r="D2291" i="3"/>
  <c r="AQ2290" i="3"/>
  <c r="AP2290" i="3"/>
  <c r="AO2290" i="3"/>
  <c r="AN2290" i="3"/>
  <c r="AM2290" i="3"/>
  <c r="AL2290" i="3"/>
  <c r="L2290" i="3"/>
  <c r="D2290" i="3"/>
  <c r="AQ2289" i="3"/>
  <c r="AP2289" i="3"/>
  <c r="AO2289" i="3"/>
  <c r="AN2289" i="3"/>
  <c r="AM2289" i="3"/>
  <c r="AL2289" i="3"/>
  <c r="L2289" i="3"/>
  <c r="D2289" i="3"/>
  <c r="AQ2288" i="3"/>
  <c r="AP2288" i="3"/>
  <c r="AO2288" i="3"/>
  <c r="AN2288" i="3"/>
  <c r="AM2288" i="3"/>
  <c r="AL2288" i="3"/>
  <c r="L2288" i="3"/>
  <c r="D2288" i="3"/>
  <c r="AQ2287" i="3"/>
  <c r="AP2287" i="3"/>
  <c r="AO2287" i="3"/>
  <c r="AN2287" i="3"/>
  <c r="AM2287" i="3"/>
  <c r="AL2287" i="3"/>
  <c r="L2287" i="3"/>
  <c r="D2287" i="3"/>
  <c r="L2286" i="3"/>
  <c r="D2286" i="3"/>
  <c r="AQ2285" i="3"/>
  <c r="AP2285" i="3"/>
  <c r="AO2285" i="3"/>
  <c r="AN2285" i="3"/>
  <c r="AM2285" i="3"/>
  <c r="AL2285" i="3"/>
  <c r="L2285" i="3"/>
  <c r="D2285" i="3"/>
  <c r="L2284" i="3"/>
  <c r="D2284" i="3"/>
  <c r="AQ2283" i="3"/>
  <c r="AP2283" i="3"/>
  <c r="AO2283" i="3"/>
  <c r="AN2283" i="3"/>
  <c r="AM2283" i="3"/>
  <c r="AL2283" i="3"/>
  <c r="L2283" i="3"/>
  <c r="D2283" i="3"/>
  <c r="AQ2282" i="3"/>
  <c r="AP2282" i="3"/>
  <c r="AO2282" i="3"/>
  <c r="AN2282" i="3"/>
  <c r="AM2282" i="3"/>
  <c r="AL2282" i="3"/>
  <c r="L2282" i="3"/>
  <c r="D2282" i="3"/>
  <c r="L2281" i="3"/>
  <c r="D2281" i="3"/>
  <c r="AQ2280" i="3"/>
  <c r="AP2280" i="3"/>
  <c r="AO2280" i="3"/>
  <c r="AN2280" i="3"/>
  <c r="AM2280" i="3"/>
  <c r="AL2280" i="3"/>
  <c r="L2280" i="3"/>
  <c r="D2280" i="3"/>
  <c r="AQ2279" i="3"/>
  <c r="AP2279" i="3"/>
  <c r="AO2279" i="3"/>
  <c r="AN2279" i="3"/>
  <c r="AM2279" i="3"/>
  <c r="AL2279" i="3"/>
  <c r="L2279" i="3"/>
  <c r="D2279" i="3"/>
  <c r="AQ2278" i="3"/>
  <c r="AP2278" i="3"/>
  <c r="AO2278" i="3"/>
  <c r="AN2278" i="3"/>
  <c r="AM2278" i="3"/>
  <c r="AL2278" i="3"/>
  <c r="L2278" i="3"/>
  <c r="D2278" i="3"/>
  <c r="AQ2277" i="3"/>
  <c r="AP2277" i="3"/>
  <c r="AO2277" i="3"/>
  <c r="AN2277" i="3"/>
  <c r="AM2277" i="3"/>
  <c r="AL2277" i="3"/>
  <c r="L2277" i="3"/>
  <c r="D2277" i="3"/>
  <c r="AQ2276" i="3"/>
  <c r="AP2276" i="3"/>
  <c r="AO2276" i="3"/>
  <c r="AN2276" i="3"/>
  <c r="AM2276" i="3"/>
  <c r="AL2276" i="3"/>
  <c r="L2276" i="3"/>
  <c r="D2276" i="3"/>
  <c r="AQ2275" i="3"/>
  <c r="AP2275" i="3"/>
  <c r="AO2275" i="3"/>
  <c r="AN2275" i="3"/>
  <c r="AM2275" i="3"/>
  <c r="AL2275" i="3"/>
  <c r="L2275" i="3"/>
  <c r="D2275" i="3"/>
  <c r="AQ2274" i="3"/>
  <c r="AP2274" i="3"/>
  <c r="AO2274" i="3"/>
  <c r="AN2274" i="3"/>
  <c r="AM2274" i="3"/>
  <c r="AL2274" i="3"/>
  <c r="L2274" i="3"/>
  <c r="D2274" i="3"/>
  <c r="AQ2273" i="3"/>
  <c r="AP2273" i="3"/>
  <c r="AO2273" i="3"/>
  <c r="AN2273" i="3"/>
  <c r="AM2273" i="3"/>
  <c r="AL2273" i="3"/>
  <c r="L2273" i="3"/>
  <c r="D2273" i="3"/>
  <c r="AQ2272" i="3"/>
  <c r="AP2272" i="3"/>
  <c r="AO2272" i="3"/>
  <c r="AN2272" i="3"/>
  <c r="AM2272" i="3"/>
  <c r="AL2272" i="3"/>
  <c r="L2272" i="3"/>
  <c r="D2272" i="3"/>
  <c r="L2271" i="3"/>
  <c r="D2271" i="3"/>
  <c r="AQ2270" i="3"/>
  <c r="AP2270" i="3"/>
  <c r="AO2270" i="3"/>
  <c r="AN2270" i="3"/>
  <c r="AM2270" i="3"/>
  <c r="AL2270" i="3"/>
  <c r="L2270" i="3"/>
  <c r="D2270" i="3"/>
  <c r="AQ2269" i="3"/>
  <c r="AP2269" i="3"/>
  <c r="AO2269" i="3"/>
  <c r="AN2269" i="3"/>
  <c r="AM2269" i="3"/>
  <c r="AL2269" i="3"/>
  <c r="L2269" i="3"/>
  <c r="D2269" i="3"/>
  <c r="AQ2268" i="3"/>
  <c r="AP2268" i="3"/>
  <c r="AO2268" i="3"/>
  <c r="AN2268" i="3"/>
  <c r="AM2268" i="3"/>
  <c r="AL2268" i="3"/>
  <c r="L2268" i="3"/>
  <c r="D2268" i="3"/>
  <c r="AQ2267" i="3"/>
  <c r="AP2267" i="3"/>
  <c r="AO2267" i="3"/>
  <c r="AN2267" i="3"/>
  <c r="AM2267" i="3"/>
  <c r="AL2267" i="3"/>
  <c r="L2267" i="3"/>
  <c r="D2267" i="3"/>
  <c r="AQ2266" i="3"/>
  <c r="AP2266" i="3"/>
  <c r="AO2266" i="3"/>
  <c r="AN2266" i="3"/>
  <c r="AM2266" i="3"/>
  <c r="AL2266" i="3"/>
  <c r="L2266" i="3"/>
  <c r="D2266" i="3"/>
  <c r="AQ2265" i="3"/>
  <c r="AP2265" i="3"/>
  <c r="AO2265" i="3"/>
  <c r="AN2265" i="3"/>
  <c r="AM2265" i="3"/>
  <c r="AL2265" i="3"/>
  <c r="L2265" i="3"/>
  <c r="D2265" i="3"/>
  <c r="AQ2264" i="3"/>
  <c r="AP2264" i="3"/>
  <c r="AO2264" i="3"/>
  <c r="AN2264" i="3"/>
  <c r="AM2264" i="3"/>
  <c r="AL2264" i="3"/>
  <c r="L2264" i="3"/>
  <c r="D2264" i="3"/>
  <c r="L2263" i="3"/>
  <c r="D2263" i="3"/>
  <c r="AQ2262" i="3"/>
  <c r="AP2262" i="3"/>
  <c r="AO2262" i="3"/>
  <c r="AN2262" i="3"/>
  <c r="AM2262" i="3"/>
  <c r="AL2262" i="3"/>
  <c r="L2262" i="3"/>
  <c r="D2262" i="3"/>
  <c r="L2261" i="3"/>
  <c r="D2261" i="3"/>
  <c r="L2260" i="3"/>
  <c r="D2260" i="3"/>
  <c r="L2259" i="3"/>
  <c r="D2259" i="3"/>
  <c r="AQ2258" i="3"/>
  <c r="AP2258" i="3"/>
  <c r="AO2258" i="3"/>
  <c r="AN2258" i="3"/>
  <c r="AM2258" i="3"/>
  <c r="AL2258" i="3"/>
  <c r="L2258" i="3"/>
  <c r="D2258" i="3"/>
  <c r="AQ2257" i="3"/>
  <c r="AP2257" i="3"/>
  <c r="AO2257" i="3"/>
  <c r="AN2257" i="3"/>
  <c r="AM2257" i="3"/>
  <c r="AL2257" i="3"/>
  <c r="L2257" i="3"/>
  <c r="D2257" i="3"/>
  <c r="AQ2256" i="3"/>
  <c r="AP2256" i="3"/>
  <c r="AO2256" i="3"/>
  <c r="AN2256" i="3"/>
  <c r="AM2256" i="3"/>
  <c r="AL2256" i="3"/>
  <c r="L2256" i="3"/>
  <c r="D2256" i="3"/>
  <c r="L2255" i="3"/>
  <c r="D2255" i="3"/>
  <c r="AQ2254" i="3"/>
  <c r="AP2254" i="3"/>
  <c r="AO2254" i="3"/>
  <c r="AN2254" i="3"/>
  <c r="AM2254" i="3"/>
  <c r="AL2254" i="3"/>
  <c r="L2254" i="3"/>
  <c r="D2254" i="3"/>
  <c r="AQ2253" i="3"/>
  <c r="AP2253" i="3"/>
  <c r="AO2253" i="3"/>
  <c r="AN2253" i="3"/>
  <c r="AM2253" i="3"/>
  <c r="AL2253" i="3"/>
  <c r="L2253" i="3"/>
  <c r="D2253" i="3"/>
  <c r="AQ2252" i="3"/>
  <c r="AP2252" i="3"/>
  <c r="AO2252" i="3"/>
  <c r="AN2252" i="3"/>
  <c r="AM2252" i="3"/>
  <c r="AL2252" i="3"/>
  <c r="L2252" i="3"/>
  <c r="D2252" i="3"/>
  <c r="AQ2251" i="3"/>
  <c r="AP2251" i="3"/>
  <c r="AO2251" i="3"/>
  <c r="AN2251" i="3"/>
  <c r="AM2251" i="3"/>
  <c r="AL2251" i="3"/>
  <c r="L2251" i="3"/>
  <c r="D2251" i="3"/>
  <c r="L2250" i="3"/>
  <c r="D2250" i="3"/>
  <c r="L2249" i="3"/>
  <c r="D2249" i="3"/>
  <c r="L2248" i="3"/>
  <c r="D2248" i="3"/>
  <c r="AQ2247" i="3"/>
  <c r="AP2247" i="3"/>
  <c r="AO2247" i="3"/>
  <c r="AN2247" i="3"/>
  <c r="AM2247" i="3"/>
  <c r="AL2247" i="3"/>
  <c r="L2247" i="3"/>
  <c r="D2247" i="3"/>
  <c r="AQ2246" i="3"/>
  <c r="AP2246" i="3"/>
  <c r="AO2246" i="3"/>
  <c r="AN2246" i="3"/>
  <c r="AM2246" i="3"/>
  <c r="AL2246" i="3"/>
  <c r="L2246" i="3"/>
  <c r="D2246" i="3"/>
  <c r="AQ2245" i="3"/>
  <c r="AP2245" i="3"/>
  <c r="AO2245" i="3"/>
  <c r="AN2245" i="3"/>
  <c r="AM2245" i="3"/>
  <c r="AL2245" i="3"/>
  <c r="L2245" i="3"/>
  <c r="D2245" i="3"/>
  <c r="AQ2244" i="3"/>
  <c r="AP2244" i="3"/>
  <c r="AO2244" i="3"/>
  <c r="AN2244" i="3"/>
  <c r="AM2244" i="3"/>
  <c r="AL2244" i="3"/>
  <c r="L2244" i="3"/>
  <c r="D2244" i="3"/>
  <c r="L2243" i="3"/>
  <c r="D2243" i="3"/>
  <c r="AQ2242" i="3"/>
  <c r="AP2242" i="3"/>
  <c r="AO2242" i="3"/>
  <c r="AN2242" i="3"/>
  <c r="AM2242" i="3"/>
  <c r="AL2242" i="3"/>
  <c r="L2242" i="3"/>
  <c r="D2242" i="3"/>
  <c r="L2241" i="3"/>
  <c r="D2241" i="3"/>
  <c r="AQ2240" i="3"/>
  <c r="AP2240" i="3"/>
  <c r="AO2240" i="3"/>
  <c r="AN2240" i="3"/>
  <c r="AM2240" i="3"/>
  <c r="AL2240" i="3"/>
  <c r="L2240" i="3"/>
  <c r="D2240" i="3"/>
  <c r="AQ2239" i="3"/>
  <c r="AP2239" i="3"/>
  <c r="AO2239" i="3"/>
  <c r="AN2239" i="3"/>
  <c r="AM2239" i="3"/>
  <c r="AL2239" i="3"/>
  <c r="L2239" i="3"/>
  <c r="D2239" i="3"/>
  <c r="L2238" i="3"/>
  <c r="D2238" i="3"/>
  <c r="AQ2237" i="3"/>
  <c r="AP2237" i="3"/>
  <c r="AO2237" i="3"/>
  <c r="AN2237" i="3"/>
  <c r="AM2237" i="3"/>
  <c r="AL2237" i="3"/>
  <c r="L2237" i="3"/>
  <c r="D2237" i="3"/>
  <c r="AQ2236" i="3"/>
  <c r="AP2236" i="3"/>
  <c r="AO2236" i="3"/>
  <c r="AN2236" i="3"/>
  <c r="AM2236" i="3"/>
  <c r="AL2236" i="3"/>
  <c r="L2236" i="3"/>
  <c r="D2236" i="3"/>
  <c r="AQ2235" i="3"/>
  <c r="AP2235" i="3"/>
  <c r="AO2235" i="3"/>
  <c r="AN2235" i="3"/>
  <c r="AM2235" i="3"/>
  <c r="AL2235" i="3"/>
  <c r="L2235" i="3"/>
  <c r="D2235" i="3"/>
  <c r="AQ2234" i="3"/>
  <c r="AP2234" i="3"/>
  <c r="AO2234" i="3"/>
  <c r="AN2234" i="3"/>
  <c r="AM2234" i="3"/>
  <c r="AL2234" i="3"/>
  <c r="L2234" i="3"/>
  <c r="D2234" i="3"/>
  <c r="AQ2233" i="3"/>
  <c r="AP2233" i="3"/>
  <c r="AO2233" i="3"/>
  <c r="AN2233" i="3"/>
  <c r="AM2233" i="3"/>
  <c r="AL2233" i="3"/>
  <c r="L2233" i="3"/>
  <c r="D2233" i="3"/>
  <c r="AQ2232" i="3"/>
  <c r="AP2232" i="3"/>
  <c r="AO2232" i="3"/>
  <c r="AN2232" i="3"/>
  <c r="AM2232" i="3"/>
  <c r="AL2232" i="3"/>
  <c r="L2232" i="3"/>
  <c r="D2232" i="3"/>
  <c r="AQ2231" i="3"/>
  <c r="AP2231" i="3"/>
  <c r="AO2231" i="3"/>
  <c r="AN2231" i="3"/>
  <c r="AM2231" i="3"/>
  <c r="AL2231" i="3"/>
  <c r="L2231" i="3"/>
  <c r="D2231" i="3"/>
  <c r="L2230" i="3"/>
  <c r="D2230" i="3"/>
  <c r="AQ2229" i="3"/>
  <c r="AP2229" i="3"/>
  <c r="AO2229" i="3"/>
  <c r="AN2229" i="3"/>
  <c r="AM2229" i="3"/>
  <c r="AL2229" i="3"/>
  <c r="L2229" i="3"/>
  <c r="D2229" i="3"/>
  <c r="L2228" i="3"/>
  <c r="D2228" i="3"/>
  <c r="L2227" i="3"/>
  <c r="D2227" i="3"/>
  <c r="L2226" i="3"/>
  <c r="D2226" i="3"/>
  <c r="AQ2225" i="3"/>
  <c r="AP2225" i="3"/>
  <c r="AO2225" i="3"/>
  <c r="AN2225" i="3"/>
  <c r="AM2225" i="3"/>
  <c r="AL2225" i="3"/>
  <c r="L2225" i="3"/>
  <c r="D2225" i="3"/>
  <c r="AQ2224" i="3"/>
  <c r="AP2224" i="3"/>
  <c r="AO2224" i="3"/>
  <c r="AN2224" i="3"/>
  <c r="AM2224" i="3"/>
  <c r="AL2224" i="3"/>
  <c r="L2224" i="3"/>
  <c r="D2224" i="3"/>
  <c r="AQ2223" i="3"/>
  <c r="AP2223" i="3"/>
  <c r="AO2223" i="3"/>
  <c r="AN2223" i="3"/>
  <c r="AM2223" i="3"/>
  <c r="AL2223" i="3"/>
  <c r="L2223" i="3"/>
  <c r="D2223" i="3"/>
  <c r="AQ2222" i="3"/>
  <c r="AP2222" i="3"/>
  <c r="AO2222" i="3"/>
  <c r="AN2222" i="3"/>
  <c r="AM2222" i="3"/>
  <c r="AL2222" i="3"/>
  <c r="L2222" i="3"/>
  <c r="D2222" i="3"/>
  <c r="AQ2221" i="3"/>
  <c r="AP2221" i="3"/>
  <c r="AO2221" i="3"/>
  <c r="AN2221" i="3"/>
  <c r="AM2221" i="3"/>
  <c r="AL2221" i="3"/>
  <c r="L2221" i="3"/>
  <c r="D2221" i="3"/>
  <c r="AQ2220" i="3"/>
  <c r="AP2220" i="3"/>
  <c r="AO2220" i="3"/>
  <c r="AN2220" i="3"/>
  <c r="AM2220" i="3"/>
  <c r="AL2220" i="3"/>
  <c r="L2220" i="3"/>
  <c r="D2220" i="3"/>
  <c r="AQ2219" i="3"/>
  <c r="AP2219" i="3"/>
  <c r="AO2219" i="3"/>
  <c r="AN2219" i="3"/>
  <c r="AM2219" i="3"/>
  <c r="AL2219" i="3"/>
  <c r="L2219" i="3"/>
  <c r="D2219" i="3"/>
  <c r="AQ2218" i="3"/>
  <c r="AP2218" i="3"/>
  <c r="AO2218" i="3"/>
  <c r="AN2218" i="3"/>
  <c r="AM2218" i="3"/>
  <c r="AL2218" i="3"/>
  <c r="L2218" i="3"/>
  <c r="D2218" i="3"/>
  <c r="AQ2217" i="3"/>
  <c r="AP2217" i="3"/>
  <c r="AO2217" i="3"/>
  <c r="AN2217" i="3"/>
  <c r="AM2217" i="3"/>
  <c r="AL2217" i="3"/>
  <c r="L2217" i="3"/>
  <c r="D2217" i="3"/>
  <c r="AQ2216" i="3"/>
  <c r="AP2216" i="3"/>
  <c r="AO2216" i="3"/>
  <c r="AN2216" i="3"/>
  <c r="AM2216" i="3"/>
  <c r="AL2216" i="3"/>
  <c r="L2216" i="3"/>
  <c r="D2216" i="3"/>
  <c r="L2215" i="3"/>
  <c r="D2215" i="3"/>
  <c r="L2214" i="3"/>
  <c r="D2214" i="3"/>
  <c r="L2213" i="3"/>
  <c r="D2213" i="3"/>
  <c r="AQ2212" i="3"/>
  <c r="AP2212" i="3"/>
  <c r="AO2212" i="3"/>
  <c r="AN2212" i="3"/>
  <c r="AM2212" i="3"/>
  <c r="AL2212" i="3"/>
  <c r="L2212" i="3"/>
  <c r="D2212" i="3"/>
  <c r="AQ2211" i="3"/>
  <c r="AP2211" i="3"/>
  <c r="AO2211" i="3"/>
  <c r="AN2211" i="3"/>
  <c r="AM2211" i="3"/>
  <c r="AL2211" i="3"/>
  <c r="L2211" i="3"/>
  <c r="D2211" i="3"/>
  <c r="AQ2210" i="3"/>
  <c r="AP2210" i="3"/>
  <c r="AO2210" i="3"/>
  <c r="AN2210" i="3"/>
  <c r="AM2210" i="3"/>
  <c r="AL2210" i="3"/>
  <c r="L2210" i="3"/>
  <c r="D2210" i="3"/>
  <c r="AQ2209" i="3"/>
  <c r="AP2209" i="3"/>
  <c r="AO2209" i="3"/>
  <c r="AN2209" i="3"/>
  <c r="AM2209" i="3"/>
  <c r="AL2209" i="3"/>
  <c r="L2209" i="3"/>
  <c r="D2209" i="3"/>
  <c r="L2208" i="3"/>
  <c r="D2208" i="3"/>
  <c r="L2207" i="3"/>
  <c r="D2207" i="3"/>
  <c r="L2206" i="3"/>
  <c r="D2206" i="3"/>
  <c r="AQ2205" i="3"/>
  <c r="AP2205" i="3"/>
  <c r="AO2205" i="3"/>
  <c r="AN2205" i="3"/>
  <c r="AM2205" i="3"/>
  <c r="AL2205" i="3"/>
  <c r="L2205" i="3"/>
  <c r="D2205" i="3"/>
  <c r="L2204" i="3"/>
  <c r="D2204" i="3"/>
  <c r="L2203" i="3"/>
  <c r="D2203" i="3"/>
  <c r="AQ2202" i="3"/>
  <c r="AP2202" i="3"/>
  <c r="AO2202" i="3"/>
  <c r="AN2202" i="3"/>
  <c r="AM2202" i="3"/>
  <c r="AL2202" i="3"/>
  <c r="L2202" i="3"/>
  <c r="D2202" i="3"/>
  <c r="AQ2201" i="3"/>
  <c r="AP2201" i="3"/>
  <c r="AO2201" i="3"/>
  <c r="AN2201" i="3"/>
  <c r="AM2201" i="3"/>
  <c r="AL2201" i="3"/>
  <c r="L2201" i="3"/>
  <c r="D2201" i="3"/>
  <c r="AQ2200" i="3"/>
  <c r="AP2200" i="3"/>
  <c r="AO2200" i="3"/>
  <c r="AN2200" i="3"/>
  <c r="AM2200" i="3"/>
  <c r="AL2200" i="3"/>
  <c r="L2200" i="3"/>
  <c r="D2200" i="3"/>
  <c r="AQ2199" i="3"/>
  <c r="AP2199" i="3"/>
  <c r="AO2199" i="3"/>
  <c r="AN2199" i="3"/>
  <c r="AM2199" i="3"/>
  <c r="AL2199" i="3"/>
  <c r="L2199" i="3"/>
  <c r="D2199" i="3"/>
  <c r="AQ2198" i="3"/>
  <c r="AP2198" i="3"/>
  <c r="AO2198" i="3"/>
  <c r="AN2198" i="3"/>
  <c r="AM2198" i="3"/>
  <c r="AL2198" i="3"/>
  <c r="L2198" i="3"/>
  <c r="D2198" i="3"/>
  <c r="AQ2197" i="3"/>
  <c r="AP2197" i="3"/>
  <c r="AO2197" i="3"/>
  <c r="AN2197" i="3"/>
  <c r="AM2197" i="3"/>
  <c r="AL2197" i="3"/>
  <c r="L2197" i="3"/>
  <c r="D2197" i="3"/>
  <c r="AQ2196" i="3"/>
  <c r="AP2196" i="3"/>
  <c r="AO2196" i="3"/>
  <c r="AN2196" i="3"/>
  <c r="AM2196" i="3"/>
  <c r="AL2196" i="3"/>
  <c r="L2196" i="3"/>
  <c r="D2196" i="3"/>
  <c r="AQ2195" i="3"/>
  <c r="AP2195" i="3"/>
  <c r="AO2195" i="3"/>
  <c r="AN2195" i="3"/>
  <c r="AM2195" i="3"/>
  <c r="AL2195" i="3"/>
  <c r="L2195" i="3"/>
  <c r="D2195" i="3"/>
  <c r="AQ2194" i="3"/>
  <c r="AP2194" i="3"/>
  <c r="AO2194" i="3"/>
  <c r="AN2194" i="3"/>
  <c r="AM2194" i="3"/>
  <c r="AL2194" i="3"/>
  <c r="L2194" i="3"/>
  <c r="D2194" i="3"/>
  <c r="AQ2193" i="3"/>
  <c r="AP2193" i="3"/>
  <c r="AO2193" i="3"/>
  <c r="AN2193" i="3"/>
  <c r="AM2193" i="3"/>
  <c r="AL2193" i="3"/>
  <c r="L2193" i="3"/>
  <c r="D2193" i="3"/>
  <c r="AQ2192" i="3"/>
  <c r="AP2192" i="3"/>
  <c r="AO2192" i="3"/>
  <c r="AN2192" i="3"/>
  <c r="AM2192" i="3"/>
  <c r="AL2192" i="3"/>
  <c r="L2192" i="3"/>
  <c r="D2192" i="3"/>
  <c r="AQ2191" i="3"/>
  <c r="AP2191" i="3"/>
  <c r="AO2191" i="3"/>
  <c r="AN2191" i="3"/>
  <c r="AM2191" i="3"/>
  <c r="AL2191" i="3"/>
  <c r="L2191" i="3"/>
  <c r="D2191" i="3"/>
  <c r="L2190" i="3"/>
  <c r="D2190" i="3"/>
  <c r="AQ2189" i="3"/>
  <c r="AP2189" i="3"/>
  <c r="AO2189" i="3"/>
  <c r="AN2189" i="3"/>
  <c r="AM2189" i="3"/>
  <c r="AL2189" i="3"/>
  <c r="L2189" i="3"/>
  <c r="D2189" i="3"/>
  <c r="AQ2188" i="3"/>
  <c r="AP2188" i="3"/>
  <c r="AO2188" i="3"/>
  <c r="AN2188" i="3"/>
  <c r="AM2188" i="3"/>
  <c r="AL2188" i="3"/>
  <c r="L2188" i="3"/>
  <c r="D2188" i="3"/>
  <c r="AQ2187" i="3"/>
  <c r="AP2187" i="3"/>
  <c r="AO2187" i="3"/>
  <c r="AN2187" i="3"/>
  <c r="AM2187" i="3"/>
  <c r="AL2187" i="3"/>
  <c r="L2187" i="3"/>
  <c r="D2187" i="3"/>
  <c r="L2186" i="3"/>
  <c r="D2186" i="3"/>
  <c r="AQ2185" i="3"/>
  <c r="AP2185" i="3"/>
  <c r="AO2185" i="3"/>
  <c r="AN2185" i="3"/>
  <c r="AM2185" i="3"/>
  <c r="AL2185" i="3"/>
  <c r="L2185" i="3"/>
  <c r="D2185" i="3"/>
  <c r="L2184" i="3"/>
  <c r="D2184" i="3"/>
  <c r="AQ2183" i="3"/>
  <c r="AP2183" i="3"/>
  <c r="AO2183" i="3"/>
  <c r="AN2183" i="3"/>
  <c r="AM2183" i="3"/>
  <c r="AL2183" i="3"/>
  <c r="L2183" i="3"/>
  <c r="D2183" i="3"/>
  <c r="AQ2182" i="3"/>
  <c r="AP2182" i="3"/>
  <c r="AO2182" i="3"/>
  <c r="AN2182" i="3"/>
  <c r="AM2182" i="3"/>
  <c r="AL2182" i="3"/>
  <c r="L2182" i="3"/>
  <c r="D2182" i="3"/>
  <c r="L2181" i="3"/>
  <c r="D2181" i="3"/>
  <c r="AQ2180" i="3"/>
  <c r="AP2180" i="3"/>
  <c r="AO2180" i="3"/>
  <c r="AN2180" i="3"/>
  <c r="AM2180" i="3"/>
  <c r="AL2180" i="3"/>
  <c r="L2180" i="3"/>
  <c r="D2180" i="3"/>
  <c r="L2179" i="3"/>
  <c r="D2179" i="3"/>
  <c r="AQ2178" i="3"/>
  <c r="AP2178" i="3"/>
  <c r="AO2178" i="3"/>
  <c r="AN2178" i="3"/>
  <c r="AM2178" i="3"/>
  <c r="AL2178" i="3"/>
  <c r="L2178" i="3"/>
  <c r="D2178" i="3"/>
  <c r="L2177" i="3"/>
  <c r="D2177" i="3"/>
  <c r="AQ2176" i="3"/>
  <c r="AP2176" i="3"/>
  <c r="AO2176" i="3"/>
  <c r="AN2176" i="3"/>
  <c r="AM2176" i="3"/>
  <c r="AL2176" i="3"/>
  <c r="L2176" i="3"/>
  <c r="D2176" i="3"/>
  <c r="AQ2175" i="3"/>
  <c r="AP2175" i="3"/>
  <c r="AO2175" i="3"/>
  <c r="AN2175" i="3"/>
  <c r="AM2175" i="3"/>
  <c r="AL2175" i="3"/>
  <c r="L2175" i="3"/>
  <c r="D2175" i="3"/>
  <c r="L2174" i="3"/>
  <c r="D2174" i="3"/>
  <c r="AQ2173" i="3"/>
  <c r="AP2173" i="3"/>
  <c r="AO2173" i="3"/>
  <c r="AN2173" i="3"/>
  <c r="AM2173" i="3"/>
  <c r="AL2173" i="3"/>
  <c r="L2173" i="3"/>
  <c r="D2173" i="3"/>
  <c r="AQ2172" i="3"/>
  <c r="AP2172" i="3"/>
  <c r="AO2172" i="3"/>
  <c r="AN2172" i="3"/>
  <c r="AM2172" i="3"/>
  <c r="AL2172" i="3"/>
  <c r="L2172" i="3"/>
  <c r="D2172" i="3"/>
  <c r="AQ2171" i="3"/>
  <c r="AP2171" i="3"/>
  <c r="AO2171" i="3"/>
  <c r="AN2171" i="3"/>
  <c r="AM2171" i="3"/>
  <c r="AL2171" i="3"/>
  <c r="L2171" i="3"/>
  <c r="D2171" i="3"/>
  <c r="AQ2170" i="3"/>
  <c r="AP2170" i="3"/>
  <c r="AO2170" i="3"/>
  <c r="AN2170" i="3"/>
  <c r="AM2170" i="3"/>
  <c r="AL2170" i="3"/>
  <c r="L2170" i="3"/>
  <c r="D2170" i="3"/>
  <c r="AQ2169" i="3"/>
  <c r="AP2169" i="3"/>
  <c r="AO2169" i="3"/>
  <c r="AN2169" i="3"/>
  <c r="AM2169" i="3"/>
  <c r="AL2169" i="3"/>
  <c r="L2169" i="3"/>
  <c r="D2169" i="3"/>
  <c r="AQ2168" i="3"/>
  <c r="AP2168" i="3"/>
  <c r="AO2168" i="3"/>
  <c r="AN2168" i="3"/>
  <c r="AM2168" i="3"/>
  <c r="AL2168" i="3"/>
  <c r="L2168" i="3"/>
  <c r="D2168" i="3"/>
  <c r="AQ2167" i="3"/>
  <c r="AP2167" i="3"/>
  <c r="AO2167" i="3"/>
  <c r="AN2167" i="3"/>
  <c r="AM2167" i="3"/>
  <c r="AL2167" i="3"/>
  <c r="L2167" i="3"/>
  <c r="D2167" i="3"/>
  <c r="AQ2166" i="3"/>
  <c r="AP2166" i="3"/>
  <c r="AO2166" i="3"/>
  <c r="AN2166" i="3"/>
  <c r="AM2166" i="3"/>
  <c r="AL2166" i="3"/>
  <c r="L2166" i="3"/>
  <c r="D2166" i="3"/>
  <c r="AQ2165" i="3"/>
  <c r="AP2165" i="3"/>
  <c r="AO2165" i="3"/>
  <c r="AN2165" i="3"/>
  <c r="AM2165" i="3"/>
  <c r="AL2165" i="3"/>
  <c r="L2165" i="3"/>
  <c r="D2165" i="3"/>
  <c r="L2164" i="3"/>
  <c r="D2164" i="3"/>
  <c r="AQ2163" i="3"/>
  <c r="AP2163" i="3"/>
  <c r="AO2163" i="3"/>
  <c r="AN2163" i="3"/>
  <c r="AM2163" i="3"/>
  <c r="AL2163" i="3"/>
  <c r="L2163" i="3"/>
  <c r="D2163" i="3"/>
  <c r="AQ2162" i="3"/>
  <c r="AP2162" i="3"/>
  <c r="AO2162" i="3"/>
  <c r="AN2162" i="3"/>
  <c r="AM2162" i="3"/>
  <c r="AL2162" i="3"/>
  <c r="L2162" i="3"/>
  <c r="D2162" i="3"/>
  <c r="AQ2161" i="3"/>
  <c r="AP2161" i="3"/>
  <c r="AO2161" i="3"/>
  <c r="AN2161" i="3"/>
  <c r="AM2161" i="3"/>
  <c r="AL2161" i="3"/>
  <c r="L2161" i="3"/>
  <c r="D2161" i="3"/>
  <c r="AQ2160" i="3"/>
  <c r="AP2160" i="3"/>
  <c r="AO2160" i="3"/>
  <c r="AN2160" i="3"/>
  <c r="AM2160" i="3"/>
  <c r="AL2160" i="3"/>
  <c r="L2160" i="3"/>
  <c r="D2160" i="3"/>
  <c r="AQ2159" i="3"/>
  <c r="AP2159" i="3"/>
  <c r="AO2159" i="3"/>
  <c r="AN2159" i="3"/>
  <c r="AM2159" i="3"/>
  <c r="AL2159" i="3"/>
  <c r="L2159" i="3"/>
  <c r="D2159" i="3"/>
  <c r="AQ2158" i="3"/>
  <c r="AP2158" i="3"/>
  <c r="AO2158" i="3"/>
  <c r="AN2158" i="3"/>
  <c r="AM2158" i="3"/>
  <c r="AL2158" i="3"/>
  <c r="L2158" i="3"/>
  <c r="D2158" i="3"/>
  <c r="AQ2157" i="3"/>
  <c r="AP2157" i="3"/>
  <c r="AO2157" i="3"/>
  <c r="AN2157" i="3"/>
  <c r="AM2157" i="3"/>
  <c r="AL2157" i="3"/>
  <c r="L2157" i="3"/>
  <c r="D2157" i="3"/>
  <c r="L2156" i="3"/>
  <c r="D2156" i="3"/>
  <c r="L2155" i="3"/>
  <c r="D2155" i="3"/>
  <c r="AQ2154" i="3"/>
  <c r="AP2154" i="3"/>
  <c r="AO2154" i="3"/>
  <c r="AN2154" i="3"/>
  <c r="AM2154" i="3"/>
  <c r="AL2154" i="3"/>
  <c r="L2154" i="3"/>
  <c r="D2154" i="3"/>
  <c r="AQ2153" i="3"/>
  <c r="AP2153" i="3"/>
  <c r="AO2153" i="3"/>
  <c r="AN2153" i="3"/>
  <c r="AM2153" i="3"/>
  <c r="AL2153" i="3"/>
  <c r="L2153" i="3"/>
  <c r="D2153" i="3"/>
  <c r="AQ2152" i="3"/>
  <c r="AP2152" i="3"/>
  <c r="AO2152" i="3"/>
  <c r="AN2152" i="3"/>
  <c r="AM2152" i="3"/>
  <c r="AL2152" i="3"/>
  <c r="L2152" i="3"/>
  <c r="D2152" i="3"/>
  <c r="AQ2151" i="3"/>
  <c r="AP2151" i="3"/>
  <c r="AO2151" i="3"/>
  <c r="AN2151" i="3"/>
  <c r="AM2151" i="3"/>
  <c r="AL2151" i="3"/>
  <c r="L2151" i="3"/>
  <c r="D2151" i="3"/>
  <c r="AQ2150" i="3"/>
  <c r="AP2150" i="3"/>
  <c r="AO2150" i="3"/>
  <c r="AN2150" i="3"/>
  <c r="AM2150" i="3"/>
  <c r="AL2150" i="3"/>
  <c r="L2150" i="3"/>
  <c r="D2150" i="3"/>
  <c r="AQ2149" i="3"/>
  <c r="AP2149" i="3"/>
  <c r="AO2149" i="3"/>
  <c r="AN2149" i="3"/>
  <c r="AM2149" i="3"/>
  <c r="AL2149" i="3"/>
  <c r="L2149" i="3"/>
  <c r="D2149" i="3"/>
  <c r="AQ2148" i="3"/>
  <c r="AP2148" i="3"/>
  <c r="AO2148" i="3"/>
  <c r="AN2148" i="3"/>
  <c r="AM2148" i="3"/>
  <c r="AL2148" i="3"/>
  <c r="L2148" i="3"/>
  <c r="D2148" i="3"/>
  <c r="AQ2147" i="3"/>
  <c r="AP2147" i="3"/>
  <c r="AO2147" i="3"/>
  <c r="AN2147" i="3"/>
  <c r="AM2147" i="3"/>
  <c r="AL2147" i="3"/>
  <c r="L2147" i="3"/>
  <c r="D2147" i="3"/>
  <c r="AQ2146" i="3"/>
  <c r="AP2146" i="3"/>
  <c r="AO2146" i="3"/>
  <c r="AN2146" i="3"/>
  <c r="AM2146" i="3"/>
  <c r="AL2146" i="3"/>
  <c r="L2146" i="3"/>
  <c r="D2146" i="3"/>
  <c r="AQ2145" i="3"/>
  <c r="AP2145" i="3"/>
  <c r="AO2145" i="3"/>
  <c r="AN2145" i="3"/>
  <c r="AM2145" i="3"/>
  <c r="AL2145" i="3"/>
  <c r="L2145" i="3"/>
  <c r="D2145" i="3"/>
  <c r="AQ2144" i="3"/>
  <c r="AP2144" i="3"/>
  <c r="AO2144" i="3"/>
  <c r="AN2144" i="3"/>
  <c r="AM2144" i="3"/>
  <c r="AL2144" i="3"/>
  <c r="L2144" i="3"/>
  <c r="D2144" i="3"/>
  <c r="AQ2143" i="3"/>
  <c r="AP2143" i="3"/>
  <c r="AO2143" i="3"/>
  <c r="AN2143" i="3"/>
  <c r="AM2143" i="3"/>
  <c r="AL2143" i="3"/>
  <c r="L2143" i="3"/>
  <c r="D2143" i="3"/>
  <c r="AQ2142" i="3"/>
  <c r="AP2142" i="3"/>
  <c r="AO2142" i="3"/>
  <c r="AN2142" i="3"/>
  <c r="AM2142" i="3"/>
  <c r="AL2142" i="3"/>
  <c r="L2142" i="3"/>
  <c r="D2142" i="3"/>
  <c r="AQ2141" i="3"/>
  <c r="AP2141" i="3"/>
  <c r="AO2141" i="3"/>
  <c r="AN2141" i="3"/>
  <c r="AM2141" i="3"/>
  <c r="AL2141" i="3"/>
  <c r="L2141" i="3"/>
  <c r="D2141" i="3"/>
  <c r="AQ2140" i="3"/>
  <c r="AP2140" i="3"/>
  <c r="AO2140" i="3"/>
  <c r="AN2140" i="3"/>
  <c r="AM2140" i="3"/>
  <c r="AL2140" i="3"/>
  <c r="L2140" i="3"/>
  <c r="D2140" i="3"/>
  <c r="AQ2139" i="3"/>
  <c r="AP2139" i="3"/>
  <c r="AO2139" i="3"/>
  <c r="AN2139" i="3"/>
  <c r="AM2139" i="3"/>
  <c r="AL2139" i="3"/>
  <c r="L2139" i="3"/>
  <c r="D2139" i="3"/>
  <c r="L2138" i="3"/>
  <c r="D2138" i="3"/>
  <c r="AQ2137" i="3"/>
  <c r="AP2137" i="3"/>
  <c r="AO2137" i="3"/>
  <c r="AN2137" i="3"/>
  <c r="AM2137" i="3"/>
  <c r="AL2137" i="3"/>
  <c r="L2137" i="3"/>
  <c r="D2137" i="3"/>
  <c r="AQ2136" i="3"/>
  <c r="AP2136" i="3"/>
  <c r="AO2136" i="3"/>
  <c r="AN2136" i="3"/>
  <c r="AM2136" i="3"/>
  <c r="AL2136" i="3"/>
  <c r="L2136" i="3"/>
  <c r="D2136" i="3"/>
  <c r="AQ2135" i="3"/>
  <c r="AP2135" i="3"/>
  <c r="AO2135" i="3"/>
  <c r="AN2135" i="3"/>
  <c r="AM2135" i="3"/>
  <c r="AL2135" i="3"/>
  <c r="L2135" i="3"/>
  <c r="D2135" i="3"/>
  <c r="L2134" i="3"/>
  <c r="D2134" i="3"/>
  <c r="AQ2133" i="3"/>
  <c r="AP2133" i="3"/>
  <c r="AO2133" i="3"/>
  <c r="AN2133" i="3"/>
  <c r="AM2133" i="3"/>
  <c r="AL2133" i="3"/>
  <c r="L2133" i="3"/>
  <c r="D2133" i="3"/>
  <c r="AQ2132" i="3"/>
  <c r="AP2132" i="3"/>
  <c r="AO2132" i="3"/>
  <c r="AN2132" i="3"/>
  <c r="AM2132" i="3"/>
  <c r="AL2132" i="3"/>
  <c r="L2132" i="3"/>
  <c r="D2132" i="3"/>
  <c r="AQ2131" i="3"/>
  <c r="AP2131" i="3"/>
  <c r="AO2131" i="3"/>
  <c r="AN2131" i="3"/>
  <c r="AM2131" i="3"/>
  <c r="AL2131" i="3"/>
  <c r="L2131" i="3"/>
  <c r="D2131" i="3"/>
  <c r="AQ2130" i="3"/>
  <c r="AP2130" i="3"/>
  <c r="AO2130" i="3"/>
  <c r="AN2130" i="3"/>
  <c r="AM2130" i="3"/>
  <c r="AL2130" i="3"/>
  <c r="L2130" i="3"/>
  <c r="D2130" i="3"/>
  <c r="AQ2129" i="3"/>
  <c r="AP2129" i="3"/>
  <c r="AO2129" i="3"/>
  <c r="AN2129" i="3"/>
  <c r="AM2129" i="3"/>
  <c r="AL2129" i="3"/>
  <c r="L2129" i="3"/>
  <c r="D2129" i="3"/>
  <c r="AQ2128" i="3"/>
  <c r="AP2128" i="3"/>
  <c r="AO2128" i="3"/>
  <c r="AN2128" i="3"/>
  <c r="AM2128" i="3"/>
  <c r="AL2128" i="3"/>
  <c r="L2128" i="3"/>
  <c r="D2128" i="3"/>
  <c r="AQ2127" i="3"/>
  <c r="AP2127" i="3"/>
  <c r="AO2127" i="3"/>
  <c r="AN2127" i="3"/>
  <c r="AM2127" i="3"/>
  <c r="AL2127" i="3"/>
  <c r="L2127" i="3"/>
  <c r="D2127" i="3"/>
  <c r="L2126" i="3"/>
  <c r="D2126" i="3"/>
  <c r="L2125" i="3"/>
  <c r="D2125" i="3"/>
  <c r="L2124" i="3"/>
  <c r="D2124" i="3"/>
  <c r="AQ2123" i="3"/>
  <c r="AP2123" i="3"/>
  <c r="AO2123" i="3"/>
  <c r="AN2123" i="3"/>
  <c r="AM2123" i="3"/>
  <c r="AL2123" i="3"/>
  <c r="L2123" i="3"/>
  <c r="D2123" i="3"/>
  <c r="L2122" i="3"/>
  <c r="D2122" i="3"/>
  <c r="AQ2121" i="3"/>
  <c r="AP2121" i="3"/>
  <c r="AO2121" i="3"/>
  <c r="AN2121" i="3"/>
  <c r="AM2121" i="3"/>
  <c r="AL2121" i="3"/>
  <c r="L2121" i="3"/>
  <c r="D2121" i="3"/>
  <c r="L2120" i="3"/>
  <c r="D2120" i="3"/>
  <c r="AQ2119" i="3"/>
  <c r="AP2119" i="3"/>
  <c r="AO2119" i="3"/>
  <c r="AN2119" i="3"/>
  <c r="AM2119" i="3"/>
  <c r="AL2119" i="3"/>
  <c r="L2119" i="3"/>
  <c r="D2119" i="3"/>
  <c r="AQ2118" i="3"/>
  <c r="AP2118" i="3"/>
  <c r="AO2118" i="3"/>
  <c r="AN2118" i="3"/>
  <c r="AM2118" i="3"/>
  <c r="AL2118" i="3"/>
  <c r="L2118" i="3"/>
  <c r="D2118" i="3"/>
  <c r="AQ2117" i="3"/>
  <c r="AP2117" i="3"/>
  <c r="AO2117" i="3"/>
  <c r="AN2117" i="3"/>
  <c r="AM2117" i="3"/>
  <c r="AL2117" i="3"/>
  <c r="L2117" i="3"/>
  <c r="D2117" i="3"/>
  <c r="AQ2116" i="3"/>
  <c r="AP2116" i="3"/>
  <c r="AO2116" i="3"/>
  <c r="AN2116" i="3"/>
  <c r="AM2116" i="3"/>
  <c r="AL2116" i="3"/>
  <c r="L2116" i="3"/>
  <c r="D2116" i="3"/>
  <c r="L2115" i="3"/>
  <c r="D2115" i="3"/>
  <c r="L2114" i="3"/>
  <c r="D2114" i="3"/>
  <c r="L2113" i="3"/>
  <c r="D2113" i="3"/>
  <c r="L2112" i="3"/>
  <c r="D2112" i="3"/>
  <c r="AQ2111" i="3"/>
  <c r="AP2111" i="3"/>
  <c r="AO2111" i="3"/>
  <c r="AN2111" i="3"/>
  <c r="AM2111" i="3"/>
  <c r="AL2111" i="3"/>
  <c r="L2111" i="3"/>
  <c r="D2111" i="3"/>
  <c r="AQ2110" i="3"/>
  <c r="AP2110" i="3"/>
  <c r="AO2110" i="3"/>
  <c r="AN2110" i="3"/>
  <c r="AM2110" i="3"/>
  <c r="AL2110" i="3"/>
  <c r="L2110" i="3"/>
  <c r="D2110" i="3"/>
  <c r="L2109" i="3"/>
  <c r="D2109" i="3"/>
  <c r="L2108" i="3"/>
  <c r="D2108" i="3"/>
  <c r="AQ2107" i="3"/>
  <c r="AP2107" i="3"/>
  <c r="AO2107" i="3"/>
  <c r="AN2107" i="3"/>
  <c r="AM2107" i="3"/>
  <c r="AL2107" i="3"/>
  <c r="L2107" i="3"/>
  <c r="D2107" i="3"/>
  <c r="AQ2106" i="3"/>
  <c r="AP2106" i="3"/>
  <c r="AO2106" i="3"/>
  <c r="AN2106" i="3"/>
  <c r="AM2106" i="3"/>
  <c r="AL2106" i="3"/>
  <c r="L2106" i="3"/>
  <c r="D2106" i="3"/>
  <c r="AQ2105" i="3"/>
  <c r="AP2105" i="3"/>
  <c r="AO2105" i="3"/>
  <c r="AN2105" i="3"/>
  <c r="AM2105" i="3"/>
  <c r="AL2105" i="3"/>
  <c r="L2105" i="3"/>
  <c r="D2105" i="3"/>
  <c r="AQ2104" i="3"/>
  <c r="AP2104" i="3"/>
  <c r="AO2104" i="3"/>
  <c r="AN2104" i="3"/>
  <c r="AM2104" i="3"/>
  <c r="AL2104" i="3"/>
  <c r="L2104" i="3"/>
  <c r="D2104" i="3"/>
  <c r="AQ2103" i="3"/>
  <c r="AP2103" i="3"/>
  <c r="AO2103" i="3"/>
  <c r="AN2103" i="3"/>
  <c r="AM2103" i="3"/>
  <c r="AL2103" i="3"/>
  <c r="L2103" i="3"/>
  <c r="D2103" i="3"/>
  <c r="AQ2102" i="3"/>
  <c r="AP2102" i="3"/>
  <c r="AO2102" i="3"/>
  <c r="AN2102" i="3"/>
  <c r="AM2102" i="3"/>
  <c r="AL2102" i="3"/>
  <c r="L2102" i="3"/>
  <c r="D2102" i="3"/>
  <c r="AQ2101" i="3"/>
  <c r="AP2101" i="3"/>
  <c r="AO2101" i="3"/>
  <c r="AN2101" i="3"/>
  <c r="AM2101" i="3"/>
  <c r="AL2101" i="3"/>
  <c r="L2101" i="3"/>
  <c r="D2101" i="3"/>
  <c r="AQ2100" i="3"/>
  <c r="AP2100" i="3"/>
  <c r="AO2100" i="3"/>
  <c r="AN2100" i="3"/>
  <c r="AM2100" i="3"/>
  <c r="AL2100" i="3"/>
  <c r="L2100" i="3"/>
  <c r="D2100" i="3"/>
  <c r="L2099" i="3"/>
  <c r="D2099" i="3"/>
  <c r="AQ2098" i="3"/>
  <c r="AP2098" i="3"/>
  <c r="AO2098" i="3"/>
  <c r="AN2098" i="3"/>
  <c r="AM2098" i="3"/>
  <c r="AL2098" i="3"/>
  <c r="L2098" i="3"/>
  <c r="D2098" i="3"/>
  <c r="AQ2097" i="3"/>
  <c r="AP2097" i="3"/>
  <c r="AO2097" i="3"/>
  <c r="AN2097" i="3"/>
  <c r="AM2097" i="3"/>
  <c r="AL2097" i="3"/>
  <c r="L2097" i="3"/>
  <c r="D2097" i="3"/>
  <c r="AQ2096" i="3"/>
  <c r="AP2096" i="3"/>
  <c r="AO2096" i="3"/>
  <c r="AN2096" i="3"/>
  <c r="AM2096" i="3"/>
  <c r="AL2096" i="3"/>
  <c r="L2096" i="3"/>
  <c r="D2096" i="3"/>
  <c r="AQ2095" i="3"/>
  <c r="AP2095" i="3"/>
  <c r="AO2095" i="3"/>
  <c r="AN2095" i="3"/>
  <c r="AM2095" i="3"/>
  <c r="AL2095" i="3"/>
  <c r="L2095" i="3"/>
  <c r="D2095" i="3"/>
  <c r="AQ2094" i="3"/>
  <c r="AP2094" i="3"/>
  <c r="AO2094" i="3"/>
  <c r="AN2094" i="3"/>
  <c r="AM2094" i="3"/>
  <c r="AL2094" i="3"/>
  <c r="L2094" i="3"/>
  <c r="D2094" i="3"/>
  <c r="L2093" i="3"/>
  <c r="D2093" i="3"/>
  <c r="AQ2092" i="3"/>
  <c r="AP2092" i="3"/>
  <c r="AO2092" i="3"/>
  <c r="AN2092" i="3"/>
  <c r="AM2092" i="3"/>
  <c r="AL2092" i="3"/>
  <c r="L2092" i="3"/>
  <c r="D2092" i="3"/>
  <c r="L2091" i="3"/>
  <c r="D2091" i="3"/>
  <c r="L2090" i="3"/>
  <c r="D2090" i="3"/>
  <c r="AQ2089" i="3"/>
  <c r="AP2089" i="3"/>
  <c r="AO2089" i="3"/>
  <c r="AN2089" i="3"/>
  <c r="AM2089" i="3"/>
  <c r="AL2089" i="3"/>
  <c r="L2089" i="3"/>
  <c r="D2089" i="3"/>
  <c r="L2088" i="3"/>
  <c r="D2088" i="3"/>
  <c r="AQ2087" i="3"/>
  <c r="AP2087" i="3"/>
  <c r="AO2087" i="3"/>
  <c r="AN2087" i="3"/>
  <c r="AM2087" i="3"/>
  <c r="AL2087" i="3"/>
  <c r="L2087" i="3"/>
  <c r="D2087" i="3"/>
  <c r="AQ2086" i="3"/>
  <c r="AP2086" i="3"/>
  <c r="AO2086" i="3"/>
  <c r="AN2086" i="3"/>
  <c r="AM2086" i="3"/>
  <c r="AL2086" i="3"/>
  <c r="L2086" i="3"/>
  <c r="D2086" i="3"/>
  <c r="L2085" i="3"/>
  <c r="D2085" i="3"/>
  <c r="AQ2084" i="3"/>
  <c r="AP2084" i="3"/>
  <c r="AO2084" i="3"/>
  <c r="AN2084" i="3"/>
  <c r="AM2084" i="3"/>
  <c r="AL2084" i="3"/>
  <c r="L2084" i="3"/>
  <c r="D2084" i="3"/>
  <c r="L2083" i="3"/>
  <c r="D2083" i="3"/>
  <c r="L2082" i="3"/>
  <c r="D2082" i="3"/>
  <c r="AQ2081" i="3"/>
  <c r="AP2081" i="3"/>
  <c r="AO2081" i="3"/>
  <c r="AN2081" i="3"/>
  <c r="AM2081" i="3"/>
  <c r="AL2081" i="3"/>
  <c r="L2081" i="3"/>
  <c r="D2081" i="3"/>
  <c r="AQ2080" i="3"/>
  <c r="AP2080" i="3"/>
  <c r="AO2080" i="3"/>
  <c r="AN2080" i="3"/>
  <c r="AM2080" i="3"/>
  <c r="AL2080" i="3"/>
  <c r="L2080" i="3"/>
  <c r="D2080" i="3"/>
  <c r="AQ2079" i="3"/>
  <c r="AP2079" i="3"/>
  <c r="AO2079" i="3"/>
  <c r="AN2079" i="3"/>
  <c r="AM2079" i="3"/>
  <c r="AL2079" i="3"/>
  <c r="L2079" i="3"/>
  <c r="D2079" i="3"/>
  <c r="AQ2078" i="3"/>
  <c r="AP2078" i="3"/>
  <c r="AO2078" i="3"/>
  <c r="AN2078" i="3"/>
  <c r="AM2078" i="3"/>
  <c r="AL2078" i="3"/>
  <c r="L2078" i="3"/>
  <c r="D2078" i="3"/>
  <c r="AQ2077" i="3"/>
  <c r="AP2077" i="3"/>
  <c r="AO2077" i="3"/>
  <c r="AN2077" i="3"/>
  <c r="AM2077" i="3"/>
  <c r="AL2077" i="3"/>
  <c r="L2077" i="3"/>
  <c r="D2077" i="3"/>
  <c r="L2076" i="3"/>
  <c r="D2076" i="3"/>
  <c r="AQ2075" i="3"/>
  <c r="AP2075" i="3"/>
  <c r="AO2075" i="3"/>
  <c r="AN2075" i="3"/>
  <c r="AM2075" i="3"/>
  <c r="AL2075" i="3"/>
  <c r="L2075" i="3"/>
  <c r="D2075" i="3"/>
  <c r="AQ2074" i="3"/>
  <c r="AP2074" i="3"/>
  <c r="AO2074" i="3"/>
  <c r="AN2074" i="3"/>
  <c r="AM2074" i="3"/>
  <c r="AL2074" i="3"/>
  <c r="L2074" i="3"/>
  <c r="D2074" i="3"/>
  <c r="AQ2073" i="3"/>
  <c r="AP2073" i="3"/>
  <c r="AO2073" i="3"/>
  <c r="AN2073" i="3"/>
  <c r="AM2073" i="3"/>
  <c r="AL2073" i="3"/>
  <c r="L2073" i="3"/>
  <c r="D2073" i="3"/>
  <c r="AQ2072" i="3"/>
  <c r="AP2072" i="3"/>
  <c r="AO2072" i="3"/>
  <c r="AN2072" i="3"/>
  <c r="AM2072" i="3"/>
  <c r="AL2072" i="3"/>
  <c r="L2072" i="3"/>
  <c r="D2072" i="3"/>
  <c r="L2071" i="3"/>
  <c r="D2071" i="3"/>
  <c r="AQ2070" i="3"/>
  <c r="AP2070" i="3"/>
  <c r="AO2070" i="3"/>
  <c r="AN2070" i="3"/>
  <c r="AM2070" i="3"/>
  <c r="AL2070" i="3"/>
  <c r="L2070" i="3"/>
  <c r="D2070" i="3"/>
  <c r="AQ2069" i="3"/>
  <c r="AP2069" i="3"/>
  <c r="AO2069" i="3"/>
  <c r="AN2069" i="3"/>
  <c r="AM2069" i="3"/>
  <c r="AL2069" i="3"/>
  <c r="L2069" i="3"/>
  <c r="D2069" i="3"/>
  <c r="L2068" i="3"/>
  <c r="D2068" i="3"/>
  <c r="AQ2067" i="3"/>
  <c r="AP2067" i="3"/>
  <c r="AO2067" i="3"/>
  <c r="AN2067" i="3"/>
  <c r="AM2067" i="3"/>
  <c r="AL2067" i="3"/>
  <c r="L2067" i="3"/>
  <c r="D2067" i="3"/>
  <c r="AQ2066" i="3"/>
  <c r="AP2066" i="3"/>
  <c r="AO2066" i="3"/>
  <c r="AN2066" i="3"/>
  <c r="AM2066" i="3"/>
  <c r="AL2066" i="3"/>
  <c r="L2066" i="3"/>
  <c r="D2066" i="3"/>
  <c r="L2065" i="3"/>
  <c r="D2065" i="3"/>
  <c r="AQ2064" i="3"/>
  <c r="AP2064" i="3"/>
  <c r="AO2064" i="3"/>
  <c r="AN2064" i="3"/>
  <c r="AM2064" i="3"/>
  <c r="AL2064" i="3"/>
  <c r="L2064" i="3"/>
  <c r="D2064" i="3"/>
  <c r="L2063" i="3"/>
  <c r="D2063" i="3"/>
  <c r="AQ2062" i="3"/>
  <c r="AP2062" i="3"/>
  <c r="AO2062" i="3"/>
  <c r="AN2062" i="3"/>
  <c r="AM2062" i="3"/>
  <c r="AL2062" i="3"/>
  <c r="L2062" i="3"/>
  <c r="D2062" i="3"/>
  <c r="L2061" i="3"/>
  <c r="D2061" i="3"/>
  <c r="AQ2060" i="3"/>
  <c r="AP2060" i="3"/>
  <c r="AO2060" i="3"/>
  <c r="AN2060" i="3"/>
  <c r="AM2060" i="3"/>
  <c r="AL2060" i="3"/>
  <c r="L2060" i="3"/>
  <c r="D2060" i="3"/>
  <c r="AQ2059" i="3"/>
  <c r="AP2059" i="3"/>
  <c r="AO2059" i="3"/>
  <c r="AN2059" i="3"/>
  <c r="AM2059" i="3"/>
  <c r="AL2059" i="3"/>
  <c r="L2059" i="3"/>
  <c r="D2059" i="3"/>
  <c r="AQ2058" i="3"/>
  <c r="AP2058" i="3"/>
  <c r="AO2058" i="3"/>
  <c r="AN2058" i="3"/>
  <c r="AM2058" i="3"/>
  <c r="AL2058" i="3"/>
  <c r="L2058" i="3"/>
  <c r="D2058" i="3"/>
  <c r="AQ2057" i="3"/>
  <c r="AP2057" i="3"/>
  <c r="AO2057" i="3"/>
  <c r="AN2057" i="3"/>
  <c r="AM2057" i="3"/>
  <c r="AL2057" i="3"/>
  <c r="L2057" i="3"/>
  <c r="D2057" i="3"/>
  <c r="AQ2056" i="3"/>
  <c r="AP2056" i="3"/>
  <c r="AO2056" i="3"/>
  <c r="AN2056" i="3"/>
  <c r="AM2056" i="3"/>
  <c r="AL2056" i="3"/>
  <c r="L2056" i="3"/>
  <c r="D2056" i="3"/>
  <c r="L2055" i="3"/>
  <c r="D2055" i="3"/>
  <c r="L2054" i="3"/>
  <c r="D2054" i="3"/>
  <c r="AQ2053" i="3"/>
  <c r="AP2053" i="3"/>
  <c r="AO2053" i="3"/>
  <c r="AN2053" i="3"/>
  <c r="AM2053" i="3"/>
  <c r="AL2053" i="3"/>
  <c r="L2053" i="3"/>
  <c r="D2053" i="3"/>
  <c r="AQ2052" i="3"/>
  <c r="AP2052" i="3"/>
  <c r="AO2052" i="3"/>
  <c r="AN2052" i="3"/>
  <c r="AM2052" i="3"/>
  <c r="AL2052" i="3"/>
  <c r="L2052" i="3"/>
  <c r="D2052" i="3"/>
  <c r="AQ2051" i="3"/>
  <c r="AP2051" i="3"/>
  <c r="AO2051" i="3"/>
  <c r="AN2051" i="3"/>
  <c r="AM2051" i="3"/>
  <c r="AL2051" i="3"/>
  <c r="L2051" i="3"/>
  <c r="D2051" i="3"/>
  <c r="AQ2050" i="3"/>
  <c r="AP2050" i="3"/>
  <c r="AO2050" i="3"/>
  <c r="AN2050" i="3"/>
  <c r="AM2050" i="3"/>
  <c r="AL2050" i="3"/>
  <c r="L2050" i="3"/>
  <c r="D2050" i="3"/>
  <c r="L2049" i="3"/>
  <c r="D2049" i="3"/>
  <c r="AQ2048" i="3"/>
  <c r="AP2048" i="3"/>
  <c r="AO2048" i="3"/>
  <c r="AN2048" i="3"/>
  <c r="AM2048" i="3"/>
  <c r="AL2048" i="3"/>
  <c r="L2048" i="3"/>
  <c r="D2048" i="3"/>
  <c r="AQ2047" i="3"/>
  <c r="AP2047" i="3"/>
  <c r="AO2047" i="3"/>
  <c r="AN2047" i="3"/>
  <c r="AM2047" i="3"/>
  <c r="AL2047" i="3"/>
  <c r="L2047" i="3"/>
  <c r="D2047" i="3"/>
  <c r="AQ2046" i="3"/>
  <c r="AP2046" i="3"/>
  <c r="AO2046" i="3"/>
  <c r="AN2046" i="3"/>
  <c r="AM2046" i="3"/>
  <c r="AL2046" i="3"/>
  <c r="L2046" i="3"/>
  <c r="D2046" i="3"/>
  <c r="AQ2045" i="3"/>
  <c r="AP2045" i="3"/>
  <c r="AO2045" i="3"/>
  <c r="AN2045" i="3"/>
  <c r="AM2045" i="3"/>
  <c r="AL2045" i="3"/>
  <c r="L2045" i="3"/>
  <c r="D2045" i="3"/>
  <c r="AQ2044" i="3"/>
  <c r="AP2044" i="3"/>
  <c r="AO2044" i="3"/>
  <c r="AN2044" i="3"/>
  <c r="AM2044" i="3"/>
  <c r="AL2044" i="3"/>
  <c r="L2044" i="3"/>
  <c r="D2044" i="3"/>
  <c r="AQ2043" i="3"/>
  <c r="AP2043" i="3"/>
  <c r="AO2043" i="3"/>
  <c r="AN2043" i="3"/>
  <c r="AM2043" i="3"/>
  <c r="AL2043" i="3"/>
  <c r="L2043" i="3"/>
  <c r="D2043" i="3"/>
  <c r="AQ2042" i="3"/>
  <c r="AP2042" i="3"/>
  <c r="AO2042" i="3"/>
  <c r="AN2042" i="3"/>
  <c r="AM2042" i="3"/>
  <c r="AL2042" i="3"/>
  <c r="L2042" i="3"/>
  <c r="D2042" i="3"/>
  <c r="AQ2041" i="3"/>
  <c r="AP2041" i="3"/>
  <c r="AO2041" i="3"/>
  <c r="AN2041" i="3"/>
  <c r="AM2041" i="3"/>
  <c r="AL2041" i="3"/>
  <c r="L2041" i="3"/>
  <c r="D2041" i="3"/>
  <c r="L2040" i="3"/>
  <c r="D2040" i="3"/>
  <c r="AQ2039" i="3"/>
  <c r="AP2039" i="3"/>
  <c r="AO2039" i="3"/>
  <c r="AN2039" i="3"/>
  <c r="AM2039" i="3"/>
  <c r="AL2039" i="3"/>
  <c r="L2039" i="3"/>
  <c r="D2039" i="3"/>
  <c r="L2038" i="3"/>
  <c r="D2038" i="3"/>
  <c r="AQ2037" i="3"/>
  <c r="AP2037" i="3"/>
  <c r="AO2037" i="3"/>
  <c r="AN2037" i="3"/>
  <c r="AM2037" i="3"/>
  <c r="AL2037" i="3"/>
  <c r="L2037" i="3"/>
  <c r="D2037" i="3"/>
  <c r="AQ2036" i="3"/>
  <c r="AP2036" i="3"/>
  <c r="AO2036" i="3"/>
  <c r="AN2036" i="3"/>
  <c r="AM2036" i="3"/>
  <c r="AL2036" i="3"/>
  <c r="L2036" i="3"/>
  <c r="D2036" i="3"/>
  <c r="AQ2035" i="3"/>
  <c r="AP2035" i="3"/>
  <c r="AO2035" i="3"/>
  <c r="AN2035" i="3"/>
  <c r="AM2035" i="3"/>
  <c r="AL2035" i="3"/>
  <c r="L2035" i="3"/>
  <c r="D2035" i="3"/>
  <c r="AQ2034" i="3"/>
  <c r="AP2034" i="3"/>
  <c r="AO2034" i="3"/>
  <c r="AN2034" i="3"/>
  <c r="AM2034" i="3"/>
  <c r="AL2034" i="3"/>
  <c r="L2034" i="3"/>
  <c r="D2034" i="3"/>
  <c r="AQ2033" i="3"/>
  <c r="AP2033" i="3"/>
  <c r="AO2033" i="3"/>
  <c r="AN2033" i="3"/>
  <c r="AM2033" i="3"/>
  <c r="AL2033" i="3"/>
  <c r="L2033" i="3"/>
  <c r="D2033" i="3"/>
  <c r="AQ2032" i="3"/>
  <c r="AP2032" i="3"/>
  <c r="AO2032" i="3"/>
  <c r="AN2032" i="3"/>
  <c r="AM2032" i="3"/>
  <c r="AL2032" i="3"/>
  <c r="L2032" i="3"/>
  <c r="D2032" i="3"/>
  <c r="AQ2031" i="3"/>
  <c r="AP2031" i="3"/>
  <c r="AO2031" i="3"/>
  <c r="AN2031" i="3"/>
  <c r="AM2031" i="3"/>
  <c r="AL2031" i="3"/>
  <c r="L2031" i="3"/>
  <c r="D2031" i="3"/>
  <c r="AQ2030" i="3"/>
  <c r="AP2030" i="3"/>
  <c r="AO2030" i="3"/>
  <c r="AN2030" i="3"/>
  <c r="AM2030" i="3"/>
  <c r="AL2030" i="3"/>
  <c r="L2030" i="3"/>
  <c r="D2030" i="3"/>
  <c r="AQ2029" i="3"/>
  <c r="AP2029" i="3"/>
  <c r="AO2029" i="3"/>
  <c r="AN2029" i="3"/>
  <c r="AM2029" i="3"/>
  <c r="AL2029" i="3"/>
  <c r="L2029" i="3"/>
  <c r="D2029" i="3"/>
  <c r="AQ2028" i="3"/>
  <c r="AP2028" i="3"/>
  <c r="AO2028" i="3"/>
  <c r="AN2028" i="3"/>
  <c r="AM2028" i="3"/>
  <c r="AL2028" i="3"/>
  <c r="L2028" i="3"/>
  <c r="D2028" i="3"/>
  <c r="AQ2027" i="3"/>
  <c r="AP2027" i="3"/>
  <c r="AO2027" i="3"/>
  <c r="AN2027" i="3"/>
  <c r="AM2027" i="3"/>
  <c r="AL2027" i="3"/>
  <c r="L2027" i="3"/>
  <c r="D2027" i="3"/>
  <c r="AQ2026" i="3"/>
  <c r="AP2026" i="3"/>
  <c r="AO2026" i="3"/>
  <c r="AN2026" i="3"/>
  <c r="AM2026" i="3"/>
  <c r="AL2026" i="3"/>
  <c r="L2026" i="3"/>
  <c r="D2026" i="3"/>
  <c r="AQ2025" i="3"/>
  <c r="AP2025" i="3"/>
  <c r="AO2025" i="3"/>
  <c r="AN2025" i="3"/>
  <c r="AM2025" i="3"/>
  <c r="AL2025" i="3"/>
  <c r="L2025" i="3"/>
  <c r="D2025" i="3"/>
  <c r="AQ2024" i="3"/>
  <c r="AP2024" i="3"/>
  <c r="AO2024" i="3"/>
  <c r="AN2024" i="3"/>
  <c r="AM2024" i="3"/>
  <c r="AL2024" i="3"/>
  <c r="L2024" i="3"/>
  <c r="D2024" i="3"/>
  <c r="AQ2023" i="3"/>
  <c r="AP2023" i="3"/>
  <c r="AO2023" i="3"/>
  <c r="AN2023" i="3"/>
  <c r="AM2023" i="3"/>
  <c r="AL2023" i="3"/>
  <c r="L2023" i="3"/>
  <c r="D2023" i="3"/>
  <c r="AQ2022" i="3"/>
  <c r="AP2022" i="3"/>
  <c r="AO2022" i="3"/>
  <c r="AN2022" i="3"/>
  <c r="AM2022" i="3"/>
  <c r="AL2022" i="3"/>
  <c r="L2022" i="3"/>
  <c r="D2022" i="3"/>
  <c r="L2021" i="3"/>
  <c r="D2021" i="3"/>
  <c r="L2020" i="3"/>
  <c r="D2020" i="3"/>
  <c r="AQ2019" i="3"/>
  <c r="AP2019" i="3"/>
  <c r="AO2019" i="3"/>
  <c r="AN2019" i="3"/>
  <c r="AM2019" i="3"/>
  <c r="AL2019" i="3"/>
  <c r="L2019" i="3"/>
  <c r="D2019" i="3"/>
  <c r="AQ2018" i="3"/>
  <c r="AP2018" i="3"/>
  <c r="AO2018" i="3"/>
  <c r="AN2018" i="3"/>
  <c r="AM2018" i="3"/>
  <c r="AL2018" i="3"/>
  <c r="L2018" i="3"/>
  <c r="D2018" i="3"/>
  <c r="L2017" i="3"/>
  <c r="D2017" i="3"/>
  <c r="AQ2016" i="3"/>
  <c r="AP2016" i="3"/>
  <c r="AO2016" i="3"/>
  <c r="AN2016" i="3"/>
  <c r="AM2016" i="3"/>
  <c r="AL2016" i="3"/>
  <c r="L2016" i="3"/>
  <c r="D2016" i="3"/>
  <c r="L2015" i="3"/>
  <c r="D2015" i="3"/>
  <c r="L2014" i="3"/>
  <c r="D2014" i="3"/>
  <c r="AQ2013" i="3"/>
  <c r="AP2013" i="3"/>
  <c r="AO2013" i="3"/>
  <c r="AN2013" i="3"/>
  <c r="AM2013" i="3"/>
  <c r="AL2013" i="3"/>
  <c r="L2013" i="3"/>
  <c r="D2013" i="3"/>
  <c r="L2012" i="3"/>
  <c r="D2012" i="3"/>
  <c r="L2011" i="3"/>
  <c r="D2011" i="3"/>
  <c r="L2010" i="3"/>
  <c r="D2010" i="3"/>
  <c r="AQ2009" i="3"/>
  <c r="AP2009" i="3"/>
  <c r="AO2009" i="3"/>
  <c r="AN2009" i="3"/>
  <c r="AM2009" i="3"/>
  <c r="AL2009" i="3"/>
  <c r="L2009" i="3"/>
  <c r="D2009" i="3"/>
  <c r="AQ2008" i="3"/>
  <c r="AP2008" i="3"/>
  <c r="AO2008" i="3"/>
  <c r="AN2008" i="3"/>
  <c r="AM2008" i="3"/>
  <c r="AL2008" i="3"/>
  <c r="L2008" i="3"/>
  <c r="D2008" i="3"/>
  <c r="AQ2007" i="3"/>
  <c r="AP2007" i="3"/>
  <c r="AO2007" i="3"/>
  <c r="AN2007" i="3"/>
  <c r="AM2007" i="3"/>
  <c r="AL2007" i="3"/>
  <c r="L2007" i="3"/>
  <c r="D2007" i="3"/>
  <c r="L2006" i="3"/>
  <c r="D2006" i="3"/>
  <c r="AQ2005" i="3"/>
  <c r="AP2005" i="3"/>
  <c r="AO2005" i="3"/>
  <c r="AN2005" i="3"/>
  <c r="AM2005" i="3"/>
  <c r="AL2005" i="3"/>
  <c r="L2005" i="3"/>
  <c r="D2005" i="3"/>
  <c r="AQ2004" i="3"/>
  <c r="AP2004" i="3"/>
  <c r="AO2004" i="3"/>
  <c r="AN2004" i="3"/>
  <c r="AM2004" i="3"/>
  <c r="AL2004" i="3"/>
  <c r="L2004" i="3"/>
  <c r="D2004" i="3"/>
  <c r="AQ2003" i="3"/>
  <c r="AP2003" i="3"/>
  <c r="AO2003" i="3"/>
  <c r="AN2003" i="3"/>
  <c r="AM2003" i="3"/>
  <c r="AL2003" i="3"/>
  <c r="L2003" i="3"/>
  <c r="D2003" i="3"/>
  <c r="AQ2002" i="3"/>
  <c r="AP2002" i="3"/>
  <c r="AO2002" i="3"/>
  <c r="AN2002" i="3"/>
  <c r="AM2002" i="3"/>
  <c r="AL2002" i="3"/>
  <c r="L2002" i="3"/>
  <c r="D2002" i="3"/>
  <c r="AQ2001" i="3"/>
  <c r="AP2001" i="3"/>
  <c r="AO2001" i="3"/>
  <c r="AN2001" i="3"/>
  <c r="AM2001" i="3"/>
  <c r="AL2001" i="3"/>
  <c r="L2001" i="3"/>
  <c r="D2001" i="3"/>
  <c r="L2000" i="3"/>
  <c r="D2000" i="3"/>
  <c r="L1999" i="3"/>
  <c r="D1999" i="3"/>
  <c r="AQ1998" i="3"/>
  <c r="AP1998" i="3"/>
  <c r="AO1998" i="3"/>
  <c r="AN1998" i="3"/>
  <c r="AM1998" i="3"/>
  <c r="AL1998" i="3"/>
  <c r="L1998" i="3"/>
  <c r="D1998" i="3"/>
  <c r="AQ1997" i="3"/>
  <c r="AP1997" i="3"/>
  <c r="AO1997" i="3"/>
  <c r="AN1997" i="3"/>
  <c r="AM1997" i="3"/>
  <c r="AL1997" i="3"/>
  <c r="L1997" i="3"/>
  <c r="D1997" i="3"/>
  <c r="AQ1996" i="3"/>
  <c r="AP1996" i="3"/>
  <c r="AO1996" i="3"/>
  <c r="AN1996" i="3"/>
  <c r="AM1996" i="3"/>
  <c r="AL1996" i="3"/>
  <c r="L1996" i="3"/>
  <c r="D1996" i="3"/>
  <c r="AQ1995" i="3"/>
  <c r="AP1995" i="3"/>
  <c r="AO1995" i="3"/>
  <c r="AN1995" i="3"/>
  <c r="AM1995" i="3"/>
  <c r="AL1995" i="3"/>
  <c r="L1995" i="3"/>
  <c r="D1995" i="3"/>
  <c r="L1994" i="3"/>
  <c r="D1994" i="3"/>
  <c r="L1993" i="3"/>
  <c r="D1993" i="3"/>
  <c r="AQ1992" i="3"/>
  <c r="AP1992" i="3"/>
  <c r="AO1992" i="3"/>
  <c r="AN1992" i="3"/>
  <c r="AM1992" i="3"/>
  <c r="AL1992" i="3"/>
  <c r="L1992" i="3"/>
  <c r="D1992" i="3"/>
  <c r="L1991" i="3"/>
  <c r="D1991" i="3"/>
  <c r="AQ1990" i="3"/>
  <c r="AP1990" i="3"/>
  <c r="AO1990" i="3"/>
  <c r="AN1990" i="3"/>
  <c r="AM1990" i="3"/>
  <c r="AL1990" i="3"/>
  <c r="L1990" i="3"/>
  <c r="D1990" i="3"/>
  <c r="L1989" i="3"/>
  <c r="D1989" i="3"/>
  <c r="AQ1988" i="3"/>
  <c r="AP1988" i="3"/>
  <c r="AO1988" i="3"/>
  <c r="AN1988" i="3"/>
  <c r="AM1988" i="3"/>
  <c r="AL1988" i="3"/>
  <c r="L1988" i="3"/>
  <c r="D1988" i="3"/>
  <c r="AQ1987" i="3"/>
  <c r="AP1987" i="3"/>
  <c r="AO1987" i="3"/>
  <c r="AN1987" i="3"/>
  <c r="AM1987" i="3"/>
  <c r="AL1987" i="3"/>
  <c r="L1987" i="3"/>
  <c r="D1987" i="3"/>
  <c r="AQ1986" i="3"/>
  <c r="AP1986" i="3"/>
  <c r="AO1986" i="3"/>
  <c r="AN1986" i="3"/>
  <c r="AM1986" i="3"/>
  <c r="AL1986" i="3"/>
  <c r="L1986" i="3"/>
  <c r="D1986" i="3"/>
  <c r="L1985" i="3"/>
  <c r="D1985" i="3"/>
  <c r="AQ1984" i="3"/>
  <c r="AP1984" i="3"/>
  <c r="AO1984" i="3"/>
  <c r="AN1984" i="3"/>
  <c r="AM1984" i="3"/>
  <c r="AL1984" i="3"/>
  <c r="L1984" i="3"/>
  <c r="D1984" i="3"/>
  <c r="AQ1983" i="3"/>
  <c r="AP1983" i="3"/>
  <c r="AO1983" i="3"/>
  <c r="AN1983" i="3"/>
  <c r="AM1983" i="3"/>
  <c r="AL1983" i="3"/>
  <c r="L1983" i="3"/>
  <c r="D1983" i="3"/>
  <c r="AQ1982" i="3"/>
  <c r="AP1982" i="3"/>
  <c r="AO1982" i="3"/>
  <c r="AN1982" i="3"/>
  <c r="AM1982" i="3"/>
  <c r="AL1982" i="3"/>
  <c r="L1982" i="3"/>
  <c r="D1982" i="3"/>
  <c r="L1981" i="3"/>
  <c r="D1981" i="3"/>
  <c r="AQ1980" i="3"/>
  <c r="AP1980" i="3"/>
  <c r="AO1980" i="3"/>
  <c r="AN1980" i="3"/>
  <c r="AM1980" i="3"/>
  <c r="AL1980" i="3"/>
  <c r="L1980" i="3"/>
  <c r="D1980" i="3"/>
  <c r="L1979" i="3"/>
  <c r="D1979" i="3"/>
  <c r="L1978" i="3"/>
  <c r="D1978" i="3"/>
  <c r="AQ1977" i="3"/>
  <c r="AP1977" i="3"/>
  <c r="AO1977" i="3"/>
  <c r="AN1977" i="3"/>
  <c r="AM1977" i="3"/>
  <c r="AL1977" i="3"/>
  <c r="L1977" i="3"/>
  <c r="D1977" i="3"/>
  <c r="AQ1976" i="3"/>
  <c r="AP1976" i="3"/>
  <c r="AO1976" i="3"/>
  <c r="AN1976" i="3"/>
  <c r="AM1976" i="3"/>
  <c r="AL1976" i="3"/>
  <c r="L1976" i="3"/>
  <c r="D1976" i="3"/>
  <c r="L1975" i="3"/>
  <c r="D1975" i="3"/>
  <c r="AQ1974" i="3"/>
  <c r="AP1974" i="3"/>
  <c r="AO1974" i="3"/>
  <c r="AN1974" i="3"/>
  <c r="AM1974" i="3"/>
  <c r="AL1974" i="3"/>
  <c r="L1974" i="3"/>
  <c r="D1974" i="3"/>
  <c r="AQ1973" i="3"/>
  <c r="AP1973" i="3"/>
  <c r="AO1973" i="3"/>
  <c r="AN1973" i="3"/>
  <c r="AM1973" i="3"/>
  <c r="AL1973" i="3"/>
  <c r="L1973" i="3"/>
  <c r="D1973" i="3"/>
  <c r="AQ1972" i="3"/>
  <c r="AP1972" i="3"/>
  <c r="AO1972" i="3"/>
  <c r="AN1972" i="3"/>
  <c r="AM1972" i="3"/>
  <c r="AL1972" i="3"/>
  <c r="L1972" i="3"/>
  <c r="D1972" i="3"/>
  <c r="AQ1971" i="3"/>
  <c r="AP1971" i="3"/>
  <c r="AO1971" i="3"/>
  <c r="AN1971" i="3"/>
  <c r="AM1971" i="3"/>
  <c r="AL1971" i="3"/>
  <c r="L1971" i="3"/>
  <c r="D1971" i="3"/>
  <c r="AQ1970" i="3"/>
  <c r="AP1970" i="3"/>
  <c r="AO1970" i="3"/>
  <c r="AN1970" i="3"/>
  <c r="AM1970" i="3"/>
  <c r="AL1970" i="3"/>
  <c r="L1970" i="3"/>
  <c r="D1970" i="3"/>
  <c r="AQ1969" i="3"/>
  <c r="AP1969" i="3"/>
  <c r="AO1969" i="3"/>
  <c r="AN1969" i="3"/>
  <c r="AM1969" i="3"/>
  <c r="AL1969" i="3"/>
  <c r="L1969" i="3"/>
  <c r="D1969" i="3"/>
  <c r="AQ1968" i="3"/>
  <c r="AP1968" i="3"/>
  <c r="AO1968" i="3"/>
  <c r="AN1968" i="3"/>
  <c r="AM1968" i="3"/>
  <c r="AL1968" i="3"/>
  <c r="L1968" i="3"/>
  <c r="D1968" i="3"/>
  <c r="AQ1967" i="3"/>
  <c r="AP1967" i="3"/>
  <c r="AO1967" i="3"/>
  <c r="AN1967" i="3"/>
  <c r="AM1967" i="3"/>
  <c r="AL1967" i="3"/>
  <c r="L1967" i="3"/>
  <c r="D1967" i="3"/>
  <c r="AQ1966" i="3"/>
  <c r="AP1966" i="3"/>
  <c r="AO1966" i="3"/>
  <c r="AN1966" i="3"/>
  <c r="AM1966" i="3"/>
  <c r="AL1966" i="3"/>
  <c r="L1966" i="3"/>
  <c r="D1966" i="3"/>
  <c r="AQ1965" i="3"/>
  <c r="AP1965" i="3"/>
  <c r="AO1965" i="3"/>
  <c r="AN1965" i="3"/>
  <c r="AM1965" i="3"/>
  <c r="AL1965" i="3"/>
  <c r="L1965" i="3"/>
  <c r="D1965" i="3"/>
  <c r="AQ1964" i="3"/>
  <c r="AP1964" i="3"/>
  <c r="AO1964" i="3"/>
  <c r="AN1964" i="3"/>
  <c r="AM1964" i="3"/>
  <c r="AL1964" i="3"/>
  <c r="L1964" i="3"/>
  <c r="D1964" i="3"/>
  <c r="L1963" i="3"/>
  <c r="D1963" i="3"/>
  <c r="L1962" i="3"/>
  <c r="D1962" i="3"/>
  <c r="AQ1961" i="3"/>
  <c r="AP1961" i="3"/>
  <c r="AO1961" i="3"/>
  <c r="AN1961" i="3"/>
  <c r="AM1961" i="3"/>
  <c r="AL1961" i="3"/>
  <c r="L1961" i="3"/>
  <c r="D1961" i="3"/>
  <c r="AQ1960" i="3"/>
  <c r="AP1960" i="3"/>
  <c r="AO1960" i="3"/>
  <c r="AN1960" i="3"/>
  <c r="AM1960" i="3"/>
  <c r="AL1960" i="3"/>
  <c r="L1960" i="3"/>
  <c r="D1960" i="3"/>
  <c r="L1959" i="3"/>
  <c r="D1959" i="3"/>
  <c r="AQ1958" i="3"/>
  <c r="AP1958" i="3"/>
  <c r="AO1958" i="3"/>
  <c r="AN1958" i="3"/>
  <c r="AM1958" i="3"/>
  <c r="AL1958" i="3"/>
  <c r="L1958" i="3"/>
  <c r="D1958" i="3"/>
  <c r="AQ1957" i="3"/>
  <c r="AP1957" i="3"/>
  <c r="AO1957" i="3"/>
  <c r="AN1957" i="3"/>
  <c r="AM1957" i="3"/>
  <c r="AL1957" i="3"/>
  <c r="L1957" i="3"/>
  <c r="D1957" i="3"/>
  <c r="L1956" i="3"/>
  <c r="D1956" i="3"/>
  <c r="AQ1955" i="3"/>
  <c r="AP1955" i="3"/>
  <c r="AO1955" i="3"/>
  <c r="AN1955" i="3"/>
  <c r="AM1955" i="3"/>
  <c r="AL1955" i="3"/>
  <c r="L1955" i="3"/>
  <c r="D1955" i="3"/>
  <c r="AQ1954" i="3"/>
  <c r="AP1954" i="3"/>
  <c r="AO1954" i="3"/>
  <c r="AN1954" i="3"/>
  <c r="AM1954" i="3"/>
  <c r="AL1954" i="3"/>
  <c r="L1954" i="3"/>
  <c r="D1954" i="3"/>
  <c r="AQ1953" i="3"/>
  <c r="AP1953" i="3"/>
  <c r="AO1953" i="3"/>
  <c r="AN1953" i="3"/>
  <c r="AM1953" i="3"/>
  <c r="AL1953" i="3"/>
  <c r="L1953" i="3"/>
  <c r="D1953" i="3"/>
  <c r="AQ1952" i="3"/>
  <c r="AP1952" i="3"/>
  <c r="AO1952" i="3"/>
  <c r="AN1952" i="3"/>
  <c r="AM1952" i="3"/>
  <c r="AL1952" i="3"/>
  <c r="L1952" i="3"/>
  <c r="D1952" i="3"/>
  <c r="AQ1951" i="3"/>
  <c r="AP1951" i="3"/>
  <c r="AO1951" i="3"/>
  <c r="AN1951" i="3"/>
  <c r="AM1951" i="3"/>
  <c r="AL1951" i="3"/>
  <c r="L1951" i="3"/>
  <c r="D1951" i="3"/>
  <c r="AQ1950" i="3"/>
  <c r="AP1950" i="3"/>
  <c r="AO1950" i="3"/>
  <c r="AN1950" i="3"/>
  <c r="AM1950" i="3"/>
  <c r="AL1950" i="3"/>
  <c r="L1950" i="3"/>
  <c r="D1950" i="3"/>
  <c r="L1949" i="3"/>
  <c r="D1949" i="3"/>
  <c r="L1948" i="3"/>
  <c r="D1948" i="3"/>
  <c r="L1947" i="3"/>
  <c r="D1947" i="3"/>
  <c r="L1946" i="3"/>
  <c r="D1946" i="3"/>
  <c r="AQ1945" i="3"/>
  <c r="AP1945" i="3"/>
  <c r="AO1945" i="3"/>
  <c r="AN1945" i="3"/>
  <c r="AM1945" i="3"/>
  <c r="AL1945" i="3"/>
  <c r="L1945" i="3"/>
  <c r="D1945" i="3"/>
  <c r="L1944" i="3"/>
  <c r="D1944" i="3"/>
  <c r="L1943" i="3"/>
  <c r="D1943" i="3"/>
  <c r="AQ1942" i="3"/>
  <c r="AP1942" i="3"/>
  <c r="AO1942" i="3"/>
  <c r="AN1942" i="3"/>
  <c r="AM1942" i="3"/>
  <c r="AL1942" i="3"/>
  <c r="L1942" i="3"/>
  <c r="D1942" i="3"/>
  <c r="AQ1941" i="3"/>
  <c r="AP1941" i="3"/>
  <c r="AO1941" i="3"/>
  <c r="AN1941" i="3"/>
  <c r="AM1941" i="3"/>
  <c r="AL1941" i="3"/>
  <c r="L1941" i="3"/>
  <c r="D1941" i="3"/>
  <c r="AQ1940" i="3"/>
  <c r="AP1940" i="3"/>
  <c r="AO1940" i="3"/>
  <c r="AN1940" i="3"/>
  <c r="AM1940" i="3"/>
  <c r="AL1940" i="3"/>
  <c r="L1940" i="3"/>
  <c r="D1940" i="3"/>
  <c r="AQ1939" i="3"/>
  <c r="AP1939" i="3"/>
  <c r="AO1939" i="3"/>
  <c r="AN1939" i="3"/>
  <c r="AM1939" i="3"/>
  <c r="AL1939" i="3"/>
  <c r="L1939" i="3"/>
  <c r="D1939" i="3"/>
  <c r="AQ1938" i="3"/>
  <c r="AP1938" i="3"/>
  <c r="AO1938" i="3"/>
  <c r="AN1938" i="3"/>
  <c r="AM1938" i="3"/>
  <c r="AL1938" i="3"/>
  <c r="L1938" i="3"/>
  <c r="D1938" i="3"/>
  <c r="AQ1937" i="3"/>
  <c r="AP1937" i="3"/>
  <c r="AO1937" i="3"/>
  <c r="AN1937" i="3"/>
  <c r="AM1937" i="3"/>
  <c r="AL1937" i="3"/>
  <c r="L1937" i="3"/>
  <c r="D1937" i="3"/>
  <c r="AQ1936" i="3"/>
  <c r="AP1936" i="3"/>
  <c r="AO1936" i="3"/>
  <c r="AN1936" i="3"/>
  <c r="AM1936" i="3"/>
  <c r="AL1936" i="3"/>
  <c r="L1936" i="3"/>
  <c r="D1936" i="3"/>
  <c r="AQ1935" i="3"/>
  <c r="AP1935" i="3"/>
  <c r="AO1935" i="3"/>
  <c r="AN1935" i="3"/>
  <c r="AM1935" i="3"/>
  <c r="AL1935" i="3"/>
  <c r="L1935" i="3"/>
  <c r="D1935" i="3"/>
  <c r="AQ1934" i="3"/>
  <c r="AP1934" i="3"/>
  <c r="AO1934" i="3"/>
  <c r="AN1934" i="3"/>
  <c r="AM1934" i="3"/>
  <c r="AL1934" i="3"/>
  <c r="L1934" i="3"/>
  <c r="D1934" i="3"/>
  <c r="AQ1933" i="3"/>
  <c r="AP1933" i="3"/>
  <c r="AO1933" i="3"/>
  <c r="AN1933" i="3"/>
  <c r="AM1933" i="3"/>
  <c r="AL1933" i="3"/>
  <c r="L1933" i="3"/>
  <c r="D1933" i="3"/>
  <c r="AQ1932" i="3"/>
  <c r="AP1932" i="3"/>
  <c r="AO1932" i="3"/>
  <c r="AN1932" i="3"/>
  <c r="AM1932" i="3"/>
  <c r="AL1932" i="3"/>
  <c r="L1932" i="3"/>
  <c r="D1932" i="3"/>
  <c r="AQ1931" i="3"/>
  <c r="AP1931" i="3"/>
  <c r="AO1931" i="3"/>
  <c r="AN1931" i="3"/>
  <c r="AM1931" i="3"/>
  <c r="AL1931" i="3"/>
  <c r="L1931" i="3"/>
  <c r="D1931" i="3"/>
  <c r="AQ1930" i="3"/>
  <c r="AP1930" i="3"/>
  <c r="AO1930" i="3"/>
  <c r="AN1930" i="3"/>
  <c r="AM1930" i="3"/>
  <c r="AL1930" i="3"/>
  <c r="L1930" i="3"/>
  <c r="D1930" i="3"/>
  <c r="L1929" i="3"/>
  <c r="D1929" i="3"/>
  <c r="L1928" i="3"/>
  <c r="D1928" i="3"/>
  <c r="AQ1927" i="3"/>
  <c r="AP1927" i="3"/>
  <c r="AO1927" i="3"/>
  <c r="AN1927" i="3"/>
  <c r="AM1927" i="3"/>
  <c r="AL1927" i="3"/>
  <c r="L1927" i="3"/>
  <c r="D1927" i="3"/>
  <c r="AQ1926" i="3"/>
  <c r="AP1926" i="3"/>
  <c r="AO1926" i="3"/>
  <c r="AN1926" i="3"/>
  <c r="AM1926" i="3"/>
  <c r="AL1926" i="3"/>
  <c r="L1926" i="3"/>
  <c r="D1926" i="3"/>
  <c r="AQ1925" i="3"/>
  <c r="AP1925" i="3"/>
  <c r="AO1925" i="3"/>
  <c r="AN1925" i="3"/>
  <c r="AM1925" i="3"/>
  <c r="AL1925" i="3"/>
  <c r="L1925" i="3"/>
  <c r="D1925" i="3"/>
  <c r="AQ1924" i="3"/>
  <c r="AP1924" i="3"/>
  <c r="AO1924" i="3"/>
  <c r="AN1924" i="3"/>
  <c r="AM1924" i="3"/>
  <c r="AL1924" i="3"/>
  <c r="L1924" i="3"/>
  <c r="D1924" i="3"/>
  <c r="AQ1923" i="3"/>
  <c r="AP1923" i="3"/>
  <c r="AO1923" i="3"/>
  <c r="AN1923" i="3"/>
  <c r="AM1923" i="3"/>
  <c r="AL1923" i="3"/>
  <c r="L1923" i="3"/>
  <c r="D1923" i="3"/>
  <c r="AQ1922" i="3"/>
  <c r="AP1922" i="3"/>
  <c r="AO1922" i="3"/>
  <c r="AN1922" i="3"/>
  <c r="AM1922" i="3"/>
  <c r="AL1922" i="3"/>
  <c r="L1922" i="3"/>
  <c r="D1922" i="3"/>
  <c r="AQ1921" i="3"/>
  <c r="AP1921" i="3"/>
  <c r="AO1921" i="3"/>
  <c r="AN1921" i="3"/>
  <c r="AM1921" i="3"/>
  <c r="AL1921" i="3"/>
  <c r="L1921" i="3"/>
  <c r="D1921" i="3"/>
  <c r="AQ1920" i="3"/>
  <c r="AP1920" i="3"/>
  <c r="AO1920" i="3"/>
  <c r="AN1920" i="3"/>
  <c r="AM1920" i="3"/>
  <c r="AL1920" i="3"/>
  <c r="L1920" i="3"/>
  <c r="D1920" i="3"/>
  <c r="L1919" i="3"/>
  <c r="D1919" i="3"/>
  <c r="AQ1918" i="3"/>
  <c r="AP1918" i="3"/>
  <c r="AO1918" i="3"/>
  <c r="AN1918" i="3"/>
  <c r="AM1918" i="3"/>
  <c r="AL1918" i="3"/>
  <c r="L1918" i="3"/>
  <c r="D1918" i="3"/>
  <c r="AQ1917" i="3"/>
  <c r="AP1917" i="3"/>
  <c r="AO1917" i="3"/>
  <c r="AN1917" i="3"/>
  <c r="AM1917" i="3"/>
  <c r="AL1917" i="3"/>
  <c r="L1917" i="3"/>
  <c r="D1917" i="3"/>
  <c r="AQ1916" i="3"/>
  <c r="AP1916" i="3"/>
  <c r="AO1916" i="3"/>
  <c r="AN1916" i="3"/>
  <c r="AM1916" i="3"/>
  <c r="AL1916" i="3"/>
  <c r="L1916" i="3"/>
  <c r="D1916" i="3"/>
  <c r="AQ1915" i="3"/>
  <c r="AP1915" i="3"/>
  <c r="AO1915" i="3"/>
  <c r="AN1915" i="3"/>
  <c r="AM1915" i="3"/>
  <c r="AL1915" i="3"/>
  <c r="L1915" i="3"/>
  <c r="D1915" i="3"/>
  <c r="AQ1914" i="3"/>
  <c r="AP1914" i="3"/>
  <c r="AO1914" i="3"/>
  <c r="AN1914" i="3"/>
  <c r="AM1914" i="3"/>
  <c r="AL1914" i="3"/>
  <c r="L1914" i="3"/>
  <c r="D1914" i="3"/>
  <c r="AQ1913" i="3"/>
  <c r="AP1913" i="3"/>
  <c r="AO1913" i="3"/>
  <c r="AN1913" i="3"/>
  <c r="AM1913" i="3"/>
  <c r="AL1913" i="3"/>
  <c r="L1913" i="3"/>
  <c r="D1913" i="3"/>
  <c r="AQ1912" i="3"/>
  <c r="AP1912" i="3"/>
  <c r="AO1912" i="3"/>
  <c r="AN1912" i="3"/>
  <c r="AM1912" i="3"/>
  <c r="AL1912" i="3"/>
  <c r="L1912" i="3"/>
  <c r="D1912" i="3"/>
  <c r="AQ1911" i="3"/>
  <c r="AP1911" i="3"/>
  <c r="AO1911" i="3"/>
  <c r="AN1911" i="3"/>
  <c r="AM1911" i="3"/>
  <c r="AL1911" i="3"/>
  <c r="L1911" i="3"/>
  <c r="D1911" i="3"/>
  <c r="AQ1910" i="3"/>
  <c r="AP1910" i="3"/>
  <c r="AO1910" i="3"/>
  <c r="AN1910" i="3"/>
  <c r="AM1910" i="3"/>
  <c r="AL1910" i="3"/>
  <c r="L1910" i="3"/>
  <c r="D1910" i="3"/>
  <c r="AQ1909" i="3"/>
  <c r="AP1909" i="3"/>
  <c r="AO1909" i="3"/>
  <c r="AN1909" i="3"/>
  <c r="AM1909" i="3"/>
  <c r="AL1909" i="3"/>
  <c r="L1909" i="3"/>
  <c r="D1909" i="3"/>
  <c r="L1908" i="3"/>
  <c r="D1908" i="3"/>
  <c r="AQ1907" i="3"/>
  <c r="AP1907" i="3"/>
  <c r="AO1907" i="3"/>
  <c r="AN1907" i="3"/>
  <c r="AM1907" i="3"/>
  <c r="AL1907" i="3"/>
  <c r="L1907" i="3"/>
  <c r="D1907" i="3"/>
  <c r="L1906" i="3"/>
  <c r="D1906" i="3"/>
  <c r="L1905" i="3"/>
  <c r="D1905" i="3"/>
  <c r="AQ1904" i="3"/>
  <c r="AP1904" i="3"/>
  <c r="AO1904" i="3"/>
  <c r="AN1904" i="3"/>
  <c r="AM1904" i="3"/>
  <c r="AL1904" i="3"/>
  <c r="L1904" i="3"/>
  <c r="D1904" i="3"/>
  <c r="AQ1903" i="3"/>
  <c r="AP1903" i="3"/>
  <c r="AO1903" i="3"/>
  <c r="AN1903" i="3"/>
  <c r="AM1903" i="3"/>
  <c r="AL1903" i="3"/>
  <c r="L1903" i="3"/>
  <c r="D1903" i="3"/>
  <c r="AQ1902" i="3"/>
  <c r="AP1902" i="3"/>
  <c r="AO1902" i="3"/>
  <c r="AN1902" i="3"/>
  <c r="AM1902" i="3"/>
  <c r="AL1902" i="3"/>
  <c r="L1902" i="3"/>
  <c r="D1902" i="3"/>
  <c r="L1901" i="3"/>
  <c r="D1901" i="3"/>
  <c r="AQ1900" i="3"/>
  <c r="AP1900" i="3"/>
  <c r="AO1900" i="3"/>
  <c r="AN1900" i="3"/>
  <c r="AM1900" i="3"/>
  <c r="AL1900" i="3"/>
  <c r="L1900" i="3"/>
  <c r="D1900" i="3"/>
  <c r="L1899" i="3"/>
  <c r="D1899" i="3"/>
  <c r="AQ1898" i="3"/>
  <c r="AP1898" i="3"/>
  <c r="AO1898" i="3"/>
  <c r="AN1898" i="3"/>
  <c r="AM1898" i="3"/>
  <c r="AL1898" i="3"/>
  <c r="L1898" i="3"/>
  <c r="D1898" i="3"/>
  <c r="AQ1897" i="3"/>
  <c r="AP1897" i="3"/>
  <c r="AO1897" i="3"/>
  <c r="AN1897" i="3"/>
  <c r="AM1897" i="3"/>
  <c r="AL1897" i="3"/>
  <c r="L1897" i="3"/>
  <c r="D1897" i="3"/>
  <c r="AQ1896" i="3"/>
  <c r="AP1896" i="3"/>
  <c r="AO1896" i="3"/>
  <c r="AN1896" i="3"/>
  <c r="AM1896" i="3"/>
  <c r="AL1896" i="3"/>
  <c r="L1896" i="3"/>
  <c r="D1896" i="3"/>
  <c r="L1895" i="3"/>
  <c r="D1895" i="3"/>
  <c r="AQ1894" i="3"/>
  <c r="AP1894" i="3"/>
  <c r="AO1894" i="3"/>
  <c r="AN1894" i="3"/>
  <c r="AM1894" i="3"/>
  <c r="AL1894" i="3"/>
  <c r="L1894" i="3"/>
  <c r="D1894" i="3"/>
  <c r="AQ1893" i="3"/>
  <c r="AP1893" i="3"/>
  <c r="AO1893" i="3"/>
  <c r="AN1893" i="3"/>
  <c r="AM1893" i="3"/>
  <c r="AL1893" i="3"/>
  <c r="L1893" i="3"/>
  <c r="D1893" i="3"/>
  <c r="L1892" i="3"/>
  <c r="D1892" i="3"/>
  <c r="AQ1891" i="3"/>
  <c r="AP1891" i="3"/>
  <c r="AO1891" i="3"/>
  <c r="AN1891" i="3"/>
  <c r="AM1891" i="3"/>
  <c r="AL1891" i="3"/>
  <c r="L1891" i="3"/>
  <c r="D1891" i="3"/>
  <c r="AQ1890" i="3"/>
  <c r="AP1890" i="3"/>
  <c r="AO1890" i="3"/>
  <c r="AN1890" i="3"/>
  <c r="AM1890" i="3"/>
  <c r="AL1890" i="3"/>
  <c r="L1890" i="3"/>
  <c r="D1890" i="3"/>
  <c r="AQ1889" i="3"/>
  <c r="AP1889" i="3"/>
  <c r="AO1889" i="3"/>
  <c r="AN1889" i="3"/>
  <c r="AM1889" i="3"/>
  <c r="AL1889" i="3"/>
  <c r="L1889" i="3"/>
  <c r="D1889" i="3"/>
  <c r="L1888" i="3"/>
  <c r="D1888" i="3"/>
  <c r="AQ1887" i="3"/>
  <c r="AP1887" i="3"/>
  <c r="AO1887" i="3"/>
  <c r="AN1887" i="3"/>
  <c r="AM1887" i="3"/>
  <c r="AL1887" i="3"/>
  <c r="L1887" i="3"/>
  <c r="D1887" i="3"/>
  <c r="AQ1886" i="3"/>
  <c r="AP1886" i="3"/>
  <c r="AO1886" i="3"/>
  <c r="AN1886" i="3"/>
  <c r="AM1886" i="3"/>
  <c r="AL1886" i="3"/>
  <c r="L1886" i="3"/>
  <c r="D1886" i="3"/>
  <c r="AQ1885" i="3"/>
  <c r="AP1885" i="3"/>
  <c r="AO1885" i="3"/>
  <c r="AN1885" i="3"/>
  <c r="AM1885" i="3"/>
  <c r="AL1885" i="3"/>
  <c r="L1885" i="3"/>
  <c r="D1885" i="3"/>
  <c r="AQ1884" i="3"/>
  <c r="AP1884" i="3"/>
  <c r="AO1884" i="3"/>
  <c r="AN1884" i="3"/>
  <c r="AM1884" i="3"/>
  <c r="AL1884" i="3"/>
  <c r="L1884" i="3"/>
  <c r="D1884" i="3"/>
  <c r="AQ1883" i="3"/>
  <c r="AP1883" i="3"/>
  <c r="AO1883" i="3"/>
  <c r="AN1883" i="3"/>
  <c r="AM1883" i="3"/>
  <c r="AL1883" i="3"/>
  <c r="L1883" i="3"/>
  <c r="D1883" i="3"/>
  <c r="AQ1882" i="3"/>
  <c r="AP1882" i="3"/>
  <c r="AO1882" i="3"/>
  <c r="AN1882" i="3"/>
  <c r="AM1882" i="3"/>
  <c r="AL1882" i="3"/>
  <c r="L1882" i="3"/>
  <c r="D1882" i="3"/>
  <c r="L1881" i="3"/>
  <c r="D1881" i="3"/>
  <c r="AQ1880" i="3"/>
  <c r="AP1880" i="3"/>
  <c r="AO1880" i="3"/>
  <c r="AN1880" i="3"/>
  <c r="AM1880" i="3"/>
  <c r="AL1880" i="3"/>
  <c r="L1880" i="3"/>
  <c r="D1880" i="3"/>
  <c r="AQ1879" i="3"/>
  <c r="AP1879" i="3"/>
  <c r="AO1879" i="3"/>
  <c r="AN1879" i="3"/>
  <c r="AM1879" i="3"/>
  <c r="AL1879" i="3"/>
  <c r="L1879" i="3"/>
  <c r="D1879" i="3"/>
  <c r="AQ1878" i="3"/>
  <c r="AP1878" i="3"/>
  <c r="AO1878" i="3"/>
  <c r="AN1878" i="3"/>
  <c r="AM1878" i="3"/>
  <c r="AL1878" i="3"/>
  <c r="L1878" i="3"/>
  <c r="D1878" i="3"/>
  <c r="AQ1877" i="3"/>
  <c r="AP1877" i="3"/>
  <c r="AO1877" i="3"/>
  <c r="AN1877" i="3"/>
  <c r="AM1877" i="3"/>
  <c r="AL1877" i="3"/>
  <c r="L1877" i="3"/>
  <c r="D1877" i="3"/>
  <c r="L1876" i="3"/>
  <c r="D1876" i="3"/>
  <c r="L1875" i="3"/>
  <c r="D1875" i="3"/>
  <c r="L1874" i="3"/>
  <c r="D1874" i="3"/>
  <c r="L1873" i="3"/>
  <c r="D1873" i="3"/>
  <c r="L1872" i="3"/>
  <c r="D1872" i="3"/>
  <c r="AQ1871" i="3"/>
  <c r="AP1871" i="3"/>
  <c r="AO1871" i="3"/>
  <c r="AN1871" i="3"/>
  <c r="AM1871" i="3"/>
  <c r="AL1871" i="3"/>
  <c r="L1871" i="3"/>
  <c r="D1871" i="3"/>
  <c r="AQ1870" i="3"/>
  <c r="AP1870" i="3"/>
  <c r="AO1870" i="3"/>
  <c r="AN1870" i="3"/>
  <c r="AM1870" i="3"/>
  <c r="AL1870" i="3"/>
  <c r="L1870" i="3"/>
  <c r="D1870" i="3"/>
  <c r="AQ1869" i="3"/>
  <c r="AP1869" i="3"/>
  <c r="AO1869" i="3"/>
  <c r="AN1869" i="3"/>
  <c r="AM1869" i="3"/>
  <c r="AL1869" i="3"/>
  <c r="L1869" i="3"/>
  <c r="D1869" i="3"/>
  <c r="AQ1868" i="3"/>
  <c r="AP1868" i="3"/>
  <c r="AO1868" i="3"/>
  <c r="AN1868" i="3"/>
  <c r="AM1868" i="3"/>
  <c r="AL1868" i="3"/>
  <c r="L1868" i="3"/>
  <c r="D1868" i="3"/>
  <c r="AQ1867" i="3"/>
  <c r="AP1867" i="3"/>
  <c r="AO1867" i="3"/>
  <c r="AN1867" i="3"/>
  <c r="AM1867" i="3"/>
  <c r="AL1867" i="3"/>
  <c r="L1867" i="3"/>
  <c r="D1867" i="3"/>
  <c r="AQ1866" i="3"/>
  <c r="AP1866" i="3"/>
  <c r="AO1866" i="3"/>
  <c r="AN1866" i="3"/>
  <c r="AM1866" i="3"/>
  <c r="AL1866" i="3"/>
  <c r="L1866" i="3"/>
  <c r="D1866" i="3"/>
  <c r="L1865" i="3"/>
  <c r="D1865" i="3"/>
  <c r="AQ1864" i="3"/>
  <c r="AP1864" i="3"/>
  <c r="AO1864" i="3"/>
  <c r="AN1864" i="3"/>
  <c r="AM1864" i="3"/>
  <c r="AL1864" i="3"/>
  <c r="L1864" i="3"/>
  <c r="D1864" i="3"/>
  <c r="AQ1863" i="3"/>
  <c r="AP1863" i="3"/>
  <c r="AO1863" i="3"/>
  <c r="AN1863" i="3"/>
  <c r="AM1863" i="3"/>
  <c r="AL1863" i="3"/>
  <c r="L1863" i="3"/>
  <c r="D1863" i="3"/>
  <c r="AQ1862" i="3"/>
  <c r="AP1862" i="3"/>
  <c r="AO1862" i="3"/>
  <c r="AN1862" i="3"/>
  <c r="AM1862" i="3"/>
  <c r="AL1862" i="3"/>
  <c r="L1862" i="3"/>
  <c r="D1862" i="3"/>
  <c r="AQ1861" i="3"/>
  <c r="AP1861" i="3"/>
  <c r="AO1861" i="3"/>
  <c r="AN1861" i="3"/>
  <c r="AM1861" i="3"/>
  <c r="AL1861" i="3"/>
  <c r="L1861" i="3"/>
  <c r="D1861" i="3"/>
  <c r="L1860" i="3"/>
  <c r="D1860" i="3"/>
  <c r="AQ1859" i="3"/>
  <c r="AP1859" i="3"/>
  <c r="AO1859" i="3"/>
  <c r="AN1859" i="3"/>
  <c r="AM1859" i="3"/>
  <c r="AL1859" i="3"/>
  <c r="L1859" i="3"/>
  <c r="D1859" i="3"/>
  <c r="AQ1858" i="3"/>
  <c r="AP1858" i="3"/>
  <c r="AO1858" i="3"/>
  <c r="AN1858" i="3"/>
  <c r="AM1858" i="3"/>
  <c r="AL1858" i="3"/>
  <c r="L1858" i="3"/>
  <c r="D1858" i="3"/>
  <c r="AQ1857" i="3"/>
  <c r="AP1857" i="3"/>
  <c r="AO1857" i="3"/>
  <c r="AN1857" i="3"/>
  <c r="AM1857" i="3"/>
  <c r="AL1857" i="3"/>
  <c r="L1857" i="3"/>
  <c r="D1857" i="3"/>
  <c r="L1856" i="3"/>
  <c r="D1856" i="3"/>
  <c r="AQ1855" i="3"/>
  <c r="AP1855" i="3"/>
  <c r="AO1855" i="3"/>
  <c r="AN1855" i="3"/>
  <c r="AM1855" i="3"/>
  <c r="AL1855" i="3"/>
  <c r="L1855" i="3"/>
  <c r="D1855" i="3"/>
  <c r="AQ1854" i="3"/>
  <c r="AP1854" i="3"/>
  <c r="AO1854" i="3"/>
  <c r="AN1854" i="3"/>
  <c r="AM1854" i="3"/>
  <c r="AL1854" i="3"/>
  <c r="L1854" i="3"/>
  <c r="D1854" i="3"/>
  <c r="AQ1853" i="3"/>
  <c r="AP1853" i="3"/>
  <c r="AO1853" i="3"/>
  <c r="AN1853" i="3"/>
  <c r="AM1853" i="3"/>
  <c r="AL1853" i="3"/>
  <c r="L1853" i="3"/>
  <c r="D1853" i="3"/>
  <c r="AQ1852" i="3"/>
  <c r="AP1852" i="3"/>
  <c r="AO1852" i="3"/>
  <c r="AN1852" i="3"/>
  <c r="AM1852" i="3"/>
  <c r="AL1852" i="3"/>
  <c r="L1852" i="3"/>
  <c r="D1852" i="3"/>
  <c r="L1851" i="3"/>
  <c r="D1851" i="3"/>
  <c r="AQ1850" i="3"/>
  <c r="AP1850" i="3"/>
  <c r="AO1850" i="3"/>
  <c r="AN1850" i="3"/>
  <c r="AM1850" i="3"/>
  <c r="AL1850" i="3"/>
  <c r="L1850" i="3"/>
  <c r="D1850" i="3"/>
  <c r="AQ1849" i="3"/>
  <c r="AP1849" i="3"/>
  <c r="AO1849" i="3"/>
  <c r="AN1849" i="3"/>
  <c r="AM1849" i="3"/>
  <c r="AL1849" i="3"/>
  <c r="L1849" i="3"/>
  <c r="D1849" i="3"/>
  <c r="L1848" i="3"/>
  <c r="D1848" i="3"/>
  <c r="L1847" i="3"/>
  <c r="D1847" i="3"/>
  <c r="AQ1846" i="3"/>
  <c r="AP1846" i="3"/>
  <c r="AO1846" i="3"/>
  <c r="AN1846" i="3"/>
  <c r="AM1846" i="3"/>
  <c r="AL1846" i="3"/>
  <c r="L1846" i="3"/>
  <c r="D1846" i="3"/>
  <c r="AQ1845" i="3"/>
  <c r="AP1845" i="3"/>
  <c r="AO1845" i="3"/>
  <c r="AN1845" i="3"/>
  <c r="AM1845" i="3"/>
  <c r="AL1845" i="3"/>
  <c r="L1845" i="3"/>
  <c r="D1845" i="3"/>
  <c r="AQ1844" i="3"/>
  <c r="AP1844" i="3"/>
  <c r="AO1844" i="3"/>
  <c r="AN1844" i="3"/>
  <c r="AM1844" i="3"/>
  <c r="AL1844" i="3"/>
  <c r="L1844" i="3"/>
  <c r="D1844" i="3"/>
  <c r="AQ1843" i="3"/>
  <c r="AP1843" i="3"/>
  <c r="AO1843" i="3"/>
  <c r="AN1843" i="3"/>
  <c r="AM1843" i="3"/>
  <c r="AL1843" i="3"/>
  <c r="L1843" i="3"/>
  <c r="D1843" i="3"/>
  <c r="AQ1842" i="3"/>
  <c r="AP1842" i="3"/>
  <c r="AO1842" i="3"/>
  <c r="AN1842" i="3"/>
  <c r="AM1842" i="3"/>
  <c r="AL1842" i="3"/>
  <c r="L1842" i="3"/>
  <c r="D1842" i="3"/>
  <c r="AQ1841" i="3"/>
  <c r="AP1841" i="3"/>
  <c r="AO1841" i="3"/>
  <c r="AN1841" i="3"/>
  <c r="AM1841" i="3"/>
  <c r="AL1841" i="3"/>
  <c r="L1841" i="3"/>
  <c r="D1841" i="3"/>
  <c r="AQ1840" i="3"/>
  <c r="AP1840" i="3"/>
  <c r="AO1840" i="3"/>
  <c r="AN1840" i="3"/>
  <c r="AM1840" i="3"/>
  <c r="AL1840" i="3"/>
  <c r="L1840" i="3"/>
  <c r="D1840" i="3"/>
  <c r="L1839" i="3"/>
  <c r="D1839" i="3"/>
  <c r="AQ1838" i="3"/>
  <c r="AP1838" i="3"/>
  <c r="AO1838" i="3"/>
  <c r="AN1838" i="3"/>
  <c r="AM1838" i="3"/>
  <c r="AL1838" i="3"/>
  <c r="L1838" i="3"/>
  <c r="D1838" i="3"/>
  <c r="AQ1837" i="3"/>
  <c r="AP1837" i="3"/>
  <c r="AO1837" i="3"/>
  <c r="AN1837" i="3"/>
  <c r="AM1837" i="3"/>
  <c r="AL1837" i="3"/>
  <c r="L1837" i="3"/>
  <c r="D1837" i="3"/>
  <c r="L1836" i="3"/>
  <c r="D1836" i="3"/>
  <c r="L1835" i="3"/>
  <c r="D1835" i="3"/>
  <c r="AQ1834" i="3"/>
  <c r="AP1834" i="3"/>
  <c r="AO1834" i="3"/>
  <c r="AN1834" i="3"/>
  <c r="AM1834" i="3"/>
  <c r="AL1834" i="3"/>
  <c r="L1834" i="3"/>
  <c r="D1834" i="3"/>
  <c r="L1833" i="3"/>
  <c r="D1833" i="3"/>
  <c r="L1832" i="3"/>
  <c r="D1832" i="3"/>
  <c r="AQ1831" i="3"/>
  <c r="AP1831" i="3"/>
  <c r="AO1831" i="3"/>
  <c r="AN1831" i="3"/>
  <c r="AM1831" i="3"/>
  <c r="AL1831" i="3"/>
  <c r="L1831" i="3"/>
  <c r="D1831" i="3"/>
  <c r="AQ1830" i="3"/>
  <c r="AP1830" i="3"/>
  <c r="AO1830" i="3"/>
  <c r="AN1830" i="3"/>
  <c r="AM1830" i="3"/>
  <c r="AL1830" i="3"/>
  <c r="L1830" i="3"/>
  <c r="D1830" i="3"/>
  <c r="AQ1829" i="3"/>
  <c r="AP1829" i="3"/>
  <c r="AO1829" i="3"/>
  <c r="AN1829" i="3"/>
  <c r="AM1829" i="3"/>
  <c r="AL1829" i="3"/>
  <c r="L1829" i="3"/>
  <c r="D1829" i="3"/>
  <c r="AQ1828" i="3"/>
  <c r="AP1828" i="3"/>
  <c r="AO1828" i="3"/>
  <c r="AN1828" i="3"/>
  <c r="AM1828" i="3"/>
  <c r="AL1828" i="3"/>
  <c r="L1828" i="3"/>
  <c r="D1828" i="3"/>
  <c r="AQ1827" i="3"/>
  <c r="AP1827" i="3"/>
  <c r="AO1827" i="3"/>
  <c r="AN1827" i="3"/>
  <c r="AM1827" i="3"/>
  <c r="AL1827" i="3"/>
  <c r="L1827" i="3"/>
  <c r="D1827" i="3"/>
  <c r="AQ1826" i="3"/>
  <c r="AP1826" i="3"/>
  <c r="AO1826" i="3"/>
  <c r="AN1826" i="3"/>
  <c r="AM1826" i="3"/>
  <c r="AL1826" i="3"/>
  <c r="L1826" i="3"/>
  <c r="D1826" i="3"/>
  <c r="AQ1825" i="3"/>
  <c r="AP1825" i="3"/>
  <c r="AO1825" i="3"/>
  <c r="AN1825" i="3"/>
  <c r="AM1825" i="3"/>
  <c r="AL1825" i="3"/>
  <c r="L1825" i="3"/>
  <c r="D1825" i="3"/>
  <c r="AQ1824" i="3"/>
  <c r="AP1824" i="3"/>
  <c r="AO1824" i="3"/>
  <c r="AN1824" i="3"/>
  <c r="AM1824" i="3"/>
  <c r="AL1824" i="3"/>
  <c r="L1824" i="3"/>
  <c r="D1824" i="3"/>
  <c r="L1823" i="3"/>
  <c r="D1823" i="3"/>
  <c r="AQ1822" i="3"/>
  <c r="AP1822" i="3"/>
  <c r="AO1822" i="3"/>
  <c r="AN1822" i="3"/>
  <c r="AM1822" i="3"/>
  <c r="AL1822" i="3"/>
  <c r="L1822" i="3"/>
  <c r="D1822" i="3"/>
  <c r="AQ1821" i="3"/>
  <c r="AP1821" i="3"/>
  <c r="AO1821" i="3"/>
  <c r="AN1821" i="3"/>
  <c r="AM1821" i="3"/>
  <c r="AL1821" i="3"/>
  <c r="L1821" i="3"/>
  <c r="D1821" i="3"/>
  <c r="AQ1820" i="3"/>
  <c r="AP1820" i="3"/>
  <c r="AO1820" i="3"/>
  <c r="AN1820" i="3"/>
  <c r="AM1820" i="3"/>
  <c r="AL1820" i="3"/>
  <c r="L1820" i="3"/>
  <c r="D1820" i="3"/>
  <c r="L1819" i="3"/>
  <c r="D1819" i="3"/>
  <c r="AQ1818" i="3"/>
  <c r="AP1818" i="3"/>
  <c r="AO1818" i="3"/>
  <c r="AN1818" i="3"/>
  <c r="AM1818" i="3"/>
  <c r="AL1818" i="3"/>
  <c r="L1818" i="3"/>
  <c r="D1818" i="3"/>
  <c r="AQ1817" i="3"/>
  <c r="AP1817" i="3"/>
  <c r="AO1817" i="3"/>
  <c r="AN1817" i="3"/>
  <c r="AM1817" i="3"/>
  <c r="AL1817" i="3"/>
  <c r="L1817" i="3"/>
  <c r="D1817" i="3"/>
  <c r="AQ1816" i="3"/>
  <c r="AP1816" i="3"/>
  <c r="AO1816" i="3"/>
  <c r="AN1816" i="3"/>
  <c r="AM1816" i="3"/>
  <c r="AL1816" i="3"/>
  <c r="L1816" i="3"/>
  <c r="D1816" i="3"/>
  <c r="AQ1815" i="3"/>
  <c r="AP1815" i="3"/>
  <c r="AO1815" i="3"/>
  <c r="AN1815" i="3"/>
  <c r="AM1815" i="3"/>
  <c r="AL1815" i="3"/>
  <c r="L1815" i="3"/>
  <c r="D1815" i="3"/>
  <c r="AQ1814" i="3"/>
  <c r="AP1814" i="3"/>
  <c r="AO1814" i="3"/>
  <c r="AN1814" i="3"/>
  <c r="AM1814" i="3"/>
  <c r="AL1814" i="3"/>
  <c r="L1814" i="3"/>
  <c r="D1814" i="3"/>
  <c r="AQ1813" i="3"/>
  <c r="AP1813" i="3"/>
  <c r="AO1813" i="3"/>
  <c r="AN1813" i="3"/>
  <c r="AM1813" i="3"/>
  <c r="AL1813" i="3"/>
  <c r="L1813" i="3"/>
  <c r="D1813" i="3"/>
  <c r="L1812" i="3"/>
  <c r="D1812" i="3"/>
  <c r="AQ1811" i="3"/>
  <c r="AP1811" i="3"/>
  <c r="AO1811" i="3"/>
  <c r="AN1811" i="3"/>
  <c r="AM1811" i="3"/>
  <c r="AL1811" i="3"/>
  <c r="L1811" i="3"/>
  <c r="D1811" i="3"/>
  <c r="L1810" i="3"/>
  <c r="D1810" i="3"/>
  <c r="AQ1809" i="3"/>
  <c r="AP1809" i="3"/>
  <c r="AO1809" i="3"/>
  <c r="AN1809" i="3"/>
  <c r="AM1809" i="3"/>
  <c r="AL1809" i="3"/>
  <c r="L1809" i="3"/>
  <c r="D1809" i="3"/>
  <c r="AQ1808" i="3"/>
  <c r="AP1808" i="3"/>
  <c r="AO1808" i="3"/>
  <c r="AN1808" i="3"/>
  <c r="AM1808" i="3"/>
  <c r="AL1808" i="3"/>
  <c r="L1808" i="3"/>
  <c r="D1808" i="3"/>
  <c r="AQ1807" i="3"/>
  <c r="AP1807" i="3"/>
  <c r="AO1807" i="3"/>
  <c r="AN1807" i="3"/>
  <c r="AM1807" i="3"/>
  <c r="AL1807" i="3"/>
  <c r="L1807" i="3"/>
  <c r="D1807" i="3"/>
  <c r="AQ1806" i="3"/>
  <c r="AP1806" i="3"/>
  <c r="AO1806" i="3"/>
  <c r="AN1806" i="3"/>
  <c r="AM1806" i="3"/>
  <c r="AL1806" i="3"/>
  <c r="L1806" i="3"/>
  <c r="D1806" i="3"/>
  <c r="AQ1805" i="3"/>
  <c r="AP1805" i="3"/>
  <c r="AO1805" i="3"/>
  <c r="AN1805" i="3"/>
  <c r="AM1805" i="3"/>
  <c r="AL1805" i="3"/>
  <c r="L1805" i="3"/>
  <c r="D1805" i="3"/>
  <c r="L1804" i="3"/>
  <c r="D1804" i="3"/>
  <c r="L1803" i="3"/>
  <c r="D1803" i="3"/>
  <c r="AQ1802" i="3"/>
  <c r="AP1802" i="3"/>
  <c r="AO1802" i="3"/>
  <c r="AN1802" i="3"/>
  <c r="AM1802" i="3"/>
  <c r="AL1802" i="3"/>
  <c r="L1802" i="3"/>
  <c r="D1802" i="3"/>
  <c r="AQ1801" i="3"/>
  <c r="AP1801" i="3"/>
  <c r="AO1801" i="3"/>
  <c r="AN1801" i="3"/>
  <c r="AM1801" i="3"/>
  <c r="AL1801" i="3"/>
  <c r="L1801" i="3"/>
  <c r="D1801" i="3"/>
  <c r="AQ1800" i="3"/>
  <c r="AP1800" i="3"/>
  <c r="AO1800" i="3"/>
  <c r="AN1800" i="3"/>
  <c r="AM1800" i="3"/>
  <c r="AL1800" i="3"/>
  <c r="L1800" i="3"/>
  <c r="D1800" i="3"/>
  <c r="AQ1799" i="3"/>
  <c r="AP1799" i="3"/>
  <c r="AO1799" i="3"/>
  <c r="AN1799" i="3"/>
  <c r="AM1799" i="3"/>
  <c r="AL1799" i="3"/>
  <c r="L1799" i="3"/>
  <c r="D1799" i="3"/>
  <c r="AQ1798" i="3"/>
  <c r="AP1798" i="3"/>
  <c r="AO1798" i="3"/>
  <c r="AN1798" i="3"/>
  <c r="AM1798" i="3"/>
  <c r="AL1798" i="3"/>
  <c r="L1798" i="3"/>
  <c r="D1798" i="3"/>
  <c r="AQ1797" i="3"/>
  <c r="AP1797" i="3"/>
  <c r="AO1797" i="3"/>
  <c r="AN1797" i="3"/>
  <c r="AM1797" i="3"/>
  <c r="AL1797" i="3"/>
  <c r="L1797" i="3"/>
  <c r="D1797" i="3"/>
  <c r="AQ1796" i="3"/>
  <c r="AP1796" i="3"/>
  <c r="AO1796" i="3"/>
  <c r="AN1796" i="3"/>
  <c r="AM1796" i="3"/>
  <c r="AL1796" i="3"/>
  <c r="L1796" i="3"/>
  <c r="D1796" i="3"/>
  <c r="AQ1795" i="3"/>
  <c r="AP1795" i="3"/>
  <c r="AO1795" i="3"/>
  <c r="AN1795" i="3"/>
  <c r="AM1795" i="3"/>
  <c r="AL1795" i="3"/>
  <c r="L1795" i="3"/>
  <c r="D1795" i="3"/>
  <c r="AQ1794" i="3"/>
  <c r="AP1794" i="3"/>
  <c r="AO1794" i="3"/>
  <c r="AN1794" i="3"/>
  <c r="AM1794" i="3"/>
  <c r="AL1794" i="3"/>
  <c r="L1794" i="3"/>
  <c r="D1794" i="3"/>
  <c r="AQ1793" i="3"/>
  <c r="AP1793" i="3"/>
  <c r="AO1793" i="3"/>
  <c r="AN1793" i="3"/>
  <c r="AM1793" i="3"/>
  <c r="AL1793" i="3"/>
  <c r="L1793" i="3"/>
  <c r="D1793" i="3"/>
  <c r="L1792" i="3"/>
  <c r="D1792" i="3"/>
  <c r="AQ1791" i="3"/>
  <c r="AP1791" i="3"/>
  <c r="AO1791" i="3"/>
  <c r="AN1791" i="3"/>
  <c r="AM1791" i="3"/>
  <c r="AL1791" i="3"/>
  <c r="L1791" i="3"/>
  <c r="D1791" i="3"/>
  <c r="AQ1790" i="3"/>
  <c r="AP1790" i="3"/>
  <c r="AO1790" i="3"/>
  <c r="AN1790" i="3"/>
  <c r="AM1790" i="3"/>
  <c r="AL1790" i="3"/>
  <c r="L1790" i="3"/>
  <c r="D1790" i="3"/>
  <c r="AQ1789" i="3"/>
  <c r="AP1789" i="3"/>
  <c r="AO1789" i="3"/>
  <c r="AN1789" i="3"/>
  <c r="AM1789" i="3"/>
  <c r="AL1789" i="3"/>
  <c r="L1789" i="3"/>
  <c r="D1789" i="3"/>
  <c r="AQ1788" i="3"/>
  <c r="AP1788" i="3"/>
  <c r="AO1788" i="3"/>
  <c r="AN1788" i="3"/>
  <c r="AM1788" i="3"/>
  <c r="AL1788" i="3"/>
  <c r="L1788" i="3"/>
  <c r="D1788" i="3"/>
  <c r="AQ1787" i="3"/>
  <c r="AP1787" i="3"/>
  <c r="AO1787" i="3"/>
  <c r="AN1787" i="3"/>
  <c r="AM1787" i="3"/>
  <c r="AL1787" i="3"/>
  <c r="L1787" i="3"/>
  <c r="D1787" i="3"/>
  <c r="L1786" i="3"/>
  <c r="D1786" i="3"/>
  <c r="AQ1785" i="3"/>
  <c r="AP1785" i="3"/>
  <c r="AO1785" i="3"/>
  <c r="AN1785" i="3"/>
  <c r="AM1785" i="3"/>
  <c r="AL1785" i="3"/>
  <c r="L1785" i="3"/>
  <c r="D1785" i="3"/>
  <c r="L1784" i="3"/>
  <c r="D1784" i="3"/>
  <c r="AQ1783" i="3"/>
  <c r="AP1783" i="3"/>
  <c r="AO1783" i="3"/>
  <c r="AN1783" i="3"/>
  <c r="AM1783" i="3"/>
  <c r="AL1783" i="3"/>
  <c r="L1783" i="3"/>
  <c r="D1783" i="3"/>
  <c r="L1782" i="3"/>
  <c r="D1782" i="3"/>
  <c r="AQ1781" i="3"/>
  <c r="AP1781" i="3"/>
  <c r="AO1781" i="3"/>
  <c r="AN1781" i="3"/>
  <c r="AM1781" i="3"/>
  <c r="AL1781" i="3"/>
  <c r="L1781" i="3"/>
  <c r="D1781" i="3"/>
  <c r="AQ1780" i="3"/>
  <c r="AP1780" i="3"/>
  <c r="AO1780" i="3"/>
  <c r="AN1780" i="3"/>
  <c r="AM1780" i="3"/>
  <c r="AL1780" i="3"/>
  <c r="L1780" i="3"/>
  <c r="D1780" i="3"/>
  <c r="L1779" i="3"/>
  <c r="D1779" i="3"/>
  <c r="AQ1778" i="3"/>
  <c r="AP1778" i="3"/>
  <c r="AO1778" i="3"/>
  <c r="AN1778" i="3"/>
  <c r="AM1778" i="3"/>
  <c r="AL1778" i="3"/>
  <c r="L1778" i="3"/>
  <c r="D1778" i="3"/>
  <c r="AQ1777" i="3"/>
  <c r="AP1777" i="3"/>
  <c r="AO1777" i="3"/>
  <c r="AN1777" i="3"/>
  <c r="AM1777" i="3"/>
  <c r="AL1777" i="3"/>
  <c r="L1777" i="3"/>
  <c r="D1777" i="3"/>
  <c r="AQ1776" i="3"/>
  <c r="AP1776" i="3"/>
  <c r="AO1776" i="3"/>
  <c r="AN1776" i="3"/>
  <c r="AM1776" i="3"/>
  <c r="AL1776" i="3"/>
  <c r="L1776" i="3"/>
  <c r="D1776" i="3"/>
  <c r="AQ1775" i="3"/>
  <c r="AP1775" i="3"/>
  <c r="AO1775" i="3"/>
  <c r="AN1775" i="3"/>
  <c r="AM1775" i="3"/>
  <c r="AL1775" i="3"/>
  <c r="L1775" i="3"/>
  <c r="D1775" i="3"/>
  <c r="AQ1774" i="3"/>
  <c r="AP1774" i="3"/>
  <c r="AO1774" i="3"/>
  <c r="AN1774" i="3"/>
  <c r="AM1774" i="3"/>
  <c r="AL1774" i="3"/>
  <c r="L1774" i="3"/>
  <c r="D1774" i="3"/>
  <c r="AQ1773" i="3"/>
  <c r="AP1773" i="3"/>
  <c r="AO1773" i="3"/>
  <c r="AN1773" i="3"/>
  <c r="AM1773" i="3"/>
  <c r="AL1773" i="3"/>
  <c r="L1773" i="3"/>
  <c r="D1773" i="3"/>
  <c r="AQ1772" i="3"/>
  <c r="AP1772" i="3"/>
  <c r="AO1772" i="3"/>
  <c r="AN1772" i="3"/>
  <c r="AM1772" i="3"/>
  <c r="AL1772" i="3"/>
  <c r="L1772" i="3"/>
  <c r="D1772" i="3"/>
  <c r="AQ1771" i="3"/>
  <c r="AP1771" i="3"/>
  <c r="AO1771" i="3"/>
  <c r="AN1771" i="3"/>
  <c r="AM1771" i="3"/>
  <c r="AL1771" i="3"/>
  <c r="L1771" i="3"/>
  <c r="D1771" i="3"/>
  <c r="L1770" i="3"/>
  <c r="D1770" i="3"/>
  <c r="L1769" i="3"/>
  <c r="D1769" i="3"/>
  <c r="AQ1768" i="3"/>
  <c r="AP1768" i="3"/>
  <c r="AO1768" i="3"/>
  <c r="AN1768" i="3"/>
  <c r="AM1768" i="3"/>
  <c r="AL1768" i="3"/>
  <c r="L1768" i="3"/>
  <c r="D1768" i="3"/>
  <c r="AQ1767" i="3"/>
  <c r="AP1767" i="3"/>
  <c r="AO1767" i="3"/>
  <c r="AN1767" i="3"/>
  <c r="AM1767" i="3"/>
  <c r="AL1767" i="3"/>
  <c r="L1767" i="3"/>
  <c r="D1767" i="3"/>
  <c r="AQ1766" i="3"/>
  <c r="AP1766" i="3"/>
  <c r="AO1766" i="3"/>
  <c r="AN1766" i="3"/>
  <c r="AM1766" i="3"/>
  <c r="AL1766" i="3"/>
  <c r="L1766" i="3"/>
  <c r="D1766" i="3"/>
  <c r="AQ1765" i="3"/>
  <c r="AP1765" i="3"/>
  <c r="AO1765" i="3"/>
  <c r="AN1765" i="3"/>
  <c r="AM1765" i="3"/>
  <c r="AL1765" i="3"/>
  <c r="L1765" i="3"/>
  <c r="D1765" i="3"/>
  <c r="AQ1764" i="3"/>
  <c r="AP1764" i="3"/>
  <c r="AO1764" i="3"/>
  <c r="AN1764" i="3"/>
  <c r="AM1764" i="3"/>
  <c r="AL1764" i="3"/>
  <c r="L1764" i="3"/>
  <c r="D1764" i="3"/>
  <c r="AQ1763" i="3"/>
  <c r="AP1763" i="3"/>
  <c r="AO1763" i="3"/>
  <c r="AN1763" i="3"/>
  <c r="AM1763" i="3"/>
  <c r="AL1763" i="3"/>
  <c r="L1763" i="3"/>
  <c r="D1763" i="3"/>
  <c r="L1762" i="3"/>
  <c r="D1762" i="3"/>
  <c r="AQ1761" i="3"/>
  <c r="AP1761" i="3"/>
  <c r="AO1761" i="3"/>
  <c r="AN1761" i="3"/>
  <c r="AM1761" i="3"/>
  <c r="AL1761" i="3"/>
  <c r="L1761" i="3"/>
  <c r="D1761" i="3"/>
  <c r="AQ1760" i="3"/>
  <c r="AP1760" i="3"/>
  <c r="AO1760" i="3"/>
  <c r="AN1760" i="3"/>
  <c r="AM1760" i="3"/>
  <c r="AL1760" i="3"/>
  <c r="L1760" i="3"/>
  <c r="D1760" i="3"/>
  <c r="L1759" i="3"/>
  <c r="D1759" i="3"/>
  <c r="AQ1758" i="3"/>
  <c r="AP1758" i="3"/>
  <c r="AO1758" i="3"/>
  <c r="AN1758" i="3"/>
  <c r="AM1758" i="3"/>
  <c r="AL1758" i="3"/>
  <c r="L1758" i="3"/>
  <c r="D1758" i="3"/>
  <c r="AQ1757" i="3"/>
  <c r="AP1757" i="3"/>
  <c r="AO1757" i="3"/>
  <c r="AN1757" i="3"/>
  <c r="AM1757" i="3"/>
  <c r="AL1757" i="3"/>
  <c r="L1757" i="3"/>
  <c r="D1757" i="3"/>
  <c r="AQ1756" i="3"/>
  <c r="AP1756" i="3"/>
  <c r="AO1756" i="3"/>
  <c r="AN1756" i="3"/>
  <c r="AM1756" i="3"/>
  <c r="AL1756" i="3"/>
  <c r="L1756" i="3"/>
  <c r="D1756" i="3"/>
  <c r="AQ1755" i="3"/>
  <c r="AP1755" i="3"/>
  <c r="AO1755" i="3"/>
  <c r="AN1755" i="3"/>
  <c r="AM1755" i="3"/>
  <c r="AL1755" i="3"/>
  <c r="L1755" i="3"/>
  <c r="D1755" i="3"/>
  <c r="L1754" i="3"/>
  <c r="D1754" i="3"/>
  <c r="AQ1753" i="3"/>
  <c r="AP1753" i="3"/>
  <c r="AO1753" i="3"/>
  <c r="AN1753" i="3"/>
  <c r="AM1753" i="3"/>
  <c r="AL1753" i="3"/>
  <c r="L1753" i="3"/>
  <c r="D1753" i="3"/>
  <c r="AQ1752" i="3"/>
  <c r="AP1752" i="3"/>
  <c r="AO1752" i="3"/>
  <c r="AN1752" i="3"/>
  <c r="AM1752" i="3"/>
  <c r="AL1752" i="3"/>
  <c r="L1752" i="3"/>
  <c r="D1752" i="3"/>
  <c r="L1751" i="3"/>
  <c r="D1751" i="3"/>
  <c r="AQ1750" i="3"/>
  <c r="AP1750" i="3"/>
  <c r="AO1750" i="3"/>
  <c r="AN1750" i="3"/>
  <c r="AM1750" i="3"/>
  <c r="AL1750" i="3"/>
  <c r="L1750" i="3"/>
  <c r="D1750" i="3"/>
  <c r="AQ1749" i="3"/>
  <c r="AP1749" i="3"/>
  <c r="AO1749" i="3"/>
  <c r="AN1749" i="3"/>
  <c r="AM1749" i="3"/>
  <c r="AL1749" i="3"/>
  <c r="L1749" i="3"/>
  <c r="D1749" i="3"/>
  <c r="AQ1748" i="3"/>
  <c r="AP1748" i="3"/>
  <c r="AO1748" i="3"/>
  <c r="AN1748" i="3"/>
  <c r="AM1748" i="3"/>
  <c r="AL1748" i="3"/>
  <c r="L1748" i="3"/>
  <c r="D1748" i="3"/>
  <c r="AQ1747" i="3"/>
  <c r="AP1747" i="3"/>
  <c r="AO1747" i="3"/>
  <c r="AN1747" i="3"/>
  <c r="AM1747" i="3"/>
  <c r="AL1747" i="3"/>
  <c r="L1747" i="3"/>
  <c r="D1747" i="3"/>
  <c r="AQ1746" i="3"/>
  <c r="AP1746" i="3"/>
  <c r="AO1746" i="3"/>
  <c r="AN1746" i="3"/>
  <c r="AM1746" i="3"/>
  <c r="AL1746" i="3"/>
  <c r="L1746" i="3"/>
  <c r="D1746" i="3"/>
  <c r="L1745" i="3"/>
  <c r="D1745" i="3"/>
  <c r="L1744" i="3"/>
  <c r="D1744" i="3"/>
  <c r="L1743" i="3"/>
  <c r="D1743" i="3"/>
  <c r="AQ1742" i="3"/>
  <c r="AP1742" i="3"/>
  <c r="AO1742" i="3"/>
  <c r="AN1742" i="3"/>
  <c r="AM1742" i="3"/>
  <c r="AL1742" i="3"/>
  <c r="L1742" i="3"/>
  <c r="D1742" i="3"/>
  <c r="AQ1741" i="3"/>
  <c r="AP1741" i="3"/>
  <c r="AO1741" i="3"/>
  <c r="AN1741" i="3"/>
  <c r="AM1741" i="3"/>
  <c r="AL1741" i="3"/>
  <c r="L1741" i="3"/>
  <c r="D1741" i="3"/>
  <c r="AQ1740" i="3"/>
  <c r="AP1740" i="3"/>
  <c r="AO1740" i="3"/>
  <c r="AN1740" i="3"/>
  <c r="AM1740" i="3"/>
  <c r="AL1740" i="3"/>
  <c r="L1740" i="3"/>
  <c r="D1740" i="3"/>
  <c r="AQ1739" i="3"/>
  <c r="AP1739" i="3"/>
  <c r="AO1739" i="3"/>
  <c r="AN1739" i="3"/>
  <c r="AM1739" i="3"/>
  <c r="AL1739" i="3"/>
  <c r="L1739" i="3"/>
  <c r="D1739" i="3"/>
  <c r="L1738" i="3"/>
  <c r="D1738" i="3"/>
  <c r="AQ1737" i="3"/>
  <c r="AP1737" i="3"/>
  <c r="AO1737" i="3"/>
  <c r="AN1737" i="3"/>
  <c r="AM1737" i="3"/>
  <c r="AL1737" i="3"/>
  <c r="L1737" i="3"/>
  <c r="D1737" i="3"/>
  <c r="AQ1736" i="3"/>
  <c r="AP1736" i="3"/>
  <c r="AO1736" i="3"/>
  <c r="AN1736" i="3"/>
  <c r="AM1736" i="3"/>
  <c r="AL1736" i="3"/>
  <c r="L1736" i="3"/>
  <c r="D1736" i="3"/>
  <c r="AQ1735" i="3"/>
  <c r="AP1735" i="3"/>
  <c r="AO1735" i="3"/>
  <c r="AN1735" i="3"/>
  <c r="AM1735" i="3"/>
  <c r="AL1735" i="3"/>
  <c r="L1735" i="3"/>
  <c r="D1735" i="3"/>
  <c r="L1734" i="3"/>
  <c r="D1734" i="3"/>
  <c r="L1733" i="3"/>
  <c r="D1733" i="3"/>
  <c r="AQ1732" i="3"/>
  <c r="AP1732" i="3"/>
  <c r="AO1732" i="3"/>
  <c r="AN1732" i="3"/>
  <c r="AM1732" i="3"/>
  <c r="AL1732" i="3"/>
  <c r="L1732" i="3"/>
  <c r="D1732" i="3"/>
  <c r="AQ1731" i="3"/>
  <c r="AP1731" i="3"/>
  <c r="AO1731" i="3"/>
  <c r="AN1731" i="3"/>
  <c r="AM1731" i="3"/>
  <c r="AL1731" i="3"/>
  <c r="L1731" i="3"/>
  <c r="D1731" i="3"/>
  <c r="L1730" i="3"/>
  <c r="D1730" i="3"/>
  <c r="AQ1729" i="3"/>
  <c r="AP1729" i="3"/>
  <c r="AO1729" i="3"/>
  <c r="AN1729" i="3"/>
  <c r="AM1729" i="3"/>
  <c r="AL1729" i="3"/>
  <c r="L1729" i="3"/>
  <c r="D1729" i="3"/>
  <c r="AQ1728" i="3"/>
  <c r="AP1728" i="3"/>
  <c r="AO1728" i="3"/>
  <c r="AN1728" i="3"/>
  <c r="AM1728" i="3"/>
  <c r="AL1728" i="3"/>
  <c r="L1728" i="3"/>
  <c r="D1728" i="3"/>
  <c r="AQ1727" i="3"/>
  <c r="AP1727" i="3"/>
  <c r="AO1727" i="3"/>
  <c r="AN1727" i="3"/>
  <c r="AM1727" i="3"/>
  <c r="AL1727" i="3"/>
  <c r="L1727" i="3"/>
  <c r="D1727" i="3"/>
  <c r="AQ1726" i="3"/>
  <c r="AP1726" i="3"/>
  <c r="AO1726" i="3"/>
  <c r="AN1726" i="3"/>
  <c r="AM1726" i="3"/>
  <c r="AL1726" i="3"/>
  <c r="L1726" i="3"/>
  <c r="D1726" i="3"/>
  <c r="L1725" i="3"/>
  <c r="D1725" i="3"/>
  <c r="AQ1724" i="3"/>
  <c r="AP1724" i="3"/>
  <c r="AO1724" i="3"/>
  <c r="AN1724" i="3"/>
  <c r="AM1724" i="3"/>
  <c r="AL1724" i="3"/>
  <c r="L1724" i="3"/>
  <c r="D1724" i="3"/>
  <c r="L1723" i="3"/>
  <c r="D1723" i="3"/>
  <c r="AQ1722" i="3"/>
  <c r="AP1722" i="3"/>
  <c r="AO1722" i="3"/>
  <c r="AN1722" i="3"/>
  <c r="AM1722" i="3"/>
  <c r="AL1722" i="3"/>
  <c r="L1722" i="3"/>
  <c r="D1722" i="3"/>
  <c r="AQ1721" i="3"/>
  <c r="AP1721" i="3"/>
  <c r="AO1721" i="3"/>
  <c r="AN1721" i="3"/>
  <c r="AM1721" i="3"/>
  <c r="AL1721" i="3"/>
  <c r="L1721" i="3"/>
  <c r="D1721" i="3"/>
  <c r="AQ1720" i="3"/>
  <c r="AP1720" i="3"/>
  <c r="AO1720" i="3"/>
  <c r="AN1720" i="3"/>
  <c r="AM1720" i="3"/>
  <c r="AL1720" i="3"/>
  <c r="L1720" i="3"/>
  <c r="D1720" i="3"/>
  <c r="AQ1719" i="3"/>
  <c r="AP1719" i="3"/>
  <c r="AO1719" i="3"/>
  <c r="AN1719" i="3"/>
  <c r="AM1719" i="3"/>
  <c r="AL1719" i="3"/>
  <c r="L1719" i="3"/>
  <c r="D1719" i="3"/>
  <c r="AQ1718" i="3"/>
  <c r="AP1718" i="3"/>
  <c r="AO1718" i="3"/>
  <c r="AN1718" i="3"/>
  <c r="AM1718" i="3"/>
  <c r="AL1718" i="3"/>
  <c r="L1718" i="3"/>
  <c r="D1718" i="3"/>
  <c r="AQ1717" i="3"/>
  <c r="AP1717" i="3"/>
  <c r="AO1717" i="3"/>
  <c r="AN1717" i="3"/>
  <c r="AM1717" i="3"/>
  <c r="AL1717" i="3"/>
  <c r="L1717" i="3"/>
  <c r="D1717" i="3"/>
  <c r="AQ1716" i="3"/>
  <c r="AP1716" i="3"/>
  <c r="AO1716" i="3"/>
  <c r="AN1716" i="3"/>
  <c r="AM1716" i="3"/>
  <c r="AL1716" i="3"/>
  <c r="L1716" i="3"/>
  <c r="D1716" i="3"/>
  <c r="AQ1715" i="3"/>
  <c r="AP1715" i="3"/>
  <c r="AO1715" i="3"/>
  <c r="AN1715" i="3"/>
  <c r="AM1715" i="3"/>
  <c r="AL1715" i="3"/>
  <c r="L1715" i="3"/>
  <c r="D1715" i="3"/>
  <c r="AQ1714" i="3"/>
  <c r="AP1714" i="3"/>
  <c r="AO1714" i="3"/>
  <c r="AN1714" i="3"/>
  <c r="AM1714" i="3"/>
  <c r="AL1714" i="3"/>
  <c r="L1714" i="3"/>
  <c r="D1714" i="3"/>
  <c r="AQ1713" i="3"/>
  <c r="AP1713" i="3"/>
  <c r="AO1713" i="3"/>
  <c r="AN1713" i="3"/>
  <c r="AM1713" i="3"/>
  <c r="AL1713" i="3"/>
  <c r="L1713" i="3"/>
  <c r="D1713" i="3"/>
  <c r="AQ1712" i="3"/>
  <c r="AP1712" i="3"/>
  <c r="AO1712" i="3"/>
  <c r="AN1712" i="3"/>
  <c r="AM1712" i="3"/>
  <c r="AL1712" i="3"/>
  <c r="L1712" i="3"/>
  <c r="D1712" i="3"/>
  <c r="AQ1711" i="3"/>
  <c r="AP1711" i="3"/>
  <c r="AO1711" i="3"/>
  <c r="AN1711" i="3"/>
  <c r="AM1711" i="3"/>
  <c r="AL1711" i="3"/>
  <c r="L1711" i="3"/>
  <c r="D1711" i="3"/>
  <c r="L1710" i="3"/>
  <c r="D1710" i="3"/>
  <c r="AQ1709" i="3"/>
  <c r="AP1709" i="3"/>
  <c r="AO1709" i="3"/>
  <c r="AN1709" i="3"/>
  <c r="AM1709" i="3"/>
  <c r="AL1709" i="3"/>
  <c r="L1709" i="3"/>
  <c r="D1709" i="3"/>
  <c r="AQ1708" i="3"/>
  <c r="AP1708" i="3"/>
  <c r="AO1708" i="3"/>
  <c r="AN1708" i="3"/>
  <c r="AM1708" i="3"/>
  <c r="AL1708" i="3"/>
  <c r="L1708" i="3"/>
  <c r="D1708" i="3"/>
  <c r="L1707" i="3"/>
  <c r="D1707" i="3"/>
  <c r="L1706" i="3"/>
  <c r="D1706" i="3"/>
  <c r="AQ1705" i="3"/>
  <c r="AP1705" i="3"/>
  <c r="AO1705" i="3"/>
  <c r="AN1705" i="3"/>
  <c r="AM1705" i="3"/>
  <c r="AL1705" i="3"/>
  <c r="L1705" i="3"/>
  <c r="D1705" i="3"/>
  <c r="AQ1704" i="3"/>
  <c r="AP1704" i="3"/>
  <c r="AO1704" i="3"/>
  <c r="AN1704" i="3"/>
  <c r="AM1704" i="3"/>
  <c r="AL1704" i="3"/>
  <c r="L1704" i="3"/>
  <c r="D1704" i="3"/>
  <c r="L1703" i="3"/>
  <c r="D1703" i="3"/>
  <c r="AQ1702" i="3"/>
  <c r="AP1702" i="3"/>
  <c r="AO1702" i="3"/>
  <c r="AN1702" i="3"/>
  <c r="AM1702" i="3"/>
  <c r="AL1702" i="3"/>
  <c r="L1702" i="3"/>
  <c r="D1702" i="3"/>
  <c r="L1701" i="3"/>
  <c r="D1701" i="3"/>
  <c r="AQ1700" i="3"/>
  <c r="AP1700" i="3"/>
  <c r="AO1700" i="3"/>
  <c r="AN1700" i="3"/>
  <c r="AM1700" i="3"/>
  <c r="AL1700" i="3"/>
  <c r="L1700" i="3"/>
  <c r="D1700" i="3"/>
  <c r="L1699" i="3"/>
  <c r="D1699" i="3"/>
  <c r="L1698" i="3"/>
  <c r="D1698" i="3"/>
  <c r="AQ1697" i="3"/>
  <c r="AP1697" i="3"/>
  <c r="AO1697" i="3"/>
  <c r="AN1697" i="3"/>
  <c r="AM1697" i="3"/>
  <c r="AL1697" i="3"/>
  <c r="L1697" i="3"/>
  <c r="D1697" i="3"/>
  <c r="AQ1696" i="3"/>
  <c r="AP1696" i="3"/>
  <c r="AO1696" i="3"/>
  <c r="AN1696" i="3"/>
  <c r="AM1696" i="3"/>
  <c r="AL1696" i="3"/>
  <c r="L1696" i="3"/>
  <c r="D1696" i="3"/>
  <c r="AQ1695" i="3"/>
  <c r="AP1695" i="3"/>
  <c r="AO1695" i="3"/>
  <c r="AN1695" i="3"/>
  <c r="AM1695" i="3"/>
  <c r="AL1695" i="3"/>
  <c r="L1695" i="3"/>
  <c r="D1695" i="3"/>
  <c r="AQ1694" i="3"/>
  <c r="AP1694" i="3"/>
  <c r="AO1694" i="3"/>
  <c r="AN1694" i="3"/>
  <c r="AM1694" i="3"/>
  <c r="AL1694" i="3"/>
  <c r="L1694" i="3"/>
  <c r="D1694" i="3"/>
  <c r="AQ1693" i="3"/>
  <c r="AP1693" i="3"/>
  <c r="AO1693" i="3"/>
  <c r="AN1693" i="3"/>
  <c r="AM1693" i="3"/>
  <c r="AL1693" i="3"/>
  <c r="L1693" i="3"/>
  <c r="D1693" i="3"/>
  <c r="AQ1692" i="3"/>
  <c r="AP1692" i="3"/>
  <c r="AO1692" i="3"/>
  <c r="AN1692" i="3"/>
  <c r="AM1692" i="3"/>
  <c r="AL1692" i="3"/>
  <c r="L1692" i="3"/>
  <c r="D1692" i="3"/>
  <c r="AQ1691" i="3"/>
  <c r="AP1691" i="3"/>
  <c r="AO1691" i="3"/>
  <c r="AN1691" i="3"/>
  <c r="AM1691" i="3"/>
  <c r="AL1691" i="3"/>
  <c r="L1691" i="3"/>
  <c r="D1691" i="3"/>
  <c r="AQ1690" i="3"/>
  <c r="AP1690" i="3"/>
  <c r="AO1690" i="3"/>
  <c r="AN1690" i="3"/>
  <c r="AM1690" i="3"/>
  <c r="AL1690" i="3"/>
  <c r="L1690" i="3"/>
  <c r="D1690" i="3"/>
  <c r="AQ1689" i="3"/>
  <c r="AP1689" i="3"/>
  <c r="AO1689" i="3"/>
  <c r="AN1689" i="3"/>
  <c r="AM1689" i="3"/>
  <c r="AL1689" i="3"/>
  <c r="L1689" i="3"/>
  <c r="D1689" i="3"/>
  <c r="AQ1688" i="3"/>
  <c r="AP1688" i="3"/>
  <c r="AO1688" i="3"/>
  <c r="AN1688" i="3"/>
  <c r="AM1688" i="3"/>
  <c r="AL1688" i="3"/>
  <c r="L1688" i="3"/>
  <c r="D1688" i="3"/>
  <c r="AQ1687" i="3"/>
  <c r="AP1687" i="3"/>
  <c r="AO1687" i="3"/>
  <c r="AN1687" i="3"/>
  <c r="AM1687" i="3"/>
  <c r="AL1687" i="3"/>
  <c r="L1687" i="3"/>
  <c r="D1687" i="3"/>
  <c r="AQ1686" i="3"/>
  <c r="AP1686" i="3"/>
  <c r="AO1686" i="3"/>
  <c r="AN1686" i="3"/>
  <c r="AM1686" i="3"/>
  <c r="AL1686" i="3"/>
  <c r="L1686" i="3"/>
  <c r="D1686" i="3"/>
  <c r="L1685" i="3"/>
  <c r="D1685" i="3"/>
  <c r="AQ1684" i="3"/>
  <c r="AP1684" i="3"/>
  <c r="AO1684" i="3"/>
  <c r="AN1684" i="3"/>
  <c r="AM1684" i="3"/>
  <c r="AL1684" i="3"/>
  <c r="L1684" i="3"/>
  <c r="D1684" i="3"/>
  <c r="AQ1683" i="3"/>
  <c r="AP1683" i="3"/>
  <c r="AO1683" i="3"/>
  <c r="AN1683" i="3"/>
  <c r="AM1683" i="3"/>
  <c r="AL1683" i="3"/>
  <c r="L1683" i="3"/>
  <c r="D1683" i="3"/>
  <c r="AQ1682" i="3"/>
  <c r="AP1682" i="3"/>
  <c r="AO1682" i="3"/>
  <c r="AN1682" i="3"/>
  <c r="AM1682" i="3"/>
  <c r="AL1682" i="3"/>
  <c r="L1682" i="3"/>
  <c r="D1682" i="3"/>
  <c r="AQ1681" i="3"/>
  <c r="AP1681" i="3"/>
  <c r="AO1681" i="3"/>
  <c r="AN1681" i="3"/>
  <c r="AM1681" i="3"/>
  <c r="AL1681" i="3"/>
  <c r="L1681" i="3"/>
  <c r="D1681" i="3"/>
  <c r="AQ1680" i="3"/>
  <c r="AP1680" i="3"/>
  <c r="AO1680" i="3"/>
  <c r="AN1680" i="3"/>
  <c r="AM1680" i="3"/>
  <c r="AL1680" i="3"/>
  <c r="L1680" i="3"/>
  <c r="D1680" i="3"/>
  <c r="AQ1679" i="3"/>
  <c r="AP1679" i="3"/>
  <c r="AO1679" i="3"/>
  <c r="AN1679" i="3"/>
  <c r="AM1679" i="3"/>
  <c r="AL1679" i="3"/>
  <c r="L1679" i="3"/>
  <c r="D1679" i="3"/>
  <c r="AQ1678" i="3"/>
  <c r="AP1678" i="3"/>
  <c r="AO1678" i="3"/>
  <c r="AN1678" i="3"/>
  <c r="AM1678" i="3"/>
  <c r="AL1678" i="3"/>
  <c r="L1678" i="3"/>
  <c r="D1678" i="3"/>
  <c r="AQ1677" i="3"/>
  <c r="AP1677" i="3"/>
  <c r="AO1677" i="3"/>
  <c r="AN1677" i="3"/>
  <c r="AM1677" i="3"/>
  <c r="AL1677" i="3"/>
  <c r="L1677" i="3"/>
  <c r="D1677" i="3"/>
  <c r="AQ1676" i="3"/>
  <c r="AP1676" i="3"/>
  <c r="AO1676" i="3"/>
  <c r="AN1676" i="3"/>
  <c r="AM1676" i="3"/>
  <c r="AL1676" i="3"/>
  <c r="L1676" i="3"/>
  <c r="D1676" i="3"/>
  <c r="AQ1675" i="3"/>
  <c r="AP1675" i="3"/>
  <c r="AO1675" i="3"/>
  <c r="AN1675" i="3"/>
  <c r="AM1675" i="3"/>
  <c r="AL1675" i="3"/>
  <c r="L1675" i="3"/>
  <c r="D1675" i="3"/>
  <c r="AQ1674" i="3"/>
  <c r="AP1674" i="3"/>
  <c r="AO1674" i="3"/>
  <c r="AN1674" i="3"/>
  <c r="AM1674" i="3"/>
  <c r="AL1674" i="3"/>
  <c r="L1674" i="3"/>
  <c r="D1674" i="3"/>
  <c r="AQ1673" i="3"/>
  <c r="AP1673" i="3"/>
  <c r="AO1673" i="3"/>
  <c r="AN1673" i="3"/>
  <c r="AM1673" i="3"/>
  <c r="AL1673" i="3"/>
  <c r="L1673" i="3"/>
  <c r="D1673" i="3"/>
  <c r="AQ1672" i="3"/>
  <c r="AP1672" i="3"/>
  <c r="AO1672" i="3"/>
  <c r="AN1672" i="3"/>
  <c r="AM1672" i="3"/>
  <c r="AL1672" i="3"/>
  <c r="L1672" i="3"/>
  <c r="D1672" i="3"/>
  <c r="AQ1671" i="3"/>
  <c r="AP1671" i="3"/>
  <c r="AO1671" i="3"/>
  <c r="AN1671" i="3"/>
  <c r="AM1671" i="3"/>
  <c r="AL1671" i="3"/>
  <c r="L1671" i="3"/>
  <c r="D1671" i="3"/>
  <c r="L1670" i="3"/>
  <c r="D1670" i="3"/>
  <c r="L1669" i="3"/>
  <c r="D1669" i="3"/>
  <c r="AQ1668" i="3"/>
  <c r="AP1668" i="3"/>
  <c r="AO1668" i="3"/>
  <c r="AN1668" i="3"/>
  <c r="AM1668" i="3"/>
  <c r="AL1668" i="3"/>
  <c r="L1668" i="3"/>
  <c r="D1668" i="3"/>
  <c r="L1667" i="3"/>
  <c r="D1667" i="3"/>
  <c r="AQ1666" i="3"/>
  <c r="AP1666" i="3"/>
  <c r="AO1666" i="3"/>
  <c r="AN1666" i="3"/>
  <c r="AM1666" i="3"/>
  <c r="AL1666" i="3"/>
  <c r="L1666" i="3"/>
  <c r="D1666" i="3"/>
  <c r="AQ1665" i="3"/>
  <c r="AP1665" i="3"/>
  <c r="AO1665" i="3"/>
  <c r="AN1665" i="3"/>
  <c r="AM1665" i="3"/>
  <c r="AL1665" i="3"/>
  <c r="L1665" i="3"/>
  <c r="D1665" i="3"/>
  <c r="L1664" i="3"/>
  <c r="D1664" i="3"/>
  <c r="AQ1663" i="3"/>
  <c r="AP1663" i="3"/>
  <c r="AO1663" i="3"/>
  <c r="AN1663" i="3"/>
  <c r="AM1663" i="3"/>
  <c r="AL1663" i="3"/>
  <c r="L1663" i="3"/>
  <c r="D1663" i="3"/>
  <c r="AQ1662" i="3"/>
  <c r="AP1662" i="3"/>
  <c r="AO1662" i="3"/>
  <c r="AN1662" i="3"/>
  <c r="AM1662" i="3"/>
  <c r="AL1662" i="3"/>
  <c r="L1662" i="3"/>
  <c r="D1662" i="3"/>
  <c r="AQ1661" i="3"/>
  <c r="AP1661" i="3"/>
  <c r="AO1661" i="3"/>
  <c r="AN1661" i="3"/>
  <c r="AM1661" i="3"/>
  <c r="AL1661" i="3"/>
  <c r="L1661" i="3"/>
  <c r="D1661" i="3"/>
  <c r="L1660" i="3"/>
  <c r="D1660" i="3"/>
  <c r="AQ1659" i="3"/>
  <c r="AP1659" i="3"/>
  <c r="AO1659" i="3"/>
  <c r="AN1659" i="3"/>
  <c r="AM1659" i="3"/>
  <c r="AL1659" i="3"/>
  <c r="L1659" i="3"/>
  <c r="D1659" i="3"/>
  <c r="AQ1658" i="3"/>
  <c r="AP1658" i="3"/>
  <c r="AO1658" i="3"/>
  <c r="AN1658" i="3"/>
  <c r="AM1658" i="3"/>
  <c r="AL1658" i="3"/>
  <c r="L1658" i="3"/>
  <c r="D1658" i="3"/>
  <c r="L1657" i="3"/>
  <c r="D1657" i="3"/>
  <c r="L1656" i="3"/>
  <c r="D1656" i="3"/>
  <c r="AQ1655" i="3"/>
  <c r="AP1655" i="3"/>
  <c r="AO1655" i="3"/>
  <c r="AN1655" i="3"/>
  <c r="AM1655" i="3"/>
  <c r="AL1655" i="3"/>
  <c r="L1655" i="3"/>
  <c r="D1655" i="3"/>
  <c r="AQ1654" i="3"/>
  <c r="AP1654" i="3"/>
  <c r="AO1654" i="3"/>
  <c r="AN1654" i="3"/>
  <c r="AM1654" i="3"/>
  <c r="AL1654" i="3"/>
  <c r="L1654" i="3"/>
  <c r="D1654" i="3"/>
  <c r="L1653" i="3"/>
  <c r="D1653" i="3"/>
  <c r="L1652" i="3"/>
  <c r="D1652" i="3"/>
  <c r="AQ1651" i="3"/>
  <c r="AP1651" i="3"/>
  <c r="AO1651" i="3"/>
  <c r="AN1651" i="3"/>
  <c r="AM1651" i="3"/>
  <c r="AL1651" i="3"/>
  <c r="L1651" i="3"/>
  <c r="D1651" i="3"/>
  <c r="AQ1650" i="3"/>
  <c r="AP1650" i="3"/>
  <c r="AO1650" i="3"/>
  <c r="AN1650" i="3"/>
  <c r="AM1650" i="3"/>
  <c r="AL1650" i="3"/>
  <c r="L1650" i="3"/>
  <c r="D1650" i="3"/>
  <c r="AQ1649" i="3"/>
  <c r="AP1649" i="3"/>
  <c r="AO1649" i="3"/>
  <c r="AN1649" i="3"/>
  <c r="AM1649" i="3"/>
  <c r="AL1649" i="3"/>
  <c r="L1649" i="3"/>
  <c r="D1649" i="3"/>
  <c r="L1648" i="3"/>
  <c r="D1648" i="3"/>
  <c r="AQ1647" i="3"/>
  <c r="AP1647" i="3"/>
  <c r="AO1647" i="3"/>
  <c r="AN1647" i="3"/>
  <c r="AM1647" i="3"/>
  <c r="AL1647" i="3"/>
  <c r="L1647" i="3"/>
  <c r="D1647" i="3"/>
  <c r="L1646" i="3"/>
  <c r="D1646" i="3"/>
  <c r="L1645" i="3"/>
  <c r="D1645" i="3"/>
  <c r="L1644" i="3"/>
  <c r="D1644" i="3"/>
  <c r="AQ1643" i="3"/>
  <c r="AP1643" i="3"/>
  <c r="AO1643" i="3"/>
  <c r="AN1643" i="3"/>
  <c r="AM1643" i="3"/>
  <c r="AL1643" i="3"/>
  <c r="L1643" i="3"/>
  <c r="D1643" i="3"/>
  <c r="AQ1642" i="3"/>
  <c r="AP1642" i="3"/>
  <c r="AO1642" i="3"/>
  <c r="AN1642" i="3"/>
  <c r="AM1642" i="3"/>
  <c r="AL1642" i="3"/>
  <c r="L1642" i="3"/>
  <c r="D1642" i="3"/>
  <c r="L1641" i="3"/>
  <c r="D1641" i="3"/>
  <c r="AQ1640" i="3"/>
  <c r="AP1640" i="3"/>
  <c r="AO1640" i="3"/>
  <c r="AN1640" i="3"/>
  <c r="AM1640" i="3"/>
  <c r="AL1640" i="3"/>
  <c r="L1640" i="3"/>
  <c r="D1640" i="3"/>
  <c r="L1639" i="3"/>
  <c r="D1639" i="3"/>
  <c r="AQ1638" i="3"/>
  <c r="AP1638" i="3"/>
  <c r="AO1638" i="3"/>
  <c r="AN1638" i="3"/>
  <c r="AM1638" i="3"/>
  <c r="AL1638" i="3"/>
  <c r="L1638" i="3"/>
  <c r="D1638" i="3"/>
  <c r="AQ1637" i="3"/>
  <c r="AP1637" i="3"/>
  <c r="AO1637" i="3"/>
  <c r="AN1637" i="3"/>
  <c r="AM1637" i="3"/>
  <c r="AL1637" i="3"/>
  <c r="L1637" i="3"/>
  <c r="D1637" i="3"/>
  <c r="AQ1636" i="3"/>
  <c r="AP1636" i="3"/>
  <c r="AO1636" i="3"/>
  <c r="AN1636" i="3"/>
  <c r="AM1636" i="3"/>
  <c r="AL1636" i="3"/>
  <c r="L1636" i="3"/>
  <c r="D1636" i="3"/>
  <c r="AQ1635" i="3"/>
  <c r="AP1635" i="3"/>
  <c r="AO1635" i="3"/>
  <c r="AN1635" i="3"/>
  <c r="AM1635" i="3"/>
  <c r="AL1635" i="3"/>
  <c r="L1635" i="3"/>
  <c r="D1635" i="3"/>
  <c r="AQ1634" i="3"/>
  <c r="AP1634" i="3"/>
  <c r="AO1634" i="3"/>
  <c r="AN1634" i="3"/>
  <c r="AM1634" i="3"/>
  <c r="AL1634" i="3"/>
  <c r="L1634" i="3"/>
  <c r="D1634" i="3"/>
  <c r="AQ1633" i="3"/>
  <c r="AP1633" i="3"/>
  <c r="AO1633" i="3"/>
  <c r="AN1633" i="3"/>
  <c r="AM1633" i="3"/>
  <c r="AL1633" i="3"/>
  <c r="L1633" i="3"/>
  <c r="D1633" i="3"/>
  <c r="AQ1632" i="3"/>
  <c r="AP1632" i="3"/>
  <c r="AO1632" i="3"/>
  <c r="AN1632" i="3"/>
  <c r="AM1632" i="3"/>
  <c r="AL1632" i="3"/>
  <c r="L1632" i="3"/>
  <c r="D1632" i="3"/>
  <c r="L1631" i="3"/>
  <c r="D1631" i="3"/>
  <c r="AQ1630" i="3"/>
  <c r="AP1630" i="3"/>
  <c r="AO1630" i="3"/>
  <c r="AN1630" i="3"/>
  <c r="AM1630" i="3"/>
  <c r="AL1630" i="3"/>
  <c r="L1630" i="3"/>
  <c r="D1630" i="3"/>
  <c r="L1629" i="3"/>
  <c r="D1629" i="3"/>
  <c r="AQ1628" i="3"/>
  <c r="AP1628" i="3"/>
  <c r="AO1628" i="3"/>
  <c r="AN1628" i="3"/>
  <c r="AM1628" i="3"/>
  <c r="AL1628" i="3"/>
  <c r="L1628" i="3"/>
  <c r="D1628" i="3"/>
  <c r="L1627" i="3"/>
  <c r="D1627" i="3"/>
  <c r="AQ1626" i="3"/>
  <c r="AP1626" i="3"/>
  <c r="AO1626" i="3"/>
  <c r="AN1626" i="3"/>
  <c r="AM1626" i="3"/>
  <c r="AL1626" i="3"/>
  <c r="L1626" i="3"/>
  <c r="D1626" i="3"/>
  <c r="L1625" i="3"/>
  <c r="D1625" i="3"/>
  <c r="L1624" i="3"/>
  <c r="D1624" i="3"/>
  <c r="AQ1623" i="3"/>
  <c r="AP1623" i="3"/>
  <c r="AO1623" i="3"/>
  <c r="AN1623" i="3"/>
  <c r="AM1623" i="3"/>
  <c r="AL1623" i="3"/>
  <c r="L1623" i="3"/>
  <c r="D1623" i="3"/>
  <c r="L1622" i="3"/>
  <c r="D1622" i="3"/>
  <c r="AQ1621" i="3"/>
  <c r="AP1621" i="3"/>
  <c r="AO1621" i="3"/>
  <c r="AN1621" i="3"/>
  <c r="AM1621" i="3"/>
  <c r="AL1621" i="3"/>
  <c r="L1621" i="3"/>
  <c r="D1621" i="3"/>
  <c r="AQ1620" i="3"/>
  <c r="AP1620" i="3"/>
  <c r="AO1620" i="3"/>
  <c r="AN1620" i="3"/>
  <c r="AM1620" i="3"/>
  <c r="AL1620" i="3"/>
  <c r="L1620" i="3"/>
  <c r="D1620" i="3"/>
  <c r="AQ1619" i="3"/>
  <c r="AP1619" i="3"/>
  <c r="AO1619" i="3"/>
  <c r="AN1619" i="3"/>
  <c r="AM1619" i="3"/>
  <c r="AL1619" i="3"/>
  <c r="L1619" i="3"/>
  <c r="D1619" i="3"/>
  <c r="AQ1618" i="3"/>
  <c r="AP1618" i="3"/>
  <c r="AO1618" i="3"/>
  <c r="AN1618" i="3"/>
  <c r="AM1618" i="3"/>
  <c r="AL1618" i="3"/>
  <c r="L1618" i="3"/>
  <c r="D1618" i="3"/>
  <c r="AQ1617" i="3"/>
  <c r="AP1617" i="3"/>
  <c r="AO1617" i="3"/>
  <c r="AN1617" i="3"/>
  <c r="AM1617" i="3"/>
  <c r="AL1617" i="3"/>
  <c r="L1617" i="3"/>
  <c r="D1617" i="3"/>
  <c r="AQ1616" i="3"/>
  <c r="AP1616" i="3"/>
  <c r="AO1616" i="3"/>
  <c r="AN1616" i="3"/>
  <c r="AM1616" i="3"/>
  <c r="AL1616" i="3"/>
  <c r="L1616" i="3"/>
  <c r="D1616" i="3"/>
  <c r="AQ1615" i="3"/>
  <c r="AP1615" i="3"/>
  <c r="AO1615" i="3"/>
  <c r="AN1615" i="3"/>
  <c r="AM1615" i="3"/>
  <c r="AL1615" i="3"/>
  <c r="L1615" i="3"/>
  <c r="D1615" i="3"/>
  <c r="AQ1614" i="3"/>
  <c r="AP1614" i="3"/>
  <c r="AO1614" i="3"/>
  <c r="AN1614" i="3"/>
  <c r="AM1614" i="3"/>
  <c r="AL1614" i="3"/>
  <c r="L1614" i="3"/>
  <c r="D1614" i="3"/>
  <c r="AQ1613" i="3"/>
  <c r="AP1613" i="3"/>
  <c r="AO1613" i="3"/>
  <c r="AN1613" i="3"/>
  <c r="AM1613" i="3"/>
  <c r="AL1613" i="3"/>
  <c r="L1613" i="3"/>
  <c r="D1613" i="3"/>
  <c r="AQ1612" i="3"/>
  <c r="AP1612" i="3"/>
  <c r="AO1612" i="3"/>
  <c r="AN1612" i="3"/>
  <c r="AM1612" i="3"/>
  <c r="AL1612" i="3"/>
  <c r="L1612" i="3"/>
  <c r="D1612" i="3"/>
  <c r="AQ1611" i="3"/>
  <c r="AP1611" i="3"/>
  <c r="AO1611" i="3"/>
  <c r="AN1611" i="3"/>
  <c r="AM1611" i="3"/>
  <c r="AL1611" i="3"/>
  <c r="L1611" i="3"/>
  <c r="D1611" i="3"/>
  <c r="AQ1610" i="3"/>
  <c r="AP1610" i="3"/>
  <c r="AO1610" i="3"/>
  <c r="AN1610" i="3"/>
  <c r="AM1610" i="3"/>
  <c r="AL1610" i="3"/>
  <c r="L1610" i="3"/>
  <c r="D1610" i="3"/>
  <c r="AQ1609" i="3"/>
  <c r="AP1609" i="3"/>
  <c r="AO1609" i="3"/>
  <c r="AN1609" i="3"/>
  <c r="AM1609" i="3"/>
  <c r="AL1609" i="3"/>
  <c r="L1609" i="3"/>
  <c r="D1609" i="3"/>
  <c r="AQ1608" i="3"/>
  <c r="AP1608" i="3"/>
  <c r="AO1608" i="3"/>
  <c r="AN1608" i="3"/>
  <c r="AM1608" i="3"/>
  <c r="AL1608" i="3"/>
  <c r="L1608" i="3"/>
  <c r="D1608" i="3"/>
  <c r="L1607" i="3"/>
  <c r="D1607" i="3"/>
  <c r="AQ1606" i="3"/>
  <c r="AP1606" i="3"/>
  <c r="AO1606" i="3"/>
  <c r="AN1606" i="3"/>
  <c r="AM1606" i="3"/>
  <c r="AL1606" i="3"/>
  <c r="L1606" i="3"/>
  <c r="D1606" i="3"/>
  <c r="L1605" i="3"/>
  <c r="D1605" i="3"/>
  <c r="L1604" i="3"/>
  <c r="D1604" i="3"/>
  <c r="AQ1603" i="3"/>
  <c r="AP1603" i="3"/>
  <c r="AO1603" i="3"/>
  <c r="AN1603" i="3"/>
  <c r="AM1603" i="3"/>
  <c r="AL1603" i="3"/>
  <c r="L1603" i="3"/>
  <c r="D1603" i="3"/>
  <c r="L1602" i="3"/>
  <c r="D1602" i="3"/>
  <c r="AQ1601" i="3"/>
  <c r="AP1601" i="3"/>
  <c r="AO1601" i="3"/>
  <c r="AN1601" i="3"/>
  <c r="AM1601" i="3"/>
  <c r="AL1601" i="3"/>
  <c r="L1601" i="3"/>
  <c r="D1601" i="3"/>
  <c r="AQ1600" i="3"/>
  <c r="AP1600" i="3"/>
  <c r="AO1600" i="3"/>
  <c r="AN1600" i="3"/>
  <c r="AM1600" i="3"/>
  <c r="AL1600" i="3"/>
  <c r="L1600" i="3"/>
  <c r="D1600" i="3"/>
  <c r="AQ1599" i="3"/>
  <c r="AP1599" i="3"/>
  <c r="AO1599" i="3"/>
  <c r="AN1599" i="3"/>
  <c r="AM1599" i="3"/>
  <c r="AL1599" i="3"/>
  <c r="L1599" i="3"/>
  <c r="D1599" i="3"/>
  <c r="L1598" i="3"/>
  <c r="D1598" i="3"/>
  <c r="AQ1597" i="3"/>
  <c r="AP1597" i="3"/>
  <c r="AO1597" i="3"/>
  <c r="AN1597" i="3"/>
  <c r="AM1597" i="3"/>
  <c r="AL1597" i="3"/>
  <c r="L1597" i="3"/>
  <c r="D1597" i="3"/>
  <c r="L1596" i="3"/>
  <c r="D1596" i="3"/>
  <c r="L1595" i="3"/>
  <c r="D1595" i="3"/>
  <c r="AQ1594" i="3"/>
  <c r="AP1594" i="3"/>
  <c r="AO1594" i="3"/>
  <c r="AN1594" i="3"/>
  <c r="AM1594" i="3"/>
  <c r="AL1594" i="3"/>
  <c r="L1594" i="3"/>
  <c r="D1594" i="3"/>
  <c r="L1593" i="3"/>
  <c r="D1593" i="3"/>
  <c r="AQ1592" i="3"/>
  <c r="AP1592" i="3"/>
  <c r="AO1592" i="3"/>
  <c r="AN1592" i="3"/>
  <c r="AM1592" i="3"/>
  <c r="AL1592" i="3"/>
  <c r="L1592" i="3"/>
  <c r="D1592" i="3"/>
  <c r="AQ1591" i="3"/>
  <c r="AP1591" i="3"/>
  <c r="AO1591" i="3"/>
  <c r="AN1591" i="3"/>
  <c r="AM1591" i="3"/>
  <c r="AL1591" i="3"/>
  <c r="L1591" i="3"/>
  <c r="D1591" i="3"/>
  <c r="L1590" i="3"/>
  <c r="D1590" i="3"/>
  <c r="AQ1589" i="3"/>
  <c r="AP1589" i="3"/>
  <c r="AO1589" i="3"/>
  <c r="AN1589" i="3"/>
  <c r="AM1589" i="3"/>
  <c r="AL1589" i="3"/>
  <c r="L1589" i="3"/>
  <c r="D1589" i="3"/>
  <c r="AQ1588" i="3"/>
  <c r="AP1588" i="3"/>
  <c r="AO1588" i="3"/>
  <c r="AN1588" i="3"/>
  <c r="AM1588" i="3"/>
  <c r="AL1588" i="3"/>
  <c r="L1588" i="3"/>
  <c r="D1588" i="3"/>
  <c r="L1587" i="3"/>
  <c r="D1587" i="3"/>
  <c r="AQ1586" i="3"/>
  <c r="AP1586" i="3"/>
  <c r="AO1586" i="3"/>
  <c r="AN1586" i="3"/>
  <c r="AM1586" i="3"/>
  <c r="AL1586" i="3"/>
  <c r="L1586" i="3"/>
  <c r="D1586" i="3"/>
  <c r="AQ1585" i="3"/>
  <c r="AP1585" i="3"/>
  <c r="AO1585" i="3"/>
  <c r="AN1585" i="3"/>
  <c r="AM1585" i="3"/>
  <c r="AL1585" i="3"/>
  <c r="L1585" i="3"/>
  <c r="D1585" i="3"/>
  <c r="AQ1584" i="3"/>
  <c r="AP1584" i="3"/>
  <c r="AO1584" i="3"/>
  <c r="AN1584" i="3"/>
  <c r="AM1584" i="3"/>
  <c r="AL1584" i="3"/>
  <c r="L1584" i="3"/>
  <c r="D1584" i="3"/>
  <c r="AQ1583" i="3"/>
  <c r="AP1583" i="3"/>
  <c r="AO1583" i="3"/>
  <c r="AN1583" i="3"/>
  <c r="AM1583" i="3"/>
  <c r="AL1583" i="3"/>
  <c r="L1583" i="3"/>
  <c r="D1583" i="3"/>
  <c r="AQ1582" i="3"/>
  <c r="AP1582" i="3"/>
  <c r="AO1582" i="3"/>
  <c r="AN1582" i="3"/>
  <c r="AM1582" i="3"/>
  <c r="AL1582" i="3"/>
  <c r="L1582" i="3"/>
  <c r="D1582" i="3"/>
  <c r="AQ1581" i="3"/>
  <c r="AP1581" i="3"/>
  <c r="AO1581" i="3"/>
  <c r="AN1581" i="3"/>
  <c r="AM1581" i="3"/>
  <c r="AL1581" i="3"/>
  <c r="L1581" i="3"/>
  <c r="D1581" i="3"/>
  <c r="AQ1580" i="3"/>
  <c r="AP1580" i="3"/>
  <c r="AO1580" i="3"/>
  <c r="AN1580" i="3"/>
  <c r="AM1580" i="3"/>
  <c r="AL1580" i="3"/>
  <c r="L1580" i="3"/>
  <c r="D1580" i="3"/>
  <c r="AQ1579" i="3"/>
  <c r="AP1579" i="3"/>
  <c r="AO1579" i="3"/>
  <c r="AN1579" i="3"/>
  <c r="AM1579" i="3"/>
  <c r="AL1579" i="3"/>
  <c r="L1579" i="3"/>
  <c r="D1579" i="3"/>
  <c r="AQ1578" i="3"/>
  <c r="AP1578" i="3"/>
  <c r="AO1578" i="3"/>
  <c r="AN1578" i="3"/>
  <c r="AM1578" i="3"/>
  <c r="AL1578" i="3"/>
  <c r="L1578" i="3"/>
  <c r="D1578" i="3"/>
  <c r="AQ1577" i="3"/>
  <c r="AP1577" i="3"/>
  <c r="AO1577" i="3"/>
  <c r="AN1577" i="3"/>
  <c r="AM1577" i="3"/>
  <c r="AL1577" i="3"/>
  <c r="L1577" i="3"/>
  <c r="D1577" i="3"/>
  <c r="AQ1576" i="3"/>
  <c r="AP1576" i="3"/>
  <c r="AO1576" i="3"/>
  <c r="AN1576" i="3"/>
  <c r="AM1576" i="3"/>
  <c r="AL1576" i="3"/>
  <c r="L1576" i="3"/>
  <c r="D1576" i="3"/>
  <c r="AQ1575" i="3"/>
  <c r="AP1575" i="3"/>
  <c r="AO1575" i="3"/>
  <c r="AN1575" i="3"/>
  <c r="AM1575" i="3"/>
  <c r="AL1575" i="3"/>
  <c r="L1575" i="3"/>
  <c r="D1575" i="3"/>
  <c r="L1574" i="3"/>
  <c r="D1574" i="3"/>
  <c r="L1573" i="3"/>
  <c r="D1573" i="3"/>
  <c r="L1572" i="3"/>
  <c r="D1572" i="3"/>
  <c r="AQ1571" i="3"/>
  <c r="AP1571" i="3"/>
  <c r="AO1571" i="3"/>
  <c r="AN1571" i="3"/>
  <c r="AM1571" i="3"/>
  <c r="AL1571" i="3"/>
  <c r="L1571" i="3"/>
  <c r="D1571" i="3"/>
  <c r="AQ1570" i="3"/>
  <c r="AP1570" i="3"/>
  <c r="AO1570" i="3"/>
  <c r="AN1570" i="3"/>
  <c r="AM1570" i="3"/>
  <c r="AL1570" i="3"/>
  <c r="L1570" i="3"/>
  <c r="D1570" i="3"/>
  <c r="AQ1569" i="3"/>
  <c r="AP1569" i="3"/>
  <c r="AO1569" i="3"/>
  <c r="AN1569" i="3"/>
  <c r="AM1569" i="3"/>
  <c r="AL1569" i="3"/>
  <c r="L1569" i="3"/>
  <c r="D1569" i="3"/>
  <c r="L1568" i="3"/>
  <c r="D1568" i="3"/>
  <c r="AQ1567" i="3"/>
  <c r="AP1567" i="3"/>
  <c r="AO1567" i="3"/>
  <c r="AN1567" i="3"/>
  <c r="AM1567" i="3"/>
  <c r="AL1567" i="3"/>
  <c r="L1567" i="3"/>
  <c r="D1567" i="3"/>
  <c r="AQ1566" i="3"/>
  <c r="AP1566" i="3"/>
  <c r="AO1566" i="3"/>
  <c r="AN1566" i="3"/>
  <c r="AM1566" i="3"/>
  <c r="AL1566" i="3"/>
  <c r="L1566" i="3"/>
  <c r="D1566" i="3"/>
  <c r="AQ1565" i="3"/>
  <c r="AP1565" i="3"/>
  <c r="AO1565" i="3"/>
  <c r="AN1565" i="3"/>
  <c r="AM1565" i="3"/>
  <c r="AL1565" i="3"/>
  <c r="L1565" i="3"/>
  <c r="D1565" i="3"/>
  <c r="AQ1564" i="3"/>
  <c r="AP1564" i="3"/>
  <c r="AO1564" i="3"/>
  <c r="AN1564" i="3"/>
  <c r="AM1564" i="3"/>
  <c r="AL1564" i="3"/>
  <c r="L1564" i="3"/>
  <c r="D1564" i="3"/>
  <c r="AQ1563" i="3"/>
  <c r="AP1563" i="3"/>
  <c r="AO1563" i="3"/>
  <c r="AN1563" i="3"/>
  <c r="AM1563" i="3"/>
  <c r="AL1563" i="3"/>
  <c r="L1563" i="3"/>
  <c r="D1563" i="3"/>
  <c r="L1562" i="3"/>
  <c r="D1562" i="3"/>
  <c r="AQ1561" i="3"/>
  <c r="AP1561" i="3"/>
  <c r="AO1561" i="3"/>
  <c r="AN1561" i="3"/>
  <c r="AM1561" i="3"/>
  <c r="AL1561" i="3"/>
  <c r="L1561" i="3"/>
  <c r="D1561" i="3"/>
  <c r="AQ1560" i="3"/>
  <c r="AP1560" i="3"/>
  <c r="AO1560" i="3"/>
  <c r="AN1560" i="3"/>
  <c r="AM1560" i="3"/>
  <c r="AL1560" i="3"/>
  <c r="L1560" i="3"/>
  <c r="D1560" i="3"/>
  <c r="AQ1559" i="3"/>
  <c r="AP1559" i="3"/>
  <c r="AO1559" i="3"/>
  <c r="AN1559" i="3"/>
  <c r="AM1559" i="3"/>
  <c r="AL1559" i="3"/>
  <c r="L1559" i="3"/>
  <c r="D1559" i="3"/>
  <c r="AQ1558" i="3"/>
  <c r="AP1558" i="3"/>
  <c r="AO1558" i="3"/>
  <c r="AN1558" i="3"/>
  <c r="AM1558" i="3"/>
  <c r="AL1558" i="3"/>
  <c r="L1558" i="3"/>
  <c r="D1558" i="3"/>
  <c r="AQ1557" i="3"/>
  <c r="AP1557" i="3"/>
  <c r="AO1557" i="3"/>
  <c r="AN1557" i="3"/>
  <c r="AM1557" i="3"/>
  <c r="AL1557" i="3"/>
  <c r="L1557" i="3"/>
  <c r="D1557" i="3"/>
  <c r="L1556" i="3"/>
  <c r="D1556" i="3"/>
  <c r="AQ1555" i="3"/>
  <c r="AP1555" i="3"/>
  <c r="AO1555" i="3"/>
  <c r="AN1555" i="3"/>
  <c r="AM1555" i="3"/>
  <c r="AL1555" i="3"/>
  <c r="L1555" i="3"/>
  <c r="D1555" i="3"/>
  <c r="AQ1554" i="3"/>
  <c r="AP1554" i="3"/>
  <c r="AO1554" i="3"/>
  <c r="AN1554" i="3"/>
  <c r="AM1554" i="3"/>
  <c r="AL1554" i="3"/>
  <c r="L1554" i="3"/>
  <c r="D1554" i="3"/>
  <c r="AQ1553" i="3"/>
  <c r="AP1553" i="3"/>
  <c r="AO1553" i="3"/>
  <c r="AN1553" i="3"/>
  <c r="AM1553" i="3"/>
  <c r="AL1553" i="3"/>
  <c r="L1553" i="3"/>
  <c r="D1553" i="3"/>
  <c r="AQ1552" i="3"/>
  <c r="AP1552" i="3"/>
  <c r="AO1552" i="3"/>
  <c r="AN1552" i="3"/>
  <c r="AM1552" i="3"/>
  <c r="AL1552" i="3"/>
  <c r="L1552" i="3"/>
  <c r="D1552" i="3"/>
  <c r="L1551" i="3"/>
  <c r="D1551" i="3"/>
  <c r="AQ1550" i="3"/>
  <c r="AP1550" i="3"/>
  <c r="AO1550" i="3"/>
  <c r="AN1550" i="3"/>
  <c r="AM1550" i="3"/>
  <c r="AL1550" i="3"/>
  <c r="L1550" i="3"/>
  <c r="D1550" i="3"/>
  <c r="AQ1549" i="3"/>
  <c r="AP1549" i="3"/>
  <c r="AO1549" i="3"/>
  <c r="AN1549" i="3"/>
  <c r="AM1549" i="3"/>
  <c r="AL1549" i="3"/>
  <c r="L1549" i="3"/>
  <c r="D1549" i="3"/>
  <c r="L1548" i="3"/>
  <c r="D1548" i="3"/>
  <c r="AQ1547" i="3"/>
  <c r="AP1547" i="3"/>
  <c r="AO1547" i="3"/>
  <c r="AN1547" i="3"/>
  <c r="AM1547" i="3"/>
  <c r="AL1547" i="3"/>
  <c r="L1547" i="3"/>
  <c r="D1547" i="3"/>
  <c r="AQ1546" i="3"/>
  <c r="AP1546" i="3"/>
  <c r="AO1546" i="3"/>
  <c r="AN1546" i="3"/>
  <c r="AM1546" i="3"/>
  <c r="AL1546" i="3"/>
  <c r="L1546" i="3"/>
  <c r="D1546" i="3"/>
  <c r="AQ1545" i="3"/>
  <c r="AP1545" i="3"/>
  <c r="AO1545" i="3"/>
  <c r="AN1545" i="3"/>
  <c r="AM1545" i="3"/>
  <c r="AL1545" i="3"/>
  <c r="L1545" i="3"/>
  <c r="D1545" i="3"/>
  <c r="AQ1544" i="3"/>
  <c r="AP1544" i="3"/>
  <c r="AO1544" i="3"/>
  <c r="AN1544" i="3"/>
  <c r="AM1544" i="3"/>
  <c r="AL1544" i="3"/>
  <c r="L1544" i="3"/>
  <c r="D1544" i="3"/>
  <c r="L1543" i="3"/>
  <c r="D1543" i="3"/>
  <c r="L1542" i="3"/>
  <c r="D1542" i="3"/>
  <c r="L1541" i="3"/>
  <c r="D1541" i="3"/>
  <c r="L1540" i="3"/>
  <c r="D1540" i="3"/>
  <c r="AQ1539" i="3"/>
  <c r="AP1539" i="3"/>
  <c r="AO1539" i="3"/>
  <c r="AN1539" i="3"/>
  <c r="AM1539" i="3"/>
  <c r="AL1539" i="3"/>
  <c r="L1539" i="3"/>
  <c r="D1539" i="3"/>
  <c r="AQ1538" i="3"/>
  <c r="AP1538" i="3"/>
  <c r="AO1538" i="3"/>
  <c r="AN1538" i="3"/>
  <c r="AM1538" i="3"/>
  <c r="AL1538" i="3"/>
  <c r="L1538" i="3"/>
  <c r="D1538" i="3"/>
  <c r="AQ1537" i="3"/>
  <c r="AP1537" i="3"/>
  <c r="AO1537" i="3"/>
  <c r="AN1537" i="3"/>
  <c r="AM1537" i="3"/>
  <c r="AL1537" i="3"/>
  <c r="L1537" i="3"/>
  <c r="D1537" i="3"/>
  <c r="AQ1536" i="3"/>
  <c r="AP1536" i="3"/>
  <c r="AO1536" i="3"/>
  <c r="AN1536" i="3"/>
  <c r="AM1536" i="3"/>
  <c r="AL1536" i="3"/>
  <c r="L1536" i="3"/>
  <c r="D1536" i="3"/>
  <c r="AQ1535" i="3"/>
  <c r="AP1535" i="3"/>
  <c r="AO1535" i="3"/>
  <c r="AN1535" i="3"/>
  <c r="AM1535" i="3"/>
  <c r="AL1535" i="3"/>
  <c r="L1535" i="3"/>
  <c r="D1535" i="3"/>
  <c r="L1534" i="3"/>
  <c r="D1534" i="3"/>
  <c r="L1533" i="3"/>
  <c r="D1533" i="3"/>
  <c r="AQ1532" i="3"/>
  <c r="AP1532" i="3"/>
  <c r="AO1532" i="3"/>
  <c r="AN1532" i="3"/>
  <c r="AM1532" i="3"/>
  <c r="AL1532" i="3"/>
  <c r="L1532" i="3"/>
  <c r="D1532" i="3"/>
  <c r="AQ1531" i="3"/>
  <c r="AP1531" i="3"/>
  <c r="AO1531" i="3"/>
  <c r="AN1531" i="3"/>
  <c r="AM1531" i="3"/>
  <c r="AL1531" i="3"/>
  <c r="L1531" i="3"/>
  <c r="D1531" i="3"/>
  <c r="L1530" i="3"/>
  <c r="D1530" i="3"/>
  <c r="AQ1529" i="3"/>
  <c r="AP1529" i="3"/>
  <c r="AO1529" i="3"/>
  <c r="AN1529" i="3"/>
  <c r="AM1529" i="3"/>
  <c r="AL1529" i="3"/>
  <c r="L1529" i="3"/>
  <c r="D1529" i="3"/>
  <c r="AQ1528" i="3"/>
  <c r="AP1528" i="3"/>
  <c r="AO1528" i="3"/>
  <c r="AN1528" i="3"/>
  <c r="AM1528" i="3"/>
  <c r="AL1528" i="3"/>
  <c r="L1528" i="3"/>
  <c r="D1528" i="3"/>
  <c r="AQ1527" i="3"/>
  <c r="AP1527" i="3"/>
  <c r="AO1527" i="3"/>
  <c r="AN1527" i="3"/>
  <c r="AM1527" i="3"/>
  <c r="AL1527" i="3"/>
  <c r="L1527" i="3"/>
  <c r="D1527" i="3"/>
  <c r="L1526" i="3"/>
  <c r="D1526" i="3"/>
  <c r="AQ1525" i="3"/>
  <c r="AP1525" i="3"/>
  <c r="AO1525" i="3"/>
  <c r="AN1525" i="3"/>
  <c r="AM1525" i="3"/>
  <c r="AL1525" i="3"/>
  <c r="L1525" i="3"/>
  <c r="D1525" i="3"/>
  <c r="AQ1524" i="3"/>
  <c r="AP1524" i="3"/>
  <c r="AO1524" i="3"/>
  <c r="AN1524" i="3"/>
  <c r="AM1524" i="3"/>
  <c r="AL1524" i="3"/>
  <c r="L1524" i="3"/>
  <c r="D1524" i="3"/>
  <c r="AQ1523" i="3"/>
  <c r="AP1523" i="3"/>
  <c r="AO1523" i="3"/>
  <c r="AN1523" i="3"/>
  <c r="AM1523" i="3"/>
  <c r="AL1523" i="3"/>
  <c r="L1523" i="3"/>
  <c r="D1523" i="3"/>
  <c r="AQ1522" i="3"/>
  <c r="AP1522" i="3"/>
  <c r="AO1522" i="3"/>
  <c r="AN1522" i="3"/>
  <c r="AM1522" i="3"/>
  <c r="AL1522" i="3"/>
  <c r="L1522" i="3"/>
  <c r="D1522" i="3"/>
  <c r="AQ1521" i="3"/>
  <c r="AP1521" i="3"/>
  <c r="AO1521" i="3"/>
  <c r="AN1521" i="3"/>
  <c r="AM1521" i="3"/>
  <c r="AL1521" i="3"/>
  <c r="L1521" i="3"/>
  <c r="D1521" i="3"/>
  <c r="AQ1520" i="3"/>
  <c r="AP1520" i="3"/>
  <c r="AO1520" i="3"/>
  <c r="AN1520" i="3"/>
  <c r="AM1520" i="3"/>
  <c r="AL1520" i="3"/>
  <c r="L1520" i="3"/>
  <c r="D1520" i="3"/>
  <c r="AQ1519" i="3"/>
  <c r="AP1519" i="3"/>
  <c r="AO1519" i="3"/>
  <c r="AN1519" i="3"/>
  <c r="AM1519" i="3"/>
  <c r="AL1519" i="3"/>
  <c r="L1519" i="3"/>
  <c r="D1519" i="3"/>
  <c r="AQ1518" i="3"/>
  <c r="AP1518" i="3"/>
  <c r="AO1518" i="3"/>
  <c r="AN1518" i="3"/>
  <c r="AM1518" i="3"/>
  <c r="AL1518" i="3"/>
  <c r="L1518" i="3"/>
  <c r="D1518" i="3"/>
  <c r="L1517" i="3"/>
  <c r="D1517" i="3"/>
  <c r="AQ1516" i="3"/>
  <c r="AP1516" i="3"/>
  <c r="AO1516" i="3"/>
  <c r="AN1516" i="3"/>
  <c r="AM1516" i="3"/>
  <c r="AL1516" i="3"/>
  <c r="L1516" i="3"/>
  <c r="D1516" i="3"/>
  <c r="AQ1515" i="3"/>
  <c r="AP1515" i="3"/>
  <c r="AO1515" i="3"/>
  <c r="AN1515" i="3"/>
  <c r="AM1515" i="3"/>
  <c r="AL1515" i="3"/>
  <c r="L1515" i="3"/>
  <c r="D1515" i="3"/>
  <c r="AQ1514" i="3"/>
  <c r="AP1514" i="3"/>
  <c r="AO1514" i="3"/>
  <c r="AN1514" i="3"/>
  <c r="AM1514" i="3"/>
  <c r="AL1514" i="3"/>
  <c r="L1514" i="3"/>
  <c r="D1514" i="3"/>
  <c r="AQ1513" i="3"/>
  <c r="AP1513" i="3"/>
  <c r="AO1513" i="3"/>
  <c r="AN1513" i="3"/>
  <c r="AM1513" i="3"/>
  <c r="AL1513" i="3"/>
  <c r="L1513" i="3"/>
  <c r="D1513" i="3"/>
  <c r="L1512" i="3"/>
  <c r="D1512" i="3"/>
  <c r="AQ1511" i="3"/>
  <c r="AP1511" i="3"/>
  <c r="AO1511" i="3"/>
  <c r="AN1511" i="3"/>
  <c r="AM1511" i="3"/>
  <c r="AL1511" i="3"/>
  <c r="L1511" i="3"/>
  <c r="D1511" i="3"/>
  <c r="L1510" i="3"/>
  <c r="D1510" i="3"/>
  <c r="AQ1509" i="3"/>
  <c r="AP1509" i="3"/>
  <c r="AO1509" i="3"/>
  <c r="AN1509" i="3"/>
  <c r="AM1509" i="3"/>
  <c r="AL1509" i="3"/>
  <c r="L1509" i="3"/>
  <c r="D1509" i="3"/>
  <c r="L1508" i="3"/>
  <c r="D1508" i="3"/>
  <c r="AQ1507" i="3"/>
  <c r="AP1507" i="3"/>
  <c r="AO1507" i="3"/>
  <c r="AN1507" i="3"/>
  <c r="AM1507" i="3"/>
  <c r="AL1507" i="3"/>
  <c r="L1507" i="3"/>
  <c r="D1507" i="3"/>
  <c r="AQ1506" i="3"/>
  <c r="AP1506" i="3"/>
  <c r="AO1506" i="3"/>
  <c r="AN1506" i="3"/>
  <c r="AM1506" i="3"/>
  <c r="AL1506" i="3"/>
  <c r="L1506" i="3"/>
  <c r="D1506" i="3"/>
  <c r="AQ1505" i="3"/>
  <c r="AP1505" i="3"/>
  <c r="AO1505" i="3"/>
  <c r="AN1505" i="3"/>
  <c r="AM1505" i="3"/>
  <c r="AL1505" i="3"/>
  <c r="L1505" i="3"/>
  <c r="D1505" i="3"/>
  <c r="AQ1504" i="3"/>
  <c r="AP1504" i="3"/>
  <c r="AO1504" i="3"/>
  <c r="AN1504" i="3"/>
  <c r="AM1504" i="3"/>
  <c r="AL1504" i="3"/>
  <c r="L1504" i="3"/>
  <c r="D1504" i="3"/>
  <c r="L1503" i="3"/>
  <c r="D1503" i="3"/>
  <c r="AQ1502" i="3"/>
  <c r="AP1502" i="3"/>
  <c r="AO1502" i="3"/>
  <c r="AN1502" i="3"/>
  <c r="AM1502" i="3"/>
  <c r="AL1502" i="3"/>
  <c r="L1502" i="3"/>
  <c r="D1502" i="3"/>
  <c r="AQ1501" i="3"/>
  <c r="AP1501" i="3"/>
  <c r="AO1501" i="3"/>
  <c r="AN1501" i="3"/>
  <c r="AM1501" i="3"/>
  <c r="AL1501" i="3"/>
  <c r="L1501" i="3"/>
  <c r="D1501" i="3"/>
  <c r="AQ1500" i="3"/>
  <c r="AP1500" i="3"/>
  <c r="AO1500" i="3"/>
  <c r="AN1500" i="3"/>
  <c r="AM1500" i="3"/>
  <c r="AL1500" i="3"/>
  <c r="L1500" i="3"/>
  <c r="D1500" i="3"/>
  <c r="AQ1499" i="3"/>
  <c r="AP1499" i="3"/>
  <c r="AO1499" i="3"/>
  <c r="AN1499" i="3"/>
  <c r="AM1499" i="3"/>
  <c r="AL1499" i="3"/>
  <c r="L1499" i="3"/>
  <c r="D1499" i="3"/>
  <c r="AQ1498" i="3"/>
  <c r="AP1498" i="3"/>
  <c r="AO1498" i="3"/>
  <c r="AN1498" i="3"/>
  <c r="AM1498" i="3"/>
  <c r="AL1498" i="3"/>
  <c r="L1498" i="3"/>
  <c r="D1498" i="3"/>
  <c r="L1497" i="3"/>
  <c r="D1497" i="3"/>
  <c r="L1496" i="3"/>
  <c r="D1496" i="3"/>
  <c r="AQ1495" i="3"/>
  <c r="AP1495" i="3"/>
  <c r="AO1495" i="3"/>
  <c r="AN1495" i="3"/>
  <c r="AM1495" i="3"/>
  <c r="AL1495" i="3"/>
  <c r="L1495" i="3"/>
  <c r="D1495" i="3"/>
  <c r="L1494" i="3"/>
  <c r="D1494" i="3"/>
  <c r="L1493" i="3"/>
  <c r="D1493" i="3"/>
  <c r="AQ1492" i="3"/>
  <c r="AP1492" i="3"/>
  <c r="AO1492" i="3"/>
  <c r="AN1492" i="3"/>
  <c r="AM1492" i="3"/>
  <c r="AL1492" i="3"/>
  <c r="L1492" i="3"/>
  <c r="D1492" i="3"/>
  <c r="AQ1491" i="3"/>
  <c r="AP1491" i="3"/>
  <c r="AO1491" i="3"/>
  <c r="AN1491" i="3"/>
  <c r="AM1491" i="3"/>
  <c r="AL1491" i="3"/>
  <c r="L1491" i="3"/>
  <c r="D1491" i="3"/>
  <c r="AQ1490" i="3"/>
  <c r="AP1490" i="3"/>
  <c r="AO1490" i="3"/>
  <c r="AN1490" i="3"/>
  <c r="AM1490" i="3"/>
  <c r="AL1490" i="3"/>
  <c r="L1490" i="3"/>
  <c r="D1490" i="3"/>
  <c r="AQ1489" i="3"/>
  <c r="AP1489" i="3"/>
  <c r="AO1489" i="3"/>
  <c r="AN1489" i="3"/>
  <c r="AM1489" i="3"/>
  <c r="AL1489" i="3"/>
  <c r="L1489" i="3"/>
  <c r="D1489" i="3"/>
  <c r="AQ1488" i="3"/>
  <c r="AP1488" i="3"/>
  <c r="AO1488" i="3"/>
  <c r="AN1488" i="3"/>
  <c r="AM1488" i="3"/>
  <c r="AL1488" i="3"/>
  <c r="L1488" i="3"/>
  <c r="D1488" i="3"/>
  <c r="AQ1487" i="3"/>
  <c r="AP1487" i="3"/>
  <c r="AO1487" i="3"/>
  <c r="AN1487" i="3"/>
  <c r="AM1487" i="3"/>
  <c r="AL1487" i="3"/>
  <c r="L1487" i="3"/>
  <c r="D1487" i="3"/>
  <c r="L1486" i="3"/>
  <c r="D1486" i="3"/>
  <c r="L1485" i="3"/>
  <c r="D1485" i="3"/>
  <c r="AQ1484" i="3"/>
  <c r="AP1484" i="3"/>
  <c r="AO1484" i="3"/>
  <c r="AN1484" i="3"/>
  <c r="AM1484" i="3"/>
  <c r="AL1484" i="3"/>
  <c r="L1484" i="3"/>
  <c r="D1484" i="3"/>
  <c r="AQ1483" i="3"/>
  <c r="AP1483" i="3"/>
  <c r="AO1483" i="3"/>
  <c r="AN1483" i="3"/>
  <c r="AM1483" i="3"/>
  <c r="AL1483" i="3"/>
  <c r="L1483" i="3"/>
  <c r="D1483" i="3"/>
  <c r="AQ1482" i="3"/>
  <c r="AP1482" i="3"/>
  <c r="AO1482" i="3"/>
  <c r="AN1482" i="3"/>
  <c r="AM1482" i="3"/>
  <c r="AL1482" i="3"/>
  <c r="L1482" i="3"/>
  <c r="D1482" i="3"/>
  <c r="AQ1481" i="3"/>
  <c r="AP1481" i="3"/>
  <c r="AO1481" i="3"/>
  <c r="AN1481" i="3"/>
  <c r="AM1481" i="3"/>
  <c r="AL1481" i="3"/>
  <c r="L1481" i="3"/>
  <c r="D1481" i="3"/>
  <c r="AQ1480" i="3"/>
  <c r="AP1480" i="3"/>
  <c r="AO1480" i="3"/>
  <c r="AN1480" i="3"/>
  <c r="AM1480" i="3"/>
  <c r="AL1480" i="3"/>
  <c r="L1480" i="3"/>
  <c r="D1480" i="3"/>
  <c r="AQ1479" i="3"/>
  <c r="AP1479" i="3"/>
  <c r="AO1479" i="3"/>
  <c r="AN1479" i="3"/>
  <c r="AM1479" i="3"/>
  <c r="AL1479" i="3"/>
  <c r="L1479" i="3"/>
  <c r="D1479" i="3"/>
  <c r="L1478" i="3"/>
  <c r="D1478" i="3"/>
  <c r="AQ1477" i="3"/>
  <c r="AP1477" i="3"/>
  <c r="AO1477" i="3"/>
  <c r="AN1477" i="3"/>
  <c r="AM1477" i="3"/>
  <c r="AL1477" i="3"/>
  <c r="L1477" i="3"/>
  <c r="D1477" i="3"/>
  <c r="AQ1476" i="3"/>
  <c r="AP1476" i="3"/>
  <c r="AO1476" i="3"/>
  <c r="AN1476" i="3"/>
  <c r="AM1476" i="3"/>
  <c r="AL1476" i="3"/>
  <c r="L1476" i="3"/>
  <c r="D1476" i="3"/>
  <c r="AQ1475" i="3"/>
  <c r="AP1475" i="3"/>
  <c r="AO1475" i="3"/>
  <c r="AN1475" i="3"/>
  <c r="AM1475" i="3"/>
  <c r="AL1475" i="3"/>
  <c r="L1475" i="3"/>
  <c r="D1475" i="3"/>
  <c r="L1474" i="3"/>
  <c r="D1474" i="3"/>
  <c r="AQ1473" i="3"/>
  <c r="AP1473" i="3"/>
  <c r="AO1473" i="3"/>
  <c r="AN1473" i="3"/>
  <c r="AM1473" i="3"/>
  <c r="AL1473" i="3"/>
  <c r="L1473" i="3"/>
  <c r="D1473" i="3"/>
  <c r="AQ1472" i="3"/>
  <c r="AP1472" i="3"/>
  <c r="AO1472" i="3"/>
  <c r="AN1472" i="3"/>
  <c r="AM1472" i="3"/>
  <c r="AL1472" i="3"/>
  <c r="L1472" i="3"/>
  <c r="D1472" i="3"/>
  <c r="AQ1471" i="3"/>
  <c r="AP1471" i="3"/>
  <c r="AO1471" i="3"/>
  <c r="AN1471" i="3"/>
  <c r="AM1471" i="3"/>
  <c r="AL1471" i="3"/>
  <c r="L1471" i="3"/>
  <c r="D1471" i="3"/>
  <c r="AQ1470" i="3"/>
  <c r="AP1470" i="3"/>
  <c r="AO1470" i="3"/>
  <c r="AN1470" i="3"/>
  <c r="AM1470" i="3"/>
  <c r="AL1470" i="3"/>
  <c r="L1470" i="3"/>
  <c r="D1470" i="3"/>
  <c r="AQ1469" i="3"/>
  <c r="AP1469" i="3"/>
  <c r="AO1469" i="3"/>
  <c r="AN1469" i="3"/>
  <c r="AM1469" i="3"/>
  <c r="AL1469" i="3"/>
  <c r="L1469" i="3"/>
  <c r="D1469" i="3"/>
  <c r="AQ1468" i="3"/>
  <c r="AP1468" i="3"/>
  <c r="AO1468" i="3"/>
  <c r="AN1468" i="3"/>
  <c r="AM1468" i="3"/>
  <c r="AL1468" i="3"/>
  <c r="L1468" i="3"/>
  <c r="D1468" i="3"/>
  <c r="AQ1467" i="3"/>
  <c r="AP1467" i="3"/>
  <c r="AO1467" i="3"/>
  <c r="AN1467" i="3"/>
  <c r="AM1467" i="3"/>
  <c r="AL1467" i="3"/>
  <c r="L1467" i="3"/>
  <c r="D1467" i="3"/>
  <c r="AQ1466" i="3"/>
  <c r="AP1466" i="3"/>
  <c r="AO1466" i="3"/>
  <c r="AN1466" i="3"/>
  <c r="AM1466" i="3"/>
  <c r="AL1466" i="3"/>
  <c r="L1466" i="3"/>
  <c r="D1466" i="3"/>
  <c r="L1465" i="3"/>
  <c r="D1465" i="3"/>
  <c r="L1464" i="3"/>
  <c r="D1464" i="3"/>
  <c r="L1463" i="3"/>
  <c r="D1463" i="3"/>
  <c r="L1462" i="3"/>
  <c r="D1462" i="3"/>
  <c r="AQ1461" i="3"/>
  <c r="AP1461" i="3"/>
  <c r="AO1461" i="3"/>
  <c r="AN1461" i="3"/>
  <c r="AM1461" i="3"/>
  <c r="AL1461" i="3"/>
  <c r="L1461" i="3"/>
  <c r="D1461" i="3"/>
  <c r="AQ1460" i="3"/>
  <c r="AP1460" i="3"/>
  <c r="AO1460" i="3"/>
  <c r="AN1460" i="3"/>
  <c r="AM1460" i="3"/>
  <c r="AL1460" i="3"/>
  <c r="L1460" i="3"/>
  <c r="D1460" i="3"/>
  <c r="AQ1459" i="3"/>
  <c r="AP1459" i="3"/>
  <c r="AO1459" i="3"/>
  <c r="AN1459" i="3"/>
  <c r="AM1459" i="3"/>
  <c r="AL1459" i="3"/>
  <c r="L1459" i="3"/>
  <c r="D1459" i="3"/>
  <c r="AQ1458" i="3"/>
  <c r="AP1458" i="3"/>
  <c r="AO1458" i="3"/>
  <c r="AN1458" i="3"/>
  <c r="AM1458" i="3"/>
  <c r="AL1458" i="3"/>
  <c r="L1458" i="3"/>
  <c r="D1458" i="3"/>
  <c r="AQ1457" i="3"/>
  <c r="AP1457" i="3"/>
  <c r="AO1457" i="3"/>
  <c r="AN1457" i="3"/>
  <c r="AM1457" i="3"/>
  <c r="AL1457" i="3"/>
  <c r="L1457" i="3"/>
  <c r="D1457" i="3"/>
  <c r="AQ1456" i="3"/>
  <c r="AP1456" i="3"/>
  <c r="AO1456" i="3"/>
  <c r="AN1456" i="3"/>
  <c r="AM1456" i="3"/>
  <c r="AL1456" i="3"/>
  <c r="L1456" i="3"/>
  <c r="D1456" i="3"/>
  <c r="AQ1455" i="3"/>
  <c r="AP1455" i="3"/>
  <c r="AO1455" i="3"/>
  <c r="AN1455" i="3"/>
  <c r="AM1455" i="3"/>
  <c r="AL1455" i="3"/>
  <c r="L1455" i="3"/>
  <c r="D1455" i="3"/>
  <c r="AQ1454" i="3"/>
  <c r="AP1454" i="3"/>
  <c r="AO1454" i="3"/>
  <c r="AN1454" i="3"/>
  <c r="AM1454" i="3"/>
  <c r="AL1454" i="3"/>
  <c r="L1454" i="3"/>
  <c r="D1454" i="3"/>
  <c r="AQ1453" i="3"/>
  <c r="AP1453" i="3"/>
  <c r="AO1453" i="3"/>
  <c r="AN1453" i="3"/>
  <c r="AM1453" i="3"/>
  <c r="AL1453" i="3"/>
  <c r="L1453" i="3"/>
  <c r="D1453" i="3"/>
  <c r="AQ1452" i="3"/>
  <c r="AP1452" i="3"/>
  <c r="AO1452" i="3"/>
  <c r="AN1452" i="3"/>
  <c r="AM1452" i="3"/>
  <c r="AL1452" i="3"/>
  <c r="L1452" i="3"/>
  <c r="D1452" i="3"/>
  <c r="AQ1451" i="3"/>
  <c r="AP1451" i="3"/>
  <c r="AO1451" i="3"/>
  <c r="AN1451" i="3"/>
  <c r="AM1451" i="3"/>
  <c r="AL1451" i="3"/>
  <c r="L1451" i="3"/>
  <c r="D1451" i="3"/>
  <c r="AQ1450" i="3"/>
  <c r="AP1450" i="3"/>
  <c r="AO1450" i="3"/>
  <c r="AN1450" i="3"/>
  <c r="AM1450" i="3"/>
  <c r="AL1450" i="3"/>
  <c r="L1450" i="3"/>
  <c r="D1450" i="3"/>
  <c r="L1449" i="3"/>
  <c r="D1449" i="3"/>
  <c r="AQ1448" i="3"/>
  <c r="AP1448" i="3"/>
  <c r="AO1448" i="3"/>
  <c r="AN1448" i="3"/>
  <c r="AM1448" i="3"/>
  <c r="AL1448" i="3"/>
  <c r="L1448" i="3"/>
  <c r="D1448" i="3"/>
  <c r="AQ1447" i="3"/>
  <c r="AP1447" i="3"/>
  <c r="AO1447" i="3"/>
  <c r="AN1447" i="3"/>
  <c r="AM1447" i="3"/>
  <c r="AL1447" i="3"/>
  <c r="L1447" i="3"/>
  <c r="D1447" i="3"/>
  <c r="AQ1446" i="3"/>
  <c r="AP1446" i="3"/>
  <c r="AO1446" i="3"/>
  <c r="AN1446" i="3"/>
  <c r="AM1446" i="3"/>
  <c r="AL1446" i="3"/>
  <c r="L1446" i="3"/>
  <c r="D1446" i="3"/>
  <c r="AQ1445" i="3"/>
  <c r="AP1445" i="3"/>
  <c r="AO1445" i="3"/>
  <c r="AN1445" i="3"/>
  <c r="AM1445" i="3"/>
  <c r="AL1445" i="3"/>
  <c r="L1445" i="3"/>
  <c r="D1445" i="3"/>
  <c r="AQ1444" i="3"/>
  <c r="AP1444" i="3"/>
  <c r="AO1444" i="3"/>
  <c r="AN1444" i="3"/>
  <c r="AM1444" i="3"/>
  <c r="AL1444" i="3"/>
  <c r="L1444" i="3"/>
  <c r="D1444" i="3"/>
  <c r="AQ1443" i="3"/>
  <c r="AP1443" i="3"/>
  <c r="AO1443" i="3"/>
  <c r="AN1443" i="3"/>
  <c r="AM1443" i="3"/>
  <c r="AL1443" i="3"/>
  <c r="L1443" i="3"/>
  <c r="D1443" i="3"/>
  <c r="AQ1442" i="3"/>
  <c r="AP1442" i="3"/>
  <c r="AO1442" i="3"/>
  <c r="AN1442" i="3"/>
  <c r="AM1442" i="3"/>
  <c r="AL1442" i="3"/>
  <c r="L1442" i="3"/>
  <c r="D1442" i="3"/>
  <c r="AQ1441" i="3"/>
  <c r="AP1441" i="3"/>
  <c r="AO1441" i="3"/>
  <c r="AN1441" i="3"/>
  <c r="AM1441" i="3"/>
  <c r="AL1441" i="3"/>
  <c r="L1441" i="3"/>
  <c r="D1441" i="3"/>
  <c r="AQ1440" i="3"/>
  <c r="AP1440" i="3"/>
  <c r="AO1440" i="3"/>
  <c r="AN1440" i="3"/>
  <c r="AM1440" i="3"/>
  <c r="AL1440" i="3"/>
  <c r="L1440" i="3"/>
  <c r="D1440" i="3"/>
  <c r="AQ1439" i="3"/>
  <c r="AP1439" i="3"/>
  <c r="AO1439" i="3"/>
  <c r="AN1439" i="3"/>
  <c r="AM1439" i="3"/>
  <c r="AL1439" i="3"/>
  <c r="L1439" i="3"/>
  <c r="D1439" i="3"/>
  <c r="AQ1438" i="3"/>
  <c r="AP1438" i="3"/>
  <c r="AO1438" i="3"/>
  <c r="AN1438" i="3"/>
  <c r="AM1438" i="3"/>
  <c r="AL1438" i="3"/>
  <c r="L1438" i="3"/>
  <c r="D1438" i="3"/>
  <c r="AQ1437" i="3"/>
  <c r="AP1437" i="3"/>
  <c r="AO1437" i="3"/>
  <c r="AN1437" i="3"/>
  <c r="AM1437" i="3"/>
  <c r="AL1437" i="3"/>
  <c r="L1437" i="3"/>
  <c r="D1437" i="3"/>
  <c r="AQ1436" i="3"/>
  <c r="AP1436" i="3"/>
  <c r="AO1436" i="3"/>
  <c r="AN1436" i="3"/>
  <c r="AM1436" i="3"/>
  <c r="AL1436" i="3"/>
  <c r="L1436" i="3"/>
  <c r="D1436" i="3"/>
  <c r="L1435" i="3"/>
  <c r="D1435" i="3"/>
  <c r="AQ1434" i="3"/>
  <c r="AP1434" i="3"/>
  <c r="AO1434" i="3"/>
  <c r="AN1434" i="3"/>
  <c r="AM1434" i="3"/>
  <c r="AL1434" i="3"/>
  <c r="L1434" i="3"/>
  <c r="D1434" i="3"/>
  <c r="AQ1433" i="3"/>
  <c r="AP1433" i="3"/>
  <c r="AO1433" i="3"/>
  <c r="AN1433" i="3"/>
  <c r="AM1433" i="3"/>
  <c r="AL1433" i="3"/>
  <c r="L1433" i="3"/>
  <c r="D1433" i="3"/>
  <c r="AQ1432" i="3"/>
  <c r="AP1432" i="3"/>
  <c r="AO1432" i="3"/>
  <c r="AN1432" i="3"/>
  <c r="AM1432" i="3"/>
  <c r="AL1432" i="3"/>
  <c r="L1432" i="3"/>
  <c r="D1432" i="3"/>
  <c r="AQ1431" i="3"/>
  <c r="AP1431" i="3"/>
  <c r="AO1431" i="3"/>
  <c r="AN1431" i="3"/>
  <c r="AM1431" i="3"/>
  <c r="AL1431" i="3"/>
  <c r="L1431" i="3"/>
  <c r="D1431" i="3"/>
  <c r="L1430" i="3"/>
  <c r="D1430" i="3"/>
  <c r="AQ1429" i="3"/>
  <c r="AP1429" i="3"/>
  <c r="AO1429" i="3"/>
  <c r="AN1429" i="3"/>
  <c r="AM1429" i="3"/>
  <c r="AL1429" i="3"/>
  <c r="L1429" i="3"/>
  <c r="D1429" i="3"/>
  <c r="AQ1428" i="3"/>
  <c r="AP1428" i="3"/>
  <c r="AO1428" i="3"/>
  <c r="AN1428" i="3"/>
  <c r="AM1428" i="3"/>
  <c r="AL1428" i="3"/>
  <c r="L1428" i="3"/>
  <c r="D1428" i="3"/>
  <c r="AQ1427" i="3"/>
  <c r="AP1427" i="3"/>
  <c r="AO1427" i="3"/>
  <c r="AN1427" i="3"/>
  <c r="AM1427" i="3"/>
  <c r="AL1427" i="3"/>
  <c r="L1427" i="3"/>
  <c r="D1427" i="3"/>
  <c r="AQ1426" i="3"/>
  <c r="AP1426" i="3"/>
  <c r="AO1426" i="3"/>
  <c r="AN1426" i="3"/>
  <c r="AM1426" i="3"/>
  <c r="AL1426" i="3"/>
  <c r="L1426" i="3"/>
  <c r="D1426" i="3"/>
  <c r="AQ1425" i="3"/>
  <c r="AP1425" i="3"/>
  <c r="AO1425" i="3"/>
  <c r="AN1425" i="3"/>
  <c r="AM1425" i="3"/>
  <c r="AL1425" i="3"/>
  <c r="L1425" i="3"/>
  <c r="D1425" i="3"/>
  <c r="L1424" i="3"/>
  <c r="D1424" i="3"/>
  <c r="AQ1423" i="3"/>
  <c r="AP1423" i="3"/>
  <c r="AO1423" i="3"/>
  <c r="AN1423" i="3"/>
  <c r="AM1423" i="3"/>
  <c r="AL1423" i="3"/>
  <c r="L1423" i="3"/>
  <c r="D1423" i="3"/>
  <c r="AQ1422" i="3"/>
  <c r="AP1422" i="3"/>
  <c r="AO1422" i="3"/>
  <c r="AN1422" i="3"/>
  <c r="AM1422" i="3"/>
  <c r="AL1422" i="3"/>
  <c r="L1422" i="3"/>
  <c r="D1422" i="3"/>
  <c r="AQ1421" i="3"/>
  <c r="AP1421" i="3"/>
  <c r="AO1421" i="3"/>
  <c r="AN1421" i="3"/>
  <c r="AM1421" i="3"/>
  <c r="AL1421" i="3"/>
  <c r="L1421" i="3"/>
  <c r="D1421" i="3"/>
  <c r="AQ1420" i="3"/>
  <c r="AP1420" i="3"/>
  <c r="AO1420" i="3"/>
  <c r="AN1420" i="3"/>
  <c r="AM1420" i="3"/>
  <c r="AL1420" i="3"/>
  <c r="L1420" i="3"/>
  <c r="D1420" i="3"/>
  <c r="AQ1419" i="3"/>
  <c r="AP1419" i="3"/>
  <c r="AO1419" i="3"/>
  <c r="AN1419" i="3"/>
  <c r="AM1419" i="3"/>
  <c r="AL1419" i="3"/>
  <c r="L1419" i="3"/>
  <c r="D1419" i="3"/>
  <c r="AQ1418" i="3"/>
  <c r="AP1418" i="3"/>
  <c r="AO1418" i="3"/>
  <c r="AN1418" i="3"/>
  <c r="AM1418" i="3"/>
  <c r="AL1418" i="3"/>
  <c r="L1418" i="3"/>
  <c r="D1418" i="3"/>
  <c r="L1417" i="3"/>
  <c r="D1417" i="3"/>
  <c r="L1416" i="3"/>
  <c r="D1416" i="3"/>
  <c r="AQ1415" i="3"/>
  <c r="AP1415" i="3"/>
  <c r="AO1415" i="3"/>
  <c r="AN1415" i="3"/>
  <c r="AM1415" i="3"/>
  <c r="AL1415" i="3"/>
  <c r="L1415" i="3"/>
  <c r="D1415" i="3"/>
  <c r="AQ1414" i="3"/>
  <c r="AP1414" i="3"/>
  <c r="AO1414" i="3"/>
  <c r="AN1414" i="3"/>
  <c r="AM1414" i="3"/>
  <c r="AL1414" i="3"/>
  <c r="L1414" i="3"/>
  <c r="D1414" i="3"/>
  <c r="AQ1413" i="3"/>
  <c r="AP1413" i="3"/>
  <c r="AO1413" i="3"/>
  <c r="AN1413" i="3"/>
  <c r="AM1413" i="3"/>
  <c r="AL1413" i="3"/>
  <c r="L1413" i="3"/>
  <c r="D1413" i="3"/>
  <c r="AQ1412" i="3"/>
  <c r="AP1412" i="3"/>
  <c r="AO1412" i="3"/>
  <c r="AN1412" i="3"/>
  <c r="AM1412" i="3"/>
  <c r="AL1412" i="3"/>
  <c r="L1412" i="3"/>
  <c r="D1412" i="3"/>
  <c r="AQ1411" i="3"/>
  <c r="AP1411" i="3"/>
  <c r="AO1411" i="3"/>
  <c r="AN1411" i="3"/>
  <c r="AM1411" i="3"/>
  <c r="AL1411" i="3"/>
  <c r="L1411" i="3"/>
  <c r="D1411" i="3"/>
  <c r="L1410" i="3"/>
  <c r="D1410" i="3"/>
  <c r="AQ1409" i="3"/>
  <c r="AP1409" i="3"/>
  <c r="AO1409" i="3"/>
  <c r="AN1409" i="3"/>
  <c r="AM1409" i="3"/>
  <c r="AL1409" i="3"/>
  <c r="L1409" i="3"/>
  <c r="D1409" i="3"/>
  <c r="AQ1408" i="3"/>
  <c r="AP1408" i="3"/>
  <c r="AO1408" i="3"/>
  <c r="AN1408" i="3"/>
  <c r="AM1408" i="3"/>
  <c r="AL1408" i="3"/>
  <c r="L1408" i="3"/>
  <c r="D1408" i="3"/>
  <c r="AQ1407" i="3"/>
  <c r="AP1407" i="3"/>
  <c r="AO1407" i="3"/>
  <c r="AN1407" i="3"/>
  <c r="AM1407" i="3"/>
  <c r="AL1407" i="3"/>
  <c r="L1407" i="3"/>
  <c r="D1407" i="3"/>
  <c r="AQ1406" i="3"/>
  <c r="AP1406" i="3"/>
  <c r="AO1406" i="3"/>
  <c r="AN1406" i="3"/>
  <c r="AM1406" i="3"/>
  <c r="AL1406" i="3"/>
  <c r="L1406" i="3"/>
  <c r="D1406" i="3"/>
  <c r="AQ1405" i="3"/>
  <c r="AP1405" i="3"/>
  <c r="AO1405" i="3"/>
  <c r="AN1405" i="3"/>
  <c r="AM1405" i="3"/>
  <c r="AL1405" i="3"/>
  <c r="L1405" i="3"/>
  <c r="D1405" i="3"/>
  <c r="AQ1404" i="3"/>
  <c r="AP1404" i="3"/>
  <c r="AO1404" i="3"/>
  <c r="AN1404" i="3"/>
  <c r="AM1404" i="3"/>
  <c r="AL1404" i="3"/>
  <c r="L1404" i="3"/>
  <c r="D1404" i="3"/>
  <c r="L1403" i="3"/>
  <c r="D1403" i="3"/>
  <c r="L1402" i="3"/>
  <c r="D1402" i="3"/>
  <c r="L1401" i="3"/>
  <c r="D1401" i="3"/>
  <c r="AQ1400" i="3"/>
  <c r="AP1400" i="3"/>
  <c r="AO1400" i="3"/>
  <c r="AN1400" i="3"/>
  <c r="AM1400" i="3"/>
  <c r="AL1400" i="3"/>
  <c r="L1400" i="3"/>
  <c r="D1400" i="3"/>
  <c r="AQ1399" i="3"/>
  <c r="AP1399" i="3"/>
  <c r="AO1399" i="3"/>
  <c r="AN1399" i="3"/>
  <c r="AM1399" i="3"/>
  <c r="AL1399" i="3"/>
  <c r="L1399" i="3"/>
  <c r="D1399" i="3"/>
  <c r="AQ1398" i="3"/>
  <c r="AP1398" i="3"/>
  <c r="AO1398" i="3"/>
  <c r="AN1398" i="3"/>
  <c r="AM1398" i="3"/>
  <c r="AL1398" i="3"/>
  <c r="L1398" i="3"/>
  <c r="D1398" i="3"/>
  <c r="AQ1397" i="3"/>
  <c r="AP1397" i="3"/>
  <c r="AO1397" i="3"/>
  <c r="AN1397" i="3"/>
  <c r="AM1397" i="3"/>
  <c r="AL1397" i="3"/>
  <c r="L1397" i="3"/>
  <c r="D1397" i="3"/>
  <c r="AQ1396" i="3"/>
  <c r="AP1396" i="3"/>
  <c r="AO1396" i="3"/>
  <c r="AN1396" i="3"/>
  <c r="AM1396" i="3"/>
  <c r="AL1396" i="3"/>
  <c r="L1396" i="3"/>
  <c r="D1396" i="3"/>
  <c r="AQ1395" i="3"/>
  <c r="AP1395" i="3"/>
  <c r="AO1395" i="3"/>
  <c r="AN1395" i="3"/>
  <c r="AM1395" i="3"/>
  <c r="AL1395" i="3"/>
  <c r="L1395" i="3"/>
  <c r="D1395" i="3"/>
  <c r="L1394" i="3"/>
  <c r="D1394" i="3"/>
  <c r="AQ1393" i="3"/>
  <c r="AP1393" i="3"/>
  <c r="AO1393" i="3"/>
  <c r="AN1393" i="3"/>
  <c r="AM1393" i="3"/>
  <c r="AL1393" i="3"/>
  <c r="L1393" i="3"/>
  <c r="D1393" i="3"/>
  <c r="AQ1392" i="3"/>
  <c r="AP1392" i="3"/>
  <c r="AO1392" i="3"/>
  <c r="AN1392" i="3"/>
  <c r="AM1392" i="3"/>
  <c r="AL1392" i="3"/>
  <c r="L1392" i="3"/>
  <c r="D1392" i="3"/>
  <c r="AQ1391" i="3"/>
  <c r="AP1391" i="3"/>
  <c r="AO1391" i="3"/>
  <c r="AN1391" i="3"/>
  <c r="AM1391" i="3"/>
  <c r="AL1391" i="3"/>
  <c r="L1391" i="3"/>
  <c r="D1391" i="3"/>
  <c r="L1390" i="3"/>
  <c r="D1390" i="3"/>
  <c r="AQ1389" i="3"/>
  <c r="AP1389" i="3"/>
  <c r="AO1389" i="3"/>
  <c r="AN1389" i="3"/>
  <c r="AM1389" i="3"/>
  <c r="AL1389" i="3"/>
  <c r="L1389" i="3"/>
  <c r="D1389" i="3"/>
  <c r="L1388" i="3"/>
  <c r="D1388" i="3"/>
  <c r="AQ1387" i="3"/>
  <c r="AP1387" i="3"/>
  <c r="AO1387" i="3"/>
  <c r="AN1387" i="3"/>
  <c r="AM1387" i="3"/>
  <c r="AL1387" i="3"/>
  <c r="L1387" i="3"/>
  <c r="D1387" i="3"/>
  <c r="AQ1386" i="3"/>
  <c r="AP1386" i="3"/>
  <c r="AO1386" i="3"/>
  <c r="AN1386" i="3"/>
  <c r="AM1386" i="3"/>
  <c r="AL1386" i="3"/>
  <c r="L1386" i="3"/>
  <c r="D1386" i="3"/>
  <c r="AQ1385" i="3"/>
  <c r="AP1385" i="3"/>
  <c r="AO1385" i="3"/>
  <c r="AN1385" i="3"/>
  <c r="AM1385" i="3"/>
  <c r="AL1385" i="3"/>
  <c r="L1385" i="3"/>
  <c r="D1385" i="3"/>
  <c r="AQ1384" i="3"/>
  <c r="AP1384" i="3"/>
  <c r="AO1384" i="3"/>
  <c r="AN1384" i="3"/>
  <c r="AM1384" i="3"/>
  <c r="AL1384" i="3"/>
  <c r="L1384" i="3"/>
  <c r="D1384" i="3"/>
  <c r="AQ1383" i="3"/>
  <c r="AP1383" i="3"/>
  <c r="AO1383" i="3"/>
  <c r="AN1383" i="3"/>
  <c r="AM1383" i="3"/>
  <c r="AL1383" i="3"/>
  <c r="L1383" i="3"/>
  <c r="D1383" i="3"/>
  <c r="AQ1382" i="3"/>
  <c r="AP1382" i="3"/>
  <c r="AO1382" i="3"/>
  <c r="AN1382" i="3"/>
  <c r="AM1382" i="3"/>
  <c r="AL1382" i="3"/>
  <c r="L1382" i="3"/>
  <c r="D1382" i="3"/>
  <c r="L1381" i="3"/>
  <c r="D1381" i="3"/>
  <c r="L1380" i="3"/>
  <c r="D1380" i="3"/>
  <c r="AQ1379" i="3"/>
  <c r="AP1379" i="3"/>
  <c r="AO1379" i="3"/>
  <c r="AN1379" i="3"/>
  <c r="AM1379" i="3"/>
  <c r="AL1379" i="3"/>
  <c r="L1379" i="3"/>
  <c r="D1379" i="3"/>
  <c r="L1378" i="3"/>
  <c r="D1378" i="3"/>
  <c r="AQ1377" i="3"/>
  <c r="AP1377" i="3"/>
  <c r="AO1377" i="3"/>
  <c r="AN1377" i="3"/>
  <c r="AM1377" i="3"/>
  <c r="AL1377" i="3"/>
  <c r="L1377" i="3"/>
  <c r="D1377" i="3"/>
  <c r="L1376" i="3"/>
  <c r="D1376" i="3"/>
  <c r="AQ1375" i="3"/>
  <c r="AP1375" i="3"/>
  <c r="AO1375" i="3"/>
  <c r="AN1375" i="3"/>
  <c r="AM1375" i="3"/>
  <c r="AL1375" i="3"/>
  <c r="L1375" i="3"/>
  <c r="D1375" i="3"/>
  <c r="AQ1374" i="3"/>
  <c r="AP1374" i="3"/>
  <c r="AO1374" i="3"/>
  <c r="AN1374" i="3"/>
  <c r="AM1374" i="3"/>
  <c r="AL1374" i="3"/>
  <c r="L1374" i="3"/>
  <c r="D1374" i="3"/>
  <c r="AQ1373" i="3"/>
  <c r="AP1373" i="3"/>
  <c r="AO1373" i="3"/>
  <c r="AN1373" i="3"/>
  <c r="AM1373" i="3"/>
  <c r="AL1373" i="3"/>
  <c r="L1373" i="3"/>
  <c r="D1373" i="3"/>
  <c r="AQ1372" i="3"/>
  <c r="AP1372" i="3"/>
  <c r="AO1372" i="3"/>
  <c r="AN1372" i="3"/>
  <c r="AM1372" i="3"/>
  <c r="AL1372" i="3"/>
  <c r="L1372" i="3"/>
  <c r="D1372" i="3"/>
  <c r="AQ1371" i="3"/>
  <c r="AP1371" i="3"/>
  <c r="AO1371" i="3"/>
  <c r="AN1371" i="3"/>
  <c r="AM1371" i="3"/>
  <c r="AL1371" i="3"/>
  <c r="L1371" i="3"/>
  <c r="D1371" i="3"/>
  <c r="AQ1370" i="3"/>
  <c r="AP1370" i="3"/>
  <c r="AO1370" i="3"/>
  <c r="AN1370" i="3"/>
  <c r="AM1370" i="3"/>
  <c r="AL1370" i="3"/>
  <c r="L1370" i="3"/>
  <c r="D1370" i="3"/>
  <c r="AQ1369" i="3"/>
  <c r="AP1369" i="3"/>
  <c r="AO1369" i="3"/>
  <c r="AN1369" i="3"/>
  <c r="AM1369" i="3"/>
  <c r="AL1369" i="3"/>
  <c r="L1369" i="3"/>
  <c r="D1369" i="3"/>
  <c r="AQ1368" i="3"/>
  <c r="AP1368" i="3"/>
  <c r="AO1368" i="3"/>
  <c r="AN1368" i="3"/>
  <c r="AM1368" i="3"/>
  <c r="AL1368" i="3"/>
  <c r="L1368" i="3"/>
  <c r="D1368" i="3"/>
  <c r="AQ1367" i="3"/>
  <c r="AP1367" i="3"/>
  <c r="AO1367" i="3"/>
  <c r="AN1367" i="3"/>
  <c r="AM1367" i="3"/>
  <c r="AL1367" i="3"/>
  <c r="L1367" i="3"/>
  <c r="D1367" i="3"/>
  <c r="AQ1366" i="3"/>
  <c r="AP1366" i="3"/>
  <c r="AO1366" i="3"/>
  <c r="AN1366" i="3"/>
  <c r="AM1366" i="3"/>
  <c r="AL1366" i="3"/>
  <c r="L1366" i="3"/>
  <c r="D1366" i="3"/>
  <c r="AQ1365" i="3"/>
  <c r="AP1365" i="3"/>
  <c r="AO1365" i="3"/>
  <c r="AN1365" i="3"/>
  <c r="AM1365" i="3"/>
  <c r="AL1365" i="3"/>
  <c r="L1365" i="3"/>
  <c r="D1365" i="3"/>
  <c r="L1364" i="3"/>
  <c r="D1364" i="3"/>
  <c r="AQ1363" i="3"/>
  <c r="AP1363" i="3"/>
  <c r="AO1363" i="3"/>
  <c r="AN1363" i="3"/>
  <c r="AM1363" i="3"/>
  <c r="AL1363" i="3"/>
  <c r="L1363" i="3"/>
  <c r="D1363" i="3"/>
  <c r="AQ1362" i="3"/>
  <c r="AP1362" i="3"/>
  <c r="AO1362" i="3"/>
  <c r="AN1362" i="3"/>
  <c r="AM1362" i="3"/>
  <c r="AL1362" i="3"/>
  <c r="L1362" i="3"/>
  <c r="D1362" i="3"/>
  <c r="AQ1361" i="3"/>
  <c r="AP1361" i="3"/>
  <c r="AO1361" i="3"/>
  <c r="AN1361" i="3"/>
  <c r="AM1361" i="3"/>
  <c r="AL1361" i="3"/>
  <c r="L1361" i="3"/>
  <c r="D1361" i="3"/>
  <c r="AQ1360" i="3"/>
  <c r="AP1360" i="3"/>
  <c r="AO1360" i="3"/>
  <c r="AN1360" i="3"/>
  <c r="AM1360" i="3"/>
  <c r="AL1360" i="3"/>
  <c r="L1360" i="3"/>
  <c r="D1360" i="3"/>
  <c r="AQ1359" i="3"/>
  <c r="AP1359" i="3"/>
  <c r="AO1359" i="3"/>
  <c r="AN1359" i="3"/>
  <c r="AM1359" i="3"/>
  <c r="AL1359" i="3"/>
  <c r="L1359" i="3"/>
  <c r="D1359" i="3"/>
  <c r="AQ1358" i="3"/>
  <c r="AP1358" i="3"/>
  <c r="AO1358" i="3"/>
  <c r="AN1358" i="3"/>
  <c r="AM1358" i="3"/>
  <c r="AL1358" i="3"/>
  <c r="L1358" i="3"/>
  <c r="D1358" i="3"/>
  <c r="L1357" i="3"/>
  <c r="D1357" i="3"/>
  <c r="L1356" i="3"/>
  <c r="D1356" i="3"/>
  <c r="AQ1355" i="3"/>
  <c r="AP1355" i="3"/>
  <c r="AO1355" i="3"/>
  <c r="AN1355" i="3"/>
  <c r="AM1355" i="3"/>
  <c r="AL1355" i="3"/>
  <c r="L1355" i="3"/>
  <c r="D1355" i="3"/>
  <c r="AQ1354" i="3"/>
  <c r="AP1354" i="3"/>
  <c r="AO1354" i="3"/>
  <c r="AN1354" i="3"/>
  <c r="AM1354" i="3"/>
  <c r="AL1354" i="3"/>
  <c r="L1354" i="3"/>
  <c r="D1354" i="3"/>
  <c r="AQ1353" i="3"/>
  <c r="AP1353" i="3"/>
  <c r="AO1353" i="3"/>
  <c r="AN1353" i="3"/>
  <c r="AM1353" i="3"/>
  <c r="AL1353" i="3"/>
  <c r="L1353" i="3"/>
  <c r="D1353" i="3"/>
  <c r="AQ1352" i="3"/>
  <c r="AP1352" i="3"/>
  <c r="AO1352" i="3"/>
  <c r="AN1352" i="3"/>
  <c r="AM1352" i="3"/>
  <c r="AL1352" i="3"/>
  <c r="L1352" i="3"/>
  <c r="D1352" i="3"/>
  <c r="AQ1351" i="3"/>
  <c r="AP1351" i="3"/>
  <c r="AO1351" i="3"/>
  <c r="AN1351" i="3"/>
  <c r="AM1351" i="3"/>
  <c r="AL1351" i="3"/>
  <c r="L1351" i="3"/>
  <c r="D1351" i="3"/>
  <c r="AQ1350" i="3"/>
  <c r="AP1350" i="3"/>
  <c r="AO1350" i="3"/>
  <c r="AN1350" i="3"/>
  <c r="AM1350" i="3"/>
  <c r="AL1350" i="3"/>
  <c r="L1350" i="3"/>
  <c r="D1350" i="3"/>
  <c r="AQ1349" i="3"/>
  <c r="AP1349" i="3"/>
  <c r="AO1349" i="3"/>
  <c r="AN1349" i="3"/>
  <c r="AM1349" i="3"/>
  <c r="AL1349" i="3"/>
  <c r="L1349" i="3"/>
  <c r="D1349" i="3"/>
  <c r="AQ1348" i="3"/>
  <c r="AP1348" i="3"/>
  <c r="AO1348" i="3"/>
  <c r="AN1348" i="3"/>
  <c r="AM1348" i="3"/>
  <c r="AL1348" i="3"/>
  <c r="L1348" i="3"/>
  <c r="D1348" i="3"/>
  <c r="L1347" i="3"/>
  <c r="D1347" i="3"/>
  <c r="L1346" i="3"/>
  <c r="D1346" i="3"/>
  <c r="AQ1345" i="3"/>
  <c r="AP1345" i="3"/>
  <c r="AO1345" i="3"/>
  <c r="AN1345" i="3"/>
  <c r="AM1345" i="3"/>
  <c r="AL1345" i="3"/>
  <c r="L1345" i="3"/>
  <c r="D1345" i="3"/>
  <c r="AQ1344" i="3"/>
  <c r="AP1344" i="3"/>
  <c r="AO1344" i="3"/>
  <c r="AN1344" i="3"/>
  <c r="AM1344" i="3"/>
  <c r="AL1344" i="3"/>
  <c r="L1344" i="3"/>
  <c r="D1344" i="3"/>
  <c r="AQ1343" i="3"/>
  <c r="AP1343" i="3"/>
  <c r="AO1343" i="3"/>
  <c r="AN1343" i="3"/>
  <c r="AM1343" i="3"/>
  <c r="AL1343" i="3"/>
  <c r="L1343" i="3"/>
  <c r="D1343" i="3"/>
  <c r="AQ1342" i="3"/>
  <c r="AP1342" i="3"/>
  <c r="AO1342" i="3"/>
  <c r="AN1342" i="3"/>
  <c r="AM1342" i="3"/>
  <c r="AL1342" i="3"/>
  <c r="L1342" i="3"/>
  <c r="D1342" i="3"/>
  <c r="AQ1341" i="3"/>
  <c r="AP1341" i="3"/>
  <c r="AO1341" i="3"/>
  <c r="AN1341" i="3"/>
  <c r="AM1341" i="3"/>
  <c r="AL1341" i="3"/>
  <c r="L1341" i="3"/>
  <c r="D1341" i="3"/>
  <c r="AQ1340" i="3"/>
  <c r="AP1340" i="3"/>
  <c r="AO1340" i="3"/>
  <c r="AN1340" i="3"/>
  <c r="AM1340" i="3"/>
  <c r="AL1340" i="3"/>
  <c r="L1340" i="3"/>
  <c r="D1340" i="3"/>
  <c r="AQ1339" i="3"/>
  <c r="AP1339" i="3"/>
  <c r="AO1339" i="3"/>
  <c r="AN1339" i="3"/>
  <c r="AM1339" i="3"/>
  <c r="AL1339" i="3"/>
  <c r="L1339" i="3"/>
  <c r="D1339" i="3"/>
  <c r="L1338" i="3"/>
  <c r="D1338" i="3"/>
  <c r="L1337" i="3"/>
  <c r="D1337" i="3"/>
  <c r="L1336" i="3"/>
  <c r="D1336" i="3"/>
  <c r="L1335" i="3"/>
  <c r="D1335" i="3"/>
  <c r="L1334" i="3"/>
  <c r="D1334" i="3"/>
  <c r="AQ1333" i="3"/>
  <c r="AP1333" i="3"/>
  <c r="AO1333" i="3"/>
  <c r="AN1333" i="3"/>
  <c r="AM1333" i="3"/>
  <c r="AL1333" i="3"/>
  <c r="L1333" i="3"/>
  <c r="D1333" i="3"/>
  <c r="L1332" i="3"/>
  <c r="D1332" i="3"/>
  <c r="L1331" i="3"/>
  <c r="D1331" i="3"/>
  <c r="AQ1330" i="3"/>
  <c r="AP1330" i="3"/>
  <c r="AO1330" i="3"/>
  <c r="AN1330" i="3"/>
  <c r="AM1330" i="3"/>
  <c r="AL1330" i="3"/>
  <c r="L1330" i="3"/>
  <c r="D1330" i="3"/>
  <c r="AQ1329" i="3"/>
  <c r="AP1329" i="3"/>
  <c r="AO1329" i="3"/>
  <c r="AN1329" i="3"/>
  <c r="AM1329" i="3"/>
  <c r="AL1329" i="3"/>
  <c r="L1329" i="3"/>
  <c r="D1329" i="3"/>
  <c r="AQ1328" i="3"/>
  <c r="AP1328" i="3"/>
  <c r="AO1328" i="3"/>
  <c r="AN1328" i="3"/>
  <c r="AM1328" i="3"/>
  <c r="AL1328" i="3"/>
  <c r="L1328" i="3"/>
  <c r="D1328" i="3"/>
  <c r="AQ1327" i="3"/>
  <c r="AP1327" i="3"/>
  <c r="AO1327" i="3"/>
  <c r="AN1327" i="3"/>
  <c r="AM1327" i="3"/>
  <c r="AL1327" i="3"/>
  <c r="L1327" i="3"/>
  <c r="D1327" i="3"/>
  <c r="AQ1326" i="3"/>
  <c r="AP1326" i="3"/>
  <c r="AO1326" i="3"/>
  <c r="AN1326" i="3"/>
  <c r="AM1326" i="3"/>
  <c r="AL1326" i="3"/>
  <c r="L1326" i="3"/>
  <c r="D1326" i="3"/>
  <c r="L1325" i="3"/>
  <c r="D1325" i="3"/>
  <c r="L1324" i="3"/>
  <c r="D1324" i="3"/>
  <c r="L1323" i="3"/>
  <c r="D1323" i="3"/>
  <c r="AQ1322" i="3"/>
  <c r="AP1322" i="3"/>
  <c r="AO1322" i="3"/>
  <c r="AN1322" i="3"/>
  <c r="AM1322" i="3"/>
  <c r="AL1322" i="3"/>
  <c r="L1322" i="3"/>
  <c r="D1322" i="3"/>
  <c r="AQ1321" i="3"/>
  <c r="AP1321" i="3"/>
  <c r="AO1321" i="3"/>
  <c r="AN1321" i="3"/>
  <c r="AM1321" i="3"/>
  <c r="AL1321" i="3"/>
  <c r="L1321" i="3"/>
  <c r="D1321" i="3"/>
  <c r="AQ1320" i="3"/>
  <c r="AP1320" i="3"/>
  <c r="AO1320" i="3"/>
  <c r="AN1320" i="3"/>
  <c r="AM1320" i="3"/>
  <c r="AL1320" i="3"/>
  <c r="L1320" i="3"/>
  <c r="D1320" i="3"/>
  <c r="AQ1319" i="3"/>
  <c r="AP1319" i="3"/>
  <c r="AO1319" i="3"/>
  <c r="AN1319" i="3"/>
  <c r="AM1319" i="3"/>
  <c r="AL1319" i="3"/>
  <c r="L1319" i="3"/>
  <c r="D1319" i="3"/>
  <c r="AQ1318" i="3"/>
  <c r="AP1318" i="3"/>
  <c r="AO1318" i="3"/>
  <c r="AN1318" i="3"/>
  <c r="AM1318" i="3"/>
  <c r="AL1318" i="3"/>
  <c r="L1318" i="3"/>
  <c r="D1318" i="3"/>
  <c r="AQ1317" i="3"/>
  <c r="AP1317" i="3"/>
  <c r="AO1317" i="3"/>
  <c r="AN1317" i="3"/>
  <c r="AM1317" i="3"/>
  <c r="AL1317" i="3"/>
  <c r="L1317" i="3"/>
  <c r="D1317" i="3"/>
  <c r="AQ1316" i="3"/>
  <c r="AP1316" i="3"/>
  <c r="AO1316" i="3"/>
  <c r="AN1316" i="3"/>
  <c r="AM1316" i="3"/>
  <c r="AL1316" i="3"/>
  <c r="L1316" i="3"/>
  <c r="D1316" i="3"/>
  <c r="L1315" i="3"/>
  <c r="D1315" i="3"/>
  <c r="AQ1314" i="3"/>
  <c r="AP1314" i="3"/>
  <c r="AO1314" i="3"/>
  <c r="AN1314" i="3"/>
  <c r="AM1314" i="3"/>
  <c r="AL1314" i="3"/>
  <c r="L1314" i="3"/>
  <c r="D1314" i="3"/>
  <c r="AQ1313" i="3"/>
  <c r="AP1313" i="3"/>
  <c r="AO1313" i="3"/>
  <c r="AN1313" i="3"/>
  <c r="AM1313" i="3"/>
  <c r="AL1313" i="3"/>
  <c r="L1313" i="3"/>
  <c r="D1313" i="3"/>
  <c r="L1312" i="3"/>
  <c r="D1312" i="3"/>
  <c r="AQ1311" i="3"/>
  <c r="AP1311" i="3"/>
  <c r="AO1311" i="3"/>
  <c r="AN1311" i="3"/>
  <c r="AM1311" i="3"/>
  <c r="AL1311" i="3"/>
  <c r="L1311" i="3"/>
  <c r="D1311" i="3"/>
  <c r="AQ1310" i="3"/>
  <c r="AP1310" i="3"/>
  <c r="AO1310" i="3"/>
  <c r="AN1310" i="3"/>
  <c r="AM1310" i="3"/>
  <c r="AL1310" i="3"/>
  <c r="L1310" i="3"/>
  <c r="D1310" i="3"/>
  <c r="L1309" i="3"/>
  <c r="D1309" i="3"/>
  <c r="L1308" i="3"/>
  <c r="D1308" i="3"/>
  <c r="AQ1307" i="3"/>
  <c r="AP1307" i="3"/>
  <c r="AO1307" i="3"/>
  <c r="AN1307" i="3"/>
  <c r="AM1307" i="3"/>
  <c r="AL1307" i="3"/>
  <c r="L1307" i="3"/>
  <c r="D1307" i="3"/>
  <c r="AQ1306" i="3"/>
  <c r="AP1306" i="3"/>
  <c r="AO1306" i="3"/>
  <c r="AN1306" i="3"/>
  <c r="AM1306" i="3"/>
  <c r="AL1306" i="3"/>
  <c r="L1306" i="3"/>
  <c r="D1306" i="3"/>
  <c r="L1305" i="3"/>
  <c r="D1305" i="3"/>
  <c r="L1304" i="3"/>
  <c r="D1304" i="3"/>
  <c r="AQ1303" i="3"/>
  <c r="AP1303" i="3"/>
  <c r="AO1303" i="3"/>
  <c r="AN1303" i="3"/>
  <c r="AM1303" i="3"/>
  <c r="AL1303" i="3"/>
  <c r="L1303" i="3"/>
  <c r="D1303" i="3"/>
  <c r="AQ1302" i="3"/>
  <c r="AP1302" i="3"/>
  <c r="AO1302" i="3"/>
  <c r="AN1302" i="3"/>
  <c r="AM1302" i="3"/>
  <c r="AL1302" i="3"/>
  <c r="L1302" i="3"/>
  <c r="D1302" i="3"/>
  <c r="AQ1301" i="3"/>
  <c r="AP1301" i="3"/>
  <c r="AO1301" i="3"/>
  <c r="AN1301" i="3"/>
  <c r="AM1301" i="3"/>
  <c r="AL1301" i="3"/>
  <c r="L1301" i="3"/>
  <c r="D1301" i="3"/>
  <c r="AQ1300" i="3"/>
  <c r="AP1300" i="3"/>
  <c r="AO1300" i="3"/>
  <c r="AN1300" i="3"/>
  <c r="AM1300" i="3"/>
  <c r="AL1300" i="3"/>
  <c r="L1300" i="3"/>
  <c r="D1300" i="3"/>
  <c r="AQ1299" i="3"/>
  <c r="AP1299" i="3"/>
  <c r="AO1299" i="3"/>
  <c r="AN1299" i="3"/>
  <c r="AM1299" i="3"/>
  <c r="AL1299" i="3"/>
  <c r="L1299" i="3"/>
  <c r="D1299" i="3"/>
  <c r="AQ1298" i="3"/>
  <c r="AP1298" i="3"/>
  <c r="AO1298" i="3"/>
  <c r="AN1298" i="3"/>
  <c r="AM1298" i="3"/>
  <c r="AL1298" i="3"/>
  <c r="L1298" i="3"/>
  <c r="D1298" i="3"/>
  <c r="AQ1297" i="3"/>
  <c r="AP1297" i="3"/>
  <c r="AO1297" i="3"/>
  <c r="AN1297" i="3"/>
  <c r="AM1297" i="3"/>
  <c r="AL1297" i="3"/>
  <c r="L1297" i="3"/>
  <c r="D1297" i="3"/>
  <c r="AQ1296" i="3"/>
  <c r="AP1296" i="3"/>
  <c r="AO1296" i="3"/>
  <c r="AN1296" i="3"/>
  <c r="AM1296" i="3"/>
  <c r="AL1296" i="3"/>
  <c r="L1296" i="3"/>
  <c r="D1296" i="3"/>
  <c r="AQ1295" i="3"/>
  <c r="AP1295" i="3"/>
  <c r="AO1295" i="3"/>
  <c r="AN1295" i="3"/>
  <c r="AM1295" i="3"/>
  <c r="AL1295" i="3"/>
  <c r="L1295" i="3"/>
  <c r="D1295" i="3"/>
  <c r="AQ1294" i="3"/>
  <c r="AP1294" i="3"/>
  <c r="AO1294" i="3"/>
  <c r="AN1294" i="3"/>
  <c r="AM1294" i="3"/>
  <c r="AL1294" i="3"/>
  <c r="L1294" i="3"/>
  <c r="D1294" i="3"/>
  <c r="AQ1293" i="3"/>
  <c r="AP1293" i="3"/>
  <c r="AO1293" i="3"/>
  <c r="AN1293" i="3"/>
  <c r="AM1293" i="3"/>
  <c r="AL1293" i="3"/>
  <c r="L1293" i="3"/>
  <c r="D1293" i="3"/>
  <c r="L1292" i="3"/>
  <c r="D1292" i="3"/>
  <c r="AQ1291" i="3"/>
  <c r="AP1291" i="3"/>
  <c r="AO1291" i="3"/>
  <c r="AN1291" i="3"/>
  <c r="AM1291" i="3"/>
  <c r="AL1291" i="3"/>
  <c r="L1291" i="3"/>
  <c r="D1291" i="3"/>
  <c r="L1290" i="3"/>
  <c r="D1290" i="3"/>
  <c r="AQ1289" i="3"/>
  <c r="AP1289" i="3"/>
  <c r="AO1289" i="3"/>
  <c r="AN1289" i="3"/>
  <c r="AM1289" i="3"/>
  <c r="AL1289" i="3"/>
  <c r="L1289" i="3"/>
  <c r="D1289" i="3"/>
  <c r="AQ1288" i="3"/>
  <c r="AP1288" i="3"/>
  <c r="AO1288" i="3"/>
  <c r="AN1288" i="3"/>
  <c r="AM1288" i="3"/>
  <c r="AL1288" i="3"/>
  <c r="L1288" i="3"/>
  <c r="D1288" i="3"/>
  <c r="AQ1287" i="3"/>
  <c r="AP1287" i="3"/>
  <c r="AO1287" i="3"/>
  <c r="AN1287" i="3"/>
  <c r="AM1287" i="3"/>
  <c r="AL1287" i="3"/>
  <c r="L1287" i="3"/>
  <c r="D1287" i="3"/>
  <c r="AQ1286" i="3"/>
  <c r="AP1286" i="3"/>
  <c r="AO1286" i="3"/>
  <c r="AN1286" i="3"/>
  <c r="AM1286" i="3"/>
  <c r="AL1286" i="3"/>
  <c r="L1286" i="3"/>
  <c r="D1286" i="3"/>
  <c r="AQ1285" i="3"/>
  <c r="AP1285" i="3"/>
  <c r="AO1285" i="3"/>
  <c r="AN1285" i="3"/>
  <c r="AM1285" i="3"/>
  <c r="AL1285" i="3"/>
  <c r="L1285" i="3"/>
  <c r="D1285" i="3"/>
  <c r="L1284" i="3"/>
  <c r="D1284" i="3"/>
  <c r="AQ1283" i="3"/>
  <c r="AP1283" i="3"/>
  <c r="AO1283" i="3"/>
  <c r="AN1283" i="3"/>
  <c r="AM1283" i="3"/>
  <c r="AL1283" i="3"/>
  <c r="L1283" i="3"/>
  <c r="D1283" i="3"/>
  <c r="AQ1282" i="3"/>
  <c r="AP1282" i="3"/>
  <c r="AO1282" i="3"/>
  <c r="AN1282" i="3"/>
  <c r="AM1282" i="3"/>
  <c r="AL1282" i="3"/>
  <c r="L1282" i="3"/>
  <c r="D1282" i="3"/>
  <c r="L1281" i="3"/>
  <c r="D1281" i="3"/>
  <c r="AQ1280" i="3"/>
  <c r="AP1280" i="3"/>
  <c r="AO1280" i="3"/>
  <c r="AN1280" i="3"/>
  <c r="AM1280" i="3"/>
  <c r="AL1280" i="3"/>
  <c r="L1280" i="3"/>
  <c r="D1280" i="3"/>
  <c r="AQ1279" i="3"/>
  <c r="AP1279" i="3"/>
  <c r="AO1279" i="3"/>
  <c r="AN1279" i="3"/>
  <c r="AM1279" i="3"/>
  <c r="AL1279" i="3"/>
  <c r="L1279" i="3"/>
  <c r="D1279" i="3"/>
  <c r="AQ1278" i="3"/>
  <c r="AP1278" i="3"/>
  <c r="AO1278" i="3"/>
  <c r="AN1278" i="3"/>
  <c r="AM1278" i="3"/>
  <c r="AL1278" i="3"/>
  <c r="L1278" i="3"/>
  <c r="D1278" i="3"/>
  <c r="AQ1277" i="3"/>
  <c r="AP1277" i="3"/>
  <c r="AO1277" i="3"/>
  <c r="AN1277" i="3"/>
  <c r="AM1277" i="3"/>
  <c r="AL1277" i="3"/>
  <c r="L1277" i="3"/>
  <c r="D1277" i="3"/>
  <c r="AQ1276" i="3"/>
  <c r="AP1276" i="3"/>
  <c r="AO1276" i="3"/>
  <c r="AN1276" i="3"/>
  <c r="AM1276" i="3"/>
  <c r="AL1276" i="3"/>
  <c r="L1276" i="3"/>
  <c r="D1276" i="3"/>
  <c r="AQ1275" i="3"/>
  <c r="AP1275" i="3"/>
  <c r="AO1275" i="3"/>
  <c r="AN1275" i="3"/>
  <c r="AM1275" i="3"/>
  <c r="AL1275" i="3"/>
  <c r="L1275" i="3"/>
  <c r="D1275" i="3"/>
  <c r="AQ1274" i="3"/>
  <c r="AP1274" i="3"/>
  <c r="AO1274" i="3"/>
  <c r="AN1274" i="3"/>
  <c r="AM1274" i="3"/>
  <c r="AL1274" i="3"/>
  <c r="L1274" i="3"/>
  <c r="D1274" i="3"/>
  <c r="AQ1273" i="3"/>
  <c r="AP1273" i="3"/>
  <c r="AO1273" i="3"/>
  <c r="AN1273" i="3"/>
  <c r="AM1273" i="3"/>
  <c r="AL1273" i="3"/>
  <c r="L1273" i="3"/>
  <c r="D1273" i="3"/>
  <c r="AQ1272" i="3"/>
  <c r="AP1272" i="3"/>
  <c r="AO1272" i="3"/>
  <c r="AN1272" i="3"/>
  <c r="AM1272" i="3"/>
  <c r="AL1272" i="3"/>
  <c r="L1272" i="3"/>
  <c r="D1272" i="3"/>
  <c r="AQ1271" i="3"/>
  <c r="AP1271" i="3"/>
  <c r="AO1271" i="3"/>
  <c r="AN1271" i="3"/>
  <c r="AM1271" i="3"/>
  <c r="AL1271" i="3"/>
  <c r="L1271" i="3"/>
  <c r="D1271" i="3"/>
  <c r="AQ1270" i="3"/>
  <c r="AP1270" i="3"/>
  <c r="AO1270" i="3"/>
  <c r="AN1270" i="3"/>
  <c r="AM1270" i="3"/>
  <c r="AL1270" i="3"/>
  <c r="L1270" i="3"/>
  <c r="D1270" i="3"/>
  <c r="L1269" i="3"/>
  <c r="D1269" i="3"/>
  <c r="AQ1268" i="3"/>
  <c r="AP1268" i="3"/>
  <c r="AO1268" i="3"/>
  <c r="AN1268" i="3"/>
  <c r="AM1268" i="3"/>
  <c r="AL1268" i="3"/>
  <c r="L1268" i="3"/>
  <c r="D1268" i="3"/>
  <c r="AQ1267" i="3"/>
  <c r="AP1267" i="3"/>
  <c r="AO1267" i="3"/>
  <c r="AN1267" i="3"/>
  <c r="AM1267" i="3"/>
  <c r="AL1267" i="3"/>
  <c r="L1267" i="3"/>
  <c r="D1267" i="3"/>
  <c r="AQ1266" i="3"/>
  <c r="AP1266" i="3"/>
  <c r="AO1266" i="3"/>
  <c r="AN1266" i="3"/>
  <c r="AM1266" i="3"/>
  <c r="AL1266" i="3"/>
  <c r="L1266" i="3"/>
  <c r="D1266" i="3"/>
  <c r="AQ1265" i="3"/>
  <c r="AP1265" i="3"/>
  <c r="AO1265" i="3"/>
  <c r="AN1265" i="3"/>
  <c r="AM1265" i="3"/>
  <c r="AL1265" i="3"/>
  <c r="L1265" i="3"/>
  <c r="D1265" i="3"/>
  <c r="AQ1264" i="3"/>
  <c r="AP1264" i="3"/>
  <c r="AO1264" i="3"/>
  <c r="AN1264" i="3"/>
  <c r="AM1264" i="3"/>
  <c r="AL1264" i="3"/>
  <c r="L1264" i="3"/>
  <c r="D1264" i="3"/>
  <c r="AQ1263" i="3"/>
  <c r="AP1263" i="3"/>
  <c r="AO1263" i="3"/>
  <c r="AN1263" i="3"/>
  <c r="AM1263" i="3"/>
  <c r="AL1263" i="3"/>
  <c r="L1263" i="3"/>
  <c r="D1263" i="3"/>
  <c r="AQ1262" i="3"/>
  <c r="AP1262" i="3"/>
  <c r="AO1262" i="3"/>
  <c r="AN1262" i="3"/>
  <c r="AM1262" i="3"/>
  <c r="AL1262" i="3"/>
  <c r="L1262" i="3"/>
  <c r="D1262" i="3"/>
  <c r="AQ1261" i="3"/>
  <c r="AP1261" i="3"/>
  <c r="AO1261" i="3"/>
  <c r="AN1261" i="3"/>
  <c r="AM1261" i="3"/>
  <c r="AL1261" i="3"/>
  <c r="L1261" i="3"/>
  <c r="D1261" i="3"/>
  <c r="L1260" i="3"/>
  <c r="D1260" i="3"/>
  <c r="L1259" i="3"/>
  <c r="D1259" i="3"/>
  <c r="AQ1258" i="3"/>
  <c r="AP1258" i="3"/>
  <c r="AO1258" i="3"/>
  <c r="AN1258" i="3"/>
  <c r="AM1258" i="3"/>
  <c r="AL1258" i="3"/>
  <c r="L1258" i="3"/>
  <c r="D1258" i="3"/>
  <c r="L1257" i="3"/>
  <c r="D1257" i="3"/>
  <c r="AQ1256" i="3"/>
  <c r="AP1256" i="3"/>
  <c r="AO1256" i="3"/>
  <c r="AN1256" i="3"/>
  <c r="AM1256" i="3"/>
  <c r="AL1256" i="3"/>
  <c r="L1256" i="3"/>
  <c r="D1256" i="3"/>
  <c r="AQ1255" i="3"/>
  <c r="AP1255" i="3"/>
  <c r="AO1255" i="3"/>
  <c r="AN1255" i="3"/>
  <c r="AM1255" i="3"/>
  <c r="AL1255" i="3"/>
  <c r="L1255" i="3"/>
  <c r="D1255" i="3"/>
  <c r="AQ1254" i="3"/>
  <c r="AP1254" i="3"/>
  <c r="AO1254" i="3"/>
  <c r="AN1254" i="3"/>
  <c r="AM1254" i="3"/>
  <c r="AL1254" i="3"/>
  <c r="L1254" i="3"/>
  <c r="D1254" i="3"/>
  <c r="AQ1253" i="3"/>
  <c r="AP1253" i="3"/>
  <c r="AO1253" i="3"/>
  <c r="AN1253" i="3"/>
  <c r="AM1253" i="3"/>
  <c r="AL1253" i="3"/>
  <c r="L1253" i="3"/>
  <c r="D1253" i="3"/>
  <c r="AQ1252" i="3"/>
  <c r="AP1252" i="3"/>
  <c r="AO1252" i="3"/>
  <c r="AN1252" i="3"/>
  <c r="AM1252" i="3"/>
  <c r="AL1252" i="3"/>
  <c r="L1252" i="3"/>
  <c r="D1252" i="3"/>
  <c r="AQ1251" i="3"/>
  <c r="AP1251" i="3"/>
  <c r="AO1251" i="3"/>
  <c r="AN1251" i="3"/>
  <c r="AM1251" i="3"/>
  <c r="AL1251" i="3"/>
  <c r="L1251" i="3"/>
  <c r="D1251" i="3"/>
  <c r="AQ1250" i="3"/>
  <c r="AP1250" i="3"/>
  <c r="AO1250" i="3"/>
  <c r="AN1250" i="3"/>
  <c r="AM1250" i="3"/>
  <c r="AL1250" i="3"/>
  <c r="L1250" i="3"/>
  <c r="D1250" i="3"/>
  <c r="AQ1249" i="3"/>
  <c r="AP1249" i="3"/>
  <c r="AO1249" i="3"/>
  <c r="AN1249" i="3"/>
  <c r="AM1249" i="3"/>
  <c r="AL1249" i="3"/>
  <c r="L1249" i="3"/>
  <c r="D1249" i="3"/>
  <c r="AQ1248" i="3"/>
  <c r="AP1248" i="3"/>
  <c r="AO1248" i="3"/>
  <c r="AN1248" i="3"/>
  <c r="AM1248" i="3"/>
  <c r="AL1248" i="3"/>
  <c r="L1248" i="3"/>
  <c r="D1248" i="3"/>
  <c r="AQ1247" i="3"/>
  <c r="AP1247" i="3"/>
  <c r="AO1247" i="3"/>
  <c r="AN1247" i="3"/>
  <c r="AM1247" i="3"/>
  <c r="AL1247" i="3"/>
  <c r="L1247" i="3"/>
  <c r="D1247" i="3"/>
  <c r="AQ1246" i="3"/>
  <c r="AP1246" i="3"/>
  <c r="AO1246" i="3"/>
  <c r="AN1246" i="3"/>
  <c r="AM1246" i="3"/>
  <c r="AL1246" i="3"/>
  <c r="L1246" i="3"/>
  <c r="D1246" i="3"/>
  <c r="AQ1245" i="3"/>
  <c r="AP1245" i="3"/>
  <c r="AO1245" i="3"/>
  <c r="AN1245" i="3"/>
  <c r="AM1245" i="3"/>
  <c r="AL1245" i="3"/>
  <c r="L1245" i="3"/>
  <c r="D1245" i="3"/>
  <c r="AQ1244" i="3"/>
  <c r="AP1244" i="3"/>
  <c r="AO1244" i="3"/>
  <c r="AN1244" i="3"/>
  <c r="AM1244" i="3"/>
  <c r="AL1244" i="3"/>
  <c r="L1244" i="3"/>
  <c r="D1244" i="3"/>
  <c r="AQ1243" i="3"/>
  <c r="AP1243" i="3"/>
  <c r="AO1243" i="3"/>
  <c r="AN1243" i="3"/>
  <c r="AM1243" i="3"/>
  <c r="AL1243" i="3"/>
  <c r="L1243" i="3"/>
  <c r="D1243" i="3"/>
  <c r="L1242" i="3"/>
  <c r="D1242" i="3"/>
  <c r="AQ1241" i="3"/>
  <c r="AP1241" i="3"/>
  <c r="AO1241" i="3"/>
  <c r="AN1241" i="3"/>
  <c r="AM1241" i="3"/>
  <c r="AL1241" i="3"/>
  <c r="L1241" i="3"/>
  <c r="D1241" i="3"/>
  <c r="AQ1240" i="3"/>
  <c r="AP1240" i="3"/>
  <c r="AO1240" i="3"/>
  <c r="AN1240" i="3"/>
  <c r="AM1240" i="3"/>
  <c r="AL1240" i="3"/>
  <c r="L1240" i="3"/>
  <c r="D1240" i="3"/>
  <c r="AQ1239" i="3"/>
  <c r="AP1239" i="3"/>
  <c r="AO1239" i="3"/>
  <c r="AN1239" i="3"/>
  <c r="AM1239" i="3"/>
  <c r="AL1239" i="3"/>
  <c r="L1239" i="3"/>
  <c r="D1239" i="3"/>
  <c r="L1238" i="3"/>
  <c r="D1238" i="3"/>
  <c r="AQ1237" i="3"/>
  <c r="AP1237" i="3"/>
  <c r="AO1237" i="3"/>
  <c r="AN1237" i="3"/>
  <c r="AM1237" i="3"/>
  <c r="AL1237" i="3"/>
  <c r="L1237" i="3"/>
  <c r="D1237" i="3"/>
  <c r="AQ1236" i="3"/>
  <c r="AP1236" i="3"/>
  <c r="AO1236" i="3"/>
  <c r="AN1236" i="3"/>
  <c r="AM1236" i="3"/>
  <c r="AL1236" i="3"/>
  <c r="L1236" i="3"/>
  <c r="D1236" i="3"/>
  <c r="AQ1235" i="3"/>
  <c r="AP1235" i="3"/>
  <c r="AO1235" i="3"/>
  <c r="AN1235" i="3"/>
  <c r="AM1235" i="3"/>
  <c r="AL1235" i="3"/>
  <c r="L1235" i="3"/>
  <c r="D1235" i="3"/>
  <c r="L1234" i="3"/>
  <c r="D1234" i="3"/>
  <c r="AQ1233" i="3"/>
  <c r="AP1233" i="3"/>
  <c r="AO1233" i="3"/>
  <c r="AN1233" i="3"/>
  <c r="AM1233" i="3"/>
  <c r="AL1233" i="3"/>
  <c r="L1233" i="3"/>
  <c r="D1233" i="3"/>
  <c r="AQ1232" i="3"/>
  <c r="AP1232" i="3"/>
  <c r="AO1232" i="3"/>
  <c r="AN1232" i="3"/>
  <c r="AM1232" i="3"/>
  <c r="AL1232" i="3"/>
  <c r="L1232" i="3"/>
  <c r="D1232" i="3"/>
  <c r="AQ1231" i="3"/>
  <c r="AP1231" i="3"/>
  <c r="AO1231" i="3"/>
  <c r="AN1231" i="3"/>
  <c r="AM1231" i="3"/>
  <c r="AL1231" i="3"/>
  <c r="L1231" i="3"/>
  <c r="D1231" i="3"/>
  <c r="AQ1230" i="3"/>
  <c r="AP1230" i="3"/>
  <c r="AO1230" i="3"/>
  <c r="AN1230" i="3"/>
  <c r="AM1230" i="3"/>
  <c r="AL1230" i="3"/>
  <c r="L1230" i="3"/>
  <c r="D1230" i="3"/>
  <c r="L1229" i="3"/>
  <c r="D1229" i="3"/>
  <c r="AQ1228" i="3"/>
  <c r="AP1228" i="3"/>
  <c r="AO1228" i="3"/>
  <c r="AN1228" i="3"/>
  <c r="AM1228" i="3"/>
  <c r="AL1228" i="3"/>
  <c r="L1228" i="3"/>
  <c r="D1228" i="3"/>
  <c r="AQ1227" i="3"/>
  <c r="AP1227" i="3"/>
  <c r="AO1227" i="3"/>
  <c r="AN1227" i="3"/>
  <c r="AM1227" i="3"/>
  <c r="AL1227" i="3"/>
  <c r="L1227" i="3"/>
  <c r="D1227" i="3"/>
  <c r="AQ1226" i="3"/>
  <c r="AP1226" i="3"/>
  <c r="AO1226" i="3"/>
  <c r="AN1226" i="3"/>
  <c r="AM1226" i="3"/>
  <c r="AL1226" i="3"/>
  <c r="L1226" i="3"/>
  <c r="D1226" i="3"/>
  <c r="L1225" i="3"/>
  <c r="D1225" i="3"/>
  <c r="AQ1224" i="3"/>
  <c r="AP1224" i="3"/>
  <c r="AO1224" i="3"/>
  <c r="AN1224" i="3"/>
  <c r="AM1224" i="3"/>
  <c r="AL1224" i="3"/>
  <c r="L1224" i="3"/>
  <c r="D1224" i="3"/>
  <c r="L1223" i="3"/>
  <c r="D1223" i="3"/>
  <c r="AQ1222" i="3"/>
  <c r="AP1222" i="3"/>
  <c r="AO1222" i="3"/>
  <c r="AN1222" i="3"/>
  <c r="AM1222" i="3"/>
  <c r="AL1222" i="3"/>
  <c r="L1222" i="3"/>
  <c r="D1222" i="3"/>
  <c r="AQ1221" i="3"/>
  <c r="AP1221" i="3"/>
  <c r="AO1221" i="3"/>
  <c r="AN1221" i="3"/>
  <c r="AM1221" i="3"/>
  <c r="AL1221" i="3"/>
  <c r="L1221" i="3"/>
  <c r="D1221" i="3"/>
  <c r="AQ1220" i="3"/>
  <c r="AP1220" i="3"/>
  <c r="AO1220" i="3"/>
  <c r="AN1220" i="3"/>
  <c r="AM1220" i="3"/>
  <c r="AL1220" i="3"/>
  <c r="L1220" i="3"/>
  <c r="D1220" i="3"/>
  <c r="AQ1219" i="3"/>
  <c r="AP1219" i="3"/>
  <c r="AO1219" i="3"/>
  <c r="AN1219" i="3"/>
  <c r="AM1219" i="3"/>
  <c r="AL1219" i="3"/>
  <c r="L1219" i="3"/>
  <c r="D1219" i="3"/>
  <c r="AQ1218" i="3"/>
  <c r="AP1218" i="3"/>
  <c r="AO1218" i="3"/>
  <c r="AN1218" i="3"/>
  <c r="AM1218" i="3"/>
  <c r="AL1218" i="3"/>
  <c r="L1218" i="3"/>
  <c r="D1218" i="3"/>
  <c r="AQ1217" i="3"/>
  <c r="AP1217" i="3"/>
  <c r="AO1217" i="3"/>
  <c r="AN1217" i="3"/>
  <c r="AM1217" i="3"/>
  <c r="AL1217" i="3"/>
  <c r="L1217" i="3"/>
  <c r="D1217" i="3"/>
  <c r="AQ1216" i="3"/>
  <c r="AP1216" i="3"/>
  <c r="AO1216" i="3"/>
  <c r="AN1216" i="3"/>
  <c r="AM1216" i="3"/>
  <c r="AL1216" i="3"/>
  <c r="L1216" i="3"/>
  <c r="D1216" i="3"/>
  <c r="AQ1215" i="3"/>
  <c r="AP1215" i="3"/>
  <c r="AO1215" i="3"/>
  <c r="AN1215" i="3"/>
  <c r="AM1215" i="3"/>
  <c r="AL1215" i="3"/>
  <c r="L1215" i="3"/>
  <c r="D1215" i="3"/>
  <c r="AQ1214" i="3"/>
  <c r="AP1214" i="3"/>
  <c r="AO1214" i="3"/>
  <c r="AN1214" i="3"/>
  <c r="AM1214" i="3"/>
  <c r="AL1214" i="3"/>
  <c r="L1214" i="3"/>
  <c r="D1214" i="3"/>
  <c r="AQ1213" i="3"/>
  <c r="AP1213" i="3"/>
  <c r="AO1213" i="3"/>
  <c r="AN1213" i="3"/>
  <c r="AM1213" i="3"/>
  <c r="AL1213" i="3"/>
  <c r="L1213" i="3"/>
  <c r="D1213" i="3"/>
  <c r="AQ1212" i="3"/>
  <c r="AP1212" i="3"/>
  <c r="AO1212" i="3"/>
  <c r="AN1212" i="3"/>
  <c r="AM1212" i="3"/>
  <c r="AL1212" i="3"/>
  <c r="L1212" i="3"/>
  <c r="D1212" i="3"/>
  <c r="AQ1211" i="3"/>
  <c r="AP1211" i="3"/>
  <c r="AO1211" i="3"/>
  <c r="AN1211" i="3"/>
  <c r="AM1211" i="3"/>
  <c r="AL1211" i="3"/>
  <c r="L1211" i="3"/>
  <c r="D1211" i="3"/>
  <c r="L1210" i="3"/>
  <c r="D1210" i="3"/>
  <c r="L1209" i="3"/>
  <c r="D1209" i="3"/>
  <c r="AQ1208" i="3"/>
  <c r="AP1208" i="3"/>
  <c r="AO1208" i="3"/>
  <c r="AN1208" i="3"/>
  <c r="AM1208" i="3"/>
  <c r="AL1208" i="3"/>
  <c r="L1208" i="3"/>
  <c r="D1208" i="3"/>
  <c r="L1207" i="3"/>
  <c r="D1207" i="3"/>
  <c r="AQ1206" i="3"/>
  <c r="AP1206" i="3"/>
  <c r="AO1206" i="3"/>
  <c r="AN1206" i="3"/>
  <c r="AM1206" i="3"/>
  <c r="AL1206" i="3"/>
  <c r="L1206" i="3"/>
  <c r="D1206" i="3"/>
  <c r="AQ1205" i="3"/>
  <c r="AP1205" i="3"/>
  <c r="AO1205" i="3"/>
  <c r="AN1205" i="3"/>
  <c r="AM1205" i="3"/>
  <c r="AL1205" i="3"/>
  <c r="L1205" i="3"/>
  <c r="D1205" i="3"/>
  <c r="AQ1204" i="3"/>
  <c r="AP1204" i="3"/>
  <c r="AO1204" i="3"/>
  <c r="AN1204" i="3"/>
  <c r="AM1204" i="3"/>
  <c r="AL1204" i="3"/>
  <c r="L1204" i="3"/>
  <c r="D1204" i="3"/>
  <c r="AQ1203" i="3"/>
  <c r="AP1203" i="3"/>
  <c r="AO1203" i="3"/>
  <c r="AN1203" i="3"/>
  <c r="AM1203" i="3"/>
  <c r="AL1203" i="3"/>
  <c r="L1203" i="3"/>
  <c r="D1203" i="3"/>
  <c r="AQ1202" i="3"/>
  <c r="AP1202" i="3"/>
  <c r="AO1202" i="3"/>
  <c r="AN1202" i="3"/>
  <c r="AM1202" i="3"/>
  <c r="AL1202" i="3"/>
  <c r="L1202" i="3"/>
  <c r="D1202" i="3"/>
  <c r="AQ1201" i="3"/>
  <c r="AP1201" i="3"/>
  <c r="AO1201" i="3"/>
  <c r="AN1201" i="3"/>
  <c r="AM1201" i="3"/>
  <c r="AL1201" i="3"/>
  <c r="L1201" i="3"/>
  <c r="D1201" i="3"/>
  <c r="L1200" i="3"/>
  <c r="D1200" i="3"/>
  <c r="AQ1199" i="3"/>
  <c r="AP1199" i="3"/>
  <c r="AO1199" i="3"/>
  <c r="AN1199" i="3"/>
  <c r="AM1199" i="3"/>
  <c r="AL1199" i="3"/>
  <c r="L1199" i="3"/>
  <c r="D1199" i="3"/>
  <c r="AQ1198" i="3"/>
  <c r="AP1198" i="3"/>
  <c r="AO1198" i="3"/>
  <c r="AN1198" i="3"/>
  <c r="AM1198" i="3"/>
  <c r="AL1198" i="3"/>
  <c r="L1198" i="3"/>
  <c r="D1198" i="3"/>
  <c r="AQ1197" i="3"/>
  <c r="AP1197" i="3"/>
  <c r="AO1197" i="3"/>
  <c r="AN1197" i="3"/>
  <c r="AM1197" i="3"/>
  <c r="AL1197" i="3"/>
  <c r="L1197" i="3"/>
  <c r="D1197" i="3"/>
  <c r="AQ1196" i="3"/>
  <c r="AP1196" i="3"/>
  <c r="AO1196" i="3"/>
  <c r="AN1196" i="3"/>
  <c r="AM1196" i="3"/>
  <c r="AL1196" i="3"/>
  <c r="L1196" i="3"/>
  <c r="D1196" i="3"/>
  <c r="L1195" i="3"/>
  <c r="D1195" i="3"/>
  <c r="AQ1194" i="3"/>
  <c r="AP1194" i="3"/>
  <c r="AO1194" i="3"/>
  <c r="AN1194" i="3"/>
  <c r="AM1194" i="3"/>
  <c r="AL1194" i="3"/>
  <c r="L1194" i="3"/>
  <c r="D1194" i="3"/>
  <c r="AQ1193" i="3"/>
  <c r="AP1193" i="3"/>
  <c r="AO1193" i="3"/>
  <c r="AN1193" i="3"/>
  <c r="AM1193" i="3"/>
  <c r="AL1193" i="3"/>
  <c r="L1193" i="3"/>
  <c r="D1193" i="3"/>
  <c r="AQ1192" i="3"/>
  <c r="AP1192" i="3"/>
  <c r="AO1192" i="3"/>
  <c r="AN1192" i="3"/>
  <c r="AM1192" i="3"/>
  <c r="AL1192" i="3"/>
  <c r="L1192" i="3"/>
  <c r="D1192" i="3"/>
  <c r="AQ1191" i="3"/>
  <c r="AP1191" i="3"/>
  <c r="AO1191" i="3"/>
  <c r="AN1191" i="3"/>
  <c r="AM1191" i="3"/>
  <c r="AL1191" i="3"/>
  <c r="L1191" i="3"/>
  <c r="D1191" i="3"/>
  <c r="AQ1190" i="3"/>
  <c r="AP1190" i="3"/>
  <c r="AO1190" i="3"/>
  <c r="AN1190" i="3"/>
  <c r="AM1190" i="3"/>
  <c r="AL1190" i="3"/>
  <c r="L1190" i="3"/>
  <c r="D1190" i="3"/>
  <c r="AQ1189" i="3"/>
  <c r="AP1189" i="3"/>
  <c r="AO1189" i="3"/>
  <c r="AN1189" i="3"/>
  <c r="AM1189" i="3"/>
  <c r="AL1189" i="3"/>
  <c r="L1189" i="3"/>
  <c r="D1189" i="3"/>
  <c r="L1188" i="3"/>
  <c r="D1188" i="3"/>
  <c r="L1187" i="3"/>
  <c r="D1187" i="3"/>
  <c r="AQ1186" i="3"/>
  <c r="AP1186" i="3"/>
  <c r="AO1186" i="3"/>
  <c r="AN1186" i="3"/>
  <c r="AM1186" i="3"/>
  <c r="AL1186" i="3"/>
  <c r="L1186" i="3"/>
  <c r="D1186" i="3"/>
  <c r="L1185" i="3"/>
  <c r="D1185" i="3"/>
  <c r="AQ1184" i="3"/>
  <c r="AP1184" i="3"/>
  <c r="AO1184" i="3"/>
  <c r="AN1184" i="3"/>
  <c r="AM1184" i="3"/>
  <c r="AL1184" i="3"/>
  <c r="L1184" i="3"/>
  <c r="D1184" i="3"/>
  <c r="AQ1183" i="3"/>
  <c r="AP1183" i="3"/>
  <c r="AO1183" i="3"/>
  <c r="AN1183" i="3"/>
  <c r="AM1183" i="3"/>
  <c r="AL1183" i="3"/>
  <c r="L1183" i="3"/>
  <c r="D1183" i="3"/>
  <c r="AQ1182" i="3"/>
  <c r="AP1182" i="3"/>
  <c r="AO1182" i="3"/>
  <c r="AN1182" i="3"/>
  <c r="AM1182" i="3"/>
  <c r="AL1182" i="3"/>
  <c r="L1182" i="3"/>
  <c r="D1182" i="3"/>
  <c r="AQ1181" i="3"/>
  <c r="AP1181" i="3"/>
  <c r="AO1181" i="3"/>
  <c r="AN1181" i="3"/>
  <c r="AM1181" i="3"/>
  <c r="AL1181" i="3"/>
  <c r="L1181" i="3"/>
  <c r="D1181" i="3"/>
  <c r="L1180" i="3"/>
  <c r="D1180" i="3"/>
  <c r="AQ1179" i="3"/>
  <c r="AP1179" i="3"/>
  <c r="AO1179" i="3"/>
  <c r="AN1179" i="3"/>
  <c r="AM1179" i="3"/>
  <c r="AL1179" i="3"/>
  <c r="L1179" i="3"/>
  <c r="D1179" i="3"/>
  <c r="L1178" i="3"/>
  <c r="D1178" i="3"/>
  <c r="AQ1177" i="3"/>
  <c r="AP1177" i="3"/>
  <c r="AO1177" i="3"/>
  <c r="AN1177" i="3"/>
  <c r="AM1177" i="3"/>
  <c r="AL1177" i="3"/>
  <c r="L1177" i="3"/>
  <c r="D1177" i="3"/>
  <c r="AQ1176" i="3"/>
  <c r="AP1176" i="3"/>
  <c r="AO1176" i="3"/>
  <c r="AN1176" i="3"/>
  <c r="AM1176" i="3"/>
  <c r="AL1176" i="3"/>
  <c r="L1176" i="3"/>
  <c r="D1176" i="3"/>
  <c r="AQ1175" i="3"/>
  <c r="AP1175" i="3"/>
  <c r="AO1175" i="3"/>
  <c r="AN1175" i="3"/>
  <c r="AM1175" i="3"/>
  <c r="AL1175" i="3"/>
  <c r="L1175" i="3"/>
  <c r="D1175" i="3"/>
  <c r="AQ1174" i="3"/>
  <c r="AP1174" i="3"/>
  <c r="AO1174" i="3"/>
  <c r="AN1174" i="3"/>
  <c r="AM1174" i="3"/>
  <c r="AL1174" i="3"/>
  <c r="L1174" i="3"/>
  <c r="D1174" i="3"/>
  <c r="AQ1173" i="3"/>
  <c r="AP1173" i="3"/>
  <c r="AO1173" i="3"/>
  <c r="AN1173" i="3"/>
  <c r="AM1173" i="3"/>
  <c r="AL1173" i="3"/>
  <c r="L1173" i="3"/>
  <c r="D1173" i="3"/>
  <c r="AQ1172" i="3"/>
  <c r="AP1172" i="3"/>
  <c r="AO1172" i="3"/>
  <c r="AN1172" i="3"/>
  <c r="AM1172" i="3"/>
  <c r="AL1172" i="3"/>
  <c r="L1172" i="3"/>
  <c r="D1172" i="3"/>
  <c r="AQ1171" i="3"/>
  <c r="AP1171" i="3"/>
  <c r="AO1171" i="3"/>
  <c r="AN1171" i="3"/>
  <c r="AM1171" i="3"/>
  <c r="AL1171" i="3"/>
  <c r="L1171" i="3"/>
  <c r="D1171" i="3"/>
  <c r="AQ1170" i="3"/>
  <c r="AP1170" i="3"/>
  <c r="AO1170" i="3"/>
  <c r="AN1170" i="3"/>
  <c r="AM1170" i="3"/>
  <c r="AL1170" i="3"/>
  <c r="L1170" i="3"/>
  <c r="D1170" i="3"/>
  <c r="L1169" i="3"/>
  <c r="D1169" i="3"/>
  <c r="L1168" i="3"/>
  <c r="D1168" i="3"/>
  <c r="L1167" i="3"/>
  <c r="D1167" i="3"/>
  <c r="L1166" i="3"/>
  <c r="D1166" i="3"/>
  <c r="AQ1165" i="3"/>
  <c r="AP1165" i="3"/>
  <c r="AO1165" i="3"/>
  <c r="AN1165" i="3"/>
  <c r="AM1165" i="3"/>
  <c r="AL1165" i="3"/>
  <c r="L1165" i="3"/>
  <c r="D1165" i="3"/>
  <c r="AQ1164" i="3"/>
  <c r="AP1164" i="3"/>
  <c r="AO1164" i="3"/>
  <c r="AN1164" i="3"/>
  <c r="AM1164" i="3"/>
  <c r="AL1164" i="3"/>
  <c r="L1164" i="3"/>
  <c r="D1164" i="3"/>
  <c r="L1163" i="3"/>
  <c r="D1163" i="3"/>
  <c r="L1162" i="3"/>
  <c r="D1162" i="3"/>
  <c r="AQ1161" i="3"/>
  <c r="AP1161" i="3"/>
  <c r="AO1161" i="3"/>
  <c r="AN1161" i="3"/>
  <c r="AM1161" i="3"/>
  <c r="AL1161" i="3"/>
  <c r="L1161" i="3"/>
  <c r="D1161" i="3"/>
  <c r="AQ1160" i="3"/>
  <c r="AP1160" i="3"/>
  <c r="AO1160" i="3"/>
  <c r="AN1160" i="3"/>
  <c r="AM1160" i="3"/>
  <c r="AL1160" i="3"/>
  <c r="L1160" i="3"/>
  <c r="D1160" i="3"/>
  <c r="AQ1159" i="3"/>
  <c r="AP1159" i="3"/>
  <c r="AO1159" i="3"/>
  <c r="AN1159" i="3"/>
  <c r="AM1159" i="3"/>
  <c r="AL1159" i="3"/>
  <c r="L1159" i="3"/>
  <c r="D1159" i="3"/>
  <c r="AQ1158" i="3"/>
  <c r="AP1158" i="3"/>
  <c r="AO1158" i="3"/>
  <c r="AN1158" i="3"/>
  <c r="AM1158" i="3"/>
  <c r="AL1158" i="3"/>
  <c r="L1158" i="3"/>
  <c r="D1158" i="3"/>
  <c r="L1157" i="3"/>
  <c r="D1157" i="3"/>
  <c r="AQ1156" i="3"/>
  <c r="AP1156" i="3"/>
  <c r="AO1156" i="3"/>
  <c r="AN1156" i="3"/>
  <c r="AM1156" i="3"/>
  <c r="AL1156" i="3"/>
  <c r="L1156" i="3"/>
  <c r="D1156" i="3"/>
  <c r="AQ1155" i="3"/>
  <c r="AP1155" i="3"/>
  <c r="AO1155" i="3"/>
  <c r="AN1155" i="3"/>
  <c r="AM1155" i="3"/>
  <c r="AL1155" i="3"/>
  <c r="L1155" i="3"/>
  <c r="D1155" i="3"/>
  <c r="AQ1154" i="3"/>
  <c r="AP1154" i="3"/>
  <c r="AO1154" i="3"/>
  <c r="AN1154" i="3"/>
  <c r="AM1154" i="3"/>
  <c r="AL1154" i="3"/>
  <c r="L1154" i="3"/>
  <c r="D1154" i="3"/>
  <c r="AQ1153" i="3"/>
  <c r="AP1153" i="3"/>
  <c r="AO1153" i="3"/>
  <c r="AN1153" i="3"/>
  <c r="AM1153" i="3"/>
  <c r="AL1153" i="3"/>
  <c r="L1153" i="3"/>
  <c r="D1153" i="3"/>
  <c r="AQ1152" i="3"/>
  <c r="AP1152" i="3"/>
  <c r="AO1152" i="3"/>
  <c r="AN1152" i="3"/>
  <c r="AM1152" i="3"/>
  <c r="AL1152" i="3"/>
  <c r="L1152" i="3"/>
  <c r="D1152" i="3"/>
  <c r="AQ1151" i="3"/>
  <c r="AP1151" i="3"/>
  <c r="AO1151" i="3"/>
  <c r="AN1151" i="3"/>
  <c r="AM1151" i="3"/>
  <c r="AL1151" i="3"/>
  <c r="L1151" i="3"/>
  <c r="D1151" i="3"/>
  <c r="AQ1150" i="3"/>
  <c r="AP1150" i="3"/>
  <c r="AO1150" i="3"/>
  <c r="AN1150" i="3"/>
  <c r="AM1150" i="3"/>
  <c r="AL1150" i="3"/>
  <c r="L1150" i="3"/>
  <c r="D1150" i="3"/>
  <c r="L1149" i="3"/>
  <c r="D1149" i="3"/>
  <c r="AQ1148" i="3"/>
  <c r="AP1148" i="3"/>
  <c r="AO1148" i="3"/>
  <c r="AN1148" i="3"/>
  <c r="AM1148" i="3"/>
  <c r="AL1148" i="3"/>
  <c r="L1148" i="3"/>
  <c r="D1148" i="3"/>
  <c r="AQ1147" i="3"/>
  <c r="AP1147" i="3"/>
  <c r="AO1147" i="3"/>
  <c r="AN1147" i="3"/>
  <c r="AM1147" i="3"/>
  <c r="AL1147" i="3"/>
  <c r="L1147" i="3"/>
  <c r="D1147" i="3"/>
  <c r="AQ1146" i="3"/>
  <c r="AP1146" i="3"/>
  <c r="AO1146" i="3"/>
  <c r="AN1146" i="3"/>
  <c r="AM1146" i="3"/>
  <c r="AL1146" i="3"/>
  <c r="L1146" i="3"/>
  <c r="D1146" i="3"/>
  <c r="AQ1145" i="3"/>
  <c r="AP1145" i="3"/>
  <c r="AO1145" i="3"/>
  <c r="AN1145" i="3"/>
  <c r="AM1145" i="3"/>
  <c r="AL1145" i="3"/>
  <c r="L1145" i="3"/>
  <c r="D1145" i="3"/>
  <c r="AQ1144" i="3"/>
  <c r="AP1144" i="3"/>
  <c r="AO1144" i="3"/>
  <c r="AN1144" i="3"/>
  <c r="AM1144" i="3"/>
  <c r="AL1144" i="3"/>
  <c r="L1144" i="3"/>
  <c r="D1144" i="3"/>
  <c r="AQ1143" i="3"/>
  <c r="AP1143" i="3"/>
  <c r="AO1143" i="3"/>
  <c r="AN1143" i="3"/>
  <c r="AM1143" i="3"/>
  <c r="AL1143" i="3"/>
  <c r="L1143" i="3"/>
  <c r="D1143" i="3"/>
  <c r="L1142" i="3"/>
  <c r="D1142" i="3"/>
  <c r="L1141" i="3"/>
  <c r="D1141" i="3"/>
  <c r="AQ1140" i="3"/>
  <c r="AP1140" i="3"/>
  <c r="AO1140" i="3"/>
  <c r="AN1140" i="3"/>
  <c r="AM1140" i="3"/>
  <c r="AL1140" i="3"/>
  <c r="L1140" i="3"/>
  <c r="D1140" i="3"/>
  <c r="AQ1139" i="3"/>
  <c r="AP1139" i="3"/>
  <c r="AO1139" i="3"/>
  <c r="AN1139" i="3"/>
  <c r="AM1139" i="3"/>
  <c r="AL1139" i="3"/>
  <c r="L1139" i="3"/>
  <c r="D1139" i="3"/>
  <c r="AQ1138" i="3"/>
  <c r="AP1138" i="3"/>
  <c r="AO1138" i="3"/>
  <c r="AN1138" i="3"/>
  <c r="AM1138" i="3"/>
  <c r="AL1138" i="3"/>
  <c r="L1138" i="3"/>
  <c r="D1138" i="3"/>
  <c r="AQ1137" i="3"/>
  <c r="AP1137" i="3"/>
  <c r="AO1137" i="3"/>
  <c r="AN1137" i="3"/>
  <c r="AM1137" i="3"/>
  <c r="AL1137" i="3"/>
  <c r="L1137" i="3"/>
  <c r="D1137" i="3"/>
  <c r="AQ1136" i="3"/>
  <c r="AP1136" i="3"/>
  <c r="AO1136" i="3"/>
  <c r="AN1136" i="3"/>
  <c r="AM1136" i="3"/>
  <c r="AL1136" i="3"/>
  <c r="L1136" i="3"/>
  <c r="D1136" i="3"/>
  <c r="AQ1135" i="3"/>
  <c r="AP1135" i="3"/>
  <c r="AO1135" i="3"/>
  <c r="AN1135" i="3"/>
  <c r="AM1135" i="3"/>
  <c r="AL1135" i="3"/>
  <c r="L1135" i="3"/>
  <c r="D1135" i="3"/>
  <c r="AQ1134" i="3"/>
  <c r="AP1134" i="3"/>
  <c r="AO1134" i="3"/>
  <c r="AN1134" i="3"/>
  <c r="AM1134" i="3"/>
  <c r="AL1134" i="3"/>
  <c r="L1134" i="3"/>
  <c r="D1134" i="3"/>
  <c r="L1133" i="3"/>
  <c r="D1133" i="3"/>
  <c r="AQ1132" i="3"/>
  <c r="AP1132" i="3"/>
  <c r="AO1132" i="3"/>
  <c r="AN1132" i="3"/>
  <c r="AM1132" i="3"/>
  <c r="AL1132" i="3"/>
  <c r="L1132" i="3"/>
  <c r="D1132" i="3"/>
  <c r="AQ1131" i="3"/>
  <c r="AP1131" i="3"/>
  <c r="AO1131" i="3"/>
  <c r="AN1131" i="3"/>
  <c r="AM1131" i="3"/>
  <c r="AL1131" i="3"/>
  <c r="L1131" i="3"/>
  <c r="D1131" i="3"/>
  <c r="AQ1130" i="3"/>
  <c r="AP1130" i="3"/>
  <c r="AO1130" i="3"/>
  <c r="AN1130" i="3"/>
  <c r="AM1130" i="3"/>
  <c r="AL1130" i="3"/>
  <c r="L1130" i="3"/>
  <c r="D1130" i="3"/>
  <c r="AQ1129" i="3"/>
  <c r="AP1129" i="3"/>
  <c r="AO1129" i="3"/>
  <c r="AN1129" i="3"/>
  <c r="AM1129" i="3"/>
  <c r="AL1129" i="3"/>
  <c r="L1129" i="3"/>
  <c r="D1129" i="3"/>
  <c r="AQ1128" i="3"/>
  <c r="AP1128" i="3"/>
  <c r="AO1128" i="3"/>
  <c r="AN1128" i="3"/>
  <c r="AM1128" i="3"/>
  <c r="AL1128" i="3"/>
  <c r="L1128" i="3"/>
  <c r="D1128" i="3"/>
  <c r="AQ1127" i="3"/>
  <c r="AP1127" i="3"/>
  <c r="AO1127" i="3"/>
  <c r="AN1127" i="3"/>
  <c r="AM1127" i="3"/>
  <c r="AL1127" i="3"/>
  <c r="L1127" i="3"/>
  <c r="D1127" i="3"/>
  <c r="AQ1126" i="3"/>
  <c r="AP1126" i="3"/>
  <c r="AO1126" i="3"/>
  <c r="AN1126" i="3"/>
  <c r="AM1126" i="3"/>
  <c r="AL1126" i="3"/>
  <c r="L1126" i="3"/>
  <c r="D1126" i="3"/>
  <c r="AQ1125" i="3"/>
  <c r="AP1125" i="3"/>
  <c r="AO1125" i="3"/>
  <c r="AN1125" i="3"/>
  <c r="AM1125" i="3"/>
  <c r="AL1125" i="3"/>
  <c r="L1125" i="3"/>
  <c r="D1125" i="3"/>
  <c r="AQ1124" i="3"/>
  <c r="AP1124" i="3"/>
  <c r="AO1124" i="3"/>
  <c r="AN1124" i="3"/>
  <c r="AM1124" i="3"/>
  <c r="AL1124" i="3"/>
  <c r="L1124" i="3"/>
  <c r="D1124" i="3"/>
  <c r="AQ1123" i="3"/>
  <c r="AP1123" i="3"/>
  <c r="AO1123" i="3"/>
  <c r="AN1123" i="3"/>
  <c r="AM1123" i="3"/>
  <c r="AL1123" i="3"/>
  <c r="L1123" i="3"/>
  <c r="D1123" i="3"/>
  <c r="L1122" i="3"/>
  <c r="D1122" i="3"/>
  <c r="L1121" i="3"/>
  <c r="D1121" i="3"/>
  <c r="L1120" i="3"/>
  <c r="D1120" i="3"/>
  <c r="L1119" i="3"/>
  <c r="D1119" i="3"/>
  <c r="AQ1118" i="3"/>
  <c r="AP1118" i="3"/>
  <c r="AO1118" i="3"/>
  <c r="AN1118" i="3"/>
  <c r="AM1118" i="3"/>
  <c r="AL1118" i="3"/>
  <c r="L1118" i="3"/>
  <c r="D1118" i="3"/>
  <c r="AQ1117" i="3"/>
  <c r="AP1117" i="3"/>
  <c r="AO1117" i="3"/>
  <c r="AN1117" i="3"/>
  <c r="AM1117" i="3"/>
  <c r="AL1117" i="3"/>
  <c r="L1117" i="3"/>
  <c r="D1117" i="3"/>
  <c r="AQ1116" i="3"/>
  <c r="AP1116" i="3"/>
  <c r="AO1116" i="3"/>
  <c r="AN1116" i="3"/>
  <c r="AM1116" i="3"/>
  <c r="AL1116" i="3"/>
  <c r="L1116" i="3"/>
  <c r="D1116" i="3"/>
  <c r="AQ1115" i="3"/>
  <c r="AP1115" i="3"/>
  <c r="AO1115" i="3"/>
  <c r="AN1115" i="3"/>
  <c r="AM1115" i="3"/>
  <c r="AL1115" i="3"/>
  <c r="L1115" i="3"/>
  <c r="D1115" i="3"/>
  <c r="AQ1114" i="3"/>
  <c r="AP1114" i="3"/>
  <c r="AO1114" i="3"/>
  <c r="AN1114" i="3"/>
  <c r="AM1114" i="3"/>
  <c r="AL1114" i="3"/>
  <c r="L1114" i="3"/>
  <c r="D1114" i="3"/>
  <c r="AQ1113" i="3"/>
  <c r="AP1113" i="3"/>
  <c r="AO1113" i="3"/>
  <c r="AN1113" i="3"/>
  <c r="AM1113" i="3"/>
  <c r="AL1113" i="3"/>
  <c r="L1113" i="3"/>
  <c r="D1113" i="3"/>
  <c r="AQ1112" i="3"/>
  <c r="AP1112" i="3"/>
  <c r="AO1112" i="3"/>
  <c r="AN1112" i="3"/>
  <c r="AM1112" i="3"/>
  <c r="AL1112" i="3"/>
  <c r="L1112" i="3"/>
  <c r="D1112" i="3"/>
  <c r="L1111" i="3"/>
  <c r="D1111" i="3"/>
  <c r="L1110" i="3"/>
  <c r="D1110" i="3"/>
  <c r="AQ1109" i="3"/>
  <c r="AP1109" i="3"/>
  <c r="AO1109" i="3"/>
  <c r="AN1109" i="3"/>
  <c r="AM1109" i="3"/>
  <c r="AL1109" i="3"/>
  <c r="L1109" i="3"/>
  <c r="D1109" i="3"/>
  <c r="L1108" i="3"/>
  <c r="D1108" i="3"/>
  <c r="L1107" i="3"/>
  <c r="D1107" i="3"/>
  <c r="L1106" i="3"/>
  <c r="D1106" i="3"/>
  <c r="AQ1105" i="3"/>
  <c r="AP1105" i="3"/>
  <c r="AO1105" i="3"/>
  <c r="AN1105" i="3"/>
  <c r="AM1105" i="3"/>
  <c r="AL1105" i="3"/>
  <c r="L1105" i="3"/>
  <c r="D1105" i="3"/>
  <c r="L1104" i="3"/>
  <c r="D1104" i="3"/>
  <c r="L1103" i="3"/>
  <c r="D1103" i="3"/>
  <c r="L1102" i="3"/>
  <c r="D1102" i="3"/>
  <c r="AQ1101" i="3"/>
  <c r="AP1101" i="3"/>
  <c r="AO1101" i="3"/>
  <c r="AN1101" i="3"/>
  <c r="AM1101" i="3"/>
  <c r="AL1101" i="3"/>
  <c r="L1101" i="3"/>
  <c r="D1101" i="3"/>
  <c r="AQ1100" i="3"/>
  <c r="AP1100" i="3"/>
  <c r="AO1100" i="3"/>
  <c r="AN1100" i="3"/>
  <c r="AM1100" i="3"/>
  <c r="AL1100" i="3"/>
  <c r="L1100" i="3"/>
  <c r="D1100" i="3"/>
  <c r="AQ1099" i="3"/>
  <c r="AP1099" i="3"/>
  <c r="AO1099" i="3"/>
  <c r="AN1099" i="3"/>
  <c r="AM1099" i="3"/>
  <c r="AL1099" i="3"/>
  <c r="L1099" i="3"/>
  <c r="D1099" i="3"/>
  <c r="AQ1098" i="3"/>
  <c r="AP1098" i="3"/>
  <c r="AO1098" i="3"/>
  <c r="AN1098" i="3"/>
  <c r="AM1098" i="3"/>
  <c r="AL1098" i="3"/>
  <c r="L1098" i="3"/>
  <c r="D1098" i="3"/>
  <c r="AQ1097" i="3"/>
  <c r="AP1097" i="3"/>
  <c r="AO1097" i="3"/>
  <c r="AN1097" i="3"/>
  <c r="AM1097" i="3"/>
  <c r="AL1097" i="3"/>
  <c r="L1097" i="3"/>
  <c r="D1097" i="3"/>
  <c r="L1096" i="3"/>
  <c r="D1096" i="3"/>
  <c r="L1095" i="3"/>
  <c r="D1095" i="3"/>
  <c r="AQ1094" i="3"/>
  <c r="AP1094" i="3"/>
  <c r="AO1094" i="3"/>
  <c r="AN1094" i="3"/>
  <c r="AM1094" i="3"/>
  <c r="AL1094" i="3"/>
  <c r="L1094" i="3"/>
  <c r="D1094" i="3"/>
  <c r="AQ1093" i="3"/>
  <c r="AP1093" i="3"/>
  <c r="AO1093" i="3"/>
  <c r="AN1093" i="3"/>
  <c r="AM1093" i="3"/>
  <c r="AL1093" i="3"/>
  <c r="L1093" i="3"/>
  <c r="D1093" i="3"/>
  <c r="AQ1092" i="3"/>
  <c r="AP1092" i="3"/>
  <c r="AO1092" i="3"/>
  <c r="AN1092" i="3"/>
  <c r="AM1092" i="3"/>
  <c r="AL1092" i="3"/>
  <c r="L1092" i="3"/>
  <c r="D1092" i="3"/>
  <c r="L1091" i="3"/>
  <c r="D1091" i="3"/>
  <c r="L1090" i="3"/>
  <c r="D1090" i="3"/>
  <c r="AQ1089" i="3"/>
  <c r="AP1089" i="3"/>
  <c r="AO1089" i="3"/>
  <c r="AN1089" i="3"/>
  <c r="AM1089" i="3"/>
  <c r="AL1089" i="3"/>
  <c r="L1089" i="3"/>
  <c r="D1089" i="3"/>
  <c r="AQ1088" i="3"/>
  <c r="AP1088" i="3"/>
  <c r="AO1088" i="3"/>
  <c r="AN1088" i="3"/>
  <c r="AM1088" i="3"/>
  <c r="AL1088" i="3"/>
  <c r="L1088" i="3"/>
  <c r="D1088" i="3"/>
  <c r="AQ1087" i="3"/>
  <c r="AP1087" i="3"/>
  <c r="AO1087" i="3"/>
  <c r="AN1087" i="3"/>
  <c r="AM1087" i="3"/>
  <c r="AL1087" i="3"/>
  <c r="L1087" i="3"/>
  <c r="D1087" i="3"/>
  <c r="L1086" i="3"/>
  <c r="D1086" i="3"/>
  <c r="L1085" i="3"/>
  <c r="D1085" i="3"/>
  <c r="L1084" i="3"/>
  <c r="D1084" i="3"/>
  <c r="AQ1083" i="3"/>
  <c r="AP1083" i="3"/>
  <c r="AO1083" i="3"/>
  <c r="AN1083" i="3"/>
  <c r="AM1083" i="3"/>
  <c r="AL1083" i="3"/>
  <c r="L1083" i="3"/>
  <c r="D1083" i="3"/>
  <c r="L1082" i="3"/>
  <c r="D1082" i="3"/>
  <c r="L1081" i="3"/>
  <c r="D1081" i="3"/>
  <c r="AQ1080" i="3"/>
  <c r="AP1080" i="3"/>
  <c r="AO1080" i="3"/>
  <c r="AN1080" i="3"/>
  <c r="AM1080" i="3"/>
  <c r="AL1080" i="3"/>
  <c r="L1080" i="3"/>
  <c r="D1080" i="3"/>
  <c r="L1079" i="3"/>
  <c r="D1079" i="3"/>
  <c r="L1078" i="3"/>
  <c r="D1078" i="3"/>
  <c r="AQ1077" i="3"/>
  <c r="AP1077" i="3"/>
  <c r="AO1077" i="3"/>
  <c r="AN1077" i="3"/>
  <c r="AM1077" i="3"/>
  <c r="AL1077" i="3"/>
  <c r="L1077" i="3"/>
  <c r="D1077" i="3"/>
  <c r="AQ1076" i="3"/>
  <c r="AP1076" i="3"/>
  <c r="AO1076" i="3"/>
  <c r="AN1076" i="3"/>
  <c r="AM1076" i="3"/>
  <c r="AL1076" i="3"/>
  <c r="L1076" i="3"/>
  <c r="D1076" i="3"/>
  <c r="L1075" i="3"/>
  <c r="D1075" i="3"/>
  <c r="AQ1074" i="3"/>
  <c r="AP1074" i="3"/>
  <c r="AO1074" i="3"/>
  <c r="AN1074" i="3"/>
  <c r="AM1074" i="3"/>
  <c r="AL1074" i="3"/>
  <c r="L1074" i="3"/>
  <c r="D1074" i="3"/>
  <c r="AQ1073" i="3"/>
  <c r="AP1073" i="3"/>
  <c r="AO1073" i="3"/>
  <c r="AN1073" i="3"/>
  <c r="AM1073" i="3"/>
  <c r="AL1073" i="3"/>
  <c r="L1073" i="3"/>
  <c r="D1073" i="3"/>
  <c r="AQ1072" i="3"/>
  <c r="AP1072" i="3"/>
  <c r="AO1072" i="3"/>
  <c r="AN1072" i="3"/>
  <c r="AM1072" i="3"/>
  <c r="AL1072" i="3"/>
  <c r="L1072" i="3"/>
  <c r="D1072" i="3"/>
  <c r="AQ1071" i="3"/>
  <c r="AP1071" i="3"/>
  <c r="AO1071" i="3"/>
  <c r="AN1071" i="3"/>
  <c r="AM1071" i="3"/>
  <c r="AL1071" i="3"/>
  <c r="L1071" i="3"/>
  <c r="D1071" i="3"/>
  <c r="AQ1070" i="3"/>
  <c r="AP1070" i="3"/>
  <c r="AO1070" i="3"/>
  <c r="AN1070" i="3"/>
  <c r="AM1070" i="3"/>
  <c r="AL1070" i="3"/>
  <c r="L1070" i="3"/>
  <c r="D1070" i="3"/>
  <c r="AQ1069" i="3"/>
  <c r="AP1069" i="3"/>
  <c r="AO1069" i="3"/>
  <c r="AN1069" i="3"/>
  <c r="AM1069" i="3"/>
  <c r="AL1069" i="3"/>
  <c r="L1069" i="3"/>
  <c r="D1069" i="3"/>
  <c r="AQ1068" i="3"/>
  <c r="AP1068" i="3"/>
  <c r="AO1068" i="3"/>
  <c r="AN1068" i="3"/>
  <c r="AM1068" i="3"/>
  <c r="AL1068" i="3"/>
  <c r="L1068" i="3"/>
  <c r="D1068" i="3"/>
  <c r="AQ1067" i="3"/>
  <c r="AP1067" i="3"/>
  <c r="AO1067" i="3"/>
  <c r="AN1067" i="3"/>
  <c r="AM1067" i="3"/>
  <c r="AL1067" i="3"/>
  <c r="L1067" i="3"/>
  <c r="D1067" i="3"/>
  <c r="L1066" i="3"/>
  <c r="D1066" i="3"/>
  <c r="AQ1065" i="3"/>
  <c r="AP1065" i="3"/>
  <c r="AO1065" i="3"/>
  <c r="AN1065" i="3"/>
  <c r="AM1065" i="3"/>
  <c r="AL1065" i="3"/>
  <c r="L1065" i="3"/>
  <c r="D1065" i="3"/>
  <c r="AQ1064" i="3"/>
  <c r="AP1064" i="3"/>
  <c r="AO1064" i="3"/>
  <c r="AN1064" i="3"/>
  <c r="AM1064" i="3"/>
  <c r="AL1064" i="3"/>
  <c r="L1064" i="3"/>
  <c r="D1064" i="3"/>
  <c r="AQ1063" i="3"/>
  <c r="AP1063" i="3"/>
  <c r="AO1063" i="3"/>
  <c r="AN1063" i="3"/>
  <c r="AM1063" i="3"/>
  <c r="AL1063" i="3"/>
  <c r="L1063" i="3"/>
  <c r="D1063" i="3"/>
  <c r="AQ1062" i="3"/>
  <c r="AP1062" i="3"/>
  <c r="AO1062" i="3"/>
  <c r="AN1062" i="3"/>
  <c r="AM1062" i="3"/>
  <c r="AL1062" i="3"/>
  <c r="L1062" i="3"/>
  <c r="D1062" i="3"/>
  <c r="L1061" i="3"/>
  <c r="D1061" i="3"/>
  <c r="AQ1060" i="3"/>
  <c r="AP1060" i="3"/>
  <c r="AO1060" i="3"/>
  <c r="AN1060" i="3"/>
  <c r="AM1060" i="3"/>
  <c r="AL1060" i="3"/>
  <c r="L1060" i="3"/>
  <c r="D1060" i="3"/>
  <c r="AQ1059" i="3"/>
  <c r="AP1059" i="3"/>
  <c r="AO1059" i="3"/>
  <c r="AN1059" i="3"/>
  <c r="AM1059" i="3"/>
  <c r="AL1059" i="3"/>
  <c r="L1059" i="3"/>
  <c r="D1059" i="3"/>
  <c r="L1058" i="3"/>
  <c r="D1058" i="3"/>
  <c r="AQ1057" i="3"/>
  <c r="AP1057" i="3"/>
  <c r="AO1057" i="3"/>
  <c r="AN1057" i="3"/>
  <c r="AM1057" i="3"/>
  <c r="AL1057" i="3"/>
  <c r="L1057" i="3"/>
  <c r="D1057" i="3"/>
  <c r="L1056" i="3"/>
  <c r="D1056" i="3"/>
  <c r="AQ1055" i="3"/>
  <c r="AP1055" i="3"/>
  <c r="AO1055" i="3"/>
  <c r="AN1055" i="3"/>
  <c r="AM1055" i="3"/>
  <c r="AL1055" i="3"/>
  <c r="L1055" i="3"/>
  <c r="D1055" i="3"/>
  <c r="AQ1054" i="3"/>
  <c r="AP1054" i="3"/>
  <c r="AO1054" i="3"/>
  <c r="AN1054" i="3"/>
  <c r="AM1054" i="3"/>
  <c r="AL1054" i="3"/>
  <c r="L1054" i="3"/>
  <c r="D1054" i="3"/>
  <c r="AQ1053" i="3"/>
  <c r="AP1053" i="3"/>
  <c r="AO1053" i="3"/>
  <c r="AN1053" i="3"/>
  <c r="AM1053" i="3"/>
  <c r="AL1053" i="3"/>
  <c r="L1053" i="3"/>
  <c r="D1053" i="3"/>
  <c r="AQ1052" i="3"/>
  <c r="AP1052" i="3"/>
  <c r="AO1052" i="3"/>
  <c r="AN1052" i="3"/>
  <c r="AM1052" i="3"/>
  <c r="AL1052" i="3"/>
  <c r="L1052" i="3"/>
  <c r="D1052" i="3"/>
  <c r="AQ1051" i="3"/>
  <c r="AP1051" i="3"/>
  <c r="AO1051" i="3"/>
  <c r="AN1051" i="3"/>
  <c r="AM1051" i="3"/>
  <c r="AL1051" i="3"/>
  <c r="L1051" i="3"/>
  <c r="D1051" i="3"/>
  <c r="AQ1050" i="3"/>
  <c r="AP1050" i="3"/>
  <c r="AO1050" i="3"/>
  <c r="AN1050" i="3"/>
  <c r="AM1050" i="3"/>
  <c r="AL1050" i="3"/>
  <c r="L1050" i="3"/>
  <c r="D1050" i="3"/>
  <c r="AQ1049" i="3"/>
  <c r="AP1049" i="3"/>
  <c r="AO1049" i="3"/>
  <c r="AN1049" i="3"/>
  <c r="AM1049" i="3"/>
  <c r="AL1049" i="3"/>
  <c r="L1049" i="3"/>
  <c r="D1049" i="3"/>
  <c r="AQ1048" i="3"/>
  <c r="AP1048" i="3"/>
  <c r="AO1048" i="3"/>
  <c r="AN1048" i="3"/>
  <c r="AM1048" i="3"/>
  <c r="AL1048" i="3"/>
  <c r="L1048" i="3"/>
  <c r="D1048" i="3"/>
  <c r="L1047" i="3"/>
  <c r="D1047" i="3"/>
  <c r="AQ1046" i="3"/>
  <c r="AP1046" i="3"/>
  <c r="AO1046" i="3"/>
  <c r="AN1046" i="3"/>
  <c r="AM1046" i="3"/>
  <c r="AL1046" i="3"/>
  <c r="L1046" i="3"/>
  <c r="D1046" i="3"/>
  <c r="L1045" i="3"/>
  <c r="D1045" i="3"/>
  <c r="L1044" i="3"/>
  <c r="D1044" i="3"/>
  <c r="L1043" i="3"/>
  <c r="D1043" i="3"/>
  <c r="L1042" i="3"/>
  <c r="D1042" i="3"/>
  <c r="AQ1041" i="3"/>
  <c r="AP1041" i="3"/>
  <c r="AO1041" i="3"/>
  <c r="AN1041" i="3"/>
  <c r="AM1041" i="3"/>
  <c r="AL1041" i="3"/>
  <c r="L1041" i="3"/>
  <c r="D1041" i="3"/>
  <c r="AQ1040" i="3"/>
  <c r="AP1040" i="3"/>
  <c r="AO1040" i="3"/>
  <c r="AN1040" i="3"/>
  <c r="AM1040" i="3"/>
  <c r="AL1040" i="3"/>
  <c r="L1040" i="3"/>
  <c r="D1040" i="3"/>
  <c r="AQ1039" i="3"/>
  <c r="AP1039" i="3"/>
  <c r="AO1039" i="3"/>
  <c r="AN1039" i="3"/>
  <c r="AM1039" i="3"/>
  <c r="AL1039" i="3"/>
  <c r="L1039" i="3"/>
  <c r="D1039" i="3"/>
  <c r="AQ1038" i="3"/>
  <c r="AP1038" i="3"/>
  <c r="AO1038" i="3"/>
  <c r="AN1038" i="3"/>
  <c r="AM1038" i="3"/>
  <c r="AL1038" i="3"/>
  <c r="L1038" i="3"/>
  <c r="D1038" i="3"/>
  <c r="AQ1037" i="3"/>
  <c r="AP1037" i="3"/>
  <c r="AO1037" i="3"/>
  <c r="AN1037" i="3"/>
  <c r="AM1037" i="3"/>
  <c r="AL1037" i="3"/>
  <c r="L1037" i="3"/>
  <c r="D1037" i="3"/>
  <c r="L1036" i="3"/>
  <c r="D1036" i="3"/>
  <c r="AQ1035" i="3"/>
  <c r="AP1035" i="3"/>
  <c r="AO1035" i="3"/>
  <c r="AN1035" i="3"/>
  <c r="AM1035" i="3"/>
  <c r="AL1035" i="3"/>
  <c r="L1035" i="3"/>
  <c r="D1035" i="3"/>
  <c r="L1034" i="3"/>
  <c r="D1034" i="3"/>
  <c r="AQ1033" i="3"/>
  <c r="AP1033" i="3"/>
  <c r="AO1033" i="3"/>
  <c r="AN1033" i="3"/>
  <c r="AM1033" i="3"/>
  <c r="AL1033" i="3"/>
  <c r="L1033" i="3"/>
  <c r="D1033" i="3"/>
  <c r="AQ1032" i="3"/>
  <c r="AP1032" i="3"/>
  <c r="AO1032" i="3"/>
  <c r="AN1032" i="3"/>
  <c r="AM1032" i="3"/>
  <c r="AL1032" i="3"/>
  <c r="L1032" i="3"/>
  <c r="D1032" i="3"/>
  <c r="AQ1031" i="3"/>
  <c r="AP1031" i="3"/>
  <c r="AO1031" i="3"/>
  <c r="AN1031" i="3"/>
  <c r="AM1031" i="3"/>
  <c r="AL1031" i="3"/>
  <c r="L1031" i="3"/>
  <c r="D1031" i="3"/>
  <c r="L1030" i="3"/>
  <c r="D1030" i="3"/>
  <c r="AQ1029" i="3"/>
  <c r="AP1029" i="3"/>
  <c r="AO1029" i="3"/>
  <c r="AN1029" i="3"/>
  <c r="AM1029" i="3"/>
  <c r="AL1029" i="3"/>
  <c r="L1029" i="3"/>
  <c r="D1029" i="3"/>
  <c r="AQ1028" i="3"/>
  <c r="AP1028" i="3"/>
  <c r="AO1028" i="3"/>
  <c r="AN1028" i="3"/>
  <c r="AM1028" i="3"/>
  <c r="AL1028" i="3"/>
  <c r="L1028" i="3"/>
  <c r="D1028" i="3"/>
  <c r="AQ1027" i="3"/>
  <c r="AP1027" i="3"/>
  <c r="AO1027" i="3"/>
  <c r="AN1027" i="3"/>
  <c r="AM1027" i="3"/>
  <c r="AL1027" i="3"/>
  <c r="L1027" i="3"/>
  <c r="D1027" i="3"/>
  <c r="AQ1026" i="3"/>
  <c r="AP1026" i="3"/>
  <c r="AO1026" i="3"/>
  <c r="AN1026" i="3"/>
  <c r="AM1026" i="3"/>
  <c r="AL1026" i="3"/>
  <c r="L1026" i="3"/>
  <c r="D1026" i="3"/>
  <c r="AQ1025" i="3"/>
  <c r="AP1025" i="3"/>
  <c r="AO1025" i="3"/>
  <c r="AN1025" i="3"/>
  <c r="AM1025" i="3"/>
  <c r="AL1025" i="3"/>
  <c r="L1025" i="3"/>
  <c r="D1025" i="3"/>
  <c r="AQ1024" i="3"/>
  <c r="AP1024" i="3"/>
  <c r="AO1024" i="3"/>
  <c r="AN1024" i="3"/>
  <c r="AM1024" i="3"/>
  <c r="AL1024" i="3"/>
  <c r="L1024" i="3"/>
  <c r="D1024" i="3"/>
  <c r="AQ1023" i="3"/>
  <c r="AP1023" i="3"/>
  <c r="AO1023" i="3"/>
  <c r="AN1023" i="3"/>
  <c r="AM1023" i="3"/>
  <c r="AL1023" i="3"/>
  <c r="L1023" i="3"/>
  <c r="D1023" i="3"/>
  <c r="AQ1022" i="3"/>
  <c r="AP1022" i="3"/>
  <c r="AO1022" i="3"/>
  <c r="AN1022" i="3"/>
  <c r="AM1022" i="3"/>
  <c r="AL1022" i="3"/>
  <c r="L1022" i="3"/>
  <c r="D1022" i="3"/>
  <c r="AQ1021" i="3"/>
  <c r="AP1021" i="3"/>
  <c r="AO1021" i="3"/>
  <c r="AN1021" i="3"/>
  <c r="AM1021" i="3"/>
  <c r="AL1021" i="3"/>
  <c r="L1021" i="3"/>
  <c r="D1021" i="3"/>
  <c r="AQ1020" i="3"/>
  <c r="AP1020" i="3"/>
  <c r="AO1020" i="3"/>
  <c r="AN1020" i="3"/>
  <c r="AM1020" i="3"/>
  <c r="AL1020" i="3"/>
  <c r="L1020" i="3"/>
  <c r="D1020" i="3"/>
  <c r="L1019" i="3"/>
  <c r="D1019" i="3"/>
  <c r="AQ1018" i="3"/>
  <c r="AP1018" i="3"/>
  <c r="AO1018" i="3"/>
  <c r="AN1018" i="3"/>
  <c r="AM1018" i="3"/>
  <c r="AL1018" i="3"/>
  <c r="L1018" i="3"/>
  <c r="D1018" i="3"/>
  <c r="AQ1017" i="3"/>
  <c r="AP1017" i="3"/>
  <c r="AO1017" i="3"/>
  <c r="AN1017" i="3"/>
  <c r="AM1017" i="3"/>
  <c r="AL1017" i="3"/>
  <c r="L1017" i="3"/>
  <c r="D1017" i="3"/>
  <c r="AQ1016" i="3"/>
  <c r="AP1016" i="3"/>
  <c r="AO1016" i="3"/>
  <c r="AN1016" i="3"/>
  <c r="AM1016" i="3"/>
  <c r="AL1016" i="3"/>
  <c r="L1016" i="3"/>
  <c r="D1016" i="3"/>
  <c r="AQ1015" i="3"/>
  <c r="AP1015" i="3"/>
  <c r="AO1015" i="3"/>
  <c r="AN1015" i="3"/>
  <c r="AM1015" i="3"/>
  <c r="AL1015" i="3"/>
  <c r="L1015" i="3"/>
  <c r="D1015" i="3"/>
  <c r="AQ1014" i="3"/>
  <c r="AP1014" i="3"/>
  <c r="AO1014" i="3"/>
  <c r="AN1014" i="3"/>
  <c r="AM1014" i="3"/>
  <c r="AL1014" i="3"/>
  <c r="L1014" i="3"/>
  <c r="D1014" i="3"/>
  <c r="L1013" i="3"/>
  <c r="D1013" i="3"/>
  <c r="AQ1012" i="3"/>
  <c r="AP1012" i="3"/>
  <c r="AO1012" i="3"/>
  <c r="AN1012" i="3"/>
  <c r="AM1012" i="3"/>
  <c r="AL1012" i="3"/>
  <c r="L1012" i="3"/>
  <c r="D1012" i="3"/>
  <c r="AQ1011" i="3"/>
  <c r="AP1011" i="3"/>
  <c r="AO1011" i="3"/>
  <c r="AN1011" i="3"/>
  <c r="AM1011" i="3"/>
  <c r="AL1011" i="3"/>
  <c r="L1011" i="3"/>
  <c r="D1011" i="3"/>
  <c r="AQ1010" i="3"/>
  <c r="AP1010" i="3"/>
  <c r="AO1010" i="3"/>
  <c r="AN1010" i="3"/>
  <c r="AM1010" i="3"/>
  <c r="AL1010" i="3"/>
  <c r="L1010" i="3"/>
  <c r="D1010" i="3"/>
  <c r="L1009" i="3"/>
  <c r="D1009" i="3"/>
  <c r="L1008" i="3"/>
  <c r="D1008" i="3"/>
  <c r="AQ1007" i="3"/>
  <c r="AP1007" i="3"/>
  <c r="AO1007" i="3"/>
  <c r="AN1007" i="3"/>
  <c r="AM1007" i="3"/>
  <c r="AL1007" i="3"/>
  <c r="L1007" i="3"/>
  <c r="D1007" i="3"/>
  <c r="AQ1006" i="3"/>
  <c r="AP1006" i="3"/>
  <c r="AO1006" i="3"/>
  <c r="AN1006" i="3"/>
  <c r="AM1006" i="3"/>
  <c r="AL1006" i="3"/>
  <c r="L1006" i="3"/>
  <c r="D1006" i="3"/>
  <c r="AQ1005" i="3"/>
  <c r="AP1005" i="3"/>
  <c r="AO1005" i="3"/>
  <c r="AN1005" i="3"/>
  <c r="AM1005" i="3"/>
  <c r="AL1005" i="3"/>
  <c r="L1005" i="3"/>
  <c r="D1005" i="3"/>
  <c r="AQ1004" i="3"/>
  <c r="AP1004" i="3"/>
  <c r="AO1004" i="3"/>
  <c r="AN1004" i="3"/>
  <c r="AM1004" i="3"/>
  <c r="AL1004" i="3"/>
  <c r="L1004" i="3"/>
  <c r="D1004" i="3"/>
  <c r="L1003" i="3"/>
  <c r="D1003" i="3"/>
  <c r="AQ1002" i="3"/>
  <c r="AP1002" i="3"/>
  <c r="AO1002" i="3"/>
  <c r="AN1002" i="3"/>
  <c r="AM1002" i="3"/>
  <c r="AL1002" i="3"/>
  <c r="L1002" i="3"/>
  <c r="D1002" i="3"/>
  <c r="AQ1001" i="3"/>
  <c r="AP1001" i="3"/>
  <c r="AO1001" i="3"/>
  <c r="AN1001" i="3"/>
  <c r="AM1001" i="3"/>
  <c r="AL1001" i="3"/>
  <c r="L1001" i="3"/>
  <c r="D1001" i="3"/>
  <c r="AQ1000" i="3"/>
  <c r="AP1000" i="3"/>
  <c r="AO1000" i="3"/>
  <c r="AN1000" i="3"/>
  <c r="AM1000" i="3"/>
  <c r="AL1000" i="3"/>
  <c r="L1000" i="3"/>
  <c r="D1000" i="3"/>
  <c r="AQ999" i="3"/>
  <c r="AP999" i="3"/>
  <c r="AO999" i="3"/>
  <c r="AN999" i="3"/>
  <c r="AM999" i="3"/>
  <c r="AL999" i="3"/>
  <c r="L999" i="3"/>
  <c r="D999" i="3"/>
  <c r="AQ998" i="3"/>
  <c r="AP998" i="3"/>
  <c r="AO998" i="3"/>
  <c r="AN998" i="3"/>
  <c r="AM998" i="3"/>
  <c r="AL998" i="3"/>
  <c r="L998" i="3"/>
  <c r="D998" i="3"/>
  <c r="AQ997" i="3"/>
  <c r="AP997" i="3"/>
  <c r="AO997" i="3"/>
  <c r="AN997" i="3"/>
  <c r="AM997" i="3"/>
  <c r="AL997" i="3"/>
  <c r="L997" i="3"/>
  <c r="D997" i="3"/>
  <c r="AQ996" i="3"/>
  <c r="AP996" i="3"/>
  <c r="AO996" i="3"/>
  <c r="AN996" i="3"/>
  <c r="AM996" i="3"/>
  <c r="AL996" i="3"/>
  <c r="L996" i="3"/>
  <c r="D996" i="3"/>
  <c r="AQ995" i="3"/>
  <c r="AP995" i="3"/>
  <c r="AO995" i="3"/>
  <c r="AN995" i="3"/>
  <c r="AM995" i="3"/>
  <c r="AL995" i="3"/>
  <c r="L995" i="3"/>
  <c r="D995" i="3"/>
  <c r="AQ994" i="3"/>
  <c r="AP994" i="3"/>
  <c r="AO994" i="3"/>
  <c r="AN994" i="3"/>
  <c r="AM994" i="3"/>
  <c r="AL994" i="3"/>
  <c r="L994" i="3"/>
  <c r="D994" i="3"/>
  <c r="L993" i="3"/>
  <c r="D993" i="3"/>
  <c r="L992" i="3"/>
  <c r="D992" i="3"/>
  <c r="AQ991" i="3"/>
  <c r="AP991" i="3"/>
  <c r="AO991" i="3"/>
  <c r="AN991" i="3"/>
  <c r="AM991" i="3"/>
  <c r="AL991" i="3"/>
  <c r="L991" i="3"/>
  <c r="D991" i="3"/>
  <c r="AQ990" i="3"/>
  <c r="AP990" i="3"/>
  <c r="AO990" i="3"/>
  <c r="AN990" i="3"/>
  <c r="AM990" i="3"/>
  <c r="AL990" i="3"/>
  <c r="L990" i="3"/>
  <c r="D990" i="3"/>
  <c r="L989" i="3"/>
  <c r="D989" i="3"/>
  <c r="L988" i="3"/>
  <c r="D988" i="3"/>
  <c r="L987" i="3"/>
  <c r="D987" i="3"/>
  <c r="AQ986" i="3"/>
  <c r="AP986" i="3"/>
  <c r="AO986" i="3"/>
  <c r="AN986" i="3"/>
  <c r="AM986" i="3"/>
  <c r="AL986" i="3"/>
  <c r="L986" i="3"/>
  <c r="D986" i="3"/>
  <c r="AQ985" i="3"/>
  <c r="AP985" i="3"/>
  <c r="AO985" i="3"/>
  <c r="AN985" i="3"/>
  <c r="AM985" i="3"/>
  <c r="AL985" i="3"/>
  <c r="L985" i="3"/>
  <c r="D985" i="3"/>
  <c r="AQ984" i="3"/>
  <c r="AP984" i="3"/>
  <c r="AO984" i="3"/>
  <c r="AN984" i="3"/>
  <c r="AM984" i="3"/>
  <c r="AL984" i="3"/>
  <c r="L984" i="3"/>
  <c r="D984" i="3"/>
  <c r="AQ983" i="3"/>
  <c r="AP983" i="3"/>
  <c r="AO983" i="3"/>
  <c r="AN983" i="3"/>
  <c r="AM983" i="3"/>
  <c r="AL983" i="3"/>
  <c r="L983" i="3"/>
  <c r="D983" i="3"/>
  <c r="AQ982" i="3"/>
  <c r="AP982" i="3"/>
  <c r="AO982" i="3"/>
  <c r="AN982" i="3"/>
  <c r="AM982" i="3"/>
  <c r="AL982" i="3"/>
  <c r="L982" i="3"/>
  <c r="D982" i="3"/>
  <c r="AQ981" i="3"/>
  <c r="AP981" i="3"/>
  <c r="AO981" i="3"/>
  <c r="AN981" i="3"/>
  <c r="AM981" i="3"/>
  <c r="AL981" i="3"/>
  <c r="L981" i="3"/>
  <c r="D981" i="3"/>
  <c r="AQ980" i="3"/>
  <c r="AP980" i="3"/>
  <c r="AO980" i="3"/>
  <c r="AN980" i="3"/>
  <c r="AM980" i="3"/>
  <c r="AL980" i="3"/>
  <c r="L980" i="3"/>
  <c r="D980" i="3"/>
  <c r="AQ979" i="3"/>
  <c r="AP979" i="3"/>
  <c r="AO979" i="3"/>
  <c r="AN979" i="3"/>
  <c r="AM979" i="3"/>
  <c r="AL979" i="3"/>
  <c r="L979" i="3"/>
  <c r="D979" i="3"/>
  <c r="AQ978" i="3"/>
  <c r="AP978" i="3"/>
  <c r="AO978" i="3"/>
  <c r="AN978" i="3"/>
  <c r="AM978" i="3"/>
  <c r="AL978" i="3"/>
  <c r="L978" i="3"/>
  <c r="D978" i="3"/>
  <c r="L977" i="3"/>
  <c r="D977" i="3"/>
  <c r="AQ976" i="3"/>
  <c r="AP976" i="3"/>
  <c r="AO976" i="3"/>
  <c r="AN976" i="3"/>
  <c r="AM976" i="3"/>
  <c r="AL976" i="3"/>
  <c r="L976" i="3"/>
  <c r="D976" i="3"/>
  <c r="AQ975" i="3"/>
  <c r="AP975" i="3"/>
  <c r="AO975" i="3"/>
  <c r="AN975" i="3"/>
  <c r="AM975" i="3"/>
  <c r="AL975" i="3"/>
  <c r="L975" i="3"/>
  <c r="D975" i="3"/>
  <c r="AQ974" i="3"/>
  <c r="AP974" i="3"/>
  <c r="AO974" i="3"/>
  <c r="AN974" i="3"/>
  <c r="AM974" i="3"/>
  <c r="AL974" i="3"/>
  <c r="L974" i="3"/>
  <c r="D974" i="3"/>
  <c r="AQ973" i="3"/>
  <c r="AP973" i="3"/>
  <c r="AO973" i="3"/>
  <c r="AN973" i="3"/>
  <c r="AM973" i="3"/>
  <c r="AL973" i="3"/>
  <c r="L973" i="3"/>
  <c r="D973" i="3"/>
  <c r="AQ972" i="3"/>
  <c r="AP972" i="3"/>
  <c r="AO972" i="3"/>
  <c r="AN972" i="3"/>
  <c r="AM972" i="3"/>
  <c r="AL972" i="3"/>
  <c r="L972" i="3"/>
  <c r="D972" i="3"/>
  <c r="AQ971" i="3"/>
  <c r="AP971" i="3"/>
  <c r="AO971" i="3"/>
  <c r="AN971" i="3"/>
  <c r="AM971" i="3"/>
  <c r="AL971" i="3"/>
  <c r="L971" i="3"/>
  <c r="D971" i="3"/>
  <c r="L970" i="3"/>
  <c r="D970" i="3"/>
  <c r="AQ969" i="3"/>
  <c r="AP969" i="3"/>
  <c r="AO969" i="3"/>
  <c r="AN969" i="3"/>
  <c r="AM969" i="3"/>
  <c r="AL969" i="3"/>
  <c r="L969" i="3"/>
  <c r="D969" i="3"/>
  <c r="AQ968" i="3"/>
  <c r="AP968" i="3"/>
  <c r="AO968" i="3"/>
  <c r="AN968" i="3"/>
  <c r="AM968" i="3"/>
  <c r="AL968" i="3"/>
  <c r="L968" i="3"/>
  <c r="D968" i="3"/>
  <c r="AQ967" i="3"/>
  <c r="AP967" i="3"/>
  <c r="AO967" i="3"/>
  <c r="AN967" i="3"/>
  <c r="AM967" i="3"/>
  <c r="AL967" i="3"/>
  <c r="L967" i="3"/>
  <c r="D967" i="3"/>
  <c r="AQ966" i="3"/>
  <c r="AP966" i="3"/>
  <c r="AO966" i="3"/>
  <c r="AN966" i="3"/>
  <c r="AM966" i="3"/>
  <c r="AL966" i="3"/>
  <c r="L966" i="3"/>
  <c r="D966" i="3"/>
  <c r="L965" i="3"/>
  <c r="D965" i="3"/>
  <c r="AQ964" i="3"/>
  <c r="AP964" i="3"/>
  <c r="AO964" i="3"/>
  <c r="AN964" i="3"/>
  <c r="AM964" i="3"/>
  <c r="AL964" i="3"/>
  <c r="L964" i="3"/>
  <c r="D964" i="3"/>
  <c r="AQ963" i="3"/>
  <c r="AP963" i="3"/>
  <c r="AO963" i="3"/>
  <c r="AN963" i="3"/>
  <c r="AM963" i="3"/>
  <c r="AL963" i="3"/>
  <c r="L963" i="3"/>
  <c r="D963" i="3"/>
  <c r="AQ962" i="3"/>
  <c r="AP962" i="3"/>
  <c r="AO962" i="3"/>
  <c r="AN962" i="3"/>
  <c r="AM962" i="3"/>
  <c r="AL962" i="3"/>
  <c r="L962" i="3"/>
  <c r="D962" i="3"/>
  <c r="L961" i="3"/>
  <c r="D961" i="3"/>
  <c r="L960" i="3"/>
  <c r="D960" i="3"/>
  <c r="AQ959" i="3"/>
  <c r="AP959" i="3"/>
  <c r="AO959" i="3"/>
  <c r="AN959" i="3"/>
  <c r="AM959" i="3"/>
  <c r="AL959" i="3"/>
  <c r="L959" i="3"/>
  <c r="D959" i="3"/>
  <c r="AQ958" i="3"/>
  <c r="AP958" i="3"/>
  <c r="AO958" i="3"/>
  <c r="AN958" i="3"/>
  <c r="AM958" i="3"/>
  <c r="AL958" i="3"/>
  <c r="L958" i="3"/>
  <c r="D958" i="3"/>
  <c r="AQ957" i="3"/>
  <c r="AP957" i="3"/>
  <c r="AO957" i="3"/>
  <c r="AN957" i="3"/>
  <c r="AM957" i="3"/>
  <c r="AL957" i="3"/>
  <c r="L957" i="3"/>
  <c r="D957" i="3"/>
  <c r="AQ956" i="3"/>
  <c r="AP956" i="3"/>
  <c r="AO956" i="3"/>
  <c r="AN956" i="3"/>
  <c r="AM956" i="3"/>
  <c r="AL956" i="3"/>
  <c r="L956" i="3"/>
  <c r="D956" i="3"/>
  <c r="AQ955" i="3"/>
  <c r="AP955" i="3"/>
  <c r="AO955" i="3"/>
  <c r="AN955" i="3"/>
  <c r="AM955" i="3"/>
  <c r="AL955" i="3"/>
  <c r="L955" i="3"/>
  <c r="D955" i="3"/>
  <c r="L954" i="3"/>
  <c r="D954" i="3"/>
  <c r="AQ953" i="3"/>
  <c r="AP953" i="3"/>
  <c r="AO953" i="3"/>
  <c r="AN953" i="3"/>
  <c r="AM953" i="3"/>
  <c r="AL953" i="3"/>
  <c r="L953" i="3"/>
  <c r="D953" i="3"/>
  <c r="AQ952" i="3"/>
  <c r="AP952" i="3"/>
  <c r="AO952" i="3"/>
  <c r="AN952" i="3"/>
  <c r="AM952" i="3"/>
  <c r="AL952" i="3"/>
  <c r="L952" i="3"/>
  <c r="D952" i="3"/>
  <c r="AQ951" i="3"/>
  <c r="AP951" i="3"/>
  <c r="AO951" i="3"/>
  <c r="AN951" i="3"/>
  <c r="AM951" i="3"/>
  <c r="AL951" i="3"/>
  <c r="L951" i="3"/>
  <c r="D951" i="3"/>
  <c r="AQ950" i="3"/>
  <c r="AP950" i="3"/>
  <c r="AO950" i="3"/>
  <c r="AN950" i="3"/>
  <c r="AM950" i="3"/>
  <c r="AL950" i="3"/>
  <c r="L950" i="3"/>
  <c r="D950" i="3"/>
  <c r="L949" i="3"/>
  <c r="D949" i="3"/>
  <c r="L948" i="3"/>
  <c r="D948" i="3"/>
  <c r="AQ947" i="3"/>
  <c r="AP947" i="3"/>
  <c r="AO947" i="3"/>
  <c r="AN947" i="3"/>
  <c r="AM947" i="3"/>
  <c r="AL947" i="3"/>
  <c r="L947" i="3"/>
  <c r="D947" i="3"/>
  <c r="AQ946" i="3"/>
  <c r="AP946" i="3"/>
  <c r="AO946" i="3"/>
  <c r="AN946" i="3"/>
  <c r="AM946" i="3"/>
  <c r="AL946" i="3"/>
  <c r="L946" i="3"/>
  <c r="D946" i="3"/>
  <c r="L945" i="3"/>
  <c r="D945" i="3"/>
  <c r="L944" i="3"/>
  <c r="D944" i="3"/>
  <c r="L943" i="3"/>
  <c r="D943" i="3"/>
  <c r="AQ942" i="3"/>
  <c r="AP942" i="3"/>
  <c r="AO942" i="3"/>
  <c r="AN942" i="3"/>
  <c r="AM942" i="3"/>
  <c r="AL942" i="3"/>
  <c r="L942" i="3"/>
  <c r="D942" i="3"/>
  <c r="AQ941" i="3"/>
  <c r="AP941" i="3"/>
  <c r="AO941" i="3"/>
  <c r="AN941" i="3"/>
  <c r="AM941" i="3"/>
  <c r="AL941" i="3"/>
  <c r="L941" i="3"/>
  <c r="D941" i="3"/>
  <c r="AQ940" i="3"/>
  <c r="AP940" i="3"/>
  <c r="AO940" i="3"/>
  <c r="AN940" i="3"/>
  <c r="AM940" i="3"/>
  <c r="AL940" i="3"/>
  <c r="L940" i="3"/>
  <c r="D940" i="3"/>
  <c r="AQ939" i="3"/>
  <c r="AP939" i="3"/>
  <c r="AO939" i="3"/>
  <c r="AN939" i="3"/>
  <c r="AM939" i="3"/>
  <c r="AL939" i="3"/>
  <c r="L939" i="3"/>
  <c r="D939" i="3"/>
  <c r="AQ938" i="3"/>
  <c r="AP938" i="3"/>
  <c r="AO938" i="3"/>
  <c r="AN938" i="3"/>
  <c r="AM938" i="3"/>
  <c r="AL938" i="3"/>
  <c r="L938" i="3"/>
  <c r="D938" i="3"/>
  <c r="AQ937" i="3"/>
  <c r="AP937" i="3"/>
  <c r="AO937" i="3"/>
  <c r="AN937" i="3"/>
  <c r="AM937" i="3"/>
  <c r="AL937" i="3"/>
  <c r="L937" i="3"/>
  <c r="D937" i="3"/>
  <c r="L936" i="3"/>
  <c r="D936" i="3"/>
  <c r="AQ935" i="3"/>
  <c r="AP935" i="3"/>
  <c r="AO935" i="3"/>
  <c r="AN935" i="3"/>
  <c r="AM935" i="3"/>
  <c r="AL935" i="3"/>
  <c r="L935" i="3"/>
  <c r="D935" i="3"/>
  <c r="AQ934" i="3"/>
  <c r="AP934" i="3"/>
  <c r="AO934" i="3"/>
  <c r="AN934" i="3"/>
  <c r="AM934" i="3"/>
  <c r="AL934" i="3"/>
  <c r="L934" i="3"/>
  <c r="D934" i="3"/>
  <c r="L933" i="3"/>
  <c r="D933" i="3"/>
  <c r="AQ932" i="3"/>
  <c r="AP932" i="3"/>
  <c r="AO932" i="3"/>
  <c r="AN932" i="3"/>
  <c r="AM932" i="3"/>
  <c r="AL932" i="3"/>
  <c r="L932" i="3"/>
  <c r="D932" i="3"/>
  <c r="AQ931" i="3"/>
  <c r="AP931" i="3"/>
  <c r="AO931" i="3"/>
  <c r="AN931" i="3"/>
  <c r="AM931" i="3"/>
  <c r="AL931" i="3"/>
  <c r="L931" i="3"/>
  <c r="D931" i="3"/>
  <c r="AQ930" i="3"/>
  <c r="AP930" i="3"/>
  <c r="AO930" i="3"/>
  <c r="AN930" i="3"/>
  <c r="AM930" i="3"/>
  <c r="AL930" i="3"/>
  <c r="L930" i="3"/>
  <c r="D930" i="3"/>
  <c r="AQ929" i="3"/>
  <c r="AP929" i="3"/>
  <c r="AO929" i="3"/>
  <c r="AN929" i="3"/>
  <c r="AM929" i="3"/>
  <c r="AL929" i="3"/>
  <c r="L929" i="3"/>
  <c r="D929" i="3"/>
  <c r="AQ928" i="3"/>
  <c r="AP928" i="3"/>
  <c r="AO928" i="3"/>
  <c r="AN928" i="3"/>
  <c r="AM928" i="3"/>
  <c r="AL928" i="3"/>
  <c r="L928" i="3"/>
  <c r="D928" i="3"/>
  <c r="AQ927" i="3"/>
  <c r="AP927" i="3"/>
  <c r="AO927" i="3"/>
  <c r="AN927" i="3"/>
  <c r="AM927" i="3"/>
  <c r="AL927" i="3"/>
  <c r="L927" i="3"/>
  <c r="D927" i="3"/>
  <c r="AQ926" i="3"/>
  <c r="AP926" i="3"/>
  <c r="AO926" i="3"/>
  <c r="AN926" i="3"/>
  <c r="AM926" i="3"/>
  <c r="AL926" i="3"/>
  <c r="L926" i="3"/>
  <c r="D926" i="3"/>
  <c r="AQ925" i="3"/>
  <c r="AP925" i="3"/>
  <c r="AO925" i="3"/>
  <c r="AN925" i="3"/>
  <c r="AM925" i="3"/>
  <c r="AL925" i="3"/>
  <c r="L925" i="3"/>
  <c r="D925" i="3"/>
  <c r="AQ924" i="3"/>
  <c r="AP924" i="3"/>
  <c r="AO924" i="3"/>
  <c r="AN924" i="3"/>
  <c r="AM924" i="3"/>
  <c r="AL924" i="3"/>
  <c r="L924" i="3"/>
  <c r="D924" i="3"/>
  <c r="AQ923" i="3"/>
  <c r="AP923" i="3"/>
  <c r="AO923" i="3"/>
  <c r="AN923" i="3"/>
  <c r="AM923" i="3"/>
  <c r="AL923" i="3"/>
  <c r="L923" i="3"/>
  <c r="D923" i="3"/>
  <c r="AQ922" i="3"/>
  <c r="AP922" i="3"/>
  <c r="AO922" i="3"/>
  <c r="AN922" i="3"/>
  <c r="AM922" i="3"/>
  <c r="AL922" i="3"/>
  <c r="L922" i="3"/>
  <c r="D922" i="3"/>
  <c r="AQ921" i="3"/>
  <c r="AP921" i="3"/>
  <c r="AO921" i="3"/>
  <c r="AN921" i="3"/>
  <c r="AM921" i="3"/>
  <c r="AL921" i="3"/>
  <c r="L921" i="3"/>
  <c r="D921" i="3"/>
  <c r="AQ920" i="3"/>
  <c r="AP920" i="3"/>
  <c r="AO920" i="3"/>
  <c r="AN920" i="3"/>
  <c r="AM920" i="3"/>
  <c r="AL920" i="3"/>
  <c r="L920" i="3"/>
  <c r="D920" i="3"/>
  <c r="AQ919" i="3"/>
  <c r="AP919" i="3"/>
  <c r="AO919" i="3"/>
  <c r="AN919" i="3"/>
  <c r="AM919" i="3"/>
  <c r="AL919" i="3"/>
  <c r="L919" i="3"/>
  <c r="D919" i="3"/>
  <c r="AQ918" i="3"/>
  <c r="AP918" i="3"/>
  <c r="AO918" i="3"/>
  <c r="AN918" i="3"/>
  <c r="AM918" i="3"/>
  <c r="AL918" i="3"/>
  <c r="L918" i="3"/>
  <c r="D918" i="3"/>
  <c r="AQ917" i="3"/>
  <c r="AP917" i="3"/>
  <c r="AO917" i="3"/>
  <c r="AN917" i="3"/>
  <c r="AM917" i="3"/>
  <c r="AL917" i="3"/>
  <c r="L917" i="3"/>
  <c r="D917" i="3"/>
  <c r="AQ916" i="3"/>
  <c r="AP916" i="3"/>
  <c r="AO916" i="3"/>
  <c r="AN916" i="3"/>
  <c r="AM916" i="3"/>
  <c r="AL916" i="3"/>
  <c r="L916" i="3"/>
  <c r="D916" i="3"/>
  <c r="AQ915" i="3"/>
  <c r="AP915" i="3"/>
  <c r="AO915" i="3"/>
  <c r="AN915" i="3"/>
  <c r="AM915" i="3"/>
  <c r="AL915" i="3"/>
  <c r="L915" i="3"/>
  <c r="D915" i="3"/>
  <c r="AQ914" i="3"/>
  <c r="AP914" i="3"/>
  <c r="AO914" i="3"/>
  <c r="AN914" i="3"/>
  <c r="AM914" i="3"/>
  <c r="AL914" i="3"/>
  <c r="L914" i="3"/>
  <c r="D914" i="3"/>
  <c r="L913" i="3"/>
  <c r="D913" i="3"/>
  <c r="AQ912" i="3"/>
  <c r="AP912" i="3"/>
  <c r="AO912" i="3"/>
  <c r="AN912" i="3"/>
  <c r="AM912" i="3"/>
  <c r="AL912" i="3"/>
  <c r="L912" i="3"/>
  <c r="D912" i="3"/>
  <c r="AQ911" i="3"/>
  <c r="AP911" i="3"/>
  <c r="AO911" i="3"/>
  <c r="AN911" i="3"/>
  <c r="AM911" i="3"/>
  <c r="AL911" i="3"/>
  <c r="L911" i="3"/>
  <c r="D911" i="3"/>
  <c r="AQ910" i="3"/>
  <c r="AP910" i="3"/>
  <c r="AO910" i="3"/>
  <c r="AN910" i="3"/>
  <c r="AM910" i="3"/>
  <c r="AL910" i="3"/>
  <c r="L910" i="3"/>
  <c r="D910" i="3"/>
  <c r="AQ909" i="3"/>
  <c r="AP909" i="3"/>
  <c r="AO909" i="3"/>
  <c r="AN909" i="3"/>
  <c r="AM909" i="3"/>
  <c r="AL909" i="3"/>
  <c r="L909" i="3"/>
  <c r="D909" i="3"/>
  <c r="L908" i="3"/>
  <c r="D908" i="3"/>
  <c r="AQ907" i="3"/>
  <c r="AP907" i="3"/>
  <c r="AO907" i="3"/>
  <c r="AN907" i="3"/>
  <c r="AM907" i="3"/>
  <c r="AL907" i="3"/>
  <c r="L907" i="3"/>
  <c r="D907" i="3"/>
  <c r="L906" i="3"/>
  <c r="D906" i="3"/>
  <c r="AQ905" i="3"/>
  <c r="AP905" i="3"/>
  <c r="AO905" i="3"/>
  <c r="AN905" i="3"/>
  <c r="AM905" i="3"/>
  <c r="AL905" i="3"/>
  <c r="L905" i="3"/>
  <c r="D905" i="3"/>
  <c r="AQ904" i="3"/>
  <c r="AP904" i="3"/>
  <c r="AO904" i="3"/>
  <c r="AN904" i="3"/>
  <c r="AM904" i="3"/>
  <c r="AL904" i="3"/>
  <c r="L904" i="3"/>
  <c r="D904" i="3"/>
  <c r="AQ903" i="3"/>
  <c r="AP903" i="3"/>
  <c r="AO903" i="3"/>
  <c r="AN903" i="3"/>
  <c r="AM903" i="3"/>
  <c r="AL903" i="3"/>
  <c r="L903" i="3"/>
  <c r="D903" i="3"/>
  <c r="AQ902" i="3"/>
  <c r="AP902" i="3"/>
  <c r="AO902" i="3"/>
  <c r="AN902" i="3"/>
  <c r="AM902" i="3"/>
  <c r="AL902" i="3"/>
  <c r="L902" i="3"/>
  <c r="D902" i="3"/>
  <c r="AQ901" i="3"/>
  <c r="AP901" i="3"/>
  <c r="AO901" i="3"/>
  <c r="AN901" i="3"/>
  <c r="AM901" i="3"/>
  <c r="AL901" i="3"/>
  <c r="L901" i="3"/>
  <c r="D901" i="3"/>
  <c r="AQ900" i="3"/>
  <c r="AP900" i="3"/>
  <c r="AO900" i="3"/>
  <c r="AN900" i="3"/>
  <c r="AM900" i="3"/>
  <c r="AL900" i="3"/>
  <c r="L900" i="3"/>
  <c r="D900" i="3"/>
  <c r="AQ899" i="3"/>
  <c r="AP899" i="3"/>
  <c r="AO899" i="3"/>
  <c r="AN899" i="3"/>
  <c r="AM899" i="3"/>
  <c r="AL899" i="3"/>
  <c r="L899" i="3"/>
  <c r="D899" i="3"/>
  <c r="L898" i="3"/>
  <c r="D898" i="3"/>
  <c r="AQ897" i="3"/>
  <c r="AP897" i="3"/>
  <c r="AO897" i="3"/>
  <c r="AN897" i="3"/>
  <c r="AM897" i="3"/>
  <c r="AL897" i="3"/>
  <c r="L897" i="3"/>
  <c r="D897" i="3"/>
  <c r="AQ896" i="3"/>
  <c r="AP896" i="3"/>
  <c r="AO896" i="3"/>
  <c r="AN896" i="3"/>
  <c r="AM896" i="3"/>
  <c r="AL896" i="3"/>
  <c r="L896" i="3"/>
  <c r="D896" i="3"/>
  <c r="AQ895" i="3"/>
  <c r="AP895" i="3"/>
  <c r="AO895" i="3"/>
  <c r="AN895" i="3"/>
  <c r="AM895" i="3"/>
  <c r="AL895" i="3"/>
  <c r="L895" i="3"/>
  <c r="D895" i="3"/>
  <c r="AQ894" i="3"/>
  <c r="AP894" i="3"/>
  <c r="AO894" i="3"/>
  <c r="AN894" i="3"/>
  <c r="AM894" i="3"/>
  <c r="AL894" i="3"/>
  <c r="L894" i="3"/>
  <c r="D894" i="3"/>
  <c r="AQ893" i="3"/>
  <c r="AP893" i="3"/>
  <c r="AO893" i="3"/>
  <c r="AN893" i="3"/>
  <c r="AM893" i="3"/>
  <c r="AL893" i="3"/>
  <c r="L893" i="3"/>
  <c r="D893" i="3"/>
  <c r="AQ892" i="3"/>
  <c r="AP892" i="3"/>
  <c r="AO892" i="3"/>
  <c r="AN892" i="3"/>
  <c r="AM892" i="3"/>
  <c r="AL892" i="3"/>
  <c r="L892" i="3"/>
  <c r="D892" i="3"/>
  <c r="AQ891" i="3"/>
  <c r="AP891" i="3"/>
  <c r="AO891" i="3"/>
  <c r="AN891" i="3"/>
  <c r="AM891" i="3"/>
  <c r="AL891" i="3"/>
  <c r="L891" i="3"/>
  <c r="D891" i="3"/>
  <c r="AQ890" i="3"/>
  <c r="AP890" i="3"/>
  <c r="AO890" i="3"/>
  <c r="AN890" i="3"/>
  <c r="AM890" i="3"/>
  <c r="AL890" i="3"/>
  <c r="L890" i="3"/>
  <c r="D890" i="3"/>
  <c r="AQ889" i="3"/>
  <c r="AP889" i="3"/>
  <c r="AO889" i="3"/>
  <c r="AN889" i="3"/>
  <c r="AM889" i="3"/>
  <c r="AL889" i="3"/>
  <c r="L889" i="3"/>
  <c r="D889" i="3"/>
  <c r="AQ888" i="3"/>
  <c r="AP888" i="3"/>
  <c r="AO888" i="3"/>
  <c r="AN888" i="3"/>
  <c r="AM888" i="3"/>
  <c r="AL888" i="3"/>
  <c r="L888" i="3"/>
  <c r="D888" i="3"/>
  <c r="L887" i="3"/>
  <c r="D887" i="3"/>
  <c r="AQ886" i="3"/>
  <c r="AP886" i="3"/>
  <c r="AO886" i="3"/>
  <c r="AN886" i="3"/>
  <c r="AM886" i="3"/>
  <c r="AL886" i="3"/>
  <c r="L886" i="3"/>
  <c r="D886" i="3"/>
  <c r="AQ885" i="3"/>
  <c r="AP885" i="3"/>
  <c r="AO885" i="3"/>
  <c r="AN885" i="3"/>
  <c r="AM885" i="3"/>
  <c r="AL885" i="3"/>
  <c r="L885" i="3"/>
  <c r="D885" i="3"/>
  <c r="AQ884" i="3"/>
  <c r="AP884" i="3"/>
  <c r="AO884" i="3"/>
  <c r="AN884" i="3"/>
  <c r="AM884" i="3"/>
  <c r="AL884" i="3"/>
  <c r="L884" i="3"/>
  <c r="D884" i="3"/>
  <c r="AQ883" i="3"/>
  <c r="AP883" i="3"/>
  <c r="AO883" i="3"/>
  <c r="AN883" i="3"/>
  <c r="AM883" i="3"/>
  <c r="AL883" i="3"/>
  <c r="L883" i="3"/>
  <c r="D883" i="3"/>
  <c r="L882" i="3"/>
  <c r="D882" i="3"/>
  <c r="AQ881" i="3"/>
  <c r="AP881" i="3"/>
  <c r="AO881" i="3"/>
  <c r="AN881" i="3"/>
  <c r="AM881" i="3"/>
  <c r="AL881" i="3"/>
  <c r="L881" i="3"/>
  <c r="D881" i="3"/>
  <c r="AQ880" i="3"/>
  <c r="AP880" i="3"/>
  <c r="AO880" i="3"/>
  <c r="AN880" i="3"/>
  <c r="AM880" i="3"/>
  <c r="AL880" i="3"/>
  <c r="L880" i="3"/>
  <c r="D880" i="3"/>
  <c r="L879" i="3"/>
  <c r="D879" i="3"/>
  <c r="AQ878" i="3"/>
  <c r="AP878" i="3"/>
  <c r="AO878" i="3"/>
  <c r="AN878" i="3"/>
  <c r="AM878" i="3"/>
  <c r="AL878" i="3"/>
  <c r="L878" i="3"/>
  <c r="D878" i="3"/>
  <c r="AQ877" i="3"/>
  <c r="AP877" i="3"/>
  <c r="AO877" i="3"/>
  <c r="AN877" i="3"/>
  <c r="AM877" i="3"/>
  <c r="AL877" i="3"/>
  <c r="L877" i="3"/>
  <c r="D877" i="3"/>
  <c r="AQ876" i="3"/>
  <c r="AP876" i="3"/>
  <c r="AO876" i="3"/>
  <c r="AN876" i="3"/>
  <c r="AM876" i="3"/>
  <c r="AL876" i="3"/>
  <c r="L876" i="3"/>
  <c r="D876" i="3"/>
  <c r="AQ875" i="3"/>
  <c r="AP875" i="3"/>
  <c r="AO875" i="3"/>
  <c r="AN875" i="3"/>
  <c r="AM875" i="3"/>
  <c r="AL875" i="3"/>
  <c r="L875" i="3"/>
  <c r="D875" i="3"/>
  <c r="L874" i="3"/>
  <c r="D874" i="3"/>
  <c r="L873" i="3"/>
  <c r="D873" i="3"/>
  <c r="L872" i="3"/>
  <c r="D872" i="3"/>
  <c r="AQ871" i="3"/>
  <c r="AP871" i="3"/>
  <c r="AO871" i="3"/>
  <c r="AN871" i="3"/>
  <c r="AM871" i="3"/>
  <c r="AL871" i="3"/>
  <c r="L871" i="3"/>
  <c r="D871" i="3"/>
  <c r="L870" i="3"/>
  <c r="D870" i="3"/>
  <c r="L869" i="3"/>
  <c r="D869" i="3"/>
  <c r="L868" i="3"/>
  <c r="D868" i="3"/>
  <c r="L867" i="3"/>
  <c r="D867" i="3"/>
  <c r="AQ866" i="3"/>
  <c r="AP866" i="3"/>
  <c r="AO866" i="3"/>
  <c r="AN866" i="3"/>
  <c r="AM866" i="3"/>
  <c r="AL866" i="3"/>
  <c r="L866" i="3"/>
  <c r="D866" i="3"/>
  <c r="AQ865" i="3"/>
  <c r="AP865" i="3"/>
  <c r="AO865" i="3"/>
  <c r="AN865" i="3"/>
  <c r="AM865" i="3"/>
  <c r="AL865" i="3"/>
  <c r="L865" i="3"/>
  <c r="D865" i="3"/>
  <c r="AQ864" i="3"/>
  <c r="AP864" i="3"/>
  <c r="AO864" i="3"/>
  <c r="AN864" i="3"/>
  <c r="AM864" i="3"/>
  <c r="AL864" i="3"/>
  <c r="L864" i="3"/>
  <c r="D864" i="3"/>
  <c r="AQ863" i="3"/>
  <c r="AP863" i="3"/>
  <c r="AO863" i="3"/>
  <c r="AN863" i="3"/>
  <c r="AM863" i="3"/>
  <c r="AL863" i="3"/>
  <c r="L863" i="3"/>
  <c r="D863" i="3"/>
  <c r="L862" i="3"/>
  <c r="D862" i="3"/>
  <c r="AQ861" i="3"/>
  <c r="AP861" i="3"/>
  <c r="AO861" i="3"/>
  <c r="AN861" i="3"/>
  <c r="AM861" i="3"/>
  <c r="AL861" i="3"/>
  <c r="L861" i="3"/>
  <c r="D861" i="3"/>
  <c r="L860" i="3"/>
  <c r="D860" i="3"/>
  <c r="L859" i="3"/>
  <c r="D859" i="3"/>
  <c r="AQ858" i="3"/>
  <c r="AP858" i="3"/>
  <c r="AO858" i="3"/>
  <c r="AN858" i="3"/>
  <c r="AM858" i="3"/>
  <c r="AL858" i="3"/>
  <c r="L858" i="3"/>
  <c r="D858" i="3"/>
  <c r="AQ857" i="3"/>
  <c r="AP857" i="3"/>
  <c r="AO857" i="3"/>
  <c r="AN857" i="3"/>
  <c r="AM857" i="3"/>
  <c r="AL857" i="3"/>
  <c r="L857" i="3"/>
  <c r="D857" i="3"/>
  <c r="L856" i="3"/>
  <c r="D856" i="3"/>
  <c r="AQ855" i="3"/>
  <c r="AP855" i="3"/>
  <c r="AO855" i="3"/>
  <c r="AN855" i="3"/>
  <c r="AM855" i="3"/>
  <c r="AL855" i="3"/>
  <c r="L855" i="3"/>
  <c r="D855" i="3"/>
  <c r="AQ854" i="3"/>
  <c r="AP854" i="3"/>
  <c r="AO854" i="3"/>
  <c r="AN854" i="3"/>
  <c r="AM854" i="3"/>
  <c r="AL854" i="3"/>
  <c r="L854" i="3"/>
  <c r="D854" i="3"/>
  <c r="AQ853" i="3"/>
  <c r="AP853" i="3"/>
  <c r="AO853" i="3"/>
  <c r="AN853" i="3"/>
  <c r="AM853" i="3"/>
  <c r="AL853" i="3"/>
  <c r="L853" i="3"/>
  <c r="D853" i="3"/>
  <c r="AQ852" i="3"/>
  <c r="AP852" i="3"/>
  <c r="AO852" i="3"/>
  <c r="AN852" i="3"/>
  <c r="AM852" i="3"/>
  <c r="AL852" i="3"/>
  <c r="L852" i="3"/>
  <c r="D852" i="3"/>
  <c r="AQ851" i="3"/>
  <c r="AP851" i="3"/>
  <c r="AO851" i="3"/>
  <c r="AN851" i="3"/>
  <c r="AM851" i="3"/>
  <c r="AL851" i="3"/>
  <c r="L851" i="3"/>
  <c r="D851" i="3"/>
  <c r="AQ850" i="3"/>
  <c r="AP850" i="3"/>
  <c r="AO850" i="3"/>
  <c r="AN850" i="3"/>
  <c r="AM850" i="3"/>
  <c r="AL850" i="3"/>
  <c r="L850" i="3"/>
  <c r="D850" i="3"/>
  <c r="AQ849" i="3"/>
  <c r="AP849" i="3"/>
  <c r="AO849" i="3"/>
  <c r="AN849" i="3"/>
  <c r="AM849" i="3"/>
  <c r="AL849" i="3"/>
  <c r="L849" i="3"/>
  <c r="D849" i="3"/>
  <c r="AQ848" i="3"/>
  <c r="AP848" i="3"/>
  <c r="AO848" i="3"/>
  <c r="AN848" i="3"/>
  <c r="AM848" i="3"/>
  <c r="AL848" i="3"/>
  <c r="L848" i="3"/>
  <c r="D848" i="3"/>
  <c r="AQ847" i="3"/>
  <c r="AP847" i="3"/>
  <c r="AO847" i="3"/>
  <c r="AN847" i="3"/>
  <c r="AM847" i="3"/>
  <c r="AL847" i="3"/>
  <c r="L847" i="3"/>
  <c r="D847" i="3"/>
  <c r="L846" i="3"/>
  <c r="D846" i="3"/>
  <c r="AQ845" i="3"/>
  <c r="AP845" i="3"/>
  <c r="AO845" i="3"/>
  <c r="AN845" i="3"/>
  <c r="AM845" i="3"/>
  <c r="AL845" i="3"/>
  <c r="L845" i="3"/>
  <c r="D845" i="3"/>
  <c r="AQ844" i="3"/>
  <c r="AP844" i="3"/>
  <c r="AO844" i="3"/>
  <c r="AN844" i="3"/>
  <c r="AM844" i="3"/>
  <c r="AL844" i="3"/>
  <c r="L844" i="3"/>
  <c r="D844" i="3"/>
  <c r="AQ843" i="3"/>
  <c r="AP843" i="3"/>
  <c r="AO843" i="3"/>
  <c r="AN843" i="3"/>
  <c r="AM843" i="3"/>
  <c r="AL843" i="3"/>
  <c r="L843" i="3"/>
  <c r="D843" i="3"/>
  <c r="L842" i="3"/>
  <c r="D842" i="3"/>
  <c r="AQ841" i="3"/>
  <c r="AP841" i="3"/>
  <c r="AO841" i="3"/>
  <c r="AN841" i="3"/>
  <c r="AM841" i="3"/>
  <c r="AL841" i="3"/>
  <c r="L841" i="3"/>
  <c r="D841" i="3"/>
  <c r="AQ840" i="3"/>
  <c r="AP840" i="3"/>
  <c r="AO840" i="3"/>
  <c r="AN840" i="3"/>
  <c r="AM840" i="3"/>
  <c r="AL840" i="3"/>
  <c r="L840" i="3"/>
  <c r="D840" i="3"/>
  <c r="AQ839" i="3"/>
  <c r="AP839" i="3"/>
  <c r="AO839" i="3"/>
  <c r="AN839" i="3"/>
  <c r="AM839" i="3"/>
  <c r="AL839" i="3"/>
  <c r="L839" i="3"/>
  <c r="D839" i="3"/>
  <c r="AQ838" i="3"/>
  <c r="AP838" i="3"/>
  <c r="AO838" i="3"/>
  <c r="AN838" i="3"/>
  <c r="AM838" i="3"/>
  <c r="AL838" i="3"/>
  <c r="L838" i="3"/>
  <c r="D838" i="3"/>
  <c r="L837" i="3"/>
  <c r="D837" i="3"/>
  <c r="AQ836" i="3"/>
  <c r="AP836" i="3"/>
  <c r="AO836" i="3"/>
  <c r="AN836" i="3"/>
  <c r="AM836" i="3"/>
  <c r="AL836" i="3"/>
  <c r="L836" i="3"/>
  <c r="D836" i="3"/>
  <c r="L835" i="3"/>
  <c r="D835" i="3"/>
  <c r="L834" i="3"/>
  <c r="D834" i="3"/>
  <c r="L833" i="3"/>
  <c r="D833" i="3"/>
  <c r="AQ832" i="3"/>
  <c r="AP832" i="3"/>
  <c r="AO832" i="3"/>
  <c r="AN832" i="3"/>
  <c r="AM832" i="3"/>
  <c r="AL832" i="3"/>
  <c r="L832" i="3"/>
  <c r="D832" i="3"/>
  <c r="AQ831" i="3"/>
  <c r="AP831" i="3"/>
  <c r="AO831" i="3"/>
  <c r="AN831" i="3"/>
  <c r="AM831" i="3"/>
  <c r="AL831" i="3"/>
  <c r="L831" i="3"/>
  <c r="D831" i="3"/>
  <c r="AQ830" i="3"/>
  <c r="AP830" i="3"/>
  <c r="AO830" i="3"/>
  <c r="AN830" i="3"/>
  <c r="AM830" i="3"/>
  <c r="AL830" i="3"/>
  <c r="L830" i="3"/>
  <c r="D830" i="3"/>
  <c r="AQ829" i="3"/>
  <c r="AP829" i="3"/>
  <c r="AO829" i="3"/>
  <c r="AN829" i="3"/>
  <c r="AM829" i="3"/>
  <c r="AL829" i="3"/>
  <c r="L829" i="3"/>
  <c r="D829" i="3"/>
  <c r="AQ828" i="3"/>
  <c r="AP828" i="3"/>
  <c r="AO828" i="3"/>
  <c r="AN828" i="3"/>
  <c r="AM828" i="3"/>
  <c r="AL828" i="3"/>
  <c r="L828" i="3"/>
  <c r="D828" i="3"/>
  <c r="AQ827" i="3"/>
  <c r="AP827" i="3"/>
  <c r="AO827" i="3"/>
  <c r="AN827" i="3"/>
  <c r="AM827" i="3"/>
  <c r="AL827" i="3"/>
  <c r="L827" i="3"/>
  <c r="D827" i="3"/>
  <c r="AQ826" i="3"/>
  <c r="AP826" i="3"/>
  <c r="AO826" i="3"/>
  <c r="AN826" i="3"/>
  <c r="AM826" i="3"/>
  <c r="AL826" i="3"/>
  <c r="L826" i="3"/>
  <c r="D826" i="3"/>
  <c r="AQ825" i="3"/>
  <c r="AP825" i="3"/>
  <c r="AO825" i="3"/>
  <c r="AN825" i="3"/>
  <c r="AM825" i="3"/>
  <c r="AL825" i="3"/>
  <c r="L825" i="3"/>
  <c r="D825" i="3"/>
  <c r="AQ824" i="3"/>
  <c r="AP824" i="3"/>
  <c r="AO824" i="3"/>
  <c r="AN824" i="3"/>
  <c r="AM824" i="3"/>
  <c r="AL824" i="3"/>
  <c r="L824" i="3"/>
  <c r="D824" i="3"/>
  <c r="L823" i="3"/>
  <c r="D823" i="3"/>
  <c r="AQ822" i="3"/>
  <c r="AP822" i="3"/>
  <c r="AO822" i="3"/>
  <c r="AN822" i="3"/>
  <c r="AM822" i="3"/>
  <c r="AL822" i="3"/>
  <c r="L822" i="3"/>
  <c r="D822" i="3"/>
  <c r="AQ821" i="3"/>
  <c r="AP821" i="3"/>
  <c r="AO821" i="3"/>
  <c r="AN821" i="3"/>
  <c r="AM821" i="3"/>
  <c r="AL821" i="3"/>
  <c r="L821" i="3"/>
  <c r="D821" i="3"/>
  <c r="L820" i="3"/>
  <c r="D820" i="3"/>
  <c r="AQ819" i="3"/>
  <c r="AP819" i="3"/>
  <c r="AO819" i="3"/>
  <c r="AN819" i="3"/>
  <c r="AM819" i="3"/>
  <c r="AL819" i="3"/>
  <c r="L819" i="3"/>
  <c r="D819" i="3"/>
  <c r="L818" i="3"/>
  <c r="D818" i="3"/>
  <c r="AQ817" i="3"/>
  <c r="AP817" i="3"/>
  <c r="AO817" i="3"/>
  <c r="AN817" i="3"/>
  <c r="AM817" i="3"/>
  <c r="AL817" i="3"/>
  <c r="L817" i="3"/>
  <c r="D817" i="3"/>
  <c r="AQ816" i="3"/>
  <c r="AP816" i="3"/>
  <c r="AO816" i="3"/>
  <c r="AN816" i="3"/>
  <c r="AM816" i="3"/>
  <c r="AL816" i="3"/>
  <c r="L816" i="3"/>
  <c r="D816" i="3"/>
  <c r="AQ815" i="3"/>
  <c r="AP815" i="3"/>
  <c r="AO815" i="3"/>
  <c r="AN815" i="3"/>
  <c r="AM815" i="3"/>
  <c r="AL815" i="3"/>
  <c r="L815" i="3"/>
  <c r="D815" i="3"/>
  <c r="AQ814" i="3"/>
  <c r="AP814" i="3"/>
  <c r="AO814" i="3"/>
  <c r="AN814" i="3"/>
  <c r="AM814" i="3"/>
  <c r="AL814" i="3"/>
  <c r="L814" i="3"/>
  <c r="D814" i="3"/>
  <c r="AQ813" i="3"/>
  <c r="AP813" i="3"/>
  <c r="AO813" i="3"/>
  <c r="AN813" i="3"/>
  <c r="AM813" i="3"/>
  <c r="AL813" i="3"/>
  <c r="L813" i="3"/>
  <c r="D813" i="3"/>
  <c r="L812" i="3"/>
  <c r="D812" i="3"/>
  <c r="L811" i="3"/>
  <c r="D811" i="3"/>
  <c r="L810" i="3"/>
  <c r="D810" i="3"/>
  <c r="L809" i="3"/>
  <c r="D809" i="3"/>
  <c r="AQ808" i="3"/>
  <c r="AP808" i="3"/>
  <c r="AO808" i="3"/>
  <c r="AN808" i="3"/>
  <c r="AM808" i="3"/>
  <c r="AL808" i="3"/>
  <c r="L808" i="3"/>
  <c r="D808" i="3"/>
  <c r="L807" i="3"/>
  <c r="D807" i="3"/>
  <c r="AQ806" i="3"/>
  <c r="AP806" i="3"/>
  <c r="AO806" i="3"/>
  <c r="AN806" i="3"/>
  <c r="AM806" i="3"/>
  <c r="AL806" i="3"/>
  <c r="L806" i="3"/>
  <c r="D806" i="3"/>
  <c r="AQ805" i="3"/>
  <c r="AP805" i="3"/>
  <c r="AO805" i="3"/>
  <c r="AN805" i="3"/>
  <c r="AM805" i="3"/>
  <c r="AL805" i="3"/>
  <c r="L805" i="3"/>
  <c r="D805" i="3"/>
  <c r="L804" i="3"/>
  <c r="D804" i="3"/>
  <c r="L803" i="3"/>
  <c r="D803" i="3"/>
  <c r="AQ802" i="3"/>
  <c r="AP802" i="3"/>
  <c r="AO802" i="3"/>
  <c r="AN802" i="3"/>
  <c r="AM802" i="3"/>
  <c r="AL802" i="3"/>
  <c r="L802" i="3"/>
  <c r="D802" i="3"/>
  <c r="AQ801" i="3"/>
  <c r="AP801" i="3"/>
  <c r="AO801" i="3"/>
  <c r="AN801" i="3"/>
  <c r="AM801" i="3"/>
  <c r="AL801" i="3"/>
  <c r="L801" i="3"/>
  <c r="D801" i="3"/>
  <c r="AQ800" i="3"/>
  <c r="AP800" i="3"/>
  <c r="AO800" i="3"/>
  <c r="AN800" i="3"/>
  <c r="AM800" i="3"/>
  <c r="AL800" i="3"/>
  <c r="L800" i="3"/>
  <c r="D800" i="3"/>
  <c r="L799" i="3"/>
  <c r="D799" i="3"/>
  <c r="AQ798" i="3"/>
  <c r="AP798" i="3"/>
  <c r="AO798" i="3"/>
  <c r="AN798" i="3"/>
  <c r="AM798" i="3"/>
  <c r="AL798" i="3"/>
  <c r="L798" i="3"/>
  <c r="D798" i="3"/>
  <c r="AQ797" i="3"/>
  <c r="AP797" i="3"/>
  <c r="AO797" i="3"/>
  <c r="AN797" i="3"/>
  <c r="AM797" i="3"/>
  <c r="AL797" i="3"/>
  <c r="L797" i="3"/>
  <c r="D797" i="3"/>
  <c r="AQ796" i="3"/>
  <c r="AP796" i="3"/>
  <c r="AO796" i="3"/>
  <c r="AN796" i="3"/>
  <c r="AM796" i="3"/>
  <c r="AL796" i="3"/>
  <c r="L796" i="3"/>
  <c r="D796" i="3"/>
  <c r="AQ795" i="3"/>
  <c r="AP795" i="3"/>
  <c r="AO795" i="3"/>
  <c r="AN795" i="3"/>
  <c r="AM795" i="3"/>
  <c r="AL795" i="3"/>
  <c r="L795" i="3"/>
  <c r="D795" i="3"/>
  <c r="AQ794" i="3"/>
  <c r="AP794" i="3"/>
  <c r="AO794" i="3"/>
  <c r="AN794" i="3"/>
  <c r="AM794" i="3"/>
  <c r="AL794" i="3"/>
  <c r="L794" i="3"/>
  <c r="D794" i="3"/>
  <c r="AQ793" i="3"/>
  <c r="AP793" i="3"/>
  <c r="AO793" i="3"/>
  <c r="AN793" i="3"/>
  <c r="AM793" i="3"/>
  <c r="AL793" i="3"/>
  <c r="L793" i="3"/>
  <c r="D793" i="3"/>
  <c r="AQ792" i="3"/>
  <c r="AP792" i="3"/>
  <c r="AO792" i="3"/>
  <c r="AN792" i="3"/>
  <c r="AM792" i="3"/>
  <c r="AL792" i="3"/>
  <c r="L792" i="3"/>
  <c r="D792" i="3"/>
  <c r="AQ791" i="3"/>
  <c r="AP791" i="3"/>
  <c r="AO791" i="3"/>
  <c r="AN791" i="3"/>
  <c r="AM791" i="3"/>
  <c r="AL791" i="3"/>
  <c r="L791" i="3"/>
  <c r="D791" i="3"/>
  <c r="AQ790" i="3"/>
  <c r="AP790" i="3"/>
  <c r="AO790" i="3"/>
  <c r="AN790" i="3"/>
  <c r="AM790" i="3"/>
  <c r="AL790" i="3"/>
  <c r="L790" i="3"/>
  <c r="D790" i="3"/>
  <c r="AQ789" i="3"/>
  <c r="AP789" i="3"/>
  <c r="AO789" i="3"/>
  <c r="AN789" i="3"/>
  <c r="AM789" i="3"/>
  <c r="AL789" i="3"/>
  <c r="L789" i="3"/>
  <c r="D789" i="3"/>
  <c r="AQ788" i="3"/>
  <c r="AP788" i="3"/>
  <c r="AO788" i="3"/>
  <c r="AN788" i="3"/>
  <c r="AM788" i="3"/>
  <c r="AL788" i="3"/>
  <c r="L788" i="3"/>
  <c r="D788" i="3"/>
  <c r="L787" i="3"/>
  <c r="D787" i="3"/>
  <c r="AQ786" i="3"/>
  <c r="AP786" i="3"/>
  <c r="AO786" i="3"/>
  <c r="AN786" i="3"/>
  <c r="AM786" i="3"/>
  <c r="AL786" i="3"/>
  <c r="L786" i="3"/>
  <c r="D786" i="3"/>
  <c r="AQ785" i="3"/>
  <c r="AP785" i="3"/>
  <c r="AO785" i="3"/>
  <c r="AN785" i="3"/>
  <c r="AM785" i="3"/>
  <c r="AL785" i="3"/>
  <c r="L785" i="3"/>
  <c r="D785" i="3"/>
  <c r="L784" i="3"/>
  <c r="D784" i="3"/>
  <c r="AQ783" i="3"/>
  <c r="AP783" i="3"/>
  <c r="AO783" i="3"/>
  <c r="AN783" i="3"/>
  <c r="AM783" i="3"/>
  <c r="AL783" i="3"/>
  <c r="L783" i="3"/>
  <c r="D783" i="3"/>
  <c r="AQ782" i="3"/>
  <c r="AP782" i="3"/>
  <c r="AO782" i="3"/>
  <c r="AN782" i="3"/>
  <c r="AM782" i="3"/>
  <c r="AL782" i="3"/>
  <c r="L782" i="3"/>
  <c r="D782" i="3"/>
  <c r="AQ781" i="3"/>
  <c r="AP781" i="3"/>
  <c r="AO781" i="3"/>
  <c r="AN781" i="3"/>
  <c r="AM781" i="3"/>
  <c r="AL781" i="3"/>
  <c r="L781" i="3"/>
  <c r="D781" i="3"/>
  <c r="AQ780" i="3"/>
  <c r="AP780" i="3"/>
  <c r="AO780" i="3"/>
  <c r="AN780" i="3"/>
  <c r="AM780" i="3"/>
  <c r="AL780" i="3"/>
  <c r="L780" i="3"/>
  <c r="D780" i="3"/>
  <c r="AQ779" i="3"/>
  <c r="AP779" i="3"/>
  <c r="AO779" i="3"/>
  <c r="AN779" i="3"/>
  <c r="AM779" i="3"/>
  <c r="AL779" i="3"/>
  <c r="L779" i="3"/>
  <c r="D779" i="3"/>
  <c r="AQ778" i="3"/>
  <c r="AP778" i="3"/>
  <c r="AO778" i="3"/>
  <c r="AN778" i="3"/>
  <c r="AM778" i="3"/>
  <c r="AL778" i="3"/>
  <c r="L778" i="3"/>
  <c r="D778" i="3"/>
  <c r="L777" i="3"/>
  <c r="D777" i="3"/>
  <c r="AQ776" i="3"/>
  <c r="AP776" i="3"/>
  <c r="AO776" i="3"/>
  <c r="AN776" i="3"/>
  <c r="AM776" i="3"/>
  <c r="AL776" i="3"/>
  <c r="L776" i="3"/>
  <c r="D776" i="3"/>
  <c r="AQ775" i="3"/>
  <c r="AP775" i="3"/>
  <c r="AO775" i="3"/>
  <c r="AN775" i="3"/>
  <c r="AM775" i="3"/>
  <c r="AL775" i="3"/>
  <c r="L775" i="3"/>
  <c r="D775" i="3"/>
  <c r="L774" i="3"/>
  <c r="D774" i="3"/>
  <c r="AQ773" i="3"/>
  <c r="AP773" i="3"/>
  <c r="AO773" i="3"/>
  <c r="AN773" i="3"/>
  <c r="AM773" i="3"/>
  <c r="AL773" i="3"/>
  <c r="L773" i="3"/>
  <c r="D773" i="3"/>
  <c r="AQ772" i="3"/>
  <c r="AP772" i="3"/>
  <c r="AO772" i="3"/>
  <c r="AN772" i="3"/>
  <c r="AM772" i="3"/>
  <c r="AL772" i="3"/>
  <c r="L772" i="3"/>
  <c r="D772" i="3"/>
  <c r="AQ771" i="3"/>
  <c r="AP771" i="3"/>
  <c r="AO771" i="3"/>
  <c r="AN771" i="3"/>
  <c r="AM771" i="3"/>
  <c r="AL771" i="3"/>
  <c r="L771" i="3"/>
  <c r="D771" i="3"/>
  <c r="AQ770" i="3"/>
  <c r="AP770" i="3"/>
  <c r="AO770" i="3"/>
  <c r="AN770" i="3"/>
  <c r="AM770" i="3"/>
  <c r="AL770" i="3"/>
  <c r="L770" i="3"/>
  <c r="D770" i="3"/>
  <c r="L769" i="3"/>
  <c r="D769" i="3"/>
  <c r="AQ768" i="3"/>
  <c r="AP768" i="3"/>
  <c r="AO768" i="3"/>
  <c r="AN768" i="3"/>
  <c r="AM768" i="3"/>
  <c r="AL768" i="3"/>
  <c r="L768" i="3"/>
  <c r="D768" i="3"/>
  <c r="L767" i="3"/>
  <c r="D767" i="3"/>
  <c r="AQ766" i="3"/>
  <c r="AP766" i="3"/>
  <c r="AO766" i="3"/>
  <c r="AN766" i="3"/>
  <c r="AM766" i="3"/>
  <c r="AL766" i="3"/>
  <c r="L766" i="3"/>
  <c r="D766" i="3"/>
  <c r="AQ765" i="3"/>
  <c r="AP765" i="3"/>
  <c r="AO765" i="3"/>
  <c r="AN765" i="3"/>
  <c r="AM765" i="3"/>
  <c r="AL765" i="3"/>
  <c r="L765" i="3"/>
  <c r="D765" i="3"/>
  <c r="AQ764" i="3"/>
  <c r="AP764" i="3"/>
  <c r="AO764" i="3"/>
  <c r="AN764" i="3"/>
  <c r="AM764" i="3"/>
  <c r="AL764" i="3"/>
  <c r="L764" i="3"/>
  <c r="D764" i="3"/>
  <c r="AQ763" i="3"/>
  <c r="AP763" i="3"/>
  <c r="AO763" i="3"/>
  <c r="AN763" i="3"/>
  <c r="AM763" i="3"/>
  <c r="AL763" i="3"/>
  <c r="L763" i="3"/>
  <c r="D763" i="3"/>
  <c r="AQ762" i="3"/>
  <c r="AP762" i="3"/>
  <c r="AO762" i="3"/>
  <c r="AN762" i="3"/>
  <c r="AM762" i="3"/>
  <c r="AL762" i="3"/>
  <c r="L762" i="3"/>
  <c r="D762" i="3"/>
  <c r="AQ761" i="3"/>
  <c r="AP761" i="3"/>
  <c r="AO761" i="3"/>
  <c r="AN761" i="3"/>
  <c r="AM761" i="3"/>
  <c r="AL761" i="3"/>
  <c r="L761" i="3"/>
  <c r="D761" i="3"/>
  <c r="AQ760" i="3"/>
  <c r="AP760" i="3"/>
  <c r="AO760" i="3"/>
  <c r="AN760" i="3"/>
  <c r="AM760" i="3"/>
  <c r="AL760" i="3"/>
  <c r="L760" i="3"/>
  <c r="D760" i="3"/>
  <c r="AQ759" i="3"/>
  <c r="AP759" i="3"/>
  <c r="AO759" i="3"/>
  <c r="AN759" i="3"/>
  <c r="AM759" i="3"/>
  <c r="AL759" i="3"/>
  <c r="L759" i="3"/>
  <c r="D759" i="3"/>
  <c r="AQ758" i="3"/>
  <c r="AP758" i="3"/>
  <c r="AO758" i="3"/>
  <c r="AN758" i="3"/>
  <c r="AM758" i="3"/>
  <c r="AL758" i="3"/>
  <c r="L758" i="3"/>
  <c r="D758" i="3"/>
  <c r="L757" i="3"/>
  <c r="D757" i="3"/>
  <c r="AQ756" i="3"/>
  <c r="AP756" i="3"/>
  <c r="AO756" i="3"/>
  <c r="AN756" i="3"/>
  <c r="AM756" i="3"/>
  <c r="AL756" i="3"/>
  <c r="L756" i="3"/>
  <c r="D756" i="3"/>
  <c r="L755" i="3"/>
  <c r="D755" i="3"/>
  <c r="L754" i="3"/>
  <c r="D754" i="3"/>
  <c r="L753" i="3"/>
  <c r="D753" i="3"/>
  <c r="L752" i="3"/>
  <c r="D752" i="3"/>
  <c r="L751" i="3"/>
  <c r="D751" i="3"/>
  <c r="AQ750" i="3"/>
  <c r="AP750" i="3"/>
  <c r="AO750" i="3"/>
  <c r="AN750" i="3"/>
  <c r="AM750" i="3"/>
  <c r="AL750" i="3"/>
  <c r="L750" i="3"/>
  <c r="D750" i="3"/>
  <c r="L749" i="3"/>
  <c r="D749" i="3"/>
  <c r="AQ748" i="3"/>
  <c r="AP748" i="3"/>
  <c r="AO748" i="3"/>
  <c r="AN748" i="3"/>
  <c r="AM748" i="3"/>
  <c r="AL748" i="3"/>
  <c r="L748" i="3"/>
  <c r="D748" i="3"/>
  <c r="AQ747" i="3"/>
  <c r="AP747" i="3"/>
  <c r="AO747" i="3"/>
  <c r="AN747" i="3"/>
  <c r="AM747" i="3"/>
  <c r="AL747" i="3"/>
  <c r="L747" i="3"/>
  <c r="D747" i="3"/>
  <c r="AQ746" i="3"/>
  <c r="AP746" i="3"/>
  <c r="AO746" i="3"/>
  <c r="AN746" i="3"/>
  <c r="AM746" i="3"/>
  <c r="AL746" i="3"/>
  <c r="L746" i="3"/>
  <c r="D746" i="3"/>
  <c r="AQ745" i="3"/>
  <c r="AP745" i="3"/>
  <c r="AO745" i="3"/>
  <c r="AN745" i="3"/>
  <c r="AM745" i="3"/>
  <c r="AL745" i="3"/>
  <c r="L745" i="3"/>
  <c r="D745" i="3"/>
  <c r="AQ744" i="3"/>
  <c r="AP744" i="3"/>
  <c r="AO744" i="3"/>
  <c r="AN744" i="3"/>
  <c r="AM744" i="3"/>
  <c r="AL744" i="3"/>
  <c r="L744" i="3"/>
  <c r="D744" i="3"/>
  <c r="AQ743" i="3"/>
  <c r="AP743" i="3"/>
  <c r="AO743" i="3"/>
  <c r="AN743" i="3"/>
  <c r="AM743" i="3"/>
  <c r="AL743" i="3"/>
  <c r="L743" i="3"/>
  <c r="D743" i="3"/>
  <c r="AQ742" i="3"/>
  <c r="AP742" i="3"/>
  <c r="AO742" i="3"/>
  <c r="AN742" i="3"/>
  <c r="AM742" i="3"/>
  <c r="AL742" i="3"/>
  <c r="L742" i="3"/>
  <c r="D742" i="3"/>
  <c r="AQ741" i="3"/>
  <c r="AP741" i="3"/>
  <c r="AO741" i="3"/>
  <c r="AN741" i="3"/>
  <c r="AM741" i="3"/>
  <c r="AL741" i="3"/>
  <c r="L741" i="3"/>
  <c r="D741" i="3"/>
  <c r="L740" i="3"/>
  <c r="D740" i="3"/>
  <c r="AQ739" i="3"/>
  <c r="AP739" i="3"/>
  <c r="AO739" i="3"/>
  <c r="AN739" i="3"/>
  <c r="AM739" i="3"/>
  <c r="AL739" i="3"/>
  <c r="L739" i="3"/>
  <c r="D739" i="3"/>
  <c r="AQ738" i="3"/>
  <c r="AP738" i="3"/>
  <c r="AO738" i="3"/>
  <c r="AN738" i="3"/>
  <c r="AM738" i="3"/>
  <c r="AL738" i="3"/>
  <c r="L738" i="3"/>
  <c r="D738" i="3"/>
  <c r="AQ737" i="3"/>
  <c r="AP737" i="3"/>
  <c r="AO737" i="3"/>
  <c r="AN737" i="3"/>
  <c r="AM737" i="3"/>
  <c r="AL737" i="3"/>
  <c r="L737" i="3"/>
  <c r="D737" i="3"/>
  <c r="L736" i="3"/>
  <c r="D736" i="3"/>
  <c r="AQ735" i="3"/>
  <c r="AP735" i="3"/>
  <c r="AO735" i="3"/>
  <c r="AN735" i="3"/>
  <c r="AM735" i="3"/>
  <c r="AL735" i="3"/>
  <c r="L735" i="3"/>
  <c r="D735" i="3"/>
  <c r="AQ734" i="3"/>
  <c r="AP734" i="3"/>
  <c r="AO734" i="3"/>
  <c r="AN734" i="3"/>
  <c r="AM734" i="3"/>
  <c r="AL734" i="3"/>
  <c r="L734" i="3"/>
  <c r="D734" i="3"/>
  <c r="AQ733" i="3"/>
  <c r="AP733" i="3"/>
  <c r="AO733" i="3"/>
  <c r="AN733" i="3"/>
  <c r="AM733" i="3"/>
  <c r="AL733" i="3"/>
  <c r="L733" i="3"/>
  <c r="D733" i="3"/>
  <c r="L732" i="3"/>
  <c r="D732" i="3"/>
  <c r="L731" i="3"/>
  <c r="D731" i="3"/>
  <c r="AQ730" i="3"/>
  <c r="AP730" i="3"/>
  <c r="AO730" i="3"/>
  <c r="AN730" i="3"/>
  <c r="AM730" i="3"/>
  <c r="AL730" i="3"/>
  <c r="L730" i="3"/>
  <c r="D730" i="3"/>
  <c r="L729" i="3"/>
  <c r="D729" i="3"/>
  <c r="AQ728" i="3"/>
  <c r="AP728" i="3"/>
  <c r="AO728" i="3"/>
  <c r="AN728" i="3"/>
  <c r="AM728" i="3"/>
  <c r="AL728" i="3"/>
  <c r="L728" i="3"/>
  <c r="D728" i="3"/>
  <c r="AQ727" i="3"/>
  <c r="AP727" i="3"/>
  <c r="AO727" i="3"/>
  <c r="AN727" i="3"/>
  <c r="AM727" i="3"/>
  <c r="AL727" i="3"/>
  <c r="L727" i="3"/>
  <c r="D727" i="3"/>
  <c r="AQ726" i="3"/>
  <c r="AP726" i="3"/>
  <c r="AO726" i="3"/>
  <c r="AN726" i="3"/>
  <c r="AM726" i="3"/>
  <c r="AL726" i="3"/>
  <c r="L726" i="3"/>
  <c r="D726" i="3"/>
  <c r="L725" i="3"/>
  <c r="D725" i="3"/>
  <c r="AQ724" i="3"/>
  <c r="AP724" i="3"/>
  <c r="AO724" i="3"/>
  <c r="AN724" i="3"/>
  <c r="AM724" i="3"/>
  <c r="AL724" i="3"/>
  <c r="L724" i="3"/>
  <c r="D724" i="3"/>
  <c r="AQ723" i="3"/>
  <c r="AP723" i="3"/>
  <c r="AO723" i="3"/>
  <c r="AN723" i="3"/>
  <c r="AM723" i="3"/>
  <c r="AL723" i="3"/>
  <c r="L723" i="3"/>
  <c r="D723" i="3"/>
  <c r="AQ722" i="3"/>
  <c r="AP722" i="3"/>
  <c r="AO722" i="3"/>
  <c r="AN722" i="3"/>
  <c r="AM722" i="3"/>
  <c r="AL722" i="3"/>
  <c r="L722" i="3"/>
  <c r="D722" i="3"/>
  <c r="AQ721" i="3"/>
  <c r="AP721" i="3"/>
  <c r="AO721" i="3"/>
  <c r="AN721" i="3"/>
  <c r="AM721" i="3"/>
  <c r="AL721" i="3"/>
  <c r="L721" i="3"/>
  <c r="D721" i="3"/>
  <c r="AQ720" i="3"/>
  <c r="AP720" i="3"/>
  <c r="AO720" i="3"/>
  <c r="AN720" i="3"/>
  <c r="AM720" i="3"/>
  <c r="AL720" i="3"/>
  <c r="L720" i="3"/>
  <c r="D720" i="3"/>
  <c r="AQ719" i="3"/>
  <c r="AP719" i="3"/>
  <c r="AO719" i="3"/>
  <c r="AN719" i="3"/>
  <c r="AM719" i="3"/>
  <c r="AL719" i="3"/>
  <c r="L719" i="3"/>
  <c r="D719" i="3"/>
  <c r="AQ718" i="3"/>
  <c r="AP718" i="3"/>
  <c r="AO718" i="3"/>
  <c r="AN718" i="3"/>
  <c r="AM718" i="3"/>
  <c r="AL718" i="3"/>
  <c r="L718" i="3"/>
  <c r="D718" i="3"/>
  <c r="AQ717" i="3"/>
  <c r="AP717" i="3"/>
  <c r="AO717" i="3"/>
  <c r="AN717" i="3"/>
  <c r="AM717" i="3"/>
  <c r="AL717" i="3"/>
  <c r="L717" i="3"/>
  <c r="D717" i="3"/>
  <c r="AQ716" i="3"/>
  <c r="AP716" i="3"/>
  <c r="AO716" i="3"/>
  <c r="AN716" i="3"/>
  <c r="AM716" i="3"/>
  <c r="AL716" i="3"/>
  <c r="L716" i="3"/>
  <c r="D716" i="3"/>
  <c r="AQ715" i="3"/>
  <c r="AP715" i="3"/>
  <c r="AO715" i="3"/>
  <c r="AN715" i="3"/>
  <c r="AM715" i="3"/>
  <c r="AL715" i="3"/>
  <c r="L715" i="3"/>
  <c r="D715" i="3"/>
  <c r="AQ714" i="3"/>
  <c r="AP714" i="3"/>
  <c r="AO714" i="3"/>
  <c r="AN714" i="3"/>
  <c r="AM714" i="3"/>
  <c r="AL714" i="3"/>
  <c r="L714" i="3"/>
  <c r="D714" i="3"/>
  <c r="AQ713" i="3"/>
  <c r="AP713" i="3"/>
  <c r="AO713" i="3"/>
  <c r="AN713" i="3"/>
  <c r="AM713" i="3"/>
  <c r="AL713" i="3"/>
  <c r="L713" i="3"/>
  <c r="D713" i="3"/>
  <c r="AQ712" i="3"/>
  <c r="AP712" i="3"/>
  <c r="AO712" i="3"/>
  <c r="AN712" i="3"/>
  <c r="AM712" i="3"/>
  <c r="AL712" i="3"/>
  <c r="L712" i="3"/>
  <c r="D712" i="3"/>
  <c r="L711" i="3"/>
  <c r="D711" i="3"/>
  <c r="L710" i="3"/>
  <c r="D710" i="3"/>
  <c r="AQ709" i="3"/>
  <c r="AP709" i="3"/>
  <c r="AO709" i="3"/>
  <c r="AN709" i="3"/>
  <c r="AM709" i="3"/>
  <c r="AL709" i="3"/>
  <c r="L709" i="3"/>
  <c r="D709" i="3"/>
  <c r="AQ708" i="3"/>
  <c r="AP708" i="3"/>
  <c r="AO708" i="3"/>
  <c r="AN708" i="3"/>
  <c r="AM708" i="3"/>
  <c r="AL708" i="3"/>
  <c r="L708" i="3"/>
  <c r="D708" i="3"/>
  <c r="AQ707" i="3"/>
  <c r="AP707" i="3"/>
  <c r="AO707" i="3"/>
  <c r="AN707" i="3"/>
  <c r="AM707" i="3"/>
  <c r="AL707" i="3"/>
  <c r="L707" i="3"/>
  <c r="D707" i="3"/>
  <c r="AQ706" i="3"/>
  <c r="AP706" i="3"/>
  <c r="AO706" i="3"/>
  <c r="AN706" i="3"/>
  <c r="AM706" i="3"/>
  <c r="AL706" i="3"/>
  <c r="L706" i="3"/>
  <c r="D706" i="3"/>
  <c r="L705" i="3"/>
  <c r="D705" i="3"/>
  <c r="AQ704" i="3"/>
  <c r="AP704" i="3"/>
  <c r="AO704" i="3"/>
  <c r="AN704" i="3"/>
  <c r="AM704" i="3"/>
  <c r="AL704" i="3"/>
  <c r="L704" i="3"/>
  <c r="D704" i="3"/>
  <c r="AQ703" i="3"/>
  <c r="AP703" i="3"/>
  <c r="AO703" i="3"/>
  <c r="AN703" i="3"/>
  <c r="AM703" i="3"/>
  <c r="AL703" i="3"/>
  <c r="L703" i="3"/>
  <c r="D703" i="3"/>
  <c r="AQ702" i="3"/>
  <c r="AP702" i="3"/>
  <c r="AO702" i="3"/>
  <c r="AN702" i="3"/>
  <c r="AM702" i="3"/>
  <c r="AL702" i="3"/>
  <c r="L702" i="3"/>
  <c r="D702" i="3"/>
  <c r="L701" i="3"/>
  <c r="D701" i="3"/>
  <c r="AQ700" i="3"/>
  <c r="AP700" i="3"/>
  <c r="AO700" i="3"/>
  <c r="AN700" i="3"/>
  <c r="AM700" i="3"/>
  <c r="AL700" i="3"/>
  <c r="L700" i="3"/>
  <c r="D700" i="3"/>
  <c r="AQ699" i="3"/>
  <c r="AP699" i="3"/>
  <c r="AO699" i="3"/>
  <c r="AN699" i="3"/>
  <c r="AM699" i="3"/>
  <c r="AL699" i="3"/>
  <c r="L699" i="3"/>
  <c r="D699" i="3"/>
  <c r="AQ698" i="3"/>
  <c r="AP698" i="3"/>
  <c r="AO698" i="3"/>
  <c r="AN698" i="3"/>
  <c r="AM698" i="3"/>
  <c r="AL698" i="3"/>
  <c r="L698" i="3"/>
  <c r="D698" i="3"/>
  <c r="AQ697" i="3"/>
  <c r="AP697" i="3"/>
  <c r="AO697" i="3"/>
  <c r="AN697" i="3"/>
  <c r="AM697" i="3"/>
  <c r="AL697" i="3"/>
  <c r="L697" i="3"/>
  <c r="D697" i="3"/>
  <c r="L696" i="3"/>
  <c r="D696" i="3"/>
  <c r="L695" i="3"/>
  <c r="D695" i="3"/>
  <c r="L694" i="3"/>
  <c r="D694" i="3"/>
  <c r="L693" i="3"/>
  <c r="D693" i="3"/>
  <c r="AQ692" i="3"/>
  <c r="AP692" i="3"/>
  <c r="AO692" i="3"/>
  <c r="AN692" i="3"/>
  <c r="AM692" i="3"/>
  <c r="AL692" i="3"/>
  <c r="L692" i="3"/>
  <c r="D692" i="3"/>
  <c r="AQ691" i="3"/>
  <c r="AP691" i="3"/>
  <c r="AO691" i="3"/>
  <c r="AN691" i="3"/>
  <c r="AM691" i="3"/>
  <c r="AL691" i="3"/>
  <c r="L691" i="3"/>
  <c r="D691" i="3"/>
  <c r="L690" i="3"/>
  <c r="D690" i="3"/>
  <c r="AQ689" i="3"/>
  <c r="AP689" i="3"/>
  <c r="AO689" i="3"/>
  <c r="AN689" i="3"/>
  <c r="AM689" i="3"/>
  <c r="AL689" i="3"/>
  <c r="L689" i="3"/>
  <c r="D689" i="3"/>
  <c r="AQ688" i="3"/>
  <c r="AP688" i="3"/>
  <c r="AO688" i="3"/>
  <c r="AN688" i="3"/>
  <c r="AM688" i="3"/>
  <c r="AL688" i="3"/>
  <c r="L688" i="3"/>
  <c r="D688" i="3"/>
  <c r="AQ687" i="3"/>
  <c r="AP687" i="3"/>
  <c r="AO687" i="3"/>
  <c r="AN687" i="3"/>
  <c r="AM687" i="3"/>
  <c r="AL687" i="3"/>
  <c r="L687" i="3"/>
  <c r="D687" i="3"/>
  <c r="L686" i="3"/>
  <c r="D686" i="3"/>
  <c r="AQ685" i="3"/>
  <c r="AP685" i="3"/>
  <c r="AO685" i="3"/>
  <c r="AN685" i="3"/>
  <c r="AM685" i="3"/>
  <c r="AL685" i="3"/>
  <c r="L685" i="3"/>
  <c r="D685" i="3"/>
  <c r="AQ684" i="3"/>
  <c r="AP684" i="3"/>
  <c r="AO684" i="3"/>
  <c r="AN684" i="3"/>
  <c r="AM684" i="3"/>
  <c r="AL684" i="3"/>
  <c r="L684" i="3"/>
  <c r="D684" i="3"/>
  <c r="AQ683" i="3"/>
  <c r="AP683" i="3"/>
  <c r="AO683" i="3"/>
  <c r="AN683" i="3"/>
  <c r="AM683" i="3"/>
  <c r="AL683" i="3"/>
  <c r="L683" i="3"/>
  <c r="D683" i="3"/>
  <c r="AQ682" i="3"/>
  <c r="AP682" i="3"/>
  <c r="AO682" i="3"/>
  <c r="AN682" i="3"/>
  <c r="AM682" i="3"/>
  <c r="AL682" i="3"/>
  <c r="L682" i="3"/>
  <c r="D682" i="3"/>
  <c r="AQ681" i="3"/>
  <c r="AP681" i="3"/>
  <c r="AO681" i="3"/>
  <c r="AN681" i="3"/>
  <c r="AM681" i="3"/>
  <c r="AL681" i="3"/>
  <c r="L681" i="3"/>
  <c r="D681" i="3"/>
  <c r="AQ680" i="3"/>
  <c r="AP680" i="3"/>
  <c r="AO680" i="3"/>
  <c r="AN680" i="3"/>
  <c r="AM680" i="3"/>
  <c r="AL680" i="3"/>
  <c r="L680" i="3"/>
  <c r="D680" i="3"/>
  <c r="L679" i="3"/>
  <c r="D679" i="3"/>
  <c r="AQ678" i="3"/>
  <c r="AP678" i="3"/>
  <c r="AO678" i="3"/>
  <c r="AN678" i="3"/>
  <c r="AM678" i="3"/>
  <c r="AL678" i="3"/>
  <c r="L678" i="3"/>
  <c r="D678" i="3"/>
  <c r="AQ677" i="3"/>
  <c r="AP677" i="3"/>
  <c r="AO677" i="3"/>
  <c r="AN677" i="3"/>
  <c r="AM677" i="3"/>
  <c r="AL677" i="3"/>
  <c r="L677" i="3"/>
  <c r="D677" i="3"/>
  <c r="AQ676" i="3"/>
  <c r="AP676" i="3"/>
  <c r="AO676" i="3"/>
  <c r="AN676" i="3"/>
  <c r="AM676" i="3"/>
  <c r="AL676" i="3"/>
  <c r="L676" i="3"/>
  <c r="D676" i="3"/>
  <c r="L675" i="3"/>
  <c r="D675" i="3"/>
  <c r="L674" i="3"/>
  <c r="D674" i="3"/>
  <c r="AQ673" i="3"/>
  <c r="AP673" i="3"/>
  <c r="AO673" i="3"/>
  <c r="AN673" i="3"/>
  <c r="AM673" i="3"/>
  <c r="AL673" i="3"/>
  <c r="L673" i="3"/>
  <c r="D673" i="3"/>
  <c r="AQ672" i="3"/>
  <c r="AP672" i="3"/>
  <c r="AO672" i="3"/>
  <c r="AN672" i="3"/>
  <c r="AM672" i="3"/>
  <c r="AL672" i="3"/>
  <c r="L672" i="3"/>
  <c r="D672" i="3"/>
  <c r="L671" i="3"/>
  <c r="D671" i="3"/>
  <c r="AQ670" i="3"/>
  <c r="AP670" i="3"/>
  <c r="AO670" i="3"/>
  <c r="AN670" i="3"/>
  <c r="AM670" i="3"/>
  <c r="AL670" i="3"/>
  <c r="L670" i="3"/>
  <c r="D670" i="3"/>
  <c r="AQ669" i="3"/>
  <c r="AP669" i="3"/>
  <c r="AO669" i="3"/>
  <c r="AN669" i="3"/>
  <c r="AM669" i="3"/>
  <c r="AL669" i="3"/>
  <c r="L669" i="3"/>
  <c r="D669" i="3"/>
  <c r="AQ668" i="3"/>
  <c r="AP668" i="3"/>
  <c r="AO668" i="3"/>
  <c r="AN668" i="3"/>
  <c r="AM668" i="3"/>
  <c r="AL668" i="3"/>
  <c r="L668" i="3"/>
  <c r="D668" i="3"/>
  <c r="AQ667" i="3"/>
  <c r="AP667" i="3"/>
  <c r="AO667" i="3"/>
  <c r="AN667" i="3"/>
  <c r="AM667" i="3"/>
  <c r="AL667" i="3"/>
  <c r="L667" i="3"/>
  <c r="D667" i="3"/>
  <c r="AQ666" i="3"/>
  <c r="AP666" i="3"/>
  <c r="AO666" i="3"/>
  <c r="AN666" i="3"/>
  <c r="AM666" i="3"/>
  <c r="AL666" i="3"/>
  <c r="L666" i="3"/>
  <c r="D666" i="3"/>
  <c r="AQ665" i="3"/>
  <c r="AP665" i="3"/>
  <c r="AO665" i="3"/>
  <c r="AN665" i="3"/>
  <c r="AM665" i="3"/>
  <c r="AL665" i="3"/>
  <c r="L665" i="3"/>
  <c r="D665" i="3"/>
  <c r="AQ664" i="3"/>
  <c r="AP664" i="3"/>
  <c r="AO664" i="3"/>
  <c r="AN664" i="3"/>
  <c r="AM664" i="3"/>
  <c r="AL664" i="3"/>
  <c r="L664" i="3"/>
  <c r="D664" i="3"/>
  <c r="AQ663" i="3"/>
  <c r="AP663" i="3"/>
  <c r="AO663" i="3"/>
  <c r="AN663" i="3"/>
  <c r="AM663" i="3"/>
  <c r="AL663" i="3"/>
  <c r="L663" i="3"/>
  <c r="D663" i="3"/>
  <c r="L662" i="3"/>
  <c r="D662" i="3"/>
  <c r="AQ661" i="3"/>
  <c r="AP661" i="3"/>
  <c r="AO661" i="3"/>
  <c r="AN661" i="3"/>
  <c r="AM661" i="3"/>
  <c r="AL661" i="3"/>
  <c r="L661" i="3"/>
  <c r="D661" i="3"/>
  <c r="AQ660" i="3"/>
  <c r="AP660" i="3"/>
  <c r="AO660" i="3"/>
  <c r="AN660" i="3"/>
  <c r="AM660" i="3"/>
  <c r="AL660" i="3"/>
  <c r="L660" i="3"/>
  <c r="D660" i="3"/>
  <c r="AQ659" i="3"/>
  <c r="AP659" i="3"/>
  <c r="AO659" i="3"/>
  <c r="AN659" i="3"/>
  <c r="AM659" i="3"/>
  <c r="AL659" i="3"/>
  <c r="L659" i="3"/>
  <c r="D659" i="3"/>
  <c r="L658" i="3"/>
  <c r="D658" i="3"/>
  <c r="L657" i="3"/>
  <c r="D657" i="3"/>
  <c r="L656" i="3"/>
  <c r="D656" i="3"/>
  <c r="AQ655" i="3"/>
  <c r="AP655" i="3"/>
  <c r="AO655" i="3"/>
  <c r="AN655" i="3"/>
  <c r="AM655" i="3"/>
  <c r="AL655" i="3"/>
  <c r="L655" i="3"/>
  <c r="D655" i="3"/>
  <c r="AQ654" i="3"/>
  <c r="AP654" i="3"/>
  <c r="AO654" i="3"/>
  <c r="AN654" i="3"/>
  <c r="AM654" i="3"/>
  <c r="AL654" i="3"/>
  <c r="L654" i="3"/>
  <c r="D654" i="3"/>
  <c r="AQ653" i="3"/>
  <c r="AP653" i="3"/>
  <c r="AO653" i="3"/>
  <c r="AN653" i="3"/>
  <c r="AM653" i="3"/>
  <c r="AL653" i="3"/>
  <c r="L653" i="3"/>
  <c r="D653" i="3"/>
  <c r="AQ652" i="3"/>
  <c r="AP652" i="3"/>
  <c r="AO652" i="3"/>
  <c r="AN652" i="3"/>
  <c r="AM652" i="3"/>
  <c r="AL652" i="3"/>
  <c r="L652" i="3"/>
  <c r="D652" i="3"/>
  <c r="L651" i="3"/>
  <c r="D651" i="3"/>
  <c r="AQ650" i="3"/>
  <c r="AP650" i="3"/>
  <c r="AO650" i="3"/>
  <c r="AN650" i="3"/>
  <c r="AM650" i="3"/>
  <c r="AL650" i="3"/>
  <c r="L650" i="3"/>
  <c r="D650" i="3"/>
  <c r="AQ649" i="3"/>
  <c r="AP649" i="3"/>
  <c r="AO649" i="3"/>
  <c r="AN649" i="3"/>
  <c r="AM649" i="3"/>
  <c r="AL649" i="3"/>
  <c r="L649" i="3"/>
  <c r="D649" i="3"/>
  <c r="L648" i="3"/>
  <c r="D648" i="3"/>
  <c r="L647" i="3"/>
  <c r="D647" i="3"/>
  <c r="L646" i="3"/>
  <c r="D646" i="3"/>
  <c r="AQ645" i="3"/>
  <c r="AP645" i="3"/>
  <c r="AO645" i="3"/>
  <c r="AN645" i="3"/>
  <c r="AM645" i="3"/>
  <c r="AL645" i="3"/>
  <c r="L645" i="3"/>
  <c r="D645" i="3"/>
  <c r="AQ644" i="3"/>
  <c r="AP644" i="3"/>
  <c r="AO644" i="3"/>
  <c r="AN644" i="3"/>
  <c r="AM644" i="3"/>
  <c r="AL644" i="3"/>
  <c r="L644" i="3"/>
  <c r="D644" i="3"/>
  <c r="L643" i="3"/>
  <c r="D643" i="3"/>
  <c r="AQ642" i="3"/>
  <c r="AP642" i="3"/>
  <c r="AO642" i="3"/>
  <c r="AN642" i="3"/>
  <c r="AM642" i="3"/>
  <c r="AL642" i="3"/>
  <c r="L642" i="3"/>
  <c r="D642" i="3"/>
  <c r="AQ641" i="3"/>
  <c r="AP641" i="3"/>
  <c r="AO641" i="3"/>
  <c r="AN641" i="3"/>
  <c r="AM641" i="3"/>
  <c r="AL641" i="3"/>
  <c r="L641" i="3"/>
  <c r="D641" i="3"/>
  <c r="L640" i="3"/>
  <c r="D640" i="3"/>
  <c r="AQ639" i="3"/>
  <c r="AP639" i="3"/>
  <c r="AO639" i="3"/>
  <c r="AN639" i="3"/>
  <c r="AM639" i="3"/>
  <c r="AL639" i="3"/>
  <c r="L639" i="3"/>
  <c r="D639" i="3"/>
  <c r="AQ638" i="3"/>
  <c r="AP638" i="3"/>
  <c r="AO638" i="3"/>
  <c r="AN638" i="3"/>
  <c r="AM638" i="3"/>
  <c r="AL638" i="3"/>
  <c r="L638" i="3"/>
  <c r="D638" i="3"/>
  <c r="L637" i="3"/>
  <c r="D637" i="3"/>
  <c r="AQ636" i="3"/>
  <c r="AP636" i="3"/>
  <c r="AO636" i="3"/>
  <c r="AN636" i="3"/>
  <c r="AM636" i="3"/>
  <c r="AL636" i="3"/>
  <c r="L636" i="3"/>
  <c r="D636" i="3"/>
  <c r="AQ635" i="3"/>
  <c r="AP635" i="3"/>
  <c r="AO635" i="3"/>
  <c r="AN635" i="3"/>
  <c r="AM635" i="3"/>
  <c r="AL635" i="3"/>
  <c r="L635" i="3"/>
  <c r="D635" i="3"/>
  <c r="AQ634" i="3"/>
  <c r="AP634" i="3"/>
  <c r="AO634" i="3"/>
  <c r="AN634" i="3"/>
  <c r="AM634" i="3"/>
  <c r="AL634" i="3"/>
  <c r="L634" i="3"/>
  <c r="D634" i="3"/>
  <c r="AQ633" i="3"/>
  <c r="AP633" i="3"/>
  <c r="AO633" i="3"/>
  <c r="AN633" i="3"/>
  <c r="AM633" i="3"/>
  <c r="AL633" i="3"/>
  <c r="L633" i="3"/>
  <c r="D633" i="3"/>
  <c r="AQ632" i="3"/>
  <c r="AP632" i="3"/>
  <c r="AO632" i="3"/>
  <c r="AN632" i="3"/>
  <c r="AM632" i="3"/>
  <c r="AL632" i="3"/>
  <c r="L632" i="3"/>
  <c r="D632" i="3"/>
  <c r="AQ631" i="3"/>
  <c r="AP631" i="3"/>
  <c r="AO631" i="3"/>
  <c r="AN631" i="3"/>
  <c r="AM631" i="3"/>
  <c r="AL631" i="3"/>
  <c r="L631" i="3"/>
  <c r="D631" i="3"/>
  <c r="AQ630" i="3"/>
  <c r="AP630" i="3"/>
  <c r="AO630" i="3"/>
  <c r="AN630" i="3"/>
  <c r="AM630" i="3"/>
  <c r="AL630" i="3"/>
  <c r="L630" i="3"/>
  <c r="D630" i="3"/>
  <c r="AQ629" i="3"/>
  <c r="AP629" i="3"/>
  <c r="AO629" i="3"/>
  <c r="AN629" i="3"/>
  <c r="AM629" i="3"/>
  <c r="AL629" i="3"/>
  <c r="L629" i="3"/>
  <c r="D629" i="3"/>
  <c r="L628" i="3"/>
  <c r="D628" i="3"/>
  <c r="AQ627" i="3"/>
  <c r="AP627" i="3"/>
  <c r="AO627" i="3"/>
  <c r="AN627" i="3"/>
  <c r="AM627" i="3"/>
  <c r="AL627" i="3"/>
  <c r="L627" i="3"/>
  <c r="D627" i="3"/>
  <c r="AQ626" i="3"/>
  <c r="AP626" i="3"/>
  <c r="AO626" i="3"/>
  <c r="AN626" i="3"/>
  <c r="AM626" i="3"/>
  <c r="AL626" i="3"/>
  <c r="L626" i="3"/>
  <c r="D626" i="3"/>
  <c r="AQ625" i="3"/>
  <c r="AP625" i="3"/>
  <c r="AO625" i="3"/>
  <c r="AN625" i="3"/>
  <c r="AM625" i="3"/>
  <c r="AL625" i="3"/>
  <c r="L625" i="3"/>
  <c r="D625" i="3"/>
  <c r="AQ624" i="3"/>
  <c r="AP624" i="3"/>
  <c r="AO624" i="3"/>
  <c r="AN624" i="3"/>
  <c r="AM624" i="3"/>
  <c r="AL624" i="3"/>
  <c r="L624" i="3"/>
  <c r="D624" i="3"/>
  <c r="AQ623" i="3"/>
  <c r="AP623" i="3"/>
  <c r="AO623" i="3"/>
  <c r="AN623" i="3"/>
  <c r="AM623" i="3"/>
  <c r="AL623" i="3"/>
  <c r="L623" i="3"/>
  <c r="D623" i="3"/>
  <c r="L622" i="3"/>
  <c r="D622" i="3"/>
  <c r="L621" i="3"/>
  <c r="D621" i="3"/>
  <c r="AQ620" i="3"/>
  <c r="AP620" i="3"/>
  <c r="AO620" i="3"/>
  <c r="AN620" i="3"/>
  <c r="AM620" i="3"/>
  <c r="AL620" i="3"/>
  <c r="L620" i="3"/>
  <c r="D620" i="3"/>
  <c r="L619" i="3"/>
  <c r="D619" i="3"/>
  <c r="AQ618" i="3"/>
  <c r="AP618" i="3"/>
  <c r="AO618" i="3"/>
  <c r="AN618" i="3"/>
  <c r="AM618" i="3"/>
  <c r="AL618" i="3"/>
  <c r="L618" i="3"/>
  <c r="D618" i="3"/>
  <c r="AQ617" i="3"/>
  <c r="AP617" i="3"/>
  <c r="AO617" i="3"/>
  <c r="AN617" i="3"/>
  <c r="AM617" i="3"/>
  <c r="AL617" i="3"/>
  <c r="L617" i="3"/>
  <c r="D617" i="3"/>
  <c r="L616" i="3"/>
  <c r="D616" i="3"/>
  <c r="AQ615" i="3"/>
  <c r="AP615" i="3"/>
  <c r="AO615" i="3"/>
  <c r="AN615" i="3"/>
  <c r="AM615" i="3"/>
  <c r="AL615" i="3"/>
  <c r="L615" i="3"/>
  <c r="D615" i="3"/>
  <c r="AQ614" i="3"/>
  <c r="AP614" i="3"/>
  <c r="AO614" i="3"/>
  <c r="AN614" i="3"/>
  <c r="AM614" i="3"/>
  <c r="AL614" i="3"/>
  <c r="L614" i="3"/>
  <c r="D614" i="3"/>
  <c r="AQ613" i="3"/>
  <c r="AP613" i="3"/>
  <c r="AO613" i="3"/>
  <c r="AN613" i="3"/>
  <c r="AM613" i="3"/>
  <c r="AL613" i="3"/>
  <c r="L613" i="3"/>
  <c r="D613" i="3"/>
  <c r="L612" i="3"/>
  <c r="D612" i="3"/>
  <c r="AQ611" i="3"/>
  <c r="AP611" i="3"/>
  <c r="AO611" i="3"/>
  <c r="AN611" i="3"/>
  <c r="AM611" i="3"/>
  <c r="AL611" i="3"/>
  <c r="L611" i="3"/>
  <c r="D611" i="3"/>
  <c r="AQ610" i="3"/>
  <c r="AP610" i="3"/>
  <c r="AO610" i="3"/>
  <c r="AN610" i="3"/>
  <c r="AM610" i="3"/>
  <c r="AL610" i="3"/>
  <c r="L610" i="3"/>
  <c r="D610" i="3"/>
  <c r="AQ609" i="3"/>
  <c r="AP609" i="3"/>
  <c r="AO609" i="3"/>
  <c r="AN609" i="3"/>
  <c r="AM609" i="3"/>
  <c r="AL609" i="3"/>
  <c r="L609" i="3"/>
  <c r="D609" i="3"/>
  <c r="AQ608" i="3"/>
  <c r="AP608" i="3"/>
  <c r="AO608" i="3"/>
  <c r="AN608" i="3"/>
  <c r="AM608" i="3"/>
  <c r="AL608" i="3"/>
  <c r="L608" i="3"/>
  <c r="D608" i="3"/>
  <c r="AQ607" i="3"/>
  <c r="AP607" i="3"/>
  <c r="AO607" i="3"/>
  <c r="AN607" i="3"/>
  <c r="AM607" i="3"/>
  <c r="AL607" i="3"/>
  <c r="L607" i="3"/>
  <c r="D607" i="3"/>
  <c r="AQ606" i="3"/>
  <c r="AP606" i="3"/>
  <c r="AO606" i="3"/>
  <c r="AN606" i="3"/>
  <c r="AM606" i="3"/>
  <c r="AL606" i="3"/>
  <c r="L606" i="3"/>
  <c r="D606" i="3"/>
  <c r="AQ605" i="3"/>
  <c r="AP605" i="3"/>
  <c r="AO605" i="3"/>
  <c r="AN605" i="3"/>
  <c r="AM605" i="3"/>
  <c r="AL605" i="3"/>
  <c r="L605" i="3"/>
  <c r="D605" i="3"/>
  <c r="AQ604" i="3"/>
  <c r="AP604" i="3"/>
  <c r="AO604" i="3"/>
  <c r="AN604" i="3"/>
  <c r="AM604" i="3"/>
  <c r="AL604" i="3"/>
  <c r="L604" i="3"/>
  <c r="D604" i="3"/>
  <c r="AQ603" i="3"/>
  <c r="AP603" i="3"/>
  <c r="AO603" i="3"/>
  <c r="AN603" i="3"/>
  <c r="AM603" i="3"/>
  <c r="AL603" i="3"/>
  <c r="L603" i="3"/>
  <c r="D603" i="3"/>
  <c r="L602" i="3"/>
  <c r="D602" i="3"/>
  <c r="AQ601" i="3"/>
  <c r="AP601" i="3"/>
  <c r="AO601" i="3"/>
  <c r="AN601" i="3"/>
  <c r="AM601" i="3"/>
  <c r="AL601" i="3"/>
  <c r="L601" i="3"/>
  <c r="D601" i="3"/>
  <c r="AQ600" i="3"/>
  <c r="AP600" i="3"/>
  <c r="AO600" i="3"/>
  <c r="AN600" i="3"/>
  <c r="AM600" i="3"/>
  <c r="AL600" i="3"/>
  <c r="L600" i="3"/>
  <c r="D600" i="3"/>
  <c r="AQ599" i="3"/>
  <c r="AP599" i="3"/>
  <c r="AO599" i="3"/>
  <c r="AN599" i="3"/>
  <c r="AM599" i="3"/>
  <c r="AL599" i="3"/>
  <c r="L599" i="3"/>
  <c r="D599" i="3"/>
  <c r="L598" i="3"/>
  <c r="D598" i="3"/>
  <c r="AQ597" i="3"/>
  <c r="AP597" i="3"/>
  <c r="AO597" i="3"/>
  <c r="AN597" i="3"/>
  <c r="AM597" i="3"/>
  <c r="AL597" i="3"/>
  <c r="L597" i="3"/>
  <c r="D597" i="3"/>
  <c r="AQ596" i="3"/>
  <c r="AP596" i="3"/>
  <c r="AO596" i="3"/>
  <c r="AN596" i="3"/>
  <c r="AM596" i="3"/>
  <c r="AL596" i="3"/>
  <c r="L596" i="3"/>
  <c r="D596" i="3"/>
  <c r="AQ595" i="3"/>
  <c r="AP595" i="3"/>
  <c r="AO595" i="3"/>
  <c r="AN595" i="3"/>
  <c r="AM595" i="3"/>
  <c r="AL595" i="3"/>
  <c r="L595" i="3"/>
  <c r="D595" i="3"/>
  <c r="AQ594" i="3"/>
  <c r="AP594" i="3"/>
  <c r="AO594" i="3"/>
  <c r="AN594" i="3"/>
  <c r="AM594" i="3"/>
  <c r="AL594" i="3"/>
  <c r="L594" i="3"/>
  <c r="D594" i="3"/>
  <c r="AQ593" i="3"/>
  <c r="AP593" i="3"/>
  <c r="AO593" i="3"/>
  <c r="AN593" i="3"/>
  <c r="AM593" i="3"/>
  <c r="AL593" i="3"/>
  <c r="L593" i="3"/>
  <c r="D593" i="3"/>
  <c r="L592" i="3"/>
  <c r="D592" i="3"/>
  <c r="L591" i="3"/>
  <c r="D591" i="3"/>
  <c r="AQ590" i="3"/>
  <c r="AP590" i="3"/>
  <c r="AO590" i="3"/>
  <c r="AN590" i="3"/>
  <c r="AM590" i="3"/>
  <c r="AL590" i="3"/>
  <c r="L590" i="3"/>
  <c r="D590" i="3"/>
  <c r="AQ589" i="3"/>
  <c r="AP589" i="3"/>
  <c r="AO589" i="3"/>
  <c r="AN589" i="3"/>
  <c r="AM589" i="3"/>
  <c r="AL589" i="3"/>
  <c r="L589" i="3"/>
  <c r="D589" i="3"/>
  <c r="L588" i="3"/>
  <c r="D588" i="3"/>
  <c r="L587" i="3"/>
  <c r="D587" i="3"/>
  <c r="AQ586" i="3"/>
  <c r="AP586" i="3"/>
  <c r="AO586" i="3"/>
  <c r="AN586" i="3"/>
  <c r="AM586" i="3"/>
  <c r="AL586" i="3"/>
  <c r="L586" i="3"/>
  <c r="D586" i="3"/>
  <c r="AQ585" i="3"/>
  <c r="AP585" i="3"/>
  <c r="AO585" i="3"/>
  <c r="AN585" i="3"/>
  <c r="AM585" i="3"/>
  <c r="AL585" i="3"/>
  <c r="L585" i="3"/>
  <c r="D585" i="3"/>
  <c r="AQ584" i="3"/>
  <c r="AP584" i="3"/>
  <c r="AO584" i="3"/>
  <c r="AN584" i="3"/>
  <c r="AM584" i="3"/>
  <c r="AL584" i="3"/>
  <c r="L584" i="3"/>
  <c r="D584" i="3"/>
  <c r="L583" i="3"/>
  <c r="D583" i="3"/>
  <c r="L582" i="3"/>
  <c r="D582" i="3"/>
  <c r="AQ581" i="3"/>
  <c r="AP581" i="3"/>
  <c r="AO581" i="3"/>
  <c r="AN581" i="3"/>
  <c r="AM581" i="3"/>
  <c r="AL581" i="3"/>
  <c r="L581" i="3"/>
  <c r="D581" i="3"/>
  <c r="AQ580" i="3"/>
  <c r="AP580" i="3"/>
  <c r="AO580" i="3"/>
  <c r="AN580" i="3"/>
  <c r="AM580" i="3"/>
  <c r="AL580" i="3"/>
  <c r="L580" i="3"/>
  <c r="D580" i="3"/>
  <c r="AQ579" i="3"/>
  <c r="AP579" i="3"/>
  <c r="AO579" i="3"/>
  <c r="AN579" i="3"/>
  <c r="AM579" i="3"/>
  <c r="AL579" i="3"/>
  <c r="L579" i="3"/>
  <c r="D579" i="3"/>
  <c r="AQ578" i="3"/>
  <c r="AP578" i="3"/>
  <c r="AO578" i="3"/>
  <c r="AN578" i="3"/>
  <c r="AM578" i="3"/>
  <c r="AL578" i="3"/>
  <c r="L578" i="3"/>
  <c r="D578" i="3"/>
  <c r="AQ577" i="3"/>
  <c r="AP577" i="3"/>
  <c r="AO577" i="3"/>
  <c r="AN577" i="3"/>
  <c r="AM577" i="3"/>
  <c r="AL577" i="3"/>
  <c r="L577" i="3"/>
  <c r="D577" i="3"/>
  <c r="AQ576" i="3"/>
  <c r="AP576" i="3"/>
  <c r="AO576" i="3"/>
  <c r="AN576" i="3"/>
  <c r="AM576" i="3"/>
  <c r="AL576" i="3"/>
  <c r="L576" i="3"/>
  <c r="D576" i="3"/>
  <c r="AQ575" i="3"/>
  <c r="AP575" i="3"/>
  <c r="AO575" i="3"/>
  <c r="AN575" i="3"/>
  <c r="AM575" i="3"/>
  <c r="AL575" i="3"/>
  <c r="L575" i="3"/>
  <c r="D575" i="3"/>
  <c r="AQ574" i="3"/>
  <c r="AP574" i="3"/>
  <c r="AO574" i="3"/>
  <c r="AN574" i="3"/>
  <c r="AM574" i="3"/>
  <c r="AL574" i="3"/>
  <c r="L574" i="3"/>
  <c r="D574" i="3"/>
  <c r="AQ573" i="3"/>
  <c r="AP573" i="3"/>
  <c r="AO573" i="3"/>
  <c r="AN573" i="3"/>
  <c r="AM573" i="3"/>
  <c r="AL573" i="3"/>
  <c r="L573" i="3"/>
  <c r="D573" i="3"/>
  <c r="L572" i="3"/>
  <c r="D572" i="3"/>
  <c r="L571" i="3"/>
  <c r="D571" i="3"/>
  <c r="L570" i="3"/>
  <c r="D570" i="3"/>
  <c r="L569" i="3"/>
  <c r="D569" i="3"/>
  <c r="AQ568" i="3"/>
  <c r="AP568" i="3"/>
  <c r="AO568" i="3"/>
  <c r="AN568" i="3"/>
  <c r="AM568" i="3"/>
  <c r="AL568" i="3"/>
  <c r="L568" i="3"/>
  <c r="D568" i="3"/>
  <c r="AQ567" i="3"/>
  <c r="AP567" i="3"/>
  <c r="AO567" i="3"/>
  <c r="AN567" i="3"/>
  <c r="AM567" i="3"/>
  <c r="AL567" i="3"/>
  <c r="L567" i="3"/>
  <c r="D567" i="3"/>
  <c r="AQ566" i="3"/>
  <c r="AP566" i="3"/>
  <c r="AO566" i="3"/>
  <c r="AN566" i="3"/>
  <c r="AM566" i="3"/>
  <c r="AL566" i="3"/>
  <c r="L566" i="3"/>
  <c r="D566" i="3"/>
  <c r="L565" i="3"/>
  <c r="D565" i="3"/>
  <c r="AQ564" i="3"/>
  <c r="AP564" i="3"/>
  <c r="AO564" i="3"/>
  <c r="AN564" i="3"/>
  <c r="AM564" i="3"/>
  <c r="AL564" i="3"/>
  <c r="L564" i="3"/>
  <c r="D564" i="3"/>
  <c r="AQ563" i="3"/>
  <c r="AP563" i="3"/>
  <c r="AO563" i="3"/>
  <c r="AN563" i="3"/>
  <c r="AM563" i="3"/>
  <c r="AL563" i="3"/>
  <c r="L563" i="3"/>
  <c r="D563" i="3"/>
  <c r="L562" i="3"/>
  <c r="D562" i="3"/>
  <c r="L561" i="3"/>
  <c r="D561" i="3"/>
  <c r="AQ560" i="3"/>
  <c r="AP560" i="3"/>
  <c r="AO560" i="3"/>
  <c r="AN560" i="3"/>
  <c r="AM560" i="3"/>
  <c r="AL560" i="3"/>
  <c r="L560" i="3"/>
  <c r="D560" i="3"/>
  <c r="AQ559" i="3"/>
  <c r="AP559" i="3"/>
  <c r="AO559" i="3"/>
  <c r="AN559" i="3"/>
  <c r="AM559" i="3"/>
  <c r="AL559" i="3"/>
  <c r="L559" i="3"/>
  <c r="D559" i="3"/>
  <c r="AQ558" i="3"/>
  <c r="AP558" i="3"/>
  <c r="AO558" i="3"/>
  <c r="AN558" i="3"/>
  <c r="AM558" i="3"/>
  <c r="AL558" i="3"/>
  <c r="L558" i="3"/>
  <c r="D558" i="3"/>
  <c r="L557" i="3"/>
  <c r="D557" i="3"/>
  <c r="AQ556" i="3"/>
  <c r="AP556" i="3"/>
  <c r="AO556" i="3"/>
  <c r="AN556" i="3"/>
  <c r="AM556" i="3"/>
  <c r="AL556" i="3"/>
  <c r="L556" i="3"/>
  <c r="D556" i="3"/>
  <c r="AQ555" i="3"/>
  <c r="AP555" i="3"/>
  <c r="AO555" i="3"/>
  <c r="AN555" i="3"/>
  <c r="AM555" i="3"/>
  <c r="AL555" i="3"/>
  <c r="L555" i="3"/>
  <c r="D555" i="3"/>
  <c r="AQ554" i="3"/>
  <c r="AP554" i="3"/>
  <c r="AO554" i="3"/>
  <c r="AN554" i="3"/>
  <c r="AM554" i="3"/>
  <c r="AL554" i="3"/>
  <c r="L554" i="3"/>
  <c r="D554" i="3"/>
  <c r="AQ553" i="3"/>
  <c r="AP553" i="3"/>
  <c r="AO553" i="3"/>
  <c r="AN553" i="3"/>
  <c r="AM553" i="3"/>
  <c r="AL553" i="3"/>
  <c r="L553" i="3"/>
  <c r="D553" i="3"/>
  <c r="AQ552" i="3"/>
  <c r="AP552" i="3"/>
  <c r="AO552" i="3"/>
  <c r="AN552" i="3"/>
  <c r="AM552" i="3"/>
  <c r="AL552" i="3"/>
  <c r="L552" i="3"/>
  <c r="D552" i="3"/>
  <c r="L551" i="3"/>
  <c r="D551" i="3"/>
  <c r="AQ550" i="3"/>
  <c r="AP550" i="3"/>
  <c r="AO550" i="3"/>
  <c r="AN550" i="3"/>
  <c r="AM550" i="3"/>
  <c r="AL550" i="3"/>
  <c r="L550" i="3"/>
  <c r="D550" i="3"/>
  <c r="AQ549" i="3"/>
  <c r="AP549" i="3"/>
  <c r="AO549" i="3"/>
  <c r="AN549" i="3"/>
  <c r="AM549" i="3"/>
  <c r="AL549" i="3"/>
  <c r="L549" i="3"/>
  <c r="D549" i="3"/>
  <c r="L548" i="3"/>
  <c r="D548" i="3"/>
  <c r="AQ547" i="3"/>
  <c r="AP547" i="3"/>
  <c r="AO547" i="3"/>
  <c r="AN547" i="3"/>
  <c r="AM547" i="3"/>
  <c r="AL547" i="3"/>
  <c r="L547" i="3"/>
  <c r="D547" i="3"/>
  <c r="L546" i="3"/>
  <c r="D546" i="3"/>
  <c r="AQ545" i="3"/>
  <c r="AP545" i="3"/>
  <c r="AO545" i="3"/>
  <c r="AN545" i="3"/>
  <c r="AM545" i="3"/>
  <c r="AL545" i="3"/>
  <c r="L545" i="3"/>
  <c r="D545" i="3"/>
  <c r="AQ544" i="3"/>
  <c r="AP544" i="3"/>
  <c r="AO544" i="3"/>
  <c r="AN544" i="3"/>
  <c r="AM544" i="3"/>
  <c r="AL544" i="3"/>
  <c r="L544" i="3"/>
  <c r="D544" i="3"/>
  <c r="AQ543" i="3"/>
  <c r="AP543" i="3"/>
  <c r="AO543" i="3"/>
  <c r="AN543" i="3"/>
  <c r="AM543" i="3"/>
  <c r="AL543" i="3"/>
  <c r="L543" i="3"/>
  <c r="D543" i="3"/>
  <c r="L542" i="3"/>
  <c r="D542" i="3"/>
  <c r="AQ541" i="3"/>
  <c r="AP541" i="3"/>
  <c r="AO541" i="3"/>
  <c r="AN541" i="3"/>
  <c r="AM541" i="3"/>
  <c r="AL541" i="3"/>
  <c r="L541" i="3"/>
  <c r="D541" i="3"/>
  <c r="AQ540" i="3"/>
  <c r="AP540" i="3"/>
  <c r="AO540" i="3"/>
  <c r="AN540" i="3"/>
  <c r="AM540" i="3"/>
  <c r="AL540" i="3"/>
  <c r="L540" i="3"/>
  <c r="D540" i="3"/>
  <c r="L539" i="3"/>
  <c r="D539" i="3"/>
  <c r="AQ538" i="3"/>
  <c r="AP538" i="3"/>
  <c r="AO538" i="3"/>
  <c r="AN538" i="3"/>
  <c r="AM538" i="3"/>
  <c r="AL538" i="3"/>
  <c r="L538" i="3"/>
  <c r="D538" i="3"/>
  <c r="L537" i="3"/>
  <c r="D537" i="3"/>
  <c r="AQ536" i="3"/>
  <c r="AP536" i="3"/>
  <c r="AO536" i="3"/>
  <c r="AN536" i="3"/>
  <c r="AM536" i="3"/>
  <c r="AL536" i="3"/>
  <c r="L536" i="3"/>
  <c r="D536" i="3"/>
  <c r="AQ535" i="3"/>
  <c r="AP535" i="3"/>
  <c r="AO535" i="3"/>
  <c r="AN535" i="3"/>
  <c r="AM535" i="3"/>
  <c r="AL535" i="3"/>
  <c r="L535" i="3"/>
  <c r="D535" i="3"/>
  <c r="AQ534" i="3"/>
  <c r="AP534" i="3"/>
  <c r="AO534" i="3"/>
  <c r="AN534" i="3"/>
  <c r="AM534" i="3"/>
  <c r="AL534" i="3"/>
  <c r="L534" i="3"/>
  <c r="D534" i="3"/>
  <c r="AQ533" i="3"/>
  <c r="AP533" i="3"/>
  <c r="AO533" i="3"/>
  <c r="AN533" i="3"/>
  <c r="AM533" i="3"/>
  <c r="AL533" i="3"/>
  <c r="L533" i="3"/>
  <c r="D533" i="3"/>
  <c r="AQ532" i="3"/>
  <c r="AP532" i="3"/>
  <c r="AO532" i="3"/>
  <c r="AN532" i="3"/>
  <c r="AM532" i="3"/>
  <c r="AL532" i="3"/>
  <c r="L532" i="3"/>
  <c r="D532" i="3"/>
  <c r="AQ531" i="3"/>
  <c r="AP531" i="3"/>
  <c r="AO531" i="3"/>
  <c r="AN531" i="3"/>
  <c r="AM531" i="3"/>
  <c r="AL531" i="3"/>
  <c r="L531" i="3"/>
  <c r="D531" i="3"/>
  <c r="AQ530" i="3"/>
  <c r="AP530" i="3"/>
  <c r="AO530" i="3"/>
  <c r="AN530" i="3"/>
  <c r="AM530" i="3"/>
  <c r="AL530" i="3"/>
  <c r="L530" i="3"/>
  <c r="D530" i="3"/>
  <c r="L529" i="3"/>
  <c r="D529" i="3"/>
  <c r="AQ528" i="3"/>
  <c r="AP528" i="3"/>
  <c r="AO528" i="3"/>
  <c r="AN528" i="3"/>
  <c r="AM528" i="3"/>
  <c r="AL528" i="3"/>
  <c r="L528" i="3"/>
  <c r="D528" i="3"/>
  <c r="AQ527" i="3"/>
  <c r="AP527" i="3"/>
  <c r="AO527" i="3"/>
  <c r="AN527" i="3"/>
  <c r="AM527" i="3"/>
  <c r="AL527" i="3"/>
  <c r="L527" i="3"/>
  <c r="D527" i="3"/>
  <c r="AQ526" i="3"/>
  <c r="AP526" i="3"/>
  <c r="AO526" i="3"/>
  <c r="AN526" i="3"/>
  <c r="AM526" i="3"/>
  <c r="AL526" i="3"/>
  <c r="L526" i="3"/>
  <c r="D526" i="3"/>
  <c r="L525" i="3"/>
  <c r="D525" i="3"/>
  <c r="AQ524" i="3"/>
  <c r="AP524" i="3"/>
  <c r="AO524" i="3"/>
  <c r="AN524" i="3"/>
  <c r="AM524" i="3"/>
  <c r="AL524" i="3"/>
  <c r="L524" i="3"/>
  <c r="D524" i="3"/>
  <c r="AQ523" i="3"/>
  <c r="AP523" i="3"/>
  <c r="AO523" i="3"/>
  <c r="AN523" i="3"/>
  <c r="AM523" i="3"/>
  <c r="AL523" i="3"/>
  <c r="L523" i="3"/>
  <c r="D523" i="3"/>
  <c r="AQ522" i="3"/>
  <c r="AP522" i="3"/>
  <c r="AO522" i="3"/>
  <c r="AN522" i="3"/>
  <c r="AM522" i="3"/>
  <c r="AL522" i="3"/>
  <c r="L522" i="3"/>
  <c r="D522" i="3"/>
  <c r="AQ521" i="3"/>
  <c r="AP521" i="3"/>
  <c r="AO521" i="3"/>
  <c r="AN521" i="3"/>
  <c r="AM521" i="3"/>
  <c r="AL521" i="3"/>
  <c r="L521" i="3"/>
  <c r="D521" i="3"/>
  <c r="AQ520" i="3"/>
  <c r="AP520" i="3"/>
  <c r="AO520" i="3"/>
  <c r="AN520" i="3"/>
  <c r="AM520" i="3"/>
  <c r="AL520" i="3"/>
  <c r="L520" i="3"/>
  <c r="D520" i="3"/>
  <c r="L519" i="3"/>
  <c r="D519" i="3"/>
  <c r="L518" i="3"/>
  <c r="D518" i="3"/>
  <c r="AQ517" i="3"/>
  <c r="AP517" i="3"/>
  <c r="AO517" i="3"/>
  <c r="AN517" i="3"/>
  <c r="AM517" i="3"/>
  <c r="AL517" i="3"/>
  <c r="L517" i="3"/>
  <c r="D517" i="3"/>
  <c r="AQ516" i="3"/>
  <c r="AP516" i="3"/>
  <c r="AO516" i="3"/>
  <c r="AN516" i="3"/>
  <c r="AM516" i="3"/>
  <c r="AL516" i="3"/>
  <c r="L516" i="3"/>
  <c r="D516" i="3"/>
  <c r="AQ515" i="3"/>
  <c r="AP515" i="3"/>
  <c r="AO515" i="3"/>
  <c r="AN515" i="3"/>
  <c r="AM515" i="3"/>
  <c r="AL515" i="3"/>
  <c r="L515" i="3"/>
  <c r="D515" i="3"/>
  <c r="L514" i="3"/>
  <c r="D514" i="3"/>
  <c r="L513" i="3"/>
  <c r="D513" i="3"/>
  <c r="AQ512" i="3"/>
  <c r="AP512" i="3"/>
  <c r="AO512" i="3"/>
  <c r="AN512" i="3"/>
  <c r="AM512" i="3"/>
  <c r="AL512" i="3"/>
  <c r="L512" i="3"/>
  <c r="D512" i="3"/>
  <c r="AQ511" i="3"/>
  <c r="AP511" i="3"/>
  <c r="AO511" i="3"/>
  <c r="AN511" i="3"/>
  <c r="AM511" i="3"/>
  <c r="AL511" i="3"/>
  <c r="L511" i="3"/>
  <c r="D511" i="3"/>
  <c r="AQ510" i="3"/>
  <c r="AP510" i="3"/>
  <c r="AO510" i="3"/>
  <c r="AN510" i="3"/>
  <c r="AM510" i="3"/>
  <c r="AL510" i="3"/>
  <c r="L510" i="3"/>
  <c r="D510" i="3"/>
  <c r="L509" i="3"/>
  <c r="D509" i="3"/>
  <c r="AQ508" i="3"/>
  <c r="AP508" i="3"/>
  <c r="AO508" i="3"/>
  <c r="AN508" i="3"/>
  <c r="AM508" i="3"/>
  <c r="AL508" i="3"/>
  <c r="L508" i="3"/>
  <c r="D508" i="3"/>
  <c r="AQ507" i="3"/>
  <c r="AP507" i="3"/>
  <c r="AO507" i="3"/>
  <c r="AN507" i="3"/>
  <c r="AM507" i="3"/>
  <c r="AL507" i="3"/>
  <c r="L507" i="3"/>
  <c r="D507" i="3"/>
  <c r="AQ506" i="3"/>
  <c r="AP506" i="3"/>
  <c r="AO506" i="3"/>
  <c r="AN506" i="3"/>
  <c r="AM506" i="3"/>
  <c r="AL506" i="3"/>
  <c r="L506" i="3"/>
  <c r="D506" i="3"/>
  <c r="AQ505" i="3"/>
  <c r="AP505" i="3"/>
  <c r="AO505" i="3"/>
  <c r="AN505" i="3"/>
  <c r="AM505" i="3"/>
  <c r="AL505" i="3"/>
  <c r="L505" i="3"/>
  <c r="D505" i="3"/>
  <c r="AQ504" i="3"/>
  <c r="AP504" i="3"/>
  <c r="AO504" i="3"/>
  <c r="AN504" i="3"/>
  <c r="AM504" i="3"/>
  <c r="AL504" i="3"/>
  <c r="L504" i="3"/>
  <c r="D504" i="3"/>
  <c r="AQ503" i="3"/>
  <c r="AP503" i="3"/>
  <c r="AO503" i="3"/>
  <c r="AN503" i="3"/>
  <c r="AM503" i="3"/>
  <c r="AL503" i="3"/>
  <c r="L503" i="3"/>
  <c r="D503" i="3"/>
  <c r="AQ502" i="3"/>
  <c r="AP502" i="3"/>
  <c r="AO502" i="3"/>
  <c r="AN502" i="3"/>
  <c r="AM502" i="3"/>
  <c r="AL502" i="3"/>
  <c r="L502" i="3"/>
  <c r="D502" i="3"/>
  <c r="AQ501" i="3"/>
  <c r="AP501" i="3"/>
  <c r="AO501" i="3"/>
  <c r="AN501" i="3"/>
  <c r="AM501" i="3"/>
  <c r="AL501" i="3"/>
  <c r="L501" i="3"/>
  <c r="D501" i="3"/>
  <c r="AQ500" i="3"/>
  <c r="AP500" i="3"/>
  <c r="AO500" i="3"/>
  <c r="AN500" i="3"/>
  <c r="AM500" i="3"/>
  <c r="AL500" i="3"/>
  <c r="L500" i="3"/>
  <c r="D500" i="3"/>
  <c r="AQ499" i="3"/>
  <c r="AP499" i="3"/>
  <c r="AO499" i="3"/>
  <c r="AN499" i="3"/>
  <c r="AM499" i="3"/>
  <c r="AL499" i="3"/>
  <c r="L499" i="3"/>
  <c r="D499" i="3"/>
  <c r="AQ498" i="3"/>
  <c r="AP498" i="3"/>
  <c r="AO498" i="3"/>
  <c r="AN498" i="3"/>
  <c r="AM498" i="3"/>
  <c r="AL498" i="3"/>
  <c r="L498" i="3"/>
  <c r="D498" i="3"/>
  <c r="AQ497" i="3"/>
  <c r="AP497" i="3"/>
  <c r="AO497" i="3"/>
  <c r="AN497" i="3"/>
  <c r="AM497" i="3"/>
  <c r="AL497" i="3"/>
  <c r="L497" i="3"/>
  <c r="D497" i="3"/>
  <c r="L496" i="3"/>
  <c r="D496" i="3"/>
  <c r="L495" i="3"/>
  <c r="D495" i="3"/>
  <c r="AQ494" i="3"/>
  <c r="AP494" i="3"/>
  <c r="AO494" i="3"/>
  <c r="AN494" i="3"/>
  <c r="AM494" i="3"/>
  <c r="AL494" i="3"/>
  <c r="L494" i="3"/>
  <c r="D494" i="3"/>
  <c r="L493" i="3"/>
  <c r="D493" i="3"/>
  <c r="AQ492" i="3"/>
  <c r="AP492" i="3"/>
  <c r="AO492" i="3"/>
  <c r="AN492" i="3"/>
  <c r="AM492" i="3"/>
  <c r="AL492" i="3"/>
  <c r="L492" i="3"/>
  <c r="D492" i="3"/>
  <c r="AQ491" i="3"/>
  <c r="AP491" i="3"/>
  <c r="AO491" i="3"/>
  <c r="AN491" i="3"/>
  <c r="AM491" i="3"/>
  <c r="AL491" i="3"/>
  <c r="L491" i="3"/>
  <c r="D491" i="3"/>
  <c r="AQ490" i="3"/>
  <c r="AP490" i="3"/>
  <c r="AO490" i="3"/>
  <c r="AN490" i="3"/>
  <c r="AM490" i="3"/>
  <c r="AL490" i="3"/>
  <c r="L490" i="3"/>
  <c r="D490" i="3"/>
  <c r="AQ489" i="3"/>
  <c r="AP489" i="3"/>
  <c r="AO489" i="3"/>
  <c r="AN489" i="3"/>
  <c r="AM489" i="3"/>
  <c r="AL489" i="3"/>
  <c r="L489" i="3"/>
  <c r="D489" i="3"/>
  <c r="L488" i="3"/>
  <c r="D488" i="3"/>
  <c r="L487" i="3"/>
  <c r="D487" i="3"/>
  <c r="AQ486" i="3"/>
  <c r="AP486" i="3"/>
  <c r="AO486" i="3"/>
  <c r="AN486" i="3"/>
  <c r="AM486" i="3"/>
  <c r="AL486" i="3"/>
  <c r="L486" i="3"/>
  <c r="D486" i="3"/>
  <c r="L485" i="3"/>
  <c r="D485" i="3"/>
  <c r="L484" i="3"/>
  <c r="D484" i="3"/>
  <c r="AQ483" i="3"/>
  <c r="AP483" i="3"/>
  <c r="AO483" i="3"/>
  <c r="AN483" i="3"/>
  <c r="AM483" i="3"/>
  <c r="AL483" i="3"/>
  <c r="L483" i="3"/>
  <c r="D483" i="3"/>
  <c r="AQ482" i="3"/>
  <c r="AP482" i="3"/>
  <c r="AO482" i="3"/>
  <c r="AN482" i="3"/>
  <c r="AM482" i="3"/>
  <c r="AL482" i="3"/>
  <c r="L482" i="3"/>
  <c r="D482" i="3"/>
  <c r="AQ481" i="3"/>
  <c r="AP481" i="3"/>
  <c r="AO481" i="3"/>
  <c r="AN481" i="3"/>
  <c r="AM481" i="3"/>
  <c r="AL481" i="3"/>
  <c r="L481" i="3"/>
  <c r="D481" i="3"/>
  <c r="AQ480" i="3"/>
  <c r="AP480" i="3"/>
  <c r="AO480" i="3"/>
  <c r="AN480" i="3"/>
  <c r="AM480" i="3"/>
  <c r="AL480" i="3"/>
  <c r="L480" i="3"/>
  <c r="D480" i="3"/>
  <c r="AQ479" i="3"/>
  <c r="AP479" i="3"/>
  <c r="AO479" i="3"/>
  <c r="AN479" i="3"/>
  <c r="AM479" i="3"/>
  <c r="AL479" i="3"/>
  <c r="L479" i="3"/>
  <c r="D479" i="3"/>
  <c r="AQ478" i="3"/>
  <c r="AP478" i="3"/>
  <c r="AO478" i="3"/>
  <c r="AN478" i="3"/>
  <c r="AM478" i="3"/>
  <c r="AL478" i="3"/>
  <c r="L478" i="3"/>
  <c r="D478" i="3"/>
  <c r="AQ477" i="3"/>
  <c r="AP477" i="3"/>
  <c r="AO477" i="3"/>
  <c r="AN477" i="3"/>
  <c r="AM477" i="3"/>
  <c r="AL477" i="3"/>
  <c r="L477" i="3"/>
  <c r="D477" i="3"/>
  <c r="L476" i="3"/>
  <c r="D476" i="3"/>
  <c r="L475" i="3"/>
  <c r="D475" i="3"/>
  <c r="AQ474" i="3"/>
  <c r="AP474" i="3"/>
  <c r="AO474" i="3"/>
  <c r="AN474" i="3"/>
  <c r="AM474" i="3"/>
  <c r="AL474" i="3"/>
  <c r="L474" i="3"/>
  <c r="D474" i="3"/>
  <c r="AQ473" i="3"/>
  <c r="AP473" i="3"/>
  <c r="AO473" i="3"/>
  <c r="AN473" i="3"/>
  <c r="AM473" i="3"/>
  <c r="AL473" i="3"/>
  <c r="L473" i="3"/>
  <c r="D473" i="3"/>
  <c r="L472" i="3"/>
  <c r="D472" i="3"/>
  <c r="AQ471" i="3"/>
  <c r="AP471" i="3"/>
  <c r="AO471" i="3"/>
  <c r="AN471" i="3"/>
  <c r="AM471" i="3"/>
  <c r="AL471" i="3"/>
  <c r="L471" i="3"/>
  <c r="D471" i="3"/>
  <c r="AQ470" i="3"/>
  <c r="AP470" i="3"/>
  <c r="AO470" i="3"/>
  <c r="AN470" i="3"/>
  <c r="AM470" i="3"/>
  <c r="AL470" i="3"/>
  <c r="L470" i="3"/>
  <c r="D470" i="3"/>
  <c r="L469" i="3"/>
  <c r="D469" i="3"/>
  <c r="AQ468" i="3"/>
  <c r="AP468" i="3"/>
  <c r="AO468" i="3"/>
  <c r="AN468" i="3"/>
  <c r="AM468" i="3"/>
  <c r="AL468" i="3"/>
  <c r="L468" i="3"/>
  <c r="D468" i="3"/>
  <c r="L467" i="3"/>
  <c r="D467" i="3"/>
  <c r="AQ466" i="3"/>
  <c r="AP466" i="3"/>
  <c r="AO466" i="3"/>
  <c r="AN466" i="3"/>
  <c r="AM466" i="3"/>
  <c r="AL466" i="3"/>
  <c r="L466" i="3"/>
  <c r="D466" i="3"/>
  <c r="AQ465" i="3"/>
  <c r="AP465" i="3"/>
  <c r="AO465" i="3"/>
  <c r="AN465" i="3"/>
  <c r="AM465" i="3"/>
  <c r="AL465" i="3"/>
  <c r="L465" i="3"/>
  <c r="D465" i="3"/>
  <c r="AQ464" i="3"/>
  <c r="AP464" i="3"/>
  <c r="AO464" i="3"/>
  <c r="AN464" i="3"/>
  <c r="AM464" i="3"/>
  <c r="AL464" i="3"/>
  <c r="L464" i="3"/>
  <c r="D464" i="3"/>
  <c r="AQ463" i="3"/>
  <c r="AP463" i="3"/>
  <c r="AO463" i="3"/>
  <c r="AN463" i="3"/>
  <c r="AM463" i="3"/>
  <c r="AL463" i="3"/>
  <c r="L463" i="3"/>
  <c r="D463" i="3"/>
  <c r="AQ462" i="3"/>
  <c r="AP462" i="3"/>
  <c r="AO462" i="3"/>
  <c r="AN462" i="3"/>
  <c r="AM462" i="3"/>
  <c r="AL462" i="3"/>
  <c r="L462" i="3"/>
  <c r="D462" i="3"/>
  <c r="AQ461" i="3"/>
  <c r="AP461" i="3"/>
  <c r="AO461" i="3"/>
  <c r="AN461" i="3"/>
  <c r="AM461" i="3"/>
  <c r="AL461" i="3"/>
  <c r="L461" i="3"/>
  <c r="D461" i="3"/>
  <c r="AQ460" i="3"/>
  <c r="AP460" i="3"/>
  <c r="AO460" i="3"/>
  <c r="AN460" i="3"/>
  <c r="AM460" i="3"/>
  <c r="AL460" i="3"/>
  <c r="L460" i="3"/>
  <c r="D460" i="3"/>
  <c r="L459" i="3"/>
  <c r="D459" i="3"/>
  <c r="AQ458" i="3"/>
  <c r="AP458" i="3"/>
  <c r="AO458" i="3"/>
  <c r="AN458" i="3"/>
  <c r="AM458" i="3"/>
  <c r="AL458" i="3"/>
  <c r="L458" i="3"/>
  <c r="D458" i="3"/>
  <c r="AQ457" i="3"/>
  <c r="AP457" i="3"/>
  <c r="AO457" i="3"/>
  <c r="AN457" i="3"/>
  <c r="AM457" i="3"/>
  <c r="AL457" i="3"/>
  <c r="L457" i="3"/>
  <c r="D457" i="3"/>
  <c r="L456" i="3"/>
  <c r="D456" i="3"/>
  <c r="L455" i="3"/>
  <c r="D455" i="3"/>
  <c r="AQ454" i="3"/>
  <c r="AP454" i="3"/>
  <c r="AO454" i="3"/>
  <c r="AN454" i="3"/>
  <c r="AM454" i="3"/>
  <c r="AL454" i="3"/>
  <c r="L454" i="3"/>
  <c r="D454" i="3"/>
  <c r="AQ453" i="3"/>
  <c r="AP453" i="3"/>
  <c r="AO453" i="3"/>
  <c r="AN453" i="3"/>
  <c r="AM453" i="3"/>
  <c r="AL453" i="3"/>
  <c r="L453" i="3"/>
  <c r="D453" i="3"/>
  <c r="AQ452" i="3"/>
  <c r="AP452" i="3"/>
  <c r="AO452" i="3"/>
  <c r="AN452" i="3"/>
  <c r="AM452" i="3"/>
  <c r="AL452" i="3"/>
  <c r="L452" i="3"/>
  <c r="D452" i="3"/>
  <c r="AQ451" i="3"/>
  <c r="AP451" i="3"/>
  <c r="AO451" i="3"/>
  <c r="AN451" i="3"/>
  <c r="AM451" i="3"/>
  <c r="AL451" i="3"/>
  <c r="L451" i="3"/>
  <c r="D451" i="3"/>
  <c r="L450" i="3"/>
  <c r="D450" i="3"/>
  <c r="AQ449" i="3"/>
  <c r="AP449" i="3"/>
  <c r="AO449" i="3"/>
  <c r="AN449" i="3"/>
  <c r="AM449" i="3"/>
  <c r="AL449" i="3"/>
  <c r="L449" i="3"/>
  <c r="D449" i="3"/>
  <c r="AQ448" i="3"/>
  <c r="AP448" i="3"/>
  <c r="AO448" i="3"/>
  <c r="AN448" i="3"/>
  <c r="AM448" i="3"/>
  <c r="AL448" i="3"/>
  <c r="L448" i="3"/>
  <c r="D448" i="3"/>
  <c r="AQ447" i="3"/>
  <c r="AP447" i="3"/>
  <c r="AO447" i="3"/>
  <c r="AN447" i="3"/>
  <c r="AM447" i="3"/>
  <c r="AL447" i="3"/>
  <c r="L447" i="3"/>
  <c r="D447" i="3"/>
  <c r="AQ446" i="3"/>
  <c r="AP446" i="3"/>
  <c r="AO446" i="3"/>
  <c r="AN446" i="3"/>
  <c r="AM446" i="3"/>
  <c r="AL446" i="3"/>
  <c r="L446" i="3"/>
  <c r="D446" i="3"/>
  <c r="AQ445" i="3"/>
  <c r="AP445" i="3"/>
  <c r="AO445" i="3"/>
  <c r="AN445" i="3"/>
  <c r="AM445" i="3"/>
  <c r="AL445" i="3"/>
  <c r="L445" i="3"/>
  <c r="D445" i="3"/>
  <c r="L444" i="3"/>
  <c r="D444" i="3"/>
  <c r="L443" i="3"/>
  <c r="D443" i="3"/>
  <c r="L442" i="3"/>
  <c r="D442" i="3"/>
  <c r="AQ441" i="3"/>
  <c r="AP441" i="3"/>
  <c r="AO441" i="3"/>
  <c r="AN441" i="3"/>
  <c r="AM441" i="3"/>
  <c r="AL441" i="3"/>
  <c r="L441" i="3"/>
  <c r="D441" i="3"/>
  <c r="AQ440" i="3"/>
  <c r="AP440" i="3"/>
  <c r="AO440" i="3"/>
  <c r="AN440" i="3"/>
  <c r="AM440" i="3"/>
  <c r="AL440" i="3"/>
  <c r="L440" i="3"/>
  <c r="D440" i="3"/>
  <c r="AQ439" i="3"/>
  <c r="AP439" i="3"/>
  <c r="AO439" i="3"/>
  <c r="AN439" i="3"/>
  <c r="AM439" i="3"/>
  <c r="AL439" i="3"/>
  <c r="L439" i="3"/>
  <c r="D439" i="3"/>
  <c r="L438" i="3"/>
  <c r="D438" i="3"/>
  <c r="AQ437" i="3"/>
  <c r="AP437" i="3"/>
  <c r="AO437" i="3"/>
  <c r="AN437" i="3"/>
  <c r="AM437" i="3"/>
  <c r="AL437" i="3"/>
  <c r="L437" i="3"/>
  <c r="D437" i="3"/>
  <c r="AQ436" i="3"/>
  <c r="AP436" i="3"/>
  <c r="AO436" i="3"/>
  <c r="AN436" i="3"/>
  <c r="AM436" i="3"/>
  <c r="AL436" i="3"/>
  <c r="L436" i="3"/>
  <c r="D436" i="3"/>
  <c r="AQ435" i="3"/>
  <c r="AP435" i="3"/>
  <c r="AO435" i="3"/>
  <c r="AN435" i="3"/>
  <c r="AM435" i="3"/>
  <c r="AL435" i="3"/>
  <c r="L435" i="3"/>
  <c r="D435" i="3"/>
  <c r="AQ434" i="3"/>
  <c r="AP434" i="3"/>
  <c r="AO434" i="3"/>
  <c r="AN434" i="3"/>
  <c r="AM434" i="3"/>
  <c r="AL434" i="3"/>
  <c r="L434" i="3"/>
  <c r="D434" i="3"/>
  <c r="L433" i="3"/>
  <c r="D433" i="3"/>
  <c r="L432" i="3"/>
  <c r="D432" i="3"/>
  <c r="AQ431" i="3"/>
  <c r="AP431" i="3"/>
  <c r="AO431" i="3"/>
  <c r="AN431" i="3"/>
  <c r="AM431" i="3"/>
  <c r="AL431" i="3"/>
  <c r="L431" i="3"/>
  <c r="D431" i="3"/>
  <c r="L430" i="3"/>
  <c r="D430" i="3"/>
  <c r="AQ429" i="3"/>
  <c r="AP429" i="3"/>
  <c r="AO429" i="3"/>
  <c r="AN429" i="3"/>
  <c r="AM429" i="3"/>
  <c r="AL429" i="3"/>
  <c r="L429" i="3"/>
  <c r="D429" i="3"/>
  <c r="L428" i="3"/>
  <c r="D428" i="3"/>
  <c r="AQ427" i="3"/>
  <c r="AP427" i="3"/>
  <c r="AO427" i="3"/>
  <c r="AN427" i="3"/>
  <c r="AM427" i="3"/>
  <c r="AL427" i="3"/>
  <c r="L427" i="3"/>
  <c r="D427" i="3"/>
  <c r="L426" i="3"/>
  <c r="D426" i="3"/>
  <c r="AQ425" i="3"/>
  <c r="AP425" i="3"/>
  <c r="AO425" i="3"/>
  <c r="AN425" i="3"/>
  <c r="AM425" i="3"/>
  <c r="AL425" i="3"/>
  <c r="L425" i="3"/>
  <c r="D425" i="3"/>
  <c r="AQ424" i="3"/>
  <c r="AP424" i="3"/>
  <c r="AO424" i="3"/>
  <c r="AN424" i="3"/>
  <c r="AM424" i="3"/>
  <c r="AL424" i="3"/>
  <c r="L424" i="3"/>
  <c r="D424" i="3"/>
  <c r="AQ423" i="3"/>
  <c r="AP423" i="3"/>
  <c r="AO423" i="3"/>
  <c r="AN423" i="3"/>
  <c r="AM423" i="3"/>
  <c r="AL423" i="3"/>
  <c r="L423" i="3"/>
  <c r="D423" i="3"/>
  <c r="AQ422" i="3"/>
  <c r="AP422" i="3"/>
  <c r="AO422" i="3"/>
  <c r="AN422" i="3"/>
  <c r="AM422" i="3"/>
  <c r="AL422" i="3"/>
  <c r="L422" i="3"/>
  <c r="D422" i="3"/>
  <c r="AQ421" i="3"/>
  <c r="AP421" i="3"/>
  <c r="AO421" i="3"/>
  <c r="AN421" i="3"/>
  <c r="AM421" i="3"/>
  <c r="AL421" i="3"/>
  <c r="L421" i="3"/>
  <c r="D421" i="3"/>
  <c r="AQ420" i="3"/>
  <c r="AP420" i="3"/>
  <c r="AO420" i="3"/>
  <c r="AN420" i="3"/>
  <c r="AM420" i="3"/>
  <c r="AL420" i="3"/>
  <c r="L420" i="3"/>
  <c r="D420" i="3"/>
  <c r="AQ419" i="3"/>
  <c r="AP419" i="3"/>
  <c r="AO419" i="3"/>
  <c r="AN419" i="3"/>
  <c r="AM419" i="3"/>
  <c r="AL419" i="3"/>
  <c r="L419" i="3"/>
  <c r="D419" i="3"/>
  <c r="AQ418" i="3"/>
  <c r="AP418" i="3"/>
  <c r="AO418" i="3"/>
  <c r="AN418" i="3"/>
  <c r="AM418" i="3"/>
  <c r="AL418" i="3"/>
  <c r="L418" i="3"/>
  <c r="D418" i="3"/>
  <c r="AQ417" i="3"/>
  <c r="AP417" i="3"/>
  <c r="AO417" i="3"/>
  <c r="AN417" i="3"/>
  <c r="AM417" i="3"/>
  <c r="AL417" i="3"/>
  <c r="L417" i="3"/>
  <c r="D417" i="3"/>
  <c r="AQ416" i="3"/>
  <c r="AP416" i="3"/>
  <c r="AO416" i="3"/>
  <c r="AN416" i="3"/>
  <c r="AM416" i="3"/>
  <c r="AL416" i="3"/>
  <c r="L416" i="3"/>
  <c r="D416" i="3"/>
  <c r="L415" i="3"/>
  <c r="D415" i="3"/>
  <c r="AQ414" i="3"/>
  <c r="AP414" i="3"/>
  <c r="AO414" i="3"/>
  <c r="AN414" i="3"/>
  <c r="AM414" i="3"/>
  <c r="AL414" i="3"/>
  <c r="L414" i="3"/>
  <c r="D414" i="3"/>
  <c r="AQ413" i="3"/>
  <c r="AP413" i="3"/>
  <c r="AO413" i="3"/>
  <c r="AN413" i="3"/>
  <c r="AM413" i="3"/>
  <c r="AL413" i="3"/>
  <c r="L413" i="3"/>
  <c r="D413" i="3"/>
  <c r="AQ412" i="3"/>
  <c r="AP412" i="3"/>
  <c r="AO412" i="3"/>
  <c r="AN412" i="3"/>
  <c r="AM412" i="3"/>
  <c r="AL412" i="3"/>
  <c r="L412" i="3"/>
  <c r="D412" i="3"/>
  <c r="AQ411" i="3"/>
  <c r="AP411" i="3"/>
  <c r="AO411" i="3"/>
  <c r="AN411" i="3"/>
  <c r="AM411" i="3"/>
  <c r="AL411" i="3"/>
  <c r="L411" i="3"/>
  <c r="D411" i="3"/>
  <c r="AQ410" i="3"/>
  <c r="AP410" i="3"/>
  <c r="AO410" i="3"/>
  <c r="AN410" i="3"/>
  <c r="AM410" i="3"/>
  <c r="AL410" i="3"/>
  <c r="L410" i="3"/>
  <c r="D410" i="3"/>
  <c r="AQ409" i="3"/>
  <c r="AP409" i="3"/>
  <c r="AO409" i="3"/>
  <c r="AN409" i="3"/>
  <c r="AM409" i="3"/>
  <c r="AL409" i="3"/>
  <c r="L409" i="3"/>
  <c r="D409" i="3"/>
  <c r="AQ408" i="3"/>
  <c r="AP408" i="3"/>
  <c r="AO408" i="3"/>
  <c r="AN408" i="3"/>
  <c r="AM408" i="3"/>
  <c r="AL408" i="3"/>
  <c r="L408" i="3"/>
  <c r="D408" i="3"/>
  <c r="L407" i="3"/>
  <c r="D407" i="3"/>
  <c r="L406" i="3"/>
  <c r="D406" i="3"/>
  <c r="AQ405" i="3"/>
  <c r="AP405" i="3"/>
  <c r="AO405" i="3"/>
  <c r="AN405" i="3"/>
  <c r="AM405" i="3"/>
  <c r="AL405" i="3"/>
  <c r="L405" i="3"/>
  <c r="D405" i="3"/>
  <c r="AQ404" i="3"/>
  <c r="AP404" i="3"/>
  <c r="AO404" i="3"/>
  <c r="AN404" i="3"/>
  <c r="AM404" i="3"/>
  <c r="AL404" i="3"/>
  <c r="L404" i="3"/>
  <c r="D404" i="3"/>
  <c r="AQ403" i="3"/>
  <c r="AP403" i="3"/>
  <c r="AO403" i="3"/>
  <c r="AN403" i="3"/>
  <c r="AM403" i="3"/>
  <c r="AL403" i="3"/>
  <c r="L403" i="3"/>
  <c r="D403" i="3"/>
  <c r="AQ402" i="3"/>
  <c r="AP402" i="3"/>
  <c r="AO402" i="3"/>
  <c r="AN402" i="3"/>
  <c r="AM402" i="3"/>
  <c r="AL402" i="3"/>
  <c r="L402" i="3"/>
  <c r="D402" i="3"/>
  <c r="AQ401" i="3"/>
  <c r="AP401" i="3"/>
  <c r="AO401" i="3"/>
  <c r="AN401" i="3"/>
  <c r="AM401" i="3"/>
  <c r="AL401" i="3"/>
  <c r="L401" i="3"/>
  <c r="D401" i="3"/>
  <c r="L400" i="3"/>
  <c r="D400" i="3"/>
  <c r="AQ399" i="3"/>
  <c r="AP399" i="3"/>
  <c r="AO399" i="3"/>
  <c r="AN399" i="3"/>
  <c r="AM399" i="3"/>
  <c r="AL399" i="3"/>
  <c r="L399" i="3"/>
  <c r="D399" i="3"/>
  <c r="AQ398" i="3"/>
  <c r="AP398" i="3"/>
  <c r="AO398" i="3"/>
  <c r="AN398" i="3"/>
  <c r="AM398" i="3"/>
  <c r="AL398" i="3"/>
  <c r="L398" i="3"/>
  <c r="D398" i="3"/>
  <c r="AQ397" i="3"/>
  <c r="AP397" i="3"/>
  <c r="AO397" i="3"/>
  <c r="AN397" i="3"/>
  <c r="AM397" i="3"/>
  <c r="AL397" i="3"/>
  <c r="L397" i="3"/>
  <c r="D397" i="3"/>
  <c r="L396" i="3"/>
  <c r="D396" i="3"/>
  <c r="AQ395" i="3"/>
  <c r="AP395" i="3"/>
  <c r="AO395" i="3"/>
  <c r="AN395" i="3"/>
  <c r="AM395" i="3"/>
  <c r="AL395" i="3"/>
  <c r="L395" i="3"/>
  <c r="D395" i="3"/>
  <c r="L394" i="3"/>
  <c r="D394" i="3"/>
  <c r="L393" i="3"/>
  <c r="D393" i="3"/>
  <c r="L392" i="3"/>
  <c r="D392" i="3"/>
  <c r="L391" i="3"/>
  <c r="D391" i="3"/>
  <c r="L390" i="3"/>
  <c r="D390" i="3"/>
  <c r="L389" i="3"/>
  <c r="D389" i="3"/>
  <c r="L388" i="3"/>
  <c r="D388" i="3"/>
  <c r="L387" i="3"/>
  <c r="D387" i="3"/>
  <c r="AQ386" i="3"/>
  <c r="AP386" i="3"/>
  <c r="AO386" i="3"/>
  <c r="AN386" i="3"/>
  <c r="AM386" i="3"/>
  <c r="AL386" i="3"/>
  <c r="L386" i="3"/>
  <c r="D386" i="3"/>
  <c r="AQ385" i="3"/>
  <c r="AP385" i="3"/>
  <c r="AO385" i="3"/>
  <c r="AN385" i="3"/>
  <c r="AM385" i="3"/>
  <c r="AL385" i="3"/>
  <c r="L385" i="3"/>
  <c r="D385" i="3"/>
  <c r="AQ384" i="3"/>
  <c r="AP384" i="3"/>
  <c r="AO384" i="3"/>
  <c r="AN384" i="3"/>
  <c r="AM384" i="3"/>
  <c r="AL384" i="3"/>
  <c r="L384" i="3"/>
  <c r="D384" i="3"/>
  <c r="L383" i="3"/>
  <c r="D383" i="3"/>
  <c r="AQ382" i="3"/>
  <c r="AP382" i="3"/>
  <c r="AO382" i="3"/>
  <c r="AN382" i="3"/>
  <c r="AM382" i="3"/>
  <c r="AL382" i="3"/>
  <c r="L382" i="3"/>
  <c r="D382" i="3"/>
  <c r="AQ381" i="3"/>
  <c r="AP381" i="3"/>
  <c r="AO381" i="3"/>
  <c r="AN381" i="3"/>
  <c r="AM381" i="3"/>
  <c r="AL381" i="3"/>
  <c r="L381" i="3"/>
  <c r="D381" i="3"/>
  <c r="AQ380" i="3"/>
  <c r="AP380" i="3"/>
  <c r="AO380" i="3"/>
  <c r="AN380" i="3"/>
  <c r="AM380" i="3"/>
  <c r="AL380" i="3"/>
  <c r="L380" i="3"/>
  <c r="D380" i="3"/>
  <c r="AQ379" i="3"/>
  <c r="AP379" i="3"/>
  <c r="AO379" i="3"/>
  <c r="AN379" i="3"/>
  <c r="AM379" i="3"/>
  <c r="AL379" i="3"/>
  <c r="L379" i="3"/>
  <c r="D379" i="3"/>
  <c r="AQ378" i="3"/>
  <c r="AP378" i="3"/>
  <c r="AO378" i="3"/>
  <c r="AN378" i="3"/>
  <c r="AM378" i="3"/>
  <c r="AL378" i="3"/>
  <c r="L378" i="3"/>
  <c r="D378" i="3"/>
  <c r="AQ377" i="3"/>
  <c r="AP377" i="3"/>
  <c r="AO377" i="3"/>
  <c r="AN377" i="3"/>
  <c r="AM377" i="3"/>
  <c r="AL377" i="3"/>
  <c r="L377" i="3"/>
  <c r="D377" i="3"/>
  <c r="AQ376" i="3"/>
  <c r="AP376" i="3"/>
  <c r="AO376" i="3"/>
  <c r="AN376" i="3"/>
  <c r="AM376" i="3"/>
  <c r="AL376" i="3"/>
  <c r="L376" i="3"/>
  <c r="D376" i="3"/>
  <c r="AQ375" i="3"/>
  <c r="AP375" i="3"/>
  <c r="AO375" i="3"/>
  <c r="AN375" i="3"/>
  <c r="AM375" i="3"/>
  <c r="AL375" i="3"/>
  <c r="L375" i="3"/>
  <c r="D375" i="3"/>
  <c r="AQ374" i="3"/>
  <c r="AP374" i="3"/>
  <c r="AO374" i="3"/>
  <c r="AN374" i="3"/>
  <c r="AM374" i="3"/>
  <c r="AL374" i="3"/>
  <c r="L374" i="3"/>
  <c r="D374" i="3"/>
  <c r="AQ373" i="3"/>
  <c r="AP373" i="3"/>
  <c r="AO373" i="3"/>
  <c r="AN373" i="3"/>
  <c r="AM373" i="3"/>
  <c r="AL373" i="3"/>
  <c r="L373" i="3"/>
  <c r="D373" i="3"/>
  <c r="AQ372" i="3"/>
  <c r="AP372" i="3"/>
  <c r="AO372" i="3"/>
  <c r="AN372" i="3"/>
  <c r="AM372" i="3"/>
  <c r="AL372" i="3"/>
  <c r="L372" i="3"/>
  <c r="D372" i="3"/>
  <c r="AQ371" i="3"/>
  <c r="AP371" i="3"/>
  <c r="AO371" i="3"/>
  <c r="AN371" i="3"/>
  <c r="AM371" i="3"/>
  <c r="AL371" i="3"/>
  <c r="L371" i="3"/>
  <c r="D371" i="3"/>
  <c r="AQ370" i="3"/>
  <c r="AP370" i="3"/>
  <c r="AO370" i="3"/>
  <c r="AN370" i="3"/>
  <c r="AM370" i="3"/>
  <c r="AL370" i="3"/>
  <c r="L370" i="3"/>
  <c r="D370" i="3"/>
  <c r="AQ369" i="3"/>
  <c r="AP369" i="3"/>
  <c r="AO369" i="3"/>
  <c r="AN369" i="3"/>
  <c r="AM369" i="3"/>
  <c r="AL369" i="3"/>
  <c r="L369" i="3"/>
  <c r="D369" i="3"/>
  <c r="AQ368" i="3"/>
  <c r="AP368" i="3"/>
  <c r="AO368" i="3"/>
  <c r="AN368" i="3"/>
  <c r="AM368" i="3"/>
  <c r="AL368" i="3"/>
  <c r="L368" i="3"/>
  <c r="D368" i="3"/>
  <c r="AQ367" i="3"/>
  <c r="AP367" i="3"/>
  <c r="AO367" i="3"/>
  <c r="AN367" i="3"/>
  <c r="AM367" i="3"/>
  <c r="AL367" i="3"/>
  <c r="L367" i="3"/>
  <c r="D367" i="3"/>
  <c r="AQ366" i="3"/>
  <c r="AP366" i="3"/>
  <c r="AO366" i="3"/>
  <c r="AN366" i="3"/>
  <c r="AM366" i="3"/>
  <c r="AL366" i="3"/>
  <c r="L366" i="3"/>
  <c r="D366" i="3"/>
  <c r="AQ365" i="3"/>
  <c r="AP365" i="3"/>
  <c r="AO365" i="3"/>
  <c r="AN365" i="3"/>
  <c r="AM365" i="3"/>
  <c r="AL365" i="3"/>
  <c r="L365" i="3"/>
  <c r="D365" i="3"/>
  <c r="AQ364" i="3"/>
  <c r="AP364" i="3"/>
  <c r="AO364" i="3"/>
  <c r="AN364" i="3"/>
  <c r="AM364" i="3"/>
  <c r="AL364" i="3"/>
  <c r="L364" i="3"/>
  <c r="D364" i="3"/>
  <c r="AQ363" i="3"/>
  <c r="AP363" i="3"/>
  <c r="AO363" i="3"/>
  <c r="AN363" i="3"/>
  <c r="AM363" i="3"/>
  <c r="AL363" i="3"/>
  <c r="L363" i="3"/>
  <c r="D363" i="3"/>
  <c r="AQ362" i="3"/>
  <c r="AP362" i="3"/>
  <c r="AO362" i="3"/>
  <c r="AN362" i="3"/>
  <c r="AM362" i="3"/>
  <c r="AL362" i="3"/>
  <c r="L362" i="3"/>
  <c r="D362" i="3"/>
  <c r="L361" i="3"/>
  <c r="D361" i="3"/>
  <c r="AQ360" i="3"/>
  <c r="AP360" i="3"/>
  <c r="AO360" i="3"/>
  <c r="AN360" i="3"/>
  <c r="AM360" i="3"/>
  <c r="AL360" i="3"/>
  <c r="L360" i="3"/>
  <c r="D360" i="3"/>
  <c r="L359" i="3"/>
  <c r="D359" i="3"/>
  <c r="AQ358" i="3"/>
  <c r="AP358" i="3"/>
  <c r="AO358" i="3"/>
  <c r="AN358" i="3"/>
  <c r="AM358" i="3"/>
  <c r="AL358" i="3"/>
  <c r="L358" i="3"/>
  <c r="D358" i="3"/>
  <c r="AQ357" i="3"/>
  <c r="AP357" i="3"/>
  <c r="AO357" i="3"/>
  <c r="AN357" i="3"/>
  <c r="AM357" i="3"/>
  <c r="AL357" i="3"/>
  <c r="L357" i="3"/>
  <c r="D357" i="3"/>
  <c r="AQ356" i="3"/>
  <c r="AP356" i="3"/>
  <c r="AO356" i="3"/>
  <c r="AN356" i="3"/>
  <c r="AM356" i="3"/>
  <c r="AL356" i="3"/>
  <c r="L356" i="3"/>
  <c r="D356" i="3"/>
  <c r="L355" i="3"/>
  <c r="D355" i="3"/>
  <c r="L354" i="3"/>
  <c r="D354" i="3"/>
  <c r="AQ353" i="3"/>
  <c r="AP353" i="3"/>
  <c r="AO353" i="3"/>
  <c r="AN353" i="3"/>
  <c r="AM353" i="3"/>
  <c r="AL353" i="3"/>
  <c r="L353" i="3"/>
  <c r="D353" i="3"/>
  <c r="AQ352" i="3"/>
  <c r="AP352" i="3"/>
  <c r="AO352" i="3"/>
  <c r="AN352" i="3"/>
  <c r="AM352" i="3"/>
  <c r="AL352" i="3"/>
  <c r="L352" i="3"/>
  <c r="D352" i="3"/>
  <c r="AQ351" i="3"/>
  <c r="AP351" i="3"/>
  <c r="AO351" i="3"/>
  <c r="AN351" i="3"/>
  <c r="AM351" i="3"/>
  <c r="AL351" i="3"/>
  <c r="L351" i="3"/>
  <c r="D351" i="3"/>
  <c r="L350" i="3"/>
  <c r="D350" i="3"/>
  <c r="AQ349" i="3"/>
  <c r="AP349" i="3"/>
  <c r="AO349" i="3"/>
  <c r="AN349" i="3"/>
  <c r="AM349" i="3"/>
  <c r="AL349" i="3"/>
  <c r="L349" i="3"/>
  <c r="D349" i="3"/>
  <c r="AQ348" i="3"/>
  <c r="AP348" i="3"/>
  <c r="AO348" i="3"/>
  <c r="AN348" i="3"/>
  <c r="AM348" i="3"/>
  <c r="AL348" i="3"/>
  <c r="L348" i="3"/>
  <c r="D348" i="3"/>
  <c r="L347" i="3"/>
  <c r="D347" i="3"/>
  <c r="L346" i="3"/>
  <c r="D346" i="3"/>
  <c r="AQ345" i="3"/>
  <c r="AP345" i="3"/>
  <c r="AO345" i="3"/>
  <c r="AN345" i="3"/>
  <c r="AM345" i="3"/>
  <c r="AL345" i="3"/>
  <c r="L345" i="3"/>
  <c r="D345" i="3"/>
  <c r="L344" i="3"/>
  <c r="D344" i="3"/>
  <c r="L343" i="3"/>
  <c r="D343" i="3"/>
  <c r="L342" i="3"/>
  <c r="D342" i="3"/>
  <c r="AQ341" i="3"/>
  <c r="AP341" i="3"/>
  <c r="AO341" i="3"/>
  <c r="AN341" i="3"/>
  <c r="AM341" i="3"/>
  <c r="AL341" i="3"/>
  <c r="L341" i="3"/>
  <c r="D341" i="3"/>
  <c r="L340" i="3"/>
  <c r="D340" i="3"/>
  <c r="L339" i="3"/>
  <c r="D339" i="3"/>
  <c r="AQ338" i="3"/>
  <c r="AP338" i="3"/>
  <c r="AO338" i="3"/>
  <c r="AN338" i="3"/>
  <c r="AM338" i="3"/>
  <c r="AL338" i="3"/>
  <c r="L338" i="3"/>
  <c r="D338" i="3"/>
  <c r="L337" i="3"/>
  <c r="D337" i="3"/>
  <c r="L336" i="3"/>
  <c r="D336" i="3"/>
  <c r="L335" i="3"/>
  <c r="D335" i="3"/>
  <c r="L334" i="3"/>
  <c r="D334" i="3"/>
  <c r="AQ333" i="3"/>
  <c r="AP333" i="3"/>
  <c r="AO333" i="3"/>
  <c r="AN333" i="3"/>
  <c r="AM333" i="3"/>
  <c r="AL333" i="3"/>
  <c r="L333" i="3"/>
  <c r="D333" i="3"/>
  <c r="AQ332" i="3"/>
  <c r="AP332" i="3"/>
  <c r="AO332" i="3"/>
  <c r="AN332" i="3"/>
  <c r="AM332" i="3"/>
  <c r="AL332" i="3"/>
  <c r="L332" i="3"/>
  <c r="D332" i="3"/>
  <c r="AQ331" i="3"/>
  <c r="AP331" i="3"/>
  <c r="AO331" i="3"/>
  <c r="AN331" i="3"/>
  <c r="AM331" i="3"/>
  <c r="AL331" i="3"/>
  <c r="L331" i="3"/>
  <c r="D331" i="3"/>
  <c r="AQ330" i="3"/>
  <c r="AP330" i="3"/>
  <c r="AO330" i="3"/>
  <c r="AN330" i="3"/>
  <c r="AM330" i="3"/>
  <c r="AL330" i="3"/>
  <c r="L330" i="3"/>
  <c r="D330" i="3"/>
  <c r="AQ329" i="3"/>
  <c r="AP329" i="3"/>
  <c r="AO329" i="3"/>
  <c r="AN329" i="3"/>
  <c r="AM329" i="3"/>
  <c r="AL329" i="3"/>
  <c r="L329" i="3"/>
  <c r="D329" i="3"/>
  <c r="AQ328" i="3"/>
  <c r="AP328" i="3"/>
  <c r="AO328" i="3"/>
  <c r="AN328" i="3"/>
  <c r="AM328" i="3"/>
  <c r="AL328" i="3"/>
  <c r="L328" i="3"/>
  <c r="D328" i="3"/>
  <c r="L327" i="3"/>
  <c r="D327" i="3"/>
  <c r="AQ326" i="3"/>
  <c r="AP326" i="3"/>
  <c r="AO326" i="3"/>
  <c r="AN326" i="3"/>
  <c r="AM326" i="3"/>
  <c r="AL326" i="3"/>
  <c r="L326" i="3"/>
  <c r="D326" i="3"/>
  <c r="AQ325" i="3"/>
  <c r="AP325" i="3"/>
  <c r="AO325" i="3"/>
  <c r="AN325" i="3"/>
  <c r="AM325" i="3"/>
  <c r="AL325" i="3"/>
  <c r="L325" i="3"/>
  <c r="D325" i="3"/>
  <c r="AQ324" i="3"/>
  <c r="AP324" i="3"/>
  <c r="AO324" i="3"/>
  <c r="AN324" i="3"/>
  <c r="AM324" i="3"/>
  <c r="AL324" i="3"/>
  <c r="L324" i="3"/>
  <c r="D324" i="3"/>
  <c r="AQ323" i="3"/>
  <c r="AP323" i="3"/>
  <c r="AO323" i="3"/>
  <c r="AN323" i="3"/>
  <c r="AM323" i="3"/>
  <c r="AL323" i="3"/>
  <c r="L323" i="3"/>
  <c r="D323" i="3"/>
  <c r="L322" i="3"/>
  <c r="D322" i="3"/>
  <c r="AQ321" i="3"/>
  <c r="AP321" i="3"/>
  <c r="AO321" i="3"/>
  <c r="AN321" i="3"/>
  <c r="AM321" i="3"/>
  <c r="AL321" i="3"/>
  <c r="L321" i="3"/>
  <c r="D321" i="3"/>
  <c r="AQ320" i="3"/>
  <c r="AP320" i="3"/>
  <c r="AO320" i="3"/>
  <c r="AN320" i="3"/>
  <c r="AM320" i="3"/>
  <c r="AL320" i="3"/>
  <c r="L320" i="3"/>
  <c r="D320" i="3"/>
  <c r="L319" i="3"/>
  <c r="D319" i="3"/>
  <c r="AQ318" i="3"/>
  <c r="AP318" i="3"/>
  <c r="AO318" i="3"/>
  <c r="AN318" i="3"/>
  <c r="AM318" i="3"/>
  <c r="AL318" i="3"/>
  <c r="L318" i="3"/>
  <c r="D318" i="3"/>
  <c r="AQ317" i="3"/>
  <c r="AP317" i="3"/>
  <c r="AO317" i="3"/>
  <c r="AN317" i="3"/>
  <c r="AM317" i="3"/>
  <c r="AL317" i="3"/>
  <c r="L317" i="3"/>
  <c r="D317" i="3"/>
  <c r="AQ316" i="3"/>
  <c r="AP316" i="3"/>
  <c r="AO316" i="3"/>
  <c r="AN316" i="3"/>
  <c r="AM316" i="3"/>
  <c r="AL316" i="3"/>
  <c r="L316" i="3"/>
  <c r="D316" i="3"/>
  <c r="AQ315" i="3"/>
  <c r="AP315" i="3"/>
  <c r="AO315" i="3"/>
  <c r="AN315" i="3"/>
  <c r="AM315" i="3"/>
  <c r="AL315" i="3"/>
  <c r="L315" i="3"/>
  <c r="D315" i="3"/>
  <c r="AQ314" i="3"/>
  <c r="AP314" i="3"/>
  <c r="AO314" i="3"/>
  <c r="AN314" i="3"/>
  <c r="AM314" i="3"/>
  <c r="AL314" i="3"/>
  <c r="L314" i="3"/>
  <c r="D314" i="3"/>
  <c r="AQ313" i="3"/>
  <c r="AP313" i="3"/>
  <c r="AO313" i="3"/>
  <c r="AN313" i="3"/>
  <c r="AM313" i="3"/>
  <c r="AL313" i="3"/>
  <c r="L313" i="3"/>
  <c r="D313" i="3"/>
  <c r="L312" i="3"/>
  <c r="D312" i="3"/>
  <c r="AQ311" i="3"/>
  <c r="AP311" i="3"/>
  <c r="AO311" i="3"/>
  <c r="AN311" i="3"/>
  <c r="AM311" i="3"/>
  <c r="AL311" i="3"/>
  <c r="L311" i="3"/>
  <c r="D311" i="3"/>
  <c r="AQ310" i="3"/>
  <c r="AP310" i="3"/>
  <c r="AO310" i="3"/>
  <c r="AN310" i="3"/>
  <c r="AM310" i="3"/>
  <c r="AL310" i="3"/>
  <c r="L310" i="3"/>
  <c r="D310" i="3"/>
  <c r="AQ309" i="3"/>
  <c r="AP309" i="3"/>
  <c r="AO309" i="3"/>
  <c r="AN309" i="3"/>
  <c r="AM309" i="3"/>
  <c r="AL309" i="3"/>
  <c r="L309" i="3"/>
  <c r="D309" i="3"/>
  <c r="L308" i="3"/>
  <c r="D308" i="3"/>
  <c r="AQ307" i="3"/>
  <c r="AP307" i="3"/>
  <c r="AO307" i="3"/>
  <c r="AN307" i="3"/>
  <c r="AM307" i="3"/>
  <c r="AL307" i="3"/>
  <c r="L307" i="3"/>
  <c r="D307" i="3"/>
  <c r="AQ306" i="3"/>
  <c r="AP306" i="3"/>
  <c r="AO306" i="3"/>
  <c r="AN306" i="3"/>
  <c r="AM306" i="3"/>
  <c r="AL306" i="3"/>
  <c r="L306" i="3"/>
  <c r="D306" i="3"/>
  <c r="AQ305" i="3"/>
  <c r="AP305" i="3"/>
  <c r="AO305" i="3"/>
  <c r="AN305" i="3"/>
  <c r="AM305" i="3"/>
  <c r="AL305" i="3"/>
  <c r="L305" i="3"/>
  <c r="D305" i="3"/>
  <c r="AQ304" i="3"/>
  <c r="AP304" i="3"/>
  <c r="AO304" i="3"/>
  <c r="AN304" i="3"/>
  <c r="AM304" i="3"/>
  <c r="AL304" i="3"/>
  <c r="L304" i="3"/>
  <c r="D304" i="3"/>
  <c r="AQ303" i="3"/>
  <c r="AP303" i="3"/>
  <c r="AO303" i="3"/>
  <c r="AN303" i="3"/>
  <c r="AM303" i="3"/>
  <c r="AL303" i="3"/>
  <c r="L303" i="3"/>
  <c r="D303" i="3"/>
  <c r="AQ302" i="3"/>
  <c r="AP302" i="3"/>
  <c r="AO302" i="3"/>
  <c r="AN302" i="3"/>
  <c r="AM302" i="3"/>
  <c r="AL302" i="3"/>
  <c r="L302" i="3"/>
  <c r="D302" i="3"/>
  <c r="AQ301" i="3"/>
  <c r="AP301" i="3"/>
  <c r="AO301" i="3"/>
  <c r="AN301" i="3"/>
  <c r="AM301" i="3"/>
  <c r="AL301" i="3"/>
  <c r="L301" i="3"/>
  <c r="D301" i="3"/>
  <c r="AQ300" i="3"/>
  <c r="AP300" i="3"/>
  <c r="AO300" i="3"/>
  <c r="AN300" i="3"/>
  <c r="AM300" i="3"/>
  <c r="AL300" i="3"/>
  <c r="L300" i="3"/>
  <c r="D300" i="3"/>
  <c r="AQ299" i="3"/>
  <c r="AP299" i="3"/>
  <c r="AO299" i="3"/>
  <c r="AN299" i="3"/>
  <c r="AM299" i="3"/>
  <c r="AL299" i="3"/>
  <c r="L299" i="3"/>
  <c r="D299" i="3"/>
  <c r="AQ298" i="3"/>
  <c r="AP298" i="3"/>
  <c r="AO298" i="3"/>
  <c r="AN298" i="3"/>
  <c r="AM298" i="3"/>
  <c r="AL298" i="3"/>
  <c r="L298" i="3"/>
  <c r="D298" i="3"/>
  <c r="AQ297" i="3"/>
  <c r="AP297" i="3"/>
  <c r="AO297" i="3"/>
  <c r="AN297" i="3"/>
  <c r="AM297" i="3"/>
  <c r="AL297" i="3"/>
  <c r="L297" i="3"/>
  <c r="D297" i="3"/>
  <c r="AQ296" i="3"/>
  <c r="AP296" i="3"/>
  <c r="AO296" i="3"/>
  <c r="AN296" i="3"/>
  <c r="AM296" i="3"/>
  <c r="AL296" i="3"/>
  <c r="L296" i="3"/>
  <c r="D296" i="3"/>
  <c r="AQ295" i="3"/>
  <c r="AP295" i="3"/>
  <c r="AO295" i="3"/>
  <c r="AN295" i="3"/>
  <c r="AM295" i="3"/>
  <c r="AL295" i="3"/>
  <c r="L295" i="3"/>
  <c r="D295" i="3"/>
  <c r="AQ294" i="3"/>
  <c r="AP294" i="3"/>
  <c r="AO294" i="3"/>
  <c r="AN294" i="3"/>
  <c r="AM294" i="3"/>
  <c r="AL294" i="3"/>
  <c r="L294" i="3"/>
  <c r="D294" i="3"/>
  <c r="AQ293" i="3"/>
  <c r="AP293" i="3"/>
  <c r="AO293" i="3"/>
  <c r="AN293" i="3"/>
  <c r="AM293" i="3"/>
  <c r="AL293" i="3"/>
  <c r="L293" i="3"/>
  <c r="D293" i="3"/>
  <c r="AQ292" i="3"/>
  <c r="AP292" i="3"/>
  <c r="AO292" i="3"/>
  <c r="AN292" i="3"/>
  <c r="AM292" i="3"/>
  <c r="AL292" i="3"/>
  <c r="L292" i="3"/>
  <c r="D292" i="3"/>
  <c r="AQ291" i="3"/>
  <c r="AP291" i="3"/>
  <c r="AO291" i="3"/>
  <c r="AN291" i="3"/>
  <c r="AM291" i="3"/>
  <c r="AL291" i="3"/>
  <c r="L291" i="3"/>
  <c r="D291" i="3"/>
  <c r="AQ290" i="3"/>
  <c r="AP290" i="3"/>
  <c r="AO290" i="3"/>
  <c r="AN290" i="3"/>
  <c r="AM290" i="3"/>
  <c r="AL290" i="3"/>
  <c r="L290" i="3"/>
  <c r="D290" i="3"/>
  <c r="AQ289" i="3"/>
  <c r="AP289" i="3"/>
  <c r="AO289" i="3"/>
  <c r="AN289" i="3"/>
  <c r="AM289" i="3"/>
  <c r="AL289" i="3"/>
  <c r="L289" i="3"/>
  <c r="D289" i="3"/>
  <c r="AQ288" i="3"/>
  <c r="AP288" i="3"/>
  <c r="AO288" i="3"/>
  <c r="AN288" i="3"/>
  <c r="AM288" i="3"/>
  <c r="AL288" i="3"/>
  <c r="L288" i="3"/>
  <c r="D288" i="3"/>
  <c r="AQ287" i="3"/>
  <c r="AP287" i="3"/>
  <c r="AO287" i="3"/>
  <c r="AN287" i="3"/>
  <c r="AM287" i="3"/>
  <c r="AL287" i="3"/>
  <c r="L287" i="3"/>
  <c r="D287" i="3"/>
  <c r="AQ286" i="3"/>
  <c r="AP286" i="3"/>
  <c r="AO286" i="3"/>
  <c r="AN286" i="3"/>
  <c r="AM286" i="3"/>
  <c r="AL286" i="3"/>
  <c r="L286" i="3"/>
  <c r="D286" i="3"/>
  <c r="L285" i="3"/>
  <c r="D285" i="3"/>
  <c r="AQ284" i="3"/>
  <c r="AP284" i="3"/>
  <c r="AO284" i="3"/>
  <c r="AN284" i="3"/>
  <c r="AM284" i="3"/>
  <c r="AL284" i="3"/>
  <c r="L284" i="3"/>
  <c r="D284" i="3"/>
  <c r="L283" i="3"/>
  <c r="D283" i="3"/>
  <c r="AQ282" i="3"/>
  <c r="AP282" i="3"/>
  <c r="AO282" i="3"/>
  <c r="AN282" i="3"/>
  <c r="AM282" i="3"/>
  <c r="AL282" i="3"/>
  <c r="L282" i="3"/>
  <c r="D282" i="3"/>
  <c r="AQ281" i="3"/>
  <c r="AP281" i="3"/>
  <c r="AO281" i="3"/>
  <c r="AN281" i="3"/>
  <c r="AM281" i="3"/>
  <c r="AL281" i="3"/>
  <c r="L281" i="3"/>
  <c r="D281" i="3"/>
  <c r="AQ280" i="3"/>
  <c r="AP280" i="3"/>
  <c r="AO280" i="3"/>
  <c r="AN280" i="3"/>
  <c r="AM280" i="3"/>
  <c r="AL280" i="3"/>
  <c r="L280" i="3"/>
  <c r="D280" i="3"/>
  <c r="L279" i="3"/>
  <c r="D279" i="3"/>
  <c r="AQ278" i="3"/>
  <c r="AP278" i="3"/>
  <c r="AO278" i="3"/>
  <c r="AN278" i="3"/>
  <c r="AM278" i="3"/>
  <c r="AL278" i="3"/>
  <c r="L278" i="3"/>
  <c r="D278" i="3"/>
  <c r="L277" i="3"/>
  <c r="D277" i="3"/>
  <c r="AQ276" i="3"/>
  <c r="AP276" i="3"/>
  <c r="AO276" i="3"/>
  <c r="AN276" i="3"/>
  <c r="AM276" i="3"/>
  <c r="AL276" i="3"/>
  <c r="L276" i="3"/>
  <c r="D276" i="3"/>
  <c r="AQ275" i="3"/>
  <c r="AP275" i="3"/>
  <c r="AO275" i="3"/>
  <c r="AN275" i="3"/>
  <c r="AM275" i="3"/>
  <c r="AL275" i="3"/>
  <c r="L275" i="3"/>
  <c r="D275" i="3"/>
  <c r="AQ274" i="3"/>
  <c r="AP274" i="3"/>
  <c r="AO274" i="3"/>
  <c r="AN274" i="3"/>
  <c r="AM274" i="3"/>
  <c r="AL274" i="3"/>
  <c r="L274" i="3"/>
  <c r="D274" i="3"/>
  <c r="AQ273" i="3"/>
  <c r="AP273" i="3"/>
  <c r="AO273" i="3"/>
  <c r="AN273" i="3"/>
  <c r="AM273" i="3"/>
  <c r="AL273" i="3"/>
  <c r="L273" i="3"/>
  <c r="D273" i="3"/>
  <c r="AQ272" i="3"/>
  <c r="AP272" i="3"/>
  <c r="AO272" i="3"/>
  <c r="AN272" i="3"/>
  <c r="AM272" i="3"/>
  <c r="AL272" i="3"/>
  <c r="L272" i="3"/>
  <c r="D272" i="3"/>
  <c r="AQ271" i="3"/>
  <c r="AP271" i="3"/>
  <c r="AO271" i="3"/>
  <c r="AN271" i="3"/>
  <c r="AM271" i="3"/>
  <c r="AL271" i="3"/>
  <c r="L271" i="3"/>
  <c r="D271" i="3"/>
  <c r="L270" i="3"/>
  <c r="D270" i="3"/>
  <c r="AQ269" i="3"/>
  <c r="AP269" i="3"/>
  <c r="AO269" i="3"/>
  <c r="AN269" i="3"/>
  <c r="AM269" i="3"/>
  <c r="AL269" i="3"/>
  <c r="L269" i="3"/>
  <c r="D269" i="3"/>
  <c r="AQ268" i="3"/>
  <c r="AP268" i="3"/>
  <c r="AO268" i="3"/>
  <c r="AN268" i="3"/>
  <c r="AM268" i="3"/>
  <c r="AL268" i="3"/>
  <c r="L268" i="3"/>
  <c r="D268" i="3"/>
  <c r="AQ267" i="3"/>
  <c r="AP267" i="3"/>
  <c r="AO267" i="3"/>
  <c r="AN267" i="3"/>
  <c r="AM267" i="3"/>
  <c r="AL267" i="3"/>
  <c r="L267" i="3"/>
  <c r="D267" i="3"/>
  <c r="L266" i="3"/>
  <c r="D266" i="3"/>
  <c r="L265" i="3"/>
  <c r="D265" i="3"/>
  <c r="AQ264" i="3"/>
  <c r="AP264" i="3"/>
  <c r="AO264" i="3"/>
  <c r="AN264" i="3"/>
  <c r="AM264" i="3"/>
  <c r="AL264" i="3"/>
  <c r="L264" i="3"/>
  <c r="D264" i="3"/>
  <c r="AQ263" i="3"/>
  <c r="AP263" i="3"/>
  <c r="AO263" i="3"/>
  <c r="AN263" i="3"/>
  <c r="AM263" i="3"/>
  <c r="AL263" i="3"/>
  <c r="L263" i="3"/>
  <c r="D263" i="3"/>
  <c r="AQ262" i="3"/>
  <c r="AP262" i="3"/>
  <c r="AO262" i="3"/>
  <c r="AN262" i="3"/>
  <c r="AM262" i="3"/>
  <c r="AL262" i="3"/>
  <c r="L262" i="3"/>
  <c r="D262" i="3"/>
  <c r="L261" i="3"/>
  <c r="D261" i="3"/>
  <c r="L260" i="3"/>
  <c r="D260" i="3"/>
  <c r="AQ259" i="3"/>
  <c r="AP259" i="3"/>
  <c r="AO259" i="3"/>
  <c r="AN259" i="3"/>
  <c r="AM259" i="3"/>
  <c r="AL259" i="3"/>
  <c r="L259" i="3"/>
  <c r="D259" i="3"/>
  <c r="AQ258" i="3"/>
  <c r="AP258" i="3"/>
  <c r="AO258" i="3"/>
  <c r="AN258" i="3"/>
  <c r="AM258" i="3"/>
  <c r="AL258" i="3"/>
  <c r="L258" i="3"/>
  <c r="D258" i="3"/>
  <c r="L257" i="3"/>
  <c r="D257" i="3"/>
  <c r="L256" i="3"/>
  <c r="D256" i="3"/>
  <c r="AQ255" i="3"/>
  <c r="AP255" i="3"/>
  <c r="AO255" i="3"/>
  <c r="AN255" i="3"/>
  <c r="AM255" i="3"/>
  <c r="AL255" i="3"/>
  <c r="L255" i="3"/>
  <c r="D255" i="3"/>
  <c r="AQ254" i="3"/>
  <c r="AP254" i="3"/>
  <c r="AO254" i="3"/>
  <c r="AN254" i="3"/>
  <c r="AM254" i="3"/>
  <c r="AL254" i="3"/>
  <c r="L254" i="3"/>
  <c r="D254" i="3"/>
  <c r="AQ253" i="3"/>
  <c r="AP253" i="3"/>
  <c r="AO253" i="3"/>
  <c r="AN253" i="3"/>
  <c r="AM253" i="3"/>
  <c r="AL253" i="3"/>
  <c r="L253" i="3"/>
  <c r="D253" i="3"/>
  <c r="L252" i="3"/>
  <c r="D252" i="3"/>
  <c r="AQ251" i="3"/>
  <c r="AP251" i="3"/>
  <c r="AO251" i="3"/>
  <c r="AN251" i="3"/>
  <c r="AM251" i="3"/>
  <c r="AL251" i="3"/>
  <c r="L251" i="3"/>
  <c r="D251" i="3"/>
  <c r="AQ250" i="3"/>
  <c r="AP250" i="3"/>
  <c r="AO250" i="3"/>
  <c r="AN250" i="3"/>
  <c r="AM250" i="3"/>
  <c r="AL250" i="3"/>
  <c r="L250" i="3"/>
  <c r="D250" i="3"/>
  <c r="AQ249" i="3"/>
  <c r="AP249" i="3"/>
  <c r="AO249" i="3"/>
  <c r="AN249" i="3"/>
  <c r="AM249" i="3"/>
  <c r="AL249" i="3"/>
  <c r="L249" i="3"/>
  <c r="D249" i="3"/>
  <c r="AQ248" i="3"/>
  <c r="AP248" i="3"/>
  <c r="AO248" i="3"/>
  <c r="AN248" i="3"/>
  <c r="AM248" i="3"/>
  <c r="AL248" i="3"/>
  <c r="L248" i="3"/>
  <c r="D248" i="3"/>
  <c r="AQ247" i="3"/>
  <c r="AP247" i="3"/>
  <c r="AO247" i="3"/>
  <c r="AN247" i="3"/>
  <c r="AM247" i="3"/>
  <c r="AL247" i="3"/>
  <c r="L247" i="3"/>
  <c r="D247" i="3"/>
  <c r="AQ246" i="3"/>
  <c r="AP246" i="3"/>
  <c r="AO246" i="3"/>
  <c r="AN246" i="3"/>
  <c r="AM246" i="3"/>
  <c r="AL246" i="3"/>
  <c r="L246" i="3"/>
  <c r="D246" i="3"/>
  <c r="L245" i="3"/>
  <c r="D245" i="3"/>
  <c r="AQ244" i="3"/>
  <c r="AP244" i="3"/>
  <c r="AO244" i="3"/>
  <c r="AN244" i="3"/>
  <c r="AM244" i="3"/>
  <c r="AL244" i="3"/>
  <c r="L244" i="3"/>
  <c r="D244" i="3"/>
  <c r="L243" i="3"/>
  <c r="D243" i="3"/>
  <c r="AQ242" i="3"/>
  <c r="AP242" i="3"/>
  <c r="AO242" i="3"/>
  <c r="AN242" i="3"/>
  <c r="AM242" i="3"/>
  <c r="AL242" i="3"/>
  <c r="L242" i="3"/>
  <c r="D242" i="3"/>
  <c r="AQ241" i="3"/>
  <c r="AP241" i="3"/>
  <c r="AO241" i="3"/>
  <c r="AN241" i="3"/>
  <c r="AM241" i="3"/>
  <c r="AL241" i="3"/>
  <c r="L241" i="3"/>
  <c r="D241" i="3"/>
  <c r="AQ240" i="3"/>
  <c r="AP240" i="3"/>
  <c r="AO240" i="3"/>
  <c r="AN240" i="3"/>
  <c r="AM240" i="3"/>
  <c r="AL240" i="3"/>
  <c r="L240" i="3"/>
  <c r="D240" i="3"/>
  <c r="AQ239" i="3"/>
  <c r="AP239" i="3"/>
  <c r="AO239" i="3"/>
  <c r="AN239" i="3"/>
  <c r="AM239" i="3"/>
  <c r="AL239" i="3"/>
  <c r="L239" i="3"/>
  <c r="D239" i="3"/>
  <c r="AQ238" i="3"/>
  <c r="AP238" i="3"/>
  <c r="AO238" i="3"/>
  <c r="AN238" i="3"/>
  <c r="AM238" i="3"/>
  <c r="AL238" i="3"/>
  <c r="L238" i="3"/>
  <c r="D238" i="3"/>
  <c r="L237" i="3"/>
  <c r="D237" i="3"/>
  <c r="AQ236" i="3"/>
  <c r="AP236" i="3"/>
  <c r="AO236" i="3"/>
  <c r="AN236" i="3"/>
  <c r="AM236" i="3"/>
  <c r="AL236" i="3"/>
  <c r="L236" i="3"/>
  <c r="D236" i="3"/>
  <c r="AQ235" i="3"/>
  <c r="AP235" i="3"/>
  <c r="AO235" i="3"/>
  <c r="AN235" i="3"/>
  <c r="AM235" i="3"/>
  <c r="AL235" i="3"/>
  <c r="L235" i="3"/>
  <c r="D235" i="3"/>
  <c r="AQ234" i="3"/>
  <c r="AP234" i="3"/>
  <c r="AO234" i="3"/>
  <c r="AN234" i="3"/>
  <c r="AM234" i="3"/>
  <c r="AL234" i="3"/>
  <c r="L234" i="3"/>
  <c r="D234" i="3"/>
  <c r="AQ233" i="3"/>
  <c r="AP233" i="3"/>
  <c r="AO233" i="3"/>
  <c r="AN233" i="3"/>
  <c r="AM233" i="3"/>
  <c r="AL233" i="3"/>
  <c r="L233" i="3"/>
  <c r="D233" i="3"/>
  <c r="AQ232" i="3"/>
  <c r="AP232" i="3"/>
  <c r="AO232" i="3"/>
  <c r="AN232" i="3"/>
  <c r="AM232" i="3"/>
  <c r="AL232" i="3"/>
  <c r="L232" i="3"/>
  <c r="D232" i="3"/>
  <c r="L231" i="3"/>
  <c r="D231" i="3"/>
  <c r="L230" i="3"/>
  <c r="D230" i="3"/>
  <c r="L229" i="3"/>
  <c r="D229" i="3"/>
  <c r="L228" i="3"/>
  <c r="D228" i="3"/>
  <c r="AQ227" i="3"/>
  <c r="AP227" i="3"/>
  <c r="AO227" i="3"/>
  <c r="AN227" i="3"/>
  <c r="AM227" i="3"/>
  <c r="AL227" i="3"/>
  <c r="L227" i="3"/>
  <c r="D227" i="3"/>
  <c r="AQ226" i="3"/>
  <c r="AP226" i="3"/>
  <c r="AO226" i="3"/>
  <c r="AN226" i="3"/>
  <c r="AM226" i="3"/>
  <c r="AL226" i="3"/>
  <c r="L226" i="3"/>
  <c r="D226" i="3"/>
  <c r="L225" i="3"/>
  <c r="D225" i="3"/>
  <c r="AQ224" i="3"/>
  <c r="AP224" i="3"/>
  <c r="AO224" i="3"/>
  <c r="AN224" i="3"/>
  <c r="AM224" i="3"/>
  <c r="AL224" i="3"/>
  <c r="L224" i="3"/>
  <c r="D224" i="3"/>
  <c r="L223" i="3"/>
  <c r="D223" i="3"/>
  <c r="AQ222" i="3"/>
  <c r="AP222" i="3"/>
  <c r="AO222" i="3"/>
  <c r="AN222" i="3"/>
  <c r="AM222" i="3"/>
  <c r="AL222" i="3"/>
  <c r="L222" i="3"/>
  <c r="D222" i="3"/>
  <c r="AQ221" i="3"/>
  <c r="AP221" i="3"/>
  <c r="AO221" i="3"/>
  <c r="AN221" i="3"/>
  <c r="AM221" i="3"/>
  <c r="AL221" i="3"/>
  <c r="L221" i="3"/>
  <c r="D221" i="3"/>
  <c r="AQ220" i="3"/>
  <c r="AP220" i="3"/>
  <c r="AO220" i="3"/>
  <c r="AN220" i="3"/>
  <c r="AM220" i="3"/>
  <c r="AL220" i="3"/>
  <c r="L220" i="3"/>
  <c r="D220" i="3"/>
  <c r="L219" i="3"/>
  <c r="D219" i="3"/>
  <c r="AQ218" i="3"/>
  <c r="AP218" i="3"/>
  <c r="AO218" i="3"/>
  <c r="AN218" i="3"/>
  <c r="AM218" i="3"/>
  <c r="AL218" i="3"/>
  <c r="L218" i="3"/>
  <c r="D218" i="3"/>
  <c r="AQ217" i="3"/>
  <c r="AP217" i="3"/>
  <c r="AO217" i="3"/>
  <c r="AN217" i="3"/>
  <c r="AM217" i="3"/>
  <c r="AL217" i="3"/>
  <c r="L217" i="3"/>
  <c r="D217" i="3"/>
  <c r="AQ216" i="3"/>
  <c r="AP216" i="3"/>
  <c r="AO216" i="3"/>
  <c r="AN216" i="3"/>
  <c r="AM216" i="3"/>
  <c r="AL216" i="3"/>
  <c r="L216" i="3"/>
  <c r="D216" i="3"/>
  <c r="L215" i="3"/>
  <c r="D215" i="3"/>
  <c r="AQ214" i="3"/>
  <c r="AP214" i="3"/>
  <c r="AO214" i="3"/>
  <c r="AN214" i="3"/>
  <c r="AM214" i="3"/>
  <c r="AL214" i="3"/>
  <c r="L214" i="3"/>
  <c r="D214" i="3"/>
  <c r="AQ213" i="3"/>
  <c r="AP213" i="3"/>
  <c r="AO213" i="3"/>
  <c r="AN213" i="3"/>
  <c r="AM213" i="3"/>
  <c r="AL213" i="3"/>
  <c r="L213" i="3"/>
  <c r="D213" i="3"/>
  <c r="AQ212" i="3"/>
  <c r="AP212" i="3"/>
  <c r="AO212" i="3"/>
  <c r="AN212" i="3"/>
  <c r="AM212" i="3"/>
  <c r="AL212" i="3"/>
  <c r="L212" i="3"/>
  <c r="D212" i="3"/>
  <c r="L211" i="3"/>
  <c r="D211" i="3"/>
  <c r="AQ210" i="3"/>
  <c r="AP210" i="3"/>
  <c r="AO210" i="3"/>
  <c r="AN210" i="3"/>
  <c r="AM210" i="3"/>
  <c r="AL210" i="3"/>
  <c r="L210" i="3"/>
  <c r="D210" i="3"/>
  <c r="L209" i="3"/>
  <c r="D209" i="3"/>
  <c r="AQ208" i="3"/>
  <c r="AP208" i="3"/>
  <c r="AO208" i="3"/>
  <c r="AN208" i="3"/>
  <c r="AM208" i="3"/>
  <c r="AL208" i="3"/>
  <c r="L208" i="3"/>
  <c r="D208" i="3"/>
  <c r="L207" i="3"/>
  <c r="D207" i="3"/>
  <c r="AQ206" i="3"/>
  <c r="AP206" i="3"/>
  <c r="AO206" i="3"/>
  <c r="AN206" i="3"/>
  <c r="AM206" i="3"/>
  <c r="AL206" i="3"/>
  <c r="L206" i="3"/>
  <c r="D206" i="3"/>
  <c r="L205" i="3"/>
  <c r="D205" i="3"/>
  <c r="AQ204" i="3"/>
  <c r="AP204" i="3"/>
  <c r="AO204" i="3"/>
  <c r="AN204" i="3"/>
  <c r="AM204" i="3"/>
  <c r="AL204" i="3"/>
  <c r="L204" i="3"/>
  <c r="D204" i="3"/>
  <c r="AQ203" i="3"/>
  <c r="AP203" i="3"/>
  <c r="AO203" i="3"/>
  <c r="AN203" i="3"/>
  <c r="AM203" i="3"/>
  <c r="AL203" i="3"/>
  <c r="L203" i="3"/>
  <c r="D203" i="3"/>
  <c r="L202" i="3"/>
  <c r="D202" i="3"/>
  <c r="AQ201" i="3"/>
  <c r="AP201" i="3"/>
  <c r="AO201" i="3"/>
  <c r="AN201" i="3"/>
  <c r="AM201" i="3"/>
  <c r="AL201" i="3"/>
  <c r="L201" i="3"/>
  <c r="D201" i="3"/>
  <c r="AQ200" i="3"/>
  <c r="AP200" i="3"/>
  <c r="AO200" i="3"/>
  <c r="AN200" i="3"/>
  <c r="AM200" i="3"/>
  <c r="AL200" i="3"/>
  <c r="L200" i="3"/>
  <c r="D200" i="3"/>
  <c r="AQ199" i="3"/>
  <c r="AP199" i="3"/>
  <c r="AO199" i="3"/>
  <c r="AN199" i="3"/>
  <c r="AM199" i="3"/>
  <c r="AL199" i="3"/>
  <c r="L199" i="3"/>
  <c r="D199" i="3"/>
  <c r="AQ198" i="3"/>
  <c r="AP198" i="3"/>
  <c r="AO198" i="3"/>
  <c r="AN198" i="3"/>
  <c r="AM198" i="3"/>
  <c r="AL198" i="3"/>
  <c r="L198" i="3"/>
  <c r="D198" i="3"/>
  <c r="AQ197" i="3"/>
  <c r="AP197" i="3"/>
  <c r="AO197" i="3"/>
  <c r="AN197" i="3"/>
  <c r="AM197" i="3"/>
  <c r="AL197" i="3"/>
  <c r="L197" i="3"/>
  <c r="D197" i="3"/>
  <c r="L196" i="3"/>
  <c r="D196" i="3"/>
  <c r="AQ195" i="3"/>
  <c r="AP195" i="3"/>
  <c r="AO195" i="3"/>
  <c r="AN195" i="3"/>
  <c r="AM195" i="3"/>
  <c r="AL195" i="3"/>
  <c r="L195" i="3"/>
  <c r="D195" i="3"/>
  <c r="AQ194" i="3"/>
  <c r="AP194" i="3"/>
  <c r="AO194" i="3"/>
  <c r="AN194" i="3"/>
  <c r="AM194" i="3"/>
  <c r="AL194" i="3"/>
  <c r="L194" i="3"/>
  <c r="D194" i="3"/>
  <c r="AQ193" i="3"/>
  <c r="AP193" i="3"/>
  <c r="AO193" i="3"/>
  <c r="AN193" i="3"/>
  <c r="AM193" i="3"/>
  <c r="AL193" i="3"/>
  <c r="L193" i="3"/>
  <c r="D193" i="3"/>
  <c r="AQ192" i="3"/>
  <c r="AP192" i="3"/>
  <c r="AO192" i="3"/>
  <c r="AN192" i="3"/>
  <c r="AM192" i="3"/>
  <c r="AL192" i="3"/>
  <c r="L192" i="3"/>
  <c r="D192" i="3"/>
  <c r="AQ191" i="3"/>
  <c r="AP191" i="3"/>
  <c r="AO191" i="3"/>
  <c r="AN191" i="3"/>
  <c r="AM191" i="3"/>
  <c r="AL191" i="3"/>
  <c r="L191" i="3"/>
  <c r="D191" i="3"/>
  <c r="AQ190" i="3"/>
  <c r="AP190" i="3"/>
  <c r="AO190" i="3"/>
  <c r="AN190" i="3"/>
  <c r="AM190" i="3"/>
  <c r="AL190" i="3"/>
  <c r="L190" i="3"/>
  <c r="D190" i="3"/>
  <c r="L189" i="3"/>
  <c r="D189" i="3"/>
  <c r="AQ188" i="3"/>
  <c r="AP188" i="3"/>
  <c r="AO188" i="3"/>
  <c r="AN188" i="3"/>
  <c r="AM188" i="3"/>
  <c r="AL188" i="3"/>
  <c r="L188" i="3"/>
  <c r="D188" i="3"/>
  <c r="AQ187" i="3"/>
  <c r="AP187" i="3"/>
  <c r="AO187" i="3"/>
  <c r="AN187" i="3"/>
  <c r="AM187" i="3"/>
  <c r="AL187" i="3"/>
  <c r="L187" i="3"/>
  <c r="D187" i="3"/>
  <c r="AQ186" i="3"/>
  <c r="AP186" i="3"/>
  <c r="AO186" i="3"/>
  <c r="AN186" i="3"/>
  <c r="AM186" i="3"/>
  <c r="AL186" i="3"/>
  <c r="L186" i="3"/>
  <c r="D186" i="3"/>
  <c r="L185" i="3"/>
  <c r="D185" i="3"/>
  <c r="AQ184" i="3"/>
  <c r="AP184" i="3"/>
  <c r="AO184" i="3"/>
  <c r="AN184" i="3"/>
  <c r="AM184" i="3"/>
  <c r="AL184" i="3"/>
  <c r="L184" i="3"/>
  <c r="D184" i="3"/>
  <c r="AQ183" i="3"/>
  <c r="AP183" i="3"/>
  <c r="AO183" i="3"/>
  <c r="AN183" i="3"/>
  <c r="AM183" i="3"/>
  <c r="AL183" i="3"/>
  <c r="L183" i="3"/>
  <c r="D183" i="3"/>
  <c r="AQ182" i="3"/>
  <c r="AP182" i="3"/>
  <c r="AO182" i="3"/>
  <c r="AN182" i="3"/>
  <c r="AM182" i="3"/>
  <c r="AL182" i="3"/>
  <c r="L182" i="3"/>
  <c r="D182" i="3"/>
  <c r="AQ181" i="3"/>
  <c r="AP181" i="3"/>
  <c r="AO181" i="3"/>
  <c r="AN181" i="3"/>
  <c r="AM181" i="3"/>
  <c r="AL181" i="3"/>
  <c r="L181" i="3"/>
  <c r="D181" i="3"/>
  <c r="L180" i="3"/>
  <c r="D180" i="3"/>
  <c r="L179" i="3"/>
  <c r="D179" i="3"/>
  <c r="L178" i="3"/>
  <c r="D178" i="3"/>
  <c r="AQ177" i="3"/>
  <c r="AP177" i="3"/>
  <c r="AO177" i="3"/>
  <c r="AN177" i="3"/>
  <c r="AM177" i="3"/>
  <c r="AL177" i="3"/>
  <c r="L177" i="3"/>
  <c r="D177" i="3"/>
  <c r="AQ176" i="3"/>
  <c r="AP176" i="3"/>
  <c r="AO176" i="3"/>
  <c r="AN176" i="3"/>
  <c r="AM176" i="3"/>
  <c r="AL176" i="3"/>
  <c r="L176" i="3"/>
  <c r="D176" i="3"/>
  <c r="L175" i="3"/>
  <c r="D175" i="3"/>
  <c r="L174" i="3"/>
  <c r="D174" i="3"/>
  <c r="AQ173" i="3"/>
  <c r="AP173" i="3"/>
  <c r="AO173" i="3"/>
  <c r="AN173" i="3"/>
  <c r="AM173" i="3"/>
  <c r="AL173" i="3"/>
  <c r="L173" i="3"/>
  <c r="D173" i="3"/>
  <c r="AQ172" i="3"/>
  <c r="AP172" i="3"/>
  <c r="AO172" i="3"/>
  <c r="AN172" i="3"/>
  <c r="AM172" i="3"/>
  <c r="AL172" i="3"/>
  <c r="L172" i="3"/>
  <c r="D172" i="3"/>
  <c r="AQ171" i="3"/>
  <c r="AP171" i="3"/>
  <c r="AO171" i="3"/>
  <c r="AN171" i="3"/>
  <c r="AM171" i="3"/>
  <c r="AL171" i="3"/>
  <c r="L171" i="3"/>
  <c r="D171" i="3"/>
  <c r="AQ170" i="3"/>
  <c r="AP170" i="3"/>
  <c r="AO170" i="3"/>
  <c r="AN170" i="3"/>
  <c r="AM170" i="3"/>
  <c r="AL170" i="3"/>
  <c r="L170" i="3"/>
  <c r="D170" i="3"/>
  <c r="AQ169" i="3"/>
  <c r="AP169" i="3"/>
  <c r="AO169" i="3"/>
  <c r="AN169" i="3"/>
  <c r="AM169" i="3"/>
  <c r="AL169" i="3"/>
  <c r="L169" i="3"/>
  <c r="D169" i="3"/>
  <c r="AQ168" i="3"/>
  <c r="AP168" i="3"/>
  <c r="AO168" i="3"/>
  <c r="AN168" i="3"/>
  <c r="AM168" i="3"/>
  <c r="AL168" i="3"/>
  <c r="L168" i="3"/>
  <c r="D168" i="3"/>
  <c r="L167" i="3"/>
  <c r="D167" i="3"/>
  <c r="AQ166" i="3"/>
  <c r="AP166" i="3"/>
  <c r="AO166" i="3"/>
  <c r="AN166" i="3"/>
  <c r="AM166" i="3"/>
  <c r="AL166" i="3"/>
  <c r="L166" i="3"/>
  <c r="D166" i="3"/>
  <c r="AQ165" i="3"/>
  <c r="AP165" i="3"/>
  <c r="AO165" i="3"/>
  <c r="AN165" i="3"/>
  <c r="AM165" i="3"/>
  <c r="AL165" i="3"/>
  <c r="L165" i="3"/>
  <c r="D165" i="3"/>
  <c r="L164" i="3"/>
  <c r="D164" i="3"/>
  <c r="L163" i="3"/>
  <c r="D163" i="3"/>
  <c r="AQ162" i="3"/>
  <c r="AP162" i="3"/>
  <c r="AO162" i="3"/>
  <c r="AN162" i="3"/>
  <c r="AM162" i="3"/>
  <c r="AL162" i="3"/>
  <c r="L162" i="3"/>
  <c r="D162" i="3"/>
  <c r="AQ161" i="3"/>
  <c r="AP161" i="3"/>
  <c r="AO161" i="3"/>
  <c r="AN161" i="3"/>
  <c r="AM161" i="3"/>
  <c r="AL161" i="3"/>
  <c r="L161" i="3"/>
  <c r="D161" i="3"/>
  <c r="L160" i="3"/>
  <c r="D160" i="3"/>
  <c r="AQ159" i="3"/>
  <c r="AP159" i="3"/>
  <c r="AO159" i="3"/>
  <c r="AN159" i="3"/>
  <c r="AM159" i="3"/>
  <c r="AL159" i="3"/>
  <c r="L159" i="3"/>
  <c r="D159" i="3"/>
  <c r="AQ158" i="3"/>
  <c r="AP158" i="3"/>
  <c r="AO158" i="3"/>
  <c r="AN158" i="3"/>
  <c r="AM158" i="3"/>
  <c r="AL158" i="3"/>
  <c r="L158" i="3"/>
  <c r="D158" i="3"/>
  <c r="L157" i="3"/>
  <c r="D157" i="3"/>
  <c r="AQ156" i="3"/>
  <c r="AP156" i="3"/>
  <c r="AO156" i="3"/>
  <c r="AN156" i="3"/>
  <c r="AM156" i="3"/>
  <c r="AL156" i="3"/>
  <c r="L156" i="3"/>
  <c r="D156" i="3"/>
  <c r="AQ155" i="3"/>
  <c r="AP155" i="3"/>
  <c r="AO155" i="3"/>
  <c r="AN155" i="3"/>
  <c r="AM155" i="3"/>
  <c r="AL155" i="3"/>
  <c r="L155" i="3"/>
  <c r="D155" i="3"/>
  <c r="AQ154" i="3"/>
  <c r="AP154" i="3"/>
  <c r="AO154" i="3"/>
  <c r="AN154" i="3"/>
  <c r="AM154" i="3"/>
  <c r="AL154" i="3"/>
  <c r="L154" i="3"/>
  <c r="D154" i="3"/>
  <c r="AQ153" i="3"/>
  <c r="AP153" i="3"/>
  <c r="AO153" i="3"/>
  <c r="AN153" i="3"/>
  <c r="AM153" i="3"/>
  <c r="AL153" i="3"/>
  <c r="L153" i="3"/>
  <c r="D153" i="3"/>
  <c r="AQ152" i="3"/>
  <c r="AP152" i="3"/>
  <c r="AO152" i="3"/>
  <c r="AN152" i="3"/>
  <c r="AM152" i="3"/>
  <c r="AL152" i="3"/>
  <c r="L152" i="3"/>
  <c r="D152" i="3"/>
  <c r="AQ151" i="3"/>
  <c r="AP151" i="3"/>
  <c r="AO151" i="3"/>
  <c r="AN151" i="3"/>
  <c r="AM151" i="3"/>
  <c r="AL151" i="3"/>
  <c r="L151" i="3"/>
  <c r="D151" i="3"/>
  <c r="L150" i="3"/>
  <c r="D150" i="3"/>
  <c r="AQ149" i="3"/>
  <c r="AP149" i="3"/>
  <c r="AO149" i="3"/>
  <c r="AN149" i="3"/>
  <c r="AM149" i="3"/>
  <c r="AL149" i="3"/>
  <c r="L149" i="3"/>
  <c r="D149" i="3"/>
  <c r="AQ148" i="3"/>
  <c r="AP148" i="3"/>
  <c r="AO148" i="3"/>
  <c r="AN148" i="3"/>
  <c r="AM148" i="3"/>
  <c r="AL148" i="3"/>
  <c r="L148" i="3"/>
  <c r="D148" i="3"/>
  <c r="AQ147" i="3"/>
  <c r="AP147" i="3"/>
  <c r="AO147" i="3"/>
  <c r="AN147" i="3"/>
  <c r="AM147" i="3"/>
  <c r="AL147" i="3"/>
  <c r="L147" i="3"/>
  <c r="D147" i="3"/>
  <c r="L146" i="3"/>
  <c r="D146" i="3"/>
  <c r="L145" i="3"/>
  <c r="D145" i="3"/>
  <c r="L144" i="3"/>
  <c r="D144" i="3"/>
  <c r="AQ143" i="3"/>
  <c r="AP143" i="3"/>
  <c r="AO143" i="3"/>
  <c r="AN143" i="3"/>
  <c r="AM143" i="3"/>
  <c r="AL143" i="3"/>
  <c r="L143" i="3"/>
  <c r="D143" i="3"/>
  <c r="AQ142" i="3"/>
  <c r="AP142" i="3"/>
  <c r="AO142" i="3"/>
  <c r="AN142" i="3"/>
  <c r="AM142" i="3"/>
  <c r="AL142" i="3"/>
  <c r="L142" i="3"/>
  <c r="D142" i="3"/>
  <c r="L141" i="3"/>
  <c r="D141" i="3"/>
  <c r="AQ140" i="3"/>
  <c r="AP140" i="3"/>
  <c r="AO140" i="3"/>
  <c r="AN140" i="3"/>
  <c r="AM140" i="3"/>
  <c r="AL140" i="3"/>
  <c r="L140" i="3"/>
  <c r="D140" i="3"/>
  <c r="L139" i="3"/>
  <c r="D139" i="3"/>
  <c r="AQ138" i="3"/>
  <c r="AP138" i="3"/>
  <c r="AO138" i="3"/>
  <c r="AN138" i="3"/>
  <c r="AM138" i="3"/>
  <c r="AL138" i="3"/>
  <c r="L138" i="3"/>
  <c r="D138" i="3"/>
  <c r="AQ137" i="3"/>
  <c r="AP137" i="3"/>
  <c r="AO137" i="3"/>
  <c r="AN137" i="3"/>
  <c r="AM137" i="3"/>
  <c r="AL137" i="3"/>
  <c r="L137" i="3"/>
  <c r="D137" i="3"/>
  <c r="AQ136" i="3"/>
  <c r="AP136" i="3"/>
  <c r="AO136" i="3"/>
  <c r="AN136" i="3"/>
  <c r="AM136" i="3"/>
  <c r="AL136" i="3"/>
  <c r="L136" i="3"/>
  <c r="D136" i="3"/>
  <c r="L135" i="3"/>
  <c r="D135" i="3"/>
  <c r="L134" i="3"/>
  <c r="D134" i="3"/>
  <c r="AQ133" i="3"/>
  <c r="AP133" i="3"/>
  <c r="AO133" i="3"/>
  <c r="AN133" i="3"/>
  <c r="AM133" i="3"/>
  <c r="AL133" i="3"/>
  <c r="L133" i="3"/>
  <c r="D133" i="3"/>
  <c r="AQ132" i="3"/>
  <c r="AP132" i="3"/>
  <c r="AO132" i="3"/>
  <c r="AN132" i="3"/>
  <c r="AM132" i="3"/>
  <c r="AL132" i="3"/>
  <c r="L132" i="3"/>
  <c r="D132" i="3"/>
  <c r="AQ131" i="3"/>
  <c r="AP131" i="3"/>
  <c r="AO131" i="3"/>
  <c r="AN131" i="3"/>
  <c r="AM131" i="3"/>
  <c r="AL131" i="3"/>
  <c r="L131" i="3"/>
  <c r="D131" i="3"/>
  <c r="L130" i="3"/>
  <c r="D130" i="3"/>
  <c r="L129" i="3"/>
  <c r="D129" i="3"/>
  <c r="AQ128" i="3"/>
  <c r="AP128" i="3"/>
  <c r="AO128" i="3"/>
  <c r="AN128" i="3"/>
  <c r="AM128" i="3"/>
  <c r="AL128" i="3"/>
  <c r="L128" i="3"/>
  <c r="D128" i="3"/>
  <c r="AQ127" i="3"/>
  <c r="AP127" i="3"/>
  <c r="AO127" i="3"/>
  <c r="AN127" i="3"/>
  <c r="AM127" i="3"/>
  <c r="AL127" i="3"/>
  <c r="L127" i="3"/>
  <c r="D127" i="3"/>
  <c r="L126" i="3"/>
  <c r="D126" i="3"/>
  <c r="AQ125" i="3"/>
  <c r="AP125" i="3"/>
  <c r="AO125" i="3"/>
  <c r="AN125" i="3"/>
  <c r="AM125" i="3"/>
  <c r="AL125" i="3"/>
  <c r="L125" i="3"/>
  <c r="D125" i="3"/>
  <c r="AQ124" i="3"/>
  <c r="AP124" i="3"/>
  <c r="AO124" i="3"/>
  <c r="AN124" i="3"/>
  <c r="AM124" i="3"/>
  <c r="AL124" i="3"/>
  <c r="L124" i="3"/>
  <c r="D124" i="3"/>
  <c r="L123" i="3"/>
  <c r="D123" i="3"/>
  <c r="AQ122" i="3"/>
  <c r="AP122" i="3"/>
  <c r="AO122" i="3"/>
  <c r="AN122" i="3"/>
  <c r="AM122" i="3"/>
  <c r="AL122" i="3"/>
  <c r="L122" i="3"/>
  <c r="D122" i="3"/>
  <c r="AQ121" i="3"/>
  <c r="AP121" i="3"/>
  <c r="AO121" i="3"/>
  <c r="AN121" i="3"/>
  <c r="AM121" i="3"/>
  <c r="AL121" i="3"/>
  <c r="L121" i="3"/>
  <c r="D121" i="3"/>
  <c r="AQ120" i="3"/>
  <c r="AP120" i="3"/>
  <c r="AO120" i="3"/>
  <c r="AN120" i="3"/>
  <c r="AM120" i="3"/>
  <c r="AL120" i="3"/>
  <c r="L120" i="3"/>
  <c r="D120" i="3"/>
  <c r="AQ119" i="3"/>
  <c r="AP119" i="3"/>
  <c r="AO119" i="3"/>
  <c r="AN119" i="3"/>
  <c r="AM119" i="3"/>
  <c r="AL119" i="3"/>
  <c r="L119" i="3"/>
  <c r="D119" i="3"/>
  <c r="AQ118" i="3"/>
  <c r="AP118" i="3"/>
  <c r="AO118" i="3"/>
  <c r="AN118" i="3"/>
  <c r="AM118" i="3"/>
  <c r="AL118" i="3"/>
  <c r="L118" i="3"/>
  <c r="D118" i="3"/>
  <c r="AQ117" i="3"/>
  <c r="AP117" i="3"/>
  <c r="AO117" i="3"/>
  <c r="AN117" i="3"/>
  <c r="AM117" i="3"/>
  <c r="AL117" i="3"/>
  <c r="L117" i="3"/>
  <c r="D117" i="3"/>
  <c r="L116" i="3"/>
  <c r="D116" i="3"/>
  <c r="L115" i="3"/>
  <c r="D115" i="3"/>
  <c r="AQ114" i="3"/>
  <c r="AP114" i="3"/>
  <c r="AO114" i="3"/>
  <c r="AN114" i="3"/>
  <c r="AM114" i="3"/>
  <c r="AL114" i="3"/>
  <c r="L114" i="3"/>
  <c r="D114" i="3"/>
  <c r="L113" i="3"/>
  <c r="D113" i="3"/>
  <c r="L112" i="3"/>
  <c r="D112" i="3"/>
  <c r="L111" i="3"/>
  <c r="D111" i="3"/>
  <c r="AQ110" i="3"/>
  <c r="AP110" i="3"/>
  <c r="AO110" i="3"/>
  <c r="AN110" i="3"/>
  <c r="AM110" i="3"/>
  <c r="AL110" i="3"/>
  <c r="L110" i="3"/>
  <c r="D110" i="3"/>
  <c r="AQ109" i="3"/>
  <c r="AP109" i="3"/>
  <c r="AO109" i="3"/>
  <c r="AN109" i="3"/>
  <c r="AM109" i="3"/>
  <c r="AL109" i="3"/>
  <c r="L109" i="3"/>
  <c r="D109" i="3"/>
  <c r="L108" i="3"/>
  <c r="D108" i="3"/>
  <c r="AQ107" i="3"/>
  <c r="AP107" i="3"/>
  <c r="AO107" i="3"/>
  <c r="AN107" i="3"/>
  <c r="AM107" i="3"/>
  <c r="AL107" i="3"/>
  <c r="L107" i="3"/>
  <c r="D107" i="3"/>
  <c r="AQ106" i="3"/>
  <c r="AP106" i="3"/>
  <c r="AO106" i="3"/>
  <c r="AN106" i="3"/>
  <c r="AM106" i="3"/>
  <c r="AL106" i="3"/>
  <c r="L106" i="3"/>
  <c r="D106" i="3"/>
  <c r="L105" i="3"/>
  <c r="D105" i="3"/>
  <c r="L104" i="3"/>
  <c r="D104" i="3"/>
  <c r="AQ103" i="3"/>
  <c r="AP103" i="3"/>
  <c r="AO103" i="3"/>
  <c r="AN103" i="3"/>
  <c r="AM103" i="3"/>
  <c r="AL103" i="3"/>
  <c r="L103" i="3"/>
  <c r="D103" i="3"/>
  <c r="L102" i="3"/>
  <c r="D102" i="3"/>
  <c r="AQ101" i="3"/>
  <c r="AP101" i="3"/>
  <c r="AO101" i="3"/>
  <c r="AN101" i="3"/>
  <c r="AM101" i="3"/>
  <c r="AL101" i="3"/>
  <c r="L101" i="3"/>
  <c r="D101" i="3"/>
  <c r="AQ100" i="3"/>
  <c r="AP100" i="3"/>
  <c r="AO100" i="3"/>
  <c r="AN100" i="3"/>
  <c r="AM100" i="3"/>
  <c r="AL100" i="3"/>
  <c r="L100" i="3"/>
  <c r="D100" i="3"/>
  <c r="AQ99" i="3"/>
  <c r="AP99" i="3"/>
  <c r="AO99" i="3"/>
  <c r="AN99" i="3"/>
  <c r="AM99" i="3"/>
  <c r="AL99" i="3"/>
  <c r="L99" i="3"/>
  <c r="D99" i="3"/>
  <c r="L98" i="3"/>
  <c r="D98" i="3"/>
  <c r="L97" i="3"/>
  <c r="D97" i="3"/>
  <c r="AQ96" i="3"/>
  <c r="AP96" i="3"/>
  <c r="AO96" i="3"/>
  <c r="AN96" i="3"/>
  <c r="AM96" i="3"/>
  <c r="AL96" i="3"/>
  <c r="L96" i="3"/>
  <c r="D96" i="3"/>
  <c r="AQ95" i="3"/>
  <c r="AP95" i="3"/>
  <c r="AO95" i="3"/>
  <c r="AN95" i="3"/>
  <c r="AM95" i="3"/>
  <c r="AL95" i="3"/>
  <c r="L95" i="3"/>
  <c r="D95" i="3"/>
  <c r="AQ94" i="3"/>
  <c r="AP94" i="3"/>
  <c r="AO94" i="3"/>
  <c r="AN94" i="3"/>
  <c r="AM94" i="3"/>
  <c r="AL94" i="3"/>
  <c r="L94" i="3"/>
  <c r="D94" i="3"/>
  <c r="L93" i="3"/>
  <c r="D93" i="3"/>
  <c r="AQ92" i="3"/>
  <c r="AP92" i="3"/>
  <c r="AO92" i="3"/>
  <c r="AN92" i="3"/>
  <c r="AM92" i="3"/>
  <c r="AL92" i="3"/>
  <c r="L92" i="3"/>
  <c r="D92" i="3"/>
  <c r="AQ91" i="3"/>
  <c r="AP91" i="3"/>
  <c r="AO91" i="3"/>
  <c r="AN91" i="3"/>
  <c r="AM91" i="3"/>
  <c r="AL91" i="3"/>
  <c r="L91" i="3"/>
  <c r="D91" i="3"/>
  <c r="AQ90" i="3"/>
  <c r="AP90" i="3"/>
  <c r="AO90" i="3"/>
  <c r="AN90" i="3"/>
  <c r="AM90" i="3"/>
  <c r="AL90" i="3"/>
  <c r="L90" i="3"/>
  <c r="D90" i="3"/>
  <c r="AQ89" i="3"/>
  <c r="AP89" i="3"/>
  <c r="AO89" i="3"/>
  <c r="AN89" i="3"/>
  <c r="AM89" i="3"/>
  <c r="AL89" i="3"/>
  <c r="L89" i="3"/>
  <c r="D89" i="3"/>
  <c r="L88" i="3"/>
  <c r="D88" i="3"/>
  <c r="AQ87" i="3"/>
  <c r="AP87" i="3"/>
  <c r="AO87" i="3"/>
  <c r="AN87" i="3"/>
  <c r="AM87" i="3"/>
  <c r="AL87" i="3"/>
  <c r="L87" i="3"/>
  <c r="D87" i="3"/>
  <c r="AQ86" i="3"/>
  <c r="AP86" i="3"/>
  <c r="AO86" i="3"/>
  <c r="AN86" i="3"/>
  <c r="AM86" i="3"/>
  <c r="AL86" i="3"/>
  <c r="L86" i="3"/>
  <c r="D86" i="3"/>
  <c r="L85" i="3"/>
  <c r="D85" i="3"/>
  <c r="AQ84" i="3"/>
  <c r="AP84" i="3"/>
  <c r="AO84" i="3"/>
  <c r="AN84" i="3"/>
  <c r="AM84" i="3"/>
  <c r="AL84" i="3"/>
  <c r="L84" i="3"/>
  <c r="D84" i="3"/>
  <c r="AQ83" i="3"/>
  <c r="AP83" i="3"/>
  <c r="AO83" i="3"/>
  <c r="AN83" i="3"/>
  <c r="AM83" i="3"/>
  <c r="AL83" i="3"/>
  <c r="L83" i="3"/>
  <c r="D83" i="3"/>
  <c r="AQ82" i="3"/>
  <c r="AP82" i="3"/>
  <c r="AO82" i="3"/>
  <c r="AN82" i="3"/>
  <c r="AM82" i="3"/>
  <c r="AL82" i="3"/>
  <c r="L82" i="3"/>
  <c r="D82" i="3"/>
  <c r="AQ81" i="3"/>
  <c r="AP81" i="3"/>
  <c r="AO81" i="3"/>
  <c r="AN81" i="3"/>
  <c r="AM81" i="3"/>
  <c r="AL81" i="3"/>
  <c r="L81" i="3"/>
  <c r="D81" i="3"/>
  <c r="AQ80" i="3"/>
  <c r="AP80" i="3"/>
  <c r="AO80" i="3"/>
  <c r="AN80" i="3"/>
  <c r="AM80" i="3"/>
  <c r="AL80" i="3"/>
  <c r="L80" i="3"/>
  <c r="D80" i="3"/>
  <c r="AQ79" i="3"/>
  <c r="AP79" i="3"/>
  <c r="AO79" i="3"/>
  <c r="AN79" i="3"/>
  <c r="AM79" i="3"/>
  <c r="AL79" i="3"/>
  <c r="L79" i="3"/>
  <c r="D79" i="3"/>
  <c r="AQ78" i="3"/>
  <c r="AP78" i="3"/>
  <c r="AO78" i="3"/>
  <c r="AN78" i="3"/>
  <c r="AM78" i="3"/>
  <c r="AL78" i="3"/>
  <c r="L78" i="3"/>
  <c r="D78" i="3"/>
  <c r="AQ77" i="3"/>
  <c r="AP77" i="3"/>
  <c r="AO77" i="3"/>
  <c r="AN77" i="3"/>
  <c r="AM77" i="3"/>
  <c r="AL77" i="3"/>
  <c r="L77" i="3"/>
  <c r="D77" i="3"/>
  <c r="L76" i="3"/>
  <c r="D76" i="3"/>
  <c r="AQ75" i="3"/>
  <c r="AP75" i="3"/>
  <c r="AO75" i="3"/>
  <c r="AN75" i="3"/>
  <c r="AM75" i="3"/>
  <c r="AL75" i="3"/>
  <c r="L75" i="3"/>
  <c r="D75" i="3"/>
  <c r="AQ74" i="3"/>
  <c r="AP74" i="3"/>
  <c r="AO74" i="3"/>
  <c r="AN74" i="3"/>
  <c r="AM74" i="3"/>
  <c r="AL74" i="3"/>
  <c r="L74" i="3"/>
  <c r="D74" i="3"/>
  <c r="AQ73" i="3"/>
  <c r="AP73" i="3"/>
  <c r="AO73" i="3"/>
  <c r="AN73" i="3"/>
  <c r="AM73" i="3"/>
  <c r="AL73" i="3"/>
  <c r="L73" i="3"/>
  <c r="D73" i="3"/>
  <c r="AQ72" i="3"/>
  <c r="AP72" i="3"/>
  <c r="AO72" i="3"/>
  <c r="AN72" i="3"/>
  <c r="AM72" i="3"/>
  <c r="AL72" i="3"/>
  <c r="L72" i="3"/>
  <c r="D72" i="3"/>
  <c r="AQ71" i="3"/>
  <c r="AP71" i="3"/>
  <c r="AO71" i="3"/>
  <c r="AN71" i="3"/>
  <c r="AM71" i="3"/>
  <c r="AL71" i="3"/>
  <c r="L71" i="3"/>
  <c r="D71" i="3"/>
  <c r="L70" i="3"/>
  <c r="D70" i="3"/>
  <c r="AQ69" i="3"/>
  <c r="AP69" i="3"/>
  <c r="AO69" i="3"/>
  <c r="AN69" i="3"/>
  <c r="AM69" i="3"/>
  <c r="AL69" i="3"/>
  <c r="L69" i="3"/>
  <c r="D69" i="3"/>
  <c r="AQ68" i="3"/>
  <c r="AP68" i="3"/>
  <c r="AO68" i="3"/>
  <c r="AN68" i="3"/>
  <c r="AM68" i="3"/>
  <c r="AL68" i="3"/>
  <c r="L68" i="3"/>
  <c r="D68" i="3"/>
  <c r="AQ67" i="3"/>
  <c r="AP67" i="3"/>
  <c r="AO67" i="3"/>
  <c r="AN67" i="3"/>
  <c r="AM67" i="3"/>
  <c r="AL67" i="3"/>
  <c r="L67" i="3"/>
  <c r="D67" i="3"/>
  <c r="L66" i="3"/>
  <c r="D66" i="3"/>
  <c r="AQ65" i="3"/>
  <c r="AP65" i="3"/>
  <c r="AO65" i="3"/>
  <c r="AN65" i="3"/>
  <c r="AM65" i="3"/>
  <c r="AL65" i="3"/>
  <c r="L65" i="3"/>
  <c r="D65" i="3"/>
  <c r="L64" i="3"/>
  <c r="D64" i="3"/>
  <c r="L63" i="3"/>
  <c r="D63" i="3"/>
  <c r="AQ62" i="3"/>
  <c r="AP62" i="3"/>
  <c r="AO62" i="3"/>
  <c r="AN62" i="3"/>
  <c r="AM62" i="3"/>
  <c r="AL62" i="3"/>
  <c r="L62" i="3"/>
  <c r="D62" i="3"/>
  <c r="L61" i="3"/>
  <c r="D61" i="3"/>
  <c r="AQ60" i="3"/>
  <c r="AP60" i="3"/>
  <c r="AO60" i="3"/>
  <c r="AN60" i="3"/>
  <c r="AM60" i="3"/>
  <c r="AL60" i="3"/>
  <c r="L60" i="3"/>
  <c r="D60" i="3"/>
  <c r="AQ59" i="3"/>
  <c r="AP59" i="3"/>
  <c r="AO59" i="3"/>
  <c r="AN59" i="3"/>
  <c r="AM59" i="3"/>
  <c r="AL59" i="3"/>
  <c r="L59" i="3"/>
  <c r="D59" i="3"/>
  <c r="L58" i="3"/>
  <c r="D58" i="3"/>
  <c r="AQ57" i="3"/>
  <c r="AP57" i="3"/>
  <c r="AO57" i="3"/>
  <c r="AN57" i="3"/>
  <c r="AM57" i="3"/>
  <c r="AL57" i="3"/>
  <c r="L57" i="3"/>
  <c r="D57" i="3"/>
  <c r="AQ56" i="3"/>
  <c r="AP56" i="3"/>
  <c r="AO56" i="3"/>
  <c r="AN56" i="3"/>
  <c r="AM56" i="3"/>
  <c r="AL56" i="3"/>
  <c r="L56" i="3"/>
  <c r="D56" i="3"/>
  <c r="AQ55" i="3"/>
  <c r="AP55" i="3"/>
  <c r="AO55" i="3"/>
  <c r="AN55" i="3"/>
  <c r="AM55" i="3"/>
  <c r="AL55" i="3"/>
  <c r="L55" i="3"/>
  <c r="D55" i="3"/>
  <c r="L54" i="3"/>
  <c r="D54" i="3"/>
  <c r="AQ53" i="3"/>
  <c r="AP53" i="3"/>
  <c r="AO53" i="3"/>
  <c r="AN53" i="3"/>
  <c r="AM53" i="3"/>
  <c r="AL53" i="3"/>
  <c r="L53" i="3"/>
  <c r="D53" i="3"/>
  <c r="AQ52" i="3"/>
  <c r="AP52" i="3"/>
  <c r="AO52" i="3"/>
  <c r="AN52" i="3"/>
  <c r="AM52" i="3"/>
  <c r="AL52" i="3"/>
  <c r="L52" i="3"/>
  <c r="D52" i="3"/>
  <c r="L51" i="3"/>
  <c r="D51" i="3"/>
  <c r="AQ50" i="3"/>
  <c r="AP50" i="3"/>
  <c r="AO50" i="3"/>
  <c r="AN50" i="3"/>
  <c r="AM50" i="3"/>
  <c r="AL50" i="3"/>
  <c r="L50" i="3"/>
  <c r="D50" i="3"/>
  <c r="AQ49" i="3"/>
  <c r="AP49" i="3"/>
  <c r="AO49" i="3"/>
  <c r="AN49" i="3"/>
  <c r="AM49" i="3"/>
  <c r="AL49" i="3"/>
  <c r="L49" i="3"/>
  <c r="D49" i="3"/>
  <c r="AQ48" i="3"/>
  <c r="AP48" i="3"/>
  <c r="AO48" i="3"/>
  <c r="AN48" i="3"/>
  <c r="AM48" i="3"/>
  <c r="AL48" i="3"/>
  <c r="L48" i="3"/>
  <c r="D48" i="3"/>
  <c r="AQ47" i="3"/>
  <c r="AP47" i="3"/>
  <c r="AO47" i="3"/>
  <c r="AN47" i="3"/>
  <c r="AM47" i="3"/>
  <c r="AL47" i="3"/>
  <c r="L47" i="3"/>
  <c r="D47" i="3"/>
  <c r="AQ46" i="3"/>
  <c r="AP46" i="3"/>
  <c r="AO46" i="3"/>
  <c r="AN46" i="3"/>
  <c r="AM46" i="3"/>
  <c r="AL46" i="3"/>
  <c r="L46" i="3"/>
  <c r="D46" i="3"/>
  <c r="AQ45" i="3"/>
  <c r="AP45" i="3"/>
  <c r="AO45" i="3"/>
  <c r="AN45" i="3"/>
  <c r="AM45" i="3"/>
  <c r="AL45" i="3"/>
  <c r="L45" i="3"/>
  <c r="D45" i="3"/>
  <c r="AQ44" i="3"/>
  <c r="AP44" i="3"/>
  <c r="AO44" i="3"/>
  <c r="AN44" i="3"/>
  <c r="AM44" i="3"/>
  <c r="AL44" i="3"/>
  <c r="L44" i="3"/>
  <c r="D44" i="3"/>
  <c r="AQ43" i="3"/>
  <c r="AP43" i="3"/>
  <c r="AO43" i="3"/>
  <c r="AN43" i="3"/>
  <c r="AM43" i="3"/>
  <c r="AL43" i="3"/>
  <c r="L43" i="3"/>
  <c r="D43" i="3"/>
  <c r="AQ42" i="3"/>
  <c r="AP42" i="3"/>
  <c r="AO42" i="3"/>
  <c r="AN42" i="3"/>
  <c r="AM42" i="3"/>
  <c r="AL42" i="3"/>
  <c r="L42" i="3"/>
  <c r="D42" i="3"/>
  <c r="AQ41" i="3"/>
  <c r="AP41" i="3"/>
  <c r="AO41" i="3"/>
  <c r="AN41" i="3"/>
  <c r="AM41" i="3"/>
  <c r="AL41" i="3"/>
  <c r="L41" i="3"/>
  <c r="D41" i="3"/>
  <c r="L40" i="3"/>
  <c r="D40" i="3"/>
  <c r="AQ39" i="3"/>
  <c r="AP39" i="3"/>
  <c r="AO39" i="3"/>
  <c r="AN39" i="3"/>
  <c r="AM39" i="3"/>
  <c r="AL39" i="3"/>
  <c r="L39" i="3"/>
  <c r="D39" i="3"/>
  <c r="AQ38" i="3"/>
  <c r="AP38" i="3"/>
  <c r="AO38" i="3"/>
  <c r="AN38" i="3"/>
  <c r="AM38" i="3"/>
  <c r="AL38" i="3"/>
  <c r="L38" i="3"/>
  <c r="D38" i="3"/>
  <c r="AQ37" i="3"/>
  <c r="AP37" i="3"/>
  <c r="AO37" i="3"/>
  <c r="AN37" i="3"/>
  <c r="AM37" i="3"/>
  <c r="AL37" i="3"/>
  <c r="L37" i="3"/>
  <c r="D37" i="3"/>
  <c r="AQ36" i="3"/>
  <c r="AP36" i="3"/>
  <c r="AO36" i="3"/>
  <c r="AN36" i="3"/>
  <c r="AM36" i="3"/>
  <c r="AL36" i="3"/>
  <c r="L36" i="3"/>
  <c r="D36" i="3"/>
  <c r="L35" i="3"/>
  <c r="D35" i="3"/>
  <c r="AQ34" i="3"/>
  <c r="AP34" i="3"/>
  <c r="AO34" i="3"/>
  <c r="AN34" i="3"/>
  <c r="AM34" i="3"/>
  <c r="AL34" i="3"/>
  <c r="L34" i="3"/>
  <c r="D34" i="3"/>
  <c r="AQ33" i="3"/>
  <c r="AP33" i="3"/>
  <c r="AO33" i="3"/>
  <c r="AN33" i="3"/>
  <c r="AM33" i="3"/>
  <c r="AL33" i="3"/>
  <c r="L33" i="3"/>
  <c r="D33" i="3"/>
  <c r="AQ32" i="3"/>
  <c r="AP32" i="3"/>
  <c r="AO32" i="3"/>
  <c r="AN32" i="3"/>
  <c r="AM32" i="3"/>
  <c r="AL32" i="3"/>
  <c r="L32" i="3"/>
  <c r="D32" i="3"/>
  <c r="AQ31" i="3"/>
  <c r="AP31" i="3"/>
  <c r="AO31" i="3"/>
  <c r="AN31" i="3"/>
  <c r="AM31" i="3"/>
  <c r="AL31" i="3"/>
  <c r="L31" i="3"/>
  <c r="D31" i="3"/>
  <c r="AQ30" i="3"/>
  <c r="AP30" i="3"/>
  <c r="AO30" i="3"/>
  <c r="AN30" i="3"/>
  <c r="AM30" i="3"/>
  <c r="AL30" i="3"/>
  <c r="L30" i="3"/>
  <c r="D30" i="3"/>
  <c r="AQ29" i="3"/>
  <c r="AP29" i="3"/>
  <c r="AO29" i="3"/>
  <c r="AN29" i="3"/>
  <c r="AM29" i="3"/>
  <c r="AL29" i="3"/>
  <c r="L29" i="3"/>
  <c r="D29" i="3"/>
  <c r="AQ28" i="3"/>
  <c r="AP28" i="3"/>
  <c r="AO28" i="3"/>
  <c r="AN28" i="3"/>
  <c r="AM28" i="3"/>
  <c r="AL28" i="3"/>
  <c r="L28" i="3"/>
  <c r="D28" i="3"/>
  <c r="AQ27" i="3"/>
  <c r="AP27" i="3"/>
  <c r="AO27" i="3"/>
  <c r="AN27" i="3"/>
  <c r="AM27" i="3"/>
  <c r="AL27" i="3"/>
  <c r="L27" i="3"/>
  <c r="D27" i="3"/>
  <c r="AQ26" i="3"/>
  <c r="AP26" i="3"/>
  <c r="AO26" i="3"/>
  <c r="AN26" i="3"/>
  <c r="AM26" i="3"/>
  <c r="AL26" i="3"/>
  <c r="L26" i="3"/>
  <c r="D26" i="3"/>
  <c r="L25" i="3"/>
  <c r="D25" i="3"/>
  <c r="AQ24" i="3"/>
  <c r="AP24" i="3"/>
  <c r="AO24" i="3"/>
  <c r="AN24" i="3"/>
  <c r="AM24" i="3"/>
  <c r="AL24" i="3"/>
  <c r="L24" i="3"/>
  <c r="D24" i="3"/>
  <c r="AQ23" i="3"/>
  <c r="AP23" i="3"/>
  <c r="AO23" i="3"/>
  <c r="AN23" i="3"/>
  <c r="AM23" i="3"/>
  <c r="AL23" i="3"/>
  <c r="L23" i="3"/>
  <c r="D23" i="3"/>
  <c r="AQ22" i="3"/>
  <c r="AP22" i="3"/>
  <c r="AO22" i="3"/>
  <c r="AN22" i="3"/>
  <c r="AM22" i="3"/>
  <c r="AL22" i="3"/>
  <c r="L22" i="3"/>
  <c r="D22" i="3"/>
  <c r="AQ21" i="3"/>
  <c r="AP21" i="3"/>
  <c r="AO21" i="3"/>
  <c r="AN21" i="3"/>
  <c r="AM21" i="3"/>
  <c r="AL21" i="3"/>
  <c r="L21" i="3"/>
  <c r="D21" i="3"/>
  <c r="AQ20" i="3"/>
  <c r="AP20" i="3"/>
  <c r="AO20" i="3"/>
  <c r="AN20" i="3"/>
  <c r="AM20" i="3"/>
  <c r="AL20" i="3"/>
  <c r="L20" i="3"/>
  <c r="D20" i="3"/>
  <c r="D19" i="3"/>
  <c r="D18" i="3"/>
  <c r="D17" i="3"/>
  <c r="D16" i="3"/>
  <c r="AQ15" i="3"/>
  <c r="AP15" i="3"/>
  <c r="AO15" i="3"/>
  <c r="AN15" i="3"/>
  <c r="AM15" i="3"/>
  <c r="AL15" i="3"/>
  <c r="L15" i="3"/>
  <c r="D15" i="3"/>
  <c r="AQ14" i="3"/>
  <c r="AP14" i="3"/>
  <c r="AO14" i="3"/>
  <c r="AN14" i="3"/>
  <c r="AM14" i="3"/>
  <c r="AL14" i="3"/>
  <c r="L14" i="3"/>
  <c r="D14" i="3"/>
  <c r="AQ13" i="3"/>
  <c r="AP13" i="3"/>
  <c r="AO13" i="3"/>
  <c r="AN13" i="3"/>
  <c r="AM13" i="3"/>
  <c r="AL13" i="3"/>
  <c r="L13" i="3"/>
  <c r="D13" i="3"/>
  <c r="AQ12" i="3"/>
  <c r="AP12" i="3"/>
  <c r="AO12" i="3"/>
  <c r="AN12" i="3"/>
  <c r="AM12" i="3"/>
  <c r="AL12" i="3"/>
  <c r="L12" i="3"/>
  <c r="D12" i="3"/>
  <c r="L11" i="3"/>
  <c r="D11" i="3"/>
  <c r="AQ10" i="3"/>
  <c r="AP10" i="3"/>
  <c r="AO10" i="3"/>
  <c r="AN10" i="3"/>
  <c r="AM10" i="3"/>
  <c r="AL10" i="3"/>
  <c r="L10" i="3"/>
  <c r="D10" i="3"/>
  <c r="AQ9" i="3"/>
  <c r="AP9" i="3"/>
  <c r="AO9" i="3"/>
  <c r="AN9" i="3"/>
  <c r="AM9" i="3"/>
  <c r="AL9" i="3"/>
  <c r="L9" i="3"/>
  <c r="D9" i="3"/>
  <c r="AQ8" i="3"/>
  <c r="AP8" i="3"/>
  <c r="AO8" i="3"/>
  <c r="AN8" i="3"/>
  <c r="AM8" i="3"/>
  <c r="AL8" i="3"/>
  <c r="L8" i="3"/>
  <c r="D8" i="3"/>
  <c r="AQ7" i="3"/>
  <c r="AP7" i="3"/>
  <c r="AO7" i="3"/>
  <c r="AN7" i="3"/>
  <c r="AM7" i="3"/>
  <c r="AL7" i="3"/>
  <c r="L7" i="3"/>
  <c r="D7" i="3"/>
  <c r="AQ6" i="3"/>
  <c r="AP6" i="3"/>
  <c r="AO6" i="3"/>
  <c r="AN6" i="3"/>
  <c r="AM6" i="3"/>
  <c r="AL6" i="3"/>
  <c r="L6" i="3"/>
  <c r="D6" i="3"/>
  <c r="AQ5" i="3"/>
  <c r="AP5" i="3"/>
  <c r="AO5" i="3"/>
  <c r="AN5" i="3"/>
  <c r="AM5" i="3"/>
  <c r="AL5" i="3"/>
  <c r="L5" i="3"/>
  <c r="D5" i="3"/>
  <c r="AQ4" i="3"/>
  <c r="AP4" i="3"/>
  <c r="AO4" i="3"/>
  <c r="AN4" i="3"/>
  <c r="AM4" i="3"/>
  <c r="AL4" i="3"/>
  <c r="L4" i="3"/>
  <c r="D4" i="3"/>
  <c r="L3" i="3"/>
  <c r="D3" i="3"/>
  <c r="L2" i="3"/>
  <c r="D2" i="3"/>
</calcChain>
</file>

<file path=xl/sharedStrings.xml><?xml version="1.0" encoding="utf-8"?>
<sst xmlns="http://schemas.openxmlformats.org/spreadsheetml/2006/main" count="47522" uniqueCount="7477">
  <si>
    <t>Open position</t>
  </si>
  <si>
    <t>Position ID</t>
  </si>
  <si>
    <t xml:space="preserve">Department </t>
  </si>
  <si>
    <t>Department Clean</t>
  </si>
  <si>
    <t>Role</t>
  </si>
  <si>
    <t>Designation</t>
  </si>
  <si>
    <t>Job Vacancy</t>
  </si>
  <si>
    <t>Level/Band</t>
  </si>
  <si>
    <t>Position Requisition Date</t>
  </si>
  <si>
    <t>Vacancy approval date</t>
  </si>
  <si>
    <t>Job advert open date</t>
  </si>
  <si>
    <t>Time to publish advert</t>
  </si>
  <si>
    <t>Job advert closing date</t>
  </si>
  <si>
    <t>Shortlisted Status</t>
  </si>
  <si>
    <t>Interview date</t>
  </si>
  <si>
    <t>Hire Status</t>
  </si>
  <si>
    <t>Rejection Reason</t>
  </si>
  <si>
    <t>Date job offer</t>
  </si>
  <si>
    <t>Offer Status</t>
  </si>
  <si>
    <t>Date contract prepared</t>
  </si>
  <si>
    <t>Date contract issued </t>
  </si>
  <si>
    <t>Reporting date </t>
  </si>
  <si>
    <t>Date of induction/onboarding </t>
  </si>
  <si>
    <t>Hired</t>
  </si>
  <si>
    <t>Date e-file opened</t>
  </si>
  <si>
    <t>Date physical file open </t>
  </si>
  <si>
    <t>Date of inclusion to benefits </t>
  </si>
  <si>
    <t>Rejected By</t>
  </si>
  <si>
    <t>Date of File Closure</t>
  </si>
  <si>
    <t>Candidate ID</t>
  </si>
  <si>
    <t>Candidate Name</t>
  </si>
  <si>
    <t>Application Date</t>
  </si>
  <si>
    <t>Candidate Source</t>
  </si>
  <si>
    <t>Probation (Months)</t>
  </si>
  <si>
    <t>Time to hire</t>
  </si>
  <si>
    <t>Time from App to interview</t>
  </si>
  <si>
    <t>End of Probation date</t>
  </si>
  <si>
    <t>Onboarding to file opening</t>
  </si>
  <si>
    <t>Open days</t>
  </si>
  <si>
    <t>Between Interview and Candidate Reporting</t>
  </si>
  <si>
    <t>Time to approve Requisition</t>
  </si>
  <si>
    <t>Time to close file</t>
  </si>
  <si>
    <t>Time from inclusion to benefits</t>
  </si>
  <si>
    <t>525 | Administation</t>
  </si>
  <si>
    <t>Risk Management</t>
  </si>
  <si>
    <t>Risk Management - Junior</t>
  </si>
  <si>
    <t>Analyst</t>
  </si>
  <si>
    <t>Risk Management-Analyst</t>
  </si>
  <si>
    <t>Junior</t>
  </si>
  <si>
    <t>Yes</t>
  </si>
  <si>
    <t>FAILED</t>
  </si>
  <si>
    <t>Other</t>
  </si>
  <si>
    <t>Company</t>
  </si>
  <si>
    <t>C1000</t>
  </si>
  <si>
    <t>Candidate_0</t>
  </si>
  <si>
    <t>REFERRAL</t>
  </si>
  <si>
    <t>524 | Administation</t>
  </si>
  <si>
    <t xml:space="preserve"> Risk Management</t>
  </si>
  <si>
    <t>Risk Management - Associate</t>
  </si>
  <si>
    <t>Associate</t>
  </si>
  <si>
    <t>decline</t>
  </si>
  <si>
    <t>Declined</t>
  </si>
  <si>
    <t>C1001</t>
  </si>
  <si>
    <t>Candidate_1</t>
  </si>
  <si>
    <t>LinkedIn</t>
  </si>
  <si>
    <t>522 | Administation</t>
  </si>
  <si>
    <t>C1002</t>
  </si>
  <si>
    <t>Candidate_2</t>
  </si>
  <si>
    <t>Job board</t>
  </si>
  <si>
    <t>407 | Administation</t>
  </si>
  <si>
    <t>Supervisor</t>
  </si>
  <si>
    <t>Risk Management-Supervisor</t>
  </si>
  <si>
    <t>No</t>
  </si>
  <si>
    <t>C1003</t>
  </si>
  <si>
    <t>Candidate_3</t>
  </si>
  <si>
    <t>linkedin</t>
  </si>
  <si>
    <t>401 | Administation</t>
  </si>
  <si>
    <t>Risk Management - Executive</t>
  </si>
  <si>
    <t>Director</t>
  </si>
  <si>
    <t>Risk Management-Director</t>
  </si>
  <si>
    <t>Executive</t>
  </si>
  <si>
    <t>C1004</t>
  </si>
  <si>
    <t>Candidate_4</t>
  </si>
  <si>
    <t>404 | Administation</t>
  </si>
  <si>
    <t>Not a culture fit</t>
  </si>
  <si>
    <t>C1005</t>
  </si>
  <si>
    <t>Candidate_5</t>
  </si>
  <si>
    <t>403 | Administation</t>
  </si>
  <si>
    <t>C1006</t>
  </si>
  <si>
    <t>Candidate_6</t>
  </si>
  <si>
    <t>408 | Administation</t>
  </si>
  <si>
    <t>C1007</t>
  </si>
  <si>
    <t>Candidate_7</t>
  </si>
  <si>
    <t>Job Board</t>
  </si>
  <si>
    <t>409 | Administation</t>
  </si>
  <si>
    <t>Candidate</t>
  </si>
  <si>
    <t>C1008</t>
  </si>
  <si>
    <t>Candidate_8</t>
  </si>
  <si>
    <t>Referral</t>
  </si>
  <si>
    <t>405 | Administation</t>
  </si>
  <si>
    <t xml:space="preserve">Risk Management </t>
  </si>
  <si>
    <t>Accepted</t>
  </si>
  <si>
    <t>C1009</t>
  </si>
  <si>
    <t>Candidate_9</t>
  </si>
  <si>
    <t>410 | Administation</t>
  </si>
  <si>
    <t>C1010</t>
  </si>
  <si>
    <t>Candidate_10</t>
  </si>
  <si>
    <t>211 | Administation</t>
  </si>
  <si>
    <t>C1011</t>
  </si>
  <si>
    <t>Candidate_11</t>
  </si>
  <si>
    <t>219 | Administation</t>
  </si>
  <si>
    <t>C1012</t>
  </si>
  <si>
    <t>Candidate_12</t>
  </si>
  <si>
    <t>220 | Administation</t>
  </si>
  <si>
    <t>Head of Department</t>
  </si>
  <si>
    <t>Risk Management-Head of Department</t>
  </si>
  <si>
    <t>C1013</t>
  </si>
  <si>
    <t>Candidate_13</t>
  </si>
  <si>
    <t>216 | Administation</t>
  </si>
  <si>
    <t>C1014</t>
  </si>
  <si>
    <t>Candidate_14</t>
  </si>
  <si>
    <t>215 | Administation</t>
  </si>
  <si>
    <t>C1015</t>
  </si>
  <si>
    <t>Candidate_15</t>
  </si>
  <si>
    <t>339 | Administation</t>
  </si>
  <si>
    <t>Salary expectation too high</t>
  </si>
  <si>
    <t>C1016</t>
  </si>
  <si>
    <t>Candidate_16</t>
  </si>
  <si>
    <t>338 | Administation</t>
  </si>
  <si>
    <t>C1017</t>
  </si>
  <si>
    <t>Candidate_17</t>
  </si>
  <si>
    <t>335 | Administation</t>
  </si>
  <si>
    <t>C1018</t>
  </si>
  <si>
    <t>Candidate_18</t>
  </si>
  <si>
    <t>35 | Administation</t>
  </si>
  <si>
    <t>C1019</t>
  </si>
  <si>
    <t>Candidate_19</t>
  </si>
  <si>
    <t>33 | Administation</t>
  </si>
  <si>
    <t>C1020</t>
  </si>
  <si>
    <t>Candidate_20</t>
  </si>
  <si>
    <t>34 | Administation</t>
  </si>
  <si>
    <t>C1021</t>
  </si>
  <si>
    <t>Candidate_21</t>
  </si>
  <si>
    <t>32 | Administation</t>
  </si>
  <si>
    <t>C1022</t>
  </si>
  <si>
    <t>Candidate_22</t>
  </si>
  <si>
    <t>37 | Administation</t>
  </si>
  <si>
    <t>C1023</t>
  </si>
  <si>
    <t>Candidate_23</t>
  </si>
  <si>
    <t>518 | Administation</t>
  </si>
  <si>
    <t>C1024</t>
  </si>
  <si>
    <t>Candidate_24</t>
  </si>
  <si>
    <t>511 | Administation</t>
  </si>
  <si>
    <t>C1025</t>
  </si>
  <si>
    <t>Candidate_25</t>
  </si>
  <si>
    <t>519 | Administation</t>
  </si>
  <si>
    <t>C1026</t>
  </si>
  <si>
    <t>Candidate_26</t>
  </si>
  <si>
    <t>512 | Administation</t>
  </si>
  <si>
    <t>C1027</t>
  </si>
  <si>
    <t>Candidate_27</t>
  </si>
  <si>
    <t>515 | Administation</t>
  </si>
  <si>
    <t>C1028</t>
  </si>
  <si>
    <t>Candidate_28</t>
  </si>
  <si>
    <t>442 | Administation</t>
  </si>
  <si>
    <t>C1029</t>
  </si>
  <si>
    <t>Candidate_29</t>
  </si>
  <si>
    <t>449 | Administation</t>
  </si>
  <si>
    <t>C1030</t>
  </si>
  <si>
    <t>Candidate_30</t>
  </si>
  <si>
    <t>444 | Administation</t>
  </si>
  <si>
    <t>C1031</t>
  </si>
  <si>
    <t>Candidate_31</t>
  </si>
  <si>
    <t>462 | Administation</t>
  </si>
  <si>
    <t>C1032</t>
  </si>
  <si>
    <t>Candidate_32</t>
  </si>
  <si>
    <t>467 | Administation</t>
  </si>
  <si>
    <t>C1033</t>
  </si>
  <si>
    <t>Candidate_33</t>
  </si>
  <si>
    <t>466 | Administation</t>
  </si>
  <si>
    <t>C1034</t>
  </si>
  <si>
    <t>Candidate_34</t>
  </si>
  <si>
    <t>461 | Administation</t>
  </si>
  <si>
    <t>C1035</t>
  </si>
  <si>
    <t>Candidate_35</t>
  </si>
  <si>
    <t>469 | Administation</t>
  </si>
  <si>
    <t>C1036</t>
  </si>
  <si>
    <t>Candidate_36</t>
  </si>
  <si>
    <t>470 | Administation</t>
  </si>
  <si>
    <t>C1037</t>
  </si>
  <si>
    <t>Candidate_37</t>
  </si>
  <si>
    <t>306 | Administation</t>
  </si>
  <si>
    <t>C1038</t>
  </si>
  <si>
    <t>Candidate_38</t>
  </si>
  <si>
    <t>304 | Administation</t>
  </si>
  <si>
    <t>C1039</t>
  </si>
  <si>
    <t>Candidate_39</t>
  </si>
  <si>
    <t>305 | Administation</t>
  </si>
  <si>
    <t>Position filled by another</t>
  </si>
  <si>
    <t>C1040</t>
  </si>
  <si>
    <t>Candidate_40</t>
  </si>
  <si>
    <t>2975 | Program Office</t>
  </si>
  <si>
    <t xml:space="preserve"> Program Office</t>
  </si>
  <si>
    <t>Program Office - Senior Management</t>
  </si>
  <si>
    <t>Senior Manager</t>
  </si>
  <si>
    <t>Program Office-Senior Manager</t>
  </si>
  <si>
    <t>Senior Management</t>
  </si>
  <si>
    <t>C1041</t>
  </si>
  <si>
    <t>Candidate_41</t>
  </si>
  <si>
    <t>2970 | Program Office</t>
  </si>
  <si>
    <t>C1042</t>
  </si>
  <si>
    <t>Candidate_42</t>
  </si>
  <si>
    <t>2888 | Program Office</t>
  </si>
  <si>
    <t>Program Office</t>
  </si>
  <si>
    <t>C1043</t>
  </si>
  <si>
    <t>Candidate_43</t>
  </si>
  <si>
    <t>2869 | Program Office</t>
  </si>
  <si>
    <t xml:space="preserve">Program Office </t>
  </si>
  <si>
    <t>C1044</t>
  </si>
  <si>
    <t>Candidate_44</t>
  </si>
  <si>
    <t>2861 | Program Office</t>
  </si>
  <si>
    <t>C1045</t>
  </si>
  <si>
    <t>Candidate_45</t>
  </si>
  <si>
    <t>2731 | Program Office</t>
  </si>
  <si>
    <t>C1046</t>
  </si>
  <si>
    <t>Candidate_46</t>
  </si>
  <si>
    <t>2555 | Program Office</t>
  </si>
  <si>
    <t>C1047</t>
  </si>
  <si>
    <t>Candidate_47</t>
  </si>
  <si>
    <t>2536 | Program Office</t>
  </si>
  <si>
    <t>C1048</t>
  </si>
  <si>
    <t>Candidate_48</t>
  </si>
  <si>
    <t>2519 | Program Office</t>
  </si>
  <si>
    <t>C1049</t>
  </si>
  <si>
    <t>Candidate_49</t>
  </si>
  <si>
    <t>2366 | Program Office</t>
  </si>
  <si>
    <t>Didn't pass technical test</t>
  </si>
  <si>
    <t>C1050</t>
  </si>
  <si>
    <t>Candidate_50</t>
  </si>
  <si>
    <t>2315 | Program Office</t>
  </si>
  <si>
    <t>C1051</t>
  </si>
  <si>
    <t>Candidate_51</t>
  </si>
  <si>
    <t>2250 | Program Office</t>
  </si>
  <si>
    <t>C1052</t>
  </si>
  <si>
    <t>Candidate_52</t>
  </si>
  <si>
    <t>2241 | Program Office</t>
  </si>
  <si>
    <t>C1053</t>
  </si>
  <si>
    <t>Candidate_53</t>
  </si>
  <si>
    <t>2125 | Program Office</t>
  </si>
  <si>
    <t>C1054</t>
  </si>
  <si>
    <t>Candidate_54</t>
  </si>
  <si>
    <t>2122 | Program Office</t>
  </si>
  <si>
    <t>C1055</t>
  </si>
  <si>
    <t>Candidate_55</t>
  </si>
  <si>
    <t>2070 | Program Office</t>
  </si>
  <si>
    <t>C1056</t>
  </si>
  <si>
    <t>Candidate_56</t>
  </si>
  <si>
    <t>1980 | Program Office</t>
  </si>
  <si>
    <t>C1057</t>
  </si>
  <si>
    <t>Candidate_57</t>
  </si>
  <si>
    <t>1815 | Program Office</t>
  </si>
  <si>
    <t>C1058</t>
  </si>
  <si>
    <t>Candidate_58</t>
  </si>
  <si>
    <t>1807 | Program Office</t>
  </si>
  <si>
    <t>C1059</t>
  </si>
  <si>
    <t>Candidate_59</t>
  </si>
  <si>
    <t>1801 | Program Office</t>
  </si>
  <si>
    <t>C1060</t>
  </si>
  <si>
    <t>Candidate_60</t>
  </si>
  <si>
    <t>1687 | Program Office</t>
  </si>
  <si>
    <t>C1061</t>
  </si>
  <si>
    <t>Candidate_61</t>
  </si>
  <si>
    <t>1405 | Program Office</t>
  </si>
  <si>
    <t>C1062</t>
  </si>
  <si>
    <t>Candidate_62</t>
  </si>
  <si>
    <t>1385 | Program Office</t>
  </si>
  <si>
    <t>C1063</t>
  </si>
  <si>
    <t>Candidate_63</t>
  </si>
  <si>
    <t>1381 | Program Office</t>
  </si>
  <si>
    <t>C1064</t>
  </si>
  <si>
    <t>Candidate_64</t>
  </si>
  <si>
    <t>1322 | Program Office</t>
  </si>
  <si>
    <t>C1065</t>
  </si>
  <si>
    <t>Candidate_65</t>
  </si>
  <si>
    <t>1294 | Program Office</t>
  </si>
  <si>
    <t>C1066</t>
  </si>
  <si>
    <t>Candidate_66</t>
  </si>
  <si>
    <t>498 | Program Office</t>
  </si>
  <si>
    <t>C1067</t>
  </si>
  <si>
    <t>Candidate_67</t>
  </si>
  <si>
    <t>496 | Program Office</t>
  </si>
  <si>
    <t>Senior Supervisory Manager</t>
  </si>
  <si>
    <t>Program Office-Senior Supervisory Manager</t>
  </si>
  <si>
    <t>C1068</t>
  </si>
  <si>
    <t>Candidate_68</t>
  </si>
  <si>
    <t>486 | Program Office</t>
  </si>
  <si>
    <t>C1069</t>
  </si>
  <si>
    <t>Candidate_69</t>
  </si>
  <si>
    <t>481 | Program Office</t>
  </si>
  <si>
    <t>C1070</t>
  </si>
  <si>
    <t>Candidate_70</t>
  </si>
  <si>
    <t>478 | Program Office</t>
  </si>
  <si>
    <t>C1071</t>
  </si>
  <si>
    <t>Candidate_71</t>
  </si>
  <si>
    <t>384 | Program Office</t>
  </si>
  <si>
    <t>C1072</t>
  </si>
  <si>
    <t>Candidate_72</t>
  </si>
  <si>
    <t>377 | Program Office</t>
  </si>
  <si>
    <t>C1073</t>
  </si>
  <si>
    <t>Candidate_73</t>
  </si>
  <si>
    <t>311 | Program Office</t>
  </si>
  <si>
    <t>C1074</t>
  </si>
  <si>
    <t>Candidate_74</t>
  </si>
  <si>
    <t>185 | Program Office</t>
  </si>
  <si>
    <t>C1075</t>
  </si>
  <si>
    <t>Candidate_75</t>
  </si>
  <si>
    <t>184 | Program Office</t>
  </si>
  <si>
    <t>C1076</t>
  </si>
  <si>
    <t>Candidate_76</t>
  </si>
  <si>
    <t>182 | Program Office</t>
  </si>
  <si>
    <t>C1077</t>
  </si>
  <si>
    <t>Candidate_77</t>
  </si>
  <si>
    <t>138 | Program Office</t>
  </si>
  <si>
    <t>C1078</t>
  </si>
  <si>
    <t>Candidate_78</t>
  </si>
  <si>
    <t>9 | Program Office</t>
  </si>
  <si>
    <t>C1079</t>
  </si>
  <si>
    <t>Candidate_79</t>
  </si>
  <si>
    <t>7 | Program Office</t>
  </si>
  <si>
    <t>C1080</t>
  </si>
  <si>
    <t>Candidate_80</t>
  </si>
  <si>
    <t>2973 | Program Office</t>
  </si>
  <si>
    <t>Program Office - Senior</t>
  </si>
  <si>
    <t>Program Office-Analyst</t>
  </si>
  <si>
    <t>Senior</t>
  </si>
  <si>
    <t>C1081</t>
  </si>
  <si>
    <t>Candidate_81</t>
  </si>
  <si>
    <t>2966 | Program Office</t>
  </si>
  <si>
    <t>C1082</t>
  </si>
  <si>
    <t>Candidate_82</t>
  </si>
  <si>
    <t>2964 | Program Office</t>
  </si>
  <si>
    <t>C1083</t>
  </si>
  <si>
    <t>Candidate_83</t>
  </si>
  <si>
    <t>2961 | Program Office</t>
  </si>
  <si>
    <t>C1084</t>
  </si>
  <si>
    <t>Candidate_84</t>
  </si>
  <si>
    <t>2886 | Program Office</t>
  </si>
  <si>
    <t>C1085</t>
  </si>
  <si>
    <t>Candidate_85</t>
  </si>
  <si>
    <t>2882 | Program Office</t>
  </si>
  <si>
    <t>C1086</t>
  </si>
  <si>
    <t>Candidate_86</t>
  </si>
  <si>
    <t>2868 | Program Office</t>
  </si>
  <si>
    <t>C1087</t>
  </si>
  <si>
    <t>Candidate_87</t>
  </si>
  <si>
    <t>2867 | Program Office</t>
  </si>
  <si>
    <t>C1088</t>
  </si>
  <si>
    <t>Candidate_88</t>
  </si>
  <si>
    <t>2862 | Program Office</t>
  </si>
  <si>
    <t>C1089</t>
  </si>
  <si>
    <t>Candidate_89</t>
  </si>
  <si>
    <t>2859 | Program Office</t>
  </si>
  <si>
    <t>C1090</t>
  </si>
  <si>
    <t>Candidate_90</t>
  </si>
  <si>
    <t>2855 | Program Office</t>
  </si>
  <si>
    <t>C1091</t>
  </si>
  <si>
    <t>Candidate_91</t>
  </si>
  <si>
    <t>2851 | Program Office</t>
  </si>
  <si>
    <t>C1092</t>
  </si>
  <si>
    <t>Candidate_92</t>
  </si>
  <si>
    <t>2790 | Program Office</t>
  </si>
  <si>
    <t>C1093</t>
  </si>
  <si>
    <t>Candidate_93</t>
  </si>
  <si>
    <t>2789 | Program Office</t>
  </si>
  <si>
    <t>C1094</t>
  </si>
  <si>
    <t>Candidate_94</t>
  </si>
  <si>
    <t>2788 | Program Office</t>
  </si>
  <si>
    <t>C1095</t>
  </si>
  <si>
    <t>Candidate_95</t>
  </si>
  <si>
    <t>2740 | Program Office</t>
  </si>
  <si>
    <t>C1096</t>
  </si>
  <si>
    <t>Candidate_96</t>
  </si>
  <si>
    <t>2569 | Program Office</t>
  </si>
  <si>
    <t>C1097</t>
  </si>
  <si>
    <t>Candidate_97</t>
  </si>
  <si>
    <t>2567 | Program Office</t>
  </si>
  <si>
    <t>C1098</t>
  </si>
  <si>
    <t>Candidate_98</t>
  </si>
  <si>
    <t>2557 | Program Office</t>
  </si>
  <si>
    <t>C1099</t>
  </si>
  <si>
    <t>Candidate_99</t>
  </si>
  <si>
    <t>2551 | Program Office</t>
  </si>
  <si>
    <t>Pending</t>
  </si>
  <si>
    <t>C1100</t>
  </si>
  <si>
    <t>Candidate_100</t>
  </si>
  <si>
    <t>2457 | Program Office</t>
  </si>
  <si>
    <t>C1101</t>
  </si>
  <si>
    <t>Candidate_101</t>
  </si>
  <si>
    <t>2406 | Program Office</t>
  </si>
  <si>
    <t>C1102</t>
  </si>
  <si>
    <t>Candidate_102</t>
  </si>
  <si>
    <t>2401 | Program Office</t>
  </si>
  <si>
    <t>C1103</t>
  </si>
  <si>
    <t>Candidate_103</t>
  </si>
  <si>
    <t>2384 | Program Office</t>
  </si>
  <si>
    <t>C1104</t>
  </si>
  <si>
    <t>Candidate_104</t>
  </si>
  <si>
    <t>2383 | Program Office</t>
  </si>
  <si>
    <t>C1105</t>
  </si>
  <si>
    <t>Candidate_105</t>
  </si>
  <si>
    <t>2370 | Program Office</t>
  </si>
  <si>
    <t>C1106</t>
  </si>
  <si>
    <t>Candidate_106</t>
  </si>
  <si>
    <t>2314 | Program Office</t>
  </si>
  <si>
    <t>C1107</t>
  </si>
  <si>
    <t>Candidate_107</t>
  </si>
  <si>
    <t>2313 | Program Office</t>
  </si>
  <si>
    <t>C1108</t>
  </si>
  <si>
    <t>Candidate_108</t>
  </si>
  <si>
    <t>2267 | Program Office</t>
  </si>
  <si>
    <t>C1109</t>
  </si>
  <si>
    <t>Candidate_109</t>
  </si>
  <si>
    <t>2263 | Program Office</t>
  </si>
  <si>
    <t>C1110</t>
  </si>
  <si>
    <t>Candidate_110</t>
  </si>
  <si>
    <t>2216 | Program Office</t>
  </si>
  <si>
    <t>C1111</t>
  </si>
  <si>
    <t>Candidate_111</t>
  </si>
  <si>
    <t>2215 | Program Office</t>
  </si>
  <si>
    <t>C1112</t>
  </si>
  <si>
    <t>Candidate_112</t>
  </si>
  <si>
    <t>2213 | Program Office</t>
  </si>
  <si>
    <t>C1113</t>
  </si>
  <si>
    <t>Candidate_113</t>
  </si>
  <si>
    <t>2200 | Program Office</t>
  </si>
  <si>
    <t>C1114</t>
  </si>
  <si>
    <t>Candidate_114</t>
  </si>
  <si>
    <t>2197 | Program Office</t>
  </si>
  <si>
    <t>C1115</t>
  </si>
  <si>
    <t>Candidate_115</t>
  </si>
  <si>
    <t>2191 | Program Office</t>
  </si>
  <si>
    <t>C1116</t>
  </si>
  <si>
    <t>Candidate_116</t>
  </si>
  <si>
    <t>2129 | Program Office</t>
  </si>
  <si>
    <t>C1117</t>
  </si>
  <si>
    <t>Candidate_117</t>
  </si>
  <si>
    <t>2114 | Program Office</t>
  </si>
  <si>
    <t>C1118</t>
  </si>
  <si>
    <t>Candidate_118</t>
  </si>
  <si>
    <t>2069 | Program Office</t>
  </si>
  <si>
    <t>C1119</t>
  </si>
  <si>
    <t>Candidate_119</t>
  </si>
  <si>
    <t>2068 | Program Office</t>
  </si>
  <si>
    <t>C1120</t>
  </si>
  <si>
    <t>Candidate_120</t>
  </si>
  <si>
    <t>2063 | Program Office</t>
  </si>
  <si>
    <t>C1121</t>
  </si>
  <si>
    <t>Candidate_121</t>
  </si>
  <si>
    <t>1988 | Program Office</t>
  </si>
  <si>
    <t>C1122</t>
  </si>
  <si>
    <t>Candidate_122</t>
  </si>
  <si>
    <t>1986 | Program Office</t>
  </si>
  <si>
    <t>C1123</t>
  </si>
  <si>
    <t>Candidate_123</t>
  </si>
  <si>
    <t>1984 | Program Office</t>
  </si>
  <si>
    <t>C1124</t>
  </si>
  <si>
    <t>Candidate_124</t>
  </si>
  <si>
    <t>1982 | Program Office</t>
  </si>
  <si>
    <t>C1125</t>
  </si>
  <si>
    <t>Candidate_125</t>
  </si>
  <si>
    <t>1977 | Program Office</t>
  </si>
  <si>
    <t>C1126</t>
  </si>
  <si>
    <t>Candidate_126</t>
  </si>
  <si>
    <t>1975 | Program Office</t>
  </si>
  <si>
    <t>C1127</t>
  </si>
  <si>
    <t>Candidate_127</t>
  </si>
  <si>
    <t>1970 | Program Office</t>
  </si>
  <si>
    <t>C1128</t>
  </si>
  <si>
    <t>Candidate_128</t>
  </si>
  <si>
    <t>1968 | Program Office</t>
  </si>
  <si>
    <t>C1129</t>
  </si>
  <si>
    <t>Candidate_129</t>
  </si>
  <si>
    <t>1860 | Program Office</t>
  </si>
  <si>
    <t>C1130</t>
  </si>
  <si>
    <t>Candidate_130</t>
  </si>
  <si>
    <t>1858 | Program Office</t>
  </si>
  <si>
    <t>C1131</t>
  </si>
  <si>
    <t>Candidate_131</t>
  </si>
  <si>
    <t>1853 | Program Office</t>
  </si>
  <si>
    <t>C1132</t>
  </si>
  <si>
    <t>Candidate_132</t>
  </si>
  <si>
    <t>1796 | Program Office</t>
  </si>
  <si>
    <t>C1133</t>
  </si>
  <si>
    <t>Candidate_133</t>
  </si>
  <si>
    <t>1442 | Program Office</t>
  </si>
  <si>
    <t>C1134</t>
  </si>
  <si>
    <t>Candidate_134</t>
  </si>
  <si>
    <t>1441 | Program Office</t>
  </si>
  <si>
    <t>C1135</t>
  </si>
  <si>
    <t>Candidate_135</t>
  </si>
  <si>
    <t>1419 | Program Office</t>
  </si>
  <si>
    <t>C1136</t>
  </si>
  <si>
    <t>Candidate_136</t>
  </si>
  <si>
    <t>1414 | Program Office</t>
  </si>
  <si>
    <t>C1137</t>
  </si>
  <si>
    <t>Candidate_137</t>
  </si>
  <si>
    <t>1406 | Program Office</t>
  </si>
  <si>
    <t>C1138</t>
  </si>
  <si>
    <t>Candidate_138</t>
  </si>
  <si>
    <t>1403 | Program Office</t>
  </si>
  <si>
    <t>C1139</t>
  </si>
  <si>
    <t>Candidate_139</t>
  </si>
  <si>
    <t>1402 | Program Office</t>
  </si>
  <si>
    <t>C1140</t>
  </si>
  <si>
    <t>Candidate_140</t>
  </si>
  <si>
    <t>1383 | Program Office</t>
  </si>
  <si>
    <t>C1141</t>
  </si>
  <si>
    <t>Candidate_141</t>
  </si>
  <si>
    <t>1330 | Program Office</t>
  </si>
  <si>
    <t>C1142</t>
  </si>
  <si>
    <t>Candidate_142</t>
  </si>
  <si>
    <t>1324 | Program Office</t>
  </si>
  <si>
    <t>C1143</t>
  </si>
  <si>
    <t>Candidate_143</t>
  </si>
  <si>
    <t>1297 | Program Office</t>
  </si>
  <si>
    <t>C1144</t>
  </si>
  <si>
    <t>Candidate_144</t>
  </si>
  <si>
    <t>1153 | Program Office</t>
  </si>
  <si>
    <t>C1145</t>
  </si>
  <si>
    <t>Candidate_145</t>
  </si>
  <si>
    <t>998 | Program Office</t>
  </si>
  <si>
    <t>C1146</t>
  </si>
  <si>
    <t>Candidate_146</t>
  </si>
  <si>
    <t>997 | Program Office</t>
  </si>
  <si>
    <t>C1147</t>
  </si>
  <si>
    <t>Candidate_147</t>
  </si>
  <si>
    <t>958 | Program Office</t>
  </si>
  <si>
    <t>C1148</t>
  </si>
  <si>
    <t>Candidate_148</t>
  </si>
  <si>
    <t>953 | Program Office</t>
  </si>
  <si>
    <t>C1149</t>
  </si>
  <si>
    <t>Candidate_149</t>
  </si>
  <si>
    <t>944 | Program Office</t>
  </si>
  <si>
    <t>C1150</t>
  </si>
  <si>
    <t>Candidate_150</t>
  </si>
  <si>
    <t>919 | Program Office</t>
  </si>
  <si>
    <t>C1151</t>
  </si>
  <si>
    <t>Candidate_151</t>
  </si>
  <si>
    <t>916 | Program Office</t>
  </si>
  <si>
    <t>C1152</t>
  </si>
  <si>
    <t>Candidate_152</t>
  </si>
  <si>
    <t>912 | Program Office</t>
  </si>
  <si>
    <t>C1153</t>
  </si>
  <si>
    <t>Candidate_153</t>
  </si>
  <si>
    <t>911 | Program Office</t>
  </si>
  <si>
    <t>C1154</t>
  </si>
  <si>
    <t>Candidate_154</t>
  </si>
  <si>
    <t>910 | Program Office</t>
  </si>
  <si>
    <t>C1155</t>
  </si>
  <si>
    <t>Candidate_155</t>
  </si>
  <si>
    <t>907 | Program Office</t>
  </si>
  <si>
    <t>C1156</t>
  </si>
  <si>
    <t>Candidate_156</t>
  </si>
  <si>
    <t>836 | Program Office</t>
  </si>
  <si>
    <t>C1157</t>
  </si>
  <si>
    <t>Candidate_157</t>
  </si>
  <si>
    <t>827 | Program Office</t>
  </si>
  <si>
    <t>C1158</t>
  </si>
  <si>
    <t>Candidate_158</t>
  </si>
  <si>
    <t>825 | Program Office</t>
  </si>
  <si>
    <t>C1159</t>
  </si>
  <si>
    <t>Candidate_159</t>
  </si>
  <si>
    <t>824 | Program Office</t>
  </si>
  <si>
    <t>C1160</t>
  </si>
  <si>
    <t>Candidate_160</t>
  </si>
  <si>
    <t>821 | Program Office</t>
  </si>
  <si>
    <t>C1161</t>
  </si>
  <si>
    <t>Candidate_161</t>
  </si>
  <si>
    <t>798 | Program Office</t>
  </si>
  <si>
    <t>C1162</t>
  </si>
  <si>
    <t>Candidate_162</t>
  </si>
  <si>
    <t>797 | Program Office</t>
  </si>
  <si>
    <t>C1163</t>
  </si>
  <si>
    <t>Candidate_163</t>
  </si>
  <si>
    <t>795 | Program Office</t>
  </si>
  <si>
    <t>C1164</t>
  </si>
  <si>
    <t>Candidate_164</t>
  </si>
  <si>
    <t>793 | Program Office</t>
  </si>
  <si>
    <t>C1165</t>
  </si>
  <si>
    <t>Candidate_165</t>
  </si>
  <si>
    <t>767 | Program Office</t>
  </si>
  <si>
    <t>C1166</t>
  </si>
  <si>
    <t>Candidate_166</t>
  </si>
  <si>
    <t>762 | Program Office</t>
  </si>
  <si>
    <t>C1167</t>
  </si>
  <si>
    <t>Candidate_167</t>
  </si>
  <si>
    <t>729 | Program Office</t>
  </si>
  <si>
    <t>C1168</t>
  </si>
  <si>
    <t>Candidate_168</t>
  </si>
  <si>
    <t>726 | Program Office</t>
  </si>
  <si>
    <t>C1169</t>
  </si>
  <si>
    <t>Candidate_169</t>
  </si>
  <si>
    <t>715 | Program Office</t>
  </si>
  <si>
    <t>C1170</t>
  </si>
  <si>
    <t>Candidate_170</t>
  </si>
  <si>
    <t>711 | Program Office</t>
  </si>
  <si>
    <t>C1171</t>
  </si>
  <si>
    <t>Candidate_171</t>
  </si>
  <si>
    <t>678 | Program Office</t>
  </si>
  <si>
    <t>C1172</t>
  </si>
  <si>
    <t>Candidate_172</t>
  </si>
  <si>
    <t>677 | Program Office</t>
  </si>
  <si>
    <t>C1173</t>
  </si>
  <si>
    <t>Candidate_173</t>
  </si>
  <si>
    <t>657 | Program Office</t>
  </si>
  <si>
    <t>C1174</t>
  </si>
  <si>
    <t>Candidate_174</t>
  </si>
  <si>
    <t>654 | Program Office</t>
  </si>
  <si>
    <t>C1175</t>
  </si>
  <si>
    <t>Candidate_175</t>
  </si>
  <si>
    <t>651 | Program Office</t>
  </si>
  <si>
    <t>C1176</t>
  </si>
  <si>
    <t>Candidate_176</t>
  </si>
  <si>
    <t>640 | Program Office</t>
  </si>
  <si>
    <t>C1177</t>
  </si>
  <si>
    <t>Candidate_177</t>
  </si>
  <si>
    <t>633 | Program Office</t>
  </si>
  <si>
    <t>C1178</t>
  </si>
  <si>
    <t>Candidate_178</t>
  </si>
  <si>
    <t>580 | Program Office</t>
  </si>
  <si>
    <t>C1179</t>
  </si>
  <si>
    <t>Candidate_179</t>
  </si>
  <si>
    <t>574 | Program Office</t>
  </si>
  <si>
    <t>C1180</t>
  </si>
  <si>
    <t>Candidate_180</t>
  </si>
  <si>
    <t>500 | Program Office</t>
  </si>
  <si>
    <t>C1181</t>
  </si>
  <si>
    <t>Candidate_181</t>
  </si>
  <si>
    <t>497 | Program Office</t>
  </si>
  <si>
    <t>C1182</t>
  </si>
  <si>
    <t>Candidate_182</t>
  </si>
  <si>
    <t>490 | Program Office</t>
  </si>
  <si>
    <t>C1183</t>
  </si>
  <si>
    <t>Candidate_183</t>
  </si>
  <si>
    <t>487 | Program Office</t>
  </si>
  <si>
    <t>C1184</t>
  </si>
  <si>
    <t>Candidate_184</t>
  </si>
  <si>
    <t>479 | Program Office</t>
  </si>
  <si>
    <t>C1185</t>
  </si>
  <si>
    <t>Candidate_185</t>
  </si>
  <si>
    <t>389 | Program Office</t>
  </si>
  <si>
    <t>C1186</t>
  </si>
  <si>
    <t>Candidate_186</t>
  </si>
  <si>
    <t>380 | Program Office</t>
  </si>
  <si>
    <t>C1187</t>
  </si>
  <si>
    <t>Candidate_187</t>
  </si>
  <si>
    <t>376 | Program Office</t>
  </si>
  <si>
    <t>Program Office-Supervisor</t>
  </si>
  <si>
    <t>C1188</t>
  </si>
  <si>
    <t>Candidate_188</t>
  </si>
  <si>
    <t>320 | Program Office</t>
  </si>
  <si>
    <t>C1189</t>
  </si>
  <si>
    <t>Candidate_189</t>
  </si>
  <si>
    <t>319 | Program Office</t>
  </si>
  <si>
    <t>C1190</t>
  </si>
  <si>
    <t>Candidate_190</t>
  </si>
  <si>
    <t>317 | Program Office</t>
  </si>
  <si>
    <t>C1191</t>
  </si>
  <si>
    <t>Candidate_191</t>
  </si>
  <si>
    <t>188 | Program Office</t>
  </si>
  <si>
    <t>C1192</t>
  </si>
  <si>
    <t>Candidate_192</t>
  </si>
  <si>
    <t>135 | Program Office</t>
  </si>
  <si>
    <t>C1193</t>
  </si>
  <si>
    <t>Candidate_193</t>
  </si>
  <si>
    <t>65 | Program Office</t>
  </si>
  <si>
    <t>C1194</t>
  </si>
  <si>
    <t>Candidate_194</t>
  </si>
  <si>
    <t>64 | Program Office</t>
  </si>
  <si>
    <t>C1195</t>
  </si>
  <si>
    <t>Candidate_195</t>
  </si>
  <si>
    <t>61 | Program Office</t>
  </si>
  <si>
    <t>C1196</t>
  </si>
  <si>
    <t>Candidate_196</t>
  </si>
  <si>
    <t>5 | Program Office</t>
  </si>
  <si>
    <t>C1197</t>
  </si>
  <si>
    <t>Candidate_197</t>
  </si>
  <si>
    <t>4 | Program Office</t>
  </si>
  <si>
    <t>C1198</t>
  </si>
  <si>
    <t>Candidate_198</t>
  </si>
  <si>
    <t>2 | Program Office</t>
  </si>
  <si>
    <t>C1199</t>
  </si>
  <si>
    <t>Candidate_199</t>
  </si>
  <si>
    <t>2965 | Program Office</t>
  </si>
  <si>
    <t>Program Office - Manager Level</t>
  </si>
  <si>
    <t>Manager</t>
  </si>
  <si>
    <t>Program Office-Manager</t>
  </si>
  <si>
    <t>Manager Level</t>
  </si>
  <si>
    <t>C1200</t>
  </si>
  <si>
    <t>Candidate_200</t>
  </si>
  <si>
    <t>2866 | Program Office</t>
  </si>
  <si>
    <t>C1201</t>
  </si>
  <si>
    <t>Candidate_201</t>
  </si>
  <si>
    <t>2865 | Program Office</t>
  </si>
  <si>
    <t>C1202</t>
  </si>
  <si>
    <t>Candidate_202</t>
  </si>
  <si>
    <t>2856 | Program Office</t>
  </si>
  <si>
    <t>C1203</t>
  </si>
  <si>
    <t>Candidate_203</t>
  </si>
  <si>
    <t>2838 | Program Office</t>
  </si>
  <si>
    <t>C1204</t>
  </si>
  <si>
    <t>Candidate_204</t>
  </si>
  <si>
    <t>2832 | Program Office</t>
  </si>
  <si>
    <t>C1205</t>
  </si>
  <si>
    <t>Candidate_205</t>
  </si>
  <si>
    <t>2787 | Program Office</t>
  </si>
  <si>
    <t>C1206</t>
  </si>
  <si>
    <t>Candidate_206</t>
  </si>
  <si>
    <t>2785 | Program Office</t>
  </si>
  <si>
    <t>C1207</t>
  </si>
  <si>
    <t>Candidate_207</t>
  </si>
  <si>
    <t>2562 | Program Office</t>
  </si>
  <si>
    <t>C1208</t>
  </si>
  <si>
    <t>Candidate_208</t>
  </si>
  <si>
    <t>2561 | Program Office</t>
  </si>
  <si>
    <t>C1209</t>
  </si>
  <si>
    <t>Candidate_209</t>
  </si>
  <si>
    <t>2558 | Program Office</t>
  </si>
  <si>
    <t>C1210</t>
  </si>
  <si>
    <t>Candidate_210</t>
  </si>
  <si>
    <t>2552 | Program Office</t>
  </si>
  <si>
    <t>C1211</t>
  </si>
  <si>
    <t>Candidate_211</t>
  </si>
  <si>
    <t>2511 | Program Office</t>
  </si>
  <si>
    <t>C1212</t>
  </si>
  <si>
    <t>Candidate_212</t>
  </si>
  <si>
    <t>2460 | Program Office</t>
  </si>
  <si>
    <t>C1213</t>
  </si>
  <si>
    <t>Candidate_213</t>
  </si>
  <si>
    <t>2444 | Program Office</t>
  </si>
  <si>
    <t>C1214</t>
  </si>
  <si>
    <t>Candidate_214</t>
  </si>
  <si>
    <t>2410 | Program Office</t>
  </si>
  <si>
    <t>C1215</t>
  </si>
  <si>
    <t>Candidate_215</t>
  </si>
  <si>
    <t>2405 | Program Office</t>
  </si>
  <si>
    <t>C1216</t>
  </si>
  <si>
    <t>Candidate_216</t>
  </si>
  <si>
    <t>2388 | Program Office</t>
  </si>
  <si>
    <t>C1217</t>
  </si>
  <si>
    <t>Candidate_217</t>
  </si>
  <si>
    <t>2320 | Program Office</t>
  </si>
  <si>
    <t>C1218</t>
  </si>
  <si>
    <t>Candidate_218</t>
  </si>
  <si>
    <t>2262 | Program Office</t>
  </si>
  <si>
    <t>C1219</t>
  </si>
  <si>
    <t>Candidate_219</t>
  </si>
  <si>
    <t>2249 | Program Office</t>
  </si>
  <si>
    <t>Cordination Manager</t>
  </si>
  <si>
    <t>Program Office-Cordination Manager</t>
  </si>
  <si>
    <t>C1220</t>
  </si>
  <si>
    <t>Candidate_220</t>
  </si>
  <si>
    <t>2248 | Program Office</t>
  </si>
  <si>
    <t>C1221</t>
  </si>
  <si>
    <t>Candidate_221</t>
  </si>
  <si>
    <t>2244 | Program Office</t>
  </si>
  <si>
    <t>C1222</t>
  </si>
  <si>
    <t>Candidate_222</t>
  </si>
  <si>
    <t>2219 | Program Office</t>
  </si>
  <si>
    <t>C1223</t>
  </si>
  <si>
    <t>Candidate_223</t>
  </si>
  <si>
    <t>2218 | Program Office</t>
  </si>
  <si>
    <t>C1224</t>
  </si>
  <si>
    <t>Candidate_224</t>
  </si>
  <si>
    <t>2212 | Program Office</t>
  </si>
  <si>
    <t>C1225</t>
  </si>
  <si>
    <t>Candidate_225</t>
  </si>
  <si>
    <t>2170 | Program Office</t>
  </si>
  <si>
    <t>C1226</t>
  </si>
  <si>
    <t>Candidate_226</t>
  </si>
  <si>
    <t>2168 | Program Office</t>
  </si>
  <si>
    <t>C1227</t>
  </si>
  <si>
    <t>Candidate_227</t>
  </si>
  <si>
    <t>2162 | Program Office</t>
  </si>
  <si>
    <t>C1228</t>
  </si>
  <si>
    <t>Candidate_228</t>
  </si>
  <si>
    <t>2124 | Program Office</t>
  </si>
  <si>
    <t>C1229</t>
  </si>
  <si>
    <t>Candidate_229</t>
  </si>
  <si>
    <t>2123 | Program Office</t>
  </si>
  <si>
    <t>C1230</t>
  </si>
  <si>
    <t>Candidate_230</t>
  </si>
  <si>
    <t>2121 | Program Office</t>
  </si>
  <si>
    <t>C1231</t>
  </si>
  <si>
    <t>Candidate_231</t>
  </si>
  <si>
    <t>2118 | Program Office</t>
  </si>
  <si>
    <t>C1232</t>
  </si>
  <si>
    <t>Candidate_232</t>
  </si>
  <si>
    <t>2112 | Program Office</t>
  </si>
  <si>
    <t>C1233</t>
  </si>
  <si>
    <t>Candidate_233</t>
  </si>
  <si>
    <t>2061 | Program Office</t>
  </si>
  <si>
    <t>C1234</t>
  </si>
  <si>
    <t>Candidate_234</t>
  </si>
  <si>
    <t>2009 | Program Office</t>
  </si>
  <si>
    <t>C1235</t>
  </si>
  <si>
    <t>Candidate_235</t>
  </si>
  <si>
    <t>2007 | Program Office</t>
  </si>
  <si>
    <t>C1236</t>
  </si>
  <si>
    <t>Candidate_236</t>
  </si>
  <si>
    <t>2003 | Program Office</t>
  </si>
  <si>
    <t>C1237</t>
  </si>
  <si>
    <t>Candidate_237</t>
  </si>
  <si>
    <t>2002 | Program Office</t>
  </si>
  <si>
    <t>C1238</t>
  </si>
  <si>
    <t>Candidate_238</t>
  </si>
  <si>
    <t>1990 | Program Office</t>
  </si>
  <si>
    <t>C1239</t>
  </si>
  <si>
    <t>Candidate_239</t>
  </si>
  <si>
    <t>1971 | Program Office</t>
  </si>
  <si>
    <t>C1240</t>
  </si>
  <si>
    <t>Candidate_240</t>
  </si>
  <si>
    <t>1859 | Program Office</t>
  </si>
  <si>
    <t>C1241</t>
  </si>
  <si>
    <t>Candidate_241</t>
  </si>
  <si>
    <t>1856 | Program Office</t>
  </si>
  <si>
    <t>C1242</t>
  </si>
  <si>
    <t>Candidate_242</t>
  </si>
  <si>
    <t>1812 | Program Office</t>
  </si>
  <si>
    <t>C1243</t>
  </si>
  <si>
    <t>Candidate_243</t>
  </si>
  <si>
    <t>1811 | Program Office</t>
  </si>
  <si>
    <t>C1244</t>
  </si>
  <si>
    <t>Candidate_244</t>
  </si>
  <si>
    <t>1808 | Program Office</t>
  </si>
  <si>
    <t>C1245</t>
  </si>
  <si>
    <t>Candidate_245</t>
  </si>
  <si>
    <t>1802 | Program Office</t>
  </si>
  <si>
    <t>C1246</t>
  </si>
  <si>
    <t>Candidate_246</t>
  </si>
  <si>
    <t>1794 | Program Office</t>
  </si>
  <si>
    <t>C1247</t>
  </si>
  <si>
    <t>Candidate_247</t>
  </si>
  <si>
    <t>1792 | Program Office</t>
  </si>
  <si>
    <t>C1248</t>
  </si>
  <si>
    <t>Candidate_248</t>
  </si>
  <si>
    <t>1681 | Program Office</t>
  </si>
  <si>
    <t>C1249</t>
  </si>
  <si>
    <t>Candidate_249</t>
  </si>
  <si>
    <t>1670 | Program Office</t>
  </si>
  <si>
    <t>C1250</t>
  </si>
  <si>
    <t>Candidate_250</t>
  </si>
  <si>
    <t>1666 | Program Office</t>
  </si>
  <si>
    <t>C1251</t>
  </si>
  <si>
    <t>Candidate_251</t>
  </si>
  <si>
    <t>1663 | Program Office</t>
  </si>
  <si>
    <t>C1252</t>
  </si>
  <si>
    <t>Candidate_252</t>
  </si>
  <si>
    <t>1662 | Program Office</t>
  </si>
  <si>
    <t>C1253</t>
  </si>
  <si>
    <t>Candidate_253</t>
  </si>
  <si>
    <t>1447 | Program Office</t>
  </si>
  <si>
    <t>C1254</t>
  </si>
  <si>
    <t>Candidate_254</t>
  </si>
  <si>
    <t>1446 | Program Office</t>
  </si>
  <si>
    <t>C1255</t>
  </si>
  <si>
    <t>Candidate_255</t>
  </si>
  <si>
    <t>1410 | Program Office</t>
  </si>
  <si>
    <t>C1256</t>
  </si>
  <si>
    <t>Candidate_256</t>
  </si>
  <si>
    <t>1382 | Program Office</t>
  </si>
  <si>
    <t>C1257</t>
  </si>
  <si>
    <t>Candidate_257</t>
  </si>
  <si>
    <t>1328 | Program Office</t>
  </si>
  <si>
    <t>C1258</t>
  </si>
  <si>
    <t>Candidate_258</t>
  </si>
  <si>
    <t>1327 | Program Office</t>
  </si>
  <si>
    <t>C1259</t>
  </si>
  <si>
    <t>Candidate_259</t>
  </si>
  <si>
    <t>1298 | Program Office</t>
  </si>
  <si>
    <t>C1260</t>
  </si>
  <si>
    <t>Candidate_260</t>
  </si>
  <si>
    <t>1291 | Program Office</t>
  </si>
  <si>
    <t>C1261</t>
  </si>
  <si>
    <t>Candidate_261</t>
  </si>
  <si>
    <t>1157 | Program Office</t>
  </si>
  <si>
    <t>C1262</t>
  </si>
  <si>
    <t>Candidate_262</t>
  </si>
  <si>
    <t>1155 | Program Office</t>
  </si>
  <si>
    <t>C1263</t>
  </si>
  <si>
    <t>Candidate_263</t>
  </si>
  <si>
    <t>1154 | Program Office</t>
  </si>
  <si>
    <t>C1264</t>
  </si>
  <si>
    <t>Candidate_264</t>
  </si>
  <si>
    <t>1152 | Program Office</t>
  </si>
  <si>
    <t>C1265</t>
  </si>
  <si>
    <t>Candidate_265</t>
  </si>
  <si>
    <t>1151 | Program Office</t>
  </si>
  <si>
    <t>C1266</t>
  </si>
  <si>
    <t>Candidate_266</t>
  </si>
  <si>
    <t>1000 | Program Office</t>
  </si>
  <si>
    <t>C1267</t>
  </si>
  <si>
    <t>Candidate_267</t>
  </si>
  <si>
    <t>992 | Program Office</t>
  </si>
  <si>
    <t>C1268</t>
  </si>
  <si>
    <t>Candidate_268</t>
  </si>
  <si>
    <t>991 | Program Office</t>
  </si>
  <si>
    <t>C1269</t>
  </si>
  <si>
    <t>Candidate_269</t>
  </si>
  <si>
    <t>957 | Program Office</t>
  </si>
  <si>
    <t>C1270</t>
  </si>
  <si>
    <t>Candidate_270</t>
  </si>
  <si>
    <t>956 | Program Office</t>
  </si>
  <si>
    <t>C1271</t>
  </si>
  <si>
    <t>Candidate_271</t>
  </si>
  <si>
    <t>948 | Program Office</t>
  </si>
  <si>
    <t>C1272</t>
  </si>
  <si>
    <t>Candidate_272</t>
  </si>
  <si>
    <t>947 | Program Office</t>
  </si>
  <si>
    <t>C1273</t>
  </si>
  <si>
    <t>Candidate_273</t>
  </si>
  <si>
    <t>908 | Program Office</t>
  </si>
  <si>
    <t>C1274</t>
  </si>
  <si>
    <t>Candidate_274</t>
  </si>
  <si>
    <t>903 | Program Office</t>
  </si>
  <si>
    <t>C1275</t>
  </si>
  <si>
    <t>Candidate_275</t>
  </si>
  <si>
    <t>838 | Program Office</t>
  </si>
  <si>
    <t>C1276</t>
  </si>
  <si>
    <t>Candidate_276</t>
  </si>
  <si>
    <t>833 | Program Office</t>
  </si>
  <si>
    <t>C1277</t>
  </si>
  <si>
    <t>Candidate_277</t>
  </si>
  <si>
    <t>829 | Program Office</t>
  </si>
  <si>
    <t>C1278</t>
  </si>
  <si>
    <t>Candidate_278</t>
  </si>
  <si>
    <t>828 | Program Office</t>
  </si>
  <si>
    <t>C1279</t>
  </si>
  <si>
    <t>Candidate_279</t>
  </si>
  <si>
    <t>826 | Program Office</t>
  </si>
  <si>
    <t>C1280</t>
  </si>
  <si>
    <t>Candidate_280</t>
  </si>
  <si>
    <t>799 | Program Office</t>
  </si>
  <si>
    <t>C1281</t>
  </si>
  <si>
    <t>Candidate_281</t>
  </si>
  <si>
    <t>769 | Program Office</t>
  </si>
  <si>
    <t>C1282</t>
  </si>
  <si>
    <t>Candidate_282</t>
  </si>
  <si>
    <t>768 | Program Office</t>
  </si>
  <si>
    <t>C1283</t>
  </si>
  <si>
    <t>Candidate_283</t>
  </si>
  <si>
    <t>764 | Program Office</t>
  </si>
  <si>
    <t>C1284</t>
  </si>
  <si>
    <t>Candidate_284</t>
  </si>
  <si>
    <t>725 | Program Office</t>
  </si>
  <si>
    <t>C1285</t>
  </si>
  <si>
    <t>Candidate_285</t>
  </si>
  <si>
    <t>724 | Program Office</t>
  </si>
  <si>
    <t>C1286</t>
  </si>
  <si>
    <t>Candidate_286</t>
  </si>
  <si>
    <t>723 | Program Office</t>
  </si>
  <si>
    <t>C1287</t>
  </si>
  <si>
    <t>Candidate_287</t>
  </si>
  <si>
    <t>722 | Program Office</t>
  </si>
  <si>
    <t>C1288</t>
  </si>
  <si>
    <t>Candidate_288</t>
  </si>
  <si>
    <t>721 | Program Office</t>
  </si>
  <si>
    <t>C1289</t>
  </si>
  <si>
    <t>Candidate_289</t>
  </si>
  <si>
    <t>718 | Program Office</t>
  </si>
  <si>
    <t>C1290</t>
  </si>
  <si>
    <t>Candidate_290</t>
  </si>
  <si>
    <t>712 | Program Office</t>
  </si>
  <si>
    <t>C1291</t>
  </si>
  <si>
    <t>Candidate_291</t>
  </si>
  <si>
    <t>676 | Program Office</t>
  </si>
  <si>
    <t>C1292</t>
  </si>
  <si>
    <t>Candidate_292</t>
  </si>
  <si>
    <t>674 | Program Office</t>
  </si>
  <si>
    <t>C1293</t>
  </si>
  <si>
    <t>Candidate_293</t>
  </si>
  <si>
    <t>632 | Program Office</t>
  </si>
  <si>
    <t>C1294</t>
  </si>
  <si>
    <t>Candidate_294</t>
  </si>
  <si>
    <t>617 | Program Office</t>
  </si>
  <si>
    <t>C1295</t>
  </si>
  <si>
    <t>Candidate_295</t>
  </si>
  <si>
    <t>614 | Program Office</t>
  </si>
  <si>
    <t>C1296</t>
  </si>
  <si>
    <t>Candidate_296</t>
  </si>
  <si>
    <t>613 | Program Office</t>
  </si>
  <si>
    <t>C1297</t>
  </si>
  <si>
    <t>Candidate_297</t>
  </si>
  <si>
    <t>578 | Program Office</t>
  </si>
  <si>
    <t>C1298</t>
  </si>
  <si>
    <t>Candidate_298</t>
  </si>
  <si>
    <t>572 | Program Office</t>
  </si>
  <si>
    <t>C1299</t>
  </si>
  <si>
    <t>Candidate_299</t>
  </si>
  <si>
    <t>499 | Program Office</t>
  </si>
  <si>
    <t>C1300</t>
  </si>
  <si>
    <t>Candidate_300</t>
  </si>
  <si>
    <t>489 | Program Office</t>
  </si>
  <si>
    <t>C1301</t>
  </si>
  <si>
    <t>Candidate_301</t>
  </si>
  <si>
    <t>482 | Program Office</t>
  </si>
  <si>
    <t>C1302</t>
  </si>
  <si>
    <t>Candidate_302</t>
  </si>
  <si>
    <t>474 | Program Office</t>
  </si>
  <si>
    <t>C1303</t>
  </si>
  <si>
    <t>Candidate_303</t>
  </si>
  <si>
    <t>472 | Program Office</t>
  </si>
  <si>
    <t>C1304</t>
  </si>
  <si>
    <t>Candidate_304</t>
  </si>
  <si>
    <t>471 | Program Office</t>
  </si>
  <si>
    <t>C1305</t>
  </si>
  <si>
    <t>Candidate_305</t>
  </si>
  <si>
    <t>387 | Program Office</t>
  </si>
  <si>
    <t>C1306</t>
  </si>
  <si>
    <t>Candidate_306</t>
  </si>
  <si>
    <t>382 | Program Office</t>
  </si>
  <si>
    <t>C1307</t>
  </si>
  <si>
    <t>Candidate_307</t>
  </si>
  <si>
    <t>374 | Program Office</t>
  </si>
  <si>
    <t>C1308</t>
  </si>
  <si>
    <t>Candidate_308</t>
  </si>
  <si>
    <t>371 | Program Office</t>
  </si>
  <si>
    <t>C1309</t>
  </si>
  <si>
    <t>Candidate_309</t>
  </si>
  <si>
    <t>137 | Program Office</t>
  </si>
  <si>
    <t>C1310</t>
  </si>
  <si>
    <t>Candidate_310</t>
  </si>
  <si>
    <t>133 | Program Office</t>
  </si>
  <si>
    <t>C1311</t>
  </si>
  <si>
    <t>Candidate_311</t>
  </si>
  <si>
    <t>68 | Program Office</t>
  </si>
  <si>
    <t>C1312</t>
  </si>
  <si>
    <t>Candidate_312</t>
  </si>
  <si>
    <t>67 | Program Office</t>
  </si>
  <si>
    <t>C1313</t>
  </si>
  <si>
    <t>Candidate_313</t>
  </si>
  <si>
    <t>3 | Program Office</t>
  </si>
  <si>
    <t>C1314</t>
  </si>
  <si>
    <t>Candidate_314</t>
  </si>
  <si>
    <t>2976 | Program Office</t>
  </si>
  <si>
    <t>Program Office - Junior</t>
  </si>
  <si>
    <t>Extension Officer</t>
  </si>
  <si>
    <t>Program Office-Extension Officer</t>
  </si>
  <si>
    <t>C1315</t>
  </si>
  <si>
    <t>Candidate_315</t>
  </si>
  <si>
    <t>2858 | Program Office</t>
  </si>
  <si>
    <t>C1316</t>
  </si>
  <si>
    <t>Candidate_316</t>
  </si>
  <si>
    <t>2852 | Program Office</t>
  </si>
  <si>
    <t>C1317</t>
  </si>
  <si>
    <t>Candidate_317</t>
  </si>
  <si>
    <t>2839 | Program Office</t>
  </si>
  <si>
    <t>C1318</t>
  </si>
  <si>
    <t>Candidate_318</t>
  </si>
  <si>
    <t>2834 | Program Office</t>
  </si>
  <si>
    <t>C1319</t>
  </si>
  <si>
    <t>Candidate_319</t>
  </si>
  <si>
    <t>2831 | Program Office</t>
  </si>
  <si>
    <t>C1320</t>
  </si>
  <si>
    <t>Candidate_320</t>
  </si>
  <si>
    <t>2734 | Program Office</t>
  </si>
  <si>
    <t>C1321</t>
  </si>
  <si>
    <t>Candidate_321</t>
  </si>
  <si>
    <t>2732 | Program Office</t>
  </si>
  <si>
    <t>C1322</t>
  </si>
  <si>
    <t>Candidate_322</t>
  </si>
  <si>
    <t>2570 | Program Office</t>
  </si>
  <si>
    <t>C1323</t>
  </si>
  <si>
    <t>Candidate_323</t>
  </si>
  <si>
    <t>2564 | Program Office</t>
  </si>
  <si>
    <t>C1324</t>
  </si>
  <si>
    <t>Candidate_324</t>
  </si>
  <si>
    <t>2539 | Program Office</t>
  </si>
  <si>
    <t>C1325</t>
  </si>
  <si>
    <t>Candidate_325</t>
  </si>
  <si>
    <t>2537 | Program Office</t>
  </si>
  <si>
    <t>C1326</t>
  </si>
  <si>
    <t>Candidate_326</t>
  </si>
  <si>
    <t>2534 | Program Office</t>
  </si>
  <si>
    <t>C1327</t>
  </si>
  <si>
    <t>Candidate_327</t>
  </si>
  <si>
    <t>2532 | Program Office</t>
  </si>
  <si>
    <t>C1328</t>
  </si>
  <si>
    <t>Candidate_328</t>
  </si>
  <si>
    <t>2520 | Program Office</t>
  </si>
  <si>
    <t>C1329</t>
  </si>
  <si>
    <t>Candidate_329</t>
  </si>
  <si>
    <t>2516 | Program Office</t>
  </si>
  <si>
    <t>C1330</t>
  </si>
  <si>
    <t>Candidate_330</t>
  </si>
  <si>
    <t>2515 | Program Office</t>
  </si>
  <si>
    <t>C1331</t>
  </si>
  <si>
    <t>Candidate_331</t>
  </si>
  <si>
    <t>2456 | Program Office</t>
  </si>
  <si>
    <t>C1332</t>
  </si>
  <si>
    <t>Candidate_332</t>
  </si>
  <si>
    <t>2450 | Program Office</t>
  </si>
  <si>
    <t>C1333</t>
  </si>
  <si>
    <t>Candidate_333</t>
  </si>
  <si>
    <t>2446 | Program Office</t>
  </si>
  <si>
    <t>C1334</t>
  </si>
  <si>
    <t>Candidate_334</t>
  </si>
  <si>
    <t>2445 | Program Office</t>
  </si>
  <si>
    <t>C1335</t>
  </si>
  <si>
    <t>Candidate_335</t>
  </si>
  <si>
    <t>2443 | Program Office</t>
  </si>
  <si>
    <t>C1336</t>
  </si>
  <si>
    <t>Candidate_336</t>
  </si>
  <si>
    <t>2441 | Program Office</t>
  </si>
  <si>
    <t>C1337</t>
  </si>
  <si>
    <t>Candidate_337</t>
  </si>
  <si>
    <t>2409 | Program Office</t>
  </si>
  <si>
    <t>C1338</t>
  </si>
  <si>
    <t>Candidate_338</t>
  </si>
  <si>
    <t>2407 | Program Office</t>
  </si>
  <si>
    <t>C1339</t>
  </si>
  <si>
    <t>Candidate_339</t>
  </si>
  <si>
    <t>2402 | Program Office</t>
  </si>
  <si>
    <t>C1340</t>
  </si>
  <si>
    <t>Candidate_340</t>
  </si>
  <si>
    <t>2389 | Program Office</t>
  </si>
  <si>
    <t>C1341</t>
  </si>
  <si>
    <t>Candidate_341</t>
  </si>
  <si>
    <t>2385 | Program Office</t>
  </si>
  <si>
    <t>C1342</t>
  </si>
  <si>
    <t>Candidate_342</t>
  </si>
  <si>
    <t>2381 | Program Office</t>
  </si>
  <si>
    <t>C1343</t>
  </si>
  <si>
    <t>Candidate_343</t>
  </si>
  <si>
    <t>2367 | Program Office</t>
  </si>
  <si>
    <t>C1344</t>
  </si>
  <si>
    <t>Candidate_344</t>
  </si>
  <si>
    <t>2362 | Program Office</t>
  </si>
  <si>
    <t>C1345</t>
  </si>
  <si>
    <t>Candidate_345</t>
  </si>
  <si>
    <t>2319 | Program Office</t>
  </si>
  <si>
    <t>C1346</t>
  </si>
  <si>
    <t>Candidate_346</t>
  </si>
  <si>
    <t>2268 | Program Office</t>
  </si>
  <si>
    <t>C1347</t>
  </si>
  <si>
    <t>Candidate_347</t>
  </si>
  <si>
    <t>2266 | Program Office</t>
  </si>
  <si>
    <t>C1348</t>
  </si>
  <si>
    <t>Candidate_348</t>
  </si>
  <si>
    <t>2261 | Program Office</t>
  </si>
  <si>
    <t>C1349</t>
  </si>
  <si>
    <t>Candidate_349</t>
  </si>
  <si>
    <t>2242 | Program Office</t>
  </si>
  <si>
    <t>C1350</t>
  </si>
  <si>
    <t>Candidate_350</t>
  </si>
  <si>
    <t>2199 | Program Office</t>
  </si>
  <si>
    <t>C1351</t>
  </si>
  <si>
    <t>Candidate_351</t>
  </si>
  <si>
    <t>2198 | Program Office</t>
  </si>
  <si>
    <t>C1352</t>
  </si>
  <si>
    <t>Candidate_352</t>
  </si>
  <si>
    <t>2196 | Program Office</t>
  </si>
  <si>
    <t>C1353</t>
  </si>
  <si>
    <t>Candidate_353</t>
  </si>
  <si>
    <t>2194 | Program Office</t>
  </si>
  <si>
    <t>C1354</t>
  </si>
  <si>
    <t>Candidate_354</t>
  </si>
  <si>
    <t>2193 | Program Office</t>
  </si>
  <si>
    <t>C1355</t>
  </si>
  <si>
    <t>Candidate_355</t>
  </si>
  <si>
    <t>2117 | Program Office</t>
  </si>
  <si>
    <t>C1356</t>
  </si>
  <si>
    <t>Candidate_356</t>
  </si>
  <si>
    <t>1983 | Program Office</t>
  </si>
  <si>
    <t>C1357</t>
  </si>
  <si>
    <t>Candidate_357</t>
  </si>
  <si>
    <t>1974 | Program Office</t>
  </si>
  <si>
    <t>C1358</t>
  </si>
  <si>
    <t>Candidate_358</t>
  </si>
  <si>
    <t>1965 | Program Office</t>
  </si>
  <si>
    <t>C1359</t>
  </si>
  <si>
    <t>Candidate_359</t>
  </si>
  <si>
    <t>1963 | Program Office</t>
  </si>
  <si>
    <t>C1360</t>
  </si>
  <si>
    <t>Candidate_360</t>
  </si>
  <si>
    <t>1962 | Program Office</t>
  </si>
  <si>
    <t>C1361</t>
  </si>
  <si>
    <t>Candidate_361</t>
  </si>
  <si>
    <t>1852 | Program Office</t>
  </si>
  <si>
    <t>C1362</t>
  </si>
  <si>
    <t>Candidate_362</t>
  </si>
  <si>
    <t>1818 | Program Office</t>
  </si>
  <si>
    <t>C1363</t>
  </si>
  <si>
    <t>Candidate_363</t>
  </si>
  <si>
    <t>1814 | Program Office</t>
  </si>
  <si>
    <t>C1364</t>
  </si>
  <si>
    <t>Candidate_364</t>
  </si>
  <si>
    <t>1810 | Program Office</t>
  </si>
  <si>
    <t>C1365</t>
  </si>
  <si>
    <t>Candidate_365</t>
  </si>
  <si>
    <t>1804 | Program Office</t>
  </si>
  <si>
    <t>C1366</t>
  </si>
  <si>
    <t>Candidate_366</t>
  </si>
  <si>
    <t>1799 | Program Office</t>
  </si>
  <si>
    <t>C1367</t>
  </si>
  <si>
    <t>Candidate_367</t>
  </si>
  <si>
    <t>1688 | Program Office</t>
  </si>
  <si>
    <t>C1368</t>
  </si>
  <si>
    <t>Candidate_368</t>
  </si>
  <si>
    <t>1669 | Program Office</t>
  </si>
  <si>
    <t>C1369</t>
  </si>
  <si>
    <t>Candidate_369</t>
  </si>
  <si>
    <t>1664 | Program Office</t>
  </si>
  <si>
    <t>C1370</t>
  </si>
  <si>
    <t>Candidate_370</t>
  </si>
  <si>
    <t>1661 | Program Office</t>
  </si>
  <si>
    <t>C1371</t>
  </si>
  <si>
    <t>Candidate_371</t>
  </si>
  <si>
    <t>1449 | Program Office</t>
  </si>
  <si>
    <t>C1372</t>
  </si>
  <si>
    <t>Candidate_372</t>
  </si>
  <si>
    <t>1444 | Program Office</t>
  </si>
  <si>
    <t>C1373</t>
  </si>
  <si>
    <t>Candidate_373</t>
  </si>
  <si>
    <t>1420 | Program Office</t>
  </si>
  <si>
    <t>C1374</t>
  </si>
  <si>
    <t>Candidate_374</t>
  </si>
  <si>
    <t>1418 | Program Office</t>
  </si>
  <si>
    <t>C1375</t>
  </si>
  <si>
    <t>Candidate_375</t>
  </si>
  <si>
    <t>1417 | Program Office</t>
  </si>
  <si>
    <t>C1376</t>
  </si>
  <si>
    <t>Candidate_376</t>
  </si>
  <si>
    <t>1416 | Program Office</t>
  </si>
  <si>
    <t>C1377</t>
  </si>
  <si>
    <t>Candidate_377</t>
  </si>
  <si>
    <t>1411 | Program Office</t>
  </si>
  <si>
    <t>C1378</t>
  </si>
  <si>
    <t>Candidate_378</t>
  </si>
  <si>
    <t>1408 | Program Office</t>
  </si>
  <si>
    <t>C1379</t>
  </si>
  <si>
    <t>Candidate_379</t>
  </si>
  <si>
    <t>1401 | Program Office</t>
  </si>
  <si>
    <t>C1380</t>
  </si>
  <si>
    <t>Candidate_380</t>
  </si>
  <si>
    <t>1387 | Program Office</t>
  </si>
  <si>
    <t>C1381</t>
  </si>
  <si>
    <t>Candidate_381</t>
  </si>
  <si>
    <t>1326 | Program Office</t>
  </si>
  <si>
    <t>C1382</t>
  </si>
  <si>
    <t>Candidate_382</t>
  </si>
  <si>
    <t>1325 | Program Office</t>
  </si>
  <si>
    <t>C1383</t>
  </si>
  <si>
    <t>Candidate_383</t>
  </si>
  <si>
    <t>1293 | Program Office</t>
  </si>
  <si>
    <t>C1384</t>
  </si>
  <si>
    <t>Candidate_384</t>
  </si>
  <si>
    <t>995 | Program Office</t>
  </si>
  <si>
    <t>C1385</t>
  </si>
  <si>
    <t>Candidate_385</t>
  </si>
  <si>
    <t>946 | Program Office</t>
  </si>
  <si>
    <t>C1386</t>
  </si>
  <si>
    <t>Candidate_386</t>
  </si>
  <si>
    <t>942 | Program Office</t>
  </si>
  <si>
    <t>C1387</t>
  </si>
  <si>
    <t>Candidate_387</t>
  </si>
  <si>
    <t>941 | Program Office</t>
  </si>
  <si>
    <t>C1388</t>
  </si>
  <si>
    <t>Candidate_388</t>
  </si>
  <si>
    <t>920 | Program Office</t>
  </si>
  <si>
    <t>C1389</t>
  </si>
  <si>
    <t>Candidate_389</t>
  </si>
  <si>
    <t>913 | Program Office</t>
  </si>
  <si>
    <t>C1390</t>
  </si>
  <si>
    <t>Candidate_390</t>
  </si>
  <si>
    <t>901 | Program Office</t>
  </si>
  <si>
    <t>C1391</t>
  </si>
  <si>
    <t>Candidate_391</t>
  </si>
  <si>
    <t>835 | Program Office</t>
  </si>
  <si>
    <t>C1392</t>
  </si>
  <si>
    <t>Candidate_392</t>
  </si>
  <si>
    <t>834 | Program Office</t>
  </si>
  <si>
    <t>C1393</t>
  </si>
  <si>
    <t>Candidate_393</t>
  </si>
  <si>
    <t>822 | Program Office</t>
  </si>
  <si>
    <t>C1394</t>
  </si>
  <si>
    <t>Candidate_394</t>
  </si>
  <si>
    <t>800 | Program Office</t>
  </si>
  <si>
    <t>C1395</t>
  </si>
  <si>
    <t>Candidate_395</t>
  </si>
  <si>
    <t>794 | Program Office</t>
  </si>
  <si>
    <t>C1396</t>
  </si>
  <si>
    <t>Candidate_396</t>
  </si>
  <si>
    <t>792 | Program Office</t>
  </si>
  <si>
    <t>C1397</t>
  </si>
  <si>
    <t>Candidate_397</t>
  </si>
  <si>
    <t>766 | Program Office</t>
  </si>
  <si>
    <t>C1398</t>
  </si>
  <si>
    <t>Candidate_398</t>
  </si>
  <si>
    <t>765 | Program Office</t>
  </si>
  <si>
    <t>Officer</t>
  </si>
  <si>
    <t>Program Office-Officer</t>
  </si>
  <si>
    <t>C1399</t>
  </si>
  <si>
    <t>Candidate_399</t>
  </si>
  <si>
    <t>761 | Program Office</t>
  </si>
  <si>
    <t>C1400</t>
  </si>
  <si>
    <t>Candidate_400</t>
  </si>
  <si>
    <t>730 | Program Office</t>
  </si>
  <si>
    <t>C1401</t>
  </si>
  <si>
    <t>Candidate_401</t>
  </si>
  <si>
    <t>720 | Program Office</t>
  </si>
  <si>
    <t>C1402</t>
  </si>
  <si>
    <t>Candidate_402</t>
  </si>
  <si>
    <t>680 | Program Office</t>
  </si>
  <si>
    <t>C1403</t>
  </si>
  <si>
    <t>Candidate_403</t>
  </si>
  <si>
    <t>659 | Program Office</t>
  </si>
  <si>
    <t>C1404</t>
  </si>
  <si>
    <t>Candidate_404</t>
  </si>
  <si>
    <t>655 | Program Office</t>
  </si>
  <si>
    <t>C1405</t>
  </si>
  <si>
    <t>Candidate_405</t>
  </si>
  <si>
    <t>636 | Program Office</t>
  </si>
  <si>
    <t>C1406</t>
  </si>
  <si>
    <t>Candidate_406</t>
  </si>
  <si>
    <t>577 | Program Office</t>
  </si>
  <si>
    <t>C1407</t>
  </si>
  <si>
    <t>Candidate_407</t>
  </si>
  <si>
    <t>575 | Program Office</t>
  </si>
  <si>
    <t>C1408</t>
  </si>
  <si>
    <t>Candidate_408</t>
  </si>
  <si>
    <t>573 | Program Office</t>
  </si>
  <si>
    <t>C1409</t>
  </si>
  <si>
    <t>Candidate_409</t>
  </si>
  <si>
    <t>492 | Program Office</t>
  </si>
  <si>
    <t>C1410</t>
  </si>
  <si>
    <t>Candidate_410</t>
  </si>
  <si>
    <t>491 | Program Office</t>
  </si>
  <si>
    <t>C1411</t>
  </si>
  <si>
    <t>Candidate_411</t>
  </si>
  <si>
    <t>483 | Program Office</t>
  </si>
  <si>
    <t>C1412</t>
  </si>
  <si>
    <t>Candidate_412</t>
  </si>
  <si>
    <t>480 | Program Office</t>
  </si>
  <si>
    <t>C1413</t>
  </si>
  <si>
    <t>Candidate_413</t>
  </si>
  <si>
    <t>476 | Program Office</t>
  </si>
  <si>
    <t>C1414</t>
  </si>
  <si>
    <t>Candidate_414</t>
  </si>
  <si>
    <t>390 | Program Office</t>
  </si>
  <si>
    <t>C1415</t>
  </si>
  <si>
    <t>Candidate_415</t>
  </si>
  <si>
    <t>388 | Program Office</t>
  </si>
  <si>
    <t>C1416</t>
  </si>
  <si>
    <t>Candidate_416</t>
  </si>
  <si>
    <t>386 | Program Office</t>
  </si>
  <si>
    <t>C1417</t>
  </si>
  <si>
    <t>Candidate_417</t>
  </si>
  <si>
    <t>381 | Program Office</t>
  </si>
  <si>
    <t>C1418</t>
  </si>
  <si>
    <t>Candidate_418</t>
  </si>
  <si>
    <t>372 | Program Office</t>
  </si>
  <si>
    <t>C1419</t>
  </si>
  <si>
    <t>Candidate_419</t>
  </si>
  <si>
    <t>318 | Program Office</t>
  </si>
  <si>
    <t>C1420</t>
  </si>
  <si>
    <t>Candidate_420</t>
  </si>
  <si>
    <t>316 | Program Office</t>
  </si>
  <si>
    <t>C1421</t>
  </si>
  <si>
    <t>Candidate_421</t>
  </si>
  <si>
    <t>314 | Program Office</t>
  </si>
  <si>
    <t>C1422</t>
  </si>
  <si>
    <t>Candidate_422</t>
  </si>
  <si>
    <t>312 | Program Office</t>
  </si>
  <si>
    <t>C1423</t>
  </si>
  <si>
    <t>Candidate_423</t>
  </si>
  <si>
    <t>187 | Program Office</t>
  </si>
  <si>
    <t>C1424</t>
  </si>
  <si>
    <t>Candidate_424</t>
  </si>
  <si>
    <t>181 | Program Office</t>
  </si>
  <si>
    <t>C1425</t>
  </si>
  <si>
    <t>Candidate_425</t>
  </si>
  <si>
    <t>140 | Program Office</t>
  </si>
  <si>
    <t>C1426</t>
  </si>
  <si>
    <t>Candidate_426</t>
  </si>
  <si>
    <t>139 | Program Office</t>
  </si>
  <si>
    <t>C1427</t>
  </si>
  <si>
    <t>Candidate_427</t>
  </si>
  <si>
    <t>136 | Program Office</t>
  </si>
  <si>
    <t>C1428</t>
  </si>
  <si>
    <t>Candidate_428</t>
  </si>
  <si>
    <t>132 | Program Office</t>
  </si>
  <si>
    <t>C1429</t>
  </si>
  <si>
    <t>Candidate_429</t>
  </si>
  <si>
    <t>66 | Program Office</t>
  </si>
  <si>
    <t>C1430</t>
  </si>
  <si>
    <t>Candidate_430</t>
  </si>
  <si>
    <t>2540 | Program Office</t>
  </si>
  <si>
    <t>Program Office - Executive</t>
  </si>
  <si>
    <t>Program Office-Director</t>
  </si>
  <si>
    <t>C1431</t>
  </si>
  <si>
    <t>Candidate_431</t>
  </si>
  <si>
    <t>2531 | Program Office</t>
  </si>
  <si>
    <t>C1432</t>
  </si>
  <si>
    <t>Candidate_432</t>
  </si>
  <si>
    <t>2265 | Program Office</t>
  </si>
  <si>
    <t>C1433</t>
  </si>
  <si>
    <t>Candidate_433</t>
  </si>
  <si>
    <t>2127 | Program Office</t>
  </si>
  <si>
    <t>C1434</t>
  </si>
  <si>
    <t>Candidate_434</t>
  </si>
  <si>
    <t>2120 | Program Office</t>
  </si>
  <si>
    <t>C1435</t>
  </si>
  <si>
    <t>Candidate_435</t>
  </si>
  <si>
    <t>2115 | Program Office</t>
  </si>
  <si>
    <t>C1436</t>
  </si>
  <si>
    <t>Candidate_436</t>
  </si>
  <si>
    <t>1857 | Program Office</t>
  </si>
  <si>
    <t>C1437</t>
  </si>
  <si>
    <t>Candidate_437</t>
  </si>
  <si>
    <t>1820 | Program Office</t>
  </si>
  <si>
    <t>C1438</t>
  </si>
  <si>
    <t>Candidate_438</t>
  </si>
  <si>
    <t>1816 | Program Office</t>
  </si>
  <si>
    <t>C1439</t>
  </si>
  <si>
    <t>Candidate_439</t>
  </si>
  <si>
    <t>1809 | Program Office</t>
  </si>
  <si>
    <t>C1440</t>
  </si>
  <si>
    <t>Candidate_440</t>
  </si>
  <si>
    <t>993 | Program Office</t>
  </si>
  <si>
    <t>C1441</t>
  </si>
  <si>
    <t>Candidate_441</t>
  </si>
  <si>
    <t>949 | Program Office</t>
  </si>
  <si>
    <t>C1442</t>
  </si>
  <si>
    <t>Candidate_442</t>
  </si>
  <si>
    <t>914 | Program Office</t>
  </si>
  <si>
    <t>C1443</t>
  </si>
  <si>
    <t>Candidate_443</t>
  </si>
  <si>
    <t>906 | Program Office</t>
  </si>
  <si>
    <t>C1444</t>
  </si>
  <si>
    <t>Candidate_444</t>
  </si>
  <si>
    <t>904 | Program Office</t>
  </si>
  <si>
    <t>C1445</t>
  </si>
  <si>
    <t>Candidate_445</t>
  </si>
  <si>
    <t>830 | Program Office</t>
  </si>
  <si>
    <t>C1446</t>
  </si>
  <si>
    <t>Candidate_446</t>
  </si>
  <si>
    <t>791 | Program Office</t>
  </si>
  <si>
    <t>C1447</t>
  </si>
  <si>
    <t>Candidate_447</t>
  </si>
  <si>
    <t>763 | Program Office</t>
  </si>
  <si>
    <t>C1448</t>
  </si>
  <si>
    <t>Candidate_448</t>
  </si>
  <si>
    <t>728 | Program Office</t>
  </si>
  <si>
    <t>C1449</t>
  </si>
  <si>
    <t>Candidate_449</t>
  </si>
  <si>
    <t>719 | Program Office</t>
  </si>
  <si>
    <t>C1450</t>
  </si>
  <si>
    <t>Candidate_450</t>
  </si>
  <si>
    <t>716 | Program Office</t>
  </si>
  <si>
    <t>C1451</t>
  </si>
  <si>
    <t>Candidate_451</t>
  </si>
  <si>
    <t>713 | Program Office</t>
  </si>
  <si>
    <t>C1452</t>
  </si>
  <si>
    <t>Candidate_452</t>
  </si>
  <si>
    <t>679 | Program Office</t>
  </si>
  <si>
    <t>C1453</t>
  </si>
  <si>
    <t>Candidate_453</t>
  </si>
  <si>
    <t>675 | Program Office</t>
  </si>
  <si>
    <t>C1454</t>
  </si>
  <si>
    <t>Candidate_454</t>
  </si>
  <si>
    <t>671 | Program Office</t>
  </si>
  <si>
    <t>C1455</t>
  </si>
  <si>
    <t>Candidate_455</t>
  </si>
  <si>
    <t>658 | Program Office</t>
  </si>
  <si>
    <t>C1456</t>
  </si>
  <si>
    <t>Candidate_456</t>
  </si>
  <si>
    <t>653 | Program Office</t>
  </si>
  <si>
    <t>C1457</t>
  </si>
  <si>
    <t>Candidate_457</t>
  </si>
  <si>
    <t>639 | Program Office</t>
  </si>
  <si>
    <t>Program Office-Head of Department</t>
  </si>
  <si>
    <t>C1458</t>
  </si>
  <si>
    <t>Candidate_458</t>
  </si>
  <si>
    <t>618 | Program Office</t>
  </si>
  <si>
    <t>C1459</t>
  </si>
  <si>
    <t>Candidate_459</t>
  </si>
  <si>
    <t>579 | Program Office</t>
  </si>
  <si>
    <t>C1460</t>
  </si>
  <si>
    <t>Candidate_460</t>
  </si>
  <si>
    <t>494 | Program Office</t>
  </si>
  <si>
    <t>C1461</t>
  </si>
  <si>
    <t>Candidate_461</t>
  </si>
  <si>
    <t>493 | Program Office</t>
  </si>
  <si>
    <t>C1462</t>
  </si>
  <si>
    <t>Candidate_462</t>
  </si>
  <si>
    <t>485 | Program Office</t>
  </si>
  <si>
    <t>C1463</t>
  </si>
  <si>
    <t>Candidate_463</t>
  </si>
  <si>
    <t>484 | Program Office</t>
  </si>
  <si>
    <t>C1464</t>
  </si>
  <si>
    <t>Candidate_464</t>
  </si>
  <si>
    <t>477 | Program Office</t>
  </si>
  <si>
    <t>C1465</t>
  </si>
  <si>
    <t>Candidate_465</t>
  </si>
  <si>
    <t>475 | Program Office</t>
  </si>
  <si>
    <t>C1466</t>
  </si>
  <si>
    <t>Candidate_466</t>
  </si>
  <si>
    <t>385 | Program Office</t>
  </si>
  <si>
    <t>C1467</t>
  </si>
  <si>
    <t>Candidate_467</t>
  </si>
  <si>
    <t>378 | Program Office</t>
  </si>
  <si>
    <t>C1468</t>
  </si>
  <si>
    <t>Candidate_468</t>
  </si>
  <si>
    <t>375 | Program Office</t>
  </si>
  <si>
    <t>C1469</t>
  </si>
  <si>
    <t>Candidate_469</t>
  </si>
  <si>
    <t>315 | Program Office</t>
  </si>
  <si>
    <t>C1470</t>
  </si>
  <si>
    <t>Candidate_470</t>
  </si>
  <si>
    <t>189 | Program Office</t>
  </si>
  <si>
    <t>C1471</t>
  </si>
  <si>
    <t>Candidate_471</t>
  </si>
  <si>
    <t>131 | Program Office</t>
  </si>
  <si>
    <t>C1472</t>
  </si>
  <si>
    <t>Candidate_472</t>
  </si>
  <si>
    <t>70 | Program Office</t>
  </si>
  <si>
    <t>C1473</t>
  </si>
  <si>
    <t>Candidate_473</t>
  </si>
  <si>
    <t>63 | Program Office</t>
  </si>
  <si>
    <t>C1474</t>
  </si>
  <si>
    <t>Candidate_474</t>
  </si>
  <si>
    <t>62 | Program Office</t>
  </si>
  <si>
    <t>C1475</t>
  </si>
  <si>
    <t>Candidate_475</t>
  </si>
  <si>
    <t>10 | Program Office</t>
  </si>
  <si>
    <t>C1476</t>
  </si>
  <si>
    <t>Candidate_476</t>
  </si>
  <si>
    <t>8 | Program Office</t>
  </si>
  <si>
    <t>C1477</t>
  </si>
  <si>
    <t>Candidate_477</t>
  </si>
  <si>
    <t>2974 | Program Office</t>
  </si>
  <si>
    <t>Program Office - Associate</t>
  </si>
  <si>
    <t>C1478</t>
  </si>
  <si>
    <t>Candidate_478</t>
  </si>
  <si>
    <t>2972 | Program Office</t>
  </si>
  <si>
    <t>C1479</t>
  </si>
  <si>
    <t>Candidate_479</t>
  </si>
  <si>
    <t>2969 | Program Office</t>
  </si>
  <si>
    <t>C1480</t>
  </si>
  <si>
    <t>Candidate_480</t>
  </si>
  <si>
    <t>2967 | Program Office</t>
  </si>
  <si>
    <t>C1481</t>
  </si>
  <si>
    <t>Candidate_481</t>
  </si>
  <si>
    <t>2885 | Program Office</t>
  </si>
  <si>
    <t>C1482</t>
  </si>
  <si>
    <t>Candidate_482</t>
  </si>
  <si>
    <t>2884 | Program Office</t>
  </si>
  <si>
    <t>C1483</t>
  </si>
  <si>
    <t>Candidate_483</t>
  </si>
  <si>
    <t>2881 | Program Office</t>
  </si>
  <si>
    <t>C1484</t>
  </si>
  <si>
    <t>Candidate_484</t>
  </si>
  <si>
    <t>2857 | Program Office</t>
  </si>
  <si>
    <t>C1485</t>
  </si>
  <si>
    <t>Candidate_485</t>
  </si>
  <si>
    <t>2854 | Program Office</t>
  </si>
  <si>
    <t>C1486</t>
  </si>
  <si>
    <t>Candidate_486</t>
  </si>
  <si>
    <t>2840 | Program Office</t>
  </si>
  <si>
    <t>C1487</t>
  </si>
  <si>
    <t>Candidate_487</t>
  </si>
  <si>
    <t>2836 | Program Office</t>
  </si>
  <si>
    <t>C1488</t>
  </si>
  <si>
    <t>Candidate_488</t>
  </si>
  <si>
    <t>2833 | Program Office</t>
  </si>
  <si>
    <t>C1489</t>
  </si>
  <si>
    <t>Candidate_489</t>
  </si>
  <si>
    <t>2786 | Program Office</t>
  </si>
  <si>
    <t>C1490</t>
  </si>
  <si>
    <t>Candidate_490</t>
  </si>
  <si>
    <t>2783 | Program Office</t>
  </si>
  <si>
    <t>C1491</t>
  </si>
  <si>
    <t>Candidate_491</t>
  </si>
  <si>
    <t>2782 | Program Office</t>
  </si>
  <si>
    <t>C1492</t>
  </si>
  <si>
    <t>Candidate_492</t>
  </si>
  <si>
    <t>2781 | Program Office</t>
  </si>
  <si>
    <t>C1493</t>
  </si>
  <si>
    <t>Candidate_493</t>
  </si>
  <si>
    <t>2736 | Program Office</t>
  </si>
  <si>
    <t>C1494</t>
  </si>
  <si>
    <t>Candidate_494</t>
  </si>
  <si>
    <t>2566 | Program Office</t>
  </si>
  <si>
    <t>C1495</t>
  </si>
  <si>
    <t>Candidate_495</t>
  </si>
  <si>
    <t>2563 | Program Office</t>
  </si>
  <si>
    <t>C1496</t>
  </si>
  <si>
    <t>Candidate_496</t>
  </si>
  <si>
    <t>2559 | Program Office</t>
  </si>
  <si>
    <t>C1497</t>
  </si>
  <si>
    <t>Candidate_497</t>
  </si>
  <si>
    <t>2556 | Program Office</t>
  </si>
  <si>
    <t>C1498</t>
  </si>
  <si>
    <t>Candidate_498</t>
  </si>
  <si>
    <t>2554 | Program Office</t>
  </si>
  <si>
    <t>C1499</t>
  </si>
  <si>
    <t>Candidate_499</t>
  </si>
  <si>
    <t>2538 | Program Office</t>
  </si>
  <si>
    <t>C1500</t>
  </si>
  <si>
    <t>Candidate_500</t>
  </si>
  <si>
    <t>2517 | Program Office</t>
  </si>
  <si>
    <t>C1501</t>
  </si>
  <si>
    <t>Candidate_501</t>
  </si>
  <si>
    <t>2513 | Program Office</t>
  </si>
  <si>
    <t>C1502</t>
  </si>
  <si>
    <t>Candidate_502</t>
  </si>
  <si>
    <t>2512 | Program Office</t>
  </si>
  <si>
    <t>C1503</t>
  </si>
  <si>
    <t>Candidate_503</t>
  </si>
  <si>
    <t>2459 | Program Office</t>
  </si>
  <si>
    <t>C1504</t>
  </si>
  <si>
    <t>Candidate_504</t>
  </si>
  <si>
    <t>2452 | Program Office</t>
  </si>
  <si>
    <t>C1505</t>
  </si>
  <si>
    <t>Candidate_505</t>
  </si>
  <si>
    <t>2449 | Program Office</t>
  </si>
  <si>
    <t>C1506</t>
  </si>
  <si>
    <t>Candidate_506</t>
  </si>
  <si>
    <t>2448 | Program Office</t>
  </si>
  <si>
    <t>C1507</t>
  </si>
  <si>
    <t>Candidate_507</t>
  </si>
  <si>
    <t>2408 | Program Office</t>
  </si>
  <si>
    <t>C1508</t>
  </si>
  <si>
    <t>Candidate_508</t>
  </si>
  <si>
    <t>2404 | Program Office</t>
  </si>
  <si>
    <t>C1509</t>
  </si>
  <si>
    <t>Candidate_509</t>
  </si>
  <si>
    <t>2382 | Program Office</t>
  </si>
  <si>
    <t>C1510</t>
  </si>
  <si>
    <t>Candidate_510</t>
  </si>
  <si>
    <t>2369 | Program Office</t>
  </si>
  <si>
    <t>C1511</t>
  </si>
  <si>
    <t>Candidate_511</t>
  </si>
  <si>
    <t>2368 | Program Office</t>
  </si>
  <si>
    <t>C1512</t>
  </si>
  <si>
    <t>Candidate_512</t>
  </si>
  <si>
    <t>2364 | Program Office</t>
  </si>
  <si>
    <t>C1513</t>
  </si>
  <si>
    <t>Candidate_513</t>
  </si>
  <si>
    <t>2363 | Program Office</t>
  </si>
  <si>
    <t>C1514</t>
  </si>
  <si>
    <t>Candidate_514</t>
  </si>
  <si>
    <t>2361 | Program Office</t>
  </si>
  <si>
    <t>C1515</t>
  </si>
  <si>
    <t>Candidate_515</t>
  </si>
  <si>
    <t>2316 | Program Office</t>
  </si>
  <si>
    <t>C1516</t>
  </si>
  <si>
    <t>Candidate_516</t>
  </si>
  <si>
    <t>2312 | Program Office</t>
  </si>
  <si>
    <t>C1517</t>
  </si>
  <si>
    <t>Candidate_517</t>
  </si>
  <si>
    <t>2246 | Program Office</t>
  </si>
  <si>
    <t>C1518</t>
  </si>
  <si>
    <t>Candidate_518</t>
  </si>
  <si>
    <t>2167 | Program Office</t>
  </si>
  <si>
    <t>C1519</t>
  </si>
  <si>
    <t>Candidate_519</t>
  </si>
  <si>
    <t>2165 | Program Office</t>
  </si>
  <si>
    <t>Business Partner</t>
  </si>
  <si>
    <t>Program Office-Business Partner</t>
  </si>
  <si>
    <t>C1520</t>
  </si>
  <si>
    <t>Candidate_520</t>
  </si>
  <si>
    <t>2130 | Program Office</t>
  </si>
  <si>
    <t>C1521</t>
  </si>
  <si>
    <t>Candidate_521</t>
  </si>
  <si>
    <t>2128 | Program Office</t>
  </si>
  <si>
    <t>C1522</t>
  </si>
  <si>
    <t>Candidate_522</t>
  </si>
  <si>
    <t>2126 | Program Office</t>
  </si>
  <si>
    <t>C1523</t>
  </si>
  <si>
    <t>Candidate_523</t>
  </si>
  <si>
    <t>2119 | Program Office</t>
  </si>
  <si>
    <t>C1524</t>
  </si>
  <si>
    <t>Candidate_524</t>
  </si>
  <si>
    <t>2064 | Program Office</t>
  </si>
  <si>
    <t>C1525</t>
  </si>
  <si>
    <t>Candidate_525</t>
  </si>
  <si>
    <t>2062 | Program Office</t>
  </si>
  <si>
    <t>C1526</t>
  </si>
  <si>
    <t>Candidate_526</t>
  </si>
  <si>
    <t>2008 | Program Office</t>
  </si>
  <si>
    <t>C1527</t>
  </si>
  <si>
    <t>Candidate_527</t>
  </si>
  <si>
    <t>2006 | Program Office</t>
  </si>
  <si>
    <t>C1528</t>
  </si>
  <si>
    <t>Candidate_528</t>
  </si>
  <si>
    <t>2001 | Program Office</t>
  </si>
  <si>
    <t>C1529</t>
  </si>
  <si>
    <t>Candidate_529</t>
  </si>
  <si>
    <t>1985 | Program Office</t>
  </si>
  <si>
    <t>C1530</t>
  </si>
  <si>
    <t>Candidate_530</t>
  </si>
  <si>
    <t>1972 | Program Office</t>
  </si>
  <si>
    <t>C1531</t>
  </si>
  <si>
    <t>Candidate_531</t>
  </si>
  <si>
    <t>1969 | Program Office</t>
  </si>
  <si>
    <t>C1532</t>
  </si>
  <si>
    <t>Candidate_532</t>
  </si>
  <si>
    <t>1964 | Program Office</t>
  </si>
  <si>
    <t>C1533</t>
  </si>
  <si>
    <t>Candidate_533</t>
  </si>
  <si>
    <t>1961 | Program Office</t>
  </si>
  <si>
    <t>C1534</t>
  </si>
  <si>
    <t>Candidate_534</t>
  </si>
  <si>
    <t>1817 | Program Office</t>
  </si>
  <si>
    <t>C1535</t>
  </si>
  <si>
    <t>Candidate_535</t>
  </si>
  <si>
    <t>1800 | Program Office</t>
  </si>
  <si>
    <t>C1536</t>
  </si>
  <si>
    <t>Candidate_536</t>
  </si>
  <si>
    <t>1791 | Program Office</t>
  </si>
  <si>
    <t>C1537</t>
  </si>
  <si>
    <t>Candidate_537</t>
  </si>
  <si>
    <t>1690 | Program Office</t>
  </si>
  <si>
    <t>C1538</t>
  </si>
  <si>
    <t>Candidate_538</t>
  </si>
  <si>
    <t>1685 | Program Office</t>
  </si>
  <si>
    <t>C1539</t>
  </si>
  <si>
    <t>Candidate_539</t>
  </si>
  <si>
    <t>1668 | Program Office</t>
  </si>
  <si>
    <t>C1540</t>
  </si>
  <si>
    <t>Candidate_540</t>
  </si>
  <si>
    <t>1667 | Program Office</t>
  </si>
  <si>
    <t>C1541</t>
  </si>
  <si>
    <t>Candidate_541</t>
  </si>
  <si>
    <t>1665 | Program Office</t>
  </si>
  <si>
    <t>C1542</t>
  </si>
  <si>
    <t>Candidate_542</t>
  </si>
  <si>
    <t>1448 | Program Office</t>
  </si>
  <si>
    <t>C1543</t>
  </si>
  <si>
    <t>Candidate_543</t>
  </si>
  <si>
    <t>1445 | Program Office</t>
  </si>
  <si>
    <t>C1544</t>
  </si>
  <si>
    <t>Candidate_544</t>
  </si>
  <si>
    <t>1443 | Program Office</t>
  </si>
  <si>
    <t>C1545</t>
  </si>
  <si>
    <t>Candidate_545</t>
  </si>
  <si>
    <t>1415 | Program Office</t>
  </si>
  <si>
    <t>C1546</t>
  </si>
  <si>
    <t>Candidate_546</t>
  </si>
  <si>
    <t>1413 | Program Office</t>
  </si>
  <si>
    <t>C1547</t>
  </si>
  <si>
    <t>Candidate_547</t>
  </si>
  <si>
    <t>1409 | Program Office</t>
  </si>
  <si>
    <t>C1548</t>
  </si>
  <si>
    <t>Candidate_548</t>
  </si>
  <si>
    <t>1407 | Program Office</t>
  </si>
  <si>
    <t>C1549</t>
  </si>
  <si>
    <t>Candidate_549</t>
  </si>
  <si>
    <t>1299 | Program Office</t>
  </si>
  <si>
    <t>C1550</t>
  </si>
  <si>
    <t>Candidate_550</t>
  </si>
  <si>
    <t>1296 | Program Office</t>
  </si>
  <si>
    <t>C1551</t>
  </si>
  <si>
    <t>Candidate_551</t>
  </si>
  <si>
    <t>1292 | Program Office</t>
  </si>
  <si>
    <t>C1552</t>
  </si>
  <si>
    <t>Candidate_552</t>
  </si>
  <si>
    <t>1159 | Program Office</t>
  </si>
  <si>
    <t>C1553</t>
  </si>
  <si>
    <t>Candidate_553</t>
  </si>
  <si>
    <t>1158 | Program Office</t>
  </si>
  <si>
    <t>C1554</t>
  </si>
  <si>
    <t>Candidate_554</t>
  </si>
  <si>
    <t>996 | Program Office</t>
  </si>
  <si>
    <t>C1555</t>
  </si>
  <si>
    <t>Candidate_555</t>
  </si>
  <si>
    <t>955 | Program Office</t>
  </si>
  <si>
    <t>C1556</t>
  </si>
  <si>
    <t>Candidate_556</t>
  </si>
  <si>
    <t>954 | Program Office</t>
  </si>
  <si>
    <t>C1557</t>
  </si>
  <si>
    <t>Candidate_557</t>
  </si>
  <si>
    <t>952 | Program Office</t>
  </si>
  <si>
    <t>C1558</t>
  </si>
  <si>
    <t>Candidate_558</t>
  </si>
  <si>
    <t>951 | Program Office</t>
  </si>
  <si>
    <t>C1559</t>
  </si>
  <si>
    <t>Candidate_559</t>
  </si>
  <si>
    <t>943 | Program Office</t>
  </si>
  <si>
    <t>C1560</t>
  </si>
  <si>
    <t>Candidate_560</t>
  </si>
  <si>
    <t>918 | Program Office</t>
  </si>
  <si>
    <t>C1561</t>
  </si>
  <si>
    <t>Candidate_561</t>
  </si>
  <si>
    <t>917 | Program Office</t>
  </si>
  <si>
    <t>C1562</t>
  </si>
  <si>
    <t>Candidate_562</t>
  </si>
  <si>
    <t>909 | Program Office</t>
  </si>
  <si>
    <t>C1563</t>
  </si>
  <si>
    <t>Candidate_563</t>
  </si>
  <si>
    <t>902 | Program Office</t>
  </si>
  <si>
    <t>C1564</t>
  </si>
  <si>
    <t>Candidate_564</t>
  </si>
  <si>
    <t>839 | Program Office</t>
  </si>
  <si>
    <t>C1565</t>
  </si>
  <si>
    <t>Candidate_565</t>
  </si>
  <si>
    <t>832 | Program Office</t>
  </si>
  <si>
    <t>C1566</t>
  </si>
  <si>
    <t>Candidate_566</t>
  </si>
  <si>
    <t>831 | Program Office</t>
  </si>
  <si>
    <t>C1567</t>
  </si>
  <si>
    <t>Candidate_567</t>
  </si>
  <si>
    <t>823 | Program Office</t>
  </si>
  <si>
    <t>C1568</t>
  </si>
  <si>
    <t>Candidate_568</t>
  </si>
  <si>
    <t>770 | Program Office</t>
  </si>
  <si>
    <t>C1569</t>
  </si>
  <si>
    <t>Candidate_569</t>
  </si>
  <si>
    <t>717 | Program Office</t>
  </si>
  <si>
    <t>C1570</t>
  </si>
  <si>
    <t>Candidate_570</t>
  </si>
  <si>
    <t>714 | Program Office</t>
  </si>
  <si>
    <t>C1571</t>
  </si>
  <si>
    <t>Candidate_571</t>
  </si>
  <si>
    <t>673 | Program Office</t>
  </si>
  <si>
    <t>C1572</t>
  </si>
  <si>
    <t>Candidate_572</t>
  </si>
  <si>
    <t>672 | Program Office</t>
  </si>
  <si>
    <t>C1573</t>
  </si>
  <si>
    <t>Candidate_573</t>
  </si>
  <si>
    <t>660 | Program Office</t>
  </si>
  <si>
    <t>C1574</t>
  </si>
  <si>
    <t>Candidate_574</t>
  </si>
  <si>
    <t>656 | Program Office</t>
  </si>
  <si>
    <t>C1575</t>
  </si>
  <si>
    <t>Candidate_575</t>
  </si>
  <si>
    <t>637 | Program Office</t>
  </si>
  <si>
    <t>C1576</t>
  </si>
  <si>
    <t>Candidate_576</t>
  </si>
  <si>
    <t>612 | Program Office</t>
  </si>
  <si>
    <t>C1577</t>
  </si>
  <si>
    <t>Candidate_577</t>
  </si>
  <si>
    <t>571 | Program Office</t>
  </si>
  <si>
    <t>C1578</t>
  </si>
  <si>
    <t>Candidate_578</t>
  </si>
  <si>
    <t>495 | Program Office</t>
  </si>
  <si>
    <t>C1579</t>
  </si>
  <si>
    <t>Candidate_579</t>
  </si>
  <si>
    <t>488 | Program Office</t>
  </si>
  <si>
    <t>C1580</t>
  </si>
  <si>
    <t>Candidate_580</t>
  </si>
  <si>
    <t>473 | Program Office</t>
  </si>
  <si>
    <t>C1581</t>
  </si>
  <si>
    <t>Candidate_581</t>
  </si>
  <si>
    <t>383 | Program Office</t>
  </si>
  <si>
    <t>C1582</t>
  </si>
  <si>
    <t>Candidate_582</t>
  </si>
  <si>
    <t>379 | Program Office</t>
  </si>
  <si>
    <t>C1583</t>
  </si>
  <si>
    <t>Candidate_583</t>
  </si>
  <si>
    <t>373 | Program Office</t>
  </si>
  <si>
    <t>C1584</t>
  </si>
  <si>
    <t>Candidate_584</t>
  </si>
  <si>
    <t>313 | Program Office</t>
  </si>
  <si>
    <t>C1585</t>
  </si>
  <si>
    <t>Candidate_585</t>
  </si>
  <si>
    <t>190 | Program Office</t>
  </si>
  <si>
    <t>C1586</t>
  </si>
  <si>
    <t>Candidate_586</t>
  </si>
  <si>
    <t>186 | Program Office</t>
  </si>
  <si>
    <t>C1587</t>
  </si>
  <si>
    <t>Candidate_587</t>
  </si>
  <si>
    <t>183 | Program Office</t>
  </si>
  <si>
    <t>C1588</t>
  </si>
  <si>
    <t>Candidate_588</t>
  </si>
  <si>
    <t>134 | Program Office</t>
  </si>
  <si>
    <t>C1589</t>
  </si>
  <si>
    <t>Candidate_589</t>
  </si>
  <si>
    <t>69 | Program Office</t>
  </si>
  <si>
    <t>C1590</t>
  </si>
  <si>
    <t>Candidate_590</t>
  </si>
  <si>
    <t>6 | Program Office</t>
  </si>
  <si>
    <t>C1591</t>
  </si>
  <si>
    <t>Candidate_591</t>
  </si>
  <si>
    <t>1 | Program Office</t>
  </si>
  <si>
    <t>C1592</t>
  </si>
  <si>
    <t>Candidate_592</t>
  </si>
  <si>
    <t>2895 | Communication and Advocacy</t>
  </si>
  <si>
    <t xml:space="preserve"> Operations</t>
  </si>
  <si>
    <t>Operations - Junior</t>
  </si>
  <si>
    <t>Controller</t>
  </si>
  <si>
    <t>Operations-Controller</t>
  </si>
  <si>
    <t>C1593</t>
  </si>
  <si>
    <t>Candidate_593</t>
  </si>
  <si>
    <t>2728 | Communication and Advocacy</t>
  </si>
  <si>
    <t>Operations</t>
  </si>
  <si>
    <t>C1594</t>
  </si>
  <si>
    <t>Candidate_594</t>
  </si>
  <si>
    <t>2332 | Communication and Advocacy</t>
  </si>
  <si>
    <t>C1595</t>
  </si>
  <si>
    <t>Candidate_595</t>
  </si>
  <si>
    <t>2255 | Communication and Advocacy</t>
  </si>
  <si>
    <t>C1596</t>
  </si>
  <si>
    <t>Candidate_596</t>
  </si>
  <si>
    <t>2146 | Communication and Advocacy</t>
  </si>
  <si>
    <t>C1597</t>
  </si>
  <si>
    <t>Candidate_597</t>
  </si>
  <si>
    <t>1906 | Communication and Advocacy</t>
  </si>
  <si>
    <t>C1598</t>
  </si>
  <si>
    <t>Candidate_598</t>
  </si>
  <si>
    <t>1898 | Communication and Advocacy</t>
  </si>
  <si>
    <t>C1599</t>
  </si>
  <si>
    <t>Candidate_599</t>
  </si>
  <si>
    <t>1892 | Communication and Advocacy</t>
  </si>
  <si>
    <t>C1600</t>
  </si>
  <si>
    <t>Candidate_600</t>
  </si>
  <si>
    <t>1773 | Communication and Advocacy</t>
  </si>
  <si>
    <t>C1601</t>
  </si>
  <si>
    <t>Candidate_601</t>
  </si>
  <si>
    <t>1646 | Communication and Advocacy</t>
  </si>
  <si>
    <t xml:space="preserve">Operations </t>
  </si>
  <si>
    <t>C1602</t>
  </si>
  <si>
    <t>Candidate_602</t>
  </si>
  <si>
    <t>1577 | Communication and Advocacy</t>
  </si>
  <si>
    <t>C1603</t>
  </si>
  <si>
    <t>Candidate_603</t>
  </si>
  <si>
    <t>1507 | Communication and Advocacy</t>
  </si>
  <si>
    <t>C1604</t>
  </si>
  <si>
    <t>Candidate_604</t>
  </si>
  <si>
    <t>1423 | Communication and Advocacy</t>
  </si>
  <si>
    <t>C1605</t>
  </si>
  <si>
    <t>Candidate_605</t>
  </si>
  <si>
    <t>1272 | Communication and Advocacy</t>
  </si>
  <si>
    <t>C1606</t>
  </si>
  <si>
    <t>Candidate_606</t>
  </si>
  <si>
    <t>1216 | Communication and Advocacy</t>
  </si>
  <si>
    <t>C1607</t>
  </si>
  <si>
    <t>Candidate_607</t>
  </si>
  <si>
    <t>1186 | Communication and Advocacy</t>
  </si>
  <si>
    <t>Operations-Business Partner</t>
  </si>
  <si>
    <t>C1608</t>
  </si>
  <si>
    <t>Candidate_608</t>
  </si>
  <si>
    <t>1129 | Communication and Advocacy</t>
  </si>
  <si>
    <t>C1609</t>
  </si>
  <si>
    <t>Candidate_609</t>
  </si>
  <si>
    <t>1082 | Communication and Advocacy</t>
  </si>
  <si>
    <t>C1610</t>
  </si>
  <si>
    <t>Candidate_610</t>
  </si>
  <si>
    <t>1046 | Communication and Advocacy</t>
  </si>
  <si>
    <t>C1611</t>
  </si>
  <si>
    <t>Candidate_611</t>
  </si>
  <si>
    <t>940 | Communication and Advocacy</t>
  </si>
  <si>
    <t>C1612</t>
  </si>
  <si>
    <t>Candidate_612</t>
  </si>
  <si>
    <t>848 | Communication and Advocacy</t>
  </si>
  <si>
    <t>C1613</t>
  </si>
  <si>
    <t>Candidate_613</t>
  </si>
  <si>
    <t>819 | Communication and Advocacy</t>
  </si>
  <si>
    <t>C1614</t>
  </si>
  <si>
    <t>Candidate_614</t>
  </si>
  <si>
    <t>814 | Communication and Advocacy</t>
  </si>
  <si>
    <t>C1615</t>
  </si>
  <si>
    <t>Candidate_615</t>
  </si>
  <si>
    <t>790 | Communication and Advocacy</t>
  </si>
  <si>
    <t>C1616</t>
  </si>
  <si>
    <t>Candidate_616</t>
  </si>
  <si>
    <t>736 | Communication and Advocacy</t>
  </si>
  <si>
    <t>C1617</t>
  </si>
  <si>
    <t>Candidate_617</t>
  </si>
  <si>
    <t>733 | Communication and Advocacy</t>
  </si>
  <si>
    <t>C1618</t>
  </si>
  <si>
    <t>Candidate_618</t>
  </si>
  <si>
    <t>681 | Communication and Advocacy</t>
  </si>
  <si>
    <t>C1619</t>
  </si>
  <si>
    <t>Candidate_619</t>
  </si>
  <si>
    <t>568 | Communication and Advocacy</t>
  </si>
  <si>
    <t>C1620</t>
  </si>
  <si>
    <t>Candidate_620</t>
  </si>
  <si>
    <t>565 | Communication and Advocacy</t>
  </si>
  <si>
    <t>C1621</t>
  </si>
  <si>
    <t>Candidate_621</t>
  </si>
  <si>
    <t>438 | Communication and Advocacy</t>
  </si>
  <si>
    <t>C1622</t>
  </si>
  <si>
    <t>Candidate_622</t>
  </si>
  <si>
    <t>435 | Communication and Advocacy</t>
  </si>
  <si>
    <t>C1623</t>
  </si>
  <si>
    <t>Candidate_623</t>
  </si>
  <si>
    <t>370 | Communication and Advocacy</t>
  </si>
  <si>
    <t>C1624</t>
  </si>
  <si>
    <t>Candidate_624</t>
  </si>
  <si>
    <t>361 | Communication and Advocacy</t>
  </si>
  <si>
    <t>C1625</t>
  </si>
  <si>
    <t>Candidate_625</t>
  </si>
  <si>
    <t>359 | Communication and Advocacy</t>
  </si>
  <si>
    <t>C1626</t>
  </si>
  <si>
    <t>Candidate_626</t>
  </si>
  <si>
    <t>2892 | Communication and Advocacy</t>
  </si>
  <si>
    <t>Operations - Executive</t>
  </si>
  <si>
    <t>Lead</t>
  </si>
  <si>
    <t>Operations-Lead</t>
  </si>
  <si>
    <t>C1627</t>
  </si>
  <si>
    <t>Candidate_627</t>
  </si>
  <si>
    <t>2663 | Communication and Advocacy</t>
  </si>
  <si>
    <t>C1628</t>
  </si>
  <si>
    <t>Candidate_628</t>
  </si>
  <si>
    <t>1901 | Communication and Advocacy</t>
  </si>
  <si>
    <t>C1629</t>
  </si>
  <si>
    <t>Candidate_629</t>
  </si>
  <si>
    <t>1539 | Communication and Advocacy</t>
  </si>
  <si>
    <t>C1630</t>
  </si>
  <si>
    <t>Candidate_630</t>
  </si>
  <si>
    <t>1454 | Communication and Advocacy</t>
  </si>
  <si>
    <t>C1631</t>
  </si>
  <si>
    <t>Candidate_631</t>
  </si>
  <si>
    <t>1130 | Communication and Advocacy</t>
  </si>
  <si>
    <t>C1632</t>
  </si>
  <si>
    <t>Candidate_632</t>
  </si>
  <si>
    <t>1123 | Communication and Advocacy</t>
  </si>
  <si>
    <t>C1633</t>
  </si>
  <si>
    <t>Candidate_633</t>
  </si>
  <si>
    <t>937 | Communication and Advocacy</t>
  </si>
  <si>
    <t>C1634</t>
  </si>
  <si>
    <t>Candidate_634</t>
  </si>
  <si>
    <t>935 | Communication and Advocacy</t>
  </si>
  <si>
    <t>C1635</t>
  </si>
  <si>
    <t>Candidate_635</t>
  </si>
  <si>
    <t>934 | Communication and Advocacy</t>
  </si>
  <si>
    <t>C1636</t>
  </si>
  <si>
    <t>Candidate_636</t>
  </si>
  <si>
    <t>932 | Communication and Advocacy</t>
  </si>
  <si>
    <t>C1637</t>
  </si>
  <si>
    <t>Candidate_637</t>
  </si>
  <si>
    <t>845 | Communication and Advocacy</t>
  </si>
  <si>
    <t>C1638</t>
  </si>
  <si>
    <t>Candidate_638</t>
  </si>
  <si>
    <t>844 | Communication and Advocacy</t>
  </si>
  <si>
    <t>C1639</t>
  </si>
  <si>
    <t>Candidate_639</t>
  </si>
  <si>
    <t>842 | Communication and Advocacy</t>
  </si>
  <si>
    <t>C1640</t>
  </si>
  <si>
    <t>Candidate_640</t>
  </si>
  <si>
    <t>785 | Communication and Advocacy</t>
  </si>
  <si>
    <t>C1641</t>
  </si>
  <si>
    <t>Candidate_641</t>
  </si>
  <si>
    <t>740 | Communication and Advocacy</t>
  </si>
  <si>
    <t>C1642</t>
  </si>
  <si>
    <t>Candidate_642</t>
  </si>
  <si>
    <t>686 | Communication and Advocacy</t>
  </si>
  <si>
    <t>Operations-Director</t>
  </si>
  <si>
    <t>C1643</t>
  </si>
  <si>
    <t>Candidate_643</t>
  </si>
  <si>
    <t>562 | Communication and Advocacy</t>
  </si>
  <si>
    <t>C1644</t>
  </si>
  <si>
    <t>Candidate_644</t>
  </si>
  <si>
    <t>561 | Communication and Advocacy</t>
  </si>
  <si>
    <t>C1645</t>
  </si>
  <si>
    <t>Candidate_645</t>
  </si>
  <si>
    <t>431 | Communication and Advocacy</t>
  </si>
  <si>
    <t>C1646</t>
  </si>
  <si>
    <t>Candidate_646</t>
  </si>
  <si>
    <t>328 | Communication and Advocacy</t>
  </si>
  <si>
    <t>C1647</t>
  </si>
  <si>
    <t>Candidate_647</t>
  </si>
  <si>
    <t>322 | Communication and Advocacy</t>
  </si>
  <si>
    <t>C1648</t>
  </si>
  <si>
    <t>Candidate_648</t>
  </si>
  <si>
    <t>321 | Communication and Advocacy</t>
  </si>
  <si>
    <t>C1649</t>
  </si>
  <si>
    <t>Candidate_649</t>
  </si>
  <si>
    <t>291 | Communication and Advocacy</t>
  </si>
  <si>
    <t>C1650</t>
  </si>
  <si>
    <t>Candidate_650</t>
  </si>
  <si>
    <t>276 | Communication and Advocacy</t>
  </si>
  <si>
    <t>C1651</t>
  </si>
  <si>
    <t>Candidate_651</t>
  </si>
  <si>
    <t>275 | Communication and Advocacy</t>
  </si>
  <si>
    <t>Operations-Head of Department</t>
  </si>
  <si>
    <t>C1652</t>
  </si>
  <si>
    <t>Candidate_652</t>
  </si>
  <si>
    <t>250 | Communication and Advocacy</t>
  </si>
  <si>
    <t>C1653</t>
  </si>
  <si>
    <t>Candidate_653</t>
  </si>
  <si>
    <t>248 | Communication and Advocacy</t>
  </si>
  <si>
    <t>C1654</t>
  </si>
  <si>
    <t>Candidate_654</t>
  </si>
  <si>
    <t>246 | Communication and Advocacy</t>
  </si>
  <si>
    <t>C1655</t>
  </si>
  <si>
    <t>Candidate_655</t>
  </si>
  <si>
    <t>245 | Communication and Advocacy</t>
  </si>
  <si>
    <t>C1656</t>
  </si>
  <si>
    <t>Candidate_656</t>
  </si>
  <si>
    <t>243 | Communication and Advocacy</t>
  </si>
  <si>
    <t>C1657</t>
  </si>
  <si>
    <t>Candidate_657</t>
  </si>
  <si>
    <t>198 | Communication and Advocacy</t>
  </si>
  <si>
    <t>C1658</t>
  </si>
  <si>
    <t>Candidate_658</t>
  </si>
  <si>
    <t>195 | Communication and Advocacy</t>
  </si>
  <si>
    <t>C1659</t>
  </si>
  <si>
    <t>Candidate_659</t>
  </si>
  <si>
    <t>193 | Communication and Advocacy</t>
  </si>
  <si>
    <t>C1660</t>
  </si>
  <si>
    <t>Candidate_660</t>
  </si>
  <si>
    <t>161 | Communication and Advocacy</t>
  </si>
  <si>
    <t>C1661</t>
  </si>
  <si>
    <t>Candidate_661</t>
  </si>
  <si>
    <t>121 | Communication and Advocacy</t>
  </si>
  <si>
    <t>C1662</t>
  </si>
  <si>
    <t>Candidate_662</t>
  </si>
  <si>
    <t>46 | Communication and Advocacy</t>
  </si>
  <si>
    <t>C1663</t>
  </si>
  <si>
    <t>Candidate_663</t>
  </si>
  <si>
    <t>2641 | Communication and Advocacy</t>
  </si>
  <si>
    <t>Operations - Associate</t>
  </si>
  <si>
    <t>C1664</t>
  </si>
  <si>
    <t>Candidate_664</t>
  </si>
  <si>
    <t>2413 | Communication and Advocacy</t>
  </si>
  <si>
    <t>C1665</t>
  </si>
  <si>
    <t>Candidate_665</t>
  </si>
  <si>
    <t>2333 | Communication and Advocacy</t>
  </si>
  <si>
    <t>C1666</t>
  </si>
  <si>
    <t>Candidate_666</t>
  </si>
  <si>
    <t>2253 | Communication and Advocacy</t>
  </si>
  <si>
    <t>C1667</t>
  </si>
  <si>
    <t>Candidate_667</t>
  </si>
  <si>
    <t>2150 | Communication and Advocacy</t>
  </si>
  <si>
    <t>C1668</t>
  </si>
  <si>
    <t>Candidate_668</t>
  </si>
  <si>
    <t>2052 | Communication and Advocacy</t>
  </si>
  <si>
    <t>C1669</t>
  </si>
  <si>
    <t>Candidate_669</t>
  </si>
  <si>
    <t>1897 | Communication and Advocacy</t>
  </si>
  <si>
    <t>C1670</t>
  </si>
  <si>
    <t>Candidate_670</t>
  </si>
  <si>
    <t>1747 | Communication and Advocacy</t>
  </si>
  <si>
    <t>C1671</t>
  </si>
  <si>
    <t>Candidate_671</t>
  </si>
  <si>
    <t>1428 | Communication and Advocacy</t>
  </si>
  <si>
    <t>C1672</t>
  </si>
  <si>
    <t>Candidate_672</t>
  </si>
  <si>
    <t>1211 | Communication and Advocacy</t>
  </si>
  <si>
    <t>C1673</t>
  </si>
  <si>
    <t>Candidate_673</t>
  </si>
  <si>
    <t>1139 | Communication and Advocacy</t>
  </si>
  <si>
    <t>C1674</t>
  </si>
  <si>
    <t>Candidate_674</t>
  </si>
  <si>
    <t>1022 | Communication and Advocacy</t>
  </si>
  <si>
    <t>C1675</t>
  </si>
  <si>
    <t>Candidate_675</t>
  </si>
  <si>
    <t>936 | Communication and Advocacy</t>
  </si>
  <si>
    <t>C1676</t>
  </si>
  <si>
    <t>Candidate_676</t>
  </si>
  <si>
    <t>850 | Communication and Advocacy</t>
  </si>
  <si>
    <t>C1677</t>
  </si>
  <si>
    <t>Candidate_677</t>
  </si>
  <si>
    <t>818 | Communication and Advocacy</t>
  </si>
  <si>
    <t>C1678</t>
  </si>
  <si>
    <t>Candidate_678</t>
  </si>
  <si>
    <t>817 | Communication and Advocacy</t>
  </si>
  <si>
    <t>C1679</t>
  </si>
  <si>
    <t>Candidate_679</t>
  </si>
  <si>
    <t>813 | Communication and Advocacy</t>
  </si>
  <si>
    <t>C1680</t>
  </si>
  <si>
    <t>Candidate_680</t>
  </si>
  <si>
    <t>812 | Communication and Advocacy</t>
  </si>
  <si>
    <t>C1681</t>
  </si>
  <si>
    <t>Candidate_681</t>
  </si>
  <si>
    <t>788 | Communication and Advocacy</t>
  </si>
  <si>
    <t>C1682</t>
  </si>
  <si>
    <t>Candidate_682</t>
  </si>
  <si>
    <t>786 | Communication and Advocacy</t>
  </si>
  <si>
    <t>C1683</t>
  </si>
  <si>
    <t>Candidate_683</t>
  </si>
  <si>
    <t>783 | Communication and Advocacy</t>
  </si>
  <si>
    <t>C1684</t>
  </si>
  <si>
    <t>Candidate_684</t>
  </si>
  <si>
    <t>732 | Communication and Advocacy</t>
  </si>
  <si>
    <t>C1685</t>
  </si>
  <si>
    <t>Candidate_685</t>
  </si>
  <si>
    <t>731 | Communication and Advocacy</t>
  </si>
  <si>
    <t>C1686</t>
  </si>
  <si>
    <t>Candidate_686</t>
  </si>
  <si>
    <t>690 | Communication and Advocacy</t>
  </si>
  <si>
    <t>C1687</t>
  </si>
  <si>
    <t>Candidate_687</t>
  </si>
  <si>
    <t>683 | Communication and Advocacy</t>
  </si>
  <si>
    <t>C1688</t>
  </si>
  <si>
    <t>Candidate_688</t>
  </si>
  <si>
    <t>564 | Communication and Advocacy</t>
  </si>
  <si>
    <t>C1689</t>
  </si>
  <si>
    <t>Candidate_689</t>
  </si>
  <si>
    <t>440 | Communication and Advocacy</t>
  </si>
  <si>
    <t>C1690</t>
  </si>
  <si>
    <t>Candidate_690</t>
  </si>
  <si>
    <t>436 | Communication and Advocacy</t>
  </si>
  <si>
    <t>C1691</t>
  </si>
  <si>
    <t>Candidate_691</t>
  </si>
  <si>
    <t>433 | Communication and Advocacy</t>
  </si>
  <si>
    <t>C1692</t>
  </si>
  <si>
    <t>Candidate_692</t>
  </si>
  <si>
    <t>368 | Communication and Advocacy</t>
  </si>
  <si>
    <t>C1693</t>
  </si>
  <si>
    <t>Candidate_693</t>
  </si>
  <si>
    <t>367 | Communication and Advocacy</t>
  </si>
  <si>
    <t>C1694</t>
  </si>
  <si>
    <t>Candidate_694</t>
  </si>
  <si>
    <t>362 | Communication and Advocacy</t>
  </si>
  <si>
    <t>C1695</t>
  </si>
  <si>
    <t>Candidate_695</t>
  </si>
  <si>
    <t>356 | Communication and Advocacy</t>
  </si>
  <si>
    <t>C1696</t>
  </si>
  <si>
    <t>Candidate_696</t>
  </si>
  <si>
    <t>351 | Communication and Advocacy</t>
  </si>
  <si>
    <t>C1697</t>
  </si>
  <si>
    <t>Candidate_697</t>
  </si>
  <si>
    <t>325 | Communication and Advocacy</t>
  </si>
  <si>
    <t>C1698</t>
  </si>
  <si>
    <t>Candidate_698</t>
  </si>
  <si>
    <t>300 | Communication and Advocacy</t>
  </si>
  <si>
    <t>C1699</t>
  </si>
  <si>
    <t>Candidate_699</t>
  </si>
  <si>
    <t>299 | Communication and Advocacy</t>
  </si>
  <si>
    <t>C1700</t>
  </si>
  <si>
    <t>Candidate_700</t>
  </si>
  <si>
    <t>295 | Communication and Advocacy</t>
  </si>
  <si>
    <t>C1701</t>
  </si>
  <si>
    <t>Candidate_701</t>
  </si>
  <si>
    <t>294 | Communication and Advocacy</t>
  </si>
  <si>
    <t>C1702</t>
  </si>
  <si>
    <t>Candidate_702</t>
  </si>
  <si>
    <t>292 | Communication and Advocacy</t>
  </si>
  <si>
    <t>C1703</t>
  </si>
  <si>
    <t>Candidate_703</t>
  </si>
  <si>
    <t>200 | Communication and Advocacy</t>
  </si>
  <si>
    <t>C1704</t>
  </si>
  <si>
    <t>Candidate_704</t>
  </si>
  <si>
    <t>191 | Communication and Advocacy</t>
  </si>
  <si>
    <t>C1705</t>
  </si>
  <si>
    <t>Candidate_705</t>
  </si>
  <si>
    <t>164 | Communication and Advocacy</t>
  </si>
  <si>
    <t>C1706</t>
  </si>
  <si>
    <t>Candidate_706</t>
  </si>
  <si>
    <t>162 | Communication and Advocacy</t>
  </si>
  <si>
    <t>C1707</t>
  </si>
  <si>
    <t>Candidate_707</t>
  </si>
  <si>
    <t>89 | Communication and Advocacy</t>
  </si>
  <si>
    <t>C1708</t>
  </si>
  <si>
    <t>Candidate_708</t>
  </si>
  <si>
    <t>83 | Communication and Advocacy</t>
  </si>
  <si>
    <t>C1709</t>
  </si>
  <si>
    <t>Candidate_709</t>
  </si>
  <si>
    <t>82 | Communication and Advocacy</t>
  </si>
  <si>
    <t>C1710</t>
  </si>
  <si>
    <t>Candidate_710</t>
  </si>
  <si>
    <t>45 | Communication and Advocacy</t>
  </si>
  <si>
    <t>C1711</t>
  </si>
  <si>
    <t>Candidate_711</t>
  </si>
  <si>
    <t>2988 | M and E</t>
  </si>
  <si>
    <t>M and E</t>
  </si>
  <si>
    <t>M and E - Senior Management</t>
  </si>
  <si>
    <t>M and E-Lead</t>
  </si>
  <si>
    <t>C1712</t>
  </si>
  <si>
    <t>Candidate_712</t>
  </si>
  <si>
    <t>2981 | M and E</t>
  </si>
  <si>
    <t>C1713</t>
  </si>
  <si>
    <t>Candidate_713</t>
  </si>
  <si>
    <t>2902 | M and E</t>
  </si>
  <si>
    <t>C1714</t>
  </si>
  <si>
    <t>Candidate_714</t>
  </si>
  <si>
    <t>2901 | M and E</t>
  </si>
  <si>
    <t>C1715</t>
  </si>
  <si>
    <t>Candidate_715</t>
  </si>
  <si>
    <t>2817 | M and E</t>
  </si>
  <si>
    <t>C1716</t>
  </si>
  <si>
    <t>Candidate_716</t>
  </si>
  <si>
    <t>2696 | M and E</t>
  </si>
  <si>
    <t>C1717</t>
  </si>
  <si>
    <t>Candidate_717</t>
  </si>
  <si>
    <t>2347 | M and E</t>
  </si>
  <si>
    <t>C1718</t>
  </si>
  <si>
    <t>Candidate_718</t>
  </si>
  <si>
    <t>2298 | M and E</t>
  </si>
  <si>
    <t>C1719</t>
  </si>
  <si>
    <t>Candidate_719</t>
  </si>
  <si>
    <t>2048 | M and E</t>
  </si>
  <si>
    <t xml:space="preserve"> M and E</t>
  </si>
  <si>
    <t>C1720</t>
  </si>
  <si>
    <t>Candidate_720</t>
  </si>
  <si>
    <t>2019 | M and E</t>
  </si>
  <si>
    <t>C1721</t>
  </si>
  <si>
    <t>Candidate_721</t>
  </si>
  <si>
    <t>1948 | M and E</t>
  </si>
  <si>
    <t>M and E-Senior Manager</t>
  </si>
  <si>
    <t>C1722</t>
  </si>
  <si>
    <t>Candidate_722</t>
  </si>
  <si>
    <t>1840 | M and E</t>
  </si>
  <si>
    <t>C1723</t>
  </si>
  <si>
    <t>Candidate_723</t>
  </si>
  <si>
    <t>1781 | M and E</t>
  </si>
  <si>
    <t>C1724</t>
  </si>
  <si>
    <t>Candidate_724</t>
  </si>
  <si>
    <t>1728 | M and E</t>
  </si>
  <si>
    <t>C1725</t>
  </si>
  <si>
    <t>Candidate_725</t>
  </si>
  <si>
    <t>1371 | M and E</t>
  </si>
  <si>
    <t>C1726</t>
  </si>
  <si>
    <t>Candidate_726</t>
  </si>
  <si>
    <t>1058 | M and E</t>
  </si>
  <si>
    <t>C1727</t>
  </si>
  <si>
    <t>Candidate_727</t>
  </si>
  <si>
    <t>2986 | M and E</t>
  </si>
  <si>
    <t>M and E - Senior</t>
  </si>
  <si>
    <t>Auditor</t>
  </si>
  <si>
    <t>M and E-Auditor</t>
  </si>
  <si>
    <t>C1728</t>
  </si>
  <si>
    <t>Candidate_728</t>
  </si>
  <si>
    <t>2903 | M and E</t>
  </si>
  <si>
    <t>C1729</t>
  </si>
  <si>
    <t>Candidate_729</t>
  </si>
  <si>
    <t>2873 | M and E</t>
  </si>
  <si>
    <t>C1730</t>
  </si>
  <si>
    <t>Candidate_730</t>
  </si>
  <si>
    <t>2872 | M and E</t>
  </si>
  <si>
    <t xml:space="preserve">M and E </t>
  </si>
  <si>
    <t>C1731</t>
  </si>
  <si>
    <t>Candidate_731</t>
  </si>
  <si>
    <t>2820 | M and E</t>
  </si>
  <si>
    <t>C1732</t>
  </si>
  <si>
    <t>Candidate_732</t>
  </si>
  <si>
    <t>2813 | M and E</t>
  </si>
  <si>
    <t>C1733</t>
  </si>
  <si>
    <t>Candidate_733</t>
  </si>
  <si>
    <t>2715 | M and E</t>
  </si>
  <si>
    <t>C1734</t>
  </si>
  <si>
    <t>Candidate_734</t>
  </si>
  <si>
    <t>2712 | M and E</t>
  </si>
  <si>
    <t>C1735</t>
  </si>
  <si>
    <t>Candidate_735</t>
  </si>
  <si>
    <t>2711 | M and E</t>
  </si>
  <si>
    <t>C1736</t>
  </si>
  <si>
    <t>Candidate_736</t>
  </si>
  <si>
    <t>2700 | M and E</t>
  </si>
  <si>
    <t>C1737</t>
  </si>
  <si>
    <t>Candidate_737</t>
  </si>
  <si>
    <t>2698 | M and E</t>
  </si>
  <si>
    <t>C1738</t>
  </si>
  <si>
    <t>Candidate_738</t>
  </si>
  <si>
    <t>2697 | M and E</t>
  </si>
  <si>
    <t>C1739</t>
  </si>
  <si>
    <t>Candidate_739</t>
  </si>
  <si>
    <t>2654 | M and E</t>
  </si>
  <si>
    <t>C1740</t>
  </si>
  <si>
    <t>Candidate_740</t>
  </si>
  <si>
    <t>2651 | M and E</t>
  </si>
  <si>
    <t>C1741</t>
  </si>
  <si>
    <t>Candidate_741</t>
  </si>
  <si>
    <t>2499 | M and E</t>
  </si>
  <si>
    <t>C1742</t>
  </si>
  <si>
    <t>Candidate_742</t>
  </si>
  <si>
    <t>2498 | M and E</t>
  </si>
  <si>
    <t>C1743</t>
  </si>
  <si>
    <t>Candidate_743</t>
  </si>
  <si>
    <t>2494 | M and E</t>
  </si>
  <si>
    <t>C1744</t>
  </si>
  <si>
    <t>Candidate_744</t>
  </si>
  <si>
    <t>2346 | M and E</t>
  </si>
  <si>
    <t>C1745</t>
  </si>
  <si>
    <t>Candidate_745</t>
  </si>
  <si>
    <t>2208 | M and E</t>
  </si>
  <si>
    <t>C1746</t>
  </si>
  <si>
    <t>Candidate_746</t>
  </si>
  <si>
    <t>2207 | M and E</t>
  </si>
  <si>
    <t>C1747</t>
  </si>
  <si>
    <t>Candidate_747</t>
  </si>
  <si>
    <t>2205 | M and E</t>
  </si>
  <si>
    <t>C1748</t>
  </si>
  <si>
    <t>Candidate_748</t>
  </si>
  <si>
    <t>2184 | M and E</t>
  </si>
  <si>
    <t>C1749</t>
  </si>
  <si>
    <t>Candidate_749</t>
  </si>
  <si>
    <t>2183 | M and E</t>
  </si>
  <si>
    <t>C1750</t>
  </si>
  <si>
    <t>Candidate_750</t>
  </si>
  <si>
    <t>2181 | M and E</t>
  </si>
  <si>
    <t>C1751</t>
  </si>
  <si>
    <t>Candidate_751</t>
  </si>
  <si>
    <t>2080 | M and E</t>
  </si>
  <si>
    <t>C1752</t>
  </si>
  <si>
    <t>Candidate_752</t>
  </si>
  <si>
    <t>2075 | M and E</t>
  </si>
  <si>
    <t>C1753</t>
  </si>
  <si>
    <t>Candidate_753</t>
  </si>
  <si>
    <t>2074 | M and E</t>
  </si>
  <si>
    <t>C1754</t>
  </si>
  <si>
    <t>Candidate_754</t>
  </si>
  <si>
    <t>2049 | M and E</t>
  </si>
  <si>
    <t>C1755</t>
  </si>
  <si>
    <t>Candidate_755</t>
  </si>
  <si>
    <t>2046 | M and E</t>
  </si>
  <si>
    <t>C1756</t>
  </si>
  <si>
    <t>Candidate_756</t>
  </si>
  <si>
    <t>2041 | M and E</t>
  </si>
  <si>
    <t>C1757</t>
  </si>
  <si>
    <t>Candidate_757</t>
  </si>
  <si>
    <t>2017 | M and E</t>
  </si>
  <si>
    <t>M and E-Business Partner</t>
  </si>
  <si>
    <t>C1758</t>
  </si>
  <si>
    <t>Candidate_758</t>
  </si>
  <si>
    <t>2014 | M and E</t>
  </si>
  <si>
    <t>C1759</t>
  </si>
  <si>
    <t>Candidate_759</t>
  </si>
  <si>
    <t>2011 | M and E</t>
  </si>
  <si>
    <t>C1760</t>
  </si>
  <si>
    <t>Candidate_760</t>
  </si>
  <si>
    <t>1949 | M and E</t>
  </si>
  <si>
    <t>C1761</t>
  </si>
  <si>
    <t>Candidate_761</t>
  </si>
  <si>
    <t>1946 | M and E</t>
  </si>
  <si>
    <t>C1762</t>
  </si>
  <si>
    <t>Candidate_762</t>
  </si>
  <si>
    <t>1941 | M and E</t>
  </si>
  <si>
    <t>C1763</t>
  </si>
  <si>
    <t>Candidate_763</t>
  </si>
  <si>
    <t>1836 | M and E</t>
  </si>
  <si>
    <t>C1764</t>
  </si>
  <si>
    <t>Candidate_764</t>
  </si>
  <si>
    <t>1788 | M and E</t>
  </si>
  <si>
    <t>C1765</t>
  </si>
  <si>
    <t>Candidate_765</t>
  </si>
  <si>
    <t>1784 | M and E</t>
  </si>
  <si>
    <t>C1766</t>
  </si>
  <si>
    <t>Candidate_766</t>
  </si>
  <si>
    <t>1767 | M and E</t>
  </si>
  <si>
    <t>C1767</t>
  </si>
  <si>
    <t>Candidate_767</t>
  </si>
  <si>
    <t>1766 | M and E</t>
  </si>
  <si>
    <t>C1768</t>
  </si>
  <si>
    <t>Candidate_768</t>
  </si>
  <si>
    <t>1763 | M and E</t>
  </si>
  <si>
    <t>C1769</t>
  </si>
  <si>
    <t>Candidate_769</t>
  </si>
  <si>
    <t>1761 | M and E</t>
  </si>
  <si>
    <t>C1770</t>
  </si>
  <si>
    <t>Candidate_770</t>
  </si>
  <si>
    <t>1660 | M and E</t>
  </si>
  <si>
    <t>C1771</t>
  </si>
  <si>
    <t>Candidate_771</t>
  </si>
  <si>
    <t>1655 | M and E</t>
  </si>
  <si>
    <t>C1772</t>
  </si>
  <si>
    <t>Candidate_772</t>
  </si>
  <si>
    <t>1653 | M and E</t>
  </si>
  <si>
    <t>C1773</t>
  </si>
  <si>
    <t>Candidate_773</t>
  </si>
  <si>
    <t>1630 | M and E</t>
  </si>
  <si>
    <t>C1774</t>
  </si>
  <si>
    <t>Candidate_774</t>
  </si>
  <si>
    <t>1627 | M and E</t>
  </si>
  <si>
    <t>C1775</t>
  </si>
  <si>
    <t>Candidate_775</t>
  </si>
  <si>
    <t>1480 | M and E</t>
  </si>
  <si>
    <t>C1776</t>
  </si>
  <si>
    <t>Candidate_776</t>
  </si>
  <si>
    <t>1476 | M and E</t>
  </si>
  <si>
    <t>C1777</t>
  </si>
  <si>
    <t>Candidate_777</t>
  </si>
  <si>
    <t>1474 | M and E</t>
  </si>
  <si>
    <t>C1778</t>
  </si>
  <si>
    <t>Candidate_778</t>
  </si>
  <si>
    <t>1472 | M and E</t>
  </si>
  <si>
    <t>C1779</t>
  </si>
  <si>
    <t>Candidate_779</t>
  </si>
  <si>
    <t>1471 | M and E</t>
  </si>
  <si>
    <t>C1780</t>
  </si>
  <si>
    <t>Candidate_780</t>
  </si>
  <si>
    <t>1380 | M and E</t>
  </si>
  <si>
    <t>M and E-Analyst</t>
  </si>
  <si>
    <t>C1781</t>
  </si>
  <si>
    <t>Candidate_781</t>
  </si>
  <si>
    <t>1375 | M and E</t>
  </si>
  <si>
    <t>C1782</t>
  </si>
  <si>
    <t>Candidate_782</t>
  </si>
  <si>
    <t>1349 | M and E</t>
  </si>
  <si>
    <t>C1783</t>
  </si>
  <si>
    <t>Candidate_783</t>
  </si>
  <si>
    <t>1344 | M and E</t>
  </si>
  <si>
    <t>C1784</t>
  </si>
  <si>
    <t>Candidate_784</t>
  </si>
  <si>
    <t>1092 | M and E</t>
  </si>
  <si>
    <t>C1785</t>
  </si>
  <si>
    <t>Candidate_785</t>
  </si>
  <si>
    <t>1052 | M and E</t>
  </si>
  <si>
    <t>C1786</t>
  </si>
  <si>
    <t>Candidate_786</t>
  </si>
  <si>
    <t>1051 | M and E</t>
  </si>
  <si>
    <t>C1787</t>
  </si>
  <si>
    <t>Candidate_787</t>
  </si>
  <si>
    <t>1006 | M and E</t>
  </si>
  <si>
    <t>C1788</t>
  </si>
  <si>
    <t>Candidate_788</t>
  </si>
  <si>
    <t>1004 | M and E</t>
  </si>
  <si>
    <t>C1789</t>
  </si>
  <si>
    <t>Candidate_789</t>
  </si>
  <si>
    <t>1003 | M and E</t>
  </si>
  <si>
    <t>C1790</t>
  </si>
  <si>
    <t>Candidate_790</t>
  </si>
  <si>
    <t>990 | M and E</t>
  </si>
  <si>
    <t>C1791</t>
  </si>
  <si>
    <t>Candidate_791</t>
  </si>
  <si>
    <t>989 | M and E</t>
  </si>
  <si>
    <t>C1792</t>
  </si>
  <si>
    <t>Candidate_792</t>
  </si>
  <si>
    <t>988 | M and E</t>
  </si>
  <si>
    <t>C1793</t>
  </si>
  <si>
    <t>Candidate_793</t>
  </si>
  <si>
    <t>986 | M and E</t>
  </si>
  <si>
    <t>C1794</t>
  </si>
  <si>
    <t>Candidate_794</t>
  </si>
  <si>
    <t>985 | M and E</t>
  </si>
  <si>
    <t>C1795</t>
  </si>
  <si>
    <t>Candidate_795</t>
  </si>
  <si>
    <t>983 | M and E</t>
  </si>
  <si>
    <t>C1796</t>
  </si>
  <si>
    <t>Candidate_796</t>
  </si>
  <si>
    <t>878 | M and E</t>
  </si>
  <si>
    <t>C1797</t>
  </si>
  <si>
    <t>Candidate_797</t>
  </si>
  <si>
    <t>874 | M and E</t>
  </si>
  <si>
    <t>C1798</t>
  </si>
  <si>
    <t>Candidate_798</t>
  </si>
  <si>
    <t>753 | M and E</t>
  </si>
  <si>
    <t>C1799</t>
  </si>
  <si>
    <t>Candidate_799</t>
  </si>
  <si>
    <t>700 | M and E</t>
  </si>
  <si>
    <t>C1800</t>
  </si>
  <si>
    <t>Candidate_800</t>
  </si>
  <si>
    <t>645 | M and E</t>
  </si>
  <si>
    <t>C1801</t>
  </si>
  <si>
    <t>Candidate_801</t>
  </si>
  <si>
    <t>644 | M and E</t>
  </si>
  <si>
    <t>C1802</t>
  </si>
  <si>
    <t>Candidate_802</t>
  </si>
  <si>
    <t>558 | M and E</t>
  </si>
  <si>
    <t>C1803</t>
  </si>
  <si>
    <t>Candidate_803</t>
  </si>
  <si>
    <t>554 | M and E</t>
  </si>
  <si>
    <t>C1804</t>
  </si>
  <si>
    <t>Candidate_804</t>
  </si>
  <si>
    <t>2989 | M and E</t>
  </si>
  <si>
    <t>M and E - Manager Level</t>
  </si>
  <si>
    <t>M and E-Manager</t>
  </si>
  <si>
    <t>C1805</t>
  </si>
  <si>
    <t>Candidate_805</t>
  </si>
  <si>
    <t>2907 | M and E</t>
  </si>
  <si>
    <t>C1806</t>
  </si>
  <si>
    <t>Candidate_806</t>
  </si>
  <si>
    <t>2880 | M and E</t>
  </si>
  <si>
    <t>C1807</t>
  </si>
  <si>
    <t>Candidate_807</t>
  </si>
  <si>
    <t>2876 | M and E</t>
  </si>
  <si>
    <t>C1808</t>
  </si>
  <si>
    <t>Candidate_808</t>
  </si>
  <si>
    <t>2875 | M and E</t>
  </si>
  <si>
    <t>C1809</t>
  </si>
  <si>
    <t>Candidate_809</t>
  </si>
  <si>
    <t>2871 | M and E</t>
  </si>
  <si>
    <t>C1810</t>
  </si>
  <si>
    <t>Candidate_810</t>
  </si>
  <si>
    <t>2811 | M and E</t>
  </si>
  <si>
    <t>C1811</t>
  </si>
  <si>
    <t>Candidate_811</t>
  </si>
  <si>
    <t>2718 | M and E</t>
  </si>
  <si>
    <t>C1812</t>
  </si>
  <si>
    <t>Candidate_812</t>
  </si>
  <si>
    <t>2714 | M and E</t>
  </si>
  <si>
    <t>C1813</t>
  </si>
  <si>
    <t>Candidate_813</t>
  </si>
  <si>
    <t>2652 | M and E</t>
  </si>
  <si>
    <t>C1814</t>
  </si>
  <si>
    <t>Candidate_814</t>
  </si>
  <si>
    <t>2608 | M and E</t>
  </si>
  <si>
    <t>C1815</t>
  </si>
  <si>
    <t>Candidate_815</t>
  </si>
  <si>
    <t>2605 | M and E</t>
  </si>
  <si>
    <t>C1816</t>
  </si>
  <si>
    <t>Candidate_816</t>
  </si>
  <si>
    <t>2470 | M and E</t>
  </si>
  <si>
    <t>C1817</t>
  </si>
  <si>
    <t>Candidate_817</t>
  </si>
  <si>
    <t>2466 | M and E</t>
  </si>
  <si>
    <t>C1818</t>
  </si>
  <si>
    <t>Candidate_818</t>
  </si>
  <si>
    <t>2433 | M and E</t>
  </si>
  <si>
    <t>C1819</t>
  </si>
  <si>
    <t>Candidate_819</t>
  </si>
  <si>
    <t>2350 | M and E</t>
  </si>
  <si>
    <t>C1820</t>
  </si>
  <si>
    <t>Candidate_820</t>
  </si>
  <si>
    <t>2343 | M and E</t>
  </si>
  <si>
    <t>C1821</t>
  </si>
  <si>
    <t>Candidate_821</t>
  </si>
  <si>
    <t>2182 | M and E</t>
  </si>
  <si>
    <t>C1822</t>
  </si>
  <si>
    <t>Candidate_822</t>
  </si>
  <si>
    <t>2079 | M and E</t>
  </si>
  <si>
    <t>C1823</t>
  </si>
  <si>
    <t>Candidate_823</t>
  </si>
  <si>
    <t>2076 | M and E</t>
  </si>
  <si>
    <t>C1824</t>
  </si>
  <si>
    <t>Candidate_824</t>
  </si>
  <si>
    <t>2020 | M and E</t>
  </si>
  <si>
    <t>C1825</t>
  </si>
  <si>
    <t>Candidate_825</t>
  </si>
  <si>
    <t>1950 | M and E</t>
  </si>
  <si>
    <t>C1826</t>
  </si>
  <si>
    <t>Candidate_826</t>
  </si>
  <si>
    <t>1945 | M and E</t>
  </si>
  <si>
    <t>C1827</t>
  </si>
  <si>
    <t>Candidate_827</t>
  </si>
  <si>
    <t>1942 | M and E</t>
  </si>
  <si>
    <t>C1828</t>
  </si>
  <si>
    <t>Candidate_828</t>
  </si>
  <si>
    <t>1927 | M and E</t>
  </si>
  <si>
    <t>C1829</t>
  </si>
  <si>
    <t>Candidate_829</t>
  </si>
  <si>
    <t>1923 | M and E</t>
  </si>
  <si>
    <t>C1830</t>
  </si>
  <si>
    <t>Candidate_830</t>
  </si>
  <si>
    <t>1839 | M and E</t>
  </si>
  <si>
    <t>C1831</t>
  </si>
  <si>
    <t>Candidate_831</t>
  </si>
  <si>
    <t>1790 | M and E</t>
  </si>
  <si>
    <t>C1832</t>
  </si>
  <si>
    <t>Candidate_832</t>
  </si>
  <si>
    <t>1782 | M and E</t>
  </si>
  <si>
    <t>C1833</t>
  </si>
  <si>
    <t>Candidate_833</t>
  </si>
  <si>
    <t>1768 | M and E</t>
  </si>
  <si>
    <t>C1834</t>
  </si>
  <si>
    <t>Candidate_834</t>
  </si>
  <si>
    <t>1765 | M and E</t>
  </si>
  <si>
    <t>C1835</t>
  </si>
  <si>
    <t>Candidate_835</t>
  </si>
  <si>
    <t>1764 | M and E</t>
  </si>
  <si>
    <t>C1836</t>
  </si>
  <si>
    <t>Candidate_836</t>
  </si>
  <si>
    <t>1729 | M and E</t>
  </si>
  <si>
    <t>C1837</t>
  </si>
  <si>
    <t>Candidate_837</t>
  </si>
  <si>
    <t>1721 | M and E</t>
  </si>
  <si>
    <t>C1838</t>
  </si>
  <si>
    <t>Candidate_838</t>
  </si>
  <si>
    <t>1651 | M and E</t>
  </si>
  <si>
    <t>C1839</t>
  </si>
  <si>
    <t>Candidate_839</t>
  </si>
  <si>
    <t>1626 | M and E</t>
  </si>
  <si>
    <t>C1840</t>
  </si>
  <si>
    <t>Candidate_840</t>
  </si>
  <si>
    <t>1610 | M and E</t>
  </si>
  <si>
    <t>C1841</t>
  </si>
  <si>
    <t>Candidate_841</t>
  </si>
  <si>
    <t>1609 | M and E</t>
  </si>
  <si>
    <t>C1842</t>
  </si>
  <si>
    <t>Candidate_842</t>
  </si>
  <si>
    <t>1608 | M and E</t>
  </si>
  <si>
    <t>C1843</t>
  </si>
  <si>
    <t>Candidate_843</t>
  </si>
  <si>
    <t>1604 | M and E</t>
  </si>
  <si>
    <t>C1844</t>
  </si>
  <si>
    <t>Candidate_844</t>
  </si>
  <si>
    <t>1475 | M and E</t>
  </si>
  <si>
    <t>C1845</t>
  </si>
  <si>
    <t>Candidate_845</t>
  </si>
  <si>
    <t>1055 | M and E</t>
  </si>
  <si>
    <t>C1846</t>
  </si>
  <si>
    <t>Candidate_846</t>
  </si>
  <si>
    <t>1001 | M and E</t>
  </si>
  <si>
    <t>C1847</t>
  </si>
  <si>
    <t>Candidate_847</t>
  </si>
  <si>
    <t>982 | M and E</t>
  </si>
  <si>
    <t>C1848</t>
  </si>
  <si>
    <t>Candidate_848</t>
  </si>
  <si>
    <t>873 | M and E</t>
  </si>
  <si>
    <t>C1849</t>
  </si>
  <si>
    <t>Candidate_849</t>
  </si>
  <si>
    <t>871 | M and E</t>
  </si>
  <si>
    <t>C1850</t>
  </si>
  <si>
    <t>Candidate_850</t>
  </si>
  <si>
    <t>752 | M and E</t>
  </si>
  <si>
    <t>C1851</t>
  </si>
  <si>
    <t>Candidate_851</t>
  </si>
  <si>
    <t>699 | M and E</t>
  </si>
  <si>
    <t>C1852</t>
  </si>
  <si>
    <t>Candidate_852</t>
  </si>
  <si>
    <t>698 | M and E</t>
  </si>
  <si>
    <t>C1853</t>
  </si>
  <si>
    <t>Candidate_853</t>
  </si>
  <si>
    <t>696 | M and E</t>
  </si>
  <si>
    <t>C1854</t>
  </si>
  <si>
    <t>Candidate_854</t>
  </si>
  <si>
    <t>695 | M and E</t>
  </si>
  <si>
    <t>C1855</t>
  </si>
  <si>
    <t>Candidate_855</t>
  </si>
  <si>
    <t>648 | M and E</t>
  </si>
  <si>
    <t>C1856</t>
  </si>
  <si>
    <t>Candidate_856</t>
  </si>
  <si>
    <t>643 | M and E</t>
  </si>
  <si>
    <t>C1857</t>
  </si>
  <si>
    <t>Candidate_857</t>
  </si>
  <si>
    <t>642 | M and E</t>
  </si>
  <si>
    <t>C1858</t>
  </si>
  <si>
    <t>Candidate_858</t>
  </si>
  <si>
    <t>589 | M and E</t>
  </si>
  <si>
    <t>C1859</t>
  </si>
  <si>
    <t>Candidate_859</t>
  </si>
  <si>
    <t>586 | M and E</t>
  </si>
  <si>
    <t>C1860</t>
  </si>
  <si>
    <t>Candidate_860</t>
  </si>
  <si>
    <t>585 | M and E</t>
  </si>
  <si>
    <t>C1861</t>
  </si>
  <si>
    <t>Candidate_861</t>
  </si>
  <si>
    <t>584 | M and E</t>
  </si>
  <si>
    <t>C1862</t>
  </si>
  <si>
    <t>Candidate_862</t>
  </si>
  <si>
    <t>581 | M and E</t>
  </si>
  <si>
    <t>C1863</t>
  </si>
  <si>
    <t>Candidate_863</t>
  </si>
  <si>
    <t>555 | M and E</t>
  </si>
  <si>
    <t>C1864</t>
  </si>
  <si>
    <t>Candidate_864</t>
  </si>
  <si>
    <t>542 | M and E</t>
  </si>
  <si>
    <t>C1865</t>
  </si>
  <si>
    <t>Candidate_865</t>
  </si>
  <si>
    <t>529 | M and E</t>
  </si>
  <si>
    <t>C1866</t>
  </si>
  <si>
    <t>Candidate_866</t>
  </si>
  <si>
    <t>526 | M and E</t>
  </si>
  <si>
    <t>C1867</t>
  </si>
  <si>
    <t>Candidate_867</t>
  </si>
  <si>
    <t>2908 | M and E</t>
  </si>
  <si>
    <t>M and E - Junior</t>
  </si>
  <si>
    <t>C1868</t>
  </si>
  <si>
    <t>Candidate_868</t>
  </si>
  <si>
    <t>2906 | M and E</t>
  </si>
  <si>
    <t>C1869</t>
  </si>
  <si>
    <t>Candidate_869</t>
  </si>
  <si>
    <t>2904 | M and E</t>
  </si>
  <si>
    <t>C1870</t>
  </si>
  <si>
    <t>Candidate_870</t>
  </si>
  <si>
    <t>2812 | M and E</t>
  </si>
  <si>
    <t>C1871</t>
  </si>
  <si>
    <t>Candidate_871</t>
  </si>
  <si>
    <t>2720 | M and E</t>
  </si>
  <si>
    <t>C1872</t>
  </si>
  <si>
    <t>Candidate_872</t>
  </si>
  <si>
    <t>2719 | M and E</t>
  </si>
  <si>
    <t>C1873</t>
  </si>
  <si>
    <t>Candidate_873</t>
  </si>
  <si>
    <t>2693 | M and E</t>
  </si>
  <si>
    <t>C1874</t>
  </si>
  <si>
    <t>Candidate_874</t>
  </si>
  <si>
    <t>2659 | M and E</t>
  </si>
  <si>
    <t>C1875</t>
  </si>
  <si>
    <t>Candidate_875</t>
  </si>
  <si>
    <t>2658 | M and E</t>
  </si>
  <si>
    <t>C1876</t>
  </si>
  <si>
    <t>Candidate_876</t>
  </si>
  <si>
    <t>2656 | M and E</t>
  </si>
  <si>
    <t>C1877</t>
  </si>
  <si>
    <t>Candidate_877</t>
  </si>
  <si>
    <t>2655 | M and E</t>
  </si>
  <si>
    <t>C1878</t>
  </si>
  <si>
    <t>Candidate_878</t>
  </si>
  <si>
    <t>2610 | M and E</t>
  </si>
  <si>
    <t>M and E-Extension Officer</t>
  </si>
  <si>
    <t>C1879</t>
  </si>
  <si>
    <t>Candidate_879</t>
  </si>
  <si>
    <t>2609 | M and E</t>
  </si>
  <si>
    <t>C1880</t>
  </si>
  <si>
    <t>Candidate_880</t>
  </si>
  <si>
    <t>2606 | M and E</t>
  </si>
  <si>
    <t>C1881</t>
  </si>
  <si>
    <t>Candidate_881</t>
  </si>
  <si>
    <t>2603 | M and E</t>
  </si>
  <si>
    <t>C1882</t>
  </si>
  <si>
    <t>Candidate_882</t>
  </si>
  <si>
    <t>2602 | M and E</t>
  </si>
  <si>
    <t>C1883</t>
  </si>
  <si>
    <t>Candidate_883</t>
  </si>
  <si>
    <t>2496 | M and E</t>
  </si>
  <si>
    <t>C1884</t>
  </si>
  <si>
    <t>Candidate_884</t>
  </si>
  <si>
    <t>2492 | M and E</t>
  </si>
  <si>
    <t>C1885</t>
  </si>
  <si>
    <t>Candidate_885</t>
  </si>
  <si>
    <t>2469 | M and E</t>
  </si>
  <si>
    <t>C1886</t>
  </si>
  <si>
    <t>Candidate_886</t>
  </si>
  <si>
    <t>2464 | M and E</t>
  </si>
  <si>
    <t>C1887</t>
  </si>
  <si>
    <t>Candidate_887</t>
  </si>
  <si>
    <t>2432 | M and E</t>
  </si>
  <si>
    <t>C1888</t>
  </si>
  <si>
    <t>Candidate_888</t>
  </si>
  <si>
    <t>2344 | M and E</t>
  </si>
  <si>
    <t>C1889</t>
  </si>
  <si>
    <t>Candidate_889</t>
  </si>
  <si>
    <t>2209 | M and E</t>
  </si>
  <si>
    <t>C1890</t>
  </si>
  <si>
    <t>Candidate_890</t>
  </si>
  <si>
    <t>2206 | M and E</t>
  </si>
  <si>
    <t>C1891</t>
  </si>
  <si>
    <t>Candidate_891</t>
  </si>
  <si>
    <t>2188 | M and E</t>
  </si>
  <si>
    <t>C1892</t>
  </si>
  <si>
    <t>Candidate_892</t>
  </si>
  <si>
    <t>2186 | M and E</t>
  </si>
  <si>
    <t>C1893</t>
  </si>
  <si>
    <t>Candidate_893</t>
  </si>
  <si>
    <t>2185 | M and E</t>
  </si>
  <si>
    <t>C1894</t>
  </si>
  <si>
    <t>Candidate_894</t>
  </si>
  <si>
    <t>2077 | M and E</t>
  </si>
  <si>
    <t>C1895</t>
  </si>
  <si>
    <t>Candidate_895</t>
  </si>
  <si>
    <t>2016 | M and E</t>
  </si>
  <si>
    <t>C1896</t>
  </si>
  <si>
    <t>Candidate_896</t>
  </si>
  <si>
    <t>2013 | M and E</t>
  </si>
  <si>
    <t>C1897</t>
  </si>
  <si>
    <t>Candidate_897</t>
  </si>
  <si>
    <t>1944 | M and E</t>
  </si>
  <si>
    <t>C1898</t>
  </si>
  <si>
    <t>Candidate_898</t>
  </si>
  <si>
    <t>1922 | M and E</t>
  </si>
  <si>
    <t>C1899</t>
  </si>
  <si>
    <t>Candidate_899</t>
  </si>
  <si>
    <t>1834 | M and E</t>
  </si>
  <si>
    <t>C1900</t>
  </si>
  <si>
    <t>Candidate_900</t>
  </si>
  <si>
    <t>1789 | M and E</t>
  </si>
  <si>
    <t>C1901</t>
  </si>
  <si>
    <t>Candidate_901</t>
  </si>
  <si>
    <t>1786 | M and E</t>
  </si>
  <si>
    <t>C1902</t>
  </si>
  <si>
    <t>Candidate_902</t>
  </si>
  <si>
    <t>1783 | M and E</t>
  </si>
  <si>
    <t>C1903</t>
  </si>
  <si>
    <t>Candidate_903</t>
  </si>
  <si>
    <t>1769 | M and E</t>
  </si>
  <si>
    <t>C1904</t>
  </si>
  <si>
    <t>Candidate_904</t>
  </si>
  <si>
    <t>1762 | M and E</t>
  </si>
  <si>
    <t>C1905</t>
  </si>
  <si>
    <t>Candidate_905</t>
  </si>
  <si>
    <t>1725 | M and E</t>
  </si>
  <si>
    <t>C1906</t>
  </si>
  <si>
    <t>Candidate_906</t>
  </si>
  <si>
    <t>1723 | M and E</t>
  </si>
  <si>
    <t>C1907</t>
  </si>
  <si>
    <t>Candidate_907</t>
  </si>
  <si>
    <t>1622 | M and E</t>
  </si>
  <si>
    <t>C1908</t>
  </si>
  <si>
    <t>Candidate_908</t>
  </si>
  <si>
    <t>1607 | M and E</t>
  </si>
  <si>
    <t>C1909</t>
  </si>
  <si>
    <t>Candidate_909</t>
  </si>
  <si>
    <t>1606 | M and E</t>
  </si>
  <si>
    <t>C1910</t>
  </si>
  <si>
    <t>Candidate_910</t>
  </si>
  <si>
    <t>1605 | M and E</t>
  </si>
  <si>
    <t>C1911</t>
  </si>
  <si>
    <t>Candidate_911</t>
  </si>
  <si>
    <t>1601 | M and E</t>
  </si>
  <si>
    <t>C1912</t>
  </si>
  <si>
    <t>Candidate_912</t>
  </si>
  <si>
    <t>1479 | M and E</t>
  </si>
  <si>
    <t>C1913</t>
  </si>
  <si>
    <t>Candidate_913</t>
  </si>
  <si>
    <t>1379 | M and E</t>
  </si>
  <si>
    <t>C1914</t>
  </si>
  <si>
    <t>Candidate_914</t>
  </si>
  <si>
    <t>1377 | M and E</t>
  </si>
  <si>
    <t>C1915</t>
  </si>
  <si>
    <t>Candidate_915</t>
  </si>
  <si>
    <t>1350 | M and E</t>
  </si>
  <si>
    <t>C1916</t>
  </si>
  <si>
    <t>Candidate_916</t>
  </si>
  <si>
    <t>1347 | M and E</t>
  </si>
  <si>
    <t>C1917</t>
  </si>
  <si>
    <t>Candidate_917</t>
  </si>
  <si>
    <t>1346 | M and E</t>
  </si>
  <si>
    <t>C1918</t>
  </si>
  <si>
    <t>Candidate_918</t>
  </si>
  <si>
    <t>1341 | M and E</t>
  </si>
  <si>
    <t>C1919</t>
  </si>
  <si>
    <t>Candidate_919</t>
  </si>
  <si>
    <t>1095 | M and E</t>
  </si>
  <si>
    <t>C1920</t>
  </si>
  <si>
    <t>Candidate_920</t>
  </si>
  <si>
    <t>1053 | M and E</t>
  </si>
  <si>
    <t>C1921</t>
  </si>
  <si>
    <t>Candidate_921</t>
  </si>
  <si>
    <t>1002 | M and E</t>
  </si>
  <si>
    <t>C1922</t>
  </si>
  <si>
    <t>Candidate_922</t>
  </si>
  <si>
    <t>984 | M and E</t>
  </si>
  <si>
    <t>C1923</t>
  </si>
  <si>
    <t>Candidate_923</t>
  </si>
  <si>
    <t>880 | M and E</t>
  </si>
  <si>
    <t>C1924</t>
  </si>
  <si>
    <t>Candidate_924</t>
  </si>
  <si>
    <t>758 | M and E</t>
  </si>
  <si>
    <t>C1925</t>
  </si>
  <si>
    <t>Candidate_925</t>
  </si>
  <si>
    <t>755 | M and E</t>
  </si>
  <si>
    <t>C1926</t>
  </si>
  <si>
    <t>Candidate_926</t>
  </si>
  <si>
    <t>754 | M and E</t>
  </si>
  <si>
    <t>C1927</t>
  </si>
  <si>
    <t>Candidate_927</t>
  </si>
  <si>
    <t>692 | M and E</t>
  </si>
  <si>
    <t>C1928</t>
  </si>
  <si>
    <t>Candidate_928</t>
  </si>
  <si>
    <t>559 | M and E</t>
  </si>
  <si>
    <t>C1929</t>
  </si>
  <si>
    <t>Candidate_929</t>
  </si>
  <si>
    <t>553 | M and E</t>
  </si>
  <si>
    <t>C1930</t>
  </si>
  <si>
    <t>Candidate_930</t>
  </si>
  <si>
    <t>552 | M and E</t>
  </si>
  <si>
    <t>C1931</t>
  </si>
  <si>
    <t>Candidate_931</t>
  </si>
  <si>
    <t>551 | M and E</t>
  </si>
  <si>
    <t>C1932</t>
  </si>
  <si>
    <t>Candidate_932</t>
  </si>
  <si>
    <t>547 | M and E</t>
  </si>
  <si>
    <t>C1933</t>
  </si>
  <si>
    <t>Candidate_933</t>
  </si>
  <si>
    <t>545 | M and E</t>
  </si>
  <si>
    <t>C1934</t>
  </si>
  <si>
    <t>Candidate_934</t>
  </si>
  <si>
    <t>541 | M and E</t>
  </si>
  <si>
    <t>C1935</t>
  </si>
  <si>
    <t>Candidate_935</t>
  </si>
  <si>
    <t>2982 | M and E</t>
  </si>
  <si>
    <t>M and E - Executive</t>
  </si>
  <si>
    <t>C1936</t>
  </si>
  <si>
    <t>Candidate_936</t>
  </si>
  <si>
    <t>2462 | M and E</t>
  </si>
  <si>
    <t>C1937</t>
  </si>
  <si>
    <t>Candidate_937</t>
  </si>
  <si>
    <t>2341 | M and E</t>
  </si>
  <si>
    <t>C1938</t>
  </si>
  <si>
    <t>Candidate_938</t>
  </si>
  <si>
    <t>2291 | M and E</t>
  </si>
  <si>
    <t>C1939</t>
  </si>
  <si>
    <t>Candidate_939</t>
  </si>
  <si>
    <t>2201 | M and E</t>
  </si>
  <si>
    <t>C1940</t>
  </si>
  <si>
    <t>Candidate_940</t>
  </si>
  <si>
    <t>2078 | M and E</t>
  </si>
  <si>
    <t>C1941</t>
  </si>
  <si>
    <t>Candidate_941</t>
  </si>
  <si>
    <t>2073 | M and E</t>
  </si>
  <si>
    <t>C1942</t>
  </si>
  <si>
    <t>Candidate_942</t>
  </si>
  <si>
    <t>2050 | M and E</t>
  </si>
  <si>
    <t>C1943</t>
  </si>
  <si>
    <t>Candidate_943</t>
  </si>
  <si>
    <t>1929 | M and E</t>
  </si>
  <si>
    <t>C1944</t>
  </si>
  <si>
    <t>Candidate_944</t>
  </si>
  <si>
    <t>875 | M and E</t>
  </si>
  <si>
    <t>C1945</t>
  </si>
  <si>
    <t>Candidate_945</t>
  </si>
  <si>
    <t>756 | M and E</t>
  </si>
  <si>
    <t>C1946</t>
  </si>
  <si>
    <t>Candidate_946</t>
  </si>
  <si>
    <t>697 | M and E</t>
  </si>
  <si>
    <t>C1947</t>
  </si>
  <si>
    <t>Candidate_947</t>
  </si>
  <si>
    <t>649 | M and E</t>
  </si>
  <si>
    <t>Associate Director</t>
  </si>
  <si>
    <t>M and E-Associate Director</t>
  </si>
  <si>
    <t>C1948</t>
  </si>
  <si>
    <t>Candidate_948</t>
  </si>
  <si>
    <t>647 | M and E</t>
  </si>
  <si>
    <t>C1949</t>
  </si>
  <si>
    <t>Candidate_949</t>
  </si>
  <si>
    <t>582 | M and E</t>
  </si>
  <si>
    <t>C1950</t>
  </si>
  <si>
    <t>Candidate_950</t>
  </si>
  <si>
    <t>560 | M and E</t>
  </si>
  <si>
    <t>C1951</t>
  </si>
  <si>
    <t>Candidate_951</t>
  </si>
  <si>
    <t>556 | M and E</t>
  </si>
  <si>
    <t>C1952</t>
  </si>
  <si>
    <t>Candidate_952</t>
  </si>
  <si>
    <t>544 | M and E</t>
  </si>
  <si>
    <t>C1953</t>
  </si>
  <si>
    <t>Candidate_953</t>
  </si>
  <si>
    <t>2878 | M and E</t>
  </si>
  <si>
    <t>M and E - Associate</t>
  </si>
  <si>
    <t>C1954</t>
  </si>
  <si>
    <t>Candidate_954</t>
  </si>
  <si>
    <t>2874 | M and E</t>
  </si>
  <si>
    <t>C1955</t>
  </si>
  <si>
    <t>Candidate_955</t>
  </si>
  <si>
    <t>2818 | M and E</t>
  </si>
  <si>
    <t>C1956</t>
  </si>
  <si>
    <t>Candidate_956</t>
  </si>
  <si>
    <t>2815 | M and E</t>
  </si>
  <si>
    <t>C1957</t>
  </si>
  <si>
    <t>Candidate_957</t>
  </si>
  <si>
    <t>2717 | M and E</t>
  </si>
  <si>
    <t>C1958</t>
  </si>
  <si>
    <t>Candidate_958</t>
  </si>
  <si>
    <t>2716 | M and E</t>
  </si>
  <si>
    <t>C1959</t>
  </si>
  <si>
    <t>Candidate_959</t>
  </si>
  <si>
    <t>2713 | M and E</t>
  </si>
  <si>
    <t>C1960</t>
  </si>
  <si>
    <t>Candidate_960</t>
  </si>
  <si>
    <t>2699 | M and E</t>
  </si>
  <si>
    <t>C1961</t>
  </si>
  <si>
    <t>Candidate_961</t>
  </si>
  <si>
    <t>2694 | M and E</t>
  </si>
  <si>
    <t>C1962</t>
  </si>
  <si>
    <t>Candidate_962</t>
  </si>
  <si>
    <t>2660 | M and E</t>
  </si>
  <si>
    <t>M and E-Officer</t>
  </si>
  <si>
    <t>C1963</t>
  </si>
  <si>
    <t>Candidate_963</t>
  </si>
  <si>
    <t>2657 | M and E</t>
  </si>
  <si>
    <t>C1964</t>
  </si>
  <si>
    <t>Candidate_964</t>
  </si>
  <si>
    <t>2653 | M and E</t>
  </si>
  <si>
    <t>C1965</t>
  </si>
  <si>
    <t>Candidate_965</t>
  </si>
  <si>
    <t>2604 | M and E</t>
  </si>
  <si>
    <t>C1966</t>
  </si>
  <si>
    <t>Candidate_966</t>
  </si>
  <si>
    <t>2601 | M and E</t>
  </si>
  <si>
    <t>C1967</t>
  </si>
  <si>
    <t>Candidate_967</t>
  </si>
  <si>
    <t>2497 | M and E</t>
  </si>
  <si>
    <t>C1968</t>
  </si>
  <si>
    <t>Candidate_968</t>
  </si>
  <si>
    <t>2493 | M and E</t>
  </si>
  <si>
    <t>C1969</t>
  </si>
  <si>
    <t>Candidate_969</t>
  </si>
  <si>
    <t>2491 | M and E</t>
  </si>
  <si>
    <t>C1970</t>
  </si>
  <si>
    <t>Candidate_970</t>
  </si>
  <si>
    <t>2467 | M and E</t>
  </si>
  <si>
    <t>C1971</t>
  </si>
  <si>
    <t>Candidate_971</t>
  </si>
  <si>
    <t>2463 | M and E</t>
  </si>
  <si>
    <t>C1972</t>
  </si>
  <si>
    <t>Candidate_972</t>
  </si>
  <si>
    <t>2440 | M and E</t>
  </si>
  <si>
    <t>C1973</t>
  </si>
  <si>
    <t>Candidate_973</t>
  </si>
  <si>
    <t>2439 | M and E</t>
  </si>
  <si>
    <t>C1974</t>
  </si>
  <si>
    <t>Candidate_974</t>
  </si>
  <si>
    <t>2438 | M and E</t>
  </si>
  <si>
    <t>C1975</t>
  </si>
  <si>
    <t>Candidate_975</t>
  </si>
  <si>
    <t>2437 | M and E</t>
  </si>
  <si>
    <t>C1976</t>
  </si>
  <si>
    <t>Candidate_976</t>
  </si>
  <si>
    <t>2436 | M and E</t>
  </si>
  <si>
    <t>C1977</t>
  </si>
  <si>
    <t>Candidate_977</t>
  </si>
  <si>
    <t>2349 | M and E</t>
  </si>
  <si>
    <t>C1978</t>
  </si>
  <si>
    <t>Candidate_978</t>
  </si>
  <si>
    <t>2300 | M and E</t>
  </si>
  <si>
    <t>C1979</t>
  </si>
  <si>
    <t>Candidate_979</t>
  </si>
  <si>
    <t>2296 | M and E</t>
  </si>
  <si>
    <t>C1980</t>
  </si>
  <si>
    <t>Candidate_980</t>
  </si>
  <si>
    <t>2293 | M and E</t>
  </si>
  <si>
    <t>C1981</t>
  </si>
  <si>
    <t>Candidate_981</t>
  </si>
  <si>
    <t>2292 | M and E</t>
  </si>
  <si>
    <t>C1982</t>
  </si>
  <si>
    <t>Candidate_982</t>
  </si>
  <si>
    <t>2204 | M and E</t>
  </si>
  <si>
    <t>C1983</t>
  </si>
  <si>
    <t>Candidate_983</t>
  </si>
  <si>
    <t>2202 | M and E</t>
  </si>
  <si>
    <t>C1984</t>
  </si>
  <si>
    <t>Candidate_984</t>
  </si>
  <si>
    <t>2187 | M and E</t>
  </si>
  <si>
    <t>C1985</t>
  </si>
  <si>
    <t>Candidate_985</t>
  </si>
  <si>
    <t>2072 | M and E</t>
  </si>
  <si>
    <t>C1986</t>
  </si>
  <si>
    <t>Candidate_986</t>
  </si>
  <si>
    <t>2047 | M and E</t>
  </si>
  <si>
    <t>C1987</t>
  </si>
  <si>
    <t>Candidate_987</t>
  </si>
  <si>
    <t>2015 | M and E</t>
  </si>
  <si>
    <t>C1988</t>
  </si>
  <si>
    <t>Candidate_988</t>
  </si>
  <si>
    <t>1943 | M and E</t>
  </si>
  <si>
    <t>C1989</t>
  </si>
  <si>
    <t>Candidate_989</t>
  </si>
  <si>
    <t>1926 | M and E</t>
  </si>
  <si>
    <t>C1990</t>
  </si>
  <si>
    <t>Candidate_990</t>
  </si>
  <si>
    <t>1924 | M and E</t>
  </si>
  <si>
    <t>C1991</t>
  </si>
  <si>
    <t>Candidate_991</t>
  </si>
  <si>
    <t>1835 | M and E</t>
  </si>
  <si>
    <t>C1992</t>
  </si>
  <si>
    <t>Candidate_992</t>
  </si>
  <si>
    <t>1833 | M and E</t>
  </si>
  <si>
    <t>C1993</t>
  </si>
  <si>
    <t>Candidate_993</t>
  </si>
  <si>
    <t>1787 | M and E</t>
  </si>
  <si>
    <t>C1994</t>
  </si>
  <si>
    <t>Candidate_994</t>
  </si>
  <si>
    <t>1730 | M and E</t>
  </si>
  <si>
    <t>M and E-Controller</t>
  </si>
  <si>
    <t>C1995</t>
  </si>
  <si>
    <t>Candidate_995</t>
  </si>
  <si>
    <t>1726 | M and E</t>
  </si>
  <si>
    <t>C1996</t>
  </si>
  <si>
    <t>Candidate_996</t>
  </si>
  <si>
    <t>1658 | M and E</t>
  </si>
  <si>
    <t>C1997</t>
  </si>
  <si>
    <t>Candidate_997</t>
  </si>
  <si>
    <t>1656 | M and E</t>
  </si>
  <si>
    <t>C1998</t>
  </si>
  <si>
    <t>Candidate_998</t>
  </si>
  <si>
    <t>1654 | M and E</t>
  </si>
  <si>
    <t>C1999</t>
  </si>
  <si>
    <t>Candidate_999</t>
  </si>
  <si>
    <t>1628 | M and E</t>
  </si>
  <si>
    <t>C2000</t>
  </si>
  <si>
    <t>Candidate_1000</t>
  </si>
  <si>
    <t>1625 | M and E</t>
  </si>
  <si>
    <t>C2001</t>
  </si>
  <si>
    <t>Candidate_1001</t>
  </si>
  <si>
    <t>1623 | M and E</t>
  </si>
  <si>
    <t>C2002</t>
  </si>
  <si>
    <t>Candidate_1002</t>
  </si>
  <si>
    <t>1602 | M and E</t>
  </si>
  <si>
    <t>C2003</t>
  </si>
  <si>
    <t>Candidate_1003</t>
  </si>
  <si>
    <t>1478 | M and E</t>
  </si>
  <si>
    <t>C2004</t>
  </si>
  <si>
    <t>Candidate_1004</t>
  </si>
  <si>
    <t>1343 | M and E</t>
  </si>
  <si>
    <t>C2005</t>
  </si>
  <si>
    <t>Candidate_1005</t>
  </si>
  <si>
    <t>1096 | M and E</t>
  </si>
  <si>
    <t>C2006</t>
  </si>
  <si>
    <t>Candidate_1006</t>
  </si>
  <si>
    <t>1093 | M and E</t>
  </si>
  <si>
    <t>C2007</t>
  </si>
  <si>
    <t>Candidate_1007</t>
  </si>
  <si>
    <t>1060 | M and E</t>
  </si>
  <si>
    <t>C2008</t>
  </si>
  <si>
    <t>Candidate_1008</t>
  </si>
  <si>
    <t>1059 | M and E</t>
  </si>
  <si>
    <t>C2009</t>
  </si>
  <si>
    <t>Candidate_1009</t>
  </si>
  <si>
    <t>1057 | M and E</t>
  </si>
  <si>
    <t>C2010</t>
  </si>
  <si>
    <t>Candidate_1010</t>
  </si>
  <si>
    <t>1056 | M and E</t>
  </si>
  <si>
    <t>C2011</t>
  </si>
  <si>
    <t>Candidate_1011</t>
  </si>
  <si>
    <t>1009 | M and E</t>
  </si>
  <si>
    <t>C2012</t>
  </si>
  <si>
    <t>Candidate_1012</t>
  </si>
  <si>
    <t>1008 | M and E</t>
  </si>
  <si>
    <t>C2013</t>
  </si>
  <si>
    <t>Candidate_1013</t>
  </si>
  <si>
    <t>987 | M and E</t>
  </si>
  <si>
    <t>C2014</t>
  </si>
  <si>
    <t>Candidate_1014</t>
  </si>
  <si>
    <t>981 | M and E</t>
  </si>
  <si>
    <t>C2015</t>
  </si>
  <si>
    <t>Candidate_1015</t>
  </si>
  <si>
    <t>872 | M and E</t>
  </si>
  <si>
    <t>C2016</t>
  </si>
  <si>
    <t>Candidate_1016</t>
  </si>
  <si>
    <t>760 | M and E</t>
  </si>
  <si>
    <t>C2017</t>
  </si>
  <si>
    <t>Candidate_1017</t>
  </si>
  <si>
    <t>757 | M and E</t>
  </si>
  <si>
    <t>C2018</t>
  </si>
  <si>
    <t>Candidate_1018</t>
  </si>
  <si>
    <t>751 | M and E</t>
  </si>
  <si>
    <t>C2019</t>
  </si>
  <si>
    <t>Candidate_1019</t>
  </si>
  <si>
    <t>694 | M and E</t>
  </si>
  <si>
    <t>C2020</t>
  </si>
  <si>
    <t>Candidate_1020</t>
  </si>
  <si>
    <t>650 | M and E</t>
  </si>
  <si>
    <t>C2021</t>
  </si>
  <si>
    <t>Candidate_1021</t>
  </si>
  <si>
    <t>588 | M and E</t>
  </si>
  <si>
    <t>C2022</t>
  </si>
  <si>
    <t>Candidate_1022</t>
  </si>
  <si>
    <t>587 | M and E</t>
  </si>
  <si>
    <t>C2023</t>
  </si>
  <si>
    <t>Candidate_1023</t>
  </si>
  <si>
    <t>583 | M and E</t>
  </si>
  <si>
    <t>C2024</t>
  </si>
  <si>
    <t>Candidate_1024</t>
  </si>
  <si>
    <t>557 | M and E</t>
  </si>
  <si>
    <t>C2025</t>
  </si>
  <si>
    <t>Candidate_1025</t>
  </si>
  <si>
    <t>549 | M and E</t>
  </si>
  <si>
    <t>C2026</t>
  </si>
  <si>
    <t>Candidate_1026</t>
  </si>
  <si>
    <t>548 | M and E</t>
  </si>
  <si>
    <t>C2027</t>
  </si>
  <si>
    <t>Candidate_1027</t>
  </si>
  <si>
    <t>530 | M and E</t>
  </si>
  <si>
    <t>C2028</t>
  </si>
  <si>
    <t>Candidate_1028</t>
  </si>
  <si>
    <t>2947 | HR</t>
  </si>
  <si>
    <t xml:space="preserve"> IT</t>
  </si>
  <si>
    <t>IT - Senior Management</t>
  </si>
  <si>
    <t>IT-Senior Manager</t>
  </si>
  <si>
    <t>C2029</t>
  </si>
  <si>
    <t>Candidate_1029</t>
  </si>
  <si>
    <t>2943 | HR</t>
  </si>
  <si>
    <t>IT</t>
  </si>
  <si>
    <t>C2030</t>
  </si>
  <si>
    <t>Candidate_1030</t>
  </si>
  <si>
    <t>2896 | HR</t>
  </si>
  <si>
    <t>C2031</t>
  </si>
  <si>
    <t>Candidate_1031</t>
  </si>
  <si>
    <t>2723 | HR</t>
  </si>
  <si>
    <t xml:space="preserve">IT </t>
  </si>
  <si>
    <t>C2032</t>
  </si>
  <si>
    <t>Candidate_1032</t>
  </si>
  <si>
    <t>2583 | HR</t>
  </si>
  <si>
    <t>C2033</t>
  </si>
  <si>
    <t>Candidate_1033</t>
  </si>
  <si>
    <t>2581 | HR</t>
  </si>
  <si>
    <t>C2034</t>
  </si>
  <si>
    <t>Candidate_1034</t>
  </si>
  <si>
    <t>2377 | HR</t>
  </si>
  <si>
    <t>C2035</t>
  </si>
  <si>
    <t>Candidate_1035</t>
  </si>
  <si>
    <t>2254 | HR</t>
  </si>
  <si>
    <t>C2036</t>
  </si>
  <si>
    <t>Candidate_1036</t>
  </si>
  <si>
    <t>2055 | HR</t>
  </si>
  <si>
    <t>C2037</t>
  </si>
  <si>
    <t>Candidate_1037</t>
  </si>
  <si>
    <t>1958 | HR</t>
  </si>
  <si>
    <t>C2038</t>
  </si>
  <si>
    <t>Candidate_1038</t>
  </si>
  <si>
    <t>1957 | HR</t>
  </si>
  <si>
    <t>C2039</t>
  </si>
  <si>
    <t>Candidate_1039</t>
  </si>
  <si>
    <t>1918 | HR</t>
  </si>
  <si>
    <t>C2040</t>
  </si>
  <si>
    <t>Candidate_1040</t>
  </si>
  <si>
    <t>1916 | HR</t>
  </si>
  <si>
    <t>C2041</t>
  </si>
  <si>
    <t>Candidate_1041</t>
  </si>
  <si>
    <t>1645 | HR</t>
  </si>
  <si>
    <t>C2042</t>
  </si>
  <si>
    <t>Candidate_1042</t>
  </si>
  <si>
    <t>1452 | HR</t>
  </si>
  <si>
    <t>C2043</t>
  </si>
  <si>
    <t>Candidate_1043</t>
  </si>
  <si>
    <t>1273 | HR</t>
  </si>
  <si>
    <t>C2044</t>
  </si>
  <si>
    <t>Candidate_1044</t>
  </si>
  <si>
    <t>1220 | HR</t>
  </si>
  <si>
    <t>C2045</t>
  </si>
  <si>
    <t>Candidate_1045</t>
  </si>
  <si>
    <t>1165 | HR</t>
  </si>
  <si>
    <t>C2046</t>
  </si>
  <si>
    <t>Candidate_1046</t>
  </si>
  <si>
    <t>1089 | HR</t>
  </si>
  <si>
    <t>C2047</t>
  </si>
  <si>
    <t>Candidate_1047</t>
  </si>
  <si>
    <t>1050 | HR</t>
  </si>
  <si>
    <t>C2048</t>
  </si>
  <si>
    <t>Candidate_1048</t>
  </si>
  <si>
    <t>1029 | HR</t>
  </si>
  <si>
    <t>C2049</t>
  </si>
  <si>
    <t>Candidate_1049</t>
  </si>
  <si>
    <t>2942 | HR</t>
  </si>
  <si>
    <t>IT - Senior</t>
  </si>
  <si>
    <t>Quality Assurance</t>
  </si>
  <si>
    <t>IT-Quality Assurance</t>
  </si>
  <si>
    <t>C2050</t>
  </si>
  <si>
    <t>Candidate_1050</t>
  </si>
  <si>
    <t>2900 | HR</t>
  </si>
  <si>
    <t>C2051</t>
  </si>
  <si>
    <t>Candidate_1051</t>
  </si>
  <si>
    <t>2584 | HR</t>
  </si>
  <si>
    <t>C2052</t>
  </si>
  <si>
    <t>Candidate_1052</t>
  </si>
  <si>
    <t>2582 | HR</t>
  </si>
  <si>
    <t>C2053</t>
  </si>
  <si>
    <t>Candidate_1053</t>
  </si>
  <si>
    <t>2415 | HR</t>
  </si>
  <si>
    <t>C2054</t>
  </si>
  <si>
    <t>Candidate_1054</t>
  </si>
  <si>
    <t>2412 | HR</t>
  </si>
  <si>
    <t>C2055</t>
  </si>
  <si>
    <t>Candidate_1055</t>
  </si>
  <si>
    <t>2374 | HR</t>
  </si>
  <si>
    <t>C2056</t>
  </si>
  <si>
    <t>Candidate_1056</t>
  </si>
  <si>
    <t>2339 | HR</t>
  </si>
  <si>
    <t>C2057</t>
  </si>
  <si>
    <t>Candidate_1057</t>
  </si>
  <si>
    <t>2337 | HR</t>
  </si>
  <si>
    <t>C2058</t>
  </si>
  <si>
    <t>Candidate_1058</t>
  </si>
  <si>
    <t>2256 | HR</t>
  </si>
  <si>
    <t>C2059</t>
  </si>
  <si>
    <t>Candidate_1059</t>
  </si>
  <si>
    <t>2252 | HR</t>
  </si>
  <si>
    <t>C2060</t>
  </si>
  <si>
    <t>Candidate_1060</t>
  </si>
  <si>
    <t>2251 | HR</t>
  </si>
  <si>
    <t>C2061</t>
  </si>
  <si>
    <t>Candidate_1061</t>
  </si>
  <si>
    <t>1954 | HR</t>
  </si>
  <si>
    <t>C2062</t>
  </si>
  <si>
    <t>Candidate_1062</t>
  </si>
  <si>
    <t>1951 | HR</t>
  </si>
  <si>
    <t>C2063</t>
  </si>
  <si>
    <t>Candidate_1063</t>
  </si>
  <si>
    <t>1915 | HR</t>
  </si>
  <si>
    <t>C2064</t>
  </si>
  <si>
    <t>Candidate_1064</t>
  </si>
  <si>
    <t>1914 | HR</t>
  </si>
  <si>
    <t>C2065</t>
  </si>
  <si>
    <t>Candidate_1065</t>
  </si>
  <si>
    <t>1909 | HR</t>
  </si>
  <si>
    <t>C2066</t>
  </si>
  <si>
    <t>Candidate_1066</t>
  </si>
  <si>
    <t>1905 | HR</t>
  </si>
  <si>
    <t>C2067</t>
  </si>
  <si>
    <t>Candidate_1067</t>
  </si>
  <si>
    <t>1777 | HR</t>
  </si>
  <si>
    <t>C2068</t>
  </si>
  <si>
    <t>Candidate_1068</t>
  </si>
  <si>
    <t>1649 | HR</t>
  </si>
  <si>
    <t>C2069</t>
  </si>
  <si>
    <t>Candidate_1069</t>
  </si>
  <si>
    <t>1591 | HR</t>
  </si>
  <si>
    <t>IT-Analyst</t>
  </si>
  <si>
    <t>C2070</t>
  </si>
  <si>
    <t>Candidate_1070</t>
  </si>
  <si>
    <t>1531 | HR</t>
  </si>
  <si>
    <t>C2071</t>
  </si>
  <si>
    <t>Candidate_1071</t>
  </si>
  <si>
    <t>1510 | HR</t>
  </si>
  <si>
    <t>C2072</t>
  </si>
  <si>
    <t>Candidate_1072</t>
  </si>
  <si>
    <t>1491 | HR</t>
  </si>
  <si>
    <t>C2073</t>
  </si>
  <si>
    <t>Candidate_1073</t>
  </si>
  <si>
    <t>1460 | HR</t>
  </si>
  <si>
    <t>C2074</t>
  </si>
  <si>
    <t>Candidate_1074</t>
  </si>
  <si>
    <t>1456 | HR</t>
  </si>
  <si>
    <t>C2075</t>
  </si>
  <si>
    <t>Candidate_1075</t>
  </si>
  <si>
    <t>1429 | HR</t>
  </si>
  <si>
    <t>C2076</t>
  </si>
  <si>
    <t>Candidate_1076</t>
  </si>
  <si>
    <t>1424 | HR</t>
  </si>
  <si>
    <t>C2077</t>
  </si>
  <si>
    <t>Candidate_1077</t>
  </si>
  <si>
    <t>1370 | HR</t>
  </si>
  <si>
    <t>C2078</t>
  </si>
  <si>
    <t>Candidate_1078</t>
  </si>
  <si>
    <t>1367 | HR</t>
  </si>
  <si>
    <t>C2079</t>
  </si>
  <si>
    <t>Candidate_1079</t>
  </si>
  <si>
    <t>1312 | HR</t>
  </si>
  <si>
    <t>C2080</t>
  </si>
  <si>
    <t>Candidate_1080</t>
  </si>
  <si>
    <t>1280 | HR</t>
  </si>
  <si>
    <t>C2081</t>
  </si>
  <si>
    <t>Candidate_1081</t>
  </si>
  <si>
    <t>1276 | HR</t>
  </si>
  <si>
    <t>C2082</t>
  </si>
  <si>
    <t>Candidate_1082</t>
  </si>
  <si>
    <t>1214 | HR</t>
  </si>
  <si>
    <t>C2083</t>
  </si>
  <si>
    <t>Candidate_1083</t>
  </si>
  <si>
    <t>1188 | HR</t>
  </si>
  <si>
    <t>C2084</t>
  </si>
  <si>
    <t>Candidate_1084</t>
  </si>
  <si>
    <t>1168 | HR</t>
  </si>
  <si>
    <t>C2085</t>
  </si>
  <si>
    <t>Candidate_1085</t>
  </si>
  <si>
    <t>1163 | HR</t>
  </si>
  <si>
    <t>C2086</t>
  </si>
  <si>
    <t>Candidate_1086</t>
  </si>
  <si>
    <t>1135 | HR</t>
  </si>
  <si>
    <t>C2087</t>
  </si>
  <si>
    <t>Candidate_1087</t>
  </si>
  <si>
    <t>1128 | HR</t>
  </si>
  <si>
    <t>C2088</t>
  </si>
  <si>
    <t>Candidate_1088</t>
  </si>
  <si>
    <t>1081 | HR</t>
  </si>
  <si>
    <t>C2089</t>
  </si>
  <si>
    <t>Candidate_1089</t>
  </si>
  <si>
    <t>1049 | HR</t>
  </si>
  <si>
    <t>C2090</t>
  </si>
  <si>
    <t>Candidate_1090</t>
  </si>
  <si>
    <t>1044 | HR</t>
  </si>
  <si>
    <t>C2091</t>
  </si>
  <si>
    <t>Candidate_1091</t>
  </si>
  <si>
    <t>1041 | HR</t>
  </si>
  <si>
    <t>C2092</t>
  </si>
  <si>
    <t>Candidate_1092</t>
  </si>
  <si>
    <t>1024 | HR</t>
  </si>
  <si>
    <t>C2093</t>
  </si>
  <si>
    <t>Candidate_1093</t>
  </si>
  <si>
    <t>2950 | HR</t>
  </si>
  <si>
    <t>IT - Manager Level</t>
  </si>
  <si>
    <t>IT-Manager</t>
  </si>
  <si>
    <t>C2094</t>
  </si>
  <si>
    <t>Candidate_1094</t>
  </si>
  <si>
    <t>2893 | HR</t>
  </si>
  <si>
    <t>C2095</t>
  </si>
  <si>
    <t>Candidate_1095</t>
  </si>
  <si>
    <t>2588 | HR</t>
  </si>
  <si>
    <t>C2096</t>
  </si>
  <si>
    <t>Candidate_1096</t>
  </si>
  <si>
    <t>2419 | HR</t>
  </si>
  <si>
    <t>C2097</t>
  </si>
  <si>
    <t>Candidate_1097</t>
  </si>
  <si>
    <t>2411 | HR</t>
  </si>
  <si>
    <t>C2098</t>
  </si>
  <si>
    <t>Candidate_1098</t>
  </si>
  <si>
    <t>1960 | HR</t>
  </si>
  <si>
    <t>C2099</t>
  </si>
  <si>
    <t>Candidate_1099</t>
  </si>
  <si>
    <t>1902 | HR</t>
  </si>
  <si>
    <t>C2100</t>
  </si>
  <si>
    <t>Candidate_1100</t>
  </si>
  <si>
    <t>1896 | HR</t>
  </si>
  <si>
    <t>C2101</t>
  </si>
  <si>
    <t>Candidate_1101</t>
  </si>
  <si>
    <t>1891 | HR</t>
  </si>
  <si>
    <t>C2102</t>
  </si>
  <si>
    <t>Candidate_1102</t>
  </si>
  <si>
    <t>1780 | HR</t>
  </si>
  <si>
    <t>C2103</t>
  </si>
  <si>
    <t>Candidate_1103</t>
  </si>
  <si>
    <t>1776 | HR</t>
  </si>
  <si>
    <t>C2104</t>
  </si>
  <si>
    <t>Candidate_1104</t>
  </si>
  <si>
    <t>1748 | HR</t>
  </si>
  <si>
    <t>C2105</t>
  </si>
  <si>
    <t>Candidate_1105</t>
  </si>
  <si>
    <t>1619 | HR</t>
  </si>
  <si>
    <t>C2106</t>
  </si>
  <si>
    <t>Candidate_1106</t>
  </si>
  <si>
    <t>1574 | HR</t>
  </si>
  <si>
    <t>C2107</t>
  </si>
  <si>
    <t>Candidate_1107</t>
  </si>
  <si>
    <t>1532 | HR</t>
  </si>
  <si>
    <t>C2108</t>
  </si>
  <si>
    <t>Candidate_1108</t>
  </si>
  <si>
    <t>1459 | HR</t>
  </si>
  <si>
    <t>C2109</t>
  </si>
  <si>
    <t>Candidate_1109</t>
  </si>
  <si>
    <t>1453 | HR</t>
  </si>
  <si>
    <t>C2110</t>
  </si>
  <si>
    <t>Candidate_1110</t>
  </si>
  <si>
    <t>1426 | HR</t>
  </si>
  <si>
    <t>C2111</t>
  </si>
  <si>
    <t>Candidate_1111</t>
  </si>
  <si>
    <t>1316 | HR</t>
  </si>
  <si>
    <t>C2112</t>
  </si>
  <si>
    <t>Candidate_1112</t>
  </si>
  <si>
    <t>1314 | HR</t>
  </si>
  <si>
    <t>C2113</t>
  </si>
  <si>
    <t>Candidate_1113</t>
  </si>
  <si>
    <t>1275 | HR</t>
  </si>
  <si>
    <t>C2114</t>
  </si>
  <si>
    <t>Candidate_1114</t>
  </si>
  <si>
    <t>1042 | HR</t>
  </si>
  <si>
    <t>C2115</t>
  </si>
  <si>
    <t>Candidate_1115</t>
  </si>
  <si>
    <t>1026 | HR</t>
  </si>
  <si>
    <t>C2116</t>
  </si>
  <si>
    <t>Candidate_1116</t>
  </si>
  <si>
    <t>2661 | HR</t>
  </si>
  <si>
    <t xml:space="preserve">HR </t>
  </si>
  <si>
    <t>HR - Manager Level</t>
  </si>
  <si>
    <t>Specialist</t>
  </si>
  <si>
    <t>HR-Specialist</t>
  </si>
  <si>
    <t>C2117</t>
  </si>
  <si>
    <t>Candidate_1117</t>
  </si>
  <si>
    <t>2649 | HR</t>
  </si>
  <si>
    <t>HR</t>
  </si>
  <si>
    <t>C2118</t>
  </si>
  <si>
    <t>Candidate_1118</t>
  </si>
  <si>
    <t>2643 | HR</t>
  </si>
  <si>
    <t>C2119</t>
  </si>
  <si>
    <t>Candidate_1119</t>
  </si>
  <si>
    <t>2642 | HR</t>
  </si>
  <si>
    <t>C2120</t>
  </si>
  <si>
    <t>Candidate_1120</t>
  </si>
  <si>
    <t>2375 | HR</t>
  </si>
  <si>
    <t>C2121</t>
  </si>
  <si>
    <t>Candidate_1121</t>
  </si>
  <si>
    <t>2340 | HR</t>
  </si>
  <si>
    <t>C2122</t>
  </si>
  <si>
    <t>Candidate_1122</t>
  </si>
  <si>
    <t>2338 | HR</t>
  </si>
  <si>
    <t>C2123</t>
  </si>
  <si>
    <t>Candidate_1123</t>
  </si>
  <si>
    <t>2259 | HR</t>
  </si>
  <si>
    <t>C2124</t>
  </si>
  <si>
    <t>Candidate_1124</t>
  </si>
  <si>
    <t>2148 | HR</t>
  </si>
  <si>
    <t>C2125</t>
  </si>
  <si>
    <t>Candidate_1125</t>
  </si>
  <si>
    <t>2059 | HR</t>
  </si>
  <si>
    <t>C2126</t>
  </si>
  <si>
    <t>Candidate_1126</t>
  </si>
  <si>
    <t>1953 | HR</t>
  </si>
  <si>
    <t>C2127</t>
  </si>
  <si>
    <t>Candidate_1127</t>
  </si>
  <si>
    <t>1917 | HR</t>
  </si>
  <si>
    <t>C2128</t>
  </si>
  <si>
    <t>Candidate_1128</t>
  </si>
  <si>
    <t>1620 | HR</t>
  </si>
  <si>
    <t>C2129</t>
  </si>
  <si>
    <t>Candidate_1129</t>
  </si>
  <si>
    <t>1617 | HR</t>
  </si>
  <si>
    <t>C2130</t>
  </si>
  <si>
    <t>Candidate_1130</t>
  </si>
  <si>
    <t>1614 | HR</t>
  </si>
  <si>
    <t xml:space="preserve"> HR</t>
  </si>
  <si>
    <t>C2131</t>
  </si>
  <si>
    <t>Candidate_1131</t>
  </si>
  <si>
    <t>1600 | HR</t>
  </si>
  <si>
    <t>HR-Manager</t>
  </si>
  <si>
    <t>C2132</t>
  </si>
  <si>
    <t>Candidate_1132</t>
  </si>
  <si>
    <t>1598 | HR</t>
  </si>
  <si>
    <t>C2133</t>
  </si>
  <si>
    <t>Candidate_1133</t>
  </si>
  <si>
    <t>1580 | HR</t>
  </si>
  <si>
    <t>C2134</t>
  </si>
  <si>
    <t>Candidate_1134</t>
  </si>
  <si>
    <t>1571 | HR</t>
  </si>
  <si>
    <t>C2135</t>
  </si>
  <si>
    <t>Candidate_1135</t>
  </si>
  <si>
    <t>1537 | HR</t>
  </si>
  <si>
    <t>C2136</t>
  </si>
  <si>
    <t>Candidate_1136</t>
  </si>
  <si>
    <t>1535 | HR</t>
  </si>
  <si>
    <t>C2137</t>
  </si>
  <si>
    <t>Candidate_1137</t>
  </si>
  <si>
    <t>1496 | HR</t>
  </si>
  <si>
    <t>C2138</t>
  </si>
  <si>
    <t>Candidate_1138</t>
  </si>
  <si>
    <t>1493 | HR</t>
  </si>
  <si>
    <t>C2139</t>
  </si>
  <si>
    <t>Candidate_1139</t>
  </si>
  <si>
    <t>1492 | HR</t>
  </si>
  <si>
    <t>C2140</t>
  </si>
  <si>
    <t>Candidate_1140</t>
  </si>
  <si>
    <t>1362 | HR</t>
  </si>
  <si>
    <t>C2141</t>
  </si>
  <si>
    <t>Candidate_1141</t>
  </si>
  <si>
    <t>1361 | HR</t>
  </si>
  <si>
    <t>C2142</t>
  </si>
  <si>
    <t>Candidate_1142</t>
  </si>
  <si>
    <t>1218 | HR</t>
  </si>
  <si>
    <t>C2143</t>
  </si>
  <si>
    <t>Candidate_1143</t>
  </si>
  <si>
    <t>1190 | HR</t>
  </si>
  <si>
    <t>C2144</t>
  </si>
  <si>
    <t>Candidate_1144</t>
  </si>
  <si>
    <t>1187 | HR</t>
  </si>
  <si>
    <t>C2145</t>
  </si>
  <si>
    <t>Candidate_1145</t>
  </si>
  <si>
    <t>1121 | HR</t>
  </si>
  <si>
    <t>C2146</t>
  </si>
  <si>
    <t>Candidate_1146</t>
  </si>
  <si>
    <t>1083 | HR</t>
  </si>
  <si>
    <t>C2147</t>
  </si>
  <si>
    <t>Candidate_1147</t>
  </si>
  <si>
    <t>2949 | HR</t>
  </si>
  <si>
    <t>HR - Junior</t>
  </si>
  <si>
    <t>Screening Associate</t>
  </si>
  <si>
    <t>HR-Screening Associate</t>
  </si>
  <si>
    <t>C2148</t>
  </si>
  <si>
    <t>Candidate_1148</t>
  </si>
  <si>
    <t>2945 | HR</t>
  </si>
  <si>
    <t>C2149</t>
  </si>
  <si>
    <t>Candidate_1149</t>
  </si>
  <si>
    <t>2944 | HR</t>
  </si>
  <si>
    <t>C2150</t>
  </si>
  <si>
    <t>Candidate_1150</t>
  </si>
  <si>
    <t>2899 | HR</t>
  </si>
  <si>
    <t>C2151</t>
  </si>
  <si>
    <t>Candidate_1151</t>
  </si>
  <si>
    <t>2898 | HR</t>
  </si>
  <si>
    <t>C2152</t>
  </si>
  <si>
    <t>Candidate_1152</t>
  </si>
  <si>
    <t>2727 | HR</t>
  </si>
  <si>
    <t>C2153</t>
  </si>
  <si>
    <t>Candidate_1153</t>
  </si>
  <si>
    <t>2722 | HR</t>
  </si>
  <si>
    <t>C2154</t>
  </si>
  <si>
    <t>Candidate_1154</t>
  </si>
  <si>
    <t>2646 | HR</t>
  </si>
  <si>
    <t>C2155</t>
  </si>
  <si>
    <t>Candidate_1155</t>
  </si>
  <si>
    <t>2586 | HR</t>
  </si>
  <si>
    <t>C2156</t>
  </si>
  <si>
    <t>Candidate_1156</t>
  </si>
  <si>
    <t>2414 | HR</t>
  </si>
  <si>
    <t>C2157</t>
  </si>
  <si>
    <t>Candidate_1157</t>
  </si>
  <si>
    <t>2145 | HR</t>
  </si>
  <si>
    <t>C2158</t>
  </si>
  <si>
    <t>Candidate_1158</t>
  </si>
  <si>
    <t>1912 | HR</t>
  </si>
  <si>
    <t>C2159</t>
  </si>
  <si>
    <t>Candidate_1159</t>
  </si>
  <si>
    <t>1908 | HR</t>
  </si>
  <si>
    <t>C2160</t>
  </si>
  <si>
    <t>Candidate_1160</t>
  </si>
  <si>
    <t>1741 | HR</t>
  </si>
  <si>
    <t>C2161</t>
  </si>
  <si>
    <t>Candidate_1161</t>
  </si>
  <si>
    <t>1611 | HR</t>
  </si>
  <si>
    <t>C2162</t>
  </si>
  <si>
    <t>Candidate_1162</t>
  </si>
  <si>
    <t>1540 | HR</t>
  </si>
  <si>
    <t>C2163</t>
  </si>
  <si>
    <t>Candidate_1163</t>
  </si>
  <si>
    <t>1508 | HR</t>
  </si>
  <si>
    <t>C2164</t>
  </si>
  <si>
    <t>Candidate_1164</t>
  </si>
  <si>
    <t>1505 | HR</t>
  </si>
  <si>
    <t>C2165</t>
  </si>
  <si>
    <t>Candidate_1165</t>
  </si>
  <si>
    <t>1500 | HR</t>
  </si>
  <si>
    <t>C2166</t>
  </si>
  <si>
    <t>Candidate_1166</t>
  </si>
  <si>
    <t>1499 | HR</t>
  </si>
  <si>
    <t>C2167</t>
  </si>
  <si>
    <t>Candidate_1167</t>
  </si>
  <si>
    <t>1451 | HR</t>
  </si>
  <si>
    <t>C2168</t>
  </si>
  <si>
    <t>Candidate_1168</t>
  </si>
  <si>
    <t>1366 | HR</t>
  </si>
  <si>
    <t>C2169</t>
  </si>
  <si>
    <t>Candidate_1169</t>
  </si>
  <si>
    <t>1319 | HR</t>
  </si>
  <si>
    <t>C2170</t>
  </si>
  <si>
    <t>Candidate_1170</t>
  </si>
  <si>
    <t>1311 | HR</t>
  </si>
  <si>
    <t>C2171</t>
  </si>
  <si>
    <t>Candidate_1171</t>
  </si>
  <si>
    <t>1279 | HR</t>
  </si>
  <si>
    <t>C2172</t>
  </si>
  <si>
    <t>Candidate_1172</t>
  </si>
  <si>
    <t>1169 | HR</t>
  </si>
  <si>
    <t>C2173</t>
  </si>
  <si>
    <t>Candidate_1173</t>
  </si>
  <si>
    <t>1166 | HR</t>
  </si>
  <si>
    <t>C2174</t>
  </si>
  <si>
    <t>Candidate_1174</t>
  </si>
  <si>
    <t>1137 | HR</t>
  </si>
  <si>
    <t>C2175</t>
  </si>
  <si>
    <t>Candidate_1175</t>
  </si>
  <si>
    <t>1133 | HR</t>
  </si>
  <si>
    <t>C2176</t>
  </si>
  <si>
    <t>Candidate_1176</t>
  </si>
  <si>
    <t>1125 | HR</t>
  </si>
  <si>
    <t>C2177</t>
  </si>
  <si>
    <t>Candidate_1177</t>
  </si>
  <si>
    <t>1124 | HR</t>
  </si>
  <si>
    <t>HR-Analyst</t>
  </si>
  <si>
    <t>C2178</t>
  </si>
  <si>
    <t>Candidate_1178</t>
  </si>
  <si>
    <t>1090 | HR</t>
  </si>
  <si>
    <t>C2179</t>
  </si>
  <si>
    <t>Candidate_1179</t>
  </si>
  <si>
    <t>1086 | HR</t>
  </si>
  <si>
    <t>C2180</t>
  </si>
  <si>
    <t>Candidate_1180</t>
  </si>
  <si>
    <t>1045 | HR</t>
  </si>
  <si>
    <t>C2181</t>
  </si>
  <si>
    <t>Candidate_1181</t>
  </si>
  <si>
    <t>1025 | HR</t>
  </si>
  <si>
    <t>C2182</t>
  </si>
  <si>
    <t>Candidate_1182</t>
  </si>
  <si>
    <t>1021 | HR</t>
  </si>
  <si>
    <t>C2183</t>
  </si>
  <si>
    <t>Candidate_1183</t>
  </si>
  <si>
    <t>2894 | HR</t>
  </si>
  <si>
    <t>HR - Associate</t>
  </si>
  <si>
    <t>HR-Quality Assurance</t>
  </si>
  <si>
    <t>C2184</t>
  </si>
  <si>
    <t>Candidate_1184</t>
  </si>
  <si>
    <t>2891 | HR</t>
  </si>
  <si>
    <t>C2185</t>
  </si>
  <si>
    <t>Candidate_1185</t>
  </si>
  <si>
    <t>2729 | HR</t>
  </si>
  <si>
    <t>C2186</t>
  </si>
  <si>
    <t>Candidate_1186</t>
  </si>
  <si>
    <t>2668 | HR</t>
  </si>
  <si>
    <t>C2187</t>
  </si>
  <si>
    <t>Candidate_1187</t>
  </si>
  <si>
    <t>2662 | HR</t>
  </si>
  <si>
    <t>C2188</t>
  </si>
  <si>
    <t>Candidate_1188</t>
  </si>
  <si>
    <t>2650 | HR</t>
  </si>
  <si>
    <t>C2189</t>
  </si>
  <si>
    <t>Candidate_1189</t>
  </si>
  <si>
    <t>2378 | HR</t>
  </si>
  <si>
    <t>C2190</t>
  </si>
  <si>
    <t>Candidate_1190</t>
  </si>
  <si>
    <t>2373 | HR</t>
  </si>
  <si>
    <t>C2191</t>
  </si>
  <si>
    <t>Candidate_1191</t>
  </si>
  <si>
    <t>2258 | HR</t>
  </si>
  <si>
    <t>C2192</t>
  </si>
  <si>
    <t>Candidate_1192</t>
  </si>
  <si>
    <t>2257 | HR</t>
  </si>
  <si>
    <t>C2193</t>
  </si>
  <si>
    <t>Candidate_1193</t>
  </si>
  <si>
    <t>2051 | HR</t>
  </si>
  <si>
    <t>C2194</t>
  </si>
  <si>
    <t>Candidate_1194</t>
  </si>
  <si>
    <t>1959 | HR</t>
  </si>
  <si>
    <t>C2195</t>
  </si>
  <si>
    <t>Candidate_1195</t>
  </si>
  <si>
    <t>1904 | HR</t>
  </si>
  <si>
    <t>C2196</t>
  </si>
  <si>
    <t>Candidate_1196</t>
  </si>
  <si>
    <t>1895 | HR</t>
  </si>
  <si>
    <t>C2197</t>
  </si>
  <si>
    <t>Candidate_1197</t>
  </si>
  <si>
    <t>1774 | HR</t>
  </si>
  <si>
    <t>C2198</t>
  </si>
  <si>
    <t>Candidate_1198</t>
  </si>
  <si>
    <t>1743 | HR</t>
  </si>
  <si>
    <t>C2199</t>
  </si>
  <si>
    <t>Candidate_1199</t>
  </si>
  <si>
    <t>1648 | HR</t>
  </si>
  <si>
    <t>C2200</t>
  </si>
  <si>
    <t>Candidate_1200</t>
  </si>
  <si>
    <t>1643 | HR</t>
  </si>
  <si>
    <t>C2201</t>
  </si>
  <si>
    <t>Candidate_1201</t>
  </si>
  <si>
    <t>1618 | HR</t>
  </si>
  <si>
    <t>C2202</t>
  </si>
  <si>
    <t>Candidate_1202</t>
  </si>
  <si>
    <t>1593 | HR</t>
  </si>
  <si>
    <t>C2203</t>
  </si>
  <si>
    <t>Candidate_1203</t>
  </si>
  <si>
    <t>1536 | HR</t>
  </si>
  <si>
    <t>C2204</t>
  </si>
  <si>
    <t>Candidate_1204</t>
  </si>
  <si>
    <t>1502 | HR</t>
  </si>
  <si>
    <t>C2205</t>
  </si>
  <si>
    <t>Candidate_1205</t>
  </si>
  <si>
    <t>1501 | HR</t>
  </si>
  <si>
    <t>C2206</t>
  </si>
  <si>
    <t>Candidate_1206</t>
  </si>
  <si>
    <t>1495 | HR</t>
  </si>
  <si>
    <t>C2207</t>
  </si>
  <si>
    <t>Candidate_1207</t>
  </si>
  <si>
    <t>1458 | HR</t>
  </si>
  <si>
    <t>C2208</t>
  </si>
  <si>
    <t>Candidate_1208</t>
  </si>
  <si>
    <t>1455 | HR</t>
  </si>
  <si>
    <t>C2209</t>
  </si>
  <si>
    <t>Candidate_1209</t>
  </si>
  <si>
    <t>1427 | HR</t>
  </si>
  <si>
    <t>C2210</t>
  </si>
  <si>
    <t>Candidate_1210</t>
  </si>
  <si>
    <t>1421 | HR</t>
  </si>
  <si>
    <t>C2211</t>
  </si>
  <si>
    <t>Candidate_1211</t>
  </si>
  <si>
    <t>1363 | HR</t>
  </si>
  <si>
    <t>C2212</t>
  </si>
  <si>
    <t>Candidate_1212</t>
  </si>
  <si>
    <t>1318 | HR</t>
  </si>
  <si>
    <t>C2213</t>
  </si>
  <si>
    <t>Candidate_1213</t>
  </si>
  <si>
    <t>1277 | HR</t>
  </si>
  <si>
    <t>C2214</t>
  </si>
  <si>
    <t>Candidate_1214</t>
  </si>
  <si>
    <t>1271 | HR</t>
  </si>
  <si>
    <t>C2215</t>
  </si>
  <si>
    <t>Candidate_1215</t>
  </si>
  <si>
    <t>1217 | HR</t>
  </si>
  <si>
    <t>C2216</t>
  </si>
  <si>
    <t>Candidate_1216</t>
  </si>
  <si>
    <t>1184 | HR</t>
  </si>
  <si>
    <t>C2217</t>
  </si>
  <si>
    <t>Candidate_1217</t>
  </si>
  <si>
    <t>1183 | HR</t>
  </si>
  <si>
    <t>HR-Business Partner</t>
  </si>
  <si>
    <t>C2218</t>
  </si>
  <si>
    <t>Candidate_1218</t>
  </si>
  <si>
    <t>1181 | HR</t>
  </si>
  <si>
    <t>C2219</t>
  </si>
  <si>
    <t>Candidate_1219</t>
  </si>
  <si>
    <t>1167 | HR</t>
  </si>
  <si>
    <t>C2220</t>
  </si>
  <si>
    <t>Candidate_1220</t>
  </si>
  <si>
    <t>1162 | HR</t>
  </si>
  <si>
    <t>C2221</t>
  </si>
  <si>
    <t>Candidate_1221</t>
  </si>
  <si>
    <t>1132 | HR</t>
  </si>
  <si>
    <t>C2222</t>
  </si>
  <si>
    <t>Candidate_1222</t>
  </si>
  <si>
    <t>1087 | HR</t>
  </si>
  <si>
    <t>C2223</t>
  </si>
  <si>
    <t>Candidate_1223</t>
  </si>
  <si>
    <t>1048 | HR</t>
  </si>
  <si>
    <t>C2224</t>
  </si>
  <si>
    <t>Candidate_1224</t>
  </si>
  <si>
    <t>1043 | HR</t>
  </si>
  <si>
    <t>C2225</t>
  </si>
  <si>
    <t>Candidate_1225</t>
  </si>
  <si>
    <t>1028 | HR</t>
  </si>
  <si>
    <t>C2226</t>
  </si>
  <si>
    <t>Candidate_1226</t>
  </si>
  <si>
    <t>1027 | HR</t>
  </si>
  <si>
    <t>C2227</t>
  </si>
  <si>
    <t>Candidate_1227</t>
  </si>
  <si>
    <t>2993 | Fundraising</t>
  </si>
  <si>
    <t xml:space="preserve">Fundraising </t>
  </si>
  <si>
    <t>Fundraising - Senior Management</t>
  </si>
  <si>
    <t>Fundraising-Senior Manager</t>
  </si>
  <si>
    <t>C2228</t>
  </si>
  <si>
    <t>Candidate_1228</t>
  </si>
  <si>
    <t>2830 | Fundraising</t>
  </si>
  <si>
    <t xml:space="preserve"> Fundraising</t>
  </si>
  <si>
    <t>C2229</t>
  </si>
  <si>
    <t>Candidate_1229</t>
  </si>
  <si>
    <t>2801 | Fundraising</t>
  </si>
  <si>
    <t>Fundraising</t>
  </si>
  <si>
    <t>C2230</t>
  </si>
  <si>
    <t>Candidate_1230</t>
  </si>
  <si>
    <t>2767 | Fundraising</t>
  </si>
  <si>
    <t>C2231</t>
  </si>
  <si>
    <t>Candidate_1231</t>
  </si>
  <si>
    <t>2762 | Fundraising</t>
  </si>
  <si>
    <t>C2232</t>
  </si>
  <si>
    <t>Candidate_1232</t>
  </si>
  <si>
    <t>2629 | Fundraising</t>
  </si>
  <si>
    <t>C2233</t>
  </si>
  <si>
    <t>Candidate_1233</t>
  </si>
  <si>
    <t>2486 | Fundraising</t>
  </si>
  <si>
    <t>C2234</t>
  </si>
  <si>
    <t>Candidate_1234</t>
  </si>
  <si>
    <t>2482 | Fundraising</t>
  </si>
  <si>
    <t>C2235</t>
  </si>
  <si>
    <t>Candidate_1235</t>
  </si>
  <si>
    <t>1874 | Fundraising</t>
  </si>
  <si>
    <t>C2236</t>
  </si>
  <si>
    <t>Candidate_1236</t>
  </si>
  <si>
    <t>1692 | Fundraising</t>
  </si>
  <si>
    <t>C2237</t>
  </si>
  <si>
    <t>Candidate_1237</t>
  </si>
  <si>
    <t>1551 | Fundraising</t>
  </si>
  <si>
    <t>C2238</t>
  </si>
  <si>
    <t>Candidate_1238</t>
  </si>
  <si>
    <t>1489 | Fundraising</t>
  </si>
  <si>
    <t>C2239</t>
  </si>
  <si>
    <t>Candidate_1239</t>
  </si>
  <si>
    <t>1486 | Fundraising</t>
  </si>
  <si>
    <t>C2240</t>
  </si>
  <si>
    <t>Candidate_1240</t>
  </si>
  <si>
    <t>1481 | Fundraising</t>
  </si>
  <si>
    <t>C2241</t>
  </si>
  <si>
    <t>Candidate_1241</t>
  </si>
  <si>
    <t>1466 | Fundraising</t>
  </si>
  <si>
    <t>C2242</t>
  </si>
  <si>
    <t>Candidate_1242</t>
  </si>
  <si>
    <t>1359 | Fundraising</t>
  </si>
  <si>
    <t>C2243</t>
  </si>
  <si>
    <t>Candidate_1243</t>
  </si>
  <si>
    <t>1353 | Fundraising</t>
  </si>
  <si>
    <t>C2244</t>
  </si>
  <si>
    <t>Candidate_1244</t>
  </si>
  <si>
    <t>1243 | Fundraising</t>
  </si>
  <si>
    <t>C2245</t>
  </si>
  <si>
    <t>Candidate_1245</t>
  </si>
  <si>
    <t>1209 | Fundraising</t>
  </si>
  <si>
    <t>C2246</t>
  </si>
  <si>
    <t>Candidate_1246</t>
  </si>
  <si>
    <t>1205 | Fundraising</t>
  </si>
  <si>
    <t>C2247</t>
  </si>
  <si>
    <t>Candidate_1247</t>
  </si>
  <si>
    <t>1198 | Fundraising</t>
  </si>
  <si>
    <t>C2248</t>
  </si>
  <si>
    <t>Candidate_1248</t>
  </si>
  <si>
    <t>1177 | Fundraising</t>
  </si>
  <si>
    <t>C2249</t>
  </si>
  <si>
    <t>Candidate_1249</t>
  </si>
  <si>
    <t>1110 | Fundraising</t>
  </si>
  <si>
    <t>C2250</t>
  </si>
  <si>
    <t>Candidate_1250</t>
  </si>
  <si>
    <t>1104 | Fundraising</t>
  </si>
  <si>
    <t>C2251</t>
  </si>
  <si>
    <t>Candidate_1251</t>
  </si>
  <si>
    <t>1080 | Fundraising</t>
  </si>
  <si>
    <t>C2252</t>
  </si>
  <si>
    <t>Candidate_1252</t>
  </si>
  <si>
    <t>2939 | Fundraising</t>
  </si>
  <si>
    <t>Fundraising - Senior</t>
  </si>
  <si>
    <t>Fund Administrator</t>
  </si>
  <si>
    <t>Fundraising-Fund Administrator</t>
  </si>
  <si>
    <t>C2253</t>
  </si>
  <si>
    <t>Candidate_1253</t>
  </si>
  <si>
    <t>2936 | Fundraising</t>
  </si>
  <si>
    <t>C2254</t>
  </si>
  <si>
    <t>Candidate_1254</t>
  </si>
  <si>
    <t>2932 | Fundraising</t>
  </si>
  <si>
    <t>C2255</t>
  </si>
  <si>
    <t>Candidate_1255</t>
  </si>
  <si>
    <t>2924 | Fundraising</t>
  </si>
  <si>
    <t>C2256</t>
  </si>
  <si>
    <t>Candidate_1256</t>
  </si>
  <si>
    <t>2921 | Fundraising</t>
  </si>
  <si>
    <t>C2257</t>
  </si>
  <si>
    <t>Candidate_1257</t>
  </si>
  <si>
    <t>2823 | Fundraising</t>
  </si>
  <si>
    <t>C2258</t>
  </si>
  <si>
    <t>Candidate_1258</t>
  </si>
  <si>
    <t>2810 | Fundraising</t>
  </si>
  <si>
    <t>C2259</t>
  </si>
  <si>
    <t>Candidate_1259</t>
  </si>
  <si>
    <t>2799 | Fundraising</t>
  </si>
  <si>
    <t>C2260</t>
  </si>
  <si>
    <t>Candidate_1260</t>
  </si>
  <si>
    <t>2792 | Fundraising</t>
  </si>
  <si>
    <t>C2261</t>
  </si>
  <si>
    <t>Candidate_1261</t>
  </si>
  <si>
    <t>2764 | Fundraising</t>
  </si>
  <si>
    <t>C2262</t>
  </si>
  <si>
    <t>Candidate_1262</t>
  </si>
  <si>
    <t>2746 | Fundraising</t>
  </si>
  <si>
    <t>C2263</t>
  </si>
  <si>
    <t>Candidate_1263</t>
  </si>
  <si>
    <t>2745 | Fundraising</t>
  </si>
  <si>
    <t>C2264</t>
  </si>
  <si>
    <t>Candidate_1264</t>
  </si>
  <si>
    <t>2635 | Fundraising</t>
  </si>
  <si>
    <t>C2265</t>
  </si>
  <si>
    <t>Candidate_1265</t>
  </si>
  <si>
    <t>2624 | Fundraising</t>
  </si>
  <si>
    <t>C2266</t>
  </si>
  <si>
    <t>Candidate_1266</t>
  </si>
  <si>
    <t>2618 | Fundraising</t>
  </si>
  <si>
    <t>C2267</t>
  </si>
  <si>
    <t>Candidate_1267</t>
  </si>
  <si>
    <t>2617 | Fundraising</t>
  </si>
  <si>
    <t>C2268</t>
  </si>
  <si>
    <t>Candidate_1268</t>
  </si>
  <si>
    <t>2597 | Fundraising</t>
  </si>
  <si>
    <t>C2269</t>
  </si>
  <si>
    <t>Candidate_1269</t>
  </si>
  <si>
    <t>2593 | Fundraising</t>
  </si>
  <si>
    <t>C2270</t>
  </si>
  <si>
    <t>Candidate_1270</t>
  </si>
  <si>
    <t>2574 | Fundraising</t>
  </si>
  <si>
    <t>C2271</t>
  </si>
  <si>
    <t>Candidate_1271</t>
  </si>
  <si>
    <t>2429 | Fundraising</t>
  </si>
  <si>
    <t>C2272</t>
  </si>
  <si>
    <t>Candidate_1272</t>
  </si>
  <si>
    <t>2424 | Fundraising</t>
  </si>
  <si>
    <t>C2273</t>
  </si>
  <si>
    <t>Candidate_1273</t>
  </si>
  <si>
    <t>2400 | Fundraising</t>
  </si>
  <si>
    <t>C2274</t>
  </si>
  <si>
    <t>Candidate_1274</t>
  </si>
  <si>
    <t>2392 | Fundraising</t>
  </si>
  <si>
    <t>C2275</t>
  </si>
  <si>
    <t>Candidate_1275</t>
  </si>
  <si>
    <t>2391 | Fundraising</t>
  </si>
  <si>
    <t>C2276</t>
  </si>
  <si>
    <t>Candidate_1276</t>
  </si>
  <si>
    <t>2040 | Fundraising</t>
  </si>
  <si>
    <t>C2277</t>
  </si>
  <si>
    <t>Candidate_1277</t>
  </si>
  <si>
    <t>2036 | Fundraising</t>
  </si>
  <si>
    <t>C2278</t>
  </si>
  <si>
    <t>Candidate_1278</t>
  </si>
  <si>
    <t>2035 | Fundraising</t>
  </si>
  <si>
    <t>C2279</t>
  </si>
  <si>
    <t>Candidate_1279</t>
  </si>
  <si>
    <t>2033 | Fundraising</t>
  </si>
  <si>
    <t>C2280</t>
  </si>
  <si>
    <t>Candidate_1280</t>
  </si>
  <si>
    <t>1933 | Fundraising</t>
  </si>
  <si>
    <t>C2281</t>
  </si>
  <si>
    <t>Candidate_1281</t>
  </si>
  <si>
    <t>1873 | Fundraising</t>
  </si>
  <si>
    <t>C2282</t>
  </si>
  <si>
    <t>Candidate_1282</t>
  </si>
  <si>
    <t>1719 | Fundraising</t>
  </si>
  <si>
    <t>C2283</t>
  </si>
  <si>
    <t>Candidate_1283</t>
  </si>
  <si>
    <t>1711 | Fundraising</t>
  </si>
  <si>
    <t>C2284</t>
  </si>
  <si>
    <t>Candidate_1284</t>
  </si>
  <si>
    <t>1698 | Fundraising</t>
  </si>
  <si>
    <t>C2285</t>
  </si>
  <si>
    <t>Candidate_1285</t>
  </si>
  <si>
    <t>1559 | Fundraising</t>
  </si>
  <si>
    <t>C2286</t>
  </si>
  <si>
    <t>Candidate_1286</t>
  </si>
  <si>
    <t>1557 | Fundraising</t>
  </si>
  <si>
    <t>C2287</t>
  </si>
  <si>
    <t>Candidate_1287</t>
  </si>
  <si>
    <t>1553 | Fundraising</t>
  </si>
  <si>
    <t>C2288</t>
  </si>
  <si>
    <t>Candidate_1288</t>
  </si>
  <si>
    <t>1490 | Fundraising</t>
  </si>
  <si>
    <t>C2289</t>
  </si>
  <si>
    <t>Candidate_1289</t>
  </si>
  <si>
    <t>1483 | Fundraising</t>
  </si>
  <si>
    <t>C2290</t>
  </si>
  <si>
    <t>Candidate_1290</t>
  </si>
  <si>
    <t>1470 | Fundraising</t>
  </si>
  <si>
    <t>C2291</t>
  </si>
  <si>
    <t>Candidate_1291</t>
  </si>
  <si>
    <t>1462 | Fundraising</t>
  </si>
  <si>
    <t>C2292</t>
  </si>
  <si>
    <t>Candidate_1292</t>
  </si>
  <si>
    <t>1245 | Fundraising</t>
  </si>
  <si>
    <t>C2293</t>
  </si>
  <si>
    <t>Candidate_1293</t>
  </si>
  <si>
    <t>1242 | Fundraising</t>
  </si>
  <si>
    <t>C2294</t>
  </si>
  <si>
    <t>Candidate_1294</t>
  </si>
  <si>
    <t>1236 | Fundraising</t>
  </si>
  <si>
    <t>C2295</t>
  </si>
  <si>
    <t>Candidate_1295</t>
  </si>
  <si>
    <t>1234 | Fundraising</t>
  </si>
  <si>
    <t>C2296</t>
  </si>
  <si>
    <t>Candidate_1296</t>
  </si>
  <si>
    <t>1229 | Fundraising</t>
  </si>
  <si>
    <t>C2297</t>
  </si>
  <si>
    <t>Candidate_1297</t>
  </si>
  <si>
    <t>1223 | Fundraising</t>
  </si>
  <si>
    <t>C2298</t>
  </si>
  <si>
    <t>Candidate_1298</t>
  </si>
  <si>
    <t>1222 | Fundraising</t>
  </si>
  <si>
    <t>C2299</t>
  </si>
  <si>
    <t>Candidate_1299</t>
  </si>
  <si>
    <t>1208 | Fundraising</t>
  </si>
  <si>
    <t>C2300</t>
  </si>
  <si>
    <t>Candidate_1300</t>
  </si>
  <si>
    <t>1191 | Fundraising</t>
  </si>
  <si>
    <t>C2301</t>
  </si>
  <si>
    <t>Candidate_1301</t>
  </si>
  <si>
    <t>1179 | Fundraising</t>
  </si>
  <si>
    <t>C2302</t>
  </si>
  <si>
    <t>Candidate_1302</t>
  </si>
  <si>
    <t>1105 | Fundraising</t>
  </si>
  <si>
    <t>C2303</t>
  </si>
  <si>
    <t>Candidate_1303</t>
  </si>
  <si>
    <t>1101 | Fundraising</t>
  </si>
  <si>
    <t>C2304</t>
  </si>
  <si>
    <t>Candidate_1304</t>
  </si>
  <si>
    <t>2998 | Fundraising</t>
  </si>
  <si>
    <t>Fundraising - Manager Level</t>
  </si>
  <si>
    <t>Fundraising-Manager</t>
  </si>
  <si>
    <t>C2305</t>
  </si>
  <si>
    <t>Candidate_1305</t>
  </si>
  <si>
    <t>2996 | Fundraising</t>
  </si>
  <si>
    <t>C2306</t>
  </si>
  <si>
    <t>Candidate_1306</t>
  </si>
  <si>
    <t>2791 | Fundraising</t>
  </si>
  <si>
    <t>C2307</t>
  </si>
  <si>
    <t>Candidate_1307</t>
  </si>
  <si>
    <t>2769 | Fundraising</t>
  </si>
  <si>
    <t>C2308</t>
  </si>
  <si>
    <t>Candidate_1308</t>
  </si>
  <si>
    <t>2742 | Fundraising</t>
  </si>
  <si>
    <t>C2309</t>
  </si>
  <si>
    <t>Candidate_1309</t>
  </si>
  <si>
    <t>2622 | Fundraising</t>
  </si>
  <si>
    <t>C2310</t>
  </si>
  <si>
    <t>Candidate_1310</t>
  </si>
  <si>
    <t>2619 | Fundraising</t>
  </si>
  <si>
    <t>C2311</t>
  </si>
  <si>
    <t>Candidate_1311</t>
  </si>
  <si>
    <t>2592 | Fundraising</t>
  </si>
  <si>
    <t>C2312</t>
  </si>
  <si>
    <t>Candidate_1312</t>
  </si>
  <si>
    <t>2571 | Fundraising</t>
  </si>
  <si>
    <t>C2313</t>
  </si>
  <si>
    <t>Candidate_1313</t>
  </si>
  <si>
    <t>2525 | Fundraising</t>
  </si>
  <si>
    <t>C2314</t>
  </si>
  <si>
    <t>Candidate_1314</t>
  </si>
  <si>
    <t>2521 | Fundraising</t>
  </si>
  <si>
    <t>C2315</t>
  </si>
  <si>
    <t>Candidate_1315</t>
  </si>
  <si>
    <t>2399 | Fundraising</t>
  </si>
  <si>
    <t>C2316</t>
  </si>
  <si>
    <t>Candidate_1316</t>
  </si>
  <si>
    <t>2139 | Fundraising</t>
  </si>
  <si>
    <t>C2317</t>
  </si>
  <si>
    <t>Candidate_1317</t>
  </si>
  <si>
    <t>2131 | Fundraising</t>
  </si>
  <si>
    <t>C2318</t>
  </si>
  <si>
    <t>Candidate_1318</t>
  </si>
  <si>
    <t>2108 | Fundraising</t>
  </si>
  <si>
    <t>C2319</t>
  </si>
  <si>
    <t>Candidate_1319</t>
  </si>
  <si>
    <t>2094 | Fundraising</t>
  </si>
  <si>
    <t>C2320</t>
  </si>
  <si>
    <t>Candidate_1320</t>
  </si>
  <si>
    <t>1937 | Fundraising</t>
  </si>
  <si>
    <t>C2321</t>
  </si>
  <si>
    <t>Candidate_1321</t>
  </si>
  <si>
    <t>1936 | Fundraising</t>
  </si>
  <si>
    <t>C2322</t>
  </si>
  <si>
    <t>Candidate_1322</t>
  </si>
  <si>
    <t>1879 | Fundraising</t>
  </si>
  <si>
    <t>C2323</t>
  </si>
  <si>
    <t>Candidate_1323</t>
  </si>
  <si>
    <t>1877 | Fundraising</t>
  </si>
  <si>
    <t>C2324</t>
  </si>
  <si>
    <t>Candidate_1324</t>
  </si>
  <si>
    <t>1712 | Fundraising</t>
  </si>
  <si>
    <t>C2325</t>
  </si>
  <si>
    <t>Candidate_1325</t>
  </si>
  <si>
    <t>1554 | Fundraising</t>
  </si>
  <si>
    <t>C2326</t>
  </si>
  <si>
    <t>Candidate_1326</t>
  </si>
  <si>
    <t>1360 | Fundraising</t>
  </si>
  <si>
    <t>C2327</t>
  </si>
  <si>
    <t>Candidate_1327</t>
  </si>
  <si>
    <t>1357 | Fundraising</t>
  </si>
  <si>
    <t>C2328</t>
  </si>
  <si>
    <t>Candidate_1328</t>
  </si>
  <si>
    <t>1352 | Fundraising</t>
  </si>
  <si>
    <t>C2329</t>
  </si>
  <si>
    <t>Candidate_1329</t>
  </si>
  <si>
    <t>1235 | Fundraising</t>
  </si>
  <si>
    <t>C2330</t>
  </si>
  <si>
    <t>Candidate_1330</t>
  </si>
  <si>
    <t>1232 | Fundraising</t>
  </si>
  <si>
    <t>C2331</t>
  </si>
  <si>
    <t>Candidate_1331</t>
  </si>
  <si>
    <t>1228 | Fundraising</t>
  </si>
  <si>
    <t>C2332</t>
  </si>
  <si>
    <t>Candidate_1332</t>
  </si>
  <si>
    <t>1202 | Fundraising</t>
  </si>
  <si>
    <t>C2333</t>
  </si>
  <si>
    <t>Candidate_1333</t>
  </si>
  <si>
    <t>1197 | Fundraising</t>
  </si>
  <si>
    <t>C2334</t>
  </si>
  <si>
    <t>Candidate_1334</t>
  </si>
  <si>
    <t>1196 | Fundraising</t>
  </si>
  <si>
    <t>C2335</t>
  </si>
  <si>
    <t>Candidate_1335</t>
  </si>
  <si>
    <t>1106 | Fundraising</t>
  </si>
  <si>
    <t>C2336</t>
  </si>
  <si>
    <t>Candidate_1336</t>
  </si>
  <si>
    <t>1077 | Fundraising</t>
  </si>
  <si>
    <t>C2337</t>
  </si>
  <si>
    <t>Candidate_1337</t>
  </si>
  <si>
    <t>1073 | Fundraising</t>
  </si>
  <si>
    <t>C2338</t>
  </si>
  <si>
    <t>Candidate_1338</t>
  </si>
  <si>
    <t>2994 | Fundraising</t>
  </si>
  <si>
    <t>Fundraising - Junior</t>
  </si>
  <si>
    <t>Fundraising-Business Partner</t>
  </si>
  <si>
    <t>C2339</t>
  </si>
  <si>
    <t>Candidate_1339</t>
  </si>
  <si>
    <t>2958 | Fundraising</t>
  </si>
  <si>
    <t>C2340</t>
  </si>
  <si>
    <t>Candidate_1340</t>
  </si>
  <si>
    <t>2955 | Fundraising</t>
  </si>
  <si>
    <t>C2341</t>
  </si>
  <si>
    <t>Candidate_1341</t>
  </si>
  <si>
    <t>2938 | Fundraising</t>
  </si>
  <si>
    <t>C2342</t>
  </si>
  <si>
    <t>Candidate_1342</t>
  </si>
  <si>
    <t>2937 | Fundraising</t>
  </si>
  <si>
    <t>C2343</t>
  </si>
  <si>
    <t>Candidate_1343</t>
  </si>
  <si>
    <t>2935 | Fundraising</t>
  </si>
  <si>
    <t>C2344</t>
  </si>
  <si>
    <t>Candidate_1344</t>
  </si>
  <si>
    <t>2931 | Fundraising</t>
  </si>
  <si>
    <t>C2345</t>
  </si>
  <si>
    <t>Candidate_1345</t>
  </si>
  <si>
    <t>2928 | Fundraising</t>
  </si>
  <si>
    <t>C2346</t>
  </si>
  <si>
    <t>Candidate_1346</t>
  </si>
  <si>
    <t>2923 | Fundraising</t>
  </si>
  <si>
    <t>C2347</t>
  </si>
  <si>
    <t>Candidate_1347</t>
  </si>
  <si>
    <t>2912 | Fundraising</t>
  </si>
  <si>
    <t>C2348</t>
  </si>
  <si>
    <t>Candidate_1348</t>
  </si>
  <si>
    <t>2828 | Fundraising</t>
  </si>
  <si>
    <t>C2349</t>
  </si>
  <si>
    <t>Candidate_1349</t>
  </si>
  <si>
    <t>2826 | Fundraising</t>
  </si>
  <si>
    <t>C2350</t>
  </si>
  <si>
    <t>Candidate_1350</t>
  </si>
  <si>
    <t>2821 | Fundraising</t>
  </si>
  <si>
    <t>C2351</t>
  </si>
  <si>
    <t>Candidate_1351</t>
  </si>
  <si>
    <t>2807 | Fundraising</t>
  </si>
  <si>
    <t>C2352</t>
  </si>
  <si>
    <t>Candidate_1352</t>
  </si>
  <si>
    <t>2794 | Fundraising</t>
  </si>
  <si>
    <t>C2353</t>
  </si>
  <si>
    <t>Candidate_1353</t>
  </si>
  <si>
    <t>2747 | Fundraising</t>
  </si>
  <si>
    <t>C2354</t>
  </si>
  <si>
    <t>Candidate_1354</t>
  </si>
  <si>
    <t>2709 | Fundraising</t>
  </si>
  <si>
    <t>C2355</t>
  </si>
  <si>
    <t>Candidate_1355</t>
  </si>
  <si>
    <t>2634 | Fundraising</t>
  </si>
  <si>
    <t>C2356</t>
  </si>
  <si>
    <t>Candidate_1356</t>
  </si>
  <si>
    <t>2632 | Fundraising</t>
  </si>
  <si>
    <t>C2357</t>
  </si>
  <si>
    <t>Candidate_1357</t>
  </si>
  <si>
    <t>2631 | Fundraising</t>
  </si>
  <si>
    <t>C2358</t>
  </si>
  <si>
    <t>Candidate_1358</t>
  </si>
  <si>
    <t>2626 | Fundraising</t>
  </si>
  <si>
    <t>C2359</t>
  </si>
  <si>
    <t>Candidate_1359</t>
  </si>
  <si>
    <t>2620 | Fundraising</t>
  </si>
  <si>
    <t>C2360</t>
  </si>
  <si>
    <t>Candidate_1360</t>
  </si>
  <si>
    <t>2573 | Fundraising</t>
  </si>
  <si>
    <t>C2361</t>
  </si>
  <si>
    <t>Candidate_1361</t>
  </si>
  <si>
    <t>2572 | Fundraising</t>
  </si>
  <si>
    <t>C2362</t>
  </si>
  <si>
    <t>Candidate_1362</t>
  </si>
  <si>
    <t>2489 | Fundraising</t>
  </si>
  <si>
    <t>C2363</t>
  </si>
  <si>
    <t>Candidate_1363</t>
  </si>
  <si>
    <t>2487 | Fundraising</t>
  </si>
  <si>
    <t>C2364</t>
  </si>
  <si>
    <t>Candidate_1364</t>
  </si>
  <si>
    <t>2484 | Fundraising</t>
  </si>
  <si>
    <t>C2365</t>
  </si>
  <si>
    <t>Candidate_1365</t>
  </si>
  <si>
    <t>2398 | Fundraising</t>
  </si>
  <si>
    <t>C2366</t>
  </si>
  <si>
    <t>Candidate_1366</t>
  </si>
  <si>
    <t>2397 | Fundraising</t>
  </si>
  <si>
    <t>C2367</t>
  </si>
  <si>
    <t>Candidate_1367</t>
  </si>
  <si>
    <t>2396 | Fundraising</t>
  </si>
  <si>
    <t>C2368</t>
  </si>
  <si>
    <t>Candidate_1368</t>
  </si>
  <si>
    <t>2133 | Fundraising</t>
  </si>
  <si>
    <t>C2369</t>
  </si>
  <si>
    <t>Candidate_1369</t>
  </si>
  <si>
    <t>2106 | Fundraising</t>
  </si>
  <si>
    <t>C2370</t>
  </si>
  <si>
    <t>Candidate_1370</t>
  </si>
  <si>
    <t>2037 | Fundraising</t>
  </si>
  <si>
    <t>C2371</t>
  </si>
  <si>
    <t>Candidate_1371</t>
  </si>
  <si>
    <t>1940 | Fundraising</t>
  </si>
  <si>
    <t>C2372</t>
  </si>
  <si>
    <t>Candidate_1372</t>
  </si>
  <si>
    <t>1876 | Fundraising</t>
  </si>
  <si>
    <t>C2373</t>
  </si>
  <si>
    <t>Candidate_1373</t>
  </si>
  <si>
    <t>1720 | Fundraising</t>
  </si>
  <si>
    <t>Review Associate</t>
  </si>
  <si>
    <t>Fundraising-Review Associate</t>
  </si>
  <si>
    <t>C2374</t>
  </si>
  <si>
    <t>Candidate_1374</t>
  </si>
  <si>
    <t>1717 | Fundraising</t>
  </si>
  <si>
    <t>C2375</t>
  </si>
  <si>
    <t>Candidate_1375</t>
  </si>
  <si>
    <t>1700 | Fundraising</t>
  </si>
  <si>
    <t>C2376</t>
  </si>
  <si>
    <t>Candidate_1376</t>
  </si>
  <si>
    <t>1485 | Fundraising</t>
  </si>
  <si>
    <t>C2377</t>
  </si>
  <si>
    <t>Candidate_1377</t>
  </si>
  <si>
    <t>1469 | Fundraising</t>
  </si>
  <si>
    <t>C2378</t>
  </si>
  <si>
    <t>Candidate_1378</t>
  </si>
  <si>
    <t>1468 | Fundraising</t>
  </si>
  <si>
    <t>C2379</t>
  </si>
  <si>
    <t>Candidate_1379</t>
  </si>
  <si>
    <t>1465 | Fundraising</t>
  </si>
  <si>
    <t>C2380</t>
  </si>
  <si>
    <t>Candidate_1380</t>
  </si>
  <si>
    <t>1351 | Fundraising</t>
  </si>
  <si>
    <t>C2381</t>
  </si>
  <si>
    <t>Candidate_1381</t>
  </si>
  <si>
    <t>1250 | Fundraising</t>
  </si>
  <si>
    <t>C2382</t>
  </si>
  <si>
    <t>Candidate_1382</t>
  </si>
  <si>
    <t>1239 | Fundraising</t>
  </si>
  <si>
    <t>C2383</t>
  </si>
  <si>
    <t>Candidate_1383</t>
  </si>
  <si>
    <t>1224 | Fundraising</t>
  </si>
  <si>
    <t>C2384</t>
  </si>
  <si>
    <t>Candidate_1384</t>
  </si>
  <si>
    <t>1210 | Fundraising</t>
  </si>
  <si>
    <t>C2385</t>
  </si>
  <si>
    <t>Candidate_1385</t>
  </si>
  <si>
    <t>1201 | Fundraising</t>
  </si>
  <si>
    <t>C2386</t>
  </si>
  <si>
    <t>Candidate_1386</t>
  </si>
  <si>
    <t>1194 | Fundraising</t>
  </si>
  <si>
    <t>C2387</t>
  </si>
  <si>
    <t>Candidate_1387</t>
  </si>
  <si>
    <t>1171 | Fundraising</t>
  </si>
  <si>
    <t>C2388</t>
  </si>
  <si>
    <t>Candidate_1388</t>
  </si>
  <si>
    <t>2954 | Fundraising</t>
  </si>
  <si>
    <t>Fundraising - Associate</t>
  </si>
  <si>
    <t>Fundraising-Analyst</t>
  </si>
  <si>
    <t>C2389</t>
  </si>
  <si>
    <t>Candidate_1389</t>
  </si>
  <si>
    <t>2916 | Fundraising</t>
  </si>
  <si>
    <t>C2390</t>
  </si>
  <si>
    <t>Candidate_1390</t>
  </si>
  <si>
    <t>2829 | Fundraising</t>
  </si>
  <si>
    <t>C2391</t>
  </si>
  <si>
    <t>Candidate_1391</t>
  </si>
  <si>
    <t>2809 | Fundraising</t>
  </si>
  <si>
    <t>C2392</t>
  </si>
  <si>
    <t>Candidate_1392</t>
  </si>
  <si>
    <t>2802 | Fundraising</t>
  </si>
  <si>
    <t>C2393</t>
  </si>
  <si>
    <t>Candidate_1393</t>
  </si>
  <si>
    <t>2800 | Fundraising</t>
  </si>
  <si>
    <t>C2394</t>
  </si>
  <si>
    <t>Candidate_1394</t>
  </si>
  <si>
    <t>2710 | Fundraising</t>
  </si>
  <si>
    <t>C2395</t>
  </si>
  <si>
    <t>Candidate_1395</t>
  </si>
  <si>
    <t>2708 | Fundraising</t>
  </si>
  <si>
    <t>C2396</t>
  </si>
  <si>
    <t>Candidate_1396</t>
  </si>
  <si>
    <t>2706 | Fundraising</t>
  </si>
  <si>
    <t>C2397</t>
  </si>
  <si>
    <t>Candidate_1397</t>
  </si>
  <si>
    <t>2621 | Fundraising</t>
  </si>
  <si>
    <t>C2398</t>
  </si>
  <si>
    <t>Candidate_1398</t>
  </si>
  <si>
    <t>2599 | Fundraising</t>
  </si>
  <si>
    <t>C2399</t>
  </si>
  <si>
    <t>Candidate_1399</t>
  </si>
  <si>
    <t>2596 | Fundraising</t>
  </si>
  <si>
    <t>C2400</t>
  </si>
  <si>
    <t>Candidate_1400</t>
  </si>
  <si>
    <t>2594 | Fundraising</t>
  </si>
  <si>
    <t>C2401</t>
  </si>
  <si>
    <t>Candidate_1401</t>
  </si>
  <si>
    <t>2490 | Fundraising</t>
  </si>
  <si>
    <t>C2402</t>
  </si>
  <si>
    <t>Candidate_1402</t>
  </si>
  <si>
    <t>2423 | Fundraising</t>
  </si>
  <si>
    <t>C2403</t>
  </si>
  <si>
    <t>Candidate_1403</t>
  </si>
  <si>
    <t>2104 | Fundraising</t>
  </si>
  <si>
    <t>C2404</t>
  </si>
  <si>
    <t>Candidate_1404</t>
  </si>
  <si>
    <t>2098 | Fundraising</t>
  </si>
  <si>
    <t>C2405</t>
  </si>
  <si>
    <t>Candidate_1405</t>
  </si>
  <si>
    <t>2091 | Fundraising</t>
  </si>
  <si>
    <t>C2406</t>
  </si>
  <si>
    <t>Candidate_1406</t>
  </si>
  <si>
    <t>2032 | Fundraising</t>
  </si>
  <si>
    <t>C2407</t>
  </si>
  <si>
    <t>Candidate_1407</t>
  </si>
  <si>
    <t>2031 | Fundraising</t>
  </si>
  <si>
    <t>C2408</t>
  </si>
  <si>
    <t>Candidate_1408</t>
  </si>
  <si>
    <t>1934 | Fundraising</t>
  </si>
  <si>
    <t>Fundraising-Auditor</t>
  </si>
  <si>
    <t>C2409</t>
  </si>
  <si>
    <t>Candidate_1409</t>
  </si>
  <si>
    <t>1878 | Fundraising</t>
  </si>
  <si>
    <t>C2410</t>
  </si>
  <si>
    <t>Candidate_1410</t>
  </si>
  <si>
    <t>1715 | Fundraising</t>
  </si>
  <si>
    <t>C2411</t>
  </si>
  <si>
    <t>Candidate_1411</t>
  </si>
  <si>
    <t>1696 | Fundraising</t>
  </si>
  <si>
    <t>C2412</t>
  </si>
  <si>
    <t>Candidate_1412</t>
  </si>
  <si>
    <t>1695 | Fundraising</t>
  </si>
  <si>
    <t>C2413</t>
  </si>
  <si>
    <t>Candidate_1413</t>
  </si>
  <si>
    <t>1555 | Fundraising</t>
  </si>
  <si>
    <t>C2414</t>
  </si>
  <si>
    <t>Candidate_1414</t>
  </si>
  <si>
    <t>1358 | Fundraising</t>
  </si>
  <si>
    <t>C2415</t>
  </si>
  <si>
    <t>Candidate_1415</t>
  </si>
  <si>
    <t>1356 | Fundraising</t>
  </si>
  <si>
    <t>C2416</t>
  </si>
  <si>
    <t>Candidate_1416</t>
  </si>
  <si>
    <t>1355 | Fundraising</t>
  </si>
  <si>
    <t>C2417</t>
  </si>
  <si>
    <t>Candidate_1417</t>
  </si>
  <si>
    <t>1249 | Fundraising</t>
  </si>
  <si>
    <t>C2418</t>
  </si>
  <si>
    <t>Candidate_1418</t>
  </si>
  <si>
    <t>1248 | Fundraising</t>
  </si>
  <si>
    <t>C2419</t>
  </si>
  <si>
    <t>Candidate_1419</t>
  </si>
  <si>
    <t>1221 | Fundraising</t>
  </si>
  <si>
    <t>C2420</t>
  </si>
  <si>
    <t>Candidate_1420</t>
  </si>
  <si>
    <t>1204 | Fundraising</t>
  </si>
  <si>
    <t>C2421</t>
  </si>
  <si>
    <t>Candidate_1421</t>
  </si>
  <si>
    <t>1195 | Fundraising</t>
  </si>
  <si>
    <t>C2422</t>
  </si>
  <si>
    <t>Candidate_1422</t>
  </si>
  <si>
    <t>1180 | Fundraising</t>
  </si>
  <si>
    <t>C2423</t>
  </si>
  <si>
    <t>Candidate_1423</t>
  </si>
  <si>
    <t>1173 | Fundraising</t>
  </si>
  <si>
    <t>C2424</t>
  </si>
  <si>
    <t>Candidate_1424</t>
  </si>
  <si>
    <t>1109 | Fundraising</t>
  </si>
  <si>
    <t>C2425</t>
  </si>
  <si>
    <t>Candidate_1425</t>
  </si>
  <si>
    <t>1075 | Fundraising</t>
  </si>
  <si>
    <t>C2426</t>
  </si>
  <si>
    <t>Candidate_1426</t>
  </si>
  <si>
    <t>1071 | Fundraising</t>
  </si>
  <si>
    <t>C2427</t>
  </si>
  <si>
    <t>Candidate_1427</t>
  </si>
  <si>
    <t>2849 | Finance</t>
  </si>
  <si>
    <t xml:space="preserve"> Finance</t>
  </si>
  <si>
    <t>Finance - Senior Management</t>
  </si>
  <si>
    <t>Finance-Senior Manager</t>
  </si>
  <si>
    <t>C2428</t>
  </si>
  <si>
    <t>Candidate_1428</t>
  </si>
  <si>
    <t>2772 | Finance</t>
  </si>
  <si>
    <t>C2429</t>
  </si>
  <si>
    <t>Candidate_1429</t>
  </si>
  <si>
    <t>2690 | Finance</t>
  </si>
  <si>
    <t>Finance</t>
  </si>
  <si>
    <t>C2430</t>
  </si>
  <si>
    <t>Candidate_1430</t>
  </si>
  <si>
    <t>2685 | Finance</t>
  </si>
  <si>
    <t>C2431</t>
  </si>
  <si>
    <t>Candidate_1431</t>
  </si>
  <si>
    <t>2323 | Finance</t>
  </si>
  <si>
    <t>C2432</t>
  </si>
  <si>
    <t>Candidate_1432</t>
  </si>
  <si>
    <t>2278 | Finance</t>
  </si>
  <si>
    <t>C2433</t>
  </si>
  <si>
    <t>Candidate_1433</t>
  </si>
  <si>
    <t>2223 | Finance</t>
  </si>
  <si>
    <t>C2434</t>
  </si>
  <si>
    <t>Candidate_1434</t>
  </si>
  <si>
    <t>2180 | Finance</t>
  </si>
  <si>
    <t>C2435</t>
  </si>
  <si>
    <t>Candidate_1435</t>
  </si>
  <si>
    <t>2175 | Finance</t>
  </si>
  <si>
    <t>C2436</t>
  </si>
  <si>
    <t>Candidate_1436</t>
  </si>
  <si>
    <t>2084 | Finance</t>
  </si>
  <si>
    <t xml:space="preserve">Finance </t>
  </si>
  <si>
    <t>C2437</t>
  </si>
  <si>
    <t>Candidate_1437</t>
  </si>
  <si>
    <t>1890 | Finance</t>
  </si>
  <si>
    <t>C2438</t>
  </si>
  <si>
    <t>Candidate_1438</t>
  </si>
  <si>
    <t>1883 | Finance</t>
  </si>
  <si>
    <t>C2439</t>
  </si>
  <si>
    <t>Candidate_1439</t>
  </si>
  <si>
    <t>1845 | Finance</t>
  </si>
  <si>
    <t>C2440</t>
  </si>
  <si>
    <t>Candidate_1440</t>
  </si>
  <si>
    <t>1757 | Finance</t>
  </si>
  <si>
    <t>C2441</t>
  </si>
  <si>
    <t>Candidate_1441</t>
  </si>
  <si>
    <t>1702 | Finance</t>
  </si>
  <si>
    <t>C2442</t>
  </si>
  <si>
    <t>Candidate_1442</t>
  </si>
  <si>
    <t>1677 | Finance</t>
  </si>
  <si>
    <t>C2443</t>
  </si>
  <si>
    <t>Candidate_1443</t>
  </si>
  <si>
    <t>1635 | Finance</t>
  </si>
  <si>
    <t>C2444</t>
  </si>
  <si>
    <t>Candidate_1444</t>
  </si>
  <si>
    <t>1585 | Finance</t>
  </si>
  <si>
    <t>C2445</t>
  </si>
  <si>
    <t>Candidate_1445</t>
  </si>
  <si>
    <t>1581 | Finance</t>
  </si>
  <si>
    <t>C2446</t>
  </si>
  <si>
    <t>Candidate_1446</t>
  </si>
  <si>
    <t>1568 | Finance</t>
  </si>
  <si>
    <t>C2447</t>
  </si>
  <si>
    <t>Candidate_1447</t>
  </si>
  <si>
    <t>1524 | Finance</t>
  </si>
  <si>
    <t>C2448</t>
  </si>
  <si>
    <t>Candidate_1448</t>
  </si>
  <si>
    <t>1514 | Finance</t>
  </si>
  <si>
    <t>C2449</t>
  </si>
  <si>
    <t>Candidate_1449</t>
  </si>
  <si>
    <t>1434 | Finance</t>
  </si>
  <si>
    <t>C2450</t>
  </si>
  <si>
    <t>Candidate_1450</t>
  </si>
  <si>
    <t>1288 | Finance</t>
  </si>
  <si>
    <t>C2451</t>
  </si>
  <si>
    <t>Candidate_1451</t>
  </si>
  <si>
    <t>1262 | Finance</t>
  </si>
  <si>
    <t>C2452</t>
  </si>
  <si>
    <t>Candidate_1452</t>
  </si>
  <si>
    <t>1256 | Finance</t>
  </si>
  <si>
    <t>C2453</t>
  </si>
  <si>
    <t>Candidate_1453</t>
  </si>
  <si>
    <t>1150 | Finance</t>
  </si>
  <si>
    <t>C2454</t>
  </si>
  <si>
    <t>Candidate_1454</t>
  </si>
  <si>
    <t>1120 | Finance</t>
  </si>
  <si>
    <t>C2455</t>
  </si>
  <si>
    <t>Candidate_1455</t>
  </si>
  <si>
    <t>1112 | Finance</t>
  </si>
  <si>
    <t>C2456</t>
  </si>
  <si>
    <t>Candidate_1456</t>
  </si>
  <si>
    <t>1068 | Finance</t>
  </si>
  <si>
    <t>C2457</t>
  </si>
  <si>
    <t>Candidate_1457</t>
  </si>
  <si>
    <t>1067 | Finance</t>
  </si>
  <si>
    <t>C2458</t>
  </si>
  <si>
    <t>Candidate_1458</t>
  </si>
  <si>
    <t>1032 | Finance</t>
  </si>
  <si>
    <t>C2459</t>
  </si>
  <si>
    <t>Candidate_1459</t>
  </si>
  <si>
    <t>1019 | Finance</t>
  </si>
  <si>
    <t>C2460</t>
  </si>
  <si>
    <t>Candidate_1460</t>
  </si>
  <si>
    <t>210 | Finance</t>
  </si>
  <si>
    <t>C2461</t>
  </si>
  <si>
    <t>Candidate_1461</t>
  </si>
  <si>
    <t>203 | Finance</t>
  </si>
  <si>
    <t>C2462</t>
  </si>
  <si>
    <t>Candidate_1462</t>
  </si>
  <si>
    <t>176 | Finance</t>
  </si>
  <si>
    <t>C2463</t>
  </si>
  <si>
    <t>Candidate_1463</t>
  </si>
  <si>
    <t>171 | Finance</t>
  </si>
  <si>
    <t>C2464</t>
  </si>
  <si>
    <t>Candidate_1464</t>
  </si>
  <si>
    <t>110 | Finance</t>
  </si>
  <si>
    <t>C2465</t>
  </si>
  <si>
    <t>Candidate_1465</t>
  </si>
  <si>
    <t>109 | Finance</t>
  </si>
  <si>
    <t>C2466</t>
  </si>
  <si>
    <t>Candidate_1466</t>
  </si>
  <si>
    <t>104 | Finance</t>
  </si>
  <si>
    <t>C2467</t>
  </si>
  <si>
    <t>Candidate_1467</t>
  </si>
  <si>
    <t>98 | Finance</t>
  </si>
  <si>
    <t>C2468</t>
  </si>
  <si>
    <t>Candidate_1468</t>
  </si>
  <si>
    <t>94 | Finance</t>
  </si>
  <si>
    <t>C2469</t>
  </si>
  <si>
    <t>Candidate_1469</t>
  </si>
  <si>
    <t>28 | Finance</t>
  </si>
  <si>
    <t>C2470</t>
  </si>
  <si>
    <t>Candidate_1470</t>
  </si>
  <si>
    <t>22 | Finance</t>
  </si>
  <si>
    <t>C2471</t>
  </si>
  <si>
    <t>Candidate_1471</t>
  </si>
  <si>
    <t>16 | Finance</t>
  </si>
  <si>
    <t>C2472</t>
  </si>
  <si>
    <t>Candidate_1472</t>
  </si>
  <si>
    <t>14 | Finance</t>
  </si>
  <si>
    <t>C2473</t>
  </si>
  <si>
    <t>Candidate_1473</t>
  </si>
  <si>
    <t>2850 | Finance</t>
  </si>
  <si>
    <t>Finance - Senior</t>
  </si>
  <si>
    <t>Finance-Fund Administrator</t>
  </si>
  <si>
    <t>C2474</t>
  </si>
  <si>
    <t>Candidate_1474</t>
  </si>
  <si>
    <t>2846 | Finance</t>
  </si>
  <si>
    <t>C2475</t>
  </si>
  <si>
    <t>Candidate_1475</t>
  </si>
  <si>
    <t>2842 | Finance</t>
  </si>
  <si>
    <t>C2476</t>
  </si>
  <si>
    <t>Candidate_1476</t>
  </si>
  <si>
    <t>2841 | Finance</t>
  </si>
  <si>
    <t>C2477</t>
  </si>
  <si>
    <t>Candidate_1477</t>
  </si>
  <si>
    <t>2754 | Finance</t>
  </si>
  <si>
    <t>C2478</t>
  </si>
  <si>
    <t>Candidate_1478</t>
  </si>
  <si>
    <t>2753 | Finance</t>
  </si>
  <si>
    <t>C2479</t>
  </si>
  <si>
    <t>Candidate_1479</t>
  </si>
  <si>
    <t>2751 | Finance</t>
  </si>
  <si>
    <t>C2480</t>
  </si>
  <si>
    <t>Candidate_1480</t>
  </si>
  <si>
    <t>2688 | Finance</t>
  </si>
  <si>
    <t>C2481</t>
  </si>
  <si>
    <t>Candidate_1481</t>
  </si>
  <si>
    <t>2681 | Finance</t>
  </si>
  <si>
    <t>C2482</t>
  </si>
  <si>
    <t>Candidate_1482</t>
  </si>
  <si>
    <t>2674 | Finance</t>
  </si>
  <si>
    <t>C2483</t>
  </si>
  <si>
    <t>Candidate_1483</t>
  </si>
  <si>
    <t>2671 | Finance</t>
  </si>
  <si>
    <t>C2484</t>
  </si>
  <si>
    <t>Candidate_1484</t>
  </si>
  <si>
    <t>2545 | Finance</t>
  </si>
  <si>
    <t>C2485</t>
  </si>
  <si>
    <t>Candidate_1485</t>
  </si>
  <si>
    <t>2541 | Finance</t>
  </si>
  <si>
    <t>C2486</t>
  </si>
  <si>
    <t>Candidate_1486</t>
  </si>
  <si>
    <t>2479 | Finance</t>
  </si>
  <si>
    <t>C2487</t>
  </si>
  <si>
    <t>Candidate_1487</t>
  </si>
  <si>
    <t>2471 | Finance</t>
  </si>
  <si>
    <t>C2488</t>
  </si>
  <si>
    <t>Candidate_1488</t>
  </si>
  <si>
    <t>2355 | Finance</t>
  </si>
  <si>
    <t>C2489</t>
  </si>
  <si>
    <t>Candidate_1489</t>
  </si>
  <si>
    <t>2354 | Finance</t>
  </si>
  <si>
    <t>C2490</t>
  </si>
  <si>
    <t>Candidate_1490</t>
  </si>
  <si>
    <t>2309 | Finance</t>
  </si>
  <si>
    <t>C2491</t>
  </si>
  <si>
    <t>Candidate_1491</t>
  </si>
  <si>
    <t>2283 | Finance</t>
  </si>
  <si>
    <t>C2492</t>
  </si>
  <si>
    <t>Candidate_1492</t>
  </si>
  <si>
    <t>2234 | Finance</t>
  </si>
  <si>
    <t>C2493</t>
  </si>
  <si>
    <t>Candidate_1493</t>
  </si>
  <si>
    <t>2224 | Finance</t>
  </si>
  <si>
    <t>C2494</t>
  </si>
  <si>
    <t>Candidate_1494</t>
  </si>
  <si>
    <t>2171 | Finance</t>
  </si>
  <si>
    <t>C2495</t>
  </si>
  <si>
    <t>Candidate_1495</t>
  </si>
  <si>
    <t>2088 | Finance</t>
  </si>
  <si>
    <t>C2496</t>
  </si>
  <si>
    <t>Candidate_1496</t>
  </si>
  <si>
    <t>2023 | Finance</t>
  </si>
  <si>
    <t>C2497</t>
  </si>
  <si>
    <t>Candidate_1497</t>
  </si>
  <si>
    <t>2000 | Finance</t>
  </si>
  <si>
    <t>C2498</t>
  </si>
  <si>
    <t>Candidate_1498</t>
  </si>
  <si>
    <t>1998 | Finance</t>
  </si>
  <si>
    <t>C2499</t>
  </si>
  <si>
    <t>Candidate_1499</t>
  </si>
  <si>
    <t>1997 | Finance</t>
  </si>
  <si>
    <t>C2500</t>
  </si>
  <si>
    <t>Candidate_1500</t>
  </si>
  <si>
    <t>1995 | Finance</t>
  </si>
  <si>
    <t>C2501</t>
  </si>
  <si>
    <t>Candidate_1501</t>
  </si>
  <si>
    <t>1993 | Finance</t>
  </si>
  <si>
    <t>C2502</t>
  </si>
  <si>
    <t>Candidate_1502</t>
  </si>
  <si>
    <t>1870 | Finance</t>
  </si>
  <si>
    <t>C2503</t>
  </si>
  <si>
    <t>Candidate_1503</t>
  </si>
  <si>
    <t>1866 | Finance</t>
  </si>
  <si>
    <t>C2504</t>
  </si>
  <si>
    <t>Candidate_1504</t>
  </si>
  <si>
    <t>1861 | Finance</t>
  </si>
  <si>
    <t>C2505</t>
  </si>
  <si>
    <t>Candidate_1505</t>
  </si>
  <si>
    <t>1850 | Finance</t>
  </si>
  <si>
    <t>C2506</t>
  </si>
  <si>
    <t>Candidate_1506</t>
  </si>
  <si>
    <t>1848 | Finance</t>
  </si>
  <si>
    <t>C2507</t>
  </si>
  <si>
    <t>Candidate_1507</t>
  </si>
  <si>
    <t>1844 | Finance</t>
  </si>
  <si>
    <t>C2508</t>
  </si>
  <si>
    <t>Candidate_1508</t>
  </si>
  <si>
    <t>1760 | Finance</t>
  </si>
  <si>
    <t>C2509</t>
  </si>
  <si>
    <t>Candidate_1509</t>
  </si>
  <si>
    <t>1756 | Finance</t>
  </si>
  <si>
    <t>C2510</t>
  </si>
  <si>
    <t>Candidate_1510</t>
  </si>
  <si>
    <t>1740 | Finance</t>
  </si>
  <si>
    <t>C2511</t>
  </si>
  <si>
    <t>Candidate_1511</t>
  </si>
  <si>
    <t>1737 | Finance</t>
  </si>
  <si>
    <t>C2512</t>
  </si>
  <si>
    <t>Candidate_1512</t>
  </si>
  <si>
    <t>1736 | Finance</t>
  </si>
  <si>
    <t>C2513</t>
  </si>
  <si>
    <t>Candidate_1513</t>
  </si>
  <si>
    <t>1735 | Finance</t>
  </si>
  <si>
    <t>C2514</t>
  </si>
  <si>
    <t>Candidate_1514</t>
  </si>
  <si>
    <t>1708 | Finance</t>
  </si>
  <si>
    <t>C2515</t>
  </si>
  <si>
    <t>Candidate_1515</t>
  </si>
  <si>
    <t>1703 | Finance</t>
  </si>
  <si>
    <t>C2516</t>
  </si>
  <si>
    <t>Candidate_1516</t>
  </si>
  <si>
    <t>1701 | Finance</t>
  </si>
  <si>
    <t>C2517</t>
  </si>
  <si>
    <t>Candidate_1517</t>
  </si>
  <si>
    <t>1678 | Finance</t>
  </si>
  <si>
    <t>C2518</t>
  </si>
  <si>
    <t>Candidate_1518</t>
  </si>
  <si>
    <t>1675 | Finance</t>
  </si>
  <si>
    <t>C2519</t>
  </si>
  <si>
    <t>Candidate_1519</t>
  </si>
  <si>
    <t>1638 | Finance</t>
  </si>
  <si>
    <t>C2520</t>
  </si>
  <si>
    <t>Candidate_1520</t>
  </si>
  <si>
    <t>1636 | Finance</t>
  </si>
  <si>
    <t>C2521</t>
  </si>
  <si>
    <t>Candidate_1521</t>
  </si>
  <si>
    <t>1633 | Finance</t>
  </si>
  <si>
    <t>C2522</t>
  </si>
  <si>
    <t>Candidate_1522</t>
  </si>
  <si>
    <t>1567 | Finance</t>
  </si>
  <si>
    <t>C2523</t>
  </si>
  <si>
    <t>Candidate_1523</t>
  </si>
  <si>
    <t>1564 | Finance</t>
  </si>
  <si>
    <t>C2524</t>
  </si>
  <si>
    <t>Candidate_1524</t>
  </si>
  <si>
    <t>1562 | Finance</t>
  </si>
  <si>
    <t>C2525</t>
  </si>
  <si>
    <t>Candidate_1525</t>
  </si>
  <si>
    <t>1549 | Finance</t>
  </si>
  <si>
    <t>C2526</t>
  </si>
  <si>
    <t>Candidate_1526</t>
  </si>
  <si>
    <t>1542 | Finance</t>
  </si>
  <si>
    <t>C2527</t>
  </si>
  <si>
    <t>Candidate_1527</t>
  </si>
  <si>
    <t>1526 | Finance</t>
  </si>
  <si>
    <t>C2528</t>
  </si>
  <si>
    <t>Candidate_1528</t>
  </si>
  <si>
    <t>1521 | Finance</t>
  </si>
  <si>
    <t>C2529</t>
  </si>
  <si>
    <t>Candidate_1529</t>
  </si>
  <si>
    <t>1517 | Finance</t>
  </si>
  <si>
    <t>C2530</t>
  </si>
  <si>
    <t>Candidate_1530</t>
  </si>
  <si>
    <t>1400 | Finance</t>
  </si>
  <si>
    <t>C2531</t>
  </si>
  <si>
    <t>Candidate_1531</t>
  </si>
  <si>
    <t>1396 | Finance</t>
  </si>
  <si>
    <t>C2532</t>
  </si>
  <si>
    <t>Candidate_1532</t>
  </si>
  <si>
    <t>1340 | Finance</t>
  </si>
  <si>
    <t>C2533</t>
  </si>
  <si>
    <t>Candidate_1533</t>
  </si>
  <si>
    <t>1337 | Finance</t>
  </si>
  <si>
    <t>C2534</t>
  </si>
  <si>
    <t>Candidate_1534</t>
  </si>
  <si>
    <t>1309 | Finance</t>
  </si>
  <si>
    <t>C2535</t>
  </si>
  <si>
    <t>Candidate_1535</t>
  </si>
  <si>
    <t>1270 | Finance</t>
  </si>
  <si>
    <t>C2536</t>
  </si>
  <si>
    <t>Candidate_1536</t>
  </si>
  <si>
    <t>1269 | Finance</t>
  </si>
  <si>
    <t>C2537</t>
  </si>
  <si>
    <t>Candidate_1537</t>
  </si>
  <si>
    <t>1268 | Finance</t>
  </si>
  <si>
    <t>C2538</t>
  </si>
  <si>
    <t>Candidate_1538</t>
  </si>
  <si>
    <t>1264 | Finance</t>
  </si>
  <si>
    <t>C2539</t>
  </si>
  <si>
    <t>Candidate_1539</t>
  </si>
  <si>
    <t>1259 | Finance</t>
  </si>
  <si>
    <t>C2540</t>
  </si>
  <si>
    <t>Candidate_1540</t>
  </si>
  <si>
    <t>1254 | Finance</t>
  </si>
  <si>
    <t>C2541</t>
  </si>
  <si>
    <t>Candidate_1541</t>
  </si>
  <si>
    <t>1251 | Finance</t>
  </si>
  <si>
    <t>C2542</t>
  </si>
  <si>
    <t>Candidate_1542</t>
  </si>
  <si>
    <t>1144 | Finance</t>
  </si>
  <si>
    <t>C2543</t>
  </si>
  <si>
    <t>Candidate_1543</t>
  </si>
  <si>
    <t>1142 | Finance</t>
  </si>
  <si>
    <t>C2544</t>
  </si>
  <si>
    <t>Candidate_1544</t>
  </si>
  <si>
    <t>1141 | Finance</t>
  </si>
  <si>
    <t>C2545</t>
  </si>
  <si>
    <t>Candidate_1545</t>
  </si>
  <si>
    <t>1116 | Finance</t>
  </si>
  <si>
    <t>C2546</t>
  </si>
  <si>
    <t>Candidate_1546</t>
  </si>
  <si>
    <t>1066 | Finance</t>
  </si>
  <si>
    <t>C2547</t>
  </si>
  <si>
    <t>Candidate_1547</t>
  </si>
  <si>
    <t>1015 | Finance</t>
  </si>
  <si>
    <t>C2548</t>
  </si>
  <si>
    <t>Candidate_1548</t>
  </si>
  <si>
    <t>1014 | Finance</t>
  </si>
  <si>
    <t>C2549</t>
  </si>
  <si>
    <t>Candidate_1549</t>
  </si>
  <si>
    <t>980 | Finance</t>
  </si>
  <si>
    <t>C2550</t>
  </si>
  <si>
    <t>Candidate_1550</t>
  </si>
  <si>
    <t>976 | Finance</t>
  </si>
  <si>
    <t>C2551</t>
  </si>
  <si>
    <t>Candidate_1551</t>
  </si>
  <si>
    <t>973 | Finance</t>
  </si>
  <si>
    <t>C2552</t>
  </si>
  <si>
    <t>Candidate_1552</t>
  </si>
  <si>
    <t>968 | Finance</t>
  </si>
  <si>
    <t>C2553</t>
  </si>
  <si>
    <t>Candidate_1553</t>
  </si>
  <si>
    <t>967 | Finance</t>
  </si>
  <si>
    <t>C2554</t>
  </si>
  <si>
    <t>Candidate_1554</t>
  </si>
  <si>
    <t>962 | Finance</t>
  </si>
  <si>
    <t>C2555</t>
  </si>
  <si>
    <t>Candidate_1555</t>
  </si>
  <si>
    <t>892 | Finance</t>
  </si>
  <si>
    <t>C2556</t>
  </si>
  <si>
    <t>Candidate_1556</t>
  </si>
  <si>
    <t>890 | Finance</t>
  </si>
  <si>
    <t>C2557</t>
  </si>
  <si>
    <t>Candidate_1557</t>
  </si>
  <si>
    <t>889 | Finance</t>
  </si>
  <si>
    <t>C2558</t>
  </si>
  <si>
    <t>Candidate_1558</t>
  </si>
  <si>
    <t>885 | Finance</t>
  </si>
  <si>
    <t>C2559</t>
  </si>
  <si>
    <t>Candidate_1559</t>
  </si>
  <si>
    <t>865 | Finance</t>
  </si>
  <si>
    <t>C2560</t>
  </si>
  <si>
    <t>Candidate_1560</t>
  </si>
  <si>
    <t>860 | Finance</t>
  </si>
  <si>
    <t>C2561</t>
  </si>
  <si>
    <t>Candidate_1561</t>
  </si>
  <si>
    <t>858 | Finance</t>
  </si>
  <si>
    <t>C2562</t>
  </si>
  <si>
    <t>Candidate_1562</t>
  </si>
  <si>
    <t>748 | Finance</t>
  </si>
  <si>
    <t>C2563</t>
  </si>
  <si>
    <t>Candidate_1563</t>
  </si>
  <si>
    <t>745 | Finance</t>
  </si>
  <si>
    <t>C2564</t>
  </si>
  <si>
    <t>Candidate_1564</t>
  </si>
  <si>
    <t>705 | Finance</t>
  </si>
  <si>
    <t>C2565</t>
  </si>
  <si>
    <t>Candidate_1565</t>
  </si>
  <si>
    <t>701 | Finance</t>
  </si>
  <si>
    <t>C2566</t>
  </si>
  <si>
    <t>Candidate_1566</t>
  </si>
  <si>
    <t>608 | Finance</t>
  </si>
  <si>
    <t>C2567</t>
  </si>
  <si>
    <t>Candidate_1567</t>
  </si>
  <si>
    <t>606 | Finance</t>
  </si>
  <si>
    <t>C2568</t>
  </si>
  <si>
    <t>Candidate_1568</t>
  </si>
  <si>
    <t>605 | Finance</t>
  </si>
  <si>
    <t>C2569</t>
  </si>
  <si>
    <t>Candidate_1569</t>
  </si>
  <si>
    <t>597 | Finance</t>
  </si>
  <si>
    <t>C2570</t>
  </si>
  <si>
    <t>Candidate_1570</t>
  </si>
  <si>
    <t>594 | Finance</t>
  </si>
  <si>
    <t>C2571</t>
  </si>
  <si>
    <t>Candidate_1571</t>
  </si>
  <si>
    <t>591 | Finance</t>
  </si>
  <si>
    <t>C2572</t>
  </si>
  <si>
    <t>Candidate_1572</t>
  </si>
  <si>
    <t>459 | Finance</t>
  </si>
  <si>
    <t>C2573</t>
  </si>
  <si>
    <t>Candidate_1573</t>
  </si>
  <si>
    <t>455 | Finance</t>
  </si>
  <si>
    <t>C2574</t>
  </si>
  <si>
    <t>Candidate_1574</t>
  </si>
  <si>
    <t>452 | Finance</t>
  </si>
  <si>
    <t>C2575</t>
  </si>
  <si>
    <t>Candidate_1575</t>
  </si>
  <si>
    <t>400 | Finance</t>
  </si>
  <si>
    <t>C2576</t>
  </si>
  <si>
    <t>Candidate_1576</t>
  </si>
  <si>
    <t>393 | Finance</t>
  </si>
  <si>
    <t>C2577</t>
  </si>
  <si>
    <t>Candidate_1577</t>
  </si>
  <si>
    <t>345 | Finance</t>
  </si>
  <si>
    <t>C2578</t>
  </si>
  <si>
    <t>Candidate_1578</t>
  </si>
  <si>
    <t>341 | Finance</t>
  </si>
  <si>
    <t>C2579</t>
  </si>
  <si>
    <t>Candidate_1579</t>
  </si>
  <si>
    <t>285 | Finance</t>
  </si>
  <si>
    <t>C2580</t>
  </si>
  <si>
    <t>Candidate_1580</t>
  </si>
  <si>
    <t>284 | Finance</t>
  </si>
  <si>
    <t>C2581</t>
  </si>
  <si>
    <t>Candidate_1581</t>
  </si>
  <si>
    <t>207 | Finance</t>
  </si>
  <si>
    <t>C2582</t>
  </si>
  <si>
    <t>Candidate_1582</t>
  </si>
  <si>
    <t>177 | Finance</t>
  </si>
  <si>
    <t>C2583</t>
  </si>
  <si>
    <t>Candidate_1583</t>
  </si>
  <si>
    <t>175 | Finance</t>
  </si>
  <si>
    <t>C2584</t>
  </si>
  <si>
    <t>Candidate_1584</t>
  </si>
  <si>
    <t>173 | Finance</t>
  </si>
  <si>
    <t>C2585</t>
  </si>
  <si>
    <t>Candidate_1585</t>
  </si>
  <si>
    <t>95 | Finance</t>
  </si>
  <si>
    <t>Finance-Business Partner</t>
  </si>
  <si>
    <t>C2586</t>
  </si>
  <si>
    <t>Candidate_1586</t>
  </si>
  <si>
    <t>93 | Finance</t>
  </si>
  <si>
    <t>C2587</t>
  </si>
  <si>
    <t>Candidate_1587</t>
  </si>
  <si>
    <t>80 | Finance</t>
  </si>
  <si>
    <t>C2588</t>
  </si>
  <si>
    <t>Candidate_1588</t>
  </si>
  <si>
    <t>29 | Finance</t>
  </si>
  <si>
    <t>C2589</t>
  </si>
  <si>
    <t>Candidate_1589</t>
  </si>
  <si>
    <t>18 | Finance</t>
  </si>
  <si>
    <t>C2590</t>
  </si>
  <si>
    <t>Candidate_1590</t>
  </si>
  <si>
    <t>2843 | Finance</t>
  </si>
  <si>
    <t>Finance - Manager Level</t>
  </si>
  <si>
    <t>Finance-Manager</t>
  </si>
  <si>
    <t>C2591</t>
  </si>
  <si>
    <t>Candidate_1591</t>
  </si>
  <si>
    <t>2780 | Finance</t>
  </si>
  <si>
    <t>C2592</t>
  </si>
  <si>
    <t>Candidate_1592</t>
  </si>
  <si>
    <t>2778 | Finance</t>
  </si>
  <si>
    <t>C2593</t>
  </si>
  <si>
    <t>Candidate_1593</t>
  </si>
  <si>
    <t>2752 | Finance</t>
  </si>
  <si>
    <t>C2594</t>
  </si>
  <si>
    <t>Candidate_1594</t>
  </si>
  <si>
    <t>2677 | Finance</t>
  </si>
  <si>
    <t>C2595</t>
  </si>
  <si>
    <t>Candidate_1595</t>
  </si>
  <si>
    <t>2676 | Finance</t>
  </si>
  <si>
    <t>C2596</t>
  </si>
  <si>
    <t>Candidate_1596</t>
  </si>
  <si>
    <t>2675 | Finance</t>
  </si>
  <si>
    <t>C2597</t>
  </si>
  <si>
    <t>Candidate_1597</t>
  </si>
  <si>
    <t>2673 | Finance</t>
  </si>
  <si>
    <t>C2598</t>
  </si>
  <si>
    <t>Candidate_1598</t>
  </si>
  <si>
    <t>2550 | Finance</t>
  </si>
  <si>
    <t>C2599</t>
  </si>
  <si>
    <t>Candidate_1599</t>
  </si>
  <si>
    <t>2544 | Finance</t>
  </si>
  <si>
    <t>C2600</t>
  </si>
  <si>
    <t>Candidate_1600</t>
  </si>
  <si>
    <t>2506 | Finance</t>
  </si>
  <si>
    <t>C2601</t>
  </si>
  <si>
    <t>Candidate_1601</t>
  </si>
  <si>
    <t>2503 | Finance</t>
  </si>
  <si>
    <t>C2602</t>
  </si>
  <si>
    <t>Candidate_1602</t>
  </si>
  <si>
    <t>2502 | Finance</t>
  </si>
  <si>
    <t>C2603</t>
  </si>
  <si>
    <t>Candidate_1603</t>
  </si>
  <si>
    <t>2480 | Finance</t>
  </si>
  <si>
    <t>C2604</t>
  </si>
  <si>
    <t>Candidate_1604</t>
  </si>
  <si>
    <t>2472 | Finance</t>
  </si>
  <si>
    <t>C2605</t>
  </si>
  <si>
    <t>Candidate_1605</t>
  </si>
  <si>
    <t>2359 | Finance</t>
  </si>
  <si>
    <t>C2606</t>
  </si>
  <si>
    <t>Candidate_1606</t>
  </si>
  <si>
    <t>2356 | Finance</t>
  </si>
  <si>
    <t>C2607</t>
  </si>
  <si>
    <t>Candidate_1607</t>
  </si>
  <si>
    <t>2330 | Finance</t>
  </si>
  <si>
    <t>C2608</t>
  </si>
  <si>
    <t>Candidate_1608</t>
  </si>
  <si>
    <t>2308 | Finance</t>
  </si>
  <si>
    <t>C2609</t>
  </si>
  <si>
    <t>Candidate_1609</t>
  </si>
  <si>
    <t>2279 | Finance</t>
  </si>
  <si>
    <t>C2610</t>
  </si>
  <si>
    <t>Candidate_1610</t>
  </si>
  <si>
    <t>2230 | Finance</t>
  </si>
  <si>
    <t>C2611</t>
  </si>
  <si>
    <t>Candidate_1611</t>
  </si>
  <si>
    <t>2226 | Finance</t>
  </si>
  <si>
    <t>C2612</t>
  </si>
  <si>
    <t>Candidate_1612</t>
  </si>
  <si>
    <t>2222 | Finance</t>
  </si>
  <si>
    <t>C2613</t>
  </si>
  <si>
    <t>Candidate_1613</t>
  </si>
  <si>
    <t>2172 | Finance</t>
  </si>
  <si>
    <t>C2614</t>
  </si>
  <si>
    <t>Candidate_1614</t>
  </si>
  <si>
    <t>2156 | Finance</t>
  </si>
  <si>
    <t>C2615</t>
  </si>
  <si>
    <t>Candidate_1615</t>
  </si>
  <si>
    <t>2154 | Finance</t>
  </si>
  <si>
    <t>C2616</t>
  </si>
  <si>
    <t>Candidate_1616</t>
  </si>
  <si>
    <t>2083 | Finance</t>
  </si>
  <si>
    <t>C2617</t>
  </si>
  <si>
    <t>Candidate_1617</t>
  </si>
  <si>
    <t>2030 | Finance</t>
  </si>
  <si>
    <t>C2618</t>
  </si>
  <si>
    <t>Candidate_1618</t>
  </si>
  <si>
    <t>2021 | Finance</t>
  </si>
  <si>
    <t>C2619</t>
  </si>
  <si>
    <t>Candidate_1619</t>
  </si>
  <si>
    <t>1996 | Finance</t>
  </si>
  <si>
    <t>C2620</t>
  </si>
  <si>
    <t>Candidate_1620</t>
  </si>
  <si>
    <t>1889 | Finance</t>
  </si>
  <si>
    <t>C2621</t>
  </si>
  <si>
    <t>Candidate_1621</t>
  </si>
  <si>
    <t>1887 | Finance</t>
  </si>
  <si>
    <t>C2622</t>
  </si>
  <si>
    <t>Candidate_1622</t>
  </si>
  <si>
    <t>1886 | Finance</t>
  </si>
  <si>
    <t>C2623</t>
  </si>
  <si>
    <t>Candidate_1623</t>
  </si>
  <si>
    <t>1885 | Finance</t>
  </si>
  <si>
    <t>C2624</t>
  </si>
  <si>
    <t>Candidate_1624</t>
  </si>
  <si>
    <t>1884 | Finance</t>
  </si>
  <si>
    <t>C2625</t>
  </si>
  <si>
    <t>Candidate_1625</t>
  </si>
  <si>
    <t>1843 | Finance</t>
  </si>
  <si>
    <t>C2626</t>
  </si>
  <si>
    <t>Candidate_1626</t>
  </si>
  <si>
    <t>1842 | Finance</t>
  </si>
  <si>
    <t>C2627</t>
  </si>
  <si>
    <t>Candidate_1627</t>
  </si>
  <si>
    <t>1828 | Finance</t>
  </si>
  <si>
    <t>C2628</t>
  </si>
  <si>
    <t>Candidate_1628</t>
  </si>
  <si>
    <t>1827 | Finance</t>
  </si>
  <si>
    <t>C2629</t>
  </si>
  <si>
    <t>Candidate_1629</t>
  </si>
  <si>
    <t>1825 | Finance</t>
  </si>
  <si>
    <t>C2630</t>
  </si>
  <si>
    <t>Candidate_1630</t>
  </si>
  <si>
    <t>1824 | Finance</t>
  </si>
  <si>
    <t>C2631</t>
  </si>
  <si>
    <t>Candidate_1631</t>
  </si>
  <si>
    <t>1755 | Finance</t>
  </si>
  <si>
    <t>C2632</t>
  </si>
  <si>
    <t>Candidate_1632</t>
  </si>
  <si>
    <t>1753 | Finance</t>
  </si>
  <si>
    <t>C2633</t>
  </si>
  <si>
    <t>Candidate_1633</t>
  </si>
  <si>
    <t>1739 | Finance</t>
  </si>
  <si>
    <t>C2634</t>
  </si>
  <si>
    <t>Candidate_1634</t>
  </si>
  <si>
    <t>1710 | Finance</t>
  </si>
  <si>
    <t>C2635</t>
  </si>
  <si>
    <t>Candidate_1635</t>
  </si>
  <si>
    <t>1676 | Finance</t>
  </si>
  <si>
    <t>C2636</t>
  </si>
  <si>
    <t>Candidate_1636</t>
  </si>
  <si>
    <t>1673 | Finance</t>
  </si>
  <si>
    <t>C2637</t>
  </si>
  <si>
    <t>Candidate_1637</t>
  </si>
  <si>
    <t>1587 | Finance</t>
  </si>
  <si>
    <t>C2638</t>
  </si>
  <si>
    <t>Candidate_1638</t>
  </si>
  <si>
    <t>1566 | Finance</t>
  </si>
  <si>
    <t>C2639</t>
  </si>
  <si>
    <t>Candidate_1639</t>
  </si>
  <si>
    <t>1565 | Finance</t>
  </si>
  <si>
    <t>C2640</t>
  </si>
  <si>
    <t>Candidate_1640</t>
  </si>
  <si>
    <t>1561 | Finance</t>
  </si>
  <si>
    <t>C2641</t>
  </si>
  <si>
    <t>Candidate_1641</t>
  </si>
  <si>
    <t>1541 | Finance</t>
  </si>
  <si>
    <t>C2642</t>
  </si>
  <si>
    <t>Candidate_1642</t>
  </si>
  <si>
    <t>1530 | Finance</t>
  </si>
  <si>
    <t>C2643</t>
  </si>
  <si>
    <t>Candidate_1643</t>
  </si>
  <si>
    <t>1440 | Finance</t>
  </si>
  <si>
    <t>C2644</t>
  </si>
  <si>
    <t>Candidate_1644</t>
  </si>
  <si>
    <t>1437 | Finance</t>
  </si>
  <si>
    <t>C2645</t>
  </si>
  <si>
    <t>Candidate_1645</t>
  </si>
  <si>
    <t>1432 | Finance</t>
  </si>
  <si>
    <t>C2646</t>
  </si>
  <si>
    <t>Candidate_1646</t>
  </si>
  <si>
    <t>1399 | Finance</t>
  </si>
  <si>
    <t>C2647</t>
  </si>
  <si>
    <t>Candidate_1647</t>
  </si>
  <si>
    <t>1397 | Finance</t>
  </si>
  <si>
    <t>C2648</t>
  </si>
  <si>
    <t>Candidate_1648</t>
  </si>
  <si>
    <t>1394 | Finance</t>
  </si>
  <si>
    <t>C2649</t>
  </si>
  <si>
    <t>Candidate_1649</t>
  </si>
  <si>
    <t>1393 | Finance</t>
  </si>
  <si>
    <t>C2650</t>
  </si>
  <si>
    <t>Candidate_1650</t>
  </si>
  <si>
    <t>1339 | Finance</t>
  </si>
  <si>
    <t>C2651</t>
  </si>
  <si>
    <t>Candidate_1651</t>
  </si>
  <si>
    <t>1338 | Finance</t>
  </si>
  <si>
    <t>C2652</t>
  </si>
  <si>
    <t>Candidate_1652</t>
  </si>
  <si>
    <t>1336 | Finance</t>
  </si>
  <si>
    <t>C2653</t>
  </si>
  <si>
    <t>Candidate_1653</t>
  </si>
  <si>
    <t>1289 | Finance</t>
  </si>
  <si>
    <t>C2654</t>
  </si>
  <si>
    <t>Candidate_1654</t>
  </si>
  <si>
    <t>1284 | Finance</t>
  </si>
  <si>
    <t>C2655</t>
  </si>
  <si>
    <t>Candidate_1655</t>
  </si>
  <si>
    <t>1281 | Finance</t>
  </si>
  <si>
    <t>C2656</t>
  </si>
  <si>
    <t>Candidate_1656</t>
  </si>
  <si>
    <t>1267 | Finance</t>
  </si>
  <si>
    <t>C2657</t>
  </si>
  <si>
    <t>Candidate_1657</t>
  </si>
  <si>
    <t>1261 | Finance</t>
  </si>
  <si>
    <t>C2658</t>
  </si>
  <si>
    <t>Candidate_1658</t>
  </si>
  <si>
    <t>1146 | Finance</t>
  </si>
  <si>
    <t>C2659</t>
  </si>
  <si>
    <t>Candidate_1659</t>
  </si>
  <si>
    <t>1118 | Finance</t>
  </si>
  <si>
    <t>C2660</t>
  </si>
  <si>
    <t>Candidate_1660</t>
  </si>
  <si>
    <t>1113 | Finance</t>
  </si>
  <si>
    <t>C2661</t>
  </si>
  <si>
    <t>Candidate_1661</t>
  </si>
  <si>
    <t>1070 | Finance</t>
  </si>
  <si>
    <t>C2662</t>
  </si>
  <si>
    <t>Candidate_1662</t>
  </si>
  <si>
    <t>1069 | Finance</t>
  </si>
  <si>
    <t>C2663</t>
  </si>
  <si>
    <t>Candidate_1663</t>
  </si>
  <si>
    <t>1035 | Finance</t>
  </si>
  <si>
    <t>C2664</t>
  </si>
  <si>
    <t>Candidate_1664</t>
  </si>
  <si>
    <t>1020 | Finance</t>
  </si>
  <si>
    <t>C2665</t>
  </si>
  <si>
    <t>Candidate_1665</t>
  </si>
  <si>
    <t>1011 | Finance</t>
  </si>
  <si>
    <t>C2666</t>
  </si>
  <si>
    <t>Candidate_1666</t>
  </si>
  <si>
    <t>979 | Finance</t>
  </si>
  <si>
    <t>C2667</t>
  </si>
  <si>
    <t>Candidate_1667</t>
  </si>
  <si>
    <t>975 | Finance</t>
  </si>
  <si>
    <t>C2668</t>
  </si>
  <si>
    <t>Candidate_1668</t>
  </si>
  <si>
    <t>971 | Finance</t>
  </si>
  <si>
    <t>C2669</t>
  </si>
  <si>
    <t>Candidate_1669</t>
  </si>
  <si>
    <t>970 | Finance</t>
  </si>
  <si>
    <t>C2670</t>
  </si>
  <si>
    <t>Candidate_1670</t>
  </si>
  <si>
    <t>899 | Finance</t>
  </si>
  <si>
    <t>C2671</t>
  </si>
  <si>
    <t>Candidate_1671</t>
  </si>
  <si>
    <t>886 | Finance</t>
  </si>
  <si>
    <t>C2672</t>
  </si>
  <si>
    <t>Candidate_1672</t>
  </si>
  <si>
    <t>866 | Finance</t>
  </si>
  <si>
    <t>C2673</t>
  </si>
  <si>
    <t>Candidate_1673</t>
  </si>
  <si>
    <t>862 | Finance</t>
  </si>
  <si>
    <t>C2674</t>
  </si>
  <si>
    <t>Candidate_1674</t>
  </si>
  <si>
    <t>861 | Finance</t>
  </si>
  <si>
    <t>C2675</t>
  </si>
  <si>
    <t>Candidate_1675</t>
  </si>
  <si>
    <t>750 | Finance</t>
  </si>
  <si>
    <t>C2676</t>
  </si>
  <si>
    <t>Candidate_1676</t>
  </si>
  <si>
    <t>747 | Finance</t>
  </si>
  <si>
    <t>C2677</t>
  </si>
  <si>
    <t>Candidate_1677</t>
  </si>
  <si>
    <t>704 | Finance</t>
  </si>
  <si>
    <t>C2678</t>
  </si>
  <si>
    <t>Candidate_1678</t>
  </si>
  <si>
    <t>609 | Finance</t>
  </si>
  <si>
    <t>C2679</t>
  </si>
  <si>
    <t>Candidate_1679</t>
  </si>
  <si>
    <t>600 | Finance</t>
  </si>
  <si>
    <t>C2680</t>
  </si>
  <si>
    <t>Candidate_1680</t>
  </si>
  <si>
    <t>595 | Finance</t>
  </si>
  <si>
    <t>C2681</t>
  </si>
  <si>
    <t>Candidate_1681</t>
  </si>
  <si>
    <t>451 | Finance</t>
  </si>
  <si>
    <t>C2682</t>
  </si>
  <si>
    <t>Candidate_1682</t>
  </si>
  <si>
    <t>392 | Finance</t>
  </si>
  <si>
    <t>C2683</t>
  </si>
  <si>
    <t>Candidate_1683</t>
  </si>
  <si>
    <t>349 | Finance</t>
  </si>
  <si>
    <t>C2684</t>
  </si>
  <si>
    <t>Candidate_1684</t>
  </si>
  <si>
    <t>347 | Finance</t>
  </si>
  <si>
    <t>C2685</t>
  </si>
  <si>
    <t>Candidate_1685</t>
  </si>
  <si>
    <t>346 | Finance</t>
  </si>
  <si>
    <t>C2686</t>
  </si>
  <si>
    <t>Candidate_1686</t>
  </si>
  <si>
    <t>342 | Finance</t>
  </si>
  <si>
    <t>C2687</t>
  </si>
  <si>
    <t>Candidate_1687</t>
  </si>
  <si>
    <t>287 | Finance</t>
  </si>
  <si>
    <t>Contoller</t>
  </si>
  <si>
    <t>Finance-Contoller</t>
  </si>
  <si>
    <t>C2688</t>
  </si>
  <si>
    <t>Candidate_1688</t>
  </si>
  <si>
    <t>282 | Finance</t>
  </si>
  <si>
    <t>C2689</t>
  </si>
  <si>
    <t>Candidate_1689</t>
  </si>
  <si>
    <t>202 | Finance</t>
  </si>
  <si>
    <t>C2690</t>
  </si>
  <si>
    <t>Candidate_1690</t>
  </si>
  <si>
    <t>179 | Finance</t>
  </si>
  <si>
    <t>C2691</t>
  </si>
  <si>
    <t>Candidate_1691</t>
  </si>
  <si>
    <t>174 | Finance</t>
  </si>
  <si>
    <t>C2692</t>
  </si>
  <si>
    <t>Candidate_1692</t>
  </si>
  <si>
    <t>172 | Finance</t>
  </si>
  <si>
    <t>C2693</t>
  </si>
  <si>
    <t>Candidate_1693</t>
  </si>
  <si>
    <t>103 | Finance</t>
  </si>
  <si>
    <t>C2694</t>
  </si>
  <si>
    <t>Candidate_1694</t>
  </si>
  <si>
    <t>102 | Finance</t>
  </si>
  <si>
    <t>C2695</t>
  </si>
  <si>
    <t>Candidate_1695</t>
  </si>
  <si>
    <t>99 | Finance</t>
  </si>
  <si>
    <t>C2696</t>
  </si>
  <si>
    <t>Candidate_1696</t>
  </si>
  <si>
    <t>97 | Finance</t>
  </si>
  <si>
    <t>C2697</t>
  </si>
  <si>
    <t>Candidate_1697</t>
  </si>
  <si>
    <t>92 | Finance</t>
  </si>
  <si>
    <t>C2698</t>
  </si>
  <si>
    <t>Candidate_1698</t>
  </si>
  <si>
    <t>79 | Finance</t>
  </si>
  <si>
    <t>C2699</t>
  </si>
  <si>
    <t>Candidate_1699</t>
  </si>
  <si>
    <t>76 | Finance</t>
  </si>
  <si>
    <t>C2700</t>
  </si>
  <si>
    <t>Candidate_1700</t>
  </si>
  <si>
    <t>24 | Finance</t>
  </si>
  <si>
    <t>C2701</t>
  </si>
  <si>
    <t>Candidate_1701</t>
  </si>
  <si>
    <t>17 | Finance</t>
  </si>
  <si>
    <t>C2702</t>
  </si>
  <si>
    <t>Candidate_1702</t>
  </si>
  <si>
    <t>2848 | Finance</t>
  </si>
  <si>
    <t>Finance - Junior</t>
  </si>
  <si>
    <t>Finance-Analyst</t>
  </si>
  <si>
    <t>C2703</t>
  </si>
  <si>
    <t>Candidate_1703</t>
  </si>
  <si>
    <t>2845 | Finance</t>
  </si>
  <si>
    <t>C2704</t>
  </si>
  <si>
    <t>Candidate_1704</t>
  </si>
  <si>
    <t>2775 | Finance</t>
  </si>
  <si>
    <t>C2705</t>
  </si>
  <si>
    <t>Candidate_1705</t>
  </si>
  <si>
    <t>2773 | Finance</t>
  </si>
  <si>
    <t>C2706</t>
  </si>
  <si>
    <t>Candidate_1706</t>
  </si>
  <si>
    <t>2759 | Finance</t>
  </si>
  <si>
    <t>C2707</t>
  </si>
  <si>
    <t>Candidate_1707</t>
  </si>
  <si>
    <t>2689 | Finance</t>
  </si>
  <si>
    <t>C2708</t>
  </si>
  <si>
    <t>Candidate_1708</t>
  </si>
  <si>
    <t>2687 | Finance</t>
  </si>
  <si>
    <t>C2709</t>
  </si>
  <si>
    <t>Candidate_1709</t>
  </si>
  <si>
    <t>2683 | Finance</t>
  </si>
  <si>
    <t>C2710</t>
  </si>
  <si>
    <t>Candidate_1710</t>
  </si>
  <si>
    <t>2682 | Finance</t>
  </si>
  <si>
    <t>C2711</t>
  </si>
  <si>
    <t>Candidate_1711</t>
  </si>
  <si>
    <t>2680 | Finance</t>
  </si>
  <si>
    <t>C2712</t>
  </si>
  <si>
    <t>Candidate_1712</t>
  </si>
  <si>
    <t>2678 | Finance</t>
  </si>
  <si>
    <t>C2713</t>
  </si>
  <si>
    <t>Candidate_1713</t>
  </si>
  <si>
    <t>2549 | Finance</t>
  </si>
  <si>
    <t>C2714</t>
  </si>
  <si>
    <t>Candidate_1714</t>
  </si>
  <si>
    <t>2543 | Finance</t>
  </si>
  <si>
    <t>C2715</t>
  </si>
  <si>
    <t>Candidate_1715</t>
  </si>
  <si>
    <t>2510 | Finance</t>
  </si>
  <si>
    <t>C2716</t>
  </si>
  <si>
    <t>Candidate_1716</t>
  </si>
  <si>
    <t>2507 | Finance</t>
  </si>
  <si>
    <t>C2717</t>
  </si>
  <si>
    <t>Candidate_1717</t>
  </si>
  <si>
    <t>2477 | Finance</t>
  </si>
  <si>
    <t>C2718</t>
  </si>
  <si>
    <t>Candidate_1718</t>
  </si>
  <si>
    <t>2473 | Finance</t>
  </si>
  <si>
    <t>C2719</t>
  </si>
  <si>
    <t>Candidate_1719</t>
  </si>
  <si>
    <t>2358 | Finance</t>
  </si>
  <si>
    <t>C2720</t>
  </si>
  <si>
    <t>Candidate_1720</t>
  </si>
  <si>
    <t>2352 | Finance</t>
  </si>
  <si>
    <t>C2721</t>
  </si>
  <si>
    <t>Candidate_1721</t>
  </si>
  <si>
    <t>2329 | Finance</t>
  </si>
  <si>
    <t>C2722</t>
  </si>
  <si>
    <t>Candidate_1722</t>
  </si>
  <si>
    <t>2327 | Finance</t>
  </si>
  <si>
    <t>C2723</t>
  </si>
  <si>
    <t>Candidate_1723</t>
  </si>
  <si>
    <t>2324 | Finance</t>
  </si>
  <si>
    <t>C2724</t>
  </si>
  <si>
    <t>Candidate_1724</t>
  </si>
  <si>
    <t>2322 | Finance</t>
  </si>
  <si>
    <t>C2725</t>
  </si>
  <si>
    <t>Candidate_1725</t>
  </si>
  <si>
    <t>2310 | Finance</t>
  </si>
  <si>
    <t>C2726</t>
  </si>
  <si>
    <t>Candidate_1726</t>
  </si>
  <si>
    <t>2303 | Finance</t>
  </si>
  <si>
    <t>C2727</t>
  </si>
  <si>
    <t>Candidate_1727</t>
  </si>
  <si>
    <t>2289 | Finance</t>
  </si>
  <si>
    <t>C2728</t>
  </si>
  <si>
    <t>Candidate_1728</t>
  </si>
  <si>
    <t>2288 | Finance</t>
  </si>
  <si>
    <t>C2729</t>
  </si>
  <si>
    <t>Candidate_1729</t>
  </si>
  <si>
    <t>2284 | Finance</t>
  </si>
  <si>
    <t>C2730</t>
  </si>
  <si>
    <t>Candidate_1730</t>
  </si>
  <si>
    <t>2280 | Finance</t>
  </si>
  <si>
    <t>C2731</t>
  </si>
  <si>
    <t>Candidate_1731</t>
  </si>
  <si>
    <t>2277 | Finance</t>
  </si>
  <si>
    <t>C2732</t>
  </si>
  <si>
    <t>Candidate_1732</t>
  </si>
  <si>
    <t>2276 | Finance</t>
  </si>
  <si>
    <t>C2733</t>
  </si>
  <si>
    <t>Candidate_1733</t>
  </si>
  <si>
    <t>2236 | Finance</t>
  </si>
  <si>
    <t>C2734</t>
  </si>
  <si>
    <t>Candidate_1734</t>
  </si>
  <si>
    <t>2232 | Finance</t>
  </si>
  <si>
    <t>C2735</t>
  </si>
  <si>
    <t>Candidate_1735</t>
  </si>
  <si>
    <t>2179 | Finance</t>
  </si>
  <si>
    <t>C2736</t>
  </si>
  <si>
    <t>Candidate_1736</t>
  </si>
  <si>
    <t>2176 | Finance</t>
  </si>
  <si>
    <t>C2737</t>
  </si>
  <si>
    <t>Candidate_1737</t>
  </si>
  <si>
    <t>2158 | Finance</t>
  </si>
  <si>
    <t>C2738</t>
  </si>
  <si>
    <t>Candidate_1738</t>
  </si>
  <si>
    <t>2155 | Finance</t>
  </si>
  <si>
    <t>C2739</t>
  </si>
  <si>
    <t>Candidate_1739</t>
  </si>
  <si>
    <t>2086 | Finance</t>
  </si>
  <si>
    <t>C2740</t>
  </si>
  <si>
    <t>Candidate_1740</t>
  </si>
  <si>
    <t>2082 | Finance</t>
  </si>
  <si>
    <t>C2741</t>
  </si>
  <si>
    <t>Candidate_1741</t>
  </si>
  <si>
    <t>1994 | Finance</t>
  </si>
  <si>
    <t>C2742</t>
  </si>
  <si>
    <t>Candidate_1742</t>
  </si>
  <si>
    <t>1882 | Finance</t>
  </si>
  <si>
    <t>C2743</t>
  </si>
  <si>
    <t>Candidate_1743</t>
  </si>
  <si>
    <t>1881 | Finance</t>
  </si>
  <si>
    <t>Billing Officer</t>
  </si>
  <si>
    <t>Finance-Billing Officer</t>
  </si>
  <si>
    <t>C2744</t>
  </si>
  <si>
    <t>Candidate_1744</t>
  </si>
  <si>
    <t>1869 | Finance</t>
  </si>
  <si>
    <t>C2745</t>
  </si>
  <si>
    <t>Candidate_1745</t>
  </si>
  <si>
    <t>1868 | Finance</t>
  </si>
  <si>
    <t>C2746</t>
  </si>
  <si>
    <t>Candidate_1746</t>
  </si>
  <si>
    <t>1849 | Finance</t>
  </si>
  <si>
    <t>C2747</t>
  </si>
  <si>
    <t>Candidate_1747</t>
  </si>
  <si>
    <t>1847 | Finance</t>
  </si>
  <si>
    <t>C2748</t>
  </si>
  <si>
    <t>Candidate_1748</t>
  </si>
  <si>
    <t>1821 | Finance</t>
  </si>
  <si>
    <t>C2749</t>
  </si>
  <si>
    <t>Candidate_1749</t>
  </si>
  <si>
    <t>1733 | Finance</t>
  </si>
  <si>
    <t>C2750</t>
  </si>
  <si>
    <t>Candidate_1750</t>
  </si>
  <si>
    <t>1707 | Finance</t>
  </si>
  <si>
    <t>C2751</t>
  </si>
  <si>
    <t>Candidate_1751</t>
  </si>
  <si>
    <t>1634 | Finance</t>
  </si>
  <si>
    <t>C2752</t>
  </si>
  <si>
    <t>Candidate_1752</t>
  </si>
  <si>
    <t>1589 | Finance</t>
  </si>
  <si>
    <t>C2753</t>
  </si>
  <si>
    <t>Candidate_1753</t>
  </si>
  <si>
    <t>1582 | Finance</t>
  </si>
  <si>
    <t>C2754</t>
  </si>
  <si>
    <t>Candidate_1754</t>
  </si>
  <si>
    <t>1570 | Finance</t>
  </si>
  <si>
    <t>C2755</t>
  </si>
  <si>
    <t>Candidate_1755</t>
  </si>
  <si>
    <t>1548 | Finance</t>
  </si>
  <si>
    <t>C2756</t>
  </si>
  <si>
    <t>Candidate_1756</t>
  </si>
  <si>
    <t>1543 | Finance</t>
  </si>
  <si>
    <t>C2757</t>
  </si>
  <si>
    <t>Candidate_1757</t>
  </si>
  <si>
    <t>1520 | Finance</t>
  </si>
  <si>
    <t>C2758</t>
  </si>
  <si>
    <t>Candidate_1758</t>
  </si>
  <si>
    <t>1511 | Finance</t>
  </si>
  <si>
    <t>C2759</t>
  </si>
  <si>
    <t>Candidate_1759</t>
  </si>
  <si>
    <t>1439 | Finance</t>
  </si>
  <si>
    <t>C2760</t>
  </si>
  <si>
    <t>Candidate_1760</t>
  </si>
  <si>
    <t>1438 | Finance</t>
  </si>
  <si>
    <t>C2761</t>
  </si>
  <si>
    <t>Candidate_1761</t>
  </si>
  <si>
    <t>1431 | Finance</t>
  </si>
  <si>
    <t>C2762</t>
  </si>
  <si>
    <t>Candidate_1762</t>
  </si>
  <si>
    <t>1333 | Finance</t>
  </si>
  <si>
    <t>C2763</t>
  </si>
  <si>
    <t>Candidate_1763</t>
  </si>
  <si>
    <t>1331 | Finance</t>
  </si>
  <si>
    <t>C2764</t>
  </si>
  <si>
    <t>Candidate_1764</t>
  </si>
  <si>
    <t>1310 | Finance</t>
  </si>
  <si>
    <t>C2765</t>
  </si>
  <si>
    <t>Candidate_1765</t>
  </si>
  <si>
    <t>1304 | Finance</t>
  </si>
  <si>
    <t>C2766</t>
  </si>
  <si>
    <t>Candidate_1766</t>
  </si>
  <si>
    <t>1303 | Finance</t>
  </si>
  <si>
    <t>C2767</t>
  </si>
  <si>
    <t>Candidate_1767</t>
  </si>
  <si>
    <t>1286 | Finance</t>
  </si>
  <si>
    <t>C2768</t>
  </si>
  <si>
    <t>Candidate_1768</t>
  </si>
  <si>
    <t>1282 | Finance</t>
  </si>
  <si>
    <t>C2769</t>
  </si>
  <si>
    <t>Candidate_1769</t>
  </si>
  <si>
    <t>1266 | Finance</t>
  </si>
  <si>
    <t>C2770</t>
  </si>
  <si>
    <t>Candidate_1770</t>
  </si>
  <si>
    <t>1265 | Finance</t>
  </si>
  <si>
    <t>C2771</t>
  </si>
  <si>
    <t>Candidate_1771</t>
  </si>
  <si>
    <t>1252 | Finance</t>
  </si>
  <si>
    <t>C2772</t>
  </si>
  <si>
    <t>Candidate_1772</t>
  </si>
  <si>
    <t>1038 | Finance</t>
  </si>
  <si>
    <t>C2773</t>
  </si>
  <si>
    <t>Candidate_1773</t>
  </si>
  <si>
    <t>1033 | Finance</t>
  </si>
  <si>
    <t>C2774</t>
  </si>
  <si>
    <t>Candidate_1774</t>
  </si>
  <si>
    <t>1017 | Finance</t>
  </si>
  <si>
    <t>C2775</t>
  </si>
  <si>
    <t>Candidate_1775</t>
  </si>
  <si>
    <t>1016 | Finance</t>
  </si>
  <si>
    <t>C2776</t>
  </si>
  <si>
    <t>Candidate_1776</t>
  </si>
  <si>
    <t>966 | Finance</t>
  </si>
  <si>
    <t>C2777</t>
  </si>
  <si>
    <t>Candidate_1777</t>
  </si>
  <si>
    <t>965 | Finance</t>
  </si>
  <si>
    <t>C2778</t>
  </si>
  <si>
    <t>Candidate_1778</t>
  </si>
  <si>
    <t>887 | Finance</t>
  </si>
  <si>
    <t>C2779</t>
  </si>
  <si>
    <t>Candidate_1779</t>
  </si>
  <si>
    <t>864 | Finance</t>
  </si>
  <si>
    <t>C2780</t>
  </si>
  <si>
    <t>Candidate_1780</t>
  </si>
  <si>
    <t>851 | Finance</t>
  </si>
  <si>
    <t>C2781</t>
  </si>
  <si>
    <t>Candidate_1781</t>
  </si>
  <si>
    <t>746 | Finance</t>
  </si>
  <si>
    <t>C2782</t>
  </si>
  <si>
    <t>Candidate_1782</t>
  </si>
  <si>
    <t>743 | Finance</t>
  </si>
  <si>
    <t>C2783</t>
  </si>
  <si>
    <t>Candidate_1783</t>
  </si>
  <si>
    <t>703 | Finance</t>
  </si>
  <si>
    <t>C2784</t>
  </si>
  <si>
    <t>Candidate_1784</t>
  </si>
  <si>
    <t>702 | Finance</t>
  </si>
  <si>
    <t>C2785</t>
  </si>
  <si>
    <t>Candidate_1785</t>
  </si>
  <si>
    <t>607 | Finance</t>
  </si>
  <si>
    <t>C2786</t>
  </si>
  <si>
    <t>Candidate_1786</t>
  </si>
  <si>
    <t>601 | Finance</t>
  </si>
  <si>
    <t>C2787</t>
  </si>
  <si>
    <t>Candidate_1787</t>
  </si>
  <si>
    <t>599 | Finance</t>
  </si>
  <si>
    <t>C2788</t>
  </si>
  <si>
    <t>Candidate_1788</t>
  </si>
  <si>
    <t>460 | Finance</t>
  </si>
  <si>
    <t>C2789</t>
  </si>
  <si>
    <t>Candidate_1789</t>
  </si>
  <si>
    <t>454 | Finance</t>
  </si>
  <si>
    <t>C2790</t>
  </si>
  <si>
    <t>Candidate_1790</t>
  </si>
  <si>
    <t>453 | Finance</t>
  </si>
  <si>
    <t>C2791</t>
  </si>
  <si>
    <t>Candidate_1791</t>
  </si>
  <si>
    <t>394 | Finance</t>
  </si>
  <si>
    <t>C2792</t>
  </si>
  <si>
    <t>Candidate_1792</t>
  </si>
  <si>
    <t>350 | Finance</t>
  </si>
  <si>
    <t>C2793</t>
  </si>
  <si>
    <t>Candidate_1793</t>
  </si>
  <si>
    <t>290 | Finance</t>
  </si>
  <si>
    <t>C2794</t>
  </si>
  <si>
    <t>Candidate_1794</t>
  </si>
  <si>
    <t>288 | Finance</t>
  </si>
  <si>
    <t>C2795</t>
  </si>
  <si>
    <t>Candidate_1795</t>
  </si>
  <si>
    <t>208 | Finance</t>
  </si>
  <si>
    <t>C2796</t>
  </si>
  <si>
    <t>Candidate_1796</t>
  </si>
  <si>
    <t>206 | Finance</t>
  </si>
  <si>
    <t>C2797</t>
  </si>
  <si>
    <t>Candidate_1797</t>
  </si>
  <si>
    <t>205 | Finance</t>
  </si>
  <si>
    <t>C2798</t>
  </si>
  <si>
    <t>Candidate_1798</t>
  </si>
  <si>
    <t>180 | Finance</t>
  </si>
  <si>
    <t>C2799</t>
  </si>
  <si>
    <t>Candidate_1799</t>
  </si>
  <si>
    <t>108 | Finance</t>
  </si>
  <si>
    <t>C2800</t>
  </si>
  <si>
    <t>Candidate_1800</t>
  </si>
  <si>
    <t>78 | Finance</t>
  </si>
  <si>
    <t>C2801</t>
  </si>
  <si>
    <t>Candidate_1801</t>
  </si>
  <si>
    <t>77 | Finance</t>
  </si>
  <si>
    <t>C2802</t>
  </si>
  <si>
    <t>Candidate_1802</t>
  </si>
  <si>
    <t>74 | Finance</t>
  </si>
  <si>
    <t>C2803</t>
  </si>
  <si>
    <t>Candidate_1803</t>
  </si>
  <si>
    <t>72 | Finance</t>
  </si>
  <si>
    <t>C2804</t>
  </si>
  <si>
    <t>Candidate_1804</t>
  </si>
  <si>
    <t>15 | Finance</t>
  </si>
  <si>
    <t>C2805</t>
  </si>
  <si>
    <t>Candidate_1805</t>
  </si>
  <si>
    <t>2290 | Finance</t>
  </si>
  <si>
    <t>Finance - Executive</t>
  </si>
  <si>
    <t>Finance-Associate Director</t>
  </si>
  <si>
    <t>C2806</t>
  </si>
  <si>
    <t>Candidate_1806</t>
  </si>
  <si>
    <t>2028 | Finance</t>
  </si>
  <si>
    <t>C2807</t>
  </si>
  <si>
    <t>Candidate_1807</t>
  </si>
  <si>
    <t>1829 | Finance</t>
  </si>
  <si>
    <t>C2808</t>
  </si>
  <si>
    <t>Candidate_1808</t>
  </si>
  <si>
    <t>1759 | Finance</t>
  </si>
  <si>
    <t>C2809</t>
  </si>
  <si>
    <t>Candidate_1809</t>
  </si>
  <si>
    <t>1632 | Finance</t>
  </si>
  <si>
    <t>C2810</t>
  </si>
  <si>
    <t>Candidate_1810</t>
  </si>
  <si>
    <t>1516 | Finance</t>
  </si>
  <si>
    <t>C2811</t>
  </si>
  <si>
    <t>Candidate_1811</t>
  </si>
  <si>
    <t>1435 | Finance</t>
  </si>
  <si>
    <t>C2812</t>
  </si>
  <si>
    <t>Candidate_1812</t>
  </si>
  <si>
    <t>1149 | Finance</t>
  </si>
  <si>
    <t>C2813</t>
  </si>
  <si>
    <t>Candidate_1813</t>
  </si>
  <si>
    <t>1034 | Finance</t>
  </si>
  <si>
    <t>C2814</t>
  </si>
  <si>
    <t>Candidate_1814</t>
  </si>
  <si>
    <t>974 | Finance</t>
  </si>
  <si>
    <t>C2815</t>
  </si>
  <si>
    <t>Candidate_1815</t>
  </si>
  <si>
    <t>961 | Finance</t>
  </si>
  <si>
    <t>C2816</t>
  </si>
  <si>
    <t>Candidate_1816</t>
  </si>
  <si>
    <t>900 | Finance</t>
  </si>
  <si>
    <t>C2817</t>
  </si>
  <si>
    <t>Candidate_1817</t>
  </si>
  <si>
    <t>896 | Finance</t>
  </si>
  <si>
    <t>C2818</t>
  </si>
  <si>
    <t>Candidate_1818</t>
  </si>
  <si>
    <t>893 | Finance</t>
  </si>
  <si>
    <t>Principal Officer</t>
  </si>
  <si>
    <t>Finance-Principal Officer</t>
  </si>
  <si>
    <t>C2819</t>
  </si>
  <si>
    <t>Candidate_1819</t>
  </si>
  <si>
    <t>891 | Finance</t>
  </si>
  <si>
    <t>C2820</t>
  </si>
  <si>
    <t>Candidate_1820</t>
  </si>
  <si>
    <t>888 | Finance</t>
  </si>
  <si>
    <t>C2821</t>
  </si>
  <si>
    <t>Candidate_1821</t>
  </si>
  <si>
    <t>883 | Finance</t>
  </si>
  <si>
    <t>C2822</t>
  </si>
  <si>
    <t>Candidate_1822</t>
  </si>
  <si>
    <t>882 | Finance</t>
  </si>
  <si>
    <t>C2823</t>
  </si>
  <si>
    <t>Candidate_1823</t>
  </si>
  <si>
    <t>869 | Finance</t>
  </si>
  <si>
    <t>C2824</t>
  </si>
  <si>
    <t>Candidate_1824</t>
  </si>
  <si>
    <t>868 | Finance</t>
  </si>
  <si>
    <t>C2825</t>
  </si>
  <si>
    <t>Candidate_1825</t>
  </si>
  <si>
    <t>867 | Finance</t>
  </si>
  <si>
    <t>C2826</t>
  </si>
  <si>
    <t>Candidate_1826</t>
  </si>
  <si>
    <t>857 | Finance</t>
  </si>
  <si>
    <t>C2827</t>
  </si>
  <si>
    <t>Candidate_1827</t>
  </si>
  <si>
    <t>854 | Finance</t>
  </si>
  <si>
    <t>C2828</t>
  </si>
  <si>
    <t>Candidate_1828</t>
  </si>
  <si>
    <t>853 | Finance</t>
  </si>
  <si>
    <t>C2829</t>
  </si>
  <si>
    <t>Candidate_1829</t>
  </si>
  <si>
    <t>742 | Finance</t>
  </si>
  <si>
    <t>C2830</t>
  </si>
  <si>
    <t>Candidate_1830</t>
  </si>
  <si>
    <t>741 | Finance</t>
  </si>
  <si>
    <t>C2831</t>
  </si>
  <si>
    <t>Candidate_1831</t>
  </si>
  <si>
    <t>709 | Finance</t>
  </si>
  <si>
    <t>C2832</t>
  </si>
  <si>
    <t>Candidate_1832</t>
  </si>
  <si>
    <t>708 | Finance</t>
  </si>
  <si>
    <t>C2833</t>
  </si>
  <si>
    <t>Candidate_1833</t>
  </si>
  <si>
    <t>706 | Finance</t>
  </si>
  <si>
    <t>C2834</t>
  </si>
  <si>
    <t>Candidate_1834</t>
  </si>
  <si>
    <t>604 | Finance</t>
  </si>
  <si>
    <t>C2835</t>
  </si>
  <si>
    <t>Candidate_1835</t>
  </si>
  <si>
    <t>603 | Finance</t>
  </si>
  <si>
    <t>C2836</t>
  </si>
  <si>
    <t>Candidate_1836</t>
  </si>
  <si>
    <t>602 | Finance</t>
  </si>
  <si>
    <t>C2837</t>
  </si>
  <si>
    <t>Candidate_1837</t>
  </si>
  <si>
    <t>598 | Finance</t>
  </si>
  <si>
    <t>C2838</t>
  </si>
  <si>
    <t>Candidate_1838</t>
  </si>
  <si>
    <t>596 | Finance</t>
  </si>
  <si>
    <t>C2839</t>
  </si>
  <si>
    <t>Candidate_1839</t>
  </si>
  <si>
    <t>593 | Finance</t>
  </si>
  <si>
    <t>C2840</t>
  </si>
  <si>
    <t>Candidate_1840</t>
  </si>
  <si>
    <t>592 | Finance</t>
  </si>
  <si>
    <t>C2841</t>
  </si>
  <si>
    <t>Candidate_1841</t>
  </si>
  <si>
    <t>457 | Finance</t>
  </si>
  <si>
    <t>C2842</t>
  </si>
  <si>
    <t>Candidate_1842</t>
  </si>
  <si>
    <t>398 | Finance</t>
  </si>
  <si>
    <t>C2843</t>
  </si>
  <si>
    <t>Candidate_1843</t>
  </si>
  <si>
    <t>397 | Finance</t>
  </si>
  <si>
    <t>C2844</t>
  </si>
  <si>
    <t>Candidate_1844</t>
  </si>
  <si>
    <t>391 | Finance</t>
  </si>
  <si>
    <t>C2845</t>
  </si>
  <si>
    <t>Candidate_1845</t>
  </si>
  <si>
    <t>348 | Finance</t>
  </si>
  <si>
    <t>C2846</t>
  </si>
  <si>
    <t>Candidate_1846</t>
  </si>
  <si>
    <t>344 | Finance</t>
  </si>
  <si>
    <t>C2847</t>
  </si>
  <si>
    <t>Candidate_1847</t>
  </si>
  <si>
    <t>343 | Finance</t>
  </si>
  <si>
    <t>C2848</t>
  </si>
  <si>
    <t>Candidate_1848</t>
  </si>
  <si>
    <t>289 | Finance</t>
  </si>
  <si>
    <t>C2849</t>
  </si>
  <si>
    <t>Candidate_1849</t>
  </si>
  <si>
    <t>281 | Finance</t>
  </si>
  <si>
    <t>Finance-Director</t>
  </si>
  <si>
    <t>C2850</t>
  </si>
  <si>
    <t>Candidate_1850</t>
  </si>
  <si>
    <t>209 | Finance</t>
  </si>
  <si>
    <t>C2851</t>
  </si>
  <si>
    <t>Candidate_1851</t>
  </si>
  <si>
    <t>201 | Finance</t>
  </si>
  <si>
    <t>C2852</t>
  </si>
  <si>
    <t>Candidate_1852</t>
  </si>
  <si>
    <t>107 | Finance</t>
  </si>
  <si>
    <t>C2853</t>
  </si>
  <si>
    <t>Candidate_1853</t>
  </si>
  <si>
    <t>96 | Finance</t>
  </si>
  <si>
    <t>C2854</t>
  </si>
  <si>
    <t>Candidate_1854</t>
  </si>
  <si>
    <t>75 | Finance</t>
  </si>
  <si>
    <t>C2855</t>
  </si>
  <si>
    <t>Candidate_1855</t>
  </si>
  <si>
    <t>73 | Finance</t>
  </si>
  <si>
    <t>C2856</t>
  </si>
  <si>
    <t>Candidate_1856</t>
  </si>
  <si>
    <t>71 | Finance</t>
  </si>
  <si>
    <t>C2857</t>
  </si>
  <si>
    <t>Candidate_1857</t>
  </si>
  <si>
    <t>27 | Finance</t>
  </si>
  <si>
    <t>C2858</t>
  </si>
  <si>
    <t>Candidate_1858</t>
  </si>
  <si>
    <t>26 | Finance</t>
  </si>
  <si>
    <t>C2859</t>
  </si>
  <si>
    <t>Candidate_1859</t>
  </si>
  <si>
    <t>25 | Finance</t>
  </si>
  <si>
    <t>C2860</t>
  </si>
  <si>
    <t>Candidate_1860</t>
  </si>
  <si>
    <t>19 | Finance</t>
  </si>
  <si>
    <t>C2861</t>
  </si>
  <si>
    <t>Candidate_1861</t>
  </si>
  <si>
    <t>13 | Finance</t>
  </si>
  <si>
    <t>C2862</t>
  </si>
  <si>
    <t>Candidate_1862</t>
  </si>
  <si>
    <t>11 | Finance</t>
  </si>
  <si>
    <t>C2863</t>
  </si>
  <si>
    <t>Candidate_1863</t>
  </si>
  <si>
    <t>2760 | Finance</t>
  </si>
  <si>
    <t>Finance - Associate</t>
  </si>
  <si>
    <t>Revenue Recorgnition</t>
  </si>
  <si>
    <t>Finance-Revenue Recorgnition</t>
  </si>
  <si>
    <t>C2864</t>
  </si>
  <si>
    <t>Candidate_1864</t>
  </si>
  <si>
    <t>2684 | Finance</t>
  </si>
  <si>
    <t>C2865</t>
  </si>
  <si>
    <t>Candidate_1865</t>
  </si>
  <si>
    <t>2679 | Finance</t>
  </si>
  <si>
    <t>C2866</t>
  </si>
  <si>
    <t>Candidate_1866</t>
  </si>
  <si>
    <t>2672 | Finance</t>
  </si>
  <si>
    <t>C2867</t>
  </si>
  <si>
    <t>Candidate_1867</t>
  </si>
  <si>
    <t>2548 | Finance</t>
  </si>
  <si>
    <t>C2868</t>
  </si>
  <si>
    <t>Candidate_1868</t>
  </si>
  <si>
    <t>2546 | Finance</t>
  </si>
  <si>
    <t>C2869</t>
  </si>
  <si>
    <t>Candidate_1869</t>
  </si>
  <si>
    <t>2509 | Finance</t>
  </si>
  <si>
    <t>C2870</t>
  </si>
  <si>
    <t>Candidate_1870</t>
  </si>
  <si>
    <t>2504 | Finance</t>
  </si>
  <si>
    <t>C2871</t>
  </si>
  <si>
    <t>Candidate_1871</t>
  </si>
  <si>
    <t>2501 | Finance</t>
  </si>
  <si>
    <t>C2872</t>
  </si>
  <si>
    <t>Candidate_1872</t>
  </si>
  <si>
    <t>2475 | Finance</t>
  </si>
  <si>
    <t>C2873</t>
  </si>
  <si>
    <t>Candidate_1873</t>
  </si>
  <si>
    <t>2353 | Finance</t>
  </si>
  <si>
    <t>C2874</t>
  </si>
  <si>
    <t>Candidate_1874</t>
  </si>
  <si>
    <t>2351 | Finance</t>
  </si>
  <si>
    <t>C2875</t>
  </si>
  <si>
    <t>Candidate_1875</t>
  </si>
  <si>
    <t>2326 | Finance</t>
  </si>
  <si>
    <t>C2876</t>
  </si>
  <si>
    <t>Candidate_1876</t>
  </si>
  <si>
    <t>2321 | Finance</t>
  </si>
  <si>
    <t>C2877</t>
  </si>
  <si>
    <t>Candidate_1877</t>
  </si>
  <si>
    <t>2306 | Finance</t>
  </si>
  <si>
    <t>C2878</t>
  </si>
  <si>
    <t>Candidate_1878</t>
  </si>
  <si>
    <t>2302 | Finance</t>
  </si>
  <si>
    <t>C2879</t>
  </si>
  <si>
    <t>Candidate_1879</t>
  </si>
  <si>
    <t>2271 | Finance</t>
  </si>
  <si>
    <t>C2880</t>
  </si>
  <si>
    <t>Candidate_1880</t>
  </si>
  <si>
    <t>2229 | Finance</t>
  </si>
  <si>
    <t>C2881</t>
  </si>
  <si>
    <t>Candidate_1881</t>
  </si>
  <si>
    <t>2227 | Finance</t>
  </si>
  <si>
    <t>C2882</t>
  </si>
  <si>
    <t>Candidate_1882</t>
  </si>
  <si>
    <t>2221 | Finance</t>
  </si>
  <si>
    <t>C2883</t>
  </si>
  <si>
    <t>Candidate_1883</t>
  </si>
  <si>
    <t>2178 | Finance</t>
  </si>
  <si>
    <t>C2884</t>
  </si>
  <si>
    <t>Candidate_1884</t>
  </si>
  <si>
    <t>2177 | Finance</t>
  </si>
  <si>
    <t>C2885</t>
  </si>
  <si>
    <t>Candidate_1885</t>
  </si>
  <si>
    <t>2159 | Finance</t>
  </si>
  <si>
    <t>C2886</t>
  </si>
  <si>
    <t>Candidate_1886</t>
  </si>
  <si>
    <t>2157 | Finance</t>
  </si>
  <si>
    <t>C2887</t>
  </si>
  <si>
    <t>Candidate_1887</t>
  </si>
  <si>
    <t>2085 | Finance</t>
  </si>
  <si>
    <t>C2888</t>
  </si>
  <si>
    <t>Candidate_1888</t>
  </si>
  <si>
    <t>2024 | Finance</t>
  </si>
  <si>
    <t>C2889</t>
  </si>
  <si>
    <t>Candidate_1889</t>
  </si>
  <si>
    <t>1888 | Finance</t>
  </si>
  <si>
    <t>C2890</t>
  </si>
  <si>
    <t>Candidate_1890</t>
  </si>
  <si>
    <t>1830 | Finance</t>
  </si>
  <si>
    <t>C2891</t>
  </si>
  <si>
    <t>Candidate_1891</t>
  </si>
  <si>
    <t>1826 | Finance</t>
  </si>
  <si>
    <t>C2892</t>
  </si>
  <si>
    <t>Candidate_1892</t>
  </si>
  <si>
    <t>1823 | Finance</t>
  </si>
  <si>
    <t>C2893</t>
  </si>
  <si>
    <t>Candidate_1893</t>
  </si>
  <si>
    <t>1754 | Finance</t>
  </si>
  <si>
    <t>C2894</t>
  </si>
  <si>
    <t>Candidate_1894</t>
  </si>
  <si>
    <t>1751 | Finance</t>
  </si>
  <si>
    <t>C2895</t>
  </si>
  <si>
    <t>Candidate_1895</t>
  </si>
  <si>
    <t>1732 | Finance</t>
  </si>
  <si>
    <t>C2896</t>
  </si>
  <si>
    <t>Candidate_1896</t>
  </si>
  <si>
    <t>1706 | Finance</t>
  </si>
  <si>
    <t>C2897</t>
  </si>
  <si>
    <t>Candidate_1897</t>
  </si>
  <si>
    <t>1704 | Finance</t>
  </si>
  <si>
    <t>C2898</t>
  </si>
  <si>
    <t>Candidate_1898</t>
  </si>
  <si>
    <t>1674 | Finance</t>
  </si>
  <si>
    <t>C2899</t>
  </si>
  <si>
    <t>Candidate_1899</t>
  </si>
  <si>
    <t>1672 | Finance</t>
  </si>
  <si>
    <t>C2900</t>
  </si>
  <si>
    <t>Candidate_1900</t>
  </si>
  <si>
    <t>1671 | Finance</t>
  </si>
  <si>
    <t>C2901</t>
  </si>
  <si>
    <t>Candidate_1901</t>
  </si>
  <si>
    <t>1640 | Finance</t>
  </si>
  <si>
    <t>C2902</t>
  </si>
  <si>
    <t>Candidate_1902</t>
  </si>
  <si>
    <t>1590 | Finance</t>
  </si>
  <si>
    <t>C2903</t>
  </si>
  <si>
    <t>Candidate_1903</t>
  </si>
  <si>
    <t>1588 | Finance</t>
  </si>
  <si>
    <t>C2904</t>
  </si>
  <si>
    <t>Candidate_1904</t>
  </si>
  <si>
    <t>1584 | Finance</t>
  </si>
  <si>
    <t>C2905</t>
  </si>
  <si>
    <t>Candidate_1905</t>
  </si>
  <si>
    <t>1583 | Finance</t>
  </si>
  <si>
    <t>C2906</t>
  </si>
  <si>
    <t>Candidate_1906</t>
  </si>
  <si>
    <t>1563 | Finance</t>
  </si>
  <si>
    <t>C2907</t>
  </si>
  <si>
    <t>Candidate_1907</t>
  </si>
  <si>
    <t>1550 | Finance</t>
  </si>
  <si>
    <t>C2908</t>
  </si>
  <si>
    <t>Candidate_1908</t>
  </si>
  <si>
    <t>1545 | Finance</t>
  </si>
  <si>
    <t>C2909</t>
  </si>
  <si>
    <t>Candidate_1909</t>
  </si>
  <si>
    <t>1528 | Finance</t>
  </si>
  <si>
    <t>C2910</t>
  </si>
  <si>
    <t>Candidate_1910</t>
  </si>
  <si>
    <t>1525 | Finance</t>
  </si>
  <si>
    <t>C2911</t>
  </si>
  <si>
    <t>Candidate_1911</t>
  </si>
  <si>
    <t>1523 | Finance</t>
  </si>
  <si>
    <t>C2912</t>
  </si>
  <si>
    <t>Candidate_1912</t>
  </si>
  <si>
    <t>1515 | Finance</t>
  </si>
  <si>
    <t>C2913</t>
  </si>
  <si>
    <t>Candidate_1913</t>
  </si>
  <si>
    <t>1513 | Finance</t>
  </si>
  <si>
    <t>C2914</t>
  </si>
  <si>
    <t>Candidate_1914</t>
  </si>
  <si>
    <t>1433 | Finance</t>
  </si>
  <si>
    <t>C2915</t>
  </si>
  <si>
    <t>Candidate_1915</t>
  </si>
  <si>
    <t>1392 | Finance</t>
  </si>
  <si>
    <t>C2916</t>
  </si>
  <si>
    <t>Candidate_1916</t>
  </si>
  <si>
    <t>1335 | Finance</t>
  </si>
  <si>
    <t>C2917</t>
  </si>
  <si>
    <t>Candidate_1917</t>
  </si>
  <si>
    <t>1305 | Finance</t>
  </si>
  <si>
    <t>C2918</t>
  </si>
  <si>
    <t>Candidate_1918</t>
  </si>
  <si>
    <t>1290 | Finance</t>
  </si>
  <si>
    <t>C2919</t>
  </si>
  <si>
    <t>Candidate_1919</t>
  </si>
  <si>
    <t>1257 | Finance</t>
  </si>
  <si>
    <t>C2920</t>
  </si>
  <si>
    <t>Candidate_1920</t>
  </si>
  <si>
    <t>1255 | Finance</t>
  </si>
  <si>
    <t>C2921</t>
  </si>
  <si>
    <t>Candidate_1921</t>
  </si>
  <si>
    <t>1253 | Finance</t>
  </si>
  <si>
    <t>C2922</t>
  </si>
  <si>
    <t>Candidate_1922</t>
  </si>
  <si>
    <t>1148 | Finance</t>
  </si>
  <si>
    <t>C2923</t>
  </si>
  <si>
    <t>Candidate_1923</t>
  </si>
  <si>
    <t>1145 | Finance</t>
  </si>
  <si>
    <t>C2924</t>
  </si>
  <si>
    <t>Candidate_1924</t>
  </si>
  <si>
    <t>1119 | Finance</t>
  </si>
  <si>
    <t>C2925</t>
  </si>
  <si>
    <t>Candidate_1925</t>
  </si>
  <si>
    <t>1114 | Finance</t>
  </si>
  <si>
    <t>C2926</t>
  </si>
  <si>
    <t>Candidate_1926</t>
  </si>
  <si>
    <t>1064 | Finance</t>
  </si>
  <si>
    <t>C2927</t>
  </si>
  <si>
    <t>Candidate_1927</t>
  </si>
  <si>
    <t>1062 | Finance</t>
  </si>
  <si>
    <t>C2928</t>
  </si>
  <si>
    <t>Candidate_1928</t>
  </si>
  <si>
    <t>1036 | Finance</t>
  </si>
  <si>
    <t>C2929</t>
  </si>
  <si>
    <t>Candidate_1929</t>
  </si>
  <si>
    <t>1031 | Finance</t>
  </si>
  <si>
    <t>C2930</t>
  </si>
  <si>
    <t>Candidate_1930</t>
  </si>
  <si>
    <t>1018 | Finance</t>
  </si>
  <si>
    <t>C2931</t>
  </si>
  <si>
    <t>Candidate_1931</t>
  </si>
  <si>
    <t>1012 | Finance</t>
  </si>
  <si>
    <t>C2932</t>
  </si>
  <si>
    <t>Candidate_1932</t>
  </si>
  <si>
    <t>977 | Finance</t>
  </si>
  <si>
    <t>C2933</t>
  </si>
  <si>
    <t>Candidate_1933</t>
  </si>
  <si>
    <t>969 | Finance</t>
  </si>
  <si>
    <t>C2934</t>
  </si>
  <si>
    <t>Candidate_1934</t>
  </si>
  <si>
    <t>963 | Finance</t>
  </si>
  <si>
    <t>C2935</t>
  </si>
  <si>
    <t>Candidate_1935</t>
  </si>
  <si>
    <t>898 | Finance</t>
  </si>
  <si>
    <t>C2936</t>
  </si>
  <si>
    <t>Candidate_1936</t>
  </si>
  <si>
    <t>897 | Finance</t>
  </si>
  <si>
    <t>C2937</t>
  </si>
  <si>
    <t>Candidate_1937</t>
  </si>
  <si>
    <t>895 | Finance</t>
  </si>
  <si>
    <t>C2938</t>
  </si>
  <si>
    <t>Candidate_1938</t>
  </si>
  <si>
    <t>884 | Finance</t>
  </si>
  <si>
    <t>C2939</t>
  </si>
  <si>
    <t>Candidate_1939</t>
  </si>
  <si>
    <t>881 | Finance</t>
  </si>
  <si>
    <t>C2940</t>
  </si>
  <si>
    <t>Candidate_1940</t>
  </si>
  <si>
    <t>855 | Finance</t>
  </si>
  <si>
    <t>C2941</t>
  </si>
  <si>
    <t>Candidate_1941</t>
  </si>
  <si>
    <t>852 | Finance</t>
  </si>
  <si>
    <t>C2942</t>
  </si>
  <si>
    <t>Candidate_1942</t>
  </si>
  <si>
    <t>749 | Finance</t>
  </si>
  <si>
    <t>C2943</t>
  </si>
  <si>
    <t>Candidate_1943</t>
  </si>
  <si>
    <t>744 | Finance</t>
  </si>
  <si>
    <t>C2944</t>
  </si>
  <si>
    <t>Candidate_1944</t>
  </si>
  <si>
    <t>610 | Finance</t>
  </si>
  <si>
    <t>C2945</t>
  </si>
  <si>
    <t>Candidate_1945</t>
  </si>
  <si>
    <t>458 | Finance</t>
  </si>
  <si>
    <t>C2946</t>
  </si>
  <si>
    <t>Candidate_1946</t>
  </si>
  <si>
    <t>456 | Finance</t>
  </si>
  <si>
    <t>C2947</t>
  </si>
  <si>
    <t>Candidate_1947</t>
  </si>
  <si>
    <t>399 | Finance</t>
  </si>
  <si>
    <t>C2948</t>
  </si>
  <si>
    <t>Candidate_1948</t>
  </si>
  <si>
    <t>396 | Finance</t>
  </si>
  <si>
    <t>Collections Officer</t>
  </si>
  <si>
    <t>Finance-Collections Officer</t>
  </si>
  <si>
    <t>C2949</t>
  </si>
  <si>
    <t>Candidate_1949</t>
  </si>
  <si>
    <t>395 | Finance</t>
  </si>
  <si>
    <t>C2950</t>
  </si>
  <si>
    <t>Candidate_1950</t>
  </si>
  <si>
    <t>286 | Finance</t>
  </si>
  <si>
    <t>C2951</t>
  </si>
  <si>
    <t>Candidate_1951</t>
  </si>
  <si>
    <t>283 | Finance</t>
  </si>
  <si>
    <t>C2952</t>
  </si>
  <si>
    <t>Candidate_1952</t>
  </si>
  <si>
    <t>204 | Finance</t>
  </si>
  <si>
    <t>C2953</t>
  </si>
  <si>
    <t>Candidate_1953</t>
  </si>
  <si>
    <t>178 | Finance</t>
  </si>
  <si>
    <t>C2954</t>
  </si>
  <si>
    <t>Candidate_1954</t>
  </si>
  <si>
    <t>106 | Finance</t>
  </si>
  <si>
    <t>C2955</t>
  </si>
  <si>
    <t>Candidate_1955</t>
  </si>
  <si>
    <t>105 | Finance</t>
  </si>
  <si>
    <t>C2956</t>
  </si>
  <si>
    <t>Candidate_1956</t>
  </si>
  <si>
    <t>101 | Finance</t>
  </si>
  <si>
    <t>C2957</t>
  </si>
  <si>
    <t>Candidate_1957</t>
  </si>
  <si>
    <t>100 | Finance</t>
  </si>
  <si>
    <t>C2958</t>
  </si>
  <si>
    <t>Candidate_1958</t>
  </si>
  <si>
    <t>91 | Finance</t>
  </si>
  <si>
    <t>C2959</t>
  </si>
  <si>
    <t>Candidate_1959</t>
  </si>
  <si>
    <t>30 | Finance</t>
  </si>
  <si>
    <t>C2960</t>
  </si>
  <si>
    <t>Candidate_1960</t>
  </si>
  <si>
    <t>23 | Finance</t>
  </si>
  <si>
    <t>C2961</t>
  </si>
  <si>
    <t>Candidate_1961</t>
  </si>
  <si>
    <t>21 | Finance</t>
  </si>
  <si>
    <t>C2962</t>
  </si>
  <si>
    <t>Candidate_1962</t>
  </si>
  <si>
    <t>20 | Finance</t>
  </si>
  <si>
    <t>C2963</t>
  </si>
  <si>
    <t>Candidate_1963</t>
  </si>
  <si>
    <t>12 | Finance</t>
  </si>
  <si>
    <t>C2964</t>
  </si>
  <si>
    <t>Candidate_1964</t>
  </si>
  <si>
    <t>439 | Communication and Advocacy</t>
  </si>
  <si>
    <t xml:space="preserve"> Communication and Advocacy</t>
  </si>
  <si>
    <t>Communication and Advocacy - Senior Management</t>
  </si>
  <si>
    <t>Communication and Advocacy-Senior Manager</t>
  </si>
  <si>
    <t>C2965</t>
  </si>
  <si>
    <t>Candidate_1965</t>
  </si>
  <si>
    <t>432 | Communication and Advocacy</t>
  </si>
  <si>
    <t>C2966</t>
  </si>
  <si>
    <t>Candidate_1966</t>
  </si>
  <si>
    <t>365 | Communication and Advocacy</t>
  </si>
  <si>
    <t>C2967</t>
  </si>
  <si>
    <t>Candidate_1967</t>
  </si>
  <si>
    <t>364 | Communication and Advocacy</t>
  </si>
  <si>
    <t>C2968</t>
  </si>
  <si>
    <t>Candidate_1968</t>
  </si>
  <si>
    <t>360 | Communication and Advocacy</t>
  </si>
  <si>
    <t xml:space="preserve">Communication and Advocacy </t>
  </si>
  <si>
    <t>C2969</t>
  </si>
  <si>
    <t>Candidate_1969</t>
  </si>
  <si>
    <t>358 | Communication and Advocacy</t>
  </si>
  <si>
    <t>C2970</t>
  </si>
  <si>
    <t>Candidate_1970</t>
  </si>
  <si>
    <t>354 | Communication and Advocacy</t>
  </si>
  <si>
    <t>C2971</t>
  </si>
  <si>
    <t>Candidate_1971</t>
  </si>
  <si>
    <t>326 | Communication and Advocacy</t>
  </si>
  <si>
    <t>Communication and Advocacy</t>
  </si>
  <si>
    <t>C2972</t>
  </si>
  <si>
    <t>Candidate_1972</t>
  </si>
  <si>
    <t>324 | Communication and Advocacy</t>
  </si>
  <si>
    <t>C2973</t>
  </si>
  <si>
    <t>Candidate_1973</t>
  </si>
  <si>
    <t>323 | Communication and Advocacy</t>
  </si>
  <si>
    <t>C2974</t>
  </si>
  <si>
    <t>Candidate_1974</t>
  </si>
  <si>
    <t>297 | Communication and Advocacy</t>
  </si>
  <si>
    <t>C2975</t>
  </si>
  <si>
    <t>Candidate_1975</t>
  </si>
  <si>
    <t>279 | Communication and Advocacy</t>
  </si>
  <si>
    <t>C2976</t>
  </si>
  <si>
    <t>Candidate_1976</t>
  </si>
  <si>
    <t>278 | Communication and Advocacy</t>
  </si>
  <si>
    <t>C2977</t>
  </si>
  <si>
    <t>Candidate_1977</t>
  </si>
  <si>
    <t>271 | Communication and Advocacy</t>
  </si>
  <si>
    <t>C2978</t>
  </si>
  <si>
    <t>Candidate_1978</t>
  </si>
  <si>
    <t>249 | Communication and Advocacy</t>
  </si>
  <si>
    <t>C2979</t>
  </si>
  <si>
    <t>Candidate_1979</t>
  </si>
  <si>
    <t>247 | Communication and Advocacy</t>
  </si>
  <si>
    <t>C2980</t>
  </si>
  <si>
    <t>Candidate_1980</t>
  </si>
  <si>
    <t>242 | Communication and Advocacy</t>
  </si>
  <si>
    <t>C2981</t>
  </si>
  <si>
    <t>Candidate_1981</t>
  </si>
  <si>
    <t>126 | Communication and Advocacy</t>
  </si>
  <si>
    <t>C2982</t>
  </si>
  <si>
    <t>Candidate_1982</t>
  </si>
  <si>
    <t>123 | Communication and Advocacy</t>
  </si>
  <si>
    <t>C2983</t>
  </si>
  <si>
    <t>Candidate_1983</t>
  </si>
  <si>
    <t>88 | Communication and Advocacy</t>
  </si>
  <si>
    <t>C2984</t>
  </si>
  <si>
    <t>Candidate_1984</t>
  </si>
  <si>
    <t>86 | Communication and Advocacy</t>
  </si>
  <si>
    <t>C2985</t>
  </si>
  <si>
    <t>Candidate_1985</t>
  </si>
  <si>
    <t>43 | Communication and Advocacy</t>
  </si>
  <si>
    <t>C2986</t>
  </si>
  <si>
    <t>Candidate_1986</t>
  </si>
  <si>
    <t>41 | Communication and Advocacy</t>
  </si>
  <si>
    <t>C2987</t>
  </si>
  <si>
    <t>Candidate_1987</t>
  </si>
  <si>
    <t>2724 | Communication and Advocacy</t>
  </si>
  <si>
    <t>Communication and Advocacy - Senior</t>
  </si>
  <si>
    <t>Communication and Advocacy-Extension Officer</t>
  </si>
  <si>
    <t>C2988</t>
  </si>
  <si>
    <t>Candidate_1988</t>
  </si>
  <si>
    <t>2648 | Communication and Advocacy</t>
  </si>
  <si>
    <t>C2989</t>
  </si>
  <si>
    <t>Candidate_1989</t>
  </si>
  <si>
    <t>2371 | Communication and Advocacy</t>
  </si>
  <si>
    <t>C2990</t>
  </si>
  <si>
    <t>Candidate_1990</t>
  </si>
  <si>
    <t>2331 | Communication and Advocacy</t>
  </si>
  <si>
    <t>C2991</t>
  </si>
  <si>
    <t>Candidate_1991</t>
  </si>
  <si>
    <t>2141 | Communication and Advocacy</t>
  </si>
  <si>
    <t>C2992</t>
  </si>
  <si>
    <t>Candidate_1992</t>
  </si>
  <si>
    <t>2057 | Communication and Advocacy</t>
  </si>
  <si>
    <t>C2993</t>
  </si>
  <si>
    <t>Candidate_1993</t>
  </si>
  <si>
    <t>1955 | Communication and Advocacy</t>
  </si>
  <si>
    <t>C2994</t>
  </si>
  <si>
    <t>Candidate_1994</t>
  </si>
  <si>
    <t>1920 | Communication and Advocacy</t>
  </si>
  <si>
    <t>C2995</t>
  </si>
  <si>
    <t>Candidate_1995</t>
  </si>
  <si>
    <t>1750 | Communication and Advocacy</t>
  </si>
  <si>
    <t>C2996</t>
  </si>
  <si>
    <t>Candidate_1996</t>
  </si>
  <si>
    <t>1749 | Communication and Advocacy</t>
  </si>
  <si>
    <t>C2997</t>
  </si>
  <si>
    <t>Candidate_1997</t>
  </si>
  <si>
    <t>1742 | Communication and Advocacy</t>
  </si>
  <si>
    <t>C2998</t>
  </si>
  <si>
    <t>Candidate_1998</t>
  </si>
  <si>
    <t>1650 | Communication and Advocacy</t>
  </si>
  <si>
    <t>C2999</t>
  </si>
  <si>
    <t>Candidate_1999</t>
  </si>
  <si>
    <t>1533 | Communication and Advocacy</t>
  </si>
  <si>
    <t>C3000</t>
  </si>
  <si>
    <t>Candidate_2000</t>
  </si>
  <si>
    <t>1503 | Communication and Advocacy</t>
  </si>
  <si>
    <t>C3001</t>
  </si>
  <si>
    <t>Candidate_2001</t>
  </si>
  <si>
    <t>1497 | Communication and Advocacy</t>
  </si>
  <si>
    <t>C3002</t>
  </si>
  <si>
    <t>Candidate_2002</t>
  </si>
  <si>
    <t>1368 | Communication and Advocacy</t>
  </si>
  <si>
    <t>C3003</t>
  </si>
  <si>
    <t>Candidate_2003</t>
  </si>
  <si>
    <t>1213 | Communication and Advocacy</t>
  </si>
  <si>
    <t>C3004</t>
  </si>
  <si>
    <t>Candidate_2004</t>
  </si>
  <si>
    <t>1131 | Communication and Advocacy</t>
  </si>
  <si>
    <t>C3005</t>
  </si>
  <si>
    <t>Candidate_2005</t>
  </si>
  <si>
    <t>1085 | Communication and Advocacy</t>
  </si>
  <si>
    <t>C3006</t>
  </si>
  <si>
    <t>Candidate_2006</t>
  </si>
  <si>
    <t>1047 | Communication and Advocacy</t>
  </si>
  <si>
    <t>C3007</t>
  </si>
  <si>
    <t>Candidate_2007</t>
  </si>
  <si>
    <t>1030 | Communication and Advocacy</t>
  </si>
  <si>
    <t>C3008</t>
  </si>
  <si>
    <t>Candidate_2008</t>
  </si>
  <si>
    <t>938 | Communication and Advocacy</t>
  </si>
  <si>
    <t>C3009</t>
  </si>
  <si>
    <t>Candidate_2009</t>
  </si>
  <si>
    <t>931 | Communication and Advocacy</t>
  </si>
  <si>
    <t>C3010</t>
  </si>
  <si>
    <t>Candidate_2010</t>
  </si>
  <si>
    <t>849 | Communication and Advocacy</t>
  </si>
  <si>
    <t>C3011</t>
  </si>
  <si>
    <t>Candidate_2011</t>
  </si>
  <si>
    <t>843 | Communication and Advocacy</t>
  </si>
  <si>
    <t>C3012</t>
  </si>
  <si>
    <t>Candidate_2012</t>
  </si>
  <si>
    <t>820 | Communication and Advocacy</t>
  </si>
  <si>
    <t>C3013</t>
  </si>
  <si>
    <t>Candidate_2013</t>
  </si>
  <si>
    <t>816 | Communication and Advocacy</t>
  </si>
  <si>
    <t>C3014</t>
  </si>
  <si>
    <t>Candidate_2014</t>
  </si>
  <si>
    <t>787 | Communication and Advocacy</t>
  </si>
  <si>
    <t>C3015</t>
  </si>
  <si>
    <t>Candidate_2015</t>
  </si>
  <si>
    <t>739 | Communication and Advocacy</t>
  </si>
  <si>
    <t>C3016</t>
  </si>
  <si>
    <t>Candidate_2016</t>
  </si>
  <si>
    <t>734 | Communication and Advocacy</t>
  </si>
  <si>
    <t>C3017</t>
  </si>
  <si>
    <t>Candidate_2017</t>
  </si>
  <si>
    <t>688 | Communication and Advocacy</t>
  </si>
  <si>
    <t>C3018</t>
  </si>
  <si>
    <t>Candidate_2018</t>
  </si>
  <si>
    <t>682 | Communication and Advocacy</t>
  </si>
  <si>
    <t>C3019</t>
  </si>
  <si>
    <t>Candidate_2019</t>
  </si>
  <si>
    <t>567 | Communication and Advocacy</t>
  </si>
  <si>
    <t>C3020</t>
  </si>
  <si>
    <t>Candidate_2020</t>
  </si>
  <si>
    <t>369 | Communication and Advocacy</t>
  </si>
  <si>
    <t>C3021</t>
  </si>
  <si>
    <t>Candidate_2021</t>
  </si>
  <si>
    <t>366 | Communication and Advocacy</t>
  </si>
  <si>
    <t>C3022</t>
  </si>
  <si>
    <t>Candidate_2022</t>
  </si>
  <si>
    <t>363 | Communication and Advocacy</t>
  </si>
  <si>
    <t>C3023</t>
  </si>
  <si>
    <t>Candidate_2023</t>
  </si>
  <si>
    <t>357 | Communication and Advocacy</t>
  </si>
  <si>
    <t>C3024</t>
  </si>
  <si>
    <t>Candidate_2024</t>
  </si>
  <si>
    <t>329 | Communication and Advocacy</t>
  </si>
  <si>
    <t>Communication and Advocacy-Quality Assurance</t>
  </si>
  <si>
    <t>C3025</t>
  </si>
  <si>
    <t>Candidate_2025</t>
  </si>
  <si>
    <t>293 | Communication and Advocacy</t>
  </si>
  <si>
    <t>C3026</t>
  </si>
  <si>
    <t>Candidate_2026</t>
  </si>
  <si>
    <t>274 | Communication and Advocacy</t>
  </si>
  <si>
    <t>C3027</t>
  </si>
  <si>
    <t>Candidate_2027</t>
  </si>
  <si>
    <t>199 | Communication and Advocacy</t>
  </si>
  <si>
    <t>C3028</t>
  </si>
  <si>
    <t>Candidate_2028</t>
  </si>
  <si>
    <t>194 | Communication and Advocacy</t>
  </si>
  <si>
    <t>C3029</t>
  </si>
  <si>
    <t>Candidate_2029</t>
  </si>
  <si>
    <t>169 | Communication and Advocacy</t>
  </si>
  <si>
    <t>C3030</t>
  </si>
  <si>
    <t>Candidate_2030</t>
  </si>
  <si>
    <t>167 | Communication and Advocacy</t>
  </si>
  <si>
    <t>C3031</t>
  </si>
  <si>
    <t>Candidate_2031</t>
  </si>
  <si>
    <t>166 | Communication and Advocacy</t>
  </si>
  <si>
    <t>C3032</t>
  </si>
  <si>
    <t>Candidate_2032</t>
  </si>
  <si>
    <t>163 | Communication and Advocacy</t>
  </si>
  <si>
    <t>C3033</t>
  </si>
  <si>
    <t>Candidate_2033</t>
  </si>
  <si>
    <t>125 | Communication and Advocacy</t>
  </si>
  <si>
    <t>C3034</t>
  </si>
  <si>
    <t>Candidate_2034</t>
  </si>
  <si>
    <t>85 | Communication and Advocacy</t>
  </si>
  <si>
    <t>C3035</t>
  </si>
  <si>
    <t>Candidate_2035</t>
  </si>
  <si>
    <t>84 | Communication and Advocacy</t>
  </si>
  <si>
    <t>C3036</t>
  </si>
  <si>
    <t>Candidate_2036</t>
  </si>
  <si>
    <t>49 | Communication and Advocacy</t>
  </si>
  <si>
    <t>C3037</t>
  </si>
  <si>
    <t>Candidate_2037</t>
  </si>
  <si>
    <t>48 | Communication and Advocacy</t>
  </si>
  <si>
    <t>C3038</t>
  </si>
  <si>
    <t>Candidate_2038</t>
  </si>
  <si>
    <t>42 | Communication and Advocacy</t>
  </si>
  <si>
    <t>C3039</t>
  </si>
  <si>
    <t>Candidate_2039</t>
  </si>
  <si>
    <t>2948 | Communication and Advocacy</t>
  </si>
  <si>
    <t>Communication and Advocacy - Manager Level</t>
  </si>
  <si>
    <t>Communication and Advocacy-Manager</t>
  </si>
  <si>
    <t>C3040</t>
  </si>
  <si>
    <t>Candidate_2040</t>
  </si>
  <si>
    <t>2941 | Communication and Advocacy</t>
  </si>
  <si>
    <t>C3041</t>
  </si>
  <si>
    <t>Candidate_2041</t>
  </si>
  <si>
    <t>2336 | Communication and Advocacy</t>
  </si>
  <si>
    <t>C3042</t>
  </si>
  <si>
    <t>Candidate_2042</t>
  </si>
  <si>
    <t>2335 | Communication and Advocacy</t>
  </si>
  <si>
    <t>C3043</t>
  </si>
  <si>
    <t>Candidate_2043</t>
  </si>
  <si>
    <t>2058 | Communication and Advocacy</t>
  </si>
  <si>
    <t>C3044</t>
  </si>
  <si>
    <t>Candidate_2044</t>
  </si>
  <si>
    <t>2056 | Communication and Advocacy</t>
  </si>
  <si>
    <t>C3045</t>
  </si>
  <si>
    <t>Candidate_2045</t>
  </si>
  <si>
    <t>2054 | Communication and Advocacy</t>
  </si>
  <si>
    <t>C3046</t>
  </si>
  <si>
    <t>Candidate_2046</t>
  </si>
  <si>
    <t>1911 | Communication and Advocacy</t>
  </si>
  <si>
    <t>C3047</t>
  </si>
  <si>
    <t>Candidate_2047</t>
  </si>
  <si>
    <t>1745 | Communication and Advocacy</t>
  </si>
  <si>
    <t>C3048</t>
  </si>
  <si>
    <t>Candidate_2048</t>
  </si>
  <si>
    <t>1597 | Communication and Advocacy</t>
  </si>
  <si>
    <t>C3049</t>
  </si>
  <si>
    <t>Candidate_2049</t>
  </si>
  <si>
    <t>1579 | Communication and Advocacy</t>
  </si>
  <si>
    <t>C3050</t>
  </si>
  <si>
    <t>Candidate_2050</t>
  </si>
  <si>
    <t>1576 | Communication and Advocacy</t>
  </si>
  <si>
    <t>C3051</t>
  </si>
  <si>
    <t>Candidate_2051</t>
  </si>
  <si>
    <t>1504 | Communication and Advocacy</t>
  </si>
  <si>
    <t>C3052</t>
  </si>
  <si>
    <t>Candidate_2052</t>
  </si>
  <si>
    <t>1494 | Communication and Advocacy</t>
  </si>
  <si>
    <t>C3053</t>
  </si>
  <si>
    <t>Candidate_2053</t>
  </si>
  <si>
    <t>1315 | Communication and Advocacy</t>
  </si>
  <si>
    <t>C3054</t>
  </si>
  <si>
    <t>Candidate_2054</t>
  </si>
  <si>
    <t>1023 | Communication and Advocacy</t>
  </si>
  <si>
    <t>C3055</t>
  </si>
  <si>
    <t>Candidate_2055</t>
  </si>
  <si>
    <t>841 | Communication and Advocacy</t>
  </si>
  <si>
    <t>C3056</t>
  </si>
  <si>
    <t>Candidate_2056</t>
  </si>
  <si>
    <t>789 | Communication and Advocacy</t>
  </si>
  <si>
    <t>C3057</t>
  </si>
  <si>
    <t>Candidate_2057</t>
  </si>
  <si>
    <t>738 | Communication and Advocacy</t>
  </si>
  <si>
    <t>C3058</t>
  </si>
  <si>
    <t>Candidate_2058</t>
  </si>
  <si>
    <t>737 | Communication and Advocacy</t>
  </si>
  <si>
    <t>C3059</t>
  </si>
  <si>
    <t>Candidate_2059</t>
  </si>
  <si>
    <t>735 | Communication and Advocacy</t>
  </si>
  <si>
    <t>C3060</t>
  </si>
  <si>
    <t>Candidate_2060</t>
  </si>
  <si>
    <t>689 | Communication and Advocacy</t>
  </si>
  <si>
    <t>C3061</t>
  </si>
  <si>
    <t>Candidate_2061</t>
  </si>
  <si>
    <t>687 | Communication and Advocacy</t>
  </si>
  <si>
    <t>C3062</t>
  </si>
  <si>
    <t>Candidate_2062</t>
  </si>
  <si>
    <t>685 | Communication and Advocacy</t>
  </si>
  <si>
    <t>C3063</t>
  </si>
  <si>
    <t>Candidate_2063</t>
  </si>
  <si>
    <t>570 | Communication and Advocacy</t>
  </si>
  <si>
    <t>C3064</t>
  </si>
  <si>
    <t>Candidate_2064</t>
  </si>
  <si>
    <t>566 | Communication and Advocacy</t>
  </si>
  <si>
    <t>C3065</t>
  </si>
  <si>
    <t>Candidate_2065</t>
  </si>
  <si>
    <t>563 | Communication and Advocacy</t>
  </si>
  <si>
    <t>C3066</t>
  </si>
  <si>
    <t>Candidate_2066</t>
  </si>
  <si>
    <t>437 | Communication and Advocacy</t>
  </si>
  <si>
    <t>C3067</t>
  </si>
  <si>
    <t>Candidate_2067</t>
  </si>
  <si>
    <t>434 | Communication and Advocacy</t>
  </si>
  <si>
    <t>C3068</t>
  </si>
  <si>
    <t>Candidate_2068</t>
  </si>
  <si>
    <t>353 | Communication and Advocacy</t>
  </si>
  <si>
    <t>C3069</t>
  </si>
  <si>
    <t>Candidate_2069</t>
  </si>
  <si>
    <t>352 | Communication and Advocacy</t>
  </si>
  <si>
    <t>C3070</t>
  </si>
  <si>
    <t>Candidate_2070</t>
  </si>
  <si>
    <t>327 | Communication and Advocacy</t>
  </si>
  <si>
    <t>C3071</t>
  </si>
  <si>
    <t>Candidate_2071</t>
  </si>
  <si>
    <t>298 | Communication and Advocacy</t>
  </si>
  <si>
    <t>C3072</t>
  </si>
  <si>
    <t>Candidate_2072</t>
  </si>
  <si>
    <t>280 | Communication and Advocacy</t>
  </si>
  <si>
    <t>C3073</t>
  </si>
  <si>
    <t>Candidate_2073</t>
  </si>
  <si>
    <t>272 | Communication and Advocacy</t>
  </si>
  <si>
    <t>C3074</t>
  </si>
  <si>
    <t>Candidate_2074</t>
  </si>
  <si>
    <t>244 | Communication and Advocacy</t>
  </si>
  <si>
    <t>C3075</t>
  </si>
  <si>
    <t>Candidate_2075</t>
  </si>
  <si>
    <t>241 | Communication and Advocacy</t>
  </si>
  <si>
    <t>C3076</t>
  </si>
  <si>
    <t>Candidate_2076</t>
  </si>
  <si>
    <t>197 | Communication and Advocacy</t>
  </si>
  <si>
    <t>C3077</t>
  </si>
  <si>
    <t>Candidate_2077</t>
  </si>
  <si>
    <t>192 | Communication and Advocacy</t>
  </si>
  <si>
    <t>C3078</t>
  </si>
  <si>
    <t>Candidate_2078</t>
  </si>
  <si>
    <t>168 | Communication and Advocacy</t>
  </si>
  <si>
    <t>C3079</t>
  </si>
  <si>
    <t>Candidate_2079</t>
  </si>
  <si>
    <t>124 | Communication and Advocacy</t>
  </si>
  <si>
    <t>C3080</t>
  </si>
  <si>
    <t>Candidate_2080</t>
  </si>
  <si>
    <t>50 | Communication and Advocacy</t>
  </si>
  <si>
    <t>C3081</t>
  </si>
  <si>
    <t>Candidate_2081</t>
  </si>
  <si>
    <t>44 | Communication and Advocacy</t>
  </si>
  <si>
    <t>C3082</t>
  </si>
  <si>
    <t>Candidate_2082</t>
  </si>
  <si>
    <t>355 | Communication and Advocacy</t>
  </si>
  <si>
    <t>Communication and Advocacy - Junior</t>
  </si>
  <si>
    <t>Communication and Advocacy-Analyst</t>
  </si>
  <si>
    <t>C3083</t>
  </si>
  <si>
    <t>Candidate_2083</t>
  </si>
  <si>
    <t>330 | Communication and Advocacy</t>
  </si>
  <si>
    <t>C3084</t>
  </si>
  <si>
    <t>Candidate_2084</t>
  </si>
  <si>
    <t>296 | Communication and Advocacy</t>
  </si>
  <si>
    <t>C3085</t>
  </si>
  <si>
    <t>Candidate_2085</t>
  </si>
  <si>
    <t>277 | Communication and Advocacy</t>
  </si>
  <si>
    <t>C3086</t>
  </si>
  <si>
    <t>Candidate_2086</t>
  </si>
  <si>
    <t>273 | Communication and Advocacy</t>
  </si>
  <si>
    <t>C3087</t>
  </si>
  <si>
    <t>Candidate_2087</t>
  </si>
  <si>
    <t>196 | Communication and Advocacy</t>
  </si>
  <si>
    <t>C3088</t>
  </si>
  <si>
    <t>Candidate_2088</t>
  </si>
  <si>
    <t>170 | Communication and Advocacy</t>
  </si>
  <si>
    <t>C3089</t>
  </si>
  <si>
    <t>Candidate_2089</t>
  </si>
  <si>
    <t>165 | Communication and Advocacy</t>
  </si>
  <si>
    <t>C3090</t>
  </si>
  <si>
    <t>Candidate_2090</t>
  </si>
  <si>
    <t>130 | Communication and Advocacy</t>
  </si>
  <si>
    <t>C3091</t>
  </si>
  <si>
    <t>Candidate_2091</t>
  </si>
  <si>
    <t>129 | Communication and Advocacy</t>
  </si>
  <si>
    <t>C3092</t>
  </si>
  <si>
    <t>Candidate_2092</t>
  </si>
  <si>
    <t>128 | Communication and Advocacy</t>
  </si>
  <si>
    <t>C3093</t>
  </si>
  <si>
    <t>Candidate_2093</t>
  </si>
  <si>
    <t>127 | Communication and Advocacy</t>
  </si>
  <si>
    <t>C3094</t>
  </si>
  <si>
    <t>Candidate_2094</t>
  </si>
  <si>
    <t>122 | Communication and Advocacy</t>
  </si>
  <si>
    <t>C3095</t>
  </si>
  <si>
    <t>Candidate_2095</t>
  </si>
  <si>
    <t>90 | Communication and Advocacy</t>
  </si>
  <si>
    <t>C3096</t>
  </si>
  <si>
    <t>Candidate_2096</t>
  </si>
  <si>
    <t>87 | Communication and Advocacy</t>
  </si>
  <si>
    <t>C3097</t>
  </si>
  <si>
    <t>Candidate_2097</t>
  </si>
  <si>
    <t>81 | Communication and Advocacy</t>
  </si>
  <si>
    <t>C3098</t>
  </si>
  <si>
    <t>Candidate_2098</t>
  </si>
  <si>
    <t>47 | Communication and Advocacy</t>
  </si>
  <si>
    <t>C3099</t>
  </si>
  <si>
    <t>Candidate_2099</t>
  </si>
  <si>
    <t>508 | Capacity Building</t>
  </si>
  <si>
    <t>Capacity Building</t>
  </si>
  <si>
    <t>Capacity Building - Senior Management</t>
  </si>
  <si>
    <t>Capacity Building-Senior Manager</t>
  </si>
  <si>
    <t>C3100</t>
  </si>
  <si>
    <t>Candidate_2100</t>
  </si>
  <si>
    <t>506 | Capacity Building</t>
  </si>
  <si>
    <t xml:space="preserve"> Capacity Building</t>
  </si>
  <si>
    <t>C3101</t>
  </si>
  <si>
    <t>Candidate_2101</t>
  </si>
  <si>
    <t>503 | Capacity Building</t>
  </si>
  <si>
    <t>C3102</t>
  </si>
  <si>
    <t>Candidate_2102</t>
  </si>
  <si>
    <t>502 | Capacity Building</t>
  </si>
  <si>
    <t>C3103</t>
  </si>
  <si>
    <t>Candidate_2103</t>
  </si>
  <si>
    <t>416 | Capacity Building</t>
  </si>
  <si>
    <t>C3104</t>
  </si>
  <si>
    <t>Candidate_2104</t>
  </si>
  <si>
    <t>413 | Capacity Building</t>
  </si>
  <si>
    <t>C3105</t>
  </si>
  <si>
    <t>Candidate_2105</t>
  </si>
  <si>
    <t>412 | Capacity Building</t>
  </si>
  <si>
    <t>C3106</t>
  </si>
  <si>
    <t>Candidate_2106</t>
  </si>
  <si>
    <t>265 | Capacity Building</t>
  </si>
  <si>
    <t xml:space="preserve">Capacity Building </t>
  </si>
  <si>
    <t>C3107</t>
  </si>
  <si>
    <t>Candidate_2107</t>
  </si>
  <si>
    <t>264 | Capacity Building</t>
  </si>
  <si>
    <t>C3108</t>
  </si>
  <si>
    <t>Candidate_2108</t>
  </si>
  <si>
    <t>258 | Capacity Building</t>
  </si>
  <si>
    <t>C3109</t>
  </si>
  <si>
    <t>Candidate_2109</t>
  </si>
  <si>
    <t>236 | Capacity Building</t>
  </si>
  <si>
    <t>C3110</t>
  </si>
  <si>
    <t>Candidate_2110</t>
  </si>
  <si>
    <t>235 | Capacity Building</t>
  </si>
  <si>
    <t>C3111</t>
  </si>
  <si>
    <t>Candidate_2111</t>
  </si>
  <si>
    <t>233 | Capacity Building</t>
  </si>
  <si>
    <t>C3112</t>
  </si>
  <si>
    <t>Candidate_2112</t>
  </si>
  <si>
    <t>160 | Capacity Building</t>
  </si>
  <si>
    <t>C3113</t>
  </si>
  <si>
    <t>Candidate_2113</t>
  </si>
  <si>
    <t>157 | Capacity Building</t>
  </si>
  <si>
    <t>C3114</t>
  </si>
  <si>
    <t>Candidate_2114</t>
  </si>
  <si>
    <t>144 | Capacity Building</t>
  </si>
  <si>
    <t>C3115</t>
  </si>
  <si>
    <t>Candidate_2115</t>
  </si>
  <si>
    <t>119 | Capacity Building</t>
  </si>
  <si>
    <t>C3116</t>
  </si>
  <si>
    <t>Candidate_2116</t>
  </si>
  <si>
    <t>113 | Capacity Building</t>
  </si>
  <si>
    <t>C3117</t>
  </si>
  <si>
    <t>Candidate_2117</t>
  </si>
  <si>
    <t>53 | Capacity Building</t>
  </si>
  <si>
    <t>C3118</t>
  </si>
  <si>
    <t>Candidate_2118</t>
  </si>
  <si>
    <t>3000 | Capacity Building</t>
  </si>
  <si>
    <t>Capacity Building - Senior</t>
  </si>
  <si>
    <t>Capacity Building-Extension Officer</t>
  </si>
  <si>
    <t>C3119</t>
  </si>
  <si>
    <t>Candidate_2119</t>
  </si>
  <si>
    <t>2925 | Capacity Building</t>
  </si>
  <si>
    <t>C3120</t>
  </si>
  <si>
    <t>Candidate_2120</t>
  </si>
  <si>
    <t>2915 | Capacity Building</t>
  </si>
  <si>
    <t>C3121</t>
  </si>
  <si>
    <t>Candidate_2121</t>
  </si>
  <si>
    <t>2825 | Capacity Building</t>
  </si>
  <si>
    <t>C3122</t>
  </si>
  <si>
    <t>Candidate_2122</t>
  </si>
  <si>
    <t>2703 | Capacity Building</t>
  </si>
  <si>
    <t>C3123</t>
  </si>
  <si>
    <t>Candidate_2123</t>
  </si>
  <si>
    <t>2636 | Capacity Building</t>
  </si>
  <si>
    <t>C3124</t>
  </si>
  <si>
    <t>Candidate_2124</t>
  </si>
  <si>
    <t>2580 | Capacity Building</t>
  </si>
  <si>
    <t>C3125</t>
  </si>
  <si>
    <t>Candidate_2125</t>
  </si>
  <si>
    <t>2140 | Capacity Building</t>
  </si>
  <si>
    <t>C3126</t>
  </si>
  <si>
    <t>Candidate_2126</t>
  </si>
  <si>
    <t>2107 | Capacity Building</t>
  </si>
  <si>
    <t>C3127</t>
  </si>
  <si>
    <t>Candidate_2127</t>
  </si>
  <si>
    <t>2100 | Capacity Building</t>
  </si>
  <si>
    <t>C3128</t>
  </si>
  <si>
    <t>Candidate_2128</t>
  </si>
  <si>
    <t>1714 | Capacity Building</t>
  </si>
  <si>
    <t>C3129</t>
  </si>
  <si>
    <t>Candidate_2129</t>
  </si>
  <si>
    <t>1693 | Capacity Building</t>
  </si>
  <si>
    <t>C3130</t>
  </si>
  <si>
    <t>Candidate_2130</t>
  </si>
  <si>
    <t>1552 | Capacity Building</t>
  </si>
  <si>
    <t>C3131</t>
  </si>
  <si>
    <t>Candidate_2131</t>
  </si>
  <si>
    <t>1200 | Capacity Building</t>
  </si>
  <si>
    <t>C3132</t>
  </si>
  <si>
    <t>Candidate_2132</t>
  </si>
  <si>
    <t>1178 | Capacity Building</t>
  </si>
  <si>
    <t>C3133</t>
  </si>
  <si>
    <t>Candidate_2133</t>
  </si>
  <si>
    <t>1103 | Capacity Building</t>
  </si>
  <si>
    <t>C3134</t>
  </si>
  <si>
    <t>Candidate_2134</t>
  </si>
  <si>
    <t>1074 | Capacity Building</t>
  </si>
  <si>
    <t>C3135</t>
  </si>
  <si>
    <t>Candidate_2135</t>
  </si>
  <si>
    <t>923 | Capacity Building</t>
  </si>
  <si>
    <t>C3136</t>
  </si>
  <si>
    <t>Candidate_2136</t>
  </si>
  <si>
    <t>922 | Capacity Building</t>
  </si>
  <si>
    <t>C3137</t>
  </si>
  <si>
    <t>Candidate_2137</t>
  </si>
  <si>
    <t>921 | Capacity Building</t>
  </si>
  <si>
    <t>C3138</t>
  </si>
  <si>
    <t>Candidate_2138</t>
  </si>
  <si>
    <t>808 | Capacity Building</t>
  </si>
  <si>
    <t>C3139</t>
  </si>
  <si>
    <t>Candidate_2139</t>
  </si>
  <si>
    <t>803 | Capacity Building</t>
  </si>
  <si>
    <t>C3140</t>
  </si>
  <si>
    <t>Candidate_2140</t>
  </si>
  <si>
    <t>802 | Capacity Building</t>
  </si>
  <si>
    <t>C3141</t>
  </si>
  <si>
    <t>Candidate_2141</t>
  </si>
  <si>
    <t>771 | Capacity Building</t>
  </si>
  <si>
    <t>C3142</t>
  </si>
  <si>
    <t>Candidate_2142</t>
  </si>
  <si>
    <t>666 | Capacity Building</t>
  </si>
  <si>
    <t>Capacity Building-Quality Assurance</t>
  </si>
  <si>
    <t>C3143</t>
  </si>
  <si>
    <t>Candidate_2143</t>
  </si>
  <si>
    <t>665 | Capacity Building</t>
  </si>
  <si>
    <t>C3144</t>
  </si>
  <si>
    <t>Candidate_2144</t>
  </si>
  <si>
    <t>625 | Capacity Building</t>
  </si>
  <si>
    <t>C3145</t>
  </si>
  <si>
    <t>Candidate_2145</t>
  </si>
  <si>
    <t>624 | Capacity Building</t>
  </si>
  <si>
    <t>C3146</t>
  </si>
  <si>
    <t>Candidate_2146</t>
  </si>
  <si>
    <t>540 | Capacity Building</t>
  </si>
  <si>
    <t>C3147</t>
  </si>
  <si>
    <t>Candidate_2147</t>
  </si>
  <si>
    <t>536 | Capacity Building</t>
  </si>
  <si>
    <t>C3148</t>
  </si>
  <si>
    <t>Candidate_2148</t>
  </si>
  <si>
    <t>533 | Capacity Building</t>
  </si>
  <si>
    <t>C3149</t>
  </si>
  <si>
    <t>Candidate_2149</t>
  </si>
  <si>
    <t>501 | Capacity Building</t>
  </si>
  <si>
    <t>C3150</t>
  </si>
  <si>
    <t>Candidate_2150</t>
  </si>
  <si>
    <t>429 | Capacity Building</t>
  </si>
  <si>
    <t>C3151</t>
  </si>
  <si>
    <t>Candidate_2151</t>
  </si>
  <si>
    <t>422 | Capacity Building</t>
  </si>
  <si>
    <t>C3152</t>
  </si>
  <si>
    <t>Candidate_2152</t>
  </si>
  <si>
    <t>411 | Capacity Building</t>
  </si>
  <si>
    <t>C3153</t>
  </si>
  <si>
    <t>Candidate_2153</t>
  </si>
  <si>
    <t>269 | Capacity Building</t>
  </si>
  <si>
    <t>C3154</t>
  </si>
  <si>
    <t>Candidate_2154</t>
  </si>
  <si>
    <t>266 | Capacity Building</t>
  </si>
  <si>
    <t>C3155</t>
  </si>
  <si>
    <t>Candidate_2155</t>
  </si>
  <si>
    <t>256 | Capacity Building</t>
  </si>
  <si>
    <t>C3156</t>
  </si>
  <si>
    <t>Candidate_2156</t>
  </si>
  <si>
    <t>254 | Capacity Building</t>
  </si>
  <si>
    <t>C3157</t>
  </si>
  <si>
    <t>Candidate_2157</t>
  </si>
  <si>
    <t>251 | Capacity Building</t>
  </si>
  <si>
    <t>C3158</t>
  </si>
  <si>
    <t>Candidate_2158</t>
  </si>
  <si>
    <t>231 | Capacity Building</t>
  </si>
  <si>
    <t>C3159</t>
  </si>
  <si>
    <t>Candidate_2159</t>
  </si>
  <si>
    <t>224 | Capacity Building</t>
  </si>
  <si>
    <t>C3160</t>
  </si>
  <si>
    <t>Candidate_2160</t>
  </si>
  <si>
    <t>223 | Capacity Building</t>
  </si>
  <si>
    <t>C3161</t>
  </si>
  <si>
    <t>Candidate_2161</t>
  </si>
  <si>
    <t>158 | Capacity Building</t>
  </si>
  <si>
    <t>C3162</t>
  </si>
  <si>
    <t>Candidate_2162</t>
  </si>
  <si>
    <t>153 | Capacity Building</t>
  </si>
  <si>
    <t>C3163</t>
  </si>
  <si>
    <t>Candidate_2163</t>
  </si>
  <si>
    <t>142 | Capacity Building</t>
  </si>
  <si>
    <t>Capacity Building-Auditor</t>
  </si>
  <si>
    <t>C3164</t>
  </si>
  <si>
    <t>Candidate_2164</t>
  </si>
  <si>
    <t>115 | Capacity Building</t>
  </si>
  <si>
    <t>C3165</t>
  </si>
  <si>
    <t>Candidate_2165</t>
  </si>
  <si>
    <t>112 | Capacity Building</t>
  </si>
  <si>
    <t>C3166</t>
  </si>
  <si>
    <t>Candidate_2166</t>
  </si>
  <si>
    <t>60 | Capacity Building</t>
  </si>
  <si>
    <t>C3167</t>
  </si>
  <si>
    <t>Candidate_2167</t>
  </si>
  <si>
    <t>59 | Capacity Building</t>
  </si>
  <si>
    <t>C3168</t>
  </si>
  <si>
    <t>Candidate_2168</t>
  </si>
  <si>
    <t>51 | Capacity Building</t>
  </si>
  <si>
    <t>C3169</t>
  </si>
  <si>
    <t>Candidate_2169</t>
  </si>
  <si>
    <t>2952 | Capacity Building</t>
  </si>
  <si>
    <t>Capacity Building - Manager Level</t>
  </si>
  <si>
    <t>Capacity Building-Manager</t>
  </si>
  <si>
    <t>C3170</t>
  </si>
  <si>
    <t>Candidate_2170</t>
  </si>
  <si>
    <t>2934 | Capacity Building</t>
  </si>
  <si>
    <t>C3171</t>
  </si>
  <si>
    <t>Candidate_2171</t>
  </si>
  <si>
    <t>2805 | Capacity Building</t>
  </si>
  <si>
    <t>C3172</t>
  </si>
  <si>
    <t>Candidate_2172</t>
  </si>
  <si>
    <t>2798 | Capacity Building</t>
  </si>
  <si>
    <t>C3173</t>
  </si>
  <si>
    <t>Candidate_2173</t>
  </si>
  <si>
    <t>2766 | Capacity Building</t>
  </si>
  <si>
    <t>C3174</t>
  </si>
  <si>
    <t>Candidate_2174</t>
  </si>
  <si>
    <t>2705 | Capacity Building</t>
  </si>
  <si>
    <t>C3175</t>
  </si>
  <si>
    <t>Candidate_2175</t>
  </si>
  <si>
    <t>2615 | Capacity Building</t>
  </si>
  <si>
    <t>C3176</t>
  </si>
  <si>
    <t>Candidate_2176</t>
  </si>
  <si>
    <t>2611 | Capacity Building</t>
  </si>
  <si>
    <t>C3177</t>
  </si>
  <si>
    <t>Candidate_2177</t>
  </si>
  <si>
    <t>2575 | Capacity Building</t>
  </si>
  <si>
    <t>C3178</t>
  </si>
  <si>
    <t>Candidate_2178</t>
  </si>
  <si>
    <t>2523 | Capacity Building</t>
  </si>
  <si>
    <t>C3179</t>
  </si>
  <si>
    <t>Candidate_2179</t>
  </si>
  <si>
    <t>2134 | Capacity Building</t>
  </si>
  <si>
    <t>C3180</t>
  </si>
  <si>
    <t>Candidate_2180</t>
  </si>
  <si>
    <t>2102 | Capacity Building</t>
  </si>
  <si>
    <t>C3181</t>
  </si>
  <si>
    <t>Candidate_2181</t>
  </si>
  <si>
    <t>2039 | Capacity Building</t>
  </si>
  <si>
    <t>C3182</t>
  </si>
  <si>
    <t>Candidate_2182</t>
  </si>
  <si>
    <t>1718 | Capacity Building</t>
  </si>
  <si>
    <t>C3183</t>
  </si>
  <si>
    <t>Candidate_2183</t>
  </si>
  <si>
    <t>1716 | Capacity Building</t>
  </si>
  <si>
    <t>C3184</t>
  </si>
  <si>
    <t>Candidate_2184</t>
  </si>
  <si>
    <t>1713 | Capacity Building</t>
  </si>
  <si>
    <t>C3185</t>
  </si>
  <si>
    <t>Candidate_2185</t>
  </si>
  <si>
    <t>1461 | Capacity Building</t>
  </si>
  <si>
    <t>C3186</t>
  </si>
  <si>
    <t>Candidate_2186</t>
  </si>
  <si>
    <t>1246 | Capacity Building</t>
  </si>
  <si>
    <t>C3187</t>
  </si>
  <si>
    <t>Candidate_2187</t>
  </si>
  <si>
    <t>1241 | Capacity Building</t>
  </si>
  <si>
    <t>C3188</t>
  </si>
  <si>
    <t>Candidate_2188</t>
  </si>
  <si>
    <t>1102 | Capacity Building</t>
  </si>
  <si>
    <t>C3189</t>
  </si>
  <si>
    <t>Candidate_2189</t>
  </si>
  <si>
    <t>1079 | Capacity Building</t>
  </si>
  <si>
    <t>C3190</t>
  </si>
  <si>
    <t>Candidate_2190</t>
  </si>
  <si>
    <t>928 | Capacity Building</t>
  </si>
  <si>
    <t>C3191</t>
  </si>
  <si>
    <t>Candidate_2191</t>
  </si>
  <si>
    <t>924 | Capacity Building</t>
  </si>
  <si>
    <t>C3192</t>
  </si>
  <si>
    <t>Candidate_2192</t>
  </si>
  <si>
    <t>806 | Capacity Building</t>
  </si>
  <si>
    <t>C3193</t>
  </si>
  <si>
    <t>Candidate_2193</t>
  </si>
  <si>
    <t>804 | Capacity Building</t>
  </si>
  <si>
    <t>C3194</t>
  </si>
  <si>
    <t>Candidate_2194</t>
  </si>
  <si>
    <t>775 | Capacity Building</t>
  </si>
  <si>
    <t>C3195</t>
  </si>
  <si>
    <t>Candidate_2195</t>
  </si>
  <si>
    <t>772 | Capacity Building</t>
  </si>
  <si>
    <t>C3196</t>
  </si>
  <si>
    <t>Candidate_2196</t>
  </si>
  <si>
    <t>669 | Capacity Building</t>
  </si>
  <si>
    <t>C3197</t>
  </si>
  <si>
    <t>Candidate_2197</t>
  </si>
  <si>
    <t>630 | Capacity Building</t>
  </si>
  <si>
    <t>C3198</t>
  </si>
  <si>
    <t>Candidate_2198</t>
  </si>
  <si>
    <t>629 | Capacity Building</t>
  </si>
  <si>
    <t>C3199</t>
  </si>
  <si>
    <t>Candidate_2199</t>
  </si>
  <si>
    <t>623 | Capacity Building</t>
  </si>
  <si>
    <t>C3200</t>
  </si>
  <si>
    <t>Candidate_2200</t>
  </si>
  <si>
    <t>622 | Capacity Building</t>
  </si>
  <si>
    <t>C3201</t>
  </si>
  <si>
    <t>Candidate_2201</t>
  </si>
  <si>
    <t>428 | Capacity Building</t>
  </si>
  <si>
    <t>C3202</t>
  </si>
  <si>
    <t>Candidate_2202</t>
  </si>
  <si>
    <t>423 | Capacity Building</t>
  </si>
  <si>
    <t>C3203</t>
  </si>
  <si>
    <t>Candidate_2203</t>
  </si>
  <si>
    <t>421 | Capacity Building</t>
  </si>
  <si>
    <t>C3204</t>
  </si>
  <si>
    <t>Candidate_2204</t>
  </si>
  <si>
    <t>267 | Capacity Building</t>
  </si>
  <si>
    <t>C3205</t>
  </si>
  <si>
    <t>Candidate_2205</t>
  </si>
  <si>
    <t>263 | Capacity Building</t>
  </si>
  <si>
    <t>C3206</t>
  </si>
  <si>
    <t>Candidate_2206</t>
  </si>
  <si>
    <t>261 | Capacity Building</t>
  </si>
  <si>
    <t>C3207</t>
  </si>
  <si>
    <t>Candidate_2207</t>
  </si>
  <si>
    <t>260 | Capacity Building</t>
  </si>
  <si>
    <t>C3208</t>
  </si>
  <si>
    <t>Candidate_2208</t>
  </si>
  <si>
    <t>240 | Capacity Building</t>
  </si>
  <si>
    <t>C3209</t>
  </si>
  <si>
    <t>Candidate_2209</t>
  </si>
  <si>
    <t>232 | Capacity Building</t>
  </si>
  <si>
    <t>C3210</t>
  </si>
  <si>
    <t>Candidate_2210</t>
  </si>
  <si>
    <t>225 | Capacity Building</t>
  </si>
  <si>
    <t>C3211</t>
  </si>
  <si>
    <t>Candidate_2211</t>
  </si>
  <si>
    <t>221 | Capacity Building</t>
  </si>
  <si>
    <t>C3212</t>
  </si>
  <si>
    <t>Candidate_2212</t>
  </si>
  <si>
    <t>152 | Capacity Building</t>
  </si>
  <si>
    <t>C3213</t>
  </si>
  <si>
    <t>Candidate_2213</t>
  </si>
  <si>
    <t>120 | Capacity Building</t>
  </si>
  <si>
    <t>C3214</t>
  </si>
  <si>
    <t>Candidate_2214</t>
  </si>
  <si>
    <t>117 | Capacity Building</t>
  </si>
  <si>
    <t>C3215</t>
  </si>
  <si>
    <t>Candidate_2215</t>
  </si>
  <si>
    <t>57 | Capacity Building</t>
  </si>
  <si>
    <t>C3216</t>
  </si>
  <si>
    <t>Candidate_2216</t>
  </si>
  <si>
    <t>2999 | Capacity Building</t>
  </si>
  <si>
    <t>Capacity Building - Junior</t>
  </si>
  <si>
    <t>Training Associate</t>
  </si>
  <si>
    <t>Capacity Building-Training Associate</t>
  </si>
  <si>
    <t>C3217</t>
  </si>
  <si>
    <t>Candidate_2217</t>
  </si>
  <si>
    <t>2953 | Capacity Building</t>
  </si>
  <si>
    <t>C3218</t>
  </si>
  <si>
    <t>Candidate_2218</t>
  </si>
  <si>
    <t>2911 | Capacity Building</t>
  </si>
  <si>
    <t>C3219</t>
  </si>
  <si>
    <t>Candidate_2219</t>
  </si>
  <si>
    <t>2797 | Capacity Building</t>
  </si>
  <si>
    <t>C3220</t>
  </si>
  <si>
    <t>Candidate_2220</t>
  </si>
  <si>
    <t>2741 | Capacity Building</t>
  </si>
  <si>
    <t>C3221</t>
  </si>
  <si>
    <t>Candidate_2221</t>
  </si>
  <si>
    <t>2707 | Capacity Building</t>
  </si>
  <si>
    <t>C3222</t>
  </si>
  <si>
    <t>Candidate_2222</t>
  </si>
  <si>
    <t>2701 | Capacity Building</t>
  </si>
  <si>
    <t>C3223</t>
  </si>
  <si>
    <t>Candidate_2223</t>
  </si>
  <si>
    <t>2640 | Capacity Building</t>
  </si>
  <si>
    <t>C3224</t>
  </si>
  <si>
    <t>Candidate_2224</t>
  </si>
  <si>
    <t>2638 | Capacity Building</t>
  </si>
  <si>
    <t>C3225</t>
  </si>
  <si>
    <t>Candidate_2225</t>
  </si>
  <si>
    <t>2627 | Capacity Building</t>
  </si>
  <si>
    <t>C3226</t>
  </si>
  <si>
    <t>Candidate_2226</t>
  </si>
  <si>
    <t>2595 | Capacity Building</t>
  </si>
  <si>
    <t>C3227</t>
  </si>
  <si>
    <t>Candidate_2227</t>
  </si>
  <si>
    <t>2578 | Capacity Building</t>
  </si>
  <si>
    <t>C3228</t>
  </si>
  <si>
    <t>Candidate_2228</t>
  </si>
  <si>
    <t>2425 | Capacity Building</t>
  </si>
  <si>
    <t>C3229</t>
  </si>
  <si>
    <t>Candidate_2229</t>
  </si>
  <si>
    <t>2395 | Capacity Building</t>
  </si>
  <si>
    <t>C3230</t>
  </si>
  <si>
    <t>Candidate_2230</t>
  </si>
  <si>
    <t>2038 | Capacity Building</t>
  </si>
  <si>
    <t>C3231</t>
  </si>
  <si>
    <t>Candidate_2231</t>
  </si>
  <si>
    <t>1871 | Capacity Building</t>
  </si>
  <si>
    <t>C3232</t>
  </si>
  <si>
    <t>Candidate_2232</t>
  </si>
  <si>
    <t>1487 | Capacity Building</t>
  </si>
  <si>
    <t>C3233</t>
  </si>
  <si>
    <t>Candidate_2233</t>
  </si>
  <si>
    <t>1247 | Capacity Building</t>
  </si>
  <si>
    <t>C3234</t>
  </si>
  <si>
    <t>Candidate_2234</t>
  </si>
  <si>
    <t>1244 | Capacity Building</t>
  </si>
  <si>
    <t>C3235</t>
  </si>
  <si>
    <t>Candidate_2235</t>
  </si>
  <si>
    <t>1238 | Capacity Building</t>
  </si>
  <si>
    <t>C3236</t>
  </si>
  <si>
    <t>Candidate_2236</t>
  </si>
  <si>
    <t>1226 | Capacity Building</t>
  </si>
  <si>
    <t>C3237</t>
  </si>
  <si>
    <t>Candidate_2237</t>
  </si>
  <si>
    <t>1174 | Capacity Building</t>
  </si>
  <si>
    <t>C3238</t>
  </si>
  <si>
    <t>Candidate_2238</t>
  </si>
  <si>
    <t>1107 | Capacity Building</t>
  </si>
  <si>
    <t>C3239</t>
  </si>
  <si>
    <t>Candidate_2239</t>
  </si>
  <si>
    <t>1072 | Capacity Building</t>
  </si>
  <si>
    <t>C3240</t>
  </si>
  <si>
    <t>Candidate_2240</t>
  </si>
  <si>
    <t>810 | Capacity Building</t>
  </si>
  <si>
    <t>C3241</t>
  </si>
  <si>
    <t>Candidate_2241</t>
  </si>
  <si>
    <t>779 | Capacity Building</t>
  </si>
  <si>
    <t>C3242</t>
  </si>
  <si>
    <t>Candidate_2242</t>
  </si>
  <si>
    <t>773 | Capacity Building</t>
  </si>
  <si>
    <t>C3243</t>
  </si>
  <si>
    <t>Candidate_2243</t>
  </si>
  <si>
    <t>664 | Capacity Building</t>
  </si>
  <si>
    <t>C3244</t>
  </si>
  <si>
    <t>Candidate_2244</t>
  </si>
  <si>
    <t>661 | Capacity Building</t>
  </si>
  <si>
    <t>C3245</t>
  </si>
  <si>
    <t>Candidate_2245</t>
  </si>
  <si>
    <t>626 | Capacity Building</t>
  </si>
  <si>
    <t>C3246</t>
  </si>
  <si>
    <t>Candidate_2246</t>
  </si>
  <si>
    <t>539 | Capacity Building</t>
  </si>
  <si>
    <t>C3247</t>
  </si>
  <si>
    <t>Candidate_2247</t>
  </si>
  <si>
    <t>532 | Capacity Building</t>
  </si>
  <si>
    <t>C3248</t>
  </si>
  <si>
    <t>Candidate_2248</t>
  </si>
  <si>
    <t>509 | Capacity Building</t>
  </si>
  <si>
    <t>C3249</t>
  </si>
  <si>
    <t>Candidate_2249</t>
  </si>
  <si>
    <t>507 | Capacity Building</t>
  </si>
  <si>
    <t>C3250</t>
  </si>
  <si>
    <t>Candidate_2250</t>
  </si>
  <si>
    <t>505 | Capacity Building</t>
  </si>
  <si>
    <t>C3251</t>
  </si>
  <si>
    <t>Candidate_2251</t>
  </si>
  <si>
    <t>504 | Capacity Building</t>
  </si>
  <si>
    <t>C3252</t>
  </si>
  <si>
    <t>Candidate_2252</t>
  </si>
  <si>
    <t>427 | Capacity Building</t>
  </si>
  <si>
    <t>C3253</t>
  </si>
  <si>
    <t>Candidate_2253</t>
  </si>
  <si>
    <t>415 | Capacity Building</t>
  </si>
  <si>
    <t>C3254</t>
  </si>
  <si>
    <t>Candidate_2254</t>
  </si>
  <si>
    <t>255 | Capacity Building</t>
  </si>
  <si>
    <t>C3255</t>
  </si>
  <si>
    <t>Candidate_2255</t>
  </si>
  <si>
    <t>252 | Capacity Building</t>
  </si>
  <si>
    <t>C3256</t>
  </si>
  <si>
    <t>Candidate_2256</t>
  </si>
  <si>
    <t>230 | Capacity Building</t>
  </si>
  <si>
    <t>C3257</t>
  </si>
  <si>
    <t>Candidate_2257</t>
  </si>
  <si>
    <t>228 | Capacity Building</t>
  </si>
  <si>
    <t>C3258</t>
  </si>
  <si>
    <t>Candidate_2258</t>
  </si>
  <si>
    <t>226 | Capacity Building</t>
  </si>
  <si>
    <t>Capacity Building-Analyst</t>
  </si>
  <si>
    <t>C3259</t>
  </si>
  <si>
    <t>Candidate_2259</t>
  </si>
  <si>
    <t>154 | Capacity Building</t>
  </si>
  <si>
    <t>C3260</t>
  </si>
  <si>
    <t>Candidate_2260</t>
  </si>
  <si>
    <t>151 | Capacity Building</t>
  </si>
  <si>
    <t>C3261</t>
  </si>
  <si>
    <t>Candidate_2261</t>
  </si>
  <si>
    <t>150 | Capacity Building</t>
  </si>
  <si>
    <t>C3262</t>
  </si>
  <si>
    <t>Candidate_2262</t>
  </si>
  <si>
    <t>145 | Capacity Building</t>
  </si>
  <si>
    <t>C3263</t>
  </si>
  <si>
    <t>Candidate_2263</t>
  </si>
  <si>
    <t>141 | Capacity Building</t>
  </si>
  <si>
    <t>C3264</t>
  </si>
  <si>
    <t>Candidate_2264</t>
  </si>
  <si>
    <t>114 | Capacity Building</t>
  </si>
  <si>
    <t>C3265</t>
  </si>
  <si>
    <t>Candidate_2265</t>
  </si>
  <si>
    <t>58 | Capacity Building</t>
  </si>
  <si>
    <t>C3266</t>
  </si>
  <si>
    <t>Candidate_2266</t>
  </si>
  <si>
    <t>55 | Capacity Building</t>
  </si>
  <si>
    <t>C3267</t>
  </si>
  <si>
    <t>Candidate_2267</t>
  </si>
  <si>
    <t>2992 | Capacity Building</t>
  </si>
  <si>
    <t>Capacity Building - Executive</t>
  </si>
  <si>
    <t>Capacity Building-Associate Director</t>
  </si>
  <si>
    <t>C3268</t>
  </si>
  <si>
    <t>Candidate_2268</t>
  </si>
  <si>
    <t>2768 | Capacity Building</t>
  </si>
  <si>
    <t>C3269</t>
  </si>
  <si>
    <t>Candidate_2269</t>
  </si>
  <si>
    <t>2633 | Capacity Building</t>
  </si>
  <si>
    <t>C3270</t>
  </si>
  <si>
    <t>Candidate_2270</t>
  </si>
  <si>
    <t>2576 | Capacity Building</t>
  </si>
  <si>
    <t>C3271</t>
  </si>
  <si>
    <t>Candidate_2271</t>
  </si>
  <si>
    <t>2529 | Capacity Building</t>
  </si>
  <si>
    <t>C3272</t>
  </si>
  <si>
    <t>Candidate_2272</t>
  </si>
  <si>
    <t>2092 | Capacity Building</t>
  </si>
  <si>
    <t>C3273</t>
  </si>
  <si>
    <t>Candidate_2273</t>
  </si>
  <si>
    <t>1939 | Capacity Building</t>
  </si>
  <si>
    <t>C3274</t>
  </si>
  <si>
    <t>Candidate_2274</t>
  </si>
  <si>
    <t>1192 | Capacity Building</t>
  </si>
  <si>
    <t>C3275</t>
  </si>
  <si>
    <t>Candidate_2275</t>
  </si>
  <si>
    <t>929 | Capacity Building</t>
  </si>
  <si>
    <t>C3276</t>
  </si>
  <si>
    <t>Candidate_2276</t>
  </si>
  <si>
    <t>927 | Capacity Building</t>
  </si>
  <si>
    <t>Capacity Building-Principal Officer</t>
  </si>
  <si>
    <t>C3277</t>
  </si>
  <si>
    <t>Candidate_2277</t>
  </si>
  <si>
    <t>809 | Capacity Building</t>
  </si>
  <si>
    <t>C3278</t>
  </si>
  <si>
    <t>Candidate_2278</t>
  </si>
  <si>
    <t>805 | Capacity Building</t>
  </si>
  <si>
    <t>C3279</t>
  </si>
  <si>
    <t>Candidate_2279</t>
  </si>
  <si>
    <t>801 | Capacity Building</t>
  </si>
  <si>
    <t>C3280</t>
  </si>
  <si>
    <t>Candidate_2280</t>
  </si>
  <si>
    <t>777 | Capacity Building</t>
  </si>
  <si>
    <t>C3281</t>
  </si>
  <si>
    <t>Candidate_2281</t>
  </si>
  <si>
    <t>776 | Capacity Building</t>
  </si>
  <si>
    <t>C3282</t>
  </si>
  <si>
    <t>Candidate_2282</t>
  </si>
  <si>
    <t>670 | Capacity Building</t>
  </si>
  <si>
    <t>C3283</t>
  </si>
  <si>
    <t>Candidate_2283</t>
  </si>
  <si>
    <t>663 | Capacity Building</t>
  </si>
  <si>
    <t>C3284</t>
  </si>
  <si>
    <t>Candidate_2284</t>
  </si>
  <si>
    <t>662 | Capacity Building</t>
  </si>
  <si>
    <t>C3285</t>
  </si>
  <si>
    <t>Candidate_2285</t>
  </si>
  <si>
    <t>628 | Capacity Building</t>
  </si>
  <si>
    <t>C3286</t>
  </si>
  <si>
    <t>Candidate_2286</t>
  </si>
  <si>
    <t>538 | Capacity Building</t>
  </si>
  <si>
    <t>C3287</t>
  </si>
  <si>
    <t>Candidate_2287</t>
  </si>
  <si>
    <t>537 | Capacity Building</t>
  </si>
  <si>
    <t>C3288</t>
  </si>
  <si>
    <t>Candidate_2288</t>
  </si>
  <si>
    <t>426 | Capacity Building</t>
  </si>
  <si>
    <t>C3289</t>
  </si>
  <si>
    <t>Candidate_2289</t>
  </si>
  <si>
    <t>424 | Capacity Building</t>
  </si>
  <si>
    <t>C3290</t>
  </si>
  <si>
    <t>Candidate_2290</t>
  </si>
  <si>
    <t>420 | Capacity Building</t>
  </si>
  <si>
    <t>C3291</t>
  </si>
  <si>
    <t>Candidate_2291</t>
  </si>
  <si>
    <t>417 | Capacity Building</t>
  </si>
  <si>
    <t>C3292</t>
  </si>
  <si>
    <t>Candidate_2292</t>
  </si>
  <si>
    <t>414 | Capacity Building</t>
  </si>
  <si>
    <t>C3293</t>
  </si>
  <si>
    <t>Candidate_2293</t>
  </si>
  <si>
    <t>268 | Capacity Building</t>
  </si>
  <si>
    <t>C3294</t>
  </si>
  <si>
    <t>Candidate_2294</t>
  </si>
  <si>
    <t>262 | Capacity Building</t>
  </si>
  <si>
    <t>C3295</t>
  </si>
  <si>
    <t>Candidate_2295</t>
  </si>
  <si>
    <t>257 | Capacity Building</t>
  </si>
  <si>
    <t>C3296</t>
  </si>
  <si>
    <t>Candidate_2296</t>
  </si>
  <si>
    <t>239 | Capacity Building</t>
  </si>
  <si>
    <t>C3297</t>
  </si>
  <si>
    <t>Candidate_2297</t>
  </si>
  <si>
    <t>237 | Capacity Building</t>
  </si>
  <si>
    <t>C3298</t>
  </si>
  <si>
    <t>Candidate_2298</t>
  </si>
  <si>
    <t>229 | Capacity Building</t>
  </si>
  <si>
    <t>C3299</t>
  </si>
  <si>
    <t>Candidate_2299</t>
  </si>
  <si>
    <t>222 | Capacity Building</t>
  </si>
  <si>
    <t>C3300</t>
  </si>
  <si>
    <t>Candidate_2300</t>
  </si>
  <si>
    <t>159 | Capacity Building</t>
  </si>
  <si>
    <t>C3301</t>
  </si>
  <si>
    <t>Candidate_2301</t>
  </si>
  <si>
    <t>156 | Capacity Building</t>
  </si>
  <si>
    <t>C3302</t>
  </si>
  <si>
    <t>Candidate_2302</t>
  </si>
  <si>
    <t>155 | Capacity Building</t>
  </si>
  <si>
    <t>C3303</t>
  </si>
  <si>
    <t>Candidate_2303</t>
  </si>
  <si>
    <t>149 | Capacity Building</t>
  </si>
  <si>
    <t>C3304</t>
  </si>
  <si>
    <t>Candidate_2304</t>
  </si>
  <si>
    <t>148 | Capacity Building</t>
  </si>
  <si>
    <t>C3305</t>
  </si>
  <si>
    <t>Candidate_2305</t>
  </si>
  <si>
    <t>146 | Capacity Building</t>
  </si>
  <si>
    <t>C3306</t>
  </si>
  <si>
    <t>Candidate_2306</t>
  </si>
  <si>
    <t>111 | Capacity Building</t>
  </si>
  <si>
    <t>C3307</t>
  </si>
  <si>
    <t>Candidate_2307</t>
  </si>
  <si>
    <t>52 | Capacity Building</t>
  </si>
  <si>
    <t>Capacity Building-Director</t>
  </si>
  <si>
    <t>C3308</t>
  </si>
  <si>
    <t>Candidate_2308</t>
  </si>
  <si>
    <t>2997 | Capacity Building</t>
  </si>
  <si>
    <t>Capacity Building - Associate</t>
  </si>
  <si>
    <t>C3309</t>
  </si>
  <si>
    <t>Candidate_2309</t>
  </si>
  <si>
    <t>2930 | Capacity Building</t>
  </si>
  <si>
    <t>C3310</t>
  </si>
  <si>
    <t>Candidate_2310</t>
  </si>
  <si>
    <t>2919 | Capacity Building</t>
  </si>
  <si>
    <t>C3311</t>
  </si>
  <si>
    <t>Candidate_2311</t>
  </si>
  <si>
    <t>2824 | Capacity Building</t>
  </si>
  <si>
    <t>C3312</t>
  </si>
  <si>
    <t>Candidate_2312</t>
  </si>
  <si>
    <t>2770 | Capacity Building</t>
  </si>
  <si>
    <t>C3313</t>
  </si>
  <si>
    <t>Candidate_2313</t>
  </si>
  <si>
    <t>2628 | Capacity Building</t>
  </si>
  <si>
    <t>C3314</t>
  </si>
  <si>
    <t>Candidate_2314</t>
  </si>
  <si>
    <t>2530 | Capacity Building</t>
  </si>
  <si>
    <t>C3315</t>
  </si>
  <si>
    <t>Candidate_2315</t>
  </si>
  <si>
    <t>2528 | Capacity Building</t>
  </si>
  <si>
    <t>C3316</t>
  </si>
  <si>
    <t>Candidate_2316</t>
  </si>
  <si>
    <t>2430 | Capacity Building</t>
  </si>
  <si>
    <t>C3317</t>
  </si>
  <si>
    <t>Candidate_2317</t>
  </si>
  <si>
    <t>2427 | Capacity Building</t>
  </si>
  <si>
    <t>C3318</t>
  </si>
  <si>
    <t>Candidate_2318</t>
  </si>
  <si>
    <t>2137 | Capacity Building</t>
  </si>
  <si>
    <t>C3319</t>
  </si>
  <si>
    <t>Candidate_2319</t>
  </si>
  <si>
    <t>2103 | Capacity Building</t>
  </si>
  <si>
    <t>C3320</t>
  </si>
  <si>
    <t>Candidate_2320</t>
  </si>
  <si>
    <t>2099 | Capacity Building</t>
  </si>
  <si>
    <t>C3321</t>
  </si>
  <si>
    <t>Candidate_2321</t>
  </si>
  <si>
    <t>2097 | Capacity Building</t>
  </si>
  <si>
    <t>C3322</t>
  </si>
  <si>
    <t>Candidate_2322</t>
  </si>
  <si>
    <t>2034 | Capacity Building</t>
  </si>
  <si>
    <t>C3323</t>
  </si>
  <si>
    <t>Candidate_2323</t>
  </si>
  <si>
    <t>1931 | Capacity Building</t>
  </si>
  <si>
    <t>C3324</t>
  </si>
  <si>
    <t>Candidate_2324</t>
  </si>
  <si>
    <t>1691 | Capacity Building</t>
  </si>
  <si>
    <t>C3325</t>
  </si>
  <si>
    <t>Candidate_2325</t>
  </si>
  <si>
    <t>1556 | Capacity Building</t>
  </si>
  <si>
    <t>C3326</t>
  </si>
  <si>
    <t>Candidate_2326</t>
  </si>
  <si>
    <t>1233 | Capacity Building</t>
  </si>
  <si>
    <t>C3327</t>
  </si>
  <si>
    <t>Candidate_2327</t>
  </si>
  <si>
    <t>1230 | Capacity Building</t>
  </si>
  <si>
    <t>C3328</t>
  </si>
  <si>
    <t>Candidate_2328</t>
  </si>
  <si>
    <t>1206 | Capacity Building</t>
  </si>
  <si>
    <t>C3329</t>
  </si>
  <si>
    <t>Candidate_2329</t>
  </si>
  <si>
    <t>1193 | Capacity Building</t>
  </si>
  <si>
    <t>C3330</t>
  </si>
  <si>
    <t>Candidate_2330</t>
  </si>
  <si>
    <t>1175 | Capacity Building</t>
  </si>
  <si>
    <t>C3331</t>
  </si>
  <si>
    <t>Candidate_2331</t>
  </si>
  <si>
    <t>1172 | Capacity Building</t>
  </si>
  <si>
    <t>C3332</t>
  </si>
  <si>
    <t>Candidate_2332</t>
  </si>
  <si>
    <t>925 | Capacity Building</t>
  </si>
  <si>
    <t>C3333</t>
  </si>
  <si>
    <t>Candidate_2333</t>
  </si>
  <si>
    <t>807 | Capacity Building</t>
  </si>
  <si>
    <t>C3334</t>
  </si>
  <si>
    <t>Candidate_2334</t>
  </si>
  <si>
    <t>780 | Capacity Building</t>
  </si>
  <si>
    <t>C3335</t>
  </si>
  <si>
    <t>Candidate_2335</t>
  </si>
  <si>
    <t>667 | Capacity Building</t>
  </si>
  <si>
    <t>C3336</t>
  </si>
  <si>
    <t>Candidate_2336</t>
  </si>
  <si>
    <t>627 | Capacity Building</t>
  </si>
  <si>
    <t>C3337</t>
  </si>
  <si>
    <t>Candidate_2337</t>
  </si>
  <si>
    <t>621 | Capacity Building</t>
  </si>
  <si>
    <t>C3338</t>
  </si>
  <si>
    <t>Candidate_2338</t>
  </si>
  <si>
    <t>531 | Capacity Building</t>
  </si>
  <si>
    <t>C3339</t>
  </si>
  <si>
    <t>Candidate_2339</t>
  </si>
  <si>
    <t>510 | Capacity Building</t>
  </si>
  <si>
    <t>C3340</t>
  </si>
  <si>
    <t>Candidate_2340</t>
  </si>
  <si>
    <t>430 | Capacity Building</t>
  </si>
  <si>
    <t>C3341</t>
  </si>
  <si>
    <t>Candidate_2341</t>
  </si>
  <si>
    <t>425 | Capacity Building</t>
  </si>
  <si>
    <t>C3342</t>
  </si>
  <si>
    <t>Candidate_2342</t>
  </si>
  <si>
    <t>419 | Capacity Building</t>
  </si>
  <si>
    <t>C3343</t>
  </si>
  <si>
    <t>Candidate_2343</t>
  </si>
  <si>
    <t>418 | Capacity Building</t>
  </si>
  <si>
    <t>C3344</t>
  </si>
  <si>
    <t>Candidate_2344</t>
  </si>
  <si>
    <t>270 | Capacity Building</t>
  </si>
  <si>
    <t>C3345</t>
  </si>
  <si>
    <t>Candidate_2345</t>
  </si>
  <si>
    <t>259 | Capacity Building</t>
  </si>
  <si>
    <t>C3346</t>
  </si>
  <si>
    <t>Candidate_2346</t>
  </si>
  <si>
    <t>253 | Capacity Building</t>
  </si>
  <si>
    <t>C3347</t>
  </si>
  <si>
    <t>Candidate_2347</t>
  </si>
  <si>
    <t>238 | Capacity Building</t>
  </si>
  <si>
    <t>C3348</t>
  </si>
  <si>
    <t>Candidate_2348</t>
  </si>
  <si>
    <t>234 | Capacity Building</t>
  </si>
  <si>
    <t>C3349</t>
  </si>
  <si>
    <t>Candidate_2349</t>
  </si>
  <si>
    <t>227 | Capacity Building</t>
  </si>
  <si>
    <t>C3350</t>
  </si>
  <si>
    <t>Candidate_2350</t>
  </si>
  <si>
    <t>147 | Capacity Building</t>
  </si>
  <si>
    <t>C3351</t>
  </si>
  <si>
    <t>Candidate_2351</t>
  </si>
  <si>
    <t>143 | Capacity Building</t>
  </si>
  <si>
    <t>C3352</t>
  </si>
  <si>
    <t>Candidate_2352</t>
  </si>
  <si>
    <t>118 | Capacity Building</t>
  </si>
  <si>
    <t>C3353</t>
  </si>
  <si>
    <t>Candidate_2353</t>
  </si>
  <si>
    <t>116 | Capacity Building</t>
  </si>
  <si>
    <t>C3354</t>
  </si>
  <si>
    <t>Candidate_2354</t>
  </si>
  <si>
    <t>56 | Capacity Building</t>
  </si>
  <si>
    <t>C3355</t>
  </si>
  <si>
    <t>Candidate_2355</t>
  </si>
  <si>
    <t>54 | Capacity Building</t>
  </si>
  <si>
    <t>C3356</t>
  </si>
  <si>
    <t>Candidate_2356</t>
  </si>
  <si>
    <t>448 | Administation</t>
  </si>
  <si>
    <t xml:space="preserve">Administation </t>
  </si>
  <si>
    <t>Administation - Senior Management</t>
  </si>
  <si>
    <t>Administation-Senior Manager</t>
  </si>
  <si>
    <t>C3357</t>
  </si>
  <si>
    <t>Candidate_2357</t>
  </si>
  <si>
    <t>441 | Administation</t>
  </si>
  <si>
    <t>Administation</t>
  </si>
  <si>
    <t>C3358</t>
  </si>
  <si>
    <t>Candidate_2358</t>
  </si>
  <si>
    <t>337 | Administation</t>
  </si>
  <si>
    <t>C3359</t>
  </si>
  <si>
    <t>Candidate_2359</t>
  </si>
  <si>
    <t>336 | Administation</t>
  </si>
  <si>
    <t xml:space="preserve"> Administation</t>
  </si>
  <si>
    <t>C3360</t>
  </si>
  <si>
    <t>Candidate_2360</t>
  </si>
  <si>
    <t>333 | Administation</t>
  </si>
  <si>
    <t>C3361</t>
  </si>
  <si>
    <t>Candidate_2361</t>
  </si>
  <si>
    <t>310 | Administation</t>
  </si>
  <si>
    <t>C3362</t>
  </si>
  <si>
    <t>Candidate_2362</t>
  </si>
  <si>
    <t>40 | Administation</t>
  </si>
  <si>
    <t>C3363</t>
  </si>
  <si>
    <t>Candidate_2363</t>
  </si>
  <si>
    <t>38 | Administation</t>
  </si>
  <si>
    <t>C3364</t>
  </si>
  <si>
    <t>Candidate_2364</t>
  </si>
  <si>
    <t>523 | Administation</t>
  </si>
  <si>
    <t>Administation - Senior</t>
  </si>
  <si>
    <t>Administation-Billing Officer</t>
  </si>
  <si>
    <t>C3365</t>
  </si>
  <si>
    <t>Candidate_2365</t>
  </si>
  <si>
    <t>520 | Administation</t>
  </si>
  <si>
    <t>C3366</t>
  </si>
  <si>
    <t>Candidate_2366</t>
  </si>
  <si>
    <t>514 | Administation</t>
  </si>
  <si>
    <t>C3367</t>
  </si>
  <si>
    <t>Candidate_2367</t>
  </si>
  <si>
    <t>468 | Administation</t>
  </si>
  <si>
    <t>C3368</t>
  </si>
  <si>
    <t>Candidate_2368</t>
  </si>
  <si>
    <t>464 | Administation</t>
  </si>
  <si>
    <t>C3369</t>
  </si>
  <si>
    <t>Candidate_2369</t>
  </si>
  <si>
    <t>463 | Administation</t>
  </si>
  <si>
    <t>C3370</t>
  </si>
  <si>
    <t>Candidate_2370</t>
  </si>
  <si>
    <t>447 | Administation</t>
  </si>
  <si>
    <t>C3371</t>
  </si>
  <si>
    <t>Candidate_2371</t>
  </si>
  <si>
    <t>443 | Administation</t>
  </si>
  <si>
    <t>C3372</t>
  </si>
  <si>
    <t>Candidate_2372</t>
  </si>
  <si>
    <t>402 | Administation</t>
  </si>
  <si>
    <t>C3373</t>
  </si>
  <si>
    <t>Candidate_2373</t>
  </si>
  <si>
    <t>332 | Administation</t>
  </si>
  <si>
    <t>C3374</t>
  </si>
  <si>
    <t>Candidate_2374</t>
  </si>
  <si>
    <t>331 | Administation</t>
  </si>
  <si>
    <t>C3375</t>
  </si>
  <si>
    <t>Candidate_2375</t>
  </si>
  <si>
    <t>308 | Administation</t>
  </si>
  <si>
    <t>Administation-Supervisor</t>
  </si>
  <si>
    <t>C3376</t>
  </si>
  <si>
    <t>Candidate_2376</t>
  </si>
  <si>
    <t>307 | Administation</t>
  </si>
  <si>
    <t>C3377</t>
  </si>
  <si>
    <t>Candidate_2377</t>
  </si>
  <si>
    <t>302 | Administation</t>
  </si>
  <si>
    <t>C3378</t>
  </si>
  <si>
    <t>Candidate_2378</t>
  </si>
  <si>
    <t>301 | Administation</t>
  </si>
  <si>
    <t>C3379</t>
  </si>
  <si>
    <t>Candidate_2379</t>
  </si>
  <si>
    <t>217 | Administation</t>
  </si>
  <si>
    <t>C3380</t>
  </si>
  <si>
    <t>Candidate_2380</t>
  </si>
  <si>
    <t>39 | Administation</t>
  </si>
  <si>
    <t>C3381</t>
  </si>
  <si>
    <t>Candidate_2381</t>
  </si>
  <si>
    <t>31 | Administation</t>
  </si>
  <si>
    <t>C3382</t>
  </si>
  <si>
    <t>Candidate_2382</t>
  </si>
  <si>
    <t>521 | Administation</t>
  </si>
  <si>
    <t>Administation - Manager Level</t>
  </si>
  <si>
    <t>C3383</t>
  </si>
  <si>
    <t>Candidate_2383</t>
  </si>
  <si>
    <t>516 | Administation</t>
  </si>
  <si>
    <t>C3384</t>
  </si>
  <si>
    <t>Candidate_2384</t>
  </si>
  <si>
    <t>513 | Administation</t>
  </si>
  <si>
    <t>C3385</t>
  </si>
  <si>
    <t>Candidate_2385</t>
  </si>
  <si>
    <t>465 | Administation</t>
  </si>
  <si>
    <t>C3386</t>
  </si>
  <si>
    <t>Candidate_2386</t>
  </si>
  <si>
    <t>450 | Administation</t>
  </si>
  <si>
    <t>C3387</t>
  </si>
  <si>
    <t>Candidate_2387</t>
  </si>
  <si>
    <t>446 | Administation</t>
  </si>
  <si>
    <t>C3388</t>
  </si>
  <si>
    <t>Candidate_2388</t>
  </si>
  <si>
    <t>445 | Administation</t>
  </si>
  <si>
    <t>C3389</t>
  </si>
  <si>
    <t>Candidate_2389</t>
  </si>
  <si>
    <t>406 | Administation</t>
  </si>
  <si>
    <t>C3390</t>
  </si>
  <si>
    <t>Candidate_2390</t>
  </si>
  <si>
    <t>340 | Administation</t>
  </si>
  <si>
    <t>C3391</t>
  </si>
  <si>
    <t>Candidate_2391</t>
  </si>
  <si>
    <t>334 | Administation</t>
  </si>
  <si>
    <t>C3392</t>
  </si>
  <si>
    <t>Candidate_2392</t>
  </si>
  <si>
    <t>309 | Administation</t>
  </si>
  <si>
    <t>Administation-Manager</t>
  </si>
  <si>
    <t>C3393</t>
  </si>
  <si>
    <t>Candidate_2393</t>
  </si>
  <si>
    <t>303 | Administation</t>
  </si>
  <si>
    <t>C3394</t>
  </si>
  <si>
    <t>Candidate_2394</t>
  </si>
  <si>
    <t>218 | Administation</t>
  </si>
  <si>
    <t>C3395</t>
  </si>
  <si>
    <t>Candidate_2395</t>
  </si>
  <si>
    <t>214 | Administation</t>
  </si>
  <si>
    <t>C3396</t>
  </si>
  <si>
    <t>Candidate_2396</t>
  </si>
  <si>
    <t>213 | Administation</t>
  </si>
  <si>
    <t>C3397</t>
  </si>
  <si>
    <t>Candidate_2397</t>
  </si>
  <si>
    <t>212 | Administation</t>
  </si>
  <si>
    <t>C3398</t>
  </si>
  <si>
    <t>Candidate_2398</t>
  </si>
  <si>
    <t>36 | Administation</t>
  </si>
  <si>
    <t>Administation - Junior</t>
  </si>
  <si>
    <t>Administation-Analyst</t>
  </si>
  <si>
    <t>C3399</t>
  </si>
  <si>
    <t>Candidate_2399</t>
  </si>
  <si>
    <t>Row Labels</t>
  </si>
  <si>
    <t>Grand Total</t>
  </si>
  <si>
    <t>RECRUITMENT PERFORMANCE DASHBOARD</t>
  </si>
  <si>
    <t>Total
Applications</t>
  </si>
  <si>
    <t>Total Hired</t>
  </si>
  <si>
    <t>Avg Time
to Hire (Days)</t>
  </si>
  <si>
    <t>Count of Hire Status</t>
  </si>
  <si>
    <t>Level Band</t>
  </si>
  <si>
    <t>Hires</t>
  </si>
  <si>
    <t>Values</t>
  </si>
  <si>
    <t>Application</t>
  </si>
  <si>
    <t>Count of Rejection Reason</t>
  </si>
  <si>
    <t>Count of Candidate Source</t>
  </si>
  <si>
    <t>Offer Acceptance
Rate</t>
  </si>
  <si>
    <t>(Multiple Items)</t>
  </si>
  <si>
    <t>Not Available</t>
  </si>
  <si>
    <t xml:space="preserve">Didn't get offer   </t>
  </si>
  <si>
    <t>Not Opened</t>
  </si>
  <si>
    <t>Application Declined</t>
  </si>
  <si>
    <t xml:space="preserve">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</si>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</sst>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m/d/yy\ h:mm;@"/>
    <numFmt numFmtId="167" formatCode="yyyy\-mm\-dd"/>
    <numFmt numFmtId="169" formatCode="mm/dd/yy;@"/>
  </numFmts>
  <fonts count="6" x14ac:knownFonts="1">
    <font>
      <sz val="11"/>
      <color theme="1"/>
      <name val="Calibri"/>
      <family val="2"/>
      <scheme val="minor"/>
    </font>
    <font>
      <b/>
      <sz val="11"/>
      <color theme="1"/>
      <name val="Calibri"/>
      <family val="2"/>
      <scheme val="minor"/>
    </font>
    <font>
      <sz val="11"/>
      <color theme="3"/>
      <name val="Calibri"/>
      <family val="2"/>
      <scheme val="minor"/>
    </font>
    <font>
      <b/>
      <sz val="11"/>
      <color rgb="FFFFFFFF"/>
      <name val="Arial"/>
      <family val="2"/>
    </font>
    <font>
      <b/>
      <sz val="22"/>
      <color rgb="FFFFFFFF"/>
      <name val="Arial"/>
      <family val="2"/>
    </font>
    <font>
      <sz val="20"/>
      <color theme="0"/>
      <name val="Calibri"/>
      <family val="2"/>
      <scheme val="minor"/>
    </font>
  </fonts>
  <fills count="8">
    <fill>
      <patternFill patternType="none"/>
    </fill>
    <fill>
      <patternFill patternType="gray125"/>
    </fill>
    <fill>
      <patternFill patternType="solid">
        <fgColor theme="3"/>
        <bgColor indexed="64"/>
      </patternFill>
    </fill>
    <fill>
      <patternFill patternType="solid">
        <fgColor rgb="FF2E86AB"/>
        <bgColor rgb="FF2980B9"/>
      </patternFill>
    </fill>
    <fill>
      <patternFill patternType="solid">
        <fgColor rgb="FF27AE60"/>
        <bgColor rgb="FF2E86AB"/>
      </patternFill>
    </fill>
    <fill>
      <patternFill patternType="solid">
        <fgColor rgb="FFE67E22"/>
        <bgColor rgb="FFFF9900"/>
      </patternFill>
    </fill>
    <fill>
      <patternFill patternType="solid">
        <fgColor theme="0"/>
        <bgColor rgb="FF8064A2"/>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2" borderId="0" xfId="0" applyFont="1" applyFill="1"/>
    <xf numFmtId="0" fontId="0" fillId="2" borderId="0" xfId="0" applyFill="1"/>
    <xf numFmtId="0" fontId="5" fillId="2" borderId="0" xfId="0" applyFont="1" applyFill="1"/>
    <xf numFmtId="166" fontId="1" fillId="0" borderId="1" xfId="0" applyNumberFormat="1" applyFont="1" applyBorder="1" applyAlignment="1">
      <alignment horizontal="center" vertical="top"/>
    </xf>
    <xf numFmtId="166" fontId="0" fillId="0" borderId="0" xfId="0" applyNumberFormat="1"/>
    <xf numFmtId="1" fontId="0" fillId="0" borderId="0" xfId="0" applyNumberFormat="1"/>
    <xf numFmtId="22" fontId="1" fillId="0" borderId="1" xfId="0" applyNumberFormat="1" applyFont="1" applyBorder="1" applyAlignment="1">
      <alignment horizontal="center" vertical="top"/>
    </xf>
    <xf numFmtId="22" fontId="0" fillId="0" borderId="0" xfId="0" applyNumberFormat="1"/>
    <xf numFmtId="14" fontId="1" fillId="0" borderId="1" xfId="0" applyNumberFormat="1" applyFont="1" applyBorder="1" applyAlignment="1">
      <alignment horizontal="center" vertical="top"/>
    </xf>
    <xf numFmtId="14" fontId="0" fillId="0" borderId="0" xfId="0" applyNumberFormat="1"/>
    <xf numFmtId="1"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67" fontId="0" fillId="0" borderId="0" xfId="0" applyNumberFormat="1"/>
    <xf numFmtId="10" fontId="0" fillId="0" borderId="0" xfId="0" applyNumberFormat="1"/>
    <xf numFmtId="0" fontId="3" fillId="4" borderId="0" xfId="0" applyFont="1" applyFill="1" applyAlignment="1">
      <alignment horizontal="center" vertical="center" wrapText="1"/>
    </xf>
    <xf numFmtId="0" fontId="0" fillId="0" borderId="0" xfId="0"/>
    <xf numFmtId="0" fontId="0" fillId="3" borderId="0" xfId="0" applyFill="1"/>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0" fillId="7" borderId="0" xfId="0" applyFill="1"/>
    <xf numFmtId="0" fontId="3" fillId="3" borderId="0" xfId="0" applyFont="1" applyFill="1" applyAlignment="1">
      <alignment horizontal="center" vertical="center" wrapText="1"/>
    </xf>
    <xf numFmtId="0" fontId="0" fillId="4" borderId="0" xfId="0" applyFill="1"/>
    <xf numFmtId="165" fontId="4" fillId="6" borderId="0" xfId="0" applyNumberFormat="1" applyFont="1" applyFill="1" applyAlignment="1">
      <alignment horizontal="center" vertical="center"/>
    </xf>
    <xf numFmtId="1" fontId="4" fillId="4" borderId="0" xfId="0" applyNumberFormat="1" applyFont="1" applyFill="1" applyAlignment="1">
      <alignment horizontal="center" vertical="center"/>
    </xf>
    <xf numFmtId="0" fontId="0" fillId="5" borderId="0" xfId="0" applyFill="1"/>
    <xf numFmtId="1" fontId="4" fillId="3" borderId="0" xfId="0" applyNumberFormat="1" applyFont="1" applyFill="1" applyAlignment="1">
      <alignment horizontal="center" vertical="center"/>
    </xf>
    <xf numFmtId="164" fontId="4" fillId="5" borderId="0" xfId="0" applyNumberFormat="1" applyFont="1" applyFill="1" applyAlignment="1">
      <alignment horizontal="center" vertical="center"/>
    </xf>
    <xf numFmtId="166" fontId="1" fillId="0" borderId="1" xfId="0" applyNumberFormat="1" applyFont="1" applyBorder="1" applyAlignment="1">
      <alignment horizontal="right" vertical="top"/>
    </xf>
    <xf numFmtId="166" fontId="0" fillId="0" borderId="0" xfId="0" applyNumberFormat="1" applyAlignment="1">
      <alignment horizontal="right"/>
    </xf>
    <xf numFmtId="22" fontId="1" fillId="0" borderId="1" xfId="0" applyNumberFormat="1" applyFont="1" applyBorder="1" applyAlignment="1">
      <alignment horizontal="right" vertical="top"/>
    </xf>
    <xf numFmtId="22" fontId="0" fillId="0" borderId="0" xfId="0" applyNumberFormat="1" applyAlignment="1">
      <alignment horizontal="right"/>
    </xf>
    <xf numFmtId="0" fontId="1" fillId="0" borderId="1" xfId="0" applyFont="1" applyBorder="1" applyAlignment="1">
      <alignment horizontal="right" vertical="top"/>
    </xf>
    <xf numFmtId="0" fontId="0" fillId="0" borderId="0" xfId="0" applyAlignment="1">
      <alignment horizontal="right"/>
    </xf>
    <xf numFmtId="169" fontId="1" fillId="0" borderId="2" xfId="0" applyNumberFormat="1" applyFont="1" applyBorder="1" applyAlignment="1">
      <alignment horizontal="center" vertical="top"/>
    </xf>
    <xf numFmtId="16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[recruitment_dataset.xlsx]Hire status!PivotTable1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Hire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'Hire 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1DBD-4D23-AD80-F02F1EF4D85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DBD-4D23-AD80-F02F1EF4D85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1DBD-4D23-AD80-F02F1EF4D85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1DBD-4D23-AD80-F02F1EF4D8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'Hire status'!$A$4:$A$8</c:f>
              <c:strCache>
                <c:ptCount val="4"/>
                <c:pt idx="0">
                  <c:v>Accepted</c:v>
                </c:pt>
                <c:pt idx="1">
                  <c:v>decline</c:v>
                </c:pt>
                <c:pt idx="2">
                  <c:v>FAILED</c:v>
                </c:pt>
                <c:pt idx="3">
                  <c:v>Pending</c:v>
                </c:pt>
              </c:strCache>
            </c:strRef>
          </c:cat>
          <c:val>
            <c:numRef>
              <c:f>'Hire status'!$B$4:$B$8</c:f>
              <c:numCache>
                <c:formatCode>0.00%</c:formatCode>
                <c:ptCount val="4"/>
                <c:pt idx="0">
                  <c:v>0.19458544839255498</c:v>
                </c:pt>
                <c:pt idx="1">
                  <c:v>0.19740552735476594</c:v>
                </c:pt>
                <c:pt idx="2">
                  <c:v>0.54822335025380708</c:v>
                </c:pt>
                <c:pt idx="3">
                  <c:v>5.9785673998871969E-2</c:v>
                </c:pt>
              </c:numCache>
            </c:numRef>
          </c:val>
          <c:extLst>
            <c:ext xmlns:c16="http://schemas.microsoft.com/office/drawing/2014/chart" uri="{C3380CC4-5D6E-409C-BE32-E72D297353CC}">
              <c16:uniqueId val="{00000000-D5BF-4122-9B58-4801A007D9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[recruitment_dataset.xlsx]Application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level on level bands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'Application status'!$B$4:$B$5</c:f>
              <c:strCache>
                <c:ptCount val="1"/>
                <c:pt idx="0">
                  <c:v>Application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'Application status'!$A$6:$A$12</c:f>
              <c:strCache>
                <c:ptCount val="6"/>
                <c:pt idx="0">
                  <c:v>Associate</c:v>
                </c:pt>
                <c:pt idx="1">
                  <c:v>Executive</c:v>
                </c:pt>
                <c:pt idx="2">
                  <c:v>Junior</c:v>
                </c:pt>
                <c:pt idx="3">
                  <c:v>Manager Level</c:v>
                </c:pt>
                <c:pt idx="4">
                  <c:v>Senior</c:v>
                </c:pt>
                <c:pt idx="5">
                  <c:v>Senior Management</c:v>
                </c:pt>
              </c:strCache>
            </c:strRef>
          </c:cat>
          <c:val>
            <c:numRef>
              <c:f>'Application status'!$B$6:$B$12</c:f>
              <c:numCache>
                <c:formatCode>General</c:formatCode>
                <c:ptCount val="6"/>
                <c:pt idx="0">
                  <c:v>429</c:v>
                </c:pt>
                <c:pt idx="1">
                  <c:v>205</c:v>
                </c:pt>
                <c:pt idx="2">
                  <c:v>436</c:v>
                </c:pt>
                <c:pt idx="3">
                  <c:v>426</c:v>
                </c:pt>
                <c:pt idx="4">
                  <c:v>458</c:v>
                </c:pt>
                <c:pt idx="5">
                  <c:v>175</c:v>
                </c:pt>
              </c:numCache>
            </c:numRef>
          </c:val>
          <c:extLst>
            <c:ext xmlns:c16="http://schemas.microsoft.com/office/drawing/2014/chart" uri="{C3380CC4-5D6E-409C-BE32-E72D297353CC}">
              <c16:uniqueId val="{00000000-81EC-4C39-B043-95B3E9F0AFF9}"/>
            </c:ext>
          </c:extLst>
        </c:ser>
        <c:ser>
          <c:idx val="1"/>
          <c:order val="1"/>
          <c:tx>
            <c:strRef>
              <c:f>'Application status'!$C$4:$C$5</c:f>
              <c:strCache>
                <c:ptCount val="1"/>
                <c:pt idx="0">
                  <c:v>Hires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'Application status'!$A$6:$A$12</c:f>
              <c:strCache>
                <c:ptCount val="6"/>
                <c:pt idx="0">
                  <c:v>Associate</c:v>
                </c:pt>
                <c:pt idx="1">
                  <c:v>Executive</c:v>
                </c:pt>
                <c:pt idx="2">
                  <c:v>Junior</c:v>
                </c:pt>
                <c:pt idx="3">
                  <c:v>Manager Level</c:v>
                </c:pt>
                <c:pt idx="4">
                  <c:v>Senior</c:v>
                </c:pt>
                <c:pt idx="5">
                  <c:v>Senior Management</c:v>
                </c:pt>
              </c:strCache>
            </c:strRef>
          </c:cat>
          <c:val>
            <c:numRef>
              <c:f>'Application status'!$C$6:$C$12</c:f>
              <c:numCache>
                <c:formatCode>General</c:formatCode>
                <c:ptCount val="6"/>
                <c:pt idx="0">
                  <c:v>79</c:v>
                </c:pt>
                <c:pt idx="1">
                  <c:v>31</c:v>
                </c:pt>
                <c:pt idx="2">
                  <c:v>72</c:v>
                </c:pt>
                <c:pt idx="3">
                  <c:v>71</c:v>
                </c:pt>
                <c:pt idx="4">
                  <c:v>77</c:v>
                </c:pt>
                <c:pt idx="5">
                  <c:v>15</c:v>
                </c:pt>
              </c:numCache>
            </c:numRef>
          </c:val>
          <c:extLst>
            <c:ext xmlns:c16="http://schemas.microsoft.com/office/drawing/2014/chart" uri="{C3380CC4-5D6E-409C-BE32-E72D297353CC}">
              <c16:uniqueId val="{00000001-81EC-4C39-B043-95B3E9F0AFF9}"/>
            </c:ext>
          </c:extLst>
        </c:ser>
        <c:dLbls>
          <c:dLblPos val="outEnd"/>
          <c:showLegendKey val="0"/>
          <c:showVal val="1"/>
          <c:showCatName val="0"/>
          <c:showSerName val="0"/>
          <c:showPercent val="0"/>
          <c:showBubbleSize val="0"/>
        </c:dLbls>
        <c:gapWidth val="219"/>
        <c:axId val="290241456"/>
        <c:axId val="290239056"/>
      </c:barChart>
      <c:catAx>
        <c:axId val="290241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39056"/>
        <c:crosses val="autoZero"/>
        <c:auto val="1"/>
        <c:lblAlgn val="ctr"/>
        <c:lblOffset val="100"/>
        <c:noMultiLvlLbl val="0"/>
      </c:catAx>
      <c:valAx>
        <c:axId val="290239056"/>
        <c:scaling>
          <c:orientation val="minMax"/>
        </c:scaling>
        <c:delete val="1"/>
        <c:axPos val="b"/>
        <c:numFmt formatCode="General" sourceLinked="1"/>
        <c:majorTickMark val="out"/>
        <c:minorTickMark val="none"/>
        <c:tickLblPos val="nextTo"/>
        <c:crossAx val="29024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[recruitment_dataset.xlsx]Recruitment source!PivotTable2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Candidate</a:t>
            </a:r>
            <a:r>
              <a:rPr lang="en-US" b="1" baseline="0"/>
              <a:t> Source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'Recruitment source'!$B$3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'Recruitment source'!$A$4:$A$7</c:f>
              <c:strCache>
                <c:ptCount val="3"/>
                <c:pt idx="0">
                  <c:v>Job board</c:v>
                </c:pt>
                <c:pt idx="1">
                  <c:v>LinkedIn</c:v>
                </c:pt>
                <c:pt idx="2">
                  <c:v>REFERRAL</c:v>
                </c:pt>
              </c:strCache>
            </c:strRef>
          </c:cat>
          <c:val>
            <c:numRef>
              <c:f>'Recruitment source'!$B$4:$B$7</c:f>
              <c:numCache>
                <c:formatCode>General</c:formatCode>
                <c:ptCount val="3"/>
                <c:pt idx="0">
                  <c:v>32</c:v>
                </c:pt>
                <c:pt idx="1">
                  <c:v>27</c:v>
                </c:pt>
                <c:pt idx="2">
                  <c:v>18</c:v>
                </c:pt>
              </c:numCache>
            </c:numRef>
          </c:val>
          <c:extLst>
            <c:ext xmlns:c16="http://schemas.microsoft.com/office/drawing/2014/chart" uri="{C3380CC4-5D6E-409C-BE32-E72D297353CC}">
              <c16:uniqueId val="{00000000-619D-4838-89FC-9378ED36235A}"/>
            </c:ext>
          </c:extLst>
        </c:ser>
        <c:dLbls>
          <c:dLblPos val="outEnd"/>
          <c:showLegendKey val="0"/>
          <c:showVal val="1"/>
          <c:showCatName val="0"/>
          <c:showSerName val="0"/>
          <c:showPercent val="0"/>
          <c:showBubbleSize val="0"/>
        </c:dLbls>
        <c:gapWidth val="182"/>
        <c:axId val="311682720"/>
        <c:axId val="311673600"/>
      </c:barChart>
      <c:catAx>
        <c:axId val="31168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73600"/>
        <c:crosses val="autoZero"/>
        <c:auto val="1"/>
        <c:lblAlgn val="ctr"/>
        <c:lblOffset val="100"/>
        <c:noMultiLvlLbl val="0"/>
      </c:catAx>
      <c:valAx>
        <c:axId val="311673600"/>
        <c:scaling>
          <c:orientation val="minMax"/>
        </c:scaling>
        <c:delete val="1"/>
        <c:axPos val="b"/>
        <c:numFmt formatCode="General" sourceLinked="1"/>
        <c:majorTickMark val="none"/>
        <c:minorTickMark val="none"/>
        <c:tickLblPos val="nextTo"/>
        <c:crossAx val="31168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[recruitment_dataset.xlsx]Rejection Reason!PivotTable10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Reason</a:t>
            </a:r>
            <a:r>
              <a:rPr lang="en-US" b="1" baseline="0"/>
              <a:t> for application Rejection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'Rejection Reason'!$B$3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'Rejection Reason'!$A$4:$A$9</c:f>
              <c:strCache>
                <c:ptCount val="5"/>
                <c:pt idx="0">
                  <c:v>Other</c:v>
                </c:pt>
                <c:pt idx="1">
                  <c:v>Salary expectation too high</c:v>
                </c:pt>
                <c:pt idx="2">
                  <c:v>Not a culture fit</c:v>
                </c:pt>
                <c:pt idx="3">
                  <c:v>Position filled by another</c:v>
                </c:pt>
                <c:pt idx="4">
                  <c:v>Didn't pass technical test</c:v>
                </c:pt>
              </c:strCache>
            </c:strRef>
          </c:cat>
          <c:val>
            <c:numRef>
              <c:f>'Rejection Reason'!$B$4:$B$9</c:f>
              <c:numCache>
                <c:formatCode>General</c:formatCode>
                <c:ptCount val="5"/>
                <c:pt idx="0">
                  <c:v>216</c:v>
                </c:pt>
                <c:pt idx="1">
                  <c:v>198</c:v>
                </c:pt>
                <c:pt idx="2">
                  <c:v>196</c:v>
                </c:pt>
                <c:pt idx="3">
                  <c:v>189</c:v>
                </c:pt>
                <c:pt idx="4">
                  <c:v>173</c:v>
                </c:pt>
              </c:numCache>
            </c:numRef>
          </c:val>
          <c:extLst>
            <c:ext xmlns:c16="http://schemas.microsoft.com/office/drawing/2014/chart" uri="{C3380CC4-5D6E-409C-BE32-E72D297353CC}">
              <c16:uniqueId val="{00000000-69E7-4E22-BCFF-9261EBAE9BCA}"/>
            </c:ext>
          </c:extLst>
        </c:ser>
        <c:dLbls>
          <c:dLblPos val="outEnd"/>
          <c:showLegendKey val="0"/>
          <c:showVal val="1"/>
          <c:showCatName val="0"/>
          <c:showSerName val="0"/>
          <c:showPercent val="0"/>
          <c:showBubbleSize val="0"/>
        </c:dLbls>
        <c:gapWidth val="182"/>
        <c:axId val="311683680"/>
        <c:axId val="311684640"/>
      </c:barChart>
      <c:catAx>
        <c:axId val="31168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84640"/>
        <c:crosses val="autoZero"/>
        <c:auto val="1"/>
        <c:lblAlgn val="ctr"/>
        <c:lblOffset val="100"/>
        <c:noMultiLvlLbl val="0"/>
      </c:catAx>
      <c:valAx>
        <c:axId val="311684640"/>
        <c:scaling>
          <c:orientation val="minMax"/>
        </c:scaling>
        <c:delete val="1"/>
        <c:axPos val="b"/>
        <c:numFmt formatCode="General" sourceLinked="1"/>
        <c:majorTickMark val="none"/>
        <c:minorTickMark val="none"/>
        <c:tickLblPos val="nextTo"/>
        <c:crossAx val="3116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[recruitment_dataset.xlsx]Hire status!PivotTable1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Hire</a:t>
            </a:r>
            <a:r>
              <a:rPr lang="en-US"/>
              <a:t> </a:t>
            </a:r>
            <a:r>
              <a:rPr lang="en-US">
                <a:solidFill>
                  <a:sysClr val="windowText" lastClr="000000"/>
                </a:solidFill>
              </a:rPr>
              <a:t>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'Hire 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A04-4DF5-B5CB-5E883CA0225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A04-4DF5-B5CB-5E883CA0225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A04-4DF5-B5CB-5E883CA0225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A04-4DF5-B5CB-5E883CA022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'Hire status'!$A$4:$A$8</c:f>
              <c:strCache>
                <c:ptCount val="4"/>
                <c:pt idx="0">
                  <c:v>Accepted</c:v>
                </c:pt>
                <c:pt idx="1">
                  <c:v>decline</c:v>
                </c:pt>
                <c:pt idx="2">
                  <c:v>FAILED</c:v>
                </c:pt>
                <c:pt idx="3">
                  <c:v>Pending</c:v>
                </c:pt>
              </c:strCache>
            </c:strRef>
          </c:cat>
          <c:val>
            <c:numRef>
              <c:f>'Hire status'!$B$4:$B$8</c:f>
              <c:numCache>
                <c:formatCode>0.00%</c:formatCode>
                <c:ptCount val="4"/>
                <c:pt idx="0">
                  <c:v>0.19458544839255498</c:v>
                </c:pt>
                <c:pt idx="1">
                  <c:v>0.19740552735476594</c:v>
                </c:pt>
                <c:pt idx="2">
                  <c:v>0.54822335025380708</c:v>
                </c:pt>
                <c:pt idx="3">
                  <c:v>5.9785673998871969E-2</c:v>
                </c:pt>
              </c:numCache>
            </c:numRef>
          </c:val>
          <c:extLst>
            <c:ext xmlns:c16="http://schemas.microsoft.com/office/drawing/2014/chart" uri="{C3380CC4-5D6E-409C-BE32-E72D297353CC}">
              <c16:uniqueId val="{00000008-BA04-4DF5-B5CB-5E883CA022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[recruitment_dataset.xlsx]Rejection Reason!PivotTable10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Reason</a:t>
            </a:r>
            <a:r>
              <a:rPr lang="en-US" b="1" baseline="0">
                <a:solidFill>
                  <a:sysClr val="windowText" lastClr="000000"/>
                </a:solidFill>
              </a:rPr>
              <a:t> for application Rejection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'Rejection Reason'!$B$3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'Rejection Reason'!$A$4:$A$9</c:f>
              <c:strCache>
                <c:ptCount val="5"/>
                <c:pt idx="0">
                  <c:v>Other</c:v>
                </c:pt>
                <c:pt idx="1">
                  <c:v>Salary expectation too high</c:v>
                </c:pt>
                <c:pt idx="2">
                  <c:v>Not a culture fit</c:v>
                </c:pt>
                <c:pt idx="3">
                  <c:v>Position filled by another</c:v>
                </c:pt>
                <c:pt idx="4">
                  <c:v>Didn't pass technical test</c:v>
                </c:pt>
              </c:strCache>
            </c:strRef>
          </c:cat>
          <c:val>
            <c:numRef>
              <c:f>'Rejection Reason'!$B$4:$B$9</c:f>
              <c:numCache>
                <c:formatCode>General</c:formatCode>
                <c:ptCount val="5"/>
                <c:pt idx="0">
                  <c:v>216</c:v>
                </c:pt>
                <c:pt idx="1">
                  <c:v>198</c:v>
                </c:pt>
                <c:pt idx="2">
                  <c:v>196</c:v>
                </c:pt>
                <c:pt idx="3">
                  <c:v>189</c:v>
                </c:pt>
                <c:pt idx="4">
                  <c:v>173</c:v>
                </c:pt>
              </c:numCache>
            </c:numRef>
          </c:val>
          <c:extLst>
            <c:ext xmlns:c16="http://schemas.microsoft.com/office/drawing/2014/chart" uri="{C3380CC4-5D6E-409C-BE32-E72D297353CC}">
              <c16:uniqueId val="{00000000-A55B-4FA6-B67B-A903B75E272C}"/>
            </c:ext>
          </c:extLst>
        </c:ser>
        <c:dLbls>
          <c:dLblPos val="outEnd"/>
          <c:showLegendKey val="0"/>
          <c:showVal val="1"/>
          <c:showCatName val="0"/>
          <c:showSerName val="0"/>
          <c:showPercent val="0"/>
          <c:showBubbleSize val="0"/>
        </c:dLbls>
        <c:gapWidth val="182"/>
        <c:axId val="311683680"/>
        <c:axId val="311684640"/>
      </c:barChart>
      <c:catAx>
        <c:axId val="31168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84640"/>
        <c:crosses val="autoZero"/>
        <c:auto val="1"/>
        <c:lblAlgn val="ctr"/>
        <c:lblOffset val="100"/>
        <c:noMultiLvlLbl val="0"/>
      </c:catAx>
      <c:valAx>
        <c:axId val="311684640"/>
        <c:scaling>
          <c:orientation val="minMax"/>
        </c:scaling>
        <c:delete val="1"/>
        <c:axPos val="b"/>
        <c:numFmt formatCode="General" sourceLinked="1"/>
        <c:majorTickMark val="none"/>
        <c:minorTickMark val="none"/>
        <c:tickLblPos val="nextTo"/>
        <c:crossAx val="3116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[recruitment_dataset.xlsx]Recruitment source!PivotTable2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Candidate</a:t>
            </a:r>
            <a:r>
              <a:rPr lang="en-US" b="1" baseline="0">
                <a:solidFill>
                  <a:sysClr val="windowText" lastClr="000000"/>
                </a:solidFill>
              </a:rPr>
              <a:t> Source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8144249530145"/>
          <c:y val="0.23090241992002308"/>
          <c:w val="0.86332917638240458"/>
          <c:h val="0.71375"/>
        </c:manualLayout>
      </c:layout>
      <c:barChart>
        <c:barDir val="bar"/>
        <c:grouping val="clustered"/>
        <c:varyColors val="0"/>
        <c:ser>
          <c:idx val="0"/>
          <c:order val="0"/>
          <c:tx>
            <c:strRef>
              <c:f>'Recruitment source'!$B$3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'Recruitment source'!$A$4:$A$7</c:f>
              <c:strCache>
                <c:ptCount val="3"/>
                <c:pt idx="0">
                  <c:v>Job board</c:v>
                </c:pt>
                <c:pt idx="1">
                  <c:v>LinkedIn</c:v>
                </c:pt>
                <c:pt idx="2">
                  <c:v>REFERRAL</c:v>
                </c:pt>
              </c:strCache>
            </c:strRef>
          </c:cat>
          <c:val>
            <c:numRef>
              <c:f>'Recruitment source'!$B$4:$B$7</c:f>
              <c:numCache>
                <c:formatCode>General</c:formatCode>
                <c:ptCount val="3"/>
                <c:pt idx="0">
                  <c:v>32</c:v>
                </c:pt>
                <c:pt idx="1">
                  <c:v>27</c:v>
                </c:pt>
                <c:pt idx="2">
                  <c:v>18</c:v>
                </c:pt>
              </c:numCache>
            </c:numRef>
          </c:val>
          <c:extLst>
            <c:ext xmlns:c16="http://schemas.microsoft.com/office/drawing/2014/chart" uri="{C3380CC4-5D6E-409C-BE32-E72D297353CC}">
              <c16:uniqueId val="{00000000-9D36-4E0B-944C-E749E1CD2C77}"/>
            </c:ext>
          </c:extLst>
        </c:ser>
        <c:dLbls>
          <c:dLblPos val="outEnd"/>
          <c:showLegendKey val="0"/>
          <c:showVal val="1"/>
          <c:showCatName val="0"/>
          <c:showSerName val="0"/>
          <c:showPercent val="0"/>
          <c:showBubbleSize val="0"/>
        </c:dLbls>
        <c:gapWidth val="182"/>
        <c:axId val="311682720"/>
        <c:axId val="311673600"/>
      </c:barChart>
      <c:catAx>
        <c:axId val="31168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73600"/>
        <c:crosses val="autoZero"/>
        <c:auto val="1"/>
        <c:lblAlgn val="ctr"/>
        <c:lblOffset val="100"/>
        <c:noMultiLvlLbl val="0"/>
      </c:catAx>
      <c:valAx>
        <c:axId val="311673600"/>
        <c:scaling>
          <c:orientation val="minMax"/>
        </c:scaling>
        <c:delete val="1"/>
        <c:axPos val="b"/>
        <c:numFmt formatCode="General" sourceLinked="1"/>
        <c:majorTickMark val="none"/>
        <c:minorTickMark val="none"/>
        <c:tickLblPos val="nextTo"/>
        <c:crossAx val="31168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[recruitment_dataset.xlsx]Application status!PivotTable2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Hiring</a:t>
            </a:r>
            <a:r>
              <a:rPr lang="en-US" b="1" baseline="0"/>
              <a:t> level on </a:t>
            </a:r>
            <a:r>
              <a:rPr lang="en-US" b="1" baseline="0">
                <a:solidFill>
                  <a:sysClr val="windowText" lastClr="000000"/>
                </a:solidFill>
              </a:rPr>
              <a:t>level</a:t>
            </a:r>
            <a:r>
              <a:rPr lang="en-US" b="1" baseline="0"/>
              <a:t> bands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'Application status'!$B$4:$B$5</c:f>
              <c:strCache>
                <c:ptCount val="1"/>
                <c:pt idx="0">
                  <c:v>Application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'Application status'!$A$6:$A$12</c:f>
              <c:strCache>
                <c:ptCount val="6"/>
                <c:pt idx="0">
                  <c:v>Associate</c:v>
                </c:pt>
                <c:pt idx="1">
                  <c:v>Executive</c:v>
                </c:pt>
                <c:pt idx="2">
                  <c:v>Junior</c:v>
                </c:pt>
                <c:pt idx="3">
                  <c:v>Manager Level</c:v>
                </c:pt>
                <c:pt idx="4">
                  <c:v>Senior</c:v>
                </c:pt>
                <c:pt idx="5">
                  <c:v>Senior Management</c:v>
                </c:pt>
              </c:strCache>
            </c:strRef>
          </c:cat>
          <c:val>
            <c:numRef>
              <c:f>'Application status'!$B$6:$B$12</c:f>
              <c:numCache>
                <c:formatCode>General</c:formatCode>
                <c:ptCount val="6"/>
                <c:pt idx="0">
                  <c:v>429</c:v>
                </c:pt>
                <c:pt idx="1">
                  <c:v>205</c:v>
                </c:pt>
                <c:pt idx="2">
                  <c:v>436</c:v>
                </c:pt>
                <c:pt idx="3">
                  <c:v>426</c:v>
                </c:pt>
                <c:pt idx="4">
                  <c:v>458</c:v>
                </c:pt>
                <c:pt idx="5">
                  <c:v>175</c:v>
                </c:pt>
              </c:numCache>
            </c:numRef>
          </c:val>
          <c:extLst>
            <c:ext xmlns:c16="http://schemas.microsoft.com/office/drawing/2014/chart" uri="{C3380CC4-5D6E-409C-BE32-E72D297353CC}">
              <c16:uniqueId val="{00000000-34AC-46D5-974D-B8DE98CBB2D2}"/>
            </c:ext>
          </c:extLst>
        </c:ser>
        <c:ser>
          <c:idx val="1"/>
          <c:order val="1"/>
          <c:tx>
            <c:strRef>
              <c:f>'Application status'!$C$4:$C$5</c:f>
              <c:strCache>
                <c:ptCount val="1"/>
                <c:pt idx="0">
                  <c:v>Hires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'Application status'!$A$6:$A$12</c:f>
              <c:strCache>
                <c:ptCount val="6"/>
                <c:pt idx="0">
                  <c:v>Associate</c:v>
                </c:pt>
                <c:pt idx="1">
                  <c:v>Executive</c:v>
                </c:pt>
                <c:pt idx="2">
                  <c:v>Junior</c:v>
                </c:pt>
                <c:pt idx="3">
                  <c:v>Manager Level</c:v>
                </c:pt>
                <c:pt idx="4">
                  <c:v>Senior</c:v>
                </c:pt>
                <c:pt idx="5">
                  <c:v>Senior Management</c:v>
                </c:pt>
              </c:strCache>
            </c:strRef>
          </c:cat>
          <c:val>
            <c:numRef>
              <c:f>'Application status'!$C$6:$C$12</c:f>
              <c:numCache>
                <c:formatCode>General</c:formatCode>
                <c:ptCount val="6"/>
                <c:pt idx="0">
                  <c:v>79</c:v>
                </c:pt>
                <c:pt idx="1">
                  <c:v>31</c:v>
                </c:pt>
                <c:pt idx="2">
                  <c:v>72</c:v>
                </c:pt>
                <c:pt idx="3">
                  <c:v>71</c:v>
                </c:pt>
                <c:pt idx="4">
                  <c:v>77</c:v>
                </c:pt>
                <c:pt idx="5">
                  <c:v>15</c:v>
                </c:pt>
              </c:numCache>
            </c:numRef>
          </c:val>
          <c:extLst>
            <c:ext xmlns:c16="http://schemas.microsoft.com/office/drawing/2014/chart" uri="{C3380CC4-5D6E-409C-BE32-E72D297353CC}">
              <c16:uniqueId val="{00000001-34AC-46D5-974D-B8DE98CBB2D2}"/>
            </c:ext>
          </c:extLst>
        </c:ser>
        <c:dLbls>
          <c:dLblPos val="outEnd"/>
          <c:showLegendKey val="0"/>
          <c:showVal val="1"/>
          <c:showCatName val="0"/>
          <c:showSerName val="0"/>
          <c:showPercent val="0"/>
          <c:showBubbleSize val="0"/>
        </c:dLbls>
        <c:gapWidth val="219"/>
        <c:axId val="290241456"/>
        <c:axId val="290239056"/>
      </c:barChart>
      <c:catAx>
        <c:axId val="290241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39056"/>
        <c:crosses val="autoZero"/>
        <c:auto val="1"/>
        <c:lblAlgn val="ctr"/>
        <c:lblOffset val="100"/>
        <c:noMultiLvlLbl val="0"/>
      </c:catAx>
      <c:valAx>
        <c:axId val="290239056"/>
        <c:scaling>
          <c:orientation val="minMax"/>
        </c:scaling>
        <c:delete val="1"/>
        <c:axPos val="b"/>
        <c:numFmt formatCode="General" sourceLinked="1"/>
        <c:majorTickMark val="out"/>
        <c:minorTickMark val="none"/>
        <c:tickLblPos val="nextTo"/>
        <c:crossAx val="29024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552449</xdr:colOff>
      <xdr:row>5</xdr:row>
      <xdr:rowOff>6350</xdr:rowOff>
    </xdr:from>
    <xdr:to>
      <xdr:col>6</xdr:col>
      <xdr:colOff>752474</xdr:colOff>
      <xdr:row>19</xdr:row>
      <xdr:rowOff>171450</xdr:rowOff>
    </xdr:to>
    <xdr:graphicFrame macro="">
      <xdr:nvGraphicFramePr>
        <xdr:cNvPr id="2" name="Chart 1">
          <a:extLst>
            <a:ext uri="{FF2B5EF4-FFF2-40B4-BE49-F238E27FC236}">
              <a16:creationId xmlns:a16="http://schemas.microsoft.com/office/drawing/2014/main" id="{39160893-DD48-4756-B102-4AB94BC80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508000</xdr:colOff>
      <xdr:row>5</xdr:row>
      <xdr:rowOff>6350</xdr:rowOff>
    </xdr:from>
    <xdr:to>
      <xdr:col>9</xdr:col>
      <xdr:colOff>298450</xdr:colOff>
      <xdr:row>19</xdr:row>
      <xdr:rowOff>171450</xdr:rowOff>
    </xdr:to>
    <xdr:graphicFrame macro="">
      <xdr:nvGraphicFramePr>
        <xdr:cNvPr id="2" name="Chart 1">
          <a:extLst>
            <a:ext uri="{FF2B5EF4-FFF2-40B4-BE49-F238E27FC236}">
              <a16:creationId xmlns:a16="http://schemas.microsoft.com/office/drawing/2014/main" id="{660F1C92-119E-BDD0-7EA9-0445199A3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409574</xdr:colOff>
      <xdr:row>4</xdr:row>
      <xdr:rowOff>133350</xdr:rowOff>
    </xdr:from>
    <xdr:to>
      <xdr:col>12</xdr:col>
      <xdr:colOff>12700</xdr:colOff>
      <xdr:row>16</xdr:row>
      <xdr:rowOff>57150</xdr:rowOff>
    </xdr:to>
    <xdr:graphicFrame macro="">
      <xdr:nvGraphicFramePr>
        <xdr:cNvPr id="3" name="Chart 2">
          <a:extLst>
            <a:ext uri="{FF2B5EF4-FFF2-40B4-BE49-F238E27FC236}">
              <a16:creationId xmlns:a16="http://schemas.microsoft.com/office/drawing/2014/main" id="{C3F72766-AC58-98DA-54A9-D893BF6E6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819150</xdr:colOff>
      <xdr:row>9</xdr:row>
      <xdr:rowOff>133350</xdr:rowOff>
    </xdr:from>
    <xdr:to>
      <xdr:col>11</xdr:col>
      <xdr:colOff>336550</xdr:colOff>
      <xdr:row>24</xdr:row>
      <xdr:rowOff>101600</xdr:rowOff>
    </xdr:to>
    <xdr:graphicFrame macro="">
      <xdr:nvGraphicFramePr>
        <xdr:cNvPr id="2" name="Chart 1">
          <a:extLst>
            <a:ext uri="{FF2B5EF4-FFF2-40B4-BE49-F238E27FC236}">
              <a16:creationId xmlns:a16="http://schemas.microsoft.com/office/drawing/2014/main" id="{526F83A7-CF26-06F0-F78B-D1683A82A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133350</xdr:rowOff>
    </xdr:from>
    <xdr:to>
      <xdr:col>5</xdr:col>
      <xdr:colOff>0</xdr:colOff>
      <xdr:row>23</xdr:row>
      <xdr:rowOff>107950</xdr:rowOff>
    </xdr:to>
    <xdr:graphicFrame macro="">
      <xdr:nvGraphicFramePr>
        <xdr:cNvPr id="2" name="Chart 1">
          <a:extLst>
            <a:ext uri="{FF2B5EF4-FFF2-40B4-BE49-F238E27FC236}">
              <a16:creationId xmlns:a16="http://schemas.microsoft.com/office/drawing/2014/main" id="{A2A4BE35-1F2F-4202-9FCC-89122437F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165100</xdr:rowOff>
    </xdr:from>
    <xdr:to>
      <xdr:col>5</xdr:col>
      <xdr:colOff>44450</xdr:colOff>
      <xdr:row>37</xdr:row>
      <xdr:rowOff>95250</xdr:rowOff>
    </xdr:to>
    <xdr:graphicFrame macro="">
      <xdr:nvGraphicFramePr>
        <xdr:cNvPr id="3" name="Chart 2">
          <a:extLst>
            <a:ext uri="{FF2B5EF4-FFF2-40B4-BE49-F238E27FC236}">
              <a16:creationId xmlns:a16="http://schemas.microsoft.com/office/drawing/2014/main" id="{A805F165-4CA4-4AAF-BD10-8DF5BB89E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82550</xdr:colOff>
      <xdr:row>7</xdr:row>
      <xdr:rowOff>127000</xdr:rowOff>
    </xdr:from>
    <xdr:to>
      <xdr:col>9</xdr:col>
      <xdr:colOff>603250</xdr:colOff>
      <xdr:row>23</xdr:row>
      <xdr:rowOff>133350</xdr:rowOff>
    </xdr:to>
    <xdr:graphicFrame macro="">
      <xdr:nvGraphicFramePr>
        <xdr:cNvPr id="4" name="Chart 3">
          <a:extLst>
            <a:ext uri="{FF2B5EF4-FFF2-40B4-BE49-F238E27FC236}">
              <a16:creationId xmlns:a16="http://schemas.microsoft.com/office/drawing/2014/main" id="{F80770EC-8031-4B7D-8D57-891A99E4F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114300</xdr:colOff>
      <xdr:row>24</xdr:row>
      <xdr:rowOff>158750</xdr:rowOff>
    </xdr:from>
    <xdr:to>
      <xdr:col>10</xdr:col>
      <xdr:colOff>95250</xdr:colOff>
      <xdr:row>37</xdr:row>
      <xdr:rowOff>76200</xdr:rowOff>
    </xdr:to>
    <xdr:graphicFrame macro="">
      <xdr:nvGraphicFramePr>
        <xdr:cNvPr id="5" name="Chart 4">
          <a:extLst>
            <a:ext uri="{FF2B5EF4-FFF2-40B4-BE49-F238E27FC236}">
              <a16:creationId xmlns:a16="http://schemas.microsoft.com/office/drawing/2014/main" id="{911ACE1C-939A-41CE-98F1-E030D8D7C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304800</xdr:colOff>
      <xdr:row>6</xdr:row>
      <xdr:rowOff>1</xdr:rowOff>
    </xdr:from>
    <xdr:to>
      <xdr:col>12</xdr:col>
      <xdr:colOff>361950</xdr:colOff>
      <xdr:row>15</xdr:row>
      <xdr:rowOff>139701</xdr:rowOff>
    </xdr:to>
    <mc:AlternateContent xmlns:mc="http://schemas.openxmlformats.org/markup-compatibility/2006" xmlns:a14="http://schemas.microsoft.com/office/drawing/2010/main">
      <mc:Choice Requires="a14">
        <xdr:graphicFrame macro="">
          <xdr:nvGraphicFramePr>
            <xdr:cNvPr id="6" name="Department ">
              <a:extLst>
                <a:ext uri="{FF2B5EF4-FFF2-40B4-BE49-F238E27FC236}">
                  <a16:creationId xmlns:a16="http://schemas.microsoft.com/office/drawing/2014/main" id="{0A673194-7D8F-FB20-DC6D-4488DF3F9C28}"/>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9607550" y="1638301"/>
              <a:ext cx="1809750" cy="179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20</xdr:row>
      <xdr:rowOff>158750</xdr:rowOff>
    </xdr:from>
    <xdr:to>
      <xdr:col>12</xdr:col>
      <xdr:colOff>419100</xdr:colOff>
      <xdr:row>34</xdr:row>
      <xdr:rowOff>104775</xdr:rowOff>
    </xdr:to>
    <mc:AlternateContent xmlns:mc="http://schemas.openxmlformats.org/markup-compatibility/2006" xmlns:a14="http://schemas.microsoft.com/office/drawing/2010/main">
      <mc:Choice Requires="a14">
        <xdr:graphicFrame macro="">
          <xdr:nvGraphicFramePr>
            <xdr:cNvPr id="7" name="Level/Band">
              <a:extLst>
                <a:ext uri="{FF2B5EF4-FFF2-40B4-BE49-F238E27FC236}">
                  <a16:creationId xmlns:a16="http://schemas.microsoft.com/office/drawing/2014/main" id="{988CD61B-4AA9-7FDA-068B-FD8CAF611828}"/>
                </a:ext>
              </a:extLst>
            </xdr:cNvPr>
            <xdr:cNvGraphicFramePr/>
          </xdr:nvGraphicFramePr>
          <xdr:xfrm>
            <a:off x="0" y="0"/>
            <a:ext cx="0" cy="0"/>
          </xdr:xfrm>
          <a:graphic>
            <a:graphicData uri="http://schemas.microsoft.com/office/drawing/2010/slicer">
              <sle:slicer xmlns:sle="http://schemas.microsoft.com/office/drawing/2010/slicer" name="Level/Band"/>
            </a:graphicData>
          </a:graphic>
        </xdr:graphicFrame>
      </mc:Choice>
      <mc:Fallback xmlns="">
        <xdr:sp macro="" textlink="">
          <xdr:nvSpPr>
            <xdr:cNvPr id="0" name=""/>
            <xdr:cNvSpPr>
              <a:spLocks noTextEdit="1"/>
            </xdr:cNvSpPr>
          </xdr:nvSpPr>
          <xdr:spPr>
            <a:xfrm>
              <a:off x="9645650" y="4375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292100</xdr:colOff>
      <xdr:row>16</xdr:row>
      <xdr:rowOff>6351</xdr:rowOff>
    </xdr:from>
    <xdr:to>
      <xdr:col>12</xdr:col>
      <xdr:colOff>368300</xdr:colOff>
      <xdr:row>20</xdr:row>
      <xdr:rowOff>95250</xdr:rowOff>
    </xdr:to>
    <mc:AlternateContent xmlns:mc="http://schemas.openxmlformats.org/markup-compatibility/2006" xmlns:a14="http://schemas.microsoft.com/office/drawing/2010/main">
      <mc:Choice Requires="a14">
        <xdr:graphicFrame macro="">
          <xdr:nvGraphicFramePr>
            <xdr:cNvPr id="8" name="Hired">
              <a:extLst>
                <a:ext uri="{FF2B5EF4-FFF2-40B4-BE49-F238E27FC236}">
                  <a16:creationId xmlns:a16="http://schemas.microsoft.com/office/drawing/2014/main" id="{39EF762B-EE2B-373A-BF50-B1E3ED1151F1}"/>
                </a:ext>
              </a:extLst>
            </xdr:cNvPr>
            <xdr:cNvGraphicFramePr/>
          </xdr:nvGraphicFramePr>
          <xdr:xfrm>
            <a:off x="0" y="0"/>
            <a:ext cx="0" cy="0"/>
          </xdr:xfrm>
          <a:graphic>
            <a:graphicData uri="http://schemas.microsoft.com/office/drawing/2010/slicer">
              <sle:slicer xmlns:sle="http://schemas.microsoft.com/office/drawing/2010/slicer" name="Hired"/>
            </a:graphicData>
          </a:graphic>
        </xdr:graphicFrame>
      </mc:Choice>
      <mc:Fallback xmlns="">
        <xdr:sp macro="" textlink="">
          <xdr:nvSpPr>
            <xdr:cNvPr id="0" name=""/>
            <xdr:cNvSpPr>
              <a:spLocks noTextEdit="1"/>
            </xdr:cNvSpPr>
          </xdr:nvSpPr>
          <xdr:spPr>
            <a:xfrm>
              <a:off x="9594850" y="3486151"/>
              <a:ext cx="1828800" cy="82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ores Victor" refreshedDate="46155.461674999999" createdVersion="8" refreshedVersion="8" minRefreshableVersion="3" recordCount="2400" xr:uid="{00000000-000A-0000-FFFF-FFFF0B000000}">
  <cacheSource type="worksheet">
    <worksheetSource ref="A1:AQ2401" sheet="Recruitment Data"/>
  </cacheSource>
  <cacheFields count="51">
    <cacheField name="Open position" numFmtId="0">
      <sharedItems containsSemiMixedTypes="0" containsString="0" containsNumber="1" containsInteger="1" minValue="1" maxValue="3000"/>
    </cacheField>
    <cacheField name="Position ID" numFmtId="0">
      <sharedItems/>
    </cacheField>
    <cacheField name="Department " numFmtId="0">
      <sharedItems count="33">
        <s v="Risk Management"/>
        <s v=" Risk Management"/>
        <s v="Risk Management "/>
        <s v=" Program Office"/>
        <s v="Program Office"/>
        <s v="Program Office "/>
        <s v=" Operations"/>
        <s v="Operations"/>
        <s v="Operations "/>
        <s v="M and E"/>
        <s v=" M and E"/>
        <s v="M and E "/>
        <s v=" IT"/>
        <s v="IT"/>
        <s v="IT "/>
        <s v="HR "/>
        <s v="HR"/>
        <s v=" HR"/>
        <s v="Fundraising "/>
        <s v=" Fundraising"/>
        <s v="Fundraising"/>
        <s v=" Finance"/>
        <s v="Finance"/>
        <s v="Finance "/>
        <s v=" Communication and Advocacy"/>
        <s v="Communication and Advocacy "/>
        <s v="Communication and Advocacy"/>
        <s v="Capacity Building"/>
        <s v=" Capacity Building"/>
        <s v="Capacity Building "/>
        <s v="Administation "/>
        <s v="Administation"/>
        <s v=" Administation"/>
      </sharedItems>
    </cacheField>
    <cacheField name="Department Clean" numFmtId="0">
      <sharedItems count="11">
        <s v="Risk Management"/>
        <s v="Program Office"/>
        <s v="Operations"/>
        <s v="M and E"/>
        <s v="IT"/>
        <s v="HR"/>
        <s v="Fundraising"/>
        <s v="Finance"/>
        <s v="Communication and Advocacy"/>
        <s v="Capacity Building"/>
        <s v="Administation"/>
      </sharedItems>
    </cacheField>
    <cacheField name="Role" numFmtId="0">
      <sharedItems count="49">
        <s v="Risk Management - Junior"/>
        <s v="Risk Management - Associate"/>
        <s v="Risk Management - Executive"/>
        <s v="Program Office - Senior Management"/>
        <s v="Program Office - Senior"/>
        <s v="Program Office - Manager Level"/>
        <s v="Program Office - Junior"/>
        <s v="Program Office - Executive"/>
        <s v="Program Office - Associate"/>
        <s v="Operations - Junior"/>
        <s v="Operations - Executive"/>
        <s v="Operations - Associate"/>
        <s v="M and E - Senior Management"/>
        <s v="M and E - Senior"/>
        <s v="M and E - Manager Level"/>
        <s v="M and E - Junior"/>
        <s v="M and E - Executive"/>
        <s v="M and E - Associate"/>
        <s v="IT - Senior Management"/>
        <s v="IT - Senior"/>
        <s v="IT - Manager Level"/>
        <s v="HR - Manager Level"/>
        <s v="HR - Junior"/>
        <s v="HR - Associate"/>
        <s v="Fundraising - Senior Management"/>
        <s v="Fundraising - Senior"/>
        <s v="Fundraising - Manager Level"/>
        <s v="Fundraising - Junior"/>
        <s v="Fundraising - Associate"/>
        <s v="Finance - Senior Management"/>
        <s v="Finance - Senior"/>
        <s v="Finance - Manager Level"/>
        <s v="Finance - Junior"/>
        <s v="Finance - Executive"/>
        <s v="Finance - Associate"/>
        <s v="Communication and Advocacy - Senior Management"/>
        <s v="Communication and Advocacy - Senior"/>
        <s v="Communication and Advocacy - Manager Level"/>
        <s v="Communication and Advocacy - Junior"/>
        <s v="Capacity Building - Senior Management"/>
        <s v="Capacity Building - Senior"/>
        <s v="Capacity Building - Manager Level"/>
        <s v="Capacity Building - Junior"/>
        <s v="Capacity Building - Executive"/>
        <s v="Capacity Building - Associate"/>
        <s v="Administation - Senior Management"/>
        <s v="Administation - Senior"/>
        <s v="Administation - Manager Level"/>
        <s v="Administation - Junior"/>
      </sharedItems>
    </cacheField>
    <cacheField name="Designation" numFmtId="0">
      <sharedItems count="26">
        <s v="Analyst"/>
        <s v="Supervisor"/>
        <s v="Director"/>
        <s v="Head of Department"/>
        <s v="Senior Manager"/>
        <s v="Senior Supervisory Manager"/>
        <s v="Manager"/>
        <s v="Cordination Manager"/>
        <s v="Extension Officer"/>
        <s v="Officer"/>
        <s v="Business Partner"/>
        <s v="Controller"/>
        <s v="Lead"/>
        <s v="Auditor"/>
        <s v="Associate Director"/>
        <s v="Quality Assurance"/>
        <s v="Specialist"/>
        <s v="Screening Associate"/>
        <s v="Fund Administrator"/>
        <s v="Review Associate"/>
        <s v="Contoller"/>
        <s v="Billing Officer"/>
        <s v="Principal Officer"/>
        <s v="Revenue Recorgnition"/>
        <s v="Collections Officer"/>
        <s v="Training Associate"/>
      </sharedItems>
    </cacheField>
    <cacheField name="Job Vacancy" numFmtId="0">
      <sharedItems/>
    </cacheField>
    <cacheField name="Level/Band" numFmtId="0">
      <sharedItems count="6">
        <s v="Junior"/>
        <s v="Associate"/>
        <s v="Executive"/>
        <s v="Senior Management"/>
        <s v="Senior"/>
        <s v="Manager Level"/>
      </sharedItems>
    </cacheField>
    <cacheField name="Position Requisition Date" numFmtId="0">
      <sharedItems containsNonDate="0" containsDate="1" containsString="0" containsBlank="1" minDate="2021-12-31T01:51:52" maxDate="2023-09-17T20:10:47"/>
    </cacheField>
    <cacheField name="Vacancy approval date" numFmtId="0">
      <sharedItems containsNonDate="0" containsDate="1" containsString="0" containsBlank="1" minDate="2022-01-02T15:13:53" maxDate="2023-09-18T20:10:47" count="1286">
        <m/>
        <d v="2022-02-18T20:00:49"/>
        <d v="2022-02-24T05:03:33"/>
        <d v="2022-02-27T05:03:33"/>
        <d v="2022-02-28T05:03:33"/>
        <d v="2022-04-10T07:57:47"/>
        <d v="2022-04-09T07:57:47"/>
        <d v="2022-04-14T07:57:47"/>
        <d v="2022-04-13T07:57:47"/>
        <d v="2022-06-11T19:43:59"/>
        <d v="2022-06-10T19:43:59"/>
        <d v="2022-06-12T19:43:59"/>
        <d v="2022-07-31T12:40:37"/>
        <d v="2022-08-03T12:40:37"/>
        <d v="2022-08-04T12:40:37"/>
        <d v="2022-10-16T22:12:48"/>
        <d v="2022-10-17T22:12:48"/>
        <d v="2022-10-20T22:12:48"/>
        <d v="2022-11-25T02:36:01"/>
        <d v="2022-11-28T02:36:01"/>
        <d v="2023-02-16T10:11:16"/>
        <d v="2023-02-20T10:11:16"/>
        <d v="2023-02-18T10:11:16"/>
        <d v="2023-02-21T10:11:16"/>
        <d v="2023-04-15T21:25:25"/>
        <d v="2022-07-23T15:16:58"/>
        <d v="2022-05-22T06:38:26"/>
        <d v="2022-10-24T01:36:27"/>
        <d v="2022-10-18T06:23:31"/>
        <d v="2022-10-19T06:23:31"/>
        <d v="2022-07-14T23:32:45"/>
        <d v="2023-08-09T17:10:04"/>
        <d v="2022-05-03T01:23:53"/>
        <d v="2023-02-19T06:26:17"/>
        <d v="2022-04-23T00:53:43"/>
        <d v="2022-12-28T14:26:31"/>
        <d v="2022-12-31T14:26:31"/>
        <d v="2023-01-04T11:21:38"/>
        <d v="2023-01-07T11:21:38"/>
        <d v="2022-10-24T11:57:41"/>
        <d v="2022-09-24T04:28:24"/>
        <d v="2023-07-17T00:25:30"/>
        <d v="2022-04-14T06:44:01"/>
        <d v="2022-02-25T07:21:21"/>
        <d v="2023-04-27T17:36:15"/>
        <d v="2023-08-26T04:29:27"/>
        <d v="2023-06-16T16:08:44"/>
        <d v="2023-09-02T09:52:53"/>
        <d v="2023-09-01T09:52:53"/>
        <d v="2023-01-11T13:36:04"/>
        <d v="2023-01-08T13:36:04"/>
        <d v="2022-04-25T01:49:05"/>
        <d v="2022-11-10T09:11:38"/>
        <d v="2022-04-15T08:33:40"/>
        <d v="2023-02-28T14:36:53"/>
        <d v="2022-09-30T07:13:58"/>
        <d v="2022-09-25T07:13:58"/>
        <d v="2022-07-26T19:16:15"/>
        <d v="2023-06-04T08:55:46"/>
        <d v="2023-05-31T08:55:46"/>
        <d v="2022-07-19T15:16:58"/>
        <d v="2022-05-19T06:38:26"/>
        <d v="2022-05-18T06:38:26"/>
        <d v="2022-10-26T01:36:27"/>
        <d v="2022-10-17T06:23:31"/>
        <d v="2023-04-22T11:59:33"/>
        <d v="2023-04-19T11:59:33"/>
        <d v="2023-04-24T11:59:33"/>
        <d v="2023-06-30T19:35:56"/>
        <d v="2023-07-01T19:35:56"/>
        <d v="2022-11-23T06:58:42"/>
        <d v="2022-11-24T06:58:42"/>
        <d v="2023-08-07T17:10:04"/>
        <d v="2023-08-04T17:10:04"/>
        <d v="2023-08-27T01:40:33"/>
        <d v="2023-04-03T02:03:49"/>
        <d v="2023-04-17T12:42:32"/>
        <d v="2023-04-18T12:42:32"/>
        <d v="2022-04-20T00:53:43"/>
        <d v="2022-04-22T00:53:43"/>
        <d v="2023-04-14T22:30:17"/>
        <d v="2022-03-23T20:57:24"/>
        <d v="2022-03-24T20:57:24"/>
        <d v="2022-08-28T03:59:03"/>
        <d v="2022-08-30T03:59:03"/>
        <d v="2023-04-19T01:19:50"/>
        <d v="2022-11-04T18:46:55"/>
        <d v="2022-11-07T18:46:55"/>
        <d v="2022-02-03T08:53:26"/>
        <d v="2022-02-05T08:53:26"/>
        <d v="2022-02-04T08:53:26"/>
        <d v="2022-10-23T11:57:41"/>
        <d v="2022-10-20T11:57:41"/>
        <d v="2022-12-03T10:23:18"/>
        <d v="2022-12-05T10:23:18"/>
        <d v="2022-11-13T01:50:58"/>
        <d v="2022-11-11T01:50:58"/>
        <d v="2022-09-27T11:30:38"/>
        <d v="2023-03-29T10:15:10"/>
        <d v="2023-04-02T10:15:10"/>
        <d v="2022-08-12T18:56:36"/>
        <d v="2022-02-24T07:21:21"/>
        <d v="2022-02-26T07:21:21"/>
        <d v="2023-04-25T17:36:15"/>
        <d v="2023-06-15T16:08:44"/>
        <d v="2022-03-23T19:24:36"/>
        <d v="2023-03-31T20:36:08"/>
        <d v="2023-04-03T20:36:08"/>
        <d v="2023-08-05T23:55:51"/>
        <d v="2023-08-04T23:55:51"/>
        <d v="2022-10-29T01:02:01"/>
        <d v="2022-04-22T06:08:47"/>
        <d v="2022-04-19T06:08:47"/>
        <d v="2022-04-21T06:08:47"/>
        <d v="2023-08-24T05:59:22"/>
        <d v="2023-08-22T05:59:22"/>
        <d v="2022-07-17T16:58:11"/>
        <d v="2022-03-07T15:00:29"/>
        <d v="2022-03-09T15:00:29"/>
        <d v="2022-03-05T15:00:29"/>
        <d v="2022-12-15T16:11:24"/>
        <d v="2022-12-12T16:11:24"/>
        <d v="2022-06-15T17:40:03"/>
        <d v="2022-06-17T17:40:03"/>
        <d v="2022-02-18T15:51:14"/>
        <d v="2022-02-15T15:51:14"/>
        <d v="2022-03-08T16:28:19"/>
        <d v="2022-03-09T16:28:19"/>
        <d v="2023-08-07T21:15:22"/>
        <d v="2022-12-26T00:23:46"/>
        <d v="2022-12-23T00:23:46"/>
        <d v="2022-09-28T07:15:57"/>
        <d v="2022-12-17T02:09:30"/>
        <d v="2023-09-03T09:52:53"/>
        <d v="2023-01-07T13:36:04"/>
        <d v="2022-04-27T01:49:05"/>
        <d v="2022-11-11T09:11:38"/>
        <d v="2022-04-13T08:33:40"/>
        <d v="2023-03-05T14:36:53"/>
        <d v="2023-03-02T14:36:53"/>
        <d v="2022-09-29T07:13:58"/>
        <d v="2022-07-23T19:16:15"/>
        <d v="2023-08-30T18:08:34"/>
        <d v="2023-08-26T18:08:34"/>
        <d v="2023-08-27T18:08:34"/>
        <d v="2023-06-01T08:55:46"/>
        <d v="2023-06-05T08:55:46"/>
        <d v="2022-05-21T06:38:26"/>
        <d v="2022-10-16T06:23:31"/>
        <d v="2022-04-09T20:14:44"/>
        <d v="2022-04-13T20:14:44"/>
        <d v="2023-06-29T19:35:56"/>
        <d v="2022-11-26T06:58:42"/>
        <d v="2023-08-08T17:10:04"/>
        <d v="2023-09-06T03:11:54"/>
        <d v="2022-11-04T18:32:00"/>
        <d v="2023-04-01T02:03:49"/>
        <d v="2023-03-31T02:03:49"/>
        <d v="2022-04-25T00:53:43"/>
        <d v="2023-04-19T22:30:17"/>
        <d v="2022-12-30T14:26:31"/>
        <d v="2022-03-26T20:57:24"/>
        <d v="2022-08-25T01:58:08"/>
        <d v="2023-01-03T11:21:38"/>
        <d v="2023-01-05T11:21:38"/>
        <d v="2023-04-17T01:19:50"/>
        <d v="2023-04-20T01:19:50"/>
        <d v="2022-11-05T18:46:55"/>
        <d v="2022-07-08T03:08:50"/>
        <d v="2022-07-09T03:08:50"/>
        <d v="2022-07-12T03:08:50"/>
        <d v="2022-02-08T08:53:26"/>
        <d v="2022-11-16T01:50:58"/>
        <d v="2022-09-20T04:28:24"/>
        <d v="2023-07-15T00:25:30"/>
        <d v="2023-07-19T00:25:30"/>
        <d v="2022-09-28T11:30:38"/>
        <d v="2022-04-26T22:26:54"/>
        <d v="2022-04-24T22:26:54"/>
        <d v="2022-04-23T22:26:54"/>
        <d v="2023-03-31T10:15:10"/>
        <d v="2023-04-29T17:36:15"/>
        <d v="2023-08-23T04:29:27"/>
        <d v="2023-06-18T16:08:44"/>
        <d v="2022-03-22T19:24:36"/>
        <d v="2022-03-21T19:24:36"/>
        <d v="2022-03-18T19:24:36"/>
        <d v="2023-04-02T20:36:08"/>
        <d v="2023-03-29T20:36:08"/>
        <d v="2022-10-31T01:02:01"/>
        <d v="2022-10-30T01:02:01"/>
        <d v="2023-08-25T05:59:22"/>
        <d v="2023-08-26T05:59:22"/>
        <d v="2022-07-12T16:58:11"/>
        <d v="2022-07-16T16:58:11"/>
        <d v="2022-03-06T15:00:29"/>
        <d v="2022-12-14T16:11:24"/>
        <d v="2022-06-19T17:40:03"/>
        <d v="2022-06-16T17:40:03"/>
        <d v="2022-02-16T15:51:14"/>
        <d v="2022-02-14T15:51:14"/>
        <d v="2022-03-10T16:28:19"/>
        <d v="2022-03-13T16:28:19"/>
        <d v="2023-08-08T21:15:22"/>
        <d v="2023-08-04T21:15:22"/>
        <d v="2022-09-27T07:15:57"/>
        <d v="2023-08-19T21:15:20"/>
        <d v="2023-08-17T21:15:20"/>
        <d v="2022-12-16T02:09:30"/>
        <d v="2022-12-19T02:09:30"/>
        <d v="2023-01-09T13:36:04"/>
        <d v="2023-01-06T13:36:04"/>
        <d v="2022-04-26T01:49:05"/>
        <d v="2022-04-18T08:33:40"/>
        <d v="2022-04-14T08:33:40"/>
        <d v="2022-07-25T19:16:15"/>
        <d v="2023-08-31T18:08:34"/>
        <d v="2022-07-22T15:16:58"/>
        <d v="2022-07-10T23:32:45"/>
        <d v="2022-07-11T23:32:45"/>
        <d v="2022-11-22T06:58:42"/>
        <d v="2022-11-25T06:58:42"/>
        <d v="2022-05-06T01:23:53"/>
        <d v="2022-05-04T01:23:53"/>
        <d v="2022-05-05T01:23:53"/>
        <d v="2023-09-04T03:11:54"/>
        <d v="2023-09-02T03:11:54"/>
        <d v="2023-08-25T01:40:33"/>
        <d v="2022-11-02T18:32:00"/>
        <d v="2022-11-07T18:32:00"/>
        <d v="2023-04-15T12:42:32"/>
        <d v="2023-02-18T06:26:17"/>
        <d v="2022-04-24T00:53:43"/>
        <d v="2023-04-15T22:30:17"/>
        <d v="2023-01-02T14:26:31"/>
        <d v="2022-08-29T03:59:03"/>
        <d v="2022-08-31T03:59:03"/>
        <d v="2022-09-01T03:59:03"/>
        <d v="2023-04-16T01:19:50"/>
        <d v="2022-10-21T11:57:41"/>
        <d v="2022-12-04T10:23:18"/>
        <d v="2022-09-21T04:28:24"/>
        <d v="2022-09-22T04:28:24"/>
        <d v="2023-07-18T00:25:30"/>
        <d v="2022-10-01T11:30:38"/>
        <d v="2022-04-12T06:44:01"/>
        <d v="2022-04-21T22:26:54"/>
        <d v="2023-04-01T10:15:10"/>
        <d v="2022-08-08T18:56:36"/>
        <d v="2022-08-10T18:56:36"/>
        <d v="2022-08-09T18:56:36"/>
        <d v="2022-02-23T07:21:21"/>
        <d v="2022-02-22T07:21:21"/>
        <d v="2023-04-26T17:36:15"/>
        <d v="2023-08-27T04:29:27"/>
        <d v="2023-06-13T16:08:44"/>
        <d v="2022-11-01T01:02:01"/>
        <d v="2022-07-14T16:58:11"/>
        <d v="2022-03-08T15:00:29"/>
        <d v="2022-12-11T16:11:24"/>
        <d v="2022-12-13T16:11:24"/>
        <d v="2022-12-25T00:23:46"/>
        <d v="2022-09-25T07:15:57"/>
        <d v="2022-12-14T02:09:30"/>
        <d v="2022-12-15T02:09:30"/>
        <d v="2023-08-30T09:52:53"/>
        <d v="2022-11-12T09:11:38"/>
        <d v="2022-11-09T09:11:38"/>
        <d v="2022-11-07T09:11:38"/>
        <d v="2022-04-16T08:33:40"/>
        <d v="2023-03-01T14:36:53"/>
        <d v="2023-03-04T14:36:53"/>
        <d v="2022-09-28T07:13:58"/>
        <d v="2023-04-16T22:30:17"/>
        <d v="2022-11-15T01:50:58"/>
        <d v="2022-09-19T04:28:24"/>
        <d v="2022-11-02T01:02:01"/>
        <d v="2022-03-10T15:00:29"/>
        <d v="2022-06-20T17:40:03"/>
        <d v="2023-08-06T21:15:22"/>
        <d v="2022-12-22T00:23:46"/>
        <d v="2022-09-24T07:15:57"/>
        <d v="2023-08-20T21:15:20"/>
        <d v="2023-08-31T09:52:53"/>
        <d v="2022-04-28T01:49:05"/>
        <d v="2022-11-08T09:11:38"/>
        <d v="2022-04-17T08:33:40"/>
        <d v="2022-09-27T07:13:58"/>
        <d v="2022-07-21T19:16:15"/>
        <d v="2022-07-21T15:16:58"/>
        <d v="2022-05-20T06:38:26"/>
        <d v="2022-10-23T01:36:27"/>
        <d v="2023-04-20T11:59:33"/>
        <d v="2022-04-11T20:14:44"/>
        <d v="2022-04-14T20:14:44"/>
        <d v="2022-04-12T20:14:44"/>
        <d v="2023-07-02T19:35:56"/>
        <d v="2023-06-28T19:35:56"/>
        <d v="2023-08-06T17:10:04"/>
        <d v="2022-05-01T01:23:53"/>
        <d v="2023-09-07T03:11:54"/>
        <d v="2023-08-24T01:40:33"/>
        <d v="2022-11-03T18:32:00"/>
        <d v="2023-02-22T06:26:17"/>
        <d v="2022-08-26T01:58:08"/>
        <d v="2022-08-24T01:58:08"/>
        <d v="2023-01-08T11:21:38"/>
        <d v="2022-11-03T18:46:55"/>
        <d v="2022-07-07T03:08:50"/>
        <d v="2022-07-10T03:08:50"/>
        <d v="2022-02-07T08:53:26"/>
        <d v="2022-10-22T11:57:41"/>
        <d v="2022-12-06T10:23:18"/>
        <d v="2022-09-30T11:30:38"/>
        <d v="2022-04-09T06:44:01"/>
        <d v="2023-06-17T16:08:44"/>
        <d v="2022-03-19T19:24:36"/>
        <d v="2022-04-23T06:08:47"/>
        <d v="2022-04-20T06:08:47"/>
        <d v="2023-08-27T05:59:22"/>
        <d v="2022-03-11T16:28:19"/>
        <d v="2022-12-24T00:23:46"/>
        <d v="2023-08-18T21:15:20"/>
        <d v="2023-02-08T16:21:51"/>
        <d v="2023-05-23T05:58:29"/>
        <d v="2022-05-17T09:15:53"/>
        <d v="2022-07-08T19:56:24"/>
        <d v="2023-03-11T16:28:31"/>
        <d v="2022-02-02T06:40:23"/>
        <d v="2022-06-04T19:49:14"/>
        <d v="2022-12-20T15:52:13"/>
        <d v="2022-09-03T17:35:38"/>
        <d v="2022-07-18T08:18:33"/>
        <d v="2022-04-14T02:42:56"/>
        <d v="2022-06-04T02:35:25"/>
        <d v="2023-07-25T00:06:13"/>
        <d v="2023-05-30T18:50:13"/>
        <d v="2023-06-20T13:28:38"/>
        <d v="2022-11-29T23:25:45"/>
        <d v="2022-11-24T23:03:14"/>
        <d v="2023-03-16T16:55:04"/>
        <d v="2022-08-07T20:03:55"/>
        <d v="2022-04-23T21:29:01"/>
        <d v="2022-04-21T21:29:01"/>
        <d v="2023-01-09T23:55:35"/>
        <d v="2023-04-27T15:28:09"/>
        <d v="2023-04-26T15:28:09"/>
        <d v="2023-06-25T02:46:21"/>
        <d v="2022-11-05T23:10:12"/>
        <d v="2022-06-28T07:34:28"/>
        <d v="2022-06-27T07:34:28"/>
        <d v="2022-05-05T18:02:17"/>
        <d v="2022-05-02T18:02:17"/>
        <d v="2022-10-08T04:14:17"/>
        <d v="2023-02-06T16:21:51"/>
        <d v="2022-12-05T21:41:18"/>
        <d v="2023-03-15T16:28:31"/>
        <d v="2023-05-08T13:06:51"/>
        <d v="2023-04-12T13:44:16"/>
        <d v="2023-06-21T13:28:38"/>
        <d v="2023-06-19T13:28:38"/>
        <d v="2023-03-19T16:55:04"/>
        <d v="2023-03-17T16:55:04"/>
        <d v="2023-03-18T16:55:04"/>
        <d v="2023-03-15T16:55:04"/>
        <d v="2022-08-05T20:03:55"/>
        <d v="2022-08-04T20:03:55"/>
        <d v="2023-04-28T15:28:09"/>
        <d v="2023-06-27T02:46:21"/>
        <d v="2022-11-04T23:10:12"/>
        <d v="2022-06-23T07:34:28"/>
        <d v="2022-01-20T22:01:29"/>
        <d v="2022-01-15T22:01:29"/>
        <d v="2023-07-25T17:45:37"/>
        <d v="2022-10-16T14:13:05"/>
        <d v="2022-10-17T14:13:05"/>
        <d v="2022-04-25T08:21:52"/>
        <d v="2022-04-28T08:21:52"/>
        <d v="2022-04-27T08:21:52"/>
        <d v="2022-06-14T18:28:45"/>
        <d v="2022-06-17T18:28:45"/>
        <d v="2022-06-18T18:28:45"/>
        <d v="2022-12-13T15:32:46"/>
        <d v="2022-09-28T11:20:41"/>
        <d v="2022-03-03T21:14:55"/>
        <d v="2022-01-28T14:06:06"/>
        <d v="2023-03-26T14:35:51"/>
        <d v="2022-05-15T09:15:53"/>
        <d v="2022-08-09T16:27:58"/>
        <d v="2022-07-06T19:56:24"/>
        <d v="2022-02-04T06:40:23"/>
        <d v="2023-01-22T19:09:14"/>
        <d v="2023-07-27T00:06:13"/>
        <d v="2022-03-16T19:06:16"/>
        <d v="2023-01-26T18:59:14"/>
        <d v="2022-08-06T20:03:55"/>
        <d v="2022-04-22T21:29:01"/>
        <d v="2022-04-24T21:29:01"/>
        <d v="2023-01-13T23:55:35"/>
        <d v="2023-01-12T23:55:35"/>
        <d v="2023-01-14T23:55:35"/>
        <d v="2023-04-30T15:28:09"/>
        <d v="2023-06-26T02:46:21"/>
        <d v="2022-11-03T23:10:12"/>
        <d v="2022-06-25T07:34:28"/>
        <d v="2022-05-07T18:02:17"/>
        <d v="2022-05-04T18:02:17"/>
        <d v="2022-10-04T04:14:17"/>
        <d v="2022-10-06T04:14:17"/>
        <d v="2022-01-17T22:01:29"/>
        <d v="2023-07-29T17:45:37"/>
        <d v="2023-07-30T17:45:37"/>
        <d v="2023-07-26T17:45:37"/>
        <d v="2022-06-15T18:28:45"/>
        <d v="2022-12-14T15:32:46"/>
        <d v="2022-12-12T15:32:46"/>
        <d v="2022-06-18T02:13:25"/>
        <d v="2022-06-13T02:13:25"/>
        <d v="2023-01-01T23:42:41"/>
        <d v="2022-12-31T23:42:41"/>
        <d v="2022-02-28T07:11:44"/>
        <d v="2022-03-01T07:11:44"/>
        <d v="2022-12-01T20:42:08"/>
        <d v="2023-04-05T23:49:48"/>
        <d v="2023-05-11T08:44:55"/>
        <d v="2023-07-05T15:45:36"/>
        <d v="2022-07-17T04:48:46"/>
        <d v="2023-06-08T14:00:49"/>
        <d v="2023-02-27T06:20:20"/>
        <d v="2022-04-08T08:33:21"/>
        <d v="2022-10-30T12:00:37"/>
        <d v="2022-11-03T03:08:08"/>
        <d v="2023-01-03T23:42:41"/>
        <d v="2022-02-26T07:11:44"/>
        <d v="2023-07-11T03:57:06"/>
        <d v="2023-01-31T01:18:41"/>
        <d v="2023-01-27T01:18:41"/>
        <d v="2023-01-29T01:18:41"/>
        <d v="2023-04-03T23:49:48"/>
        <d v="2023-04-06T23:49:48"/>
        <d v="2022-02-08T10:00:31"/>
        <d v="2022-02-07T10:00:31"/>
        <d v="2022-02-01T13:06:55"/>
        <d v="2022-02-02T13:06:55"/>
        <d v="2023-05-13T08:44:55"/>
        <d v="2023-06-17T04:51:46"/>
        <d v="2023-06-18T04:51:46"/>
        <d v="2023-03-09T12:45:42"/>
        <d v="2023-03-14T12:45:42"/>
        <d v="2022-12-24T10:35:07"/>
        <d v="2022-07-21T04:48:46"/>
        <d v="2023-06-06T14:00:49"/>
        <d v="2023-06-04T14:00:49"/>
        <d v="2023-03-02T06:20:20"/>
        <d v="2023-04-22T08:48:53"/>
        <d v="2022-04-09T08:33:21"/>
        <d v="2022-04-10T08:33:21"/>
        <d v="2023-06-23T15:39:43"/>
        <d v="2023-06-24T15:39:43"/>
        <d v="2023-06-22T15:39:43"/>
        <d v="2023-06-27T15:39:43"/>
        <d v="2022-11-12T04:40:47"/>
        <d v="2022-11-16T04:40:47"/>
        <d v="2022-03-20T07:08:59"/>
        <d v="2023-01-22T06:41:41"/>
        <d v="2023-01-26T06:41:41"/>
        <d v="2023-01-24T06:41:41"/>
        <d v="2022-10-31T03:08:08"/>
        <d v="2022-10-29T03:08:08"/>
        <d v="2023-06-18T00:56:18"/>
        <d v="2023-04-29T06:21:04"/>
        <d v="2023-08-24T04:19:54"/>
        <d v="2023-08-23T04:19:54"/>
        <d v="2022-12-27T16:31:31"/>
        <d v="2022-12-26T16:31:31"/>
        <d v="2022-12-22T16:31:31"/>
        <d v="2022-08-26T05:47:20"/>
        <d v="2022-08-29T05:47:20"/>
        <d v="2022-08-25T05:47:20"/>
        <d v="2022-07-21T19:23:12"/>
        <d v="2023-01-16T21:12:47"/>
        <d v="2022-11-09T06:56:27"/>
        <d v="2022-08-13T18:15:27"/>
        <d v="2022-08-11T18:15:27"/>
        <d v="2023-06-11T00:15:10"/>
        <d v="2023-01-04T23:42:41"/>
        <d v="2022-02-25T07:11:44"/>
        <d v="2023-07-12T03:57:06"/>
        <d v="2023-07-13T03:57:06"/>
        <d v="2022-02-10T10:00:31"/>
        <d v="2023-04-28T16:37:27"/>
        <d v="2023-04-27T16:37:27"/>
        <d v="2023-04-01T20:12:18"/>
        <d v="2023-04-03T20:12:18"/>
        <d v="2022-07-03T03:02:50"/>
        <d v="2023-05-12T08:44:55"/>
        <d v="2023-03-11T12:45:42"/>
        <d v="2022-12-22T10:35:07"/>
        <d v="2022-12-27T10:35:07"/>
        <d v="2023-03-03T06:20:20"/>
        <d v="2022-08-23T09:24:23"/>
        <d v="2022-08-24T09:24:23"/>
        <d v="2023-04-23T08:48:53"/>
        <d v="2022-04-11T08:33:21"/>
        <d v="2023-06-26T15:39:43"/>
        <d v="2022-10-29T12:00:37"/>
        <d v="2022-11-01T12:00:37"/>
        <d v="2022-11-15T04:40:47"/>
        <d v="2022-03-23T07:08:59"/>
        <d v="2022-01-05T19:39:24"/>
        <d v="2022-01-03T19:39:24"/>
        <d v="2023-08-21T04:19:54"/>
        <d v="2022-07-24T19:23:12"/>
        <d v="2022-07-20T19:23:12"/>
        <d v="2023-01-19T21:12:47"/>
        <d v="2022-11-08T06:56:27"/>
        <d v="2022-11-04T06:56:27"/>
        <d v="2022-11-06T06:56:27"/>
        <d v="2022-08-14T18:15:27"/>
        <d v="2022-08-12T18:15:27"/>
        <d v="2022-08-09T18:15:27"/>
        <d v="2022-11-28T09:55:12"/>
        <d v="2022-11-26T09:55:12"/>
        <d v="2022-11-30T09:55:12"/>
        <d v="2022-11-29T09:55:12"/>
        <d v="2022-11-25T09:55:12"/>
        <d v="2023-02-06T15:37:34"/>
        <d v="2022-02-13T20:00:49"/>
        <d v="2022-11-29T20:42:08"/>
        <d v="2023-01-30T01:18:41"/>
        <d v="2022-02-09T10:00:31"/>
        <d v="2023-04-26T16:37:27"/>
        <d v="2023-04-29T16:37:27"/>
        <d v="2023-04-25T16:37:27"/>
        <d v="2022-01-31T13:06:55"/>
        <d v="2023-04-05T20:12:18"/>
        <d v="2022-07-06T03:02:50"/>
        <d v="2023-05-08T08:44:55"/>
        <d v="2023-06-20T04:51:46"/>
        <d v="2023-06-16T04:51:46"/>
        <d v="2023-03-12T12:45:42"/>
        <d v="2022-12-23T10:35:07"/>
        <d v="2023-06-07T14:00:49"/>
        <d v="2023-03-04T06:20:20"/>
        <d v="2022-08-21T09:24:23"/>
        <d v="2023-04-21T08:48:53"/>
        <d v="2022-04-13T08:33:21"/>
        <d v="2022-04-12T08:33:21"/>
        <d v="2022-01-04T19:39:24"/>
        <d v="2023-06-20T00:56:18"/>
        <d v="2023-06-22T00:56:18"/>
        <d v="2023-04-26T06:21:04"/>
        <d v="2023-08-20T04:19:54"/>
        <d v="2022-12-24T16:31:31"/>
        <d v="2022-08-24T05:47:20"/>
        <d v="2023-01-17T21:12:47"/>
        <d v="2023-01-20T21:12:47"/>
        <d v="2023-01-18T21:12:47"/>
        <d v="2023-06-09T00:15:10"/>
        <d v="2023-06-13T00:15:10"/>
        <d v="2023-02-02T15:37:34"/>
        <d v="2023-02-03T15:37:34"/>
        <d v="2023-05-10T08:44:55"/>
        <d v="2023-07-01T15:45:36"/>
        <d v="2023-06-15T04:51:46"/>
        <d v="2022-07-20T04:48:46"/>
        <d v="2023-02-01T15:37:34"/>
        <d v="2023-07-08T03:57:06"/>
        <d v="2023-07-09T03:57:06"/>
        <d v="2022-11-28T20:42:08"/>
        <d v="2022-12-02T20:42:08"/>
        <d v="2023-04-24T16:37:27"/>
        <d v="2022-01-30T13:06:55"/>
        <d v="2023-04-04T20:12:18"/>
        <d v="2022-07-05T03:02:50"/>
        <d v="2022-07-01T03:02:50"/>
        <d v="2023-07-03T15:45:36"/>
        <d v="2023-07-02T15:45:36"/>
        <d v="2023-06-19T04:51:46"/>
        <d v="2022-12-25T10:35:07"/>
        <d v="2022-07-19T04:48:46"/>
        <d v="2022-08-19T09:24:23"/>
        <d v="2023-04-19T08:48:53"/>
        <d v="2022-11-02T12:00:37"/>
        <d v="2022-03-19T07:08:59"/>
        <d v="2023-01-23T06:41:41"/>
        <d v="2023-06-21T00:56:18"/>
        <d v="2023-04-24T06:21:04"/>
        <d v="2022-12-23T16:31:31"/>
        <d v="2022-07-22T19:23:12"/>
        <d v="2023-01-15T21:12:47"/>
        <d v="2022-11-05T06:56:27"/>
        <d v="2023-06-12T00:15:10"/>
        <d v="2022-02-17T20:00:49"/>
        <d v="2022-06-17T11:38:00"/>
        <d v="2022-06-13T11:38:00"/>
        <d v="2023-02-09T16:21:51"/>
        <d v="2022-08-13T00:55:27"/>
        <d v="2023-04-17T22:01:03"/>
        <d v="2022-08-11T16:27:58"/>
        <d v="2022-01-16T19:56:47"/>
        <d v="2022-09-20T01:01:03"/>
        <d v="2022-09-16T01:01:03"/>
        <d v="2022-05-03T21:24:39"/>
        <d v="2022-12-21T15:52:13"/>
        <d v="2023-04-07T13:44:16"/>
        <d v="2022-06-01T02:35:25"/>
        <d v="2023-07-28T00:06:13"/>
        <d v="2023-02-13T20:47:13"/>
        <d v="2022-11-23T23:03:14"/>
        <d v="2023-01-29T18:59:14"/>
        <d v="2022-06-18T11:38:00"/>
        <d v="2023-02-07T16:21:51"/>
        <d v="2022-08-14T00:55:27"/>
        <d v="2022-08-15T00:55:27"/>
        <d v="2023-03-25T14:35:51"/>
        <d v="2023-04-19T22:01:03"/>
        <d v="2022-08-08T16:27:58"/>
        <d v="2022-08-12T16:27:58"/>
        <d v="2022-09-19T01:01:03"/>
        <d v="2022-05-07T21:24:39"/>
        <d v="2022-05-05T21:24:39"/>
        <d v="2023-03-13T16:28:31"/>
        <d v="2022-05-31T19:49:14"/>
        <d v="2023-03-09T03:56:27"/>
        <d v="2023-05-12T13:06:51"/>
        <d v="2023-04-08T13:44:16"/>
        <d v="2022-04-11T02:42:56"/>
        <d v="2022-04-09T02:42:56"/>
        <d v="2022-10-17T03:55:53"/>
        <d v="2022-10-19T03:55:53"/>
        <d v="2023-08-13T05:35:37"/>
        <d v="2022-06-02T02:35:25"/>
        <d v="2023-02-12T20:47:13"/>
        <d v="2023-02-10T20:47:13"/>
        <d v="2022-03-18T19:06:16"/>
        <d v="2022-11-30T23:25:45"/>
        <d v="2022-11-20T23:03:14"/>
        <d v="2022-11-22T23:03:14"/>
        <d v="2022-06-16T11:38:00"/>
        <d v="2023-03-24T14:35:51"/>
        <d v="2022-06-01T19:49:14"/>
        <d v="2022-10-18T22:49:43"/>
        <d v="2022-09-06T17:35:38"/>
        <d v="2022-04-10T02:42:56"/>
        <d v="2023-08-14T05:35:37"/>
        <d v="2023-08-16T05:35:37"/>
        <d v="2022-05-31T02:35:25"/>
        <d v="2022-11-21T23:03:14"/>
        <d v="2023-01-27T18:59:14"/>
        <d v="2022-01-27T14:06:06"/>
        <d v="2022-01-26T14:06:06"/>
        <d v="2022-05-13T09:15:53"/>
        <d v="2022-01-14T19:56:47"/>
        <d v="2022-05-02T21:24:39"/>
        <d v="2022-10-23T22:49:43"/>
        <d v="2022-10-19T22:49:43"/>
        <d v="2023-03-12T03:56:27"/>
        <d v="2023-03-13T03:56:27"/>
        <d v="2022-09-07T17:35:38"/>
        <d v="2022-09-08T17:35:38"/>
        <d v="2023-05-13T13:06:51"/>
        <d v="2022-05-15T13:40:01"/>
        <d v="2022-05-18T13:40:01"/>
        <d v="2022-10-16T03:55:53"/>
        <d v="2023-07-30T00:06:13"/>
        <d v="2023-05-28T18:50:13"/>
        <d v="2023-06-01T18:50:13"/>
        <d v="2023-06-23T13:28:38"/>
        <d v="2022-12-02T23:25:45"/>
        <d v="2022-06-15T11:38:00"/>
        <d v="2022-06-14T11:38:00"/>
        <d v="2023-05-19T05:58:29"/>
        <d v="2023-03-27T14:35:51"/>
        <d v="2022-07-07T19:56:24"/>
        <d v="2022-05-04T21:24:39"/>
        <d v="2023-01-23T19:09:14"/>
        <d v="2022-10-20T22:49:43"/>
        <d v="2023-05-10T13:06:51"/>
        <d v="2022-07-15T08:18:33"/>
        <d v="2022-05-19T13:40:01"/>
        <d v="2023-04-11T13:44:16"/>
        <d v="2022-10-21T03:55:53"/>
        <d v="2022-06-03T02:35:25"/>
        <d v="2023-02-15T20:47:13"/>
        <d v="2023-02-11T20:47:13"/>
        <d v="2022-03-17T19:06:16"/>
        <d v="2023-06-22T13:28:38"/>
        <d v="2022-11-28T23:25:45"/>
        <d v="2022-12-01T23:25:45"/>
        <d v="2023-01-31T18:59:14"/>
        <d v="2023-01-30T18:59:14"/>
        <d v="2023-02-04T16:21:51"/>
        <d v="2023-05-22T05:58:29"/>
        <d v="2022-12-04T21:41:18"/>
        <d v="2022-12-06T21:41:18"/>
        <d v="2023-04-15T22:01:03"/>
        <d v="2022-01-17T19:56:47"/>
        <d v="2022-09-15T01:01:03"/>
        <d v="2023-03-12T16:28:31"/>
        <d v="2022-12-24T15:52:13"/>
        <d v="2023-05-11T13:06:51"/>
        <d v="2023-04-09T13:44:16"/>
        <d v="2022-10-20T03:55:53"/>
        <d v="2023-08-15T05:35:37"/>
        <d v="2023-07-26T00:06:13"/>
        <d v="2023-06-02T18:50:13"/>
        <d v="2023-03-03T00:56:51"/>
        <d v="2022-01-08T01:20:30"/>
        <d v="2023-06-07T18:40:56"/>
        <d v="2022-09-08T07:14:27"/>
        <d v="2022-09-05T07:14:27"/>
        <d v="2023-06-23T16:02:26"/>
        <d v="2023-02-18T21:37:50"/>
        <d v="2023-02-19T21:37:50"/>
        <d v="2022-01-17T17:35:29"/>
        <d v="2023-02-26T18:21:09"/>
        <d v="2022-12-10T14:20:00"/>
        <d v="2023-07-07T13:00:43"/>
        <d v="2023-07-10T13:00:43"/>
        <d v="2023-03-20T03:24:12"/>
        <d v="2022-07-28T01:19:51"/>
        <d v="2022-07-27T01:19:51"/>
        <d v="2022-06-26T20:09:31"/>
        <d v="2022-07-27T04:55:35"/>
        <d v="2022-07-25T04:55:35"/>
        <d v="2022-07-24T23:11:03"/>
        <d v="2023-05-15T01:00:09"/>
        <d v="2022-04-24T22:53:34"/>
        <d v="2022-04-28T22:53:34"/>
        <d v="2022-02-12T23:46:40"/>
        <d v="2023-02-14T13:12:09"/>
        <d v="2023-09-10T09:16:50"/>
        <d v="2023-06-03T18:40:56"/>
        <d v="2023-06-30T20:01:36"/>
        <d v="2023-06-28T20:01:36"/>
        <d v="2022-04-21T13:27:53"/>
        <d v="2022-04-19T13:27:53"/>
        <d v="2022-01-26T04:43:28"/>
        <d v="2023-06-24T16:02:26"/>
        <d v="2023-01-06T09:06:31"/>
        <d v="2023-01-09T09:06:31"/>
        <d v="2023-01-21T09:40:31"/>
        <d v="2023-01-23T09:40:31"/>
        <d v="2022-03-21T17:14:32"/>
        <d v="2022-10-01T06:07:20"/>
        <d v="2023-07-19T17:32:55"/>
        <d v="2023-07-18T17:32:55"/>
        <d v="2023-07-22T17:32:55"/>
        <d v="2022-03-30T20:40:01"/>
        <d v="2022-03-29T20:40:01"/>
        <d v="2022-03-26T20:40:01"/>
        <d v="2023-09-14T07:20:47"/>
        <d v="2022-01-03T01:51:52"/>
        <d v="2022-01-06T01:51:52"/>
        <d v="2023-03-03T18:21:09"/>
        <d v="2022-12-09T14:20:00"/>
        <d v="2022-12-08T14:20:00"/>
        <d v="2023-07-11T13:00:43"/>
        <d v="2023-03-19T03:24:12"/>
        <d v="2023-03-21T03:24:12"/>
        <d v="2022-06-28T20:09:31"/>
        <d v="2023-02-26T17:29:35"/>
        <d v="2023-02-25T17:29:35"/>
        <d v="2022-06-26T03:24:32"/>
        <d v="2022-06-27T03:24:32"/>
        <d v="2022-06-23T03:24:32"/>
        <d v="2022-07-22T04:55:35"/>
        <d v="2022-07-26T23:11:03"/>
        <d v="2023-05-19T01:00:09"/>
        <d v="2022-04-25T22:53:34"/>
        <d v="2023-03-06T00:56:51"/>
        <d v="2022-09-03T07:14:27"/>
        <d v="2023-01-24T09:40:31"/>
        <d v="2022-03-20T17:14:32"/>
        <d v="2023-04-14T18:41:30"/>
        <d v="2023-04-11T18:41:30"/>
        <d v="2023-07-21T17:32:55"/>
        <d v="2022-08-02T12:23:45"/>
        <d v="2022-08-03T12:23:45"/>
        <d v="2022-05-07T00:32:09"/>
        <d v="2022-10-27T23:41:59"/>
        <d v="2023-09-12T07:20:47"/>
        <d v="2022-01-18T17:35:29"/>
        <d v="2022-01-05T01:51:52"/>
        <d v="2023-02-28T17:29:35"/>
        <d v="2022-06-24T03:24:32"/>
        <d v="2022-02-11T23:46:40"/>
        <d v="2023-04-05T15:39:13"/>
        <d v="2023-04-02T15:39:13"/>
        <d v="2023-02-15T13:12:09"/>
        <d v="2023-02-12T13:12:09"/>
        <d v="2023-09-09T09:16:50"/>
        <d v="2023-09-11T09:16:50"/>
        <d v="2022-02-07T19:04:45"/>
        <d v="2022-01-06T01:20:30"/>
        <d v="2022-01-09T01:20:30"/>
        <d v="2022-01-07T01:20:30"/>
        <d v="2023-06-02T18:40:56"/>
        <d v="2023-07-01T20:01:36"/>
        <d v="2022-04-23T13:27:53"/>
        <d v="2022-01-21T04:43:28"/>
        <d v="2022-01-24T04:43:28"/>
        <d v="2023-06-22T16:02:26"/>
        <d v="2023-01-05T09:06:31"/>
        <d v="2022-03-22T17:14:32"/>
        <d v="2023-02-16T21:37:50"/>
        <d v="2022-08-07T12:23:45"/>
        <d v="2022-05-05T00:32:09"/>
        <d v="2023-09-11T07:20:47"/>
        <d v="2022-01-16T17:35:29"/>
        <d v="2022-01-04T01:51:52"/>
        <d v="2023-07-08T13:00:43"/>
        <d v="2023-03-22T03:24:12"/>
        <d v="2022-07-25T01:19:51"/>
        <d v="2022-06-24T20:09:31"/>
        <d v="2022-06-25T03:24:32"/>
        <d v="2022-07-26T04:55:35"/>
        <d v="2023-04-01T15:39:13"/>
        <d v="2022-02-08T19:04:45"/>
        <d v="2023-06-04T18:40:56"/>
        <d v="2022-09-28T11:53:56"/>
        <d v="2022-09-30T11:53:56"/>
        <d v="2022-09-27T11:53:56"/>
        <d v="2022-10-04T06:07:20"/>
        <d v="2022-10-28T23:41:59"/>
        <d v="2022-10-29T23:41:59"/>
        <d v="2022-03-31T20:40:01"/>
        <d v="2022-03-28T20:40:01"/>
        <d v="2023-09-09T07:20:47"/>
        <d v="2022-01-19T17:35:29"/>
        <d v="2023-03-02T18:21:09"/>
        <d v="2022-12-06T14:20:00"/>
        <d v="2022-07-26T01:19:51"/>
        <d v="2022-06-25T20:09:31"/>
        <d v="2023-05-18T01:00:09"/>
        <d v="2023-05-14T01:00:09"/>
        <d v="2022-04-26T22:53:34"/>
        <d v="2022-02-13T23:46:40"/>
        <d v="2022-02-09T23:46:40"/>
        <d v="2022-05-05T18:40:18"/>
        <d v="2023-07-30T17:11:38"/>
        <d v="2023-08-03T17:11:38"/>
        <d v="2022-02-06T06:22:29"/>
        <d v="2023-08-28T21:41:36"/>
        <d v="2023-08-21T12:50:13"/>
        <d v="2022-07-16T14:26:50"/>
        <d v="2022-07-12T14:26:50"/>
        <d v="2022-10-05T21:05:46"/>
        <d v="2022-10-08T10:12:16"/>
        <d v="2022-10-12T10:12:16"/>
        <d v="2022-02-20T23:17:04"/>
        <d v="2022-05-31T15:29:59"/>
        <d v="2023-03-03T18:01:56"/>
        <d v="2022-11-06T03:27:45"/>
        <d v="2023-09-03T07:41:24"/>
        <d v="2023-09-17T20:10:47"/>
        <d v="2023-09-15T20:10:47"/>
        <d v="2023-01-05T00:36:18"/>
        <d v="2022-12-28T05:00:38"/>
        <d v="2023-06-13T22:29:11"/>
        <d v="2022-03-25T17:39:51"/>
        <d v="2023-03-17T21:55:08"/>
        <d v="2022-06-29T04:05:26"/>
        <d v="2023-08-08T01:36:53"/>
        <d v="2023-04-07T06:23:43"/>
        <d v="2023-04-10T06:23:43"/>
        <d v="2022-08-08T09:56:30"/>
        <d v="2022-08-11T09:56:30"/>
        <d v="2023-03-05T19:44:13"/>
        <d v="2022-02-06T07:54:35"/>
        <d v="2022-07-10T08:13:46"/>
        <d v="2023-06-14T08:54:08"/>
        <d v="2023-06-17T08:54:08"/>
        <d v="2023-04-02T21:07:16"/>
        <d v="2023-03-28T21:07:16"/>
        <d v="2023-04-01T21:07:16"/>
        <d v="2022-10-07T14:05:41"/>
        <d v="2022-10-09T14:05:41"/>
        <d v="2022-12-31T10:52:58"/>
        <d v="2022-12-29T10:52:58"/>
        <d v="2022-03-18T21:37:51"/>
        <d v="2022-03-21T21:37:51"/>
        <d v="2022-04-04T10:38:28"/>
        <d v="2022-04-06T10:38:28"/>
        <d v="2023-04-14T18:21:43"/>
        <d v="2023-04-12T18:21:43"/>
        <d v="2023-04-13T18:21:43"/>
        <d v="2022-02-12T03:23:10"/>
        <d v="2022-02-15T03:23:10"/>
        <d v="2023-06-30T11:30:00"/>
        <d v="2023-07-03T11:30:00"/>
        <d v="2022-12-23T10:20:25"/>
        <d v="2022-12-20T10:20:25"/>
        <d v="2023-04-11T12:37:54"/>
        <d v="2023-04-15T12:37:54"/>
        <d v="2022-07-22T11:44:34"/>
        <d v="2023-04-19T23:01:36"/>
        <d v="2023-08-22T12:50:13"/>
        <d v="2022-10-01T21:05:46"/>
        <d v="2022-08-11T16:19:01"/>
        <d v="2023-04-02T15:41:39"/>
        <d v="2023-04-03T15:41:39"/>
        <d v="2023-04-01T15:41:39"/>
        <d v="2023-03-31T15:41:39"/>
        <d v="2022-03-24T08:24:54"/>
        <d v="2022-03-20T08:24:54"/>
        <d v="2022-02-17T23:17:04"/>
        <d v="2022-02-22T23:17:04"/>
        <d v="2022-06-01T15:29:59"/>
        <d v="2022-01-04T15:13:53"/>
        <d v="2022-01-05T15:13:53"/>
        <d v="2022-01-03T15:13:53"/>
        <d v="2023-03-07T18:01:56"/>
        <d v="2022-11-07T03:27:45"/>
        <d v="2022-11-09T03:27:45"/>
        <d v="2023-09-05T07:41:24"/>
        <d v="2023-09-08T07:41:24"/>
        <d v="2022-03-20T11:46:18"/>
        <d v="2022-03-22T11:46:18"/>
        <d v="2023-05-29T20:23:44"/>
        <d v="2023-05-27T20:23:44"/>
        <d v="2023-01-01T00:36:18"/>
        <d v="2022-12-30T05:00:38"/>
        <d v="2022-08-17T08:38:11"/>
        <d v="2023-08-31T16:35:04"/>
        <d v="2022-12-23T04:33:07"/>
        <d v="2023-03-15T21:55:08"/>
        <d v="2023-03-16T21:55:08"/>
        <d v="2023-03-14T21:55:08"/>
        <d v="2022-06-26T04:05:26"/>
        <d v="2022-06-28T04:05:26"/>
        <d v="2022-06-25T04:05:26"/>
        <d v="2023-08-05T01:36:53"/>
        <d v="2023-08-07T01:36:53"/>
        <d v="2022-08-10T09:56:30"/>
        <d v="2022-02-04T07:54:35"/>
        <d v="2022-02-07T07:54:35"/>
        <d v="2022-07-20T16:46:55"/>
        <d v="2022-07-21T16:46:55"/>
        <d v="2022-07-17T16:46:55"/>
        <d v="2023-07-15T08:10:15"/>
        <d v="2023-07-14T08:10:15"/>
        <d v="2022-10-15T22:33:20"/>
        <d v="2022-09-21T04:47:55"/>
        <d v="2022-09-25T04:47:55"/>
        <d v="2022-09-23T04:47:55"/>
        <d v="2023-02-05T00:03:45"/>
        <d v="2022-11-03T05:17:37"/>
        <d v="2022-11-08T05:17:37"/>
        <d v="2023-07-12T15:23:01"/>
        <d v="2023-07-13T15:23:01"/>
        <d v="2022-01-13T07:25:27"/>
        <d v="2022-01-14T07:25:27"/>
        <d v="2022-01-10T07:25:27"/>
        <d v="2022-11-19T19:43:02"/>
        <d v="2023-02-21T13:42:17"/>
        <d v="2023-02-20T13:42:17"/>
        <d v="2023-02-19T16:28:40"/>
        <d v="2023-02-16T16:28:40"/>
        <d v="2022-05-07T15:27:54"/>
        <d v="2022-05-06T15:27:54"/>
        <d v="2022-05-19T16:15:48"/>
        <d v="2022-05-20T16:15:48"/>
        <d v="2022-07-06T08:13:46"/>
        <d v="2023-06-19T08:54:08"/>
        <d v="2023-06-18T08:54:08"/>
        <d v="2022-10-08T14:05:41"/>
        <d v="2022-07-10T09:51:33"/>
        <d v="2022-03-19T21:37:51"/>
        <d v="2022-05-04T18:40:18"/>
        <d v="2022-05-03T18:40:18"/>
        <d v="2023-06-29T11:30:00"/>
        <d v="2022-06-27T18:38:51"/>
        <d v="2022-12-21T10:20:25"/>
        <d v="2023-04-10T12:37:54"/>
        <d v="2023-06-25T01:56:26"/>
        <d v="2023-08-29T21:41:36"/>
        <d v="2023-08-18T12:50:13"/>
        <d v="2023-08-20T12:50:13"/>
        <d v="2022-07-11T14:26:50"/>
        <d v="2023-08-05T09:27:05"/>
        <d v="2023-08-08T09:27:05"/>
        <d v="2022-10-06T21:05:46"/>
        <d v="2022-08-14T16:19:01"/>
        <d v="2022-08-15T16:19:01"/>
        <d v="2022-10-10T10:12:16"/>
        <d v="2022-10-11T10:12:16"/>
        <d v="2022-02-21T23:17:04"/>
        <d v="2022-04-13T11:01:49"/>
        <d v="2022-04-14T11:01:49"/>
        <d v="2022-04-15T11:01:49"/>
        <d v="2022-06-05T15:29:59"/>
        <d v="2023-09-18T20:10:47"/>
        <d v="2022-03-21T11:46:18"/>
        <d v="2022-03-19T11:46:18"/>
        <d v="2023-06-10T22:29:11"/>
        <d v="2023-06-12T22:29:11"/>
        <d v="2022-08-18T08:38:11"/>
        <d v="2022-08-21T08:38:11"/>
        <d v="2023-09-01T16:35:04"/>
        <d v="2023-09-04T16:35:04"/>
        <d v="2022-03-26T17:39:51"/>
        <d v="2022-03-27T17:39:51"/>
        <d v="2023-04-06T06:23:43"/>
        <d v="2023-03-04T19:44:13"/>
        <d v="2022-02-09T07:54:35"/>
        <d v="2022-07-19T16:46:55"/>
        <d v="2022-07-16T16:46:55"/>
        <d v="2023-07-20T02:28:49"/>
        <d v="2023-07-23T02:28:49"/>
        <d v="2023-07-18T02:28:49"/>
        <d v="2022-11-05T05:17:37"/>
        <d v="2022-11-06T05:17:37"/>
        <d v="2022-01-12T07:25:27"/>
        <d v="2022-11-16T19:43:02"/>
        <d v="2023-02-15T16:28:40"/>
        <d v="2022-05-04T15:27:54"/>
        <d v="2022-05-05T15:27:54"/>
        <d v="2022-05-08T15:27:54"/>
        <d v="2022-05-24T16:15:48"/>
        <d v="2022-05-22T16:15:48"/>
        <d v="2023-03-29T21:07:16"/>
        <d v="2022-07-11T09:51:33"/>
        <d v="2022-03-16T21:37:51"/>
        <d v="2022-04-01T10:38:28"/>
        <d v="2022-05-02T18:40:18"/>
        <d v="2023-07-31T17:11:38"/>
        <d v="2023-08-01T17:11:38"/>
        <d v="2022-02-10T03:23:10"/>
        <d v="2022-02-14T03:23:10"/>
        <d v="2023-07-04T11:30:00"/>
        <d v="2023-07-01T11:30:00"/>
        <d v="2022-06-29T18:38:51"/>
        <d v="2022-06-28T18:38:51"/>
        <d v="2022-12-22T10:20:25"/>
        <d v="2023-04-14T12:37:54"/>
        <d v="2022-02-07T06:22:29"/>
        <d v="2022-02-08T06:22:29"/>
        <d v="2022-02-05T06:22:29"/>
        <d v="2023-06-23T01:56:26"/>
        <d v="2022-07-23T11:44:34"/>
        <d v="2022-07-21T11:44:34"/>
        <d v="2023-04-14T23:01:36"/>
        <d v="2023-04-17T23:01:36"/>
        <d v="2023-08-04T09:27:05"/>
        <d v="2022-10-13T10:12:16"/>
        <d v="2022-03-25T08:24:54"/>
        <d v="2022-04-12T11:01:49"/>
        <d v="2023-03-08T18:01:56"/>
        <d v="2023-09-06T07:41:24"/>
        <d v="2023-09-13T20:10:47"/>
        <d v="2023-05-31T20:23:44"/>
        <d v="2022-12-27T05:00:38"/>
        <d v="2023-06-11T22:29:11"/>
        <d v="2023-09-03T16:35:04"/>
        <d v="2022-12-24T04:33:07"/>
        <d v="2022-12-21T04:33:07"/>
        <d v="2022-03-24T17:39:51"/>
        <d v="2022-02-08T07:54:35"/>
        <d v="2023-07-21T02:28:49"/>
        <d v="2023-02-06T00:03:45"/>
        <d v="2022-11-04T05:17:37"/>
        <d v="2022-01-11T07:25:27"/>
        <d v="2022-11-18T19:43:02"/>
        <d v="2023-02-16T13:42:17"/>
        <d v="2023-02-17T13:42:17"/>
        <d v="2022-05-03T15:27:54"/>
        <d v="2022-05-23T16:15:48"/>
        <d v="2022-07-09T08:13:46"/>
        <d v="2023-03-31T21:07:16"/>
        <d v="2022-07-07T09:51:33"/>
        <d v="2022-07-24T11:44:34"/>
        <d v="2022-06-03T15:29:59"/>
        <d v="2022-12-31T05:00:38"/>
        <d v="2023-03-02T19:44:13"/>
        <d v="2023-07-17T08:10:15"/>
        <d v="2022-10-13T22:33:20"/>
        <d v="2022-10-14T22:33:20"/>
        <d v="2022-10-10T22:33:20"/>
        <d v="2022-09-22T04:47:55"/>
        <d v="2022-09-26T04:47:55"/>
        <d v="2023-07-19T02:28:49"/>
        <d v="2023-02-04T00:03:45"/>
        <d v="2023-02-01T00:03:45"/>
        <d v="2023-02-02T00:03:45"/>
        <d v="2023-07-10T15:23:01"/>
        <d v="2022-11-15T19:43:02"/>
        <d v="2022-07-06T09:51:33"/>
        <d v="2022-12-26T10:52:58"/>
        <d v="2022-02-11T03:23:10"/>
        <d v="2023-07-02T11:30:00"/>
        <d v="2022-06-26T18:38:51"/>
        <d v="2022-02-10T06:22:29"/>
        <d v="2023-06-24T01:56:26"/>
        <d v="2023-08-30T21:41:36"/>
        <d v="2023-08-17T12:50:13"/>
        <d v="2023-08-03T09:27:05"/>
        <d v="2022-08-12T16:19:01"/>
        <d v="2022-06-04T15:29:59"/>
        <d v="2022-01-02T15:13:53"/>
        <d v="2023-03-05T18:01:56"/>
        <d v="2022-03-23T11:46:18"/>
        <d v="2023-05-28T20:23:44"/>
        <d v="2023-01-03T00:36:18"/>
        <d v="2023-01-06T00:36:18"/>
        <d v="2023-01-04T00:36:18"/>
        <d v="2022-12-29T05:00:38"/>
        <d v="2022-08-22T08:38:11"/>
        <d v="2022-06-27T04:05:26"/>
        <d v="2023-08-06T01:36:53"/>
        <d v="2022-08-07T09:56:30"/>
        <d v="2023-03-06T19:44:13"/>
        <d v="2022-07-18T16:46:55"/>
        <d v="2023-07-19T08:10:15"/>
        <d v="2022-10-11T22:33:20"/>
        <d v="2022-09-24T04:47:55"/>
        <d v="2023-02-03T00:03:45"/>
        <d v="2023-02-17T16:28:40"/>
        <d v="2023-02-18T16:28:40"/>
        <d v="2023-03-30T21:07:16"/>
        <d v="2022-10-10T14:05:41"/>
        <d v="2022-03-17T21:37:51"/>
        <d v="2022-06-26T07:34:28"/>
        <d v="2022-06-24T07:34:28"/>
        <d v="2022-10-09T04:14:17"/>
        <d v="2022-10-07T04:14:17"/>
        <d v="2022-10-14T14:13:05"/>
        <d v="2022-10-12T14:13:05"/>
        <d v="2022-10-15T14:13:05"/>
        <d v="2022-04-29T08:21:52"/>
        <d v="2022-09-23T11:20:41"/>
        <d v="2022-06-16T02:13:25"/>
        <d v="2022-06-14T02:13:25"/>
        <d v="2022-03-06T21:14:55"/>
        <d v="2022-03-05T21:14:55"/>
        <d v="2023-05-20T05:58:29"/>
        <d v="2022-01-29T14:06:06"/>
        <d v="2022-09-18T01:01:03"/>
        <d v="2023-01-26T19:09:14"/>
        <d v="2022-12-23T15:52:13"/>
        <d v="2022-07-19T08:18:33"/>
        <d v="2022-12-03T23:25:45"/>
        <d v="2022-04-19T21:29:01"/>
        <d v="2022-11-07T23:10:12"/>
        <d v="2022-05-06T18:02:17"/>
        <d v="2022-05-03T18:02:17"/>
        <d v="2022-01-18T22:01:29"/>
        <d v="2022-06-13T18:28:45"/>
        <d v="2022-09-26T11:20:41"/>
        <d v="2022-03-07T21:14:55"/>
        <d v="2022-03-04T21:14:55"/>
        <d v="2022-05-06T21:24:39"/>
        <d v="2023-01-24T19:09:14"/>
        <d v="2023-06-28T02:46:21"/>
        <d v="2023-06-23T02:46:21"/>
        <d v="2022-10-05T04:14:17"/>
        <d v="2022-01-19T22:01:29"/>
        <d v="2022-04-26T08:21:52"/>
        <d v="2022-09-27T11:20:41"/>
        <d v="2022-12-10T15:32:46"/>
        <d v="2022-12-11T15:32:46"/>
        <d v="2022-09-25T11:20:41"/>
        <d v="2022-06-15T02:13:25"/>
        <d v="2022-07-03T02:29:24"/>
        <d v="2022-07-06T02:29:24"/>
        <d v="2022-07-02T02:29:24"/>
        <d v="2023-06-21T15:18:23"/>
        <d v="2023-06-19T15:18:23"/>
        <d v="2022-07-25T06:46:55"/>
        <d v="2022-05-28T15:11:28"/>
        <d v="2022-02-08T19:27:47"/>
        <d v="2023-01-06T15:27:51"/>
        <d v="2022-03-10T23:34:26"/>
        <d v="2022-06-29T04:45:15"/>
        <d v="2022-06-30T04:45:15"/>
        <d v="2023-03-07T00:56:51"/>
        <d v="2023-09-08T09:16:50"/>
        <d v="2022-03-24T17:14:32"/>
        <d v="2023-02-27T18:21:09"/>
        <d v="2022-04-27T22:53:34"/>
        <d v="2023-06-01T11:51:22"/>
        <d v="2023-05-29T11:51:22"/>
        <d v="2023-05-28T11:51:22"/>
        <d v="2023-01-15T21:41:28"/>
        <d v="2023-01-12T21:41:28"/>
        <d v="2023-03-22T09:31:46"/>
        <d v="2022-01-14T04:53:52"/>
        <d v="2022-01-11T04:53:52"/>
        <d v="2023-03-12T19:53:06"/>
        <d v="2023-03-09T19:53:06"/>
        <d v="2022-01-16T06:30:30"/>
        <d v="2022-01-14T06:30:30"/>
        <d v="2022-07-05T02:29:24"/>
        <d v="2023-03-01T13:03:58"/>
        <d v="2023-02-28T13:03:58"/>
        <d v="2023-06-17T15:18:23"/>
        <d v="2022-07-24T06:46:55"/>
        <d v="2022-05-27T15:11:28"/>
        <d v="2022-05-29T15:11:28"/>
        <d v="2022-05-30T15:11:28"/>
        <d v="2022-02-07T19:27:47"/>
        <d v="2022-07-01T10:44:44"/>
        <d v="2022-06-30T10:44:44"/>
        <d v="2023-01-08T15:27:51"/>
        <d v="2022-03-12T23:34:26"/>
        <d v="2022-07-02T04:45:15"/>
        <d v="2022-08-03T00:18:39"/>
        <d v="2022-07-30T00:18:39"/>
        <d v="2022-07-31T00:18:39"/>
        <d v="2023-02-11T13:12:09"/>
        <d v="2023-06-05T18:40:56"/>
        <d v="2022-09-04T07:14:27"/>
        <d v="2023-01-07T09:06:31"/>
        <d v="2022-05-09T00:32:09"/>
        <d v="2022-04-29T22:53:34"/>
        <d v="2023-01-17T21:41:28"/>
        <d v="2023-01-14T21:41:28"/>
        <d v="2023-03-26T09:31:46"/>
        <d v="2023-03-24T09:31:46"/>
        <d v="2022-01-13T04:53:52"/>
        <d v="2023-03-13T19:53:06"/>
        <d v="2023-03-11T19:53:06"/>
        <d v="2023-02-25T13:03:58"/>
        <d v="2022-07-22T06:46:55"/>
        <d v="2022-07-27T06:46:55"/>
        <d v="2022-02-05T19:27:47"/>
        <d v="2022-02-09T19:27:47"/>
        <d v="2022-06-28T10:44:44"/>
        <d v="2022-07-01T04:45:15"/>
        <d v="2022-06-28T04:45:15"/>
        <d v="2023-03-05T00:56:51"/>
        <d v="2023-04-04T15:39:13"/>
        <d v="2022-02-11T19:04:45"/>
        <d v="2023-06-27T20:01:36"/>
        <d v="2022-04-18T13:27:53"/>
        <d v="2022-09-29T11:53:56"/>
        <d v="2022-01-23T04:43:28"/>
        <d v="2023-01-20T09:40:31"/>
        <d v="2022-03-27T20:40:01"/>
        <d v="2022-06-27T20:09:31"/>
        <d v="2023-02-27T17:29:35"/>
        <d v="2023-03-23T09:31:46"/>
        <d v="2022-01-13T06:30:30"/>
        <d v="2022-05-26T15:11:28"/>
        <d v="2023-01-11T15:27:51"/>
        <d v="2022-03-13T23:34:26"/>
        <d v="2022-08-01T00:18:39"/>
        <d v="2022-07-29T00:18:39"/>
        <d v="2023-04-12T18:41:30"/>
        <d v="2022-10-24T23:41:59"/>
        <d v="2023-09-13T07:20:47"/>
        <d v="2022-07-27T23:11:03"/>
        <d v="2023-01-13T21:41:28"/>
        <d v="2023-01-16T21:41:28"/>
        <d v="2023-03-25T09:31:46"/>
        <d v="2022-01-09T04:53:52"/>
        <d v="2022-01-15T06:30:30"/>
        <d v="2023-02-27T13:03:58"/>
        <d v="2023-06-20T15:18:23"/>
        <d v="2022-02-06T19:27:47"/>
        <d v="2022-06-29T10:44:44"/>
        <d v="2023-01-09T15:27:51"/>
        <d v="2022-03-11T23:34:26"/>
        <d v="2022-02-09T19:04:45"/>
        <d v="2022-09-07T07:14:27"/>
        <d v="2022-10-06T06:07:20"/>
        <d v="2022-05-06T00:32:09"/>
        <d v="2022-10-25T23:41:59"/>
        <d v="2023-05-16T01:00:09"/>
        <d v="2023-03-10T19:53:06"/>
        <d v="2023-02-26T13:03:58"/>
        <d v="2022-11-27T02:36:01"/>
        <d v="2023-04-17T21:25:25"/>
        <d v="2022-08-02T12:40:37"/>
        <d v="2022-07-30T12:40:37"/>
        <d v="2023-02-19T10:11:16"/>
        <d v="2022-02-26T05:03:33"/>
        <d v="2023-04-18T21:25:25"/>
        <d v="2023-04-13T21:25:25"/>
        <d v="2023-04-16T21:25:25"/>
        <d v="2022-10-18T22:12:48"/>
        <d v="2022-10-19T22:12:48"/>
        <d v="2022-03-01T05:03:33"/>
        <d v="2022-06-09T19:43:59"/>
        <d v="2022-04-11T07:57:47"/>
      </sharedItems>
      <fieldGroup par="47"/>
    </cacheField>
    <cacheField name="Job advert open date" numFmtId="0">
      <sharedItems containsNonDate="0" containsDate="1" containsString="0" containsBlank="1" minDate="2022-01-07T01:51:52" maxDate="2023-09-20T09:16:50" count="347">
        <d v="2022-02-19T20:00:49"/>
        <d v="2022-03-02T05:03:33"/>
        <d v="2022-04-15T07:57:47"/>
        <d v="2022-06-13T19:43:59"/>
        <m/>
        <d v="2022-08-05T12:40:37"/>
        <d v="2022-10-22T22:12:48"/>
        <d v="2022-11-30T02:36:01"/>
        <d v="2023-02-22T10:11:16"/>
        <d v="2023-04-19T21:25:25"/>
        <d v="2022-07-31T15:16:58"/>
        <d v="2022-05-30T06:38:26"/>
        <d v="2022-10-31T01:36:27"/>
        <d v="2022-10-25T06:23:31"/>
        <d v="2022-10-21T06:23:31"/>
        <d v="2022-07-15T23:32:45"/>
        <d v="2023-08-10T17:10:04"/>
        <d v="2022-05-07T01:23:53"/>
        <d v="2023-09-08T03:11:54"/>
        <d v="2023-02-23T06:26:17"/>
        <d v="2022-04-26T00:53:43"/>
        <d v="2023-01-03T14:26:31"/>
        <d v="2023-01-09T11:21:38"/>
        <d v="2022-11-08T18:46:55"/>
        <d v="2022-10-26T11:57:41"/>
        <d v="2022-09-25T04:28:24"/>
        <d v="2023-07-20T00:25:30"/>
        <d v="2023-04-30T17:36:15"/>
        <d v="2023-08-28T04:29:27"/>
        <d v="2023-06-19T16:08:44"/>
        <d v="2023-09-05T09:52:53"/>
        <d v="2023-01-12T13:36:04"/>
        <d v="2022-05-01T01:49:05"/>
        <d v="2022-11-13T09:11:38"/>
        <d v="2022-04-19T08:33:40"/>
        <d v="2023-03-06T14:36:53"/>
        <d v="2022-10-01T07:13:58"/>
        <d v="2022-07-27T19:16:15"/>
        <d v="2023-06-06T08:55:46"/>
        <d v="2022-07-27T15:16:58"/>
        <d v="2022-05-27T06:38:26"/>
        <d v="2022-11-02T01:36:27"/>
        <d v="2022-11-04T01:36:27"/>
        <d v="2022-10-24T06:23:31"/>
        <d v="2022-10-26T06:23:31"/>
        <d v="2023-04-25T11:59:33"/>
        <d v="2023-07-03T19:35:56"/>
        <d v="2022-11-28T06:58:42"/>
        <d v="2023-08-29T01:40:33"/>
        <d v="2023-04-06T02:03:49"/>
        <d v="2023-04-20T12:42:32"/>
        <d v="2023-04-20T22:30:17"/>
        <d v="2022-03-28T20:57:24"/>
        <d v="2022-09-03T03:59:03"/>
        <d v="2023-04-22T01:19:50"/>
        <d v="2022-02-09T08:53:26"/>
        <d v="2022-12-07T10:23:18"/>
        <d v="2022-11-17T01:50:58"/>
        <d v="2022-10-03T11:30:38"/>
        <d v="2023-04-03T10:15:10"/>
        <d v="2022-08-13T18:56:36"/>
        <d v="2022-02-27T07:21:21"/>
        <d v="2022-03-24T19:24:36"/>
        <d v="2023-04-04T20:36:08"/>
        <d v="2023-08-09T23:55:51"/>
        <d v="2022-11-03T01:02:01"/>
        <d v="2022-04-25T06:08:47"/>
        <d v="2023-08-28T05:59:22"/>
        <d v="2022-07-18T16:58:11"/>
        <d v="2022-03-11T15:00:29"/>
        <d v="2022-12-17T16:11:24"/>
        <d v="2022-06-21T17:40:03"/>
        <d v="2022-02-20T15:51:14"/>
        <d v="2022-03-14T16:28:19"/>
        <d v="2023-08-09T21:15:22"/>
        <d v="2022-12-27T00:23:46"/>
        <d v="2022-09-29T07:15:57"/>
        <d v="2022-12-20T02:09:30"/>
        <d v="2023-09-01T18:08:34"/>
        <d v="2022-10-23T06:23:31"/>
        <d v="2022-04-15T20:14:44"/>
        <d v="2022-11-08T18:32:00"/>
        <d v="2022-08-29T01:58:08"/>
        <d v="2022-07-13T03:08:50"/>
        <d v="2022-04-15T06:44:01"/>
        <d v="2022-04-27T22:26:54"/>
        <d v="2023-08-23T21:15:20"/>
        <d v="2022-07-30T15:16:58"/>
        <d v="2022-07-29T15:16:58"/>
        <d v="2022-05-28T06:38:26"/>
        <d v="2022-10-30T01:36:27"/>
        <d v="2023-02-15T16:21:51"/>
        <d v="2023-05-25T05:58:29"/>
        <d v="2022-05-19T09:15:53"/>
        <d v="2022-08-14T16:27:58"/>
        <d v="2022-07-12T19:56:24"/>
        <d v="2023-03-16T16:28:31"/>
        <d v="2022-02-07T06:40:23"/>
        <d v="2022-06-06T19:49:14"/>
        <d v="2022-12-25T15:52:13"/>
        <d v="2022-09-09T17:35:38"/>
        <d v="2022-07-20T08:18:33"/>
        <d v="2022-04-15T02:42:56"/>
        <d v="2022-06-05T02:35:25"/>
        <d v="2023-07-31T00:06:13"/>
        <d v="2023-06-03T18:50:13"/>
        <d v="2023-06-25T13:28:38"/>
        <d v="2022-12-04T23:25:45"/>
        <d v="2022-11-26T23:03:14"/>
        <d v="2023-03-20T16:55:04"/>
        <d v="2022-08-10T20:03:55"/>
        <d v="2022-04-25T21:29:01"/>
        <d v="2023-01-15T23:55:35"/>
        <d v="2023-05-01T15:28:09"/>
        <d v="2022-11-08T23:10:12"/>
        <d v="2022-06-29T07:34:28"/>
        <d v="2022-05-08T18:02:17"/>
        <d v="2023-02-13T16:21:51"/>
        <d v="2022-12-08T21:41:18"/>
        <d v="2023-05-14T13:06:51"/>
        <d v="2023-04-13T13:44:16"/>
        <d v="2023-06-29T02:46:21"/>
        <d v="2022-01-21T22:01:29"/>
        <d v="2023-07-31T17:45:37"/>
        <d v="2022-10-18T14:13:05"/>
        <d v="2022-05-01T08:21:52"/>
        <d v="2022-06-19T18:28:45"/>
        <d v="2022-12-16T15:32:46"/>
        <d v="2022-09-29T11:20:41"/>
        <d v="2022-03-09T21:14:55"/>
        <d v="2022-02-01T14:06:06"/>
        <d v="2023-03-30T14:35:51"/>
        <d v="2022-01-19T19:56:47"/>
        <d v="2023-01-27T19:09:14"/>
        <d v="2022-03-19T19:06:16"/>
        <d v="2023-02-01T18:59:14"/>
        <d v="2022-10-10T04:14:17"/>
        <d v="2022-06-19T02:13:25"/>
        <d v="2023-01-09T23:42:41"/>
        <d v="2023-01-08T23:42:41"/>
        <d v="2022-03-07T07:11:44"/>
        <d v="2022-03-08T07:11:44"/>
        <d v="2022-12-03T20:42:08"/>
        <d v="2023-04-07T23:49:48"/>
        <d v="2023-05-14T08:44:55"/>
        <d v="2023-07-06T15:45:36"/>
        <d v="2022-07-23T04:48:46"/>
        <d v="2023-06-09T14:00:49"/>
        <d v="2023-03-05T06:20:20"/>
        <d v="2023-04-24T08:48:53"/>
        <d v="2022-04-14T08:33:21"/>
        <d v="2022-11-03T12:00:37"/>
        <d v="2022-11-04T03:08:08"/>
        <d v="2023-08-25T04:19:54"/>
        <d v="2023-01-11T23:42:41"/>
        <d v="2023-07-15T03:57:06"/>
        <d v="2023-07-18T03:57:06"/>
        <d v="2023-02-01T01:18:41"/>
        <d v="2022-02-13T10:00:31"/>
        <d v="2022-02-05T13:06:55"/>
        <d v="2023-06-21T04:51:46"/>
        <d v="2023-03-15T12:45:42"/>
        <d v="2022-12-28T10:35:07"/>
        <d v="2023-06-28T15:39:43"/>
        <d v="2022-11-18T04:40:47"/>
        <d v="2022-03-25T07:08:59"/>
        <d v="2023-01-28T06:41:41"/>
        <d v="2023-06-23T00:56:18"/>
        <d v="2023-04-30T06:21:04"/>
        <d v="2022-12-28T16:31:31"/>
        <d v="2022-08-30T05:47:20"/>
        <d v="2022-07-26T19:23:12"/>
        <d v="2023-01-21T21:12:47"/>
        <d v="2022-11-10T06:56:27"/>
        <d v="2022-08-15T18:15:27"/>
        <d v="2023-06-14T00:15:10"/>
        <d v="2022-03-02T07:11:44"/>
        <d v="2023-07-19T03:57:06"/>
        <d v="2023-07-20T03:57:06"/>
        <d v="2023-04-30T16:37:27"/>
        <d v="2023-04-06T20:12:18"/>
        <d v="2022-07-07T03:02:50"/>
        <d v="2022-08-25T09:24:23"/>
        <d v="2022-01-08T19:39:24"/>
        <d v="2022-12-01T09:55:12"/>
        <d v="2023-02-07T15:37:34"/>
        <d v="2023-07-16T03:57:06"/>
        <d v="2022-06-25T11:38:00"/>
        <d v="2022-06-21T11:38:00"/>
        <d v="2023-02-16T16:21:51"/>
        <d v="2022-08-18T00:55:27"/>
        <d v="2023-04-20T22:01:03"/>
        <d v="2022-09-21T01:01:03"/>
        <d v="2022-05-08T21:24:39"/>
        <d v="2023-02-16T20:47:13"/>
        <d v="2022-06-26T11:38:00"/>
        <d v="2023-02-14T16:21:51"/>
        <d v="2023-03-15T03:56:27"/>
        <d v="2022-05-20T13:40:01"/>
        <d v="2022-10-22T03:55:53"/>
        <d v="2022-06-24T11:38:00"/>
        <d v="2023-08-17T05:35:37"/>
        <d v="2022-10-24T22:49:43"/>
        <d v="2022-06-23T11:38:00"/>
        <d v="2022-06-22T11:38:00"/>
        <d v="2023-02-11T16:21:51"/>
        <d v="2023-03-11T00:56:51"/>
        <d v="2022-01-10T01:20:30"/>
        <d v="2023-06-08T18:40:56"/>
        <d v="2022-09-09T07:14:27"/>
        <d v="2023-06-25T16:02:26"/>
        <d v="2023-02-20T21:37:50"/>
        <d v="2022-01-20T17:35:29"/>
        <d v="2023-03-04T18:21:09"/>
        <d v="2022-12-12T14:20:00"/>
        <d v="2023-07-12T13:00:43"/>
        <d v="2023-03-23T03:24:12"/>
        <d v="2022-07-29T01:19:51"/>
        <d v="2022-06-29T20:09:31"/>
        <d v="2022-07-28T04:55:35"/>
        <d v="2022-07-29T23:11:03"/>
        <d v="2023-05-20T01:00:09"/>
        <d v="2022-04-30T22:53:34"/>
        <d v="2022-02-15T23:46:40"/>
        <d v="2023-02-22T13:12:09"/>
        <d v="2023-02-18T13:12:09"/>
        <d v="2023-09-18T09:16:50"/>
        <d v="2023-09-17T09:16:50"/>
        <d v="2023-07-02T20:01:36"/>
        <d v="2022-04-24T13:27:53"/>
        <d v="2022-01-27T04:43:28"/>
        <d v="2023-01-10T09:06:31"/>
        <d v="2023-01-26T09:40:31"/>
        <d v="2022-03-25T17:14:32"/>
        <d v="2022-10-07T06:07:20"/>
        <d v="2023-07-24T17:32:55"/>
        <d v="2022-04-01T20:40:01"/>
        <d v="2023-09-15T07:20:47"/>
        <d v="2022-01-07T01:51:52"/>
        <d v="2023-03-01T17:29:35"/>
        <d v="2022-06-29T03:24:32"/>
        <d v="2023-03-08T00:56:51"/>
        <d v="2023-03-15T00:56:51"/>
        <d v="2023-04-17T18:41:30"/>
        <d v="2022-08-08T12:23:45"/>
        <d v="2022-05-11T00:32:09"/>
        <d v="2022-10-30T23:41:59"/>
        <d v="2023-03-14T00:56:51"/>
        <d v="2023-04-13T15:39:13"/>
        <d v="2023-04-10T15:39:13"/>
        <d v="2023-02-23T13:12:09"/>
        <d v="2023-02-20T13:12:09"/>
        <d v="2023-09-19T09:16:50"/>
        <d v="2022-02-12T19:04:45"/>
        <d v="2022-10-03T11:53:56"/>
        <d v="2023-04-09T15:39:13"/>
        <d v="2022-02-16T19:04:45"/>
        <d v="2022-04-07T10:38:28"/>
        <d v="2022-05-08T18:40:18"/>
        <d v="2023-08-04T17:11:38"/>
        <d v="2022-02-11T06:22:29"/>
        <d v="2023-08-23T12:50:13"/>
        <d v="2022-07-17T14:26:50"/>
        <d v="2022-10-07T21:05:46"/>
        <d v="2022-10-14T10:12:16"/>
        <d v="2022-02-23T23:17:04"/>
        <d v="2022-06-06T15:29:59"/>
        <d v="2023-03-09T18:01:56"/>
        <d v="2022-11-12T03:27:45"/>
        <d v="2023-09-09T07:41:24"/>
        <d v="2023-09-19T20:10:47"/>
        <d v="2022-03-25T11:46:18"/>
        <d v="2023-01-07T00:36:18"/>
        <d v="2023-01-01T05:00:38"/>
        <d v="2023-06-15T22:29:11"/>
        <d v="2022-03-30T17:39:51"/>
        <d v="2023-03-20T21:55:08"/>
        <d v="2022-07-01T04:05:26"/>
        <d v="2023-08-10T01:36:53"/>
        <d v="2023-04-11T06:23:43"/>
        <d v="2022-08-13T09:56:30"/>
        <d v="2023-03-08T19:44:13"/>
        <d v="2022-02-10T07:54:35"/>
        <d v="2022-07-12T08:13:46"/>
        <d v="2023-06-20T08:54:08"/>
        <d v="2023-04-03T21:07:16"/>
        <d v="2022-10-13T14:05:41"/>
        <d v="2023-01-01T10:52:58"/>
        <d v="2022-03-22T21:37:51"/>
        <d v="2023-04-16T18:21:43"/>
        <d v="2023-07-05T11:30:00"/>
        <d v="2022-12-25T10:20:25"/>
        <d v="2023-04-16T12:37:54"/>
        <d v="2023-06-28T01:56:26"/>
        <d v="2022-07-27T11:44:34"/>
        <d v="2023-04-20T23:01:36"/>
        <d v="2022-08-17T16:19:01"/>
        <d v="2023-04-05T15:41:39"/>
        <d v="2022-03-26T08:24:54"/>
        <d v="2022-01-07T15:13:53"/>
        <d v="2023-06-02T20:23:44"/>
        <d v="2022-08-23T08:38:11"/>
        <d v="2023-09-05T16:35:04"/>
        <d v="2022-12-27T04:33:07"/>
        <d v="2022-07-22T16:46:55"/>
        <d v="2023-07-20T08:10:15"/>
        <d v="2022-10-16T22:33:20"/>
        <d v="2022-09-27T04:47:55"/>
        <d v="2023-07-24T02:28:49"/>
        <d v="2023-02-07T00:03:45"/>
        <d v="2022-11-09T05:17:37"/>
        <d v="2023-07-14T15:23:01"/>
        <d v="2022-01-15T07:25:27"/>
        <d v="2022-11-21T19:43:02"/>
        <d v="2023-02-22T13:42:17"/>
        <d v="2023-02-20T16:28:40"/>
        <d v="2022-05-09T15:27:54"/>
        <d v="2022-05-25T16:15:48"/>
        <d v="2022-07-12T09:51:33"/>
        <d v="2022-02-16T03:23:10"/>
        <d v="2022-07-01T18:38:51"/>
        <d v="2023-09-02T21:41:36"/>
        <d v="2023-08-09T09:27:05"/>
        <d v="2022-04-17T11:01:49"/>
        <d v="2022-07-07T02:29:24"/>
        <d v="2023-06-23T15:18:23"/>
        <d v="2022-07-28T06:46:55"/>
        <d v="2022-06-01T15:11:28"/>
        <d v="2022-02-11T19:27:47"/>
        <d v="2023-01-12T15:27:51"/>
        <d v="2022-03-16T23:34:26"/>
        <d v="2022-07-04T04:45:15"/>
        <d v="2022-08-04T00:18:39"/>
        <d v="2023-09-16T09:16:50"/>
        <d v="2023-06-03T11:51:22"/>
        <d v="2023-01-18T21:41:28"/>
        <d v="2023-03-27T09:31:46"/>
        <d v="2022-01-15T04:53:52"/>
        <d v="2023-03-15T19:53:06"/>
        <d v="2022-01-17T06:30:30"/>
        <d v="2023-03-02T13:03:58"/>
        <d v="2022-07-02T10:44:44"/>
        <d v="2023-02-19T13:12:09"/>
        <d v="2023-04-12T15:39:13"/>
        <d v="2023-03-13T00:56:51"/>
        <d v="2023-09-20T09:16:50"/>
        <d v="2022-02-17T19:04:45"/>
      </sharedItems>
      <fieldGroup par="50"/>
    </cacheField>
    <cacheField name="Time to publish advert" numFmtId="1">
      <sharedItems containsSemiMixedTypes="0" containsString="0" containsNumber="1" minValue="-45182.840821759259" maxValue="45188.840821759259"/>
    </cacheField>
    <cacheField name="Job advert closing date" numFmtId="0">
      <sharedItems containsSemiMixedTypes="0" containsNonDate="0" containsDate="1" containsString="0" minDate="2022-01-12T01:51:52" maxDate="2023-11-04T09:16:50"/>
    </cacheField>
    <cacheField name="Shortlisted Status" numFmtId="0">
      <sharedItems/>
    </cacheField>
    <cacheField name="Interview date" numFmtId="22">
      <sharedItems containsNonDate="0" containsDate="1" containsString="0" containsBlank="1" minDate="2022-01-10T19:39:24" maxDate="2023-10-03T20:10:47"/>
    </cacheField>
    <cacheField name="Hire Status" numFmtId="0">
      <sharedItems containsBlank="1" count="5">
        <s v="FAILED"/>
        <s v="decline"/>
        <m/>
        <s v="Accepted"/>
        <s v="Pending"/>
      </sharedItems>
    </cacheField>
    <cacheField name="Rejection Reason" numFmtId="0">
      <sharedItems containsBlank="1" count="6">
        <s v="Other"/>
        <m/>
        <s v="Not a culture fit"/>
        <s v="Salary expectation too high"/>
        <s v="Position filled by another"/>
        <s v="Didn't pass technical test"/>
      </sharedItems>
    </cacheField>
    <cacheField name="Date job offer" numFmtId="0">
      <sharedItems containsNonDate="0" containsDate="1" containsString="0" containsBlank="1" minDate="2022-01-13T19:39:24" maxDate="2023-10-09T20:10:47"/>
    </cacheField>
    <cacheField name="Offer Status" numFmtId="0">
      <sharedItems containsBlank="1"/>
    </cacheField>
    <cacheField name="Date contract prepared" numFmtId="22">
      <sharedItems containsNonDate="0" containsDate="1" containsString="0" containsBlank="1" minDate="2022-01-12T19:39:24" maxDate="2023-09-26T09:16:50"/>
    </cacheField>
    <cacheField name="Date contract issued " numFmtId="22">
      <sharedItems containsNonDate="0" containsDate="1" containsString="0" containsBlank="1" minDate="2022-01-16T19:39:24" maxDate="2023-09-28T20:10:47"/>
    </cacheField>
    <cacheField name="Reporting date " numFmtId="0">
      <sharedItems containsNonDate="0" containsDate="1" containsString="0" containsBlank="1" minDate="2022-01-12T19:39:24" maxDate="2023-10-06T20:10:47"/>
    </cacheField>
    <cacheField name="Date of induction/onboarding " numFmtId="0">
      <sharedItems containsNonDate="0" containsDate="1" containsString="0" containsBlank="1" minDate="2022-01-22T19:39:24" maxDate="2023-10-05T20:10:47"/>
    </cacheField>
    <cacheField name="Hired" numFmtId="0">
      <sharedItems containsSemiMixedTypes="0" containsString="0" containsNumber="1" containsInteger="1" minValue="0" maxValue="1" count="2">
        <n v="0"/>
        <n v="1"/>
      </sharedItems>
    </cacheField>
    <cacheField name="Date e-file opened" numFmtId="22">
      <sharedItems containsNonDate="0" containsDate="1" containsString="0" containsBlank="1" minDate="2022-01-26T19:39:24" maxDate="2023-10-08T20:10:47"/>
    </cacheField>
    <cacheField name="Date physical file open " numFmtId="22">
      <sharedItems containsNonDate="0" containsDate="1" containsString="0" containsBlank="1" minDate="2022-01-28T19:39:24" maxDate="2023-10-11T20:10:47"/>
    </cacheField>
    <cacheField name="Date of inclusion to benefits " numFmtId="22">
      <sharedItems containsNonDate="0" containsDate="1" containsString="0" containsBlank="1" minDate="2022-01-30T04:53:52" maxDate="2023-10-13T20:10:47"/>
    </cacheField>
    <cacheField name="Comments" numFmtId="0">
      <sharedItems containsNonDate="0" containsString="0" containsBlank="1"/>
    </cacheField>
    <cacheField name="Rejected By" numFmtId="0">
      <sharedItems containsBlank="1"/>
    </cacheField>
    <cacheField name="Date of File Closure" numFmtId="22">
      <sharedItems containsNonDate="0" containsDate="1" containsString="0" containsBlank="1" minDate="2022-02-12T19:39:24" maxDate="2023-10-28T09:16:50"/>
    </cacheField>
    <cacheField name="Candidate ID" numFmtId="0">
      <sharedItems/>
    </cacheField>
    <cacheField name="Candidate Name" numFmtId="0">
      <sharedItems/>
    </cacheField>
    <cacheField name="Application Date" numFmtId="14">
      <sharedItems containsBlank="1"/>
    </cacheField>
    <cacheField name="Candidate Source" numFmtId="0">
      <sharedItems count="3">
        <s v="REFERRAL"/>
        <s v="LinkedIn"/>
        <s v="Job board"/>
      </sharedItems>
    </cacheField>
    <cacheField name="Candidate Source cleaned" numFmtId="0">
      <sharedItems/>
    </cacheField>
    <cacheField name="Probation (Months)" numFmtId="0">
      <sharedItems containsSemiMixedTypes="0" containsString="0" containsNumber="1" containsInteger="1" minValue="3" maxValue="6"/>
    </cacheField>
    <cacheField name="Time to hire" numFmtId="0">
      <sharedItems containsNonDate="0" containsString="0" containsBlank="1"/>
    </cacheField>
    <cacheField name="Time from App to interview" numFmtId="0">
      <sharedItems containsNonDate="0" containsString="0" containsBlank="1" count="1">
        <m/>
      </sharedItems>
    </cacheField>
    <cacheField name="End of Probation date" numFmtId="0">
      <sharedItems containsNonDate="0" containsString="0" containsBlank="1"/>
    </cacheField>
    <cacheField name="Onboarding to file opening" numFmtId="0">
      <sharedItems containsNonDate="0" containsString="0" containsBlank="1"/>
    </cacheField>
    <cacheField name="Open days" numFmtId="0">
      <sharedItems containsNonDate="0" containsString="0" containsBlank="1" count="1">
        <m/>
      </sharedItems>
    </cacheField>
    <cacheField name="Between Interview and Candidate Reporting" numFmtId="0">
      <sharedItems containsNonDate="0" containsString="0" containsBlank="1" count="1">
        <m/>
      </sharedItems>
    </cacheField>
    <cacheField name="Time to approve Requisition" numFmtId="0">
      <sharedItems containsNonDate="0" containsString="0" containsBlank="1"/>
    </cacheField>
    <cacheField name="Time to close file" numFmtId="0">
      <sharedItems containsString="0" containsBlank="1" containsNumber="1" minValue="0" maxValue="45225.840821759259" count="289">
        <m/>
        <n v="0"/>
        <n v="44713.331793981481"/>
        <n v="44824.52820601852"/>
        <n v="44900.925555555557"/>
        <n v="44940.108344907407"/>
        <n v="45027.424490740741"/>
        <n v="44969.566712962973"/>
        <n v="44800.802951388891"/>
        <n v="44800.636782407397"/>
        <n v="44900.266331018523"/>
        <n v="45090.4996875"/>
        <n v="45180.715324074074"/>
        <n v="45080.529537037037"/>
        <n v="44853.166006944448"/>
        <n v="44916.782581018517"/>
        <n v="44903.782581018517"/>
        <n v="45060.427199074067"/>
        <n v="45066.427199074067"/>
        <n v="44659.306493055563"/>
        <n v="45088.733506944453"/>
        <n v="45062.858425925922"/>
        <n v="44709.256099537037"/>
        <n v="44678.625335648147"/>
        <n v="44777.736145833333"/>
        <n v="44638.660578703697"/>
        <n v="44666.686331018522"/>
        <n v="44905.3830787037"/>
        <n v="45117.372060185182"/>
        <n v="45121.372060185182"/>
        <n v="45183.715324074074"/>
        <n v="44961.601747685178"/>
        <n v="44801.13113425926"/>
        <n v="44917.077060185176"/>
        <n v="45154.017708333333"/>
        <n v="45059.858425925922"/>
        <n v="45189.997118055559"/>
        <n v="44674.625335648147"/>
        <n v="44670.625335648147"/>
        <n v="45204.885648148149"/>
        <n v="45194.885648148149"/>
        <n v="45209.885648148149"/>
        <n v="44950.089930555558"/>
        <n v="44701.356712962966"/>
        <n v="45198.755949074082"/>
        <n v="45211.133263888893"/>
        <n v="45075.529537037037"/>
        <n v="44854.166006944448"/>
        <n v="44720.935347222221"/>
        <n v="44800.707071759258"/>
        <n v="44957.674583333333"/>
        <n v="44773.736145833333"/>
        <n v="45041.608946759261"/>
        <n v="45203.249560185177"/>
        <n v="45194.249560185177"/>
        <n v="45198.885648148149"/>
        <n v="44702.356712962966"/>
        <n v="44806.636782407397"/>
        <n v="44906.066979166673"/>
        <n v="44933.290763888886"/>
        <n v="44851.082037037027"/>
        <n v="45090.055439814823"/>
        <n v="44942.432847222219"/>
        <n v="44705.28056712963"/>
        <n v="44727.935347222221"/>
        <n v="44691.808749999997"/>
        <n v="45196.997118055559"/>
        <n v="45187.997118055559"/>
        <n v="45180.997118055559"/>
        <n v="44790.707071759258"/>
        <n v="44873.302743055552"/>
        <n v="44705.356712962966"/>
        <n v="45120.372060185182"/>
        <n v="44994.681840277779"/>
        <n v="44639.278043981481"/>
        <n v="44949.661261574067"/>
        <n v="44749.107928240737"/>
        <n v="45093.644548611112"/>
        <n v="44905.965416666673"/>
        <n v="45167.740011574067"/>
        <n v="44900.592418981483"/>
        <n v="44942.64775462963"/>
        <n v="44630.587569444448"/>
        <n v="44894.176585648151"/>
        <n v="44958.987974537027"/>
        <n v="45051.99291666667"/>
        <n v="44633.546469907407"/>
        <n v="45133.202615740738"/>
        <n v="45020.264120370368"/>
        <n v="44703.356493055559"/>
        <n v="44972.68855324074"/>
        <n v="44841.241203703707"/>
        <n v="45056.841874999998"/>
        <n v="45040.531736111108"/>
        <n v="44960.441053240742"/>
        <n v="45015.264120370368"/>
        <n v="45026.264120370368"/>
        <n v="45153.652581018519"/>
        <n v="45201.180486111109"/>
        <n v="44795.80777777778"/>
        <n v="44979.883877314824"/>
        <n v="44938.41333333333"/>
        <n v="44637.417025462957"/>
        <n v="44638.417025462957"/>
        <n v="45137.202615740738"/>
        <n v="44970.441053240742"/>
        <n v="44702.356493055559"/>
        <n v="45140.039097222223"/>
        <n v="44803.80777777778"/>
        <n v="45118.01053240741"/>
        <n v="45012.651087962957"/>
        <n v="44655.417025462957"/>
        <n v="45081.692673611113"/>
        <n v="45066.841874999998"/>
        <n v="45070.367280092592"/>
        <n v="44603.819027777783"/>
        <n v="44987.278946759259"/>
        <n v="45199.180486111109"/>
        <n v="45210.180486111109"/>
        <n v="44909.289201388892"/>
        <n v="44832.68608796296"/>
        <n v="44803.346215277779"/>
        <n v="45078.57240740741"/>
        <n v="45208.233067129629"/>
        <n v="45134.561550925922"/>
        <n v="44996.681840277779"/>
        <n v="44953.661261574067"/>
        <n v="44697.11314814815"/>
        <n v="45171.004317129627"/>
        <n v="44685.796018518522"/>
        <n v="45072.778819444437"/>
        <n v="44681.718425925923"/>
        <n v="45025.901273148149"/>
        <n v="44773.839942129627"/>
        <n v="44654.990740740737"/>
        <n v="45044.880046296297"/>
        <n v="44887.587280092594"/>
        <n v="45159.479166666657"/>
        <n v="44972.430844907409"/>
        <n v="45055.653923611113"/>
        <n v="44684.350624999999"/>
        <n v="44615.634641203702"/>
        <n v="44686.490486111114"/>
        <n v="44674.490486111114"/>
        <n v="44956.208773148152"/>
        <n v="45037.913287037038"/>
        <n v="45162.340451388889"/>
        <n v="45179.340451388889"/>
        <n v="44889.939814814818"/>
        <n v="45148.640983796293"/>
        <n v="44617.309340277781"/>
        <n v="45018.571030092593"/>
        <n v="45014.571030092593"/>
        <n v="45133.370925925927"/>
        <n v="44718.777986111112"/>
        <n v="45179.393807870372"/>
        <n v="45225.840821759259"/>
        <n v="44828.359849537039"/>
        <n v="44842.359849537039"/>
        <n v="44838.359849537039"/>
        <n v="44677.736006944448"/>
        <n v="45047.913287037038"/>
        <n v="45074.266469907408"/>
        <n v="44902.939814814818"/>
        <n v="45183.103344907409"/>
        <n v="44919.821550925917"/>
        <n v="44733.644375000003"/>
        <n v="44742.67763888889"/>
        <n v="45049.880046296297"/>
        <n v="45045.880046296297"/>
        <n v="44899.587280092594"/>
        <n v="45075.765081018522"/>
        <n v="45193.716412037043"/>
        <n v="44652.141087962962"/>
        <n v="44646.141087962962"/>
        <n v="44961.430844907409"/>
        <n v="44648.970185185193"/>
        <n v="44966.208773148152"/>
        <n v="45206.691018518519"/>
        <n v="45154.340451388889"/>
        <n v="44678.901284722233"/>
        <n v="45165.340451388889"/>
        <n v="45169.103344907409"/>
        <n v="45005.002604166657"/>
        <n v="45007.002604166657"/>
        <n v="44616.309340277781"/>
        <n v="44918.821550925917"/>
        <n v="44927.821550925917"/>
        <n v="44922.821550925917"/>
        <n v="44934.821550925917"/>
        <n v="44795.410798611112"/>
        <n v="44969.453449074077"/>
        <n v="44648.141087962962"/>
        <n v="45151.479166666657"/>
        <n v="45069.526319444441"/>
        <n v="44648.265613425923"/>
        <n v="45208.90388888889"/>
        <n v="45203.534872685188"/>
        <n v="44796.601967592593"/>
        <n v="44871.879004629627"/>
        <n v="44923.144270833327"/>
        <n v="45105.849814814806"/>
        <n v="44973.025208333333"/>
        <n v="45141.936932870369"/>
        <n v="44787.170439814807"/>
        <n v="44638.329571759263"/>
        <n v="44859.199942129628"/>
        <n v="44758.67763888889"/>
        <n v="44975.453449074077"/>
        <n v="44731.751585648148"/>
        <n v="44888.592418981483"/>
        <n v="44732.34851851852"/>
        <n v="44878.472696759258"/>
        <n v="44775.092650462961"/>
        <n v="44612.831099537027"/>
        <n v="45000.798078703701"/>
        <n v="44961.661261574067"/>
        <n v="45113.546423611107"/>
        <n v="44736.569456018522"/>
        <n v="44877.176585648151"/>
        <n v="44624.917696759258"/>
        <n v="44772.769965277781"/>
        <n v="44945.64775462963"/>
        <n v="44617.831099537027"/>
        <n v="44853.733078703714"/>
        <n v="44857.733078703714"/>
        <n v="45083.644548611112"/>
        <n v="45154.115520833337"/>
        <n v="45182.740011574067"/>
        <n v="44883.592418981483"/>
        <n v="44754.769965277781"/>
        <n v="44872.472696759258"/>
        <n v="44795.103750000002"/>
        <n v="44669.982245370367"/>
        <n v="44785.19809027778"/>
        <n v="44641.794965277782"/>
        <n v="44676.718425925923"/>
        <n v="44736.022326388891"/>
        <n v="45098.041770833333"/>
        <n v="44711.953865740739"/>
        <n v="45116.494004629632"/>
        <n v="44969.903796296298"/>
        <n v="45038.828541666669"/>
        <n v="44630.271180555559"/>
        <n v="44745.632962962962"/>
        <n v="44781.19809027778"/>
        <n v="45142.834444444437"/>
        <n v="44843.301701388889"/>
        <n v="44672.718425925923"/>
        <n v="45052.141805555562"/>
        <n v="44769.839942129627"/>
        <n v="45020.544421296298"/>
        <n v="44783.19809027778"/>
        <n v="44823.01295138889"/>
        <n v="45037.039479166669"/>
        <n v="44646.794965277782"/>
        <n v="44873.495787037027"/>
        <n v="44867.495787037027"/>
        <n v="44880.25509259259"/>
        <n v="45160.731192129628"/>
        <n v="44702.861122685194"/>
        <n v="44623.732974537037"/>
        <n v="44791.14203703704"/>
        <n v="45116.041770833333"/>
        <n v="44782.103750000002"/>
        <n v="44672.982245370367"/>
        <n v="44684.982245370367"/>
        <n v="44776.19809027778"/>
        <n v="44815.01295138889"/>
        <n v="45055.397060185183"/>
        <n v="44604.204074074078"/>
        <n v="44643.810960648138"/>
        <n v="44813.01295138889"/>
        <n v="45129.668356481481"/>
        <n v="45078.778819444437"/>
        <n v="44881.25509259259"/>
        <n v="44873.25509259259"/>
        <n v="44693.861122685194"/>
        <n v="45223.30609953704"/>
        <n v="44813.966006944444"/>
        <n v="45093.041770833333"/>
        <n v="45036.828541666669"/>
        <n v="44792.447731481479"/>
        <n v="44934.108344907407"/>
        <n v="44773.822210648148"/>
        <n v="45019.424490740741"/>
        <n v="44765.822210648148"/>
        <n v="45071.892650462964"/>
        <n v="44816.52820601852"/>
      </sharedItems>
    </cacheField>
    <cacheField name="Time from inclusion to benefits" numFmtId="0">
      <sharedItems containsNonDate="0" containsString="0" containsBlank="1" count="1">
        <m/>
      </sharedItems>
    </cacheField>
    <cacheField name="Months (Vacancy approval date)" numFmtId="0" databaseField="0">
      <fieldGroup base="9">
        <rangePr groupBy="months" startDate="2022-01-02T15:13:53" endDate="2023-09-18T20:10:47"/>
        <groupItems count="14">
          <s v="&lt;02/01/2022"/>
          <s v="Jan"/>
          <s v="Feb"/>
          <s v="Mar"/>
          <s v="Apr"/>
          <s v="May"/>
          <s v="Jun"/>
          <s v="Jul"/>
          <s v="Aug"/>
          <s v="Sep"/>
          <s v="Oct"/>
          <s v="Nov"/>
          <s v="Dec"/>
          <s v="&gt;18/09/2023"/>
        </groupItems>
      </fieldGroup>
    </cacheField>
    <cacheField name="Quarters (Vacancy approval date)" numFmtId="0" databaseField="0">
      <fieldGroup base="9">
        <rangePr groupBy="quarters" startDate="2022-01-02T15:13:53" endDate="2023-09-18T20:10:47"/>
        <groupItems count="6">
          <s v="&lt;02/01/2022"/>
          <s v="Qtr1"/>
          <s v="Qtr2"/>
          <s v="Qtr3"/>
          <s v="Qtr4"/>
          <s v="&gt;18/09/2023"/>
        </groupItems>
      </fieldGroup>
    </cacheField>
    <cacheField name="Years (Vacancy approval date)" numFmtId="0" databaseField="0">
      <fieldGroup base="9">
        <rangePr groupBy="years" startDate="2022-01-02T15:13:53" endDate="2023-09-18T20:10:47"/>
        <groupItems count="4">
          <s v="&lt;02/01/2022"/>
          <s v="2022"/>
          <s v="2023"/>
          <s v="&gt;18/09/2023"/>
        </groupItems>
      </fieldGroup>
    </cacheField>
    <cacheField name="Months (Job advert open date)" numFmtId="0" databaseField="0">
      <fieldGroup base="10">
        <rangePr groupBy="months" startDate="2022-01-07T01:51:52" endDate="2023-09-20T09:16:50"/>
        <groupItems count="14">
          <s v="&lt;07/01/2022"/>
          <s v="Jan"/>
          <s v="Feb"/>
          <s v="Mar"/>
          <s v="Apr"/>
          <s v="May"/>
          <s v="Jun"/>
          <s v="Jul"/>
          <s v="Aug"/>
          <s v="Sep"/>
          <s v="Oct"/>
          <s v="Nov"/>
          <s v="Dec"/>
          <s v="&gt;20/09/2023"/>
        </groupItems>
      </fieldGroup>
    </cacheField>
    <cacheField name="Quarters (Job advert open date)" numFmtId="0" databaseField="0">
      <fieldGroup base="10">
        <rangePr groupBy="quarters" startDate="2022-01-07T01:51:52" endDate="2023-09-20T09:16:50"/>
        <groupItems count="6">
          <s v="&lt;07/01/2022"/>
          <s v="Qtr1"/>
          <s v="Qtr2"/>
          <s v="Qtr3"/>
          <s v="Qtr4"/>
          <s v="&gt;20/09/2023"/>
        </groupItems>
      </fieldGroup>
    </cacheField>
    <cacheField name="Years (Job advert open date)" numFmtId="0" databaseField="0">
      <fieldGroup base="10">
        <rangePr groupBy="years" startDate="2022-01-07T01:51:52" endDate="2023-09-20T09:16:50"/>
        <groupItems count="4">
          <s v="&lt;07/01/2022"/>
          <s v="2022"/>
          <s v="2023"/>
          <s v="&gt;20/09/2023"/>
        </groupItems>
      </fieldGroup>
    </cacheField>
  </cacheFields>
  <extLst>
    <ext xmlns:x14="http://schemas.microsoft.com/office/spreadsheetml/2009/9/main" uri="{725AE2AE-9491-48be-B2B4-4EB974FC3084}">
      <x14:pivotCacheDefinition pivotCacheId="1226231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n v="525"/>
    <s v="525 | Administation"/>
    <x v="0"/>
    <x v="0"/>
    <x v="0"/>
    <x v="0"/>
    <s v="Risk Management-Analyst"/>
    <x v="0"/>
    <d v="2022-02-10T20:00:49"/>
    <x v="0"/>
    <x v="0"/>
    <n v="9"/>
    <d v="2022-03-07T20:00:49"/>
    <s v="Yes"/>
    <d v="2022-02-24T20:00:49"/>
    <x v="0"/>
    <x v="0"/>
    <m/>
    <m/>
    <m/>
    <m/>
    <m/>
    <m/>
    <x v="0"/>
    <m/>
    <m/>
    <m/>
    <m/>
    <s v="Company"/>
    <m/>
    <s v="C1000"/>
    <s v="Candidate_0"/>
    <s v="02-05-2022"/>
    <x v="0"/>
    <s v="Referral"/>
    <n v="6"/>
    <m/>
    <x v="0"/>
    <m/>
    <m/>
    <x v="0"/>
    <x v="0"/>
    <m/>
    <x v="0"/>
    <x v="0"/>
  </r>
  <r>
    <n v="524"/>
    <s v="524 | Administation"/>
    <x v="1"/>
    <x v="0"/>
    <x v="1"/>
    <x v="0"/>
    <s v="Risk Management-Analyst"/>
    <x v="1"/>
    <d v="2022-02-13T20:00:49"/>
    <x v="0"/>
    <x v="0"/>
    <n v="6"/>
    <d v="2022-02-24T20:00:49"/>
    <s v="Yes"/>
    <d v="2022-02-25T20:00:49"/>
    <x v="1"/>
    <x v="1"/>
    <d v="2022-03-02T20:00:49"/>
    <s v="Declined"/>
    <m/>
    <m/>
    <d v="2022-02-27T20:00:49"/>
    <m/>
    <x v="0"/>
    <m/>
    <m/>
    <m/>
    <m/>
    <m/>
    <m/>
    <s v="C1001"/>
    <s v="Candidate_1"/>
    <s v="02-11-2022"/>
    <x v="1"/>
    <s v="Linkedin"/>
    <n v="3"/>
    <m/>
    <x v="0"/>
    <m/>
    <m/>
    <x v="0"/>
    <x v="0"/>
    <m/>
    <x v="0"/>
    <x v="0"/>
  </r>
  <r>
    <n v="522"/>
    <s v="522 | Administation"/>
    <x v="1"/>
    <x v="0"/>
    <x v="1"/>
    <x v="0"/>
    <s v="Risk Management-Analyst"/>
    <x v="1"/>
    <d v="2022-02-17T20:00:49"/>
    <x v="1"/>
    <x v="0"/>
    <n v="2"/>
    <d v="2022-02-28T20:00:49"/>
    <s v="Yes"/>
    <d v="2022-02-21T20:00:49"/>
    <x v="1"/>
    <x v="1"/>
    <d v="2022-02-26T20:00:49"/>
    <s v="Declined"/>
    <m/>
    <m/>
    <d v="2022-02-22T20:00:49"/>
    <m/>
    <x v="0"/>
    <m/>
    <m/>
    <m/>
    <m/>
    <m/>
    <m/>
    <s v="C1002"/>
    <s v="Candidate_2"/>
    <s v="05/02/2022"/>
    <x v="2"/>
    <s v="Job Board"/>
    <n v="6"/>
    <m/>
    <x v="0"/>
    <m/>
    <m/>
    <x v="0"/>
    <x v="0"/>
    <m/>
    <x v="1"/>
    <x v="0"/>
  </r>
  <r>
    <n v="407"/>
    <s v="407 | Administation"/>
    <x v="1"/>
    <x v="0"/>
    <x v="1"/>
    <x v="1"/>
    <s v="Risk Management-Supervisor"/>
    <x v="1"/>
    <d v="2022-02-20T05:03:33"/>
    <x v="2"/>
    <x v="1"/>
    <n v="10"/>
    <d v="2022-03-13T05:03:33"/>
    <s v="No"/>
    <m/>
    <x v="2"/>
    <x v="1"/>
    <m/>
    <m/>
    <m/>
    <m/>
    <m/>
    <m/>
    <x v="0"/>
    <m/>
    <m/>
    <m/>
    <m/>
    <m/>
    <m/>
    <s v="C1003"/>
    <s v="Candidate_3"/>
    <m/>
    <x v="1"/>
    <s v="Linkedin"/>
    <n v="6"/>
    <m/>
    <x v="0"/>
    <m/>
    <m/>
    <x v="0"/>
    <x v="0"/>
    <m/>
    <x v="1"/>
    <x v="0"/>
  </r>
  <r>
    <n v="401"/>
    <s v="401 | Administation"/>
    <x v="0"/>
    <x v="0"/>
    <x v="2"/>
    <x v="2"/>
    <s v="Risk Management-Director"/>
    <x v="2"/>
    <d v="2022-02-21T05:03:33"/>
    <x v="2"/>
    <x v="1"/>
    <n v="9"/>
    <d v="2022-03-25T05:03:33"/>
    <s v="Yes"/>
    <d v="2022-03-06T05:03:33"/>
    <x v="1"/>
    <x v="1"/>
    <d v="2022-03-10T05:03:33"/>
    <s v="Declined"/>
    <m/>
    <m/>
    <d v="2022-03-07T05:03:33"/>
    <m/>
    <x v="0"/>
    <m/>
    <m/>
    <m/>
    <m/>
    <m/>
    <m/>
    <s v="C1004"/>
    <s v="Candidate_4"/>
    <s v="02-23-2022"/>
    <x v="0"/>
    <s v="Referral"/>
    <n v="6"/>
    <m/>
    <x v="0"/>
    <m/>
    <m/>
    <x v="0"/>
    <x v="0"/>
    <m/>
    <x v="1"/>
    <x v="0"/>
  </r>
  <r>
    <n v="404"/>
    <s v="404 | Administation"/>
    <x v="1"/>
    <x v="0"/>
    <x v="2"/>
    <x v="2"/>
    <s v="Risk Management-Director"/>
    <x v="2"/>
    <d v="2022-02-22T05:03:33"/>
    <x v="2"/>
    <x v="1"/>
    <n v="8"/>
    <d v="2022-03-31T05:03:33"/>
    <s v="Yes"/>
    <d v="2022-03-14T05:03:33"/>
    <x v="0"/>
    <x v="2"/>
    <m/>
    <m/>
    <m/>
    <m/>
    <d v="2022-03-17T05:03:33"/>
    <m/>
    <x v="0"/>
    <m/>
    <m/>
    <m/>
    <m/>
    <s v="Company"/>
    <m/>
    <s v="C1005"/>
    <s v="Candidate_5"/>
    <s v="03-03-2022"/>
    <x v="2"/>
    <s v="Job Board"/>
    <n v="3"/>
    <m/>
    <x v="0"/>
    <m/>
    <m/>
    <x v="0"/>
    <x v="0"/>
    <m/>
    <x v="1"/>
    <x v="0"/>
  </r>
  <r>
    <n v="403"/>
    <s v="403 | Administation"/>
    <x v="1"/>
    <x v="0"/>
    <x v="2"/>
    <x v="2"/>
    <s v="Risk Management-Director"/>
    <x v="2"/>
    <d v="2022-02-24T05:03:33"/>
    <x v="3"/>
    <x v="1"/>
    <n v="6"/>
    <d v="2022-03-28T05:03:33"/>
    <s v="Yes"/>
    <d v="2022-03-09T05:03:33"/>
    <x v="0"/>
    <x v="2"/>
    <m/>
    <m/>
    <m/>
    <m/>
    <m/>
    <m/>
    <x v="0"/>
    <m/>
    <m/>
    <m/>
    <m/>
    <s v="Company"/>
    <m/>
    <s v="C1006"/>
    <s v="Candidate_6"/>
    <s v="20/02/2022"/>
    <x v="2"/>
    <s v="Job Board"/>
    <n v="3"/>
    <m/>
    <x v="0"/>
    <m/>
    <m/>
    <x v="0"/>
    <x v="0"/>
    <m/>
    <x v="1"/>
    <x v="0"/>
  </r>
  <r>
    <n v="408"/>
    <s v="408 | Administation"/>
    <x v="1"/>
    <x v="0"/>
    <x v="0"/>
    <x v="0"/>
    <s v="Risk Management-Analyst"/>
    <x v="0"/>
    <d v="2022-02-25T05:03:33"/>
    <x v="4"/>
    <x v="1"/>
    <n v="5"/>
    <d v="2022-03-14T05:03:33"/>
    <s v="Yes"/>
    <d v="2022-03-07T05:03:33"/>
    <x v="1"/>
    <x v="1"/>
    <d v="2022-03-14T05:03:33"/>
    <s v="Declined"/>
    <m/>
    <m/>
    <d v="2022-03-11T05:03:33"/>
    <m/>
    <x v="0"/>
    <m/>
    <m/>
    <m/>
    <m/>
    <m/>
    <m/>
    <s v="C1007"/>
    <s v="Candidate_7"/>
    <s v="02-17-2022"/>
    <x v="2"/>
    <s v="Job Board"/>
    <n v="3"/>
    <m/>
    <x v="0"/>
    <m/>
    <m/>
    <x v="0"/>
    <x v="0"/>
    <m/>
    <x v="1"/>
    <x v="0"/>
  </r>
  <r>
    <n v="409"/>
    <s v="409 | Administation"/>
    <x v="1"/>
    <x v="0"/>
    <x v="2"/>
    <x v="2"/>
    <s v="Risk Management-Director"/>
    <x v="2"/>
    <d v="2022-02-25T05:03:33"/>
    <x v="4"/>
    <x v="1"/>
    <n v="5"/>
    <d v="2022-03-15T05:03:33"/>
    <s v="Yes"/>
    <d v="2022-03-09T05:03:33"/>
    <x v="0"/>
    <x v="0"/>
    <m/>
    <m/>
    <m/>
    <m/>
    <m/>
    <m/>
    <x v="0"/>
    <m/>
    <m/>
    <m/>
    <m/>
    <s v="Candidate"/>
    <m/>
    <s v="C1008"/>
    <s v="Candidate_8"/>
    <s v="03-03-2022"/>
    <x v="0"/>
    <s v="Referral"/>
    <n v="3"/>
    <m/>
    <x v="0"/>
    <m/>
    <m/>
    <x v="0"/>
    <x v="0"/>
    <m/>
    <x v="1"/>
    <x v="0"/>
  </r>
  <r>
    <n v="405"/>
    <s v="405 | Administation"/>
    <x v="2"/>
    <x v="0"/>
    <x v="2"/>
    <x v="2"/>
    <s v="Risk Management-Director"/>
    <x v="2"/>
    <d v="2022-02-25T05:03:33"/>
    <x v="0"/>
    <x v="1"/>
    <n v="5"/>
    <d v="2022-03-30T05:03:33"/>
    <s v="Yes"/>
    <d v="2022-03-05T05:03:33"/>
    <x v="3"/>
    <x v="1"/>
    <d v="2022-03-07T05:03:33"/>
    <s v="Accepted"/>
    <d v="2022-03-06T05:03:33"/>
    <d v="2022-03-09T05:03:33"/>
    <d v="2022-03-06T05:03:33"/>
    <d v="2022-03-08T05:03:33"/>
    <x v="1"/>
    <d v="2022-03-11T05:03:33"/>
    <d v="2022-03-13T05:03:33"/>
    <d v="2022-03-16T05:03:33"/>
    <m/>
    <m/>
    <d v="2022-03-28T05:03:33"/>
    <s v="C1009"/>
    <s v="Candidate_9"/>
    <s v="02-15-2022"/>
    <x v="1"/>
    <s v="Linkedin"/>
    <n v="6"/>
    <m/>
    <x v="0"/>
    <m/>
    <m/>
    <x v="0"/>
    <x v="0"/>
    <m/>
    <x v="0"/>
    <x v="0"/>
  </r>
  <r>
    <n v="410"/>
    <s v="410 | Administation"/>
    <x v="0"/>
    <x v="0"/>
    <x v="1"/>
    <x v="1"/>
    <s v="Risk Management-Supervisor"/>
    <x v="1"/>
    <d v="2022-02-26T05:03:33"/>
    <x v="4"/>
    <x v="1"/>
    <n v="4"/>
    <d v="2022-03-31T05:03:33"/>
    <s v="Yes"/>
    <d v="2022-03-04T05:03:33"/>
    <x v="1"/>
    <x v="1"/>
    <d v="2022-03-08T05:03:33"/>
    <s v="Declined"/>
    <m/>
    <m/>
    <d v="2022-03-05T05:03:33"/>
    <m/>
    <x v="0"/>
    <m/>
    <m/>
    <m/>
    <m/>
    <m/>
    <m/>
    <s v="C1010"/>
    <s v="Candidate_10"/>
    <s v="Feb 13 2022"/>
    <x v="2"/>
    <s v="Job Board"/>
    <n v="6"/>
    <m/>
    <x v="0"/>
    <m/>
    <m/>
    <x v="0"/>
    <x v="0"/>
    <m/>
    <x v="1"/>
    <x v="0"/>
  </r>
  <r>
    <n v="211"/>
    <s v="211 | Administation"/>
    <x v="0"/>
    <x v="0"/>
    <x v="0"/>
    <x v="0"/>
    <s v="Risk Management-Analyst"/>
    <x v="0"/>
    <d v="2022-04-06T07:57:47"/>
    <x v="5"/>
    <x v="2"/>
    <n v="9"/>
    <d v="2022-05-01T07:57:47"/>
    <s v="Yes"/>
    <d v="2022-05-01T07:57:47"/>
    <x v="3"/>
    <x v="1"/>
    <d v="2022-05-07T07:57:47"/>
    <s v="Accepted"/>
    <d v="2022-05-02T07:57:47"/>
    <d v="2022-05-05T07:57:47"/>
    <d v="2022-05-04T07:57:47"/>
    <d v="2022-05-11T07:57:47"/>
    <x v="1"/>
    <d v="2022-05-13T07:57:47"/>
    <d v="2022-05-15T07:57:47"/>
    <d v="2022-05-17T07:57:47"/>
    <m/>
    <m/>
    <d v="2022-06-02T07:57:47"/>
    <s v="C1011"/>
    <s v="Candidate_11"/>
    <s v="04-24-2022"/>
    <x v="1"/>
    <s v="Linkedin"/>
    <n v="6"/>
    <m/>
    <x v="0"/>
    <m/>
    <m/>
    <x v="0"/>
    <x v="0"/>
    <m/>
    <x v="2"/>
    <x v="0"/>
  </r>
  <r>
    <n v="219"/>
    <s v="219 | Administation"/>
    <x v="0"/>
    <x v="0"/>
    <x v="1"/>
    <x v="1"/>
    <s v="Risk Management-Supervisor"/>
    <x v="1"/>
    <d v="2022-04-06T07:57:47"/>
    <x v="6"/>
    <x v="2"/>
    <n v="9"/>
    <d v="2022-05-03T07:57:47"/>
    <s v="Yes"/>
    <d v="2022-04-24T07:57:47"/>
    <x v="1"/>
    <x v="1"/>
    <d v="2022-04-30T07:57:47"/>
    <s v="Declined"/>
    <m/>
    <m/>
    <d v="2022-04-28T07:57:47"/>
    <m/>
    <x v="0"/>
    <m/>
    <m/>
    <m/>
    <m/>
    <m/>
    <m/>
    <s v="C1012"/>
    <s v="Candidate_12"/>
    <s v="Apr 18 2022"/>
    <x v="2"/>
    <s v="Job Board"/>
    <n v="3"/>
    <m/>
    <x v="0"/>
    <m/>
    <m/>
    <x v="0"/>
    <x v="0"/>
    <m/>
    <x v="1"/>
    <x v="0"/>
  </r>
  <r>
    <n v="220"/>
    <s v="220 | Administation"/>
    <x v="2"/>
    <x v="0"/>
    <x v="2"/>
    <x v="3"/>
    <s v="Risk Management-Head of Department"/>
    <x v="2"/>
    <d v="2022-04-11T07:57:47"/>
    <x v="7"/>
    <x v="2"/>
    <n v="4"/>
    <d v="2022-10-22T07:57:47"/>
    <s v="No"/>
    <m/>
    <x v="2"/>
    <x v="1"/>
    <m/>
    <m/>
    <m/>
    <m/>
    <m/>
    <m/>
    <x v="0"/>
    <m/>
    <m/>
    <m/>
    <m/>
    <m/>
    <m/>
    <s v="C1013"/>
    <s v="Candidate_13"/>
    <m/>
    <x v="2"/>
    <s v="Job Board"/>
    <n v="3"/>
    <m/>
    <x v="0"/>
    <m/>
    <m/>
    <x v="0"/>
    <x v="0"/>
    <m/>
    <x v="1"/>
    <x v="0"/>
  </r>
  <r>
    <n v="216"/>
    <s v="216 | Administation"/>
    <x v="1"/>
    <x v="0"/>
    <x v="1"/>
    <x v="1"/>
    <s v="Risk Management-Supervisor"/>
    <x v="1"/>
    <m/>
    <x v="8"/>
    <x v="2"/>
    <n v="44666.331793981481"/>
    <d v="2022-04-28T07:57:47"/>
    <s v="Yes"/>
    <d v="2022-04-24T07:57:47"/>
    <x v="3"/>
    <x v="1"/>
    <d v="2022-04-28T07:57:47"/>
    <s v="Accepted"/>
    <d v="2022-04-26T07:57:47"/>
    <d v="2022-04-29T07:57:47"/>
    <d v="2022-04-25T07:57:47"/>
    <d v="2022-04-26T07:57:47"/>
    <x v="1"/>
    <d v="2022-04-28T07:57:47"/>
    <d v="2022-05-01T07:57:47"/>
    <d v="2022-05-03T07:57:47"/>
    <m/>
    <m/>
    <d v="2022-05-21T07:57:47"/>
    <s v="C1014"/>
    <s v="Candidate_14"/>
    <s v="18/04/2022"/>
    <x v="2"/>
    <s v="Job Board"/>
    <n v="3"/>
    <m/>
    <x v="0"/>
    <m/>
    <m/>
    <x v="0"/>
    <x v="0"/>
    <m/>
    <x v="0"/>
    <x v="0"/>
  </r>
  <r>
    <n v="215"/>
    <s v="215 | Administation"/>
    <x v="1"/>
    <x v="0"/>
    <x v="2"/>
    <x v="3"/>
    <s v="Risk Management-Head of Department"/>
    <x v="2"/>
    <m/>
    <x v="7"/>
    <x v="2"/>
    <n v="44666.331793981481"/>
    <d v="2022-10-22T07:57:47"/>
    <s v="Yes"/>
    <d v="2022-04-28T07:57:47"/>
    <x v="0"/>
    <x v="0"/>
    <m/>
    <m/>
    <m/>
    <m/>
    <m/>
    <m/>
    <x v="0"/>
    <m/>
    <m/>
    <m/>
    <m/>
    <s v="Company"/>
    <m/>
    <s v="C1015"/>
    <s v="Candidate_15"/>
    <s v="11/04/2022"/>
    <x v="1"/>
    <s v="Linkedin"/>
    <n v="6"/>
    <m/>
    <x v="0"/>
    <m/>
    <m/>
    <x v="0"/>
    <x v="0"/>
    <m/>
    <x v="0"/>
    <x v="0"/>
  </r>
  <r>
    <n v="339"/>
    <s v="339 | Administation"/>
    <x v="2"/>
    <x v="0"/>
    <x v="0"/>
    <x v="0"/>
    <s v="Risk Management-Analyst"/>
    <x v="0"/>
    <m/>
    <x v="9"/>
    <x v="3"/>
    <n v="44725.822210648148"/>
    <d v="2022-06-19T19:43:59"/>
    <s v="Yes"/>
    <d v="2022-06-25T19:43:59"/>
    <x v="0"/>
    <x v="3"/>
    <m/>
    <m/>
    <m/>
    <m/>
    <m/>
    <m/>
    <x v="0"/>
    <m/>
    <m/>
    <m/>
    <m/>
    <s v="Company"/>
    <m/>
    <s v="C1016"/>
    <s v="Candidate_16"/>
    <s v="Jun 15 2022"/>
    <x v="0"/>
    <s v="Referral"/>
    <n v="6"/>
    <m/>
    <x v="0"/>
    <m/>
    <m/>
    <x v="0"/>
    <x v="0"/>
    <m/>
    <x v="0"/>
    <x v="0"/>
  </r>
  <r>
    <n v="338"/>
    <s v="338 | Administation"/>
    <x v="1"/>
    <x v="0"/>
    <x v="1"/>
    <x v="1"/>
    <s v="Risk Management-Supervisor"/>
    <x v="1"/>
    <d v="2022-06-08T19:43:59"/>
    <x v="10"/>
    <x v="4"/>
    <n v="-44720.822210648148"/>
    <d v="2022-06-27T19:43:59"/>
    <s v="Yes"/>
    <d v="2022-06-17T19:43:59"/>
    <x v="1"/>
    <x v="1"/>
    <d v="2022-06-20T19:43:59"/>
    <s v="Declined"/>
    <m/>
    <m/>
    <d v="2022-06-19T19:43:59"/>
    <m/>
    <x v="0"/>
    <m/>
    <m/>
    <m/>
    <m/>
    <m/>
    <m/>
    <s v="C1017"/>
    <s v="Candidate_17"/>
    <s v="05/06/2022"/>
    <x v="2"/>
    <s v="Job Board"/>
    <n v="3"/>
    <m/>
    <x v="0"/>
    <m/>
    <m/>
    <x v="0"/>
    <x v="0"/>
    <m/>
    <x v="0"/>
    <x v="0"/>
  </r>
  <r>
    <n v="335"/>
    <s v="335 | Administation"/>
    <x v="1"/>
    <x v="0"/>
    <x v="2"/>
    <x v="2"/>
    <s v="Risk Management-Director"/>
    <x v="2"/>
    <d v="2022-06-11T19:43:59"/>
    <x v="11"/>
    <x v="3"/>
    <n v="2"/>
    <d v="2022-07-06T19:43:59"/>
    <s v="Yes"/>
    <d v="2022-06-17T19:43:59"/>
    <x v="1"/>
    <x v="1"/>
    <d v="2022-06-22T19:43:59"/>
    <s v="Declined"/>
    <m/>
    <m/>
    <d v="2022-06-19T19:43:59"/>
    <m/>
    <x v="0"/>
    <m/>
    <m/>
    <m/>
    <m/>
    <m/>
    <m/>
    <s v="C1018"/>
    <s v="Candidate_18"/>
    <s v="29/05/2022"/>
    <x v="0"/>
    <s v="Referral"/>
    <n v="3"/>
    <m/>
    <x v="0"/>
    <m/>
    <m/>
    <x v="0"/>
    <x v="0"/>
    <m/>
    <x v="1"/>
    <x v="0"/>
  </r>
  <r>
    <n v="35"/>
    <s v="35 | Administation"/>
    <x v="0"/>
    <x v="0"/>
    <x v="2"/>
    <x v="3"/>
    <s v="Risk Management-Head of Department"/>
    <x v="2"/>
    <d v="2022-07-27T12:40:37"/>
    <x v="12"/>
    <x v="5"/>
    <n v="9"/>
    <d v="2022-08-30T12:40:37"/>
    <s v="Yes"/>
    <d v="2022-08-19T12:40:37"/>
    <x v="0"/>
    <x v="2"/>
    <m/>
    <m/>
    <m/>
    <m/>
    <d v="2022-08-21T12:40:37"/>
    <m/>
    <x v="0"/>
    <m/>
    <m/>
    <m/>
    <m/>
    <s v="Candidate"/>
    <m/>
    <s v="C1019"/>
    <s v="Candidate_19"/>
    <s v="08-12-2022"/>
    <x v="0"/>
    <s v="Referral"/>
    <n v="3"/>
    <m/>
    <x v="0"/>
    <m/>
    <m/>
    <x v="0"/>
    <x v="0"/>
    <m/>
    <x v="1"/>
    <x v="0"/>
  </r>
  <r>
    <n v="33"/>
    <s v="33 | Administation"/>
    <x v="0"/>
    <x v="0"/>
    <x v="2"/>
    <x v="3"/>
    <s v="Risk Management-Head of Department"/>
    <x v="2"/>
    <d v="2022-07-31T12:40:37"/>
    <x v="13"/>
    <x v="5"/>
    <n v="5"/>
    <d v="2022-08-26T12:40:37"/>
    <s v="Yes"/>
    <d v="2022-08-15T12:40:37"/>
    <x v="1"/>
    <x v="1"/>
    <d v="2022-08-22T12:40:37"/>
    <s v="Declined"/>
    <m/>
    <m/>
    <d v="2022-08-18T12:40:37"/>
    <m/>
    <x v="0"/>
    <m/>
    <m/>
    <m/>
    <m/>
    <m/>
    <m/>
    <s v="C1020"/>
    <s v="Candidate_20"/>
    <s v="Aug 05 2022"/>
    <x v="0"/>
    <s v="Referral"/>
    <n v="3"/>
    <m/>
    <x v="0"/>
    <m/>
    <m/>
    <x v="0"/>
    <x v="0"/>
    <m/>
    <x v="1"/>
    <x v="0"/>
  </r>
  <r>
    <n v="34"/>
    <s v="34 | Administation"/>
    <x v="1"/>
    <x v="0"/>
    <x v="2"/>
    <x v="3"/>
    <s v="Risk Management-Head of Department"/>
    <x v="2"/>
    <d v="2022-08-01T12:40:37"/>
    <x v="14"/>
    <x v="5"/>
    <n v="4"/>
    <d v="2022-08-13T12:40:37"/>
    <s v="Yes"/>
    <d v="2022-08-19T12:40:37"/>
    <x v="1"/>
    <x v="1"/>
    <d v="2022-08-24T12:40:37"/>
    <s v="Declined"/>
    <m/>
    <m/>
    <d v="2022-08-20T12:40:37"/>
    <m/>
    <x v="0"/>
    <m/>
    <m/>
    <m/>
    <m/>
    <m/>
    <m/>
    <s v="C1021"/>
    <s v="Candidate_21"/>
    <s v="08-11-2022"/>
    <x v="0"/>
    <s v="Referral"/>
    <n v="6"/>
    <m/>
    <x v="0"/>
    <m/>
    <m/>
    <x v="0"/>
    <x v="0"/>
    <m/>
    <x v="1"/>
    <x v="0"/>
  </r>
  <r>
    <n v="32"/>
    <s v="32 | Administation"/>
    <x v="0"/>
    <x v="0"/>
    <x v="2"/>
    <x v="3"/>
    <s v="Risk Management-Head of Department"/>
    <x v="2"/>
    <d v="2022-08-01T12:40:37"/>
    <x v="14"/>
    <x v="5"/>
    <n v="4"/>
    <d v="2022-08-13T12:40:37"/>
    <s v="Yes"/>
    <d v="2022-08-14T12:40:37"/>
    <x v="3"/>
    <x v="1"/>
    <d v="2022-08-22T12:40:37"/>
    <s v="Accepted"/>
    <d v="2022-08-16T12:40:37"/>
    <d v="2022-08-20T12:40:37"/>
    <d v="2022-08-18T12:40:37"/>
    <d v="2022-08-27T12:40:37"/>
    <x v="1"/>
    <d v="2022-08-30T12:40:37"/>
    <d v="2022-09-02T12:40:37"/>
    <d v="2022-09-03T12:40:37"/>
    <m/>
    <m/>
    <d v="2022-09-21T12:40:37"/>
    <s v="C1022"/>
    <s v="Candidate_22"/>
    <s v="Aug 02 2022"/>
    <x v="0"/>
    <s v="Referral"/>
    <n v="3"/>
    <m/>
    <x v="0"/>
    <m/>
    <m/>
    <x v="0"/>
    <x v="0"/>
    <m/>
    <x v="3"/>
    <x v="0"/>
  </r>
  <r>
    <n v="37"/>
    <s v="37 | Administation"/>
    <x v="0"/>
    <x v="0"/>
    <x v="1"/>
    <x v="1"/>
    <s v="Risk Management-Supervisor"/>
    <x v="1"/>
    <d v="2022-08-01T12:40:37"/>
    <x v="0"/>
    <x v="5"/>
    <n v="4"/>
    <d v="2022-08-28T12:40:37"/>
    <s v="Yes"/>
    <d v="2022-08-11T12:40:37"/>
    <x v="0"/>
    <x v="3"/>
    <m/>
    <m/>
    <m/>
    <m/>
    <m/>
    <m/>
    <x v="0"/>
    <m/>
    <m/>
    <m/>
    <m/>
    <s v="Company"/>
    <m/>
    <s v="C1023"/>
    <s v="Candidate_23"/>
    <s v="03/08/2022"/>
    <x v="0"/>
    <s v="Referral"/>
    <n v="3"/>
    <m/>
    <x v="0"/>
    <m/>
    <m/>
    <x v="0"/>
    <x v="0"/>
    <m/>
    <x v="0"/>
    <x v="0"/>
  </r>
  <r>
    <n v="518"/>
    <s v="518 | Administation"/>
    <x v="0"/>
    <x v="0"/>
    <x v="1"/>
    <x v="0"/>
    <s v="Risk Management-Analyst"/>
    <x v="1"/>
    <d v="2022-10-12T22:12:48"/>
    <x v="15"/>
    <x v="6"/>
    <n v="10"/>
    <d v="2022-11-10T22:12:48"/>
    <s v="Yes"/>
    <d v="2022-11-06T22:12:48"/>
    <x v="1"/>
    <x v="1"/>
    <d v="2022-11-10T22:12:48"/>
    <s v="Declined"/>
    <m/>
    <m/>
    <d v="2022-11-09T22:12:48"/>
    <m/>
    <x v="0"/>
    <m/>
    <m/>
    <m/>
    <m/>
    <m/>
    <m/>
    <s v="C1024"/>
    <s v="Candidate_24"/>
    <s v="10-18-2022"/>
    <x v="0"/>
    <s v="Referral"/>
    <n v="3"/>
    <m/>
    <x v="0"/>
    <m/>
    <m/>
    <x v="0"/>
    <x v="0"/>
    <m/>
    <x v="1"/>
    <x v="0"/>
  </r>
  <r>
    <n v="511"/>
    <s v="511 | Administation"/>
    <x v="1"/>
    <x v="0"/>
    <x v="1"/>
    <x v="0"/>
    <s v="Risk Management-Analyst"/>
    <x v="1"/>
    <d v="2022-10-14T22:12:48"/>
    <x v="16"/>
    <x v="6"/>
    <n v="8"/>
    <d v="2022-11-13T22:12:48"/>
    <s v="Yes"/>
    <d v="2022-10-26T22:12:48"/>
    <x v="0"/>
    <x v="3"/>
    <m/>
    <m/>
    <m/>
    <m/>
    <m/>
    <m/>
    <x v="0"/>
    <m/>
    <m/>
    <m/>
    <m/>
    <s v="Company"/>
    <m/>
    <s v="C1025"/>
    <s v="Candidate_25"/>
    <s v="10-18-2022"/>
    <x v="1"/>
    <s v="Linkedin"/>
    <n v="6"/>
    <m/>
    <x v="0"/>
    <m/>
    <m/>
    <x v="0"/>
    <x v="0"/>
    <m/>
    <x v="1"/>
    <x v="0"/>
  </r>
  <r>
    <n v="519"/>
    <s v="519 | Administation"/>
    <x v="0"/>
    <x v="0"/>
    <x v="0"/>
    <x v="0"/>
    <s v="Risk Management-Analyst"/>
    <x v="0"/>
    <d v="2022-10-16T22:12:48"/>
    <x v="17"/>
    <x v="6"/>
    <n v="6"/>
    <d v="2022-11-05T22:12:48"/>
    <s v="Yes"/>
    <d v="2022-11-01T22:12:48"/>
    <x v="1"/>
    <x v="1"/>
    <d v="2022-11-06T22:12:48"/>
    <s v="Declined"/>
    <m/>
    <m/>
    <d v="2022-11-05T22:12:48"/>
    <m/>
    <x v="0"/>
    <m/>
    <m/>
    <m/>
    <m/>
    <m/>
    <m/>
    <s v="C1026"/>
    <s v="Candidate_26"/>
    <s v="24/10/2022"/>
    <x v="1"/>
    <s v="Linkedin"/>
    <n v="6"/>
    <m/>
    <x v="0"/>
    <m/>
    <m/>
    <x v="0"/>
    <x v="0"/>
    <m/>
    <x v="1"/>
    <x v="0"/>
  </r>
  <r>
    <n v="512"/>
    <s v="512 | Administation"/>
    <x v="2"/>
    <x v="0"/>
    <x v="0"/>
    <x v="0"/>
    <s v="Risk Management-Analyst"/>
    <x v="0"/>
    <d v="2022-10-17T22:12:48"/>
    <x v="17"/>
    <x v="6"/>
    <n v="5"/>
    <d v="2022-11-11T22:12:48"/>
    <s v="Yes"/>
    <d v="2022-11-04T22:12:48"/>
    <x v="1"/>
    <x v="1"/>
    <d v="2022-11-09T22:12:48"/>
    <s v="Declined"/>
    <m/>
    <m/>
    <d v="2022-11-05T22:12:48"/>
    <m/>
    <x v="0"/>
    <m/>
    <m/>
    <m/>
    <m/>
    <m/>
    <m/>
    <s v="C1027"/>
    <s v="Candidate_27"/>
    <s v="29/10/2022"/>
    <x v="0"/>
    <s v="Referral"/>
    <n v="3"/>
    <m/>
    <x v="0"/>
    <m/>
    <m/>
    <x v="0"/>
    <x v="0"/>
    <m/>
    <x v="1"/>
    <x v="0"/>
  </r>
  <r>
    <n v="515"/>
    <s v="515 | Administation"/>
    <x v="0"/>
    <x v="0"/>
    <x v="1"/>
    <x v="0"/>
    <s v="Risk Management-Analyst"/>
    <x v="1"/>
    <d v="2022-10-18T22:12:48"/>
    <x v="17"/>
    <x v="6"/>
    <n v="4"/>
    <d v="2022-11-11T22:12:48"/>
    <s v="Yes"/>
    <d v="2022-11-06T22:12:48"/>
    <x v="3"/>
    <x v="1"/>
    <d v="2022-11-12T22:12:48"/>
    <s v="Accepted"/>
    <d v="2022-11-08T22:12:48"/>
    <d v="2022-11-12T22:12:48"/>
    <d v="2022-11-09T22:12:48"/>
    <d v="2022-11-10T22:12:48"/>
    <x v="1"/>
    <d v="2022-11-13T22:12:48"/>
    <d v="2022-11-16T22:12:48"/>
    <d v="2022-11-18T22:12:48"/>
    <m/>
    <m/>
    <d v="2022-12-06T22:12:48"/>
    <s v="C1028"/>
    <s v="Candidate_28"/>
    <s v="10-22-2022"/>
    <x v="0"/>
    <s v="Referral"/>
    <n v="3"/>
    <m/>
    <x v="0"/>
    <m/>
    <m/>
    <x v="0"/>
    <x v="0"/>
    <m/>
    <x v="4"/>
    <x v="0"/>
  </r>
  <r>
    <n v="442"/>
    <s v="442 | Administation"/>
    <x v="0"/>
    <x v="0"/>
    <x v="0"/>
    <x v="0"/>
    <s v="Risk Management-Analyst"/>
    <x v="0"/>
    <d v="2022-11-22T02:36:01"/>
    <x v="18"/>
    <x v="7"/>
    <n v="8"/>
    <d v="2022-12-19T02:36:01"/>
    <s v="Yes"/>
    <d v="2022-12-03T02:36:01"/>
    <x v="0"/>
    <x v="3"/>
    <m/>
    <m/>
    <m/>
    <m/>
    <d v="2022-12-07T02:36:01"/>
    <m/>
    <x v="0"/>
    <m/>
    <m/>
    <m/>
    <m/>
    <s v="Candidate"/>
    <m/>
    <s v="C1029"/>
    <s v="Candidate_29"/>
    <s v="Nov 22 2022"/>
    <x v="0"/>
    <s v="Referral"/>
    <n v="3"/>
    <m/>
    <x v="0"/>
    <m/>
    <m/>
    <x v="0"/>
    <x v="0"/>
    <m/>
    <x v="1"/>
    <x v="0"/>
  </r>
  <r>
    <n v="449"/>
    <s v="449 | Administation"/>
    <x v="1"/>
    <x v="0"/>
    <x v="0"/>
    <x v="0"/>
    <s v="Risk Management-Analyst"/>
    <x v="0"/>
    <d v="2022-11-24T02:36:01"/>
    <x v="19"/>
    <x v="7"/>
    <n v="6"/>
    <d v="2022-12-15T02:36:01"/>
    <s v="Yes"/>
    <d v="2022-12-15T02:36:01"/>
    <x v="3"/>
    <x v="1"/>
    <d v="2022-12-17T02:36:01"/>
    <s v="Accepted"/>
    <d v="2022-12-17T02:36:01"/>
    <d v="2022-12-20T02:36:01"/>
    <d v="2022-12-16T02:36:01"/>
    <d v="2022-12-25T02:36:01"/>
    <x v="1"/>
    <d v="2022-12-28T02:36:01"/>
    <d v="2022-12-30T02:36:01"/>
    <d v="2022-12-31T02:36:01"/>
    <m/>
    <m/>
    <d v="2023-01-15T02:36:01"/>
    <s v="C1030"/>
    <s v="Candidate_30"/>
    <s v="Dec 08 2022"/>
    <x v="2"/>
    <s v="Job Board"/>
    <n v="6"/>
    <m/>
    <x v="0"/>
    <m/>
    <m/>
    <x v="0"/>
    <x v="0"/>
    <m/>
    <x v="5"/>
    <x v="0"/>
  </r>
  <r>
    <n v="444"/>
    <s v="444 | Administation"/>
    <x v="0"/>
    <x v="0"/>
    <x v="0"/>
    <x v="0"/>
    <s v="Risk Management-Analyst"/>
    <x v="0"/>
    <d v="2022-11-24T02:36:01"/>
    <x v="19"/>
    <x v="7"/>
    <n v="6"/>
    <d v="2022-12-13T02:36:01"/>
    <s v="Yes"/>
    <d v="2022-12-11T02:36:01"/>
    <x v="0"/>
    <x v="2"/>
    <m/>
    <m/>
    <m/>
    <m/>
    <d v="2022-12-13T02:36:01"/>
    <m/>
    <x v="0"/>
    <m/>
    <m/>
    <m/>
    <m/>
    <s v="Candidate"/>
    <m/>
    <s v="C1031"/>
    <s v="Candidate_31"/>
    <s v="12-03-2022"/>
    <x v="1"/>
    <s v="Linkedin"/>
    <n v="3"/>
    <m/>
    <x v="0"/>
    <m/>
    <m/>
    <x v="0"/>
    <x v="0"/>
    <m/>
    <x v="1"/>
    <x v="0"/>
  </r>
  <r>
    <n v="462"/>
    <s v="462 | Administation"/>
    <x v="0"/>
    <x v="0"/>
    <x v="1"/>
    <x v="0"/>
    <s v="Risk Management-Analyst"/>
    <x v="1"/>
    <d v="2023-02-12T10:11:16"/>
    <x v="20"/>
    <x v="8"/>
    <n v="10"/>
    <d v="2023-03-13T10:11:16"/>
    <s v="Yes"/>
    <d v="2023-03-11T10:11:16"/>
    <x v="3"/>
    <x v="1"/>
    <d v="2023-03-16T10:11:16"/>
    <s v="Accepted"/>
    <d v="2023-03-13T10:11:16"/>
    <d v="2023-03-16T10:11:16"/>
    <d v="2023-03-15T10:11:16"/>
    <d v="2023-03-19T10:11:16"/>
    <x v="1"/>
    <d v="2023-03-20T10:11:16"/>
    <d v="2023-03-23T10:11:16"/>
    <d v="2023-03-25T10:11:16"/>
    <m/>
    <m/>
    <d v="2023-04-12T10:11:16"/>
    <s v="C1032"/>
    <s v="Candidate_32"/>
    <s v="24/02/2023"/>
    <x v="0"/>
    <s v="Referral"/>
    <n v="3"/>
    <m/>
    <x v="0"/>
    <m/>
    <m/>
    <x v="0"/>
    <x v="0"/>
    <m/>
    <x v="6"/>
    <x v="0"/>
  </r>
  <r>
    <n v="467"/>
    <s v="467 | Administation"/>
    <x v="1"/>
    <x v="0"/>
    <x v="2"/>
    <x v="2"/>
    <s v="Risk Management-Director"/>
    <x v="2"/>
    <m/>
    <x v="20"/>
    <x v="8"/>
    <n v="44979.424490740741"/>
    <d v="2023-03-04T10:11:16"/>
    <s v="Yes"/>
    <d v="2023-03-02T10:11:16"/>
    <x v="0"/>
    <x v="2"/>
    <m/>
    <m/>
    <m/>
    <m/>
    <m/>
    <m/>
    <x v="0"/>
    <m/>
    <m/>
    <m/>
    <m/>
    <s v="Company"/>
    <m/>
    <s v="C1033"/>
    <s v="Candidate_33"/>
    <s v="02-17-2023"/>
    <x v="2"/>
    <s v="Job Board"/>
    <n v="3"/>
    <m/>
    <x v="0"/>
    <m/>
    <m/>
    <x v="0"/>
    <x v="0"/>
    <m/>
    <x v="0"/>
    <x v="0"/>
  </r>
  <r>
    <n v="466"/>
    <s v="466 | Administation"/>
    <x v="0"/>
    <x v="0"/>
    <x v="1"/>
    <x v="0"/>
    <s v="Risk Management-Analyst"/>
    <x v="1"/>
    <d v="2023-02-14T10:11:16"/>
    <x v="20"/>
    <x v="8"/>
    <n v="8"/>
    <d v="2023-03-09T10:11:16"/>
    <s v="Yes"/>
    <d v="2023-03-10T10:11:16"/>
    <x v="0"/>
    <x v="2"/>
    <m/>
    <m/>
    <m/>
    <m/>
    <m/>
    <m/>
    <x v="0"/>
    <m/>
    <m/>
    <m/>
    <m/>
    <s v="Candidate"/>
    <m/>
    <s v="C1034"/>
    <s v="Candidate_34"/>
    <s v="02-27-2023"/>
    <x v="0"/>
    <s v="Referral"/>
    <n v="6"/>
    <m/>
    <x v="0"/>
    <m/>
    <m/>
    <x v="0"/>
    <x v="0"/>
    <m/>
    <x v="1"/>
    <x v="0"/>
  </r>
  <r>
    <n v="461"/>
    <s v="461 | Administation"/>
    <x v="1"/>
    <x v="0"/>
    <x v="0"/>
    <x v="0"/>
    <s v="Risk Management-Analyst"/>
    <x v="0"/>
    <d v="2023-02-17T10:11:16"/>
    <x v="21"/>
    <x v="8"/>
    <n v="5"/>
    <d v="2023-03-16T10:11:16"/>
    <s v="Yes"/>
    <d v="2023-03-12T10:11:16"/>
    <x v="0"/>
    <x v="3"/>
    <m/>
    <m/>
    <m/>
    <m/>
    <d v="2023-03-16T10:11:16"/>
    <m/>
    <x v="0"/>
    <m/>
    <m/>
    <m/>
    <m/>
    <s v="Candidate"/>
    <m/>
    <s v="C1035"/>
    <s v="Candidate_35"/>
    <s v="28/02/2023"/>
    <x v="2"/>
    <s v="Job Board"/>
    <n v="3"/>
    <m/>
    <x v="0"/>
    <m/>
    <m/>
    <x v="0"/>
    <x v="0"/>
    <m/>
    <x v="1"/>
    <x v="0"/>
  </r>
  <r>
    <n v="469"/>
    <s v="469 | Administation"/>
    <x v="1"/>
    <x v="0"/>
    <x v="1"/>
    <x v="0"/>
    <s v="Risk Management-Analyst"/>
    <x v="1"/>
    <d v="2023-02-17T10:11:16"/>
    <x v="22"/>
    <x v="8"/>
    <n v="5"/>
    <d v="2023-03-15T10:11:16"/>
    <s v="Yes"/>
    <d v="2023-03-02T10:11:16"/>
    <x v="0"/>
    <x v="0"/>
    <m/>
    <m/>
    <m/>
    <m/>
    <d v="2023-03-06T10:11:16"/>
    <m/>
    <x v="0"/>
    <m/>
    <m/>
    <m/>
    <m/>
    <s v="Candidate"/>
    <m/>
    <s v="C1036"/>
    <s v="Candidate_36"/>
    <s v="02-14-2023"/>
    <x v="1"/>
    <s v="Linkedin"/>
    <n v="6"/>
    <m/>
    <x v="0"/>
    <m/>
    <m/>
    <x v="0"/>
    <x v="0"/>
    <m/>
    <x v="1"/>
    <x v="0"/>
  </r>
  <r>
    <n v="470"/>
    <s v="470 | Administation"/>
    <x v="1"/>
    <x v="0"/>
    <x v="2"/>
    <x v="2"/>
    <s v="Risk Management-Director"/>
    <x v="2"/>
    <d v="2023-02-18T10:11:16"/>
    <x v="23"/>
    <x v="8"/>
    <n v="4"/>
    <d v="2023-03-14T10:11:16"/>
    <s v="Yes"/>
    <d v="2023-03-09T10:11:16"/>
    <x v="1"/>
    <x v="1"/>
    <d v="2023-03-15T10:11:16"/>
    <s v="Declined"/>
    <m/>
    <m/>
    <d v="2023-03-11T10:11:16"/>
    <m/>
    <x v="0"/>
    <m/>
    <m/>
    <m/>
    <m/>
    <m/>
    <m/>
    <s v="C1037"/>
    <s v="Candidate_37"/>
    <s v="02-21-2023"/>
    <x v="0"/>
    <s v="Referral"/>
    <n v="3"/>
    <m/>
    <x v="0"/>
    <m/>
    <m/>
    <x v="0"/>
    <x v="0"/>
    <m/>
    <x v="1"/>
    <x v="0"/>
  </r>
  <r>
    <n v="306"/>
    <s v="306 | Administation"/>
    <x v="2"/>
    <x v="0"/>
    <x v="2"/>
    <x v="2"/>
    <s v="Risk Management-Director"/>
    <x v="2"/>
    <d v="2023-04-10T21:25:25"/>
    <x v="0"/>
    <x v="9"/>
    <n v="9"/>
    <d v="2023-05-03T21:25:25"/>
    <s v="Yes"/>
    <d v="2023-04-25T21:25:25"/>
    <x v="0"/>
    <x v="2"/>
    <m/>
    <m/>
    <m/>
    <m/>
    <m/>
    <m/>
    <x v="0"/>
    <m/>
    <m/>
    <m/>
    <m/>
    <s v="Candidate"/>
    <m/>
    <s v="C1038"/>
    <s v="Candidate_38"/>
    <s v="08/04/2023"/>
    <x v="1"/>
    <s v="Linkedin"/>
    <n v="6"/>
    <m/>
    <x v="0"/>
    <m/>
    <m/>
    <x v="0"/>
    <x v="0"/>
    <m/>
    <x v="0"/>
    <x v="0"/>
  </r>
  <r>
    <n v="304"/>
    <s v="304 | Administation"/>
    <x v="1"/>
    <x v="0"/>
    <x v="2"/>
    <x v="3"/>
    <s v="Risk Management-Head of Department"/>
    <x v="2"/>
    <d v="2023-04-11T21:25:25"/>
    <x v="24"/>
    <x v="9"/>
    <n v="8"/>
    <d v="2023-05-09T21:25:25"/>
    <s v="Yes"/>
    <d v="2023-04-24T21:25:25"/>
    <x v="0"/>
    <x v="2"/>
    <m/>
    <m/>
    <m/>
    <m/>
    <d v="2023-04-26T21:25:25"/>
    <m/>
    <x v="0"/>
    <m/>
    <m/>
    <m/>
    <m/>
    <s v="Candidate"/>
    <m/>
    <s v="C1039"/>
    <s v="Candidate_39"/>
    <s v="Apr 17 2023"/>
    <x v="0"/>
    <s v="Referral"/>
    <n v="3"/>
    <m/>
    <x v="0"/>
    <m/>
    <m/>
    <x v="0"/>
    <x v="0"/>
    <m/>
    <x v="1"/>
    <x v="0"/>
  </r>
  <r>
    <n v="305"/>
    <s v="305 | Administation"/>
    <x v="1"/>
    <x v="0"/>
    <x v="0"/>
    <x v="0"/>
    <s v="Risk Management-Analyst"/>
    <x v="0"/>
    <d v="2023-04-12T21:25:25"/>
    <x v="24"/>
    <x v="9"/>
    <n v="7"/>
    <d v="2023-05-04T21:25:25"/>
    <s v="Yes"/>
    <d v="2023-05-03T21:25:25"/>
    <x v="0"/>
    <x v="4"/>
    <m/>
    <m/>
    <m/>
    <m/>
    <m/>
    <m/>
    <x v="0"/>
    <m/>
    <m/>
    <m/>
    <m/>
    <s v="Candidate"/>
    <m/>
    <s v="C1040"/>
    <s v="Candidate_40"/>
    <s v="17/04/2023"/>
    <x v="1"/>
    <s v="Linkedin"/>
    <n v="3"/>
    <m/>
    <x v="0"/>
    <m/>
    <m/>
    <x v="0"/>
    <x v="0"/>
    <m/>
    <x v="1"/>
    <x v="0"/>
  </r>
  <r>
    <n v="2975"/>
    <s v="2975 | Program Office"/>
    <x v="3"/>
    <x v="1"/>
    <x v="3"/>
    <x v="4"/>
    <s v="Program Office-Senior Manager"/>
    <x v="3"/>
    <d v="2022-07-20T15:16:58"/>
    <x v="25"/>
    <x v="10"/>
    <n v="11"/>
    <d v="2022-08-13T15:16:58"/>
    <s v="Yes"/>
    <d v="2022-08-03T15:16:58"/>
    <x v="0"/>
    <x v="3"/>
    <m/>
    <m/>
    <m/>
    <m/>
    <d v="2022-08-07T15:16:58"/>
    <m/>
    <x v="0"/>
    <m/>
    <m/>
    <m/>
    <m/>
    <s v="Company"/>
    <m/>
    <s v="C1041"/>
    <s v="Candidate_41"/>
    <s v="07-25-2022"/>
    <x v="2"/>
    <s v="Job Board"/>
    <n v="3"/>
    <m/>
    <x v="0"/>
    <m/>
    <m/>
    <x v="0"/>
    <x v="0"/>
    <m/>
    <x v="1"/>
    <x v="0"/>
  </r>
  <r>
    <n v="2970"/>
    <s v="2970 | Program Office"/>
    <x v="3"/>
    <x v="1"/>
    <x v="3"/>
    <x v="4"/>
    <s v="Program Office-Senior Manager"/>
    <x v="3"/>
    <d v="2022-05-20T06:38:26"/>
    <x v="26"/>
    <x v="11"/>
    <n v="10"/>
    <d v="2022-06-21T06:38:26"/>
    <s v="Yes"/>
    <d v="2022-05-31T06:38:26"/>
    <x v="0"/>
    <x v="0"/>
    <m/>
    <m/>
    <m/>
    <m/>
    <m/>
    <m/>
    <x v="0"/>
    <m/>
    <m/>
    <m/>
    <m/>
    <s v="Candidate"/>
    <m/>
    <s v="C1042"/>
    <s v="Candidate_42"/>
    <s v="05-22-2022"/>
    <x v="0"/>
    <s v="Referral"/>
    <n v="6"/>
    <m/>
    <x v="0"/>
    <m/>
    <m/>
    <x v="0"/>
    <x v="0"/>
    <m/>
    <x v="1"/>
    <x v="0"/>
  </r>
  <r>
    <n v="2888"/>
    <s v="2888 | Program Office"/>
    <x v="4"/>
    <x v="1"/>
    <x v="3"/>
    <x v="4"/>
    <s v="Program Office-Senior Manager"/>
    <x v="3"/>
    <d v="2022-10-21T01:36:27"/>
    <x v="27"/>
    <x v="12"/>
    <n v="10"/>
    <d v="2022-12-15T01:36:27"/>
    <s v="Yes"/>
    <d v="2022-11-06T01:36:27"/>
    <x v="0"/>
    <x v="0"/>
    <m/>
    <m/>
    <m/>
    <m/>
    <d v="2022-11-07T01:36:27"/>
    <m/>
    <x v="0"/>
    <m/>
    <m/>
    <m/>
    <m/>
    <s v="Company"/>
    <m/>
    <s v="C1043"/>
    <s v="Candidate_43"/>
    <s v="Oct 21 2022"/>
    <x v="0"/>
    <s v="Referral"/>
    <n v="3"/>
    <m/>
    <x v="0"/>
    <m/>
    <m/>
    <x v="0"/>
    <x v="0"/>
    <m/>
    <x v="1"/>
    <x v="0"/>
  </r>
  <r>
    <n v="2869"/>
    <s v="2869 | Program Office"/>
    <x v="5"/>
    <x v="1"/>
    <x v="3"/>
    <x v="4"/>
    <s v="Program Office-Senior Manager"/>
    <x v="3"/>
    <d v="2022-10-17T06:23:31"/>
    <x v="28"/>
    <x v="13"/>
    <n v="8"/>
    <d v="2023-01-03T06:23:31"/>
    <s v="Yes"/>
    <d v="2022-10-25T06:23:31"/>
    <x v="0"/>
    <x v="0"/>
    <m/>
    <m/>
    <m/>
    <m/>
    <d v="2022-10-26T06:23:31"/>
    <m/>
    <x v="0"/>
    <m/>
    <m/>
    <m/>
    <m/>
    <s v="Company"/>
    <m/>
    <s v="C1044"/>
    <s v="Candidate_44"/>
    <s v="Oct 19 2022"/>
    <x v="0"/>
    <s v="Referral"/>
    <n v="3"/>
    <m/>
    <x v="0"/>
    <m/>
    <m/>
    <x v="0"/>
    <x v="0"/>
    <m/>
    <x v="1"/>
    <x v="0"/>
  </r>
  <r>
    <n v="2861"/>
    <s v="2861 | Program Office"/>
    <x v="4"/>
    <x v="1"/>
    <x v="3"/>
    <x v="4"/>
    <s v="Program Office-Senior Manager"/>
    <x v="3"/>
    <d v="2022-10-15T06:23:31"/>
    <x v="29"/>
    <x v="14"/>
    <n v="6"/>
    <d v="2022-12-30T06:23:31"/>
    <s v="Yes"/>
    <d v="2022-10-30T06:23:31"/>
    <x v="0"/>
    <x v="2"/>
    <m/>
    <m/>
    <m/>
    <m/>
    <m/>
    <m/>
    <x v="0"/>
    <m/>
    <m/>
    <m/>
    <m/>
    <s v="Company"/>
    <m/>
    <s v="C1045"/>
    <s v="Candidate_45"/>
    <s v="20/10/2022"/>
    <x v="1"/>
    <s v="Linkedin"/>
    <n v="6"/>
    <m/>
    <x v="0"/>
    <m/>
    <m/>
    <x v="0"/>
    <x v="0"/>
    <m/>
    <x v="1"/>
    <x v="0"/>
  </r>
  <r>
    <n v="2731"/>
    <s v="2731 | Program Office"/>
    <x v="5"/>
    <x v="1"/>
    <x v="3"/>
    <x v="4"/>
    <s v="Program Office-Senior Manager"/>
    <x v="3"/>
    <d v="2022-07-11T23:32:45"/>
    <x v="30"/>
    <x v="15"/>
    <n v="4"/>
    <d v="2022-07-28T23:32:45"/>
    <s v="Yes"/>
    <d v="2022-07-28T23:32:45"/>
    <x v="0"/>
    <x v="2"/>
    <m/>
    <m/>
    <m/>
    <m/>
    <d v="2022-07-30T23:32:45"/>
    <m/>
    <x v="0"/>
    <m/>
    <m/>
    <m/>
    <m/>
    <s v="Candidate"/>
    <m/>
    <s v="C1046"/>
    <s v="Candidate_46"/>
    <s v="07-19-2022"/>
    <x v="0"/>
    <s v="Referral"/>
    <n v="6"/>
    <m/>
    <x v="0"/>
    <m/>
    <m/>
    <x v="0"/>
    <x v="0"/>
    <m/>
    <x v="1"/>
    <x v="0"/>
  </r>
  <r>
    <n v="2555"/>
    <s v="2555 | Program Office"/>
    <x v="3"/>
    <x v="1"/>
    <x v="3"/>
    <x v="4"/>
    <s v="Program Office-Senior Manager"/>
    <x v="3"/>
    <d v="2023-08-07T17:10:04"/>
    <x v="31"/>
    <x v="16"/>
    <n v="3"/>
    <d v="2023-09-07T17:10:04"/>
    <s v="Yes"/>
    <d v="2023-08-21T17:10:04"/>
    <x v="0"/>
    <x v="4"/>
    <m/>
    <m/>
    <m/>
    <m/>
    <m/>
    <m/>
    <x v="0"/>
    <m/>
    <m/>
    <m/>
    <m/>
    <s v="Company"/>
    <m/>
    <s v="C1047"/>
    <s v="Candidate_47"/>
    <s v="Aug 08 2023"/>
    <x v="1"/>
    <s v="Linkedin"/>
    <n v="3"/>
    <m/>
    <x v="0"/>
    <m/>
    <m/>
    <x v="0"/>
    <x v="0"/>
    <m/>
    <x v="1"/>
    <x v="0"/>
  </r>
  <r>
    <n v="2536"/>
    <s v="2536 | Program Office"/>
    <x v="3"/>
    <x v="1"/>
    <x v="3"/>
    <x v="4"/>
    <s v="Program Office-Senior Manager"/>
    <x v="3"/>
    <d v="2022-04-30T01:23:53"/>
    <x v="32"/>
    <x v="17"/>
    <n v="7"/>
    <d v="2022-05-22T01:23:53"/>
    <s v="Yes"/>
    <d v="2022-05-14T01:23:53"/>
    <x v="0"/>
    <x v="2"/>
    <m/>
    <m/>
    <m/>
    <m/>
    <d v="2022-05-15T01:23:53"/>
    <m/>
    <x v="0"/>
    <m/>
    <m/>
    <m/>
    <m/>
    <s v="Company"/>
    <m/>
    <s v="C1048"/>
    <s v="Candidate_48"/>
    <s v="04-29-2022"/>
    <x v="1"/>
    <s v="Linkedin"/>
    <n v="6"/>
    <m/>
    <x v="0"/>
    <m/>
    <m/>
    <x v="0"/>
    <x v="0"/>
    <m/>
    <x v="1"/>
    <x v="0"/>
  </r>
  <r>
    <n v="2519"/>
    <s v="2519 | Program Office"/>
    <x v="3"/>
    <x v="1"/>
    <x v="3"/>
    <x v="4"/>
    <s v="Program Office-Senior Manager"/>
    <x v="3"/>
    <d v="2023-09-03T03:11:54"/>
    <x v="0"/>
    <x v="18"/>
    <n v="5"/>
    <d v="2023-09-24T03:11:54"/>
    <s v="Yes"/>
    <d v="2023-09-19T03:11:54"/>
    <x v="0"/>
    <x v="3"/>
    <m/>
    <m/>
    <m/>
    <m/>
    <d v="2023-09-20T03:11:54"/>
    <m/>
    <x v="0"/>
    <m/>
    <m/>
    <m/>
    <m/>
    <s v="Company"/>
    <m/>
    <s v="C1049"/>
    <s v="Candidate_49"/>
    <s v="09-05-2023"/>
    <x v="2"/>
    <s v="Job Board"/>
    <n v="3"/>
    <m/>
    <x v="0"/>
    <m/>
    <m/>
    <x v="0"/>
    <x v="0"/>
    <m/>
    <x v="0"/>
    <x v="0"/>
  </r>
  <r>
    <n v="2366"/>
    <s v="2366 | Program Office"/>
    <x v="4"/>
    <x v="1"/>
    <x v="3"/>
    <x v="4"/>
    <s v="Program Office-Senior Manager"/>
    <x v="3"/>
    <d v="2023-02-17T06:26:17"/>
    <x v="33"/>
    <x v="19"/>
    <n v="6"/>
    <d v="2023-03-07T06:26:17"/>
    <s v="Yes"/>
    <d v="2023-03-01T06:26:17"/>
    <x v="0"/>
    <x v="5"/>
    <m/>
    <m/>
    <m/>
    <m/>
    <d v="2023-03-04T06:26:17"/>
    <m/>
    <x v="0"/>
    <m/>
    <m/>
    <m/>
    <m/>
    <s v="Company"/>
    <m/>
    <s v="C1050"/>
    <s v="Candidate_50"/>
    <s v="22/02/2023"/>
    <x v="2"/>
    <s v="Job Board"/>
    <n v="6"/>
    <m/>
    <x v="0"/>
    <m/>
    <m/>
    <x v="0"/>
    <x v="0"/>
    <m/>
    <x v="1"/>
    <x v="0"/>
  </r>
  <r>
    <n v="2315"/>
    <s v="2315 | Program Office"/>
    <x v="4"/>
    <x v="1"/>
    <x v="3"/>
    <x v="4"/>
    <s v="Program Office-Senior Manager"/>
    <x v="3"/>
    <d v="2022-04-21T00:53:43"/>
    <x v="34"/>
    <x v="20"/>
    <n v="5"/>
    <d v="2022-05-14T00:53:43"/>
    <s v="Yes"/>
    <d v="2022-05-05T00:53:43"/>
    <x v="0"/>
    <x v="2"/>
    <m/>
    <m/>
    <m/>
    <m/>
    <m/>
    <m/>
    <x v="0"/>
    <m/>
    <m/>
    <m/>
    <m/>
    <s v="Company"/>
    <m/>
    <s v="C1051"/>
    <s v="Candidate_51"/>
    <s v="04-25-2022"/>
    <x v="2"/>
    <s v="Job Board"/>
    <n v="6"/>
    <m/>
    <x v="0"/>
    <m/>
    <m/>
    <x v="0"/>
    <x v="0"/>
    <m/>
    <x v="1"/>
    <x v="0"/>
  </r>
  <r>
    <n v="2250"/>
    <s v="2250 | Program Office"/>
    <x v="5"/>
    <x v="1"/>
    <x v="3"/>
    <x v="4"/>
    <s v="Program Office-Senior Manager"/>
    <x v="3"/>
    <d v="2022-12-25T14:26:31"/>
    <x v="35"/>
    <x v="4"/>
    <n v="-44920.601747685178"/>
    <d v="2023-01-23T14:26:31"/>
    <s v="Yes"/>
    <d v="2023-01-06T14:26:31"/>
    <x v="0"/>
    <x v="0"/>
    <m/>
    <m/>
    <m/>
    <m/>
    <d v="2023-01-07T14:26:31"/>
    <m/>
    <x v="0"/>
    <m/>
    <m/>
    <m/>
    <m/>
    <s v="Company"/>
    <m/>
    <s v="C1052"/>
    <s v="Candidate_52"/>
    <s v="30/12/2022"/>
    <x v="1"/>
    <s v="Linkedin"/>
    <n v="3"/>
    <m/>
    <x v="0"/>
    <m/>
    <m/>
    <x v="0"/>
    <x v="0"/>
    <m/>
    <x v="0"/>
    <x v="0"/>
  </r>
  <r>
    <n v="2241"/>
    <s v="2241 | Program Office"/>
    <x v="4"/>
    <x v="1"/>
    <x v="3"/>
    <x v="4"/>
    <s v="Program Office-Senior Manager"/>
    <x v="3"/>
    <d v="2022-12-29T14:26:31"/>
    <x v="36"/>
    <x v="21"/>
    <n v="5"/>
    <d v="2023-01-15T14:26:31"/>
    <s v="Yes"/>
    <d v="2023-01-12T14:26:31"/>
    <x v="0"/>
    <x v="2"/>
    <m/>
    <m/>
    <m/>
    <m/>
    <d v="2023-01-14T14:26:31"/>
    <m/>
    <x v="0"/>
    <m/>
    <m/>
    <m/>
    <m/>
    <s v="Candidate"/>
    <m/>
    <s v="C1053"/>
    <s v="Candidate_53"/>
    <s v="01-05-2023"/>
    <x v="0"/>
    <s v="Referral"/>
    <n v="3"/>
    <m/>
    <x v="0"/>
    <m/>
    <m/>
    <x v="0"/>
    <x v="0"/>
    <m/>
    <x v="1"/>
    <x v="0"/>
  </r>
  <r>
    <n v="2125"/>
    <s v="2125 | Program Office"/>
    <x v="4"/>
    <x v="1"/>
    <x v="3"/>
    <x v="4"/>
    <s v="Program Office-Senior Manager"/>
    <x v="3"/>
    <d v="2023-01-01T11:21:38"/>
    <x v="37"/>
    <x v="22"/>
    <n v="8"/>
    <d v="2023-02-01T11:21:38"/>
    <s v="Yes"/>
    <d v="2023-01-20T11:21:38"/>
    <x v="0"/>
    <x v="4"/>
    <m/>
    <m/>
    <m/>
    <m/>
    <m/>
    <m/>
    <x v="0"/>
    <m/>
    <m/>
    <m/>
    <m/>
    <s v="Company"/>
    <m/>
    <s v="C1054"/>
    <s v="Candidate_54"/>
    <s v="Jan 02 2023"/>
    <x v="1"/>
    <s v="Linkedin"/>
    <n v="3"/>
    <m/>
    <x v="0"/>
    <m/>
    <m/>
    <x v="0"/>
    <x v="0"/>
    <m/>
    <x v="1"/>
    <x v="0"/>
  </r>
  <r>
    <n v="2122"/>
    <s v="2122 | Program Office"/>
    <x v="4"/>
    <x v="1"/>
    <x v="3"/>
    <x v="4"/>
    <s v="Program Office-Senior Manager"/>
    <x v="3"/>
    <d v="2023-01-03T11:21:38"/>
    <x v="38"/>
    <x v="22"/>
    <n v="6"/>
    <d v="2023-01-15T11:21:38"/>
    <s v="Yes"/>
    <d v="2023-01-15T11:21:38"/>
    <x v="0"/>
    <x v="3"/>
    <m/>
    <m/>
    <m/>
    <m/>
    <m/>
    <m/>
    <x v="0"/>
    <m/>
    <m/>
    <m/>
    <m/>
    <s v="Company"/>
    <m/>
    <s v="C1055"/>
    <s v="Candidate_55"/>
    <s v="07/01/2023"/>
    <x v="2"/>
    <s v="Job Board"/>
    <n v="3"/>
    <m/>
    <x v="0"/>
    <m/>
    <m/>
    <x v="0"/>
    <x v="0"/>
    <m/>
    <x v="1"/>
    <x v="0"/>
  </r>
  <r>
    <n v="2070"/>
    <s v="2070 | Program Office"/>
    <x v="5"/>
    <x v="1"/>
    <x v="3"/>
    <x v="4"/>
    <s v="Program Office-Senior Manager"/>
    <x v="3"/>
    <d v="2022-11-02T18:46:55"/>
    <x v="0"/>
    <x v="23"/>
    <n v="6"/>
    <d v="2022-11-24T18:46:55"/>
    <s v="Yes"/>
    <d v="2022-11-22T18:46:55"/>
    <x v="0"/>
    <x v="3"/>
    <m/>
    <m/>
    <m/>
    <m/>
    <d v="2022-11-26T18:46:55"/>
    <m/>
    <x v="0"/>
    <m/>
    <m/>
    <m/>
    <m/>
    <s v="Candidate"/>
    <m/>
    <s v="C1056"/>
    <s v="Candidate_56"/>
    <s v="11-13-2022"/>
    <x v="0"/>
    <s v="Referral"/>
    <n v="3"/>
    <m/>
    <x v="0"/>
    <m/>
    <m/>
    <x v="0"/>
    <x v="0"/>
    <m/>
    <x v="0"/>
    <x v="0"/>
  </r>
  <r>
    <n v="1980"/>
    <s v="1980 | Program Office"/>
    <x v="4"/>
    <x v="1"/>
    <x v="3"/>
    <x v="4"/>
    <s v="Program Office-Senior Manager"/>
    <x v="3"/>
    <d v="2022-10-23T11:57:41"/>
    <x v="39"/>
    <x v="24"/>
    <n v="3"/>
    <d v="2022-11-18T11:57:41"/>
    <s v="Yes"/>
    <d v="2022-10-27T11:57:41"/>
    <x v="0"/>
    <x v="4"/>
    <m/>
    <m/>
    <m/>
    <m/>
    <d v="2022-10-30T11:57:41"/>
    <m/>
    <x v="0"/>
    <m/>
    <m/>
    <m/>
    <m/>
    <s v="Company"/>
    <m/>
    <s v="C1057"/>
    <s v="Candidate_57"/>
    <s v="18/10/2022"/>
    <x v="1"/>
    <s v="Linkedin"/>
    <n v="6"/>
    <m/>
    <x v="0"/>
    <m/>
    <m/>
    <x v="0"/>
    <x v="0"/>
    <m/>
    <x v="1"/>
    <x v="0"/>
  </r>
  <r>
    <n v="1815"/>
    <s v="1815 | Program Office"/>
    <x v="4"/>
    <x v="1"/>
    <x v="3"/>
    <x v="4"/>
    <s v="Program Office-Senior Manager"/>
    <x v="3"/>
    <d v="2022-09-20T04:28:24"/>
    <x v="40"/>
    <x v="25"/>
    <n v="5"/>
    <d v="2022-10-03T04:28:24"/>
    <s v="Yes"/>
    <d v="2022-10-09T04:28:24"/>
    <x v="0"/>
    <x v="3"/>
    <m/>
    <m/>
    <m/>
    <m/>
    <m/>
    <m/>
    <x v="0"/>
    <m/>
    <m/>
    <m/>
    <m/>
    <s v="Candidate"/>
    <m/>
    <s v="C1058"/>
    <s v="Candidate_58"/>
    <s v="Oct 02 2022"/>
    <x v="0"/>
    <s v="Referral"/>
    <n v="3"/>
    <m/>
    <x v="0"/>
    <m/>
    <m/>
    <x v="0"/>
    <x v="0"/>
    <m/>
    <x v="1"/>
    <x v="0"/>
  </r>
  <r>
    <n v="1807"/>
    <s v="1807 | Program Office"/>
    <x v="4"/>
    <x v="1"/>
    <x v="3"/>
    <x v="4"/>
    <s v="Program Office-Senior Manager"/>
    <x v="3"/>
    <m/>
    <x v="0"/>
    <x v="26"/>
    <n v="45127.017708333333"/>
    <d v="2023-08-05T00:25:30"/>
    <s v="Yes"/>
    <d v="2023-07-29T00:25:30"/>
    <x v="0"/>
    <x v="2"/>
    <m/>
    <m/>
    <m/>
    <m/>
    <d v="2023-08-01T00:25:30"/>
    <m/>
    <x v="0"/>
    <m/>
    <m/>
    <m/>
    <m/>
    <s v="Company"/>
    <m/>
    <s v="C1059"/>
    <s v="Candidate_59"/>
    <s v="20/07/2023"/>
    <x v="2"/>
    <s v="Job Board"/>
    <n v="3"/>
    <m/>
    <x v="0"/>
    <m/>
    <m/>
    <x v="0"/>
    <x v="0"/>
    <m/>
    <x v="0"/>
    <x v="0"/>
  </r>
  <r>
    <n v="1801"/>
    <s v="1801 | Program Office"/>
    <x v="4"/>
    <x v="1"/>
    <x v="3"/>
    <x v="4"/>
    <s v="Program Office-Senior Manager"/>
    <x v="3"/>
    <d v="2023-07-15T00:25:30"/>
    <x v="41"/>
    <x v="26"/>
    <n v="5"/>
    <d v="2023-08-07T00:25:30"/>
    <s v="Yes"/>
    <d v="2023-08-07T00:25:30"/>
    <x v="0"/>
    <x v="5"/>
    <m/>
    <m/>
    <m/>
    <m/>
    <d v="2023-08-11T00:25:30"/>
    <m/>
    <x v="0"/>
    <m/>
    <m/>
    <m/>
    <m/>
    <s v="Candidate"/>
    <m/>
    <s v="C1060"/>
    <s v="Candidate_60"/>
    <s v="07-31-2023"/>
    <x v="2"/>
    <s v="Job Board"/>
    <n v="6"/>
    <m/>
    <x v="0"/>
    <m/>
    <m/>
    <x v="0"/>
    <x v="0"/>
    <m/>
    <x v="1"/>
    <x v="0"/>
  </r>
  <r>
    <n v="1687"/>
    <s v="1687 | Program Office"/>
    <x v="5"/>
    <x v="1"/>
    <x v="3"/>
    <x v="4"/>
    <s v="Program Office-Senior Manager"/>
    <x v="3"/>
    <d v="2022-04-12T06:44:01"/>
    <x v="42"/>
    <x v="4"/>
    <n v="-44663.28056712963"/>
    <d v="2022-04-24T06:44:01"/>
    <s v="Yes"/>
    <d v="2022-04-22T06:44:01"/>
    <x v="0"/>
    <x v="3"/>
    <m/>
    <m/>
    <m/>
    <m/>
    <m/>
    <m/>
    <x v="0"/>
    <m/>
    <m/>
    <m/>
    <m/>
    <s v="Company"/>
    <m/>
    <s v="C1061"/>
    <s v="Candidate_61"/>
    <s v="04-12-2022"/>
    <x v="2"/>
    <s v="Job Board"/>
    <n v="6"/>
    <m/>
    <x v="0"/>
    <m/>
    <m/>
    <x v="0"/>
    <x v="0"/>
    <m/>
    <x v="0"/>
    <x v="0"/>
  </r>
  <r>
    <n v="1405"/>
    <s v="1405 | Program Office"/>
    <x v="4"/>
    <x v="1"/>
    <x v="3"/>
    <x v="4"/>
    <s v="Program Office-Senior Manager"/>
    <x v="3"/>
    <d v="2022-02-24T07:21:21"/>
    <x v="43"/>
    <x v="4"/>
    <n v="-44616.306493055563"/>
    <d v="2022-03-12T07:21:21"/>
    <s v="Yes"/>
    <d v="2022-03-03T07:21:21"/>
    <x v="0"/>
    <x v="0"/>
    <m/>
    <m/>
    <m/>
    <m/>
    <d v="2022-03-06T07:21:21"/>
    <m/>
    <x v="0"/>
    <m/>
    <m/>
    <m/>
    <m/>
    <s v="Company"/>
    <m/>
    <s v="C1062"/>
    <s v="Candidate_62"/>
    <s v="02-20-2022"/>
    <x v="2"/>
    <s v="Job Board"/>
    <n v="3"/>
    <m/>
    <x v="0"/>
    <m/>
    <m/>
    <x v="0"/>
    <x v="0"/>
    <m/>
    <x v="0"/>
    <x v="0"/>
  </r>
  <r>
    <n v="1385"/>
    <s v="1385 | Program Office"/>
    <x v="4"/>
    <x v="1"/>
    <x v="3"/>
    <x v="4"/>
    <s v="Program Office-Senior Manager"/>
    <x v="3"/>
    <d v="2023-04-26T17:36:15"/>
    <x v="44"/>
    <x v="27"/>
    <n v="4"/>
    <d v="2023-05-28T17:36:15"/>
    <s v="Yes"/>
    <d v="2023-05-09T17:36:15"/>
    <x v="0"/>
    <x v="5"/>
    <m/>
    <m/>
    <m/>
    <m/>
    <d v="2023-05-13T17:36:15"/>
    <m/>
    <x v="0"/>
    <m/>
    <m/>
    <m/>
    <m/>
    <s v="Company"/>
    <m/>
    <s v="C1063"/>
    <s v="Candidate_63"/>
    <s v="30/04/2023"/>
    <x v="1"/>
    <s v="Linkedin"/>
    <n v="6"/>
    <m/>
    <x v="0"/>
    <m/>
    <m/>
    <x v="0"/>
    <x v="0"/>
    <m/>
    <x v="1"/>
    <x v="0"/>
  </r>
  <r>
    <n v="1381"/>
    <s v="1381 | Program Office"/>
    <x v="4"/>
    <x v="1"/>
    <x v="3"/>
    <x v="4"/>
    <s v="Program Office-Senior Manager"/>
    <x v="3"/>
    <d v="2023-04-27T17:36:15"/>
    <x v="0"/>
    <x v="27"/>
    <n v="3"/>
    <d v="2023-05-20T17:36:15"/>
    <s v="Yes"/>
    <d v="2023-05-04T17:36:15"/>
    <x v="0"/>
    <x v="0"/>
    <m/>
    <m/>
    <m/>
    <m/>
    <d v="2023-05-07T17:36:15"/>
    <m/>
    <x v="0"/>
    <m/>
    <m/>
    <m/>
    <m/>
    <s v="Company"/>
    <m/>
    <s v="C1064"/>
    <s v="Candidate_64"/>
    <s v="Apr 17 2023"/>
    <x v="2"/>
    <s v="Job Board"/>
    <n v="6"/>
    <m/>
    <x v="0"/>
    <m/>
    <m/>
    <x v="0"/>
    <x v="0"/>
    <m/>
    <x v="0"/>
    <x v="0"/>
  </r>
  <r>
    <n v="1322"/>
    <s v="1322 | Program Office"/>
    <x v="5"/>
    <x v="1"/>
    <x v="3"/>
    <x v="4"/>
    <s v="Program Office-Senior Manager"/>
    <x v="3"/>
    <d v="2023-08-22T04:29:27"/>
    <x v="45"/>
    <x v="28"/>
    <n v="6"/>
    <d v="2023-09-05T04:29:27"/>
    <s v="Yes"/>
    <d v="2023-09-10T04:29:27"/>
    <x v="0"/>
    <x v="0"/>
    <m/>
    <m/>
    <m/>
    <m/>
    <d v="2023-09-11T04:29:27"/>
    <m/>
    <x v="0"/>
    <m/>
    <m/>
    <m/>
    <m/>
    <s v="Company"/>
    <m/>
    <s v="C1065"/>
    <s v="Candidate_65"/>
    <s v="09-04-2023"/>
    <x v="2"/>
    <s v="Job Board"/>
    <n v="6"/>
    <m/>
    <x v="0"/>
    <m/>
    <m/>
    <x v="0"/>
    <x v="0"/>
    <m/>
    <x v="1"/>
    <x v="0"/>
  </r>
  <r>
    <n v="1294"/>
    <s v="1294 | Program Office"/>
    <x v="5"/>
    <x v="1"/>
    <x v="3"/>
    <x v="4"/>
    <s v="Program Office-Senior Manager"/>
    <x v="3"/>
    <d v="2023-06-14T16:08:44"/>
    <x v="46"/>
    <x v="29"/>
    <n v="5"/>
    <d v="2023-07-08T16:08:44"/>
    <s v="Yes"/>
    <d v="2023-06-28T16:08:44"/>
    <x v="0"/>
    <x v="3"/>
    <m/>
    <m/>
    <m/>
    <m/>
    <m/>
    <m/>
    <x v="0"/>
    <m/>
    <m/>
    <m/>
    <m/>
    <s v="Candidate"/>
    <m/>
    <s v="C1066"/>
    <s v="Candidate_66"/>
    <s v="06-09-2023"/>
    <x v="2"/>
    <s v="Job Board"/>
    <n v="6"/>
    <m/>
    <x v="0"/>
    <m/>
    <m/>
    <x v="0"/>
    <x v="0"/>
    <m/>
    <x v="1"/>
    <x v="0"/>
  </r>
  <r>
    <n v="498"/>
    <s v="498 | Program Office"/>
    <x v="5"/>
    <x v="1"/>
    <x v="3"/>
    <x v="4"/>
    <s v="Program Office-Senior Manager"/>
    <x v="3"/>
    <d v="2023-09-01T09:52:53"/>
    <x v="47"/>
    <x v="30"/>
    <n v="4"/>
    <d v="2023-09-30T09:52:53"/>
    <s v="Yes"/>
    <d v="2023-09-13T09:52:53"/>
    <x v="0"/>
    <x v="4"/>
    <m/>
    <m/>
    <m/>
    <m/>
    <m/>
    <m/>
    <x v="0"/>
    <m/>
    <m/>
    <m/>
    <m/>
    <s v="Company"/>
    <m/>
    <s v="C1067"/>
    <s v="Candidate_67"/>
    <s v="02/09/2023"/>
    <x v="0"/>
    <s v="Referral"/>
    <n v="6"/>
    <m/>
    <x v="0"/>
    <m/>
    <m/>
    <x v="0"/>
    <x v="0"/>
    <m/>
    <x v="1"/>
    <x v="0"/>
  </r>
  <r>
    <n v="496"/>
    <s v="496 | Program Office"/>
    <x v="3"/>
    <x v="1"/>
    <x v="3"/>
    <x v="5"/>
    <s v="Program Office-Senior Supervisory Manager"/>
    <x v="3"/>
    <d v="2023-08-29T09:52:53"/>
    <x v="48"/>
    <x v="4"/>
    <n v="-45167.411724537043"/>
    <d v="2023-09-11T09:52:53"/>
    <s v="Yes"/>
    <d v="2023-09-19T09:52:53"/>
    <x v="1"/>
    <x v="1"/>
    <d v="2023-09-27T09:52:53"/>
    <s v="Declined"/>
    <m/>
    <m/>
    <d v="2023-09-23T09:52:53"/>
    <m/>
    <x v="0"/>
    <m/>
    <m/>
    <m/>
    <m/>
    <m/>
    <m/>
    <s v="C1068"/>
    <s v="Candidate_68"/>
    <s v="13/09/2023"/>
    <x v="0"/>
    <s v="Referral"/>
    <n v="6"/>
    <m/>
    <x v="0"/>
    <m/>
    <m/>
    <x v="0"/>
    <x v="0"/>
    <m/>
    <x v="0"/>
    <x v="0"/>
  </r>
  <r>
    <n v="486"/>
    <s v="486 | Program Office"/>
    <x v="3"/>
    <x v="1"/>
    <x v="3"/>
    <x v="5"/>
    <s v="Program Office-Senior Supervisory Manager"/>
    <x v="3"/>
    <d v="2023-01-10T13:36:04"/>
    <x v="49"/>
    <x v="31"/>
    <n v="2"/>
    <d v="2023-01-18T13:36:04"/>
    <s v="Yes"/>
    <d v="2023-01-30T13:36:04"/>
    <x v="1"/>
    <x v="1"/>
    <d v="2023-02-03T13:36:04"/>
    <s v="Declined"/>
    <m/>
    <m/>
    <d v="2023-02-02T13:36:04"/>
    <m/>
    <x v="0"/>
    <m/>
    <m/>
    <m/>
    <m/>
    <m/>
    <m/>
    <s v="C1069"/>
    <s v="Candidate_69"/>
    <s v="16/01/2023"/>
    <x v="1"/>
    <s v="Linkedin"/>
    <n v="6"/>
    <m/>
    <x v="0"/>
    <m/>
    <m/>
    <x v="0"/>
    <x v="0"/>
    <m/>
    <x v="1"/>
    <x v="0"/>
  </r>
  <r>
    <n v="481"/>
    <s v="481 | Program Office"/>
    <x v="5"/>
    <x v="1"/>
    <x v="3"/>
    <x v="5"/>
    <s v="Program Office-Senior Supervisory Manager"/>
    <x v="3"/>
    <d v="2023-01-04T13:36:04"/>
    <x v="50"/>
    <x v="31"/>
    <n v="8"/>
    <d v="2023-01-25T13:36:04"/>
    <s v="Yes"/>
    <d v="2023-01-19T13:36:04"/>
    <x v="3"/>
    <x v="1"/>
    <d v="2023-01-25T13:36:04"/>
    <s v="Accepted"/>
    <d v="2023-01-20T13:36:04"/>
    <d v="2023-01-22T13:36:04"/>
    <d v="2023-01-23T13:36:04"/>
    <d v="2023-01-31T13:36:04"/>
    <x v="1"/>
    <d v="2023-02-01T13:36:04"/>
    <d v="2023-02-02T13:36:04"/>
    <d v="2023-02-04T13:36:04"/>
    <m/>
    <m/>
    <d v="2023-02-13T13:36:04"/>
    <s v="C1070"/>
    <s v="Candidate_70"/>
    <s v="01-07-2023"/>
    <x v="0"/>
    <s v="Referral"/>
    <n v="6"/>
    <m/>
    <x v="0"/>
    <m/>
    <m/>
    <x v="0"/>
    <x v="0"/>
    <m/>
    <x v="7"/>
    <x v="0"/>
  </r>
  <r>
    <n v="478"/>
    <s v="478 | Program Office"/>
    <x v="5"/>
    <x v="1"/>
    <x v="3"/>
    <x v="5"/>
    <s v="Program Office-Senior Supervisory Manager"/>
    <x v="3"/>
    <d v="2022-04-22T01:49:05"/>
    <x v="51"/>
    <x v="32"/>
    <n v="9"/>
    <d v="2022-05-24T01:49:05"/>
    <s v="Yes"/>
    <d v="2022-05-12T01:49:05"/>
    <x v="0"/>
    <x v="2"/>
    <m/>
    <m/>
    <m/>
    <m/>
    <m/>
    <m/>
    <x v="0"/>
    <m/>
    <m/>
    <m/>
    <m/>
    <s v="Candidate"/>
    <m/>
    <s v="C1071"/>
    <s v="Candidate_71"/>
    <s v="Apr 23 2022"/>
    <x v="0"/>
    <s v="Referral"/>
    <n v="6"/>
    <m/>
    <x v="0"/>
    <m/>
    <m/>
    <x v="0"/>
    <x v="0"/>
    <m/>
    <x v="1"/>
    <x v="0"/>
  </r>
  <r>
    <n v="384"/>
    <s v="384 | Program Office"/>
    <x v="3"/>
    <x v="1"/>
    <x v="3"/>
    <x v="5"/>
    <s v="Program Office-Senior Supervisory Manager"/>
    <x v="3"/>
    <d v="2022-11-07T09:11:38"/>
    <x v="52"/>
    <x v="33"/>
    <n v="6"/>
    <d v="2022-11-30T09:11:38"/>
    <s v="Yes"/>
    <d v="2022-11-20T09:11:38"/>
    <x v="0"/>
    <x v="2"/>
    <m/>
    <m/>
    <m/>
    <m/>
    <m/>
    <m/>
    <x v="0"/>
    <m/>
    <m/>
    <m/>
    <m/>
    <s v="Company"/>
    <m/>
    <s v="C1072"/>
    <s v="Candidate_72"/>
    <s v="Nov 03 2022"/>
    <x v="0"/>
    <s v="Referral"/>
    <n v="3"/>
    <m/>
    <x v="0"/>
    <m/>
    <m/>
    <x v="0"/>
    <x v="0"/>
    <m/>
    <x v="1"/>
    <x v="0"/>
  </r>
  <r>
    <n v="377"/>
    <s v="377 | Program Office"/>
    <x v="3"/>
    <x v="1"/>
    <x v="3"/>
    <x v="5"/>
    <s v="Program Office-Senior Supervisory Manager"/>
    <x v="3"/>
    <d v="2022-04-12T08:33:40"/>
    <x v="53"/>
    <x v="34"/>
    <n v="7"/>
    <d v="2022-05-11T08:33:40"/>
    <s v="Yes"/>
    <d v="2022-04-29T08:33:40"/>
    <x v="0"/>
    <x v="0"/>
    <m/>
    <m/>
    <m/>
    <m/>
    <d v="2022-05-01T08:33:40"/>
    <m/>
    <x v="0"/>
    <m/>
    <m/>
    <m/>
    <m/>
    <s v="Company"/>
    <m/>
    <s v="C1073"/>
    <s v="Candidate_73"/>
    <s v="14/04/2022"/>
    <x v="0"/>
    <s v="Referral"/>
    <n v="3"/>
    <m/>
    <x v="0"/>
    <m/>
    <m/>
    <x v="0"/>
    <x v="0"/>
    <m/>
    <x v="1"/>
    <x v="0"/>
  </r>
  <r>
    <n v="311"/>
    <s v="311 | Program Office"/>
    <x v="3"/>
    <x v="1"/>
    <x v="3"/>
    <x v="5"/>
    <s v="Program Office-Senior Supervisory Manager"/>
    <x v="3"/>
    <m/>
    <x v="54"/>
    <x v="35"/>
    <n v="44991.608946759261"/>
    <d v="2023-03-31T14:36:53"/>
    <s v="Yes"/>
    <d v="2023-03-22T14:36:53"/>
    <x v="3"/>
    <x v="1"/>
    <d v="2023-03-29T14:36:53"/>
    <s v="Accepted"/>
    <d v="2023-03-24T14:36:53"/>
    <d v="2023-03-28T14:36:53"/>
    <d v="2023-03-25T14:36:53"/>
    <d v="2023-03-28T14:36:53"/>
    <x v="1"/>
    <d v="2023-03-30T14:36:53"/>
    <d v="2023-04-02T14:36:53"/>
    <d v="2023-04-05T14:36:53"/>
    <m/>
    <m/>
    <d v="2023-04-12T14:36:53"/>
    <s v="C1074"/>
    <s v="Candidate_74"/>
    <s v="Mar 07 2023"/>
    <x v="0"/>
    <s v="Referral"/>
    <n v="6"/>
    <m/>
    <x v="0"/>
    <m/>
    <m/>
    <x v="0"/>
    <x v="0"/>
    <m/>
    <x v="0"/>
    <x v="0"/>
  </r>
  <r>
    <n v="185"/>
    <s v="185 | Program Office"/>
    <x v="3"/>
    <x v="1"/>
    <x v="3"/>
    <x v="5"/>
    <s v="Program Office-Senior Supervisory Manager"/>
    <x v="3"/>
    <d v="2022-09-26T07:13:58"/>
    <x v="55"/>
    <x v="36"/>
    <n v="5"/>
    <d v="2022-10-17T07:13:58"/>
    <s v="Yes"/>
    <d v="2022-10-16T07:13:58"/>
    <x v="0"/>
    <x v="5"/>
    <m/>
    <m/>
    <m/>
    <m/>
    <d v="2022-10-19T07:13:58"/>
    <m/>
    <x v="0"/>
    <m/>
    <m/>
    <m/>
    <m/>
    <s v="Company"/>
    <m/>
    <s v="C1075"/>
    <s v="Candidate_75"/>
    <s v="01/10/2022"/>
    <x v="0"/>
    <s v="Referral"/>
    <n v="3"/>
    <m/>
    <x v="0"/>
    <m/>
    <m/>
    <x v="0"/>
    <x v="0"/>
    <m/>
    <x v="1"/>
    <x v="0"/>
  </r>
  <r>
    <n v="184"/>
    <s v="184 | Program Office"/>
    <x v="3"/>
    <x v="1"/>
    <x v="3"/>
    <x v="5"/>
    <s v="Program Office-Senior Supervisory Manager"/>
    <x v="3"/>
    <d v="2022-09-21T07:13:58"/>
    <x v="56"/>
    <x v="36"/>
    <n v="10"/>
    <d v="2022-10-08T07:13:58"/>
    <s v="Yes"/>
    <d v="2022-10-13T07:13:58"/>
    <x v="0"/>
    <x v="3"/>
    <m/>
    <m/>
    <m/>
    <m/>
    <m/>
    <m/>
    <x v="0"/>
    <m/>
    <m/>
    <m/>
    <m/>
    <s v="Company"/>
    <m/>
    <s v="C1076"/>
    <s v="Candidate_76"/>
    <s v="Oct 06 2022"/>
    <x v="2"/>
    <s v="Job Board"/>
    <n v="3"/>
    <m/>
    <x v="0"/>
    <m/>
    <m/>
    <x v="0"/>
    <x v="0"/>
    <m/>
    <x v="1"/>
    <x v="0"/>
  </r>
  <r>
    <n v="182"/>
    <s v="182 | Program Office"/>
    <x v="5"/>
    <x v="1"/>
    <x v="3"/>
    <x v="5"/>
    <s v="Program Office-Senior Supervisory Manager"/>
    <x v="3"/>
    <d v="2022-09-26T07:13:58"/>
    <x v="55"/>
    <x v="36"/>
    <n v="5"/>
    <d v="2022-10-21T07:13:58"/>
    <s v="Yes"/>
    <d v="2022-10-05T07:13:58"/>
    <x v="0"/>
    <x v="5"/>
    <m/>
    <m/>
    <m/>
    <m/>
    <d v="2022-10-07T07:13:58"/>
    <m/>
    <x v="0"/>
    <m/>
    <m/>
    <m/>
    <m/>
    <s v="Candidate"/>
    <m/>
    <s v="C1077"/>
    <s v="Candidate_77"/>
    <s v="16/09/2022"/>
    <x v="0"/>
    <s v="Referral"/>
    <n v="3"/>
    <m/>
    <x v="0"/>
    <m/>
    <m/>
    <x v="0"/>
    <x v="0"/>
    <m/>
    <x v="1"/>
    <x v="0"/>
  </r>
  <r>
    <n v="138"/>
    <s v="138 | Program Office"/>
    <x v="4"/>
    <x v="1"/>
    <x v="3"/>
    <x v="5"/>
    <s v="Program Office-Senior Supervisory Manager"/>
    <x v="3"/>
    <d v="2022-07-22T19:16:15"/>
    <x v="57"/>
    <x v="37"/>
    <n v="5"/>
    <d v="2022-08-18T19:16:15"/>
    <s v="Yes"/>
    <d v="2022-08-01T19:16:15"/>
    <x v="3"/>
    <x v="1"/>
    <d v="2022-08-05T19:16:15"/>
    <s v="Accepted"/>
    <d v="2022-08-02T19:16:15"/>
    <d v="2022-08-04T19:16:15"/>
    <d v="2022-08-02T19:16:15"/>
    <d v="2022-08-04T19:16:15"/>
    <x v="1"/>
    <d v="2022-08-05T19:16:15"/>
    <d v="2022-08-08T19:16:15"/>
    <d v="2022-08-09T19:16:15"/>
    <m/>
    <m/>
    <d v="2022-08-28T19:16:15"/>
    <s v="C1078"/>
    <s v="Candidate_78"/>
    <s v="Jul 16 2022"/>
    <x v="0"/>
    <s v="Referral"/>
    <n v="6"/>
    <m/>
    <x v="0"/>
    <m/>
    <m/>
    <x v="0"/>
    <x v="0"/>
    <m/>
    <x v="8"/>
    <x v="0"/>
  </r>
  <r>
    <n v="9"/>
    <s v="9 | Program Office"/>
    <x v="4"/>
    <x v="1"/>
    <x v="3"/>
    <x v="5"/>
    <s v="Program Office-Senior Supervisory Manager"/>
    <x v="3"/>
    <d v="2023-06-02T08:55:46"/>
    <x v="58"/>
    <x v="38"/>
    <n v="4"/>
    <d v="2023-06-22T08:55:46"/>
    <s v="Yes"/>
    <d v="2023-06-12T08:55:46"/>
    <x v="0"/>
    <x v="4"/>
    <m/>
    <m/>
    <m/>
    <m/>
    <m/>
    <m/>
    <x v="0"/>
    <m/>
    <m/>
    <m/>
    <m/>
    <s v="Candidate"/>
    <m/>
    <s v="C1079"/>
    <s v="Candidate_79"/>
    <s v="05-29-2023"/>
    <x v="2"/>
    <s v="Job Board"/>
    <n v="6"/>
    <m/>
    <x v="0"/>
    <m/>
    <m/>
    <x v="0"/>
    <x v="0"/>
    <m/>
    <x v="1"/>
    <x v="0"/>
  </r>
  <r>
    <n v="7"/>
    <s v="7 | Program Office"/>
    <x v="5"/>
    <x v="1"/>
    <x v="3"/>
    <x v="5"/>
    <s v="Program Office-Senior Supervisory Manager"/>
    <x v="3"/>
    <d v="2023-05-28T08:55:46"/>
    <x v="59"/>
    <x v="38"/>
    <n v="9"/>
    <d v="2023-06-12T08:55:46"/>
    <s v="Yes"/>
    <d v="2023-06-15T08:55:46"/>
    <x v="0"/>
    <x v="3"/>
    <m/>
    <m/>
    <m/>
    <m/>
    <d v="2023-06-16T08:55:46"/>
    <m/>
    <x v="0"/>
    <m/>
    <m/>
    <m/>
    <m/>
    <s v="Candidate"/>
    <m/>
    <s v="C1080"/>
    <s v="Candidate_80"/>
    <s v="06-01-2023"/>
    <x v="2"/>
    <s v="Job Board"/>
    <n v="3"/>
    <m/>
    <x v="0"/>
    <m/>
    <m/>
    <x v="0"/>
    <x v="0"/>
    <m/>
    <x v="1"/>
    <x v="0"/>
  </r>
  <r>
    <n v="2973"/>
    <s v="2973 | Program Office"/>
    <x v="5"/>
    <x v="1"/>
    <x v="4"/>
    <x v="0"/>
    <s v="Program Office-Analyst"/>
    <x v="4"/>
    <d v="2022-07-15T15:16:58"/>
    <x v="60"/>
    <x v="39"/>
    <n v="12"/>
    <d v="2022-08-03T15:16:58"/>
    <s v="Yes"/>
    <d v="2022-07-31T15:16:58"/>
    <x v="3"/>
    <x v="1"/>
    <d v="2022-08-03T15:16:58"/>
    <s v="Accepted"/>
    <d v="2022-08-01T15:16:58"/>
    <d v="2022-08-02T15:16:58"/>
    <d v="2022-08-01T15:16:58"/>
    <d v="2022-08-08T15:16:58"/>
    <x v="1"/>
    <d v="2022-08-09T15:16:58"/>
    <d v="2022-08-11T15:16:58"/>
    <d v="2022-08-14T15:16:58"/>
    <m/>
    <m/>
    <d v="2022-08-28T15:16:58"/>
    <s v="C1081"/>
    <s v="Candidate_81"/>
    <s v="20/07/2022"/>
    <x v="2"/>
    <s v="Job Board"/>
    <n v="6"/>
    <m/>
    <x v="0"/>
    <m/>
    <m/>
    <x v="0"/>
    <x v="0"/>
    <m/>
    <x v="9"/>
    <x v="0"/>
  </r>
  <r>
    <n v="2966"/>
    <s v="2966 | Program Office"/>
    <x v="4"/>
    <x v="1"/>
    <x v="4"/>
    <x v="0"/>
    <s v="Program Office-Analyst"/>
    <x v="4"/>
    <d v="2022-05-16T06:38:26"/>
    <x v="61"/>
    <x v="40"/>
    <n v="11"/>
    <d v="2022-07-11T06:38:26"/>
    <s v="Yes"/>
    <d v="2022-05-30T06:38:26"/>
    <x v="0"/>
    <x v="0"/>
    <m/>
    <m/>
    <m/>
    <m/>
    <m/>
    <m/>
    <x v="0"/>
    <m/>
    <m/>
    <m/>
    <m/>
    <s v="Candidate"/>
    <m/>
    <s v="C1082"/>
    <s v="Candidate_82"/>
    <s v="05-19-2022"/>
    <x v="1"/>
    <s v="Linkedin"/>
    <n v="3"/>
    <m/>
    <x v="0"/>
    <m/>
    <m/>
    <x v="0"/>
    <x v="0"/>
    <m/>
    <x v="1"/>
    <x v="0"/>
  </r>
  <r>
    <n v="2964"/>
    <s v="2964 | Program Office"/>
    <x v="3"/>
    <x v="1"/>
    <x v="4"/>
    <x v="0"/>
    <s v="Program Office-Analyst"/>
    <x v="4"/>
    <d v="2022-05-16T06:38:26"/>
    <x v="62"/>
    <x v="4"/>
    <n v="-44697.276689814818"/>
    <d v="2022-07-10T06:38:26"/>
    <s v="Yes"/>
    <d v="2022-06-07T06:38:26"/>
    <x v="0"/>
    <x v="2"/>
    <m/>
    <m/>
    <m/>
    <m/>
    <d v="2022-06-08T06:38:26"/>
    <m/>
    <x v="0"/>
    <m/>
    <m/>
    <m/>
    <m/>
    <s v="Company"/>
    <m/>
    <s v="C1083"/>
    <s v="Candidate_83"/>
    <s v="27/05/2022"/>
    <x v="2"/>
    <s v="Job Board"/>
    <n v="3"/>
    <m/>
    <x v="0"/>
    <m/>
    <m/>
    <x v="0"/>
    <x v="0"/>
    <m/>
    <x v="0"/>
    <x v="0"/>
  </r>
  <r>
    <n v="2961"/>
    <s v="2961 | Program Office"/>
    <x v="4"/>
    <x v="1"/>
    <x v="4"/>
    <x v="0"/>
    <s v="Program Office-Analyst"/>
    <x v="4"/>
    <d v="2022-05-18T06:38:26"/>
    <x v="61"/>
    <x v="40"/>
    <n v="9"/>
    <d v="2022-07-11T06:38:26"/>
    <s v="Yes"/>
    <d v="2022-05-30T06:38:26"/>
    <x v="0"/>
    <x v="2"/>
    <m/>
    <m/>
    <m/>
    <m/>
    <d v="2022-06-01T06:38:26"/>
    <m/>
    <x v="0"/>
    <m/>
    <m/>
    <m/>
    <m/>
    <s v="Candidate"/>
    <m/>
    <s v="C1084"/>
    <s v="Candidate_84"/>
    <s v="May 17 2022"/>
    <x v="0"/>
    <s v="Referral"/>
    <n v="3"/>
    <m/>
    <x v="0"/>
    <m/>
    <m/>
    <x v="0"/>
    <x v="0"/>
    <m/>
    <x v="1"/>
    <x v="0"/>
  </r>
  <r>
    <n v="2886"/>
    <s v="2886 | Program Office"/>
    <x v="5"/>
    <x v="1"/>
    <x v="4"/>
    <x v="0"/>
    <s v="Program Office-Analyst"/>
    <x v="4"/>
    <d v="2022-10-23T01:36:27"/>
    <x v="63"/>
    <x v="41"/>
    <n v="10"/>
    <d v="2022-12-17T01:36:27"/>
    <s v="No"/>
    <m/>
    <x v="2"/>
    <x v="1"/>
    <m/>
    <m/>
    <m/>
    <m/>
    <m/>
    <m/>
    <x v="0"/>
    <m/>
    <m/>
    <m/>
    <m/>
    <m/>
    <m/>
    <s v="C1085"/>
    <s v="Candidate_85"/>
    <m/>
    <x v="1"/>
    <s v="Linkedin"/>
    <n v="6"/>
    <m/>
    <x v="0"/>
    <m/>
    <m/>
    <x v="0"/>
    <x v="0"/>
    <m/>
    <x v="1"/>
    <x v="0"/>
  </r>
  <r>
    <n v="2882"/>
    <s v="2882 | Program Office"/>
    <x v="3"/>
    <x v="1"/>
    <x v="4"/>
    <x v="0"/>
    <s v="Program Office-Analyst"/>
    <x v="4"/>
    <d v="2022-10-27T01:36:27"/>
    <x v="0"/>
    <x v="42"/>
    <n v="8"/>
    <d v="2022-11-14T01:36:27"/>
    <s v="Yes"/>
    <d v="2022-11-05T01:36:27"/>
    <x v="0"/>
    <x v="3"/>
    <m/>
    <m/>
    <m/>
    <m/>
    <m/>
    <m/>
    <x v="0"/>
    <m/>
    <m/>
    <m/>
    <m/>
    <s v="Candidate"/>
    <m/>
    <s v="C1086"/>
    <s v="Candidate_86"/>
    <s v="Oct 31 2022"/>
    <x v="2"/>
    <s v="Job Board"/>
    <n v="6"/>
    <m/>
    <x v="0"/>
    <m/>
    <m/>
    <x v="0"/>
    <x v="0"/>
    <m/>
    <x v="0"/>
    <x v="0"/>
  </r>
  <r>
    <n v="2868"/>
    <s v="2868 | Program Office"/>
    <x v="4"/>
    <x v="1"/>
    <x v="4"/>
    <x v="0"/>
    <s v="Program Office-Analyst"/>
    <x v="4"/>
    <d v="2022-10-13T06:23:31"/>
    <x v="64"/>
    <x v="43"/>
    <n v="11"/>
    <d v="2023-01-02T06:23:31"/>
    <s v="No"/>
    <m/>
    <x v="2"/>
    <x v="1"/>
    <m/>
    <m/>
    <m/>
    <m/>
    <m/>
    <m/>
    <x v="0"/>
    <m/>
    <m/>
    <m/>
    <m/>
    <m/>
    <m/>
    <s v="C1087"/>
    <s v="Candidate_87"/>
    <m/>
    <x v="2"/>
    <s v="Job Board"/>
    <n v="3"/>
    <m/>
    <x v="0"/>
    <m/>
    <m/>
    <x v="0"/>
    <x v="0"/>
    <m/>
    <x v="1"/>
    <x v="0"/>
  </r>
  <r>
    <n v="2867"/>
    <s v="2867 | Program Office"/>
    <x v="5"/>
    <x v="1"/>
    <x v="4"/>
    <x v="0"/>
    <s v="Program Office-Analyst"/>
    <x v="4"/>
    <d v="2022-10-15T06:23:31"/>
    <x v="29"/>
    <x v="44"/>
    <n v="11"/>
    <d v="2023-01-04T06:23:31"/>
    <s v="Yes"/>
    <d v="2022-11-03T06:23:31"/>
    <x v="3"/>
    <x v="1"/>
    <d v="2022-11-08T06:23:31"/>
    <s v="Accepted"/>
    <d v="2022-11-05T06:23:31"/>
    <d v="2022-11-09T06:23:31"/>
    <d v="2022-11-04T06:23:31"/>
    <d v="2022-11-14T06:23:31"/>
    <x v="1"/>
    <d v="2022-11-18T06:23:31"/>
    <d v="2022-11-19T06:23:31"/>
    <d v="2022-11-20T06:23:31"/>
    <m/>
    <m/>
    <d v="2022-12-06T06:23:31"/>
    <s v="C1088"/>
    <s v="Candidate_88"/>
    <s v="Oct 21 2022"/>
    <x v="1"/>
    <s v="Linkedin"/>
    <n v="6"/>
    <m/>
    <x v="0"/>
    <m/>
    <m/>
    <x v="0"/>
    <x v="0"/>
    <m/>
    <x v="10"/>
    <x v="0"/>
  </r>
  <r>
    <n v="2862"/>
    <s v="2862 | Program Office"/>
    <x v="4"/>
    <x v="1"/>
    <x v="4"/>
    <x v="0"/>
    <s v="Program Office-Analyst"/>
    <x v="4"/>
    <d v="2022-10-14T06:23:31"/>
    <x v="28"/>
    <x v="13"/>
    <n v="11"/>
    <d v="2023-01-03T06:23:31"/>
    <s v="No"/>
    <m/>
    <x v="2"/>
    <x v="1"/>
    <m/>
    <m/>
    <m/>
    <m/>
    <m/>
    <m/>
    <x v="0"/>
    <m/>
    <m/>
    <m/>
    <m/>
    <m/>
    <m/>
    <s v="C1089"/>
    <s v="Candidate_89"/>
    <m/>
    <x v="2"/>
    <s v="Job Board"/>
    <n v="3"/>
    <m/>
    <x v="0"/>
    <m/>
    <m/>
    <x v="0"/>
    <x v="0"/>
    <m/>
    <x v="1"/>
    <x v="0"/>
  </r>
  <r>
    <n v="2859"/>
    <s v="2859 | Program Office"/>
    <x v="4"/>
    <x v="1"/>
    <x v="4"/>
    <x v="0"/>
    <s v="Program Office-Analyst"/>
    <x v="4"/>
    <d v="2023-04-19T11:59:33"/>
    <x v="65"/>
    <x v="45"/>
    <n v="6"/>
    <d v="2023-07-04T11:59:33"/>
    <s v="Yes"/>
    <d v="2023-04-29T11:59:33"/>
    <x v="0"/>
    <x v="5"/>
    <m/>
    <m/>
    <m/>
    <m/>
    <d v="2023-05-01T11:59:33"/>
    <m/>
    <x v="0"/>
    <m/>
    <m/>
    <m/>
    <m/>
    <s v="Company"/>
    <m/>
    <s v="C1090"/>
    <s v="Candidate_90"/>
    <s v="04-13-2023"/>
    <x v="1"/>
    <s v="Linkedin"/>
    <n v="3"/>
    <m/>
    <x v="0"/>
    <m/>
    <m/>
    <x v="0"/>
    <x v="0"/>
    <m/>
    <x v="1"/>
    <x v="0"/>
  </r>
  <r>
    <n v="2855"/>
    <s v="2855 | Program Office"/>
    <x v="5"/>
    <x v="1"/>
    <x v="4"/>
    <x v="0"/>
    <s v="Program Office-Analyst"/>
    <x v="4"/>
    <m/>
    <x v="66"/>
    <x v="45"/>
    <n v="45041.4996875"/>
    <d v="2023-07-04T11:59:33"/>
    <s v="Yes"/>
    <d v="2023-04-29T11:59:33"/>
    <x v="3"/>
    <x v="1"/>
    <d v="2023-05-04T11:59:33"/>
    <s v="Accepted"/>
    <d v="2023-05-01T11:59:33"/>
    <d v="2023-05-02T11:59:33"/>
    <d v="2023-05-02T11:59:33"/>
    <d v="2023-05-11T11:59:33"/>
    <x v="1"/>
    <d v="2023-05-13T11:59:33"/>
    <d v="2023-05-15T11:59:33"/>
    <d v="2023-05-17T11:59:33"/>
    <m/>
    <m/>
    <d v="2023-06-06T11:59:33"/>
    <s v="C1091"/>
    <s v="Candidate_91"/>
    <s v="04-24-2023"/>
    <x v="1"/>
    <s v="Linkedin"/>
    <n v="6"/>
    <m/>
    <x v="0"/>
    <m/>
    <m/>
    <x v="0"/>
    <x v="0"/>
    <m/>
    <x v="0"/>
    <x v="0"/>
  </r>
  <r>
    <n v="2851"/>
    <s v="2851 | Program Office"/>
    <x v="4"/>
    <x v="1"/>
    <x v="4"/>
    <x v="0"/>
    <s v="Program Office-Analyst"/>
    <x v="4"/>
    <d v="2023-04-22T11:59:33"/>
    <x v="67"/>
    <x v="45"/>
    <n v="3"/>
    <d v="2023-07-04T11:59:33"/>
    <s v="Yes"/>
    <d v="2023-05-10T11:59:33"/>
    <x v="3"/>
    <x v="1"/>
    <d v="2023-05-12T11:59:33"/>
    <s v="Accepted"/>
    <d v="2023-05-11T11:59:33"/>
    <d v="2023-05-15T11:59:33"/>
    <d v="2023-05-11T11:59:33"/>
    <d v="2023-05-21T11:59:33"/>
    <x v="1"/>
    <d v="2023-05-25T11:59:33"/>
    <d v="2023-05-26T11:59:33"/>
    <d v="2023-05-27T11:59:33"/>
    <m/>
    <m/>
    <d v="2023-06-14T11:59:33"/>
    <s v="C1092"/>
    <s v="Candidate_92"/>
    <s v="30/04/2023"/>
    <x v="1"/>
    <s v="Linkedin"/>
    <n v="6"/>
    <m/>
    <x v="0"/>
    <m/>
    <m/>
    <x v="0"/>
    <x v="0"/>
    <m/>
    <x v="11"/>
    <x v="0"/>
  </r>
  <r>
    <n v="2790"/>
    <s v="2790 | Program Office"/>
    <x v="3"/>
    <x v="1"/>
    <x v="4"/>
    <x v="0"/>
    <s v="Program Office-Analyst"/>
    <x v="4"/>
    <d v="2023-06-29T19:35:56"/>
    <x v="68"/>
    <x v="46"/>
    <n v="4"/>
    <d v="2023-07-15T19:35:56"/>
    <s v="No"/>
    <m/>
    <x v="2"/>
    <x v="1"/>
    <m/>
    <m/>
    <m/>
    <m/>
    <m/>
    <m/>
    <x v="0"/>
    <m/>
    <m/>
    <m/>
    <m/>
    <m/>
    <m/>
    <s v="C1093"/>
    <s v="Candidate_93"/>
    <m/>
    <x v="1"/>
    <s v="Linkedin"/>
    <n v="3"/>
    <m/>
    <x v="0"/>
    <m/>
    <m/>
    <x v="0"/>
    <x v="0"/>
    <m/>
    <x v="1"/>
    <x v="0"/>
  </r>
  <r>
    <n v="2789"/>
    <s v="2789 | Program Office"/>
    <x v="5"/>
    <x v="1"/>
    <x v="4"/>
    <x v="0"/>
    <s v="Program Office-Analyst"/>
    <x v="4"/>
    <d v="2023-06-30T19:35:56"/>
    <x v="69"/>
    <x v="46"/>
    <n v="3"/>
    <d v="2023-07-28T19:35:56"/>
    <s v="Yes"/>
    <d v="2023-07-09T19:35:56"/>
    <x v="0"/>
    <x v="0"/>
    <m/>
    <m/>
    <m/>
    <m/>
    <d v="2023-07-10T19:35:56"/>
    <m/>
    <x v="0"/>
    <m/>
    <m/>
    <m/>
    <m/>
    <s v="Company"/>
    <m/>
    <s v="C1094"/>
    <s v="Candidate_94"/>
    <s v="03/07/2023"/>
    <x v="2"/>
    <s v="Job Board"/>
    <n v="3"/>
    <m/>
    <x v="0"/>
    <m/>
    <m/>
    <x v="0"/>
    <x v="0"/>
    <m/>
    <x v="1"/>
    <x v="0"/>
  </r>
  <r>
    <n v="2788"/>
    <s v="2788 | Program Office"/>
    <x v="4"/>
    <x v="1"/>
    <x v="4"/>
    <x v="0"/>
    <s v="Program Office-Analyst"/>
    <x v="4"/>
    <d v="2023-06-27T19:35:56"/>
    <x v="0"/>
    <x v="46"/>
    <n v="6"/>
    <d v="2023-07-19T19:35:56"/>
    <s v="Yes"/>
    <d v="2023-07-09T19:35:56"/>
    <x v="1"/>
    <x v="1"/>
    <d v="2023-07-16T19:35:56"/>
    <s v="Declined"/>
    <m/>
    <m/>
    <d v="2023-07-12T19:35:56"/>
    <m/>
    <x v="0"/>
    <m/>
    <m/>
    <m/>
    <m/>
    <m/>
    <m/>
    <s v="C1095"/>
    <s v="Candidate_95"/>
    <s v="Jun 28 2023"/>
    <x v="1"/>
    <s v="Linkedin"/>
    <n v="3"/>
    <m/>
    <x v="0"/>
    <m/>
    <m/>
    <x v="0"/>
    <x v="0"/>
    <m/>
    <x v="0"/>
    <x v="0"/>
  </r>
  <r>
    <n v="2740"/>
    <s v="2740 | Program Office"/>
    <x v="3"/>
    <x v="1"/>
    <x v="4"/>
    <x v="0"/>
    <s v="Program Office-Analyst"/>
    <x v="4"/>
    <m/>
    <x v="0"/>
    <x v="15"/>
    <n v="44757.981076388889"/>
    <d v="2022-07-24T23:32:45"/>
    <s v="No"/>
    <m/>
    <x v="2"/>
    <x v="1"/>
    <m/>
    <m/>
    <m/>
    <m/>
    <m/>
    <m/>
    <x v="0"/>
    <m/>
    <m/>
    <m/>
    <m/>
    <m/>
    <m/>
    <s v="C1096"/>
    <s v="Candidate_96"/>
    <m/>
    <x v="0"/>
    <s v="Referral"/>
    <n v="3"/>
    <m/>
    <x v="0"/>
    <m/>
    <m/>
    <x v="0"/>
    <x v="0"/>
    <m/>
    <x v="0"/>
    <x v="0"/>
  </r>
  <r>
    <n v="2569"/>
    <s v="2569 | Program Office"/>
    <x v="4"/>
    <x v="1"/>
    <x v="4"/>
    <x v="0"/>
    <s v="Program Office-Analyst"/>
    <x v="4"/>
    <d v="2022-11-20T06:58:42"/>
    <x v="70"/>
    <x v="47"/>
    <n v="8"/>
    <d v="2022-12-05T06:58:42"/>
    <s v="Yes"/>
    <d v="2022-12-03T06:58:42"/>
    <x v="0"/>
    <x v="5"/>
    <m/>
    <m/>
    <m/>
    <m/>
    <m/>
    <m/>
    <x v="0"/>
    <m/>
    <m/>
    <m/>
    <m/>
    <s v="Company"/>
    <m/>
    <s v="C1097"/>
    <s v="Candidate_97"/>
    <s v="15/11/2022"/>
    <x v="2"/>
    <s v="Job Board"/>
    <n v="3"/>
    <m/>
    <x v="0"/>
    <m/>
    <m/>
    <x v="0"/>
    <x v="0"/>
    <m/>
    <x v="1"/>
    <x v="0"/>
  </r>
  <r>
    <n v="2567"/>
    <s v="2567 | Program Office"/>
    <x v="4"/>
    <x v="1"/>
    <x v="4"/>
    <x v="0"/>
    <s v="Program Office-Analyst"/>
    <x v="4"/>
    <d v="2022-11-22T06:58:42"/>
    <x v="71"/>
    <x v="47"/>
    <n v="6"/>
    <d v="2022-12-18T06:58:42"/>
    <s v="No"/>
    <m/>
    <x v="2"/>
    <x v="1"/>
    <m/>
    <m/>
    <m/>
    <m/>
    <m/>
    <m/>
    <x v="0"/>
    <m/>
    <m/>
    <m/>
    <m/>
    <m/>
    <m/>
    <s v="C1098"/>
    <s v="Candidate_98"/>
    <m/>
    <x v="1"/>
    <s v="Linkedin"/>
    <n v="6"/>
    <m/>
    <x v="0"/>
    <m/>
    <m/>
    <x v="0"/>
    <x v="0"/>
    <m/>
    <x v="1"/>
    <x v="0"/>
  </r>
  <r>
    <n v="2557"/>
    <s v="2557 | Program Office"/>
    <x v="3"/>
    <x v="1"/>
    <x v="4"/>
    <x v="0"/>
    <s v="Program Office-Analyst"/>
    <x v="4"/>
    <d v="2023-08-06T17:10:04"/>
    <x v="72"/>
    <x v="16"/>
    <n v="4"/>
    <d v="2023-08-29T17:10:04"/>
    <s v="Yes"/>
    <d v="2023-08-14T17:10:04"/>
    <x v="3"/>
    <x v="1"/>
    <d v="2023-08-19T17:10:04"/>
    <s v="Accepted"/>
    <d v="2023-08-15T17:10:04"/>
    <d v="2023-08-16T17:10:04"/>
    <d v="2023-08-15T17:10:04"/>
    <d v="2023-08-20T17:10:04"/>
    <x v="1"/>
    <d v="2023-08-21T17:10:04"/>
    <d v="2023-08-22T17:10:04"/>
    <d v="2023-08-24T17:10:04"/>
    <m/>
    <m/>
    <d v="2023-09-12T17:10:04"/>
    <s v="C1099"/>
    <s v="Candidate_99"/>
    <s v="Aug 05 2023"/>
    <x v="2"/>
    <s v="Job Board"/>
    <n v="3"/>
    <m/>
    <x v="0"/>
    <m/>
    <m/>
    <x v="0"/>
    <x v="0"/>
    <m/>
    <x v="12"/>
    <x v="0"/>
  </r>
  <r>
    <n v="2551"/>
    <s v="2551 | Program Office"/>
    <x v="3"/>
    <x v="1"/>
    <x v="4"/>
    <x v="0"/>
    <s v="Program Office-Analyst"/>
    <x v="4"/>
    <m/>
    <x v="73"/>
    <x v="16"/>
    <n v="45148.715324074074"/>
    <d v="2023-09-05T17:10:04"/>
    <s v="Yes"/>
    <d v="2023-08-14T17:10:04"/>
    <x v="4"/>
    <x v="1"/>
    <d v="2023-08-19T17:10:04"/>
    <s v="Pending"/>
    <m/>
    <m/>
    <d v="2023-08-17T17:10:04"/>
    <m/>
    <x v="0"/>
    <m/>
    <m/>
    <m/>
    <m/>
    <m/>
    <m/>
    <s v="C1100"/>
    <s v="Candidate_100"/>
    <s v="02/08/2023"/>
    <x v="1"/>
    <s v="Linkedin"/>
    <n v="3"/>
    <m/>
    <x v="0"/>
    <m/>
    <m/>
    <x v="0"/>
    <x v="0"/>
    <m/>
    <x v="0"/>
    <x v="0"/>
  </r>
  <r>
    <n v="2457"/>
    <s v="2457 | Program Office"/>
    <x v="3"/>
    <x v="1"/>
    <x v="4"/>
    <x v="0"/>
    <s v="Program Office-Analyst"/>
    <x v="4"/>
    <d v="2023-08-24T01:40:33"/>
    <x v="74"/>
    <x v="48"/>
    <n v="5"/>
    <d v="2023-09-28T01:40:33"/>
    <s v="Yes"/>
    <d v="2023-09-11T01:40:33"/>
    <x v="0"/>
    <x v="2"/>
    <m/>
    <m/>
    <m/>
    <m/>
    <d v="2023-09-12T01:40:33"/>
    <m/>
    <x v="0"/>
    <m/>
    <m/>
    <m/>
    <m/>
    <s v="Candidate"/>
    <m/>
    <s v="C1101"/>
    <s v="Candidate_101"/>
    <s v="Aug 30 2023"/>
    <x v="0"/>
    <s v="Referral"/>
    <n v="6"/>
    <m/>
    <x v="0"/>
    <m/>
    <m/>
    <x v="0"/>
    <x v="0"/>
    <m/>
    <x v="1"/>
    <x v="0"/>
  </r>
  <r>
    <n v="2406"/>
    <s v="2406 | Program Office"/>
    <x v="5"/>
    <x v="1"/>
    <x v="4"/>
    <x v="0"/>
    <s v="Program Office-Analyst"/>
    <x v="4"/>
    <d v="2023-03-29T02:03:49"/>
    <x v="0"/>
    <x v="49"/>
    <n v="8"/>
    <d v="2023-05-02T02:03:49"/>
    <s v="Yes"/>
    <d v="2023-04-17T02:03:49"/>
    <x v="1"/>
    <x v="1"/>
    <d v="2023-04-21T02:03:49"/>
    <s v="Declined"/>
    <m/>
    <m/>
    <d v="2023-04-18T02:03:49"/>
    <m/>
    <x v="0"/>
    <m/>
    <m/>
    <m/>
    <m/>
    <m/>
    <m/>
    <s v="C1102"/>
    <s v="Candidate_102"/>
    <s v="03-29-2023"/>
    <x v="1"/>
    <s v="Linkedin"/>
    <n v="6"/>
    <m/>
    <x v="0"/>
    <m/>
    <m/>
    <x v="0"/>
    <x v="0"/>
    <m/>
    <x v="0"/>
    <x v="0"/>
  </r>
  <r>
    <n v="2401"/>
    <s v="2401 | Program Office"/>
    <x v="4"/>
    <x v="1"/>
    <x v="4"/>
    <x v="0"/>
    <s v="Program Office-Analyst"/>
    <x v="4"/>
    <d v="2023-03-31T02:03:49"/>
    <x v="75"/>
    <x v="4"/>
    <n v="-45016.0859837963"/>
    <d v="2023-05-04T02:03:49"/>
    <s v="Yes"/>
    <d v="2023-04-11T02:03:49"/>
    <x v="1"/>
    <x v="1"/>
    <d v="2023-04-18T02:03:49"/>
    <s v="Declined"/>
    <m/>
    <m/>
    <d v="2023-04-15T02:03:49"/>
    <m/>
    <x v="0"/>
    <m/>
    <m/>
    <m/>
    <m/>
    <m/>
    <m/>
    <s v="C1103"/>
    <s v="Candidate_103"/>
    <s v="26/03/2023"/>
    <x v="1"/>
    <s v="Linkedin"/>
    <n v="3"/>
    <m/>
    <x v="0"/>
    <m/>
    <m/>
    <x v="0"/>
    <x v="0"/>
    <m/>
    <x v="0"/>
    <x v="0"/>
  </r>
  <r>
    <n v="2384"/>
    <s v="2384 | Program Office"/>
    <x v="3"/>
    <x v="1"/>
    <x v="4"/>
    <x v="0"/>
    <s v="Program Office-Analyst"/>
    <x v="4"/>
    <d v="2023-04-13T12:42:32"/>
    <x v="76"/>
    <x v="50"/>
    <n v="7"/>
    <d v="2023-05-04T12:42:32"/>
    <s v="Yes"/>
    <d v="2023-05-04T12:42:32"/>
    <x v="0"/>
    <x v="5"/>
    <m/>
    <m/>
    <m/>
    <m/>
    <d v="2023-05-07T12:42:32"/>
    <m/>
    <x v="0"/>
    <m/>
    <m/>
    <m/>
    <m/>
    <s v="Candidate"/>
    <m/>
    <s v="C1104"/>
    <s v="Candidate_104"/>
    <s v="Apr 29 2023"/>
    <x v="0"/>
    <s v="Referral"/>
    <n v="3"/>
    <m/>
    <x v="0"/>
    <m/>
    <m/>
    <x v="0"/>
    <x v="0"/>
    <m/>
    <x v="1"/>
    <x v="0"/>
  </r>
  <r>
    <n v="2383"/>
    <s v="2383 | Program Office"/>
    <x v="3"/>
    <x v="1"/>
    <x v="4"/>
    <x v="0"/>
    <s v="Program Office-Analyst"/>
    <x v="4"/>
    <d v="2023-04-15T12:42:32"/>
    <x v="77"/>
    <x v="50"/>
    <n v="5"/>
    <d v="2023-05-09T12:42:32"/>
    <s v="Yes"/>
    <d v="2023-05-04T12:42:32"/>
    <x v="3"/>
    <x v="1"/>
    <d v="2023-05-08T12:42:32"/>
    <s v="Accepted"/>
    <d v="2023-05-05T12:42:32"/>
    <d v="2023-05-09T12:42:32"/>
    <d v="2023-05-05T12:42:32"/>
    <d v="2023-05-10T12:42:32"/>
    <x v="1"/>
    <d v="2023-05-13T12:42:32"/>
    <d v="2023-05-15T12:42:32"/>
    <d v="2023-05-16T12:42:32"/>
    <m/>
    <m/>
    <d v="2023-06-04T12:42:32"/>
    <s v="C1105"/>
    <s v="Candidate_105"/>
    <s v="18/04/2023"/>
    <x v="1"/>
    <s v="Linkedin"/>
    <n v="3"/>
    <m/>
    <x v="0"/>
    <m/>
    <m/>
    <x v="0"/>
    <x v="0"/>
    <m/>
    <x v="13"/>
    <x v="0"/>
  </r>
  <r>
    <n v="2370"/>
    <s v="2370 | Program Office"/>
    <x v="4"/>
    <x v="1"/>
    <x v="4"/>
    <x v="0"/>
    <s v="Program Office-Analyst"/>
    <x v="4"/>
    <d v="2023-02-16T06:26:17"/>
    <x v="33"/>
    <x v="4"/>
    <n v="-44973.268252314818"/>
    <d v="2023-03-01T06:26:17"/>
    <s v="No"/>
    <m/>
    <x v="2"/>
    <x v="1"/>
    <m/>
    <m/>
    <m/>
    <m/>
    <m/>
    <m/>
    <x v="0"/>
    <m/>
    <m/>
    <m/>
    <m/>
    <m/>
    <m/>
    <s v="C1106"/>
    <s v="Candidate_106"/>
    <m/>
    <x v="1"/>
    <s v="Linkedin"/>
    <n v="6"/>
    <m/>
    <x v="0"/>
    <m/>
    <m/>
    <x v="0"/>
    <x v="0"/>
    <m/>
    <x v="0"/>
    <x v="0"/>
  </r>
  <r>
    <n v="2314"/>
    <s v="2314 | Program Office"/>
    <x v="3"/>
    <x v="1"/>
    <x v="4"/>
    <x v="0"/>
    <s v="Program Office-Analyst"/>
    <x v="4"/>
    <d v="2022-04-19T00:53:43"/>
    <x v="78"/>
    <x v="20"/>
    <n v="7"/>
    <d v="2022-05-16T00:53:43"/>
    <s v="Yes"/>
    <d v="2022-05-10T00:53:43"/>
    <x v="0"/>
    <x v="5"/>
    <m/>
    <m/>
    <m/>
    <m/>
    <d v="2022-05-13T00:53:43"/>
    <m/>
    <x v="0"/>
    <m/>
    <m/>
    <m/>
    <m/>
    <s v="Company"/>
    <m/>
    <s v="C1107"/>
    <s v="Candidate_107"/>
    <s v="05-04-2022"/>
    <x v="1"/>
    <s v="Linkedin"/>
    <n v="6"/>
    <m/>
    <x v="0"/>
    <m/>
    <m/>
    <x v="0"/>
    <x v="0"/>
    <m/>
    <x v="1"/>
    <x v="0"/>
  </r>
  <r>
    <n v="2313"/>
    <s v="2313 | Program Office"/>
    <x v="5"/>
    <x v="1"/>
    <x v="4"/>
    <x v="0"/>
    <s v="Program Office-Analyst"/>
    <x v="4"/>
    <d v="2022-04-19T00:53:43"/>
    <x v="79"/>
    <x v="20"/>
    <n v="7"/>
    <d v="2022-05-22T00:53:43"/>
    <s v="Yes"/>
    <d v="2022-05-07T00:53:43"/>
    <x v="4"/>
    <x v="1"/>
    <d v="2022-05-10T00:53:43"/>
    <s v="Pending"/>
    <m/>
    <m/>
    <d v="2022-05-08T00:53:43"/>
    <m/>
    <x v="0"/>
    <m/>
    <m/>
    <m/>
    <m/>
    <m/>
    <m/>
    <s v="C1108"/>
    <s v="Candidate_108"/>
    <s v="Apr 27 2022"/>
    <x v="0"/>
    <s v="Referral"/>
    <n v="3"/>
    <m/>
    <x v="0"/>
    <m/>
    <m/>
    <x v="0"/>
    <x v="0"/>
    <m/>
    <x v="1"/>
    <x v="0"/>
  </r>
  <r>
    <n v="2267"/>
    <s v="2267 | Program Office"/>
    <x v="5"/>
    <x v="1"/>
    <x v="4"/>
    <x v="0"/>
    <s v="Program Office-Analyst"/>
    <x v="4"/>
    <m/>
    <x v="80"/>
    <x v="51"/>
    <n v="45036.937696759262"/>
    <d v="2023-05-02T22:30:17"/>
    <s v="Yes"/>
    <d v="2023-04-22T22:30:17"/>
    <x v="0"/>
    <x v="3"/>
    <m/>
    <m/>
    <m/>
    <m/>
    <m/>
    <m/>
    <x v="0"/>
    <m/>
    <m/>
    <m/>
    <m/>
    <s v="Candidate"/>
    <m/>
    <s v="C1109"/>
    <s v="Candidate_109"/>
    <s v="04-15-2023"/>
    <x v="1"/>
    <s v="Linkedin"/>
    <n v="3"/>
    <m/>
    <x v="0"/>
    <m/>
    <m/>
    <x v="0"/>
    <x v="0"/>
    <m/>
    <x v="0"/>
    <x v="0"/>
  </r>
  <r>
    <n v="2263"/>
    <s v="2263 | Program Office"/>
    <x v="3"/>
    <x v="1"/>
    <x v="4"/>
    <x v="0"/>
    <s v="Program Office-Analyst"/>
    <x v="4"/>
    <d v="2023-04-14T22:30:17"/>
    <x v="0"/>
    <x v="51"/>
    <n v="6"/>
    <d v="2023-05-15T22:30:17"/>
    <s v="Yes"/>
    <d v="2023-05-07T22:30:17"/>
    <x v="1"/>
    <x v="1"/>
    <d v="2023-05-13T22:30:17"/>
    <s v="Declined"/>
    <m/>
    <m/>
    <d v="2023-05-10T22:30:17"/>
    <m/>
    <x v="0"/>
    <m/>
    <m/>
    <m/>
    <m/>
    <m/>
    <m/>
    <s v="C1110"/>
    <s v="Candidate_110"/>
    <s v="Apr 24 2023"/>
    <x v="1"/>
    <s v="Linkedin"/>
    <n v="3"/>
    <m/>
    <x v="0"/>
    <m/>
    <m/>
    <x v="0"/>
    <x v="0"/>
    <m/>
    <x v="0"/>
    <x v="0"/>
  </r>
  <r>
    <n v="2216"/>
    <s v="2216 | Program Office"/>
    <x v="5"/>
    <x v="1"/>
    <x v="4"/>
    <x v="0"/>
    <s v="Program Office-Analyst"/>
    <x v="4"/>
    <m/>
    <x v="81"/>
    <x v="52"/>
    <n v="44648.873194444437"/>
    <d v="2022-04-20T20:57:24"/>
    <s v="Yes"/>
    <d v="2022-04-06T20:57:24"/>
    <x v="0"/>
    <x v="2"/>
    <m/>
    <m/>
    <m/>
    <m/>
    <m/>
    <m/>
    <x v="0"/>
    <m/>
    <m/>
    <m/>
    <m/>
    <s v="Company"/>
    <m/>
    <s v="C1111"/>
    <s v="Candidate_111"/>
    <s v="18/03/2022"/>
    <x v="0"/>
    <s v="Referral"/>
    <n v="3"/>
    <m/>
    <x v="0"/>
    <m/>
    <m/>
    <x v="0"/>
    <x v="0"/>
    <m/>
    <x v="0"/>
    <x v="0"/>
  </r>
  <r>
    <n v="2215"/>
    <s v="2215 | Program Office"/>
    <x v="5"/>
    <x v="1"/>
    <x v="4"/>
    <x v="0"/>
    <s v="Program Office-Analyst"/>
    <x v="4"/>
    <d v="2022-03-22T20:57:24"/>
    <x v="82"/>
    <x v="52"/>
    <n v="6"/>
    <d v="2022-04-17T20:57:24"/>
    <s v="Yes"/>
    <d v="2022-04-07T20:57:24"/>
    <x v="0"/>
    <x v="5"/>
    <m/>
    <m/>
    <m/>
    <m/>
    <d v="2022-04-11T20:57:24"/>
    <m/>
    <x v="0"/>
    <m/>
    <m/>
    <m/>
    <m/>
    <s v="Company"/>
    <m/>
    <s v="C1112"/>
    <s v="Candidate_112"/>
    <s v="28/03/2022"/>
    <x v="2"/>
    <s v="Job Board"/>
    <n v="3"/>
    <m/>
    <x v="0"/>
    <m/>
    <m/>
    <x v="0"/>
    <x v="0"/>
    <m/>
    <x v="1"/>
    <x v="0"/>
  </r>
  <r>
    <n v="2213"/>
    <s v="2213 | Program Office"/>
    <x v="4"/>
    <x v="1"/>
    <x v="4"/>
    <x v="0"/>
    <s v="Program Office-Analyst"/>
    <x v="4"/>
    <m/>
    <x v="81"/>
    <x v="52"/>
    <n v="44648.873194444437"/>
    <d v="2022-04-21T20:57:24"/>
    <s v="Yes"/>
    <d v="2022-04-11T20:57:24"/>
    <x v="4"/>
    <x v="1"/>
    <d v="2022-04-16T20:57:24"/>
    <s v="Pending"/>
    <m/>
    <m/>
    <d v="2022-04-15T20:57:24"/>
    <m/>
    <x v="0"/>
    <m/>
    <m/>
    <m/>
    <m/>
    <m/>
    <m/>
    <s v="C1113"/>
    <s v="Candidate_113"/>
    <s v="Mar 29 2022"/>
    <x v="1"/>
    <s v="Linkedin"/>
    <n v="3"/>
    <m/>
    <x v="0"/>
    <m/>
    <m/>
    <x v="0"/>
    <x v="0"/>
    <m/>
    <x v="0"/>
    <x v="0"/>
  </r>
  <r>
    <n v="2200"/>
    <s v="2200 | Program Office"/>
    <x v="4"/>
    <x v="1"/>
    <x v="4"/>
    <x v="0"/>
    <s v="Program Office-Analyst"/>
    <x v="4"/>
    <d v="2022-08-30T03:59:03"/>
    <x v="0"/>
    <x v="53"/>
    <n v="4"/>
    <d v="2022-09-08T03:59:03"/>
    <s v="Yes"/>
    <d v="2022-09-18T03:59:03"/>
    <x v="4"/>
    <x v="1"/>
    <d v="2022-09-26T03:59:03"/>
    <s v="Pending"/>
    <m/>
    <m/>
    <d v="2022-09-22T03:59:03"/>
    <m/>
    <x v="0"/>
    <m/>
    <m/>
    <m/>
    <m/>
    <m/>
    <m/>
    <s v="C1114"/>
    <s v="Candidate_114"/>
    <s v="Sep 01 2022"/>
    <x v="1"/>
    <s v="Linkedin"/>
    <n v="3"/>
    <m/>
    <x v="0"/>
    <m/>
    <m/>
    <x v="0"/>
    <x v="0"/>
    <m/>
    <x v="0"/>
    <x v="0"/>
  </r>
  <r>
    <n v="2197"/>
    <s v="2197 | Program Office"/>
    <x v="4"/>
    <x v="1"/>
    <x v="4"/>
    <x v="0"/>
    <s v="Program Office-Analyst"/>
    <x v="4"/>
    <d v="2022-08-27T03:59:03"/>
    <x v="83"/>
    <x v="53"/>
    <n v="7"/>
    <d v="2022-09-12T03:59:03"/>
    <s v="Yes"/>
    <d v="2022-09-18T03:59:03"/>
    <x v="3"/>
    <x v="1"/>
    <d v="2022-09-23T03:59:03"/>
    <s v="Accepted"/>
    <d v="2022-09-19T03:59:03"/>
    <d v="2022-09-20T03:59:03"/>
    <d v="2022-09-22T03:59:03"/>
    <d v="2022-09-24T03:59:03"/>
    <x v="1"/>
    <d v="2022-09-25T03:59:03"/>
    <d v="2022-09-28T03:59:03"/>
    <d v="2022-10-01T03:59:03"/>
    <m/>
    <m/>
    <d v="2022-10-20T03:59:03"/>
    <s v="C1115"/>
    <s v="Candidate_115"/>
    <s v="Sep 11 2022"/>
    <x v="0"/>
    <s v="Referral"/>
    <n v="3"/>
    <m/>
    <x v="0"/>
    <m/>
    <m/>
    <x v="0"/>
    <x v="0"/>
    <m/>
    <x v="14"/>
    <x v="0"/>
  </r>
  <r>
    <n v="2191"/>
    <s v="2191 | Program Office"/>
    <x v="4"/>
    <x v="1"/>
    <x v="4"/>
    <x v="0"/>
    <s v="Program Office-Analyst"/>
    <x v="4"/>
    <d v="2022-08-27T03:59:03"/>
    <x v="84"/>
    <x v="53"/>
    <n v="7"/>
    <d v="2022-09-17T03:59:03"/>
    <s v="Yes"/>
    <d v="2022-09-17T03:59:03"/>
    <x v="4"/>
    <x v="1"/>
    <d v="2022-09-21T03:59:03"/>
    <s v="Pending"/>
    <m/>
    <m/>
    <d v="2022-09-20T03:59:03"/>
    <m/>
    <x v="0"/>
    <m/>
    <m/>
    <m/>
    <m/>
    <m/>
    <m/>
    <s v="C1116"/>
    <s v="Candidate_116"/>
    <s v="09-05-2022"/>
    <x v="0"/>
    <s v="Referral"/>
    <n v="6"/>
    <m/>
    <x v="0"/>
    <m/>
    <m/>
    <x v="0"/>
    <x v="0"/>
    <m/>
    <x v="1"/>
    <x v="0"/>
  </r>
  <r>
    <n v="2129"/>
    <s v="2129 | Program Office"/>
    <x v="4"/>
    <x v="1"/>
    <x v="4"/>
    <x v="0"/>
    <s v="Program Office-Analyst"/>
    <x v="4"/>
    <d v="2023-01-04T11:21:38"/>
    <x v="38"/>
    <x v="22"/>
    <n v="5"/>
    <d v="2023-01-30T11:21:38"/>
    <s v="Yes"/>
    <d v="2023-01-14T11:21:38"/>
    <x v="0"/>
    <x v="3"/>
    <m/>
    <m/>
    <m/>
    <m/>
    <d v="2023-01-18T11:21:38"/>
    <m/>
    <x v="0"/>
    <m/>
    <m/>
    <m/>
    <m/>
    <s v="Company"/>
    <m/>
    <s v="C1117"/>
    <s v="Candidate_117"/>
    <s v="02/01/2023"/>
    <x v="0"/>
    <s v="Referral"/>
    <n v="6"/>
    <m/>
    <x v="0"/>
    <m/>
    <m/>
    <x v="0"/>
    <x v="0"/>
    <m/>
    <x v="1"/>
    <x v="0"/>
  </r>
  <r>
    <n v="2114"/>
    <s v="2114 | Program Office"/>
    <x v="3"/>
    <x v="1"/>
    <x v="4"/>
    <x v="0"/>
    <s v="Program Office-Analyst"/>
    <x v="4"/>
    <d v="2023-04-18T01:19:50"/>
    <x v="85"/>
    <x v="54"/>
    <n v="4"/>
    <d v="2023-04-29T01:19:50"/>
    <s v="No"/>
    <m/>
    <x v="2"/>
    <x v="1"/>
    <m/>
    <m/>
    <m/>
    <m/>
    <m/>
    <m/>
    <x v="0"/>
    <m/>
    <m/>
    <m/>
    <m/>
    <m/>
    <m/>
    <s v="C1118"/>
    <s v="Candidate_118"/>
    <m/>
    <x v="2"/>
    <s v="Job Board"/>
    <n v="3"/>
    <m/>
    <x v="0"/>
    <m/>
    <m/>
    <x v="0"/>
    <x v="0"/>
    <m/>
    <x v="1"/>
    <x v="0"/>
  </r>
  <r>
    <n v="2069"/>
    <s v="2069 | Program Office"/>
    <x v="4"/>
    <x v="1"/>
    <x v="4"/>
    <x v="0"/>
    <s v="Program Office-Analyst"/>
    <x v="4"/>
    <d v="2022-11-02T18:46:55"/>
    <x v="86"/>
    <x v="23"/>
    <n v="6"/>
    <d v="2022-12-08T18:46:55"/>
    <s v="Yes"/>
    <d v="2022-11-22T18:46:55"/>
    <x v="3"/>
    <x v="1"/>
    <d v="2022-11-27T18:46:55"/>
    <s v="Accepted"/>
    <d v="2022-11-23T18:46:55"/>
    <d v="2022-11-26T18:46:55"/>
    <d v="2022-11-25T18:46:55"/>
    <d v="2022-11-30T18:46:55"/>
    <x v="1"/>
    <d v="2022-12-04T18:46:55"/>
    <d v="2022-12-05T18:46:55"/>
    <d v="2022-12-07T18:46:55"/>
    <m/>
    <m/>
    <d v="2022-12-22T18:46:55"/>
    <s v="C1119"/>
    <s v="Candidate_119"/>
    <s v="Nov 13 2022"/>
    <x v="2"/>
    <s v="Job Board"/>
    <n v="6"/>
    <m/>
    <x v="0"/>
    <m/>
    <m/>
    <x v="0"/>
    <x v="0"/>
    <m/>
    <x v="15"/>
    <x v="0"/>
  </r>
  <r>
    <n v="2068"/>
    <s v="2068 | Program Office"/>
    <x v="4"/>
    <x v="1"/>
    <x v="4"/>
    <x v="0"/>
    <s v="Program Office-Analyst"/>
    <x v="4"/>
    <d v="2022-11-05T18:46:55"/>
    <x v="87"/>
    <x v="23"/>
    <n v="3"/>
    <d v="2022-12-07T18:46:55"/>
    <s v="Yes"/>
    <d v="2022-11-12T18:46:55"/>
    <x v="3"/>
    <x v="1"/>
    <d v="2022-11-17T18:46:55"/>
    <s v="Accepted"/>
    <d v="2022-11-14T18:46:55"/>
    <d v="2022-11-15T18:46:55"/>
    <d v="2022-11-15T18:46:55"/>
    <d v="2022-11-21T18:46:55"/>
    <x v="1"/>
    <d v="2022-11-24T18:46:55"/>
    <d v="2022-11-26T18:46:55"/>
    <d v="2022-11-29T18:46:55"/>
    <m/>
    <m/>
    <d v="2022-12-09T18:46:55"/>
    <s v="C1120"/>
    <s v="Candidate_120"/>
    <s v="Nov 07 2022"/>
    <x v="1"/>
    <s v="Linkedin"/>
    <n v="6"/>
    <m/>
    <x v="0"/>
    <m/>
    <m/>
    <x v="0"/>
    <x v="0"/>
    <m/>
    <x v="16"/>
    <x v="0"/>
  </r>
  <r>
    <n v="2063"/>
    <s v="2063 | Program Office"/>
    <x v="3"/>
    <x v="1"/>
    <x v="4"/>
    <x v="0"/>
    <s v="Program Office-Analyst"/>
    <x v="4"/>
    <d v="2022-11-02T18:46:55"/>
    <x v="0"/>
    <x v="23"/>
    <n v="6"/>
    <d v="2022-11-23T18:46:55"/>
    <s v="Yes"/>
    <d v="2022-11-19T18:46:55"/>
    <x v="0"/>
    <x v="3"/>
    <m/>
    <m/>
    <m/>
    <m/>
    <m/>
    <m/>
    <x v="0"/>
    <m/>
    <m/>
    <m/>
    <m/>
    <s v="Candidate"/>
    <m/>
    <s v="C1121"/>
    <s v="Candidate_121"/>
    <s v="03/11/2022"/>
    <x v="2"/>
    <s v="Job Board"/>
    <n v="6"/>
    <m/>
    <x v="0"/>
    <m/>
    <m/>
    <x v="0"/>
    <x v="0"/>
    <m/>
    <x v="0"/>
    <x v="0"/>
  </r>
  <r>
    <n v="1988"/>
    <s v="1988 | Program Office"/>
    <x v="5"/>
    <x v="1"/>
    <x v="4"/>
    <x v="0"/>
    <s v="Program Office-Analyst"/>
    <x v="4"/>
    <d v="2022-02-02T08:53:26"/>
    <x v="88"/>
    <x v="55"/>
    <n v="7"/>
    <d v="2022-02-20T08:53:26"/>
    <s v="Yes"/>
    <d v="2022-02-11T08:53:26"/>
    <x v="0"/>
    <x v="2"/>
    <m/>
    <m/>
    <m/>
    <m/>
    <d v="2022-02-13T08:53:26"/>
    <m/>
    <x v="0"/>
    <m/>
    <m/>
    <m/>
    <m/>
    <s v="Company"/>
    <m/>
    <s v="C1122"/>
    <s v="Candidate_122"/>
    <s v="01-26-2022"/>
    <x v="1"/>
    <s v="Linkedin"/>
    <n v="6"/>
    <m/>
    <x v="0"/>
    <m/>
    <m/>
    <x v="0"/>
    <x v="0"/>
    <m/>
    <x v="1"/>
    <x v="0"/>
  </r>
  <r>
    <n v="1986"/>
    <s v="1986 | Program Office"/>
    <x v="4"/>
    <x v="1"/>
    <x v="4"/>
    <x v="0"/>
    <s v="Program Office-Analyst"/>
    <x v="4"/>
    <d v="2022-02-03T08:53:26"/>
    <x v="89"/>
    <x v="55"/>
    <n v="6"/>
    <d v="2022-03-02T08:53:26"/>
    <s v="Yes"/>
    <d v="2022-02-22T08:53:26"/>
    <x v="1"/>
    <x v="1"/>
    <d v="2022-03-01T08:53:26"/>
    <s v="Declined"/>
    <m/>
    <m/>
    <d v="2022-02-25T08:53:26"/>
    <m/>
    <x v="0"/>
    <m/>
    <m/>
    <m/>
    <m/>
    <m/>
    <m/>
    <s v="C1123"/>
    <s v="Candidate_123"/>
    <s v="Feb 15 2022"/>
    <x v="2"/>
    <s v="Job Board"/>
    <n v="6"/>
    <m/>
    <x v="0"/>
    <m/>
    <m/>
    <x v="0"/>
    <x v="0"/>
    <m/>
    <x v="1"/>
    <x v="0"/>
  </r>
  <r>
    <n v="1984"/>
    <s v="1984 | Program Office"/>
    <x v="4"/>
    <x v="1"/>
    <x v="4"/>
    <x v="0"/>
    <s v="Program Office-Analyst"/>
    <x v="4"/>
    <d v="2022-02-02T08:53:26"/>
    <x v="90"/>
    <x v="4"/>
    <n v="-44594.370439814818"/>
    <d v="2022-02-27T08:53:26"/>
    <s v="Yes"/>
    <d v="2022-02-17T08:53:26"/>
    <x v="1"/>
    <x v="1"/>
    <d v="2022-02-22T08:53:26"/>
    <s v="Declined"/>
    <m/>
    <m/>
    <d v="2022-02-20T08:53:26"/>
    <m/>
    <x v="0"/>
    <m/>
    <m/>
    <m/>
    <m/>
    <m/>
    <m/>
    <s v="C1124"/>
    <s v="Candidate_124"/>
    <s v="Jan 31 2022"/>
    <x v="0"/>
    <s v="Referral"/>
    <n v="3"/>
    <m/>
    <x v="0"/>
    <m/>
    <m/>
    <x v="0"/>
    <x v="0"/>
    <m/>
    <x v="0"/>
    <x v="0"/>
  </r>
  <r>
    <n v="1982"/>
    <s v="1982 | Program Office"/>
    <x v="3"/>
    <x v="1"/>
    <x v="4"/>
    <x v="0"/>
    <s v="Program Office-Analyst"/>
    <x v="4"/>
    <d v="2022-01-31T08:53:26"/>
    <x v="88"/>
    <x v="55"/>
    <n v="9"/>
    <d v="2022-02-27T08:53:26"/>
    <s v="No"/>
    <m/>
    <x v="2"/>
    <x v="1"/>
    <m/>
    <m/>
    <m/>
    <m/>
    <m/>
    <m/>
    <x v="0"/>
    <m/>
    <m/>
    <m/>
    <m/>
    <m/>
    <m/>
    <s v="C1125"/>
    <s v="Candidate_125"/>
    <m/>
    <x v="1"/>
    <s v="Linkedin"/>
    <n v="6"/>
    <m/>
    <x v="0"/>
    <m/>
    <m/>
    <x v="0"/>
    <x v="0"/>
    <m/>
    <x v="1"/>
    <x v="0"/>
  </r>
  <r>
    <n v="1977"/>
    <s v="1977 | Program Office"/>
    <x v="4"/>
    <x v="1"/>
    <x v="4"/>
    <x v="0"/>
    <s v="Program Office-Analyst"/>
    <x v="4"/>
    <d v="2022-10-20T11:57:41"/>
    <x v="91"/>
    <x v="24"/>
    <n v="6"/>
    <d v="2022-11-04T11:57:41"/>
    <s v="Yes"/>
    <d v="2022-11-01T11:57:41"/>
    <x v="1"/>
    <x v="1"/>
    <d v="2022-11-07T11:57:41"/>
    <s v="Declined"/>
    <m/>
    <m/>
    <d v="2022-11-03T11:57:41"/>
    <m/>
    <x v="0"/>
    <m/>
    <m/>
    <m/>
    <m/>
    <m/>
    <m/>
    <s v="C1126"/>
    <s v="Candidate_126"/>
    <s v="Oct 25 2022"/>
    <x v="1"/>
    <s v="Linkedin"/>
    <n v="3"/>
    <m/>
    <x v="0"/>
    <m/>
    <m/>
    <x v="0"/>
    <x v="0"/>
    <m/>
    <x v="1"/>
    <x v="0"/>
  </r>
  <r>
    <n v="1975"/>
    <s v="1975 | Program Office"/>
    <x v="5"/>
    <x v="1"/>
    <x v="4"/>
    <x v="0"/>
    <s v="Program Office-Analyst"/>
    <x v="4"/>
    <d v="2022-10-17T11:57:41"/>
    <x v="92"/>
    <x v="4"/>
    <n v="-44851.498391203713"/>
    <d v="2022-11-25T11:57:41"/>
    <s v="Yes"/>
    <d v="2022-11-01T11:57:41"/>
    <x v="4"/>
    <x v="1"/>
    <d v="2022-11-06T11:57:41"/>
    <s v="Pending"/>
    <m/>
    <m/>
    <d v="2022-11-04T11:57:41"/>
    <m/>
    <x v="0"/>
    <m/>
    <m/>
    <m/>
    <m/>
    <m/>
    <m/>
    <s v="C1127"/>
    <s v="Candidate_127"/>
    <s v="10-14-2022"/>
    <x v="2"/>
    <s v="Job Board"/>
    <n v="3"/>
    <m/>
    <x v="0"/>
    <m/>
    <m/>
    <x v="0"/>
    <x v="0"/>
    <m/>
    <x v="0"/>
    <x v="0"/>
  </r>
  <r>
    <n v="1970"/>
    <s v="1970 | Program Office"/>
    <x v="3"/>
    <x v="1"/>
    <x v="4"/>
    <x v="0"/>
    <s v="Program Office-Analyst"/>
    <x v="4"/>
    <d v="2022-11-30T10:23:18"/>
    <x v="93"/>
    <x v="4"/>
    <n v="-44895.432847222219"/>
    <d v="2022-12-20T10:23:18"/>
    <s v="Yes"/>
    <d v="2022-12-11T10:23:18"/>
    <x v="1"/>
    <x v="1"/>
    <d v="2022-12-17T10:23:18"/>
    <s v="Declined"/>
    <m/>
    <m/>
    <d v="2022-12-15T10:23:18"/>
    <m/>
    <x v="0"/>
    <m/>
    <m/>
    <m/>
    <m/>
    <m/>
    <m/>
    <s v="C1128"/>
    <s v="Candidate_128"/>
    <s v="11-26-2022"/>
    <x v="0"/>
    <s v="Referral"/>
    <n v="3"/>
    <m/>
    <x v="0"/>
    <m/>
    <m/>
    <x v="0"/>
    <x v="0"/>
    <m/>
    <x v="0"/>
    <x v="0"/>
  </r>
  <r>
    <n v="1968"/>
    <s v="1968 | Program Office"/>
    <x v="4"/>
    <x v="1"/>
    <x v="4"/>
    <x v="0"/>
    <s v="Program Office-Analyst"/>
    <x v="4"/>
    <d v="2022-12-01T10:23:18"/>
    <x v="94"/>
    <x v="56"/>
    <n v="6"/>
    <d v="2023-01-01T10:23:18"/>
    <s v="Yes"/>
    <d v="2022-12-17T10:23:18"/>
    <x v="0"/>
    <x v="4"/>
    <m/>
    <m/>
    <m/>
    <m/>
    <m/>
    <m/>
    <x v="0"/>
    <m/>
    <m/>
    <m/>
    <m/>
    <s v="Candidate"/>
    <m/>
    <s v="C1129"/>
    <s v="Candidate_129"/>
    <s v="10/12/2022"/>
    <x v="0"/>
    <s v="Referral"/>
    <n v="3"/>
    <m/>
    <x v="0"/>
    <m/>
    <m/>
    <x v="0"/>
    <x v="0"/>
    <m/>
    <x v="1"/>
    <x v="0"/>
  </r>
  <r>
    <n v="1860"/>
    <s v="1860 | Program Office"/>
    <x v="4"/>
    <x v="1"/>
    <x v="4"/>
    <x v="0"/>
    <s v="Program Office-Analyst"/>
    <x v="4"/>
    <d v="2022-11-09T01:50:58"/>
    <x v="95"/>
    <x v="57"/>
    <n v="8"/>
    <d v="2022-11-23T01:50:58"/>
    <s v="Yes"/>
    <d v="2022-11-29T01:50:58"/>
    <x v="0"/>
    <x v="3"/>
    <m/>
    <m/>
    <m/>
    <m/>
    <m/>
    <m/>
    <x v="0"/>
    <m/>
    <m/>
    <m/>
    <m/>
    <s v="Company"/>
    <m/>
    <s v="C1130"/>
    <s v="Candidate_130"/>
    <s v="12/11/2022"/>
    <x v="1"/>
    <s v="Linkedin"/>
    <n v="3"/>
    <m/>
    <x v="0"/>
    <m/>
    <m/>
    <x v="0"/>
    <x v="0"/>
    <m/>
    <x v="1"/>
    <x v="0"/>
  </r>
  <r>
    <n v="1858"/>
    <s v="1858 | Program Office"/>
    <x v="4"/>
    <x v="1"/>
    <x v="4"/>
    <x v="0"/>
    <s v="Program Office-Analyst"/>
    <x v="4"/>
    <d v="2022-11-09T01:50:58"/>
    <x v="96"/>
    <x v="57"/>
    <n v="8"/>
    <d v="2022-12-03T01:50:58"/>
    <s v="Yes"/>
    <d v="2022-11-29T01:50:58"/>
    <x v="1"/>
    <x v="1"/>
    <d v="2022-12-06T01:50:58"/>
    <s v="Declined"/>
    <m/>
    <m/>
    <d v="2022-12-03T01:50:58"/>
    <m/>
    <x v="0"/>
    <m/>
    <m/>
    <m/>
    <m/>
    <m/>
    <m/>
    <s v="C1131"/>
    <s v="Candidate_131"/>
    <s v="22/11/2022"/>
    <x v="2"/>
    <s v="Job Board"/>
    <n v="6"/>
    <m/>
    <x v="0"/>
    <m/>
    <m/>
    <x v="0"/>
    <x v="0"/>
    <m/>
    <x v="1"/>
    <x v="0"/>
  </r>
  <r>
    <n v="1853"/>
    <s v="1853 | Program Office"/>
    <x v="4"/>
    <x v="1"/>
    <x v="4"/>
    <x v="0"/>
    <s v="Program Office-Analyst"/>
    <x v="4"/>
    <d v="2022-11-09T01:50:58"/>
    <x v="0"/>
    <x v="57"/>
    <n v="8"/>
    <d v="2022-12-09T01:50:58"/>
    <s v="Yes"/>
    <d v="2022-11-20T01:50:58"/>
    <x v="0"/>
    <x v="5"/>
    <m/>
    <m/>
    <m/>
    <m/>
    <d v="2022-11-21T01:50:58"/>
    <m/>
    <x v="0"/>
    <m/>
    <m/>
    <m/>
    <m/>
    <s v="Company"/>
    <m/>
    <s v="C1132"/>
    <s v="Candidate_132"/>
    <s v="03/11/2022"/>
    <x v="0"/>
    <s v="Referral"/>
    <n v="6"/>
    <m/>
    <x v="0"/>
    <m/>
    <m/>
    <x v="0"/>
    <x v="0"/>
    <m/>
    <x v="0"/>
    <x v="0"/>
  </r>
  <r>
    <n v="1796"/>
    <s v="1796 | Program Office"/>
    <x v="5"/>
    <x v="1"/>
    <x v="4"/>
    <x v="0"/>
    <s v="Program Office-Analyst"/>
    <x v="4"/>
    <m/>
    <x v="97"/>
    <x v="58"/>
    <n v="44837.47960648148"/>
    <d v="2022-10-15T11:30:38"/>
    <s v="No"/>
    <m/>
    <x v="2"/>
    <x v="1"/>
    <m/>
    <m/>
    <m/>
    <m/>
    <m/>
    <m/>
    <x v="0"/>
    <m/>
    <m/>
    <m/>
    <m/>
    <m/>
    <m/>
    <s v="C1133"/>
    <s v="Candidate_133"/>
    <m/>
    <x v="1"/>
    <s v="Linkedin"/>
    <n v="3"/>
    <m/>
    <x v="0"/>
    <m/>
    <m/>
    <x v="0"/>
    <x v="0"/>
    <m/>
    <x v="0"/>
    <x v="0"/>
  </r>
  <r>
    <n v="1442"/>
    <s v="1442 | Program Office"/>
    <x v="5"/>
    <x v="1"/>
    <x v="4"/>
    <x v="0"/>
    <s v="Program Office-Analyst"/>
    <x v="4"/>
    <d v="2023-03-28T10:15:10"/>
    <x v="98"/>
    <x v="59"/>
    <n v="6"/>
    <d v="2023-04-11T10:15:10"/>
    <s v="Yes"/>
    <d v="2023-04-13T10:15:10"/>
    <x v="3"/>
    <x v="1"/>
    <d v="2023-04-17T10:15:10"/>
    <s v="Accepted"/>
    <d v="2023-04-15T10:15:10"/>
    <d v="2023-04-16T10:15:10"/>
    <d v="2023-04-16T10:15:10"/>
    <d v="2023-04-23T10:15:10"/>
    <x v="1"/>
    <d v="2023-04-27T10:15:10"/>
    <d v="2023-04-30T10:15:10"/>
    <d v="2023-05-02T10:15:10"/>
    <m/>
    <m/>
    <d v="2023-05-15T10:15:10"/>
    <s v="C1134"/>
    <s v="Candidate_134"/>
    <s v="27/03/2023"/>
    <x v="2"/>
    <s v="Job Board"/>
    <n v="3"/>
    <m/>
    <x v="0"/>
    <m/>
    <m/>
    <x v="0"/>
    <x v="0"/>
    <m/>
    <x v="17"/>
    <x v="0"/>
  </r>
  <r>
    <n v="1441"/>
    <s v="1441 | Program Office"/>
    <x v="4"/>
    <x v="1"/>
    <x v="4"/>
    <x v="0"/>
    <s v="Program Office-Analyst"/>
    <x v="4"/>
    <d v="2023-03-30T10:15:10"/>
    <x v="99"/>
    <x v="59"/>
    <n v="4"/>
    <d v="2023-05-03T10:15:10"/>
    <s v="Yes"/>
    <d v="2023-04-19T10:15:10"/>
    <x v="3"/>
    <x v="1"/>
    <d v="2023-04-24T10:15:10"/>
    <s v="Accepted"/>
    <d v="2023-04-21T10:15:10"/>
    <d v="2023-04-22T10:15:10"/>
    <d v="2023-04-22T10:15:10"/>
    <d v="2023-04-28T10:15:10"/>
    <x v="1"/>
    <d v="2023-05-01T10:15:10"/>
    <d v="2023-05-04T10:15:10"/>
    <d v="2023-05-06T10:15:10"/>
    <m/>
    <m/>
    <d v="2023-05-21T10:15:10"/>
    <s v="C1135"/>
    <s v="Candidate_135"/>
    <s v="Apr 01 2023"/>
    <x v="1"/>
    <s v="Linkedin"/>
    <n v="6"/>
    <m/>
    <x v="0"/>
    <m/>
    <m/>
    <x v="0"/>
    <x v="0"/>
    <m/>
    <x v="18"/>
    <x v="0"/>
  </r>
  <r>
    <n v="1419"/>
    <s v="1419 | Program Office"/>
    <x v="5"/>
    <x v="1"/>
    <x v="4"/>
    <x v="0"/>
    <s v="Program Office-Analyst"/>
    <x v="4"/>
    <d v="2022-08-10T18:56:36"/>
    <x v="100"/>
    <x v="60"/>
    <n v="3"/>
    <d v="2022-09-12T18:56:36"/>
    <s v="No"/>
    <m/>
    <x v="2"/>
    <x v="1"/>
    <m/>
    <m/>
    <m/>
    <m/>
    <m/>
    <m/>
    <x v="0"/>
    <m/>
    <m/>
    <m/>
    <m/>
    <m/>
    <m/>
    <s v="C1136"/>
    <s v="Candidate_136"/>
    <m/>
    <x v="1"/>
    <s v="Linkedin"/>
    <n v="3"/>
    <m/>
    <x v="0"/>
    <m/>
    <m/>
    <x v="0"/>
    <x v="0"/>
    <m/>
    <x v="1"/>
    <x v="0"/>
  </r>
  <r>
    <n v="1414"/>
    <s v="1414 | Program Office"/>
    <x v="5"/>
    <x v="1"/>
    <x v="4"/>
    <x v="0"/>
    <s v="Program Office-Analyst"/>
    <x v="4"/>
    <d v="2022-08-04T18:56:36"/>
    <x v="0"/>
    <x v="60"/>
    <n v="9"/>
    <d v="2022-08-18T18:56:36"/>
    <s v="Yes"/>
    <d v="2022-08-26T18:56:36"/>
    <x v="0"/>
    <x v="2"/>
    <m/>
    <m/>
    <m/>
    <m/>
    <d v="2022-08-29T18:56:36"/>
    <m/>
    <x v="0"/>
    <m/>
    <m/>
    <m/>
    <m/>
    <s v="Candidate"/>
    <m/>
    <s v="C1137"/>
    <s v="Candidate_137"/>
    <s v="15/08/2022"/>
    <x v="1"/>
    <s v="Linkedin"/>
    <n v="6"/>
    <m/>
    <x v="0"/>
    <m/>
    <m/>
    <x v="0"/>
    <x v="0"/>
    <m/>
    <x v="0"/>
    <x v="0"/>
  </r>
  <r>
    <n v="1406"/>
    <s v="1406 | Program Office"/>
    <x v="4"/>
    <x v="1"/>
    <x v="4"/>
    <x v="0"/>
    <s v="Program Office-Analyst"/>
    <x v="4"/>
    <d v="2022-02-21T07:21:21"/>
    <x v="101"/>
    <x v="61"/>
    <n v="6"/>
    <d v="2022-03-22T07:21:21"/>
    <s v="Yes"/>
    <d v="2022-03-02T07:21:21"/>
    <x v="0"/>
    <x v="0"/>
    <m/>
    <m/>
    <m/>
    <m/>
    <d v="2022-03-04T07:21:21"/>
    <m/>
    <x v="0"/>
    <m/>
    <m/>
    <m/>
    <m/>
    <s v="Company"/>
    <m/>
    <s v="C1138"/>
    <s v="Candidate_138"/>
    <s v="16/02/2022"/>
    <x v="1"/>
    <s v="Linkedin"/>
    <n v="3"/>
    <m/>
    <x v="0"/>
    <m/>
    <m/>
    <x v="0"/>
    <x v="0"/>
    <m/>
    <x v="1"/>
    <x v="0"/>
  </r>
  <r>
    <n v="1403"/>
    <s v="1403 | Program Office"/>
    <x v="4"/>
    <x v="1"/>
    <x v="4"/>
    <x v="0"/>
    <s v="Program Office-Analyst"/>
    <x v="4"/>
    <d v="2022-02-23T07:21:21"/>
    <x v="0"/>
    <x v="61"/>
    <n v="4"/>
    <d v="2022-03-10T07:21:21"/>
    <s v="Yes"/>
    <d v="2022-03-15T07:21:21"/>
    <x v="0"/>
    <x v="0"/>
    <m/>
    <m/>
    <m/>
    <m/>
    <m/>
    <m/>
    <x v="0"/>
    <m/>
    <m/>
    <m/>
    <m/>
    <s v="Company"/>
    <m/>
    <s v="C1139"/>
    <s v="Candidate_139"/>
    <s v="24/02/2022"/>
    <x v="1"/>
    <s v="Linkedin"/>
    <n v="6"/>
    <m/>
    <x v="0"/>
    <m/>
    <m/>
    <x v="0"/>
    <x v="0"/>
    <m/>
    <x v="0"/>
    <x v="0"/>
  </r>
  <r>
    <n v="1402"/>
    <s v="1402 | Program Office"/>
    <x v="4"/>
    <x v="1"/>
    <x v="4"/>
    <x v="0"/>
    <s v="Program Office-Analyst"/>
    <x v="4"/>
    <d v="2022-02-24T07:21:21"/>
    <x v="102"/>
    <x v="61"/>
    <n v="3"/>
    <d v="2022-03-23T07:21:21"/>
    <s v="Yes"/>
    <d v="2022-03-09T07:21:21"/>
    <x v="3"/>
    <x v="1"/>
    <d v="2022-03-13T07:21:21"/>
    <s v="Accepted"/>
    <d v="2022-03-11T07:21:21"/>
    <d v="2022-03-14T07:21:21"/>
    <d v="2022-03-12T07:21:21"/>
    <d v="2022-03-14T07:21:21"/>
    <x v="1"/>
    <d v="2022-03-16T07:21:21"/>
    <d v="2022-03-19T07:21:21"/>
    <d v="2022-03-21T07:21:21"/>
    <m/>
    <m/>
    <d v="2022-04-09T07:21:21"/>
    <s v="C1140"/>
    <s v="Candidate_140"/>
    <s v="Feb 27 2022"/>
    <x v="0"/>
    <s v="Referral"/>
    <n v="6"/>
    <m/>
    <x v="0"/>
    <m/>
    <m/>
    <x v="0"/>
    <x v="0"/>
    <m/>
    <x v="19"/>
    <x v="0"/>
  </r>
  <r>
    <n v="1383"/>
    <s v="1383 | Program Office"/>
    <x v="5"/>
    <x v="1"/>
    <x v="4"/>
    <x v="0"/>
    <s v="Program Office-Analyst"/>
    <x v="4"/>
    <d v="2023-04-24T17:36:15"/>
    <x v="103"/>
    <x v="27"/>
    <n v="6"/>
    <d v="2023-05-23T17:36:15"/>
    <s v="Yes"/>
    <d v="2023-05-14T17:36:15"/>
    <x v="3"/>
    <x v="1"/>
    <d v="2023-05-18T17:36:15"/>
    <s v="Accepted"/>
    <d v="2023-05-15T17:36:15"/>
    <d v="2023-05-18T17:36:15"/>
    <d v="2023-05-17T17:36:15"/>
    <d v="2023-05-19T17:36:15"/>
    <x v="1"/>
    <d v="2023-05-21T17:36:15"/>
    <d v="2023-05-23T17:36:15"/>
    <d v="2023-05-26T17:36:15"/>
    <m/>
    <m/>
    <d v="2023-06-12T17:36:15"/>
    <s v="C1141"/>
    <s v="Candidate_141"/>
    <s v="06/05/2023"/>
    <x v="2"/>
    <s v="Job Board"/>
    <n v="6"/>
    <m/>
    <x v="0"/>
    <m/>
    <m/>
    <x v="0"/>
    <x v="0"/>
    <m/>
    <x v="20"/>
    <x v="0"/>
  </r>
  <r>
    <n v="1330"/>
    <s v="1330 | Program Office"/>
    <x v="3"/>
    <x v="1"/>
    <x v="4"/>
    <x v="0"/>
    <s v="Program Office-Analyst"/>
    <x v="4"/>
    <d v="2023-08-19T04:29:27"/>
    <x v="0"/>
    <x v="28"/>
    <n v="9"/>
    <d v="2023-09-27T04:29:27"/>
    <s v="Yes"/>
    <d v="2023-09-10T04:29:27"/>
    <x v="4"/>
    <x v="1"/>
    <d v="2023-09-12T04:29:27"/>
    <s v="Pending"/>
    <m/>
    <m/>
    <d v="2023-09-11T04:29:27"/>
    <m/>
    <x v="0"/>
    <m/>
    <m/>
    <m/>
    <m/>
    <m/>
    <m/>
    <s v="C1142"/>
    <s v="Candidate_142"/>
    <s v="Aug 25 2023"/>
    <x v="1"/>
    <s v="Linkedin"/>
    <n v="6"/>
    <m/>
    <x v="0"/>
    <m/>
    <m/>
    <x v="0"/>
    <x v="0"/>
    <m/>
    <x v="0"/>
    <x v="0"/>
  </r>
  <r>
    <n v="1324"/>
    <s v="1324 | Program Office"/>
    <x v="3"/>
    <x v="1"/>
    <x v="4"/>
    <x v="0"/>
    <s v="Program Office-Analyst"/>
    <x v="4"/>
    <d v="2023-08-24T04:29:27"/>
    <x v="0"/>
    <x v="28"/>
    <n v="4"/>
    <d v="2023-09-16T04:29:27"/>
    <s v="Yes"/>
    <d v="2023-08-31T04:29:27"/>
    <x v="0"/>
    <x v="5"/>
    <m/>
    <m/>
    <m/>
    <m/>
    <m/>
    <m/>
    <x v="0"/>
    <m/>
    <m/>
    <m/>
    <m/>
    <s v="Company"/>
    <m/>
    <s v="C1143"/>
    <s v="Candidate_143"/>
    <s v="Aug 16 2023"/>
    <x v="0"/>
    <s v="Referral"/>
    <n v="6"/>
    <m/>
    <x v="0"/>
    <m/>
    <m/>
    <x v="0"/>
    <x v="0"/>
    <m/>
    <x v="0"/>
    <x v="0"/>
  </r>
  <r>
    <n v="1297"/>
    <s v="1297 | Program Office"/>
    <x v="5"/>
    <x v="1"/>
    <x v="4"/>
    <x v="0"/>
    <s v="Program Office-Analyst"/>
    <x v="4"/>
    <d v="2023-06-11T16:08:44"/>
    <x v="104"/>
    <x v="4"/>
    <n v="-45088.672731481478"/>
    <d v="2023-06-27T16:08:44"/>
    <s v="Yes"/>
    <d v="2023-06-22T16:08:44"/>
    <x v="0"/>
    <x v="3"/>
    <m/>
    <m/>
    <m/>
    <m/>
    <d v="2023-06-24T16:08:44"/>
    <m/>
    <x v="0"/>
    <m/>
    <m/>
    <m/>
    <m/>
    <s v="Company"/>
    <m/>
    <s v="C1144"/>
    <s v="Candidate_144"/>
    <s v="06-15-2023"/>
    <x v="2"/>
    <s v="Job Board"/>
    <n v="3"/>
    <m/>
    <x v="0"/>
    <m/>
    <m/>
    <x v="0"/>
    <x v="0"/>
    <m/>
    <x v="0"/>
    <x v="0"/>
  </r>
  <r>
    <n v="1153"/>
    <s v="1153 | Program Office"/>
    <x v="3"/>
    <x v="1"/>
    <x v="4"/>
    <x v="0"/>
    <s v="Program Office-Analyst"/>
    <x v="4"/>
    <d v="2022-03-22T19:24:36"/>
    <x v="105"/>
    <x v="62"/>
    <n v="2"/>
    <d v="2022-04-13T19:24:36"/>
    <s v="Yes"/>
    <d v="2022-04-01T19:24:36"/>
    <x v="0"/>
    <x v="5"/>
    <m/>
    <m/>
    <m/>
    <m/>
    <m/>
    <m/>
    <x v="0"/>
    <m/>
    <m/>
    <m/>
    <m/>
    <s v="Candidate"/>
    <m/>
    <s v="C1145"/>
    <s v="Candidate_145"/>
    <s v="13/03/2022"/>
    <x v="2"/>
    <s v="Job Board"/>
    <n v="6"/>
    <m/>
    <x v="0"/>
    <m/>
    <m/>
    <x v="0"/>
    <x v="0"/>
    <m/>
    <x v="1"/>
    <x v="0"/>
  </r>
  <r>
    <n v="998"/>
    <s v="998 | Program Office"/>
    <x v="3"/>
    <x v="1"/>
    <x v="4"/>
    <x v="0"/>
    <s v="Program Office-Analyst"/>
    <x v="4"/>
    <d v="2023-03-27T20:36:08"/>
    <x v="106"/>
    <x v="63"/>
    <n v="8"/>
    <d v="2023-04-29T20:36:08"/>
    <s v="Yes"/>
    <d v="2023-04-12T20:36:08"/>
    <x v="0"/>
    <x v="0"/>
    <m/>
    <m/>
    <m/>
    <m/>
    <m/>
    <m/>
    <x v="0"/>
    <m/>
    <m/>
    <m/>
    <m/>
    <s v="Candidate"/>
    <m/>
    <s v="C1146"/>
    <s v="Candidate_146"/>
    <s v="03/04/2023"/>
    <x v="0"/>
    <s v="Referral"/>
    <n v="3"/>
    <m/>
    <x v="0"/>
    <m/>
    <m/>
    <x v="0"/>
    <x v="0"/>
    <m/>
    <x v="1"/>
    <x v="0"/>
  </r>
  <r>
    <n v="997"/>
    <s v="997 | Program Office"/>
    <x v="3"/>
    <x v="1"/>
    <x v="4"/>
    <x v="0"/>
    <s v="Program Office-Analyst"/>
    <x v="4"/>
    <d v="2023-03-30T20:36:08"/>
    <x v="107"/>
    <x v="63"/>
    <n v="5"/>
    <d v="2023-04-11T20:36:08"/>
    <s v="Yes"/>
    <d v="2023-04-08T20:36:08"/>
    <x v="3"/>
    <x v="1"/>
    <d v="2023-04-14T20:36:08"/>
    <s v="Accepted"/>
    <d v="2023-04-09T20:36:08"/>
    <d v="2023-04-11T20:36:08"/>
    <d v="2023-04-10T20:36:08"/>
    <d v="2023-04-19T20:36:08"/>
    <x v="1"/>
    <d v="2023-04-23T20:36:08"/>
    <d v="2023-04-26T20:36:08"/>
    <d v="2023-04-28T20:36:08"/>
    <m/>
    <m/>
    <d v="2023-05-17T20:36:08"/>
    <s v="C1147"/>
    <s v="Candidate_147"/>
    <s v="03-26-2023"/>
    <x v="2"/>
    <s v="Job Board"/>
    <n v="3"/>
    <m/>
    <x v="0"/>
    <m/>
    <m/>
    <x v="0"/>
    <x v="0"/>
    <m/>
    <x v="21"/>
    <x v="0"/>
  </r>
  <r>
    <n v="958"/>
    <s v="958 | Program Office"/>
    <x v="4"/>
    <x v="1"/>
    <x v="4"/>
    <x v="0"/>
    <s v="Program Office-Analyst"/>
    <x v="4"/>
    <m/>
    <x v="108"/>
    <x v="64"/>
    <n v="45147.997118055559"/>
    <d v="2023-09-08T23:55:51"/>
    <s v="Yes"/>
    <d v="2023-08-23T23:55:51"/>
    <x v="0"/>
    <x v="3"/>
    <m/>
    <m/>
    <m/>
    <m/>
    <d v="2023-08-25T23:55:51"/>
    <m/>
    <x v="0"/>
    <m/>
    <m/>
    <m/>
    <m/>
    <s v="Candidate"/>
    <m/>
    <s v="C1148"/>
    <s v="Candidate_148"/>
    <s v="Aug 12 2023"/>
    <x v="2"/>
    <s v="Job Board"/>
    <n v="6"/>
    <m/>
    <x v="0"/>
    <m/>
    <m/>
    <x v="0"/>
    <x v="0"/>
    <m/>
    <x v="0"/>
    <x v="0"/>
  </r>
  <r>
    <n v="953"/>
    <s v="953 | Program Office"/>
    <x v="3"/>
    <x v="1"/>
    <x v="4"/>
    <x v="0"/>
    <s v="Program Office-Analyst"/>
    <x v="4"/>
    <d v="2023-08-02T23:55:51"/>
    <x v="109"/>
    <x v="64"/>
    <n v="7"/>
    <d v="2023-08-31T23:55:51"/>
    <s v="Yes"/>
    <d v="2023-08-12T23:55:51"/>
    <x v="0"/>
    <x v="2"/>
    <m/>
    <m/>
    <m/>
    <m/>
    <m/>
    <m/>
    <x v="0"/>
    <m/>
    <m/>
    <m/>
    <m/>
    <s v="Company"/>
    <m/>
    <s v="C1149"/>
    <s v="Candidate_149"/>
    <s v="06/08/2023"/>
    <x v="0"/>
    <s v="Referral"/>
    <n v="6"/>
    <m/>
    <x v="0"/>
    <m/>
    <m/>
    <x v="0"/>
    <x v="0"/>
    <m/>
    <x v="1"/>
    <x v="0"/>
  </r>
  <r>
    <n v="944"/>
    <s v="944 | Program Office"/>
    <x v="5"/>
    <x v="1"/>
    <x v="4"/>
    <x v="0"/>
    <s v="Program Office-Analyst"/>
    <x v="4"/>
    <d v="2022-10-25T01:02:01"/>
    <x v="110"/>
    <x v="65"/>
    <n v="9"/>
    <d v="2022-11-18T01:02:01"/>
    <s v="Yes"/>
    <d v="2022-11-19T01:02:01"/>
    <x v="0"/>
    <x v="2"/>
    <m/>
    <m/>
    <m/>
    <m/>
    <m/>
    <m/>
    <x v="0"/>
    <m/>
    <m/>
    <m/>
    <m/>
    <s v="Company"/>
    <m/>
    <s v="C1150"/>
    <s v="Candidate_150"/>
    <s v="11-02-2022"/>
    <x v="2"/>
    <s v="Job Board"/>
    <n v="6"/>
    <m/>
    <x v="0"/>
    <m/>
    <m/>
    <x v="0"/>
    <x v="0"/>
    <m/>
    <x v="1"/>
    <x v="0"/>
  </r>
  <r>
    <n v="919"/>
    <s v="919 | Program Office"/>
    <x v="3"/>
    <x v="1"/>
    <x v="4"/>
    <x v="0"/>
    <s v="Program Office-Analyst"/>
    <x v="4"/>
    <d v="2022-04-19T06:08:47"/>
    <x v="111"/>
    <x v="66"/>
    <n v="6"/>
    <d v="2022-05-16T06:08:47"/>
    <s v="Yes"/>
    <d v="2022-05-01T06:08:47"/>
    <x v="3"/>
    <x v="1"/>
    <d v="2022-05-08T06:08:47"/>
    <s v="Accepted"/>
    <d v="2022-05-02T06:08:47"/>
    <d v="2022-05-03T06:08:47"/>
    <d v="2022-05-05T06:08:47"/>
    <d v="2022-05-06T06:08:47"/>
    <x v="1"/>
    <d v="2022-05-09T06:08:47"/>
    <d v="2022-05-12T06:08:47"/>
    <d v="2022-05-13T06:08:47"/>
    <m/>
    <m/>
    <d v="2022-05-29T06:08:47"/>
    <s v="C1151"/>
    <s v="Candidate_151"/>
    <s v="15/04/2022"/>
    <x v="0"/>
    <s v="Referral"/>
    <n v="6"/>
    <m/>
    <x v="0"/>
    <m/>
    <m/>
    <x v="0"/>
    <x v="0"/>
    <m/>
    <x v="22"/>
    <x v="0"/>
  </r>
  <r>
    <n v="916"/>
    <s v="916 | Program Office"/>
    <x v="4"/>
    <x v="1"/>
    <x v="4"/>
    <x v="0"/>
    <s v="Program Office-Analyst"/>
    <x v="4"/>
    <d v="2022-04-15T06:08:47"/>
    <x v="112"/>
    <x v="66"/>
    <n v="10"/>
    <d v="2022-05-25T06:08:47"/>
    <s v="Yes"/>
    <d v="2022-05-10T06:08:47"/>
    <x v="0"/>
    <x v="5"/>
    <m/>
    <m/>
    <m/>
    <m/>
    <m/>
    <m/>
    <x v="0"/>
    <m/>
    <m/>
    <m/>
    <m/>
    <s v="Company"/>
    <m/>
    <s v="C1152"/>
    <s v="Candidate_152"/>
    <s v="04-28-2022"/>
    <x v="1"/>
    <s v="Linkedin"/>
    <n v="3"/>
    <m/>
    <x v="0"/>
    <m/>
    <m/>
    <x v="0"/>
    <x v="0"/>
    <m/>
    <x v="1"/>
    <x v="0"/>
  </r>
  <r>
    <n v="912"/>
    <s v="912 | Program Office"/>
    <x v="4"/>
    <x v="1"/>
    <x v="4"/>
    <x v="0"/>
    <s v="Program Office-Analyst"/>
    <x v="4"/>
    <d v="2022-04-18T06:08:47"/>
    <x v="113"/>
    <x v="66"/>
    <n v="7"/>
    <d v="2022-05-25T06:08:47"/>
    <s v="No"/>
    <m/>
    <x v="2"/>
    <x v="1"/>
    <m/>
    <m/>
    <m/>
    <m/>
    <m/>
    <m/>
    <x v="0"/>
    <m/>
    <m/>
    <m/>
    <m/>
    <m/>
    <m/>
    <s v="C1153"/>
    <s v="Candidate_153"/>
    <m/>
    <x v="2"/>
    <s v="Job Board"/>
    <n v="6"/>
    <m/>
    <x v="0"/>
    <m/>
    <m/>
    <x v="0"/>
    <x v="0"/>
    <m/>
    <x v="1"/>
    <x v="0"/>
  </r>
  <r>
    <n v="911"/>
    <s v="911 | Program Office"/>
    <x v="5"/>
    <x v="1"/>
    <x v="4"/>
    <x v="0"/>
    <s v="Program Office-Analyst"/>
    <x v="4"/>
    <d v="2022-04-20T06:08:47"/>
    <x v="113"/>
    <x v="66"/>
    <n v="5"/>
    <d v="2022-05-05T06:08:47"/>
    <s v="Yes"/>
    <d v="2022-05-06T06:08:47"/>
    <x v="0"/>
    <x v="3"/>
    <m/>
    <m/>
    <m/>
    <m/>
    <d v="2022-05-09T06:08:47"/>
    <m/>
    <x v="0"/>
    <m/>
    <m/>
    <m/>
    <m/>
    <s v="Candidate"/>
    <m/>
    <s v="C1154"/>
    <s v="Candidate_154"/>
    <s v="18/04/2022"/>
    <x v="2"/>
    <s v="Job Board"/>
    <n v="3"/>
    <m/>
    <x v="0"/>
    <m/>
    <m/>
    <x v="0"/>
    <x v="0"/>
    <m/>
    <x v="1"/>
    <x v="0"/>
  </r>
  <r>
    <n v="910"/>
    <s v="910 | Program Office"/>
    <x v="4"/>
    <x v="1"/>
    <x v="4"/>
    <x v="0"/>
    <s v="Program Office-Analyst"/>
    <x v="4"/>
    <m/>
    <x v="114"/>
    <x v="67"/>
    <n v="45166.249560185177"/>
    <d v="2023-09-03T05:59:22"/>
    <s v="Yes"/>
    <d v="2023-09-06T05:59:22"/>
    <x v="1"/>
    <x v="1"/>
    <d v="2023-09-08T05:59:22"/>
    <s v="Declined"/>
    <m/>
    <m/>
    <d v="2023-09-07T05:59:22"/>
    <m/>
    <x v="0"/>
    <m/>
    <m/>
    <m/>
    <m/>
    <m/>
    <m/>
    <s v="C1155"/>
    <s v="Candidate_155"/>
    <s v="23/08/2023"/>
    <x v="2"/>
    <s v="Job Board"/>
    <n v="6"/>
    <m/>
    <x v="0"/>
    <m/>
    <m/>
    <x v="0"/>
    <x v="0"/>
    <m/>
    <x v="0"/>
    <x v="0"/>
  </r>
  <r>
    <n v="907"/>
    <s v="907 | Program Office"/>
    <x v="5"/>
    <x v="1"/>
    <x v="4"/>
    <x v="0"/>
    <s v="Program Office-Analyst"/>
    <x v="4"/>
    <d v="2023-08-19T05:59:22"/>
    <x v="115"/>
    <x v="67"/>
    <n v="9"/>
    <d v="2023-09-27T05:59:22"/>
    <s v="No"/>
    <m/>
    <x v="2"/>
    <x v="1"/>
    <m/>
    <m/>
    <m/>
    <m/>
    <m/>
    <m/>
    <x v="0"/>
    <m/>
    <m/>
    <m/>
    <m/>
    <m/>
    <m/>
    <s v="C1156"/>
    <s v="Candidate_156"/>
    <m/>
    <x v="0"/>
    <s v="Referral"/>
    <n v="3"/>
    <m/>
    <x v="0"/>
    <m/>
    <m/>
    <x v="0"/>
    <x v="0"/>
    <m/>
    <x v="1"/>
    <x v="0"/>
  </r>
  <r>
    <n v="836"/>
    <s v="836 | Program Office"/>
    <x v="3"/>
    <x v="1"/>
    <x v="4"/>
    <x v="0"/>
    <s v="Program Office-Analyst"/>
    <x v="4"/>
    <d v="2022-07-13T16:58:11"/>
    <x v="116"/>
    <x v="68"/>
    <n v="5"/>
    <d v="2022-08-04T16:58:11"/>
    <s v="Yes"/>
    <d v="2022-07-24T16:58:11"/>
    <x v="4"/>
    <x v="1"/>
    <d v="2022-07-27T16:58:11"/>
    <s v="Pending"/>
    <m/>
    <m/>
    <d v="2022-07-26T16:58:11"/>
    <m/>
    <x v="0"/>
    <m/>
    <m/>
    <m/>
    <m/>
    <m/>
    <m/>
    <s v="C1157"/>
    <s v="Candidate_157"/>
    <s v="Jul 17 2022"/>
    <x v="0"/>
    <s v="Referral"/>
    <n v="6"/>
    <m/>
    <x v="0"/>
    <m/>
    <m/>
    <x v="0"/>
    <x v="0"/>
    <m/>
    <x v="1"/>
    <x v="0"/>
  </r>
  <r>
    <n v="827"/>
    <s v="827 | Program Office"/>
    <x v="3"/>
    <x v="1"/>
    <x v="4"/>
    <x v="0"/>
    <s v="Program Office-Analyst"/>
    <x v="4"/>
    <m/>
    <x v="117"/>
    <x v="4"/>
    <n v="0"/>
    <d v="2022-03-18T15:00:29"/>
    <s v="No"/>
    <m/>
    <x v="2"/>
    <x v="1"/>
    <m/>
    <m/>
    <m/>
    <m/>
    <m/>
    <m/>
    <x v="0"/>
    <m/>
    <m/>
    <m/>
    <m/>
    <m/>
    <m/>
    <s v="C1158"/>
    <s v="Candidate_158"/>
    <m/>
    <x v="1"/>
    <s v="Linkedin"/>
    <n v="6"/>
    <m/>
    <x v="0"/>
    <m/>
    <m/>
    <x v="0"/>
    <x v="0"/>
    <m/>
    <x v="0"/>
    <x v="0"/>
  </r>
  <r>
    <n v="825"/>
    <s v="825 | Program Office"/>
    <x v="4"/>
    <x v="1"/>
    <x v="4"/>
    <x v="0"/>
    <s v="Program Office-Analyst"/>
    <x v="4"/>
    <d v="2022-03-08T15:00:29"/>
    <x v="118"/>
    <x v="69"/>
    <n v="3"/>
    <d v="2022-03-19T15:00:29"/>
    <s v="Yes"/>
    <d v="2022-03-27T15:00:29"/>
    <x v="3"/>
    <x v="1"/>
    <d v="2022-04-01T15:00:29"/>
    <s v="Accepted"/>
    <d v="2022-03-29T15:00:29"/>
    <d v="2022-03-31T15:00:29"/>
    <d v="2022-03-30T15:00:29"/>
    <d v="2022-04-08T15:00:29"/>
    <x v="1"/>
    <d v="2022-04-11T15:00:29"/>
    <d v="2022-04-13T15:00:29"/>
    <d v="2022-04-14T15:00:29"/>
    <m/>
    <m/>
    <d v="2022-04-28T15:00:29"/>
    <s v="C1159"/>
    <s v="Candidate_159"/>
    <s v="16/03/2022"/>
    <x v="1"/>
    <s v="Linkedin"/>
    <n v="3"/>
    <m/>
    <x v="0"/>
    <m/>
    <m/>
    <x v="0"/>
    <x v="0"/>
    <m/>
    <x v="23"/>
    <x v="0"/>
  </r>
  <r>
    <n v="824"/>
    <s v="824 | Program Office"/>
    <x v="3"/>
    <x v="1"/>
    <x v="4"/>
    <x v="0"/>
    <s v="Program Office-Analyst"/>
    <x v="4"/>
    <d v="2022-03-01T15:00:29"/>
    <x v="119"/>
    <x v="69"/>
    <n v="10"/>
    <d v="2022-03-19T15:00:29"/>
    <s v="Yes"/>
    <d v="2022-03-21T15:00:29"/>
    <x v="0"/>
    <x v="3"/>
    <m/>
    <m/>
    <m/>
    <m/>
    <m/>
    <m/>
    <x v="0"/>
    <m/>
    <m/>
    <m/>
    <m/>
    <s v="Candidate"/>
    <m/>
    <s v="C1160"/>
    <s v="Candidate_160"/>
    <s v="02/03/2022"/>
    <x v="1"/>
    <s v="Linkedin"/>
    <n v="3"/>
    <m/>
    <x v="0"/>
    <m/>
    <m/>
    <x v="0"/>
    <x v="0"/>
    <m/>
    <x v="1"/>
    <x v="0"/>
  </r>
  <r>
    <n v="821"/>
    <s v="821 | Program Office"/>
    <x v="4"/>
    <x v="1"/>
    <x v="4"/>
    <x v="0"/>
    <s v="Program Office-Analyst"/>
    <x v="4"/>
    <d v="2022-03-04T15:00:29"/>
    <x v="0"/>
    <x v="69"/>
    <n v="7"/>
    <d v="2022-04-09T15:00:29"/>
    <s v="Yes"/>
    <d v="2022-03-23T15:00:29"/>
    <x v="0"/>
    <x v="4"/>
    <m/>
    <m/>
    <m/>
    <m/>
    <d v="2022-03-27T15:00:29"/>
    <m/>
    <x v="0"/>
    <m/>
    <m/>
    <m/>
    <m/>
    <s v="Company"/>
    <m/>
    <s v="C1161"/>
    <s v="Candidate_161"/>
    <s v="03-14-2022"/>
    <x v="0"/>
    <s v="Referral"/>
    <n v="3"/>
    <m/>
    <x v="0"/>
    <m/>
    <m/>
    <x v="0"/>
    <x v="0"/>
    <m/>
    <x v="0"/>
    <x v="0"/>
  </r>
  <r>
    <n v="798"/>
    <s v="798 | Program Office"/>
    <x v="3"/>
    <x v="1"/>
    <x v="4"/>
    <x v="0"/>
    <s v="Program Office-Analyst"/>
    <x v="4"/>
    <m/>
    <x v="0"/>
    <x v="70"/>
    <n v="44912.674583333333"/>
    <d v="2022-12-29T16:11:24"/>
    <s v="Yes"/>
    <d v="2022-12-23T16:11:24"/>
    <x v="0"/>
    <x v="2"/>
    <m/>
    <m/>
    <m/>
    <m/>
    <d v="2022-12-25T16:11:24"/>
    <m/>
    <x v="0"/>
    <m/>
    <m/>
    <m/>
    <m/>
    <s v="Company"/>
    <m/>
    <s v="C1162"/>
    <s v="Candidate_162"/>
    <s v="05/12/2022"/>
    <x v="0"/>
    <s v="Referral"/>
    <n v="6"/>
    <m/>
    <x v="0"/>
    <m/>
    <m/>
    <x v="0"/>
    <x v="0"/>
    <m/>
    <x v="0"/>
    <x v="0"/>
  </r>
  <r>
    <n v="797"/>
    <s v="797 | Program Office"/>
    <x v="5"/>
    <x v="1"/>
    <x v="4"/>
    <x v="0"/>
    <s v="Program Office-Analyst"/>
    <x v="4"/>
    <d v="2022-12-14T16:11:24"/>
    <x v="120"/>
    <x v="70"/>
    <n v="3"/>
    <d v="2022-12-30T16:11:24"/>
    <s v="No"/>
    <m/>
    <x v="2"/>
    <x v="1"/>
    <m/>
    <m/>
    <m/>
    <m/>
    <m/>
    <m/>
    <x v="0"/>
    <m/>
    <m/>
    <m/>
    <m/>
    <m/>
    <m/>
    <s v="C1163"/>
    <s v="Candidate_163"/>
    <m/>
    <x v="2"/>
    <s v="Job Board"/>
    <n v="6"/>
    <m/>
    <x v="0"/>
    <m/>
    <m/>
    <x v="0"/>
    <x v="0"/>
    <m/>
    <x v="1"/>
    <x v="0"/>
  </r>
  <r>
    <n v="795"/>
    <s v="795 | Program Office"/>
    <x v="4"/>
    <x v="1"/>
    <x v="4"/>
    <x v="0"/>
    <s v="Program Office-Analyst"/>
    <x v="4"/>
    <d v="2022-12-11T16:11:24"/>
    <x v="121"/>
    <x v="70"/>
    <n v="6"/>
    <d v="2023-01-13T16:11:24"/>
    <s v="Yes"/>
    <d v="2023-01-01T16:11:24"/>
    <x v="0"/>
    <x v="3"/>
    <m/>
    <m/>
    <m/>
    <m/>
    <d v="2023-01-03T16:11:24"/>
    <m/>
    <x v="0"/>
    <m/>
    <m/>
    <m/>
    <m/>
    <s v="Candidate"/>
    <m/>
    <s v="C1164"/>
    <s v="Candidate_164"/>
    <s v="Dec 25 2022"/>
    <x v="1"/>
    <s v="Linkedin"/>
    <n v="6"/>
    <m/>
    <x v="0"/>
    <m/>
    <m/>
    <x v="0"/>
    <x v="0"/>
    <m/>
    <x v="1"/>
    <x v="0"/>
  </r>
  <r>
    <n v="793"/>
    <s v="793 | Program Office"/>
    <x v="5"/>
    <x v="1"/>
    <x v="4"/>
    <x v="0"/>
    <s v="Program Office-Analyst"/>
    <x v="4"/>
    <d v="2022-12-12T16:11:24"/>
    <x v="0"/>
    <x v="70"/>
    <n v="5"/>
    <d v="2022-12-23T16:11:24"/>
    <s v="Yes"/>
    <d v="2022-12-28T16:11:24"/>
    <x v="4"/>
    <x v="1"/>
    <d v="2023-01-02T16:11:24"/>
    <s v="Pending"/>
    <m/>
    <m/>
    <d v="2022-12-31T16:11:24"/>
    <m/>
    <x v="0"/>
    <m/>
    <m/>
    <m/>
    <m/>
    <m/>
    <m/>
    <s v="C1165"/>
    <s v="Candidate_165"/>
    <s v="12-15-2022"/>
    <x v="0"/>
    <s v="Referral"/>
    <n v="3"/>
    <m/>
    <x v="0"/>
    <m/>
    <m/>
    <x v="0"/>
    <x v="0"/>
    <m/>
    <x v="0"/>
    <x v="0"/>
  </r>
  <r>
    <n v="767"/>
    <s v="767 | Program Office"/>
    <x v="4"/>
    <x v="1"/>
    <x v="4"/>
    <x v="0"/>
    <s v="Program Office-Analyst"/>
    <x v="4"/>
    <d v="2022-06-14T17:40:03"/>
    <x v="122"/>
    <x v="71"/>
    <n v="7"/>
    <d v="2022-07-02T17:40:03"/>
    <s v="Yes"/>
    <d v="2022-07-04T17:40:03"/>
    <x v="0"/>
    <x v="3"/>
    <m/>
    <m/>
    <m/>
    <m/>
    <d v="2022-07-05T17:40:03"/>
    <m/>
    <x v="0"/>
    <m/>
    <m/>
    <m/>
    <m/>
    <s v="Candidate"/>
    <m/>
    <s v="C1166"/>
    <s v="Candidate_166"/>
    <s v="Jun 25 2022"/>
    <x v="2"/>
    <s v="Job Board"/>
    <n v="6"/>
    <m/>
    <x v="0"/>
    <m/>
    <m/>
    <x v="0"/>
    <x v="0"/>
    <m/>
    <x v="1"/>
    <x v="0"/>
  </r>
  <r>
    <n v="762"/>
    <s v="762 | Program Office"/>
    <x v="4"/>
    <x v="1"/>
    <x v="4"/>
    <x v="0"/>
    <s v="Program Office-Analyst"/>
    <x v="4"/>
    <d v="2022-06-16T17:40:03"/>
    <x v="123"/>
    <x v="71"/>
    <n v="5"/>
    <d v="2022-07-16T17:40:03"/>
    <s v="Yes"/>
    <d v="2022-07-02T17:40:03"/>
    <x v="3"/>
    <x v="1"/>
    <d v="2022-07-07T17:40:03"/>
    <s v="Accepted"/>
    <d v="2022-07-04T17:40:03"/>
    <d v="2022-07-08T17:40:03"/>
    <d v="2022-07-03T17:40:03"/>
    <d v="2022-07-09T17:40:03"/>
    <x v="1"/>
    <d v="2022-07-13T17:40:03"/>
    <d v="2022-07-14T17:40:03"/>
    <d v="2022-07-17T17:40:03"/>
    <m/>
    <m/>
    <d v="2022-08-05T17:40:03"/>
    <s v="C1167"/>
    <s v="Candidate_167"/>
    <s v="Jun 25 2022"/>
    <x v="1"/>
    <s v="Linkedin"/>
    <n v="3"/>
    <m/>
    <x v="0"/>
    <m/>
    <m/>
    <x v="0"/>
    <x v="0"/>
    <m/>
    <x v="24"/>
    <x v="0"/>
  </r>
  <r>
    <n v="729"/>
    <s v="729 | Program Office"/>
    <x v="3"/>
    <x v="1"/>
    <x v="4"/>
    <x v="0"/>
    <s v="Program Office-Analyst"/>
    <x v="4"/>
    <d v="2022-02-16T15:51:14"/>
    <x v="124"/>
    <x v="72"/>
    <n v="4"/>
    <d v="2022-03-20T15:51:14"/>
    <s v="Yes"/>
    <d v="2022-02-27T15:51:14"/>
    <x v="3"/>
    <x v="1"/>
    <d v="2022-03-04T15:51:14"/>
    <s v="Accepted"/>
    <d v="2022-02-28T15:51:14"/>
    <d v="2022-03-03T15:51:14"/>
    <d v="2022-03-01T15:51:14"/>
    <d v="2022-03-03T15:51:14"/>
    <x v="1"/>
    <d v="2022-03-04T15:51:14"/>
    <d v="2022-03-07T15:51:14"/>
    <d v="2022-03-09T15:51:14"/>
    <m/>
    <m/>
    <d v="2022-03-19T15:51:14"/>
    <s v="C1168"/>
    <s v="Candidate_168"/>
    <s v="02-19-2022"/>
    <x v="0"/>
    <s v="Referral"/>
    <n v="6"/>
    <m/>
    <x v="0"/>
    <m/>
    <m/>
    <x v="0"/>
    <x v="0"/>
    <m/>
    <x v="25"/>
    <x v="0"/>
  </r>
  <r>
    <n v="726"/>
    <s v="726 | Program Office"/>
    <x v="3"/>
    <x v="1"/>
    <x v="4"/>
    <x v="0"/>
    <s v="Program Office-Analyst"/>
    <x v="4"/>
    <d v="2022-02-11T15:51:14"/>
    <x v="125"/>
    <x v="72"/>
    <n v="9"/>
    <d v="2022-03-11T15:51:14"/>
    <s v="Yes"/>
    <d v="2022-02-24T15:51:14"/>
    <x v="1"/>
    <x v="1"/>
    <d v="2022-02-28T15:51:14"/>
    <s v="Declined"/>
    <m/>
    <m/>
    <d v="2022-02-26T15:51:14"/>
    <m/>
    <x v="0"/>
    <m/>
    <m/>
    <m/>
    <m/>
    <m/>
    <m/>
    <s v="C1169"/>
    <s v="Candidate_169"/>
    <s v="Feb 10 2022"/>
    <x v="2"/>
    <s v="Job Board"/>
    <n v="6"/>
    <m/>
    <x v="0"/>
    <m/>
    <m/>
    <x v="0"/>
    <x v="0"/>
    <m/>
    <x v="1"/>
    <x v="0"/>
  </r>
  <r>
    <n v="715"/>
    <s v="715 | Program Office"/>
    <x v="5"/>
    <x v="1"/>
    <x v="4"/>
    <x v="0"/>
    <s v="Program Office-Analyst"/>
    <x v="4"/>
    <d v="2022-03-06T16:28:19"/>
    <x v="126"/>
    <x v="73"/>
    <n v="8"/>
    <d v="2022-04-09T16:28:19"/>
    <s v="Yes"/>
    <d v="2022-03-20T16:28:19"/>
    <x v="0"/>
    <x v="0"/>
    <m/>
    <m/>
    <m/>
    <m/>
    <m/>
    <m/>
    <x v="0"/>
    <m/>
    <m/>
    <m/>
    <m/>
    <s v="Candidate"/>
    <m/>
    <s v="C1170"/>
    <s v="Candidate_170"/>
    <s v="03-02-2022"/>
    <x v="2"/>
    <s v="Job Board"/>
    <n v="3"/>
    <m/>
    <x v="0"/>
    <m/>
    <m/>
    <x v="0"/>
    <x v="0"/>
    <m/>
    <x v="1"/>
    <x v="0"/>
  </r>
  <r>
    <n v="711"/>
    <s v="711 | Program Office"/>
    <x v="3"/>
    <x v="1"/>
    <x v="4"/>
    <x v="0"/>
    <s v="Program Office-Analyst"/>
    <x v="4"/>
    <d v="2022-03-05T16:28:19"/>
    <x v="127"/>
    <x v="73"/>
    <n v="9"/>
    <d v="2022-03-22T16:28:19"/>
    <s v="Yes"/>
    <d v="2022-03-25T16:28:19"/>
    <x v="3"/>
    <x v="1"/>
    <d v="2022-03-28T16:28:19"/>
    <s v="Accepted"/>
    <d v="2022-03-27T16:28:19"/>
    <d v="2022-03-30T16:28:19"/>
    <d v="2022-03-26T16:28:19"/>
    <d v="2022-04-01T16:28:19"/>
    <x v="1"/>
    <d v="2022-04-02T16:28:19"/>
    <d v="2022-04-05T16:28:19"/>
    <d v="2022-04-08T16:28:19"/>
    <m/>
    <m/>
    <d v="2022-04-16T16:28:19"/>
    <s v="C1171"/>
    <s v="Candidate_171"/>
    <s v="Mar 15 2022"/>
    <x v="2"/>
    <s v="Job Board"/>
    <n v="6"/>
    <m/>
    <x v="0"/>
    <m/>
    <m/>
    <x v="0"/>
    <x v="0"/>
    <m/>
    <x v="26"/>
    <x v="0"/>
  </r>
  <r>
    <n v="678"/>
    <s v="678 | Program Office"/>
    <x v="4"/>
    <x v="1"/>
    <x v="4"/>
    <x v="0"/>
    <s v="Program Office-Analyst"/>
    <x v="4"/>
    <d v="2023-08-05T21:15:22"/>
    <x v="128"/>
    <x v="4"/>
    <n v="-45143.885671296302"/>
    <d v="2023-08-20T21:15:22"/>
    <s v="No"/>
    <m/>
    <x v="2"/>
    <x v="1"/>
    <m/>
    <m/>
    <m/>
    <m/>
    <m/>
    <m/>
    <x v="0"/>
    <m/>
    <m/>
    <m/>
    <m/>
    <m/>
    <m/>
    <s v="C1172"/>
    <s v="Candidate_172"/>
    <m/>
    <x v="0"/>
    <s v="Referral"/>
    <n v="3"/>
    <m/>
    <x v="0"/>
    <m/>
    <m/>
    <x v="0"/>
    <x v="0"/>
    <m/>
    <x v="0"/>
    <x v="0"/>
  </r>
  <r>
    <n v="677"/>
    <s v="677 | Program Office"/>
    <x v="4"/>
    <x v="1"/>
    <x v="4"/>
    <x v="0"/>
    <s v="Program Office-Analyst"/>
    <x v="4"/>
    <d v="2023-08-03T21:15:22"/>
    <x v="0"/>
    <x v="74"/>
    <n v="6"/>
    <d v="2023-08-22T21:15:22"/>
    <s v="Yes"/>
    <d v="2023-08-23T21:15:22"/>
    <x v="1"/>
    <x v="1"/>
    <d v="2023-08-26T21:15:22"/>
    <s v="Declined"/>
    <m/>
    <m/>
    <d v="2023-08-25T21:15:22"/>
    <m/>
    <x v="0"/>
    <m/>
    <m/>
    <m/>
    <m/>
    <m/>
    <m/>
    <s v="C1173"/>
    <s v="Candidate_173"/>
    <s v="15/08/2023"/>
    <x v="0"/>
    <s v="Referral"/>
    <n v="3"/>
    <m/>
    <x v="0"/>
    <m/>
    <m/>
    <x v="0"/>
    <x v="0"/>
    <m/>
    <x v="0"/>
    <x v="0"/>
  </r>
  <r>
    <n v="657"/>
    <s v="657 | Program Office"/>
    <x v="3"/>
    <x v="1"/>
    <x v="4"/>
    <x v="0"/>
    <s v="Program Office-Analyst"/>
    <x v="4"/>
    <d v="2022-12-23T00:23:46"/>
    <x v="129"/>
    <x v="75"/>
    <n v="4"/>
    <d v="2023-01-21T00:23:46"/>
    <s v="No"/>
    <m/>
    <x v="2"/>
    <x v="1"/>
    <m/>
    <m/>
    <m/>
    <m/>
    <m/>
    <m/>
    <x v="0"/>
    <m/>
    <m/>
    <m/>
    <m/>
    <m/>
    <m/>
    <s v="C1174"/>
    <s v="Candidate_174"/>
    <m/>
    <x v="1"/>
    <s v="Linkedin"/>
    <n v="6"/>
    <m/>
    <x v="0"/>
    <m/>
    <m/>
    <x v="0"/>
    <x v="0"/>
    <m/>
    <x v="1"/>
    <x v="0"/>
  </r>
  <r>
    <n v="654"/>
    <s v="654 | Program Office"/>
    <x v="4"/>
    <x v="1"/>
    <x v="4"/>
    <x v="0"/>
    <s v="Program Office-Analyst"/>
    <x v="4"/>
    <d v="2022-12-22T00:23:46"/>
    <x v="130"/>
    <x v="75"/>
    <n v="5"/>
    <d v="2023-01-21T00:23:46"/>
    <s v="Yes"/>
    <d v="2023-01-10T00:23:46"/>
    <x v="0"/>
    <x v="2"/>
    <m/>
    <m/>
    <m/>
    <m/>
    <m/>
    <m/>
    <x v="0"/>
    <m/>
    <m/>
    <m/>
    <m/>
    <s v="Company"/>
    <m/>
    <s v="C1175"/>
    <s v="Candidate_175"/>
    <s v="12-26-2022"/>
    <x v="0"/>
    <s v="Referral"/>
    <n v="6"/>
    <m/>
    <x v="0"/>
    <m/>
    <m/>
    <x v="0"/>
    <x v="0"/>
    <m/>
    <x v="1"/>
    <x v="0"/>
  </r>
  <r>
    <n v="651"/>
    <s v="651 | Program Office"/>
    <x v="4"/>
    <x v="1"/>
    <x v="4"/>
    <x v="0"/>
    <s v="Program Office-Analyst"/>
    <x v="4"/>
    <d v="2022-12-22T00:23:46"/>
    <x v="0"/>
    <x v="75"/>
    <n v="5"/>
    <d v="2023-01-06T00:23:46"/>
    <s v="Yes"/>
    <d v="2023-01-05T00:23:46"/>
    <x v="0"/>
    <x v="0"/>
    <m/>
    <m/>
    <m/>
    <m/>
    <m/>
    <m/>
    <x v="0"/>
    <m/>
    <m/>
    <m/>
    <m/>
    <s v="Candidate"/>
    <m/>
    <s v="C1176"/>
    <s v="Candidate_176"/>
    <s v="Dec 31 2022"/>
    <x v="0"/>
    <s v="Referral"/>
    <n v="3"/>
    <m/>
    <x v="0"/>
    <m/>
    <m/>
    <x v="0"/>
    <x v="0"/>
    <m/>
    <x v="0"/>
    <x v="0"/>
  </r>
  <r>
    <n v="640"/>
    <s v="640 | Program Office"/>
    <x v="3"/>
    <x v="1"/>
    <x v="4"/>
    <x v="0"/>
    <s v="Program Office-Analyst"/>
    <x v="4"/>
    <m/>
    <x v="131"/>
    <x v="76"/>
    <n v="44833.302743055552"/>
    <d v="2022-10-13T07:15:57"/>
    <s v="Yes"/>
    <d v="2022-10-07T07:15:57"/>
    <x v="0"/>
    <x v="2"/>
    <m/>
    <m/>
    <m/>
    <m/>
    <d v="2022-10-11T07:15:57"/>
    <m/>
    <x v="0"/>
    <m/>
    <m/>
    <m/>
    <m/>
    <s v="Candidate"/>
    <m/>
    <s v="C1177"/>
    <s v="Candidate_177"/>
    <s v="27/09/2022"/>
    <x v="0"/>
    <s v="Referral"/>
    <n v="6"/>
    <m/>
    <x v="0"/>
    <m/>
    <m/>
    <x v="0"/>
    <x v="0"/>
    <m/>
    <x v="0"/>
    <x v="0"/>
  </r>
  <r>
    <n v="633"/>
    <s v="633 | Program Office"/>
    <x v="5"/>
    <x v="1"/>
    <x v="4"/>
    <x v="0"/>
    <s v="Program Office-Analyst"/>
    <x v="4"/>
    <d v="2022-09-24T07:15:57"/>
    <x v="0"/>
    <x v="76"/>
    <n v="5"/>
    <d v="2022-10-29T07:15:57"/>
    <s v="No"/>
    <m/>
    <x v="2"/>
    <x v="1"/>
    <m/>
    <m/>
    <m/>
    <m/>
    <m/>
    <m/>
    <x v="0"/>
    <m/>
    <m/>
    <m/>
    <m/>
    <m/>
    <m/>
    <s v="C1178"/>
    <s v="Candidate_178"/>
    <m/>
    <x v="0"/>
    <s v="Referral"/>
    <n v="6"/>
    <m/>
    <x v="0"/>
    <m/>
    <m/>
    <x v="0"/>
    <x v="0"/>
    <m/>
    <x v="0"/>
    <x v="0"/>
  </r>
  <r>
    <n v="580"/>
    <s v="580 | Program Office"/>
    <x v="3"/>
    <x v="1"/>
    <x v="4"/>
    <x v="0"/>
    <s v="Program Office-Analyst"/>
    <x v="4"/>
    <d v="2022-12-14T02:09:30"/>
    <x v="132"/>
    <x v="77"/>
    <n v="6"/>
    <d v="2023-01-18T02:09:30"/>
    <s v="Yes"/>
    <d v="2022-12-27T02:09:30"/>
    <x v="4"/>
    <x v="1"/>
    <d v="2022-12-31T02:09:30"/>
    <s v="Pending"/>
    <m/>
    <m/>
    <d v="2022-12-28T02:09:30"/>
    <m/>
    <x v="0"/>
    <m/>
    <m/>
    <m/>
    <m/>
    <m/>
    <m/>
    <s v="C1179"/>
    <s v="Candidate_179"/>
    <s v="Dec 09 2022"/>
    <x v="0"/>
    <s v="Referral"/>
    <n v="3"/>
    <m/>
    <x v="0"/>
    <m/>
    <m/>
    <x v="0"/>
    <x v="0"/>
    <m/>
    <x v="1"/>
    <x v="0"/>
  </r>
  <r>
    <n v="574"/>
    <s v="574 | Program Office"/>
    <x v="5"/>
    <x v="1"/>
    <x v="4"/>
    <x v="0"/>
    <s v="Program Office-Analyst"/>
    <x v="4"/>
    <d v="2022-12-13T02:09:30"/>
    <x v="132"/>
    <x v="77"/>
    <n v="7"/>
    <d v="2022-12-25T02:09:30"/>
    <s v="No"/>
    <m/>
    <x v="2"/>
    <x v="1"/>
    <m/>
    <m/>
    <m/>
    <m/>
    <m/>
    <m/>
    <x v="0"/>
    <m/>
    <m/>
    <m/>
    <m/>
    <m/>
    <m/>
    <s v="C1180"/>
    <s v="Candidate_180"/>
    <m/>
    <x v="1"/>
    <s v="Linkedin"/>
    <n v="6"/>
    <m/>
    <x v="0"/>
    <m/>
    <m/>
    <x v="0"/>
    <x v="0"/>
    <m/>
    <x v="1"/>
    <x v="0"/>
  </r>
  <r>
    <n v="500"/>
    <s v="500 | Program Office"/>
    <x v="3"/>
    <x v="1"/>
    <x v="4"/>
    <x v="0"/>
    <s v="Program Office-Analyst"/>
    <x v="4"/>
    <d v="2023-09-01T09:52:53"/>
    <x v="133"/>
    <x v="30"/>
    <n v="4"/>
    <d v="2023-10-04T09:52:53"/>
    <s v="Yes"/>
    <d v="2023-09-16T09:52:53"/>
    <x v="0"/>
    <x v="3"/>
    <m/>
    <m/>
    <m/>
    <m/>
    <m/>
    <m/>
    <x v="0"/>
    <m/>
    <m/>
    <m/>
    <m/>
    <s v="Company"/>
    <m/>
    <s v="C1181"/>
    <s v="Candidate_181"/>
    <s v="31/08/2023"/>
    <x v="2"/>
    <s v="Job Board"/>
    <n v="3"/>
    <m/>
    <x v="0"/>
    <m/>
    <m/>
    <x v="0"/>
    <x v="0"/>
    <m/>
    <x v="1"/>
    <x v="0"/>
  </r>
  <r>
    <n v="497"/>
    <s v="497 | Program Office"/>
    <x v="4"/>
    <x v="1"/>
    <x v="4"/>
    <x v="0"/>
    <s v="Program Office-Analyst"/>
    <x v="4"/>
    <d v="2023-09-01T09:52:53"/>
    <x v="133"/>
    <x v="30"/>
    <n v="4"/>
    <d v="2023-09-16T09:52:53"/>
    <s v="Yes"/>
    <d v="2023-09-11T09:52:53"/>
    <x v="0"/>
    <x v="2"/>
    <m/>
    <m/>
    <m/>
    <m/>
    <d v="2023-09-13T09:52:53"/>
    <m/>
    <x v="0"/>
    <m/>
    <m/>
    <m/>
    <m/>
    <s v="Company"/>
    <m/>
    <s v="C1182"/>
    <s v="Candidate_182"/>
    <s v="Sep 05 2023"/>
    <x v="0"/>
    <s v="Referral"/>
    <n v="3"/>
    <m/>
    <x v="0"/>
    <m/>
    <m/>
    <x v="0"/>
    <x v="0"/>
    <m/>
    <x v="1"/>
    <x v="0"/>
  </r>
  <r>
    <n v="490"/>
    <s v="490 | Program Office"/>
    <x v="3"/>
    <x v="1"/>
    <x v="4"/>
    <x v="0"/>
    <s v="Program Office-Analyst"/>
    <x v="4"/>
    <d v="2023-01-10T13:36:04"/>
    <x v="0"/>
    <x v="31"/>
    <n v="2"/>
    <d v="2023-02-08T13:36:04"/>
    <s v="No"/>
    <m/>
    <x v="2"/>
    <x v="1"/>
    <m/>
    <m/>
    <m/>
    <m/>
    <m/>
    <m/>
    <x v="0"/>
    <m/>
    <m/>
    <m/>
    <m/>
    <m/>
    <m/>
    <s v="C1183"/>
    <s v="Candidate_183"/>
    <m/>
    <x v="0"/>
    <s v="Referral"/>
    <n v="6"/>
    <m/>
    <x v="0"/>
    <m/>
    <m/>
    <x v="0"/>
    <x v="0"/>
    <m/>
    <x v="0"/>
    <x v="0"/>
  </r>
  <r>
    <n v="487"/>
    <s v="487 | Program Office"/>
    <x v="4"/>
    <x v="1"/>
    <x v="4"/>
    <x v="0"/>
    <s v="Program Office-Analyst"/>
    <x v="4"/>
    <d v="2023-01-04T13:36:04"/>
    <x v="134"/>
    <x v="31"/>
    <n v="8"/>
    <d v="2023-01-30T13:36:04"/>
    <s v="Yes"/>
    <d v="2023-01-25T13:36:04"/>
    <x v="1"/>
    <x v="1"/>
    <d v="2023-01-30T13:36:04"/>
    <s v="Declined"/>
    <m/>
    <m/>
    <d v="2023-01-28T13:36:04"/>
    <m/>
    <x v="0"/>
    <m/>
    <m/>
    <m/>
    <m/>
    <m/>
    <m/>
    <s v="C1184"/>
    <s v="Candidate_184"/>
    <s v="09/01/2023"/>
    <x v="2"/>
    <s v="Job Board"/>
    <n v="6"/>
    <m/>
    <x v="0"/>
    <m/>
    <m/>
    <x v="0"/>
    <x v="0"/>
    <m/>
    <x v="1"/>
    <x v="0"/>
  </r>
  <r>
    <n v="479"/>
    <s v="479 | Program Office"/>
    <x v="3"/>
    <x v="1"/>
    <x v="4"/>
    <x v="0"/>
    <s v="Program Office-Analyst"/>
    <x v="4"/>
    <d v="2022-04-26T01:49:05"/>
    <x v="135"/>
    <x v="32"/>
    <n v="5"/>
    <d v="2022-05-13T01:49:05"/>
    <s v="Yes"/>
    <d v="2022-05-13T01:49:05"/>
    <x v="0"/>
    <x v="0"/>
    <m/>
    <m/>
    <m/>
    <m/>
    <d v="2022-05-15T01:49:05"/>
    <m/>
    <x v="0"/>
    <m/>
    <m/>
    <m/>
    <m/>
    <s v="Company"/>
    <m/>
    <s v="C1185"/>
    <s v="Candidate_185"/>
    <s v="04-25-2022"/>
    <x v="1"/>
    <s v="Linkedin"/>
    <n v="6"/>
    <m/>
    <x v="0"/>
    <m/>
    <m/>
    <x v="0"/>
    <x v="0"/>
    <m/>
    <x v="1"/>
    <x v="0"/>
  </r>
  <r>
    <n v="389"/>
    <s v="389 | Program Office"/>
    <x v="3"/>
    <x v="1"/>
    <x v="4"/>
    <x v="0"/>
    <s v="Program Office-Analyst"/>
    <x v="4"/>
    <d v="2022-11-08T09:11:38"/>
    <x v="136"/>
    <x v="33"/>
    <n v="5"/>
    <d v="2022-11-26T09:11:38"/>
    <s v="Yes"/>
    <d v="2022-11-17T09:11:38"/>
    <x v="3"/>
    <x v="1"/>
    <d v="2022-11-19T09:11:38"/>
    <s v="Accepted"/>
    <d v="2022-11-19T09:11:38"/>
    <d v="2022-11-20T09:11:38"/>
    <d v="2022-11-18T09:11:38"/>
    <d v="2022-11-23T09:11:38"/>
    <x v="1"/>
    <d v="2022-11-26T09:11:38"/>
    <d v="2022-11-28T09:11:38"/>
    <d v="2022-11-30T09:11:38"/>
    <m/>
    <m/>
    <d v="2022-12-11T09:11:38"/>
    <s v="C1186"/>
    <s v="Candidate_186"/>
    <s v="11-12-2022"/>
    <x v="2"/>
    <s v="Job Board"/>
    <n v="6"/>
    <m/>
    <x v="0"/>
    <m/>
    <m/>
    <x v="0"/>
    <x v="0"/>
    <m/>
    <x v="27"/>
    <x v="0"/>
  </r>
  <r>
    <n v="380"/>
    <s v="380 | Program Office"/>
    <x v="3"/>
    <x v="1"/>
    <x v="4"/>
    <x v="0"/>
    <s v="Program Office-Analyst"/>
    <x v="4"/>
    <d v="2022-04-13T08:33:40"/>
    <x v="0"/>
    <x v="34"/>
    <n v="6"/>
    <d v="2022-05-19T08:33:40"/>
    <s v="Yes"/>
    <d v="2022-04-27T08:33:40"/>
    <x v="0"/>
    <x v="2"/>
    <m/>
    <m/>
    <m/>
    <m/>
    <m/>
    <m/>
    <x v="0"/>
    <m/>
    <m/>
    <m/>
    <m/>
    <s v="Company"/>
    <m/>
    <s v="C1187"/>
    <s v="Candidate_187"/>
    <s v="14/04/2022"/>
    <x v="1"/>
    <s v="Linkedin"/>
    <n v="3"/>
    <m/>
    <x v="0"/>
    <m/>
    <m/>
    <x v="0"/>
    <x v="0"/>
    <m/>
    <x v="0"/>
    <x v="0"/>
  </r>
  <r>
    <n v="376"/>
    <s v="376 | Program Office"/>
    <x v="3"/>
    <x v="1"/>
    <x v="4"/>
    <x v="1"/>
    <s v="Program Office-Supervisor"/>
    <x v="4"/>
    <d v="2022-04-10T08:33:40"/>
    <x v="137"/>
    <x v="34"/>
    <n v="9"/>
    <d v="2022-05-10T08:33:40"/>
    <s v="No"/>
    <m/>
    <x v="2"/>
    <x v="1"/>
    <m/>
    <m/>
    <m/>
    <m/>
    <m/>
    <m/>
    <x v="0"/>
    <m/>
    <m/>
    <m/>
    <m/>
    <m/>
    <m/>
    <s v="C1188"/>
    <s v="Candidate_188"/>
    <m/>
    <x v="2"/>
    <s v="Job Board"/>
    <n v="6"/>
    <m/>
    <x v="0"/>
    <m/>
    <m/>
    <x v="0"/>
    <x v="0"/>
    <m/>
    <x v="1"/>
    <x v="0"/>
  </r>
  <r>
    <n v="320"/>
    <s v="320 | Program Office"/>
    <x v="4"/>
    <x v="1"/>
    <x v="4"/>
    <x v="1"/>
    <s v="Program Office-Supervisor"/>
    <x v="4"/>
    <d v="2023-03-02T14:36:53"/>
    <x v="138"/>
    <x v="35"/>
    <n v="4"/>
    <d v="2023-03-15T14:36:53"/>
    <s v="No"/>
    <m/>
    <x v="2"/>
    <x v="1"/>
    <m/>
    <m/>
    <m/>
    <m/>
    <m/>
    <m/>
    <x v="0"/>
    <m/>
    <m/>
    <m/>
    <m/>
    <m/>
    <m/>
    <s v="C1189"/>
    <s v="Candidate_189"/>
    <m/>
    <x v="2"/>
    <s v="Job Board"/>
    <n v="6"/>
    <m/>
    <x v="0"/>
    <m/>
    <m/>
    <x v="0"/>
    <x v="0"/>
    <m/>
    <x v="1"/>
    <x v="0"/>
  </r>
  <r>
    <n v="319"/>
    <s v="319 | Program Office"/>
    <x v="3"/>
    <x v="1"/>
    <x v="4"/>
    <x v="1"/>
    <s v="Program Office-Supervisor"/>
    <x v="4"/>
    <d v="2023-03-01T14:36:53"/>
    <x v="138"/>
    <x v="35"/>
    <n v="5"/>
    <d v="2023-03-14T14:36:53"/>
    <s v="Yes"/>
    <d v="2023-03-20T14:36:53"/>
    <x v="0"/>
    <x v="0"/>
    <m/>
    <m/>
    <m/>
    <m/>
    <m/>
    <m/>
    <x v="0"/>
    <m/>
    <m/>
    <m/>
    <m/>
    <s v="Company"/>
    <m/>
    <s v="C1190"/>
    <s v="Candidate_190"/>
    <s v="03-11-2023"/>
    <x v="0"/>
    <s v="Referral"/>
    <n v="3"/>
    <m/>
    <x v="0"/>
    <m/>
    <m/>
    <x v="0"/>
    <x v="0"/>
    <m/>
    <x v="1"/>
    <x v="0"/>
  </r>
  <r>
    <n v="317"/>
    <s v="317 | Program Office"/>
    <x v="4"/>
    <x v="1"/>
    <x v="4"/>
    <x v="1"/>
    <s v="Program Office-Supervisor"/>
    <x v="4"/>
    <d v="2023-02-27T14:36:53"/>
    <x v="139"/>
    <x v="35"/>
    <n v="7"/>
    <d v="2023-04-03T14:36:53"/>
    <s v="Yes"/>
    <d v="2023-03-15T14:36:53"/>
    <x v="1"/>
    <x v="1"/>
    <d v="2023-03-20T14:36:53"/>
    <s v="Declined"/>
    <m/>
    <m/>
    <d v="2023-03-19T14:36:53"/>
    <m/>
    <x v="0"/>
    <m/>
    <m/>
    <m/>
    <m/>
    <m/>
    <m/>
    <s v="C1191"/>
    <s v="Candidate_191"/>
    <s v="09/03/2023"/>
    <x v="2"/>
    <s v="Job Board"/>
    <n v="6"/>
    <m/>
    <x v="0"/>
    <m/>
    <m/>
    <x v="0"/>
    <x v="0"/>
    <m/>
    <x v="1"/>
    <x v="0"/>
  </r>
  <r>
    <n v="188"/>
    <s v="188 | Program Office"/>
    <x v="4"/>
    <x v="1"/>
    <x v="4"/>
    <x v="1"/>
    <s v="Program Office-Supervisor"/>
    <x v="4"/>
    <d v="2022-09-28T07:13:58"/>
    <x v="140"/>
    <x v="36"/>
    <n v="3"/>
    <d v="2022-10-28T07:13:58"/>
    <s v="Yes"/>
    <d v="2022-10-03T07:13:58"/>
    <x v="1"/>
    <x v="1"/>
    <d v="2022-10-07T07:13:58"/>
    <s v="Declined"/>
    <m/>
    <m/>
    <d v="2022-10-06T07:13:58"/>
    <m/>
    <x v="0"/>
    <m/>
    <m/>
    <m/>
    <m/>
    <m/>
    <m/>
    <s v="C1192"/>
    <s v="Candidate_192"/>
    <s v="09-14-2022"/>
    <x v="2"/>
    <s v="Job Board"/>
    <n v="6"/>
    <m/>
    <x v="0"/>
    <m/>
    <m/>
    <x v="0"/>
    <x v="0"/>
    <m/>
    <x v="1"/>
    <x v="0"/>
  </r>
  <r>
    <n v="135"/>
    <s v="135 | Program Office"/>
    <x v="3"/>
    <x v="1"/>
    <x v="4"/>
    <x v="1"/>
    <s v="Program Office-Supervisor"/>
    <x v="4"/>
    <d v="2022-07-22T19:16:15"/>
    <x v="141"/>
    <x v="37"/>
    <n v="5"/>
    <d v="2022-08-02T19:16:15"/>
    <s v="Yes"/>
    <d v="2022-08-02T19:16:15"/>
    <x v="0"/>
    <x v="0"/>
    <m/>
    <m/>
    <m/>
    <m/>
    <m/>
    <m/>
    <x v="0"/>
    <m/>
    <m/>
    <m/>
    <m/>
    <s v="Candidate"/>
    <m/>
    <s v="C1193"/>
    <s v="Candidate_193"/>
    <s v="07-28-2022"/>
    <x v="1"/>
    <s v="Linkedin"/>
    <n v="6"/>
    <m/>
    <x v="0"/>
    <m/>
    <m/>
    <x v="0"/>
    <x v="0"/>
    <m/>
    <x v="1"/>
    <x v="0"/>
  </r>
  <r>
    <n v="65"/>
    <s v="65 | Program Office"/>
    <x v="4"/>
    <x v="1"/>
    <x v="4"/>
    <x v="1"/>
    <s v="Program Office-Supervisor"/>
    <x v="4"/>
    <d v="2023-08-29T18:08:34"/>
    <x v="142"/>
    <x v="4"/>
    <n v="-45167.755949074082"/>
    <d v="2023-09-13T18:08:34"/>
    <s v="Yes"/>
    <d v="2023-09-06T18:08:34"/>
    <x v="4"/>
    <x v="1"/>
    <d v="2023-09-13T18:08:34"/>
    <s v="Pending"/>
    <m/>
    <m/>
    <d v="2023-09-10T18:08:34"/>
    <m/>
    <x v="0"/>
    <m/>
    <m/>
    <m/>
    <m/>
    <m/>
    <m/>
    <s v="C1194"/>
    <s v="Candidate_194"/>
    <s v="19/08/2023"/>
    <x v="2"/>
    <s v="Job Board"/>
    <n v="6"/>
    <m/>
    <x v="0"/>
    <m/>
    <m/>
    <x v="0"/>
    <x v="0"/>
    <m/>
    <x v="0"/>
    <x v="0"/>
  </r>
  <r>
    <n v="64"/>
    <s v="64 | Program Office"/>
    <x v="4"/>
    <x v="1"/>
    <x v="4"/>
    <x v="1"/>
    <s v="Program Office-Supervisor"/>
    <x v="4"/>
    <d v="2023-08-25T18:08:34"/>
    <x v="143"/>
    <x v="78"/>
    <n v="7"/>
    <d v="2023-09-21T18:08:34"/>
    <s v="No"/>
    <m/>
    <x v="2"/>
    <x v="1"/>
    <m/>
    <m/>
    <m/>
    <m/>
    <m/>
    <m/>
    <x v="0"/>
    <m/>
    <m/>
    <m/>
    <m/>
    <m/>
    <m/>
    <s v="C1195"/>
    <s v="Candidate_195"/>
    <m/>
    <x v="0"/>
    <s v="Referral"/>
    <n v="3"/>
    <m/>
    <x v="0"/>
    <m/>
    <m/>
    <x v="0"/>
    <x v="0"/>
    <m/>
    <x v="1"/>
    <x v="0"/>
  </r>
  <r>
    <n v="61"/>
    <s v="61 | Program Office"/>
    <x v="4"/>
    <x v="1"/>
    <x v="4"/>
    <x v="1"/>
    <s v="Program Office-Supervisor"/>
    <x v="4"/>
    <d v="2023-08-24T18:08:34"/>
    <x v="144"/>
    <x v="78"/>
    <n v="8"/>
    <d v="2023-09-07T18:08:34"/>
    <s v="Yes"/>
    <d v="2023-09-12T18:08:34"/>
    <x v="0"/>
    <x v="3"/>
    <m/>
    <m/>
    <m/>
    <m/>
    <m/>
    <m/>
    <x v="0"/>
    <m/>
    <m/>
    <m/>
    <m/>
    <s v="Company"/>
    <m/>
    <s v="C1196"/>
    <s v="Candidate_196"/>
    <s v="08-29-2023"/>
    <x v="1"/>
    <s v="Linkedin"/>
    <n v="3"/>
    <m/>
    <x v="0"/>
    <m/>
    <m/>
    <x v="0"/>
    <x v="0"/>
    <m/>
    <x v="1"/>
    <x v="0"/>
  </r>
  <r>
    <n v="5"/>
    <s v="5 | Program Office"/>
    <x v="4"/>
    <x v="1"/>
    <x v="4"/>
    <x v="1"/>
    <s v="Program Office-Supervisor"/>
    <x v="4"/>
    <d v="2023-05-29T08:55:46"/>
    <x v="145"/>
    <x v="38"/>
    <n v="8"/>
    <d v="2023-06-15T08:55:46"/>
    <s v="Yes"/>
    <d v="2023-06-18T08:55:46"/>
    <x v="1"/>
    <x v="1"/>
    <d v="2023-06-23T08:55:46"/>
    <s v="Declined"/>
    <m/>
    <m/>
    <d v="2023-06-22T08:55:46"/>
    <m/>
    <x v="0"/>
    <m/>
    <m/>
    <m/>
    <m/>
    <m/>
    <m/>
    <s v="C1197"/>
    <s v="Candidate_197"/>
    <s v="Jun 02 2023"/>
    <x v="0"/>
    <s v="Referral"/>
    <n v="6"/>
    <m/>
    <x v="0"/>
    <m/>
    <m/>
    <x v="0"/>
    <x v="0"/>
    <m/>
    <x v="1"/>
    <x v="0"/>
  </r>
  <r>
    <n v="4"/>
    <s v="4 | Program Office"/>
    <x v="4"/>
    <x v="1"/>
    <x v="4"/>
    <x v="1"/>
    <s v="Program Office-Supervisor"/>
    <x v="4"/>
    <d v="2023-05-29T08:55:46"/>
    <x v="145"/>
    <x v="38"/>
    <n v="8"/>
    <d v="2023-06-23T08:55:46"/>
    <s v="Yes"/>
    <d v="2023-06-15T08:55:46"/>
    <x v="3"/>
    <x v="1"/>
    <d v="2023-06-20T08:55:46"/>
    <s v="Accepted"/>
    <d v="2023-06-17T08:55:46"/>
    <d v="2023-06-18T08:55:46"/>
    <d v="2023-06-18T08:55:46"/>
    <d v="2023-06-25T08:55:46"/>
    <x v="1"/>
    <d v="2023-06-26T08:55:46"/>
    <d v="2023-06-27T08:55:46"/>
    <d v="2023-06-28T08:55:46"/>
    <m/>
    <m/>
    <d v="2023-07-11T08:55:46"/>
    <s v="C1198"/>
    <s v="Candidate_198"/>
    <s v="05-31-2023"/>
    <x v="0"/>
    <s v="Referral"/>
    <n v="6"/>
    <m/>
    <x v="0"/>
    <m/>
    <m/>
    <x v="0"/>
    <x v="0"/>
    <m/>
    <x v="28"/>
    <x v="0"/>
  </r>
  <r>
    <n v="2"/>
    <s v="2 | Program Office"/>
    <x v="5"/>
    <x v="1"/>
    <x v="4"/>
    <x v="1"/>
    <s v="Program Office-Supervisor"/>
    <x v="4"/>
    <d v="2023-06-03T08:55:46"/>
    <x v="146"/>
    <x v="38"/>
    <n v="3"/>
    <d v="2023-06-30T08:55:46"/>
    <s v="Yes"/>
    <d v="2023-06-16T08:55:46"/>
    <x v="3"/>
    <x v="1"/>
    <d v="2023-06-20T08:55:46"/>
    <s v="Accepted"/>
    <d v="2023-06-18T08:55:46"/>
    <d v="2023-06-22T08:55:46"/>
    <d v="2023-06-19T08:55:46"/>
    <d v="2023-06-25T08:55:46"/>
    <x v="1"/>
    <d v="2023-06-27T08:55:46"/>
    <d v="2023-06-29T08:55:46"/>
    <d v="2023-07-01T08:55:46"/>
    <m/>
    <m/>
    <d v="2023-07-15T08:55:46"/>
    <s v="C1199"/>
    <s v="Candidate_199"/>
    <s v="10/06/2023"/>
    <x v="1"/>
    <s v="Linkedin"/>
    <n v="3"/>
    <m/>
    <x v="0"/>
    <m/>
    <m/>
    <x v="0"/>
    <x v="0"/>
    <m/>
    <x v="29"/>
    <x v="0"/>
  </r>
  <r>
    <n v="2965"/>
    <s v="2965 | Program Office"/>
    <x v="4"/>
    <x v="1"/>
    <x v="5"/>
    <x v="6"/>
    <s v="Program Office-Manager"/>
    <x v="5"/>
    <d v="2022-05-19T06:38:26"/>
    <x v="147"/>
    <x v="4"/>
    <n v="-44700.276689814818"/>
    <d v="2022-07-13T06:38:26"/>
    <s v="Yes"/>
    <d v="2022-05-28T06:38:26"/>
    <x v="0"/>
    <x v="0"/>
    <m/>
    <m/>
    <m/>
    <m/>
    <m/>
    <m/>
    <x v="0"/>
    <m/>
    <m/>
    <m/>
    <m/>
    <s v="Company"/>
    <m/>
    <s v="C1200"/>
    <s v="Candidate_200"/>
    <s v="May 14 2022"/>
    <x v="2"/>
    <s v="Job Board"/>
    <n v="6"/>
    <m/>
    <x v="0"/>
    <m/>
    <m/>
    <x v="0"/>
    <x v="0"/>
    <m/>
    <x v="0"/>
    <x v="0"/>
  </r>
  <r>
    <n v="2866"/>
    <s v="2866 | Program Office"/>
    <x v="5"/>
    <x v="1"/>
    <x v="5"/>
    <x v="6"/>
    <s v="Program Office-Manager"/>
    <x v="5"/>
    <d v="2022-10-15T06:23:31"/>
    <x v="64"/>
    <x v="43"/>
    <n v="9"/>
    <d v="2023-01-02T06:23:31"/>
    <s v="Yes"/>
    <d v="2022-10-27T06:23:31"/>
    <x v="1"/>
    <x v="1"/>
    <d v="2022-11-01T06:23:31"/>
    <s v="Declined"/>
    <m/>
    <m/>
    <d v="2022-10-31T06:23:31"/>
    <m/>
    <x v="0"/>
    <m/>
    <m/>
    <m/>
    <m/>
    <m/>
    <m/>
    <s v="C1201"/>
    <s v="Candidate_201"/>
    <s v="Oct 18 2022"/>
    <x v="1"/>
    <s v="Linkedin"/>
    <n v="6"/>
    <m/>
    <x v="0"/>
    <m/>
    <m/>
    <x v="0"/>
    <x v="0"/>
    <m/>
    <x v="1"/>
    <x v="0"/>
  </r>
  <r>
    <n v="2865"/>
    <s v="2865 | Program Office"/>
    <x v="4"/>
    <x v="1"/>
    <x v="5"/>
    <x v="6"/>
    <s v="Program Office-Manager"/>
    <x v="5"/>
    <d v="2022-10-15T06:23:31"/>
    <x v="148"/>
    <x v="79"/>
    <n v="8"/>
    <d v="2023-01-01T06:23:31"/>
    <s v="Yes"/>
    <d v="2022-11-02T06:23:31"/>
    <x v="1"/>
    <x v="1"/>
    <d v="2022-11-07T06:23:31"/>
    <s v="Declined"/>
    <m/>
    <m/>
    <d v="2022-11-03T06:23:31"/>
    <m/>
    <x v="0"/>
    <m/>
    <m/>
    <m/>
    <m/>
    <m/>
    <m/>
    <s v="C1202"/>
    <s v="Candidate_202"/>
    <s v="23/10/2022"/>
    <x v="2"/>
    <s v="Job Board"/>
    <n v="3"/>
    <m/>
    <x v="0"/>
    <m/>
    <m/>
    <x v="0"/>
    <x v="0"/>
    <m/>
    <x v="1"/>
    <x v="0"/>
  </r>
  <r>
    <n v="2856"/>
    <s v="2856 | Program Office"/>
    <x v="5"/>
    <x v="1"/>
    <x v="5"/>
    <x v="6"/>
    <s v="Program Office-Manager"/>
    <x v="5"/>
    <m/>
    <x v="66"/>
    <x v="45"/>
    <n v="45041.4996875"/>
    <d v="2023-07-04T11:59:33"/>
    <s v="Yes"/>
    <d v="2023-04-30T11:59:33"/>
    <x v="0"/>
    <x v="5"/>
    <m/>
    <m/>
    <m/>
    <m/>
    <m/>
    <m/>
    <x v="0"/>
    <m/>
    <m/>
    <m/>
    <m/>
    <s v="Candidate"/>
    <m/>
    <s v="C1203"/>
    <s v="Candidate_203"/>
    <s v="14/04/2023"/>
    <x v="1"/>
    <s v="Linkedin"/>
    <n v="6"/>
    <m/>
    <x v="0"/>
    <m/>
    <m/>
    <x v="0"/>
    <x v="0"/>
    <m/>
    <x v="0"/>
    <x v="0"/>
  </r>
  <r>
    <n v="2838"/>
    <s v="2838 | Program Office"/>
    <x v="4"/>
    <x v="1"/>
    <x v="5"/>
    <x v="6"/>
    <s v="Program Office-Manager"/>
    <x v="5"/>
    <d v="2022-04-08T20:14:44"/>
    <x v="149"/>
    <x v="80"/>
    <n v="7"/>
    <d v="2022-04-23T20:14:44"/>
    <s v="Yes"/>
    <d v="2022-05-01T20:14:44"/>
    <x v="0"/>
    <x v="2"/>
    <m/>
    <m/>
    <m/>
    <m/>
    <d v="2022-05-02T20:14:44"/>
    <m/>
    <x v="0"/>
    <m/>
    <m/>
    <m/>
    <m/>
    <s v="Company"/>
    <m/>
    <s v="C1204"/>
    <s v="Candidate_204"/>
    <s v="04-14-2022"/>
    <x v="0"/>
    <s v="Referral"/>
    <n v="3"/>
    <m/>
    <x v="0"/>
    <m/>
    <m/>
    <x v="0"/>
    <x v="0"/>
    <m/>
    <x v="1"/>
    <x v="0"/>
  </r>
  <r>
    <n v="2832"/>
    <s v="2832 | Program Office"/>
    <x v="5"/>
    <x v="1"/>
    <x v="5"/>
    <x v="6"/>
    <s v="Program Office-Manager"/>
    <x v="5"/>
    <d v="2022-04-12T20:14:44"/>
    <x v="150"/>
    <x v="4"/>
    <n v="-44663.843564814822"/>
    <d v="2022-04-29T20:14:44"/>
    <s v="Yes"/>
    <d v="2022-05-02T20:14:44"/>
    <x v="1"/>
    <x v="1"/>
    <d v="2022-05-06T20:14:44"/>
    <s v="Declined"/>
    <m/>
    <m/>
    <d v="2022-05-04T20:14:44"/>
    <m/>
    <x v="0"/>
    <m/>
    <m/>
    <m/>
    <m/>
    <m/>
    <m/>
    <s v="C1205"/>
    <s v="Candidate_205"/>
    <s v="Apr 27 2022"/>
    <x v="0"/>
    <s v="Referral"/>
    <n v="6"/>
    <m/>
    <x v="0"/>
    <m/>
    <m/>
    <x v="0"/>
    <x v="0"/>
    <m/>
    <x v="0"/>
    <x v="0"/>
  </r>
  <r>
    <n v="2787"/>
    <s v="2787 | Program Office"/>
    <x v="4"/>
    <x v="1"/>
    <x v="5"/>
    <x v="6"/>
    <s v="Program Office-Manager"/>
    <x v="5"/>
    <d v="2023-06-26T19:35:56"/>
    <x v="151"/>
    <x v="46"/>
    <n v="7"/>
    <d v="2023-07-26T19:35:56"/>
    <s v="Yes"/>
    <d v="2023-07-17T19:35:56"/>
    <x v="0"/>
    <x v="3"/>
    <m/>
    <m/>
    <m/>
    <m/>
    <m/>
    <m/>
    <x v="0"/>
    <m/>
    <m/>
    <m/>
    <m/>
    <s v="Candidate"/>
    <m/>
    <s v="C1206"/>
    <s v="Candidate_206"/>
    <s v="07-03-2023"/>
    <x v="2"/>
    <s v="Job Board"/>
    <n v="6"/>
    <m/>
    <x v="0"/>
    <m/>
    <m/>
    <x v="0"/>
    <x v="0"/>
    <m/>
    <x v="1"/>
    <x v="0"/>
  </r>
  <r>
    <n v="2785"/>
    <s v="2785 | Program Office"/>
    <x v="4"/>
    <x v="1"/>
    <x v="5"/>
    <x v="6"/>
    <s v="Program Office-Manager"/>
    <x v="5"/>
    <d v="2023-06-28T19:35:56"/>
    <x v="69"/>
    <x v="4"/>
    <n v="-45105.816620370373"/>
    <d v="2023-07-30T19:35:56"/>
    <s v="Yes"/>
    <d v="2023-07-11T19:35:56"/>
    <x v="0"/>
    <x v="3"/>
    <m/>
    <m/>
    <m/>
    <m/>
    <m/>
    <m/>
    <x v="0"/>
    <m/>
    <m/>
    <m/>
    <m/>
    <s v="Candidate"/>
    <m/>
    <s v="C1207"/>
    <s v="Candidate_207"/>
    <s v="06-30-2023"/>
    <x v="0"/>
    <s v="Referral"/>
    <n v="3"/>
    <m/>
    <x v="0"/>
    <m/>
    <m/>
    <x v="0"/>
    <x v="0"/>
    <m/>
    <x v="0"/>
    <x v="0"/>
  </r>
  <r>
    <n v="2562"/>
    <s v="2562 | Program Office"/>
    <x v="4"/>
    <x v="1"/>
    <x v="5"/>
    <x v="6"/>
    <s v="Program Office-Manager"/>
    <x v="5"/>
    <d v="2022-11-22T06:58:42"/>
    <x v="152"/>
    <x v="47"/>
    <n v="6"/>
    <d v="2022-12-03T06:58:42"/>
    <s v="Yes"/>
    <d v="2022-12-08T06:58:42"/>
    <x v="1"/>
    <x v="1"/>
    <d v="2022-12-16T06:58:42"/>
    <s v="Declined"/>
    <m/>
    <m/>
    <d v="2022-12-12T06:58:42"/>
    <m/>
    <x v="0"/>
    <m/>
    <m/>
    <m/>
    <m/>
    <m/>
    <m/>
    <s v="C1208"/>
    <s v="Candidate_208"/>
    <s v="11-23-2022"/>
    <x v="2"/>
    <s v="Job Board"/>
    <n v="3"/>
    <m/>
    <x v="0"/>
    <m/>
    <m/>
    <x v="0"/>
    <x v="0"/>
    <m/>
    <x v="1"/>
    <x v="0"/>
  </r>
  <r>
    <n v="2561"/>
    <s v="2561 | Program Office"/>
    <x v="4"/>
    <x v="1"/>
    <x v="5"/>
    <x v="6"/>
    <s v="Program Office-Manager"/>
    <x v="5"/>
    <d v="2022-11-21T06:58:42"/>
    <x v="0"/>
    <x v="47"/>
    <n v="7"/>
    <d v="2022-12-11T06:58:42"/>
    <s v="No"/>
    <m/>
    <x v="2"/>
    <x v="1"/>
    <m/>
    <m/>
    <m/>
    <m/>
    <m/>
    <m/>
    <x v="0"/>
    <m/>
    <m/>
    <m/>
    <m/>
    <m/>
    <m/>
    <s v="C1209"/>
    <s v="Candidate_209"/>
    <m/>
    <x v="0"/>
    <s v="Referral"/>
    <n v="6"/>
    <m/>
    <x v="0"/>
    <m/>
    <m/>
    <x v="0"/>
    <x v="0"/>
    <m/>
    <x v="0"/>
    <x v="0"/>
  </r>
  <r>
    <n v="2558"/>
    <s v="2558 | Program Office"/>
    <x v="4"/>
    <x v="1"/>
    <x v="5"/>
    <x v="6"/>
    <s v="Program Office-Manager"/>
    <x v="5"/>
    <d v="2023-08-07T17:10:04"/>
    <x v="153"/>
    <x v="16"/>
    <n v="3"/>
    <d v="2023-09-09T17:10:04"/>
    <s v="Yes"/>
    <d v="2023-08-20T17:10:04"/>
    <x v="0"/>
    <x v="4"/>
    <m/>
    <m/>
    <m/>
    <m/>
    <m/>
    <m/>
    <x v="0"/>
    <m/>
    <m/>
    <m/>
    <m/>
    <s v="Candidate"/>
    <m/>
    <s v="C1210"/>
    <s v="Candidate_210"/>
    <s v="08-06-2023"/>
    <x v="1"/>
    <s v="Linkedin"/>
    <n v="3"/>
    <m/>
    <x v="0"/>
    <m/>
    <m/>
    <x v="0"/>
    <x v="0"/>
    <m/>
    <x v="1"/>
    <x v="0"/>
  </r>
  <r>
    <n v="2552"/>
    <s v="2552 | Program Office"/>
    <x v="4"/>
    <x v="1"/>
    <x v="5"/>
    <x v="6"/>
    <s v="Program Office-Manager"/>
    <x v="5"/>
    <d v="2023-08-04T17:10:04"/>
    <x v="153"/>
    <x v="16"/>
    <n v="6"/>
    <d v="2023-08-23T17:10:04"/>
    <s v="Yes"/>
    <d v="2023-08-20T17:10:04"/>
    <x v="3"/>
    <x v="1"/>
    <d v="2023-08-22T17:10:04"/>
    <s v="Accepted"/>
    <d v="2023-08-22T17:10:04"/>
    <d v="2023-08-24T17:10:04"/>
    <d v="2023-08-21T17:10:04"/>
    <d v="2023-08-24T17:10:04"/>
    <x v="1"/>
    <d v="2023-08-27T17:10:04"/>
    <d v="2023-08-29T17:10:04"/>
    <d v="2023-09-01T17:10:04"/>
    <m/>
    <m/>
    <d v="2023-09-15T17:10:04"/>
    <s v="C1211"/>
    <s v="Candidate_211"/>
    <s v="Aug 03 2023"/>
    <x v="2"/>
    <s v="Job Board"/>
    <n v="6"/>
    <m/>
    <x v="0"/>
    <m/>
    <m/>
    <x v="0"/>
    <x v="0"/>
    <m/>
    <x v="30"/>
    <x v="0"/>
  </r>
  <r>
    <n v="2511"/>
    <s v="2511 | Program Office"/>
    <x v="5"/>
    <x v="1"/>
    <x v="5"/>
    <x v="6"/>
    <s v="Program Office-Manager"/>
    <x v="5"/>
    <d v="2023-09-05T03:11:54"/>
    <x v="154"/>
    <x v="18"/>
    <n v="3"/>
    <d v="2023-09-26T03:11:54"/>
    <s v="Yes"/>
    <d v="2023-09-13T03:11:54"/>
    <x v="1"/>
    <x v="1"/>
    <d v="2023-09-15T03:11:54"/>
    <s v="Declined"/>
    <m/>
    <m/>
    <d v="2023-09-14T03:11:54"/>
    <m/>
    <x v="0"/>
    <m/>
    <m/>
    <m/>
    <m/>
    <m/>
    <m/>
    <s v="C1212"/>
    <s v="Candidate_212"/>
    <s v="08-26-2023"/>
    <x v="2"/>
    <s v="Job Board"/>
    <n v="6"/>
    <m/>
    <x v="0"/>
    <m/>
    <m/>
    <x v="0"/>
    <x v="0"/>
    <m/>
    <x v="1"/>
    <x v="0"/>
  </r>
  <r>
    <n v="2460"/>
    <s v="2460 | Program Office"/>
    <x v="3"/>
    <x v="1"/>
    <x v="5"/>
    <x v="6"/>
    <s v="Program Office-Manager"/>
    <x v="5"/>
    <d v="2023-08-25T01:40:33"/>
    <x v="0"/>
    <x v="48"/>
    <n v="4"/>
    <d v="2023-09-08T01:40:33"/>
    <s v="Yes"/>
    <d v="2023-09-14T01:40:33"/>
    <x v="1"/>
    <x v="1"/>
    <d v="2023-09-18T01:40:33"/>
    <s v="Declined"/>
    <m/>
    <m/>
    <d v="2023-09-17T01:40:33"/>
    <m/>
    <x v="0"/>
    <m/>
    <m/>
    <m/>
    <m/>
    <m/>
    <m/>
    <s v="C1213"/>
    <s v="Candidate_213"/>
    <s v="09-07-2023"/>
    <x v="1"/>
    <s v="Linkedin"/>
    <n v="3"/>
    <m/>
    <x v="0"/>
    <m/>
    <m/>
    <x v="0"/>
    <x v="0"/>
    <m/>
    <x v="0"/>
    <x v="0"/>
  </r>
  <r>
    <n v="2444"/>
    <s v="2444 | Program Office"/>
    <x v="3"/>
    <x v="1"/>
    <x v="5"/>
    <x v="6"/>
    <s v="Program Office-Manager"/>
    <x v="5"/>
    <d v="2022-11-03T18:32:00"/>
    <x v="155"/>
    <x v="81"/>
    <n v="5"/>
    <d v="2022-11-21T18:32:00"/>
    <s v="Yes"/>
    <d v="2022-11-23T18:32:00"/>
    <x v="0"/>
    <x v="4"/>
    <m/>
    <m/>
    <m/>
    <m/>
    <m/>
    <m/>
    <x v="0"/>
    <m/>
    <m/>
    <m/>
    <m/>
    <s v="Company"/>
    <m/>
    <s v="C1214"/>
    <s v="Candidate_214"/>
    <s v="11-12-2022"/>
    <x v="2"/>
    <s v="Job Board"/>
    <n v="6"/>
    <m/>
    <x v="0"/>
    <m/>
    <m/>
    <x v="0"/>
    <x v="0"/>
    <m/>
    <x v="1"/>
    <x v="0"/>
  </r>
  <r>
    <n v="2410"/>
    <s v="2410 | Program Office"/>
    <x v="3"/>
    <x v="1"/>
    <x v="5"/>
    <x v="6"/>
    <s v="Program Office-Manager"/>
    <x v="5"/>
    <d v="2023-03-28T02:03:49"/>
    <x v="156"/>
    <x v="49"/>
    <n v="9"/>
    <d v="2023-04-16T02:03:49"/>
    <s v="Yes"/>
    <d v="2023-04-07T02:03:49"/>
    <x v="0"/>
    <x v="3"/>
    <m/>
    <m/>
    <m/>
    <m/>
    <m/>
    <m/>
    <x v="0"/>
    <m/>
    <m/>
    <m/>
    <m/>
    <s v="Candidate"/>
    <m/>
    <s v="C1215"/>
    <s v="Candidate_215"/>
    <s v="21/03/2023"/>
    <x v="0"/>
    <s v="Referral"/>
    <n v="6"/>
    <m/>
    <x v="0"/>
    <m/>
    <m/>
    <x v="0"/>
    <x v="0"/>
    <m/>
    <x v="1"/>
    <x v="0"/>
  </r>
  <r>
    <n v="2405"/>
    <s v="2405 | Program Office"/>
    <x v="3"/>
    <x v="1"/>
    <x v="5"/>
    <x v="6"/>
    <s v="Program Office-Manager"/>
    <x v="5"/>
    <d v="2023-03-30T02:03:49"/>
    <x v="157"/>
    <x v="49"/>
    <n v="7"/>
    <d v="2023-04-20T02:03:49"/>
    <s v="Yes"/>
    <d v="2023-04-13T02:03:49"/>
    <x v="0"/>
    <x v="3"/>
    <m/>
    <m/>
    <m/>
    <m/>
    <m/>
    <m/>
    <x v="0"/>
    <m/>
    <m/>
    <m/>
    <m/>
    <s v="Candidate"/>
    <m/>
    <s v="C1216"/>
    <s v="Candidate_216"/>
    <s v="04-07-2023"/>
    <x v="0"/>
    <s v="Referral"/>
    <n v="3"/>
    <m/>
    <x v="0"/>
    <m/>
    <m/>
    <x v="0"/>
    <x v="0"/>
    <m/>
    <x v="1"/>
    <x v="0"/>
  </r>
  <r>
    <n v="2388"/>
    <s v="2388 | Program Office"/>
    <x v="5"/>
    <x v="1"/>
    <x v="5"/>
    <x v="6"/>
    <s v="Program Office-Manager"/>
    <x v="5"/>
    <d v="2023-04-13T12:42:32"/>
    <x v="76"/>
    <x v="4"/>
    <n v="-45029.529537037037"/>
    <d v="2023-05-07T12:42:32"/>
    <s v="Yes"/>
    <d v="2023-04-30T12:42:32"/>
    <x v="0"/>
    <x v="4"/>
    <m/>
    <m/>
    <m/>
    <m/>
    <d v="2023-05-04T12:42:32"/>
    <m/>
    <x v="0"/>
    <m/>
    <m/>
    <m/>
    <m/>
    <s v="Candidate"/>
    <m/>
    <s v="C1217"/>
    <s v="Candidate_217"/>
    <s v="18/04/2023"/>
    <x v="0"/>
    <s v="Referral"/>
    <n v="6"/>
    <m/>
    <x v="0"/>
    <m/>
    <m/>
    <x v="0"/>
    <x v="0"/>
    <m/>
    <x v="0"/>
    <x v="0"/>
  </r>
  <r>
    <n v="2320"/>
    <s v="2320 | Program Office"/>
    <x v="4"/>
    <x v="1"/>
    <x v="5"/>
    <x v="6"/>
    <s v="Program Office-Manager"/>
    <x v="5"/>
    <d v="2022-04-21T00:53:43"/>
    <x v="158"/>
    <x v="20"/>
    <n v="5"/>
    <d v="2022-05-11T00:53:43"/>
    <s v="Yes"/>
    <d v="2022-05-11T00:53:43"/>
    <x v="0"/>
    <x v="2"/>
    <m/>
    <m/>
    <m/>
    <m/>
    <m/>
    <m/>
    <x v="0"/>
    <m/>
    <m/>
    <m/>
    <m/>
    <s v="Candidate"/>
    <m/>
    <s v="C1218"/>
    <s v="Candidate_218"/>
    <s v="02/05/2022"/>
    <x v="0"/>
    <s v="Referral"/>
    <n v="6"/>
    <m/>
    <x v="0"/>
    <m/>
    <m/>
    <x v="0"/>
    <x v="0"/>
    <m/>
    <x v="1"/>
    <x v="0"/>
  </r>
  <r>
    <n v="2262"/>
    <s v="2262 | Program Office"/>
    <x v="4"/>
    <x v="1"/>
    <x v="5"/>
    <x v="6"/>
    <s v="Program Office-Manager"/>
    <x v="5"/>
    <d v="2023-04-15T22:30:17"/>
    <x v="159"/>
    <x v="51"/>
    <n v="5"/>
    <d v="2023-05-04T22:30:17"/>
    <s v="No"/>
    <m/>
    <x v="2"/>
    <x v="1"/>
    <m/>
    <m/>
    <m/>
    <m/>
    <m/>
    <m/>
    <x v="0"/>
    <m/>
    <m/>
    <m/>
    <m/>
    <m/>
    <m/>
    <s v="C1219"/>
    <s v="Candidate_219"/>
    <m/>
    <x v="1"/>
    <s v="Linkedin"/>
    <n v="6"/>
    <m/>
    <x v="0"/>
    <m/>
    <m/>
    <x v="0"/>
    <x v="0"/>
    <m/>
    <x v="1"/>
    <x v="0"/>
  </r>
  <r>
    <n v="2249"/>
    <s v="2249 | Program Office"/>
    <x v="3"/>
    <x v="1"/>
    <x v="5"/>
    <x v="7"/>
    <s v="Program Office-Cordination Manager"/>
    <x v="5"/>
    <d v="2022-12-24T14:26:31"/>
    <x v="35"/>
    <x v="21"/>
    <n v="10"/>
    <d v="2023-01-26T14:26:31"/>
    <s v="Yes"/>
    <d v="2023-01-13T14:26:31"/>
    <x v="0"/>
    <x v="4"/>
    <m/>
    <m/>
    <m/>
    <m/>
    <d v="2023-01-15T14:26:31"/>
    <m/>
    <x v="0"/>
    <m/>
    <m/>
    <m/>
    <m/>
    <s v="Candidate"/>
    <m/>
    <s v="C1220"/>
    <s v="Candidate_220"/>
    <s v="01-04-2023"/>
    <x v="2"/>
    <s v="Job Board"/>
    <n v="6"/>
    <m/>
    <x v="0"/>
    <m/>
    <m/>
    <x v="0"/>
    <x v="0"/>
    <m/>
    <x v="1"/>
    <x v="0"/>
  </r>
  <r>
    <n v="2248"/>
    <s v="2248 | Program Office"/>
    <x v="4"/>
    <x v="1"/>
    <x v="5"/>
    <x v="7"/>
    <s v="Program Office-Cordination Manager"/>
    <x v="5"/>
    <m/>
    <x v="35"/>
    <x v="21"/>
    <n v="44929.601747685178"/>
    <d v="2023-02-02T14:26:31"/>
    <s v="Yes"/>
    <d v="2023-01-11T14:26:31"/>
    <x v="0"/>
    <x v="4"/>
    <m/>
    <m/>
    <m/>
    <m/>
    <d v="2023-01-12T14:26:31"/>
    <m/>
    <x v="0"/>
    <m/>
    <m/>
    <m/>
    <m/>
    <s v="Candidate"/>
    <m/>
    <s v="C1221"/>
    <s v="Candidate_221"/>
    <s v="12-28-2022"/>
    <x v="0"/>
    <s v="Referral"/>
    <n v="6"/>
    <m/>
    <x v="0"/>
    <m/>
    <m/>
    <x v="0"/>
    <x v="0"/>
    <m/>
    <x v="0"/>
    <x v="0"/>
  </r>
  <r>
    <n v="2244"/>
    <s v="2244 | Program Office"/>
    <x v="3"/>
    <x v="1"/>
    <x v="5"/>
    <x v="7"/>
    <s v="Program Office-Cordination Manager"/>
    <x v="5"/>
    <d v="2022-12-29T14:26:31"/>
    <x v="160"/>
    <x v="21"/>
    <n v="5"/>
    <d v="2023-01-26T14:26:31"/>
    <s v="Yes"/>
    <d v="2023-01-15T14:26:31"/>
    <x v="3"/>
    <x v="1"/>
    <d v="2023-01-23T14:26:31"/>
    <s v="Accepted"/>
    <d v="2023-01-16T14:26:31"/>
    <d v="2023-01-19T14:26:31"/>
    <d v="2023-01-19T14:26:31"/>
    <d v="2023-01-20T14:26:31"/>
    <x v="1"/>
    <d v="2023-01-24T14:26:31"/>
    <d v="2023-01-25T14:26:31"/>
    <d v="2023-01-28T14:26:31"/>
    <m/>
    <m/>
    <d v="2023-02-05T14:26:31"/>
    <s v="C1222"/>
    <s v="Candidate_222"/>
    <s v="30/12/2022"/>
    <x v="1"/>
    <s v="Linkedin"/>
    <n v="3"/>
    <m/>
    <x v="0"/>
    <m/>
    <m/>
    <x v="0"/>
    <x v="0"/>
    <m/>
    <x v="31"/>
    <x v="0"/>
  </r>
  <r>
    <n v="2219"/>
    <s v="2219 | Program Office"/>
    <x v="4"/>
    <x v="1"/>
    <x v="5"/>
    <x v="7"/>
    <s v="Program Office-Cordination Manager"/>
    <x v="5"/>
    <m/>
    <x v="82"/>
    <x v="52"/>
    <n v="44648.873194444437"/>
    <d v="2022-04-18T20:57:24"/>
    <s v="Yes"/>
    <d v="2022-04-01T20:57:24"/>
    <x v="3"/>
    <x v="1"/>
    <d v="2022-04-08T20:57:24"/>
    <s v="Accepted"/>
    <d v="2022-04-02T20:57:24"/>
    <d v="2022-04-03T20:57:24"/>
    <d v="2022-04-05T20:57:24"/>
    <d v="2022-04-10T20:57:24"/>
    <x v="1"/>
    <d v="2022-04-12T20:57:24"/>
    <d v="2022-04-13T20:57:24"/>
    <d v="2022-04-16T20:57:24"/>
    <m/>
    <m/>
    <d v="2022-04-25T20:57:24"/>
    <s v="C1223"/>
    <s v="Candidate_223"/>
    <s v="03-18-2022"/>
    <x v="2"/>
    <s v="Job Board"/>
    <n v="3"/>
    <m/>
    <x v="0"/>
    <m/>
    <m/>
    <x v="0"/>
    <x v="0"/>
    <m/>
    <x v="0"/>
    <x v="0"/>
  </r>
  <r>
    <n v="2218"/>
    <s v="2218 | Program Office"/>
    <x v="3"/>
    <x v="1"/>
    <x v="5"/>
    <x v="7"/>
    <s v="Program Office-Cordination Manager"/>
    <x v="5"/>
    <d v="2022-03-24T20:57:24"/>
    <x v="161"/>
    <x v="52"/>
    <n v="4"/>
    <d v="2022-04-08T20:57:24"/>
    <s v="Yes"/>
    <d v="2022-03-31T20:57:24"/>
    <x v="0"/>
    <x v="0"/>
    <m/>
    <m/>
    <m/>
    <m/>
    <d v="2022-04-04T20:57:24"/>
    <m/>
    <x v="0"/>
    <m/>
    <m/>
    <m/>
    <m/>
    <s v="Company"/>
    <m/>
    <s v="C1224"/>
    <s v="Candidate_224"/>
    <s v="Mar 25 2022"/>
    <x v="1"/>
    <s v="Linkedin"/>
    <n v="3"/>
    <m/>
    <x v="0"/>
    <m/>
    <m/>
    <x v="0"/>
    <x v="0"/>
    <m/>
    <x v="1"/>
    <x v="0"/>
  </r>
  <r>
    <n v="2212"/>
    <s v="2212 | Program Office"/>
    <x v="4"/>
    <x v="1"/>
    <x v="5"/>
    <x v="7"/>
    <s v="Program Office-Cordination Manager"/>
    <x v="5"/>
    <d v="2022-03-25T20:57:24"/>
    <x v="161"/>
    <x v="52"/>
    <n v="3"/>
    <d v="2022-04-20T20:57:24"/>
    <s v="No"/>
    <m/>
    <x v="2"/>
    <x v="1"/>
    <m/>
    <m/>
    <m/>
    <m/>
    <m/>
    <m/>
    <x v="0"/>
    <m/>
    <m/>
    <m/>
    <m/>
    <m/>
    <m/>
    <s v="C1225"/>
    <s v="Candidate_225"/>
    <m/>
    <x v="1"/>
    <s v="Linkedin"/>
    <n v="6"/>
    <m/>
    <x v="0"/>
    <m/>
    <m/>
    <x v="0"/>
    <x v="0"/>
    <m/>
    <x v="1"/>
    <x v="0"/>
  </r>
  <r>
    <n v="2170"/>
    <s v="2170 | Program Office"/>
    <x v="4"/>
    <x v="1"/>
    <x v="5"/>
    <x v="7"/>
    <s v="Program Office-Cordination Manager"/>
    <x v="5"/>
    <d v="2022-08-23T01:58:08"/>
    <x v="0"/>
    <x v="82"/>
    <n v="6"/>
    <d v="2022-09-17T01:58:08"/>
    <s v="Yes"/>
    <d v="2022-09-11T01:58:08"/>
    <x v="4"/>
    <x v="1"/>
    <d v="2022-09-17T01:58:08"/>
    <s v="Pending"/>
    <m/>
    <m/>
    <d v="2022-09-13T01:58:08"/>
    <m/>
    <x v="0"/>
    <m/>
    <m/>
    <m/>
    <m/>
    <m/>
    <m/>
    <s v="C1226"/>
    <s v="Candidate_226"/>
    <s v="29/08/2022"/>
    <x v="2"/>
    <s v="Job Board"/>
    <n v="3"/>
    <m/>
    <x v="0"/>
    <m/>
    <m/>
    <x v="0"/>
    <x v="0"/>
    <m/>
    <x v="0"/>
    <x v="0"/>
  </r>
  <r>
    <n v="2168"/>
    <s v="2168 | Program Office"/>
    <x v="4"/>
    <x v="1"/>
    <x v="5"/>
    <x v="7"/>
    <s v="Program Office-Cordination Manager"/>
    <x v="5"/>
    <d v="2022-08-21T01:58:08"/>
    <x v="162"/>
    <x v="4"/>
    <n v="-44794.082037037027"/>
    <d v="2022-09-14T01:58:08"/>
    <s v="No"/>
    <m/>
    <x v="2"/>
    <x v="1"/>
    <m/>
    <m/>
    <m/>
    <m/>
    <m/>
    <m/>
    <x v="0"/>
    <m/>
    <m/>
    <m/>
    <m/>
    <m/>
    <m/>
    <s v="C1227"/>
    <s v="Candidate_227"/>
    <m/>
    <x v="2"/>
    <s v="Job Board"/>
    <n v="6"/>
    <m/>
    <x v="0"/>
    <m/>
    <m/>
    <x v="0"/>
    <x v="0"/>
    <m/>
    <x v="0"/>
    <x v="0"/>
  </r>
  <r>
    <n v="2162"/>
    <s v="2162 | Program Office"/>
    <x v="4"/>
    <x v="1"/>
    <x v="5"/>
    <x v="7"/>
    <s v="Program Office-Cordination Manager"/>
    <x v="5"/>
    <d v="2022-08-23T01:58:08"/>
    <x v="162"/>
    <x v="4"/>
    <n v="-44796.082037037027"/>
    <d v="2022-09-28T01:58:08"/>
    <s v="Yes"/>
    <d v="2022-09-01T01:58:08"/>
    <x v="1"/>
    <x v="1"/>
    <d v="2022-09-09T01:58:08"/>
    <s v="Declined"/>
    <m/>
    <m/>
    <d v="2022-09-05T01:58:08"/>
    <m/>
    <x v="0"/>
    <m/>
    <m/>
    <m/>
    <m/>
    <m/>
    <m/>
    <s v="C1228"/>
    <s v="Candidate_228"/>
    <s v="Aug 25 2022"/>
    <x v="1"/>
    <s v="Linkedin"/>
    <n v="6"/>
    <m/>
    <x v="0"/>
    <m/>
    <m/>
    <x v="0"/>
    <x v="0"/>
    <m/>
    <x v="0"/>
    <x v="0"/>
  </r>
  <r>
    <n v="2124"/>
    <s v="2124 | Program Office"/>
    <x v="3"/>
    <x v="1"/>
    <x v="5"/>
    <x v="7"/>
    <s v="Program Office-Cordination Manager"/>
    <x v="5"/>
    <d v="2023-01-01T11:21:38"/>
    <x v="163"/>
    <x v="4"/>
    <n v="-44927.473356481481"/>
    <d v="2023-02-08T11:21:38"/>
    <s v="No"/>
    <m/>
    <x v="2"/>
    <x v="1"/>
    <m/>
    <m/>
    <m/>
    <m/>
    <m/>
    <m/>
    <x v="0"/>
    <m/>
    <m/>
    <m/>
    <m/>
    <m/>
    <m/>
    <s v="C1229"/>
    <s v="Candidate_229"/>
    <m/>
    <x v="1"/>
    <s v="Linkedin"/>
    <n v="6"/>
    <m/>
    <x v="0"/>
    <m/>
    <m/>
    <x v="0"/>
    <x v="0"/>
    <m/>
    <x v="0"/>
    <x v="0"/>
  </r>
  <r>
    <n v="2123"/>
    <s v="2123 | Program Office"/>
    <x v="3"/>
    <x v="1"/>
    <x v="5"/>
    <x v="7"/>
    <s v="Program Office-Cordination Manager"/>
    <x v="5"/>
    <d v="2023-01-03T11:21:38"/>
    <x v="164"/>
    <x v="22"/>
    <n v="6"/>
    <d v="2023-01-23T11:21:38"/>
    <s v="Yes"/>
    <d v="2023-01-12T11:21:38"/>
    <x v="1"/>
    <x v="1"/>
    <d v="2023-01-19T11:21:38"/>
    <s v="Declined"/>
    <m/>
    <m/>
    <d v="2023-01-15T11:21:38"/>
    <m/>
    <x v="0"/>
    <m/>
    <m/>
    <m/>
    <m/>
    <m/>
    <m/>
    <s v="C1230"/>
    <s v="Candidate_230"/>
    <s v="12-31-2022"/>
    <x v="2"/>
    <s v="Job Board"/>
    <n v="3"/>
    <m/>
    <x v="0"/>
    <m/>
    <m/>
    <x v="0"/>
    <x v="0"/>
    <m/>
    <x v="1"/>
    <x v="0"/>
  </r>
  <r>
    <n v="2121"/>
    <s v="2121 | Program Office"/>
    <x v="5"/>
    <x v="1"/>
    <x v="5"/>
    <x v="7"/>
    <s v="Program Office-Cordination Manager"/>
    <x v="5"/>
    <d v="2022-12-31T11:21:38"/>
    <x v="37"/>
    <x v="22"/>
    <n v="9"/>
    <d v="2023-02-04T11:21:38"/>
    <s v="No"/>
    <m/>
    <x v="2"/>
    <x v="1"/>
    <m/>
    <m/>
    <m/>
    <m/>
    <m/>
    <m/>
    <x v="0"/>
    <m/>
    <m/>
    <m/>
    <m/>
    <m/>
    <m/>
    <s v="C1231"/>
    <s v="Candidate_231"/>
    <m/>
    <x v="2"/>
    <s v="Job Board"/>
    <n v="6"/>
    <m/>
    <x v="0"/>
    <m/>
    <m/>
    <x v="0"/>
    <x v="0"/>
    <m/>
    <x v="1"/>
    <x v="0"/>
  </r>
  <r>
    <n v="2118"/>
    <s v="2118 | Program Office"/>
    <x v="5"/>
    <x v="1"/>
    <x v="5"/>
    <x v="7"/>
    <s v="Program Office-Cordination Manager"/>
    <x v="5"/>
    <d v="2023-04-13T01:19:50"/>
    <x v="165"/>
    <x v="54"/>
    <n v="9"/>
    <d v="2023-05-02T01:19:50"/>
    <s v="Yes"/>
    <d v="2023-04-26T01:19:50"/>
    <x v="0"/>
    <x v="3"/>
    <m/>
    <m/>
    <m/>
    <m/>
    <d v="2023-04-27T01:19:50"/>
    <m/>
    <x v="0"/>
    <m/>
    <m/>
    <m/>
    <m/>
    <s v="Company"/>
    <m/>
    <s v="C1232"/>
    <s v="Candidate_232"/>
    <s v="Apr 09 2023"/>
    <x v="0"/>
    <s v="Referral"/>
    <n v="6"/>
    <m/>
    <x v="0"/>
    <m/>
    <m/>
    <x v="0"/>
    <x v="0"/>
    <m/>
    <x v="1"/>
    <x v="0"/>
  </r>
  <r>
    <n v="2112"/>
    <s v="2112 | Program Office"/>
    <x v="4"/>
    <x v="1"/>
    <x v="5"/>
    <x v="7"/>
    <s v="Program Office-Cordination Manager"/>
    <x v="5"/>
    <d v="2023-04-17T01:19:50"/>
    <x v="166"/>
    <x v="54"/>
    <n v="5"/>
    <d v="2023-04-30T01:19:50"/>
    <s v="Yes"/>
    <d v="2023-05-01T01:19:50"/>
    <x v="0"/>
    <x v="2"/>
    <m/>
    <m/>
    <m/>
    <m/>
    <m/>
    <m/>
    <x v="0"/>
    <m/>
    <m/>
    <m/>
    <m/>
    <s v="Company"/>
    <m/>
    <s v="C1233"/>
    <s v="Candidate_233"/>
    <s v="Apr 19 2023"/>
    <x v="0"/>
    <s v="Referral"/>
    <n v="6"/>
    <m/>
    <x v="0"/>
    <m/>
    <m/>
    <x v="0"/>
    <x v="0"/>
    <m/>
    <x v="1"/>
    <x v="0"/>
  </r>
  <r>
    <n v="2061"/>
    <s v="2061 | Program Office"/>
    <x v="3"/>
    <x v="1"/>
    <x v="5"/>
    <x v="7"/>
    <s v="Program Office-Cordination Manager"/>
    <x v="5"/>
    <d v="2022-11-01T18:46:55"/>
    <x v="167"/>
    <x v="23"/>
    <n v="7"/>
    <d v="2022-12-04T18:46:55"/>
    <s v="Yes"/>
    <d v="2022-11-13T18:46:55"/>
    <x v="0"/>
    <x v="4"/>
    <m/>
    <m/>
    <m/>
    <m/>
    <m/>
    <m/>
    <x v="0"/>
    <m/>
    <m/>
    <m/>
    <m/>
    <s v="Company"/>
    <m/>
    <s v="C1234"/>
    <s v="Candidate_234"/>
    <s v="Nov 04 2022"/>
    <x v="1"/>
    <s v="Linkedin"/>
    <n v="3"/>
    <m/>
    <x v="0"/>
    <m/>
    <m/>
    <x v="0"/>
    <x v="0"/>
    <m/>
    <x v="1"/>
    <x v="0"/>
  </r>
  <r>
    <n v="2009"/>
    <s v="2009 | Program Office"/>
    <x v="3"/>
    <x v="1"/>
    <x v="5"/>
    <x v="7"/>
    <s v="Program Office-Cordination Manager"/>
    <x v="5"/>
    <d v="2022-07-06T03:08:50"/>
    <x v="168"/>
    <x v="4"/>
    <n v="-44748.13113425926"/>
    <d v="2022-07-27T03:08:50"/>
    <s v="Yes"/>
    <d v="2022-07-27T03:08:50"/>
    <x v="1"/>
    <x v="1"/>
    <d v="2022-08-02T03:08:50"/>
    <s v="Declined"/>
    <m/>
    <m/>
    <d v="2022-07-30T03:08:50"/>
    <m/>
    <x v="0"/>
    <m/>
    <m/>
    <m/>
    <m/>
    <m/>
    <m/>
    <s v="C1235"/>
    <s v="Candidate_235"/>
    <s v="21/07/2022"/>
    <x v="1"/>
    <s v="Linkedin"/>
    <n v="3"/>
    <m/>
    <x v="0"/>
    <m/>
    <m/>
    <x v="0"/>
    <x v="0"/>
    <m/>
    <x v="0"/>
    <x v="0"/>
  </r>
  <r>
    <n v="2007"/>
    <s v="2007 | Program Office"/>
    <x v="4"/>
    <x v="1"/>
    <x v="5"/>
    <x v="7"/>
    <s v="Program Office-Cordination Manager"/>
    <x v="5"/>
    <d v="2022-07-07T03:08:50"/>
    <x v="168"/>
    <x v="83"/>
    <n v="6"/>
    <d v="2022-07-28T03:08:50"/>
    <s v="Yes"/>
    <d v="2022-07-22T03:08:50"/>
    <x v="3"/>
    <x v="1"/>
    <d v="2022-07-27T03:08:50"/>
    <s v="Accepted"/>
    <d v="2022-07-24T03:08:50"/>
    <d v="2022-07-26T03:08:50"/>
    <d v="2022-07-23T03:08:50"/>
    <d v="2022-08-01T03:08:50"/>
    <x v="1"/>
    <d v="2022-08-05T03:08:50"/>
    <d v="2022-08-07T03:08:50"/>
    <d v="2022-08-09T03:08:50"/>
    <m/>
    <m/>
    <d v="2022-08-29T03:08:50"/>
    <s v="C1236"/>
    <s v="Candidate_236"/>
    <s v="Jul 03 2022"/>
    <x v="2"/>
    <s v="Job Board"/>
    <n v="3"/>
    <m/>
    <x v="0"/>
    <m/>
    <m/>
    <x v="0"/>
    <x v="0"/>
    <m/>
    <x v="32"/>
    <x v="0"/>
  </r>
  <r>
    <n v="2003"/>
    <s v="2003 | Program Office"/>
    <x v="5"/>
    <x v="1"/>
    <x v="5"/>
    <x v="7"/>
    <s v="Program Office-Cordination Manager"/>
    <x v="5"/>
    <d v="2022-07-08T03:08:50"/>
    <x v="169"/>
    <x v="83"/>
    <n v="5"/>
    <d v="2022-07-27T03:08:50"/>
    <s v="Yes"/>
    <d v="2022-07-20T03:08:50"/>
    <x v="0"/>
    <x v="0"/>
    <m/>
    <m/>
    <m/>
    <m/>
    <d v="2022-07-24T03:08:50"/>
    <m/>
    <x v="0"/>
    <m/>
    <m/>
    <m/>
    <m/>
    <s v="Company"/>
    <m/>
    <s v="C1237"/>
    <s v="Candidate_237"/>
    <s v="Jul 11 2022"/>
    <x v="2"/>
    <s v="Job Board"/>
    <n v="6"/>
    <m/>
    <x v="0"/>
    <m/>
    <m/>
    <x v="0"/>
    <x v="0"/>
    <m/>
    <x v="1"/>
    <x v="0"/>
  </r>
  <r>
    <n v="2002"/>
    <s v="2002 | Program Office"/>
    <x v="4"/>
    <x v="1"/>
    <x v="5"/>
    <x v="7"/>
    <s v="Program Office-Cordination Manager"/>
    <x v="5"/>
    <d v="2022-07-09T03:08:50"/>
    <x v="170"/>
    <x v="83"/>
    <n v="4"/>
    <d v="2022-07-28T03:08:50"/>
    <s v="Yes"/>
    <d v="2022-07-23T03:08:50"/>
    <x v="0"/>
    <x v="5"/>
    <m/>
    <m/>
    <m/>
    <m/>
    <d v="2022-07-27T03:08:50"/>
    <m/>
    <x v="0"/>
    <m/>
    <m/>
    <m/>
    <m/>
    <s v="Candidate"/>
    <m/>
    <s v="C1238"/>
    <s v="Candidate_238"/>
    <s v="07-07-2022"/>
    <x v="0"/>
    <s v="Referral"/>
    <n v="6"/>
    <m/>
    <x v="0"/>
    <m/>
    <m/>
    <x v="0"/>
    <x v="0"/>
    <m/>
    <x v="1"/>
    <x v="0"/>
  </r>
  <r>
    <n v="1990"/>
    <s v="1990 | Program Office"/>
    <x v="3"/>
    <x v="1"/>
    <x v="5"/>
    <x v="7"/>
    <s v="Program Office-Cordination Manager"/>
    <x v="5"/>
    <d v="2022-02-06T08:53:26"/>
    <x v="171"/>
    <x v="55"/>
    <n v="3"/>
    <d v="2022-02-15T08:53:26"/>
    <s v="Yes"/>
    <d v="2022-02-21T08:53:26"/>
    <x v="0"/>
    <x v="3"/>
    <m/>
    <m/>
    <m/>
    <m/>
    <d v="2022-02-22T08:53:26"/>
    <m/>
    <x v="0"/>
    <m/>
    <m/>
    <m/>
    <m/>
    <s v="Company"/>
    <m/>
    <s v="C1239"/>
    <s v="Candidate_239"/>
    <s v="08/02/2022"/>
    <x v="2"/>
    <s v="Job Board"/>
    <n v="3"/>
    <m/>
    <x v="0"/>
    <m/>
    <m/>
    <x v="0"/>
    <x v="0"/>
    <m/>
    <x v="1"/>
    <x v="0"/>
  </r>
  <r>
    <n v="1971"/>
    <s v="1971 | Program Office"/>
    <x v="4"/>
    <x v="1"/>
    <x v="5"/>
    <x v="7"/>
    <s v="Program Office-Cordination Manager"/>
    <x v="5"/>
    <d v="2022-10-22T11:57:41"/>
    <x v="91"/>
    <x v="24"/>
    <n v="4"/>
    <d v="2022-11-14T11:57:41"/>
    <s v="Yes"/>
    <d v="2022-11-06T11:57:41"/>
    <x v="0"/>
    <x v="3"/>
    <m/>
    <m/>
    <m/>
    <m/>
    <m/>
    <m/>
    <x v="0"/>
    <m/>
    <m/>
    <m/>
    <m/>
    <s v="Candidate"/>
    <m/>
    <s v="C1240"/>
    <s v="Candidate_240"/>
    <s v="18/10/2022"/>
    <x v="2"/>
    <s v="Job Board"/>
    <n v="6"/>
    <m/>
    <x v="0"/>
    <m/>
    <m/>
    <x v="0"/>
    <x v="0"/>
    <m/>
    <x v="1"/>
    <x v="0"/>
  </r>
  <r>
    <n v="1859"/>
    <s v="1859 | Program Office"/>
    <x v="5"/>
    <x v="1"/>
    <x v="5"/>
    <x v="7"/>
    <s v="Program Office-Cordination Manager"/>
    <x v="5"/>
    <d v="2022-11-13T01:50:58"/>
    <x v="0"/>
    <x v="57"/>
    <n v="4"/>
    <d v="2022-12-13T01:50:58"/>
    <s v="Yes"/>
    <d v="2022-11-27T01:50:58"/>
    <x v="0"/>
    <x v="4"/>
    <m/>
    <m/>
    <m/>
    <m/>
    <m/>
    <m/>
    <x v="0"/>
    <m/>
    <m/>
    <m/>
    <m/>
    <s v="Candidate"/>
    <m/>
    <s v="C1241"/>
    <s v="Candidate_241"/>
    <s v="11/11/2022"/>
    <x v="2"/>
    <s v="Job Board"/>
    <n v="6"/>
    <m/>
    <x v="0"/>
    <m/>
    <m/>
    <x v="0"/>
    <x v="0"/>
    <m/>
    <x v="0"/>
    <x v="0"/>
  </r>
  <r>
    <n v="1856"/>
    <s v="1856 | Program Office"/>
    <x v="3"/>
    <x v="1"/>
    <x v="5"/>
    <x v="7"/>
    <s v="Program Office-Cordination Manager"/>
    <x v="5"/>
    <d v="2022-11-13T01:50:58"/>
    <x v="172"/>
    <x v="57"/>
    <n v="4"/>
    <d v="2022-12-05T01:50:58"/>
    <s v="Yes"/>
    <d v="2022-12-01T01:50:58"/>
    <x v="3"/>
    <x v="1"/>
    <d v="2022-12-05T01:50:58"/>
    <s v="Accepted"/>
    <d v="2022-12-02T01:50:58"/>
    <d v="2022-12-03T01:50:58"/>
    <d v="2022-12-03T01:50:58"/>
    <d v="2022-12-08T01:50:58"/>
    <x v="1"/>
    <d v="2022-12-12T01:50:58"/>
    <d v="2022-12-13T01:50:58"/>
    <d v="2022-12-16T01:50:58"/>
    <m/>
    <m/>
    <d v="2022-12-23T01:50:58"/>
    <s v="C1242"/>
    <s v="Candidate_242"/>
    <s v="Nov 22 2022"/>
    <x v="0"/>
    <s v="Referral"/>
    <n v="6"/>
    <m/>
    <x v="0"/>
    <m/>
    <m/>
    <x v="0"/>
    <x v="0"/>
    <m/>
    <x v="33"/>
    <x v="0"/>
  </r>
  <r>
    <n v="1812"/>
    <s v="1812 | Program Office"/>
    <x v="4"/>
    <x v="1"/>
    <x v="5"/>
    <x v="7"/>
    <s v="Program Office-Cordination Manager"/>
    <x v="5"/>
    <d v="2022-09-18T04:28:24"/>
    <x v="0"/>
    <x v="25"/>
    <n v="7"/>
    <d v="2022-10-05T04:28:24"/>
    <s v="Yes"/>
    <d v="2022-10-04T04:28:24"/>
    <x v="4"/>
    <x v="1"/>
    <d v="2022-10-06T04:28:24"/>
    <s v="Pending"/>
    <m/>
    <m/>
    <d v="2022-10-05T04:28:24"/>
    <m/>
    <x v="0"/>
    <m/>
    <m/>
    <m/>
    <m/>
    <m/>
    <m/>
    <s v="C1243"/>
    <s v="Candidate_243"/>
    <s v="Sep 23 2022"/>
    <x v="2"/>
    <s v="Job Board"/>
    <n v="6"/>
    <m/>
    <x v="0"/>
    <m/>
    <m/>
    <x v="0"/>
    <x v="0"/>
    <m/>
    <x v="0"/>
    <x v="0"/>
  </r>
  <r>
    <n v="1811"/>
    <s v="1811 | Program Office"/>
    <x v="4"/>
    <x v="1"/>
    <x v="5"/>
    <x v="7"/>
    <s v="Program Office-Cordination Manager"/>
    <x v="5"/>
    <d v="2022-09-17T04:28:24"/>
    <x v="173"/>
    <x v="25"/>
    <n v="8"/>
    <d v="2022-10-10T04:28:24"/>
    <s v="Yes"/>
    <d v="2022-10-01T04:28:24"/>
    <x v="0"/>
    <x v="4"/>
    <m/>
    <m/>
    <m/>
    <m/>
    <m/>
    <m/>
    <x v="0"/>
    <m/>
    <m/>
    <m/>
    <m/>
    <s v="Candidate"/>
    <m/>
    <s v="C1244"/>
    <s v="Candidate_244"/>
    <s v="25/09/2022"/>
    <x v="2"/>
    <s v="Job Board"/>
    <n v="3"/>
    <m/>
    <x v="0"/>
    <m/>
    <m/>
    <x v="0"/>
    <x v="0"/>
    <m/>
    <x v="1"/>
    <x v="0"/>
  </r>
  <r>
    <n v="1808"/>
    <s v="1808 | Program Office"/>
    <x v="4"/>
    <x v="1"/>
    <x v="5"/>
    <x v="7"/>
    <s v="Program Office-Cordination Manager"/>
    <x v="5"/>
    <d v="2023-07-11T00:25:30"/>
    <x v="174"/>
    <x v="26"/>
    <n v="9"/>
    <d v="2023-08-02T00:25:30"/>
    <s v="Yes"/>
    <d v="2023-07-22T00:25:30"/>
    <x v="0"/>
    <x v="0"/>
    <m/>
    <m/>
    <m/>
    <m/>
    <m/>
    <m/>
    <x v="0"/>
    <m/>
    <m/>
    <m/>
    <m/>
    <s v="Candidate"/>
    <m/>
    <s v="C1245"/>
    <s v="Candidate_245"/>
    <s v="07-13-2023"/>
    <x v="2"/>
    <s v="Job Board"/>
    <n v="6"/>
    <m/>
    <x v="0"/>
    <m/>
    <m/>
    <x v="0"/>
    <x v="0"/>
    <m/>
    <x v="1"/>
    <x v="0"/>
  </r>
  <r>
    <n v="1802"/>
    <s v="1802 | Program Office"/>
    <x v="5"/>
    <x v="1"/>
    <x v="5"/>
    <x v="7"/>
    <s v="Program Office-Cordination Manager"/>
    <x v="5"/>
    <d v="2023-07-18T00:25:30"/>
    <x v="175"/>
    <x v="26"/>
    <n v="2"/>
    <d v="2023-08-09T00:25:30"/>
    <s v="Yes"/>
    <d v="2023-07-24T00:25:30"/>
    <x v="3"/>
    <x v="1"/>
    <d v="2023-07-30T00:25:30"/>
    <s v="Accepted"/>
    <d v="2023-07-25T00:25:30"/>
    <d v="2023-07-27T00:25:30"/>
    <d v="2023-07-28T00:25:30"/>
    <d v="2023-07-29T00:25:30"/>
    <x v="1"/>
    <d v="2023-08-01T00:25:30"/>
    <d v="2023-08-02T00:25:30"/>
    <d v="2023-08-05T00:25:30"/>
    <m/>
    <m/>
    <d v="2023-08-17T00:25:30"/>
    <s v="C1246"/>
    <s v="Candidate_246"/>
    <s v="Jul 08 2023"/>
    <x v="2"/>
    <s v="Job Board"/>
    <n v="6"/>
    <m/>
    <x v="0"/>
    <m/>
    <m/>
    <x v="0"/>
    <x v="0"/>
    <m/>
    <x v="34"/>
    <x v="0"/>
  </r>
  <r>
    <n v="1794"/>
    <s v="1794 | Program Office"/>
    <x v="5"/>
    <x v="1"/>
    <x v="5"/>
    <x v="7"/>
    <s v="Program Office-Cordination Manager"/>
    <x v="5"/>
    <d v="2022-09-26T11:30:38"/>
    <x v="176"/>
    <x v="58"/>
    <n v="7"/>
    <d v="2022-10-24T11:30:38"/>
    <s v="Yes"/>
    <d v="2022-10-12T11:30:38"/>
    <x v="0"/>
    <x v="4"/>
    <m/>
    <m/>
    <m/>
    <m/>
    <d v="2022-10-16T11:30:38"/>
    <m/>
    <x v="0"/>
    <m/>
    <m/>
    <m/>
    <m/>
    <s v="Candidate"/>
    <m/>
    <s v="C1247"/>
    <s v="Candidate_247"/>
    <s v="09-23-2022"/>
    <x v="1"/>
    <s v="Linkedin"/>
    <n v="3"/>
    <m/>
    <x v="0"/>
    <m/>
    <m/>
    <x v="0"/>
    <x v="0"/>
    <m/>
    <x v="1"/>
    <x v="0"/>
  </r>
  <r>
    <n v="1792"/>
    <s v="1792 | Program Office"/>
    <x v="3"/>
    <x v="1"/>
    <x v="5"/>
    <x v="7"/>
    <s v="Program Office-Cordination Manager"/>
    <x v="5"/>
    <d v="2022-09-24T11:30:38"/>
    <x v="97"/>
    <x v="58"/>
    <n v="9"/>
    <d v="2022-10-26T11:30:38"/>
    <s v="No"/>
    <m/>
    <x v="2"/>
    <x v="1"/>
    <m/>
    <m/>
    <m/>
    <m/>
    <m/>
    <m/>
    <x v="0"/>
    <m/>
    <m/>
    <m/>
    <m/>
    <m/>
    <m/>
    <s v="C1248"/>
    <s v="Candidate_248"/>
    <m/>
    <x v="1"/>
    <s v="Linkedin"/>
    <n v="3"/>
    <m/>
    <x v="0"/>
    <m/>
    <m/>
    <x v="0"/>
    <x v="0"/>
    <m/>
    <x v="1"/>
    <x v="0"/>
  </r>
  <r>
    <n v="1681"/>
    <s v="1681 | Program Office"/>
    <x v="3"/>
    <x v="1"/>
    <x v="5"/>
    <x v="7"/>
    <s v="Program Office-Cordination Manager"/>
    <x v="5"/>
    <d v="2022-04-13T06:44:01"/>
    <x v="42"/>
    <x v="84"/>
    <n v="2"/>
    <d v="2022-05-05T06:44:01"/>
    <s v="Yes"/>
    <d v="2022-04-26T06:44:01"/>
    <x v="0"/>
    <x v="3"/>
    <m/>
    <m/>
    <m/>
    <m/>
    <d v="2022-04-27T06:44:01"/>
    <m/>
    <x v="0"/>
    <m/>
    <m/>
    <m/>
    <m/>
    <s v="Candidate"/>
    <m/>
    <s v="C1249"/>
    <s v="Candidate_249"/>
    <s v="04-17-2022"/>
    <x v="0"/>
    <s v="Referral"/>
    <n v="3"/>
    <m/>
    <x v="0"/>
    <m/>
    <m/>
    <x v="0"/>
    <x v="0"/>
    <m/>
    <x v="1"/>
    <x v="0"/>
  </r>
  <r>
    <n v="1670"/>
    <s v="1670 | Program Office"/>
    <x v="3"/>
    <x v="1"/>
    <x v="5"/>
    <x v="7"/>
    <s v="Program Office-Cordination Manager"/>
    <x v="5"/>
    <d v="2022-04-23T22:26:54"/>
    <x v="0"/>
    <x v="85"/>
    <n v="4"/>
    <d v="2022-05-07T22:26:54"/>
    <s v="No"/>
    <m/>
    <x v="2"/>
    <x v="1"/>
    <m/>
    <m/>
    <m/>
    <m/>
    <m/>
    <m/>
    <x v="0"/>
    <m/>
    <m/>
    <m/>
    <m/>
    <m/>
    <m/>
    <s v="C1250"/>
    <s v="Candidate_250"/>
    <m/>
    <x v="0"/>
    <s v="Referral"/>
    <n v="3"/>
    <m/>
    <x v="0"/>
    <m/>
    <m/>
    <x v="0"/>
    <x v="0"/>
    <m/>
    <x v="0"/>
    <x v="0"/>
  </r>
  <r>
    <n v="1666"/>
    <s v="1666 | Program Office"/>
    <x v="3"/>
    <x v="1"/>
    <x v="5"/>
    <x v="7"/>
    <s v="Program Office-Cordination Manager"/>
    <x v="5"/>
    <d v="2022-04-22T22:26:54"/>
    <x v="177"/>
    <x v="85"/>
    <n v="5"/>
    <d v="2022-05-20T22:26:54"/>
    <s v="Yes"/>
    <d v="2022-05-15T22:26:54"/>
    <x v="1"/>
    <x v="1"/>
    <d v="2022-05-20T22:26:54"/>
    <s v="Declined"/>
    <m/>
    <m/>
    <d v="2022-05-18T22:26:54"/>
    <m/>
    <x v="0"/>
    <m/>
    <m/>
    <m/>
    <m/>
    <m/>
    <m/>
    <s v="C1251"/>
    <s v="Candidate_251"/>
    <s v="05-03-2022"/>
    <x v="1"/>
    <s v="Linkedin"/>
    <n v="6"/>
    <m/>
    <x v="0"/>
    <m/>
    <m/>
    <x v="0"/>
    <x v="0"/>
    <m/>
    <x v="1"/>
    <x v="0"/>
  </r>
  <r>
    <n v="1663"/>
    <s v="1663 | Program Office"/>
    <x v="4"/>
    <x v="1"/>
    <x v="5"/>
    <x v="7"/>
    <s v="Program Office-Cordination Manager"/>
    <x v="5"/>
    <d v="2022-04-22T22:26:54"/>
    <x v="178"/>
    <x v="85"/>
    <n v="5"/>
    <d v="2022-05-25T22:26:54"/>
    <s v="Yes"/>
    <d v="2022-05-09T22:26:54"/>
    <x v="0"/>
    <x v="0"/>
    <m/>
    <m/>
    <m/>
    <m/>
    <m/>
    <m/>
    <x v="0"/>
    <m/>
    <m/>
    <m/>
    <m/>
    <s v="Company"/>
    <m/>
    <s v="C1252"/>
    <s v="Candidate_252"/>
    <s v="22/04/2022"/>
    <x v="1"/>
    <s v="Linkedin"/>
    <n v="3"/>
    <m/>
    <x v="0"/>
    <m/>
    <m/>
    <x v="0"/>
    <x v="0"/>
    <m/>
    <x v="1"/>
    <x v="0"/>
  </r>
  <r>
    <n v="1662"/>
    <s v="1662 | Program Office"/>
    <x v="3"/>
    <x v="1"/>
    <x v="5"/>
    <x v="7"/>
    <s v="Program Office-Cordination Manager"/>
    <x v="5"/>
    <d v="2022-04-20T22:26:54"/>
    <x v="179"/>
    <x v="85"/>
    <n v="7"/>
    <d v="2022-05-12T22:26:54"/>
    <s v="Yes"/>
    <d v="2022-05-11T22:26:54"/>
    <x v="0"/>
    <x v="2"/>
    <m/>
    <m/>
    <m/>
    <m/>
    <d v="2022-05-13T22:26:54"/>
    <m/>
    <x v="0"/>
    <m/>
    <m/>
    <m/>
    <m/>
    <s v="Candidate"/>
    <m/>
    <s v="C1253"/>
    <s v="Candidate_253"/>
    <s v="04-28-2022"/>
    <x v="0"/>
    <s v="Referral"/>
    <n v="3"/>
    <m/>
    <x v="0"/>
    <m/>
    <m/>
    <x v="0"/>
    <x v="0"/>
    <m/>
    <x v="1"/>
    <x v="0"/>
  </r>
  <r>
    <n v="1447"/>
    <s v="1447 | Program Office"/>
    <x v="4"/>
    <x v="1"/>
    <x v="5"/>
    <x v="7"/>
    <s v="Program Office-Cordination Manager"/>
    <x v="5"/>
    <d v="2023-03-29T10:15:10"/>
    <x v="0"/>
    <x v="59"/>
    <n v="5"/>
    <d v="2023-04-29T10:15:10"/>
    <s v="Yes"/>
    <d v="2023-04-16T10:15:10"/>
    <x v="3"/>
    <x v="1"/>
    <d v="2023-04-23T10:15:10"/>
    <s v="Accepted"/>
    <d v="2023-04-18T10:15:10"/>
    <d v="2023-04-21T10:15:10"/>
    <d v="2023-04-20T10:15:10"/>
    <d v="2023-04-22T10:15:10"/>
    <x v="1"/>
    <d v="2023-04-23T10:15:10"/>
    <d v="2023-04-25T10:15:10"/>
    <d v="2023-04-28T10:15:10"/>
    <m/>
    <m/>
    <d v="2023-05-15T10:15:10"/>
    <s v="C1254"/>
    <s v="Candidate_254"/>
    <s v="03-29-2023"/>
    <x v="0"/>
    <s v="Referral"/>
    <n v="6"/>
    <m/>
    <x v="0"/>
    <m/>
    <m/>
    <x v="0"/>
    <x v="0"/>
    <m/>
    <x v="0"/>
    <x v="0"/>
  </r>
  <r>
    <n v="1446"/>
    <s v="1446 | Program Office"/>
    <x v="5"/>
    <x v="1"/>
    <x v="5"/>
    <x v="7"/>
    <s v="Program Office-Cordination Manager"/>
    <x v="5"/>
    <d v="2023-03-30T10:15:10"/>
    <x v="180"/>
    <x v="4"/>
    <n v="-45015.427199074067"/>
    <d v="2023-05-02T10:15:10"/>
    <s v="No"/>
    <m/>
    <x v="2"/>
    <x v="1"/>
    <m/>
    <m/>
    <m/>
    <m/>
    <m/>
    <m/>
    <x v="0"/>
    <m/>
    <m/>
    <m/>
    <m/>
    <m/>
    <m/>
    <s v="C1255"/>
    <s v="Candidate_255"/>
    <m/>
    <x v="1"/>
    <s v="Linkedin"/>
    <n v="6"/>
    <m/>
    <x v="0"/>
    <m/>
    <m/>
    <x v="0"/>
    <x v="0"/>
    <m/>
    <x v="0"/>
    <x v="0"/>
  </r>
  <r>
    <n v="1410"/>
    <s v="1410 | Program Office"/>
    <x v="4"/>
    <x v="1"/>
    <x v="5"/>
    <x v="7"/>
    <s v="Program Office-Cordination Manager"/>
    <x v="5"/>
    <d v="2022-02-22T07:21:21"/>
    <x v="43"/>
    <x v="61"/>
    <n v="5"/>
    <d v="2022-03-05T07:21:21"/>
    <s v="Yes"/>
    <d v="2022-03-07T07:21:21"/>
    <x v="0"/>
    <x v="2"/>
    <m/>
    <m/>
    <m/>
    <m/>
    <m/>
    <m/>
    <x v="0"/>
    <m/>
    <m/>
    <m/>
    <m/>
    <s v="Candidate"/>
    <m/>
    <s v="C1256"/>
    <s v="Candidate_256"/>
    <s v="Feb 24 2022"/>
    <x v="1"/>
    <s v="Linkedin"/>
    <n v="3"/>
    <m/>
    <x v="0"/>
    <m/>
    <m/>
    <x v="0"/>
    <x v="0"/>
    <m/>
    <x v="1"/>
    <x v="0"/>
  </r>
  <r>
    <n v="1382"/>
    <s v="1382 | Program Office"/>
    <x v="3"/>
    <x v="1"/>
    <x v="5"/>
    <x v="7"/>
    <s v="Program Office-Cordination Manager"/>
    <x v="5"/>
    <d v="2023-04-26T17:36:15"/>
    <x v="181"/>
    <x v="27"/>
    <n v="4"/>
    <d v="2023-05-29T17:36:15"/>
    <s v="Yes"/>
    <d v="2023-05-07T17:36:15"/>
    <x v="0"/>
    <x v="4"/>
    <m/>
    <m/>
    <m/>
    <m/>
    <d v="2023-05-11T17:36:15"/>
    <m/>
    <x v="0"/>
    <m/>
    <m/>
    <m/>
    <m/>
    <s v="Candidate"/>
    <m/>
    <s v="C1257"/>
    <s v="Candidate_257"/>
    <s v="28/04/2023"/>
    <x v="2"/>
    <s v="Job Board"/>
    <n v="3"/>
    <m/>
    <x v="0"/>
    <m/>
    <m/>
    <x v="0"/>
    <x v="0"/>
    <m/>
    <x v="1"/>
    <x v="0"/>
  </r>
  <r>
    <n v="1328"/>
    <s v="1328 | Program Office"/>
    <x v="5"/>
    <x v="1"/>
    <x v="5"/>
    <x v="7"/>
    <s v="Program Office-Cordination Manager"/>
    <x v="5"/>
    <m/>
    <x v="182"/>
    <x v="28"/>
    <n v="45166.187118055554"/>
    <d v="2023-09-11T04:29:27"/>
    <s v="Yes"/>
    <d v="2023-08-31T04:29:27"/>
    <x v="0"/>
    <x v="4"/>
    <m/>
    <m/>
    <m/>
    <m/>
    <d v="2023-09-02T04:29:27"/>
    <m/>
    <x v="0"/>
    <m/>
    <m/>
    <m/>
    <m/>
    <s v="Candidate"/>
    <m/>
    <s v="C1258"/>
    <s v="Candidate_258"/>
    <s v="Aug 16 2023"/>
    <x v="1"/>
    <s v="Linkedin"/>
    <n v="6"/>
    <m/>
    <x v="0"/>
    <m/>
    <m/>
    <x v="0"/>
    <x v="0"/>
    <m/>
    <x v="0"/>
    <x v="0"/>
  </r>
  <r>
    <n v="1327"/>
    <s v="1327 | Program Office"/>
    <x v="4"/>
    <x v="1"/>
    <x v="5"/>
    <x v="7"/>
    <s v="Program Office-Cordination Manager"/>
    <x v="5"/>
    <m/>
    <x v="0"/>
    <x v="28"/>
    <n v="45166.187118055554"/>
    <d v="2023-09-19T04:29:27"/>
    <s v="No"/>
    <m/>
    <x v="2"/>
    <x v="1"/>
    <m/>
    <m/>
    <m/>
    <m/>
    <m/>
    <m/>
    <x v="0"/>
    <m/>
    <m/>
    <m/>
    <m/>
    <m/>
    <m/>
    <s v="C1259"/>
    <s v="Candidate_259"/>
    <m/>
    <x v="0"/>
    <s v="Referral"/>
    <n v="3"/>
    <m/>
    <x v="0"/>
    <m/>
    <m/>
    <x v="0"/>
    <x v="0"/>
    <m/>
    <x v="0"/>
    <x v="0"/>
  </r>
  <r>
    <n v="1298"/>
    <s v="1298 | Program Office"/>
    <x v="3"/>
    <x v="1"/>
    <x v="5"/>
    <x v="7"/>
    <s v="Program Office-Cordination Manager"/>
    <x v="5"/>
    <d v="2023-06-14T16:08:44"/>
    <x v="46"/>
    <x v="29"/>
    <n v="5"/>
    <d v="2023-07-02T16:08:44"/>
    <s v="Yes"/>
    <d v="2023-07-01T16:08:44"/>
    <x v="0"/>
    <x v="5"/>
    <m/>
    <m/>
    <m/>
    <m/>
    <m/>
    <m/>
    <x v="0"/>
    <m/>
    <m/>
    <m/>
    <m/>
    <s v="Company"/>
    <m/>
    <s v="C1260"/>
    <s v="Candidate_260"/>
    <s v="06-12-2023"/>
    <x v="0"/>
    <s v="Referral"/>
    <n v="3"/>
    <m/>
    <x v="0"/>
    <m/>
    <m/>
    <x v="0"/>
    <x v="0"/>
    <m/>
    <x v="1"/>
    <x v="0"/>
  </r>
  <r>
    <n v="1291"/>
    <s v="1291 | Program Office"/>
    <x v="4"/>
    <x v="1"/>
    <x v="5"/>
    <x v="7"/>
    <s v="Program Office-Cordination Manager"/>
    <x v="5"/>
    <d v="2023-06-15T16:08:44"/>
    <x v="183"/>
    <x v="29"/>
    <n v="4"/>
    <d v="2023-06-24T16:08:44"/>
    <s v="Yes"/>
    <d v="2023-06-27T16:08:44"/>
    <x v="0"/>
    <x v="5"/>
    <m/>
    <m/>
    <m/>
    <m/>
    <d v="2023-06-28T16:08:44"/>
    <m/>
    <x v="0"/>
    <m/>
    <m/>
    <m/>
    <m/>
    <s v="Candidate"/>
    <m/>
    <s v="C1261"/>
    <s v="Candidate_261"/>
    <s v="20/06/2023"/>
    <x v="1"/>
    <s v="Linkedin"/>
    <n v="3"/>
    <m/>
    <x v="0"/>
    <m/>
    <m/>
    <x v="0"/>
    <x v="0"/>
    <m/>
    <x v="1"/>
    <x v="0"/>
  </r>
  <r>
    <n v="1157"/>
    <s v="1157 | Program Office"/>
    <x v="5"/>
    <x v="1"/>
    <x v="5"/>
    <x v="7"/>
    <s v="Program Office-Cordination Manager"/>
    <x v="5"/>
    <d v="2022-03-18T19:24:36"/>
    <x v="184"/>
    <x v="62"/>
    <n v="6"/>
    <d v="2022-04-13T19:24:36"/>
    <s v="Yes"/>
    <d v="2022-04-05T19:24:36"/>
    <x v="0"/>
    <x v="3"/>
    <m/>
    <m/>
    <m/>
    <m/>
    <d v="2022-04-08T19:24:36"/>
    <m/>
    <x v="0"/>
    <m/>
    <m/>
    <m/>
    <m/>
    <s v="Company"/>
    <m/>
    <s v="C1262"/>
    <s v="Candidate_262"/>
    <s v="Mar 26 2022"/>
    <x v="2"/>
    <s v="Job Board"/>
    <n v="6"/>
    <m/>
    <x v="0"/>
    <m/>
    <m/>
    <x v="0"/>
    <x v="0"/>
    <m/>
    <x v="1"/>
    <x v="0"/>
  </r>
  <r>
    <n v="1155"/>
    <s v="1155 | Program Office"/>
    <x v="5"/>
    <x v="1"/>
    <x v="5"/>
    <x v="7"/>
    <s v="Program Office-Cordination Manager"/>
    <x v="5"/>
    <m/>
    <x v="185"/>
    <x v="62"/>
    <n v="44644.808749999997"/>
    <d v="2022-04-08T19:24:36"/>
    <s v="Yes"/>
    <d v="2022-03-29T19:24:36"/>
    <x v="1"/>
    <x v="1"/>
    <d v="2022-04-04T19:24:36"/>
    <s v="Declined"/>
    <m/>
    <m/>
    <d v="2022-04-01T19:24:36"/>
    <m/>
    <x v="0"/>
    <m/>
    <m/>
    <m/>
    <m/>
    <m/>
    <m/>
    <s v="C1263"/>
    <s v="Candidate_263"/>
    <s v="03-16-2022"/>
    <x v="1"/>
    <s v="Linkedin"/>
    <n v="6"/>
    <m/>
    <x v="0"/>
    <m/>
    <m/>
    <x v="0"/>
    <x v="0"/>
    <m/>
    <x v="0"/>
    <x v="0"/>
  </r>
  <r>
    <n v="1154"/>
    <s v="1154 | Program Office"/>
    <x v="4"/>
    <x v="1"/>
    <x v="5"/>
    <x v="7"/>
    <s v="Program Office-Cordination Manager"/>
    <x v="5"/>
    <d v="2022-03-18T19:24:36"/>
    <x v="0"/>
    <x v="62"/>
    <n v="6"/>
    <d v="2022-04-21T19:24:36"/>
    <s v="Yes"/>
    <d v="2022-04-02T19:24:36"/>
    <x v="1"/>
    <x v="1"/>
    <d v="2022-04-10T19:24:36"/>
    <s v="Declined"/>
    <m/>
    <m/>
    <d v="2022-04-06T19:24:36"/>
    <m/>
    <x v="0"/>
    <m/>
    <m/>
    <m/>
    <m/>
    <m/>
    <m/>
    <s v="C1264"/>
    <s v="Candidate_264"/>
    <s v="03-19-2022"/>
    <x v="2"/>
    <s v="Job Board"/>
    <n v="3"/>
    <m/>
    <x v="0"/>
    <m/>
    <m/>
    <x v="0"/>
    <x v="0"/>
    <m/>
    <x v="0"/>
    <x v="0"/>
  </r>
  <r>
    <n v="1152"/>
    <s v="1152 | Program Office"/>
    <x v="3"/>
    <x v="1"/>
    <x v="5"/>
    <x v="7"/>
    <s v="Program Office-Cordination Manager"/>
    <x v="5"/>
    <d v="2022-03-15T19:24:36"/>
    <x v="186"/>
    <x v="62"/>
    <n v="9"/>
    <d v="2022-04-10T19:24:36"/>
    <s v="Yes"/>
    <d v="2022-04-07T19:24:36"/>
    <x v="4"/>
    <x v="1"/>
    <d v="2022-04-14T19:24:36"/>
    <s v="Pending"/>
    <m/>
    <m/>
    <d v="2022-04-11T19:24:36"/>
    <m/>
    <x v="0"/>
    <m/>
    <m/>
    <m/>
    <m/>
    <m/>
    <m/>
    <s v="C1265"/>
    <s v="Candidate_265"/>
    <s v="Mar 19 2022"/>
    <x v="1"/>
    <s v="Linkedin"/>
    <n v="3"/>
    <m/>
    <x v="0"/>
    <m/>
    <m/>
    <x v="0"/>
    <x v="0"/>
    <m/>
    <x v="1"/>
    <x v="0"/>
  </r>
  <r>
    <n v="1151"/>
    <s v="1151 | Program Office"/>
    <x v="5"/>
    <x v="1"/>
    <x v="5"/>
    <x v="7"/>
    <s v="Program Office-Cordination Manager"/>
    <x v="5"/>
    <d v="2022-03-17T19:24:36"/>
    <x v="185"/>
    <x v="62"/>
    <n v="7"/>
    <d v="2022-04-15T19:24:36"/>
    <s v="Yes"/>
    <d v="2022-04-08T19:24:36"/>
    <x v="1"/>
    <x v="1"/>
    <d v="2022-04-13T19:24:36"/>
    <s v="Declined"/>
    <m/>
    <m/>
    <d v="2022-04-12T19:24:36"/>
    <m/>
    <x v="0"/>
    <m/>
    <m/>
    <m/>
    <m/>
    <m/>
    <m/>
    <s v="C1266"/>
    <s v="Candidate_266"/>
    <s v="04-01-2022"/>
    <x v="1"/>
    <s v="Linkedin"/>
    <n v="6"/>
    <m/>
    <x v="0"/>
    <m/>
    <m/>
    <x v="0"/>
    <x v="0"/>
    <m/>
    <x v="1"/>
    <x v="0"/>
  </r>
  <r>
    <n v="1000"/>
    <s v="1000 | Program Office"/>
    <x v="3"/>
    <x v="1"/>
    <x v="5"/>
    <x v="7"/>
    <s v="Program Office-Cordination Manager"/>
    <x v="5"/>
    <d v="2023-03-30T20:36:08"/>
    <x v="187"/>
    <x v="63"/>
    <n v="5"/>
    <d v="2023-05-02T20:36:08"/>
    <s v="Yes"/>
    <d v="2023-04-17T20:36:08"/>
    <x v="1"/>
    <x v="1"/>
    <d v="2023-04-23T20:36:08"/>
    <s v="Declined"/>
    <m/>
    <m/>
    <d v="2023-04-21T20:36:08"/>
    <m/>
    <x v="0"/>
    <m/>
    <m/>
    <m/>
    <m/>
    <m/>
    <m/>
    <s v="C1267"/>
    <s v="Candidate_267"/>
    <s v="Mar 29 2023"/>
    <x v="0"/>
    <s v="Referral"/>
    <n v="3"/>
    <m/>
    <x v="0"/>
    <m/>
    <m/>
    <x v="0"/>
    <x v="0"/>
    <m/>
    <x v="1"/>
    <x v="0"/>
  </r>
  <r>
    <n v="992"/>
    <s v="992 | Program Office"/>
    <x v="5"/>
    <x v="1"/>
    <x v="5"/>
    <x v="7"/>
    <s v="Program Office-Cordination Manager"/>
    <x v="5"/>
    <m/>
    <x v="187"/>
    <x v="63"/>
    <n v="45020.858425925922"/>
    <d v="2023-04-13T20:36:08"/>
    <s v="Yes"/>
    <d v="2023-04-08T20:36:08"/>
    <x v="0"/>
    <x v="4"/>
    <m/>
    <m/>
    <m/>
    <m/>
    <m/>
    <m/>
    <x v="0"/>
    <m/>
    <m/>
    <m/>
    <m/>
    <s v="Company"/>
    <m/>
    <s v="C1268"/>
    <s v="Candidate_268"/>
    <s v="Mar 25 2023"/>
    <x v="2"/>
    <s v="Job Board"/>
    <n v="3"/>
    <m/>
    <x v="0"/>
    <m/>
    <m/>
    <x v="0"/>
    <x v="0"/>
    <m/>
    <x v="0"/>
    <x v="0"/>
  </r>
  <r>
    <n v="991"/>
    <s v="991 | Program Office"/>
    <x v="4"/>
    <x v="1"/>
    <x v="5"/>
    <x v="7"/>
    <s v="Program Office-Cordination Manager"/>
    <x v="5"/>
    <d v="2023-03-25T20:36:08"/>
    <x v="188"/>
    <x v="63"/>
    <n v="10"/>
    <d v="2023-04-10T20:36:08"/>
    <s v="Yes"/>
    <d v="2023-04-15T20:36:08"/>
    <x v="3"/>
    <x v="1"/>
    <d v="2023-04-18T20:36:08"/>
    <s v="Accepted"/>
    <d v="2023-04-17T20:36:08"/>
    <d v="2023-04-21T20:36:08"/>
    <d v="2023-04-17T20:36:08"/>
    <d v="2023-04-24T20:36:08"/>
    <x v="1"/>
    <d v="2023-04-26T20:36:08"/>
    <d v="2023-04-28T20:36:08"/>
    <d v="2023-04-29T20:36:08"/>
    <m/>
    <m/>
    <d v="2023-05-14T20:36:08"/>
    <s v="C1269"/>
    <s v="Candidate_269"/>
    <s v="04-10-2023"/>
    <x v="1"/>
    <s v="Linkedin"/>
    <n v="6"/>
    <m/>
    <x v="0"/>
    <m/>
    <m/>
    <x v="0"/>
    <x v="0"/>
    <m/>
    <x v="35"/>
    <x v="0"/>
  </r>
  <r>
    <n v="957"/>
    <s v="957 | Program Office"/>
    <x v="4"/>
    <x v="1"/>
    <x v="5"/>
    <x v="7"/>
    <s v="Program Office-Cordination Manager"/>
    <x v="5"/>
    <d v="2023-08-03T23:55:51"/>
    <x v="109"/>
    <x v="64"/>
    <n v="6"/>
    <d v="2023-08-23T23:55:51"/>
    <s v="Yes"/>
    <d v="2023-08-23T23:55:51"/>
    <x v="3"/>
    <x v="1"/>
    <d v="2023-08-30T23:55:51"/>
    <s v="Accepted"/>
    <d v="2023-08-25T23:55:51"/>
    <d v="2023-08-28T23:55:51"/>
    <d v="2023-08-26T23:55:51"/>
    <d v="2023-09-01T23:55:51"/>
    <x v="1"/>
    <d v="2023-09-05T23:55:51"/>
    <d v="2023-09-08T23:55:51"/>
    <d v="2023-09-09T23:55:51"/>
    <m/>
    <m/>
    <d v="2023-09-21T23:55:51"/>
    <s v="C1270"/>
    <s v="Candidate_270"/>
    <s v="08-10-2023"/>
    <x v="0"/>
    <s v="Referral"/>
    <n v="3"/>
    <m/>
    <x v="0"/>
    <m/>
    <m/>
    <x v="0"/>
    <x v="0"/>
    <m/>
    <x v="36"/>
    <x v="0"/>
  </r>
  <r>
    <n v="956"/>
    <s v="956 | Program Office"/>
    <x v="5"/>
    <x v="1"/>
    <x v="5"/>
    <x v="7"/>
    <s v="Program Office-Cordination Manager"/>
    <x v="5"/>
    <d v="2023-08-03T23:55:51"/>
    <x v="108"/>
    <x v="64"/>
    <n v="6"/>
    <d v="2023-09-06T23:55:51"/>
    <s v="Yes"/>
    <d v="2023-08-14T23:55:51"/>
    <x v="0"/>
    <x v="4"/>
    <m/>
    <m/>
    <m/>
    <m/>
    <d v="2023-08-15T23:55:51"/>
    <m/>
    <x v="0"/>
    <m/>
    <m/>
    <m/>
    <m/>
    <s v="Company"/>
    <m/>
    <s v="C1271"/>
    <s v="Candidate_271"/>
    <s v="Aug 09 2023"/>
    <x v="1"/>
    <s v="Linkedin"/>
    <n v="3"/>
    <m/>
    <x v="0"/>
    <m/>
    <m/>
    <x v="0"/>
    <x v="0"/>
    <m/>
    <x v="1"/>
    <x v="0"/>
  </r>
  <r>
    <n v="948"/>
    <s v="948 | Program Office"/>
    <x v="4"/>
    <x v="1"/>
    <x v="5"/>
    <x v="7"/>
    <s v="Program Office-Cordination Manager"/>
    <x v="5"/>
    <d v="2022-10-30T01:02:01"/>
    <x v="189"/>
    <x v="65"/>
    <n v="4"/>
    <d v="2022-11-12T01:02:01"/>
    <s v="No"/>
    <m/>
    <x v="2"/>
    <x v="1"/>
    <m/>
    <m/>
    <m/>
    <m/>
    <m/>
    <m/>
    <x v="0"/>
    <m/>
    <m/>
    <m/>
    <m/>
    <m/>
    <m/>
    <s v="C1272"/>
    <s v="Candidate_272"/>
    <m/>
    <x v="0"/>
    <s v="Referral"/>
    <n v="3"/>
    <m/>
    <x v="0"/>
    <m/>
    <m/>
    <x v="0"/>
    <x v="0"/>
    <m/>
    <x v="1"/>
    <x v="0"/>
  </r>
  <r>
    <n v="947"/>
    <s v="947 | Program Office"/>
    <x v="3"/>
    <x v="1"/>
    <x v="5"/>
    <x v="7"/>
    <s v="Program Office-Cordination Manager"/>
    <x v="5"/>
    <d v="2022-10-28T01:02:01"/>
    <x v="190"/>
    <x v="65"/>
    <n v="6"/>
    <d v="2022-11-30T01:02:01"/>
    <s v="Yes"/>
    <d v="2022-11-10T01:02:01"/>
    <x v="0"/>
    <x v="2"/>
    <m/>
    <m/>
    <m/>
    <m/>
    <d v="2022-11-11T01:02:01"/>
    <m/>
    <x v="0"/>
    <m/>
    <m/>
    <m/>
    <m/>
    <s v="Company"/>
    <m/>
    <s v="C1273"/>
    <s v="Candidate_273"/>
    <s v="Nov 03 2022"/>
    <x v="1"/>
    <s v="Linkedin"/>
    <n v="3"/>
    <m/>
    <x v="0"/>
    <m/>
    <m/>
    <x v="0"/>
    <x v="0"/>
    <m/>
    <x v="1"/>
    <x v="0"/>
  </r>
  <r>
    <n v="908"/>
    <s v="908 | Program Office"/>
    <x v="4"/>
    <x v="1"/>
    <x v="5"/>
    <x v="7"/>
    <s v="Program Office-Cordination Manager"/>
    <x v="5"/>
    <d v="2023-08-24T05:59:22"/>
    <x v="191"/>
    <x v="67"/>
    <n v="4"/>
    <d v="2023-09-07T05:59:22"/>
    <s v="Yes"/>
    <d v="2023-09-01T05:59:22"/>
    <x v="0"/>
    <x v="5"/>
    <m/>
    <m/>
    <m/>
    <m/>
    <d v="2023-09-02T05:59:22"/>
    <m/>
    <x v="0"/>
    <m/>
    <m/>
    <m/>
    <m/>
    <s v="Company"/>
    <m/>
    <s v="C1274"/>
    <s v="Candidate_274"/>
    <s v="18/08/2023"/>
    <x v="2"/>
    <s v="Job Board"/>
    <n v="3"/>
    <m/>
    <x v="0"/>
    <m/>
    <m/>
    <x v="0"/>
    <x v="0"/>
    <m/>
    <x v="1"/>
    <x v="0"/>
  </r>
  <r>
    <n v="903"/>
    <s v="903 | Program Office"/>
    <x v="5"/>
    <x v="1"/>
    <x v="5"/>
    <x v="7"/>
    <s v="Program Office-Cordination Manager"/>
    <x v="5"/>
    <d v="2023-08-22T05:59:22"/>
    <x v="192"/>
    <x v="4"/>
    <n v="-45160.249560185177"/>
    <d v="2023-09-10T05:59:22"/>
    <s v="No"/>
    <m/>
    <x v="2"/>
    <x v="1"/>
    <m/>
    <m/>
    <m/>
    <m/>
    <m/>
    <m/>
    <x v="0"/>
    <m/>
    <m/>
    <m/>
    <m/>
    <m/>
    <m/>
    <s v="C1275"/>
    <s v="Candidate_275"/>
    <m/>
    <x v="2"/>
    <s v="Job Board"/>
    <n v="3"/>
    <m/>
    <x v="0"/>
    <m/>
    <m/>
    <x v="0"/>
    <x v="0"/>
    <m/>
    <x v="0"/>
    <x v="0"/>
  </r>
  <r>
    <n v="838"/>
    <s v="838 | Program Office"/>
    <x v="5"/>
    <x v="1"/>
    <x v="5"/>
    <x v="7"/>
    <s v="Program Office-Cordination Manager"/>
    <x v="5"/>
    <d v="2022-07-11T16:58:11"/>
    <x v="193"/>
    <x v="68"/>
    <n v="7"/>
    <d v="2022-08-04T16:58:11"/>
    <s v="Yes"/>
    <d v="2022-08-05T16:58:11"/>
    <x v="1"/>
    <x v="1"/>
    <d v="2022-08-09T16:58:11"/>
    <s v="Declined"/>
    <m/>
    <m/>
    <d v="2022-08-07T16:58:11"/>
    <m/>
    <x v="0"/>
    <m/>
    <m/>
    <m/>
    <m/>
    <m/>
    <m/>
    <s v="C1276"/>
    <s v="Candidate_276"/>
    <s v="Jul 17 2022"/>
    <x v="2"/>
    <s v="Job Board"/>
    <n v="6"/>
    <m/>
    <x v="0"/>
    <m/>
    <m/>
    <x v="0"/>
    <x v="0"/>
    <m/>
    <x v="1"/>
    <x v="0"/>
  </r>
  <r>
    <n v="833"/>
    <s v="833 | Program Office"/>
    <x v="5"/>
    <x v="1"/>
    <x v="5"/>
    <x v="7"/>
    <s v="Program Office-Cordination Manager"/>
    <x v="5"/>
    <m/>
    <x v="194"/>
    <x v="68"/>
    <n v="44760.707071759258"/>
    <d v="2022-07-24T16:58:11"/>
    <s v="No"/>
    <m/>
    <x v="2"/>
    <x v="1"/>
    <m/>
    <m/>
    <m/>
    <m/>
    <m/>
    <m/>
    <x v="0"/>
    <m/>
    <m/>
    <m/>
    <m/>
    <m/>
    <m/>
    <s v="C1277"/>
    <s v="Candidate_277"/>
    <m/>
    <x v="2"/>
    <s v="Job Board"/>
    <n v="6"/>
    <m/>
    <x v="0"/>
    <m/>
    <m/>
    <x v="0"/>
    <x v="0"/>
    <m/>
    <x v="0"/>
    <x v="0"/>
  </r>
  <r>
    <n v="829"/>
    <s v="829 | Program Office"/>
    <x v="5"/>
    <x v="1"/>
    <x v="5"/>
    <x v="7"/>
    <s v="Program Office-Cordination Manager"/>
    <x v="5"/>
    <d v="2022-03-04T15:00:29"/>
    <x v="195"/>
    <x v="69"/>
    <n v="7"/>
    <d v="2022-03-23T15:00:29"/>
    <s v="Yes"/>
    <d v="2022-03-27T15:00:29"/>
    <x v="3"/>
    <x v="1"/>
    <d v="2022-03-31T15:00:29"/>
    <s v="Accepted"/>
    <d v="2022-03-28T15:00:29"/>
    <d v="2022-04-01T15:00:29"/>
    <d v="2022-03-29T15:00:29"/>
    <d v="2022-04-03T15:00:29"/>
    <x v="1"/>
    <d v="2022-04-06T15:00:29"/>
    <d v="2022-04-08T15:00:29"/>
    <d v="2022-04-11T15:00:29"/>
    <m/>
    <m/>
    <d v="2022-04-24T15:00:29"/>
    <s v="C1278"/>
    <s v="Candidate_278"/>
    <s v="17/03/2022"/>
    <x v="2"/>
    <s v="Job Board"/>
    <n v="6"/>
    <m/>
    <x v="0"/>
    <m/>
    <m/>
    <x v="0"/>
    <x v="0"/>
    <m/>
    <x v="37"/>
    <x v="0"/>
  </r>
  <r>
    <n v="828"/>
    <s v="828 | Program Office"/>
    <x v="3"/>
    <x v="1"/>
    <x v="5"/>
    <x v="7"/>
    <s v="Program Office-Cordination Manager"/>
    <x v="5"/>
    <d v="2022-03-06T15:00:29"/>
    <x v="118"/>
    <x v="69"/>
    <n v="5"/>
    <d v="2022-03-29T15:00:29"/>
    <s v="Yes"/>
    <d v="2022-03-20T15:00:29"/>
    <x v="4"/>
    <x v="1"/>
    <d v="2022-03-24T15:00:29"/>
    <s v="Pending"/>
    <m/>
    <m/>
    <d v="2022-03-21T15:00:29"/>
    <m/>
    <x v="0"/>
    <m/>
    <m/>
    <m/>
    <m/>
    <m/>
    <m/>
    <s v="C1279"/>
    <s v="Candidate_279"/>
    <s v="10/03/2022"/>
    <x v="2"/>
    <s v="Job Board"/>
    <n v="6"/>
    <m/>
    <x v="0"/>
    <m/>
    <m/>
    <x v="0"/>
    <x v="0"/>
    <m/>
    <x v="1"/>
    <x v="0"/>
  </r>
  <r>
    <n v="826"/>
    <s v="826 | Program Office"/>
    <x v="5"/>
    <x v="1"/>
    <x v="5"/>
    <x v="7"/>
    <s v="Program Office-Cordination Manager"/>
    <x v="5"/>
    <d v="2022-03-06T15:00:29"/>
    <x v="118"/>
    <x v="69"/>
    <n v="5"/>
    <d v="2022-04-10T15:00:29"/>
    <s v="Yes"/>
    <d v="2022-03-26T15:00:29"/>
    <x v="3"/>
    <x v="1"/>
    <d v="2022-03-31T15:00:29"/>
    <s v="Accepted"/>
    <d v="2022-03-28T15:00:29"/>
    <d v="2022-04-01T15:00:29"/>
    <d v="2022-03-30T15:00:29"/>
    <d v="2022-04-03T15:00:29"/>
    <x v="1"/>
    <d v="2022-04-04T15:00:29"/>
    <d v="2022-04-06T15:00:29"/>
    <d v="2022-04-09T15:00:29"/>
    <m/>
    <m/>
    <d v="2022-04-20T15:00:29"/>
    <s v="C1280"/>
    <s v="Candidate_280"/>
    <s v="21/03/2022"/>
    <x v="1"/>
    <s v="Linkedin"/>
    <n v="3"/>
    <m/>
    <x v="0"/>
    <m/>
    <m/>
    <x v="0"/>
    <x v="0"/>
    <m/>
    <x v="38"/>
    <x v="0"/>
  </r>
  <r>
    <n v="799"/>
    <s v="799 | Program Office"/>
    <x v="3"/>
    <x v="1"/>
    <x v="5"/>
    <x v="7"/>
    <s v="Program Office-Cordination Manager"/>
    <x v="5"/>
    <d v="2022-12-10T16:11:24"/>
    <x v="196"/>
    <x v="4"/>
    <n v="-44905.674583333333"/>
    <d v="2022-12-29T16:11:24"/>
    <s v="Yes"/>
    <d v="2022-12-31T16:11:24"/>
    <x v="0"/>
    <x v="2"/>
    <m/>
    <m/>
    <m/>
    <m/>
    <m/>
    <m/>
    <x v="0"/>
    <m/>
    <m/>
    <m/>
    <m/>
    <s v="Company"/>
    <m/>
    <s v="C1281"/>
    <s v="Candidate_281"/>
    <s v="16/12/2022"/>
    <x v="0"/>
    <s v="Referral"/>
    <n v="6"/>
    <m/>
    <x v="0"/>
    <m/>
    <m/>
    <x v="0"/>
    <x v="0"/>
    <m/>
    <x v="0"/>
    <x v="0"/>
  </r>
  <r>
    <n v="769"/>
    <s v="769 | Program Office"/>
    <x v="5"/>
    <x v="1"/>
    <x v="5"/>
    <x v="7"/>
    <s v="Program Office-Cordination Manager"/>
    <x v="5"/>
    <d v="2022-06-14T17:40:03"/>
    <x v="123"/>
    <x v="71"/>
    <n v="7"/>
    <d v="2022-07-09T17:40:03"/>
    <s v="Yes"/>
    <d v="2022-07-04T17:40:03"/>
    <x v="4"/>
    <x v="1"/>
    <d v="2022-07-06T17:40:03"/>
    <s v="Pending"/>
    <m/>
    <m/>
    <d v="2022-07-05T17:40:03"/>
    <m/>
    <x v="0"/>
    <m/>
    <m/>
    <m/>
    <m/>
    <m/>
    <m/>
    <s v="C1282"/>
    <s v="Candidate_282"/>
    <s v="06-28-2022"/>
    <x v="0"/>
    <s v="Referral"/>
    <n v="3"/>
    <m/>
    <x v="0"/>
    <m/>
    <m/>
    <x v="0"/>
    <x v="0"/>
    <m/>
    <x v="1"/>
    <x v="0"/>
  </r>
  <r>
    <n v="768"/>
    <s v="768 | Program Office"/>
    <x v="4"/>
    <x v="1"/>
    <x v="5"/>
    <x v="7"/>
    <s v="Program Office-Cordination Manager"/>
    <x v="5"/>
    <d v="2022-06-17T17:40:03"/>
    <x v="197"/>
    <x v="4"/>
    <n v="-44729.736145833333"/>
    <d v="2022-07-21T17:40:03"/>
    <s v="Yes"/>
    <d v="2022-06-30T17:40:03"/>
    <x v="0"/>
    <x v="2"/>
    <m/>
    <m/>
    <m/>
    <m/>
    <d v="2022-07-03T17:40:03"/>
    <m/>
    <x v="0"/>
    <m/>
    <m/>
    <m/>
    <m/>
    <s v="Company"/>
    <m/>
    <s v="C1283"/>
    <s v="Candidate_283"/>
    <s v="Jun 21 2022"/>
    <x v="2"/>
    <s v="Job Board"/>
    <n v="3"/>
    <m/>
    <x v="0"/>
    <m/>
    <m/>
    <x v="0"/>
    <x v="0"/>
    <m/>
    <x v="0"/>
    <x v="0"/>
  </r>
  <r>
    <n v="764"/>
    <s v="764 | Program Office"/>
    <x v="3"/>
    <x v="1"/>
    <x v="5"/>
    <x v="7"/>
    <s v="Program Office-Cordination Manager"/>
    <x v="5"/>
    <d v="2022-06-12T17:40:03"/>
    <x v="198"/>
    <x v="71"/>
    <n v="9"/>
    <d v="2022-07-21T17:40:03"/>
    <s v="Yes"/>
    <d v="2022-06-25T17:40:03"/>
    <x v="0"/>
    <x v="4"/>
    <m/>
    <m/>
    <m/>
    <m/>
    <m/>
    <m/>
    <x v="0"/>
    <m/>
    <m/>
    <m/>
    <m/>
    <s v="Candidate"/>
    <m/>
    <s v="C1284"/>
    <s v="Candidate_284"/>
    <s v="Jun 10 2022"/>
    <x v="1"/>
    <s v="Linkedin"/>
    <n v="3"/>
    <m/>
    <x v="0"/>
    <m/>
    <m/>
    <x v="0"/>
    <x v="0"/>
    <m/>
    <x v="1"/>
    <x v="0"/>
  </r>
  <r>
    <n v="725"/>
    <s v="725 | Program Office"/>
    <x v="3"/>
    <x v="1"/>
    <x v="5"/>
    <x v="7"/>
    <s v="Program Office-Cordination Manager"/>
    <x v="5"/>
    <d v="2022-02-15T15:51:14"/>
    <x v="199"/>
    <x v="72"/>
    <n v="5"/>
    <d v="2022-03-06T15:51:14"/>
    <s v="Yes"/>
    <d v="2022-02-22T15:51:14"/>
    <x v="0"/>
    <x v="5"/>
    <m/>
    <m/>
    <m/>
    <m/>
    <d v="2022-02-26T15:51:14"/>
    <m/>
    <x v="0"/>
    <m/>
    <m/>
    <m/>
    <m/>
    <s v="Company"/>
    <m/>
    <s v="C1285"/>
    <s v="Candidate_285"/>
    <s v="Feb 15 2022"/>
    <x v="1"/>
    <s v="Linkedin"/>
    <n v="6"/>
    <m/>
    <x v="0"/>
    <m/>
    <m/>
    <x v="0"/>
    <x v="0"/>
    <m/>
    <x v="1"/>
    <x v="0"/>
  </r>
  <r>
    <n v="724"/>
    <s v="724 | Program Office"/>
    <x v="3"/>
    <x v="1"/>
    <x v="5"/>
    <x v="7"/>
    <s v="Program Office-Cordination Manager"/>
    <x v="5"/>
    <d v="2022-02-12T15:51:14"/>
    <x v="200"/>
    <x v="72"/>
    <n v="8"/>
    <d v="2022-03-11T15:51:14"/>
    <s v="Yes"/>
    <d v="2022-03-02T15:51:14"/>
    <x v="0"/>
    <x v="5"/>
    <m/>
    <m/>
    <m/>
    <m/>
    <m/>
    <m/>
    <x v="0"/>
    <m/>
    <m/>
    <m/>
    <m/>
    <s v="Candidate"/>
    <m/>
    <s v="C1286"/>
    <s v="Candidate_286"/>
    <s v="Feb 14 2022"/>
    <x v="2"/>
    <s v="Job Board"/>
    <n v="3"/>
    <m/>
    <x v="0"/>
    <m/>
    <m/>
    <x v="0"/>
    <x v="0"/>
    <m/>
    <x v="1"/>
    <x v="0"/>
  </r>
  <r>
    <n v="723"/>
    <s v="723 | Program Office"/>
    <x v="3"/>
    <x v="1"/>
    <x v="5"/>
    <x v="7"/>
    <s v="Program Office-Cordination Manager"/>
    <x v="5"/>
    <d v="2022-02-10T15:51:14"/>
    <x v="200"/>
    <x v="72"/>
    <n v="10"/>
    <d v="2022-03-16T15:51:14"/>
    <s v="Yes"/>
    <d v="2022-02-27T15:51:14"/>
    <x v="0"/>
    <x v="5"/>
    <m/>
    <m/>
    <m/>
    <m/>
    <m/>
    <m/>
    <x v="0"/>
    <m/>
    <m/>
    <m/>
    <m/>
    <s v="Company"/>
    <m/>
    <s v="C1287"/>
    <s v="Candidate_287"/>
    <s v="02-13-2022"/>
    <x v="1"/>
    <s v="Linkedin"/>
    <n v="3"/>
    <m/>
    <x v="0"/>
    <m/>
    <m/>
    <x v="0"/>
    <x v="0"/>
    <m/>
    <x v="1"/>
    <x v="0"/>
  </r>
  <r>
    <n v="722"/>
    <s v="722 | Program Office"/>
    <x v="4"/>
    <x v="1"/>
    <x v="5"/>
    <x v="7"/>
    <s v="Program Office-Cordination Manager"/>
    <x v="5"/>
    <d v="2022-02-10T15:51:14"/>
    <x v="200"/>
    <x v="72"/>
    <n v="10"/>
    <d v="2022-03-15T15:51:14"/>
    <s v="Yes"/>
    <d v="2022-03-04T15:51:14"/>
    <x v="0"/>
    <x v="0"/>
    <m/>
    <m/>
    <m/>
    <m/>
    <m/>
    <m/>
    <x v="0"/>
    <m/>
    <m/>
    <m/>
    <m/>
    <s v="Company"/>
    <m/>
    <s v="C1288"/>
    <s v="Candidate_288"/>
    <s v="Feb 22 2022"/>
    <x v="2"/>
    <s v="Job Board"/>
    <n v="3"/>
    <m/>
    <x v="0"/>
    <m/>
    <m/>
    <x v="0"/>
    <x v="0"/>
    <m/>
    <x v="1"/>
    <x v="0"/>
  </r>
  <r>
    <n v="721"/>
    <s v="721 | Program Office"/>
    <x v="3"/>
    <x v="1"/>
    <x v="5"/>
    <x v="7"/>
    <s v="Program Office-Cordination Manager"/>
    <x v="5"/>
    <d v="2022-02-11T15:51:14"/>
    <x v="125"/>
    <x v="72"/>
    <n v="9"/>
    <d v="2022-03-14T15:51:14"/>
    <s v="Yes"/>
    <d v="2022-02-27T15:51:14"/>
    <x v="4"/>
    <x v="1"/>
    <d v="2022-03-04T15:51:14"/>
    <s v="Pending"/>
    <m/>
    <m/>
    <d v="2022-02-28T15:51:14"/>
    <m/>
    <x v="0"/>
    <m/>
    <m/>
    <m/>
    <m/>
    <m/>
    <m/>
    <s v="C1289"/>
    <s v="Candidate_289"/>
    <s v="02-09-2022"/>
    <x v="1"/>
    <s v="Linkedin"/>
    <n v="6"/>
    <m/>
    <x v="0"/>
    <m/>
    <m/>
    <x v="0"/>
    <x v="0"/>
    <m/>
    <x v="1"/>
    <x v="0"/>
  </r>
  <r>
    <n v="718"/>
    <s v="718 | Program Office"/>
    <x v="4"/>
    <x v="1"/>
    <x v="5"/>
    <x v="7"/>
    <s v="Program Office-Cordination Manager"/>
    <x v="5"/>
    <d v="2022-03-09T16:28:19"/>
    <x v="201"/>
    <x v="73"/>
    <n v="5"/>
    <d v="2022-03-21T16:28:19"/>
    <s v="Yes"/>
    <d v="2022-03-23T16:28:19"/>
    <x v="1"/>
    <x v="1"/>
    <d v="2022-03-25T16:28:19"/>
    <s v="Declined"/>
    <m/>
    <m/>
    <d v="2022-03-24T16:28:19"/>
    <m/>
    <x v="0"/>
    <m/>
    <m/>
    <m/>
    <m/>
    <m/>
    <m/>
    <s v="C1290"/>
    <s v="Candidate_290"/>
    <s v="12/03/2022"/>
    <x v="0"/>
    <s v="Referral"/>
    <n v="3"/>
    <m/>
    <x v="0"/>
    <m/>
    <m/>
    <x v="0"/>
    <x v="0"/>
    <m/>
    <x v="1"/>
    <x v="0"/>
  </r>
  <r>
    <n v="712"/>
    <s v="712 | Program Office"/>
    <x v="3"/>
    <x v="1"/>
    <x v="5"/>
    <x v="7"/>
    <s v="Program Office-Cordination Manager"/>
    <x v="5"/>
    <d v="2022-03-09T16:28:19"/>
    <x v="202"/>
    <x v="73"/>
    <n v="5"/>
    <d v="2022-03-24T16:28:19"/>
    <s v="Yes"/>
    <d v="2022-03-28T16:28:19"/>
    <x v="0"/>
    <x v="0"/>
    <m/>
    <m/>
    <m/>
    <m/>
    <d v="2022-03-31T16:28:19"/>
    <m/>
    <x v="0"/>
    <m/>
    <m/>
    <m/>
    <m/>
    <s v="Candidate"/>
    <m/>
    <s v="C1291"/>
    <s v="Candidate_291"/>
    <s v="Mar 18 2022"/>
    <x v="0"/>
    <s v="Referral"/>
    <n v="6"/>
    <m/>
    <x v="0"/>
    <m/>
    <m/>
    <x v="0"/>
    <x v="0"/>
    <m/>
    <x v="1"/>
    <x v="0"/>
  </r>
  <r>
    <n v="676"/>
    <s v="676 | Program Office"/>
    <x v="5"/>
    <x v="1"/>
    <x v="5"/>
    <x v="7"/>
    <s v="Program Office-Cordination Manager"/>
    <x v="5"/>
    <d v="2023-08-04T21:15:22"/>
    <x v="203"/>
    <x v="74"/>
    <n v="5"/>
    <d v="2023-08-31T21:15:22"/>
    <s v="Yes"/>
    <d v="2023-08-24T21:15:22"/>
    <x v="4"/>
    <x v="1"/>
    <d v="2023-08-29T21:15:22"/>
    <s v="Pending"/>
    <m/>
    <m/>
    <d v="2023-08-27T21:15:22"/>
    <m/>
    <x v="0"/>
    <m/>
    <m/>
    <m/>
    <m/>
    <m/>
    <m/>
    <s v="C1292"/>
    <s v="Candidate_292"/>
    <s v="15/08/2023"/>
    <x v="2"/>
    <s v="Job Board"/>
    <n v="6"/>
    <m/>
    <x v="0"/>
    <m/>
    <m/>
    <x v="0"/>
    <x v="0"/>
    <m/>
    <x v="1"/>
    <x v="0"/>
  </r>
  <r>
    <n v="674"/>
    <s v="674 | Program Office"/>
    <x v="3"/>
    <x v="1"/>
    <x v="5"/>
    <x v="7"/>
    <s v="Program Office-Cordination Manager"/>
    <x v="5"/>
    <d v="2023-08-01T21:15:22"/>
    <x v="204"/>
    <x v="74"/>
    <n v="8"/>
    <d v="2023-09-01T21:15:22"/>
    <s v="Yes"/>
    <d v="2023-08-21T21:15:22"/>
    <x v="0"/>
    <x v="5"/>
    <m/>
    <m/>
    <m/>
    <m/>
    <d v="2023-08-23T21:15:22"/>
    <m/>
    <x v="0"/>
    <m/>
    <m/>
    <m/>
    <m/>
    <s v="Company"/>
    <m/>
    <s v="C1293"/>
    <s v="Candidate_293"/>
    <s v="Aug 08 2023"/>
    <x v="1"/>
    <s v="Linkedin"/>
    <n v="6"/>
    <m/>
    <x v="0"/>
    <m/>
    <m/>
    <x v="0"/>
    <x v="0"/>
    <m/>
    <x v="1"/>
    <x v="0"/>
  </r>
  <r>
    <n v="632"/>
    <s v="632 | Program Office"/>
    <x v="3"/>
    <x v="1"/>
    <x v="5"/>
    <x v="7"/>
    <s v="Program Office-Cordination Manager"/>
    <x v="5"/>
    <d v="2022-09-23T07:15:57"/>
    <x v="205"/>
    <x v="76"/>
    <n v="6"/>
    <d v="2022-10-27T07:15:57"/>
    <s v="Yes"/>
    <d v="2022-10-08T07:15:57"/>
    <x v="0"/>
    <x v="3"/>
    <m/>
    <m/>
    <m/>
    <m/>
    <m/>
    <m/>
    <x v="0"/>
    <m/>
    <m/>
    <m/>
    <m/>
    <s v="Candidate"/>
    <m/>
    <s v="C1294"/>
    <s v="Candidate_294"/>
    <s v="Sep 19 2022"/>
    <x v="2"/>
    <s v="Job Board"/>
    <n v="6"/>
    <m/>
    <x v="0"/>
    <m/>
    <m/>
    <x v="0"/>
    <x v="0"/>
    <m/>
    <x v="1"/>
    <x v="0"/>
  </r>
  <r>
    <n v="617"/>
    <s v="617 | Program Office"/>
    <x v="4"/>
    <x v="1"/>
    <x v="5"/>
    <x v="7"/>
    <s v="Program Office-Cordination Manager"/>
    <x v="5"/>
    <d v="2023-08-16T21:15:20"/>
    <x v="206"/>
    <x v="86"/>
    <n v="7"/>
    <d v="2023-09-09T21:15:20"/>
    <s v="Yes"/>
    <d v="2023-09-09T21:15:20"/>
    <x v="3"/>
    <x v="1"/>
    <d v="2023-09-15T21:15:20"/>
    <s v="Accepted"/>
    <d v="2023-09-10T21:15:20"/>
    <d v="2023-09-11T21:15:20"/>
    <d v="2023-09-11T21:15:20"/>
    <d v="2023-09-13T21:15:20"/>
    <x v="1"/>
    <d v="2023-09-16T21:15:20"/>
    <d v="2023-09-17T21:15:20"/>
    <d v="2023-09-19T21:15:20"/>
    <m/>
    <m/>
    <d v="2023-10-06T21:15:20"/>
    <s v="C1295"/>
    <s v="Candidate_295"/>
    <s v="01/09/2023"/>
    <x v="0"/>
    <s v="Referral"/>
    <n v="3"/>
    <m/>
    <x v="0"/>
    <m/>
    <m/>
    <x v="0"/>
    <x v="0"/>
    <m/>
    <x v="39"/>
    <x v="0"/>
  </r>
  <r>
    <n v="614"/>
    <s v="614 | Program Office"/>
    <x v="4"/>
    <x v="1"/>
    <x v="5"/>
    <x v="7"/>
    <s v="Program Office-Cordination Manager"/>
    <x v="5"/>
    <d v="2023-08-18T21:15:20"/>
    <x v="206"/>
    <x v="86"/>
    <n v="5"/>
    <d v="2023-09-13T21:15:20"/>
    <s v="Yes"/>
    <d v="2023-08-27T21:15:20"/>
    <x v="3"/>
    <x v="1"/>
    <d v="2023-09-01T21:15:20"/>
    <s v="Accepted"/>
    <d v="2023-08-29T21:15:20"/>
    <d v="2023-09-01T21:15:20"/>
    <d v="2023-08-30T21:15:20"/>
    <d v="2023-09-04T21:15:20"/>
    <x v="1"/>
    <d v="2023-09-08T21:15:20"/>
    <d v="2023-09-10T21:15:20"/>
    <d v="2023-09-11T21:15:20"/>
    <m/>
    <m/>
    <d v="2023-09-26T21:15:20"/>
    <s v="C1296"/>
    <s v="Candidate_296"/>
    <s v="08-12-2023"/>
    <x v="2"/>
    <s v="Job Board"/>
    <n v="3"/>
    <m/>
    <x v="0"/>
    <m/>
    <m/>
    <x v="0"/>
    <x v="0"/>
    <m/>
    <x v="40"/>
    <x v="0"/>
  </r>
  <r>
    <n v="613"/>
    <s v="613 | Program Office"/>
    <x v="4"/>
    <x v="1"/>
    <x v="5"/>
    <x v="7"/>
    <s v="Program Office-Cordination Manager"/>
    <x v="5"/>
    <d v="2023-08-14T21:15:20"/>
    <x v="207"/>
    <x v="86"/>
    <n v="9"/>
    <d v="2023-09-20T21:15:20"/>
    <s v="Yes"/>
    <d v="2023-09-08T21:15:20"/>
    <x v="3"/>
    <x v="1"/>
    <d v="2023-09-13T21:15:20"/>
    <s v="Accepted"/>
    <d v="2023-09-09T21:15:20"/>
    <d v="2023-09-12T21:15:20"/>
    <d v="2023-09-11T21:15:20"/>
    <d v="2023-09-21T21:15:20"/>
    <x v="1"/>
    <d v="2023-09-25T21:15:20"/>
    <d v="2023-09-26T21:15:20"/>
    <d v="2023-09-28T21:15:20"/>
    <m/>
    <m/>
    <d v="2023-10-11T21:15:20"/>
    <s v="C1297"/>
    <s v="Candidate_297"/>
    <s v="Aug 29 2023"/>
    <x v="2"/>
    <s v="Job Board"/>
    <n v="6"/>
    <m/>
    <x v="0"/>
    <m/>
    <m/>
    <x v="0"/>
    <x v="0"/>
    <m/>
    <x v="41"/>
    <x v="0"/>
  </r>
  <r>
    <n v="578"/>
    <s v="578 | Program Office"/>
    <x v="4"/>
    <x v="1"/>
    <x v="5"/>
    <x v="7"/>
    <s v="Program Office-Cordination Manager"/>
    <x v="5"/>
    <d v="2022-12-13T02:09:30"/>
    <x v="208"/>
    <x v="77"/>
    <n v="7"/>
    <d v="2023-01-08T02:09:30"/>
    <s v="Yes"/>
    <d v="2023-01-05T02:09:30"/>
    <x v="3"/>
    <x v="1"/>
    <d v="2023-01-09T02:09:30"/>
    <s v="Accepted"/>
    <d v="2023-01-07T02:09:30"/>
    <d v="2023-01-09T02:09:30"/>
    <d v="2023-01-06T02:09:30"/>
    <d v="2023-01-10T02:09:30"/>
    <x v="1"/>
    <d v="2023-01-12T02:09:30"/>
    <d v="2023-01-15T02:09:30"/>
    <d v="2023-01-17T02:09:30"/>
    <m/>
    <m/>
    <d v="2023-01-25T02:09:30"/>
    <s v="C1298"/>
    <s v="Candidate_298"/>
    <s v="21/12/2022"/>
    <x v="1"/>
    <s v="Linkedin"/>
    <n v="3"/>
    <m/>
    <x v="0"/>
    <m/>
    <m/>
    <x v="0"/>
    <x v="0"/>
    <m/>
    <x v="42"/>
    <x v="0"/>
  </r>
  <r>
    <n v="572"/>
    <s v="572 | Program Office"/>
    <x v="4"/>
    <x v="1"/>
    <x v="5"/>
    <x v="7"/>
    <s v="Program Office-Cordination Manager"/>
    <x v="5"/>
    <d v="2022-12-18T02:09:30"/>
    <x v="209"/>
    <x v="77"/>
    <n v="2"/>
    <d v="2023-01-13T02:09:30"/>
    <s v="Yes"/>
    <d v="2022-12-26T02:09:30"/>
    <x v="0"/>
    <x v="2"/>
    <m/>
    <m/>
    <m/>
    <m/>
    <d v="2022-12-28T02:09:30"/>
    <m/>
    <x v="0"/>
    <m/>
    <m/>
    <m/>
    <m/>
    <s v="Candidate"/>
    <m/>
    <s v="C1299"/>
    <s v="Candidate_299"/>
    <s v="Dec 19 2022"/>
    <x v="0"/>
    <s v="Referral"/>
    <n v="3"/>
    <m/>
    <x v="0"/>
    <m/>
    <m/>
    <x v="0"/>
    <x v="0"/>
    <m/>
    <x v="1"/>
    <x v="0"/>
  </r>
  <r>
    <n v="499"/>
    <s v="499 | Program Office"/>
    <x v="4"/>
    <x v="1"/>
    <x v="5"/>
    <x v="7"/>
    <s v="Program Office-Cordination Manager"/>
    <x v="5"/>
    <d v="2023-08-28T09:52:53"/>
    <x v="48"/>
    <x v="30"/>
    <n v="8"/>
    <d v="2023-10-03T09:52:53"/>
    <s v="Yes"/>
    <d v="2023-09-13T09:52:53"/>
    <x v="1"/>
    <x v="1"/>
    <d v="2023-09-19T09:52:53"/>
    <s v="Declined"/>
    <m/>
    <m/>
    <d v="2023-09-17T09:52:53"/>
    <m/>
    <x v="0"/>
    <m/>
    <m/>
    <m/>
    <m/>
    <m/>
    <m/>
    <s v="C1300"/>
    <s v="Candidate_300"/>
    <s v="31/08/2023"/>
    <x v="2"/>
    <s v="Job Board"/>
    <n v="3"/>
    <m/>
    <x v="0"/>
    <m/>
    <m/>
    <x v="0"/>
    <x v="0"/>
    <m/>
    <x v="1"/>
    <x v="0"/>
  </r>
  <r>
    <n v="489"/>
    <s v="489 | Program Office"/>
    <x v="4"/>
    <x v="1"/>
    <x v="5"/>
    <x v="7"/>
    <s v="Program Office-Cordination Manager"/>
    <x v="5"/>
    <d v="2023-01-07T13:36:04"/>
    <x v="210"/>
    <x v="31"/>
    <n v="5"/>
    <d v="2023-01-18T13:36:04"/>
    <s v="Yes"/>
    <d v="2023-01-14T13:36:04"/>
    <x v="0"/>
    <x v="5"/>
    <m/>
    <m/>
    <m/>
    <m/>
    <d v="2023-01-17T13:36:04"/>
    <m/>
    <x v="0"/>
    <m/>
    <m/>
    <m/>
    <m/>
    <s v="Candidate"/>
    <m/>
    <s v="C1301"/>
    <s v="Candidate_301"/>
    <s v="08/01/2023"/>
    <x v="1"/>
    <s v="Linkedin"/>
    <n v="6"/>
    <m/>
    <x v="0"/>
    <m/>
    <m/>
    <x v="0"/>
    <x v="0"/>
    <m/>
    <x v="1"/>
    <x v="0"/>
  </r>
  <r>
    <n v="482"/>
    <s v="482 | Program Office"/>
    <x v="3"/>
    <x v="1"/>
    <x v="5"/>
    <x v="7"/>
    <s v="Program Office-Cordination Manager"/>
    <x v="5"/>
    <d v="2023-01-02T13:36:04"/>
    <x v="211"/>
    <x v="31"/>
    <n v="10"/>
    <d v="2023-01-26T13:36:04"/>
    <s v="Yes"/>
    <d v="2023-01-20T13:36:04"/>
    <x v="1"/>
    <x v="1"/>
    <d v="2023-01-23T13:36:04"/>
    <s v="Declined"/>
    <m/>
    <m/>
    <d v="2023-01-22T13:36:04"/>
    <m/>
    <x v="0"/>
    <m/>
    <m/>
    <m/>
    <m/>
    <m/>
    <m/>
    <s v="C1302"/>
    <s v="Candidate_302"/>
    <s v="Jan 15 2023"/>
    <x v="1"/>
    <s v="Linkedin"/>
    <n v="3"/>
    <m/>
    <x v="0"/>
    <m/>
    <m/>
    <x v="0"/>
    <x v="0"/>
    <m/>
    <x v="1"/>
    <x v="0"/>
  </r>
  <r>
    <n v="474"/>
    <s v="474 | Program Office"/>
    <x v="3"/>
    <x v="1"/>
    <x v="5"/>
    <x v="7"/>
    <s v="Program Office-Cordination Manager"/>
    <x v="5"/>
    <d v="2022-04-21T01:49:05"/>
    <x v="51"/>
    <x v="32"/>
    <n v="10"/>
    <d v="2022-05-22T01:49:05"/>
    <s v="Yes"/>
    <d v="2022-05-09T01:49:05"/>
    <x v="0"/>
    <x v="2"/>
    <m/>
    <m/>
    <m/>
    <m/>
    <m/>
    <m/>
    <x v="0"/>
    <m/>
    <m/>
    <m/>
    <m/>
    <s v="Company"/>
    <m/>
    <s v="C1303"/>
    <s v="Candidate_303"/>
    <s v="27/04/2022"/>
    <x v="0"/>
    <s v="Referral"/>
    <n v="6"/>
    <m/>
    <x v="0"/>
    <m/>
    <m/>
    <x v="0"/>
    <x v="0"/>
    <m/>
    <x v="1"/>
    <x v="0"/>
  </r>
  <r>
    <n v="472"/>
    <s v="472 | Program Office"/>
    <x v="5"/>
    <x v="1"/>
    <x v="5"/>
    <x v="7"/>
    <s v="Program Office-Cordination Manager"/>
    <x v="5"/>
    <d v="2022-04-22T01:49:05"/>
    <x v="212"/>
    <x v="32"/>
    <n v="9"/>
    <d v="2022-05-18T01:49:05"/>
    <s v="Yes"/>
    <d v="2022-05-12T01:49:05"/>
    <x v="1"/>
    <x v="1"/>
    <d v="2022-05-18T01:49:05"/>
    <s v="Declined"/>
    <m/>
    <m/>
    <d v="2022-05-14T01:49:05"/>
    <m/>
    <x v="0"/>
    <m/>
    <m/>
    <m/>
    <m/>
    <m/>
    <m/>
    <s v="C1304"/>
    <s v="Candidate_304"/>
    <s v="May 07 2022"/>
    <x v="1"/>
    <s v="Linkedin"/>
    <n v="6"/>
    <m/>
    <x v="0"/>
    <m/>
    <m/>
    <x v="0"/>
    <x v="0"/>
    <m/>
    <x v="1"/>
    <x v="0"/>
  </r>
  <r>
    <n v="471"/>
    <s v="471 | Program Office"/>
    <x v="4"/>
    <x v="1"/>
    <x v="5"/>
    <x v="7"/>
    <s v="Program Office-Cordination Manager"/>
    <x v="5"/>
    <d v="2022-04-25T01:49:05"/>
    <x v="212"/>
    <x v="32"/>
    <n v="6"/>
    <d v="2022-05-22T01:49:05"/>
    <s v="Yes"/>
    <d v="2022-05-07T01:49:05"/>
    <x v="0"/>
    <x v="3"/>
    <m/>
    <m/>
    <m/>
    <m/>
    <d v="2022-05-08T01:49:05"/>
    <m/>
    <x v="0"/>
    <m/>
    <m/>
    <m/>
    <m/>
    <s v="Company"/>
    <m/>
    <s v="C1305"/>
    <s v="Candidate_305"/>
    <s v="Apr 28 2022"/>
    <x v="1"/>
    <s v="Linkedin"/>
    <n v="3"/>
    <m/>
    <x v="0"/>
    <m/>
    <m/>
    <x v="0"/>
    <x v="0"/>
    <m/>
    <x v="1"/>
    <x v="0"/>
  </r>
  <r>
    <n v="387"/>
    <s v="387 | Program Office"/>
    <x v="3"/>
    <x v="1"/>
    <x v="5"/>
    <x v="7"/>
    <s v="Program Office-Cordination Manager"/>
    <x v="5"/>
    <d v="2022-11-09T09:11:38"/>
    <x v="52"/>
    <x v="4"/>
    <n v="-44874.3830787037"/>
    <d v="2022-12-13T09:11:38"/>
    <s v="Yes"/>
    <d v="2022-11-23T09:11:38"/>
    <x v="0"/>
    <x v="5"/>
    <m/>
    <m/>
    <m/>
    <m/>
    <d v="2022-11-25T09:11:38"/>
    <m/>
    <x v="0"/>
    <m/>
    <m/>
    <m/>
    <m/>
    <s v="Candidate"/>
    <m/>
    <s v="C1306"/>
    <s v="Candidate_306"/>
    <s v="Nov 04 2022"/>
    <x v="1"/>
    <s v="Linkedin"/>
    <n v="3"/>
    <m/>
    <x v="0"/>
    <m/>
    <m/>
    <x v="0"/>
    <x v="0"/>
    <m/>
    <x v="0"/>
    <x v="0"/>
  </r>
  <r>
    <n v="382"/>
    <s v="382 | Program Office"/>
    <x v="3"/>
    <x v="1"/>
    <x v="5"/>
    <x v="7"/>
    <s v="Program Office-Cordination Manager"/>
    <x v="5"/>
    <d v="2022-11-07T09:11:38"/>
    <x v="52"/>
    <x v="33"/>
    <n v="6"/>
    <d v="2022-12-02T09:11:38"/>
    <s v="Yes"/>
    <d v="2022-11-29T09:11:38"/>
    <x v="4"/>
    <x v="1"/>
    <d v="2022-12-05T09:11:38"/>
    <s v="Pending"/>
    <m/>
    <m/>
    <d v="2022-12-01T09:11:38"/>
    <m/>
    <x v="0"/>
    <m/>
    <m/>
    <m/>
    <m/>
    <m/>
    <m/>
    <s v="C1307"/>
    <s v="Candidate_307"/>
    <s v="11-12-2022"/>
    <x v="1"/>
    <s v="Linkedin"/>
    <n v="6"/>
    <m/>
    <x v="0"/>
    <m/>
    <m/>
    <x v="0"/>
    <x v="0"/>
    <m/>
    <x v="1"/>
    <x v="0"/>
  </r>
  <r>
    <n v="374"/>
    <s v="374 | Program Office"/>
    <x v="5"/>
    <x v="1"/>
    <x v="5"/>
    <x v="7"/>
    <s v="Program Office-Cordination Manager"/>
    <x v="5"/>
    <d v="2022-04-14T08:33:40"/>
    <x v="213"/>
    <x v="34"/>
    <n v="5"/>
    <d v="2022-05-04T08:33:40"/>
    <s v="Yes"/>
    <d v="2022-05-01T08:33:40"/>
    <x v="3"/>
    <x v="1"/>
    <d v="2022-05-07T08:33:40"/>
    <s v="Accepted"/>
    <d v="2022-05-02T08:33:40"/>
    <d v="2022-05-05T08:33:40"/>
    <d v="2022-05-03T08:33:40"/>
    <d v="2022-05-07T08:33:40"/>
    <x v="1"/>
    <d v="2022-05-08T08:33:40"/>
    <d v="2022-05-09T08:33:40"/>
    <d v="2022-05-11T08:33:40"/>
    <m/>
    <m/>
    <d v="2022-05-21T08:33:40"/>
    <s v="C1308"/>
    <s v="Candidate_308"/>
    <s v="24/04/2022"/>
    <x v="2"/>
    <s v="Job Board"/>
    <n v="3"/>
    <m/>
    <x v="0"/>
    <m/>
    <m/>
    <x v="0"/>
    <x v="0"/>
    <m/>
    <x v="43"/>
    <x v="0"/>
  </r>
  <r>
    <n v="371"/>
    <s v="371 | Program Office"/>
    <x v="5"/>
    <x v="1"/>
    <x v="5"/>
    <x v="7"/>
    <s v="Program Office-Cordination Manager"/>
    <x v="5"/>
    <d v="2022-04-12T08:33:40"/>
    <x v="214"/>
    <x v="34"/>
    <n v="7"/>
    <d v="2022-05-05T08:33:40"/>
    <s v="Yes"/>
    <d v="2022-05-04T08:33:40"/>
    <x v="1"/>
    <x v="1"/>
    <d v="2022-05-09T08:33:40"/>
    <s v="Declined"/>
    <m/>
    <m/>
    <d v="2022-05-08T08:33:40"/>
    <m/>
    <x v="0"/>
    <m/>
    <m/>
    <m/>
    <m/>
    <m/>
    <m/>
    <s v="C1309"/>
    <s v="Candidate_309"/>
    <s v="22/04/2022"/>
    <x v="1"/>
    <s v="Linkedin"/>
    <n v="6"/>
    <m/>
    <x v="0"/>
    <m/>
    <m/>
    <x v="0"/>
    <x v="0"/>
    <m/>
    <x v="1"/>
    <x v="0"/>
  </r>
  <r>
    <n v="137"/>
    <s v="137 | Program Office"/>
    <x v="5"/>
    <x v="1"/>
    <x v="5"/>
    <x v="7"/>
    <s v="Program Office-Cordination Manager"/>
    <x v="5"/>
    <d v="2022-07-22T19:16:15"/>
    <x v="0"/>
    <x v="4"/>
    <n v="-44764.802951388891"/>
    <d v="2022-08-21T19:16:15"/>
    <s v="No"/>
    <m/>
    <x v="2"/>
    <x v="1"/>
    <m/>
    <m/>
    <m/>
    <m/>
    <m/>
    <m/>
    <x v="0"/>
    <m/>
    <m/>
    <m/>
    <m/>
    <m/>
    <m/>
    <s v="C1310"/>
    <s v="Candidate_310"/>
    <m/>
    <x v="0"/>
    <s v="Referral"/>
    <n v="3"/>
    <m/>
    <x v="0"/>
    <m/>
    <m/>
    <x v="0"/>
    <x v="0"/>
    <m/>
    <x v="0"/>
    <x v="0"/>
  </r>
  <r>
    <n v="133"/>
    <s v="133 | Program Office"/>
    <x v="4"/>
    <x v="1"/>
    <x v="5"/>
    <x v="7"/>
    <s v="Program Office-Cordination Manager"/>
    <x v="5"/>
    <d v="2022-07-23T19:16:15"/>
    <x v="215"/>
    <x v="37"/>
    <n v="4"/>
    <d v="2022-08-06T19:16:15"/>
    <s v="Yes"/>
    <d v="2022-08-01T19:16:15"/>
    <x v="0"/>
    <x v="2"/>
    <m/>
    <m/>
    <m/>
    <m/>
    <d v="2022-08-04T19:16:15"/>
    <m/>
    <x v="0"/>
    <m/>
    <m/>
    <m/>
    <m/>
    <s v="Company"/>
    <m/>
    <s v="C1311"/>
    <s v="Candidate_311"/>
    <s v="19/07/2022"/>
    <x v="0"/>
    <s v="Referral"/>
    <n v="3"/>
    <m/>
    <x v="0"/>
    <m/>
    <m/>
    <x v="0"/>
    <x v="0"/>
    <m/>
    <x v="1"/>
    <x v="0"/>
  </r>
  <r>
    <n v="68"/>
    <s v="68 | Program Office"/>
    <x v="3"/>
    <x v="1"/>
    <x v="5"/>
    <x v="7"/>
    <s v="Program Office-Cordination Manager"/>
    <x v="5"/>
    <d v="2023-08-27T18:08:34"/>
    <x v="216"/>
    <x v="78"/>
    <n v="5"/>
    <d v="2023-09-24T18:08:34"/>
    <s v="Yes"/>
    <d v="2023-09-08T18:08:34"/>
    <x v="3"/>
    <x v="1"/>
    <d v="2023-09-11T18:08:34"/>
    <s v="Accepted"/>
    <d v="2023-09-09T18:08:34"/>
    <d v="2023-09-13T18:08:34"/>
    <d v="2023-09-10T18:08:34"/>
    <d v="2023-09-11T18:08:34"/>
    <x v="1"/>
    <d v="2023-09-12T18:08:34"/>
    <d v="2023-09-13T18:08:34"/>
    <d v="2023-09-14T18:08:34"/>
    <m/>
    <m/>
    <d v="2023-09-30T18:08:34"/>
    <s v="C1312"/>
    <s v="Candidate_312"/>
    <s v="08-30-2023"/>
    <x v="2"/>
    <s v="Job Board"/>
    <n v="6"/>
    <m/>
    <x v="0"/>
    <m/>
    <m/>
    <x v="0"/>
    <x v="0"/>
    <m/>
    <x v="44"/>
    <x v="0"/>
  </r>
  <r>
    <n v="67"/>
    <s v="67 | Program Office"/>
    <x v="4"/>
    <x v="1"/>
    <x v="5"/>
    <x v="7"/>
    <s v="Program Office-Cordination Manager"/>
    <x v="5"/>
    <d v="2023-08-30T18:08:34"/>
    <x v="216"/>
    <x v="78"/>
    <n v="2"/>
    <d v="2023-10-01T18:08:34"/>
    <s v="Yes"/>
    <d v="2023-09-18T18:08:34"/>
    <x v="1"/>
    <x v="1"/>
    <d v="2023-09-26T18:08:34"/>
    <s v="Declined"/>
    <m/>
    <m/>
    <d v="2023-09-22T18:08:34"/>
    <m/>
    <x v="0"/>
    <m/>
    <m/>
    <m/>
    <m/>
    <m/>
    <m/>
    <s v="C1313"/>
    <s v="Candidate_313"/>
    <s v="09/09/2023"/>
    <x v="1"/>
    <s v="Linkedin"/>
    <n v="3"/>
    <m/>
    <x v="0"/>
    <m/>
    <m/>
    <x v="0"/>
    <x v="0"/>
    <m/>
    <x v="1"/>
    <x v="0"/>
  </r>
  <r>
    <n v="3"/>
    <s v="3 | Program Office"/>
    <x v="5"/>
    <x v="1"/>
    <x v="5"/>
    <x v="7"/>
    <s v="Program Office-Cordination Manager"/>
    <x v="5"/>
    <d v="2023-05-27T08:55:46"/>
    <x v="59"/>
    <x v="38"/>
    <n v="10"/>
    <d v="2023-06-28T08:55:46"/>
    <s v="Yes"/>
    <d v="2023-06-21T08:55:46"/>
    <x v="0"/>
    <x v="4"/>
    <m/>
    <m/>
    <m/>
    <m/>
    <m/>
    <m/>
    <x v="0"/>
    <m/>
    <m/>
    <m/>
    <m/>
    <s v="Company"/>
    <m/>
    <s v="C1314"/>
    <s v="Candidate_314"/>
    <s v="16/06/2023"/>
    <x v="0"/>
    <s v="Referral"/>
    <n v="6"/>
    <m/>
    <x v="0"/>
    <m/>
    <m/>
    <x v="0"/>
    <x v="0"/>
    <m/>
    <x v="1"/>
    <x v="0"/>
  </r>
  <r>
    <n v="2976"/>
    <s v="2976 | Program Office"/>
    <x v="4"/>
    <x v="1"/>
    <x v="6"/>
    <x v="8"/>
    <s v="Program Office-Extension Officer"/>
    <x v="0"/>
    <d v="2022-07-19T15:16:58"/>
    <x v="217"/>
    <x v="87"/>
    <n v="11"/>
    <d v="2022-08-04T15:16:58"/>
    <s v="Yes"/>
    <d v="2022-07-27T15:16:58"/>
    <x v="0"/>
    <x v="5"/>
    <m/>
    <m/>
    <m/>
    <m/>
    <d v="2022-07-28T15:16:58"/>
    <m/>
    <x v="0"/>
    <m/>
    <m/>
    <m/>
    <m/>
    <s v="Company"/>
    <m/>
    <s v="C1315"/>
    <s v="Candidate_315"/>
    <s v="07-21-2022"/>
    <x v="0"/>
    <s v="Referral"/>
    <n v="3"/>
    <m/>
    <x v="0"/>
    <m/>
    <m/>
    <x v="0"/>
    <x v="0"/>
    <m/>
    <x v="1"/>
    <x v="0"/>
  </r>
  <r>
    <n v="2858"/>
    <s v="2858 | Program Office"/>
    <x v="5"/>
    <x v="1"/>
    <x v="6"/>
    <x v="8"/>
    <s v="Program Office-Extension Officer"/>
    <x v="0"/>
    <d v="2023-04-19T11:59:33"/>
    <x v="65"/>
    <x v="45"/>
    <n v="6"/>
    <d v="2023-07-04T11:59:33"/>
    <s v="Yes"/>
    <d v="2023-05-11T11:59:33"/>
    <x v="0"/>
    <x v="4"/>
    <m/>
    <m/>
    <m/>
    <m/>
    <d v="2023-05-12T11:59:33"/>
    <m/>
    <x v="0"/>
    <m/>
    <m/>
    <m/>
    <m/>
    <s v="Company"/>
    <m/>
    <s v="C1316"/>
    <s v="Candidate_316"/>
    <s v="24/04/2023"/>
    <x v="0"/>
    <s v="Referral"/>
    <n v="3"/>
    <m/>
    <x v="0"/>
    <m/>
    <m/>
    <x v="0"/>
    <x v="0"/>
    <m/>
    <x v="1"/>
    <x v="0"/>
  </r>
  <r>
    <n v="2852"/>
    <s v="2852 | Program Office"/>
    <x v="4"/>
    <x v="1"/>
    <x v="6"/>
    <x v="8"/>
    <s v="Program Office-Extension Officer"/>
    <x v="0"/>
    <d v="2023-04-20T11:59:33"/>
    <x v="0"/>
    <x v="45"/>
    <n v="5"/>
    <d v="2023-07-04T11:59:33"/>
    <s v="No"/>
    <m/>
    <x v="2"/>
    <x v="1"/>
    <m/>
    <m/>
    <m/>
    <m/>
    <m/>
    <m/>
    <x v="0"/>
    <m/>
    <m/>
    <m/>
    <m/>
    <m/>
    <m/>
    <s v="C1317"/>
    <s v="Candidate_317"/>
    <m/>
    <x v="2"/>
    <s v="Job Board"/>
    <n v="6"/>
    <m/>
    <x v="0"/>
    <m/>
    <m/>
    <x v="0"/>
    <x v="0"/>
    <m/>
    <x v="0"/>
    <x v="0"/>
  </r>
  <r>
    <n v="2839"/>
    <s v="2839 | Program Office"/>
    <x v="4"/>
    <x v="1"/>
    <x v="6"/>
    <x v="8"/>
    <s v="Program Office-Extension Officer"/>
    <x v="0"/>
    <d v="2022-04-08T20:14:44"/>
    <x v="149"/>
    <x v="80"/>
    <n v="7"/>
    <d v="2022-05-10T20:14:44"/>
    <s v="Yes"/>
    <d v="2022-04-19T20:14:44"/>
    <x v="0"/>
    <x v="2"/>
    <m/>
    <m/>
    <m/>
    <m/>
    <m/>
    <m/>
    <x v="0"/>
    <m/>
    <m/>
    <m/>
    <m/>
    <s v="Company"/>
    <m/>
    <s v="C1318"/>
    <s v="Candidate_318"/>
    <s v="07/04/2022"/>
    <x v="1"/>
    <s v="Linkedin"/>
    <n v="6"/>
    <m/>
    <x v="0"/>
    <m/>
    <m/>
    <x v="0"/>
    <x v="0"/>
    <m/>
    <x v="1"/>
    <x v="0"/>
  </r>
  <r>
    <n v="2834"/>
    <s v="2834 | Program Office"/>
    <x v="3"/>
    <x v="1"/>
    <x v="6"/>
    <x v="8"/>
    <s v="Program Office-Extension Officer"/>
    <x v="0"/>
    <d v="2022-04-08T20:14:44"/>
    <x v="149"/>
    <x v="80"/>
    <n v="7"/>
    <d v="2022-05-01T20:14:44"/>
    <s v="Yes"/>
    <d v="2022-04-27T20:14:44"/>
    <x v="0"/>
    <x v="2"/>
    <m/>
    <m/>
    <m/>
    <m/>
    <m/>
    <m/>
    <x v="0"/>
    <m/>
    <m/>
    <m/>
    <m/>
    <s v="Company"/>
    <m/>
    <s v="C1319"/>
    <s v="Candidate_319"/>
    <s v="Apr 11 2022"/>
    <x v="0"/>
    <s v="Referral"/>
    <n v="6"/>
    <m/>
    <x v="0"/>
    <m/>
    <m/>
    <x v="0"/>
    <x v="0"/>
    <m/>
    <x v="1"/>
    <x v="0"/>
  </r>
  <r>
    <n v="2831"/>
    <s v="2831 | Program Office"/>
    <x v="3"/>
    <x v="1"/>
    <x v="6"/>
    <x v="8"/>
    <s v="Program Office-Extension Officer"/>
    <x v="0"/>
    <m/>
    <x v="149"/>
    <x v="80"/>
    <n v="44666.843564814822"/>
    <d v="2022-05-07T20:14:44"/>
    <s v="Yes"/>
    <d v="2022-04-28T20:14:44"/>
    <x v="0"/>
    <x v="2"/>
    <m/>
    <m/>
    <m/>
    <m/>
    <d v="2022-04-30T20:14:44"/>
    <m/>
    <x v="0"/>
    <m/>
    <m/>
    <m/>
    <m/>
    <s v="Candidate"/>
    <m/>
    <s v="C1320"/>
    <s v="Candidate_320"/>
    <s v="21/04/2022"/>
    <x v="0"/>
    <s v="Referral"/>
    <n v="6"/>
    <m/>
    <x v="0"/>
    <m/>
    <m/>
    <x v="0"/>
    <x v="0"/>
    <m/>
    <x v="0"/>
    <x v="0"/>
  </r>
  <r>
    <n v="2734"/>
    <s v="2734 | Program Office"/>
    <x v="4"/>
    <x v="1"/>
    <x v="6"/>
    <x v="8"/>
    <s v="Program Office-Extension Officer"/>
    <x v="0"/>
    <d v="2022-07-07T23:32:45"/>
    <x v="218"/>
    <x v="15"/>
    <n v="8"/>
    <d v="2022-08-10T23:32:45"/>
    <s v="No"/>
    <m/>
    <x v="2"/>
    <x v="1"/>
    <m/>
    <m/>
    <m/>
    <m/>
    <m/>
    <m/>
    <x v="0"/>
    <m/>
    <m/>
    <m/>
    <m/>
    <m/>
    <m/>
    <s v="C1321"/>
    <s v="Candidate_321"/>
    <m/>
    <x v="0"/>
    <s v="Referral"/>
    <n v="6"/>
    <m/>
    <x v="0"/>
    <m/>
    <m/>
    <x v="0"/>
    <x v="0"/>
    <m/>
    <x v="1"/>
    <x v="0"/>
  </r>
  <r>
    <n v="2732"/>
    <s v="2732 | Program Office"/>
    <x v="5"/>
    <x v="1"/>
    <x v="6"/>
    <x v="8"/>
    <s v="Program Office-Extension Officer"/>
    <x v="0"/>
    <d v="2022-07-08T23:32:45"/>
    <x v="219"/>
    <x v="15"/>
    <n v="7"/>
    <d v="2022-08-05T23:32:45"/>
    <s v="Yes"/>
    <d v="2022-07-20T23:32:45"/>
    <x v="0"/>
    <x v="3"/>
    <m/>
    <m/>
    <m/>
    <m/>
    <d v="2022-07-22T23:32:45"/>
    <m/>
    <x v="0"/>
    <m/>
    <m/>
    <m/>
    <m/>
    <s v="Company"/>
    <m/>
    <s v="C1322"/>
    <s v="Candidate_322"/>
    <s v="07-11-2022"/>
    <x v="1"/>
    <s v="Linkedin"/>
    <n v="6"/>
    <m/>
    <x v="0"/>
    <m/>
    <m/>
    <x v="0"/>
    <x v="0"/>
    <m/>
    <x v="1"/>
    <x v="0"/>
  </r>
  <r>
    <n v="2570"/>
    <s v="2570 | Program Office"/>
    <x v="4"/>
    <x v="1"/>
    <x v="6"/>
    <x v="8"/>
    <s v="Program Office-Extension Officer"/>
    <x v="0"/>
    <d v="2022-11-18T06:58:42"/>
    <x v="220"/>
    <x v="47"/>
    <n v="10"/>
    <d v="2022-12-28T06:58:42"/>
    <s v="Yes"/>
    <d v="2022-12-01T06:58:42"/>
    <x v="0"/>
    <x v="2"/>
    <m/>
    <m/>
    <m/>
    <m/>
    <d v="2022-12-02T06:58:42"/>
    <m/>
    <x v="0"/>
    <m/>
    <m/>
    <m/>
    <m/>
    <s v="Company"/>
    <m/>
    <s v="C1323"/>
    <s v="Candidate_323"/>
    <s v="13/11/2022"/>
    <x v="2"/>
    <s v="Job Board"/>
    <n v="6"/>
    <m/>
    <x v="0"/>
    <m/>
    <m/>
    <x v="0"/>
    <x v="0"/>
    <m/>
    <x v="1"/>
    <x v="0"/>
  </r>
  <r>
    <n v="2564"/>
    <s v="2564 | Program Office"/>
    <x v="5"/>
    <x v="1"/>
    <x v="6"/>
    <x v="8"/>
    <s v="Program Office-Extension Officer"/>
    <x v="0"/>
    <d v="2022-11-23T06:58:42"/>
    <x v="221"/>
    <x v="47"/>
    <n v="5"/>
    <d v="2022-12-17T06:58:42"/>
    <s v="Yes"/>
    <d v="2022-12-11T06:58:42"/>
    <x v="1"/>
    <x v="1"/>
    <d v="2022-12-16T06:58:42"/>
    <s v="Declined"/>
    <m/>
    <m/>
    <d v="2022-12-14T06:58:42"/>
    <m/>
    <x v="0"/>
    <m/>
    <m/>
    <m/>
    <m/>
    <m/>
    <m/>
    <s v="C1324"/>
    <s v="Candidate_324"/>
    <s v="11-24-2022"/>
    <x v="0"/>
    <s v="Referral"/>
    <n v="6"/>
    <m/>
    <x v="0"/>
    <m/>
    <m/>
    <x v="0"/>
    <x v="0"/>
    <m/>
    <x v="1"/>
    <x v="0"/>
  </r>
  <r>
    <n v="2539"/>
    <s v="2539 | Program Office"/>
    <x v="5"/>
    <x v="1"/>
    <x v="6"/>
    <x v="8"/>
    <s v="Program Office-Extension Officer"/>
    <x v="0"/>
    <m/>
    <x v="222"/>
    <x v="17"/>
    <n v="44688.058252314811"/>
    <d v="2022-05-19T01:23:53"/>
    <s v="Yes"/>
    <d v="2022-05-12T01:23:53"/>
    <x v="3"/>
    <x v="1"/>
    <d v="2022-05-16T01:23:53"/>
    <s v="Accepted"/>
    <d v="2022-05-13T01:23:53"/>
    <d v="2022-05-14T01:23:53"/>
    <d v="2022-05-14T01:23:53"/>
    <d v="2022-05-18T01:23:53"/>
    <x v="1"/>
    <d v="2022-05-21T01:23:53"/>
    <d v="2022-05-22T01:23:53"/>
    <d v="2022-05-25T01:23:53"/>
    <m/>
    <m/>
    <d v="2022-06-01T01:23:53"/>
    <s v="C1325"/>
    <s v="Candidate_325"/>
    <s v="05-07-2022"/>
    <x v="1"/>
    <s v="Linkedin"/>
    <n v="6"/>
    <m/>
    <x v="0"/>
    <m/>
    <m/>
    <x v="0"/>
    <x v="0"/>
    <m/>
    <x v="0"/>
    <x v="0"/>
  </r>
  <r>
    <n v="2537"/>
    <s v="2537 | Program Office"/>
    <x v="5"/>
    <x v="1"/>
    <x v="6"/>
    <x v="8"/>
    <s v="Program Office-Extension Officer"/>
    <x v="0"/>
    <d v="2022-05-01T01:23:53"/>
    <x v="223"/>
    <x v="17"/>
    <n v="6"/>
    <d v="2022-05-13T01:23:53"/>
    <s v="Yes"/>
    <d v="2022-05-17T01:23:53"/>
    <x v="1"/>
    <x v="1"/>
    <d v="2022-05-20T01:23:53"/>
    <s v="Declined"/>
    <m/>
    <m/>
    <d v="2022-05-18T01:23:53"/>
    <m/>
    <x v="0"/>
    <m/>
    <m/>
    <m/>
    <m/>
    <m/>
    <m/>
    <s v="C1326"/>
    <s v="Candidate_326"/>
    <s v="02/05/2022"/>
    <x v="0"/>
    <s v="Referral"/>
    <n v="3"/>
    <m/>
    <x v="0"/>
    <m/>
    <m/>
    <x v="0"/>
    <x v="0"/>
    <m/>
    <x v="1"/>
    <x v="0"/>
  </r>
  <r>
    <n v="2534"/>
    <s v="2534 | Program Office"/>
    <x v="4"/>
    <x v="1"/>
    <x v="6"/>
    <x v="8"/>
    <s v="Program Office-Extension Officer"/>
    <x v="0"/>
    <d v="2022-05-01T01:23:53"/>
    <x v="224"/>
    <x v="17"/>
    <n v="6"/>
    <d v="2022-05-14T01:23:53"/>
    <s v="Yes"/>
    <d v="2022-05-14T01:23:53"/>
    <x v="0"/>
    <x v="2"/>
    <m/>
    <m/>
    <m/>
    <m/>
    <m/>
    <m/>
    <x v="0"/>
    <m/>
    <m/>
    <m/>
    <m/>
    <s v="Company"/>
    <m/>
    <s v="C1327"/>
    <s v="Candidate_327"/>
    <s v="May 05 2022"/>
    <x v="1"/>
    <s v="Linkedin"/>
    <n v="6"/>
    <m/>
    <x v="0"/>
    <m/>
    <m/>
    <x v="0"/>
    <x v="0"/>
    <m/>
    <x v="1"/>
    <x v="0"/>
  </r>
  <r>
    <n v="2532"/>
    <s v="2532 | Program Office"/>
    <x v="3"/>
    <x v="1"/>
    <x v="6"/>
    <x v="8"/>
    <s v="Program Office-Extension Officer"/>
    <x v="0"/>
    <d v="2022-05-01T01:23:53"/>
    <x v="224"/>
    <x v="17"/>
    <n v="6"/>
    <d v="2022-05-16T01:23:53"/>
    <s v="No"/>
    <m/>
    <x v="2"/>
    <x v="1"/>
    <m/>
    <m/>
    <m/>
    <m/>
    <m/>
    <m/>
    <x v="0"/>
    <m/>
    <m/>
    <m/>
    <m/>
    <m/>
    <m/>
    <s v="C1328"/>
    <s v="Candidate_328"/>
    <m/>
    <x v="0"/>
    <s v="Referral"/>
    <n v="6"/>
    <m/>
    <x v="0"/>
    <m/>
    <m/>
    <x v="0"/>
    <x v="0"/>
    <m/>
    <x v="1"/>
    <x v="0"/>
  </r>
  <r>
    <n v="2520"/>
    <s v="2520 | Program Office"/>
    <x v="4"/>
    <x v="1"/>
    <x v="6"/>
    <x v="8"/>
    <s v="Program Office-Extension Officer"/>
    <x v="0"/>
    <d v="2023-09-02T03:11:54"/>
    <x v="225"/>
    <x v="18"/>
    <n v="6"/>
    <d v="2023-09-29T03:11:54"/>
    <s v="Yes"/>
    <d v="2023-09-13T03:11:54"/>
    <x v="3"/>
    <x v="1"/>
    <d v="2023-09-18T03:11:54"/>
    <s v="Accepted"/>
    <d v="2023-09-14T03:11:54"/>
    <d v="2023-09-17T03:11:54"/>
    <d v="2023-09-16T03:11:54"/>
    <d v="2023-09-20T03:11:54"/>
    <x v="1"/>
    <d v="2023-09-21T03:11:54"/>
    <d v="2023-09-23T03:11:54"/>
    <d v="2023-09-25T03:11:54"/>
    <m/>
    <m/>
    <d v="2023-10-13T03:11:54"/>
    <s v="C1329"/>
    <s v="Candidate_329"/>
    <s v="Sep 03 2023"/>
    <x v="1"/>
    <s v="Linkedin"/>
    <n v="3"/>
    <m/>
    <x v="0"/>
    <m/>
    <m/>
    <x v="0"/>
    <x v="0"/>
    <m/>
    <x v="45"/>
    <x v="0"/>
  </r>
  <r>
    <n v="2516"/>
    <s v="2516 | Program Office"/>
    <x v="4"/>
    <x v="1"/>
    <x v="6"/>
    <x v="8"/>
    <s v="Program Office-Extension Officer"/>
    <x v="0"/>
    <d v="2023-08-29T03:11:54"/>
    <x v="226"/>
    <x v="18"/>
    <n v="10"/>
    <d v="2023-09-16T03:11:54"/>
    <s v="Yes"/>
    <d v="2023-09-22T03:11:54"/>
    <x v="0"/>
    <x v="4"/>
    <m/>
    <m/>
    <m/>
    <m/>
    <d v="2023-09-24T03:11:54"/>
    <m/>
    <x v="0"/>
    <m/>
    <m/>
    <m/>
    <m/>
    <s v="Candidate"/>
    <m/>
    <s v="C1330"/>
    <s v="Candidate_330"/>
    <s v="05/09/2023"/>
    <x v="0"/>
    <s v="Referral"/>
    <n v="6"/>
    <m/>
    <x v="0"/>
    <m/>
    <m/>
    <x v="0"/>
    <x v="0"/>
    <m/>
    <x v="1"/>
    <x v="0"/>
  </r>
  <r>
    <n v="2515"/>
    <s v="2515 | Program Office"/>
    <x v="3"/>
    <x v="1"/>
    <x v="6"/>
    <x v="8"/>
    <s v="Program Office-Extension Officer"/>
    <x v="0"/>
    <d v="2023-08-31T03:11:54"/>
    <x v="226"/>
    <x v="18"/>
    <n v="8"/>
    <d v="2023-10-02T03:11:54"/>
    <s v="No"/>
    <m/>
    <x v="2"/>
    <x v="1"/>
    <m/>
    <m/>
    <m/>
    <m/>
    <m/>
    <m/>
    <x v="0"/>
    <m/>
    <m/>
    <m/>
    <m/>
    <m/>
    <m/>
    <s v="C1331"/>
    <s v="Candidate_331"/>
    <m/>
    <x v="1"/>
    <s v="Linkedin"/>
    <n v="6"/>
    <m/>
    <x v="0"/>
    <m/>
    <m/>
    <x v="0"/>
    <x v="0"/>
    <m/>
    <x v="1"/>
    <x v="0"/>
  </r>
  <r>
    <n v="2456"/>
    <s v="2456 | Program Office"/>
    <x v="3"/>
    <x v="1"/>
    <x v="6"/>
    <x v="8"/>
    <s v="Program Office-Extension Officer"/>
    <x v="0"/>
    <m/>
    <x v="227"/>
    <x v="48"/>
    <n v="45167.069826388892"/>
    <d v="2023-09-28T01:40:33"/>
    <s v="Yes"/>
    <d v="2023-09-02T01:40:33"/>
    <x v="3"/>
    <x v="1"/>
    <d v="2023-09-09T01:40:33"/>
    <s v="Accepted"/>
    <d v="2023-09-04T01:40:33"/>
    <d v="2023-09-06T01:40:33"/>
    <d v="2023-09-06T01:40:33"/>
    <d v="2023-09-10T01:40:33"/>
    <x v="1"/>
    <d v="2023-09-11T01:40:33"/>
    <d v="2023-09-14T01:40:33"/>
    <d v="2023-09-17T01:40:33"/>
    <m/>
    <m/>
    <d v="2023-10-06T01:40:33"/>
    <s v="C1332"/>
    <s v="Candidate_332"/>
    <s v="26/08/2023"/>
    <x v="2"/>
    <s v="Job Board"/>
    <n v="6"/>
    <m/>
    <x v="0"/>
    <m/>
    <m/>
    <x v="0"/>
    <x v="0"/>
    <m/>
    <x v="0"/>
    <x v="0"/>
  </r>
  <r>
    <n v="2450"/>
    <s v="2450 | Program Office"/>
    <x v="4"/>
    <x v="1"/>
    <x v="6"/>
    <x v="8"/>
    <s v="Program Office-Extension Officer"/>
    <x v="0"/>
    <d v="2022-10-29T18:32:00"/>
    <x v="228"/>
    <x v="4"/>
    <n v="-44863.772222222222"/>
    <d v="2022-12-01T18:32:00"/>
    <s v="Yes"/>
    <d v="2022-11-15T18:32:00"/>
    <x v="1"/>
    <x v="1"/>
    <d v="2022-11-20T18:32:00"/>
    <s v="Declined"/>
    <m/>
    <m/>
    <d v="2022-11-19T18:32:00"/>
    <m/>
    <x v="0"/>
    <m/>
    <m/>
    <m/>
    <m/>
    <m/>
    <m/>
    <s v="C1333"/>
    <s v="Candidate_333"/>
    <s v="11-07-2022"/>
    <x v="1"/>
    <s v="Linkedin"/>
    <n v="6"/>
    <m/>
    <x v="0"/>
    <m/>
    <m/>
    <x v="0"/>
    <x v="0"/>
    <m/>
    <x v="0"/>
    <x v="0"/>
  </r>
  <r>
    <n v="2446"/>
    <s v="2446 | Program Office"/>
    <x v="5"/>
    <x v="1"/>
    <x v="6"/>
    <x v="8"/>
    <s v="Program Office-Extension Officer"/>
    <x v="0"/>
    <m/>
    <x v="228"/>
    <x v="81"/>
    <n v="44873.772222222222"/>
    <d v="2022-11-19T18:32:00"/>
    <s v="Yes"/>
    <d v="2022-11-15T18:32:00"/>
    <x v="0"/>
    <x v="0"/>
    <m/>
    <m/>
    <m/>
    <m/>
    <m/>
    <m/>
    <x v="0"/>
    <m/>
    <m/>
    <m/>
    <m/>
    <s v="Candidate"/>
    <m/>
    <s v="C1334"/>
    <s v="Candidate_334"/>
    <s v="08/11/2022"/>
    <x v="2"/>
    <s v="Job Board"/>
    <n v="6"/>
    <m/>
    <x v="0"/>
    <m/>
    <m/>
    <x v="0"/>
    <x v="0"/>
    <m/>
    <x v="0"/>
    <x v="0"/>
  </r>
  <r>
    <n v="2445"/>
    <s v="2445 | Program Office"/>
    <x v="3"/>
    <x v="1"/>
    <x v="6"/>
    <x v="8"/>
    <s v="Program Office-Extension Officer"/>
    <x v="0"/>
    <d v="2022-11-03T18:32:00"/>
    <x v="0"/>
    <x v="81"/>
    <n v="5"/>
    <d v="2022-11-21T18:32:00"/>
    <s v="No"/>
    <m/>
    <x v="2"/>
    <x v="1"/>
    <m/>
    <m/>
    <m/>
    <m/>
    <m/>
    <m/>
    <x v="0"/>
    <m/>
    <m/>
    <m/>
    <m/>
    <m/>
    <m/>
    <s v="C1335"/>
    <s v="Candidate_335"/>
    <m/>
    <x v="1"/>
    <s v="Linkedin"/>
    <n v="6"/>
    <m/>
    <x v="0"/>
    <m/>
    <m/>
    <x v="0"/>
    <x v="0"/>
    <m/>
    <x v="0"/>
    <x v="0"/>
  </r>
  <r>
    <n v="2443"/>
    <s v="2443 | Program Office"/>
    <x v="3"/>
    <x v="1"/>
    <x v="6"/>
    <x v="8"/>
    <s v="Program Office-Extension Officer"/>
    <x v="0"/>
    <d v="2022-10-31T18:32:00"/>
    <x v="155"/>
    <x v="81"/>
    <n v="8"/>
    <d v="2022-11-27T18:32:00"/>
    <s v="Yes"/>
    <d v="2022-11-14T18:32:00"/>
    <x v="0"/>
    <x v="0"/>
    <m/>
    <m/>
    <m/>
    <m/>
    <d v="2022-11-17T18:32:00"/>
    <m/>
    <x v="0"/>
    <m/>
    <m/>
    <m/>
    <m/>
    <s v="Candidate"/>
    <m/>
    <s v="C1336"/>
    <s v="Candidate_336"/>
    <s v="Nov 08 2022"/>
    <x v="1"/>
    <s v="Linkedin"/>
    <n v="6"/>
    <m/>
    <x v="0"/>
    <m/>
    <m/>
    <x v="0"/>
    <x v="0"/>
    <m/>
    <x v="1"/>
    <x v="0"/>
  </r>
  <r>
    <n v="2441"/>
    <s v="2441 | Program Office"/>
    <x v="4"/>
    <x v="1"/>
    <x v="6"/>
    <x v="8"/>
    <s v="Program Office-Extension Officer"/>
    <x v="0"/>
    <d v="2022-11-03T18:32:00"/>
    <x v="229"/>
    <x v="4"/>
    <n v="-44868.772222222222"/>
    <d v="2022-12-08T18:32:00"/>
    <s v="Yes"/>
    <d v="2022-11-15T18:32:00"/>
    <x v="0"/>
    <x v="5"/>
    <m/>
    <m/>
    <m/>
    <m/>
    <d v="2022-11-18T18:32:00"/>
    <m/>
    <x v="0"/>
    <m/>
    <m/>
    <m/>
    <m/>
    <s v="Candidate"/>
    <m/>
    <s v="C1337"/>
    <s v="Candidate_337"/>
    <s v="10-28-2022"/>
    <x v="2"/>
    <s v="Job Board"/>
    <n v="3"/>
    <m/>
    <x v="0"/>
    <m/>
    <m/>
    <x v="0"/>
    <x v="0"/>
    <m/>
    <x v="0"/>
    <x v="0"/>
  </r>
  <r>
    <n v="2409"/>
    <s v="2409 | Program Office"/>
    <x v="4"/>
    <x v="1"/>
    <x v="6"/>
    <x v="8"/>
    <s v="Program Office-Extension Officer"/>
    <x v="0"/>
    <m/>
    <x v="75"/>
    <x v="49"/>
    <n v="45022.0859837963"/>
    <d v="2023-04-24T02:03:49"/>
    <s v="Yes"/>
    <d v="2023-04-20T02:03:49"/>
    <x v="1"/>
    <x v="1"/>
    <d v="2023-04-25T02:03:49"/>
    <s v="Declined"/>
    <m/>
    <m/>
    <d v="2023-04-22T02:03:49"/>
    <m/>
    <x v="0"/>
    <m/>
    <m/>
    <m/>
    <m/>
    <m/>
    <m/>
    <s v="C1338"/>
    <s v="Candidate_338"/>
    <s v="04-10-2023"/>
    <x v="2"/>
    <s v="Job Board"/>
    <n v="6"/>
    <m/>
    <x v="0"/>
    <m/>
    <m/>
    <x v="0"/>
    <x v="0"/>
    <m/>
    <x v="0"/>
    <x v="0"/>
  </r>
  <r>
    <n v="2407"/>
    <s v="2407 | Program Office"/>
    <x v="5"/>
    <x v="1"/>
    <x v="6"/>
    <x v="8"/>
    <s v="Program Office-Extension Officer"/>
    <x v="0"/>
    <d v="2023-03-28T02:03:49"/>
    <x v="157"/>
    <x v="49"/>
    <n v="9"/>
    <d v="2023-05-05T02:03:49"/>
    <s v="Yes"/>
    <d v="2023-04-18T02:03:49"/>
    <x v="0"/>
    <x v="2"/>
    <m/>
    <m/>
    <m/>
    <m/>
    <d v="2023-04-19T02:03:49"/>
    <m/>
    <x v="0"/>
    <m/>
    <m/>
    <m/>
    <m/>
    <s v="Candidate"/>
    <m/>
    <s v="C1339"/>
    <s v="Candidate_339"/>
    <s v="03-31-2023"/>
    <x v="0"/>
    <s v="Referral"/>
    <n v="3"/>
    <m/>
    <x v="0"/>
    <m/>
    <m/>
    <x v="0"/>
    <x v="0"/>
    <m/>
    <x v="1"/>
    <x v="0"/>
  </r>
  <r>
    <n v="2402"/>
    <s v="2402 | Program Office"/>
    <x v="4"/>
    <x v="1"/>
    <x v="6"/>
    <x v="8"/>
    <s v="Program Office-Extension Officer"/>
    <x v="0"/>
    <d v="2023-03-30T02:03:49"/>
    <x v="0"/>
    <x v="49"/>
    <n v="7"/>
    <d v="2023-04-30T02:03:49"/>
    <s v="Yes"/>
    <d v="2023-04-20T02:03:49"/>
    <x v="0"/>
    <x v="3"/>
    <m/>
    <m/>
    <m/>
    <m/>
    <d v="2023-04-22T02:03:49"/>
    <m/>
    <x v="0"/>
    <m/>
    <m/>
    <m/>
    <m/>
    <s v="Company"/>
    <m/>
    <s v="C1340"/>
    <s v="Candidate_340"/>
    <s v="04-05-2023"/>
    <x v="1"/>
    <s v="Linkedin"/>
    <n v="6"/>
    <m/>
    <x v="0"/>
    <m/>
    <m/>
    <x v="0"/>
    <x v="0"/>
    <m/>
    <x v="0"/>
    <x v="0"/>
  </r>
  <r>
    <n v="2389"/>
    <s v="2389 | Program Office"/>
    <x v="5"/>
    <x v="1"/>
    <x v="6"/>
    <x v="8"/>
    <s v="Program Office-Extension Officer"/>
    <x v="0"/>
    <m/>
    <x v="76"/>
    <x v="50"/>
    <n v="45036.529537037037"/>
    <d v="2023-04-27T12:42:32"/>
    <s v="Yes"/>
    <d v="2023-04-28T12:42:32"/>
    <x v="1"/>
    <x v="1"/>
    <d v="2023-05-04T12:42:32"/>
    <s v="Declined"/>
    <m/>
    <m/>
    <d v="2023-05-02T12:42:32"/>
    <m/>
    <x v="0"/>
    <m/>
    <m/>
    <m/>
    <m/>
    <m/>
    <m/>
    <s v="C1341"/>
    <s v="Candidate_341"/>
    <s v="Apr 17 2023"/>
    <x v="2"/>
    <s v="Job Board"/>
    <n v="6"/>
    <m/>
    <x v="0"/>
    <m/>
    <m/>
    <x v="0"/>
    <x v="0"/>
    <m/>
    <x v="0"/>
    <x v="0"/>
  </r>
  <r>
    <n v="2385"/>
    <s v="2385 | Program Office"/>
    <x v="5"/>
    <x v="1"/>
    <x v="6"/>
    <x v="8"/>
    <s v="Program Office-Extension Officer"/>
    <x v="0"/>
    <d v="2023-04-16T12:42:32"/>
    <x v="0"/>
    <x v="50"/>
    <n v="4"/>
    <d v="2023-05-03T12:42:32"/>
    <s v="Yes"/>
    <d v="2023-04-23T12:42:32"/>
    <x v="0"/>
    <x v="3"/>
    <m/>
    <m/>
    <m/>
    <m/>
    <m/>
    <m/>
    <x v="0"/>
    <m/>
    <m/>
    <m/>
    <m/>
    <s v="Candidate"/>
    <m/>
    <s v="C1342"/>
    <s v="Candidate_342"/>
    <s v="Apr 12 2023"/>
    <x v="2"/>
    <s v="Job Board"/>
    <n v="3"/>
    <m/>
    <x v="0"/>
    <m/>
    <m/>
    <x v="0"/>
    <x v="0"/>
    <m/>
    <x v="0"/>
    <x v="0"/>
  </r>
  <r>
    <n v="2381"/>
    <s v="2381 | Program Office"/>
    <x v="3"/>
    <x v="1"/>
    <x v="6"/>
    <x v="8"/>
    <s v="Program Office-Extension Officer"/>
    <x v="0"/>
    <d v="2023-04-14T12:42:32"/>
    <x v="230"/>
    <x v="50"/>
    <n v="6"/>
    <d v="2023-05-07T12:42:32"/>
    <s v="Yes"/>
    <d v="2023-05-03T12:42:32"/>
    <x v="3"/>
    <x v="1"/>
    <d v="2023-05-08T12:42:32"/>
    <s v="Accepted"/>
    <d v="2023-05-04T12:42:32"/>
    <d v="2023-05-08T12:42:32"/>
    <d v="2023-05-04T12:42:32"/>
    <d v="2023-05-14T12:42:32"/>
    <x v="1"/>
    <d v="2023-05-16T12:42:32"/>
    <d v="2023-05-19T12:42:32"/>
    <d v="2023-05-22T12:42:32"/>
    <m/>
    <m/>
    <d v="2023-05-30T12:42:32"/>
    <s v="C1343"/>
    <s v="Candidate_343"/>
    <s v="04-20-2023"/>
    <x v="0"/>
    <s v="Referral"/>
    <n v="3"/>
    <m/>
    <x v="0"/>
    <m/>
    <m/>
    <x v="0"/>
    <x v="0"/>
    <m/>
    <x v="46"/>
    <x v="0"/>
  </r>
  <r>
    <n v="2367"/>
    <s v="2367 | Program Office"/>
    <x v="4"/>
    <x v="1"/>
    <x v="6"/>
    <x v="8"/>
    <s v="Program Office-Extension Officer"/>
    <x v="0"/>
    <m/>
    <x v="231"/>
    <x v="4"/>
    <n v="0"/>
    <d v="2023-03-12T06:26:17"/>
    <s v="Yes"/>
    <d v="2023-03-02T06:26:17"/>
    <x v="0"/>
    <x v="2"/>
    <m/>
    <m/>
    <m/>
    <m/>
    <m/>
    <m/>
    <x v="0"/>
    <m/>
    <m/>
    <m/>
    <m/>
    <s v="Candidate"/>
    <m/>
    <s v="C1344"/>
    <s v="Candidate_344"/>
    <s v="19/02/2023"/>
    <x v="1"/>
    <s v="Linkedin"/>
    <n v="3"/>
    <m/>
    <x v="0"/>
    <m/>
    <m/>
    <x v="0"/>
    <x v="0"/>
    <m/>
    <x v="0"/>
    <x v="0"/>
  </r>
  <r>
    <n v="2362"/>
    <s v="2362 | Program Office"/>
    <x v="4"/>
    <x v="1"/>
    <x v="6"/>
    <x v="8"/>
    <s v="Program Office-Extension Officer"/>
    <x v="0"/>
    <d v="2023-02-16T06:26:17"/>
    <x v="0"/>
    <x v="19"/>
    <n v="7"/>
    <d v="2023-03-07T06:26:17"/>
    <s v="Yes"/>
    <d v="2023-03-07T06:26:17"/>
    <x v="0"/>
    <x v="2"/>
    <m/>
    <m/>
    <m/>
    <m/>
    <d v="2023-03-10T06:26:17"/>
    <m/>
    <x v="0"/>
    <m/>
    <m/>
    <m/>
    <m/>
    <s v="Company"/>
    <m/>
    <s v="C1345"/>
    <s v="Candidate_345"/>
    <s v="02-21-2023"/>
    <x v="0"/>
    <s v="Referral"/>
    <n v="3"/>
    <m/>
    <x v="0"/>
    <m/>
    <m/>
    <x v="0"/>
    <x v="0"/>
    <m/>
    <x v="0"/>
    <x v="0"/>
  </r>
  <r>
    <n v="2319"/>
    <s v="2319 | Program Office"/>
    <x v="4"/>
    <x v="1"/>
    <x v="6"/>
    <x v="8"/>
    <s v="Program Office-Extension Officer"/>
    <x v="0"/>
    <d v="2022-04-23T00:53:43"/>
    <x v="232"/>
    <x v="20"/>
    <n v="3"/>
    <d v="2022-05-18T00:53:43"/>
    <s v="Yes"/>
    <d v="2022-05-11T00:53:43"/>
    <x v="0"/>
    <x v="5"/>
    <m/>
    <m/>
    <m/>
    <m/>
    <d v="2022-05-13T00:53:43"/>
    <m/>
    <x v="0"/>
    <m/>
    <m/>
    <m/>
    <m/>
    <s v="Candidate"/>
    <m/>
    <s v="C1346"/>
    <s v="Candidate_346"/>
    <s v="Apr 25 2022"/>
    <x v="2"/>
    <s v="Job Board"/>
    <n v="6"/>
    <m/>
    <x v="0"/>
    <m/>
    <m/>
    <x v="0"/>
    <x v="0"/>
    <m/>
    <x v="1"/>
    <x v="0"/>
  </r>
  <r>
    <n v="2268"/>
    <s v="2268 | Program Office"/>
    <x v="3"/>
    <x v="1"/>
    <x v="6"/>
    <x v="8"/>
    <s v="Program Office-Extension Officer"/>
    <x v="0"/>
    <d v="2023-04-10T22:30:17"/>
    <x v="80"/>
    <x v="51"/>
    <n v="10"/>
    <d v="2023-05-20T22:30:17"/>
    <s v="Yes"/>
    <d v="2023-05-06T22:30:17"/>
    <x v="0"/>
    <x v="5"/>
    <m/>
    <m/>
    <m/>
    <m/>
    <d v="2023-05-10T22:30:17"/>
    <m/>
    <x v="0"/>
    <m/>
    <m/>
    <m/>
    <m/>
    <s v="Candidate"/>
    <m/>
    <s v="C1347"/>
    <s v="Candidate_347"/>
    <s v="Apr 26 2023"/>
    <x v="1"/>
    <s v="Linkedin"/>
    <n v="3"/>
    <m/>
    <x v="0"/>
    <m/>
    <m/>
    <x v="0"/>
    <x v="0"/>
    <m/>
    <x v="1"/>
    <x v="0"/>
  </r>
  <r>
    <n v="2266"/>
    <s v="2266 | Program Office"/>
    <x v="3"/>
    <x v="1"/>
    <x v="6"/>
    <x v="8"/>
    <s v="Program Office-Extension Officer"/>
    <x v="0"/>
    <d v="2023-04-14T22:30:17"/>
    <x v="0"/>
    <x v="4"/>
    <n v="-45030.937696759262"/>
    <d v="2023-05-12T22:30:17"/>
    <s v="No"/>
    <m/>
    <x v="2"/>
    <x v="1"/>
    <m/>
    <m/>
    <m/>
    <m/>
    <m/>
    <m/>
    <x v="0"/>
    <m/>
    <m/>
    <m/>
    <m/>
    <m/>
    <m/>
    <s v="C1348"/>
    <s v="Candidate_348"/>
    <m/>
    <x v="0"/>
    <s v="Referral"/>
    <n v="3"/>
    <m/>
    <x v="0"/>
    <m/>
    <m/>
    <x v="0"/>
    <x v="0"/>
    <m/>
    <x v="0"/>
    <x v="0"/>
  </r>
  <r>
    <n v="2261"/>
    <s v="2261 | Program Office"/>
    <x v="4"/>
    <x v="1"/>
    <x v="6"/>
    <x v="8"/>
    <s v="Program Office-Extension Officer"/>
    <x v="0"/>
    <d v="2023-04-11T22:30:17"/>
    <x v="233"/>
    <x v="51"/>
    <n v="9"/>
    <d v="2023-05-07T22:30:17"/>
    <s v="Yes"/>
    <d v="2023-04-25T22:30:17"/>
    <x v="0"/>
    <x v="0"/>
    <m/>
    <m/>
    <m/>
    <m/>
    <d v="2023-04-29T22:30:17"/>
    <m/>
    <x v="0"/>
    <m/>
    <m/>
    <m/>
    <m/>
    <s v="Company"/>
    <m/>
    <s v="C1349"/>
    <s v="Candidate_349"/>
    <s v="04-15-2023"/>
    <x v="1"/>
    <s v="Linkedin"/>
    <n v="6"/>
    <m/>
    <x v="0"/>
    <m/>
    <m/>
    <x v="0"/>
    <x v="0"/>
    <m/>
    <x v="1"/>
    <x v="0"/>
  </r>
  <r>
    <n v="2242"/>
    <s v="2242 | Program Office"/>
    <x v="5"/>
    <x v="1"/>
    <x v="6"/>
    <x v="8"/>
    <s v="Program Office-Extension Officer"/>
    <x v="0"/>
    <d v="2022-12-31T14:26:31"/>
    <x v="234"/>
    <x v="21"/>
    <n v="3"/>
    <d v="2023-01-26T14:26:31"/>
    <s v="Yes"/>
    <d v="2023-01-16T14:26:31"/>
    <x v="0"/>
    <x v="0"/>
    <m/>
    <m/>
    <m/>
    <m/>
    <m/>
    <m/>
    <x v="0"/>
    <m/>
    <m/>
    <m/>
    <m/>
    <s v="Company"/>
    <m/>
    <s v="C1350"/>
    <s v="Candidate_350"/>
    <s v="01-02-2023"/>
    <x v="0"/>
    <s v="Referral"/>
    <n v="6"/>
    <m/>
    <x v="0"/>
    <m/>
    <m/>
    <x v="0"/>
    <x v="0"/>
    <m/>
    <x v="1"/>
    <x v="0"/>
  </r>
  <r>
    <n v="2199"/>
    <s v="2199 | Program Office"/>
    <x v="4"/>
    <x v="1"/>
    <x v="6"/>
    <x v="8"/>
    <s v="Program Office-Extension Officer"/>
    <x v="0"/>
    <d v="2022-08-28T03:59:03"/>
    <x v="235"/>
    <x v="53"/>
    <n v="6"/>
    <d v="2022-09-16T03:59:03"/>
    <s v="Yes"/>
    <d v="2022-09-20T03:59:03"/>
    <x v="1"/>
    <x v="1"/>
    <d v="2022-09-23T03:59:03"/>
    <s v="Declined"/>
    <m/>
    <m/>
    <d v="2022-09-21T03:59:03"/>
    <m/>
    <x v="0"/>
    <m/>
    <m/>
    <m/>
    <m/>
    <m/>
    <m/>
    <s v="C1351"/>
    <s v="Candidate_351"/>
    <s v="12/09/2022"/>
    <x v="1"/>
    <s v="Linkedin"/>
    <n v="6"/>
    <m/>
    <x v="0"/>
    <m/>
    <m/>
    <x v="0"/>
    <x v="0"/>
    <m/>
    <x v="1"/>
    <x v="0"/>
  </r>
  <r>
    <n v="2198"/>
    <s v="2198 | Program Office"/>
    <x v="5"/>
    <x v="1"/>
    <x v="6"/>
    <x v="8"/>
    <s v="Program Office-Extension Officer"/>
    <x v="0"/>
    <d v="2022-08-25T03:59:03"/>
    <x v="0"/>
    <x v="53"/>
    <n v="9"/>
    <d v="2022-09-14T03:59:03"/>
    <s v="No"/>
    <m/>
    <x v="2"/>
    <x v="1"/>
    <m/>
    <m/>
    <m/>
    <m/>
    <m/>
    <m/>
    <x v="0"/>
    <m/>
    <m/>
    <m/>
    <m/>
    <m/>
    <m/>
    <s v="C1352"/>
    <s v="Candidate_352"/>
    <m/>
    <x v="1"/>
    <s v="Linkedin"/>
    <n v="6"/>
    <m/>
    <x v="0"/>
    <m/>
    <m/>
    <x v="0"/>
    <x v="0"/>
    <m/>
    <x v="0"/>
    <x v="0"/>
  </r>
  <r>
    <n v="2196"/>
    <s v="2196 | Program Office"/>
    <x v="4"/>
    <x v="1"/>
    <x v="6"/>
    <x v="8"/>
    <s v="Program Office-Extension Officer"/>
    <x v="0"/>
    <m/>
    <x v="236"/>
    <x v="53"/>
    <n v="44807.166006944448"/>
    <d v="2022-09-10T03:59:03"/>
    <s v="Yes"/>
    <d v="2022-09-10T03:59:03"/>
    <x v="3"/>
    <x v="1"/>
    <d v="2022-09-16T03:59:03"/>
    <s v="Accepted"/>
    <d v="2022-09-12T03:59:03"/>
    <d v="2022-09-14T03:59:03"/>
    <d v="2022-09-12T03:59:03"/>
    <d v="2022-09-18T03:59:03"/>
    <x v="1"/>
    <d v="2022-09-21T03:59:03"/>
    <d v="2022-09-23T03:59:03"/>
    <d v="2022-09-26T03:59:03"/>
    <m/>
    <m/>
    <d v="2022-10-03T03:59:03"/>
    <s v="C1353"/>
    <s v="Candidate_353"/>
    <s v="08-26-2022"/>
    <x v="1"/>
    <s v="Linkedin"/>
    <n v="3"/>
    <m/>
    <x v="0"/>
    <m/>
    <m/>
    <x v="0"/>
    <x v="0"/>
    <m/>
    <x v="0"/>
    <x v="0"/>
  </r>
  <r>
    <n v="2194"/>
    <s v="2194 | Program Office"/>
    <x v="4"/>
    <x v="1"/>
    <x v="6"/>
    <x v="8"/>
    <s v="Program Office-Extension Officer"/>
    <x v="0"/>
    <d v="2022-08-28T03:59:03"/>
    <x v="237"/>
    <x v="53"/>
    <n v="6"/>
    <d v="2022-09-19T03:59:03"/>
    <s v="Yes"/>
    <d v="2022-09-14T03:59:03"/>
    <x v="3"/>
    <x v="1"/>
    <d v="2022-09-22T03:59:03"/>
    <s v="Accepted"/>
    <d v="2022-09-16T03:59:03"/>
    <d v="2022-09-20T03:59:03"/>
    <d v="2022-09-18T03:59:03"/>
    <d v="2022-09-21T03:59:03"/>
    <x v="1"/>
    <d v="2022-09-25T03:59:03"/>
    <d v="2022-09-27T03:59:03"/>
    <d v="2022-09-29T03:59:03"/>
    <m/>
    <m/>
    <d v="2022-10-21T03:59:03"/>
    <s v="C1354"/>
    <s v="Candidate_354"/>
    <s v="Aug 29 2022"/>
    <x v="1"/>
    <s v="Linkedin"/>
    <n v="6"/>
    <m/>
    <x v="0"/>
    <m/>
    <m/>
    <x v="0"/>
    <x v="0"/>
    <m/>
    <x v="47"/>
    <x v="0"/>
  </r>
  <r>
    <n v="2193"/>
    <s v="2193 | Program Office"/>
    <x v="4"/>
    <x v="1"/>
    <x v="6"/>
    <x v="8"/>
    <s v="Program Office-Extension Officer"/>
    <x v="0"/>
    <d v="2022-08-28T03:59:03"/>
    <x v="236"/>
    <x v="53"/>
    <n v="6"/>
    <d v="2022-09-16T03:59:03"/>
    <s v="Yes"/>
    <d v="2022-09-13T03:59:03"/>
    <x v="0"/>
    <x v="2"/>
    <m/>
    <m/>
    <m/>
    <m/>
    <d v="2022-09-16T03:59:03"/>
    <m/>
    <x v="0"/>
    <m/>
    <m/>
    <m/>
    <m/>
    <s v="Candidate"/>
    <m/>
    <s v="C1355"/>
    <s v="Candidate_355"/>
    <s v="28/08/2022"/>
    <x v="1"/>
    <s v="Linkedin"/>
    <n v="6"/>
    <m/>
    <x v="0"/>
    <m/>
    <m/>
    <x v="0"/>
    <x v="0"/>
    <m/>
    <x v="1"/>
    <x v="0"/>
  </r>
  <r>
    <n v="2117"/>
    <s v="2117 | Program Office"/>
    <x v="3"/>
    <x v="1"/>
    <x v="6"/>
    <x v="8"/>
    <s v="Program Office-Extension Officer"/>
    <x v="0"/>
    <d v="2023-04-15T01:19:50"/>
    <x v="238"/>
    <x v="54"/>
    <n v="7"/>
    <d v="2023-05-18T01:19:50"/>
    <s v="Yes"/>
    <d v="2023-04-29T01:19:50"/>
    <x v="0"/>
    <x v="0"/>
    <m/>
    <m/>
    <m/>
    <m/>
    <m/>
    <m/>
    <x v="0"/>
    <m/>
    <m/>
    <m/>
    <m/>
    <s v="Candidate"/>
    <m/>
    <s v="C1356"/>
    <s v="Candidate_356"/>
    <s v="12/04/2023"/>
    <x v="0"/>
    <s v="Referral"/>
    <n v="3"/>
    <m/>
    <x v="0"/>
    <m/>
    <m/>
    <x v="0"/>
    <x v="0"/>
    <m/>
    <x v="1"/>
    <x v="0"/>
  </r>
  <r>
    <n v="1983"/>
    <s v="1983 | Program Office"/>
    <x v="4"/>
    <x v="1"/>
    <x v="6"/>
    <x v="8"/>
    <s v="Program Office-Extension Officer"/>
    <x v="0"/>
    <d v="2022-02-01T08:53:26"/>
    <x v="0"/>
    <x v="55"/>
    <n v="8"/>
    <d v="2022-02-26T08:53:26"/>
    <s v="No"/>
    <m/>
    <x v="2"/>
    <x v="1"/>
    <m/>
    <m/>
    <m/>
    <m/>
    <m/>
    <m/>
    <x v="0"/>
    <m/>
    <m/>
    <m/>
    <m/>
    <m/>
    <m/>
    <s v="C1357"/>
    <s v="Candidate_357"/>
    <m/>
    <x v="1"/>
    <s v="Linkedin"/>
    <n v="6"/>
    <m/>
    <x v="0"/>
    <m/>
    <m/>
    <x v="0"/>
    <x v="0"/>
    <m/>
    <x v="0"/>
    <x v="0"/>
  </r>
  <r>
    <n v="1974"/>
    <s v="1974 | Program Office"/>
    <x v="4"/>
    <x v="1"/>
    <x v="6"/>
    <x v="8"/>
    <s v="Program Office-Extension Officer"/>
    <x v="0"/>
    <d v="2022-10-20T11:57:41"/>
    <x v="239"/>
    <x v="24"/>
    <n v="6"/>
    <d v="2022-11-24T11:57:41"/>
    <s v="Yes"/>
    <d v="2022-11-11T11:57:41"/>
    <x v="0"/>
    <x v="3"/>
    <m/>
    <m/>
    <m/>
    <m/>
    <d v="2022-11-13T11:57:41"/>
    <m/>
    <x v="0"/>
    <m/>
    <m/>
    <m/>
    <m/>
    <s v="Company"/>
    <m/>
    <s v="C1358"/>
    <s v="Candidate_358"/>
    <s v="Oct 24 2022"/>
    <x v="0"/>
    <s v="Referral"/>
    <n v="6"/>
    <m/>
    <x v="0"/>
    <m/>
    <m/>
    <x v="0"/>
    <x v="0"/>
    <m/>
    <x v="1"/>
    <x v="0"/>
  </r>
  <r>
    <n v="1965"/>
    <s v="1965 | Program Office"/>
    <x v="3"/>
    <x v="1"/>
    <x v="6"/>
    <x v="8"/>
    <s v="Program Office-Extension Officer"/>
    <x v="0"/>
    <d v="2022-12-02T10:23:18"/>
    <x v="0"/>
    <x v="56"/>
    <n v="5"/>
    <d v="2022-12-22T10:23:18"/>
    <s v="Yes"/>
    <d v="2022-12-19T10:23:18"/>
    <x v="3"/>
    <x v="1"/>
    <d v="2022-12-26T10:23:18"/>
    <s v="Accepted"/>
    <d v="2022-12-21T10:23:18"/>
    <d v="2022-12-23T10:23:18"/>
    <d v="2022-12-22T10:23:18"/>
    <d v="2022-12-23T10:23:18"/>
    <x v="1"/>
    <d v="2022-12-27T10:23:18"/>
    <d v="2022-12-30T10:23:18"/>
    <d v="2023-01-01T10:23:18"/>
    <m/>
    <m/>
    <d v="2023-01-21T10:23:18"/>
    <s v="C1359"/>
    <s v="Candidate_359"/>
    <s v="12-11-2022"/>
    <x v="2"/>
    <s v="Job Board"/>
    <n v="6"/>
    <m/>
    <x v="0"/>
    <m/>
    <m/>
    <x v="0"/>
    <x v="0"/>
    <m/>
    <x v="0"/>
    <x v="0"/>
  </r>
  <r>
    <n v="1963"/>
    <s v="1963 | Program Office"/>
    <x v="3"/>
    <x v="1"/>
    <x v="6"/>
    <x v="8"/>
    <s v="Program Office-Extension Officer"/>
    <x v="0"/>
    <d v="2022-12-02T10:23:18"/>
    <x v="240"/>
    <x v="56"/>
    <n v="5"/>
    <d v="2022-12-19T10:23:18"/>
    <s v="Yes"/>
    <d v="2022-12-17T10:23:18"/>
    <x v="0"/>
    <x v="0"/>
    <m/>
    <m/>
    <m/>
    <m/>
    <d v="2022-12-18T10:23:18"/>
    <m/>
    <x v="0"/>
    <m/>
    <m/>
    <m/>
    <m/>
    <s v="Company"/>
    <m/>
    <s v="C1360"/>
    <s v="Candidate_360"/>
    <s v="12-10-2022"/>
    <x v="2"/>
    <s v="Job Board"/>
    <n v="3"/>
    <m/>
    <x v="0"/>
    <m/>
    <m/>
    <x v="0"/>
    <x v="0"/>
    <m/>
    <x v="1"/>
    <x v="0"/>
  </r>
  <r>
    <n v="1962"/>
    <s v="1962 | Program Office"/>
    <x v="5"/>
    <x v="1"/>
    <x v="6"/>
    <x v="8"/>
    <s v="Program Office-Extension Officer"/>
    <x v="0"/>
    <d v="2022-12-02T10:23:18"/>
    <x v="94"/>
    <x v="56"/>
    <n v="5"/>
    <d v="2022-12-20T10:23:18"/>
    <s v="Yes"/>
    <d v="2022-12-09T10:23:18"/>
    <x v="0"/>
    <x v="5"/>
    <m/>
    <m/>
    <m/>
    <m/>
    <d v="2022-12-13T10:23:18"/>
    <m/>
    <x v="0"/>
    <m/>
    <m/>
    <m/>
    <m/>
    <s v="Candidate"/>
    <m/>
    <s v="C1361"/>
    <s v="Candidate_361"/>
    <s v="27/11/2022"/>
    <x v="2"/>
    <s v="Job Board"/>
    <n v="6"/>
    <m/>
    <x v="0"/>
    <m/>
    <m/>
    <x v="0"/>
    <x v="0"/>
    <m/>
    <x v="1"/>
    <x v="0"/>
  </r>
  <r>
    <n v="1852"/>
    <s v="1852 | Program Office"/>
    <x v="4"/>
    <x v="1"/>
    <x v="6"/>
    <x v="8"/>
    <s v="Program Office-Extension Officer"/>
    <x v="0"/>
    <d v="2022-11-10T01:50:58"/>
    <x v="96"/>
    <x v="57"/>
    <n v="7"/>
    <d v="2022-12-04T01:50:58"/>
    <s v="No"/>
    <m/>
    <x v="2"/>
    <x v="1"/>
    <m/>
    <m/>
    <m/>
    <m/>
    <m/>
    <m/>
    <x v="0"/>
    <m/>
    <m/>
    <m/>
    <m/>
    <m/>
    <m/>
    <s v="C1362"/>
    <s v="Candidate_362"/>
    <m/>
    <x v="1"/>
    <s v="Linkedin"/>
    <n v="6"/>
    <m/>
    <x v="0"/>
    <m/>
    <m/>
    <x v="0"/>
    <x v="0"/>
    <m/>
    <x v="1"/>
    <x v="0"/>
  </r>
  <r>
    <n v="1818"/>
    <s v="1818 | Program Office"/>
    <x v="4"/>
    <x v="1"/>
    <x v="6"/>
    <x v="8"/>
    <s v="Program Office-Extension Officer"/>
    <x v="0"/>
    <d v="2022-09-20T04:28:24"/>
    <x v="241"/>
    <x v="25"/>
    <n v="5"/>
    <d v="2022-10-07T04:28:24"/>
    <s v="Yes"/>
    <d v="2022-10-11T04:28:24"/>
    <x v="0"/>
    <x v="0"/>
    <m/>
    <m/>
    <m/>
    <m/>
    <m/>
    <m/>
    <x v="0"/>
    <m/>
    <m/>
    <m/>
    <m/>
    <s v="Company"/>
    <m/>
    <s v="C1363"/>
    <s v="Candidate_363"/>
    <s v="10-06-2022"/>
    <x v="1"/>
    <s v="Linkedin"/>
    <n v="6"/>
    <m/>
    <x v="0"/>
    <m/>
    <m/>
    <x v="0"/>
    <x v="0"/>
    <m/>
    <x v="1"/>
    <x v="0"/>
  </r>
  <r>
    <n v="1814"/>
    <s v="1814 | Program Office"/>
    <x v="4"/>
    <x v="1"/>
    <x v="6"/>
    <x v="8"/>
    <s v="Program Office-Extension Officer"/>
    <x v="0"/>
    <d v="2022-09-18T04:28:24"/>
    <x v="242"/>
    <x v="25"/>
    <n v="7"/>
    <d v="2022-10-09T04:28:24"/>
    <s v="Yes"/>
    <d v="2022-10-03T04:28:24"/>
    <x v="0"/>
    <x v="5"/>
    <m/>
    <m/>
    <m/>
    <m/>
    <m/>
    <m/>
    <x v="0"/>
    <m/>
    <m/>
    <m/>
    <m/>
    <s v="Company"/>
    <m/>
    <s v="C1364"/>
    <s v="Candidate_364"/>
    <s v="Sep 16 2022"/>
    <x v="0"/>
    <s v="Referral"/>
    <n v="3"/>
    <m/>
    <x v="0"/>
    <m/>
    <m/>
    <x v="0"/>
    <x v="0"/>
    <m/>
    <x v="1"/>
    <x v="0"/>
  </r>
  <r>
    <n v="1810"/>
    <s v="1810 | Program Office"/>
    <x v="3"/>
    <x v="1"/>
    <x v="6"/>
    <x v="8"/>
    <s v="Program Office-Extension Officer"/>
    <x v="0"/>
    <d v="2023-07-15T00:25:30"/>
    <x v="41"/>
    <x v="26"/>
    <n v="5"/>
    <d v="2023-08-05T00:25:30"/>
    <s v="Yes"/>
    <d v="2023-08-05T00:25:30"/>
    <x v="0"/>
    <x v="4"/>
    <m/>
    <m/>
    <m/>
    <m/>
    <d v="2023-08-08T00:25:30"/>
    <m/>
    <x v="0"/>
    <m/>
    <m/>
    <m/>
    <m/>
    <s v="Candidate"/>
    <m/>
    <s v="C1365"/>
    <s v="Candidate_365"/>
    <s v="21/07/2023"/>
    <x v="1"/>
    <s v="Linkedin"/>
    <n v="3"/>
    <m/>
    <x v="0"/>
    <m/>
    <m/>
    <x v="0"/>
    <x v="0"/>
    <m/>
    <x v="1"/>
    <x v="0"/>
  </r>
  <r>
    <n v="1804"/>
    <s v="1804 | Program Office"/>
    <x v="5"/>
    <x v="1"/>
    <x v="6"/>
    <x v="8"/>
    <s v="Program Office-Extension Officer"/>
    <x v="0"/>
    <d v="2023-07-16T00:25:30"/>
    <x v="243"/>
    <x v="26"/>
    <n v="4"/>
    <d v="2023-08-07T00:25:30"/>
    <s v="Yes"/>
    <d v="2023-08-04T00:25:30"/>
    <x v="0"/>
    <x v="3"/>
    <m/>
    <m/>
    <m/>
    <m/>
    <m/>
    <m/>
    <x v="0"/>
    <m/>
    <m/>
    <m/>
    <m/>
    <s v="Company"/>
    <m/>
    <s v="C1366"/>
    <s v="Candidate_366"/>
    <s v="26/07/2023"/>
    <x v="1"/>
    <s v="Linkedin"/>
    <n v="6"/>
    <m/>
    <x v="0"/>
    <m/>
    <m/>
    <x v="0"/>
    <x v="0"/>
    <m/>
    <x v="1"/>
    <x v="0"/>
  </r>
  <r>
    <n v="1799"/>
    <s v="1799 | Program Office"/>
    <x v="4"/>
    <x v="1"/>
    <x v="6"/>
    <x v="8"/>
    <s v="Program Office-Extension Officer"/>
    <x v="0"/>
    <d v="2022-09-28T11:30:38"/>
    <x v="244"/>
    <x v="58"/>
    <n v="5"/>
    <d v="2022-10-14T11:30:38"/>
    <s v="No"/>
    <m/>
    <x v="2"/>
    <x v="1"/>
    <m/>
    <m/>
    <m/>
    <m/>
    <m/>
    <m/>
    <x v="0"/>
    <m/>
    <m/>
    <m/>
    <m/>
    <m/>
    <m/>
    <s v="C1367"/>
    <s v="Candidate_367"/>
    <m/>
    <x v="0"/>
    <s v="Referral"/>
    <n v="6"/>
    <m/>
    <x v="0"/>
    <m/>
    <m/>
    <x v="0"/>
    <x v="0"/>
    <m/>
    <x v="1"/>
    <x v="0"/>
  </r>
  <r>
    <n v="1688"/>
    <s v="1688 | Program Office"/>
    <x v="4"/>
    <x v="1"/>
    <x v="6"/>
    <x v="8"/>
    <s v="Program Office-Extension Officer"/>
    <x v="0"/>
    <d v="2022-04-09T06:44:01"/>
    <x v="245"/>
    <x v="84"/>
    <n v="6"/>
    <d v="2022-04-30T06:44:01"/>
    <s v="Yes"/>
    <d v="2022-04-19T06:44:01"/>
    <x v="0"/>
    <x v="3"/>
    <m/>
    <m/>
    <m/>
    <m/>
    <d v="2022-04-21T06:44:01"/>
    <m/>
    <x v="0"/>
    <m/>
    <m/>
    <m/>
    <m/>
    <s v="Company"/>
    <m/>
    <s v="C1368"/>
    <s v="Candidate_368"/>
    <s v="Apr 10 2022"/>
    <x v="1"/>
    <s v="Linkedin"/>
    <n v="3"/>
    <m/>
    <x v="0"/>
    <m/>
    <m/>
    <x v="0"/>
    <x v="0"/>
    <m/>
    <x v="1"/>
    <x v="0"/>
  </r>
  <r>
    <n v="1669"/>
    <s v="1669 | Program Office"/>
    <x v="4"/>
    <x v="1"/>
    <x v="6"/>
    <x v="8"/>
    <s v="Program Office-Extension Officer"/>
    <x v="0"/>
    <d v="2022-04-23T22:26:54"/>
    <x v="178"/>
    <x v="85"/>
    <n v="4"/>
    <d v="2022-05-11T22:26:54"/>
    <s v="Yes"/>
    <d v="2022-05-14T22:26:54"/>
    <x v="0"/>
    <x v="3"/>
    <m/>
    <m/>
    <m/>
    <m/>
    <d v="2022-05-16T22:26:54"/>
    <m/>
    <x v="0"/>
    <m/>
    <m/>
    <m/>
    <m/>
    <s v="Company"/>
    <m/>
    <s v="C1369"/>
    <s v="Candidate_369"/>
    <s v="04-30-2022"/>
    <x v="2"/>
    <s v="Job Board"/>
    <n v="6"/>
    <m/>
    <x v="0"/>
    <m/>
    <m/>
    <x v="0"/>
    <x v="0"/>
    <m/>
    <x v="1"/>
    <x v="0"/>
  </r>
  <r>
    <n v="1664"/>
    <s v="1664 | Program Office"/>
    <x v="3"/>
    <x v="1"/>
    <x v="6"/>
    <x v="8"/>
    <s v="Program Office-Extension Officer"/>
    <x v="0"/>
    <d v="2022-04-21T22:26:54"/>
    <x v="179"/>
    <x v="85"/>
    <n v="6"/>
    <d v="2022-05-26T22:26:54"/>
    <s v="Yes"/>
    <d v="2022-05-11T22:26:54"/>
    <x v="3"/>
    <x v="1"/>
    <d v="2022-05-18T22:26:54"/>
    <s v="Accepted"/>
    <d v="2022-05-13T22:26:54"/>
    <d v="2022-05-17T22:26:54"/>
    <d v="2022-05-15T22:26:54"/>
    <d v="2022-05-19T22:26:54"/>
    <x v="1"/>
    <d v="2022-05-22T22:26:54"/>
    <d v="2022-05-25T22:26:54"/>
    <d v="2022-05-27T22:26:54"/>
    <m/>
    <m/>
    <d v="2022-06-09T22:26:54"/>
    <s v="C1370"/>
    <s v="Candidate_370"/>
    <s v="06/05/2022"/>
    <x v="0"/>
    <s v="Referral"/>
    <n v="3"/>
    <m/>
    <x v="0"/>
    <m/>
    <m/>
    <x v="0"/>
    <x v="0"/>
    <m/>
    <x v="48"/>
    <x v="0"/>
  </r>
  <r>
    <n v="1661"/>
    <s v="1661 | Program Office"/>
    <x v="4"/>
    <x v="1"/>
    <x v="6"/>
    <x v="8"/>
    <s v="Program Office-Extension Officer"/>
    <x v="0"/>
    <d v="2022-04-18T22:26:54"/>
    <x v="246"/>
    <x v="85"/>
    <n v="9"/>
    <d v="2022-05-17T22:26:54"/>
    <s v="No"/>
    <m/>
    <x v="2"/>
    <x v="1"/>
    <m/>
    <m/>
    <m/>
    <m/>
    <m/>
    <m/>
    <x v="0"/>
    <m/>
    <m/>
    <m/>
    <m/>
    <m/>
    <m/>
    <s v="C1371"/>
    <s v="Candidate_371"/>
    <m/>
    <x v="0"/>
    <s v="Referral"/>
    <n v="6"/>
    <m/>
    <x v="0"/>
    <m/>
    <m/>
    <x v="0"/>
    <x v="0"/>
    <m/>
    <x v="1"/>
    <x v="0"/>
  </r>
  <r>
    <n v="1449"/>
    <s v="1449 | Program Office"/>
    <x v="3"/>
    <x v="1"/>
    <x v="6"/>
    <x v="8"/>
    <s v="Program Office-Extension Officer"/>
    <x v="0"/>
    <d v="2023-03-29T10:15:10"/>
    <x v="247"/>
    <x v="59"/>
    <n v="5"/>
    <d v="2023-04-18T10:15:10"/>
    <s v="Yes"/>
    <d v="2023-04-12T10:15:10"/>
    <x v="1"/>
    <x v="1"/>
    <d v="2023-04-15T10:15:10"/>
    <s v="Declined"/>
    <m/>
    <m/>
    <d v="2023-04-13T10:15:10"/>
    <m/>
    <x v="0"/>
    <m/>
    <m/>
    <m/>
    <m/>
    <m/>
    <m/>
    <s v="C1372"/>
    <s v="Candidate_372"/>
    <s v="03-26-2023"/>
    <x v="0"/>
    <s v="Referral"/>
    <n v="3"/>
    <m/>
    <x v="0"/>
    <m/>
    <m/>
    <x v="0"/>
    <x v="0"/>
    <m/>
    <x v="1"/>
    <x v="0"/>
  </r>
  <r>
    <n v="1444"/>
    <s v="1444 | Program Office"/>
    <x v="5"/>
    <x v="1"/>
    <x v="6"/>
    <x v="8"/>
    <s v="Program Office-Extension Officer"/>
    <x v="0"/>
    <d v="2023-03-30T10:15:10"/>
    <x v="99"/>
    <x v="59"/>
    <n v="4"/>
    <d v="2023-05-03T10:15:10"/>
    <s v="Yes"/>
    <d v="2023-04-16T10:15:10"/>
    <x v="0"/>
    <x v="0"/>
    <m/>
    <m/>
    <m/>
    <m/>
    <m/>
    <m/>
    <x v="0"/>
    <m/>
    <m/>
    <m/>
    <m/>
    <s v="Company"/>
    <m/>
    <s v="C1373"/>
    <s v="Candidate_373"/>
    <s v="11/04/2023"/>
    <x v="2"/>
    <s v="Job Board"/>
    <n v="3"/>
    <m/>
    <x v="0"/>
    <m/>
    <m/>
    <x v="0"/>
    <x v="0"/>
    <m/>
    <x v="1"/>
    <x v="0"/>
  </r>
  <r>
    <n v="1420"/>
    <s v="1420 | Program Office"/>
    <x v="3"/>
    <x v="1"/>
    <x v="6"/>
    <x v="8"/>
    <s v="Program Office-Extension Officer"/>
    <x v="0"/>
    <d v="2022-08-07T18:56:36"/>
    <x v="248"/>
    <x v="60"/>
    <n v="6"/>
    <d v="2022-08-21T18:56:36"/>
    <s v="Yes"/>
    <d v="2022-08-18T18:56:36"/>
    <x v="0"/>
    <x v="2"/>
    <m/>
    <m/>
    <m/>
    <m/>
    <m/>
    <m/>
    <x v="0"/>
    <m/>
    <m/>
    <m/>
    <m/>
    <s v="Company"/>
    <m/>
    <s v="C1374"/>
    <s v="Candidate_374"/>
    <s v="12/08/2022"/>
    <x v="0"/>
    <s v="Referral"/>
    <n v="3"/>
    <m/>
    <x v="0"/>
    <m/>
    <m/>
    <x v="0"/>
    <x v="0"/>
    <m/>
    <x v="1"/>
    <x v="0"/>
  </r>
  <r>
    <n v="1418"/>
    <s v="1418 | Program Office"/>
    <x v="4"/>
    <x v="1"/>
    <x v="6"/>
    <x v="8"/>
    <s v="Program Office-Extension Officer"/>
    <x v="0"/>
    <d v="2022-08-09T18:56:36"/>
    <x v="249"/>
    <x v="60"/>
    <n v="4"/>
    <d v="2022-09-02T18:56:36"/>
    <s v="Yes"/>
    <d v="2022-08-16T18:56:36"/>
    <x v="0"/>
    <x v="2"/>
    <m/>
    <m/>
    <m/>
    <m/>
    <m/>
    <m/>
    <x v="0"/>
    <m/>
    <m/>
    <m/>
    <m/>
    <s v="Company"/>
    <m/>
    <s v="C1375"/>
    <s v="Candidate_375"/>
    <s v="04/08/2022"/>
    <x v="1"/>
    <s v="Linkedin"/>
    <n v="6"/>
    <m/>
    <x v="0"/>
    <m/>
    <m/>
    <x v="0"/>
    <x v="0"/>
    <m/>
    <x v="1"/>
    <x v="0"/>
  </r>
  <r>
    <n v="1417"/>
    <s v="1417 | Program Office"/>
    <x v="4"/>
    <x v="1"/>
    <x v="6"/>
    <x v="8"/>
    <s v="Program Office-Extension Officer"/>
    <x v="0"/>
    <d v="2022-08-09T18:56:36"/>
    <x v="100"/>
    <x v="60"/>
    <n v="4"/>
    <d v="2022-08-29T18:56:36"/>
    <s v="Yes"/>
    <d v="2022-08-24T18:56:36"/>
    <x v="0"/>
    <x v="4"/>
    <m/>
    <m/>
    <m/>
    <m/>
    <d v="2022-08-26T18:56:36"/>
    <m/>
    <x v="0"/>
    <m/>
    <m/>
    <m/>
    <m/>
    <s v="Company"/>
    <m/>
    <s v="C1376"/>
    <s v="Candidate_376"/>
    <s v="18/08/2022"/>
    <x v="1"/>
    <s v="Linkedin"/>
    <n v="3"/>
    <m/>
    <x v="0"/>
    <m/>
    <m/>
    <x v="0"/>
    <x v="0"/>
    <m/>
    <x v="1"/>
    <x v="0"/>
  </r>
  <r>
    <n v="1416"/>
    <s v="1416 | Program Office"/>
    <x v="3"/>
    <x v="1"/>
    <x v="6"/>
    <x v="8"/>
    <s v="Program Office-Extension Officer"/>
    <x v="0"/>
    <d v="2022-08-09T18:56:36"/>
    <x v="249"/>
    <x v="60"/>
    <n v="4"/>
    <d v="2022-08-25T18:56:36"/>
    <s v="Yes"/>
    <d v="2022-08-26T18:56:36"/>
    <x v="0"/>
    <x v="4"/>
    <m/>
    <m/>
    <m/>
    <m/>
    <d v="2022-08-29T18:56:36"/>
    <m/>
    <x v="0"/>
    <m/>
    <m/>
    <m/>
    <m/>
    <s v="Company"/>
    <m/>
    <s v="C1377"/>
    <s v="Candidate_377"/>
    <s v="Aug 09 2022"/>
    <x v="1"/>
    <s v="Linkedin"/>
    <n v="6"/>
    <m/>
    <x v="0"/>
    <m/>
    <m/>
    <x v="0"/>
    <x v="0"/>
    <m/>
    <x v="1"/>
    <x v="0"/>
  </r>
  <r>
    <n v="1411"/>
    <s v="1411 | Program Office"/>
    <x v="5"/>
    <x v="1"/>
    <x v="6"/>
    <x v="8"/>
    <s v="Program Office-Extension Officer"/>
    <x v="0"/>
    <d v="2022-08-06T18:56:36"/>
    <x v="250"/>
    <x v="60"/>
    <n v="7"/>
    <d v="2022-09-05T18:56:36"/>
    <s v="Yes"/>
    <d v="2022-08-27T18:56:36"/>
    <x v="4"/>
    <x v="1"/>
    <d v="2022-09-01T18:56:36"/>
    <s v="Pending"/>
    <m/>
    <m/>
    <d v="2022-08-30T18:56:36"/>
    <m/>
    <x v="0"/>
    <m/>
    <m/>
    <m/>
    <m/>
    <m/>
    <m/>
    <s v="C1378"/>
    <s v="Candidate_378"/>
    <s v="16/08/2022"/>
    <x v="0"/>
    <s v="Referral"/>
    <n v="6"/>
    <m/>
    <x v="0"/>
    <m/>
    <m/>
    <x v="0"/>
    <x v="0"/>
    <m/>
    <x v="1"/>
    <x v="0"/>
  </r>
  <r>
    <n v="1408"/>
    <s v="1408 | Program Office"/>
    <x v="3"/>
    <x v="1"/>
    <x v="6"/>
    <x v="8"/>
    <s v="Program Office-Extension Officer"/>
    <x v="0"/>
    <d v="2022-02-22T07:21:21"/>
    <x v="251"/>
    <x v="61"/>
    <n v="5"/>
    <d v="2022-03-05T07:21:21"/>
    <s v="No"/>
    <m/>
    <x v="2"/>
    <x v="1"/>
    <m/>
    <m/>
    <m/>
    <m/>
    <m/>
    <m/>
    <x v="0"/>
    <m/>
    <m/>
    <m/>
    <m/>
    <m/>
    <m/>
    <s v="C1379"/>
    <s v="Candidate_379"/>
    <m/>
    <x v="2"/>
    <s v="Job Board"/>
    <n v="3"/>
    <m/>
    <x v="0"/>
    <m/>
    <m/>
    <x v="0"/>
    <x v="0"/>
    <m/>
    <x v="1"/>
    <x v="0"/>
  </r>
  <r>
    <n v="1401"/>
    <s v="1401 | Program Office"/>
    <x v="3"/>
    <x v="1"/>
    <x v="6"/>
    <x v="8"/>
    <s v="Program Office-Extension Officer"/>
    <x v="0"/>
    <d v="2022-02-20T07:21:21"/>
    <x v="252"/>
    <x v="61"/>
    <n v="7"/>
    <d v="2022-03-13T07:21:21"/>
    <s v="Yes"/>
    <d v="2022-03-16T07:21:21"/>
    <x v="1"/>
    <x v="1"/>
    <d v="2022-03-20T07:21:21"/>
    <s v="Declined"/>
    <m/>
    <m/>
    <d v="2022-03-18T07:21:21"/>
    <m/>
    <x v="0"/>
    <m/>
    <m/>
    <m/>
    <m/>
    <m/>
    <m/>
    <s v="C1380"/>
    <s v="Candidate_380"/>
    <s v="Feb 25 2022"/>
    <x v="1"/>
    <s v="Linkedin"/>
    <n v="3"/>
    <m/>
    <x v="0"/>
    <m/>
    <m/>
    <x v="0"/>
    <x v="0"/>
    <m/>
    <x v="1"/>
    <x v="0"/>
  </r>
  <r>
    <n v="1387"/>
    <s v="1387 | Program Office"/>
    <x v="4"/>
    <x v="1"/>
    <x v="6"/>
    <x v="8"/>
    <s v="Program Office-Extension Officer"/>
    <x v="0"/>
    <m/>
    <x v="253"/>
    <x v="27"/>
    <n v="45046.733506944453"/>
    <d v="2023-05-23T17:36:15"/>
    <s v="Yes"/>
    <d v="2023-05-07T17:36:15"/>
    <x v="0"/>
    <x v="2"/>
    <m/>
    <m/>
    <m/>
    <m/>
    <m/>
    <m/>
    <x v="0"/>
    <m/>
    <m/>
    <m/>
    <m/>
    <s v="Company"/>
    <m/>
    <s v="C1381"/>
    <s v="Candidate_381"/>
    <s v="02/05/2023"/>
    <x v="1"/>
    <s v="Linkedin"/>
    <n v="6"/>
    <m/>
    <x v="0"/>
    <m/>
    <m/>
    <x v="0"/>
    <x v="0"/>
    <m/>
    <x v="0"/>
    <x v="0"/>
  </r>
  <r>
    <n v="1326"/>
    <s v="1326 | Program Office"/>
    <x v="4"/>
    <x v="1"/>
    <x v="6"/>
    <x v="8"/>
    <s v="Program Office-Extension Officer"/>
    <x v="0"/>
    <d v="2023-08-23T04:29:27"/>
    <x v="254"/>
    <x v="28"/>
    <n v="5"/>
    <d v="2023-09-20T04:29:27"/>
    <s v="No"/>
    <m/>
    <x v="2"/>
    <x v="1"/>
    <m/>
    <m/>
    <m/>
    <m/>
    <m/>
    <m/>
    <x v="0"/>
    <m/>
    <m/>
    <m/>
    <m/>
    <m/>
    <m/>
    <s v="C1382"/>
    <s v="Candidate_382"/>
    <m/>
    <x v="1"/>
    <s v="Linkedin"/>
    <n v="6"/>
    <m/>
    <x v="0"/>
    <m/>
    <m/>
    <x v="0"/>
    <x v="0"/>
    <m/>
    <x v="1"/>
    <x v="0"/>
  </r>
  <r>
    <n v="1325"/>
    <s v="1325 | Program Office"/>
    <x v="3"/>
    <x v="1"/>
    <x v="6"/>
    <x v="8"/>
    <s v="Program Office-Extension Officer"/>
    <x v="0"/>
    <d v="2023-08-26T04:29:27"/>
    <x v="254"/>
    <x v="28"/>
    <n v="2"/>
    <d v="2023-09-18T04:29:27"/>
    <s v="No"/>
    <m/>
    <x v="2"/>
    <x v="1"/>
    <m/>
    <m/>
    <m/>
    <m/>
    <m/>
    <m/>
    <x v="0"/>
    <m/>
    <m/>
    <m/>
    <m/>
    <m/>
    <m/>
    <s v="C1383"/>
    <s v="Candidate_383"/>
    <m/>
    <x v="2"/>
    <s v="Job Board"/>
    <n v="3"/>
    <m/>
    <x v="0"/>
    <m/>
    <m/>
    <x v="0"/>
    <x v="0"/>
    <m/>
    <x v="1"/>
    <x v="0"/>
  </r>
  <r>
    <n v="1293"/>
    <s v="1293 | Program Office"/>
    <x v="4"/>
    <x v="1"/>
    <x v="6"/>
    <x v="8"/>
    <s v="Program Office-Extension Officer"/>
    <x v="0"/>
    <d v="2023-06-09T16:08:44"/>
    <x v="255"/>
    <x v="29"/>
    <n v="10"/>
    <d v="2023-07-03T16:08:44"/>
    <s v="No"/>
    <m/>
    <x v="2"/>
    <x v="1"/>
    <m/>
    <m/>
    <m/>
    <m/>
    <m/>
    <m/>
    <x v="0"/>
    <m/>
    <m/>
    <m/>
    <m/>
    <m/>
    <m/>
    <s v="C1384"/>
    <s v="Candidate_384"/>
    <m/>
    <x v="2"/>
    <s v="Job Board"/>
    <n v="3"/>
    <m/>
    <x v="0"/>
    <m/>
    <m/>
    <x v="0"/>
    <x v="0"/>
    <m/>
    <x v="1"/>
    <x v="0"/>
  </r>
  <r>
    <n v="995"/>
    <s v="995 | Program Office"/>
    <x v="3"/>
    <x v="1"/>
    <x v="6"/>
    <x v="8"/>
    <s v="Program Office-Extension Officer"/>
    <x v="0"/>
    <d v="2023-04-01T20:36:08"/>
    <x v="187"/>
    <x v="4"/>
    <n v="-45017.858425925922"/>
    <d v="2023-04-18T20:36:08"/>
    <s v="Yes"/>
    <d v="2023-04-07T20:36:08"/>
    <x v="0"/>
    <x v="0"/>
    <m/>
    <m/>
    <m/>
    <m/>
    <m/>
    <m/>
    <x v="0"/>
    <m/>
    <m/>
    <m/>
    <m/>
    <s v="Company"/>
    <m/>
    <s v="C1385"/>
    <s v="Candidate_385"/>
    <s v="04-01-2023"/>
    <x v="1"/>
    <s v="Linkedin"/>
    <n v="3"/>
    <m/>
    <x v="0"/>
    <m/>
    <m/>
    <x v="0"/>
    <x v="0"/>
    <m/>
    <x v="0"/>
    <x v="0"/>
  </r>
  <r>
    <n v="946"/>
    <s v="946 | Program Office"/>
    <x v="5"/>
    <x v="1"/>
    <x v="6"/>
    <x v="8"/>
    <s v="Program Office-Extension Officer"/>
    <x v="0"/>
    <m/>
    <x v="189"/>
    <x v="65"/>
    <n v="44868.043067129627"/>
    <d v="2022-11-27T01:02:01"/>
    <s v="No"/>
    <m/>
    <x v="2"/>
    <x v="1"/>
    <m/>
    <m/>
    <m/>
    <m/>
    <m/>
    <m/>
    <x v="0"/>
    <m/>
    <m/>
    <m/>
    <m/>
    <m/>
    <m/>
    <s v="C1386"/>
    <s v="Candidate_386"/>
    <m/>
    <x v="0"/>
    <s v="Referral"/>
    <n v="3"/>
    <m/>
    <x v="0"/>
    <m/>
    <m/>
    <x v="0"/>
    <x v="0"/>
    <m/>
    <x v="0"/>
    <x v="0"/>
  </r>
  <r>
    <n v="942"/>
    <s v="942 | Program Office"/>
    <x v="4"/>
    <x v="1"/>
    <x v="6"/>
    <x v="8"/>
    <s v="Program Office-Extension Officer"/>
    <x v="0"/>
    <d v="2022-10-29T01:02:01"/>
    <x v="0"/>
    <x v="65"/>
    <n v="5"/>
    <d v="2022-11-12T01:02:01"/>
    <s v="Yes"/>
    <d v="2022-11-07T01:02:01"/>
    <x v="0"/>
    <x v="3"/>
    <m/>
    <m/>
    <m/>
    <m/>
    <m/>
    <m/>
    <x v="0"/>
    <m/>
    <m/>
    <m/>
    <m/>
    <s v="Candidate"/>
    <m/>
    <s v="C1387"/>
    <s v="Candidate_387"/>
    <s v="10-30-2022"/>
    <x v="0"/>
    <s v="Referral"/>
    <n v="3"/>
    <m/>
    <x v="0"/>
    <m/>
    <m/>
    <x v="0"/>
    <x v="0"/>
    <m/>
    <x v="0"/>
    <x v="0"/>
  </r>
  <r>
    <n v="941"/>
    <s v="941 | Program Office"/>
    <x v="3"/>
    <x v="1"/>
    <x v="6"/>
    <x v="8"/>
    <s v="Program Office-Extension Officer"/>
    <x v="0"/>
    <d v="2022-10-30T01:02:01"/>
    <x v="256"/>
    <x v="4"/>
    <n v="-44864.043067129627"/>
    <d v="2022-11-28T01:02:01"/>
    <s v="Yes"/>
    <d v="2022-11-06T01:02:01"/>
    <x v="0"/>
    <x v="2"/>
    <m/>
    <m/>
    <m/>
    <m/>
    <d v="2022-11-08T01:02:01"/>
    <m/>
    <x v="0"/>
    <m/>
    <m/>
    <m/>
    <m/>
    <s v="Company"/>
    <m/>
    <s v="C1388"/>
    <s v="Candidate_388"/>
    <s v="Oct 20 2022"/>
    <x v="0"/>
    <s v="Referral"/>
    <n v="3"/>
    <m/>
    <x v="0"/>
    <m/>
    <m/>
    <x v="0"/>
    <x v="0"/>
    <m/>
    <x v="0"/>
    <x v="0"/>
  </r>
  <r>
    <n v="920"/>
    <s v="920 | Program Office"/>
    <x v="5"/>
    <x v="1"/>
    <x v="6"/>
    <x v="8"/>
    <s v="Program Office-Extension Officer"/>
    <x v="0"/>
    <d v="2022-04-20T06:08:47"/>
    <x v="111"/>
    <x v="4"/>
    <n v="-44671.256099537037"/>
    <d v="2022-05-20T06:08:47"/>
    <s v="No"/>
    <m/>
    <x v="2"/>
    <x v="1"/>
    <m/>
    <m/>
    <m/>
    <m/>
    <m/>
    <m/>
    <x v="0"/>
    <m/>
    <m/>
    <m/>
    <m/>
    <m/>
    <m/>
    <s v="C1389"/>
    <s v="Candidate_389"/>
    <m/>
    <x v="1"/>
    <s v="Linkedin"/>
    <n v="6"/>
    <m/>
    <x v="0"/>
    <m/>
    <m/>
    <x v="0"/>
    <x v="0"/>
    <m/>
    <x v="0"/>
    <x v="0"/>
  </r>
  <r>
    <n v="913"/>
    <s v="913 | Program Office"/>
    <x v="4"/>
    <x v="1"/>
    <x v="6"/>
    <x v="8"/>
    <s v="Program Office-Extension Officer"/>
    <x v="0"/>
    <m/>
    <x v="111"/>
    <x v="66"/>
    <n v="44676.256099537037"/>
    <d v="2022-05-23T06:08:47"/>
    <s v="No"/>
    <m/>
    <x v="2"/>
    <x v="1"/>
    <m/>
    <m/>
    <m/>
    <m/>
    <m/>
    <m/>
    <x v="0"/>
    <m/>
    <m/>
    <m/>
    <m/>
    <m/>
    <m/>
    <s v="C1390"/>
    <s v="Candidate_390"/>
    <m/>
    <x v="0"/>
    <s v="Referral"/>
    <n v="3"/>
    <m/>
    <x v="0"/>
    <m/>
    <m/>
    <x v="0"/>
    <x v="0"/>
    <m/>
    <x v="0"/>
    <x v="0"/>
  </r>
  <r>
    <n v="901"/>
    <s v="901 | Program Office"/>
    <x v="4"/>
    <x v="1"/>
    <x v="6"/>
    <x v="8"/>
    <s v="Program Office-Extension Officer"/>
    <x v="0"/>
    <d v="2023-08-18T05:59:22"/>
    <x v="115"/>
    <x v="4"/>
    <n v="-45156.249560185177"/>
    <d v="2023-09-03T05:59:22"/>
    <s v="Yes"/>
    <d v="2023-09-03T05:59:22"/>
    <x v="3"/>
    <x v="1"/>
    <d v="2023-09-07T05:59:22"/>
    <s v="Accepted"/>
    <d v="2023-09-05T05:59:22"/>
    <d v="2023-09-06T05:59:22"/>
    <d v="2023-09-05T05:59:22"/>
    <d v="2023-09-11T05:59:22"/>
    <x v="1"/>
    <d v="2023-09-12T05:59:22"/>
    <d v="2023-09-13T05:59:22"/>
    <d v="2023-09-14T05:59:22"/>
    <m/>
    <m/>
    <d v="2023-10-03T05:59:22"/>
    <s v="C1391"/>
    <s v="Candidate_391"/>
    <s v="Aug 17 2023"/>
    <x v="2"/>
    <s v="Job Board"/>
    <n v="6"/>
    <m/>
    <x v="0"/>
    <m/>
    <m/>
    <x v="0"/>
    <x v="0"/>
    <m/>
    <x v="0"/>
    <x v="0"/>
  </r>
  <r>
    <n v="835"/>
    <s v="835 | Program Office"/>
    <x v="3"/>
    <x v="1"/>
    <x v="6"/>
    <x v="8"/>
    <s v="Program Office-Extension Officer"/>
    <x v="0"/>
    <d v="2022-07-12T16:58:11"/>
    <x v="0"/>
    <x v="68"/>
    <n v="6"/>
    <d v="2022-08-09T16:58:11"/>
    <s v="Yes"/>
    <d v="2022-08-01T16:58:11"/>
    <x v="0"/>
    <x v="0"/>
    <m/>
    <m/>
    <m/>
    <m/>
    <m/>
    <m/>
    <x v="0"/>
    <m/>
    <m/>
    <m/>
    <m/>
    <s v="Candidate"/>
    <m/>
    <s v="C1392"/>
    <s v="Candidate_392"/>
    <s v="07-13-2022"/>
    <x v="2"/>
    <s v="Job Board"/>
    <n v="3"/>
    <m/>
    <x v="0"/>
    <m/>
    <m/>
    <x v="0"/>
    <x v="0"/>
    <m/>
    <x v="0"/>
    <x v="0"/>
  </r>
  <r>
    <n v="834"/>
    <s v="834 | Program Office"/>
    <x v="5"/>
    <x v="1"/>
    <x v="6"/>
    <x v="8"/>
    <s v="Program Office-Extension Officer"/>
    <x v="0"/>
    <d v="2022-07-13T16:58:11"/>
    <x v="257"/>
    <x v="68"/>
    <n v="5"/>
    <d v="2022-08-17T16:58:11"/>
    <s v="Yes"/>
    <d v="2022-07-30T16:58:11"/>
    <x v="3"/>
    <x v="1"/>
    <d v="2022-08-04T16:58:11"/>
    <s v="Accepted"/>
    <d v="2022-07-31T16:58:11"/>
    <d v="2022-08-03T16:58:11"/>
    <d v="2022-07-31T16:58:11"/>
    <d v="2022-08-05T16:58:11"/>
    <x v="1"/>
    <d v="2022-08-07T16:58:11"/>
    <d v="2022-08-09T16:58:11"/>
    <d v="2022-08-11T16:58:11"/>
    <m/>
    <m/>
    <d v="2022-08-28T16:58:11"/>
    <s v="C1393"/>
    <s v="Candidate_393"/>
    <s v="Jul 11 2022"/>
    <x v="0"/>
    <s v="Referral"/>
    <n v="6"/>
    <m/>
    <x v="0"/>
    <m/>
    <m/>
    <x v="0"/>
    <x v="0"/>
    <m/>
    <x v="49"/>
    <x v="0"/>
  </r>
  <r>
    <n v="822"/>
    <s v="822 | Program Office"/>
    <x v="3"/>
    <x v="1"/>
    <x v="6"/>
    <x v="8"/>
    <s v="Program Office-Extension Officer"/>
    <x v="0"/>
    <m/>
    <x v="258"/>
    <x v="69"/>
    <n v="44631.625335648147"/>
    <d v="2022-04-03T15:00:29"/>
    <s v="No"/>
    <m/>
    <x v="2"/>
    <x v="1"/>
    <m/>
    <m/>
    <m/>
    <m/>
    <m/>
    <m/>
    <x v="0"/>
    <m/>
    <m/>
    <m/>
    <m/>
    <m/>
    <m/>
    <s v="C1394"/>
    <s v="Candidate_394"/>
    <m/>
    <x v="1"/>
    <s v="Linkedin"/>
    <n v="3"/>
    <m/>
    <x v="0"/>
    <m/>
    <m/>
    <x v="0"/>
    <x v="0"/>
    <m/>
    <x v="0"/>
    <x v="0"/>
  </r>
  <r>
    <n v="800"/>
    <s v="800 | Program Office"/>
    <x v="3"/>
    <x v="1"/>
    <x v="6"/>
    <x v="8"/>
    <s v="Program Office-Extension Officer"/>
    <x v="0"/>
    <d v="2022-12-08T16:11:24"/>
    <x v="259"/>
    <x v="70"/>
    <n v="9"/>
    <d v="2023-01-16T16:11:24"/>
    <s v="Yes"/>
    <d v="2023-01-02T16:11:24"/>
    <x v="1"/>
    <x v="1"/>
    <d v="2023-01-06T16:11:24"/>
    <s v="Declined"/>
    <m/>
    <m/>
    <d v="2023-01-05T16:11:24"/>
    <m/>
    <x v="0"/>
    <m/>
    <m/>
    <m/>
    <m/>
    <m/>
    <m/>
    <s v="C1395"/>
    <s v="Candidate_395"/>
    <s v="12-28-2022"/>
    <x v="1"/>
    <s v="Linkedin"/>
    <n v="6"/>
    <m/>
    <x v="0"/>
    <m/>
    <m/>
    <x v="0"/>
    <x v="0"/>
    <m/>
    <x v="1"/>
    <x v="0"/>
  </r>
  <r>
    <n v="794"/>
    <s v="794 | Program Office"/>
    <x v="3"/>
    <x v="1"/>
    <x v="6"/>
    <x v="8"/>
    <s v="Program Office-Extension Officer"/>
    <x v="0"/>
    <d v="2022-12-09T16:11:24"/>
    <x v="260"/>
    <x v="70"/>
    <n v="8"/>
    <d v="2022-12-26T16:11:24"/>
    <s v="No"/>
    <m/>
    <x v="2"/>
    <x v="1"/>
    <m/>
    <m/>
    <m/>
    <m/>
    <m/>
    <m/>
    <x v="0"/>
    <m/>
    <m/>
    <m/>
    <m/>
    <m/>
    <m/>
    <s v="C1396"/>
    <s v="Candidate_396"/>
    <m/>
    <x v="1"/>
    <s v="Linkedin"/>
    <n v="3"/>
    <m/>
    <x v="0"/>
    <m/>
    <m/>
    <x v="0"/>
    <x v="0"/>
    <m/>
    <x v="1"/>
    <x v="0"/>
  </r>
  <r>
    <n v="792"/>
    <s v="792 | Program Office"/>
    <x v="4"/>
    <x v="1"/>
    <x v="6"/>
    <x v="8"/>
    <s v="Program Office-Extension Officer"/>
    <x v="0"/>
    <d v="2022-12-10T16:11:24"/>
    <x v="260"/>
    <x v="70"/>
    <n v="7"/>
    <d v="2023-01-06T16:11:24"/>
    <s v="Yes"/>
    <d v="2022-12-28T16:11:24"/>
    <x v="3"/>
    <x v="1"/>
    <d v="2023-01-01T16:11:24"/>
    <s v="Accepted"/>
    <d v="2022-12-30T16:11:24"/>
    <d v="2023-01-02T16:11:24"/>
    <d v="2022-12-30T16:11:24"/>
    <d v="2023-01-02T16:11:24"/>
    <x v="1"/>
    <d v="2023-01-05T16:11:24"/>
    <d v="2023-01-08T16:11:24"/>
    <d v="2023-01-09T16:11:24"/>
    <m/>
    <m/>
    <d v="2023-02-01T16:11:24"/>
    <s v="C1397"/>
    <s v="Candidate_397"/>
    <s v="Dec 22 2022"/>
    <x v="1"/>
    <s v="Linkedin"/>
    <n v="3"/>
    <m/>
    <x v="0"/>
    <m/>
    <m/>
    <x v="0"/>
    <x v="0"/>
    <m/>
    <x v="50"/>
    <x v="0"/>
  </r>
  <r>
    <n v="766"/>
    <s v="766 | Program Office"/>
    <x v="5"/>
    <x v="1"/>
    <x v="6"/>
    <x v="8"/>
    <s v="Program Office-Extension Officer"/>
    <x v="0"/>
    <d v="2022-06-13T17:40:03"/>
    <x v="0"/>
    <x v="71"/>
    <n v="8"/>
    <d v="2022-07-14T17:40:03"/>
    <s v="No"/>
    <m/>
    <x v="2"/>
    <x v="1"/>
    <m/>
    <m/>
    <m/>
    <m/>
    <m/>
    <m/>
    <x v="0"/>
    <m/>
    <m/>
    <m/>
    <m/>
    <m/>
    <m/>
    <s v="C1398"/>
    <s v="Candidate_398"/>
    <m/>
    <x v="2"/>
    <s v="Job Board"/>
    <n v="3"/>
    <m/>
    <x v="0"/>
    <m/>
    <m/>
    <x v="0"/>
    <x v="0"/>
    <m/>
    <x v="0"/>
    <x v="0"/>
  </r>
  <r>
    <n v="765"/>
    <s v="765 | Program Office"/>
    <x v="5"/>
    <x v="1"/>
    <x v="6"/>
    <x v="9"/>
    <s v="Program Office-Officer"/>
    <x v="0"/>
    <d v="2022-06-11T17:40:03"/>
    <x v="122"/>
    <x v="71"/>
    <n v="10"/>
    <d v="2022-06-27T17:40:03"/>
    <s v="No"/>
    <m/>
    <x v="2"/>
    <x v="1"/>
    <m/>
    <m/>
    <m/>
    <m/>
    <m/>
    <m/>
    <x v="0"/>
    <m/>
    <m/>
    <m/>
    <m/>
    <m/>
    <m/>
    <s v="C1399"/>
    <s v="Candidate_399"/>
    <m/>
    <x v="0"/>
    <s v="Referral"/>
    <n v="3"/>
    <m/>
    <x v="0"/>
    <m/>
    <m/>
    <x v="0"/>
    <x v="0"/>
    <m/>
    <x v="1"/>
    <x v="0"/>
  </r>
  <r>
    <n v="761"/>
    <s v="761 | Program Office"/>
    <x v="4"/>
    <x v="1"/>
    <x v="6"/>
    <x v="9"/>
    <s v="Program Office-Officer"/>
    <x v="0"/>
    <d v="2022-06-17T17:40:03"/>
    <x v="197"/>
    <x v="71"/>
    <n v="4"/>
    <d v="2022-07-10T17:40:03"/>
    <s v="Yes"/>
    <d v="2022-07-03T17:40:03"/>
    <x v="3"/>
    <x v="1"/>
    <d v="2022-07-10T17:40:03"/>
    <s v="Accepted"/>
    <d v="2022-07-04T17:40:03"/>
    <d v="2022-07-05T17:40:03"/>
    <d v="2022-07-07T17:40:03"/>
    <d v="2022-07-10T17:40:03"/>
    <x v="1"/>
    <d v="2022-07-14T17:40:03"/>
    <d v="2022-07-17T17:40:03"/>
    <d v="2022-07-20T17:40:03"/>
    <m/>
    <m/>
    <d v="2022-08-01T17:40:03"/>
    <s v="C1400"/>
    <s v="Candidate_400"/>
    <s v="22/06/2022"/>
    <x v="1"/>
    <s v="Linkedin"/>
    <n v="3"/>
    <m/>
    <x v="0"/>
    <m/>
    <m/>
    <x v="0"/>
    <x v="0"/>
    <m/>
    <x v="51"/>
    <x v="0"/>
  </r>
  <r>
    <n v="730"/>
    <s v="730 | Program Office"/>
    <x v="4"/>
    <x v="1"/>
    <x v="6"/>
    <x v="9"/>
    <s v="Program Office-Officer"/>
    <x v="0"/>
    <d v="2022-02-13T15:51:14"/>
    <x v="199"/>
    <x v="72"/>
    <n v="7"/>
    <d v="2022-03-22T15:51:14"/>
    <s v="Yes"/>
    <d v="2022-02-28T15:51:14"/>
    <x v="1"/>
    <x v="1"/>
    <d v="2022-03-07T15:51:14"/>
    <s v="Declined"/>
    <m/>
    <m/>
    <d v="2022-03-03T15:51:14"/>
    <m/>
    <x v="0"/>
    <m/>
    <m/>
    <m/>
    <m/>
    <m/>
    <m/>
    <s v="C1401"/>
    <s v="Candidate_401"/>
    <s v="Feb 09 2022"/>
    <x v="1"/>
    <s v="Linkedin"/>
    <n v="3"/>
    <m/>
    <x v="0"/>
    <m/>
    <m/>
    <x v="0"/>
    <x v="0"/>
    <m/>
    <x v="1"/>
    <x v="0"/>
  </r>
  <r>
    <n v="720"/>
    <s v="720 | Program Office"/>
    <x v="4"/>
    <x v="1"/>
    <x v="6"/>
    <x v="9"/>
    <s v="Program Office-Officer"/>
    <x v="0"/>
    <d v="2022-03-09T16:28:19"/>
    <x v="201"/>
    <x v="73"/>
    <n v="5"/>
    <d v="2022-04-01T16:28:19"/>
    <s v="Yes"/>
    <d v="2022-03-30T16:28:19"/>
    <x v="0"/>
    <x v="0"/>
    <m/>
    <m/>
    <m/>
    <m/>
    <d v="2022-04-01T16:28:19"/>
    <m/>
    <x v="0"/>
    <m/>
    <m/>
    <m/>
    <m/>
    <s v="Company"/>
    <m/>
    <s v="C1402"/>
    <s v="Candidate_402"/>
    <s v="18/03/2022"/>
    <x v="0"/>
    <s v="Referral"/>
    <n v="3"/>
    <m/>
    <x v="0"/>
    <m/>
    <m/>
    <x v="0"/>
    <x v="0"/>
    <m/>
    <x v="1"/>
    <x v="0"/>
  </r>
  <r>
    <n v="680"/>
    <s v="680 | Program Office"/>
    <x v="4"/>
    <x v="1"/>
    <x v="6"/>
    <x v="9"/>
    <s v="Program Office-Officer"/>
    <x v="0"/>
    <d v="2023-08-02T21:15:22"/>
    <x v="204"/>
    <x v="74"/>
    <n v="7"/>
    <d v="2023-08-18T21:15:22"/>
    <s v="Yes"/>
    <d v="2023-08-25T21:15:22"/>
    <x v="0"/>
    <x v="3"/>
    <m/>
    <m/>
    <m/>
    <m/>
    <d v="2023-08-28T21:15:22"/>
    <m/>
    <x v="0"/>
    <m/>
    <m/>
    <m/>
    <m/>
    <s v="Candidate"/>
    <m/>
    <s v="C1403"/>
    <s v="Candidate_403"/>
    <s v="Aug 13 2023"/>
    <x v="0"/>
    <s v="Referral"/>
    <n v="6"/>
    <m/>
    <x v="0"/>
    <m/>
    <m/>
    <x v="0"/>
    <x v="0"/>
    <m/>
    <x v="1"/>
    <x v="0"/>
  </r>
  <r>
    <n v="659"/>
    <s v="659 | Program Office"/>
    <x v="4"/>
    <x v="1"/>
    <x v="6"/>
    <x v="9"/>
    <s v="Program Office-Officer"/>
    <x v="0"/>
    <d v="2022-12-21T00:23:46"/>
    <x v="261"/>
    <x v="4"/>
    <n v="-44916.016504629632"/>
    <d v="2023-01-12T00:23:46"/>
    <s v="Yes"/>
    <d v="2023-01-02T00:23:46"/>
    <x v="0"/>
    <x v="4"/>
    <m/>
    <m/>
    <m/>
    <m/>
    <m/>
    <m/>
    <x v="0"/>
    <m/>
    <m/>
    <m/>
    <m/>
    <s v="Candidate"/>
    <m/>
    <s v="C1404"/>
    <s v="Candidate_404"/>
    <s v="19/12/2022"/>
    <x v="1"/>
    <s v="Linkedin"/>
    <n v="3"/>
    <m/>
    <x v="0"/>
    <m/>
    <m/>
    <x v="0"/>
    <x v="0"/>
    <m/>
    <x v="0"/>
    <x v="0"/>
  </r>
  <r>
    <n v="655"/>
    <s v="655 | Program Office"/>
    <x v="5"/>
    <x v="1"/>
    <x v="6"/>
    <x v="9"/>
    <s v="Program Office-Officer"/>
    <x v="0"/>
    <m/>
    <x v="0"/>
    <x v="75"/>
    <n v="44922.016504629632"/>
    <d v="2023-01-20T00:23:46"/>
    <s v="Yes"/>
    <d v="2023-01-04T00:23:46"/>
    <x v="3"/>
    <x v="1"/>
    <d v="2023-01-09T00:23:46"/>
    <s v="Accepted"/>
    <d v="2023-01-05T00:23:46"/>
    <d v="2023-01-09T00:23:46"/>
    <d v="2023-01-08T00:23:46"/>
    <d v="2023-01-13T00:23:46"/>
    <x v="1"/>
    <d v="2023-01-17T00:23:46"/>
    <d v="2023-01-20T00:23:46"/>
    <d v="2023-01-23T00:23:46"/>
    <m/>
    <m/>
    <d v="2023-01-31T00:23:46"/>
    <s v="C1405"/>
    <s v="Candidate_405"/>
    <s v="18/12/2022"/>
    <x v="2"/>
    <s v="Job Board"/>
    <n v="6"/>
    <m/>
    <x v="0"/>
    <m/>
    <m/>
    <x v="0"/>
    <x v="0"/>
    <m/>
    <x v="0"/>
    <x v="0"/>
  </r>
  <r>
    <n v="636"/>
    <s v="636 | Program Office"/>
    <x v="5"/>
    <x v="1"/>
    <x v="6"/>
    <x v="9"/>
    <s v="Program Office-Officer"/>
    <x v="0"/>
    <d v="2022-09-22T07:15:57"/>
    <x v="262"/>
    <x v="76"/>
    <n v="7"/>
    <d v="2022-10-21T07:15:57"/>
    <s v="Yes"/>
    <d v="2022-10-09T07:15:57"/>
    <x v="0"/>
    <x v="0"/>
    <m/>
    <m/>
    <m/>
    <m/>
    <m/>
    <m/>
    <x v="0"/>
    <m/>
    <m/>
    <m/>
    <m/>
    <s v="Company"/>
    <m/>
    <s v="C1406"/>
    <s v="Candidate_406"/>
    <s v="09-28-2022"/>
    <x v="2"/>
    <s v="Job Board"/>
    <n v="6"/>
    <m/>
    <x v="0"/>
    <m/>
    <m/>
    <x v="0"/>
    <x v="0"/>
    <m/>
    <x v="1"/>
    <x v="0"/>
  </r>
  <r>
    <n v="577"/>
    <s v="577 | Program Office"/>
    <x v="5"/>
    <x v="1"/>
    <x v="6"/>
    <x v="9"/>
    <s v="Program Office-Officer"/>
    <x v="0"/>
    <d v="2022-12-11T02:09:30"/>
    <x v="263"/>
    <x v="77"/>
    <n v="9"/>
    <d v="2022-12-27T02:09:30"/>
    <s v="Yes"/>
    <d v="2023-01-05T02:09:30"/>
    <x v="0"/>
    <x v="3"/>
    <m/>
    <m/>
    <m/>
    <m/>
    <d v="2023-01-09T02:09:30"/>
    <m/>
    <x v="0"/>
    <m/>
    <m/>
    <m/>
    <m/>
    <s v="Company"/>
    <m/>
    <s v="C1407"/>
    <s v="Candidate_407"/>
    <s v="Dec 21 2022"/>
    <x v="2"/>
    <s v="Job Board"/>
    <n v="3"/>
    <m/>
    <x v="0"/>
    <m/>
    <m/>
    <x v="0"/>
    <x v="0"/>
    <m/>
    <x v="1"/>
    <x v="0"/>
  </r>
  <r>
    <n v="575"/>
    <s v="575 | Program Office"/>
    <x v="4"/>
    <x v="1"/>
    <x v="6"/>
    <x v="9"/>
    <s v="Program Office-Officer"/>
    <x v="0"/>
    <d v="2022-12-13T02:09:30"/>
    <x v="264"/>
    <x v="77"/>
    <n v="7"/>
    <d v="2022-12-28T02:09:30"/>
    <s v="Yes"/>
    <d v="2022-12-30T02:09:30"/>
    <x v="1"/>
    <x v="1"/>
    <d v="2023-01-01T02:09:30"/>
    <s v="Declined"/>
    <m/>
    <m/>
    <d v="2022-12-31T02:09:30"/>
    <m/>
    <x v="0"/>
    <m/>
    <m/>
    <m/>
    <m/>
    <m/>
    <m/>
    <s v="C1408"/>
    <s v="Candidate_408"/>
    <s v="21/12/2022"/>
    <x v="0"/>
    <s v="Referral"/>
    <n v="3"/>
    <m/>
    <x v="0"/>
    <m/>
    <m/>
    <x v="0"/>
    <x v="0"/>
    <m/>
    <x v="1"/>
    <x v="0"/>
  </r>
  <r>
    <n v="573"/>
    <s v="573 | Program Office"/>
    <x v="3"/>
    <x v="1"/>
    <x v="6"/>
    <x v="9"/>
    <s v="Program Office-Officer"/>
    <x v="0"/>
    <d v="2022-12-11T02:09:30"/>
    <x v="263"/>
    <x v="77"/>
    <n v="9"/>
    <d v="2023-01-10T02:09:30"/>
    <s v="Yes"/>
    <d v="2022-12-22T02:09:30"/>
    <x v="4"/>
    <x v="1"/>
    <d v="2022-12-27T02:09:30"/>
    <s v="Pending"/>
    <m/>
    <m/>
    <d v="2022-12-23T02:09:30"/>
    <m/>
    <x v="0"/>
    <m/>
    <m/>
    <m/>
    <m/>
    <m/>
    <m/>
    <s v="C1409"/>
    <s v="Candidate_409"/>
    <s v="10/12/2022"/>
    <x v="2"/>
    <s v="Job Board"/>
    <n v="3"/>
    <m/>
    <x v="0"/>
    <m/>
    <m/>
    <x v="0"/>
    <x v="0"/>
    <m/>
    <x v="1"/>
    <x v="0"/>
  </r>
  <r>
    <n v="492"/>
    <s v="492 | Program Office"/>
    <x v="4"/>
    <x v="1"/>
    <x v="6"/>
    <x v="9"/>
    <s v="Program Office-Officer"/>
    <x v="0"/>
    <d v="2023-08-29T09:52:53"/>
    <x v="265"/>
    <x v="30"/>
    <n v="7"/>
    <d v="2023-09-13T09:52:53"/>
    <s v="Yes"/>
    <d v="2023-09-20T09:52:53"/>
    <x v="0"/>
    <x v="0"/>
    <m/>
    <m/>
    <m/>
    <m/>
    <d v="2023-09-24T09:52:53"/>
    <m/>
    <x v="0"/>
    <m/>
    <m/>
    <m/>
    <m/>
    <s v="Candidate"/>
    <m/>
    <s v="C1410"/>
    <s v="Candidate_410"/>
    <s v="09-03-2023"/>
    <x v="0"/>
    <s v="Referral"/>
    <n v="6"/>
    <m/>
    <x v="0"/>
    <m/>
    <m/>
    <x v="0"/>
    <x v="0"/>
    <m/>
    <x v="1"/>
    <x v="0"/>
  </r>
  <r>
    <n v="491"/>
    <s v="491 | Program Office"/>
    <x v="3"/>
    <x v="1"/>
    <x v="6"/>
    <x v="9"/>
    <s v="Program Office-Officer"/>
    <x v="0"/>
    <d v="2023-08-30T09:52:53"/>
    <x v="133"/>
    <x v="30"/>
    <n v="6"/>
    <d v="2023-09-30T09:52:53"/>
    <s v="Yes"/>
    <d v="2023-09-18T09:52:53"/>
    <x v="0"/>
    <x v="3"/>
    <m/>
    <m/>
    <m/>
    <m/>
    <m/>
    <m/>
    <x v="0"/>
    <m/>
    <m/>
    <m/>
    <m/>
    <s v="Company"/>
    <m/>
    <s v="C1411"/>
    <s v="Candidate_411"/>
    <s v="09-12-2023"/>
    <x v="0"/>
    <s v="Referral"/>
    <n v="3"/>
    <m/>
    <x v="0"/>
    <m/>
    <m/>
    <x v="0"/>
    <x v="0"/>
    <m/>
    <x v="1"/>
    <x v="0"/>
  </r>
  <r>
    <n v="483"/>
    <s v="483 | Program Office"/>
    <x v="4"/>
    <x v="1"/>
    <x v="6"/>
    <x v="9"/>
    <s v="Program Office-Officer"/>
    <x v="0"/>
    <d v="2023-01-03T13:36:04"/>
    <x v="134"/>
    <x v="31"/>
    <n v="9"/>
    <d v="2023-02-09T13:36:04"/>
    <s v="No"/>
    <m/>
    <x v="2"/>
    <x v="1"/>
    <m/>
    <m/>
    <m/>
    <m/>
    <m/>
    <m/>
    <x v="0"/>
    <m/>
    <m/>
    <m/>
    <m/>
    <m/>
    <m/>
    <s v="C1412"/>
    <s v="Candidate_412"/>
    <m/>
    <x v="2"/>
    <s v="Job Board"/>
    <n v="3"/>
    <m/>
    <x v="0"/>
    <m/>
    <m/>
    <x v="0"/>
    <x v="0"/>
    <m/>
    <x v="1"/>
    <x v="0"/>
  </r>
  <r>
    <n v="480"/>
    <s v="480 | Program Office"/>
    <x v="4"/>
    <x v="1"/>
    <x v="6"/>
    <x v="9"/>
    <s v="Program Office-Officer"/>
    <x v="0"/>
    <m/>
    <x v="212"/>
    <x v="32"/>
    <n v="44682.075752314813"/>
    <d v="2022-05-27T01:49:05"/>
    <s v="Yes"/>
    <d v="2022-05-04T01:49:05"/>
    <x v="0"/>
    <x v="2"/>
    <m/>
    <m/>
    <m/>
    <m/>
    <m/>
    <m/>
    <x v="0"/>
    <m/>
    <m/>
    <m/>
    <m/>
    <s v="Candidate"/>
    <m/>
    <s v="C1413"/>
    <s v="Candidate_413"/>
    <s v="15/04/2022"/>
    <x v="0"/>
    <s v="Referral"/>
    <n v="3"/>
    <m/>
    <x v="0"/>
    <m/>
    <m/>
    <x v="0"/>
    <x v="0"/>
    <m/>
    <x v="0"/>
    <x v="0"/>
  </r>
  <r>
    <n v="476"/>
    <s v="476 | Program Office"/>
    <x v="4"/>
    <x v="1"/>
    <x v="6"/>
    <x v="9"/>
    <s v="Program Office-Officer"/>
    <x v="0"/>
    <d v="2022-04-24T01:49:05"/>
    <x v="135"/>
    <x v="32"/>
    <n v="7"/>
    <d v="2022-05-22T01:49:05"/>
    <s v="Yes"/>
    <d v="2022-05-03T01:49:05"/>
    <x v="0"/>
    <x v="0"/>
    <m/>
    <m/>
    <m/>
    <m/>
    <d v="2022-05-07T01:49:05"/>
    <m/>
    <x v="0"/>
    <m/>
    <m/>
    <m/>
    <m/>
    <s v="Candidate"/>
    <m/>
    <s v="C1414"/>
    <s v="Candidate_414"/>
    <s v="16/04/2022"/>
    <x v="2"/>
    <s v="Job Board"/>
    <n v="6"/>
    <m/>
    <x v="0"/>
    <m/>
    <m/>
    <x v="0"/>
    <x v="0"/>
    <m/>
    <x v="1"/>
    <x v="0"/>
  </r>
  <r>
    <n v="390"/>
    <s v="390 | Program Office"/>
    <x v="4"/>
    <x v="1"/>
    <x v="6"/>
    <x v="9"/>
    <s v="Program Office-Officer"/>
    <x v="0"/>
    <d v="2022-11-09T09:11:38"/>
    <x v="266"/>
    <x v="33"/>
    <n v="4"/>
    <d v="2022-12-08T09:11:38"/>
    <s v="Yes"/>
    <d v="2022-11-26T09:11:38"/>
    <x v="1"/>
    <x v="1"/>
    <d v="2022-11-28T09:11:38"/>
    <s v="Declined"/>
    <m/>
    <m/>
    <d v="2022-11-27T09:11:38"/>
    <m/>
    <x v="0"/>
    <m/>
    <m/>
    <m/>
    <m/>
    <m/>
    <m/>
    <s v="C1415"/>
    <s v="Candidate_415"/>
    <s v="11-14-2022"/>
    <x v="0"/>
    <s v="Referral"/>
    <n v="6"/>
    <m/>
    <x v="0"/>
    <m/>
    <m/>
    <x v="0"/>
    <x v="0"/>
    <m/>
    <x v="1"/>
    <x v="0"/>
  </r>
  <r>
    <n v="388"/>
    <s v="388 | Program Office"/>
    <x v="5"/>
    <x v="1"/>
    <x v="6"/>
    <x v="9"/>
    <s v="Program Office-Officer"/>
    <x v="0"/>
    <d v="2022-11-07T09:11:38"/>
    <x v="267"/>
    <x v="33"/>
    <n v="6"/>
    <d v="2022-11-26T09:11:38"/>
    <s v="Yes"/>
    <d v="2022-11-26T09:11:38"/>
    <x v="0"/>
    <x v="0"/>
    <m/>
    <m/>
    <m/>
    <m/>
    <m/>
    <m/>
    <x v="0"/>
    <m/>
    <m/>
    <m/>
    <m/>
    <s v="Company"/>
    <m/>
    <s v="C1416"/>
    <s v="Candidate_416"/>
    <s v="09/11/2022"/>
    <x v="1"/>
    <s v="Linkedin"/>
    <n v="3"/>
    <m/>
    <x v="0"/>
    <m/>
    <m/>
    <x v="0"/>
    <x v="0"/>
    <m/>
    <x v="1"/>
    <x v="0"/>
  </r>
  <r>
    <n v="386"/>
    <s v="386 | Program Office"/>
    <x v="4"/>
    <x v="1"/>
    <x v="6"/>
    <x v="9"/>
    <s v="Program Office-Officer"/>
    <x v="0"/>
    <d v="2022-11-09T09:11:38"/>
    <x v="266"/>
    <x v="33"/>
    <n v="4"/>
    <d v="2022-12-05T09:11:38"/>
    <s v="Yes"/>
    <d v="2022-11-17T09:11:38"/>
    <x v="0"/>
    <x v="4"/>
    <m/>
    <m/>
    <m/>
    <m/>
    <m/>
    <m/>
    <x v="0"/>
    <m/>
    <m/>
    <m/>
    <m/>
    <s v="Company"/>
    <m/>
    <s v="C1417"/>
    <s v="Candidate_417"/>
    <s v="Oct 31 2022"/>
    <x v="2"/>
    <s v="Job Board"/>
    <n v="3"/>
    <m/>
    <x v="0"/>
    <m/>
    <m/>
    <x v="0"/>
    <x v="0"/>
    <m/>
    <x v="1"/>
    <x v="0"/>
  </r>
  <r>
    <n v="381"/>
    <s v="381 | Program Office"/>
    <x v="3"/>
    <x v="1"/>
    <x v="6"/>
    <x v="9"/>
    <s v="Program Office-Officer"/>
    <x v="0"/>
    <d v="2022-11-06T09:11:38"/>
    <x v="268"/>
    <x v="33"/>
    <n v="7"/>
    <d v="2022-12-04T09:11:38"/>
    <s v="Yes"/>
    <d v="2022-11-14T09:11:38"/>
    <x v="0"/>
    <x v="0"/>
    <m/>
    <m/>
    <m/>
    <m/>
    <m/>
    <m/>
    <x v="0"/>
    <m/>
    <m/>
    <m/>
    <m/>
    <s v="Candidate"/>
    <m/>
    <s v="C1418"/>
    <s v="Candidate_418"/>
    <s v="03/11/2022"/>
    <x v="1"/>
    <s v="Linkedin"/>
    <n v="6"/>
    <m/>
    <x v="0"/>
    <m/>
    <m/>
    <x v="0"/>
    <x v="0"/>
    <m/>
    <x v="1"/>
    <x v="0"/>
  </r>
  <r>
    <n v="372"/>
    <s v="372 | Program Office"/>
    <x v="4"/>
    <x v="1"/>
    <x v="6"/>
    <x v="9"/>
    <s v="Program Office-Officer"/>
    <x v="0"/>
    <d v="2022-04-12T08:33:40"/>
    <x v="269"/>
    <x v="34"/>
    <n v="7"/>
    <d v="2022-05-10T08:33:40"/>
    <s v="Yes"/>
    <d v="2022-04-30T08:33:40"/>
    <x v="0"/>
    <x v="0"/>
    <m/>
    <m/>
    <m/>
    <m/>
    <m/>
    <m/>
    <x v="0"/>
    <m/>
    <m/>
    <m/>
    <m/>
    <s v="Candidate"/>
    <m/>
    <s v="C1419"/>
    <s v="Candidate_419"/>
    <s v="Apr 24 2022"/>
    <x v="2"/>
    <s v="Job Board"/>
    <n v="6"/>
    <m/>
    <x v="0"/>
    <m/>
    <m/>
    <x v="0"/>
    <x v="0"/>
    <m/>
    <x v="1"/>
    <x v="0"/>
  </r>
  <r>
    <n v="318"/>
    <s v="318 | Program Office"/>
    <x v="4"/>
    <x v="1"/>
    <x v="6"/>
    <x v="9"/>
    <s v="Program Office-Officer"/>
    <x v="0"/>
    <d v="2023-02-25T14:36:53"/>
    <x v="270"/>
    <x v="35"/>
    <n v="9"/>
    <d v="2023-04-05T14:36:53"/>
    <s v="Yes"/>
    <d v="2023-03-16T14:36:53"/>
    <x v="1"/>
    <x v="1"/>
    <d v="2023-03-23T14:36:53"/>
    <s v="Declined"/>
    <m/>
    <m/>
    <d v="2023-03-20T14:36:53"/>
    <m/>
    <x v="0"/>
    <m/>
    <m/>
    <m/>
    <m/>
    <m/>
    <m/>
    <s v="C1420"/>
    <s v="Candidate_420"/>
    <s v="Mar 05 2023"/>
    <x v="1"/>
    <s v="Linkedin"/>
    <n v="6"/>
    <m/>
    <x v="0"/>
    <m/>
    <m/>
    <x v="0"/>
    <x v="0"/>
    <m/>
    <x v="1"/>
    <x v="0"/>
  </r>
  <r>
    <n v="316"/>
    <s v="316 | Program Office"/>
    <x v="4"/>
    <x v="1"/>
    <x v="6"/>
    <x v="9"/>
    <s v="Program Office-Officer"/>
    <x v="0"/>
    <d v="2023-02-28T14:36:53"/>
    <x v="139"/>
    <x v="35"/>
    <n v="6"/>
    <d v="2023-03-31T14:36:53"/>
    <s v="Yes"/>
    <d v="2023-03-11T14:36:53"/>
    <x v="0"/>
    <x v="4"/>
    <m/>
    <m/>
    <m/>
    <m/>
    <d v="2023-03-15T14:36:53"/>
    <m/>
    <x v="0"/>
    <m/>
    <m/>
    <m/>
    <m/>
    <s v="Company"/>
    <m/>
    <s v="C1421"/>
    <s v="Candidate_421"/>
    <s v="03-04-2023"/>
    <x v="0"/>
    <s v="Referral"/>
    <n v="6"/>
    <m/>
    <x v="0"/>
    <m/>
    <m/>
    <x v="0"/>
    <x v="0"/>
    <m/>
    <x v="1"/>
    <x v="0"/>
  </r>
  <r>
    <n v="314"/>
    <s v="314 | Program Office"/>
    <x v="4"/>
    <x v="1"/>
    <x v="6"/>
    <x v="9"/>
    <s v="Program Office-Officer"/>
    <x v="0"/>
    <d v="2023-03-01T14:36:53"/>
    <x v="271"/>
    <x v="35"/>
    <n v="5"/>
    <d v="2023-03-16T14:36:53"/>
    <s v="Yes"/>
    <d v="2023-03-23T14:36:53"/>
    <x v="3"/>
    <x v="1"/>
    <d v="2023-03-26T14:36:53"/>
    <s v="Accepted"/>
    <d v="2023-03-24T14:36:53"/>
    <d v="2023-03-28T14:36:53"/>
    <d v="2023-03-25T14:36:53"/>
    <d v="2023-04-02T14:36:53"/>
    <x v="1"/>
    <d v="2023-04-05T14:36:53"/>
    <d v="2023-04-08T14:36:53"/>
    <d v="2023-04-09T14:36:53"/>
    <m/>
    <m/>
    <d v="2023-04-26T14:36:53"/>
    <s v="C1422"/>
    <s v="Candidate_422"/>
    <s v="03-11-2023"/>
    <x v="2"/>
    <s v="Job Board"/>
    <n v="3"/>
    <m/>
    <x v="0"/>
    <m/>
    <m/>
    <x v="0"/>
    <x v="0"/>
    <m/>
    <x v="52"/>
    <x v="0"/>
  </r>
  <r>
    <n v="312"/>
    <s v="312 | Program Office"/>
    <x v="5"/>
    <x v="1"/>
    <x v="6"/>
    <x v="9"/>
    <s v="Program Office-Officer"/>
    <x v="0"/>
    <d v="2023-03-01T14:36:53"/>
    <x v="271"/>
    <x v="35"/>
    <n v="5"/>
    <d v="2023-03-30T14:36:53"/>
    <s v="Yes"/>
    <d v="2023-03-21T14:36:53"/>
    <x v="1"/>
    <x v="1"/>
    <d v="2023-03-26T14:36:53"/>
    <s v="Declined"/>
    <m/>
    <m/>
    <d v="2023-03-25T14:36:53"/>
    <m/>
    <x v="0"/>
    <m/>
    <m/>
    <m/>
    <m/>
    <m/>
    <m/>
    <s v="C1423"/>
    <s v="Candidate_423"/>
    <s v="14/03/2023"/>
    <x v="0"/>
    <s v="Referral"/>
    <n v="3"/>
    <m/>
    <x v="0"/>
    <m/>
    <m/>
    <x v="0"/>
    <x v="0"/>
    <m/>
    <x v="1"/>
    <x v="0"/>
  </r>
  <r>
    <n v="187"/>
    <s v="187 | Program Office"/>
    <x v="4"/>
    <x v="1"/>
    <x v="6"/>
    <x v="9"/>
    <s v="Program Office-Officer"/>
    <x v="0"/>
    <d v="2022-09-24T07:13:58"/>
    <x v="0"/>
    <x v="4"/>
    <n v="-44828.301365740743"/>
    <d v="2022-10-13T07:13:58"/>
    <s v="Yes"/>
    <d v="2022-10-12T07:13:58"/>
    <x v="3"/>
    <x v="1"/>
    <d v="2022-10-15T07:13:58"/>
    <s v="Accepted"/>
    <d v="2022-10-13T07:13:58"/>
    <d v="2022-10-14T07:13:58"/>
    <d v="2022-10-13T07:13:58"/>
    <d v="2022-10-17T07:13:58"/>
    <x v="1"/>
    <d v="2022-10-21T07:13:58"/>
    <d v="2022-10-23T07:13:58"/>
    <d v="2022-10-25T07:13:58"/>
    <m/>
    <m/>
    <d v="2022-11-13T07:13:58"/>
    <s v="C1424"/>
    <s v="Candidate_424"/>
    <s v="Sep 24 2022"/>
    <x v="0"/>
    <s v="Referral"/>
    <n v="6"/>
    <m/>
    <x v="0"/>
    <m/>
    <m/>
    <x v="0"/>
    <x v="0"/>
    <m/>
    <x v="0"/>
    <x v="0"/>
  </r>
  <r>
    <n v="181"/>
    <s v="181 | Program Office"/>
    <x v="3"/>
    <x v="1"/>
    <x v="6"/>
    <x v="9"/>
    <s v="Program Office-Officer"/>
    <x v="0"/>
    <d v="2022-09-26T07:13:58"/>
    <x v="272"/>
    <x v="36"/>
    <n v="5"/>
    <d v="2022-10-12T07:13:58"/>
    <s v="Yes"/>
    <d v="2022-10-08T07:13:58"/>
    <x v="0"/>
    <x v="2"/>
    <m/>
    <m/>
    <m/>
    <m/>
    <d v="2022-10-10T07:13:58"/>
    <m/>
    <x v="0"/>
    <m/>
    <m/>
    <m/>
    <m/>
    <s v="Company"/>
    <m/>
    <s v="C1425"/>
    <s v="Candidate_425"/>
    <s v="09-22-2022"/>
    <x v="0"/>
    <s v="Referral"/>
    <n v="6"/>
    <m/>
    <x v="0"/>
    <m/>
    <m/>
    <x v="0"/>
    <x v="0"/>
    <m/>
    <x v="1"/>
    <x v="0"/>
  </r>
  <r>
    <n v="140"/>
    <s v="140 | Program Office"/>
    <x v="4"/>
    <x v="1"/>
    <x v="6"/>
    <x v="9"/>
    <s v="Program Office-Officer"/>
    <x v="0"/>
    <m/>
    <x v="141"/>
    <x v="37"/>
    <n v="44769.802951388891"/>
    <d v="2022-08-05T19:16:15"/>
    <s v="Yes"/>
    <d v="2022-08-10T19:16:15"/>
    <x v="3"/>
    <x v="1"/>
    <d v="2022-08-16T19:16:15"/>
    <s v="Accepted"/>
    <d v="2022-08-11T19:16:15"/>
    <d v="2022-08-12T19:16:15"/>
    <d v="2022-08-13T19:16:15"/>
    <d v="2022-08-18T19:16:15"/>
    <x v="1"/>
    <d v="2022-08-20T19:16:15"/>
    <d v="2022-08-21T19:16:15"/>
    <d v="2022-08-23T19:16:15"/>
    <m/>
    <m/>
    <d v="2022-09-11T19:16:15"/>
    <s v="C1426"/>
    <s v="Candidate_426"/>
    <s v="08-01-2022"/>
    <x v="0"/>
    <s v="Referral"/>
    <n v="6"/>
    <m/>
    <x v="0"/>
    <m/>
    <m/>
    <x v="0"/>
    <x v="0"/>
    <m/>
    <x v="0"/>
    <x v="0"/>
  </r>
  <r>
    <n v="139"/>
    <s v="139 | Program Office"/>
    <x v="4"/>
    <x v="1"/>
    <x v="6"/>
    <x v="9"/>
    <s v="Program Office-Officer"/>
    <x v="0"/>
    <d v="2022-07-25T19:16:15"/>
    <x v="57"/>
    <x v="37"/>
    <n v="2"/>
    <d v="2022-08-13T19:16:15"/>
    <s v="No"/>
    <m/>
    <x v="2"/>
    <x v="1"/>
    <m/>
    <m/>
    <m/>
    <m/>
    <m/>
    <m/>
    <x v="0"/>
    <m/>
    <m/>
    <m/>
    <m/>
    <m/>
    <m/>
    <s v="C1427"/>
    <s v="Candidate_427"/>
    <m/>
    <x v="0"/>
    <s v="Referral"/>
    <n v="6"/>
    <m/>
    <x v="0"/>
    <m/>
    <m/>
    <x v="0"/>
    <x v="0"/>
    <m/>
    <x v="1"/>
    <x v="0"/>
  </r>
  <r>
    <n v="136"/>
    <s v="136 | Program Office"/>
    <x v="3"/>
    <x v="1"/>
    <x v="6"/>
    <x v="9"/>
    <s v="Program Office-Officer"/>
    <x v="0"/>
    <d v="2022-07-20T19:16:15"/>
    <x v="0"/>
    <x v="37"/>
    <n v="7"/>
    <d v="2022-08-11T19:16:15"/>
    <s v="Yes"/>
    <d v="2022-08-08T19:16:15"/>
    <x v="1"/>
    <x v="1"/>
    <d v="2022-08-12T19:16:15"/>
    <s v="Declined"/>
    <m/>
    <m/>
    <d v="2022-08-10T19:16:15"/>
    <m/>
    <x v="0"/>
    <m/>
    <m/>
    <m/>
    <m/>
    <m/>
    <m/>
    <s v="C1428"/>
    <s v="Candidate_428"/>
    <s v="24/07/2022"/>
    <x v="1"/>
    <s v="Linkedin"/>
    <n v="6"/>
    <m/>
    <x v="0"/>
    <m/>
    <m/>
    <x v="0"/>
    <x v="0"/>
    <m/>
    <x v="0"/>
    <x v="0"/>
  </r>
  <r>
    <n v="132"/>
    <s v="132 | Program Office"/>
    <x v="4"/>
    <x v="1"/>
    <x v="6"/>
    <x v="9"/>
    <s v="Program Office-Officer"/>
    <x v="0"/>
    <d v="2022-07-22T19:16:15"/>
    <x v="215"/>
    <x v="37"/>
    <n v="5"/>
    <d v="2022-08-19T19:16:15"/>
    <s v="Yes"/>
    <d v="2022-08-13T19:16:15"/>
    <x v="1"/>
    <x v="1"/>
    <d v="2022-08-19T19:16:15"/>
    <s v="Declined"/>
    <m/>
    <m/>
    <d v="2022-08-17T19:16:15"/>
    <m/>
    <x v="0"/>
    <m/>
    <m/>
    <m/>
    <m/>
    <m/>
    <m/>
    <s v="C1429"/>
    <s v="Candidate_429"/>
    <s v="Aug 04 2022"/>
    <x v="0"/>
    <s v="Referral"/>
    <n v="3"/>
    <m/>
    <x v="0"/>
    <m/>
    <m/>
    <x v="0"/>
    <x v="0"/>
    <m/>
    <x v="1"/>
    <x v="0"/>
  </r>
  <r>
    <n v="66"/>
    <s v="66 | Program Office"/>
    <x v="4"/>
    <x v="1"/>
    <x v="6"/>
    <x v="9"/>
    <s v="Program Office-Officer"/>
    <x v="0"/>
    <d v="2023-08-29T18:08:34"/>
    <x v="0"/>
    <x v="78"/>
    <n v="3"/>
    <d v="2023-09-11T18:08:34"/>
    <s v="Yes"/>
    <d v="2023-09-15T18:08:34"/>
    <x v="4"/>
    <x v="1"/>
    <d v="2023-09-20T18:08:34"/>
    <s v="Pending"/>
    <m/>
    <m/>
    <d v="2023-09-19T18:08:34"/>
    <m/>
    <x v="0"/>
    <m/>
    <m/>
    <m/>
    <m/>
    <m/>
    <m/>
    <s v="C1430"/>
    <s v="Candidate_430"/>
    <s v="28/08/2023"/>
    <x v="2"/>
    <s v="Job Board"/>
    <n v="3"/>
    <m/>
    <x v="0"/>
    <m/>
    <m/>
    <x v="0"/>
    <x v="0"/>
    <m/>
    <x v="0"/>
    <x v="0"/>
  </r>
  <r>
    <n v="2540"/>
    <s v="2540 | Program Office"/>
    <x v="4"/>
    <x v="1"/>
    <x v="7"/>
    <x v="2"/>
    <s v="Program Office-Director"/>
    <x v="2"/>
    <d v="2022-05-01T01:23:53"/>
    <x v="224"/>
    <x v="4"/>
    <n v="-44682.058252314811"/>
    <d v="2022-06-02T01:23:53"/>
    <s v="No"/>
    <m/>
    <x v="2"/>
    <x v="1"/>
    <m/>
    <m/>
    <m/>
    <m/>
    <m/>
    <m/>
    <x v="0"/>
    <m/>
    <m/>
    <m/>
    <m/>
    <m/>
    <m/>
    <s v="C1431"/>
    <s v="Candidate_431"/>
    <m/>
    <x v="1"/>
    <s v="Linkedin"/>
    <n v="6"/>
    <m/>
    <x v="0"/>
    <m/>
    <m/>
    <x v="0"/>
    <x v="0"/>
    <m/>
    <x v="0"/>
    <x v="0"/>
  </r>
  <r>
    <n v="2531"/>
    <s v="2531 | Program Office"/>
    <x v="5"/>
    <x v="1"/>
    <x v="7"/>
    <x v="2"/>
    <s v="Program Office-Director"/>
    <x v="2"/>
    <d v="2022-05-04T01:23:53"/>
    <x v="224"/>
    <x v="17"/>
    <n v="3"/>
    <d v="2022-05-13T01:23:53"/>
    <s v="No"/>
    <m/>
    <x v="2"/>
    <x v="1"/>
    <m/>
    <m/>
    <m/>
    <m/>
    <m/>
    <m/>
    <x v="0"/>
    <m/>
    <m/>
    <m/>
    <m/>
    <m/>
    <m/>
    <s v="C1432"/>
    <s v="Candidate_432"/>
    <m/>
    <x v="2"/>
    <s v="Job Board"/>
    <n v="3"/>
    <m/>
    <x v="0"/>
    <m/>
    <m/>
    <x v="0"/>
    <x v="0"/>
    <m/>
    <x v="1"/>
    <x v="0"/>
  </r>
  <r>
    <n v="2265"/>
    <s v="2265 | Program Office"/>
    <x v="4"/>
    <x v="1"/>
    <x v="7"/>
    <x v="2"/>
    <s v="Program Office-Director"/>
    <x v="2"/>
    <d v="2023-04-14T22:30:17"/>
    <x v="273"/>
    <x v="51"/>
    <n v="6"/>
    <d v="2023-05-03T22:30:17"/>
    <s v="No"/>
    <m/>
    <x v="2"/>
    <x v="1"/>
    <m/>
    <m/>
    <m/>
    <m/>
    <m/>
    <m/>
    <x v="0"/>
    <m/>
    <m/>
    <m/>
    <m/>
    <m/>
    <m/>
    <s v="C1433"/>
    <s v="Candidate_433"/>
    <m/>
    <x v="2"/>
    <s v="Job Board"/>
    <n v="6"/>
    <m/>
    <x v="0"/>
    <m/>
    <m/>
    <x v="0"/>
    <x v="0"/>
    <m/>
    <x v="1"/>
    <x v="0"/>
  </r>
  <r>
    <n v="2127"/>
    <s v="2127 | Program Office"/>
    <x v="5"/>
    <x v="1"/>
    <x v="7"/>
    <x v="2"/>
    <s v="Program Office-Director"/>
    <x v="2"/>
    <d v="2023-01-01T11:21:38"/>
    <x v="163"/>
    <x v="22"/>
    <n v="8"/>
    <d v="2023-01-24T11:21:38"/>
    <s v="No"/>
    <m/>
    <x v="2"/>
    <x v="1"/>
    <m/>
    <m/>
    <m/>
    <m/>
    <m/>
    <m/>
    <x v="0"/>
    <m/>
    <m/>
    <m/>
    <m/>
    <m/>
    <m/>
    <s v="C1434"/>
    <s v="Candidate_434"/>
    <m/>
    <x v="0"/>
    <s v="Referral"/>
    <n v="6"/>
    <m/>
    <x v="0"/>
    <m/>
    <m/>
    <x v="0"/>
    <x v="0"/>
    <m/>
    <x v="1"/>
    <x v="0"/>
  </r>
  <r>
    <n v="2120"/>
    <s v="2120 | Program Office"/>
    <x v="3"/>
    <x v="1"/>
    <x v="7"/>
    <x v="2"/>
    <s v="Program Office-Director"/>
    <x v="2"/>
    <d v="2023-04-14T01:19:50"/>
    <x v="165"/>
    <x v="54"/>
    <n v="8"/>
    <d v="2023-05-11T01:19:50"/>
    <s v="No"/>
    <m/>
    <x v="2"/>
    <x v="1"/>
    <m/>
    <m/>
    <m/>
    <m/>
    <m/>
    <m/>
    <x v="0"/>
    <m/>
    <m/>
    <m/>
    <m/>
    <m/>
    <m/>
    <s v="C1435"/>
    <s v="Candidate_435"/>
    <m/>
    <x v="2"/>
    <s v="Job Board"/>
    <n v="3"/>
    <m/>
    <x v="0"/>
    <m/>
    <m/>
    <x v="0"/>
    <x v="0"/>
    <m/>
    <x v="1"/>
    <x v="0"/>
  </r>
  <r>
    <n v="2115"/>
    <s v="2115 | Program Office"/>
    <x v="4"/>
    <x v="1"/>
    <x v="7"/>
    <x v="2"/>
    <s v="Program Office-Director"/>
    <x v="2"/>
    <m/>
    <x v="238"/>
    <x v="54"/>
    <n v="45038.055439814823"/>
    <d v="2023-05-06T01:19:50"/>
    <s v="No"/>
    <m/>
    <x v="2"/>
    <x v="1"/>
    <m/>
    <m/>
    <m/>
    <m/>
    <m/>
    <m/>
    <x v="0"/>
    <m/>
    <m/>
    <m/>
    <m/>
    <m/>
    <m/>
    <s v="C1436"/>
    <s v="Candidate_436"/>
    <m/>
    <x v="1"/>
    <s v="Linkedin"/>
    <n v="3"/>
    <m/>
    <x v="0"/>
    <m/>
    <m/>
    <x v="0"/>
    <x v="0"/>
    <m/>
    <x v="0"/>
    <x v="0"/>
  </r>
  <r>
    <n v="1857"/>
    <s v="1857 | Program Office"/>
    <x v="4"/>
    <x v="1"/>
    <x v="7"/>
    <x v="2"/>
    <s v="Program Office-Director"/>
    <x v="2"/>
    <d v="2022-11-12T01:50:58"/>
    <x v="274"/>
    <x v="57"/>
    <n v="5"/>
    <d v="2022-12-10T01:50:58"/>
    <s v="No"/>
    <m/>
    <x v="2"/>
    <x v="1"/>
    <m/>
    <m/>
    <m/>
    <m/>
    <m/>
    <m/>
    <x v="0"/>
    <m/>
    <m/>
    <m/>
    <m/>
    <m/>
    <m/>
    <s v="C1437"/>
    <s v="Candidate_437"/>
    <m/>
    <x v="2"/>
    <s v="Job Board"/>
    <n v="3"/>
    <m/>
    <x v="0"/>
    <m/>
    <m/>
    <x v="0"/>
    <x v="0"/>
    <m/>
    <x v="1"/>
    <x v="0"/>
  </r>
  <r>
    <n v="1820"/>
    <s v="1820 | Program Office"/>
    <x v="5"/>
    <x v="1"/>
    <x v="7"/>
    <x v="2"/>
    <s v="Program Office-Director"/>
    <x v="2"/>
    <d v="2022-09-19T04:28:24"/>
    <x v="241"/>
    <x v="25"/>
    <n v="6"/>
    <d v="2022-10-04T04:28:24"/>
    <s v="No"/>
    <m/>
    <x v="2"/>
    <x v="1"/>
    <m/>
    <m/>
    <m/>
    <m/>
    <m/>
    <m/>
    <x v="0"/>
    <m/>
    <m/>
    <m/>
    <m/>
    <m/>
    <m/>
    <s v="C1438"/>
    <s v="Candidate_438"/>
    <m/>
    <x v="0"/>
    <s v="Referral"/>
    <n v="6"/>
    <m/>
    <x v="0"/>
    <m/>
    <m/>
    <x v="0"/>
    <x v="0"/>
    <m/>
    <x v="1"/>
    <x v="0"/>
  </r>
  <r>
    <n v="1816"/>
    <s v="1816 | Program Office"/>
    <x v="3"/>
    <x v="1"/>
    <x v="7"/>
    <x v="2"/>
    <s v="Program Office-Director"/>
    <x v="2"/>
    <d v="2022-09-17T04:28:24"/>
    <x v="275"/>
    <x v="25"/>
    <n v="8"/>
    <d v="2022-10-03T04:28:24"/>
    <s v="No"/>
    <m/>
    <x v="2"/>
    <x v="1"/>
    <m/>
    <m/>
    <m/>
    <m/>
    <m/>
    <m/>
    <x v="0"/>
    <m/>
    <m/>
    <m/>
    <m/>
    <m/>
    <m/>
    <s v="C1439"/>
    <s v="Candidate_439"/>
    <m/>
    <x v="2"/>
    <s v="Job Board"/>
    <n v="3"/>
    <m/>
    <x v="0"/>
    <m/>
    <m/>
    <x v="0"/>
    <x v="0"/>
    <m/>
    <x v="1"/>
    <x v="0"/>
  </r>
  <r>
    <n v="1809"/>
    <s v="1809 | Program Office"/>
    <x v="3"/>
    <x v="1"/>
    <x v="7"/>
    <x v="2"/>
    <s v="Program Office-Director"/>
    <x v="2"/>
    <m/>
    <x v="41"/>
    <x v="26"/>
    <n v="45127.017708333333"/>
    <d v="2023-08-05T00:25:30"/>
    <s v="No"/>
    <m/>
    <x v="2"/>
    <x v="1"/>
    <m/>
    <m/>
    <m/>
    <m/>
    <m/>
    <m/>
    <x v="0"/>
    <m/>
    <m/>
    <m/>
    <m/>
    <m/>
    <m/>
    <s v="C1440"/>
    <s v="Candidate_440"/>
    <m/>
    <x v="2"/>
    <s v="Job Board"/>
    <n v="6"/>
    <m/>
    <x v="0"/>
    <m/>
    <m/>
    <x v="0"/>
    <x v="0"/>
    <m/>
    <x v="0"/>
    <x v="0"/>
  </r>
  <r>
    <n v="993"/>
    <s v="993 | Program Office"/>
    <x v="5"/>
    <x v="1"/>
    <x v="7"/>
    <x v="2"/>
    <s v="Program Office-Director"/>
    <x v="2"/>
    <d v="2023-04-02T20:36:08"/>
    <x v="107"/>
    <x v="4"/>
    <n v="-45018.858425925922"/>
    <d v="2023-04-23T20:36:08"/>
    <s v="Yes"/>
    <d v="2023-04-16T20:36:08"/>
    <x v="3"/>
    <x v="1"/>
    <d v="2023-04-23T20:36:08"/>
    <s v="Accepted"/>
    <d v="2023-04-18T20:36:08"/>
    <d v="2023-04-21T20:36:08"/>
    <d v="2023-04-19T20:36:08"/>
    <d v="2023-04-22T20:36:08"/>
    <x v="1"/>
    <d v="2023-04-25T20:36:08"/>
    <d v="2023-04-28T20:36:08"/>
    <d v="2023-04-30T20:36:08"/>
    <m/>
    <m/>
    <d v="2023-05-15T20:36:08"/>
    <s v="C1441"/>
    <s v="Candidate_441"/>
    <s v="03-30-2023"/>
    <x v="0"/>
    <s v="Referral"/>
    <n v="6"/>
    <m/>
    <x v="0"/>
    <m/>
    <m/>
    <x v="0"/>
    <x v="0"/>
    <m/>
    <x v="0"/>
    <x v="0"/>
  </r>
  <r>
    <n v="949"/>
    <s v="949 | Program Office"/>
    <x v="4"/>
    <x v="1"/>
    <x v="7"/>
    <x v="2"/>
    <s v="Program Office-Director"/>
    <x v="2"/>
    <m/>
    <x v="276"/>
    <x v="65"/>
    <n v="44868.043067129627"/>
    <d v="2022-12-02T01:02:01"/>
    <s v="Yes"/>
    <d v="2022-11-07T01:02:01"/>
    <x v="1"/>
    <x v="1"/>
    <d v="2022-11-13T01:02:01"/>
    <s v="Declined"/>
    <m/>
    <m/>
    <d v="2022-11-11T01:02:01"/>
    <m/>
    <x v="0"/>
    <m/>
    <m/>
    <m/>
    <m/>
    <m/>
    <m/>
    <s v="C1442"/>
    <s v="Candidate_442"/>
    <s v="21/10/2022"/>
    <x v="0"/>
    <s v="Referral"/>
    <n v="6"/>
    <m/>
    <x v="0"/>
    <m/>
    <m/>
    <x v="0"/>
    <x v="0"/>
    <m/>
    <x v="0"/>
    <x v="0"/>
  </r>
  <r>
    <n v="914"/>
    <s v="914 | Program Office"/>
    <x v="3"/>
    <x v="1"/>
    <x v="7"/>
    <x v="2"/>
    <s v="Program Office-Director"/>
    <x v="2"/>
    <d v="2022-04-19T06:08:47"/>
    <x v="111"/>
    <x v="66"/>
    <n v="6"/>
    <d v="2022-05-21T06:08:47"/>
    <s v="Yes"/>
    <d v="2022-05-02T06:08:47"/>
    <x v="1"/>
    <x v="1"/>
    <d v="2022-05-05T06:08:47"/>
    <s v="Declined"/>
    <m/>
    <m/>
    <d v="2022-05-03T06:08:47"/>
    <m/>
    <x v="0"/>
    <m/>
    <m/>
    <m/>
    <m/>
    <m/>
    <m/>
    <s v="C1443"/>
    <s v="Candidate_443"/>
    <s v="04-27-2022"/>
    <x v="1"/>
    <s v="Linkedin"/>
    <n v="6"/>
    <m/>
    <x v="0"/>
    <m/>
    <m/>
    <x v="0"/>
    <x v="0"/>
    <m/>
    <x v="1"/>
    <x v="0"/>
  </r>
  <r>
    <n v="906"/>
    <s v="906 | Program Office"/>
    <x v="3"/>
    <x v="1"/>
    <x v="7"/>
    <x v="2"/>
    <s v="Program Office-Director"/>
    <x v="2"/>
    <d v="2023-08-23T05:59:22"/>
    <x v="191"/>
    <x v="67"/>
    <n v="5"/>
    <d v="2023-09-23T05:59:22"/>
    <s v="Yes"/>
    <d v="2023-09-04T05:59:22"/>
    <x v="3"/>
    <x v="1"/>
    <d v="2023-09-10T05:59:22"/>
    <s v="Accepted"/>
    <d v="2023-09-06T05:59:22"/>
    <d v="2023-09-08T05:59:22"/>
    <d v="2023-09-08T05:59:22"/>
    <d v="2023-09-09T05:59:22"/>
    <x v="1"/>
    <d v="2023-09-10T05:59:22"/>
    <d v="2023-09-13T05:59:22"/>
    <d v="2023-09-15T05:59:22"/>
    <m/>
    <m/>
    <d v="2023-10-05T05:59:22"/>
    <s v="C1444"/>
    <s v="Candidate_444"/>
    <s v="08-21-2023"/>
    <x v="2"/>
    <s v="Job Board"/>
    <n v="6"/>
    <m/>
    <x v="0"/>
    <m/>
    <m/>
    <x v="0"/>
    <x v="0"/>
    <m/>
    <x v="53"/>
    <x v="0"/>
  </r>
  <r>
    <n v="904"/>
    <s v="904 | Program Office"/>
    <x v="5"/>
    <x v="1"/>
    <x v="7"/>
    <x v="2"/>
    <s v="Program Office-Director"/>
    <x v="2"/>
    <d v="2023-08-21T05:59:22"/>
    <x v="114"/>
    <x v="67"/>
    <n v="7"/>
    <d v="2023-09-21T05:59:22"/>
    <s v="Yes"/>
    <d v="2023-08-31T05:59:22"/>
    <x v="3"/>
    <x v="1"/>
    <d v="2023-09-06T05:59:22"/>
    <s v="Accepted"/>
    <d v="2023-09-02T05:59:22"/>
    <d v="2023-09-03T05:59:22"/>
    <d v="2023-09-02T05:59:22"/>
    <d v="2023-09-03T05:59:22"/>
    <x v="1"/>
    <d v="2023-09-04T05:59:22"/>
    <d v="2023-09-07T05:59:22"/>
    <d v="2023-09-09T05:59:22"/>
    <m/>
    <m/>
    <d v="2023-09-26T05:59:22"/>
    <s v="C1445"/>
    <s v="Candidate_445"/>
    <s v="16/08/2023"/>
    <x v="1"/>
    <s v="Linkedin"/>
    <n v="3"/>
    <m/>
    <x v="0"/>
    <m/>
    <m/>
    <x v="0"/>
    <x v="0"/>
    <m/>
    <x v="54"/>
    <x v="0"/>
  </r>
  <r>
    <n v="830"/>
    <s v="830 | Program Office"/>
    <x v="4"/>
    <x v="1"/>
    <x v="7"/>
    <x v="2"/>
    <s v="Program Office-Director"/>
    <x v="2"/>
    <d v="2022-03-07T15:00:29"/>
    <x v="277"/>
    <x v="69"/>
    <n v="4"/>
    <d v="2022-04-09T15:00:29"/>
    <s v="Yes"/>
    <d v="2022-03-18T15:00:29"/>
    <x v="1"/>
    <x v="1"/>
    <d v="2022-03-25T15:00:29"/>
    <s v="Declined"/>
    <m/>
    <m/>
    <d v="2022-03-21T15:00:29"/>
    <m/>
    <x v="0"/>
    <m/>
    <m/>
    <m/>
    <m/>
    <m/>
    <m/>
    <s v="C1446"/>
    <s v="Candidate_446"/>
    <s v="07/03/2022"/>
    <x v="1"/>
    <s v="Linkedin"/>
    <n v="3"/>
    <m/>
    <x v="0"/>
    <m/>
    <m/>
    <x v="0"/>
    <x v="0"/>
    <m/>
    <x v="1"/>
    <x v="0"/>
  </r>
  <r>
    <n v="791"/>
    <s v="791 | Program Office"/>
    <x v="4"/>
    <x v="1"/>
    <x v="7"/>
    <x v="2"/>
    <s v="Program Office-Director"/>
    <x v="2"/>
    <d v="2022-12-07T16:11:24"/>
    <x v="259"/>
    <x v="70"/>
    <n v="10"/>
    <d v="2023-01-15T16:11:24"/>
    <s v="Yes"/>
    <d v="2022-12-31T16:11:24"/>
    <x v="0"/>
    <x v="2"/>
    <m/>
    <m/>
    <m/>
    <m/>
    <d v="2023-01-01T16:11:24"/>
    <m/>
    <x v="0"/>
    <m/>
    <m/>
    <m/>
    <m/>
    <s v="Company"/>
    <m/>
    <s v="C1447"/>
    <s v="Candidate_447"/>
    <s v="12-13-2022"/>
    <x v="2"/>
    <s v="Job Board"/>
    <n v="3"/>
    <m/>
    <x v="0"/>
    <m/>
    <m/>
    <x v="0"/>
    <x v="0"/>
    <m/>
    <x v="1"/>
    <x v="0"/>
  </r>
  <r>
    <n v="763"/>
    <s v="763 | Program Office"/>
    <x v="4"/>
    <x v="1"/>
    <x v="7"/>
    <x v="2"/>
    <s v="Program Office-Director"/>
    <x v="2"/>
    <m/>
    <x v="278"/>
    <x v="71"/>
    <n v="44733.736145833333"/>
    <d v="2022-07-06T17:40:03"/>
    <s v="Yes"/>
    <d v="2022-07-02T17:40:03"/>
    <x v="0"/>
    <x v="5"/>
    <m/>
    <m/>
    <m/>
    <m/>
    <d v="2022-07-03T17:40:03"/>
    <m/>
    <x v="0"/>
    <m/>
    <m/>
    <m/>
    <m/>
    <s v="Company"/>
    <m/>
    <s v="C1448"/>
    <s v="Candidate_448"/>
    <s v="06-26-2022"/>
    <x v="0"/>
    <s v="Referral"/>
    <n v="3"/>
    <m/>
    <x v="0"/>
    <m/>
    <m/>
    <x v="0"/>
    <x v="0"/>
    <m/>
    <x v="0"/>
    <x v="0"/>
  </r>
  <r>
    <n v="728"/>
    <s v="728 | Program Office"/>
    <x v="5"/>
    <x v="1"/>
    <x v="7"/>
    <x v="2"/>
    <s v="Program Office-Director"/>
    <x v="2"/>
    <d v="2022-02-13T15:51:14"/>
    <x v="125"/>
    <x v="72"/>
    <n v="7"/>
    <d v="2022-02-26T15:51:14"/>
    <s v="Yes"/>
    <d v="2022-02-26T15:51:14"/>
    <x v="0"/>
    <x v="5"/>
    <m/>
    <m/>
    <m/>
    <m/>
    <d v="2022-02-28T15:51:14"/>
    <m/>
    <x v="0"/>
    <m/>
    <m/>
    <m/>
    <m/>
    <s v="Candidate"/>
    <m/>
    <s v="C1449"/>
    <s v="Candidate_449"/>
    <s v="21/02/2022"/>
    <x v="0"/>
    <s v="Referral"/>
    <n v="3"/>
    <m/>
    <x v="0"/>
    <m/>
    <m/>
    <x v="0"/>
    <x v="0"/>
    <m/>
    <x v="1"/>
    <x v="0"/>
  </r>
  <r>
    <n v="719"/>
    <s v="719 | Program Office"/>
    <x v="5"/>
    <x v="1"/>
    <x v="7"/>
    <x v="2"/>
    <s v="Program Office-Director"/>
    <x v="2"/>
    <d v="2022-03-07T16:28:19"/>
    <x v="201"/>
    <x v="73"/>
    <n v="7"/>
    <d v="2022-03-23T16:28:19"/>
    <s v="Yes"/>
    <d v="2022-03-27T16:28:19"/>
    <x v="0"/>
    <x v="3"/>
    <m/>
    <m/>
    <m/>
    <m/>
    <d v="2022-03-28T16:28:19"/>
    <m/>
    <x v="0"/>
    <m/>
    <m/>
    <m/>
    <m/>
    <s v="Candidate"/>
    <m/>
    <s v="C1450"/>
    <s v="Candidate_450"/>
    <s v="Mar 16 2022"/>
    <x v="0"/>
    <s v="Referral"/>
    <n v="6"/>
    <m/>
    <x v="0"/>
    <m/>
    <m/>
    <x v="0"/>
    <x v="0"/>
    <m/>
    <x v="1"/>
    <x v="0"/>
  </r>
  <r>
    <n v="716"/>
    <s v="716 | Program Office"/>
    <x v="4"/>
    <x v="1"/>
    <x v="7"/>
    <x v="2"/>
    <s v="Program Office-Director"/>
    <x v="2"/>
    <d v="2022-03-10T16:28:19"/>
    <x v="202"/>
    <x v="73"/>
    <n v="4"/>
    <d v="2022-03-26T16:28:19"/>
    <s v="Yes"/>
    <d v="2022-03-18T16:28:19"/>
    <x v="0"/>
    <x v="4"/>
    <m/>
    <m/>
    <m/>
    <m/>
    <m/>
    <m/>
    <x v="0"/>
    <m/>
    <m/>
    <m/>
    <m/>
    <s v="Candidate"/>
    <m/>
    <s v="C1451"/>
    <s v="Candidate_451"/>
    <s v="03-08-2022"/>
    <x v="1"/>
    <s v="Linkedin"/>
    <n v="3"/>
    <m/>
    <x v="0"/>
    <m/>
    <m/>
    <x v="0"/>
    <x v="0"/>
    <m/>
    <x v="1"/>
    <x v="0"/>
  </r>
  <r>
    <n v="713"/>
    <s v="713 | Program Office"/>
    <x v="4"/>
    <x v="1"/>
    <x v="7"/>
    <x v="2"/>
    <s v="Program Office-Director"/>
    <x v="2"/>
    <d v="2022-03-05T16:28:19"/>
    <x v="126"/>
    <x v="73"/>
    <n v="9"/>
    <d v="2022-04-03T16:28:19"/>
    <s v="No"/>
    <m/>
    <x v="2"/>
    <x v="1"/>
    <m/>
    <m/>
    <m/>
    <m/>
    <m/>
    <m/>
    <x v="0"/>
    <m/>
    <m/>
    <m/>
    <m/>
    <m/>
    <m/>
    <s v="C1452"/>
    <s v="Candidate_452"/>
    <m/>
    <x v="2"/>
    <s v="Job Board"/>
    <n v="3"/>
    <m/>
    <x v="0"/>
    <m/>
    <m/>
    <x v="0"/>
    <x v="0"/>
    <m/>
    <x v="1"/>
    <x v="0"/>
  </r>
  <r>
    <n v="679"/>
    <s v="679 | Program Office"/>
    <x v="5"/>
    <x v="1"/>
    <x v="7"/>
    <x v="2"/>
    <s v="Program Office-Director"/>
    <x v="2"/>
    <m/>
    <x v="279"/>
    <x v="74"/>
    <n v="45147.885671296302"/>
    <d v="2023-09-06T21:15:22"/>
    <s v="Yes"/>
    <d v="2023-08-25T21:15:22"/>
    <x v="3"/>
    <x v="1"/>
    <d v="2023-08-30T21:15:22"/>
    <s v="Accepted"/>
    <d v="2023-08-26T21:15:22"/>
    <d v="2023-08-29T21:15:22"/>
    <d v="2023-08-29T21:15:22"/>
    <d v="2023-09-07T21:15:22"/>
    <x v="1"/>
    <d v="2023-09-10T21:15:22"/>
    <d v="2023-09-13T21:15:22"/>
    <d v="2023-09-16T21:15:22"/>
    <m/>
    <m/>
    <d v="2023-09-26T21:15:22"/>
    <s v="C1453"/>
    <s v="Candidate_453"/>
    <s v="08-19-2023"/>
    <x v="2"/>
    <s v="Job Board"/>
    <n v="6"/>
    <m/>
    <x v="0"/>
    <m/>
    <m/>
    <x v="0"/>
    <x v="0"/>
    <m/>
    <x v="0"/>
    <x v="0"/>
  </r>
  <r>
    <n v="675"/>
    <s v="675 | Program Office"/>
    <x v="3"/>
    <x v="1"/>
    <x v="7"/>
    <x v="2"/>
    <s v="Program Office-Director"/>
    <x v="2"/>
    <d v="2023-08-05T21:15:22"/>
    <x v="0"/>
    <x v="74"/>
    <n v="4"/>
    <d v="2023-08-23T21:15:22"/>
    <s v="Yes"/>
    <d v="2023-08-21T21:15:22"/>
    <x v="0"/>
    <x v="0"/>
    <m/>
    <m/>
    <m/>
    <m/>
    <d v="2023-08-24T21:15:22"/>
    <m/>
    <x v="0"/>
    <m/>
    <m/>
    <m/>
    <m/>
    <s v="Candidate"/>
    <m/>
    <s v="C1454"/>
    <s v="Candidate_454"/>
    <s v="08-03-2023"/>
    <x v="2"/>
    <s v="Job Board"/>
    <n v="6"/>
    <m/>
    <x v="0"/>
    <m/>
    <m/>
    <x v="0"/>
    <x v="0"/>
    <m/>
    <x v="0"/>
    <x v="0"/>
  </r>
  <r>
    <n v="671"/>
    <s v="671 | Program Office"/>
    <x v="4"/>
    <x v="1"/>
    <x v="7"/>
    <x v="2"/>
    <s v="Program Office-Director"/>
    <x v="2"/>
    <d v="2023-08-03T21:15:22"/>
    <x v="204"/>
    <x v="74"/>
    <n v="6"/>
    <d v="2023-09-02T21:15:22"/>
    <s v="Yes"/>
    <d v="2023-08-22T21:15:22"/>
    <x v="0"/>
    <x v="5"/>
    <m/>
    <m/>
    <m/>
    <m/>
    <m/>
    <m/>
    <x v="0"/>
    <m/>
    <m/>
    <m/>
    <m/>
    <s v="Company"/>
    <m/>
    <s v="C1455"/>
    <s v="Candidate_455"/>
    <s v="Aug 09 2023"/>
    <x v="2"/>
    <s v="Job Board"/>
    <n v="3"/>
    <m/>
    <x v="0"/>
    <m/>
    <m/>
    <x v="0"/>
    <x v="0"/>
    <m/>
    <x v="1"/>
    <x v="0"/>
  </r>
  <r>
    <n v="658"/>
    <s v="658 | Program Office"/>
    <x v="3"/>
    <x v="1"/>
    <x v="7"/>
    <x v="2"/>
    <s v="Program Office-Director"/>
    <x v="2"/>
    <d v="2022-12-19T00:23:46"/>
    <x v="130"/>
    <x v="75"/>
    <n v="8"/>
    <d v="2023-01-07T00:23:46"/>
    <s v="Yes"/>
    <d v="2023-01-05T00:23:46"/>
    <x v="0"/>
    <x v="0"/>
    <m/>
    <m/>
    <m/>
    <m/>
    <d v="2023-01-09T00:23:46"/>
    <m/>
    <x v="0"/>
    <m/>
    <m/>
    <m/>
    <m/>
    <s v="Company"/>
    <m/>
    <s v="C1456"/>
    <s v="Candidate_456"/>
    <s v="12-24-2022"/>
    <x v="2"/>
    <s v="Job Board"/>
    <n v="3"/>
    <m/>
    <x v="0"/>
    <m/>
    <m/>
    <x v="0"/>
    <x v="0"/>
    <m/>
    <x v="1"/>
    <x v="0"/>
  </r>
  <r>
    <n v="653"/>
    <s v="653 | Program Office"/>
    <x v="3"/>
    <x v="1"/>
    <x v="7"/>
    <x v="2"/>
    <s v="Program Office-Director"/>
    <x v="2"/>
    <m/>
    <x v="280"/>
    <x v="75"/>
    <n v="44922.016504629632"/>
    <d v="2023-01-10T00:23:46"/>
    <s v="Yes"/>
    <d v="2023-01-01T00:23:46"/>
    <x v="3"/>
    <x v="1"/>
    <d v="2023-01-06T00:23:46"/>
    <s v="Accepted"/>
    <d v="2023-01-02T00:23:46"/>
    <d v="2023-01-05T00:23:46"/>
    <d v="2023-01-02T00:23:46"/>
    <d v="2023-01-04T00:23:46"/>
    <x v="1"/>
    <d v="2023-01-07T00:23:46"/>
    <d v="2023-01-10T00:23:46"/>
    <d v="2023-01-12T00:23:46"/>
    <m/>
    <m/>
    <d v="2023-02-03T00:23:46"/>
    <s v="C1457"/>
    <s v="Candidate_457"/>
    <s v="12-15-2022"/>
    <x v="0"/>
    <s v="Referral"/>
    <n v="3"/>
    <m/>
    <x v="0"/>
    <m/>
    <m/>
    <x v="0"/>
    <x v="0"/>
    <m/>
    <x v="0"/>
    <x v="0"/>
  </r>
  <r>
    <n v="639"/>
    <s v="639 | Program Office"/>
    <x v="4"/>
    <x v="1"/>
    <x v="7"/>
    <x v="3"/>
    <s v="Program Office-Head of Department"/>
    <x v="2"/>
    <d v="2022-09-23T07:15:57"/>
    <x v="281"/>
    <x v="76"/>
    <n v="6"/>
    <d v="2022-10-09T07:15:57"/>
    <s v="Yes"/>
    <d v="2022-10-13T07:15:57"/>
    <x v="0"/>
    <x v="0"/>
    <m/>
    <m/>
    <m/>
    <m/>
    <m/>
    <m/>
    <x v="0"/>
    <m/>
    <m/>
    <m/>
    <m/>
    <s v="Company"/>
    <m/>
    <s v="C1458"/>
    <s v="Candidate_458"/>
    <s v="06/10/2022"/>
    <x v="1"/>
    <s v="Linkedin"/>
    <n v="6"/>
    <m/>
    <x v="0"/>
    <m/>
    <m/>
    <x v="0"/>
    <x v="0"/>
    <m/>
    <x v="1"/>
    <x v="0"/>
  </r>
  <r>
    <n v="618"/>
    <s v="618 | Program Office"/>
    <x v="4"/>
    <x v="1"/>
    <x v="7"/>
    <x v="3"/>
    <s v="Program Office-Head of Department"/>
    <x v="2"/>
    <d v="2023-08-18T21:15:20"/>
    <x v="282"/>
    <x v="86"/>
    <n v="5"/>
    <d v="2023-08-31T21:15:20"/>
    <s v="Yes"/>
    <d v="2023-09-03T21:15:20"/>
    <x v="3"/>
    <x v="1"/>
    <d v="2023-09-06T21:15:20"/>
    <s v="Accepted"/>
    <d v="2023-09-05T21:15:20"/>
    <d v="2023-09-06T21:15:20"/>
    <d v="2023-09-04T21:15:20"/>
    <d v="2023-09-05T21:15:20"/>
    <x v="1"/>
    <d v="2023-09-09T21:15:20"/>
    <d v="2023-09-10T21:15:20"/>
    <d v="2023-09-11T21:15:20"/>
    <m/>
    <m/>
    <d v="2023-09-30T21:15:20"/>
    <s v="C1459"/>
    <s v="Candidate_459"/>
    <s v="08-25-2023"/>
    <x v="0"/>
    <s v="Referral"/>
    <n v="3"/>
    <m/>
    <x v="0"/>
    <m/>
    <m/>
    <x v="0"/>
    <x v="0"/>
    <m/>
    <x v="55"/>
    <x v="0"/>
  </r>
  <r>
    <n v="579"/>
    <s v="579 | Program Office"/>
    <x v="4"/>
    <x v="1"/>
    <x v="7"/>
    <x v="3"/>
    <s v="Program Office-Head of Department"/>
    <x v="2"/>
    <d v="2022-12-13T02:09:30"/>
    <x v="208"/>
    <x v="77"/>
    <n v="7"/>
    <d v="2022-12-31T02:09:30"/>
    <s v="Yes"/>
    <d v="2022-12-26T02:09:30"/>
    <x v="0"/>
    <x v="0"/>
    <m/>
    <m/>
    <m/>
    <m/>
    <d v="2022-12-28T02:09:30"/>
    <m/>
    <x v="0"/>
    <m/>
    <m/>
    <m/>
    <m/>
    <s v="Company"/>
    <m/>
    <s v="C1460"/>
    <s v="Candidate_460"/>
    <s v="Dec 13 2022"/>
    <x v="0"/>
    <s v="Referral"/>
    <n v="3"/>
    <m/>
    <x v="0"/>
    <m/>
    <m/>
    <x v="0"/>
    <x v="0"/>
    <m/>
    <x v="1"/>
    <x v="0"/>
  </r>
  <r>
    <n v="494"/>
    <s v="494 | Program Office"/>
    <x v="4"/>
    <x v="1"/>
    <x v="7"/>
    <x v="3"/>
    <s v="Program Office-Head of Department"/>
    <x v="2"/>
    <d v="2023-08-31T09:52:53"/>
    <x v="133"/>
    <x v="30"/>
    <n v="5"/>
    <d v="2023-09-21T09:52:53"/>
    <s v="Yes"/>
    <d v="2023-09-09T09:52:53"/>
    <x v="1"/>
    <x v="1"/>
    <d v="2023-09-16T09:52:53"/>
    <s v="Declined"/>
    <m/>
    <m/>
    <d v="2023-09-13T09:52:53"/>
    <m/>
    <x v="0"/>
    <m/>
    <m/>
    <m/>
    <m/>
    <m/>
    <m/>
    <s v="C1461"/>
    <s v="Candidate_461"/>
    <s v="08-29-2023"/>
    <x v="2"/>
    <s v="Job Board"/>
    <n v="3"/>
    <m/>
    <x v="0"/>
    <m/>
    <m/>
    <x v="0"/>
    <x v="0"/>
    <m/>
    <x v="1"/>
    <x v="0"/>
  </r>
  <r>
    <n v="493"/>
    <s v="493 | Program Office"/>
    <x v="3"/>
    <x v="1"/>
    <x v="7"/>
    <x v="3"/>
    <s v="Program Office-Head of Department"/>
    <x v="2"/>
    <d v="2023-08-28T09:52:53"/>
    <x v="283"/>
    <x v="30"/>
    <n v="8"/>
    <d v="2023-09-21T09:52:53"/>
    <s v="Yes"/>
    <d v="2023-09-19T09:52:53"/>
    <x v="0"/>
    <x v="2"/>
    <m/>
    <m/>
    <m/>
    <m/>
    <m/>
    <m/>
    <x v="0"/>
    <m/>
    <m/>
    <m/>
    <m/>
    <s v="Company"/>
    <m/>
    <s v="C1462"/>
    <s v="Candidate_462"/>
    <s v="07/09/2023"/>
    <x v="2"/>
    <s v="Job Board"/>
    <n v="6"/>
    <m/>
    <x v="0"/>
    <m/>
    <m/>
    <x v="0"/>
    <x v="0"/>
    <m/>
    <x v="1"/>
    <x v="0"/>
  </r>
  <r>
    <n v="485"/>
    <s v="485 | Program Office"/>
    <x v="5"/>
    <x v="1"/>
    <x v="7"/>
    <x v="3"/>
    <s v="Program Office-Head of Department"/>
    <x v="2"/>
    <d v="2023-01-04T13:36:04"/>
    <x v="211"/>
    <x v="31"/>
    <n v="8"/>
    <d v="2023-02-11T13:36:04"/>
    <s v="Yes"/>
    <d v="2023-01-22T13:36:04"/>
    <x v="0"/>
    <x v="2"/>
    <m/>
    <m/>
    <m/>
    <m/>
    <m/>
    <m/>
    <x v="0"/>
    <m/>
    <m/>
    <m/>
    <m/>
    <s v="Company"/>
    <m/>
    <s v="C1463"/>
    <s v="Candidate_463"/>
    <s v="01-10-2023"/>
    <x v="1"/>
    <s v="Linkedin"/>
    <n v="6"/>
    <m/>
    <x v="0"/>
    <m/>
    <m/>
    <x v="0"/>
    <x v="0"/>
    <m/>
    <x v="1"/>
    <x v="0"/>
  </r>
  <r>
    <n v="484"/>
    <s v="484 | Program Office"/>
    <x v="5"/>
    <x v="1"/>
    <x v="7"/>
    <x v="3"/>
    <s v="Program Office-Head of Department"/>
    <x v="2"/>
    <d v="2023-01-05T13:36:04"/>
    <x v="50"/>
    <x v="31"/>
    <n v="7"/>
    <d v="2023-02-05T13:36:04"/>
    <s v="Yes"/>
    <d v="2023-01-21T13:36:04"/>
    <x v="0"/>
    <x v="4"/>
    <m/>
    <m/>
    <m/>
    <m/>
    <d v="2023-01-24T13:36:04"/>
    <m/>
    <x v="0"/>
    <m/>
    <m/>
    <m/>
    <m/>
    <s v="Company"/>
    <m/>
    <s v="C1464"/>
    <s v="Candidate_464"/>
    <s v="01-13-2023"/>
    <x v="0"/>
    <s v="Referral"/>
    <n v="6"/>
    <m/>
    <x v="0"/>
    <m/>
    <m/>
    <x v="0"/>
    <x v="0"/>
    <m/>
    <x v="1"/>
    <x v="0"/>
  </r>
  <r>
    <n v="477"/>
    <s v="477 | Program Office"/>
    <x v="3"/>
    <x v="1"/>
    <x v="7"/>
    <x v="3"/>
    <s v="Program Office-Head of Department"/>
    <x v="2"/>
    <d v="2022-04-23T01:49:05"/>
    <x v="135"/>
    <x v="4"/>
    <n v="-44674.075752314813"/>
    <d v="2022-05-15T01:49:05"/>
    <s v="Yes"/>
    <d v="2022-05-04T01:49:05"/>
    <x v="3"/>
    <x v="1"/>
    <d v="2022-05-08T01:49:05"/>
    <s v="Accepted"/>
    <d v="2022-05-06T01:49:05"/>
    <d v="2022-05-08T01:49:05"/>
    <d v="2022-05-06T01:49:05"/>
    <d v="2022-05-07T01:49:05"/>
    <x v="1"/>
    <d v="2022-05-10T01:49:05"/>
    <d v="2022-05-11T01:49:05"/>
    <d v="2022-05-14T01:49:05"/>
    <m/>
    <m/>
    <d v="2022-05-22T01:49:05"/>
    <s v="C1465"/>
    <s v="Candidate_465"/>
    <s v="Apr 24 2022"/>
    <x v="2"/>
    <s v="Job Board"/>
    <n v="6"/>
    <m/>
    <x v="0"/>
    <m/>
    <m/>
    <x v="0"/>
    <x v="0"/>
    <m/>
    <x v="0"/>
    <x v="0"/>
  </r>
  <r>
    <n v="475"/>
    <s v="475 | Program Office"/>
    <x v="4"/>
    <x v="1"/>
    <x v="7"/>
    <x v="3"/>
    <s v="Program Office-Head of Department"/>
    <x v="2"/>
    <d v="2022-04-25T01:49:05"/>
    <x v="284"/>
    <x v="32"/>
    <n v="6"/>
    <d v="2022-05-31T01:49:05"/>
    <s v="Yes"/>
    <d v="2022-05-18T01:49:05"/>
    <x v="0"/>
    <x v="5"/>
    <m/>
    <m/>
    <m/>
    <m/>
    <d v="2022-05-22T01:49:05"/>
    <m/>
    <x v="0"/>
    <m/>
    <m/>
    <m/>
    <m/>
    <s v="Company"/>
    <m/>
    <s v="C1466"/>
    <s v="Candidate_466"/>
    <s v="04/05/2022"/>
    <x v="0"/>
    <s v="Referral"/>
    <n v="3"/>
    <m/>
    <x v="0"/>
    <m/>
    <m/>
    <x v="0"/>
    <x v="0"/>
    <m/>
    <x v="1"/>
    <x v="0"/>
  </r>
  <r>
    <n v="385"/>
    <s v="385 | Program Office"/>
    <x v="4"/>
    <x v="1"/>
    <x v="7"/>
    <x v="3"/>
    <s v="Program Office-Head of Department"/>
    <x v="2"/>
    <d v="2022-11-04T09:11:38"/>
    <x v="285"/>
    <x v="4"/>
    <n v="-44869.3830787037"/>
    <d v="2022-11-24T09:11:38"/>
    <s v="Yes"/>
    <d v="2022-11-22T09:11:38"/>
    <x v="1"/>
    <x v="1"/>
    <d v="2022-11-28T09:11:38"/>
    <s v="Declined"/>
    <m/>
    <m/>
    <d v="2022-11-25T09:11:38"/>
    <m/>
    <x v="0"/>
    <m/>
    <m/>
    <m/>
    <m/>
    <m/>
    <m/>
    <s v="C1467"/>
    <s v="Candidate_467"/>
    <s v="11-11-2022"/>
    <x v="2"/>
    <s v="Job Board"/>
    <n v="3"/>
    <m/>
    <x v="0"/>
    <m/>
    <m/>
    <x v="0"/>
    <x v="0"/>
    <m/>
    <x v="0"/>
    <x v="0"/>
  </r>
  <r>
    <n v="378"/>
    <s v="378 | Program Office"/>
    <x v="3"/>
    <x v="1"/>
    <x v="7"/>
    <x v="3"/>
    <s v="Program Office-Head of Department"/>
    <x v="2"/>
    <d v="2022-04-16T08:33:40"/>
    <x v="286"/>
    <x v="34"/>
    <n v="3"/>
    <d v="2022-05-09T08:33:40"/>
    <s v="Yes"/>
    <d v="2022-04-27T08:33:40"/>
    <x v="0"/>
    <x v="0"/>
    <m/>
    <m/>
    <m/>
    <m/>
    <m/>
    <m/>
    <x v="0"/>
    <m/>
    <m/>
    <m/>
    <m/>
    <s v="Company"/>
    <m/>
    <s v="C1468"/>
    <s v="Candidate_468"/>
    <s v="04-08-2022"/>
    <x v="2"/>
    <s v="Job Board"/>
    <n v="3"/>
    <m/>
    <x v="0"/>
    <m/>
    <m/>
    <x v="0"/>
    <x v="0"/>
    <m/>
    <x v="1"/>
    <x v="0"/>
  </r>
  <r>
    <n v="375"/>
    <s v="375 | Program Office"/>
    <x v="4"/>
    <x v="1"/>
    <x v="7"/>
    <x v="3"/>
    <s v="Program Office-Head of Department"/>
    <x v="2"/>
    <d v="2022-04-12T08:33:40"/>
    <x v="214"/>
    <x v="34"/>
    <n v="7"/>
    <d v="2022-04-25T08:33:40"/>
    <s v="Yes"/>
    <d v="2022-05-01T08:33:40"/>
    <x v="3"/>
    <x v="1"/>
    <d v="2022-05-06T08:33:40"/>
    <s v="Accepted"/>
    <d v="2022-05-02T08:33:40"/>
    <d v="2022-05-06T08:33:40"/>
    <d v="2022-05-04T08:33:40"/>
    <d v="2022-05-10T08:33:40"/>
    <x v="1"/>
    <d v="2022-05-11T08:33:40"/>
    <d v="2022-05-12T08:33:40"/>
    <d v="2022-05-15T08:33:40"/>
    <m/>
    <m/>
    <d v="2022-05-22T08:33:40"/>
    <s v="C1469"/>
    <s v="Candidate_469"/>
    <s v="Apr 18 2022"/>
    <x v="1"/>
    <s v="Linkedin"/>
    <n v="3"/>
    <m/>
    <x v="0"/>
    <m/>
    <m/>
    <x v="0"/>
    <x v="0"/>
    <m/>
    <x v="56"/>
    <x v="0"/>
  </r>
  <r>
    <n v="315"/>
    <s v="315 | Program Office"/>
    <x v="4"/>
    <x v="1"/>
    <x v="7"/>
    <x v="3"/>
    <s v="Program Office-Head of Department"/>
    <x v="2"/>
    <d v="2023-03-03T14:36:53"/>
    <x v="0"/>
    <x v="35"/>
    <n v="3"/>
    <d v="2023-03-18T14:36:53"/>
    <s v="No"/>
    <m/>
    <x v="2"/>
    <x v="1"/>
    <m/>
    <m/>
    <m/>
    <m/>
    <m/>
    <m/>
    <x v="0"/>
    <m/>
    <m/>
    <m/>
    <m/>
    <m/>
    <m/>
    <s v="C1470"/>
    <s v="Candidate_470"/>
    <m/>
    <x v="0"/>
    <s v="Referral"/>
    <n v="6"/>
    <m/>
    <x v="0"/>
    <m/>
    <m/>
    <x v="0"/>
    <x v="0"/>
    <m/>
    <x v="0"/>
    <x v="0"/>
  </r>
  <r>
    <n v="189"/>
    <s v="189 | Program Office"/>
    <x v="3"/>
    <x v="1"/>
    <x v="7"/>
    <x v="3"/>
    <s v="Program Office-Head of Department"/>
    <x v="2"/>
    <d v="2022-09-26T07:13:58"/>
    <x v="287"/>
    <x v="36"/>
    <n v="5"/>
    <d v="2023-04-09T07:13:58"/>
    <s v="Yes"/>
    <d v="2022-10-07T07:13:58"/>
    <x v="0"/>
    <x v="0"/>
    <m/>
    <m/>
    <m/>
    <m/>
    <m/>
    <m/>
    <x v="0"/>
    <m/>
    <m/>
    <m/>
    <m/>
    <s v="Company"/>
    <m/>
    <s v="C1471"/>
    <s v="Candidate_471"/>
    <s v="09-21-2022"/>
    <x v="2"/>
    <s v="Job Board"/>
    <n v="6"/>
    <m/>
    <x v="0"/>
    <m/>
    <m/>
    <x v="0"/>
    <x v="0"/>
    <m/>
    <x v="1"/>
    <x v="0"/>
  </r>
  <r>
    <n v="131"/>
    <s v="131 | Program Office"/>
    <x v="3"/>
    <x v="1"/>
    <x v="7"/>
    <x v="3"/>
    <s v="Program Office-Head of Department"/>
    <x v="2"/>
    <d v="2022-07-18T19:16:15"/>
    <x v="288"/>
    <x v="37"/>
    <n v="9"/>
    <d v="2023-02-02T19:16:15"/>
    <s v="Yes"/>
    <d v="2022-08-07T19:16:15"/>
    <x v="0"/>
    <x v="5"/>
    <m/>
    <m/>
    <m/>
    <m/>
    <m/>
    <m/>
    <x v="0"/>
    <m/>
    <m/>
    <m/>
    <m/>
    <s v="Candidate"/>
    <m/>
    <s v="C1472"/>
    <s v="Candidate_472"/>
    <s v="Jul 27 2022"/>
    <x v="1"/>
    <s v="Linkedin"/>
    <n v="3"/>
    <m/>
    <x v="0"/>
    <m/>
    <m/>
    <x v="0"/>
    <x v="0"/>
    <m/>
    <x v="1"/>
    <x v="0"/>
  </r>
  <r>
    <n v="70"/>
    <s v="70 | Program Office"/>
    <x v="3"/>
    <x v="1"/>
    <x v="7"/>
    <x v="2"/>
    <s v="Program Office-Director"/>
    <x v="2"/>
    <d v="2023-08-23T18:08:34"/>
    <x v="143"/>
    <x v="4"/>
    <n v="-45161.755949074082"/>
    <d v="2023-09-09T18:08:34"/>
    <s v="No"/>
    <m/>
    <x v="2"/>
    <x v="1"/>
    <m/>
    <m/>
    <m/>
    <m/>
    <m/>
    <m/>
    <x v="0"/>
    <m/>
    <m/>
    <m/>
    <m/>
    <m/>
    <m/>
    <s v="C1473"/>
    <s v="Candidate_473"/>
    <m/>
    <x v="0"/>
    <s v="Referral"/>
    <n v="6"/>
    <m/>
    <x v="0"/>
    <m/>
    <m/>
    <x v="0"/>
    <x v="0"/>
    <m/>
    <x v="0"/>
    <x v="0"/>
  </r>
  <r>
    <n v="63"/>
    <s v="63 | Program Office"/>
    <x v="3"/>
    <x v="1"/>
    <x v="7"/>
    <x v="2"/>
    <s v="Program Office-Director"/>
    <x v="2"/>
    <d v="2023-08-26T18:08:34"/>
    <x v="144"/>
    <x v="4"/>
    <n v="-45164.755949074082"/>
    <d v="2023-09-24T18:08:34"/>
    <s v="Yes"/>
    <d v="2023-09-10T18:08:34"/>
    <x v="0"/>
    <x v="3"/>
    <m/>
    <m/>
    <m/>
    <m/>
    <d v="2023-09-11T18:08:34"/>
    <m/>
    <x v="0"/>
    <m/>
    <m/>
    <m/>
    <m/>
    <s v="Candidate"/>
    <m/>
    <s v="C1474"/>
    <s v="Candidate_474"/>
    <s v="22/08/2023"/>
    <x v="0"/>
    <s v="Referral"/>
    <n v="6"/>
    <m/>
    <x v="0"/>
    <m/>
    <m/>
    <x v="0"/>
    <x v="0"/>
    <m/>
    <x v="0"/>
    <x v="0"/>
  </r>
  <r>
    <n v="62"/>
    <s v="62 | Program Office"/>
    <x v="5"/>
    <x v="1"/>
    <x v="7"/>
    <x v="2"/>
    <s v="Program Office-Director"/>
    <x v="2"/>
    <d v="2023-08-27T18:08:34"/>
    <x v="142"/>
    <x v="78"/>
    <n v="5"/>
    <d v="2023-09-22T18:08:34"/>
    <s v="Yes"/>
    <d v="2023-09-11T18:08:34"/>
    <x v="0"/>
    <x v="3"/>
    <m/>
    <m/>
    <m/>
    <m/>
    <m/>
    <m/>
    <x v="0"/>
    <m/>
    <m/>
    <m/>
    <m/>
    <s v="Candidate"/>
    <m/>
    <s v="C1475"/>
    <s v="Candidate_475"/>
    <s v="08-31-2023"/>
    <x v="2"/>
    <s v="Job Board"/>
    <n v="3"/>
    <m/>
    <x v="0"/>
    <m/>
    <m/>
    <x v="0"/>
    <x v="0"/>
    <m/>
    <x v="1"/>
    <x v="0"/>
  </r>
  <r>
    <n v="10"/>
    <s v="10 | Program Office"/>
    <x v="4"/>
    <x v="1"/>
    <x v="7"/>
    <x v="2"/>
    <s v="Program Office-Director"/>
    <x v="2"/>
    <d v="2023-06-04T08:55:46"/>
    <x v="146"/>
    <x v="38"/>
    <n v="2"/>
    <d v="2023-06-26T08:55:46"/>
    <s v="Yes"/>
    <d v="2023-06-15T08:55:46"/>
    <x v="0"/>
    <x v="5"/>
    <m/>
    <m/>
    <m/>
    <m/>
    <d v="2023-06-18T08:55:46"/>
    <m/>
    <x v="0"/>
    <m/>
    <m/>
    <m/>
    <m/>
    <s v="Candidate"/>
    <m/>
    <s v="C1476"/>
    <s v="Candidate_476"/>
    <s v="06-01-2023"/>
    <x v="2"/>
    <s v="Job Board"/>
    <n v="3"/>
    <m/>
    <x v="0"/>
    <m/>
    <m/>
    <x v="0"/>
    <x v="0"/>
    <m/>
    <x v="1"/>
    <x v="0"/>
  </r>
  <r>
    <n v="8"/>
    <s v="8 | Program Office"/>
    <x v="3"/>
    <x v="1"/>
    <x v="7"/>
    <x v="2"/>
    <s v="Program Office-Director"/>
    <x v="2"/>
    <d v="2023-06-02T08:55:46"/>
    <x v="146"/>
    <x v="38"/>
    <n v="4"/>
    <d v="2023-07-06T08:55:46"/>
    <s v="Yes"/>
    <d v="2023-06-12T08:55:46"/>
    <x v="0"/>
    <x v="0"/>
    <m/>
    <m/>
    <m/>
    <m/>
    <m/>
    <m/>
    <x v="0"/>
    <m/>
    <m/>
    <m/>
    <m/>
    <s v="Company"/>
    <m/>
    <s v="C1477"/>
    <s v="Candidate_477"/>
    <s v="05-29-2023"/>
    <x v="0"/>
    <s v="Referral"/>
    <n v="3"/>
    <m/>
    <x v="0"/>
    <m/>
    <m/>
    <x v="0"/>
    <x v="0"/>
    <m/>
    <x v="1"/>
    <x v="0"/>
  </r>
  <r>
    <n v="2974"/>
    <s v="2974 | Program Office"/>
    <x v="4"/>
    <x v="1"/>
    <x v="8"/>
    <x v="0"/>
    <s v="Program Office-Analyst"/>
    <x v="1"/>
    <d v="2022-07-19T15:16:58"/>
    <x v="289"/>
    <x v="88"/>
    <n v="10"/>
    <d v="2022-08-17T15:16:58"/>
    <s v="Yes"/>
    <d v="2022-08-04T15:16:58"/>
    <x v="3"/>
    <x v="1"/>
    <d v="2022-08-09T15:16:58"/>
    <s v="Accepted"/>
    <d v="2022-08-06T15:16:58"/>
    <d v="2022-08-09T15:16:58"/>
    <d v="2022-08-07T15:16:58"/>
    <d v="2022-08-09T15:16:58"/>
    <x v="1"/>
    <d v="2022-08-10T15:16:58"/>
    <d v="2022-08-13T15:16:58"/>
    <d v="2022-08-14T15:16:58"/>
    <m/>
    <m/>
    <d v="2022-09-03T15:16:58"/>
    <s v="C1478"/>
    <s v="Candidate_478"/>
    <s v="23/07/2022"/>
    <x v="0"/>
    <s v="Referral"/>
    <n v="3"/>
    <m/>
    <x v="0"/>
    <m/>
    <m/>
    <x v="0"/>
    <x v="0"/>
    <m/>
    <x v="57"/>
    <x v="0"/>
  </r>
  <r>
    <n v="2972"/>
    <s v="2972 | Program Office"/>
    <x v="4"/>
    <x v="1"/>
    <x v="8"/>
    <x v="0"/>
    <s v="Program Office-Analyst"/>
    <x v="1"/>
    <d v="2022-07-19T15:16:58"/>
    <x v="217"/>
    <x v="87"/>
    <n v="11"/>
    <d v="2022-08-17T15:16:58"/>
    <s v="Yes"/>
    <d v="2022-07-31T15:16:58"/>
    <x v="0"/>
    <x v="0"/>
    <m/>
    <m/>
    <m/>
    <m/>
    <m/>
    <m/>
    <x v="0"/>
    <m/>
    <m/>
    <m/>
    <m/>
    <s v="Company"/>
    <m/>
    <s v="C1479"/>
    <s v="Candidate_479"/>
    <s v="07-14-2022"/>
    <x v="2"/>
    <s v="Job Board"/>
    <n v="3"/>
    <m/>
    <x v="0"/>
    <m/>
    <m/>
    <x v="0"/>
    <x v="0"/>
    <m/>
    <x v="1"/>
    <x v="0"/>
  </r>
  <r>
    <n v="2969"/>
    <s v="2969 | Program Office"/>
    <x v="4"/>
    <x v="1"/>
    <x v="8"/>
    <x v="0"/>
    <s v="Program Office-Analyst"/>
    <x v="1"/>
    <d v="2022-05-17T06:38:26"/>
    <x v="290"/>
    <x v="89"/>
    <n v="11"/>
    <d v="2022-07-12T06:38:26"/>
    <s v="No"/>
    <m/>
    <x v="2"/>
    <x v="1"/>
    <m/>
    <m/>
    <m/>
    <m/>
    <m/>
    <m/>
    <x v="0"/>
    <m/>
    <m/>
    <m/>
    <m/>
    <m/>
    <m/>
    <s v="C1480"/>
    <s v="Candidate_480"/>
    <m/>
    <x v="0"/>
    <s v="Referral"/>
    <n v="6"/>
    <m/>
    <x v="0"/>
    <m/>
    <m/>
    <x v="0"/>
    <x v="0"/>
    <m/>
    <x v="1"/>
    <x v="0"/>
  </r>
  <r>
    <n v="2967"/>
    <s v="2967 | Program Office"/>
    <x v="3"/>
    <x v="1"/>
    <x v="8"/>
    <x v="0"/>
    <s v="Program Office-Analyst"/>
    <x v="1"/>
    <d v="2022-05-18T06:38:26"/>
    <x v="290"/>
    <x v="89"/>
    <n v="10"/>
    <d v="2022-07-12T06:38:26"/>
    <s v="No"/>
    <m/>
    <x v="2"/>
    <x v="1"/>
    <m/>
    <m/>
    <m/>
    <m/>
    <m/>
    <m/>
    <x v="0"/>
    <m/>
    <m/>
    <m/>
    <m/>
    <m/>
    <m/>
    <s v="C1481"/>
    <s v="Candidate_481"/>
    <m/>
    <x v="2"/>
    <s v="Job Board"/>
    <n v="6"/>
    <m/>
    <x v="0"/>
    <m/>
    <m/>
    <x v="0"/>
    <x v="0"/>
    <m/>
    <x v="1"/>
    <x v="0"/>
  </r>
  <r>
    <n v="2885"/>
    <s v="2885 | Program Office"/>
    <x v="4"/>
    <x v="1"/>
    <x v="8"/>
    <x v="0"/>
    <s v="Program Office-Analyst"/>
    <x v="1"/>
    <m/>
    <x v="27"/>
    <x v="12"/>
    <n v="44865.066979166673"/>
    <d v="2022-12-15T01:36:27"/>
    <s v="Yes"/>
    <d v="2022-11-15T01:36:27"/>
    <x v="3"/>
    <x v="1"/>
    <d v="2022-11-22T01:36:27"/>
    <s v="Accepted"/>
    <d v="2022-11-16T01:36:27"/>
    <d v="2022-11-18T01:36:27"/>
    <d v="2022-11-18T01:36:27"/>
    <d v="2022-11-25T01:36:27"/>
    <x v="1"/>
    <d v="2022-11-28T01:36:27"/>
    <d v="2022-12-01T01:36:27"/>
    <d v="2022-12-04T01:36:27"/>
    <m/>
    <m/>
    <d v="2022-12-17T01:36:27"/>
    <s v="C1482"/>
    <s v="Candidate_482"/>
    <s v="30/10/2022"/>
    <x v="0"/>
    <s v="Referral"/>
    <n v="3"/>
    <m/>
    <x v="0"/>
    <m/>
    <m/>
    <x v="0"/>
    <x v="0"/>
    <m/>
    <x v="0"/>
    <x v="0"/>
  </r>
  <r>
    <n v="2884"/>
    <s v="2884 | Program Office"/>
    <x v="5"/>
    <x v="1"/>
    <x v="8"/>
    <x v="0"/>
    <s v="Program Office-Analyst"/>
    <x v="1"/>
    <m/>
    <x v="27"/>
    <x v="12"/>
    <n v="44865.066979166673"/>
    <d v="2022-12-15T01:36:27"/>
    <s v="No"/>
    <m/>
    <x v="2"/>
    <x v="1"/>
    <m/>
    <m/>
    <m/>
    <m/>
    <m/>
    <m/>
    <x v="0"/>
    <m/>
    <m/>
    <m/>
    <m/>
    <m/>
    <m/>
    <s v="C1483"/>
    <s v="Candidate_483"/>
    <m/>
    <x v="2"/>
    <s v="Job Board"/>
    <n v="3"/>
    <m/>
    <x v="0"/>
    <m/>
    <m/>
    <x v="0"/>
    <x v="0"/>
    <m/>
    <x v="0"/>
    <x v="0"/>
  </r>
  <r>
    <n v="2881"/>
    <s v="2881 | Program Office"/>
    <x v="4"/>
    <x v="1"/>
    <x v="8"/>
    <x v="0"/>
    <s v="Program Office-Analyst"/>
    <x v="1"/>
    <d v="2022-10-20T01:36:27"/>
    <x v="291"/>
    <x v="90"/>
    <n v="10"/>
    <d v="2022-11-28T01:36:27"/>
    <s v="Yes"/>
    <d v="2022-11-12T01:36:27"/>
    <x v="3"/>
    <x v="1"/>
    <d v="2022-11-16T01:36:27"/>
    <s v="Accepted"/>
    <d v="2022-11-14T01:36:27"/>
    <d v="2022-11-16T01:36:27"/>
    <d v="2022-11-14T01:36:27"/>
    <d v="2022-11-21T01:36:27"/>
    <x v="1"/>
    <d v="2022-11-25T01:36:27"/>
    <d v="2022-11-26T01:36:27"/>
    <d v="2022-11-28T01:36:27"/>
    <m/>
    <m/>
    <d v="2022-12-12T01:36:27"/>
    <s v="C1484"/>
    <s v="Candidate_484"/>
    <s v="06/11/2022"/>
    <x v="1"/>
    <s v="Linkedin"/>
    <n v="6"/>
    <m/>
    <x v="0"/>
    <m/>
    <m/>
    <x v="0"/>
    <x v="0"/>
    <m/>
    <x v="58"/>
    <x v="0"/>
  </r>
  <r>
    <n v="2857"/>
    <s v="2857 | Program Office"/>
    <x v="3"/>
    <x v="1"/>
    <x v="8"/>
    <x v="0"/>
    <s v="Program Office-Analyst"/>
    <x v="1"/>
    <d v="2023-04-17T11:59:33"/>
    <x v="0"/>
    <x v="45"/>
    <n v="8"/>
    <d v="2023-07-04T11:59:33"/>
    <s v="Yes"/>
    <d v="2023-04-28T11:59:33"/>
    <x v="3"/>
    <x v="1"/>
    <d v="2023-05-03T11:59:33"/>
    <s v="Accepted"/>
    <d v="2023-04-30T11:59:33"/>
    <d v="2023-05-04T11:59:33"/>
    <d v="2023-05-02T11:59:33"/>
    <d v="2023-05-04T11:59:33"/>
    <x v="1"/>
    <d v="2023-05-08T11:59:33"/>
    <d v="2023-05-09T11:59:33"/>
    <d v="2023-05-10T11:59:33"/>
    <m/>
    <m/>
    <d v="2023-05-20T11:59:33"/>
    <s v="C1485"/>
    <s v="Candidate_485"/>
    <s v="04-09-2023"/>
    <x v="2"/>
    <s v="Job Board"/>
    <n v="3"/>
    <m/>
    <x v="0"/>
    <m/>
    <m/>
    <x v="0"/>
    <x v="0"/>
    <m/>
    <x v="0"/>
    <x v="0"/>
  </r>
  <r>
    <n v="2854"/>
    <s v="2854 | Program Office"/>
    <x v="4"/>
    <x v="1"/>
    <x v="8"/>
    <x v="1"/>
    <s v="Program Office-Supervisor"/>
    <x v="1"/>
    <d v="2023-04-16T11:59:33"/>
    <x v="292"/>
    <x v="4"/>
    <n v="-45032.4996875"/>
    <d v="2023-07-04T11:59:33"/>
    <s v="Yes"/>
    <d v="2023-05-01T11:59:33"/>
    <x v="0"/>
    <x v="0"/>
    <m/>
    <m/>
    <m/>
    <m/>
    <m/>
    <m/>
    <x v="0"/>
    <m/>
    <m/>
    <m/>
    <m/>
    <s v="Company"/>
    <m/>
    <s v="C1486"/>
    <s v="Candidate_486"/>
    <s v="13/04/2023"/>
    <x v="2"/>
    <s v="Job Board"/>
    <n v="3"/>
    <m/>
    <x v="0"/>
    <m/>
    <m/>
    <x v="0"/>
    <x v="0"/>
    <m/>
    <x v="0"/>
    <x v="0"/>
  </r>
  <r>
    <n v="2840"/>
    <s v="2840 | Program Office"/>
    <x v="4"/>
    <x v="1"/>
    <x v="8"/>
    <x v="1"/>
    <s v="Program Office-Supervisor"/>
    <x v="1"/>
    <d v="2022-04-09T20:14:44"/>
    <x v="293"/>
    <x v="80"/>
    <n v="6"/>
    <d v="2022-05-11T20:14:44"/>
    <s v="Yes"/>
    <d v="2022-04-19T20:14:44"/>
    <x v="0"/>
    <x v="0"/>
    <m/>
    <m/>
    <m/>
    <m/>
    <d v="2022-04-23T20:14:44"/>
    <m/>
    <x v="0"/>
    <m/>
    <m/>
    <m/>
    <m/>
    <s v="Candidate"/>
    <m/>
    <s v="C1487"/>
    <s v="Candidate_487"/>
    <s v="08/04/2022"/>
    <x v="1"/>
    <s v="Linkedin"/>
    <n v="6"/>
    <m/>
    <x v="0"/>
    <m/>
    <m/>
    <x v="0"/>
    <x v="0"/>
    <m/>
    <x v="1"/>
    <x v="0"/>
  </r>
  <r>
    <n v="2836"/>
    <s v="2836 | Program Office"/>
    <x v="5"/>
    <x v="1"/>
    <x v="8"/>
    <x v="1"/>
    <s v="Program Office-Supervisor"/>
    <x v="1"/>
    <d v="2022-04-13T20:14:44"/>
    <x v="294"/>
    <x v="80"/>
    <n v="2"/>
    <d v="2022-05-04T20:14:44"/>
    <s v="Yes"/>
    <d v="2022-04-19T20:14:44"/>
    <x v="0"/>
    <x v="2"/>
    <m/>
    <m/>
    <m/>
    <m/>
    <d v="2022-04-22T20:14:44"/>
    <m/>
    <x v="0"/>
    <m/>
    <m/>
    <m/>
    <m/>
    <s v="Company"/>
    <m/>
    <s v="C1488"/>
    <s v="Candidate_488"/>
    <s v="Apr 13 2022"/>
    <x v="0"/>
    <s v="Referral"/>
    <n v="3"/>
    <m/>
    <x v="0"/>
    <m/>
    <m/>
    <x v="0"/>
    <x v="0"/>
    <m/>
    <x v="1"/>
    <x v="0"/>
  </r>
  <r>
    <n v="2833"/>
    <s v="2833 | Program Office"/>
    <x v="3"/>
    <x v="1"/>
    <x v="8"/>
    <x v="1"/>
    <s v="Program Office-Supervisor"/>
    <x v="1"/>
    <d v="2022-04-11T20:14:44"/>
    <x v="295"/>
    <x v="80"/>
    <n v="4"/>
    <d v="2022-04-22T20:14:44"/>
    <s v="Yes"/>
    <d v="2022-04-27T20:14:44"/>
    <x v="0"/>
    <x v="5"/>
    <m/>
    <m/>
    <m/>
    <m/>
    <d v="2022-05-01T20:14:44"/>
    <m/>
    <x v="0"/>
    <m/>
    <m/>
    <m/>
    <m/>
    <s v="Company"/>
    <m/>
    <s v="C1489"/>
    <s v="Candidate_489"/>
    <s v="14/04/2022"/>
    <x v="2"/>
    <s v="Job Board"/>
    <n v="3"/>
    <m/>
    <x v="0"/>
    <m/>
    <m/>
    <x v="0"/>
    <x v="0"/>
    <m/>
    <x v="1"/>
    <x v="0"/>
  </r>
  <r>
    <n v="2786"/>
    <s v="2786 | Program Office"/>
    <x v="5"/>
    <x v="1"/>
    <x v="8"/>
    <x v="1"/>
    <s v="Program Office-Supervisor"/>
    <x v="1"/>
    <d v="2023-06-28T19:35:56"/>
    <x v="69"/>
    <x v="46"/>
    <n v="5"/>
    <d v="2023-07-15T19:35:56"/>
    <s v="Yes"/>
    <d v="2023-07-19T19:35:56"/>
    <x v="0"/>
    <x v="4"/>
    <m/>
    <m/>
    <m/>
    <m/>
    <m/>
    <m/>
    <x v="0"/>
    <m/>
    <m/>
    <m/>
    <m/>
    <s v="Company"/>
    <m/>
    <s v="C1490"/>
    <s v="Candidate_490"/>
    <s v="11/07/2023"/>
    <x v="0"/>
    <s v="Referral"/>
    <n v="3"/>
    <m/>
    <x v="0"/>
    <m/>
    <m/>
    <x v="0"/>
    <x v="0"/>
    <m/>
    <x v="1"/>
    <x v="0"/>
  </r>
  <r>
    <n v="2783"/>
    <s v="2783 | Program Office"/>
    <x v="4"/>
    <x v="1"/>
    <x v="8"/>
    <x v="1"/>
    <s v="Program Office-Supervisor"/>
    <x v="1"/>
    <m/>
    <x v="296"/>
    <x v="46"/>
    <n v="45110.816620370373"/>
    <d v="2023-07-26T19:35:56"/>
    <s v="Yes"/>
    <d v="2023-07-10T19:35:56"/>
    <x v="3"/>
    <x v="1"/>
    <d v="2023-07-12T19:35:56"/>
    <s v="Accepted"/>
    <d v="2023-07-12T19:35:56"/>
    <d v="2023-07-15T19:35:56"/>
    <d v="2023-07-11T19:35:56"/>
    <d v="2023-07-13T19:35:56"/>
    <x v="1"/>
    <d v="2023-07-16T19:35:56"/>
    <d v="2023-07-17T19:35:56"/>
    <d v="2023-07-19T19:35:56"/>
    <m/>
    <m/>
    <d v="2023-08-01T19:35:56"/>
    <s v="C1491"/>
    <s v="Candidate_491"/>
    <s v="Jun 23 2023"/>
    <x v="1"/>
    <s v="Linkedin"/>
    <n v="6"/>
    <m/>
    <x v="0"/>
    <m/>
    <m/>
    <x v="0"/>
    <x v="0"/>
    <m/>
    <x v="0"/>
    <x v="0"/>
  </r>
  <r>
    <n v="2782"/>
    <s v="2782 | Program Office"/>
    <x v="4"/>
    <x v="1"/>
    <x v="8"/>
    <x v="0"/>
    <s v="Program Office-Analyst"/>
    <x v="1"/>
    <d v="2023-06-26T19:35:56"/>
    <x v="151"/>
    <x v="46"/>
    <n v="7"/>
    <d v="2023-07-10T19:35:56"/>
    <s v="No"/>
    <m/>
    <x v="2"/>
    <x v="1"/>
    <m/>
    <m/>
    <m/>
    <m/>
    <m/>
    <m/>
    <x v="0"/>
    <m/>
    <m/>
    <m/>
    <m/>
    <m/>
    <m/>
    <s v="C1492"/>
    <s v="Candidate_492"/>
    <m/>
    <x v="1"/>
    <s v="Linkedin"/>
    <n v="3"/>
    <m/>
    <x v="0"/>
    <m/>
    <m/>
    <x v="0"/>
    <x v="0"/>
    <m/>
    <x v="1"/>
    <x v="0"/>
  </r>
  <r>
    <n v="2781"/>
    <s v="2781 | Program Office"/>
    <x v="4"/>
    <x v="1"/>
    <x v="8"/>
    <x v="0"/>
    <s v="Program Office-Analyst"/>
    <x v="1"/>
    <d v="2023-06-27T19:35:56"/>
    <x v="297"/>
    <x v="4"/>
    <n v="-45104.816620370373"/>
    <d v="2023-08-02T19:35:56"/>
    <s v="Yes"/>
    <d v="2023-07-06T19:35:56"/>
    <x v="0"/>
    <x v="2"/>
    <m/>
    <m/>
    <m/>
    <m/>
    <m/>
    <m/>
    <x v="0"/>
    <m/>
    <m/>
    <m/>
    <m/>
    <s v="Candidate"/>
    <m/>
    <s v="C1493"/>
    <s v="Candidate_493"/>
    <s v="Jul 01 2023"/>
    <x v="2"/>
    <s v="Job Board"/>
    <n v="6"/>
    <m/>
    <x v="0"/>
    <m/>
    <m/>
    <x v="0"/>
    <x v="0"/>
    <m/>
    <x v="0"/>
    <x v="0"/>
  </r>
  <r>
    <n v="2736"/>
    <s v="2736 | Program Office"/>
    <x v="4"/>
    <x v="1"/>
    <x v="8"/>
    <x v="0"/>
    <s v="Program Office-Analyst"/>
    <x v="1"/>
    <d v="2022-07-06T23:32:45"/>
    <x v="0"/>
    <x v="15"/>
    <n v="9"/>
    <d v="2022-07-25T23:32:45"/>
    <s v="Yes"/>
    <d v="2022-07-21T23:32:45"/>
    <x v="3"/>
    <x v="1"/>
    <d v="2022-07-27T23:32:45"/>
    <s v="Accepted"/>
    <d v="2022-07-22T23:32:45"/>
    <d v="2022-07-26T23:32:45"/>
    <d v="2022-07-24T23:32:45"/>
    <d v="2022-08-01T23:32:45"/>
    <x v="1"/>
    <d v="2022-08-03T23:32:45"/>
    <d v="2022-08-04T23:32:45"/>
    <d v="2022-08-06T23:32:45"/>
    <m/>
    <m/>
    <d v="2022-08-27T23:32:45"/>
    <s v="C1494"/>
    <s v="Candidate_494"/>
    <s v="07-11-2022"/>
    <x v="1"/>
    <s v="Linkedin"/>
    <n v="3"/>
    <m/>
    <x v="0"/>
    <m/>
    <m/>
    <x v="0"/>
    <x v="0"/>
    <m/>
    <x v="0"/>
    <x v="0"/>
  </r>
  <r>
    <n v="2566"/>
    <s v="2566 | Program Office"/>
    <x v="4"/>
    <x v="1"/>
    <x v="8"/>
    <x v="0"/>
    <s v="Program Office-Analyst"/>
    <x v="1"/>
    <d v="2022-11-23T06:58:42"/>
    <x v="71"/>
    <x v="47"/>
    <n v="5"/>
    <d v="2022-12-15T06:58:42"/>
    <s v="Yes"/>
    <d v="2022-12-09T06:58:42"/>
    <x v="3"/>
    <x v="1"/>
    <d v="2022-12-16T06:58:42"/>
    <s v="Accepted"/>
    <d v="2022-12-11T06:58:42"/>
    <d v="2022-12-14T06:58:42"/>
    <d v="2022-12-13T06:58:42"/>
    <d v="2022-12-23T06:58:42"/>
    <x v="1"/>
    <d v="2022-12-26T06:58:42"/>
    <d v="2022-12-27T06:58:42"/>
    <d v="2022-12-28T06:58:42"/>
    <m/>
    <m/>
    <d v="2023-01-08T06:58:42"/>
    <s v="C1495"/>
    <s v="Candidate_495"/>
    <s v="20/11/2022"/>
    <x v="2"/>
    <s v="Job Board"/>
    <n v="6"/>
    <m/>
    <x v="0"/>
    <m/>
    <m/>
    <x v="0"/>
    <x v="0"/>
    <m/>
    <x v="59"/>
    <x v="0"/>
  </r>
  <r>
    <n v="2563"/>
    <s v="2563 | Program Office"/>
    <x v="4"/>
    <x v="1"/>
    <x v="8"/>
    <x v="0"/>
    <s v="Program Office-Analyst"/>
    <x v="1"/>
    <d v="2022-11-21T06:58:42"/>
    <x v="221"/>
    <x v="47"/>
    <n v="7"/>
    <d v="2022-12-14T06:58:42"/>
    <s v="No"/>
    <m/>
    <x v="2"/>
    <x v="1"/>
    <m/>
    <m/>
    <m/>
    <m/>
    <m/>
    <m/>
    <x v="0"/>
    <m/>
    <m/>
    <m/>
    <m/>
    <m/>
    <m/>
    <s v="C1496"/>
    <s v="Candidate_496"/>
    <m/>
    <x v="1"/>
    <s v="Linkedin"/>
    <n v="3"/>
    <m/>
    <x v="0"/>
    <m/>
    <m/>
    <x v="0"/>
    <x v="0"/>
    <m/>
    <x v="1"/>
    <x v="0"/>
  </r>
  <r>
    <n v="2559"/>
    <s v="2559 | Program Office"/>
    <x v="3"/>
    <x v="1"/>
    <x v="8"/>
    <x v="0"/>
    <s v="Program Office-Analyst"/>
    <x v="1"/>
    <d v="2023-08-03T17:10:04"/>
    <x v="298"/>
    <x v="16"/>
    <n v="7"/>
    <d v="2023-08-19T17:10:04"/>
    <s v="No"/>
    <m/>
    <x v="2"/>
    <x v="1"/>
    <m/>
    <m/>
    <m/>
    <m/>
    <m/>
    <m/>
    <x v="0"/>
    <m/>
    <m/>
    <m/>
    <m/>
    <m/>
    <m/>
    <s v="C1497"/>
    <s v="Candidate_497"/>
    <m/>
    <x v="1"/>
    <s v="Linkedin"/>
    <n v="3"/>
    <m/>
    <x v="0"/>
    <m/>
    <m/>
    <x v="0"/>
    <x v="0"/>
    <m/>
    <x v="1"/>
    <x v="0"/>
  </r>
  <r>
    <n v="2556"/>
    <s v="2556 | Program Office"/>
    <x v="5"/>
    <x v="1"/>
    <x v="8"/>
    <x v="0"/>
    <s v="Program Office-Analyst"/>
    <x v="1"/>
    <d v="2023-08-01T17:10:04"/>
    <x v="73"/>
    <x v="16"/>
    <n v="9"/>
    <d v="2023-08-25T17:10:04"/>
    <s v="Yes"/>
    <d v="2023-08-26T17:10:04"/>
    <x v="1"/>
    <x v="1"/>
    <d v="2023-08-29T17:10:04"/>
    <s v="Declined"/>
    <m/>
    <m/>
    <d v="2023-08-28T17:10:04"/>
    <m/>
    <x v="0"/>
    <m/>
    <m/>
    <m/>
    <m/>
    <m/>
    <m/>
    <s v="C1498"/>
    <s v="Candidate_498"/>
    <s v="09/08/2023"/>
    <x v="0"/>
    <s v="Referral"/>
    <n v="3"/>
    <m/>
    <x v="0"/>
    <m/>
    <m/>
    <x v="0"/>
    <x v="0"/>
    <m/>
    <x v="1"/>
    <x v="0"/>
  </r>
  <r>
    <n v="2554"/>
    <s v="2554 | Program Office"/>
    <x v="3"/>
    <x v="1"/>
    <x v="8"/>
    <x v="0"/>
    <s v="Program Office-Analyst"/>
    <x v="1"/>
    <d v="2023-08-02T17:10:04"/>
    <x v="298"/>
    <x v="16"/>
    <n v="8"/>
    <d v="2023-09-02T17:10:04"/>
    <s v="Yes"/>
    <d v="2023-08-16T17:10:04"/>
    <x v="0"/>
    <x v="5"/>
    <m/>
    <m/>
    <m/>
    <m/>
    <d v="2023-08-18T17:10:04"/>
    <m/>
    <x v="0"/>
    <m/>
    <m/>
    <m/>
    <m/>
    <s v="Candidate"/>
    <m/>
    <s v="C1499"/>
    <s v="Candidate_499"/>
    <s v="01/08/2023"/>
    <x v="2"/>
    <s v="Job Board"/>
    <n v="3"/>
    <m/>
    <x v="0"/>
    <m/>
    <m/>
    <x v="0"/>
    <x v="0"/>
    <m/>
    <x v="1"/>
    <x v="0"/>
  </r>
  <r>
    <n v="2538"/>
    <s v="2538 | Program Office"/>
    <x v="4"/>
    <x v="1"/>
    <x v="8"/>
    <x v="1"/>
    <s v="Program Office-Supervisor"/>
    <x v="1"/>
    <d v="2022-04-30T01:23:53"/>
    <x v="299"/>
    <x v="17"/>
    <n v="7"/>
    <d v="2022-05-29T01:23:53"/>
    <s v="Yes"/>
    <d v="2022-05-15T01:23:53"/>
    <x v="0"/>
    <x v="3"/>
    <m/>
    <m/>
    <m/>
    <m/>
    <m/>
    <m/>
    <x v="0"/>
    <m/>
    <m/>
    <m/>
    <m/>
    <s v="Company"/>
    <m/>
    <s v="C1500"/>
    <s v="Candidate_500"/>
    <s v="Apr 30 2022"/>
    <x v="1"/>
    <s v="Linkedin"/>
    <n v="3"/>
    <m/>
    <x v="0"/>
    <m/>
    <m/>
    <x v="0"/>
    <x v="0"/>
    <m/>
    <x v="1"/>
    <x v="0"/>
  </r>
  <r>
    <n v="2517"/>
    <s v="2517 | Program Office"/>
    <x v="5"/>
    <x v="1"/>
    <x v="8"/>
    <x v="1"/>
    <s v="Program Office-Supervisor"/>
    <x v="1"/>
    <d v="2023-09-04T03:11:54"/>
    <x v="154"/>
    <x v="18"/>
    <n v="4"/>
    <d v="2023-09-24T03:11:54"/>
    <s v="Yes"/>
    <d v="2023-09-24T03:11:54"/>
    <x v="1"/>
    <x v="1"/>
    <d v="2023-09-27T03:11:54"/>
    <s v="Declined"/>
    <m/>
    <m/>
    <d v="2023-09-25T03:11:54"/>
    <m/>
    <x v="0"/>
    <m/>
    <m/>
    <m/>
    <m/>
    <m/>
    <m/>
    <s v="C1501"/>
    <s v="Candidate_501"/>
    <s v="07/09/2023"/>
    <x v="1"/>
    <s v="Linkedin"/>
    <n v="3"/>
    <m/>
    <x v="0"/>
    <m/>
    <m/>
    <x v="0"/>
    <x v="0"/>
    <m/>
    <x v="1"/>
    <x v="0"/>
  </r>
  <r>
    <n v="2513"/>
    <s v="2513 | Program Office"/>
    <x v="4"/>
    <x v="1"/>
    <x v="8"/>
    <x v="1"/>
    <s v="Program Office-Supervisor"/>
    <x v="1"/>
    <d v="2023-09-06T03:11:54"/>
    <x v="300"/>
    <x v="18"/>
    <n v="2"/>
    <d v="2023-10-03T03:11:54"/>
    <s v="Yes"/>
    <d v="2023-09-19T03:11:54"/>
    <x v="0"/>
    <x v="5"/>
    <m/>
    <m/>
    <m/>
    <m/>
    <d v="2023-09-23T03:11:54"/>
    <m/>
    <x v="0"/>
    <m/>
    <m/>
    <m/>
    <m/>
    <s v="Company"/>
    <m/>
    <s v="C1502"/>
    <s v="Candidate_502"/>
    <s v="09-14-2023"/>
    <x v="0"/>
    <s v="Referral"/>
    <n v="3"/>
    <m/>
    <x v="0"/>
    <m/>
    <m/>
    <x v="0"/>
    <x v="0"/>
    <m/>
    <x v="1"/>
    <x v="0"/>
  </r>
  <r>
    <n v="2512"/>
    <s v="2512 | Program Office"/>
    <x v="3"/>
    <x v="1"/>
    <x v="8"/>
    <x v="1"/>
    <s v="Program Office-Supervisor"/>
    <x v="1"/>
    <d v="2023-09-04T03:11:54"/>
    <x v="300"/>
    <x v="18"/>
    <n v="4"/>
    <d v="2023-09-16T03:11:54"/>
    <s v="Yes"/>
    <d v="2023-09-23T03:11:54"/>
    <x v="0"/>
    <x v="5"/>
    <m/>
    <m/>
    <m/>
    <m/>
    <m/>
    <m/>
    <x v="0"/>
    <m/>
    <m/>
    <m/>
    <m/>
    <s v="Company"/>
    <m/>
    <s v="C1503"/>
    <s v="Candidate_503"/>
    <s v="17/09/2023"/>
    <x v="0"/>
    <s v="Referral"/>
    <n v="3"/>
    <m/>
    <x v="0"/>
    <m/>
    <m/>
    <x v="0"/>
    <x v="0"/>
    <m/>
    <x v="1"/>
    <x v="0"/>
  </r>
  <r>
    <n v="2459"/>
    <s v="2459 | Program Office"/>
    <x v="3"/>
    <x v="1"/>
    <x v="8"/>
    <x v="1"/>
    <s v="Program Office-Supervisor"/>
    <x v="1"/>
    <d v="2023-08-22T01:40:33"/>
    <x v="301"/>
    <x v="48"/>
    <n v="7"/>
    <d v="2023-09-10T01:40:33"/>
    <s v="Yes"/>
    <d v="2023-09-14T01:40:33"/>
    <x v="0"/>
    <x v="4"/>
    <m/>
    <m/>
    <m/>
    <m/>
    <d v="2023-09-17T01:40:33"/>
    <m/>
    <x v="0"/>
    <m/>
    <m/>
    <m/>
    <m/>
    <s v="Candidate"/>
    <m/>
    <s v="C1504"/>
    <s v="Candidate_504"/>
    <s v="29/08/2023"/>
    <x v="0"/>
    <s v="Referral"/>
    <n v="6"/>
    <m/>
    <x v="0"/>
    <m/>
    <m/>
    <x v="0"/>
    <x v="0"/>
    <m/>
    <x v="1"/>
    <x v="0"/>
  </r>
  <r>
    <n v="2452"/>
    <s v="2452 | Program Office"/>
    <x v="4"/>
    <x v="1"/>
    <x v="8"/>
    <x v="1"/>
    <s v="Program Office-Supervisor"/>
    <x v="1"/>
    <d v="2023-08-23T01:40:33"/>
    <x v="227"/>
    <x v="48"/>
    <n v="6"/>
    <d v="2023-09-17T01:40:33"/>
    <s v="Yes"/>
    <d v="2023-09-10T01:40:33"/>
    <x v="0"/>
    <x v="2"/>
    <m/>
    <m/>
    <m/>
    <m/>
    <d v="2023-09-14T01:40:33"/>
    <m/>
    <x v="0"/>
    <m/>
    <m/>
    <m/>
    <m/>
    <s v="Company"/>
    <m/>
    <s v="C1505"/>
    <s v="Candidate_505"/>
    <s v="Sep 05 2023"/>
    <x v="1"/>
    <s v="Linkedin"/>
    <n v="3"/>
    <m/>
    <x v="0"/>
    <m/>
    <m/>
    <x v="0"/>
    <x v="0"/>
    <m/>
    <x v="1"/>
    <x v="0"/>
  </r>
  <r>
    <n v="2449"/>
    <s v="2449 | Program Office"/>
    <x v="3"/>
    <x v="1"/>
    <x v="8"/>
    <x v="0"/>
    <s v="Program Office-Analyst"/>
    <x v="1"/>
    <d v="2022-11-02T18:32:00"/>
    <x v="302"/>
    <x v="81"/>
    <n v="6"/>
    <d v="2022-11-21T18:32:00"/>
    <s v="Yes"/>
    <d v="2022-11-23T18:32:00"/>
    <x v="0"/>
    <x v="0"/>
    <m/>
    <m/>
    <m/>
    <m/>
    <d v="2022-11-27T18:32:00"/>
    <m/>
    <x v="0"/>
    <m/>
    <m/>
    <m/>
    <m/>
    <s v="Company"/>
    <m/>
    <s v="C1506"/>
    <s v="Candidate_506"/>
    <s v="Nov 04 2022"/>
    <x v="2"/>
    <s v="Job Board"/>
    <n v="3"/>
    <m/>
    <x v="0"/>
    <m/>
    <m/>
    <x v="0"/>
    <x v="0"/>
    <m/>
    <x v="1"/>
    <x v="0"/>
  </r>
  <r>
    <n v="2448"/>
    <s v="2448 | Program Office"/>
    <x v="4"/>
    <x v="1"/>
    <x v="8"/>
    <x v="0"/>
    <s v="Program Office-Analyst"/>
    <x v="1"/>
    <d v="2022-10-30T18:32:00"/>
    <x v="0"/>
    <x v="81"/>
    <n v="9"/>
    <d v="2022-11-30T18:32:00"/>
    <s v="Yes"/>
    <d v="2022-11-12T18:32:00"/>
    <x v="0"/>
    <x v="5"/>
    <m/>
    <m/>
    <m/>
    <m/>
    <m/>
    <m/>
    <x v="0"/>
    <m/>
    <m/>
    <m/>
    <m/>
    <s v="Company"/>
    <m/>
    <s v="C1507"/>
    <s v="Candidate_507"/>
    <s v="07/11/2022"/>
    <x v="0"/>
    <s v="Referral"/>
    <n v="6"/>
    <m/>
    <x v="0"/>
    <m/>
    <m/>
    <x v="0"/>
    <x v="0"/>
    <m/>
    <x v="0"/>
    <x v="0"/>
  </r>
  <r>
    <n v="2408"/>
    <s v="2408 | Program Office"/>
    <x v="4"/>
    <x v="1"/>
    <x v="8"/>
    <x v="0"/>
    <s v="Program Office-Analyst"/>
    <x v="1"/>
    <d v="2023-03-31T02:03:49"/>
    <x v="75"/>
    <x v="49"/>
    <n v="6"/>
    <d v="2023-04-11T02:03:49"/>
    <s v="Yes"/>
    <d v="2023-04-19T02:03:49"/>
    <x v="0"/>
    <x v="0"/>
    <m/>
    <m/>
    <m/>
    <m/>
    <m/>
    <m/>
    <x v="0"/>
    <m/>
    <m/>
    <m/>
    <m/>
    <s v="Company"/>
    <m/>
    <s v="C1508"/>
    <s v="Candidate_508"/>
    <s v="07/04/2023"/>
    <x v="2"/>
    <s v="Job Board"/>
    <n v="3"/>
    <m/>
    <x v="0"/>
    <m/>
    <m/>
    <x v="0"/>
    <x v="0"/>
    <m/>
    <x v="1"/>
    <x v="0"/>
  </r>
  <r>
    <n v="2404"/>
    <s v="2404 | Program Office"/>
    <x v="4"/>
    <x v="1"/>
    <x v="8"/>
    <x v="0"/>
    <s v="Program Office-Analyst"/>
    <x v="1"/>
    <d v="2023-03-30T02:03:49"/>
    <x v="157"/>
    <x v="49"/>
    <n v="7"/>
    <d v="2023-04-12T02:03:49"/>
    <s v="Yes"/>
    <d v="2023-04-20T02:03:49"/>
    <x v="0"/>
    <x v="0"/>
    <m/>
    <m/>
    <m/>
    <m/>
    <d v="2023-04-24T02:03:49"/>
    <m/>
    <x v="0"/>
    <m/>
    <m/>
    <m/>
    <m/>
    <s v="Company"/>
    <m/>
    <s v="C1509"/>
    <s v="Candidate_509"/>
    <s v="04-15-2023"/>
    <x v="2"/>
    <s v="Job Board"/>
    <n v="6"/>
    <m/>
    <x v="0"/>
    <m/>
    <m/>
    <x v="0"/>
    <x v="0"/>
    <m/>
    <x v="1"/>
    <x v="0"/>
  </r>
  <r>
    <n v="2382"/>
    <s v="2382 | Program Office"/>
    <x v="4"/>
    <x v="1"/>
    <x v="8"/>
    <x v="0"/>
    <s v="Program Office-Analyst"/>
    <x v="1"/>
    <d v="2023-04-14T12:42:32"/>
    <x v="77"/>
    <x v="50"/>
    <n v="6"/>
    <d v="2023-05-20T12:42:32"/>
    <s v="Yes"/>
    <d v="2023-04-28T12:42:32"/>
    <x v="0"/>
    <x v="5"/>
    <m/>
    <m/>
    <m/>
    <m/>
    <m/>
    <m/>
    <x v="0"/>
    <m/>
    <m/>
    <m/>
    <m/>
    <s v="Candidate"/>
    <m/>
    <s v="C1510"/>
    <s v="Candidate_510"/>
    <s v="18/04/2023"/>
    <x v="1"/>
    <s v="Linkedin"/>
    <n v="3"/>
    <m/>
    <x v="0"/>
    <m/>
    <m/>
    <x v="0"/>
    <x v="0"/>
    <m/>
    <x v="1"/>
    <x v="0"/>
  </r>
  <r>
    <n v="2369"/>
    <s v="2369 | Program Office"/>
    <x v="4"/>
    <x v="1"/>
    <x v="8"/>
    <x v="0"/>
    <s v="Program Office-Analyst"/>
    <x v="1"/>
    <m/>
    <x v="231"/>
    <x v="19"/>
    <n v="44980.268252314818"/>
    <d v="2023-03-09T06:26:17"/>
    <s v="No"/>
    <m/>
    <x v="2"/>
    <x v="1"/>
    <m/>
    <m/>
    <m/>
    <m/>
    <m/>
    <m/>
    <x v="0"/>
    <m/>
    <m/>
    <m/>
    <m/>
    <m/>
    <m/>
    <s v="C1511"/>
    <s v="Candidate_511"/>
    <m/>
    <x v="2"/>
    <s v="Job Board"/>
    <n v="6"/>
    <m/>
    <x v="0"/>
    <m/>
    <m/>
    <x v="0"/>
    <x v="0"/>
    <m/>
    <x v="0"/>
    <x v="0"/>
  </r>
  <r>
    <n v="2368"/>
    <s v="2368 | Program Office"/>
    <x v="4"/>
    <x v="1"/>
    <x v="8"/>
    <x v="0"/>
    <s v="Program Office-Analyst"/>
    <x v="1"/>
    <d v="2023-02-18T06:26:17"/>
    <x v="0"/>
    <x v="19"/>
    <n v="5"/>
    <d v="2023-03-23T06:26:17"/>
    <s v="Yes"/>
    <d v="2023-02-25T06:26:17"/>
    <x v="0"/>
    <x v="5"/>
    <m/>
    <m/>
    <m/>
    <m/>
    <m/>
    <m/>
    <x v="0"/>
    <m/>
    <m/>
    <m/>
    <m/>
    <s v="Company"/>
    <m/>
    <s v="C1512"/>
    <s v="Candidate_512"/>
    <s v="02-12-2023"/>
    <x v="1"/>
    <s v="Linkedin"/>
    <n v="6"/>
    <m/>
    <x v="0"/>
    <m/>
    <m/>
    <x v="0"/>
    <x v="0"/>
    <m/>
    <x v="0"/>
    <x v="0"/>
  </r>
  <r>
    <n v="2364"/>
    <s v="2364 | Program Office"/>
    <x v="3"/>
    <x v="1"/>
    <x v="8"/>
    <x v="0"/>
    <s v="Program Office-Analyst"/>
    <x v="1"/>
    <d v="2023-02-21T06:26:17"/>
    <x v="303"/>
    <x v="19"/>
    <n v="2"/>
    <d v="2023-03-11T06:26:17"/>
    <s v="No"/>
    <m/>
    <x v="2"/>
    <x v="1"/>
    <m/>
    <m/>
    <m/>
    <m/>
    <m/>
    <m/>
    <x v="0"/>
    <m/>
    <m/>
    <m/>
    <m/>
    <m/>
    <m/>
    <s v="C1513"/>
    <s v="Candidate_513"/>
    <m/>
    <x v="1"/>
    <s v="Linkedin"/>
    <n v="6"/>
    <m/>
    <x v="0"/>
    <m/>
    <m/>
    <x v="0"/>
    <x v="0"/>
    <m/>
    <x v="1"/>
    <x v="0"/>
  </r>
  <r>
    <n v="2363"/>
    <s v="2363 | Program Office"/>
    <x v="3"/>
    <x v="1"/>
    <x v="8"/>
    <x v="1"/>
    <s v="Program Office-Supervisor"/>
    <x v="1"/>
    <d v="2023-02-14T06:26:17"/>
    <x v="231"/>
    <x v="19"/>
    <n v="9"/>
    <d v="2023-02-28T06:26:17"/>
    <s v="Yes"/>
    <d v="2023-03-11T06:26:17"/>
    <x v="4"/>
    <x v="1"/>
    <d v="2023-03-16T06:26:17"/>
    <s v="Pending"/>
    <m/>
    <m/>
    <d v="2023-03-15T06:26:17"/>
    <m/>
    <x v="0"/>
    <m/>
    <m/>
    <m/>
    <m/>
    <m/>
    <m/>
    <s v="C1514"/>
    <s v="Candidate_514"/>
    <s v="Mar 01 2023"/>
    <x v="2"/>
    <s v="Job Board"/>
    <n v="6"/>
    <m/>
    <x v="0"/>
    <m/>
    <m/>
    <x v="0"/>
    <x v="0"/>
    <m/>
    <x v="1"/>
    <x v="0"/>
  </r>
  <r>
    <n v="2361"/>
    <s v="2361 | Program Office"/>
    <x v="5"/>
    <x v="1"/>
    <x v="8"/>
    <x v="1"/>
    <s v="Program Office-Supervisor"/>
    <x v="1"/>
    <d v="2023-02-18T06:26:17"/>
    <x v="33"/>
    <x v="19"/>
    <n v="5"/>
    <d v="2023-03-24T06:26:17"/>
    <s v="No"/>
    <m/>
    <x v="2"/>
    <x v="1"/>
    <m/>
    <m/>
    <m/>
    <m/>
    <m/>
    <m/>
    <x v="0"/>
    <m/>
    <m/>
    <m/>
    <m/>
    <m/>
    <m/>
    <s v="C1515"/>
    <s v="Candidate_515"/>
    <m/>
    <x v="1"/>
    <s v="Linkedin"/>
    <n v="6"/>
    <m/>
    <x v="0"/>
    <m/>
    <m/>
    <x v="0"/>
    <x v="0"/>
    <m/>
    <x v="1"/>
    <x v="0"/>
  </r>
  <r>
    <n v="2316"/>
    <s v="2316 | Program Office"/>
    <x v="5"/>
    <x v="1"/>
    <x v="8"/>
    <x v="1"/>
    <s v="Program Office-Supervisor"/>
    <x v="1"/>
    <d v="2022-04-17T00:53:43"/>
    <x v="0"/>
    <x v="4"/>
    <n v="-44668.037303240737"/>
    <d v="2022-05-07T00:53:43"/>
    <s v="Yes"/>
    <d v="2022-05-09T00:53:43"/>
    <x v="0"/>
    <x v="0"/>
    <m/>
    <m/>
    <m/>
    <m/>
    <d v="2022-05-12T00:53:43"/>
    <m/>
    <x v="0"/>
    <m/>
    <m/>
    <m/>
    <m/>
    <s v="Candidate"/>
    <m/>
    <s v="C1516"/>
    <s v="Candidate_516"/>
    <s v="05-04-2022"/>
    <x v="0"/>
    <s v="Referral"/>
    <n v="6"/>
    <m/>
    <x v="0"/>
    <m/>
    <m/>
    <x v="0"/>
    <x v="0"/>
    <m/>
    <x v="0"/>
    <x v="0"/>
  </r>
  <r>
    <n v="2312"/>
    <s v="2312 | Program Office"/>
    <x v="4"/>
    <x v="1"/>
    <x v="8"/>
    <x v="1"/>
    <s v="Program Office-Supervisor"/>
    <x v="1"/>
    <m/>
    <x v="158"/>
    <x v="20"/>
    <n v="44677.037303240737"/>
    <d v="2022-05-23T00:53:43"/>
    <s v="No"/>
    <m/>
    <x v="2"/>
    <x v="1"/>
    <m/>
    <m/>
    <m/>
    <m/>
    <m/>
    <m/>
    <x v="0"/>
    <m/>
    <m/>
    <m/>
    <m/>
    <m/>
    <m/>
    <s v="C1517"/>
    <s v="Candidate_517"/>
    <m/>
    <x v="2"/>
    <s v="Job Board"/>
    <n v="3"/>
    <m/>
    <x v="0"/>
    <m/>
    <m/>
    <x v="0"/>
    <x v="0"/>
    <m/>
    <x v="0"/>
    <x v="0"/>
  </r>
  <r>
    <n v="2246"/>
    <s v="2246 | Program Office"/>
    <x v="3"/>
    <x v="1"/>
    <x v="8"/>
    <x v="1"/>
    <s v="Program Office-Supervisor"/>
    <x v="1"/>
    <d v="2022-12-29T14:26:31"/>
    <x v="160"/>
    <x v="21"/>
    <n v="5"/>
    <d v="2023-01-16T14:26:31"/>
    <s v="Yes"/>
    <d v="2023-01-17T14:26:31"/>
    <x v="1"/>
    <x v="1"/>
    <d v="2023-01-22T14:26:31"/>
    <s v="Declined"/>
    <m/>
    <m/>
    <d v="2023-01-21T14:26:31"/>
    <m/>
    <x v="0"/>
    <m/>
    <m/>
    <m/>
    <m/>
    <m/>
    <m/>
    <s v="C1518"/>
    <s v="Candidate_518"/>
    <s v="01-02-2023"/>
    <x v="2"/>
    <s v="Job Board"/>
    <n v="3"/>
    <m/>
    <x v="0"/>
    <m/>
    <m/>
    <x v="0"/>
    <x v="0"/>
    <m/>
    <x v="1"/>
    <x v="0"/>
  </r>
  <r>
    <n v="2167"/>
    <s v="2167 | Program Office"/>
    <x v="3"/>
    <x v="1"/>
    <x v="8"/>
    <x v="1"/>
    <s v="Program Office-Supervisor"/>
    <x v="1"/>
    <d v="2022-08-22T01:58:08"/>
    <x v="304"/>
    <x v="82"/>
    <n v="7"/>
    <d v="2022-09-16T01:58:08"/>
    <s v="Yes"/>
    <d v="2022-09-13T01:58:08"/>
    <x v="3"/>
    <x v="1"/>
    <d v="2022-09-16T01:58:08"/>
    <s v="Accepted"/>
    <d v="2022-09-14T01:58:08"/>
    <d v="2022-09-18T01:58:08"/>
    <d v="2022-09-14T01:58:08"/>
    <d v="2022-09-24T01:58:08"/>
    <x v="1"/>
    <d v="2022-09-27T01:58:08"/>
    <d v="2022-09-30T01:58:08"/>
    <d v="2022-10-02T01:58:08"/>
    <m/>
    <m/>
    <d v="2022-10-18T01:58:08"/>
    <s v="C1519"/>
    <s v="Candidate_519"/>
    <s v="09-03-2022"/>
    <x v="0"/>
    <s v="Referral"/>
    <n v="3"/>
    <m/>
    <x v="0"/>
    <m/>
    <m/>
    <x v="0"/>
    <x v="0"/>
    <m/>
    <x v="60"/>
    <x v="0"/>
  </r>
  <r>
    <n v="2165"/>
    <s v="2165 | Program Office"/>
    <x v="4"/>
    <x v="1"/>
    <x v="8"/>
    <x v="10"/>
    <s v="Program Office-Business Partner"/>
    <x v="1"/>
    <d v="2022-08-23T01:58:08"/>
    <x v="305"/>
    <x v="82"/>
    <n v="6"/>
    <d v="2022-09-24T01:58:08"/>
    <s v="No"/>
    <m/>
    <x v="2"/>
    <x v="1"/>
    <m/>
    <m/>
    <m/>
    <m/>
    <m/>
    <m/>
    <x v="0"/>
    <m/>
    <m/>
    <m/>
    <m/>
    <m/>
    <m/>
    <s v="C1520"/>
    <s v="Candidate_520"/>
    <m/>
    <x v="2"/>
    <s v="Job Board"/>
    <n v="6"/>
    <m/>
    <x v="0"/>
    <m/>
    <m/>
    <x v="0"/>
    <x v="0"/>
    <m/>
    <x v="1"/>
    <x v="0"/>
  </r>
  <r>
    <n v="2130"/>
    <s v="2130 | Program Office"/>
    <x v="3"/>
    <x v="1"/>
    <x v="8"/>
    <x v="10"/>
    <s v="Program Office-Business Partner"/>
    <x v="1"/>
    <d v="2023-01-04T11:21:38"/>
    <x v="38"/>
    <x v="22"/>
    <n v="5"/>
    <d v="2023-02-03T11:21:38"/>
    <s v="Yes"/>
    <d v="2023-01-15T11:21:38"/>
    <x v="0"/>
    <x v="3"/>
    <m/>
    <m/>
    <m/>
    <m/>
    <d v="2023-01-19T11:21:38"/>
    <m/>
    <x v="0"/>
    <m/>
    <m/>
    <m/>
    <m/>
    <s v="Candidate"/>
    <m/>
    <s v="C1521"/>
    <s v="Candidate_521"/>
    <s v="Jan 09 2023"/>
    <x v="1"/>
    <s v="Linkedin"/>
    <n v="3"/>
    <m/>
    <x v="0"/>
    <m/>
    <m/>
    <x v="0"/>
    <x v="0"/>
    <m/>
    <x v="1"/>
    <x v="0"/>
  </r>
  <r>
    <n v="2128"/>
    <s v="2128 | Program Office"/>
    <x v="5"/>
    <x v="1"/>
    <x v="8"/>
    <x v="10"/>
    <s v="Program Office-Business Partner"/>
    <x v="1"/>
    <d v="2023-01-04T11:21:38"/>
    <x v="306"/>
    <x v="22"/>
    <n v="5"/>
    <d v="2023-02-08T11:21:38"/>
    <s v="Yes"/>
    <d v="2023-01-23T11:21:38"/>
    <x v="0"/>
    <x v="3"/>
    <m/>
    <m/>
    <m/>
    <m/>
    <m/>
    <m/>
    <x v="0"/>
    <m/>
    <m/>
    <m/>
    <m/>
    <s v="Company"/>
    <m/>
    <s v="C1522"/>
    <s v="Candidate_522"/>
    <s v="08/01/2023"/>
    <x v="0"/>
    <s v="Referral"/>
    <n v="3"/>
    <m/>
    <x v="0"/>
    <m/>
    <m/>
    <x v="0"/>
    <x v="0"/>
    <m/>
    <x v="1"/>
    <x v="0"/>
  </r>
  <r>
    <n v="2126"/>
    <s v="2126 | Program Office"/>
    <x v="5"/>
    <x v="1"/>
    <x v="8"/>
    <x v="10"/>
    <s v="Program Office-Business Partner"/>
    <x v="1"/>
    <d v="2023-01-05T11:21:38"/>
    <x v="38"/>
    <x v="4"/>
    <n v="-44931.473356481481"/>
    <d v="2023-02-05T11:21:38"/>
    <s v="Yes"/>
    <d v="2023-01-19T11:21:38"/>
    <x v="1"/>
    <x v="1"/>
    <d v="2023-01-27T11:21:38"/>
    <s v="Declined"/>
    <m/>
    <m/>
    <d v="2023-01-23T11:21:38"/>
    <m/>
    <x v="0"/>
    <m/>
    <m/>
    <m/>
    <m/>
    <m/>
    <m/>
    <s v="C1523"/>
    <s v="Candidate_523"/>
    <s v="01-03-2023"/>
    <x v="0"/>
    <s v="Referral"/>
    <n v="6"/>
    <m/>
    <x v="0"/>
    <m/>
    <m/>
    <x v="0"/>
    <x v="0"/>
    <m/>
    <x v="0"/>
    <x v="0"/>
  </r>
  <r>
    <n v="2119"/>
    <s v="2119 | Program Office"/>
    <x v="4"/>
    <x v="1"/>
    <x v="8"/>
    <x v="10"/>
    <s v="Program Office-Business Partner"/>
    <x v="1"/>
    <d v="2023-04-13T01:19:50"/>
    <x v="165"/>
    <x v="54"/>
    <n v="9"/>
    <d v="2023-05-14T01:19:50"/>
    <s v="Yes"/>
    <d v="2023-05-08T01:19:50"/>
    <x v="3"/>
    <x v="1"/>
    <d v="2023-05-14T01:19:50"/>
    <s v="Accepted"/>
    <d v="2023-05-10T01:19:50"/>
    <d v="2023-05-11T01:19:50"/>
    <d v="2023-05-12T01:19:50"/>
    <d v="2023-05-15T01:19:50"/>
    <x v="1"/>
    <d v="2023-05-19T01:19:50"/>
    <d v="2023-05-21T01:19:50"/>
    <d v="2023-05-22T01:19:50"/>
    <m/>
    <m/>
    <d v="2023-06-14T01:19:50"/>
    <s v="C1524"/>
    <s v="Candidate_524"/>
    <s v="Apr 19 2023"/>
    <x v="1"/>
    <s v="Linkedin"/>
    <n v="3"/>
    <m/>
    <x v="0"/>
    <m/>
    <m/>
    <x v="0"/>
    <x v="0"/>
    <m/>
    <x v="61"/>
    <x v="0"/>
  </r>
  <r>
    <n v="2064"/>
    <s v="2064 | Program Office"/>
    <x v="3"/>
    <x v="1"/>
    <x v="8"/>
    <x v="10"/>
    <s v="Program Office-Business Partner"/>
    <x v="1"/>
    <d v="2022-11-02T18:46:55"/>
    <x v="307"/>
    <x v="23"/>
    <n v="6"/>
    <d v="2022-12-07T18:46:55"/>
    <s v="Yes"/>
    <d v="2022-11-17T18:46:55"/>
    <x v="1"/>
    <x v="1"/>
    <d v="2022-11-24T18:46:55"/>
    <s v="Declined"/>
    <m/>
    <m/>
    <d v="2022-11-21T18:46:55"/>
    <m/>
    <x v="0"/>
    <m/>
    <m/>
    <m/>
    <m/>
    <m/>
    <m/>
    <s v="C1525"/>
    <s v="Candidate_525"/>
    <s v="Oct 30 2022"/>
    <x v="0"/>
    <s v="Referral"/>
    <n v="6"/>
    <m/>
    <x v="0"/>
    <m/>
    <m/>
    <x v="0"/>
    <x v="0"/>
    <m/>
    <x v="1"/>
    <x v="0"/>
  </r>
  <r>
    <n v="2062"/>
    <s v="2062 | Program Office"/>
    <x v="4"/>
    <x v="1"/>
    <x v="8"/>
    <x v="10"/>
    <s v="Program Office-Business Partner"/>
    <x v="1"/>
    <d v="2022-11-04T18:46:55"/>
    <x v="87"/>
    <x v="23"/>
    <n v="4"/>
    <d v="2022-11-26T18:46:55"/>
    <s v="Yes"/>
    <d v="2022-11-23T18:46:55"/>
    <x v="0"/>
    <x v="5"/>
    <m/>
    <m/>
    <m/>
    <m/>
    <m/>
    <m/>
    <x v="0"/>
    <m/>
    <m/>
    <m/>
    <m/>
    <s v="Candidate"/>
    <m/>
    <s v="C1526"/>
    <s v="Candidate_526"/>
    <s v="Nov 07 2022"/>
    <x v="1"/>
    <s v="Linkedin"/>
    <n v="6"/>
    <m/>
    <x v="0"/>
    <m/>
    <m/>
    <x v="0"/>
    <x v="0"/>
    <m/>
    <x v="1"/>
    <x v="0"/>
  </r>
  <r>
    <n v="2008"/>
    <s v="2008 | Program Office"/>
    <x v="4"/>
    <x v="1"/>
    <x v="8"/>
    <x v="10"/>
    <s v="Program Office-Business Partner"/>
    <x v="1"/>
    <m/>
    <x v="308"/>
    <x v="83"/>
    <n v="44755.13113425926"/>
    <d v="2022-08-02T03:08:50"/>
    <s v="Yes"/>
    <d v="2022-07-23T03:08:50"/>
    <x v="1"/>
    <x v="1"/>
    <d v="2022-07-28T03:08:50"/>
    <s v="Declined"/>
    <m/>
    <m/>
    <d v="2022-07-25T03:08:50"/>
    <m/>
    <x v="0"/>
    <m/>
    <m/>
    <m/>
    <m/>
    <m/>
    <m/>
    <s v="C1527"/>
    <s v="Candidate_527"/>
    <s v="07-07-2022"/>
    <x v="2"/>
    <s v="Job Board"/>
    <n v="3"/>
    <m/>
    <x v="0"/>
    <m/>
    <m/>
    <x v="0"/>
    <x v="0"/>
    <m/>
    <x v="0"/>
    <x v="0"/>
  </r>
  <r>
    <n v="2006"/>
    <s v="2006 | Program Office"/>
    <x v="5"/>
    <x v="1"/>
    <x v="8"/>
    <x v="10"/>
    <s v="Program Office-Business Partner"/>
    <x v="1"/>
    <d v="2022-07-05T03:08:50"/>
    <x v="168"/>
    <x v="83"/>
    <n v="8"/>
    <d v="2022-07-24T03:08:50"/>
    <s v="Yes"/>
    <d v="2022-07-27T03:08:50"/>
    <x v="0"/>
    <x v="4"/>
    <m/>
    <m/>
    <m/>
    <m/>
    <d v="2022-07-31T03:08:50"/>
    <m/>
    <x v="0"/>
    <m/>
    <m/>
    <m/>
    <m/>
    <s v="Company"/>
    <m/>
    <s v="C1528"/>
    <s v="Candidate_528"/>
    <s v="09/07/2022"/>
    <x v="1"/>
    <s v="Linkedin"/>
    <n v="6"/>
    <m/>
    <x v="0"/>
    <m/>
    <m/>
    <x v="0"/>
    <x v="0"/>
    <m/>
    <x v="1"/>
    <x v="0"/>
  </r>
  <r>
    <n v="2001"/>
    <s v="2001 | Program Office"/>
    <x v="5"/>
    <x v="1"/>
    <x v="8"/>
    <x v="10"/>
    <s v="Program Office-Business Partner"/>
    <x v="1"/>
    <d v="2022-07-07T03:08:50"/>
    <x v="309"/>
    <x v="83"/>
    <n v="6"/>
    <d v="2022-07-23T03:08:50"/>
    <s v="Yes"/>
    <d v="2022-07-24T03:08:50"/>
    <x v="4"/>
    <x v="1"/>
    <d v="2022-07-27T03:08:50"/>
    <s v="Pending"/>
    <m/>
    <m/>
    <d v="2022-07-26T03:08:50"/>
    <m/>
    <x v="0"/>
    <m/>
    <m/>
    <m/>
    <m/>
    <m/>
    <m/>
    <s v="C1529"/>
    <s v="Candidate_529"/>
    <s v="06/07/2022"/>
    <x v="2"/>
    <s v="Job Board"/>
    <n v="6"/>
    <m/>
    <x v="0"/>
    <m/>
    <m/>
    <x v="0"/>
    <x v="0"/>
    <m/>
    <x v="1"/>
    <x v="0"/>
  </r>
  <r>
    <n v="1985"/>
    <s v="1985 | Program Office"/>
    <x v="3"/>
    <x v="1"/>
    <x v="8"/>
    <x v="10"/>
    <s v="Program Office-Business Partner"/>
    <x v="1"/>
    <d v="2022-02-03T08:53:26"/>
    <x v="310"/>
    <x v="55"/>
    <n v="6"/>
    <d v="2022-02-26T08:53:26"/>
    <s v="Yes"/>
    <d v="2022-02-26T08:53:26"/>
    <x v="4"/>
    <x v="1"/>
    <d v="2022-03-06T08:53:26"/>
    <s v="Pending"/>
    <m/>
    <m/>
    <d v="2022-03-02T08:53:26"/>
    <m/>
    <x v="0"/>
    <m/>
    <m/>
    <m/>
    <m/>
    <m/>
    <m/>
    <s v="C1530"/>
    <s v="Candidate_530"/>
    <s v="02-13-2022"/>
    <x v="0"/>
    <s v="Referral"/>
    <n v="6"/>
    <m/>
    <x v="0"/>
    <m/>
    <m/>
    <x v="0"/>
    <x v="0"/>
    <m/>
    <x v="1"/>
    <x v="0"/>
  </r>
  <r>
    <n v="1972"/>
    <s v="1972 | Program Office"/>
    <x v="4"/>
    <x v="1"/>
    <x v="8"/>
    <x v="10"/>
    <s v="Program Office-Business Partner"/>
    <x v="1"/>
    <d v="2022-10-18T11:57:41"/>
    <x v="311"/>
    <x v="24"/>
    <n v="8"/>
    <d v="2022-11-09T11:57:41"/>
    <s v="Yes"/>
    <d v="2022-11-08T11:57:41"/>
    <x v="0"/>
    <x v="2"/>
    <m/>
    <m/>
    <m/>
    <m/>
    <m/>
    <m/>
    <x v="0"/>
    <m/>
    <m/>
    <m/>
    <m/>
    <s v="Candidate"/>
    <m/>
    <s v="C1531"/>
    <s v="Candidate_531"/>
    <s v="25/10/2022"/>
    <x v="1"/>
    <s v="Linkedin"/>
    <n v="3"/>
    <m/>
    <x v="0"/>
    <m/>
    <m/>
    <x v="0"/>
    <x v="0"/>
    <m/>
    <x v="1"/>
    <x v="0"/>
  </r>
  <r>
    <n v="1969"/>
    <s v="1969 | Program Office"/>
    <x v="4"/>
    <x v="1"/>
    <x v="8"/>
    <x v="10"/>
    <s v="Program Office-Business Partner"/>
    <x v="1"/>
    <d v="2022-12-05T10:23:18"/>
    <x v="312"/>
    <x v="56"/>
    <n v="2"/>
    <d v="2022-12-18T10:23:18"/>
    <s v="Yes"/>
    <d v="2022-12-09T10:23:18"/>
    <x v="0"/>
    <x v="3"/>
    <m/>
    <m/>
    <m/>
    <m/>
    <d v="2022-12-13T10:23:18"/>
    <m/>
    <x v="0"/>
    <m/>
    <m/>
    <m/>
    <m/>
    <s v="Candidate"/>
    <m/>
    <s v="C1532"/>
    <s v="Candidate_532"/>
    <s v="25/11/2022"/>
    <x v="1"/>
    <s v="Linkedin"/>
    <n v="6"/>
    <m/>
    <x v="0"/>
    <m/>
    <m/>
    <x v="0"/>
    <x v="0"/>
    <m/>
    <x v="1"/>
    <x v="0"/>
  </r>
  <r>
    <n v="1964"/>
    <s v="1964 | Program Office"/>
    <x v="3"/>
    <x v="1"/>
    <x v="8"/>
    <x v="10"/>
    <s v="Program Office-Business Partner"/>
    <x v="1"/>
    <d v="2022-12-02T10:23:18"/>
    <x v="240"/>
    <x v="56"/>
    <n v="5"/>
    <d v="2023-01-06T10:23:18"/>
    <s v="Yes"/>
    <d v="2022-12-11T10:23:18"/>
    <x v="0"/>
    <x v="4"/>
    <m/>
    <m/>
    <m/>
    <m/>
    <m/>
    <m/>
    <x v="0"/>
    <m/>
    <m/>
    <m/>
    <m/>
    <s v="Company"/>
    <m/>
    <s v="C1533"/>
    <s v="Candidate_533"/>
    <s v="Dec 05 2022"/>
    <x v="0"/>
    <s v="Referral"/>
    <n v="6"/>
    <m/>
    <x v="0"/>
    <m/>
    <m/>
    <x v="0"/>
    <x v="0"/>
    <m/>
    <x v="1"/>
    <x v="0"/>
  </r>
  <r>
    <n v="1961"/>
    <s v="1961 | Program Office"/>
    <x v="5"/>
    <x v="1"/>
    <x v="8"/>
    <x v="10"/>
    <s v="Program Office-Business Partner"/>
    <x v="1"/>
    <d v="2022-12-02T10:23:18"/>
    <x v="94"/>
    <x v="56"/>
    <n v="5"/>
    <d v="2022-12-25T10:23:18"/>
    <s v="Yes"/>
    <d v="2022-12-23T10:23:18"/>
    <x v="3"/>
    <x v="1"/>
    <d v="2022-12-29T10:23:18"/>
    <s v="Accepted"/>
    <d v="2022-12-25T10:23:18"/>
    <d v="2022-12-29T10:23:18"/>
    <d v="2022-12-26T10:23:18"/>
    <d v="2023-01-01T10:23:18"/>
    <x v="1"/>
    <d v="2023-01-02T10:23:18"/>
    <d v="2023-01-05T10:23:18"/>
    <d v="2023-01-08T10:23:18"/>
    <m/>
    <m/>
    <d v="2023-01-17T10:23:18"/>
    <s v="C1534"/>
    <s v="Candidate_534"/>
    <s v="Dec 08 2022"/>
    <x v="0"/>
    <s v="Referral"/>
    <n v="3"/>
    <m/>
    <x v="0"/>
    <m/>
    <m/>
    <x v="0"/>
    <x v="0"/>
    <m/>
    <x v="62"/>
    <x v="0"/>
  </r>
  <r>
    <n v="1817"/>
    <s v="1817 | Program Office"/>
    <x v="4"/>
    <x v="1"/>
    <x v="8"/>
    <x v="10"/>
    <s v="Program Office-Business Partner"/>
    <x v="1"/>
    <m/>
    <x v="241"/>
    <x v="4"/>
    <n v="0"/>
    <d v="2022-10-22T04:28:24"/>
    <s v="Yes"/>
    <d v="2022-10-03T04:28:24"/>
    <x v="3"/>
    <x v="1"/>
    <d v="2022-10-09T04:28:24"/>
    <s v="Accepted"/>
    <d v="2022-10-04T04:28:24"/>
    <d v="2022-10-07T04:28:24"/>
    <d v="2022-10-06T04:28:24"/>
    <d v="2022-10-10T04:28:24"/>
    <x v="1"/>
    <d v="2022-10-12T04:28:24"/>
    <d v="2022-10-13T04:28:24"/>
    <d v="2022-10-15T04:28:24"/>
    <m/>
    <m/>
    <d v="2022-10-25T04:28:24"/>
    <s v="C1535"/>
    <s v="Candidate_535"/>
    <s v="Sep 19 2022"/>
    <x v="0"/>
    <s v="Referral"/>
    <n v="3"/>
    <m/>
    <x v="0"/>
    <m/>
    <m/>
    <x v="0"/>
    <x v="0"/>
    <m/>
    <x v="0"/>
    <x v="0"/>
  </r>
  <r>
    <n v="1800"/>
    <s v="1800 | Program Office"/>
    <x v="5"/>
    <x v="1"/>
    <x v="8"/>
    <x v="10"/>
    <s v="Program Office-Business Partner"/>
    <x v="1"/>
    <d v="2022-09-28T11:30:38"/>
    <x v="313"/>
    <x v="58"/>
    <n v="5"/>
    <d v="2022-10-30T11:30:38"/>
    <s v="Yes"/>
    <d v="2022-10-10T11:30:38"/>
    <x v="4"/>
    <x v="1"/>
    <d v="2022-10-14T11:30:38"/>
    <s v="Pending"/>
    <m/>
    <m/>
    <d v="2022-10-12T11:30:38"/>
    <m/>
    <x v="0"/>
    <m/>
    <m/>
    <m/>
    <m/>
    <m/>
    <m/>
    <s v="C1536"/>
    <s v="Candidate_536"/>
    <s v="Sep 22 2022"/>
    <x v="0"/>
    <s v="Referral"/>
    <n v="3"/>
    <m/>
    <x v="0"/>
    <m/>
    <m/>
    <x v="0"/>
    <x v="0"/>
    <m/>
    <x v="1"/>
    <x v="0"/>
  </r>
  <r>
    <n v="1791"/>
    <s v="1791 | Program Office"/>
    <x v="4"/>
    <x v="1"/>
    <x v="8"/>
    <x v="10"/>
    <s v="Program Office-Business Partner"/>
    <x v="1"/>
    <d v="2022-09-26T11:30:38"/>
    <x v="0"/>
    <x v="58"/>
    <n v="7"/>
    <d v="2022-10-09T11:30:38"/>
    <s v="No"/>
    <m/>
    <x v="2"/>
    <x v="1"/>
    <m/>
    <m/>
    <m/>
    <m/>
    <m/>
    <m/>
    <x v="0"/>
    <m/>
    <m/>
    <m/>
    <m/>
    <m/>
    <m/>
    <s v="C1537"/>
    <s v="Candidate_537"/>
    <m/>
    <x v="0"/>
    <s v="Referral"/>
    <n v="3"/>
    <m/>
    <x v="0"/>
    <m/>
    <m/>
    <x v="0"/>
    <x v="0"/>
    <m/>
    <x v="0"/>
    <x v="0"/>
  </r>
  <r>
    <n v="1690"/>
    <s v="1690 | Program Office"/>
    <x v="5"/>
    <x v="1"/>
    <x v="8"/>
    <x v="10"/>
    <s v="Program Office-Business Partner"/>
    <x v="1"/>
    <d v="2022-04-07T06:44:01"/>
    <x v="314"/>
    <x v="84"/>
    <n v="8"/>
    <d v="2022-04-22T06:44:01"/>
    <s v="Yes"/>
    <d v="2022-04-20T06:44:01"/>
    <x v="3"/>
    <x v="1"/>
    <d v="2022-04-27T06:44:01"/>
    <s v="Accepted"/>
    <d v="2022-04-21T06:44:01"/>
    <d v="2022-04-25T06:44:01"/>
    <d v="2022-04-24T06:44:01"/>
    <d v="2022-04-29T06:44:01"/>
    <x v="1"/>
    <d v="2022-04-30T06:44:01"/>
    <d v="2022-05-01T06:44:01"/>
    <d v="2022-05-02T06:44:01"/>
    <m/>
    <m/>
    <d v="2022-05-25T06:44:01"/>
    <s v="C1538"/>
    <s v="Candidate_538"/>
    <s v="07/04/2022"/>
    <x v="1"/>
    <s v="Linkedin"/>
    <n v="3"/>
    <m/>
    <x v="0"/>
    <m/>
    <m/>
    <x v="0"/>
    <x v="0"/>
    <m/>
    <x v="63"/>
    <x v="0"/>
  </r>
  <r>
    <n v="1685"/>
    <s v="1685 | Program Office"/>
    <x v="4"/>
    <x v="1"/>
    <x v="8"/>
    <x v="10"/>
    <s v="Program Office-Business Partner"/>
    <x v="1"/>
    <d v="2022-04-13T06:44:01"/>
    <x v="42"/>
    <x v="84"/>
    <n v="2"/>
    <d v="2022-05-02T06:44:01"/>
    <s v="Yes"/>
    <d v="2022-04-18T06:44:01"/>
    <x v="0"/>
    <x v="0"/>
    <m/>
    <m/>
    <m/>
    <m/>
    <m/>
    <m/>
    <x v="0"/>
    <m/>
    <m/>
    <m/>
    <m/>
    <s v="Company"/>
    <m/>
    <s v="C1539"/>
    <s v="Candidate_539"/>
    <s v="09/04/2022"/>
    <x v="0"/>
    <s v="Referral"/>
    <n v="6"/>
    <m/>
    <x v="0"/>
    <m/>
    <m/>
    <x v="0"/>
    <x v="0"/>
    <m/>
    <x v="1"/>
    <x v="0"/>
  </r>
  <r>
    <n v="1668"/>
    <s v="1668 | Program Office"/>
    <x v="4"/>
    <x v="1"/>
    <x v="8"/>
    <x v="10"/>
    <s v="Program Office-Business Partner"/>
    <x v="1"/>
    <d v="2022-04-25T22:26:54"/>
    <x v="0"/>
    <x v="85"/>
    <n v="2"/>
    <d v="2022-05-02T22:26:54"/>
    <s v="Yes"/>
    <d v="2022-04-30T22:26:54"/>
    <x v="0"/>
    <x v="0"/>
    <m/>
    <m/>
    <m/>
    <m/>
    <m/>
    <m/>
    <x v="0"/>
    <m/>
    <m/>
    <m/>
    <m/>
    <s v="Company"/>
    <m/>
    <s v="C1540"/>
    <s v="Candidate_540"/>
    <s v="Apr 16 2022"/>
    <x v="0"/>
    <s v="Referral"/>
    <n v="3"/>
    <m/>
    <x v="0"/>
    <m/>
    <m/>
    <x v="0"/>
    <x v="0"/>
    <m/>
    <x v="0"/>
    <x v="0"/>
  </r>
  <r>
    <n v="1667"/>
    <s v="1667 | Program Office"/>
    <x v="5"/>
    <x v="1"/>
    <x v="8"/>
    <x v="10"/>
    <s v="Program Office-Business Partner"/>
    <x v="1"/>
    <d v="2022-04-21T22:26:54"/>
    <x v="179"/>
    <x v="85"/>
    <n v="6"/>
    <d v="2022-05-22T22:26:54"/>
    <s v="Yes"/>
    <d v="2022-04-30T22:26:54"/>
    <x v="0"/>
    <x v="3"/>
    <m/>
    <m/>
    <m/>
    <m/>
    <m/>
    <m/>
    <x v="0"/>
    <m/>
    <m/>
    <m/>
    <m/>
    <s v="Candidate"/>
    <m/>
    <s v="C1541"/>
    <s v="Candidate_541"/>
    <s v="04-15-2022"/>
    <x v="1"/>
    <s v="Linkedin"/>
    <n v="6"/>
    <m/>
    <x v="0"/>
    <m/>
    <m/>
    <x v="0"/>
    <x v="0"/>
    <m/>
    <x v="1"/>
    <x v="0"/>
  </r>
  <r>
    <n v="1665"/>
    <s v="1665 | Program Office"/>
    <x v="3"/>
    <x v="1"/>
    <x v="8"/>
    <x v="10"/>
    <s v="Program Office-Business Partner"/>
    <x v="1"/>
    <d v="2022-04-20T22:26:54"/>
    <x v="246"/>
    <x v="85"/>
    <n v="7"/>
    <d v="2022-05-08T22:26:54"/>
    <s v="Yes"/>
    <d v="2022-05-08T22:26:54"/>
    <x v="3"/>
    <x v="1"/>
    <d v="2022-05-13T22:26:54"/>
    <s v="Accepted"/>
    <d v="2022-05-10T22:26:54"/>
    <d v="2022-05-12T22:26:54"/>
    <d v="2022-05-11T22:26:54"/>
    <d v="2022-05-21T22:26:54"/>
    <x v="1"/>
    <d v="2022-05-22T22:26:54"/>
    <d v="2022-05-24T22:26:54"/>
    <d v="2022-05-27T22:26:54"/>
    <m/>
    <m/>
    <d v="2022-06-16T22:26:54"/>
    <s v="C1542"/>
    <s v="Candidate_542"/>
    <s v="May 03 2022"/>
    <x v="1"/>
    <s v="Linkedin"/>
    <n v="6"/>
    <m/>
    <x v="0"/>
    <m/>
    <m/>
    <x v="0"/>
    <x v="0"/>
    <m/>
    <x v="64"/>
    <x v="0"/>
  </r>
  <r>
    <n v="1448"/>
    <s v="1448 | Program Office"/>
    <x v="4"/>
    <x v="1"/>
    <x v="8"/>
    <x v="10"/>
    <s v="Program Office-Business Partner"/>
    <x v="1"/>
    <d v="2023-03-29T10:15:10"/>
    <x v="99"/>
    <x v="59"/>
    <n v="5"/>
    <d v="2023-04-16T10:15:10"/>
    <s v="Yes"/>
    <d v="2023-04-12T10:15:10"/>
    <x v="0"/>
    <x v="5"/>
    <m/>
    <m/>
    <m/>
    <m/>
    <d v="2023-04-13T10:15:10"/>
    <m/>
    <x v="0"/>
    <m/>
    <m/>
    <m/>
    <m/>
    <s v="Company"/>
    <m/>
    <s v="C1543"/>
    <s v="Candidate_543"/>
    <s v="Mar 30 2023"/>
    <x v="2"/>
    <s v="Job Board"/>
    <n v="3"/>
    <m/>
    <x v="0"/>
    <m/>
    <m/>
    <x v="0"/>
    <x v="0"/>
    <m/>
    <x v="1"/>
    <x v="0"/>
  </r>
  <r>
    <n v="1445"/>
    <s v="1445 | Program Office"/>
    <x v="5"/>
    <x v="1"/>
    <x v="8"/>
    <x v="10"/>
    <s v="Program Office-Business Partner"/>
    <x v="1"/>
    <d v="2023-03-30T10:15:10"/>
    <x v="0"/>
    <x v="4"/>
    <n v="-45015.427199074067"/>
    <d v="2023-04-20T10:15:10"/>
    <s v="No"/>
    <m/>
    <x v="2"/>
    <x v="1"/>
    <m/>
    <m/>
    <m/>
    <m/>
    <m/>
    <m/>
    <x v="0"/>
    <m/>
    <m/>
    <m/>
    <m/>
    <m/>
    <m/>
    <s v="C1544"/>
    <s v="Candidate_544"/>
    <m/>
    <x v="1"/>
    <s v="Linkedin"/>
    <n v="6"/>
    <m/>
    <x v="0"/>
    <m/>
    <m/>
    <x v="0"/>
    <x v="0"/>
    <m/>
    <x v="0"/>
    <x v="0"/>
  </r>
  <r>
    <n v="1443"/>
    <s v="1443 | Program Office"/>
    <x v="5"/>
    <x v="1"/>
    <x v="8"/>
    <x v="10"/>
    <s v="Program Office-Business Partner"/>
    <x v="1"/>
    <d v="2023-03-28T10:15:10"/>
    <x v="98"/>
    <x v="59"/>
    <n v="6"/>
    <d v="2023-04-09T10:15:10"/>
    <s v="Yes"/>
    <d v="2023-04-16T10:15:10"/>
    <x v="0"/>
    <x v="5"/>
    <m/>
    <m/>
    <m/>
    <m/>
    <m/>
    <m/>
    <x v="0"/>
    <m/>
    <m/>
    <m/>
    <m/>
    <s v="Company"/>
    <m/>
    <s v="C1545"/>
    <s v="Candidate_545"/>
    <s v="Apr 04 2023"/>
    <x v="0"/>
    <s v="Referral"/>
    <n v="6"/>
    <m/>
    <x v="0"/>
    <m/>
    <m/>
    <x v="0"/>
    <x v="0"/>
    <m/>
    <x v="1"/>
    <x v="0"/>
  </r>
  <r>
    <n v="1415"/>
    <s v="1415 | Program Office"/>
    <x v="3"/>
    <x v="1"/>
    <x v="8"/>
    <x v="10"/>
    <s v="Program Office-Business Partner"/>
    <x v="1"/>
    <d v="2022-08-08T18:56:36"/>
    <x v="100"/>
    <x v="4"/>
    <n v="-44781.789305555547"/>
    <d v="2022-08-20T18:56:36"/>
    <s v="Yes"/>
    <d v="2022-08-22T18:56:36"/>
    <x v="1"/>
    <x v="1"/>
    <d v="2022-08-26T18:56:36"/>
    <s v="Declined"/>
    <m/>
    <m/>
    <d v="2022-08-24T18:56:36"/>
    <m/>
    <x v="0"/>
    <m/>
    <m/>
    <m/>
    <m/>
    <m/>
    <m/>
    <s v="C1546"/>
    <s v="Candidate_546"/>
    <s v="Aug 07 2022"/>
    <x v="2"/>
    <s v="Job Board"/>
    <n v="6"/>
    <m/>
    <x v="0"/>
    <m/>
    <m/>
    <x v="0"/>
    <x v="0"/>
    <m/>
    <x v="0"/>
    <x v="0"/>
  </r>
  <r>
    <n v="1413"/>
    <s v="1413 | Program Office"/>
    <x v="5"/>
    <x v="1"/>
    <x v="8"/>
    <x v="10"/>
    <s v="Program Office-Business Partner"/>
    <x v="1"/>
    <d v="2022-08-11T18:56:36"/>
    <x v="100"/>
    <x v="60"/>
    <n v="2"/>
    <d v="2022-09-02T18:56:36"/>
    <s v="Yes"/>
    <d v="2022-08-25T18:56:36"/>
    <x v="1"/>
    <x v="1"/>
    <d v="2022-08-28T18:56:36"/>
    <s v="Declined"/>
    <m/>
    <m/>
    <d v="2022-08-26T18:56:36"/>
    <m/>
    <x v="0"/>
    <m/>
    <m/>
    <m/>
    <m/>
    <m/>
    <m/>
    <s v="C1547"/>
    <s v="Candidate_547"/>
    <s v="08-10-2022"/>
    <x v="2"/>
    <s v="Job Board"/>
    <n v="6"/>
    <m/>
    <x v="0"/>
    <m/>
    <m/>
    <x v="0"/>
    <x v="0"/>
    <m/>
    <x v="1"/>
    <x v="0"/>
  </r>
  <r>
    <n v="1409"/>
    <s v="1409 | Program Office"/>
    <x v="5"/>
    <x v="1"/>
    <x v="8"/>
    <x v="10"/>
    <s v="Program Office-Business Partner"/>
    <x v="1"/>
    <d v="2022-02-22T07:21:21"/>
    <x v="101"/>
    <x v="61"/>
    <n v="5"/>
    <d v="2022-03-24T07:21:21"/>
    <s v="Yes"/>
    <d v="2022-03-13T07:21:21"/>
    <x v="0"/>
    <x v="2"/>
    <m/>
    <m/>
    <m/>
    <m/>
    <d v="2022-03-17T07:21:21"/>
    <m/>
    <x v="0"/>
    <m/>
    <m/>
    <m/>
    <m/>
    <s v="Candidate"/>
    <m/>
    <s v="C1548"/>
    <s v="Candidate_548"/>
    <s v="Feb 27 2022"/>
    <x v="2"/>
    <s v="Job Board"/>
    <n v="6"/>
    <m/>
    <x v="0"/>
    <m/>
    <m/>
    <x v="0"/>
    <x v="0"/>
    <m/>
    <x v="1"/>
    <x v="0"/>
  </r>
  <r>
    <n v="1407"/>
    <s v="1407 | Program Office"/>
    <x v="5"/>
    <x v="1"/>
    <x v="8"/>
    <x v="10"/>
    <s v="Program Office-Business Partner"/>
    <x v="1"/>
    <d v="2022-02-20T07:21:21"/>
    <x v="0"/>
    <x v="61"/>
    <n v="7"/>
    <d v="2022-03-16T07:21:21"/>
    <s v="Yes"/>
    <d v="2022-03-16T07:21:21"/>
    <x v="0"/>
    <x v="2"/>
    <m/>
    <m/>
    <m/>
    <m/>
    <m/>
    <m/>
    <x v="0"/>
    <m/>
    <m/>
    <m/>
    <m/>
    <s v="Candidate"/>
    <m/>
    <s v="C1549"/>
    <s v="Candidate_549"/>
    <s v="Mar 02 2022"/>
    <x v="2"/>
    <s v="Job Board"/>
    <n v="3"/>
    <m/>
    <x v="0"/>
    <m/>
    <m/>
    <x v="0"/>
    <x v="0"/>
    <m/>
    <x v="0"/>
    <x v="0"/>
  </r>
  <r>
    <n v="1299"/>
    <s v="1299 | Program Office"/>
    <x v="4"/>
    <x v="1"/>
    <x v="8"/>
    <x v="10"/>
    <s v="Program Office-Business Partner"/>
    <x v="1"/>
    <d v="2023-06-14T16:08:44"/>
    <x v="315"/>
    <x v="29"/>
    <n v="5"/>
    <d v="2023-07-07T16:08:44"/>
    <s v="Yes"/>
    <d v="2023-06-25T16:08:44"/>
    <x v="0"/>
    <x v="2"/>
    <m/>
    <m/>
    <m/>
    <m/>
    <d v="2023-06-28T16:08:44"/>
    <m/>
    <x v="0"/>
    <m/>
    <m/>
    <m/>
    <m/>
    <s v="Candidate"/>
    <m/>
    <s v="C1550"/>
    <s v="Candidate_550"/>
    <s v="06-11-2023"/>
    <x v="1"/>
    <s v="Linkedin"/>
    <n v="6"/>
    <m/>
    <x v="0"/>
    <m/>
    <m/>
    <x v="0"/>
    <x v="0"/>
    <m/>
    <x v="1"/>
    <x v="0"/>
  </r>
  <r>
    <n v="1296"/>
    <s v="1296 | Program Office"/>
    <x v="4"/>
    <x v="1"/>
    <x v="8"/>
    <x v="10"/>
    <s v="Program Office-Business Partner"/>
    <x v="1"/>
    <d v="2023-06-14T16:08:44"/>
    <x v="104"/>
    <x v="29"/>
    <n v="5"/>
    <d v="2023-07-09T16:08:44"/>
    <s v="No"/>
    <m/>
    <x v="2"/>
    <x v="1"/>
    <m/>
    <m/>
    <m/>
    <m/>
    <m/>
    <m/>
    <x v="0"/>
    <m/>
    <m/>
    <m/>
    <m/>
    <m/>
    <m/>
    <s v="C1551"/>
    <s v="Candidate_551"/>
    <m/>
    <x v="2"/>
    <s v="Job Board"/>
    <n v="6"/>
    <m/>
    <x v="0"/>
    <m/>
    <m/>
    <x v="0"/>
    <x v="0"/>
    <m/>
    <x v="1"/>
    <x v="0"/>
  </r>
  <r>
    <n v="1292"/>
    <s v="1292 | Program Office"/>
    <x v="3"/>
    <x v="1"/>
    <x v="8"/>
    <x v="10"/>
    <s v="Program Office-Business Partner"/>
    <x v="1"/>
    <d v="2023-06-14T16:08:44"/>
    <x v="315"/>
    <x v="29"/>
    <n v="5"/>
    <d v="2023-07-15T16:08:44"/>
    <s v="Yes"/>
    <d v="2023-06-28T16:08:44"/>
    <x v="4"/>
    <x v="1"/>
    <d v="2023-07-05T16:08:44"/>
    <s v="Pending"/>
    <m/>
    <m/>
    <d v="2023-07-02T16:08:44"/>
    <m/>
    <x v="0"/>
    <m/>
    <m/>
    <m/>
    <m/>
    <m/>
    <m/>
    <s v="C1552"/>
    <s v="Candidate_552"/>
    <s v="06-17-2023"/>
    <x v="2"/>
    <s v="Job Board"/>
    <n v="6"/>
    <m/>
    <x v="0"/>
    <m/>
    <m/>
    <x v="0"/>
    <x v="0"/>
    <m/>
    <x v="1"/>
    <x v="0"/>
  </r>
  <r>
    <n v="1159"/>
    <s v="1159 | Program Office"/>
    <x v="4"/>
    <x v="1"/>
    <x v="8"/>
    <x v="10"/>
    <s v="Program Office-Business Partner"/>
    <x v="1"/>
    <d v="2022-03-18T19:24:36"/>
    <x v="316"/>
    <x v="62"/>
    <n v="6"/>
    <d v="2022-03-29T19:24:36"/>
    <s v="Yes"/>
    <d v="2022-03-28T19:24:36"/>
    <x v="0"/>
    <x v="0"/>
    <m/>
    <m/>
    <m/>
    <m/>
    <m/>
    <m/>
    <x v="0"/>
    <m/>
    <m/>
    <m/>
    <m/>
    <s v="Company"/>
    <m/>
    <s v="C1553"/>
    <s v="Candidate_553"/>
    <s v="Mar 10 2022"/>
    <x v="0"/>
    <s v="Referral"/>
    <n v="6"/>
    <m/>
    <x v="0"/>
    <m/>
    <m/>
    <x v="0"/>
    <x v="0"/>
    <m/>
    <x v="1"/>
    <x v="0"/>
  </r>
  <r>
    <n v="1158"/>
    <s v="1158 | Program Office"/>
    <x v="3"/>
    <x v="1"/>
    <x v="8"/>
    <x v="10"/>
    <s v="Program Office-Business Partner"/>
    <x v="1"/>
    <d v="2022-03-16T19:24:36"/>
    <x v="316"/>
    <x v="62"/>
    <n v="8"/>
    <d v="2022-04-12T19:24:36"/>
    <s v="Yes"/>
    <d v="2022-03-30T19:24:36"/>
    <x v="3"/>
    <x v="1"/>
    <d v="2022-04-03T19:24:36"/>
    <s v="Accepted"/>
    <d v="2022-03-31T19:24:36"/>
    <d v="2022-04-01T19:24:36"/>
    <d v="2022-04-02T19:24:36"/>
    <d v="2022-04-11T19:24:36"/>
    <x v="1"/>
    <d v="2022-04-15T19:24:36"/>
    <d v="2022-04-17T19:24:36"/>
    <d v="2022-04-20T19:24:36"/>
    <m/>
    <m/>
    <d v="2022-05-11T19:24:36"/>
    <s v="C1554"/>
    <s v="Candidate_554"/>
    <s v="Mar 13 2022"/>
    <x v="2"/>
    <s v="Job Board"/>
    <n v="6"/>
    <m/>
    <x v="0"/>
    <m/>
    <m/>
    <x v="0"/>
    <x v="0"/>
    <m/>
    <x v="65"/>
    <x v="0"/>
  </r>
  <r>
    <n v="996"/>
    <s v="996 | Program Office"/>
    <x v="4"/>
    <x v="1"/>
    <x v="8"/>
    <x v="10"/>
    <s v="Program Office-Business Partner"/>
    <x v="1"/>
    <d v="2023-03-30T20:36:08"/>
    <x v="187"/>
    <x v="4"/>
    <n v="-45015.858425925922"/>
    <d v="2023-04-17T20:36:08"/>
    <s v="Yes"/>
    <d v="2023-04-11T20:36:08"/>
    <x v="0"/>
    <x v="3"/>
    <m/>
    <m/>
    <m/>
    <m/>
    <m/>
    <m/>
    <x v="0"/>
    <m/>
    <m/>
    <m/>
    <m/>
    <s v="Company"/>
    <m/>
    <s v="C1555"/>
    <s v="Candidate_555"/>
    <s v="Mar 29 2023"/>
    <x v="1"/>
    <s v="Linkedin"/>
    <n v="6"/>
    <m/>
    <x v="0"/>
    <m/>
    <m/>
    <x v="0"/>
    <x v="0"/>
    <m/>
    <x v="0"/>
    <x v="0"/>
  </r>
  <r>
    <n v="955"/>
    <s v="955 | Program Office"/>
    <x v="3"/>
    <x v="1"/>
    <x v="8"/>
    <x v="10"/>
    <s v="Program Office-Business Partner"/>
    <x v="1"/>
    <d v="2023-08-01T23:55:51"/>
    <x v="108"/>
    <x v="64"/>
    <n v="8"/>
    <d v="2023-08-28T23:55:51"/>
    <s v="Yes"/>
    <d v="2023-08-21T23:55:51"/>
    <x v="3"/>
    <x v="1"/>
    <d v="2023-08-27T23:55:51"/>
    <s v="Accepted"/>
    <d v="2023-08-23T23:55:51"/>
    <d v="2023-08-24T23:55:51"/>
    <d v="2023-08-24T23:55:51"/>
    <d v="2023-08-30T23:55:51"/>
    <x v="1"/>
    <d v="2023-09-02T23:55:51"/>
    <d v="2023-09-04T23:55:51"/>
    <d v="2023-09-07T23:55:51"/>
    <m/>
    <m/>
    <d v="2023-09-28T23:55:51"/>
    <s v="C1556"/>
    <s v="Candidate_556"/>
    <s v="Aug 05 2023"/>
    <x v="2"/>
    <s v="Job Board"/>
    <n v="6"/>
    <m/>
    <x v="0"/>
    <m/>
    <m/>
    <x v="0"/>
    <x v="0"/>
    <m/>
    <x v="66"/>
    <x v="0"/>
  </r>
  <r>
    <n v="954"/>
    <s v="954 | Program Office"/>
    <x v="3"/>
    <x v="1"/>
    <x v="8"/>
    <x v="10"/>
    <s v="Program Office-Business Partner"/>
    <x v="1"/>
    <d v="2023-08-03T23:55:51"/>
    <x v="108"/>
    <x v="64"/>
    <n v="6"/>
    <d v="2023-08-29T23:55:51"/>
    <s v="Yes"/>
    <d v="2023-08-25T23:55:51"/>
    <x v="3"/>
    <x v="1"/>
    <d v="2023-08-28T23:55:51"/>
    <s v="Accepted"/>
    <d v="2023-08-26T23:55:51"/>
    <d v="2023-08-28T23:55:51"/>
    <d v="2023-08-27T23:55:51"/>
    <d v="2023-09-03T23:55:51"/>
    <x v="1"/>
    <d v="2023-09-04T23:55:51"/>
    <d v="2023-09-07T23:55:51"/>
    <d v="2023-09-10T23:55:51"/>
    <m/>
    <m/>
    <d v="2023-09-19T23:55:51"/>
    <s v="C1557"/>
    <s v="Candidate_557"/>
    <s v="08-18-2023"/>
    <x v="0"/>
    <s v="Referral"/>
    <n v="3"/>
    <m/>
    <x v="0"/>
    <m/>
    <m/>
    <x v="0"/>
    <x v="0"/>
    <m/>
    <x v="67"/>
    <x v="0"/>
  </r>
  <r>
    <n v="952"/>
    <s v="952 | Program Office"/>
    <x v="5"/>
    <x v="1"/>
    <x v="8"/>
    <x v="10"/>
    <s v="Program Office-Business Partner"/>
    <x v="1"/>
    <d v="2023-08-04T23:55:51"/>
    <x v="108"/>
    <x v="64"/>
    <n v="5"/>
    <d v="2023-08-22T23:55:51"/>
    <s v="Yes"/>
    <d v="2023-08-17T23:55:51"/>
    <x v="3"/>
    <x v="1"/>
    <d v="2023-08-19T23:55:51"/>
    <s v="Accepted"/>
    <d v="2023-08-19T23:55:51"/>
    <d v="2023-08-22T23:55:51"/>
    <d v="2023-08-18T23:55:51"/>
    <d v="2023-08-20T23:55:51"/>
    <x v="1"/>
    <d v="2023-08-24T23:55:51"/>
    <d v="2023-08-27T23:55:51"/>
    <d v="2023-08-29T23:55:51"/>
    <m/>
    <m/>
    <d v="2023-09-12T23:55:51"/>
    <s v="C1558"/>
    <s v="Candidate_558"/>
    <s v="08-05-2023"/>
    <x v="1"/>
    <s v="Linkedin"/>
    <n v="3"/>
    <m/>
    <x v="0"/>
    <m/>
    <m/>
    <x v="0"/>
    <x v="0"/>
    <m/>
    <x v="68"/>
    <x v="0"/>
  </r>
  <r>
    <n v="951"/>
    <s v="951 | Program Office"/>
    <x v="3"/>
    <x v="1"/>
    <x v="8"/>
    <x v="10"/>
    <s v="Program Office-Business Partner"/>
    <x v="1"/>
    <m/>
    <x v="0"/>
    <x v="64"/>
    <n v="45147.997118055559"/>
    <d v="2023-08-16T23:55:51"/>
    <s v="Yes"/>
    <d v="2023-08-23T23:55:51"/>
    <x v="0"/>
    <x v="4"/>
    <m/>
    <m/>
    <m/>
    <m/>
    <d v="2023-08-27T23:55:51"/>
    <m/>
    <x v="0"/>
    <m/>
    <m/>
    <m/>
    <m/>
    <s v="Candidate"/>
    <m/>
    <s v="C1559"/>
    <s v="Candidate_559"/>
    <s v="Aug 12 2023"/>
    <x v="2"/>
    <s v="Job Board"/>
    <n v="3"/>
    <m/>
    <x v="0"/>
    <m/>
    <m/>
    <x v="0"/>
    <x v="0"/>
    <m/>
    <x v="0"/>
    <x v="0"/>
  </r>
  <r>
    <n v="943"/>
    <s v="943 | Program Office"/>
    <x v="5"/>
    <x v="1"/>
    <x v="8"/>
    <x v="10"/>
    <s v="Program Office-Business Partner"/>
    <x v="1"/>
    <d v="2022-10-25T01:02:01"/>
    <x v="0"/>
    <x v="65"/>
    <n v="9"/>
    <d v="2022-12-03T01:02:01"/>
    <s v="Yes"/>
    <d v="2022-11-10T01:02:01"/>
    <x v="0"/>
    <x v="3"/>
    <m/>
    <m/>
    <m/>
    <m/>
    <m/>
    <m/>
    <x v="0"/>
    <m/>
    <m/>
    <m/>
    <m/>
    <s v="Company"/>
    <m/>
    <s v="C1560"/>
    <s v="Candidate_560"/>
    <s v="Oct 24 2022"/>
    <x v="1"/>
    <s v="Linkedin"/>
    <n v="6"/>
    <m/>
    <x v="0"/>
    <m/>
    <m/>
    <x v="0"/>
    <x v="0"/>
    <m/>
    <x v="0"/>
    <x v="0"/>
  </r>
  <r>
    <n v="918"/>
    <s v="918 | Program Office"/>
    <x v="5"/>
    <x v="1"/>
    <x v="8"/>
    <x v="10"/>
    <s v="Program Office-Business Partner"/>
    <x v="1"/>
    <d v="2022-04-19T06:08:47"/>
    <x v="317"/>
    <x v="66"/>
    <n v="6"/>
    <d v="2022-05-04T06:08:47"/>
    <s v="Yes"/>
    <d v="2022-04-28T06:08:47"/>
    <x v="1"/>
    <x v="1"/>
    <d v="2022-05-03T06:08:47"/>
    <s v="Declined"/>
    <m/>
    <m/>
    <d v="2022-04-30T06:08:47"/>
    <m/>
    <x v="0"/>
    <m/>
    <m/>
    <m/>
    <m/>
    <m/>
    <m/>
    <s v="C1561"/>
    <s v="Candidate_561"/>
    <s v="04-20-2022"/>
    <x v="2"/>
    <s v="Job Board"/>
    <n v="3"/>
    <m/>
    <x v="0"/>
    <m/>
    <m/>
    <x v="0"/>
    <x v="0"/>
    <m/>
    <x v="1"/>
    <x v="0"/>
  </r>
  <r>
    <n v="917"/>
    <s v="917 | Program Office"/>
    <x v="4"/>
    <x v="1"/>
    <x v="8"/>
    <x v="10"/>
    <s v="Program Office-Business Partner"/>
    <x v="1"/>
    <d v="2022-04-17T06:08:47"/>
    <x v="318"/>
    <x v="66"/>
    <n v="8"/>
    <d v="2022-05-11T06:08:47"/>
    <s v="No"/>
    <m/>
    <x v="2"/>
    <x v="1"/>
    <m/>
    <m/>
    <m/>
    <m/>
    <m/>
    <m/>
    <x v="0"/>
    <m/>
    <m/>
    <m/>
    <m/>
    <m/>
    <m/>
    <s v="C1562"/>
    <s v="Candidate_562"/>
    <m/>
    <x v="0"/>
    <s v="Referral"/>
    <n v="6"/>
    <m/>
    <x v="0"/>
    <m/>
    <m/>
    <x v="0"/>
    <x v="0"/>
    <m/>
    <x v="1"/>
    <x v="0"/>
  </r>
  <r>
    <n v="909"/>
    <s v="909 | Program Office"/>
    <x v="4"/>
    <x v="1"/>
    <x v="8"/>
    <x v="10"/>
    <s v="Program Office-Business Partner"/>
    <x v="1"/>
    <d v="2023-08-20T05:59:22"/>
    <x v="0"/>
    <x v="67"/>
    <n v="8"/>
    <d v="2023-09-04T05:59:22"/>
    <s v="Yes"/>
    <d v="2023-09-11T05:59:22"/>
    <x v="3"/>
    <x v="1"/>
    <d v="2023-09-15T05:59:22"/>
    <s v="Accepted"/>
    <d v="2023-09-13T05:59:22"/>
    <d v="2023-09-17T05:59:22"/>
    <d v="2023-09-14T05:59:22"/>
    <d v="2023-09-24T05:59:22"/>
    <x v="1"/>
    <d v="2023-09-26T05:59:22"/>
    <d v="2023-09-28T05:59:22"/>
    <d v="2023-09-30T05:59:22"/>
    <m/>
    <m/>
    <d v="2023-10-12T05:59:22"/>
    <s v="C1563"/>
    <s v="Candidate_563"/>
    <s v="28/08/2023"/>
    <x v="2"/>
    <s v="Job Board"/>
    <n v="6"/>
    <m/>
    <x v="0"/>
    <m/>
    <m/>
    <x v="0"/>
    <x v="0"/>
    <m/>
    <x v="0"/>
    <x v="0"/>
  </r>
  <r>
    <n v="902"/>
    <s v="902 | Program Office"/>
    <x v="4"/>
    <x v="1"/>
    <x v="8"/>
    <x v="10"/>
    <s v="Program Office-Business Partner"/>
    <x v="1"/>
    <d v="2023-08-26T05:59:22"/>
    <x v="319"/>
    <x v="67"/>
    <n v="2"/>
    <d v="2023-09-16T05:59:22"/>
    <s v="Yes"/>
    <d v="2023-09-05T05:59:22"/>
    <x v="0"/>
    <x v="5"/>
    <m/>
    <m/>
    <m/>
    <m/>
    <m/>
    <m/>
    <x v="0"/>
    <m/>
    <m/>
    <m/>
    <m/>
    <s v="Company"/>
    <m/>
    <s v="C1564"/>
    <s v="Candidate_564"/>
    <s v="08-24-2023"/>
    <x v="0"/>
    <s v="Referral"/>
    <n v="3"/>
    <m/>
    <x v="0"/>
    <m/>
    <m/>
    <x v="0"/>
    <x v="0"/>
    <m/>
    <x v="1"/>
    <x v="0"/>
  </r>
  <r>
    <n v="839"/>
    <s v="839 | Program Office"/>
    <x v="4"/>
    <x v="1"/>
    <x v="8"/>
    <x v="10"/>
    <s v="Program Office-Business Partner"/>
    <x v="1"/>
    <d v="2022-07-14T16:58:11"/>
    <x v="116"/>
    <x v="68"/>
    <n v="4"/>
    <d v="2022-07-31T16:58:11"/>
    <s v="Yes"/>
    <d v="2022-07-20T16:58:11"/>
    <x v="3"/>
    <x v="1"/>
    <d v="2022-07-25T16:58:11"/>
    <s v="Accepted"/>
    <d v="2022-07-21T16:58:11"/>
    <d v="2022-07-23T16:58:11"/>
    <d v="2022-07-22T16:58:11"/>
    <d v="2022-07-23T16:58:11"/>
    <x v="1"/>
    <d v="2022-07-25T16:58:11"/>
    <d v="2022-07-28T16:58:11"/>
    <d v="2022-07-30T16:58:11"/>
    <m/>
    <m/>
    <d v="2022-08-18T16:58:11"/>
    <s v="C1565"/>
    <s v="Candidate_565"/>
    <s v="06/07/2022"/>
    <x v="2"/>
    <s v="Job Board"/>
    <n v="3"/>
    <m/>
    <x v="0"/>
    <m/>
    <m/>
    <x v="0"/>
    <x v="0"/>
    <m/>
    <x v="69"/>
    <x v="0"/>
  </r>
  <r>
    <n v="832"/>
    <s v="832 | Program Office"/>
    <x v="4"/>
    <x v="1"/>
    <x v="8"/>
    <x v="10"/>
    <s v="Program Office-Business Partner"/>
    <x v="1"/>
    <d v="2022-07-14T16:58:11"/>
    <x v="194"/>
    <x v="68"/>
    <n v="4"/>
    <d v="2022-07-26T16:58:11"/>
    <s v="Yes"/>
    <d v="2022-07-25T16:58:11"/>
    <x v="1"/>
    <x v="1"/>
    <d v="2022-08-02T16:58:11"/>
    <s v="Declined"/>
    <m/>
    <m/>
    <d v="2022-07-29T16:58:11"/>
    <m/>
    <x v="0"/>
    <m/>
    <m/>
    <m/>
    <m/>
    <m/>
    <m/>
    <s v="C1566"/>
    <s v="Candidate_566"/>
    <s v="Jul 10 2022"/>
    <x v="1"/>
    <s v="Linkedin"/>
    <n v="3"/>
    <m/>
    <x v="0"/>
    <m/>
    <m/>
    <x v="0"/>
    <x v="0"/>
    <m/>
    <x v="1"/>
    <x v="0"/>
  </r>
  <r>
    <n v="831"/>
    <s v="831 | Program Office"/>
    <x v="4"/>
    <x v="1"/>
    <x v="8"/>
    <x v="10"/>
    <s v="Program Office-Business Partner"/>
    <x v="1"/>
    <d v="2022-07-09T16:58:11"/>
    <x v="193"/>
    <x v="4"/>
    <n v="-44751.707071759258"/>
    <d v="2022-07-27T16:58:11"/>
    <s v="No"/>
    <m/>
    <x v="2"/>
    <x v="1"/>
    <m/>
    <m/>
    <m/>
    <m/>
    <m/>
    <m/>
    <x v="0"/>
    <m/>
    <m/>
    <m/>
    <m/>
    <m/>
    <m/>
    <s v="C1567"/>
    <s v="Candidate_567"/>
    <m/>
    <x v="1"/>
    <s v="Linkedin"/>
    <n v="6"/>
    <m/>
    <x v="0"/>
    <m/>
    <m/>
    <x v="0"/>
    <x v="0"/>
    <m/>
    <x v="0"/>
    <x v="0"/>
  </r>
  <r>
    <n v="823"/>
    <s v="823 | Program Office"/>
    <x v="5"/>
    <x v="1"/>
    <x v="8"/>
    <x v="10"/>
    <s v="Program Office-Business Partner"/>
    <x v="1"/>
    <d v="2022-03-06T15:00:29"/>
    <x v="117"/>
    <x v="4"/>
    <n v="-44626.625335648147"/>
    <d v="2022-03-17T15:00:29"/>
    <s v="Yes"/>
    <d v="2022-03-29T15:00:29"/>
    <x v="3"/>
    <x v="1"/>
    <d v="2022-04-02T15:00:29"/>
    <s v="Accepted"/>
    <d v="2022-03-30T15:00:29"/>
    <d v="2022-04-03T15:00:29"/>
    <d v="2022-03-31T15:00:29"/>
    <d v="2022-04-04T15:00:29"/>
    <x v="1"/>
    <d v="2022-04-07T15:00:29"/>
    <d v="2022-04-09T15:00:29"/>
    <d v="2022-04-12T15:00:29"/>
    <m/>
    <m/>
    <d v="2022-04-29T15:00:29"/>
    <s v="C1568"/>
    <s v="Candidate_568"/>
    <s v="Mar 20 2022"/>
    <x v="2"/>
    <s v="Job Board"/>
    <n v="6"/>
    <m/>
    <x v="0"/>
    <m/>
    <m/>
    <x v="0"/>
    <x v="0"/>
    <m/>
    <x v="0"/>
    <x v="0"/>
  </r>
  <r>
    <n v="770"/>
    <s v="770 | Program Office"/>
    <x v="5"/>
    <x v="1"/>
    <x v="8"/>
    <x v="10"/>
    <s v="Program Office-Business Partner"/>
    <x v="1"/>
    <d v="2022-06-12T17:40:03"/>
    <x v="0"/>
    <x v="71"/>
    <n v="9"/>
    <d v="2022-07-17T17:40:03"/>
    <s v="Yes"/>
    <d v="2022-07-04T17:40:03"/>
    <x v="0"/>
    <x v="5"/>
    <m/>
    <m/>
    <m/>
    <m/>
    <m/>
    <m/>
    <x v="0"/>
    <m/>
    <m/>
    <m/>
    <m/>
    <s v="Candidate"/>
    <m/>
    <s v="C1569"/>
    <s v="Candidate_569"/>
    <s v="19/06/2022"/>
    <x v="0"/>
    <s v="Referral"/>
    <n v="3"/>
    <m/>
    <x v="0"/>
    <m/>
    <m/>
    <x v="0"/>
    <x v="0"/>
    <m/>
    <x v="0"/>
    <x v="0"/>
  </r>
  <r>
    <n v="717"/>
    <s v="717 | Program Office"/>
    <x v="4"/>
    <x v="1"/>
    <x v="8"/>
    <x v="10"/>
    <s v="Program Office-Business Partner"/>
    <x v="1"/>
    <m/>
    <x v="201"/>
    <x v="73"/>
    <n v="44634.686331018522"/>
    <d v="2022-04-04T16:28:19"/>
    <s v="Yes"/>
    <d v="2022-03-20T16:28:19"/>
    <x v="3"/>
    <x v="1"/>
    <d v="2022-03-24T16:28:19"/>
    <s v="Accepted"/>
    <d v="2022-03-22T16:28:19"/>
    <d v="2022-03-26T16:28:19"/>
    <d v="2022-03-21T16:28:19"/>
    <d v="2022-03-29T16:28:19"/>
    <x v="1"/>
    <d v="2022-03-31T16:28:19"/>
    <d v="2022-04-03T16:28:19"/>
    <d v="2022-04-05T16:28:19"/>
    <m/>
    <m/>
    <d v="2022-04-24T16:28:19"/>
    <s v="C1570"/>
    <s v="Candidate_570"/>
    <s v="Mar 10 2022"/>
    <x v="0"/>
    <s v="Referral"/>
    <n v="3"/>
    <m/>
    <x v="0"/>
    <m/>
    <m/>
    <x v="0"/>
    <x v="0"/>
    <m/>
    <x v="0"/>
    <x v="0"/>
  </r>
  <r>
    <n v="714"/>
    <s v="714 | Program Office"/>
    <x v="5"/>
    <x v="1"/>
    <x v="8"/>
    <x v="10"/>
    <s v="Program Office-Business Partner"/>
    <x v="1"/>
    <d v="2022-03-10T16:28:19"/>
    <x v="320"/>
    <x v="73"/>
    <n v="4"/>
    <d v="2022-03-20T16:28:19"/>
    <s v="Yes"/>
    <d v="2022-03-28T16:28:19"/>
    <x v="0"/>
    <x v="4"/>
    <m/>
    <m/>
    <m/>
    <m/>
    <m/>
    <m/>
    <x v="0"/>
    <m/>
    <m/>
    <m/>
    <m/>
    <s v="Candidate"/>
    <m/>
    <s v="C1571"/>
    <s v="Candidate_571"/>
    <s v="Mar 23 2022"/>
    <x v="2"/>
    <s v="Job Board"/>
    <n v="3"/>
    <m/>
    <x v="0"/>
    <m/>
    <m/>
    <x v="0"/>
    <x v="0"/>
    <m/>
    <x v="1"/>
    <x v="0"/>
  </r>
  <r>
    <n v="673"/>
    <s v="673 | Program Office"/>
    <x v="5"/>
    <x v="1"/>
    <x v="8"/>
    <x v="10"/>
    <s v="Program Office-Business Partner"/>
    <x v="1"/>
    <d v="2023-08-03T21:15:22"/>
    <x v="204"/>
    <x v="74"/>
    <n v="6"/>
    <d v="2023-08-19T21:15:22"/>
    <s v="No"/>
    <m/>
    <x v="2"/>
    <x v="1"/>
    <m/>
    <m/>
    <m/>
    <m/>
    <m/>
    <m/>
    <x v="0"/>
    <m/>
    <m/>
    <m/>
    <m/>
    <m/>
    <m/>
    <s v="C1572"/>
    <s v="Candidate_572"/>
    <m/>
    <x v="0"/>
    <s v="Referral"/>
    <n v="3"/>
    <m/>
    <x v="0"/>
    <m/>
    <m/>
    <x v="0"/>
    <x v="0"/>
    <m/>
    <x v="1"/>
    <x v="0"/>
  </r>
  <r>
    <n v="672"/>
    <s v="672 | Program Office"/>
    <x v="5"/>
    <x v="1"/>
    <x v="8"/>
    <x v="10"/>
    <s v="Program Office-Business Partner"/>
    <x v="1"/>
    <d v="2023-08-01T21:15:22"/>
    <x v="204"/>
    <x v="74"/>
    <n v="8"/>
    <d v="2023-09-04T21:15:22"/>
    <s v="Yes"/>
    <d v="2023-08-18T21:15:22"/>
    <x v="0"/>
    <x v="0"/>
    <m/>
    <m/>
    <m/>
    <m/>
    <d v="2023-08-19T21:15:22"/>
    <m/>
    <x v="0"/>
    <m/>
    <m/>
    <m/>
    <m/>
    <s v="Candidate"/>
    <m/>
    <s v="C1573"/>
    <s v="Candidate_573"/>
    <s v="09/08/2023"/>
    <x v="2"/>
    <s v="Job Board"/>
    <n v="3"/>
    <m/>
    <x v="0"/>
    <m/>
    <m/>
    <x v="0"/>
    <x v="0"/>
    <m/>
    <x v="1"/>
    <x v="0"/>
  </r>
  <r>
    <n v="660"/>
    <s v="660 | Program Office"/>
    <x v="5"/>
    <x v="1"/>
    <x v="8"/>
    <x v="10"/>
    <s v="Program Office-Business Partner"/>
    <x v="1"/>
    <d v="2022-12-22T00:23:46"/>
    <x v="321"/>
    <x v="75"/>
    <n v="5"/>
    <d v="2023-01-01T00:23:46"/>
    <s v="Yes"/>
    <d v="2023-01-01T00:23:46"/>
    <x v="0"/>
    <x v="0"/>
    <m/>
    <m/>
    <m/>
    <m/>
    <m/>
    <m/>
    <x v="0"/>
    <m/>
    <m/>
    <m/>
    <m/>
    <s v="Company"/>
    <m/>
    <s v="C1574"/>
    <s v="Candidate_574"/>
    <s v="12-16-2022"/>
    <x v="2"/>
    <s v="Job Board"/>
    <n v="6"/>
    <m/>
    <x v="0"/>
    <m/>
    <m/>
    <x v="0"/>
    <x v="0"/>
    <m/>
    <x v="1"/>
    <x v="0"/>
  </r>
  <r>
    <n v="656"/>
    <s v="656 | Program Office"/>
    <x v="4"/>
    <x v="1"/>
    <x v="8"/>
    <x v="10"/>
    <s v="Program Office-Business Partner"/>
    <x v="1"/>
    <d v="2022-12-21T00:23:46"/>
    <x v="130"/>
    <x v="75"/>
    <n v="6"/>
    <d v="2023-01-08T00:23:46"/>
    <s v="No"/>
    <m/>
    <x v="2"/>
    <x v="1"/>
    <m/>
    <m/>
    <m/>
    <m/>
    <m/>
    <m/>
    <x v="0"/>
    <m/>
    <m/>
    <m/>
    <m/>
    <m/>
    <m/>
    <s v="C1575"/>
    <s v="Candidate_575"/>
    <m/>
    <x v="2"/>
    <s v="Job Board"/>
    <n v="3"/>
    <m/>
    <x v="0"/>
    <m/>
    <m/>
    <x v="0"/>
    <x v="0"/>
    <m/>
    <x v="1"/>
    <x v="0"/>
  </r>
  <r>
    <n v="637"/>
    <s v="637 | Program Office"/>
    <x v="4"/>
    <x v="1"/>
    <x v="8"/>
    <x v="10"/>
    <s v="Program Office-Business Partner"/>
    <x v="1"/>
    <d v="2022-09-24T07:15:57"/>
    <x v="131"/>
    <x v="76"/>
    <n v="5"/>
    <d v="2022-10-07T07:15:57"/>
    <s v="Yes"/>
    <d v="2022-10-14T07:15:57"/>
    <x v="3"/>
    <x v="1"/>
    <d v="2022-10-18T07:15:57"/>
    <s v="Accepted"/>
    <d v="2022-10-15T07:15:57"/>
    <d v="2022-10-17T07:15:57"/>
    <d v="2022-10-15T07:15:57"/>
    <d v="2022-10-17T07:15:57"/>
    <x v="1"/>
    <d v="2022-10-19T07:15:57"/>
    <d v="2022-10-21T07:15:57"/>
    <d v="2022-10-22T07:15:57"/>
    <m/>
    <m/>
    <d v="2022-11-09T07:15:57"/>
    <s v="C1576"/>
    <s v="Candidate_576"/>
    <s v="27/09/2022"/>
    <x v="2"/>
    <s v="Job Board"/>
    <n v="3"/>
    <m/>
    <x v="0"/>
    <m/>
    <m/>
    <x v="0"/>
    <x v="0"/>
    <m/>
    <x v="70"/>
    <x v="0"/>
  </r>
  <r>
    <n v="612"/>
    <s v="612 | Program Office"/>
    <x v="4"/>
    <x v="1"/>
    <x v="8"/>
    <x v="10"/>
    <s v="Program Office-Business Partner"/>
    <x v="1"/>
    <d v="2023-08-17T21:15:20"/>
    <x v="322"/>
    <x v="86"/>
    <n v="6"/>
    <d v="2023-09-06T21:15:20"/>
    <s v="Yes"/>
    <d v="2023-09-05T21:15:20"/>
    <x v="0"/>
    <x v="0"/>
    <m/>
    <m/>
    <m/>
    <m/>
    <d v="2023-09-08T21:15:20"/>
    <m/>
    <x v="0"/>
    <m/>
    <m/>
    <m/>
    <m/>
    <s v="Company"/>
    <m/>
    <s v="C1577"/>
    <s v="Candidate_577"/>
    <s v="Aug 25 2023"/>
    <x v="1"/>
    <s v="Linkedin"/>
    <n v="6"/>
    <m/>
    <x v="0"/>
    <m/>
    <m/>
    <x v="0"/>
    <x v="0"/>
    <m/>
    <x v="1"/>
    <x v="0"/>
  </r>
  <r>
    <n v="571"/>
    <s v="571 | Program Office"/>
    <x v="3"/>
    <x v="1"/>
    <x v="8"/>
    <x v="10"/>
    <s v="Program Office-Business Partner"/>
    <x v="1"/>
    <d v="2022-12-17T02:09:30"/>
    <x v="209"/>
    <x v="77"/>
    <n v="3"/>
    <d v="2023-01-10T02:09:30"/>
    <s v="Yes"/>
    <d v="2023-01-05T02:09:30"/>
    <x v="1"/>
    <x v="1"/>
    <d v="2023-01-13T02:09:30"/>
    <s v="Declined"/>
    <m/>
    <m/>
    <d v="2023-01-09T02:09:30"/>
    <m/>
    <x v="0"/>
    <m/>
    <m/>
    <m/>
    <m/>
    <m/>
    <m/>
    <s v="C1578"/>
    <s v="Candidate_578"/>
    <s v="Dec 30 2022"/>
    <x v="1"/>
    <s v="Linkedin"/>
    <n v="3"/>
    <m/>
    <x v="0"/>
    <m/>
    <m/>
    <x v="0"/>
    <x v="0"/>
    <m/>
    <x v="1"/>
    <x v="0"/>
  </r>
  <r>
    <n v="495"/>
    <s v="495 | Program Office"/>
    <x v="5"/>
    <x v="1"/>
    <x v="8"/>
    <x v="10"/>
    <s v="Program Office-Business Partner"/>
    <x v="1"/>
    <d v="2023-09-01T09:52:53"/>
    <x v="47"/>
    <x v="30"/>
    <n v="4"/>
    <d v="2023-09-11T09:52:53"/>
    <s v="No"/>
    <m/>
    <x v="2"/>
    <x v="1"/>
    <m/>
    <m/>
    <m/>
    <m/>
    <m/>
    <m/>
    <x v="0"/>
    <m/>
    <m/>
    <m/>
    <m/>
    <m/>
    <m/>
    <s v="C1579"/>
    <s v="Candidate_579"/>
    <m/>
    <x v="1"/>
    <s v="Linkedin"/>
    <n v="3"/>
    <m/>
    <x v="0"/>
    <m/>
    <m/>
    <x v="0"/>
    <x v="0"/>
    <m/>
    <x v="1"/>
    <x v="0"/>
  </r>
  <r>
    <n v="488"/>
    <s v="488 | Program Office"/>
    <x v="5"/>
    <x v="1"/>
    <x v="8"/>
    <x v="10"/>
    <s v="Program Office-Business Partner"/>
    <x v="1"/>
    <m/>
    <x v="134"/>
    <x v="4"/>
    <n v="0"/>
    <d v="2023-01-30T13:36:04"/>
    <s v="No"/>
    <m/>
    <x v="2"/>
    <x v="1"/>
    <m/>
    <m/>
    <m/>
    <m/>
    <m/>
    <m/>
    <x v="0"/>
    <m/>
    <m/>
    <m/>
    <m/>
    <m/>
    <m/>
    <s v="C1580"/>
    <s v="Candidate_580"/>
    <m/>
    <x v="1"/>
    <s v="Linkedin"/>
    <n v="6"/>
    <m/>
    <x v="0"/>
    <m/>
    <m/>
    <x v="0"/>
    <x v="0"/>
    <m/>
    <x v="0"/>
    <x v="0"/>
  </r>
  <r>
    <n v="473"/>
    <s v="473 | Program Office"/>
    <x v="3"/>
    <x v="1"/>
    <x v="8"/>
    <x v="10"/>
    <s v="Program Office-Business Partner"/>
    <x v="1"/>
    <d v="2022-04-28T01:49:05"/>
    <x v="0"/>
    <x v="32"/>
    <n v="3"/>
    <d v="2022-05-12T01:49:05"/>
    <s v="Yes"/>
    <d v="2022-05-13T01:49:05"/>
    <x v="3"/>
    <x v="1"/>
    <d v="2022-05-20T01:49:05"/>
    <s v="Accepted"/>
    <d v="2022-05-14T01:49:05"/>
    <d v="2022-05-17T01:49:05"/>
    <d v="2022-05-17T01:49:05"/>
    <d v="2022-05-26T01:49:05"/>
    <x v="1"/>
    <d v="2022-05-29T01:49:05"/>
    <d v="2022-05-31T01:49:05"/>
    <d v="2022-06-02T01:49:05"/>
    <m/>
    <m/>
    <d v="2022-06-10T01:49:05"/>
    <s v="C1581"/>
    <s v="Candidate_581"/>
    <s v="03/05/2022"/>
    <x v="2"/>
    <s v="Job Board"/>
    <n v="6"/>
    <m/>
    <x v="0"/>
    <m/>
    <m/>
    <x v="0"/>
    <x v="0"/>
    <m/>
    <x v="0"/>
    <x v="0"/>
  </r>
  <r>
    <n v="383"/>
    <s v="383 | Program Office"/>
    <x v="4"/>
    <x v="1"/>
    <x v="8"/>
    <x v="10"/>
    <s v="Program Office-Business Partner"/>
    <x v="1"/>
    <d v="2022-11-11T09:11:38"/>
    <x v="266"/>
    <x v="33"/>
    <n v="2"/>
    <d v="2022-11-28T09:11:38"/>
    <s v="Yes"/>
    <d v="2022-11-23T09:11:38"/>
    <x v="1"/>
    <x v="1"/>
    <d v="2022-11-28T09:11:38"/>
    <s v="Declined"/>
    <m/>
    <m/>
    <d v="2022-11-25T09:11:38"/>
    <m/>
    <x v="0"/>
    <m/>
    <m/>
    <m/>
    <m/>
    <m/>
    <m/>
    <s v="C1582"/>
    <s v="Candidate_582"/>
    <s v="11-04-2022"/>
    <x v="2"/>
    <s v="Job Board"/>
    <n v="6"/>
    <m/>
    <x v="0"/>
    <m/>
    <m/>
    <x v="0"/>
    <x v="0"/>
    <m/>
    <x v="1"/>
    <x v="0"/>
  </r>
  <r>
    <n v="379"/>
    <s v="379 | Program Office"/>
    <x v="4"/>
    <x v="1"/>
    <x v="8"/>
    <x v="10"/>
    <s v="Program Office-Business Partner"/>
    <x v="1"/>
    <d v="2022-04-10T08:33:40"/>
    <x v="137"/>
    <x v="34"/>
    <n v="9"/>
    <d v="2022-05-10T08:33:40"/>
    <s v="Yes"/>
    <d v="2022-04-27T08:33:40"/>
    <x v="3"/>
    <x v="1"/>
    <d v="2022-04-29T08:33:40"/>
    <s v="Accepted"/>
    <d v="2022-04-28T08:33:40"/>
    <d v="2022-04-29T08:33:40"/>
    <d v="2022-04-28T08:33:40"/>
    <d v="2022-05-03T08:33:40"/>
    <x v="1"/>
    <d v="2022-05-05T08:33:40"/>
    <d v="2022-05-08T08:33:40"/>
    <d v="2022-05-11T08:33:40"/>
    <m/>
    <m/>
    <d v="2022-05-25T08:33:40"/>
    <s v="C1583"/>
    <s v="Candidate_583"/>
    <s v="21/04/2022"/>
    <x v="1"/>
    <s v="Linkedin"/>
    <n v="3"/>
    <m/>
    <x v="0"/>
    <m/>
    <m/>
    <x v="0"/>
    <x v="0"/>
    <m/>
    <x v="71"/>
    <x v="0"/>
  </r>
  <r>
    <n v="373"/>
    <s v="373 | Program Office"/>
    <x v="4"/>
    <x v="1"/>
    <x v="8"/>
    <x v="10"/>
    <s v="Program Office-Business Partner"/>
    <x v="1"/>
    <d v="2022-04-13T08:33:40"/>
    <x v="53"/>
    <x v="34"/>
    <n v="6"/>
    <d v="2022-05-15T08:33:40"/>
    <s v="Yes"/>
    <d v="2022-05-02T08:33:40"/>
    <x v="4"/>
    <x v="1"/>
    <d v="2022-05-06T08:33:40"/>
    <s v="Pending"/>
    <m/>
    <m/>
    <d v="2022-05-05T08:33:40"/>
    <m/>
    <x v="0"/>
    <m/>
    <m/>
    <m/>
    <m/>
    <m/>
    <m/>
    <s v="C1584"/>
    <s v="Candidate_584"/>
    <s v="Apr 16 2022"/>
    <x v="0"/>
    <s v="Referral"/>
    <n v="3"/>
    <m/>
    <x v="0"/>
    <m/>
    <m/>
    <x v="0"/>
    <x v="0"/>
    <m/>
    <x v="1"/>
    <x v="0"/>
  </r>
  <r>
    <n v="313"/>
    <s v="313 | Program Office"/>
    <x v="3"/>
    <x v="1"/>
    <x v="8"/>
    <x v="10"/>
    <s v="Program Office-Business Partner"/>
    <x v="1"/>
    <d v="2023-02-28T14:36:53"/>
    <x v="0"/>
    <x v="35"/>
    <n v="6"/>
    <d v="2023-03-15T14:36:53"/>
    <s v="Yes"/>
    <d v="2023-03-20T14:36:53"/>
    <x v="1"/>
    <x v="1"/>
    <d v="2023-03-23T14:36:53"/>
    <s v="Declined"/>
    <m/>
    <m/>
    <d v="2023-03-21T14:36:53"/>
    <m/>
    <x v="0"/>
    <m/>
    <m/>
    <m/>
    <m/>
    <m/>
    <m/>
    <s v="C1585"/>
    <s v="Candidate_585"/>
    <s v="08/03/2023"/>
    <x v="1"/>
    <s v="Linkedin"/>
    <n v="3"/>
    <m/>
    <x v="0"/>
    <m/>
    <m/>
    <x v="0"/>
    <x v="0"/>
    <m/>
    <x v="0"/>
    <x v="0"/>
  </r>
  <r>
    <n v="190"/>
    <s v="190 | Program Office"/>
    <x v="4"/>
    <x v="1"/>
    <x v="8"/>
    <x v="10"/>
    <s v="Program Office-Business Partner"/>
    <x v="1"/>
    <m/>
    <x v="56"/>
    <x v="36"/>
    <n v="44835.301365740743"/>
    <d v="2022-10-17T07:13:58"/>
    <s v="Yes"/>
    <d v="2022-10-18T07:13:58"/>
    <x v="3"/>
    <x v="1"/>
    <d v="2022-10-22T07:13:58"/>
    <s v="Accepted"/>
    <d v="2022-10-20T07:13:58"/>
    <d v="2022-10-24T07:13:58"/>
    <d v="2022-10-21T07:13:58"/>
    <d v="2022-10-28T07:13:58"/>
    <x v="1"/>
    <d v="2022-10-30T07:13:58"/>
    <d v="2022-11-02T07:13:58"/>
    <d v="2022-11-04T07:13:58"/>
    <m/>
    <m/>
    <d v="2022-11-25T07:13:58"/>
    <s v="C1586"/>
    <s v="Candidate_586"/>
    <s v="10-04-2022"/>
    <x v="2"/>
    <s v="Job Board"/>
    <n v="6"/>
    <m/>
    <x v="0"/>
    <m/>
    <m/>
    <x v="0"/>
    <x v="0"/>
    <m/>
    <x v="0"/>
    <x v="0"/>
  </r>
  <r>
    <n v="186"/>
    <s v="186 | Program Office"/>
    <x v="5"/>
    <x v="1"/>
    <x v="8"/>
    <x v="10"/>
    <s v="Program Office-Business Partner"/>
    <x v="1"/>
    <d v="2022-09-25T07:13:58"/>
    <x v="272"/>
    <x v="36"/>
    <n v="6"/>
    <d v="2022-10-28T07:13:58"/>
    <s v="Yes"/>
    <d v="2022-10-17T07:13:58"/>
    <x v="0"/>
    <x v="0"/>
    <m/>
    <m/>
    <m/>
    <m/>
    <m/>
    <m/>
    <x v="0"/>
    <m/>
    <m/>
    <m/>
    <m/>
    <s v="Company"/>
    <m/>
    <s v="C1587"/>
    <s v="Candidate_587"/>
    <s v="10-04-2022"/>
    <x v="0"/>
    <s v="Referral"/>
    <n v="6"/>
    <m/>
    <x v="0"/>
    <m/>
    <m/>
    <x v="0"/>
    <x v="0"/>
    <m/>
    <x v="1"/>
    <x v="0"/>
  </r>
  <r>
    <n v="183"/>
    <s v="183 | Program Office"/>
    <x v="3"/>
    <x v="1"/>
    <x v="8"/>
    <x v="10"/>
    <s v="Program Office-Business Partner"/>
    <x v="1"/>
    <d v="2022-09-26T07:13:58"/>
    <x v="272"/>
    <x v="36"/>
    <n v="5"/>
    <d v="2022-10-29T07:13:58"/>
    <s v="No"/>
    <m/>
    <x v="2"/>
    <x v="1"/>
    <m/>
    <m/>
    <m/>
    <m/>
    <m/>
    <m/>
    <x v="0"/>
    <m/>
    <m/>
    <m/>
    <m/>
    <m/>
    <m/>
    <s v="C1588"/>
    <s v="Candidate_588"/>
    <m/>
    <x v="2"/>
    <s v="Job Board"/>
    <n v="6"/>
    <m/>
    <x v="0"/>
    <m/>
    <m/>
    <x v="0"/>
    <x v="0"/>
    <m/>
    <x v="1"/>
    <x v="0"/>
  </r>
  <r>
    <n v="134"/>
    <s v="134 | Program Office"/>
    <x v="4"/>
    <x v="1"/>
    <x v="8"/>
    <x v="10"/>
    <s v="Program Office-Business Partner"/>
    <x v="1"/>
    <d v="2022-07-19T19:16:15"/>
    <x v="141"/>
    <x v="4"/>
    <n v="-44761.802951388891"/>
    <d v="2022-08-15T19:16:15"/>
    <s v="No"/>
    <m/>
    <x v="2"/>
    <x v="1"/>
    <m/>
    <m/>
    <m/>
    <m/>
    <m/>
    <m/>
    <x v="0"/>
    <m/>
    <m/>
    <m/>
    <m/>
    <m/>
    <m/>
    <s v="C1589"/>
    <s v="Candidate_589"/>
    <m/>
    <x v="0"/>
    <s v="Referral"/>
    <n v="3"/>
    <m/>
    <x v="0"/>
    <m/>
    <m/>
    <x v="0"/>
    <x v="0"/>
    <m/>
    <x v="0"/>
    <x v="0"/>
  </r>
  <r>
    <n v="69"/>
    <s v="69 | Program Office"/>
    <x v="5"/>
    <x v="1"/>
    <x v="8"/>
    <x v="10"/>
    <s v="Program Office-Business Partner"/>
    <x v="1"/>
    <m/>
    <x v="143"/>
    <x v="78"/>
    <n v="45170.755949074082"/>
    <d v="2023-09-26T18:08:34"/>
    <s v="Yes"/>
    <d v="2023-09-09T18:08:34"/>
    <x v="0"/>
    <x v="2"/>
    <m/>
    <m/>
    <m/>
    <m/>
    <d v="2023-09-12T18:08:34"/>
    <m/>
    <x v="0"/>
    <m/>
    <m/>
    <m/>
    <m/>
    <s v="Company"/>
    <m/>
    <s v="C1590"/>
    <s v="Candidate_590"/>
    <s v="Sep 03 2023"/>
    <x v="0"/>
    <s v="Referral"/>
    <n v="3"/>
    <m/>
    <x v="0"/>
    <m/>
    <m/>
    <x v="0"/>
    <x v="0"/>
    <m/>
    <x v="0"/>
    <x v="0"/>
  </r>
  <r>
    <n v="6"/>
    <s v="6 | Program Office"/>
    <x v="3"/>
    <x v="1"/>
    <x v="8"/>
    <x v="10"/>
    <s v="Program Office-Business Partner"/>
    <x v="1"/>
    <d v="2023-05-30T08:55:46"/>
    <x v="145"/>
    <x v="38"/>
    <n v="7"/>
    <d v="2023-06-19T08:55:46"/>
    <s v="Yes"/>
    <d v="2023-06-15T08:55:46"/>
    <x v="3"/>
    <x v="1"/>
    <d v="2023-06-22T08:55:46"/>
    <s v="Accepted"/>
    <d v="2023-06-17T08:55:46"/>
    <d v="2023-06-19T08:55:46"/>
    <d v="2023-06-18T08:55:46"/>
    <d v="2023-06-26T08:55:46"/>
    <x v="1"/>
    <d v="2023-06-27T08:55:46"/>
    <d v="2023-06-28T08:55:46"/>
    <d v="2023-06-30T08:55:46"/>
    <m/>
    <m/>
    <d v="2023-07-14T08:55:46"/>
    <s v="C1591"/>
    <s v="Candidate_591"/>
    <s v="06-03-2023"/>
    <x v="0"/>
    <s v="Referral"/>
    <n v="6"/>
    <m/>
    <x v="0"/>
    <m/>
    <m/>
    <x v="0"/>
    <x v="0"/>
    <m/>
    <x v="72"/>
    <x v="0"/>
  </r>
  <r>
    <n v="1"/>
    <s v="1 | Program Office"/>
    <x v="3"/>
    <x v="1"/>
    <x v="8"/>
    <x v="10"/>
    <s v="Program Office-Business Partner"/>
    <x v="1"/>
    <d v="2023-05-29T08:55:46"/>
    <x v="59"/>
    <x v="38"/>
    <n v="8"/>
    <d v="2023-06-25T08:55:46"/>
    <s v="Yes"/>
    <d v="2023-06-11T08:55:46"/>
    <x v="0"/>
    <x v="4"/>
    <m/>
    <m/>
    <m/>
    <m/>
    <d v="2023-06-14T08:55:46"/>
    <m/>
    <x v="0"/>
    <m/>
    <m/>
    <m/>
    <m/>
    <s v="Candidate"/>
    <m/>
    <s v="C1592"/>
    <s v="Candidate_592"/>
    <s v="Jun 04 2023"/>
    <x v="2"/>
    <s v="Job Board"/>
    <n v="3"/>
    <m/>
    <x v="0"/>
    <m/>
    <m/>
    <x v="0"/>
    <x v="0"/>
    <m/>
    <x v="1"/>
    <x v="0"/>
  </r>
  <r>
    <n v="2895"/>
    <s v="2895 | Communication and Advocacy"/>
    <x v="6"/>
    <x v="2"/>
    <x v="9"/>
    <x v="11"/>
    <s v="Operations-Controller"/>
    <x v="0"/>
    <d v="2023-02-05T16:21:51"/>
    <x v="323"/>
    <x v="91"/>
    <n v="10"/>
    <d v="2023-04-01T16:21:51"/>
    <s v="Yes"/>
    <d v="2023-02-17T16:21:51"/>
    <x v="3"/>
    <x v="1"/>
    <d v="2023-02-22T16:21:51"/>
    <s v="Accepted"/>
    <d v="2023-02-18T16:21:51"/>
    <d v="2023-02-20T16:21:51"/>
    <d v="2023-02-18T16:21:51"/>
    <d v="2023-02-21T16:21:51"/>
    <x v="1"/>
    <d v="2023-02-24T16:21:51"/>
    <d v="2023-02-26T16:21:51"/>
    <d v="2023-02-28T16:21:51"/>
    <m/>
    <m/>
    <d v="2023-03-10T16:21:51"/>
    <s v="C1593"/>
    <s v="Candidate_593"/>
    <s v="03/02/2023"/>
    <x v="2"/>
    <s v="Job Board"/>
    <n v="6"/>
    <m/>
    <x v="0"/>
    <m/>
    <m/>
    <x v="0"/>
    <x v="0"/>
    <m/>
    <x v="73"/>
    <x v="0"/>
  </r>
  <r>
    <n v="2728"/>
    <s v="2728 | Communication and Advocacy"/>
    <x v="7"/>
    <x v="2"/>
    <x v="9"/>
    <x v="11"/>
    <s v="Operations-Controller"/>
    <x v="0"/>
    <d v="2023-05-19T05:58:29"/>
    <x v="324"/>
    <x v="92"/>
    <n v="6"/>
    <d v="2023-06-09T05:58:29"/>
    <s v="No"/>
    <m/>
    <x v="2"/>
    <x v="1"/>
    <m/>
    <m/>
    <m/>
    <m/>
    <m/>
    <m/>
    <x v="0"/>
    <m/>
    <m/>
    <m/>
    <m/>
    <m/>
    <m/>
    <s v="C1594"/>
    <s v="Candidate_594"/>
    <m/>
    <x v="1"/>
    <s v="Linkedin"/>
    <n v="3"/>
    <m/>
    <x v="0"/>
    <m/>
    <m/>
    <x v="0"/>
    <x v="0"/>
    <m/>
    <x v="1"/>
    <x v="0"/>
  </r>
  <r>
    <n v="2332"/>
    <s v="2332 | Communication and Advocacy"/>
    <x v="6"/>
    <x v="2"/>
    <x v="9"/>
    <x v="11"/>
    <s v="Operations-Controller"/>
    <x v="0"/>
    <d v="2022-05-14T09:15:53"/>
    <x v="325"/>
    <x v="93"/>
    <n v="5"/>
    <d v="2022-06-02T09:15:53"/>
    <s v="No"/>
    <m/>
    <x v="2"/>
    <x v="1"/>
    <m/>
    <m/>
    <m/>
    <m/>
    <m/>
    <m/>
    <x v="0"/>
    <m/>
    <m/>
    <m/>
    <m/>
    <m/>
    <m/>
    <s v="C1595"/>
    <s v="Candidate_595"/>
    <m/>
    <x v="1"/>
    <s v="Linkedin"/>
    <n v="6"/>
    <m/>
    <x v="0"/>
    <m/>
    <m/>
    <x v="0"/>
    <x v="0"/>
    <m/>
    <x v="1"/>
    <x v="0"/>
  </r>
  <r>
    <n v="2255"/>
    <s v="2255 | Communication and Advocacy"/>
    <x v="7"/>
    <x v="2"/>
    <x v="9"/>
    <x v="11"/>
    <s v="Operations-Controller"/>
    <x v="0"/>
    <d v="2022-08-10T16:27:58"/>
    <x v="0"/>
    <x v="94"/>
    <n v="4"/>
    <d v="2022-09-07T16:27:58"/>
    <s v="Yes"/>
    <d v="2022-08-27T16:27:58"/>
    <x v="3"/>
    <x v="1"/>
    <d v="2022-08-31T16:27:58"/>
    <s v="Accepted"/>
    <d v="2022-08-29T16:27:58"/>
    <d v="2022-08-31T16:27:58"/>
    <d v="2022-08-28T16:27:58"/>
    <d v="2022-09-07T16:27:58"/>
    <x v="1"/>
    <d v="2022-09-08T16:27:58"/>
    <d v="2022-09-11T16:27:58"/>
    <d v="2022-09-14T16:27:58"/>
    <m/>
    <m/>
    <d v="2022-10-01T16:27:58"/>
    <s v="C1596"/>
    <s v="Candidate_596"/>
    <s v="19/08/2022"/>
    <x v="1"/>
    <s v="Linkedin"/>
    <n v="6"/>
    <m/>
    <x v="0"/>
    <m/>
    <m/>
    <x v="0"/>
    <x v="0"/>
    <m/>
    <x v="0"/>
    <x v="0"/>
  </r>
  <r>
    <n v="2146"/>
    <s v="2146 | Communication and Advocacy"/>
    <x v="7"/>
    <x v="2"/>
    <x v="9"/>
    <x v="11"/>
    <s v="Operations-Controller"/>
    <x v="0"/>
    <d v="2022-07-05T19:56:24"/>
    <x v="326"/>
    <x v="95"/>
    <n v="7"/>
    <d v="2022-08-01T19:56:24"/>
    <s v="No"/>
    <m/>
    <x v="2"/>
    <x v="1"/>
    <m/>
    <m/>
    <m/>
    <m/>
    <m/>
    <m/>
    <x v="0"/>
    <m/>
    <m/>
    <m/>
    <m/>
    <m/>
    <m/>
    <s v="C1597"/>
    <s v="Candidate_597"/>
    <m/>
    <x v="1"/>
    <s v="Linkedin"/>
    <n v="6"/>
    <m/>
    <x v="0"/>
    <m/>
    <m/>
    <x v="0"/>
    <x v="0"/>
    <m/>
    <x v="1"/>
    <x v="0"/>
  </r>
  <r>
    <n v="1906"/>
    <s v="1906 | Communication and Advocacy"/>
    <x v="6"/>
    <x v="2"/>
    <x v="9"/>
    <x v="11"/>
    <s v="Operations-Controller"/>
    <x v="0"/>
    <d v="2023-03-07T16:28:31"/>
    <x v="327"/>
    <x v="96"/>
    <n v="9"/>
    <d v="2023-03-26T16:28:31"/>
    <s v="No"/>
    <m/>
    <x v="2"/>
    <x v="1"/>
    <m/>
    <m/>
    <m/>
    <m/>
    <m/>
    <m/>
    <x v="0"/>
    <m/>
    <m/>
    <m/>
    <m/>
    <m/>
    <m/>
    <s v="C1598"/>
    <s v="Candidate_598"/>
    <m/>
    <x v="1"/>
    <s v="Linkedin"/>
    <n v="6"/>
    <m/>
    <x v="0"/>
    <m/>
    <m/>
    <x v="0"/>
    <x v="0"/>
    <m/>
    <x v="1"/>
    <x v="0"/>
  </r>
  <r>
    <n v="1898"/>
    <s v="1898 | Communication and Advocacy"/>
    <x v="7"/>
    <x v="2"/>
    <x v="9"/>
    <x v="11"/>
    <s v="Operations-Controller"/>
    <x v="0"/>
    <d v="2022-01-30T06:40:23"/>
    <x v="328"/>
    <x v="97"/>
    <n v="8"/>
    <d v="2022-02-14T06:40:23"/>
    <s v="Yes"/>
    <d v="2022-02-12T06:40:23"/>
    <x v="3"/>
    <x v="1"/>
    <d v="2022-02-19T06:40:23"/>
    <s v="Accepted"/>
    <d v="2022-02-13T06:40:23"/>
    <d v="2022-02-16T06:40:23"/>
    <d v="2022-02-16T06:40:23"/>
    <d v="2022-02-21T06:40:23"/>
    <x v="1"/>
    <d v="2022-02-23T06:40:23"/>
    <d v="2022-02-25T06:40:23"/>
    <d v="2022-02-27T06:40:23"/>
    <m/>
    <m/>
    <d v="2022-03-20T06:40:23"/>
    <s v="C1599"/>
    <s v="Candidate_599"/>
    <s v="Jan 24 2022"/>
    <x v="1"/>
    <s v="Linkedin"/>
    <n v="3"/>
    <m/>
    <x v="0"/>
    <m/>
    <m/>
    <x v="0"/>
    <x v="0"/>
    <m/>
    <x v="74"/>
    <x v="0"/>
  </r>
  <r>
    <n v="1892"/>
    <s v="1892 | Communication and Advocacy"/>
    <x v="7"/>
    <x v="2"/>
    <x v="9"/>
    <x v="11"/>
    <s v="Operations-Controller"/>
    <x v="0"/>
    <d v="2022-02-01T06:40:23"/>
    <x v="0"/>
    <x v="97"/>
    <n v="6"/>
    <d v="2022-03-09T06:40:23"/>
    <s v="No"/>
    <m/>
    <x v="2"/>
    <x v="1"/>
    <m/>
    <m/>
    <m/>
    <m/>
    <m/>
    <m/>
    <x v="0"/>
    <m/>
    <m/>
    <m/>
    <m/>
    <m/>
    <m/>
    <s v="C1600"/>
    <s v="Candidate_600"/>
    <m/>
    <x v="1"/>
    <s v="Linkedin"/>
    <n v="6"/>
    <m/>
    <x v="0"/>
    <m/>
    <m/>
    <x v="0"/>
    <x v="0"/>
    <m/>
    <x v="0"/>
    <x v="0"/>
  </r>
  <r>
    <n v="1773"/>
    <s v="1773 | Communication and Advocacy"/>
    <x v="6"/>
    <x v="2"/>
    <x v="9"/>
    <x v="11"/>
    <s v="Operations-Controller"/>
    <x v="0"/>
    <d v="2022-05-31T19:49:14"/>
    <x v="329"/>
    <x v="98"/>
    <n v="6"/>
    <d v="2022-06-12T19:49:14"/>
    <s v="No"/>
    <m/>
    <x v="2"/>
    <x v="1"/>
    <m/>
    <m/>
    <m/>
    <m/>
    <m/>
    <m/>
    <x v="0"/>
    <m/>
    <m/>
    <m/>
    <m/>
    <m/>
    <m/>
    <s v="C1601"/>
    <s v="Candidate_601"/>
    <m/>
    <x v="0"/>
    <s v="Referral"/>
    <n v="6"/>
    <m/>
    <x v="0"/>
    <m/>
    <m/>
    <x v="0"/>
    <x v="0"/>
    <m/>
    <x v="1"/>
    <x v="0"/>
  </r>
  <r>
    <n v="1646"/>
    <s v="1646 | Communication and Advocacy"/>
    <x v="8"/>
    <x v="2"/>
    <x v="9"/>
    <x v="11"/>
    <s v="Operations-Controller"/>
    <x v="0"/>
    <d v="2022-12-19T15:52:13"/>
    <x v="330"/>
    <x v="99"/>
    <n v="6"/>
    <d v="2023-01-24T15:52:13"/>
    <s v="Yes"/>
    <d v="2022-12-30T15:52:13"/>
    <x v="3"/>
    <x v="1"/>
    <d v="2023-01-04T15:52:13"/>
    <s v="Accepted"/>
    <d v="2023-01-01T15:52:13"/>
    <d v="2023-01-05T15:52:13"/>
    <d v="2023-01-01T15:52:13"/>
    <d v="2023-01-06T15:52:13"/>
    <x v="1"/>
    <d v="2023-01-07T15:52:13"/>
    <d v="2023-01-09T15:52:13"/>
    <d v="2023-01-12T15:52:13"/>
    <m/>
    <m/>
    <d v="2023-01-24T15:52:13"/>
    <s v="C1602"/>
    <s v="Candidate_602"/>
    <s v="24/12/2022"/>
    <x v="1"/>
    <s v="Linkedin"/>
    <n v="3"/>
    <m/>
    <x v="0"/>
    <m/>
    <m/>
    <x v="0"/>
    <x v="0"/>
    <m/>
    <x v="75"/>
    <x v="0"/>
  </r>
  <r>
    <n v="1577"/>
    <s v="1577 | Communication and Advocacy"/>
    <x v="6"/>
    <x v="2"/>
    <x v="9"/>
    <x v="11"/>
    <s v="Operations-Controller"/>
    <x v="0"/>
    <d v="2022-09-01T17:35:38"/>
    <x v="331"/>
    <x v="100"/>
    <n v="8"/>
    <d v="2022-10-03T17:35:38"/>
    <s v="No"/>
    <m/>
    <x v="2"/>
    <x v="1"/>
    <m/>
    <m/>
    <m/>
    <m/>
    <m/>
    <m/>
    <x v="0"/>
    <m/>
    <m/>
    <m/>
    <m/>
    <m/>
    <m/>
    <s v="C1603"/>
    <s v="Candidate_603"/>
    <m/>
    <x v="0"/>
    <s v="Referral"/>
    <n v="6"/>
    <m/>
    <x v="0"/>
    <m/>
    <m/>
    <x v="0"/>
    <x v="0"/>
    <m/>
    <x v="1"/>
    <x v="0"/>
  </r>
  <r>
    <n v="1507"/>
    <s v="1507 | Communication and Advocacy"/>
    <x v="6"/>
    <x v="2"/>
    <x v="9"/>
    <x v="11"/>
    <s v="Operations-Controller"/>
    <x v="0"/>
    <d v="2022-07-14T08:18:33"/>
    <x v="332"/>
    <x v="101"/>
    <n v="6"/>
    <d v="2022-08-04T08:18:33"/>
    <s v="No"/>
    <m/>
    <x v="2"/>
    <x v="1"/>
    <m/>
    <m/>
    <m/>
    <m/>
    <m/>
    <m/>
    <x v="0"/>
    <m/>
    <m/>
    <m/>
    <m/>
    <m/>
    <m/>
    <s v="C1604"/>
    <s v="Candidate_604"/>
    <m/>
    <x v="2"/>
    <s v="Job Board"/>
    <n v="3"/>
    <m/>
    <x v="0"/>
    <m/>
    <m/>
    <x v="0"/>
    <x v="0"/>
    <m/>
    <x v="1"/>
    <x v="0"/>
  </r>
  <r>
    <n v="1423"/>
    <s v="1423 | Communication and Advocacy"/>
    <x v="7"/>
    <x v="2"/>
    <x v="9"/>
    <x v="11"/>
    <s v="Operations-Controller"/>
    <x v="0"/>
    <d v="2022-04-11T02:42:56"/>
    <x v="333"/>
    <x v="102"/>
    <n v="4"/>
    <d v="2022-04-24T02:42:56"/>
    <s v="No"/>
    <m/>
    <x v="2"/>
    <x v="1"/>
    <m/>
    <m/>
    <m/>
    <m/>
    <m/>
    <m/>
    <x v="0"/>
    <m/>
    <m/>
    <m/>
    <m/>
    <m/>
    <m/>
    <s v="C1605"/>
    <s v="Candidate_605"/>
    <m/>
    <x v="0"/>
    <s v="Referral"/>
    <n v="3"/>
    <m/>
    <x v="0"/>
    <m/>
    <m/>
    <x v="0"/>
    <x v="0"/>
    <m/>
    <x v="1"/>
    <x v="0"/>
  </r>
  <r>
    <n v="1272"/>
    <s v="1272 | Communication and Advocacy"/>
    <x v="8"/>
    <x v="2"/>
    <x v="9"/>
    <x v="11"/>
    <s v="Operations-Controller"/>
    <x v="0"/>
    <d v="2022-05-31T02:35:25"/>
    <x v="334"/>
    <x v="103"/>
    <n v="5"/>
    <d v="2022-07-04T02:35:25"/>
    <s v="Yes"/>
    <d v="2022-06-07T02:35:25"/>
    <x v="3"/>
    <x v="1"/>
    <d v="2022-06-12T02:35:25"/>
    <s v="Accepted"/>
    <d v="2022-06-08T02:35:25"/>
    <d v="2022-06-10T02:35:25"/>
    <d v="2022-06-09T02:35:25"/>
    <d v="2022-06-16T02:35:25"/>
    <x v="1"/>
    <d v="2022-06-17T02:35:25"/>
    <d v="2022-06-19T02:35:25"/>
    <d v="2022-06-21T02:35:25"/>
    <m/>
    <m/>
    <d v="2022-07-08T02:35:25"/>
    <s v="C1606"/>
    <s v="Candidate_606"/>
    <s v="01/06/2022"/>
    <x v="1"/>
    <s v="Linkedin"/>
    <n v="3"/>
    <m/>
    <x v="0"/>
    <m/>
    <m/>
    <x v="0"/>
    <x v="0"/>
    <m/>
    <x v="76"/>
    <x v="0"/>
  </r>
  <r>
    <n v="1216"/>
    <s v="1216 | Communication and Advocacy"/>
    <x v="8"/>
    <x v="2"/>
    <x v="9"/>
    <x v="11"/>
    <s v="Operations-Controller"/>
    <x v="0"/>
    <d v="2023-07-22T00:06:13"/>
    <x v="335"/>
    <x v="104"/>
    <n v="9"/>
    <d v="2023-08-07T00:06:13"/>
    <s v="No"/>
    <m/>
    <x v="2"/>
    <x v="1"/>
    <m/>
    <m/>
    <m/>
    <m/>
    <m/>
    <m/>
    <x v="0"/>
    <m/>
    <m/>
    <m/>
    <m/>
    <m/>
    <m/>
    <s v="C1607"/>
    <s v="Candidate_607"/>
    <m/>
    <x v="1"/>
    <s v="Linkedin"/>
    <n v="6"/>
    <m/>
    <x v="0"/>
    <m/>
    <m/>
    <x v="0"/>
    <x v="0"/>
    <m/>
    <x v="1"/>
    <x v="0"/>
  </r>
  <r>
    <n v="1186"/>
    <s v="1186 | Communication and Advocacy"/>
    <x v="8"/>
    <x v="2"/>
    <x v="9"/>
    <x v="10"/>
    <s v="Operations-Business Partner"/>
    <x v="0"/>
    <d v="2023-05-26T18:50:13"/>
    <x v="336"/>
    <x v="105"/>
    <n v="8"/>
    <d v="2023-06-24T18:50:13"/>
    <s v="No"/>
    <m/>
    <x v="2"/>
    <x v="1"/>
    <m/>
    <m/>
    <m/>
    <m/>
    <m/>
    <m/>
    <x v="0"/>
    <m/>
    <m/>
    <m/>
    <m/>
    <m/>
    <m/>
    <s v="C1608"/>
    <s v="Candidate_608"/>
    <m/>
    <x v="1"/>
    <s v="Linkedin"/>
    <n v="3"/>
    <m/>
    <x v="0"/>
    <m/>
    <m/>
    <x v="0"/>
    <x v="0"/>
    <m/>
    <x v="1"/>
    <x v="0"/>
  </r>
  <r>
    <n v="1129"/>
    <s v="1129 | Communication and Advocacy"/>
    <x v="8"/>
    <x v="2"/>
    <x v="9"/>
    <x v="10"/>
    <s v="Operations-Business Partner"/>
    <x v="0"/>
    <d v="2023-06-18T13:28:38"/>
    <x v="337"/>
    <x v="106"/>
    <n v="7"/>
    <d v="2023-07-01T13:28:38"/>
    <s v="No"/>
    <m/>
    <x v="2"/>
    <x v="1"/>
    <m/>
    <m/>
    <m/>
    <m/>
    <m/>
    <m/>
    <x v="0"/>
    <m/>
    <m/>
    <m/>
    <m/>
    <m/>
    <m/>
    <s v="C1609"/>
    <s v="Candidate_609"/>
    <m/>
    <x v="0"/>
    <s v="Referral"/>
    <n v="6"/>
    <m/>
    <x v="0"/>
    <m/>
    <m/>
    <x v="0"/>
    <x v="0"/>
    <m/>
    <x v="1"/>
    <x v="0"/>
  </r>
  <r>
    <n v="1082"/>
    <s v="1082 | Communication and Advocacy"/>
    <x v="7"/>
    <x v="2"/>
    <x v="9"/>
    <x v="10"/>
    <s v="Operations-Business Partner"/>
    <x v="0"/>
    <m/>
    <x v="338"/>
    <x v="107"/>
    <n v="44899.976215277777"/>
    <d v="2022-12-23T23:25:45"/>
    <s v="Yes"/>
    <d v="2022-12-11T23:25:45"/>
    <x v="3"/>
    <x v="1"/>
    <d v="2022-12-15T23:25:45"/>
    <s v="Accepted"/>
    <d v="2022-12-12T23:25:45"/>
    <d v="2022-12-13T23:25:45"/>
    <d v="2022-12-14T23:25:45"/>
    <d v="2022-12-15T23:25:45"/>
    <x v="1"/>
    <d v="2022-12-17T23:25:45"/>
    <d v="2022-12-19T23:25:45"/>
    <d v="2022-12-21T23:25:45"/>
    <m/>
    <m/>
    <d v="2023-01-11T23:25:45"/>
    <s v="C1610"/>
    <s v="Candidate_610"/>
    <s v="25/11/2022"/>
    <x v="2"/>
    <s v="Job Board"/>
    <n v="6"/>
    <m/>
    <x v="0"/>
    <m/>
    <m/>
    <x v="0"/>
    <x v="0"/>
    <m/>
    <x v="0"/>
    <x v="0"/>
  </r>
  <r>
    <n v="1046"/>
    <s v="1046 | Communication and Advocacy"/>
    <x v="7"/>
    <x v="2"/>
    <x v="9"/>
    <x v="10"/>
    <s v="Operations-Business Partner"/>
    <x v="0"/>
    <d v="2022-11-22T23:03:14"/>
    <x v="339"/>
    <x v="108"/>
    <n v="4"/>
    <d v="2022-12-15T23:03:14"/>
    <s v="No"/>
    <m/>
    <x v="2"/>
    <x v="1"/>
    <m/>
    <m/>
    <m/>
    <m/>
    <m/>
    <m/>
    <x v="0"/>
    <m/>
    <m/>
    <m/>
    <m/>
    <m/>
    <m/>
    <s v="C1611"/>
    <s v="Candidate_611"/>
    <m/>
    <x v="0"/>
    <s v="Referral"/>
    <n v="6"/>
    <m/>
    <x v="0"/>
    <m/>
    <m/>
    <x v="0"/>
    <x v="0"/>
    <m/>
    <x v="1"/>
    <x v="0"/>
  </r>
  <r>
    <n v="940"/>
    <s v="940 | Communication and Advocacy"/>
    <x v="8"/>
    <x v="2"/>
    <x v="9"/>
    <x v="10"/>
    <s v="Operations-Business Partner"/>
    <x v="0"/>
    <d v="2023-03-13T16:55:04"/>
    <x v="340"/>
    <x v="109"/>
    <n v="7"/>
    <d v="2023-04-18T16:55:04"/>
    <s v="Yes"/>
    <d v="2023-04-01T16:55:04"/>
    <x v="1"/>
    <x v="1"/>
    <d v="2023-04-04T16:55:04"/>
    <s v="Declined"/>
    <m/>
    <m/>
    <d v="2023-04-03T16:55:04"/>
    <m/>
    <x v="0"/>
    <m/>
    <m/>
    <m/>
    <m/>
    <m/>
    <m/>
    <s v="C1612"/>
    <s v="Candidate_612"/>
    <s v="Mar 24 2023"/>
    <x v="1"/>
    <s v="Linkedin"/>
    <n v="6"/>
    <m/>
    <x v="0"/>
    <m/>
    <m/>
    <x v="0"/>
    <x v="0"/>
    <m/>
    <x v="1"/>
    <x v="0"/>
  </r>
  <r>
    <n v="848"/>
    <s v="848 | Communication and Advocacy"/>
    <x v="6"/>
    <x v="2"/>
    <x v="9"/>
    <x v="10"/>
    <s v="Operations-Business Partner"/>
    <x v="0"/>
    <d v="2022-08-05T20:03:55"/>
    <x v="341"/>
    <x v="110"/>
    <n v="5"/>
    <d v="2022-08-16T20:03:55"/>
    <s v="Yes"/>
    <d v="2022-08-22T20:03:55"/>
    <x v="0"/>
    <x v="5"/>
    <m/>
    <m/>
    <m/>
    <m/>
    <m/>
    <m/>
    <x v="0"/>
    <m/>
    <m/>
    <m/>
    <m/>
    <s v="Candidate"/>
    <m/>
    <s v="C1613"/>
    <s v="Candidate_613"/>
    <s v="08-05-2022"/>
    <x v="2"/>
    <s v="Job Board"/>
    <n v="3"/>
    <m/>
    <x v="0"/>
    <m/>
    <m/>
    <x v="0"/>
    <x v="0"/>
    <m/>
    <x v="1"/>
    <x v="0"/>
  </r>
  <r>
    <n v="819"/>
    <s v="819 | Communication and Advocacy"/>
    <x v="6"/>
    <x v="2"/>
    <x v="9"/>
    <x v="10"/>
    <s v="Operations-Business Partner"/>
    <x v="0"/>
    <m/>
    <x v="342"/>
    <x v="111"/>
    <n v="44676.895150462973"/>
    <d v="2022-05-23T21:29:01"/>
    <s v="Yes"/>
    <d v="2022-05-09T21:29:01"/>
    <x v="1"/>
    <x v="1"/>
    <d v="2022-05-16T21:29:01"/>
    <s v="Declined"/>
    <m/>
    <m/>
    <d v="2022-05-13T21:29:01"/>
    <m/>
    <x v="0"/>
    <m/>
    <m/>
    <m/>
    <m/>
    <m/>
    <m/>
    <s v="C1614"/>
    <s v="Candidate_614"/>
    <s v="28/04/2022"/>
    <x v="0"/>
    <s v="Referral"/>
    <n v="6"/>
    <m/>
    <x v="0"/>
    <m/>
    <m/>
    <x v="0"/>
    <x v="0"/>
    <m/>
    <x v="0"/>
    <x v="0"/>
  </r>
  <r>
    <n v="814"/>
    <s v="814 | Communication and Advocacy"/>
    <x v="8"/>
    <x v="2"/>
    <x v="9"/>
    <x v="10"/>
    <s v="Operations-Business Partner"/>
    <x v="0"/>
    <d v="2022-04-20T21:29:01"/>
    <x v="343"/>
    <x v="111"/>
    <n v="5"/>
    <d v="2022-05-10T21:29:01"/>
    <s v="Yes"/>
    <d v="2022-05-05T21:29:01"/>
    <x v="1"/>
    <x v="1"/>
    <d v="2022-05-10T21:29:01"/>
    <s v="Declined"/>
    <m/>
    <m/>
    <d v="2022-05-09T21:29:01"/>
    <m/>
    <x v="0"/>
    <m/>
    <m/>
    <m/>
    <m/>
    <m/>
    <m/>
    <s v="C1615"/>
    <s v="Candidate_615"/>
    <s v="04-21-2022"/>
    <x v="1"/>
    <s v="Linkedin"/>
    <n v="3"/>
    <m/>
    <x v="0"/>
    <m/>
    <m/>
    <x v="0"/>
    <x v="0"/>
    <m/>
    <x v="1"/>
    <x v="0"/>
  </r>
  <r>
    <n v="790"/>
    <s v="790 | Communication and Advocacy"/>
    <x v="7"/>
    <x v="2"/>
    <x v="9"/>
    <x v="10"/>
    <s v="Operations-Business Partner"/>
    <x v="0"/>
    <d v="2023-01-07T23:55:35"/>
    <x v="344"/>
    <x v="112"/>
    <n v="8"/>
    <d v="2023-02-06T23:55:35"/>
    <s v="Yes"/>
    <d v="2023-01-28T23:55:35"/>
    <x v="0"/>
    <x v="0"/>
    <m/>
    <m/>
    <m/>
    <m/>
    <d v="2023-01-29T23:55:35"/>
    <m/>
    <x v="0"/>
    <m/>
    <m/>
    <m/>
    <m/>
    <s v="Company"/>
    <m/>
    <s v="C1616"/>
    <s v="Candidate_616"/>
    <s v="Jan 09 2023"/>
    <x v="1"/>
    <s v="Linkedin"/>
    <n v="3"/>
    <m/>
    <x v="0"/>
    <m/>
    <m/>
    <x v="0"/>
    <x v="0"/>
    <m/>
    <x v="1"/>
    <x v="0"/>
  </r>
  <r>
    <n v="736"/>
    <s v="736 | Communication and Advocacy"/>
    <x v="7"/>
    <x v="2"/>
    <x v="9"/>
    <x v="10"/>
    <s v="Operations-Business Partner"/>
    <x v="0"/>
    <m/>
    <x v="345"/>
    <x v="113"/>
    <n v="45047.644548611112"/>
    <d v="2023-05-20T15:28:09"/>
    <s v="No"/>
    <m/>
    <x v="2"/>
    <x v="1"/>
    <m/>
    <m/>
    <m/>
    <m/>
    <m/>
    <m/>
    <x v="0"/>
    <m/>
    <m/>
    <m/>
    <m/>
    <m/>
    <m/>
    <s v="C1617"/>
    <s v="Candidate_617"/>
    <m/>
    <x v="0"/>
    <s v="Referral"/>
    <n v="6"/>
    <m/>
    <x v="0"/>
    <m/>
    <m/>
    <x v="0"/>
    <x v="0"/>
    <m/>
    <x v="0"/>
    <x v="0"/>
  </r>
  <r>
    <n v="733"/>
    <s v="733 | Communication and Advocacy"/>
    <x v="7"/>
    <x v="2"/>
    <x v="9"/>
    <x v="10"/>
    <s v="Operations-Business Partner"/>
    <x v="0"/>
    <d v="2023-04-22T15:28:09"/>
    <x v="346"/>
    <x v="113"/>
    <n v="9"/>
    <d v="2023-05-13T15:28:09"/>
    <s v="Yes"/>
    <d v="2023-05-14T15:28:09"/>
    <x v="3"/>
    <x v="1"/>
    <d v="2023-05-19T15:28:09"/>
    <s v="Accepted"/>
    <d v="2023-05-15T15:28:09"/>
    <d v="2023-05-16T15:28:09"/>
    <d v="2023-05-18T15:28:09"/>
    <d v="2023-05-27T15:28:09"/>
    <x v="1"/>
    <d v="2023-05-30T15:28:09"/>
    <d v="2023-05-31T15:28:09"/>
    <d v="2023-06-02T15:28:09"/>
    <m/>
    <m/>
    <d v="2023-06-17T15:28:09"/>
    <s v="C1618"/>
    <s v="Candidate_618"/>
    <s v="05-08-2023"/>
    <x v="2"/>
    <s v="Job Board"/>
    <n v="3"/>
    <m/>
    <x v="0"/>
    <m/>
    <m/>
    <x v="0"/>
    <x v="0"/>
    <m/>
    <x v="77"/>
    <x v="0"/>
  </r>
  <r>
    <n v="681"/>
    <s v="681 | Communication and Advocacy"/>
    <x v="7"/>
    <x v="2"/>
    <x v="9"/>
    <x v="10"/>
    <s v="Operations-Business Partner"/>
    <x v="0"/>
    <d v="2023-06-23T02:46:21"/>
    <x v="347"/>
    <x v="4"/>
    <n v="-45100.115520833337"/>
    <d v="2023-07-18T02:46:21"/>
    <s v="Yes"/>
    <d v="2023-07-14T02:46:21"/>
    <x v="0"/>
    <x v="2"/>
    <m/>
    <m/>
    <m/>
    <m/>
    <m/>
    <m/>
    <x v="0"/>
    <m/>
    <m/>
    <m/>
    <m/>
    <s v="Company"/>
    <m/>
    <s v="C1619"/>
    <s v="Candidate_619"/>
    <s v="06-30-2023"/>
    <x v="0"/>
    <s v="Referral"/>
    <n v="3"/>
    <m/>
    <x v="0"/>
    <m/>
    <m/>
    <x v="0"/>
    <x v="0"/>
    <m/>
    <x v="0"/>
    <x v="0"/>
  </r>
  <r>
    <n v="568"/>
    <s v="568 | Communication and Advocacy"/>
    <x v="8"/>
    <x v="2"/>
    <x v="9"/>
    <x v="10"/>
    <s v="Operations-Business Partner"/>
    <x v="0"/>
    <d v="2022-10-30T23:10:12"/>
    <x v="0"/>
    <x v="114"/>
    <n v="9"/>
    <d v="2022-11-17T23:10:12"/>
    <s v="Yes"/>
    <d v="2022-11-24T23:10:12"/>
    <x v="0"/>
    <x v="0"/>
    <m/>
    <m/>
    <m/>
    <m/>
    <d v="2022-11-27T23:10:12"/>
    <m/>
    <x v="0"/>
    <m/>
    <m/>
    <m/>
    <m/>
    <s v="Company"/>
    <m/>
    <s v="C1620"/>
    <s v="Candidate_620"/>
    <s v="12/11/2022"/>
    <x v="0"/>
    <s v="Referral"/>
    <n v="6"/>
    <m/>
    <x v="0"/>
    <m/>
    <m/>
    <x v="0"/>
    <x v="0"/>
    <m/>
    <x v="0"/>
    <x v="0"/>
  </r>
  <r>
    <n v="565"/>
    <s v="565 | Communication and Advocacy"/>
    <x v="6"/>
    <x v="2"/>
    <x v="9"/>
    <x v="10"/>
    <s v="Operations-Business Partner"/>
    <x v="0"/>
    <d v="2022-11-04T23:10:12"/>
    <x v="348"/>
    <x v="114"/>
    <n v="4"/>
    <d v="2022-11-25T23:10:12"/>
    <s v="Yes"/>
    <d v="2022-11-17T23:10:12"/>
    <x v="3"/>
    <x v="1"/>
    <d v="2022-11-24T23:10:12"/>
    <s v="Accepted"/>
    <d v="2022-11-18T23:10:12"/>
    <d v="2022-11-20T23:10:12"/>
    <d v="2022-11-20T23:10:12"/>
    <d v="2022-11-25T23:10:12"/>
    <x v="1"/>
    <d v="2022-11-26T23:10:12"/>
    <d v="2022-11-27T23:10:12"/>
    <d v="2022-11-30T23:10:12"/>
    <m/>
    <m/>
    <d v="2022-12-11T23:10:12"/>
    <s v="C1621"/>
    <s v="Candidate_621"/>
    <s v="10/11/2022"/>
    <x v="2"/>
    <s v="Job Board"/>
    <n v="3"/>
    <m/>
    <x v="0"/>
    <m/>
    <m/>
    <x v="0"/>
    <x v="0"/>
    <m/>
    <x v="78"/>
    <x v="0"/>
  </r>
  <r>
    <n v="438"/>
    <s v="438 | Communication and Advocacy"/>
    <x v="7"/>
    <x v="2"/>
    <x v="9"/>
    <x v="10"/>
    <s v="Operations-Business Partner"/>
    <x v="0"/>
    <d v="2022-06-24T07:34:28"/>
    <x v="349"/>
    <x v="115"/>
    <n v="5"/>
    <d v="2022-07-10T07:34:28"/>
    <s v="Yes"/>
    <d v="2022-07-03T07:34:28"/>
    <x v="1"/>
    <x v="1"/>
    <d v="2022-07-08T07:34:28"/>
    <s v="Declined"/>
    <m/>
    <m/>
    <d v="2022-07-04T07:34:28"/>
    <m/>
    <x v="0"/>
    <m/>
    <m/>
    <m/>
    <m/>
    <m/>
    <m/>
    <s v="C1622"/>
    <s v="Candidate_622"/>
    <s v="Jun 28 2022"/>
    <x v="1"/>
    <s v="Linkedin"/>
    <n v="3"/>
    <m/>
    <x v="0"/>
    <m/>
    <m/>
    <x v="0"/>
    <x v="0"/>
    <m/>
    <x v="1"/>
    <x v="0"/>
  </r>
  <r>
    <n v="435"/>
    <s v="435 | Communication and Advocacy"/>
    <x v="7"/>
    <x v="2"/>
    <x v="9"/>
    <x v="10"/>
    <s v="Operations-Business Partner"/>
    <x v="0"/>
    <d v="2022-06-25T07:34:28"/>
    <x v="350"/>
    <x v="115"/>
    <n v="4"/>
    <d v="2022-07-09T07:34:28"/>
    <s v="Yes"/>
    <d v="2022-07-03T07:34:28"/>
    <x v="1"/>
    <x v="1"/>
    <d v="2022-07-10T07:34:28"/>
    <s v="Declined"/>
    <m/>
    <m/>
    <d v="2022-07-06T07:34:28"/>
    <m/>
    <x v="0"/>
    <m/>
    <m/>
    <m/>
    <m/>
    <m/>
    <m/>
    <s v="C1623"/>
    <s v="Candidate_623"/>
    <s v="Jun 16 2022"/>
    <x v="2"/>
    <s v="Job Board"/>
    <n v="3"/>
    <m/>
    <x v="0"/>
    <m/>
    <m/>
    <x v="0"/>
    <x v="0"/>
    <m/>
    <x v="1"/>
    <x v="0"/>
  </r>
  <r>
    <n v="370"/>
    <s v="370 | Communication and Advocacy"/>
    <x v="8"/>
    <x v="2"/>
    <x v="9"/>
    <x v="10"/>
    <s v="Operations-Business Partner"/>
    <x v="0"/>
    <d v="2022-05-03T18:02:17"/>
    <x v="351"/>
    <x v="116"/>
    <n v="5"/>
    <d v="2022-05-22T18:02:17"/>
    <s v="Yes"/>
    <d v="2022-05-12T18:02:17"/>
    <x v="0"/>
    <x v="2"/>
    <m/>
    <m/>
    <m/>
    <m/>
    <d v="2022-05-15T18:02:17"/>
    <m/>
    <x v="0"/>
    <m/>
    <m/>
    <m/>
    <m/>
    <s v="Candidate"/>
    <m/>
    <s v="C1624"/>
    <s v="Candidate_624"/>
    <s v="05-06-2022"/>
    <x v="1"/>
    <s v="Linkedin"/>
    <n v="3"/>
    <m/>
    <x v="0"/>
    <m/>
    <m/>
    <x v="0"/>
    <x v="0"/>
    <m/>
    <x v="1"/>
    <x v="0"/>
  </r>
  <r>
    <n v="361"/>
    <s v="361 | Communication and Advocacy"/>
    <x v="6"/>
    <x v="2"/>
    <x v="9"/>
    <x v="10"/>
    <s v="Operations-Business Partner"/>
    <x v="0"/>
    <d v="2022-05-01T18:02:17"/>
    <x v="352"/>
    <x v="116"/>
    <n v="7"/>
    <d v="2022-05-31T18:02:17"/>
    <s v="No"/>
    <m/>
    <x v="2"/>
    <x v="1"/>
    <m/>
    <m/>
    <m/>
    <m/>
    <m/>
    <m/>
    <x v="0"/>
    <m/>
    <m/>
    <m/>
    <m/>
    <m/>
    <m/>
    <s v="C1625"/>
    <s v="Candidate_625"/>
    <m/>
    <x v="2"/>
    <s v="Job Board"/>
    <n v="6"/>
    <m/>
    <x v="0"/>
    <m/>
    <m/>
    <x v="0"/>
    <x v="0"/>
    <m/>
    <x v="1"/>
    <x v="0"/>
  </r>
  <r>
    <n v="359"/>
    <s v="359 | Communication and Advocacy"/>
    <x v="6"/>
    <x v="2"/>
    <x v="9"/>
    <x v="10"/>
    <s v="Operations-Business Partner"/>
    <x v="0"/>
    <d v="2022-10-07T04:14:17"/>
    <x v="353"/>
    <x v="4"/>
    <n v="-44841.176585648151"/>
    <d v="2022-10-15T04:14:17"/>
    <s v="Yes"/>
    <d v="2022-10-18T04:14:17"/>
    <x v="1"/>
    <x v="1"/>
    <d v="2022-10-20T04:14:17"/>
    <s v="Declined"/>
    <m/>
    <m/>
    <d v="2022-10-19T04:14:17"/>
    <m/>
    <x v="0"/>
    <m/>
    <m/>
    <m/>
    <m/>
    <m/>
    <m/>
    <s v="C1626"/>
    <s v="Candidate_626"/>
    <s v="10-13-2022"/>
    <x v="2"/>
    <s v="Job Board"/>
    <n v="3"/>
    <m/>
    <x v="0"/>
    <m/>
    <m/>
    <x v="0"/>
    <x v="0"/>
    <m/>
    <x v="0"/>
    <x v="0"/>
  </r>
  <r>
    <n v="2892"/>
    <s v="2892 | Communication and Advocacy"/>
    <x v="8"/>
    <x v="2"/>
    <x v="10"/>
    <x v="12"/>
    <s v="Operations-Lead"/>
    <x v="2"/>
    <d v="2023-02-05T16:21:51"/>
    <x v="354"/>
    <x v="117"/>
    <n v="8"/>
    <d v="2023-03-30T16:21:51"/>
    <s v="No"/>
    <m/>
    <x v="2"/>
    <x v="1"/>
    <m/>
    <m/>
    <m/>
    <m/>
    <m/>
    <m/>
    <x v="0"/>
    <m/>
    <m/>
    <m/>
    <m/>
    <m/>
    <m/>
    <s v="C1627"/>
    <s v="Candidate_627"/>
    <m/>
    <x v="2"/>
    <s v="Job Board"/>
    <n v="6"/>
    <m/>
    <x v="0"/>
    <m/>
    <m/>
    <x v="0"/>
    <x v="0"/>
    <m/>
    <x v="1"/>
    <x v="0"/>
  </r>
  <r>
    <n v="2663"/>
    <s v="2663 | Communication and Advocacy"/>
    <x v="6"/>
    <x v="2"/>
    <x v="10"/>
    <x v="12"/>
    <s v="Operations-Lead"/>
    <x v="2"/>
    <d v="2022-12-04T21:41:18"/>
    <x v="355"/>
    <x v="118"/>
    <n v="4"/>
    <d v="2022-12-18T21:41:18"/>
    <s v="No"/>
    <m/>
    <x v="2"/>
    <x v="1"/>
    <m/>
    <m/>
    <m/>
    <m/>
    <m/>
    <m/>
    <x v="0"/>
    <m/>
    <m/>
    <m/>
    <m/>
    <m/>
    <m/>
    <s v="C1628"/>
    <s v="Candidate_628"/>
    <m/>
    <x v="1"/>
    <s v="Linkedin"/>
    <n v="3"/>
    <m/>
    <x v="0"/>
    <m/>
    <m/>
    <x v="0"/>
    <x v="0"/>
    <m/>
    <x v="1"/>
    <x v="0"/>
  </r>
  <r>
    <n v="1901"/>
    <s v="1901 | Communication and Advocacy"/>
    <x v="6"/>
    <x v="2"/>
    <x v="10"/>
    <x v="12"/>
    <s v="Operations-Lead"/>
    <x v="2"/>
    <d v="2023-03-12T16:28:31"/>
    <x v="356"/>
    <x v="96"/>
    <n v="4"/>
    <d v="2023-04-10T16:28:31"/>
    <s v="No"/>
    <m/>
    <x v="2"/>
    <x v="1"/>
    <m/>
    <m/>
    <m/>
    <m/>
    <m/>
    <m/>
    <x v="0"/>
    <m/>
    <m/>
    <m/>
    <m/>
    <m/>
    <m/>
    <s v="C1629"/>
    <s v="Candidate_629"/>
    <m/>
    <x v="0"/>
    <s v="Referral"/>
    <n v="3"/>
    <m/>
    <x v="0"/>
    <m/>
    <m/>
    <x v="0"/>
    <x v="0"/>
    <m/>
    <x v="1"/>
    <x v="0"/>
  </r>
  <r>
    <n v="1539"/>
    <s v="1539 | Communication and Advocacy"/>
    <x v="6"/>
    <x v="2"/>
    <x v="10"/>
    <x v="12"/>
    <s v="Operations-Lead"/>
    <x v="2"/>
    <d v="2023-05-06T13:06:51"/>
    <x v="357"/>
    <x v="119"/>
    <n v="8"/>
    <d v="2023-06-08T13:06:51"/>
    <s v="No"/>
    <m/>
    <x v="2"/>
    <x v="1"/>
    <m/>
    <m/>
    <m/>
    <m/>
    <m/>
    <m/>
    <x v="0"/>
    <m/>
    <m/>
    <m/>
    <m/>
    <m/>
    <m/>
    <s v="C1630"/>
    <s v="Candidate_630"/>
    <m/>
    <x v="2"/>
    <s v="Job Board"/>
    <n v="3"/>
    <m/>
    <x v="0"/>
    <m/>
    <m/>
    <x v="0"/>
    <x v="0"/>
    <m/>
    <x v="1"/>
    <x v="0"/>
  </r>
  <r>
    <n v="1454"/>
    <s v="1454 | Communication and Advocacy"/>
    <x v="8"/>
    <x v="2"/>
    <x v="10"/>
    <x v="12"/>
    <s v="Operations-Lead"/>
    <x v="2"/>
    <d v="2023-04-10T13:44:16"/>
    <x v="358"/>
    <x v="120"/>
    <n v="3"/>
    <d v="2023-05-01T13:44:16"/>
    <s v="No"/>
    <m/>
    <x v="2"/>
    <x v="1"/>
    <m/>
    <m/>
    <m/>
    <m/>
    <m/>
    <m/>
    <x v="0"/>
    <m/>
    <m/>
    <m/>
    <m/>
    <m/>
    <m/>
    <s v="C1631"/>
    <s v="Candidate_631"/>
    <m/>
    <x v="0"/>
    <s v="Referral"/>
    <n v="6"/>
    <m/>
    <x v="0"/>
    <m/>
    <m/>
    <x v="0"/>
    <x v="0"/>
    <m/>
    <x v="1"/>
    <x v="0"/>
  </r>
  <r>
    <n v="1130"/>
    <s v="1130 | Communication and Advocacy"/>
    <x v="7"/>
    <x v="2"/>
    <x v="10"/>
    <x v="12"/>
    <s v="Operations-Lead"/>
    <x v="2"/>
    <d v="2023-06-17T13:28:38"/>
    <x v="359"/>
    <x v="106"/>
    <n v="8"/>
    <d v="2023-06-30T13:28:38"/>
    <s v="No"/>
    <m/>
    <x v="2"/>
    <x v="1"/>
    <m/>
    <m/>
    <m/>
    <m/>
    <m/>
    <m/>
    <x v="0"/>
    <m/>
    <m/>
    <m/>
    <m/>
    <m/>
    <m/>
    <s v="C1632"/>
    <s v="Candidate_632"/>
    <m/>
    <x v="1"/>
    <s v="Linkedin"/>
    <n v="3"/>
    <m/>
    <x v="0"/>
    <m/>
    <m/>
    <x v="0"/>
    <x v="0"/>
    <m/>
    <x v="1"/>
    <x v="0"/>
  </r>
  <r>
    <n v="1123"/>
    <s v="1123 | Communication and Advocacy"/>
    <x v="8"/>
    <x v="2"/>
    <x v="10"/>
    <x v="12"/>
    <s v="Operations-Lead"/>
    <x v="2"/>
    <d v="2023-06-17T13:28:38"/>
    <x v="360"/>
    <x v="106"/>
    <n v="8"/>
    <d v="2023-07-06T13:28:38"/>
    <s v="No"/>
    <m/>
    <x v="2"/>
    <x v="1"/>
    <m/>
    <m/>
    <m/>
    <m/>
    <m/>
    <m/>
    <x v="0"/>
    <m/>
    <m/>
    <m/>
    <m/>
    <m/>
    <m/>
    <s v="C1633"/>
    <s v="Candidate_633"/>
    <m/>
    <x v="0"/>
    <s v="Referral"/>
    <n v="3"/>
    <m/>
    <x v="0"/>
    <m/>
    <m/>
    <x v="0"/>
    <x v="0"/>
    <m/>
    <x v="1"/>
    <x v="0"/>
  </r>
  <r>
    <n v="937"/>
    <s v="937 | Communication and Advocacy"/>
    <x v="8"/>
    <x v="2"/>
    <x v="10"/>
    <x v="12"/>
    <s v="Operations-Lead"/>
    <x v="2"/>
    <d v="2023-03-17T16:55:04"/>
    <x v="361"/>
    <x v="109"/>
    <n v="3"/>
    <d v="2023-04-03T16:55:04"/>
    <s v="Yes"/>
    <d v="2023-04-06T16:55:04"/>
    <x v="0"/>
    <x v="2"/>
    <m/>
    <m/>
    <m/>
    <m/>
    <d v="2023-04-09T16:55:04"/>
    <m/>
    <x v="0"/>
    <m/>
    <m/>
    <m/>
    <m/>
    <s v="Candidate"/>
    <m/>
    <s v="C1634"/>
    <s v="Candidate_634"/>
    <s v="29/03/2023"/>
    <x v="0"/>
    <s v="Referral"/>
    <n v="3"/>
    <m/>
    <x v="0"/>
    <m/>
    <m/>
    <x v="0"/>
    <x v="0"/>
    <m/>
    <x v="1"/>
    <x v="0"/>
  </r>
  <r>
    <n v="935"/>
    <s v="935 | Communication and Advocacy"/>
    <x v="7"/>
    <x v="2"/>
    <x v="10"/>
    <x v="12"/>
    <s v="Operations-Lead"/>
    <x v="2"/>
    <d v="2023-03-14T16:55:04"/>
    <x v="362"/>
    <x v="4"/>
    <n v="-44999.704907407409"/>
    <d v="2023-04-01T16:55:04"/>
    <s v="Yes"/>
    <d v="2023-04-02T16:55:04"/>
    <x v="1"/>
    <x v="1"/>
    <d v="2023-04-06T16:55:04"/>
    <s v="Declined"/>
    <m/>
    <m/>
    <d v="2023-04-05T16:55:04"/>
    <m/>
    <x v="0"/>
    <m/>
    <m/>
    <m/>
    <m/>
    <m/>
    <m/>
    <s v="C1635"/>
    <s v="Candidate_635"/>
    <s v="03-25-2023"/>
    <x v="0"/>
    <s v="Referral"/>
    <n v="6"/>
    <m/>
    <x v="0"/>
    <m/>
    <m/>
    <x v="0"/>
    <x v="0"/>
    <m/>
    <x v="0"/>
    <x v="0"/>
  </r>
  <r>
    <n v="934"/>
    <s v="934 | Communication and Advocacy"/>
    <x v="8"/>
    <x v="2"/>
    <x v="10"/>
    <x v="12"/>
    <s v="Operations-Lead"/>
    <x v="2"/>
    <d v="2023-03-16T16:55:04"/>
    <x v="363"/>
    <x v="109"/>
    <n v="4"/>
    <d v="2023-04-10T16:55:04"/>
    <s v="Yes"/>
    <d v="2023-03-26T16:55:04"/>
    <x v="0"/>
    <x v="4"/>
    <m/>
    <m/>
    <m/>
    <m/>
    <m/>
    <m/>
    <x v="0"/>
    <m/>
    <m/>
    <m/>
    <m/>
    <s v="Company"/>
    <m/>
    <s v="C1636"/>
    <s v="Candidate_636"/>
    <s v="03-14-2023"/>
    <x v="2"/>
    <s v="Job Board"/>
    <n v="3"/>
    <m/>
    <x v="0"/>
    <m/>
    <m/>
    <x v="0"/>
    <x v="0"/>
    <m/>
    <x v="1"/>
    <x v="0"/>
  </r>
  <r>
    <n v="932"/>
    <s v="932 | Communication and Advocacy"/>
    <x v="8"/>
    <x v="2"/>
    <x v="10"/>
    <x v="12"/>
    <s v="Operations-Lead"/>
    <x v="2"/>
    <d v="2023-03-11T16:55:04"/>
    <x v="364"/>
    <x v="109"/>
    <n v="9"/>
    <d v="2023-04-11T16:55:04"/>
    <s v="Yes"/>
    <d v="2023-03-27T16:55:04"/>
    <x v="0"/>
    <x v="3"/>
    <m/>
    <m/>
    <m/>
    <m/>
    <m/>
    <m/>
    <x v="0"/>
    <m/>
    <m/>
    <m/>
    <m/>
    <s v="Company"/>
    <m/>
    <s v="C1637"/>
    <s v="Candidate_637"/>
    <s v="Mar 08 2023"/>
    <x v="2"/>
    <s v="Job Board"/>
    <n v="3"/>
    <m/>
    <x v="0"/>
    <m/>
    <m/>
    <x v="0"/>
    <x v="0"/>
    <m/>
    <x v="1"/>
    <x v="0"/>
  </r>
  <r>
    <n v="845"/>
    <s v="845 | Communication and Advocacy"/>
    <x v="7"/>
    <x v="2"/>
    <x v="10"/>
    <x v="12"/>
    <s v="Operations-Lead"/>
    <x v="2"/>
    <d v="2022-08-03T20:03:55"/>
    <x v="365"/>
    <x v="4"/>
    <n v="-44776.836053240739"/>
    <d v="2022-08-17T20:03:55"/>
    <s v="Yes"/>
    <d v="2022-08-15T20:03:55"/>
    <x v="1"/>
    <x v="1"/>
    <d v="2022-08-19T20:03:55"/>
    <s v="Declined"/>
    <m/>
    <m/>
    <d v="2022-08-16T20:03:55"/>
    <m/>
    <x v="0"/>
    <m/>
    <m/>
    <m/>
    <m/>
    <m/>
    <m/>
    <s v="C1638"/>
    <s v="Candidate_638"/>
    <s v="05/08/2022"/>
    <x v="2"/>
    <s v="Job Board"/>
    <n v="6"/>
    <m/>
    <x v="0"/>
    <m/>
    <m/>
    <x v="0"/>
    <x v="0"/>
    <m/>
    <x v="0"/>
    <x v="0"/>
  </r>
  <r>
    <n v="844"/>
    <s v="844 | Communication and Advocacy"/>
    <x v="6"/>
    <x v="2"/>
    <x v="10"/>
    <x v="12"/>
    <s v="Operations-Lead"/>
    <x v="2"/>
    <d v="2022-08-02T20:03:55"/>
    <x v="366"/>
    <x v="110"/>
    <n v="8"/>
    <d v="2022-09-03T20:03:55"/>
    <s v="Yes"/>
    <d v="2022-08-20T20:03:55"/>
    <x v="0"/>
    <x v="0"/>
    <m/>
    <m/>
    <m/>
    <m/>
    <m/>
    <m/>
    <x v="0"/>
    <m/>
    <m/>
    <m/>
    <m/>
    <s v="Candidate"/>
    <m/>
    <s v="C1639"/>
    <s v="Candidate_639"/>
    <s v="02/08/2022"/>
    <x v="2"/>
    <s v="Job Board"/>
    <n v="6"/>
    <m/>
    <x v="0"/>
    <m/>
    <m/>
    <x v="0"/>
    <x v="0"/>
    <m/>
    <x v="1"/>
    <x v="0"/>
  </r>
  <r>
    <n v="842"/>
    <s v="842 | Communication and Advocacy"/>
    <x v="7"/>
    <x v="2"/>
    <x v="10"/>
    <x v="12"/>
    <s v="Operations-Lead"/>
    <x v="2"/>
    <d v="2022-08-03T20:03:55"/>
    <x v="341"/>
    <x v="110"/>
    <n v="7"/>
    <d v="2022-08-19T20:03:55"/>
    <s v="Yes"/>
    <d v="2022-08-16T20:03:55"/>
    <x v="0"/>
    <x v="2"/>
    <m/>
    <m/>
    <m/>
    <m/>
    <d v="2022-08-20T20:03:55"/>
    <m/>
    <x v="0"/>
    <m/>
    <m/>
    <m/>
    <m/>
    <s v="Candidate"/>
    <m/>
    <s v="C1640"/>
    <s v="Candidate_640"/>
    <s v="08-07-2022"/>
    <x v="1"/>
    <s v="Linkedin"/>
    <n v="6"/>
    <m/>
    <x v="0"/>
    <m/>
    <m/>
    <x v="0"/>
    <x v="0"/>
    <m/>
    <x v="1"/>
    <x v="0"/>
  </r>
  <r>
    <n v="785"/>
    <s v="785 | Communication and Advocacy"/>
    <x v="7"/>
    <x v="2"/>
    <x v="10"/>
    <x v="12"/>
    <s v="Operations-Lead"/>
    <x v="2"/>
    <d v="2023-01-11T23:55:35"/>
    <x v="0"/>
    <x v="112"/>
    <n v="4"/>
    <d v="2023-01-24T23:55:35"/>
    <s v="Yes"/>
    <d v="2023-02-02T23:55:35"/>
    <x v="0"/>
    <x v="4"/>
    <m/>
    <m/>
    <m/>
    <m/>
    <d v="2023-02-04T23:55:35"/>
    <m/>
    <x v="0"/>
    <m/>
    <m/>
    <m/>
    <m/>
    <s v="Candidate"/>
    <m/>
    <s v="C1641"/>
    <s v="Candidate_641"/>
    <s v="01-22-2023"/>
    <x v="0"/>
    <s v="Referral"/>
    <n v="6"/>
    <m/>
    <x v="0"/>
    <m/>
    <m/>
    <x v="0"/>
    <x v="0"/>
    <m/>
    <x v="0"/>
    <x v="0"/>
  </r>
  <r>
    <n v="740"/>
    <s v="740 | Communication and Advocacy"/>
    <x v="8"/>
    <x v="2"/>
    <x v="10"/>
    <x v="12"/>
    <s v="Operations-Lead"/>
    <x v="2"/>
    <d v="2023-04-25T15:28:09"/>
    <x v="367"/>
    <x v="113"/>
    <n v="6"/>
    <d v="2023-05-09T15:28:09"/>
    <s v="No"/>
    <m/>
    <x v="2"/>
    <x v="1"/>
    <m/>
    <m/>
    <m/>
    <m/>
    <m/>
    <m/>
    <x v="0"/>
    <m/>
    <m/>
    <m/>
    <m/>
    <m/>
    <m/>
    <s v="C1642"/>
    <s v="Candidate_642"/>
    <m/>
    <x v="2"/>
    <s v="Job Board"/>
    <n v="3"/>
    <m/>
    <x v="0"/>
    <m/>
    <m/>
    <x v="0"/>
    <x v="0"/>
    <m/>
    <x v="1"/>
    <x v="0"/>
  </r>
  <r>
    <n v="686"/>
    <s v="686 | Communication and Advocacy"/>
    <x v="8"/>
    <x v="2"/>
    <x v="10"/>
    <x v="2"/>
    <s v="Operations-Director"/>
    <x v="2"/>
    <d v="2023-06-25T02:46:21"/>
    <x v="368"/>
    <x v="121"/>
    <n v="4"/>
    <d v="2023-07-09T02:46:21"/>
    <s v="Yes"/>
    <d v="2023-07-03T02:46:21"/>
    <x v="0"/>
    <x v="5"/>
    <m/>
    <m/>
    <m/>
    <m/>
    <m/>
    <m/>
    <x v="0"/>
    <m/>
    <m/>
    <m/>
    <m/>
    <s v="Candidate"/>
    <m/>
    <s v="C1643"/>
    <s v="Candidate_643"/>
    <s v="06-23-2023"/>
    <x v="0"/>
    <s v="Referral"/>
    <n v="6"/>
    <m/>
    <x v="0"/>
    <m/>
    <m/>
    <x v="0"/>
    <x v="0"/>
    <m/>
    <x v="1"/>
    <x v="0"/>
  </r>
  <r>
    <n v="562"/>
    <s v="562 | Communication and Advocacy"/>
    <x v="7"/>
    <x v="2"/>
    <x v="10"/>
    <x v="2"/>
    <s v="Operations-Director"/>
    <x v="2"/>
    <d v="2022-11-01T23:10:12"/>
    <x v="0"/>
    <x v="114"/>
    <n v="7"/>
    <d v="2022-11-25T23:10:12"/>
    <s v="Yes"/>
    <d v="2022-11-21T23:10:12"/>
    <x v="1"/>
    <x v="1"/>
    <d v="2022-11-25T23:10:12"/>
    <s v="Declined"/>
    <m/>
    <m/>
    <d v="2022-11-24T23:10:12"/>
    <m/>
    <x v="0"/>
    <m/>
    <m/>
    <m/>
    <m/>
    <m/>
    <m/>
    <s v="C1644"/>
    <s v="Candidate_644"/>
    <s v="11-14-2022"/>
    <x v="2"/>
    <s v="Job Board"/>
    <n v="3"/>
    <m/>
    <x v="0"/>
    <m/>
    <m/>
    <x v="0"/>
    <x v="0"/>
    <m/>
    <x v="0"/>
    <x v="0"/>
  </r>
  <r>
    <n v="561"/>
    <s v="561 | Communication and Advocacy"/>
    <x v="8"/>
    <x v="2"/>
    <x v="10"/>
    <x v="2"/>
    <s v="Operations-Director"/>
    <x v="2"/>
    <d v="2022-10-31T23:10:12"/>
    <x v="369"/>
    <x v="4"/>
    <n v="-44865.965416666673"/>
    <d v="2022-11-27T23:10:12"/>
    <s v="Yes"/>
    <d v="2022-11-21T23:10:12"/>
    <x v="0"/>
    <x v="0"/>
    <m/>
    <m/>
    <m/>
    <m/>
    <d v="2022-11-24T23:10:12"/>
    <m/>
    <x v="0"/>
    <m/>
    <m/>
    <m/>
    <m/>
    <s v="Company"/>
    <m/>
    <s v="C1645"/>
    <s v="Candidate_645"/>
    <s v="11-11-2022"/>
    <x v="1"/>
    <s v="Linkedin"/>
    <n v="3"/>
    <m/>
    <x v="0"/>
    <m/>
    <m/>
    <x v="0"/>
    <x v="0"/>
    <m/>
    <x v="0"/>
    <x v="0"/>
  </r>
  <r>
    <n v="431"/>
    <s v="431 | Communication and Advocacy"/>
    <x v="7"/>
    <x v="2"/>
    <x v="10"/>
    <x v="2"/>
    <s v="Operations-Director"/>
    <x v="2"/>
    <m/>
    <x v="370"/>
    <x v="115"/>
    <n v="44741.315601851849"/>
    <d v="2022-07-19T07:34:28"/>
    <s v="No"/>
    <m/>
    <x v="2"/>
    <x v="1"/>
    <m/>
    <m/>
    <m/>
    <m/>
    <m/>
    <m/>
    <x v="0"/>
    <m/>
    <m/>
    <m/>
    <m/>
    <m/>
    <m/>
    <s v="C1646"/>
    <s v="Candidate_646"/>
    <m/>
    <x v="2"/>
    <s v="Job Board"/>
    <n v="3"/>
    <m/>
    <x v="0"/>
    <m/>
    <m/>
    <x v="0"/>
    <x v="0"/>
    <m/>
    <x v="0"/>
    <x v="0"/>
  </r>
  <r>
    <n v="328"/>
    <s v="328 | Communication and Advocacy"/>
    <x v="6"/>
    <x v="2"/>
    <x v="10"/>
    <x v="2"/>
    <s v="Operations-Director"/>
    <x v="2"/>
    <d v="2022-01-19T22:01:29"/>
    <x v="371"/>
    <x v="122"/>
    <n v="2"/>
    <d v="2022-02-17T22:01:29"/>
    <s v="Yes"/>
    <d v="2022-01-31T22:01:29"/>
    <x v="1"/>
    <x v="1"/>
    <d v="2022-02-05T22:01:29"/>
    <s v="Declined"/>
    <m/>
    <m/>
    <d v="2022-02-04T22:01:29"/>
    <m/>
    <x v="0"/>
    <m/>
    <m/>
    <m/>
    <m/>
    <m/>
    <m/>
    <s v="C1647"/>
    <s v="Candidate_647"/>
    <s v="01-15-2022"/>
    <x v="0"/>
    <s v="Referral"/>
    <n v="6"/>
    <m/>
    <x v="0"/>
    <m/>
    <m/>
    <x v="0"/>
    <x v="0"/>
    <m/>
    <x v="1"/>
    <x v="0"/>
  </r>
  <r>
    <n v="322"/>
    <s v="322 | Communication and Advocacy"/>
    <x v="7"/>
    <x v="2"/>
    <x v="10"/>
    <x v="2"/>
    <s v="Operations-Director"/>
    <x v="2"/>
    <d v="2022-01-11T22:01:29"/>
    <x v="372"/>
    <x v="122"/>
    <n v="10"/>
    <d v="2022-01-26T22:01:29"/>
    <s v="Yes"/>
    <d v="2022-01-25T22:01:29"/>
    <x v="0"/>
    <x v="4"/>
    <m/>
    <m/>
    <m/>
    <m/>
    <d v="2022-01-29T22:01:29"/>
    <m/>
    <x v="0"/>
    <m/>
    <m/>
    <m/>
    <m/>
    <s v="Candidate"/>
    <m/>
    <s v="C1648"/>
    <s v="Candidate_648"/>
    <s v="18/01/2022"/>
    <x v="1"/>
    <s v="Linkedin"/>
    <n v="3"/>
    <m/>
    <x v="0"/>
    <m/>
    <m/>
    <x v="0"/>
    <x v="0"/>
    <m/>
    <x v="1"/>
    <x v="0"/>
  </r>
  <r>
    <n v="321"/>
    <s v="321 | Communication and Advocacy"/>
    <x v="7"/>
    <x v="2"/>
    <x v="10"/>
    <x v="2"/>
    <s v="Operations-Director"/>
    <x v="2"/>
    <d v="2022-01-17T22:01:29"/>
    <x v="0"/>
    <x v="122"/>
    <n v="4"/>
    <d v="2022-02-20T22:01:29"/>
    <s v="No"/>
    <m/>
    <x v="2"/>
    <x v="1"/>
    <m/>
    <m/>
    <m/>
    <m/>
    <m/>
    <m/>
    <x v="0"/>
    <m/>
    <m/>
    <m/>
    <m/>
    <m/>
    <m/>
    <s v="C1649"/>
    <s v="Candidate_649"/>
    <m/>
    <x v="1"/>
    <s v="Linkedin"/>
    <n v="3"/>
    <m/>
    <x v="0"/>
    <m/>
    <m/>
    <x v="0"/>
    <x v="0"/>
    <m/>
    <x v="0"/>
    <x v="0"/>
  </r>
  <r>
    <n v="291"/>
    <s v="291 | Communication and Advocacy"/>
    <x v="7"/>
    <x v="2"/>
    <x v="10"/>
    <x v="2"/>
    <s v="Operations-Director"/>
    <x v="2"/>
    <d v="2023-07-22T17:45:37"/>
    <x v="373"/>
    <x v="123"/>
    <n v="9"/>
    <d v="2023-08-11T17:45:37"/>
    <s v="Yes"/>
    <d v="2023-08-04T17:45:37"/>
    <x v="3"/>
    <x v="1"/>
    <d v="2023-08-09T17:45:37"/>
    <s v="Accepted"/>
    <d v="2023-08-06T17:45:37"/>
    <d v="2023-08-08T17:45:37"/>
    <d v="2023-08-06T17:45:37"/>
    <d v="2023-08-09T17:45:37"/>
    <x v="1"/>
    <d v="2023-08-13T17:45:37"/>
    <d v="2023-08-14T17:45:37"/>
    <d v="2023-08-17T17:45:37"/>
    <m/>
    <m/>
    <d v="2023-08-30T17:45:37"/>
    <s v="C1650"/>
    <s v="Candidate_650"/>
    <s v="07-30-2023"/>
    <x v="0"/>
    <s v="Referral"/>
    <n v="3"/>
    <m/>
    <x v="0"/>
    <m/>
    <m/>
    <x v="0"/>
    <x v="0"/>
    <m/>
    <x v="79"/>
    <x v="0"/>
  </r>
  <r>
    <n v="276"/>
    <s v="276 | Communication and Advocacy"/>
    <x v="7"/>
    <x v="2"/>
    <x v="10"/>
    <x v="2"/>
    <s v="Operations-Director"/>
    <x v="2"/>
    <d v="2022-10-14T14:13:05"/>
    <x v="374"/>
    <x v="124"/>
    <n v="4"/>
    <d v="2022-10-25T14:13:05"/>
    <s v="No"/>
    <m/>
    <x v="2"/>
    <x v="1"/>
    <m/>
    <m/>
    <m/>
    <m/>
    <m/>
    <m/>
    <x v="0"/>
    <m/>
    <m/>
    <m/>
    <m/>
    <m/>
    <m/>
    <s v="C1651"/>
    <s v="Candidate_651"/>
    <m/>
    <x v="0"/>
    <s v="Referral"/>
    <n v="6"/>
    <m/>
    <x v="0"/>
    <m/>
    <m/>
    <x v="0"/>
    <x v="0"/>
    <m/>
    <x v="1"/>
    <x v="0"/>
  </r>
  <r>
    <n v="275"/>
    <s v="275 | Communication and Advocacy"/>
    <x v="6"/>
    <x v="2"/>
    <x v="10"/>
    <x v="3"/>
    <s v="Operations-Head of Department"/>
    <x v="2"/>
    <d v="2022-10-14T14:13:05"/>
    <x v="375"/>
    <x v="124"/>
    <n v="4"/>
    <d v="2022-11-17T14:13:05"/>
    <s v="Yes"/>
    <d v="2022-11-02T14:13:05"/>
    <x v="3"/>
    <x v="1"/>
    <d v="2022-11-05T14:13:05"/>
    <s v="Accepted"/>
    <d v="2022-11-04T14:13:05"/>
    <d v="2022-11-07T14:13:05"/>
    <d v="2022-11-03T14:13:05"/>
    <d v="2022-11-13T14:13:05"/>
    <x v="1"/>
    <d v="2022-11-15T14:13:05"/>
    <d v="2022-11-18T14:13:05"/>
    <d v="2022-11-21T14:13:05"/>
    <m/>
    <m/>
    <d v="2022-12-06T14:13:05"/>
    <s v="C1652"/>
    <s v="Candidate_652"/>
    <s v="28/10/2022"/>
    <x v="1"/>
    <s v="Linkedin"/>
    <n v="6"/>
    <m/>
    <x v="0"/>
    <m/>
    <m/>
    <x v="0"/>
    <x v="0"/>
    <m/>
    <x v="80"/>
    <x v="0"/>
  </r>
  <r>
    <n v="250"/>
    <s v="250 | Communication and Advocacy"/>
    <x v="6"/>
    <x v="2"/>
    <x v="10"/>
    <x v="3"/>
    <s v="Operations-Head of Department"/>
    <x v="2"/>
    <d v="2022-04-24T08:21:52"/>
    <x v="376"/>
    <x v="125"/>
    <n v="7"/>
    <d v="2022-05-14T08:21:52"/>
    <s v="Yes"/>
    <d v="2022-05-14T08:21:52"/>
    <x v="1"/>
    <x v="1"/>
    <d v="2022-05-21T08:21:52"/>
    <s v="Declined"/>
    <m/>
    <m/>
    <d v="2022-05-18T08:21:52"/>
    <m/>
    <x v="0"/>
    <m/>
    <m/>
    <m/>
    <m/>
    <m/>
    <m/>
    <s v="C1653"/>
    <s v="Candidate_653"/>
    <s v="May 05 2022"/>
    <x v="0"/>
    <s v="Referral"/>
    <n v="6"/>
    <m/>
    <x v="0"/>
    <m/>
    <m/>
    <x v="0"/>
    <x v="0"/>
    <m/>
    <x v="1"/>
    <x v="0"/>
  </r>
  <r>
    <n v="248"/>
    <s v="248 | Communication and Advocacy"/>
    <x v="7"/>
    <x v="2"/>
    <x v="10"/>
    <x v="3"/>
    <s v="Operations-Head of Department"/>
    <x v="2"/>
    <d v="2022-04-29T08:21:52"/>
    <x v="0"/>
    <x v="125"/>
    <n v="2"/>
    <d v="2022-05-14T08:21:52"/>
    <s v="Yes"/>
    <d v="2022-05-05T08:21:52"/>
    <x v="0"/>
    <x v="4"/>
    <m/>
    <m/>
    <m/>
    <m/>
    <m/>
    <m/>
    <x v="0"/>
    <m/>
    <m/>
    <m/>
    <m/>
    <s v="Candidate"/>
    <m/>
    <s v="C1654"/>
    <s v="Candidate_654"/>
    <s v="Apr 21 2022"/>
    <x v="0"/>
    <s v="Referral"/>
    <n v="3"/>
    <m/>
    <x v="0"/>
    <m/>
    <m/>
    <x v="0"/>
    <x v="0"/>
    <m/>
    <x v="0"/>
    <x v="0"/>
  </r>
  <r>
    <n v="246"/>
    <s v="246 | Communication and Advocacy"/>
    <x v="7"/>
    <x v="2"/>
    <x v="10"/>
    <x v="3"/>
    <s v="Operations-Head of Department"/>
    <x v="2"/>
    <m/>
    <x v="377"/>
    <x v="125"/>
    <n v="44682.34851851852"/>
    <d v="2022-05-09T08:21:52"/>
    <s v="Yes"/>
    <d v="2022-05-05T08:21:52"/>
    <x v="0"/>
    <x v="5"/>
    <m/>
    <m/>
    <m/>
    <m/>
    <d v="2022-05-09T08:21:52"/>
    <m/>
    <x v="0"/>
    <m/>
    <m/>
    <m/>
    <m/>
    <s v="Candidate"/>
    <m/>
    <s v="C1655"/>
    <s v="Candidate_655"/>
    <s v="04-23-2022"/>
    <x v="1"/>
    <s v="Linkedin"/>
    <n v="3"/>
    <m/>
    <x v="0"/>
    <m/>
    <m/>
    <x v="0"/>
    <x v="0"/>
    <m/>
    <x v="0"/>
    <x v="0"/>
  </r>
  <r>
    <n v="245"/>
    <s v="245 | Communication and Advocacy"/>
    <x v="7"/>
    <x v="2"/>
    <x v="10"/>
    <x v="3"/>
    <s v="Operations-Head of Department"/>
    <x v="2"/>
    <d v="2022-04-25T08:21:52"/>
    <x v="0"/>
    <x v="125"/>
    <n v="6"/>
    <d v="2022-11-07T08:21:52"/>
    <s v="No"/>
    <m/>
    <x v="2"/>
    <x v="1"/>
    <m/>
    <m/>
    <m/>
    <m/>
    <m/>
    <m/>
    <x v="0"/>
    <m/>
    <m/>
    <m/>
    <m/>
    <m/>
    <m/>
    <s v="C1656"/>
    <s v="Candidate_656"/>
    <m/>
    <x v="0"/>
    <s v="Referral"/>
    <n v="6"/>
    <m/>
    <x v="0"/>
    <m/>
    <m/>
    <x v="0"/>
    <x v="0"/>
    <m/>
    <x v="0"/>
    <x v="0"/>
  </r>
  <r>
    <n v="243"/>
    <s v="243 | Communication and Advocacy"/>
    <x v="7"/>
    <x v="2"/>
    <x v="10"/>
    <x v="3"/>
    <s v="Operations-Head of Department"/>
    <x v="2"/>
    <d v="2022-04-24T08:21:52"/>
    <x v="378"/>
    <x v="125"/>
    <n v="7"/>
    <d v="2022-11-07T08:21:52"/>
    <s v="Yes"/>
    <d v="2022-05-10T08:21:52"/>
    <x v="0"/>
    <x v="4"/>
    <m/>
    <m/>
    <m/>
    <m/>
    <m/>
    <m/>
    <x v="0"/>
    <m/>
    <m/>
    <m/>
    <m/>
    <s v="Company"/>
    <m/>
    <s v="C1657"/>
    <s v="Candidate_657"/>
    <s v="04/05/2022"/>
    <x v="0"/>
    <s v="Referral"/>
    <n v="6"/>
    <m/>
    <x v="0"/>
    <m/>
    <m/>
    <x v="0"/>
    <x v="0"/>
    <m/>
    <x v="1"/>
    <x v="0"/>
  </r>
  <r>
    <n v="198"/>
    <s v="198 | Communication and Advocacy"/>
    <x v="8"/>
    <x v="2"/>
    <x v="10"/>
    <x v="3"/>
    <s v="Operations-Head of Department"/>
    <x v="2"/>
    <d v="2022-06-13T18:28:45"/>
    <x v="379"/>
    <x v="126"/>
    <n v="6"/>
    <d v="2022-12-26T18:28:45"/>
    <s v="Yes"/>
    <d v="2022-06-22T18:28:45"/>
    <x v="1"/>
    <x v="1"/>
    <d v="2022-06-27T18:28:45"/>
    <s v="Declined"/>
    <m/>
    <m/>
    <d v="2022-06-25T18:28:45"/>
    <m/>
    <x v="0"/>
    <m/>
    <m/>
    <m/>
    <m/>
    <m/>
    <m/>
    <s v="C1658"/>
    <s v="Candidate_658"/>
    <s v="06-04-2022"/>
    <x v="2"/>
    <s v="Job Board"/>
    <n v="3"/>
    <m/>
    <x v="0"/>
    <m/>
    <m/>
    <x v="0"/>
    <x v="0"/>
    <m/>
    <x v="1"/>
    <x v="0"/>
  </r>
  <r>
    <n v="195"/>
    <s v="195 | Communication and Advocacy"/>
    <x v="8"/>
    <x v="2"/>
    <x v="10"/>
    <x v="2"/>
    <s v="Operations-Director"/>
    <x v="2"/>
    <d v="2022-06-16T18:28:45"/>
    <x v="380"/>
    <x v="126"/>
    <n v="3"/>
    <d v="2022-12-26T18:28:45"/>
    <s v="Yes"/>
    <d v="2022-07-03T18:28:45"/>
    <x v="0"/>
    <x v="0"/>
    <m/>
    <m/>
    <m/>
    <m/>
    <m/>
    <m/>
    <x v="0"/>
    <m/>
    <m/>
    <m/>
    <m/>
    <s v="Candidate"/>
    <m/>
    <s v="C1659"/>
    <s v="Candidate_659"/>
    <s v="23/06/2022"/>
    <x v="1"/>
    <s v="Linkedin"/>
    <n v="3"/>
    <m/>
    <x v="0"/>
    <m/>
    <m/>
    <x v="0"/>
    <x v="0"/>
    <m/>
    <x v="1"/>
    <x v="0"/>
  </r>
  <r>
    <n v="193"/>
    <s v="193 | Communication and Advocacy"/>
    <x v="7"/>
    <x v="2"/>
    <x v="10"/>
    <x v="2"/>
    <s v="Operations-Director"/>
    <x v="2"/>
    <m/>
    <x v="381"/>
    <x v="4"/>
    <n v="0"/>
    <d v="2022-12-26T18:28:45"/>
    <s v="Yes"/>
    <d v="2022-06-29T18:28:45"/>
    <x v="0"/>
    <x v="2"/>
    <m/>
    <m/>
    <m/>
    <m/>
    <d v="2022-07-02T18:28:45"/>
    <m/>
    <x v="0"/>
    <m/>
    <m/>
    <m/>
    <m/>
    <s v="Company"/>
    <m/>
    <s v="C1660"/>
    <s v="Candidate_660"/>
    <s v="Jun 15 2022"/>
    <x v="0"/>
    <s v="Referral"/>
    <n v="3"/>
    <m/>
    <x v="0"/>
    <m/>
    <m/>
    <x v="0"/>
    <x v="0"/>
    <m/>
    <x v="0"/>
    <x v="0"/>
  </r>
  <r>
    <n v="161"/>
    <s v="161 | Communication and Advocacy"/>
    <x v="6"/>
    <x v="2"/>
    <x v="10"/>
    <x v="2"/>
    <s v="Operations-Director"/>
    <x v="2"/>
    <d v="2022-12-12T15:32:46"/>
    <x v="382"/>
    <x v="127"/>
    <n v="4"/>
    <d v="2023-06-24T15:32:46"/>
    <s v="Yes"/>
    <d v="2022-12-19T15:32:46"/>
    <x v="3"/>
    <x v="1"/>
    <d v="2022-12-27T15:32:46"/>
    <s v="Accepted"/>
    <d v="2022-12-20T15:32:46"/>
    <d v="2022-12-23T15:32:46"/>
    <d v="2022-12-23T15:32:46"/>
    <d v="2022-12-28T15:32:46"/>
    <x v="1"/>
    <d v="2022-12-31T15:32:46"/>
    <d v="2023-01-03T15:32:46"/>
    <d v="2023-01-06T15:32:46"/>
    <m/>
    <m/>
    <d v="2023-01-17T15:32:46"/>
    <s v="C1661"/>
    <s v="Candidate_661"/>
    <s v="12-04-2022"/>
    <x v="1"/>
    <s v="Linkedin"/>
    <n v="6"/>
    <m/>
    <x v="0"/>
    <m/>
    <m/>
    <x v="0"/>
    <x v="0"/>
    <m/>
    <x v="81"/>
    <x v="0"/>
  </r>
  <r>
    <n v="121"/>
    <s v="121 | Communication and Advocacy"/>
    <x v="6"/>
    <x v="2"/>
    <x v="10"/>
    <x v="2"/>
    <s v="Operations-Director"/>
    <x v="2"/>
    <d v="2022-09-24T11:20:41"/>
    <x v="383"/>
    <x v="128"/>
    <n v="5"/>
    <d v="2023-04-07T11:20:41"/>
    <s v="Yes"/>
    <d v="2022-10-08T11:20:41"/>
    <x v="1"/>
    <x v="1"/>
    <d v="2022-10-14T11:20:41"/>
    <s v="Declined"/>
    <m/>
    <m/>
    <d v="2022-10-11T11:20:41"/>
    <m/>
    <x v="0"/>
    <m/>
    <m/>
    <m/>
    <m/>
    <m/>
    <m/>
    <s v="C1662"/>
    <s v="Candidate_662"/>
    <s v="Sep 28 2022"/>
    <x v="2"/>
    <s v="Job Board"/>
    <n v="6"/>
    <m/>
    <x v="0"/>
    <m/>
    <m/>
    <x v="0"/>
    <x v="0"/>
    <m/>
    <x v="1"/>
    <x v="0"/>
  </r>
  <r>
    <n v="46"/>
    <s v="46 | Communication and Advocacy"/>
    <x v="6"/>
    <x v="2"/>
    <x v="10"/>
    <x v="2"/>
    <s v="Operations-Director"/>
    <x v="2"/>
    <d v="2022-03-01T21:14:55"/>
    <x v="384"/>
    <x v="129"/>
    <n v="8"/>
    <d v="2022-04-02T21:14:55"/>
    <s v="Yes"/>
    <d v="2022-03-25T21:14:55"/>
    <x v="1"/>
    <x v="1"/>
    <d v="2022-04-02T21:14:55"/>
    <s v="Declined"/>
    <m/>
    <m/>
    <d v="2022-03-29T21:14:55"/>
    <m/>
    <x v="0"/>
    <m/>
    <m/>
    <m/>
    <m/>
    <m/>
    <m/>
    <s v="C1663"/>
    <s v="Candidate_663"/>
    <s v="03-17-2022"/>
    <x v="0"/>
    <s v="Referral"/>
    <n v="6"/>
    <m/>
    <x v="0"/>
    <m/>
    <m/>
    <x v="0"/>
    <x v="0"/>
    <m/>
    <x v="1"/>
    <x v="0"/>
  </r>
  <r>
    <n v="2641"/>
    <s v="2641 | Communication and Advocacy"/>
    <x v="7"/>
    <x v="2"/>
    <x v="11"/>
    <x v="2"/>
    <s v="Operations-Director"/>
    <x v="1"/>
    <d v="2022-01-24T14:06:06"/>
    <x v="385"/>
    <x v="130"/>
    <n v="8"/>
    <d v="2022-02-21T14:06:06"/>
    <s v="Yes"/>
    <d v="2022-02-14T14:06:06"/>
    <x v="3"/>
    <x v="1"/>
    <d v="2022-02-18T14:06:06"/>
    <s v="Accepted"/>
    <d v="2022-02-15T14:06:06"/>
    <d v="2022-02-18T14:06:06"/>
    <d v="2022-02-16T14:06:06"/>
    <d v="2022-02-18T14:06:06"/>
    <x v="1"/>
    <d v="2022-02-21T14:06:06"/>
    <d v="2022-02-24T14:06:06"/>
    <d v="2022-02-26T14:06:06"/>
    <m/>
    <m/>
    <d v="2022-03-11T14:06:06"/>
    <s v="C1664"/>
    <s v="Candidate_664"/>
    <s v="Jan 31 2022"/>
    <x v="0"/>
    <s v="Referral"/>
    <n v="3"/>
    <m/>
    <x v="0"/>
    <m/>
    <m/>
    <x v="0"/>
    <x v="0"/>
    <m/>
    <x v="82"/>
    <x v="0"/>
  </r>
  <r>
    <n v="2413"/>
    <s v="2413 | Communication and Advocacy"/>
    <x v="6"/>
    <x v="2"/>
    <x v="11"/>
    <x v="2"/>
    <s v="Operations-Director"/>
    <x v="1"/>
    <d v="2023-03-25T14:35:51"/>
    <x v="386"/>
    <x v="131"/>
    <n v="5"/>
    <d v="2023-04-18T14:35:51"/>
    <s v="No"/>
    <m/>
    <x v="2"/>
    <x v="1"/>
    <m/>
    <m/>
    <m/>
    <m/>
    <m/>
    <m/>
    <x v="0"/>
    <m/>
    <m/>
    <m/>
    <m/>
    <m/>
    <m/>
    <s v="C1665"/>
    <s v="Candidate_665"/>
    <m/>
    <x v="0"/>
    <s v="Referral"/>
    <n v="3"/>
    <m/>
    <x v="0"/>
    <m/>
    <m/>
    <x v="0"/>
    <x v="0"/>
    <m/>
    <x v="1"/>
    <x v="0"/>
  </r>
  <r>
    <n v="2333"/>
    <s v="2333 | Communication and Advocacy"/>
    <x v="7"/>
    <x v="2"/>
    <x v="11"/>
    <x v="2"/>
    <s v="Operations-Director"/>
    <x v="1"/>
    <d v="2022-05-13T09:15:53"/>
    <x v="387"/>
    <x v="93"/>
    <n v="6"/>
    <d v="2022-06-03T09:15:53"/>
    <s v="No"/>
    <m/>
    <x v="2"/>
    <x v="1"/>
    <m/>
    <m/>
    <m/>
    <m/>
    <m/>
    <m/>
    <x v="0"/>
    <m/>
    <m/>
    <m/>
    <m/>
    <m/>
    <m/>
    <s v="C1666"/>
    <s v="Candidate_666"/>
    <m/>
    <x v="1"/>
    <s v="Linkedin"/>
    <n v="6"/>
    <m/>
    <x v="0"/>
    <m/>
    <m/>
    <x v="0"/>
    <x v="0"/>
    <m/>
    <x v="1"/>
    <x v="0"/>
  </r>
  <r>
    <n v="2253"/>
    <s v="2253 | Communication and Advocacy"/>
    <x v="7"/>
    <x v="2"/>
    <x v="11"/>
    <x v="2"/>
    <s v="Operations-Director"/>
    <x v="1"/>
    <d v="2022-08-08T16:27:58"/>
    <x v="388"/>
    <x v="94"/>
    <n v="6"/>
    <d v="2022-09-05T16:27:58"/>
    <s v="No"/>
    <m/>
    <x v="2"/>
    <x v="1"/>
    <m/>
    <m/>
    <m/>
    <m/>
    <m/>
    <m/>
    <x v="0"/>
    <m/>
    <m/>
    <m/>
    <m/>
    <m/>
    <m/>
    <s v="C1667"/>
    <s v="Candidate_667"/>
    <m/>
    <x v="0"/>
    <s v="Referral"/>
    <n v="6"/>
    <m/>
    <x v="0"/>
    <m/>
    <m/>
    <x v="0"/>
    <x v="0"/>
    <m/>
    <x v="1"/>
    <x v="0"/>
  </r>
  <r>
    <n v="2150"/>
    <s v="2150 | Communication and Advocacy"/>
    <x v="7"/>
    <x v="2"/>
    <x v="11"/>
    <x v="2"/>
    <s v="Operations-Director"/>
    <x v="1"/>
    <d v="2022-07-04T19:56:24"/>
    <x v="389"/>
    <x v="95"/>
    <n v="8"/>
    <d v="2022-08-06T19:56:24"/>
    <s v="No"/>
    <m/>
    <x v="2"/>
    <x v="1"/>
    <m/>
    <m/>
    <m/>
    <m/>
    <m/>
    <m/>
    <x v="0"/>
    <m/>
    <m/>
    <m/>
    <m/>
    <m/>
    <m/>
    <s v="C1668"/>
    <s v="Candidate_668"/>
    <m/>
    <x v="2"/>
    <s v="Job Board"/>
    <n v="3"/>
    <m/>
    <x v="0"/>
    <m/>
    <m/>
    <x v="0"/>
    <x v="0"/>
    <m/>
    <x v="1"/>
    <x v="0"/>
  </r>
  <r>
    <n v="2052"/>
    <s v="2052 | Communication and Advocacy"/>
    <x v="7"/>
    <x v="2"/>
    <x v="11"/>
    <x v="2"/>
    <s v="Operations-Director"/>
    <x v="1"/>
    <d v="2022-01-09T19:56:47"/>
    <x v="0"/>
    <x v="132"/>
    <n v="10"/>
    <d v="2022-02-05T19:56:47"/>
    <s v="No"/>
    <m/>
    <x v="2"/>
    <x v="1"/>
    <m/>
    <m/>
    <m/>
    <m/>
    <m/>
    <m/>
    <x v="0"/>
    <m/>
    <m/>
    <m/>
    <m/>
    <m/>
    <m/>
    <s v="C1669"/>
    <s v="Candidate_669"/>
    <m/>
    <x v="0"/>
    <s v="Referral"/>
    <n v="6"/>
    <m/>
    <x v="0"/>
    <m/>
    <m/>
    <x v="0"/>
    <x v="0"/>
    <m/>
    <x v="0"/>
    <x v="0"/>
  </r>
  <r>
    <n v="1897"/>
    <s v="1897 | Communication and Advocacy"/>
    <x v="7"/>
    <x v="2"/>
    <x v="11"/>
    <x v="2"/>
    <s v="Operations-Director"/>
    <x v="1"/>
    <d v="2022-01-31T06:40:23"/>
    <x v="390"/>
    <x v="97"/>
    <n v="7"/>
    <d v="2022-03-06T06:40:23"/>
    <s v="No"/>
    <m/>
    <x v="2"/>
    <x v="1"/>
    <m/>
    <m/>
    <m/>
    <m/>
    <m/>
    <m/>
    <x v="0"/>
    <m/>
    <m/>
    <m/>
    <m/>
    <m/>
    <m/>
    <s v="C1670"/>
    <s v="Candidate_670"/>
    <m/>
    <x v="0"/>
    <s v="Referral"/>
    <n v="3"/>
    <m/>
    <x v="0"/>
    <m/>
    <m/>
    <x v="0"/>
    <x v="0"/>
    <m/>
    <x v="1"/>
    <x v="0"/>
  </r>
  <r>
    <n v="1747"/>
    <s v="1747 | Communication and Advocacy"/>
    <x v="7"/>
    <x v="2"/>
    <x v="11"/>
    <x v="2"/>
    <s v="Operations-Director"/>
    <x v="1"/>
    <d v="2023-01-18T19:09:14"/>
    <x v="391"/>
    <x v="133"/>
    <n v="9"/>
    <d v="2023-02-13T19:09:14"/>
    <s v="No"/>
    <m/>
    <x v="2"/>
    <x v="1"/>
    <m/>
    <m/>
    <m/>
    <m/>
    <m/>
    <m/>
    <x v="0"/>
    <m/>
    <m/>
    <m/>
    <m/>
    <m/>
    <m/>
    <s v="C1671"/>
    <s v="Candidate_671"/>
    <m/>
    <x v="2"/>
    <s v="Job Board"/>
    <n v="3"/>
    <m/>
    <x v="0"/>
    <m/>
    <m/>
    <x v="0"/>
    <x v="0"/>
    <m/>
    <x v="1"/>
    <x v="0"/>
  </r>
  <r>
    <n v="1428"/>
    <s v="1428 | Communication and Advocacy"/>
    <x v="7"/>
    <x v="2"/>
    <x v="11"/>
    <x v="2"/>
    <s v="Operations-Director"/>
    <x v="1"/>
    <m/>
    <x v="333"/>
    <x v="102"/>
    <n v="44666.11314814815"/>
    <d v="2022-04-28T02:42:56"/>
    <s v="No"/>
    <m/>
    <x v="2"/>
    <x v="1"/>
    <m/>
    <m/>
    <m/>
    <m/>
    <m/>
    <m/>
    <x v="0"/>
    <m/>
    <m/>
    <m/>
    <m/>
    <m/>
    <m/>
    <s v="C1672"/>
    <s v="Candidate_672"/>
    <m/>
    <x v="1"/>
    <s v="Linkedin"/>
    <n v="6"/>
    <m/>
    <x v="0"/>
    <m/>
    <m/>
    <x v="0"/>
    <x v="0"/>
    <m/>
    <x v="0"/>
    <x v="0"/>
  </r>
  <r>
    <n v="1211"/>
    <s v="1211 | Communication and Advocacy"/>
    <x v="7"/>
    <x v="2"/>
    <x v="11"/>
    <x v="2"/>
    <s v="Operations-Director"/>
    <x v="1"/>
    <d v="2023-07-23T00:06:13"/>
    <x v="392"/>
    <x v="4"/>
    <n v="-45130.004317129627"/>
    <d v="2023-08-28T00:06:13"/>
    <s v="Yes"/>
    <d v="2023-08-06T00:06:13"/>
    <x v="3"/>
    <x v="1"/>
    <d v="2023-08-11T00:06:13"/>
    <s v="Accepted"/>
    <d v="2023-08-07T00:06:13"/>
    <d v="2023-08-10T00:06:13"/>
    <d v="2023-08-07T00:06:13"/>
    <d v="2023-08-14T00:06:13"/>
    <x v="1"/>
    <d v="2023-08-17T00:06:13"/>
    <d v="2023-08-20T00:06:13"/>
    <d v="2023-08-21T00:06:13"/>
    <m/>
    <m/>
    <d v="2023-09-07T00:06:13"/>
    <s v="C1673"/>
    <s v="Candidate_673"/>
    <s v="07-22-2023"/>
    <x v="2"/>
    <s v="Job Board"/>
    <n v="3"/>
    <m/>
    <x v="0"/>
    <m/>
    <m/>
    <x v="0"/>
    <x v="0"/>
    <m/>
    <x v="0"/>
    <x v="0"/>
  </r>
  <r>
    <n v="1139"/>
    <s v="1139 | Communication and Advocacy"/>
    <x v="7"/>
    <x v="2"/>
    <x v="11"/>
    <x v="2"/>
    <s v="Operations-Director"/>
    <x v="1"/>
    <d v="2022-03-14T19:06:16"/>
    <x v="393"/>
    <x v="134"/>
    <n v="5"/>
    <d v="2022-03-30T19:06:16"/>
    <s v="No"/>
    <m/>
    <x v="2"/>
    <x v="1"/>
    <m/>
    <m/>
    <m/>
    <m/>
    <m/>
    <m/>
    <x v="0"/>
    <m/>
    <m/>
    <m/>
    <m/>
    <m/>
    <m/>
    <s v="C1674"/>
    <s v="Candidate_674"/>
    <m/>
    <x v="2"/>
    <s v="Job Board"/>
    <n v="6"/>
    <m/>
    <x v="0"/>
    <m/>
    <m/>
    <x v="0"/>
    <x v="0"/>
    <m/>
    <x v="1"/>
    <x v="0"/>
  </r>
  <r>
    <n v="1022"/>
    <s v="1022 | Communication and Advocacy"/>
    <x v="7"/>
    <x v="2"/>
    <x v="11"/>
    <x v="2"/>
    <s v="Operations-Director"/>
    <x v="1"/>
    <d v="2023-01-25T18:59:14"/>
    <x v="394"/>
    <x v="135"/>
    <n v="7"/>
    <d v="2023-03-01T18:59:14"/>
    <s v="No"/>
    <m/>
    <x v="2"/>
    <x v="1"/>
    <m/>
    <m/>
    <m/>
    <m/>
    <m/>
    <m/>
    <x v="0"/>
    <m/>
    <m/>
    <m/>
    <m/>
    <m/>
    <m/>
    <s v="C1675"/>
    <s v="Candidate_675"/>
    <m/>
    <x v="2"/>
    <s v="Job Board"/>
    <n v="3"/>
    <m/>
    <x v="0"/>
    <m/>
    <m/>
    <x v="0"/>
    <x v="0"/>
    <m/>
    <x v="1"/>
    <x v="0"/>
  </r>
  <r>
    <n v="936"/>
    <s v="936 | Communication and Advocacy"/>
    <x v="8"/>
    <x v="2"/>
    <x v="11"/>
    <x v="2"/>
    <s v="Operations-Director"/>
    <x v="1"/>
    <d v="2023-03-13T16:55:04"/>
    <x v="362"/>
    <x v="109"/>
    <n v="7"/>
    <d v="2023-03-30T16:55:04"/>
    <s v="Yes"/>
    <d v="2023-04-03T16:55:04"/>
    <x v="0"/>
    <x v="2"/>
    <m/>
    <m/>
    <m/>
    <m/>
    <m/>
    <m/>
    <x v="0"/>
    <m/>
    <m/>
    <m/>
    <m/>
    <s v="Company"/>
    <m/>
    <s v="C1676"/>
    <s v="Candidate_676"/>
    <s v="03-26-2023"/>
    <x v="1"/>
    <s v="Linkedin"/>
    <n v="6"/>
    <m/>
    <x v="0"/>
    <m/>
    <m/>
    <x v="0"/>
    <x v="0"/>
    <m/>
    <x v="1"/>
    <x v="0"/>
  </r>
  <r>
    <n v="850"/>
    <s v="850 | Communication and Advocacy"/>
    <x v="7"/>
    <x v="2"/>
    <x v="11"/>
    <x v="2"/>
    <s v="Operations-Director"/>
    <x v="1"/>
    <d v="2022-08-05T20:03:55"/>
    <x v="395"/>
    <x v="4"/>
    <n v="-44778.836053240739"/>
    <d v="2022-08-29T20:03:55"/>
    <s v="Yes"/>
    <d v="2022-08-17T20:03:55"/>
    <x v="0"/>
    <x v="2"/>
    <m/>
    <m/>
    <m/>
    <m/>
    <m/>
    <m/>
    <x v="0"/>
    <m/>
    <m/>
    <m/>
    <m/>
    <s v="Company"/>
    <m/>
    <s v="C1677"/>
    <s v="Candidate_677"/>
    <s v="Jul 29 2022"/>
    <x v="0"/>
    <s v="Referral"/>
    <n v="3"/>
    <m/>
    <x v="0"/>
    <m/>
    <m/>
    <x v="0"/>
    <x v="0"/>
    <m/>
    <x v="0"/>
    <x v="0"/>
  </r>
  <r>
    <n v="818"/>
    <s v="818 | Communication and Advocacy"/>
    <x v="6"/>
    <x v="2"/>
    <x v="11"/>
    <x v="2"/>
    <s v="Operations-Director"/>
    <x v="1"/>
    <d v="2022-04-21T21:29:01"/>
    <x v="396"/>
    <x v="111"/>
    <n v="4"/>
    <d v="2022-05-19T21:29:01"/>
    <s v="Yes"/>
    <d v="2022-05-03T21:29:01"/>
    <x v="0"/>
    <x v="2"/>
    <m/>
    <m/>
    <m/>
    <m/>
    <m/>
    <m/>
    <x v="0"/>
    <m/>
    <m/>
    <m/>
    <m/>
    <s v="Candidate"/>
    <m/>
    <s v="C1678"/>
    <s v="Candidate_678"/>
    <s v="Apr 16 2022"/>
    <x v="0"/>
    <s v="Referral"/>
    <n v="6"/>
    <m/>
    <x v="0"/>
    <m/>
    <m/>
    <x v="0"/>
    <x v="0"/>
    <m/>
    <x v="1"/>
    <x v="0"/>
  </r>
  <r>
    <n v="817"/>
    <s v="817 | Communication and Advocacy"/>
    <x v="8"/>
    <x v="2"/>
    <x v="11"/>
    <x v="2"/>
    <s v="Operations-Director"/>
    <x v="1"/>
    <d v="2022-04-21T21:29:01"/>
    <x v="396"/>
    <x v="111"/>
    <n v="4"/>
    <d v="2022-04-30T21:29:01"/>
    <s v="Yes"/>
    <d v="2022-05-01T21:29:01"/>
    <x v="0"/>
    <x v="3"/>
    <m/>
    <m/>
    <m/>
    <m/>
    <m/>
    <m/>
    <x v="0"/>
    <m/>
    <m/>
    <m/>
    <m/>
    <s v="Candidate"/>
    <m/>
    <s v="C1679"/>
    <s v="Candidate_679"/>
    <s v="Apr 19 2022"/>
    <x v="0"/>
    <s v="Referral"/>
    <n v="6"/>
    <m/>
    <x v="0"/>
    <m/>
    <m/>
    <x v="0"/>
    <x v="0"/>
    <m/>
    <x v="1"/>
    <x v="0"/>
  </r>
  <r>
    <n v="813"/>
    <s v="813 | Communication and Advocacy"/>
    <x v="7"/>
    <x v="2"/>
    <x v="11"/>
    <x v="2"/>
    <s v="Operations-Director"/>
    <x v="1"/>
    <d v="2022-04-23T21:29:01"/>
    <x v="397"/>
    <x v="111"/>
    <n v="2"/>
    <d v="2022-05-22T21:29:01"/>
    <s v="Yes"/>
    <d v="2022-05-01T21:29:01"/>
    <x v="0"/>
    <x v="4"/>
    <m/>
    <m/>
    <m/>
    <m/>
    <d v="2022-05-03T21:29:01"/>
    <m/>
    <x v="0"/>
    <m/>
    <m/>
    <m/>
    <m/>
    <s v="Candidate"/>
    <m/>
    <s v="C1680"/>
    <s v="Candidate_680"/>
    <s v="04-12-2022"/>
    <x v="0"/>
    <s v="Referral"/>
    <n v="3"/>
    <m/>
    <x v="0"/>
    <m/>
    <m/>
    <x v="0"/>
    <x v="0"/>
    <m/>
    <x v="1"/>
    <x v="0"/>
  </r>
  <r>
    <n v="812"/>
    <s v="812 | Communication and Advocacy"/>
    <x v="8"/>
    <x v="2"/>
    <x v="11"/>
    <x v="2"/>
    <s v="Operations-Director"/>
    <x v="1"/>
    <d v="2022-04-23T21:29:01"/>
    <x v="397"/>
    <x v="111"/>
    <n v="2"/>
    <d v="2022-05-21T21:29:01"/>
    <s v="Yes"/>
    <d v="2022-04-29T21:29:01"/>
    <x v="0"/>
    <x v="3"/>
    <m/>
    <m/>
    <m/>
    <m/>
    <m/>
    <m/>
    <x v="0"/>
    <m/>
    <m/>
    <m/>
    <m/>
    <s v="Candidate"/>
    <m/>
    <s v="C1681"/>
    <s v="Candidate_681"/>
    <s v="Apr 16 2022"/>
    <x v="2"/>
    <s v="Job Board"/>
    <n v="6"/>
    <m/>
    <x v="0"/>
    <m/>
    <m/>
    <x v="0"/>
    <x v="0"/>
    <m/>
    <x v="1"/>
    <x v="0"/>
  </r>
  <r>
    <n v="788"/>
    <s v="788 | Communication and Advocacy"/>
    <x v="6"/>
    <x v="2"/>
    <x v="11"/>
    <x v="2"/>
    <s v="Operations-Director"/>
    <x v="1"/>
    <d v="2023-01-11T23:55:35"/>
    <x v="398"/>
    <x v="112"/>
    <n v="4"/>
    <d v="2023-01-21T23:55:35"/>
    <s v="Yes"/>
    <d v="2023-01-31T23:55:35"/>
    <x v="0"/>
    <x v="5"/>
    <m/>
    <m/>
    <m/>
    <m/>
    <d v="2023-02-02T23:55:35"/>
    <m/>
    <x v="0"/>
    <m/>
    <m/>
    <m/>
    <m/>
    <s v="Company"/>
    <m/>
    <s v="C1682"/>
    <s v="Candidate_682"/>
    <s v="01-23-2023"/>
    <x v="2"/>
    <s v="Job Board"/>
    <n v="3"/>
    <m/>
    <x v="0"/>
    <m/>
    <m/>
    <x v="0"/>
    <x v="0"/>
    <m/>
    <x v="1"/>
    <x v="0"/>
  </r>
  <r>
    <n v="786"/>
    <s v="786 | Communication and Advocacy"/>
    <x v="7"/>
    <x v="2"/>
    <x v="11"/>
    <x v="2"/>
    <s v="Operations-Director"/>
    <x v="1"/>
    <d v="2023-01-08T23:55:35"/>
    <x v="399"/>
    <x v="112"/>
    <n v="7"/>
    <d v="2023-01-30T23:55:35"/>
    <s v="No"/>
    <m/>
    <x v="2"/>
    <x v="1"/>
    <m/>
    <m/>
    <m/>
    <m/>
    <m/>
    <m/>
    <x v="0"/>
    <m/>
    <m/>
    <m/>
    <m/>
    <m/>
    <m/>
    <s v="C1683"/>
    <s v="Candidate_683"/>
    <m/>
    <x v="1"/>
    <s v="Linkedin"/>
    <n v="3"/>
    <m/>
    <x v="0"/>
    <m/>
    <m/>
    <x v="0"/>
    <x v="0"/>
    <m/>
    <x v="1"/>
    <x v="0"/>
  </r>
  <r>
    <n v="783"/>
    <s v="783 | Communication and Advocacy"/>
    <x v="7"/>
    <x v="2"/>
    <x v="11"/>
    <x v="2"/>
    <s v="Operations-Director"/>
    <x v="1"/>
    <d v="2023-01-12T23:55:35"/>
    <x v="400"/>
    <x v="4"/>
    <n v="-44938.996932870366"/>
    <d v="2023-01-31T23:55:35"/>
    <s v="Yes"/>
    <d v="2023-01-22T23:55:35"/>
    <x v="0"/>
    <x v="2"/>
    <m/>
    <m/>
    <m/>
    <m/>
    <d v="2023-01-23T23:55:35"/>
    <m/>
    <x v="0"/>
    <m/>
    <m/>
    <m/>
    <m/>
    <s v="Company"/>
    <m/>
    <s v="C1684"/>
    <s v="Candidate_684"/>
    <s v="Jan 14 2023"/>
    <x v="1"/>
    <s v="Linkedin"/>
    <n v="3"/>
    <m/>
    <x v="0"/>
    <m/>
    <m/>
    <x v="0"/>
    <x v="0"/>
    <m/>
    <x v="0"/>
    <x v="0"/>
  </r>
  <r>
    <n v="732"/>
    <s v="732 | Communication and Advocacy"/>
    <x v="8"/>
    <x v="2"/>
    <x v="11"/>
    <x v="2"/>
    <s v="Operations-Director"/>
    <x v="1"/>
    <d v="2023-04-28T15:28:09"/>
    <x v="401"/>
    <x v="113"/>
    <n v="3"/>
    <d v="2023-05-20T15:28:09"/>
    <s v="Yes"/>
    <d v="2023-05-03T15:28:09"/>
    <x v="0"/>
    <x v="2"/>
    <m/>
    <m/>
    <m/>
    <m/>
    <m/>
    <m/>
    <x v="0"/>
    <m/>
    <m/>
    <m/>
    <m/>
    <s v="Candidate"/>
    <m/>
    <s v="C1685"/>
    <s v="Candidate_685"/>
    <s v="04-19-2023"/>
    <x v="0"/>
    <s v="Referral"/>
    <n v="6"/>
    <m/>
    <x v="0"/>
    <m/>
    <m/>
    <x v="0"/>
    <x v="0"/>
    <m/>
    <x v="1"/>
    <x v="0"/>
  </r>
  <r>
    <n v="731"/>
    <s v="731 | Communication and Advocacy"/>
    <x v="8"/>
    <x v="2"/>
    <x v="11"/>
    <x v="3"/>
    <s v="Operations-Head of Department"/>
    <x v="1"/>
    <d v="2023-04-25T15:28:09"/>
    <x v="367"/>
    <x v="113"/>
    <n v="6"/>
    <d v="2023-05-19T15:28:09"/>
    <s v="Yes"/>
    <d v="2023-05-12T15:28:09"/>
    <x v="1"/>
    <x v="1"/>
    <d v="2023-05-18T15:28:09"/>
    <s v="Declined"/>
    <m/>
    <m/>
    <d v="2023-05-16T15:28:09"/>
    <m/>
    <x v="0"/>
    <m/>
    <m/>
    <m/>
    <m/>
    <m/>
    <m/>
    <s v="C1686"/>
    <s v="Candidate_686"/>
    <s v="04-23-2023"/>
    <x v="1"/>
    <s v="Linkedin"/>
    <n v="3"/>
    <m/>
    <x v="0"/>
    <m/>
    <m/>
    <x v="0"/>
    <x v="0"/>
    <m/>
    <x v="1"/>
    <x v="0"/>
  </r>
  <r>
    <n v="690"/>
    <s v="690 | Communication and Advocacy"/>
    <x v="7"/>
    <x v="2"/>
    <x v="11"/>
    <x v="3"/>
    <s v="Operations-Head of Department"/>
    <x v="1"/>
    <d v="2023-06-22T02:46:21"/>
    <x v="402"/>
    <x v="121"/>
    <n v="7"/>
    <d v="2023-07-19T02:46:21"/>
    <s v="Yes"/>
    <d v="2023-07-06T02:46:21"/>
    <x v="0"/>
    <x v="4"/>
    <m/>
    <m/>
    <m/>
    <m/>
    <m/>
    <m/>
    <x v="0"/>
    <m/>
    <m/>
    <m/>
    <m/>
    <s v="Candidate"/>
    <m/>
    <s v="C1687"/>
    <s v="Candidate_687"/>
    <s v="06-18-2023"/>
    <x v="0"/>
    <s v="Referral"/>
    <n v="6"/>
    <m/>
    <x v="0"/>
    <m/>
    <m/>
    <x v="0"/>
    <x v="0"/>
    <m/>
    <x v="1"/>
    <x v="0"/>
  </r>
  <r>
    <n v="683"/>
    <s v="683 | Communication and Advocacy"/>
    <x v="8"/>
    <x v="2"/>
    <x v="11"/>
    <x v="3"/>
    <s v="Operations-Head of Department"/>
    <x v="1"/>
    <m/>
    <x v="0"/>
    <x v="4"/>
    <n v="0"/>
    <d v="2023-07-14T02:46:21"/>
    <s v="Yes"/>
    <d v="2023-07-07T02:46:21"/>
    <x v="0"/>
    <x v="0"/>
    <m/>
    <m/>
    <m/>
    <m/>
    <d v="2023-07-11T02:46:21"/>
    <m/>
    <x v="0"/>
    <m/>
    <m/>
    <m/>
    <m/>
    <s v="Candidate"/>
    <m/>
    <s v="C1688"/>
    <s v="Candidate_688"/>
    <s v="30/06/2023"/>
    <x v="2"/>
    <s v="Job Board"/>
    <n v="3"/>
    <m/>
    <x v="0"/>
    <m/>
    <m/>
    <x v="0"/>
    <x v="0"/>
    <m/>
    <x v="0"/>
    <x v="0"/>
  </r>
  <r>
    <n v="564"/>
    <s v="564 | Communication and Advocacy"/>
    <x v="6"/>
    <x v="2"/>
    <x v="11"/>
    <x v="3"/>
    <s v="Operations-Head of Department"/>
    <x v="1"/>
    <d v="2022-11-02T23:10:12"/>
    <x v="403"/>
    <x v="114"/>
    <n v="6"/>
    <d v="2022-11-17T23:10:12"/>
    <s v="Yes"/>
    <d v="2022-11-16T23:10:12"/>
    <x v="1"/>
    <x v="1"/>
    <d v="2022-11-21T23:10:12"/>
    <s v="Declined"/>
    <m/>
    <m/>
    <d v="2022-11-19T23:10:12"/>
    <m/>
    <x v="0"/>
    <m/>
    <m/>
    <m/>
    <m/>
    <m/>
    <m/>
    <s v="C1689"/>
    <s v="Candidate_689"/>
    <s v="Nov 10 2022"/>
    <x v="2"/>
    <s v="Job Board"/>
    <n v="3"/>
    <m/>
    <x v="0"/>
    <m/>
    <m/>
    <x v="0"/>
    <x v="0"/>
    <m/>
    <x v="1"/>
    <x v="0"/>
  </r>
  <r>
    <n v="440"/>
    <s v="440 | Communication and Advocacy"/>
    <x v="8"/>
    <x v="2"/>
    <x v="11"/>
    <x v="3"/>
    <s v="Operations-Head of Department"/>
    <x v="1"/>
    <d v="2022-06-24T07:34:28"/>
    <x v="404"/>
    <x v="115"/>
    <n v="5"/>
    <d v="2022-07-12T07:34:28"/>
    <s v="No"/>
    <m/>
    <x v="2"/>
    <x v="1"/>
    <m/>
    <m/>
    <m/>
    <m/>
    <m/>
    <m/>
    <x v="0"/>
    <m/>
    <m/>
    <m/>
    <m/>
    <m/>
    <m/>
    <s v="C1690"/>
    <s v="Candidate_690"/>
    <m/>
    <x v="2"/>
    <s v="Job Board"/>
    <n v="6"/>
    <m/>
    <x v="0"/>
    <m/>
    <m/>
    <x v="0"/>
    <x v="0"/>
    <m/>
    <x v="1"/>
    <x v="0"/>
  </r>
  <r>
    <n v="436"/>
    <s v="436 | Communication and Advocacy"/>
    <x v="7"/>
    <x v="2"/>
    <x v="11"/>
    <x v="3"/>
    <s v="Operations-Head of Department"/>
    <x v="1"/>
    <m/>
    <x v="404"/>
    <x v="115"/>
    <n v="44741.315601851849"/>
    <d v="2022-07-05T07:34:28"/>
    <s v="Yes"/>
    <d v="2022-07-14T07:34:28"/>
    <x v="0"/>
    <x v="4"/>
    <m/>
    <m/>
    <m/>
    <m/>
    <d v="2022-07-17T07:34:28"/>
    <m/>
    <x v="0"/>
    <m/>
    <m/>
    <m/>
    <m/>
    <s v="Company"/>
    <m/>
    <s v="C1691"/>
    <s v="Candidate_691"/>
    <s v="07/07/2022"/>
    <x v="0"/>
    <s v="Referral"/>
    <n v="3"/>
    <m/>
    <x v="0"/>
    <m/>
    <m/>
    <x v="0"/>
    <x v="0"/>
    <m/>
    <x v="0"/>
    <x v="0"/>
  </r>
  <r>
    <n v="433"/>
    <s v="433 | Communication and Advocacy"/>
    <x v="7"/>
    <x v="2"/>
    <x v="11"/>
    <x v="3"/>
    <s v="Operations-Head of Department"/>
    <x v="1"/>
    <m/>
    <x v="349"/>
    <x v="115"/>
    <n v="44741.315601851849"/>
    <d v="2022-07-16T07:34:28"/>
    <s v="No"/>
    <m/>
    <x v="2"/>
    <x v="1"/>
    <m/>
    <m/>
    <m/>
    <m/>
    <m/>
    <m/>
    <x v="0"/>
    <m/>
    <m/>
    <m/>
    <m/>
    <m/>
    <m/>
    <s v="C1692"/>
    <s v="Candidate_692"/>
    <m/>
    <x v="1"/>
    <s v="Linkedin"/>
    <n v="3"/>
    <m/>
    <x v="0"/>
    <m/>
    <m/>
    <x v="0"/>
    <x v="0"/>
    <m/>
    <x v="0"/>
    <x v="0"/>
  </r>
  <r>
    <n v="368"/>
    <s v="368 | Communication and Advocacy"/>
    <x v="6"/>
    <x v="2"/>
    <x v="11"/>
    <x v="3"/>
    <s v="Operations-Head of Department"/>
    <x v="1"/>
    <d v="2022-05-06T18:02:17"/>
    <x v="405"/>
    <x v="4"/>
    <n v="-44687.751585648148"/>
    <d v="2022-05-23T18:02:17"/>
    <s v="Yes"/>
    <d v="2022-05-17T18:02:17"/>
    <x v="0"/>
    <x v="3"/>
    <m/>
    <m/>
    <m/>
    <m/>
    <m/>
    <m/>
    <x v="0"/>
    <m/>
    <m/>
    <m/>
    <m/>
    <s v="Company"/>
    <m/>
    <s v="C1693"/>
    <s v="Candidate_693"/>
    <s v="09/05/2022"/>
    <x v="1"/>
    <s v="Linkedin"/>
    <n v="3"/>
    <m/>
    <x v="0"/>
    <m/>
    <m/>
    <x v="0"/>
    <x v="0"/>
    <m/>
    <x v="0"/>
    <x v="0"/>
  </r>
  <r>
    <n v="367"/>
    <s v="367 | Communication and Advocacy"/>
    <x v="6"/>
    <x v="2"/>
    <x v="11"/>
    <x v="3"/>
    <s v="Operations-Head of Department"/>
    <x v="1"/>
    <m/>
    <x v="405"/>
    <x v="116"/>
    <n v="44689.751585648148"/>
    <d v="2022-05-22T18:02:17"/>
    <s v="Yes"/>
    <d v="2022-05-22T18:02:17"/>
    <x v="1"/>
    <x v="1"/>
    <d v="2022-05-27T18:02:17"/>
    <s v="Declined"/>
    <m/>
    <m/>
    <d v="2022-05-23T18:02:17"/>
    <m/>
    <x v="0"/>
    <m/>
    <m/>
    <m/>
    <m/>
    <m/>
    <m/>
    <s v="C1694"/>
    <s v="Candidate_694"/>
    <s v="05-03-2022"/>
    <x v="1"/>
    <s v="Linkedin"/>
    <n v="6"/>
    <m/>
    <x v="0"/>
    <m/>
    <m/>
    <x v="0"/>
    <x v="0"/>
    <m/>
    <x v="0"/>
    <x v="0"/>
  </r>
  <r>
    <n v="362"/>
    <s v="362 | Communication and Advocacy"/>
    <x v="6"/>
    <x v="2"/>
    <x v="11"/>
    <x v="3"/>
    <s v="Operations-Head of Department"/>
    <x v="1"/>
    <d v="2022-04-30T18:02:17"/>
    <x v="406"/>
    <x v="116"/>
    <n v="8"/>
    <d v="2022-05-14T18:02:17"/>
    <s v="Yes"/>
    <d v="2022-05-14T18:02:17"/>
    <x v="1"/>
    <x v="1"/>
    <d v="2022-05-21T18:02:17"/>
    <s v="Declined"/>
    <m/>
    <m/>
    <d v="2022-05-18T18:02:17"/>
    <m/>
    <x v="0"/>
    <m/>
    <m/>
    <m/>
    <m/>
    <m/>
    <m/>
    <s v="C1695"/>
    <s v="Candidate_695"/>
    <s v="28/04/2022"/>
    <x v="2"/>
    <s v="Job Board"/>
    <n v="3"/>
    <m/>
    <x v="0"/>
    <m/>
    <m/>
    <x v="0"/>
    <x v="0"/>
    <m/>
    <x v="1"/>
    <x v="0"/>
  </r>
  <r>
    <n v="356"/>
    <s v="356 | Communication and Advocacy"/>
    <x v="7"/>
    <x v="2"/>
    <x v="11"/>
    <x v="3"/>
    <s v="Operations-Head of Department"/>
    <x v="1"/>
    <d v="2022-09-30T04:14:17"/>
    <x v="407"/>
    <x v="136"/>
    <n v="10"/>
    <d v="2022-10-24T04:14:17"/>
    <s v="Yes"/>
    <d v="2022-10-23T04:14:17"/>
    <x v="3"/>
    <x v="1"/>
    <d v="2022-10-30T04:14:17"/>
    <s v="Accepted"/>
    <d v="2022-10-25T04:14:17"/>
    <d v="2022-10-29T04:14:17"/>
    <d v="2022-10-27T04:14:17"/>
    <d v="2022-11-01T04:14:17"/>
    <x v="1"/>
    <d v="2022-11-03T04:14:17"/>
    <d v="2022-11-06T04:14:17"/>
    <d v="2022-11-09T04:14:17"/>
    <m/>
    <m/>
    <d v="2022-11-30T04:14:17"/>
    <s v="C1696"/>
    <s v="Candidate_696"/>
    <s v="13/10/2022"/>
    <x v="0"/>
    <s v="Referral"/>
    <n v="3"/>
    <m/>
    <x v="0"/>
    <m/>
    <m/>
    <x v="0"/>
    <x v="0"/>
    <m/>
    <x v="83"/>
    <x v="0"/>
  </r>
  <r>
    <n v="351"/>
    <s v="351 | Communication and Advocacy"/>
    <x v="6"/>
    <x v="2"/>
    <x v="11"/>
    <x v="3"/>
    <s v="Operations-Head of Department"/>
    <x v="1"/>
    <d v="2022-10-02T04:14:17"/>
    <x v="408"/>
    <x v="136"/>
    <n v="8"/>
    <d v="2022-11-08T04:14:17"/>
    <s v="Yes"/>
    <d v="2022-10-14T04:14:17"/>
    <x v="0"/>
    <x v="5"/>
    <m/>
    <m/>
    <m/>
    <m/>
    <m/>
    <m/>
    <x v="0"/>
    <m/>
    <m/>
    <m/>
    <m/>
    <s v="Candidate"/>
    <m/>
    <s v="C1697"/>
    <s v="Candidate_697"/>
    <s v="Oct 05 2022"/>
    <x v="0"/>
    <s v="Referral"/>
    <n v="3"/>
    <m/>
    <x v="0"/>
    <m/>
    <m/>
    <x v="0"/>
    <x v="0"/>
    <m/>
    <x v="1"/>
    <x v="0"/>
  </r>
  <r>
    <n v="325"/>
    <s v="325 | Communication and Advocacy"/>
    <x v="8"/>
    <x v="2"/>
    <x v="11"/>
    <x v="3"/>
    <s v="Operations-Head of Department"/>
    <x v="1"/>
    <d v="2022-01-16T22:01:29"/>
    <x v="409"/>
    <x v="122"/>
    <n v="5"/>
    <d v="2022-02-02T22:01:29"/>
    <s v="Yes"/>
    <d v="2022-01-23T22:01:29"/>
    <x v="0"/>
    <x v="5"/>
    <m/>
    <m/>
    <m/>
    <m/>
    <m/>
    <m/>
    <x v="0"/>
    <m/>
    <m/>
    <m/>
    <m/>
    <s v="Candidate"/>
    <m/>
    <s v="C1698"/>
    <s v="Candidate_698"/>
    <s v="Jan 14 2022"/>
    <x v="1"/>
    <s v="Linkedin"/>
    <n v="3"/>
    <m/>
    <x v="0"/>
    <m/>
    <m/>
    <x v="0"/>
    <x v="0"/>
    <m/>
    <x v="1"/>
    <x v="0"/>
  </r>
  <r>
    <n v="300"/>
    <s v="300 | Communication and Advocacy"/>
    <x v="6"/>
    <x v="2"/>
    <x v="11"/>
    <x v="3"/>
    <s v="Operations-Head of Department"/>
    <x v="1"/>
    <m/>
    <x v="410"/>
    <x v="123"/>
    <n v="45138.740011574067"/>
    <d v="2023-08-26T17:45:37"/>
    <s v="Yes"/>
    <d v="2023-08-07T17:45:37"/>
    <x v="0"/>
    <x v="0"/>
    <m/>
    <m/>
    <m/>
    <m/>
    <m/>
    <m/>
    <x v="0"/>
    <m/>
    <m/>
    <m/>
    <m/>
    <s v="Company"/>
    <m/>
    <s v="C1699"/>
    <s v="Candidate_699"/>
    <s v="25/07/2023"/>
    <x v="0"/>
    <s v="Referral"/>
    <n v="3"/>
    <m/>
    <x v="0"/>
    <m/>
    <m/>
    <x v="0"/>
    <x v="0"/>
    <m/>
    <x v="0"/>
    <x v="0"/>
  </r>
  <r>
    <n v="299"/>
    <s v="299 | Communication and Advocacy"/>
    <x v="7"/>
    <x v="2"/>
    <x v="11"/>
    <x v="3"/>
    <s v="Operations-Head of Department"/>
    <x v="1"/>
    <d v="2023-07-26T17:45:37"/>
    <x v="411"/>
    <x v="123"/>
    <n v="5"/>
    <d v="2023-08-29T17:45:37"/>
    <s v="Yes"/>
    <d v="2023-08-04T17:45:37"/>
    <x v="4"/>
    <x v="1"/>
    <d v="2023-08-07T17:45:37"/>
    <s v="Pending"/>
    <m/>
    <m/>
    <d v="2023-08-06T17:45:37"/>
    <m/>
    <x v="0"/>
    <m/>
    <m/>
    <m/>
    <m/>
    <m/>
    <m/>
    <s v="C1700"/>
    <s v="Candidate_700"/>
    <s v="17/07/2023"/>
    <x v="1"/>
    <s v="Linkedin"/>
    <n v="6"/>
    <m/>
    <x v="0"/>
    <m/>
    <m/>
    <x v="0"/>
    <x v="0"/>
    <m/>
    <x v="1"/>
    <x v="0"/>
  </r>
  <r>
    <n v="295"/>
    <s v="295 | Communication and Advocacy"/>
    <x v="6"/>
    <x v="2"/>
    <x v="11"/>
    <x v="2"/>
    <s v="Operations-Director"/>
    <x v="1"/>
    <d v="2023-07-25T17:45:37"/>
    <x v="412"/>
    <x v="123"/>
    <n v="6"/>
    <d v="2023-08-26T17:45:37"/>
    <s v="No"/>
    <m/>
    <x v="2"/>
    <x v="1"/>
    <m/>
    <m/>
    <m/>
    <m/>
    <m/>
    <m/>
    <x v="0"/>
    <m/>
    <m/>
    <m/>
    <m/>
    <m/>
    <m/>
    <s v="C1701"/>
    <s v="Candidate_701"/>
    <m/>
    <x v="0"/>
    <s v="Referral"/>
    <n v="3"/>
    <m/>
    <x v="0"/>
    <m/>
    <m/>
    <x v="0"/>
    <x v="0"/>
    <m/>
    <x v="1"/>
    <x v="0"/>
  </r>
  <r>
    <n v="294"/>
    <s v="294 | Communication and Advocacy"/>
    <x v="6"/>
    <x v="2"/>
    <x v="11"/>
    <x v="2"/>
    <s v="Operations-Director"/>
    <x v="1"/>
    <d v="2023-07-23T17:45:37"/>
    <x v="373"/>
    <x v="123"/>
    <n v="8"/>
    <d v="2023-08-17T17:45:37"/>
    <s v="No"/>
    <m/>
    <x v="2"/>
    <x v="1"/>
    <m/>
    <m/>
    <m/>
    <m/>
    <m/>
    <m/>
    <x v="0"/>
    <m/>
    <m/>
    <m/>
    <m/>
    <m/>
    <m/>
    <s v="C1702"/>
    <s v="Candidate_702"/>
    <m/>
    <x v="1"/>
    <s v="Linkedin"/>
    <n v="6"/>
    <m/>
    <x v="0"/>
    <m/>
    <m/>
    <x v="0"/>
    <x v="0"/>
    <m/>
    <x v="1"/>
    <x v="0"/>
  </r>
  <r>
    <n v="292"/>
    <s v="292 | Communication and Advocacy"/>
    <x v="6"/>
    <x v="2"/>
    <x v="11"/>
    <x v="2"/>
    <s v="Operations-Director"/>
    <x v="1"/>
    <m/>
    <x v="410"/>
    <x v="123"/>
    <n v="45138.740011574067"/>
    <d v="2023-08-13T17:45:37"/>
    <s v="Yes"/>
    <d v="2023-08-18T17:45:37"/>
    <x v="0"/>
    <x v="3"/>
    <m/>
    <m/>
    <m/>
    <m/>
    <m/>
    <m/>
    <x v="0"/>
    <m/>
    <m/>
    <m/>
    <m/>
    <s v="Company"/>
    <m/>
    <s v="C1703"/>
    <s v="Candidate_703"/>
    <s v="07/08/2023"/>
    <x v="0"/>
    <s v="Referral"/>
    <n v="3"/>
    <m/>
    <x v="0"/>
    <m/>
    <m/>
    <x v="0"/>
    <x v="0"/>
    <m/>
    <x v="0"/>
    <x v="0"/>
  </r>
  <r>
    <n v="200"/>
    <s v="200 | Communication and Advocacy"/>
    <x v="7"/>
    <x v="2"/>
    <x v="11"/>
    <x v="2"/>
    <s v="Operations-Director"/>
    <x v="1"/>
    <d v="2022-06-14T18:28:45"/>
    <x v="381"/>
    <x v="126"/>
    <n v="5"/>
    <d v="2022-07-04T18:28:45"/>
    <s v="Yes"/>
    <d v="2022-06-26T18:28:45"/>
    <x v="1"/>
    <x v="1"/>
    <d v="2022-07-02T18:28:45"/>
    <s v="Declined"/>
    <m/>
    <m/>
    <d v="2022-06-28T18:28:45"/>
    <m/>
    <x v="0"/>
    <m/>
    <m/>
    <m/>
    <m/>
    <m/>
    <m/>
    <s v="C1704"/>
    <s v="Candidate_704"/>
    <s v="Jun 07 2022"/>
    <x v="0"/>
    <s v="Referral"/>
    <n v="6"/>
    <m/>
    <x v="0"/>
    <m/>
    <m/>
    <x v="0"/>
    <x v="0"/>
    <m/>
    <x v="1"/>
    <x v="0"/>
  </r>
  <r>
    <n v="191"/>
    <s v="191 | Communication and Advocacy"/>
    <x v="6"/>
    <x v="2"/>
    <x v="11"/>
    <x v="2"/>
    <s v="Operations-Director"/>
    <x v="1"/>
    <d v="2022-06-13T18:28:45"/>
    <x v="413"/>
    <x v="126"/>
    <n v="6"/>
    <d v="2022-07-14T18:28:45"/>
    <s v="Yes"/>
    <d v="2022-07-03T18:28:45"/>
    <x v="0"/>
    <x v="2"/>
    <m/>
    <m/>
    <m/>
    <m/>
    <d v="2022-07-04T18:28:45"/>
    <m/>
    <x v="0"/>
    <m/>
    <m/>
    <m/>
    <m/>
    <s v="Candidate"/>
    <m/>
    <s v="C1705"/>
    <s v="Candidate_705"/>
    <s v="06-22-2022"/>
    <x v="2"/>
    <s v="Job Board"/>
    <n v="6"/>
    <m/>
    <x v="0"/>
    <m/>
    <m/>
    <x v="0"/>
    <x v="0"/>
    <m/>
    <x v="1"/>
    <x v="0"/>
  </r>
  <r>
    <n v="164"/>
    <s v="164 | Communication and Advocacy"/>
    <x v="8"/>
    <x v="2"/>
    <x v="11"/>
    <x v="12"/>
    <s v="Operations-Lead"/>
    <x v="1"/>
    <d v="2022-12-11T15:32:46"/>
    <x v="414"/>
    <x v="127"/>
    <n v="5"/>
    <d v="2022-12-26T15:32:46"/>
    <s v="Yes"/>
    <d v="2022-12-22T15:32:46"/>
    <x v="0"/>
    <x v="4"/>
    <m/>
    <m/>
    <m/>
    <m/>
    <m/>
    <m/>
    <x v="0"/>
    <m/>
    <m/>
    <m/>
    <m/>
    <s v="Company"/>
    <m/>
    <s v="C1706"/>
    <s v="Candidate_706"/>
    <s v="12-17-2022"/>
    <x v="2"/>
    <s v="Job Board"/>
    <n v="3"/>
    <m/>
    <x v="0"/>
    <m/>
    <m/>
    <x v="0"/>
    <x v="0"/>
    <m/>
    <x v="1"/>
    <x v="0"/>
  </r>
  <r>
    <n v="162"/>
    <s v="162 | Communication and Advocacy"/>
    <x v="7"/>
    <x v="2"/>
    <x v="11"/>
    <x v="12"/>
    <s v="Operations-Lead"/>
    <x v="1"/>
    <d v="2022-12-09T15:32:46"/>
    <x v="415"/>
    <x v="127"/>
    <n v="7"/>
    <d v="2022-12-27T15:32:46"/>
    <s v="Yes"/>
    <d v="2022-12-28T15:32:46"/>
    <x v="0"/>
    <x v="4"/>
    <m/>
    <m/>
    <m/>
    <m/>
    <m/>
    <m/>
    <x v="0"/>
    <m/>
    <m/>
    <m/>
    <m/>
    <s v="Candidate"/>
    <m/>
    <s v="C1707"/>
    <s v="Candidate_707"/>
    <s v="Dec 15 2022"/>
    <x v="1"/>
    <s v="Linkedin"/>
    <n v="3"/>
    <m/>
    <x v="0"/>
    <m/>
    <m/>
    <x v="0"/>
    <x v="0"/>
    <m/>
    <x v="1"/>
    <x v="0"/>
  </r>
  <r>
    <n v="89"/>
    <s v="89 | Communication and Advocacy"/>
    <x v="6"/>
    <x v="2"/>
    <x v="11"/>
    <x v="12"/>
    <s v="Operations-Lead"/>
    <x v="1"/>
    <m/>
    <x v="416"/>
    <x v="137"/>
    <n v="44731.092650462961"/>
    <d v="2022-07-11T02:13:25"/>
    <s v="Yes"/>
    <d v="2022-06-24T02:13:25"/>
    <x v="0"/>
    <x v="2"/>
    <m/>
    <m/>
    <m/>
    <m/>
    <d v="2022-06-25T02:13:25"/>
    <m/>
    <x v="0"/>
    <m/>
    <m/>
    <m/>
    <m/>
    <s v="Candidate"/>
    <m/>
    <s v="C1708"/>
    <s v="Candidate_708"/>
    <s v="05/06/2022"/>
    <x v="0"/>
    <s v="Referral"/>
    <n v="6"/>
    <m/>
    <x v="0"/>
    <m/>
    <m/>
    <x v="0"/>
    <x v="0"/>
    <m/>
    <x v="0"/>
    <x v="0"/>
  </r>
  <r>
    <n v="83"/>
    <s v="83 | Communication and Advocacy"/>
    <x v="6"/>
    <x v="2"/>
    <x v="11"/>
    <x v="12"/>
    <s v="Operations-Lead"/>
    <x v="1"/>
    <m/>
    <x v="417"/>
    <x v="137"/>
    <n v="44731.092650462961"/>
    <d v="2022-07-17T02:13:25"/>
    <s v="Yes"/>
    <d v="2022-07-02T02:13:25"/>
    <x v="1"/>
    <x v="1"/>
    <d v="2022-07-07T02:13:25"/>
    <s v="Declined"/>
    <m/>
    <m/>
    <d v="2022-07-04T02:13:25"/>
    <m/>
    <x v="0"/>
    <m/>
    <m/>
    <m/>
    <m/>
    <m/>
    <m/>
    <s v="C1709"/>
    <s v="Candidate_709"/>
    <s v="Jun 17 2022"/>
    <x v="2"/>
    <s v="Job Board"/>
    <n v="6"/>
    <m/>
    <x v="0"/>
    <m/>
    <m/>
    <x v="0"/>
    <x v="0"/>
    <m/>
    <x v="0"/>
    <x v="0"/>
  </r>
  <r>
    <n v="82"/>
    <s v="82 | Communication and Advocacy"/>
    <x v="8"/>
    <x v="2"/>
    <x v="11"/>
    <x v="12"/>
    <s v="Operations-Lead"/>
    <x v="1"/>
    <d v="2022-06-17T02:13:25"/>
    <x v="416"/>
    <x v="137"/>
    <n v="2"/>
    <d v="2022-06-28T02:13:25"/>
    <s v="Yes"/>
    <d v="2022-06-26T02:13:25"/>
    <x v="0"/>
    <x v="3"/>
    <m/>
    <m/>
    <m/>
    <m/>
    <m/>
    <m/>
    <x v="0"/>
    <m/>
    <m/>
    <m/>
    <m/>
    <s v="Candidate"/>
    <m/>
    <s v="C1710"/>
    <s v="Candidate_710"/>
    <s v="06-08-2022"/>
    <x v="0"/>
    <s v="Referral"/>
    <n v="6"/>
    <m/>
    <x v="0"/>
    <m/>
    <m/>
    <x v="0"/>
    <x v="0"/>
    <m/>
    <x v="1"/>
    <x v="0"/>
  </r>
  <r>
    <n v="45"/>
    <s v="45 | Communication and Advocacy"/>
    <x v="6"/>
    <x v="2"/>
    <x v="11"/>
    <x v="12"/>
    <s v="Operations-Lead"/>
    <x v="1"/>
    <d v="2022-03-02T21:14:55"/>
    <x v="384"/>
    <x v="129"/>
    <n v="7"/>
    <d v="2022-03-19T21:14:55"/>
    <s v="No"/>
    <m/>
    <x v="2"/>
    <x v="1"/>
    <m/>
    <m/>
    <m/>
    <m/>
    <m/>
    <m/>
    <x v="0"/>
    <m/>
    <m/>
    <m/>
    <m/>
    <m/>
    <m/>
    <s v="C1711"/>
    <s v="Candidate_711"/>
    <m/>
    <x v="1"/>
    <s v="Linkedin"/>
    <n v="3"/>
    <m/>
    <x v="0"/>
    <m/>
    <m/>
    <x v="0"/>
    <x v="0"/>
    <m/>
    <x v="1"/>
    <x v="0"/>
  </r>
  <r>
    <n v="2988"/>
    <s v="2988 | M and E"/>
    <x v="9"/>
    <x v="3"/>
    <x v="12"/>
    <x v="12"/>
    <s v="M and E-Lead"/>
    <x v="3"/>
    <d v="2022-12-28T23:42:41"/>
    <x v="418"/>
    <x v="138"/>
    <n v="12"/>
    <d v="2023-01-30T23:42:41"/>
    <s v="Yes"/>
    <d v="2023-01-07T23:42:41"/>
    <x v="0"/>
    <x v="3"/>
    <m/>
    <m/>
    <m/>
    <m/>
    <m/>
    <m/>
    <x v="0"/>
    <m/>
    <m/>
    <m/>
    <m/>
    <s v="Company"/>
    <m/>
    <s v="C1712"/>
    <s v="Candidate_712"/>
    <s v="12-21-2022"/>
    <x v="1"/>
    <s v="Linkedin"/>
    <n v="3"/>
    <m/>
    <x v="0"/>
    <m/>
    <m/>
    <x v="0"/>
    <x v="0"/>
    <m/>
    <x v="1"/>
    <x v="0"/>
  </r>
  <r>
    <n v="2981"/>
    <s v="2981 | M and E"/>
    <x v="9"/>
    <x v="3"/>
    <x v="12"/>
    <x v="12"/>
    <s v="M and E-Lead"/>
    <x v="3"/>
    <d v="2022-12-29T23:42:41"/>
    <x v="419"/>
    <x v="139"/>
    <n v="10"/>
    <d v="2023-01-16T23:42:41"/>
    <s v="Yes"/>
    <d v="2023-01-20T23:42:41"/>
    <x v="0"/>
    <x v="2"/>
    <m/>
    <m/>
    <m/>
    <m/>
    <m/>
    <m/>
    <x v="0"/>
    <m/>
    <m/>
    <m/>
    <m/>
    <s v="Company"/>
    <m/>
    <s v="C1713"/>
    <s v="Candidate_713"/>
    <s v="01-11-2023"/>
    <x v="2"/>
    <s v="Job Board"/>
    <n v="3"/>
    <m/>
    <x v="0"/>
    <m/>
    <m/>
    <x v="0"/>
    <x v="0"/>
    <m/>
    <x v="1"/>
    <x v="0"/>
  </r>
  <r>
    <n v="2902"/>
    <s v="2902 | M and E"/>
    <x v="9"/>
    <x v="3"/>
    <x v="12"/>
    <x v="12"/>
    <s v="M and E-Lead"/>
    <x v="3"/>
    <d v="2022-02-27T07:11:44"/>
    <x v="420"/>
    <x v="140"/>
    <n v="8"/>
    <d v="2022-04-21T07:11:44"/>
    <s v="Yes"/>
    <d v="2022-03-09T07:11:44"/>
    <x v="0"/>
    <x v="3"/>
    <m/>
    <m/>
    <m/>
    <m/>
    <m/>
    <m/>
    <x v="0"/>
    <m/>
    <m/>
    <m/>
    <m/>
    <s v="Company"/>
    <m/>
    <s v="C1714"/>
    <s v="Candidate_714"/>
    <s v="Feb 27 2022"/>
    <x v="1"/>
    <s v="Linkedin"/>
    <n v="6"/>
    <m/>
    <x v="0"/>
    <m/>
    <m/>
    <x v="0"/>
    <x v="0"/>
    <m/>
    <x v="1"/>
    <x v="0"/>
  </r>
  <r>
    <n v="2901"/>
    <s v="2901 | M and E"/>
    <x v="9"/>
    <x v="3"/>
    <x v="12"/>
    <x v="12"/>
    <s v="M and E-Lead"/>
    <x v="3"/>
    <d v="2022-02-28T07:11:44"/>
    <x v="421"/>
    <x v="141"/>
    <n v="8"/>
    <d v="2022-04-22T07:11:44"/>
    <s v="Yes"/>
    <d v="2022-03-17T07:11:44"/>
    <x v="0"/>
    <x v="0"/>
    <m/>
    <m/>
    <m/>
    <m/>
    <m/>
    <m/>
    <x v="0"/>
    <m/>
    <m/>
    <m/>
    <m/>
    <s v="Company"/>
    <m/>
    <s v="C1715"/>
    <s v="Candidate_715"/>
    <s v="02-26-2022"/>
    <x v="0"/>
    <s v="Referral"/>
    <n v="6"/>
    <m/>
    <x v="0"/>
    <m/>
    <m/>
    <x v="0"/>
    <x v="0"/>
    <m/>
    <x v="1"/>
    <x v="0"/>
  </r>
  <r>
    <n v="2817"/>
    <s v="2817 | M and E"/>
    <x v="9"/>
    <x v="3"/>
    <x v="12"/>
    <x v="12"/>
    <s v="M and E-Lead"/>
    <x v="3"/>
    <d v="2022-11-30T20:42:08"/>
    <x v="422"/>
    <x v="142"/>
    <n v="3"/>
    <d v="2022-12-25T20:42:08"/>
    <s v="Yes"/>
    <d v="2022-12-12T20:42:08"/>
    <x v="0"/>
    <x v="5"/>
    <m/>
    <m/>
    <m/>
    <m/>
    <d v="2022-12-16T20:42:08"/>
    <m/>
    <x v="0"/>
    <m/>
    <m/>
    <m/>
    <m/>
    <s v="Candidate"/>
    <m/>
    <s v="C1716"/>
    <s v="Candidate_716"/>
    <s v="Nov 26 2022"/>
    <x v="1"/>
    <s v="Linkedin"/>
    <n v="3"/>
    <m/>
    <x v="0"/>
    <m/>
    <m/>
    <x v="0"/>
    <x v="0"/>
    <m/>
    <x v="1"/>
    <x v="0"/>
  </r>
  <r>
    <n v="2696"/>
    <s v="2696 | M and E"/>
    <x v="9"/>
    <x v="3"/>
    <x v="12"/>
    <x v="12"/>
    <s v="M and E-Lead"/>
    <x v="3"/>
    <d v="2023-04-01T23:49:48"/>
    <x v="423"/>
    <x v="143"/>
    <n v="6"/>
    <d v="2023-05-02T23:49:48"/>
    <s v="Yes"/>
    <d v="2023-04-18T23:49:48"/>
    <x v="0"/>
    <x v="2"/>
    <m/>
    <m/>
    <m/>
    <m/>
    <m/>
    <m/>
    <x v="0"/>
    <m/>
    <m/>
    <m/>
    <m/>
    <s v="Company"/>
    <m/>
    <s v="C1717"/>
    <s v="Candidate_717"/>
    <s v="12/04/2023"/>
    <x v="2"/>
    <s v="Job Board"/>
    <n v="6"/>
    <m/>
    <x v="0"/>
    <m/>
    <m/>
    <x v="0"/>
    <x v="0"/>
    <m/>
    <x v="1"/>
    <x v="0"/>
  </r>
  <r>
    <n v="2347"/>
    <s v="2347 | M and E"/>
    <x v="9"/>
    <x v="3"/>
    <x v="12"/>
    <x v="12"/>
    <s v="M and E-Lead"/>
    <x v="3"/>
    <d v="2023-05-09T08:44:55"/>
    <x v="424"/>
    <x v="144"/>
    <n v="5"/>
    <d v="2023-06-01T08:44:55"/>
    <s v="Yes"/>
    <d v="2023-05-22T08:44:55"/>
    <x v="0"/>
    <x v="5"/>
    <m/>
    <m/>
    <m/>
    <m/>
    <m/>
    <m/>
    <x v="0"/>
    <m/>
    <m/>
    <m/>
    <m/>
    <s v="Candidate"/>
    <m/>
    <s v="C1718"/>
    <s v="Candidate_718"/>
    <s v="May 04 2023"/>
    <x v="1"/>
    <s v="Linkedin"/>
    <n v="3"/>
    <m/>
    <x v="0"/>
    <m/>
    <m/>
    <x v="0"/>
    <x v="0"/>
    <m/>
    <x v="1"/>
    <x v="0"/>
  </r>
  <r>
    <n v="2298"/>
    <s v="2298 | M and E"/>
    <x v="9"/>
    <x v="3"/>
    <x v="12"/>
    <x v="12"/>
    <s v="M and E-Lead"/>
    <x v="3"/>
    <d v="2023-07-02T15:45:36"/>
    <x v="425"/>
    <x v="145"/>
    <n v="4"/>
    <d v="2023-07-16T15:45:36"/>
    <s v="Yes"/>
    <d v="2023-07-20T15:45:36"/>
    <x v="0"/>
    <x v="2"/>
    <m/>
    <m/>
    <m/>
    <m/>
    <d v="2023-07-22T15:45:36"/>
    <m/>
    <x v="0"/>
    <m/>
    <m/>
    <m/>
    <m/>
    <s v="Company"/>
    <m/>
    <s v="C1719"/>
    <s v="Candidate_719"/>
    <s v="14/07/2023"/>
    <x v="0"/>
    <s v="Referral"/>
    <n v="3"/>
    <m/>
    <x v="0"/>
    <m/>
    <m/>
    <x v="0"/>
    <x v="0"/>
    <m/>
    <x v="1"/>
    <x v="0"/>
  </r>
  <r>
    <n v="2048"/>
    <s v="2048 | M and E"/>
    <x v="10"/>
    <x v="3"/>
    <x v="12"/>
    <x v="12"/>
    <s v="M and E-Lead"/>
    <x v="3"/>
    <d v="2022-07-13T04:48:46"/>
    <x v="426"/>
    <x v="146"/>
    <n v="10"/>
    <d v="2022-08-01T04:48:46"/>
    <s v="Yes"/>
    <d v="2022-08-02T04:48:46"/>
    <x v="0"/>
    <x v="3"/>
    <m/>
    <m/>
    <m/>
    <m/>
    <m/>
    <m/>
    <x v="0"/>
    <m/>
    <m/>
    <m/>
    <m/>
    <s v="Company"/>
    <m/>
    <s v="C1720"/>
    <s v="Candidate_720"/>
    <s v="23/07/2022"/>
    <x v="0"/>
    <s v="Referral"/>
    <n v="3"/>
    <m/>
    <x v="0"/>
    <m/>
    <m/>
    <x v="0"/>
    <x v="0"/>
    <m/>
    <x v="1"/>
    <x v="0"/>
  </r>
  <r>
    <n v="2019"/>
    <s v="2019 | M and E"/>
    <x v="9"/>
    <x v="3"/>
    <x v="12"/>
    <x v="12"/>
    <s v="M and E-Lead"/>
    <x v="3"/>
    <d v="2023-06-05T14:00:49"/>
    <x v="427"/>
    <x v="147"/>
    <n v="4"/>
    <d v="2023-07-05T14:00:49"/>
    <s v="Yes"/>
    <d v="2023-06-14T14:00:49"/>
    <x v="0"/>
    <x v="2"/>
    <m/>
    <m/>
    <m/>
    <m/>
    <d v="2023-06-17T14:00:49"/>
    <m/>
    <x v="0"/>
    <m/>
    <m/>
    <m/>
    <m/>
    <s v="Company"/>
    <m/>
    <s v="C1721"/>
    <s v="Candidate_721"/>
    <s v="06-04-2023"/>
    <x v="0"/>
    <s v="Referral"/>
    <n v="6"/>
    <m/>
    <x v="0"/>
    <m/>
    <m/>
    <x v="0"/>
    <x v="0"/>
    <m/>
    <x v="1"/>
    <x v="0"/>
  </r>
  <r>
    <n v="1948"/>
    <s v="1948 | M and E"/>
    <x v="10"/>
    <x v="3"/>
    <x v="12"/>
    <x v="4"/>
    <s v="M and E-Senior Manager"/>
    <x v="3"/>
    <d v="2023-02-24T06:20:20"/>
    <x v="428"/>
    <x v="148"/>
    <n v="9"/>
    <d v="2023-03-22T06:20:20"/>
    <s v="Yes"/>
    <d v="2023-03-20T06:20:20"/>
    <x v="0"/>
    <x v="2"/>
    <m/>
    <m/>
    <m/>
    <m/>
    <m/>
    <m/>
    <x v="0"/>
    <m/>
    <m/>
    <m/>
    <m/>
    <s v="Company"/>
    <m/>
    <s v="C1722"/>
    <s v="Candidate_722"/>
    <s v="Mar 15 2023"/>
    <x v="1"/>
    <s v="Linkedin"/>
    <n v="3"/>
    <m/>
    <x v="0"/>
    <m/>
    <m/>
    <x v="0"/>
    <x v="0"/>
    <m/>
    <x v="1"/>
    <x v="0"/>
  </r>
  <r>
    <n v="1840"/>
    <s v="1840 | M and E"/>
    <x v="10"/>
    <x v="3"/>
    <x v="12"/>
    <x v="4"/>
    <s v="M and E-Senior Manager"/>
    <x v="3"/>
    <d v="2023-04-21T08:48:53"/>
    <x v="0"/>
    <x v="149"/>
    <n v="3"/>
    <d v="2023-05-06T08:48:53"/>
    <s v="Yes"/>
    <d v="2023-05-01T08:48:53"/>
    <x v="0"/>
    <x v="3"/>
    <m/>
    <m/>
    <m/>
    <m/>
    <m/>
    <m/>
    <x v="0"/>
    <m/>
    <m/>
    <m/>
    <m/>
    <s v="Company"/>
    <m/>
    <s v="C1723"/>
    <s v="Candidate_723"/>
    <s v="14/04/2023"/>
    <x v="1"/>
    <s v="Linkedin"/>
    <n v="3"/>
    <m/>
    <x v="0"/>
    <m/>
    <m/>
    <x v="0"/>
    <x v="0"/>
    <m/>
    <x v="0"/>
    <x v="0"/>
  </r>
  <r>
    <n v="1781"/>
    <s v="1781 | M and E"/>
    <x v="9"/>
    <x v="3"/>
    <x v="12"/>
    <x v="4"/>
    <s v="M and E-Senior Manager"/>
    <x v="3"/>
    <d v="2022-04-07T08:33:21"/>
    <x v="429"/>
    <x v="150"/>
    <n v="7"/>
    <d v="2022-04-24T08:33:21"/>
    <s v="Yes"/>
    <d v="2022-04-22T08:33:21"/>
    <x v="0"/>
    <x v="5"/>
    <m/>
    <m/>
    <m/>
    <m/>
    <m/>
    <m/>
    <x v="0"/>
    <m/>
    <m/>
    <m/>
    <m/>
    <s v="Company"/>
    <m/>
    <s v="C1724"/>
    <s v="Candidate_724"/>
    <s v="04-15-2022"/>
    <x v="1"/>
    <s v="Linkedin"/>
    <n v="6"/>
    <m/>
    <x v="0"/>
    <m/>
    <m/>
    <x v="0"/>
    <x v="0"/>
    <m/>
    <x v="1"/>
    <x v="0"/>
  </r>
  <r>
    <n v="1728"/>
    <s v="1728 | M and E"/>
    <x v="9"/>
    <x v="3"/>
    <x v="12"/>
    <x v="4"/>
    <s v="M and E-Senior Manager"/>
    <x v="3"/>
    <d v="2022-10-26T12:00:37"/>
    <x v="430"/>
    <x v="151"/>
    <n v="8"/>
    <d v="2022-11-27T12:00:37"/>
    <s v="Yes"/>
    <d v="2022-11-11T12:00:37"/>
    <x v="0"/>
    <x v="5"/>
    <m/>
    <m/>
    <m/>
    <m/>
    <d v="2022-11-13T12:00:37"/>
    <m/>
    <x v="0"/>
    <m/>
    <m/>
    <m/>
    <m/>
    <s v="Company"/>
    <m/>
    <s v="C1725"/>
    <s v="Candidate_725"/>
    <s v="10-23-2022"/>
    <x v="2"/>
    <s v="Job Board"/>
    <n v="3"/>
    <m/>
    <x v="0"/>
    <m/>
    <m/>
    <x v="0"/>
    <x v="0"/>
    <m/>
    <x v="1"/>
    <x v="0"/>
  </r>
  <r>
    <n v="1371"/>
    <s v="1371 | M and E"/>
    <x v="9"/>
    <x v="3"/>
    <x v="12"/>
    <x v="4"/>
    <s v="M and E-Senior Manager"/>
    <x v="3"/>
    <d v="2022-10-31T03:08:08"/>
    <x v="431"/>
    <x v="152"/>
    <n v="4"/>
    <d v="2022-11-15T03:08:08"/>
    <s v="Yes"/>
    <d v="2022-11-21T03:08:08"/>
    <x v="0"/>
    <x v="2"/>
    <m/>
    <m/>
    <m/>
    <m/>
    <d v="2022-11-25T03:08:08"/>
    <m/>
    <x v="0"/>
    <m/>
    <m/>
    <m/>
    <m/>
    <s v="Company"/>
    <m/>
    <s v="C1726"/>
    <s v="Candidate_726"/>
    <s v="11-13-2022"/>
    <x v="0"/>
    <s v="Referral"/>
    <n v="6"/>
    <m/>
    <x v="0"/>
    <m/>
    <m/>
    <x v="0"/>
    <x v="0"/>
    <m/>
    <x v="1"/>
    <x v="0"/>
  </r>
  <r>
    <n v="1058"/>
    <s v="1058 | M and E"/>
    <x v="9"/>
    <x v="3"/>
    <x v="12"/>
    <x v="4"/>
    <s v="M and E-Senior Manager"/>
    <x v="3"/>
    <d v="2023-08-15T04:19:54"/>
    <x v="0"/>
    <x v="153"/>
    <n v="10"/>
    <d v="2023-09-03T04:19:54"/>
    <s v="Yes"/>
    <d v="2023-09-05T04:19:54"/>
    <x v="0"/>
    <x v="3"/>
    <m/>
    <m/>
    <m/>
    <m/>
    <m/>
    <m/>
    <x v="0"/>
    <m/>
    <m/>
    <m/>
    <m/>
    <s v="Candidate"/>
    <m/>
    <s v="C1727"/>
    <s v="Candidate_727"/>
    <s v="Aug 28 2023"/>
    <x v="1"/>
    <s v="Linkedin"/>
    <n v="3"/>
    <m/>
    <x v="0"/>
    <m/>
    <m/>
    <x v="0"/>
    <x v="0"/>
    <m/>
    <x v="0"/>
    <x v="0"/>
  </r>
  <r>
    <n v="2986"/>
    <s v="2986 | M and E"/>
    <x v="9"/>
    <x v="3"/>
    <x v="13"/>
    <x v="13"/>
    <s v="M and E-Auditor"/>
    <x v="4"/>
    <d v="2022-12-31T23:42:41"/>
    <x v="432"/>
    <x v="154"/>
    <n v="11"/>
    <d v="2023-01-20T23:42:41"/>
    <s v="Yes"/>
    <d v="2023-01-09T23:42:41"/>
    <x v="3"/>
    <x v="1"/>
    <d v="2023-01-14T23:42:41"/>
    <s v="Accepted"/>
    <d v="2023-01-10T23:42:41"/>
    <d v="2023-01-14T23:42:41"/>
    <d v="2023-01-11T23:42:41"/>
    <d v="2023-01-16T23:42:41"/>
    <x v="1"/>
    <d v="2023-01-18T23:42:41"/>
    <d v="2023-01-21T23:42:41"/>
    <d v="2023-01-23T23:42:41"/>
    <m/>
    <m/>
    <d v="2023-02-02T23:42:41"/>
    <s v="C1728"/>
    <s v="Candidate_728"/>
    <s v="Dec 25 2022"/>
    <x v="2"/>
    <s v="Job Board"/>
    <n v="3"/>
    <m/>
    <x v="0"/>
    <m/>
    <m/>
    <x v="0"/>
    <x v="0"/>
    <m/>
    <x v="84"/>
    <x v="0"/>
  </r>
  <r>
    <n v="2903"/>
    <s v="2903 | M and E"/>
    <x v="9"/>
    <x v="3"/>
    <x v="13"/>
    <x v="13"/>
    <s v="M and E-Auditor"/>
    <x v="4"/>
    <d v="2022-02-23T07:11:44"/>
    <x v="433"/>
    <x v="4"/>
    <n v="-44615.299814814818"/>
    <d v="2022-04-16T07:11:44"/>
    <s v="Yes"/>
    <d v="2022-03-15T07:11:44"/>
    <x v="0"/>
    <x v="3"/>
    <m/>
    <m/>
    <m/>
    <m/>
    <d v="2022-03-18T07:11:44"/>
    <m/>
    <x v="0"/>
    <m/>
    <m/>
    <m/>
    <m/>
    <s v="Company"/>
    <m/>
    <s v="C1729"/>
    <s v="Candidate_729"/>
    <s v="02-25-2022"/>
    <x v="0"/>
    <s v="Referral"/>
    <n v="6"/>
    <m/>
    <x v="0"/>
    <m/>
    <m/>
    <x v="0"/>
    <x v="0"/>
    <m/>
    <x v="0"/>
    <x v="0"/>
  </r>
  <r>
    <n v="2873"/>
    <s v="2873 | M and E"/>
    <x v="9"/>
    <x v="3"/>
    <x v="13"/>
    <x v="13"/>
    <s v="M and E-Auditor"/>
    <x v="4"/>
    <d v="2023-07-04T03:57:06"/>
    <x v="0"/>
    <x v="155"/>
    <n v="11"/>
    <d v="2023-07-19T03:57:06"/>
    <s v="Yes"/>
    <d v="2023-07-16T03:57:06"/>
    <x v="0"/>
    <x v="4"/>
    <m/>
    <m/>
    <m/>
    <m/>
    <d v="2023-07-20T03:57:06"/>
    <m/>
    <x v="0"/>
    <m/>
    <m/>
    <m/>
    <m/>
    <s v="Company"/>
    <m/>
    <s v="C1730"/>
    <s v="Candidate_730"/>
    <s v="07-08-2023"/>
    <x v="2"/>
    <s v="Job Board"/>
    <n v="6"/>
    <m/>
    <x v="0"/>
    <m/>
    <m/>
    <x v="0"/>
    <x v="0"/>
    <m/>
    <x v="0"/>
    <x v="0"/>
  </r>
  <r>
    <n v="2872"/>
    <s v="2872 | M and E"/>
    <x v="11"/>
    <x v="3"/>
    <x v="13"/>
    <x v="13"/>
    <s v="M and E-Auditor"/>
    <x v="4"/>
    <d v="2023-07-10T03:57:06"/>
    <x v="434"/>
    <x v="156"/>
    <n v="8"/>
    <d v="2023-09-26T03:57:06"/>
    <s v="Yes"/>
    <d v="2023-07-22T03:57:06"/>
    <x v="0"/>
    <x v="0"/>
    <m/>
    <m/>
    <m/>
    <m/>
    <m/>
    <m/>
    <x v="0"/>
    <m/>
    <m/>
    <m/>
    <m/>
    <s v="Candidate"/>
    <m/>
    <s v="C1731"/>
    <s v="Candidate_731"/>
    <s v="08/07/2023"/>
    <x v="1"/>
    <s v="Linkedin"/>
    <n v="3"/>
    <m/>
    <x v="0"/>
    <m/>
    <m/>
    <x v="0"/>
    <x v="0"/>
    <m/>
    <x v="1"/>
    <x v="0"/>
  </r>
  <r>
    <n v="2820"/>
    <s v="2820 | M and E"/>
    <x v="10"/>
    <x v="3"/>
    <x v="13"/>
    <x v="13"/>
    <s v="M and E-Auditor"/>
    <x v="4"/>
    <d v="2022-11-30T20:42:08"/>
    <x v="422"/>
    <x v="142"/>
    <n v="3"/>
    <d v="2022-12-26T20:42:08"/>
    <s v="Yes"/>
    <d v="2022-12-18T20:42:08"/>
    <x v="0"/>
    <x v="2"/>
    <m/>
    <m/>
    <m/>
    <m/>
    <m/>
    <m/>
    <x v="0"/>
    <m/>
    <m/>
    <m/>
    <m/>
    <s v="Company"/>
    <m/>
    <s v="C1732"/>
    <s v="Candidate_732"/>
    <s v="12-07-2022"/>
    <x v="0"/>
    <s v="Referral"/>
    <n v="3"/>
    <m/>
    <x v="0"/>
    <m/>
    <m/>
    <x v="0"/>
    <x v="0"/>
    <m/>
    <x v="1"/>
    <x v="0"/>
  </r>
  <r>
    <n v="2813"/>
    <s v="2813 | M and E"/>
    <x v="9"/>
    <x v="3"/>
    <x v="13"/>
    <x v="13"/>
    <s v="M and E-Auditor"/>
    <x v="4"/>
    <d v="2022-11-29T20:42:08"/>
    <x v="422"/>
    <x v="142"/>
    <n v="4"/>
    <d v="2022-12-23T20:42:08"/>
    <s v="No"/>
    <m/>
    <x v="2"/>
    <x v="1"/>
    <m/>
    <m/>
    <m/>
    <m/>
    <m/>
    <m/>
    <x v="0"/>
    <m/>
    <m/>
    <m/>
    <m/>
    <m/>
    <m/>
    <s v="C1733"/>
    <s v="Candidate_733"/>
    <m/>
    <x v="1"/>
    <s v="Linkedin"/>
    <n v="6"/>
    <m/>
    <x v="0"/>
    <m/>
    <m/>
    <x v="0"/>
    <x v="0"/>
    <m/>
    <x v="1"/>
    <x v="0"/>
  </r>
  <r>
    <n v="2715"/>
    <s v="2715 | M and E"/>
    <x v="9"/>
    <x v="3"/>
    <x v="13"/>
    <x v="13"/>
    <s v="M and E-Auditor"/>
    <x v="4"/>
    <m/>
    <x v="435"/>
    <x v="157"/>
    <n v="44958.0546412037"/>
    <d v="2023-03-01T01:18:41"/>
    <s v="Yes"/>
    <d v="2023-02-06T01:18:41"/>
    <x v="1"/>
    <x v="1"/>
    <d v="2023-02-10T01:18:41"/>
    <s v="Declined"/>
    <m/>
    <m/>
    <d v="2023-02-07T01:18:41"/>
    <m/>
    <x v="0"/>
    <m/>
    <m/>
    <m/>
    <m/>
    <m/>
    <m/>
    <s v="C1734"/>
    <s v="Candidate_734"/>
    <s v="19/01/2023"/>
    <x v="2"/>
    <s v="Job Board"/>
    <n v="6"/>
    <m/>
    <x v="0"/>
    <m/>
    <m/>
    <x v="0"/>
    <x v="0"/>
    <m/>
    <x v="0"/>
    <x v="0"/>
  </r>
  <r>
    <n v="2712"/>
    <s v="2712 | M and E"/>
    <x v="9"/>
    <x v="3"/>
    <x v="13"/>
    <x v="13"/>
    <s v="M and E-Auditor"/>
    <x v="4"/>
    <d v="2023-01-26T01:18:41"/>
    <x v="436"/>
    <x v="157"/>
    <n v="6"/>
    <d v="2023-02-24T01:18:41"/>
    <s v="Yes"/>
    <d v="2023-02-14T01:18:41"/>
    <x v="0"/>
    <x v="4"/>
    <m/>
    <m/>
    <m/>
    <m/>
    <d v="2023-02-18T01:18:41"/>
    <m/>
    <x v="0"/>
    <m/>
    <m/>
    <m/>
    <m/>
    <s v="Candidate"/>
    <m/>
    <s v="C1735"/>
    <s v="Candidate_735"/>
    <s v="Jan 28 2023"/>
    <x v="0"/>
    <s v="Referral"/>
    <n v="3"/>
    <m/>
    <x v="0"/>
    <m/>
    <m/>
    <x v="0"/>
    <x v="0"/>
    <m/>
    <x v="1"/>
    <x v="0"/>
  </r>
  <r>
    <n v="2711"/>
    <s v="2711 | M and E"/>
    <x v="10"/>
    <x v="3"/>
    <x v="13"/>
    <x v="13"/>
    <s v="M and E-Auditor"/>
    <x v="4"/>
    <d v="2023-01-27T01:18:41"/>
    <x v="437"/>
    <x v="157"/>
    <n v="5"/>
    <d v="2023-02-24T01:18:41"/>
    <s v="Yes"/>
    <d v="2023-02-08T01:18:41"/>
    <x v="0"/>
    <x v="0"/>
    <m/>
    <m/>
    <m/>
    <m/>
    <m/>
    <m/>
    <x v="0"/>
    <m/>
    <m/>
    <m/>
    <m/>
    <s v="Candidate"/>
    <m/>
    <s v="C1736"/>
    <s v="Candidate_736"/>
    <s v="Jan 23 2023"/>
    <x v="2"/>
    <s v="Job Board"/>
    <n v="3"/>
    <m/>
    <x v="0"/>
    <m/>
    <m/>
    <x v="0"/>
    <x v="0"/>
    <m/>
    <x v="1"/>
    <x v="0"/>
  </r>
  <r>
    <n v="2700"/>
    <s v="2700 | M and E"/>
    <x v="10"/>
    <x v="3"/>
    <x v="13"/>
    <x v="13"/>
    <s v="M and E-Auditor"/>
    <x v="4"/>
    <d v="2023-03-31T23:49:48"/>
    <x v="438"/>
    <x v="143"/>
    <n v="7"/>
    <d v="2023-04-27T23:49:48"/>
    <s v="Yes"/>
    <d v="2023-04-12T23:49:48"/>
    <x v="3"/>
    <x v="1"/>
    <d v="2023-04-19T23:49:48"/>
    <s v="Accepted"/>
    <d v="2023-04-13T23:49:48"/>
    <d v="2023-04-15T23:49:48"/>
    <d v="2023-04-16T23:49:48"/>
    <d v="2023-04-20T23:49:48"/>
    <x v="1"/>
    <d v="2023-04-22T23:49:48"/>
    <d v="2023-04-25T23:49:48"/>
    <d v="2023-04-26T23:49:48"/>
    <m/>
    <m/>
    <d v="2023-05-06T23:49:48"/>
    <s v="C1737"/>
    <s v="Candidate_737"/>
    <s v="02/04/2023"/>
    <x v="0"/>
    <s v="Referral"/>
    <n v="3"/>
    <m/>
    <x v="0"/>
    <m/>
    <m/>
    <x v="0"/>
    <x v="0"/>
    <m/>
    <x v="85"/>
    <x v="0"/>
  </r>
  <r>
    <n v="2698"/>
    <s v="2698 | M and E"/>
    <x v="11"/>
    <x v="3"/>
    <x v="13"/>
    <x v="13"/>
    <s v="M and E-Auditor"/>
    <x v="4"/>
    <d v="2023-03-31T23:49:48"/>
    <x v="0"/>
    <x v="143"/>
    <n v="7"/>
    <d v="2023-05-07T23:49:48"/>
    <s v="No"/>
    <m/>
    <x v="2"/>
    <x v="1"/>
    <m/>
    <m/>
    <m/>
    <m/>
    <m/>
    <m/>
    <x v="0"/>
    <m/>
    <m/>
    <m/>
    <m/>
    <m/>
    <m/>
    <s v="C1738"/>
    <s v="Candidate_738"/>
    <m/>
    <x v="0"/>
    <s v="Referral"/>
    <n v="6"/>
    <m/>
    <x v="0"/>
    <m/>
    <m/>
    <x v="0"/>
    <x v="0"/>
    <m/>
    <x v="0"/>
    <x v="0"/>
  </r>
  <r>
    <n v="2697"/>
    <s v="2697 | M and E"/>
    <x v="10"/>
    <x v="3"/>
    <x v="13"/>
    <x v="13"/>
    <s v="M and E-Auditor"/>
    <x v="4"/>
    <d v="2023-04-04T23:49:48"/>
    <x v="439"/>
    <x v="143"/>
    <n v="3"/>
    <d v="2023-04-12T23:49:48"/>
    <s v="Yes"/>
    <d v="2023-04-13T23:49:48"/>
    <x v="0"/>
    <x v="4"/>
    <m/>
    <m/>
    <m/>
    <m/>
    <m/>
    <m/>
    <x v="0"/>
    <m/>
    <m/>
    <m/>
    <m/>
    <s v="Company"/>
    <m/>
    <s v="C1739"/>
    <s v="Candidate_739"/>
    <s v="25/03/2023"/>
    <x v="2"/>
    <s v="Job Board"/>
    <n v="3"/>
    <m/>
    <x v="0"/>
    <m/>
    <m/>
    <x v="0"/>
    <x v="0"/>
    <m/>
    <x v="1"/>
    <x v="0"/>
  </r>
  <r>
    <n v="2654"/>
    <s v="2654 | M and E"/>
    <x v="9"/>
    <x v="3"/>
    <x v="13"/>
    <x v="13"/>
    <s v="M and E-Auditor"/>
    <x v="4"/>
    <d v="2022-02-05T10:00:31"/>
    <x v="440"/>
    <x v="158"/>
    <n v="8"/>
    <d v="2022-02-21T10:00:31"/>
    <s v="Yes"/>
    <d v="2022-02-17T10:00:31"/>
    <x v="1"/>
    <x v="1"/>
    <d v="2022-02-21T10:00:31"/>
    <s v="Declined"/>
    <m/>
    <m/>
    <d v="2022-02-19T10:00:31"/>
    <m/>
    <x v="0"/>
    <m/>
    <m/>
    <m/>
    <m/>
    <m/>
    <m/>
    <s v="C1740"/>
    <s v="Candidate_740"/>
    <s v="02-08-2022"/>
    <x v="1"/>
    <s v="Linkedin"/>
    <n v="3"/>
    <m/>
    <x v="0"/>
    <m/>
    <m/>
    <x v="0"/>
    <x v="0"/>
    <m/>
    <x v="1"/>
    <x v="0"/>
  </r>
  <r>
    <n v="2651"/>
    <s v="2651 | M and E"/>
    <x v="10"/>
    <x v="3"/>
    <x v="13"/>
    <x v="13"/>
    <s v="M and E-Auditor"/>
    <x v="4"/>
    <d v="2022-02-04T10:00:31"/>
    <x v="441"/>
    <x v="158"/>
    <n v="9"/>
    <d v="2022-03-09T10:00:31"/>
    <s v="Yes"/>
    <d v="2022-02-27T10:00:31"/>
    <x v="0"/>
    <x v="4"/>
    <m/>
    <m/>
    <m/>
    <m/>
    <d v="2022-03-03T10:00:31"/>
    <m/>
    <x v="0"/>
    <m/>
    <m/>
    <m/>
    <m/>
    <s v="Company"/>
    <m/>
    <s v="C1741"/>
    <s v="Candidate_741"/>
    <s v="Feb 15 2022"/>
    <x v="0"/>
    <s v="Referral"/>
    <n v="3"/>
    <m/>
    <x v="0"/>
    <m/>
    <m/>
    <x v="0"/>
    <x v="0"/>
    <m/>
    <x v="1"/>
    <x v="0"/>
  </r>
  <r>
    <n v="2499"/>
    <s v="2499 | M and E"/>
    <x v="9"/>
    <x v="3"/>
    <x v="13"/>
    <x v="13"/>
    <s v="M and E-Auditor"/>
    <x v="4"/>
    <d v="2022-01-29T13:06:55"/>
    <x v="442"/>
    <x v="159"/>
    <n v="7"/>
    <d v="2022-02-26T13:06:55"/>
    <s v="Yes"/>
    <d v="2022-02-17T13:06:55"/>
    <x v="3"/>
    <x v="1"/>
    <d v="2022-02-21T13:06:55"/>
    <s v="Accepted"/>
    <d v="2022-02-19T13:06:55"/>
    <d v="2022-02-21T13:06:55"/>
    <d v="2022-02-18T13:06:55"/>
    <d v="2022-02-19T13:06:55"/>
    <x v="1"/>
    <d v="2022-02-20T13:06:55"/>
    <d v="2022-02-21T13:06:55"/>
    <d v="2022-02-22T13:06:55"/>
    <m/>
    <m/>
    <d v="2022-03-14T13:06:55"/>
    <s v="C1742"/>
    <s v="Candidate_742"/>
    <s v="Feb 06 2022"/>
    <x v="1"/>
    <s v="Linkedin"/>
    <n v="3"/>
    <m/>
    <x v="0"/>
    <m/>
    <m/>
    <x v="0"/>
    <x v="0"/>
    <m/>
    <x v="86"/>
    <x v="0"/>
  </r>
  <r>
    <n v="2498"/>
    <s v="2498 | M and E"/>
    <x v="11"/>
    <x v="3"/>
    <x v="13"/>
    <x v="13"/>
    <s v="M and E-Auditor"/>
    <x v="4"/>
    <d v="2022-01-31T13:06:55"/>
    <x v="442"/>
    <x v="159"/>
    <n v="5"/>
    <d v="2022-02-26T13:06:55"/>
    <s v="Yes"/>
    <d v="2022-02-07T13:06:55"/>
    <x v="0"/>
    <x v="4"/>
    <m/>
    <m/>
    <m/>
    <m/>
    <m/>
    <m/>
    <x v="0"/>
    <m/>
    <m/>
    <m/>
    <m/>
    <s v="Candidate"/>
    <m/>
    <s v="C1743"/>
    <s v="Candidate_743"/>
    <s v="25/01/2022"/>
    <x v="1"/>
    <s v="Linkedin"/>
    <n v="3"/>
    <m/>
    <x v="0"/>
    <m/>
    <m/>
    <x v="0"/>
    <x v="0"/>
    <m/>
    <x v="1"/>
    <x v="0"/>
  </r>
  <r>
    <n v="2494"/>
    <s v="2494 | M and E"/>
    <x v="9"/>
    <x v="3"/>
    <x v="13"/>
    <x v="13"/>
    <s v="M and E-Auditor"/>
    <x v="4"/>
    <d v="2022-02-01T13:06:55"/>
    <x v="443"/>
    <x v="159"/>
    <n v="4"/>
    <d v="2022-02-12T13:06:55"/>
    <s v="No"/>
    <m/>
    <x v="2"/>
    <x v="1"/>
    <m/>
    <m/>
    <m/>
    <m/>
    <m/>
    <m/>
    <x v="0"/>
    <m/>
    <m/>
    <m/>
    <m/>
    <m/>
    <m/>
    <s v="C1744"/>
    <s v="Candidate_744"/>
    <m/>
    <x v="2"/>
    <s v="Job Board"/>
    <n v="3"/>
    <m/>
    <x v="0"/>
    <m/>
    <m/>
    <x v="0"/>
    <x v="0"/>
    <m/>
    <x v="1"/>
    <x v="0"/>
  </r>
  <r>
    <n v="2346"/>
    <s v="2346 | M and E"/>
    <x v="10"/>
    <x v="3"/>
    <x v="13"/>
    <x v="13"/>
    <s v="M and E-Auditor"/>
    <x v="4"/>
    <d v="2023-05-12T08:44:55"/>
    <x v="444"/>
    <x v="144"/>
    <n v="2"/>
    <d v="2023-05-29T08:44:55"/>
    <s v="No"/>
    <m/>
    <x v="2"/>
    <x v="1"/>
    <m/>
    <m/>
    <m/>
    <m/>
    <m/>
    <m/>
    <x v="0"/>
    <m/>
    <m/>
    <m/>
    <m/>
    <m/>
    <m/>
    <s v="C1745"/>
    <s v="Candidate_745"/>
    <m/>
    <x v="0"/>
    <s v="Referral"/>
    <n v="6"/>
    <m/>
    <x v="0"/>
    <m/>
    <m/>
    <x v="0"/>
    <x v="0"/>
    <m/>
    <x v="1"/>
    <x v="0"/>
  </r>
  <r>
    <n v="2208"/>
    <s v="2208 | M and E"/>
    <x v="9"/>
    <x v="3"/>
    <x v="13"/>
    <x v="13"/>
    <s v="M and E-Auditor"/>
    <x v="4"/>
    <d v="2023-06-15T04:51:46"/>
    <x v="445"/>
    <x v="160"/>
    <n v="6"/>
    <d v="2023-06-28T04:51:46"/>
    <s v="No"/>
    <m/>
    <x v="2"/>
    <x v="1"/>
    <m/>
    <m/>
    <m/>
    <m/>
    <m/>
    <m/>
    <x v="0"/>
    <m/>
    <m/>
    <m/>
    <m/>
    <m/>
    <m/>
    <s v="C1746"/>
    <s v="Candidate_746"/>
    <m/>
    <x v="1"/>
    <s v="Linkedin"/>
    <n v="3"/>
    <m/>
    <x v="0"/>
    <m/>
    <m/>
    <x v="0"/>
    <x v="0"/>
    <m/>
    <x v="1"/>
    <x v="0"/>
  </r>
  <r>
    <n v="2207"/>
    <s v="2207 | M and E"/>
    <x v="10"/>
    <x v="3"/>
    <x v="13"/>
    <x v="13"/>
    <s v="M and E-Auditor"/>
    <x v="4"/>
    <m/>
    <x v="0"/>
    <x v="160"/>
    <n v="45098.202615740738"/>
    <d v="2023-07-12T04:51:46"/>
    <s v="Yes"/>
    <d v="2023-06-27T04:51:46"/>
    <x v="0"/>
    <x v="3"/>
    <m/>
    <m/>
    <m/>
    <m/>
    <d v="2023-06-29T04:51:46"/>
    <m/>
    <x v="0"/>
    <m/>
    <m/>
    <m/>
    <m/>
    <s v="Company"/>
    <m/>
    <s v="C1747"/>
    <s v="Candidate_747"/>
    <s v="06-15-2023"/>
    <x v="1"/>
    <s v="Linkedin"/>
    <n v="3"/>
    <m/>
    <x v="0"/>
    <m/>
    <m/>
    <x v="0"/>
    <x v="0"/>
    <m/>
    <x v="0"/>
    <x v="0"/>
  </r>
  <r>
    <n v="2205"/>
    <s v="2205 | M and E"/>
    <x v="11"/>
    <x v="3"/>
    <x v="13"/>
    <x v="13"/>
    <s v="M and E-Auditor"/>
    <x v="4"/>
    <d v="2023-06-17T04:51:46"/>
    <x v="446"/>
    <x v="160"/>
    <n v="4"/>
    <d v="2023-07-13T04:51:46"/>
    <s v="Yes"/>
    <d v="2023-06-28T04:51:46"/>
    <x v="3"/>
    <x v="1"/>
    <d v="2023-07-01T04:51:46"/>
    <s v="Accepted"/>
    <d v="2023-06-30T04:51:46"/>
    <d v="2023-07-04T04:51:46"/>
    <d v="2023-06-30T04:51:46"/>
    <d v="2023-07-02T04:51:46"/>
    <x v="1"/>
    <d v="2023-07-06T04:51:46"/>
    <d v="2023-07-09T04:51:46"/>
    <d v="2023-07-12T04:51:46"/>
    <m/>
    <m/>
    <d v="2023-07-27T04:51:46"/>
    <s v="C1748"/>
    <s v="Candidate_748"/>
    <s v="Jun 18 2023"/>
    <x v="0"/>
    <s v="Referral"/>
    <n v="6"/>
    <m/>
    <x v="0"/>
    <m/>
    <m/>
    <x v="0"/>
    <x v="0"/>
    <m/>
    <x v="87"/>
    <x v="0"/>
  </r>
  <r>
    <n v="2184"/>
    <s v="2184 | M and E"/>
    <x v="9"/>
    <x v="3"/>
    <x v="13"/>
    <x v="13"/>
    <s v="M and E-Auditor"/>
    <x v="4"/>
    <m/>
    <x v="447"/>
    <x v="161"/>
    <n v="45000.531736111108"/>
    <d v="2023-03-29T12:45:42"/>
    <s v="Yes"/>
    <d v="2023-03-30T12:45:42"/>
    <x v="1"/>
    <x v="1"/>
    <d v="2023-04-04T12:45:42"/>
    <s v="Declined"/>
    <m/>
    <m/>
    <d v="2023-04-02T12:45:42"/>
    <m/>
    <x v="0"/>
    <m/>
    <m/>
    <m/>
    <m/>
    <m/>
    <m/>
    <s v="C1749"/>
    <s v="Candidate_749"/>
    <s v="18/03/2023"/>
    <x v="0"/>
    <s v="Referral"/>
    <n v="6"/>
    <m/>
    <x v="0"/>
    <m/>
    <m/>
    <x v="0"/>
    <x v="0"/>
    <m/>
    <x v="0"/>
    <x v="0"/>
  </r>
  <r>
    <n v="2183"/>
    <s v="2183 | M and E"/>
    <x v="11"/>
    <x v="3"/>
    <x v="13"/>
    <x v="13"/>
    <s v="M and E-Auditor"/>
    <x v="4"/>
    <m/>
    <x v="448"/>
    <x v="161"/>
    <n v="45000.531736111108"/>
    <d v="2023-03-31T12:45:42"/>
    <s v="Yes"/>
    <d v="2023-03-23T12:45:42"/>
    <x v="0"/>
    <x v="5"/>
    <m/>
    <m/>
    <m/>
    <m/>
    <d v="2023-03-24T12:45:42"/>
    <m/>
    <x v="0"/>
    <m/>
    <m/>
    <m/>
    <m/>
    <s v="Candidate"/>
    <m/>
    <s v="C1750"/>
    <s v="Candidate_750"/>
    <s v="Mar 13 2023"/>
    <x v="1"/>
    <s v="Linkedin"/>
    <n v="6"/>
    <m/>
    <x v="0"/>
    <m/>
    <m/>
    <x v="0"/>
    <x v="0"/>
    <m/>
    <x v="0"/>
    <x v="0"/>
  </r>
  <r>
    <n v="2181"/>
    <s v="2181 | M and E"/>
    <x v="11"/>
    <x v="3"/>
    <x v="13"/>
    <x v="13"/>
    <s v="M and E-Auditor"/>
    <x v="4"/>
    <d v="2023-03-11T12:45:42"/>
    <x v="448"/>
    <x v="4"/>
    <n v="-44996.531736111108"/>
    <d v="2023-03-23T12:45:42"/>
    <s v="No"/>
    <m/>
    <x v="2"/>
    <x v="1"/>
    <m/>
    <m/>
    <m/>
    <m/>
    <m/>
    <m/>
    <x v="0"/>
    <m/>
    <m/>
    <m/>
    <m/>
    <m/>
    <m/>
    <s v="C1751"/>
    <s v="Candidate_751"/>
    <m/>
    <x v="2"/>
    <s v="Job Board"/>
    <n v="3"/>
    <m/>
    <x v="0"/>
    <m/>
    <m/>
    <x v="0"/>
    <x v="0"/>
    <m/>
    <x v="0"/>
    <x v="0"/>
  </r>
  <r>
    <n v="2080"/>
    <s v="2080 | M and E"/>
    <x v="11"/>
    <x v="3"/>
    <x v="13"/>
    <x v="13"/>
    <s v="M and E-Auditor"/>
    <x v="4"/>
    <m/>
    <x v="449"/>
    <x v="4"/>
    <n v="0"/>
    <d v="2023-01-07T10:35:07"/>
    <s v="Yes"/>
    <d v="2023-01-11T10:35:07"/>
    <x v="3"/>
    <x v="1"/>
    <d v="2023-01-17T10:35:07"/>
    <s v="Accepted"/>
    <d v="2023-01-12T10:35:07"/>
    <d v="2023-01-13T10:35:07"/>
    <d v="2023-01-14T10:35:07"/>
    <d v="2023-01-18T10:35:07"/>
    <x v="1"/>
    <d v="2023-01-22T10:35:07"/>
    <d v="2023-01-23T10:35:07"/>
    <d v="2023-01-26T10:35:07"/>
    <m/>
    <m/>
    <d v="2023-02-07T10:35:07"/>
    <s v="C1752"/>
    <s v="Candidate_752"/>
    <s v="12-31-2022"/>
    <x v="0"/>
    <s v="Referral"/>
    <n v="6"/>
    <m/>
    <x v="0"/>
    <m/>
    <m/>
    <x v="0"/>
    <x v="0"/>
    <m/>
    <x v="0"/>
    <x v="0"/>
  </r>
  <r>
    <n v="2075"/>
    <s v="2075 | M and E"/>
    <x v="11"/>
    <x v="3"/>
    <x v="13"/>
    <x v="13"/>
    <s v="M and E-Auditor"/>
    <x v="4"/>
    <d v="2022-12-26T10:35:07"/>
    <x v="0"/>
    <x v="4"/>
    <n v="-44921.441053240742"/>
    <d v="2023-01-08T10:35:07"/>
    <s v="Yes"/>
    <d v="2023-01-05T10:35:07"/>
    <x v="0"/>
    <x v="3"/>
    <m/>
    <m/>
    <m/>
    <m/>
    <m/>
    <m/>
    <x v="0"/>
    <m/>
    <m/>
    <m/>
    <m/>
    <s v="Candidate"/>
    <m/>
    <s v="C1753"/>
    <s v="Candidate_753"/>
    <s v="12-29-2022"/>
    <x v="2"/>
    <s v="Job Board"/>
    <n v="3"/>
    <m/>
    <x v="0"/>
    <m/>
    <m/>
    <x v="0"/>
    <x v="0"/>
    <m/>
    <x v="0"/>
    <x v="0"/>
  </r>
  <r>
    <n v="2074"/>
    <s v="2074 | M and E"/>
    <x v="9"/>
    <x v="3"/>
    <x v="13"/>
    <x v="13"/>
    <s v="M and E-Auditor"/>
    <x v="4"/>
    <d v="2022-12-21T10:35:07"/>
    <x v="449"/>
    <x v="162"/>
    <n v="7"/>
    <d v="2023-01-04T10:35:07"/>
    <s v="Yes"/>
    <d v="2023-01-15T10:35:07"/>
    <x v="0"/>
    <x v="5"/>
    <m/>
    <m/>
    <m/>
    <m/>
    <m/>
    <m/>
    <x v="0"/>
    <m/>
    <m/>
    <m/>
    <m/>
    <s v="Candidate"/>
    <m/>
    <s v="C1754"/>
    <s v="Candidate_754"/>
    <s v="01-03-2023"/>
    <x v="1"/>
    <s v="Linkedin"/>
    <n v="6"/>
    <m/>
    <x v="0"/>
    <m/>
    <m/>
    <x v="0"/>
    <x v="0"/>
    <m/>
    <x v="1"/>
    <x v="0"/>
  </r>
  <r>
    <n v="2049"/>
    <s v="2049 | M and E"/>
    <x v="9"/>
    <x v="3"/>
    <x v="13"/>
    <x v="13"/>
    <s v="M and E-Auditor"/>
    <x v="4"/>
    <d v="2022-07-20T04:48:46"/>
    <x v="450"/>
    <x v="4"/>
    <n v="-44762.200532407413"/>
    <d v="2022-08-09T04:48:46"/>
    <s v="No"/>
    <m/>
    <x v="2"/>
    <x v="1"/>
    <m/>
    <m/>
    <m/>
    <m/>
    <m/>
    <m/>
    <x v="0"/>
    <m/>
    <m/>
    <m/>
    <m/>
    <m/>
    <m/>
    <s v="C1755"/>
    <s v="Candidate_755"/>
    <m/>
    <x v="0"/>
    <s v="Referral"/>
    <n v="3"/>
    <m/>
    <x v="0"/>
    <m/>
    <m/>
    <x v="0"/>
    <x v="0"/>
    <m/>
    <x v="0"/>
    <x v="0"/>
  </r>
  <r>
    <n v="2046"/>
    <s v="2046 | M and E"/>
    <x v="9"/>
    <x v="3"/>
    <x v="13"/>
    <x v="13"/>
    <s v="M and E-Auditor"/>
    <x v="4"/>
    <d v="2022-07-13T04:48:46"/>
    <x v="426"/>
    <x v="146"/>
    <n v="10"/>
    <d v="2022-08-21T04:48:46"/>
    <s v="No"/>
    <m/>
    <x v="2"/>
    <x v="1"/>
    <m/>
    <m/>
    <m/>
    <m/>
    <m/>
    <m/>
    <x v="0"/>
    <m/>
    <m/>
    <m/>
    <m/>
    <m/>
    <m/>
    <s v="C1756"/>
    <s v="Candidate_756"/>
    <m/>
    <x v="0"/>
    <s v="Referral"/>
    <n v="3"/>
    <m/>
    <x v="0"/>
    <m/>
    <m/>
    <x v="0"/>
    <x v="0"/>
    <m/>
    <x v="1"/>
    <x v="0"/>
  </r>
  <r>
    <n v="2041"/>
    <s v="2041 | M and E"/>
    <x v="9"/>
    <x v="3"/>
    <x v="13"/>
    <x v="13"/>
    <s v="M and E-Auditor"/>
    <x v="4"/>
    <d v="2022-07-20T04:48:46"/>
    <x v="450"/>
    <x v="146"/>
    <n v="3"/>
    <d v="2022-08-15T04:48:46"/>
    <s v="Yes"/>
    <d v="2022-08-04T04:48:46"/>
    <x v="0"/>
    <x v="4"/>
    <m/>
    <m/>
    <m/>
    <m/>
    <m/>
    <m/>
    <x v="0"/>
    <m/>
    <m/>
    <m/>
    <m/>
    <s v="Company"/>
    <m/>
    <s v="C1757"/>
    <s v="Candidate_757"/>
    <s v="07-27-2022"/>
    <x v="2"/>
    <s v="Job Board"/>
    <n v="3"/>
    <m/>
    <x v="0"/>
    <m/>
    <m/>
    <x v="0"/>
    <x v="0"/>
    <m/>
    <x v="1"/>
    <x v="0"/>
  </r>
  <r>
    <n v="2017"/>
    <s v="2017 | M and E"/>
    <x v="10"/>
    <x v="3"/>
    <x v="13"/>
    <x v="10"/>
    <s v="M and E-Business Partner"/>
    <x v="4"/>
    <d v="2023-06-03T14:00:49"/>
    <x v="451"/>
    <x v="147"/>
    <n v="6"/>
    <d v="2023-06-21T14:00:49"/>
    <s v="Yes"/>
    <d v="2023-06-20T14:00:49"/>
    <x v="0"/>
    <x v="4"/>
    <m/>
    <m/>
    <m/>
    <m/>
    <m/>
    <m/>
    <x v="0"/>
    <m/>
    <m/>
    <m/>
    <m/>
    <s v="Company"/>
    <m/>
    <s v="C1758"/>
    <s v="Candidate_758"/>
    <s v="11/06/2023"/>
    <x v="2"/>
    <s v="Job Board"/>
    <n v="6"/>
    <m/>
    <x v="0"/>
    <m/>
    <m/>
    <x v="0"/>
    <x v="0"/>
    <m/>
    <x v="1"/>
    <x v="0"/>
  </r>
  <r>
    <n v="2014"/>
    <s v="2014 | M and E"/>
    <x v="11"/>
    <x v="3"/>
    <x v="13"/>
    <x v="10"/>
    <s v="M and E-Business Partner"/>
    <x v="4"/>
    <d v="2023-06-03T14:00:49"/>
    <x v="452"/>
    <x v="147"/>
    <n v="6"/>
    <d v="2023-06-25T14:00:49"/>
    <s v="Yes"/>
    <d v="2023-06-23T14:00:49"/>
    <x v="0"/>
    <x v="0"/>
    <m/>
    <m/>
    <m/>
    <m/>
    <m/>
    <m/>
    <x v="0"/>
    <m/>
    <m/>
    <m/>
    <m/>
    <s v="Company"/>
    <m/>
    <s v="C1759"/>
    <s v="Candidate_759"/>
    <s v="Jun 08 2023"/>
    <x v="2"/>
    <s v="Job Board"/>
    <n v="6"/>
    <m/>
    <x v="0"/>
    <m/>
    <m/>
    <x v="0"/>
    <x v="0"/>
    <m/>
    <x v="1"/>
    <x v="0"/>
  </r>
  <r>
    <n v="2011"/>
    <s v="2011 | M and E"/>
    <x v="10"/>
    <x v="3"/>
    <x v="13"/>
    <x v="10"/>
    <s v="M and E-Business Partner"/>
    <x v="4"/>
    <d v="2023-06-04T14:00:49"/>
    <x v="427"/>
    <x v="147"/>
    <n v="5"/>
    <d v="2023-07-06T14:00:49"/>
    <s v="Yes"/>
    <d v="2023-06-25T14:00:49"/>
    <x v="4"/>
    <x v="1"/>
    <d v="2023-06-30T14:00:49"/>
    <s v="Pending"/>
    <m/>
    <m/>
    <d v="2023-06-27T14:00:49"/>
    <m/>
    <x v="0"/>
    <m/>
    <m/>
    <m/>
    <m/>
    <m/>
    <m/>
    <s v="C1760"/>
    <s v="Candidate_760"/>
    <s v="Jun 10 2023"/>
    <x v="0"/>
    <s v="Referral"/>
    <n v="6"/>
    <m/>
    <x v="0"/>
    <m/>
    <m/>
    <x v="0"/>
    <x v="0"/>
    <m/>
    <x v="1"/>
    <x v="0"/>
  </r>
  <r>
    <n v="1949"/>
    <s v="1949 | M and E"/>
    <x v="11"/>
    <x v="3"/>
    <x v="13"/>
    <x v="10"/>
    <s v="M and E-Business Partner"/>
    <x v="4"/>
    <d v="2023-02-27T06:20:20"/>
    <x v="453"/>
    <x v="148"/>
    <n v="6"/>
    <d v="2023-03-29T06:20:20"/>
    <s v="Yes"/>
    <d v="2023-03-08T06:20:20"/>
    <x v="4"/>
    <x v="1"/>
    <d v="2023-03-12T06:20:20"/>
    <s v="Pending"/>
    <m/>
    <m/>
    <d v="2023-03-10T06:20:20"/>
    <m/>
    <x v="0"/>
    <m/>
    <m/>
    <m/>
    <m/>
    <m/>
    <m/>
    <s v="C1761"/>
    <s v="Candidate_761"/>
    <s v="03-01-2023"/>
    <x v="1"/>
    <s v="Linkedin"/>
    <n v="3"/>
    <m/>
    <x v="0"/>
    <m/>
    <m/>
    <x v="0"/>
    <x v="0"/>
    <m/>
    <x v="1"/>
    <x v="0"/>
  </r>
  <r>
    <n v="1946"/>
    <s v="1946 | M and E"/>
    <x v="10"/>
    <x v="3"/>
    <x v="13"/>
    <x v="10"/>
    <s v="M and E-Business Partner"/>
    <x v="4"/>
    <d v="2023-02-28T06:20:20"/>
    <x v="453"/>
    <x v="148"/>
    <n v="5"/>
    <d v="2023-03-18T06:20:20"/>
    <s v="Yes"/>
    <d v="2023-03-11T06:20:20"/>
    <x v="3"/>
    <x v="1"/>
    <d v="2023-03-13T06:20:20"/>
    <s v="Accepted"/>
    <d v="2023-03-13T06:20:20"/>
    <d v="2023-03-15T06:20:20"/>
    <d v="2023-03-12T06:20:20"/>
    <d v="2023-03-17T06:20:20"/>
    <x v="1"/>
    <d v="2023-03-20T06:20:20"/>
    <d v="2023-03-21T06:20:20"/>
    <d v="2023-03-22T06:20:20"/>
    <m/>
    <m/>
    <d v="2023-04-05T06:20:20"/>
    <s v="C1762"/>
    <s v="Candidate_762"/>
    <s v="Feb 23 2023"/>
    <x v="2"/>
    <s v="Job Board"/>
    <n v="3"/>
    <m/>
    <x v="0"/>
    <m/>
    <m/>
    <x v="0"/>
    <x v="0"/>
    <m/>
    <x v="88"/>
    <x v="0"/>
  </r>
  <r>
    <n v="1941"/>
    <s v="1941 | M and E"/>
    <x v="10"/>
    <x v="3"/>
    <x v="13"/>
    <x v="10"/>
    <s v="M and E-Business Partner"/>
    <x v="4"/>
    <d v="2023-02-25T06:20:20"/>
    <x v="428"/>
    <x v="148"/>
    <n v="8"/>
    <d v="2023-03-16T06:20:20"/>
    <s v="No"/>
    <m/>
    <x v="2"/>
    <x v="1"/>
    <m/>
    <m/>
    <m/>
    <m/>
    <m/>
    <m/>
    <x v="0"/>
    <m/>
    <m/>
    <m/>
    <m/>
    <m/>
    <m/>
    <s v="C1763"/>
    <s v="Candidate_763"/>
    <m/>
    <x v="2"/>
    <s v="Job Board"/>
    <n v="3"/>
    <m/>
    <x v="0"/>
    <m/>
    <m/>
    <x v="0"/>
    <x v="0"/>
    <m/>
    <x v="1"/>
    <x v="0"/>
  </r>
  <r>
    <n v="1836"/>
    <s v="1836 | M and E"/>
    <x v="9"/>
    <x v="3"/>
    <x v="13"/>
    <x v="10"/>
    <s v="M and E-Business Partner"/>
    <x v="4"/>
    <d v="2023-04-18T08:48:53"/>
    <x v="454"/>
    <x v="149"/>
    <n v="6"/>
    <d v="2023-05-17T08:48:53"/>
    <s v="Yes"/>
    <d v="2023-05-08T08:48:53"/>
    <x v="0"/>
    <x v="0"/>
    <m/>
    <m/>
    <m/>
    <m/>
    <m/>
    <m/>
    <x v="0"/>
    <m/>
    <m/>
    <m/>
    <m/>
    <s v="Candidate"/>
    <m/>
    <s v="C1764"/>
    <s v="Candidate_764"/>
    <s v="04-21-2023"/>
    <x v="0"/>
    <s v="Referral"/>
    <n v="3"/>
    <m/>
    <x v="0"/>
    <m/>
    <m/>
    <x v="0"/>
    <x v="0"/>
    <m/>
    <x v="1"/>
    <x v="0"/>
  </r>
  <r>
    <n v="1788"/>
    <s v="1788 | M and E"/>
    <x v="10"/>
    <x v="3"/>
    <x v="13"/>
    <x v="10"/>
    <s v="M and E-Business Partner"/>
    <x v="4"/>
    <m/>
    <x v="455"/>
    <x v="150"/>
    <n v="44665.356493055559"/>
    <d v="2022-05-13T08:33:21"/>
    <s v="Yes"/>
    <d v="2022-04-17T08:33:21"/>
    <x v="3"/>
    <x v="1"/>
    <d v="2022-04-25T08:33:21"/>
    <s v="Accepted"/>
    <d v="2022-04-19T08:33:21"/>
    <d v="2022-04-21T08:33:21"/>
    <d v="2022-04-21T08:33:21"/>
    <d v="2022-04-28T08:33:21"/>
    <x v="1"/>
    <d v="2022-05-02T08:33:21"/>
    <d v="2022-05-05T08:33:21"/>
    <d v="2022-05-08T08:33:21"/>
    <m/>
    <m/>
    <d v="2022-05-17T08:33:21"/>
    <s v="C1765"/>
    <s v="Candidate_765"/>
    <s v="11/04/2022"/>
    <x v="2"/>
    <s v="Job Board"/>
    <n v="6"/>
    <m/>
    <x v="0"/>
    <m/>
    <m/>
    <x v="0"/>
    <x v="0"/>
    <m/>
    <x v="0"/>
    <x v="0"/>
  </r>
  <r>
    <n v="1784"/>
    <s v="1784 | M and E"/>
    <x v="9"/>
    <x v="3"/>
    <x v="13"/>
    <x v="10"/>
    <s v="M and E-Business Partner"/>
    <x v="4"/>
    <d v="2022-04-06T08:33:21"/>
    <x v="456"/>
    <x v="150"/>
    <n v="8"/>
    <d v="2022-04-21T08:33:21"/>
    <s v="Yes"/>
    <d v="2022-04-20T08:33:21"/>
    <x v="3"/>
    <x v="1"/>
    <d v="2022-04-28T08:33:21"/>
    <s v="Accepted"/>
    <d v="2022-04-21T08:33:21"/>
    <d v="2022-04-22T08:33:21"/>
    <d v="2022-04-24T08:33:21"/>
    <d v="2022-05-01T08:33:21"/>
    <x v="1"/>
    <d v="2022-05-04T08:33:21"/>
    <d v="2022-05-06T08:33:21"/>
    <d v="2022-05-08T08:33:21"/>
    <m/>
    <m/>
    <d v="2022-05-23T08:33:21"/>
    <s v="C1766"/>
    <s v="Candidate_766"/>
    <s v="Apr 06 2022"/>
    <x v="0"/>
    <s v="Referral"/>
    <n v="6"/>
    <m/>
    <x v="0"/>
    <m/>
    <m/>
    <x v="0"/>
    <x v="0"/>
    <m/>
    <x v="89"/>
    <x v="0"/>
  </r>
  <r>
    <n v="1767"/>
    <s v="1767 | M and E"/>
    <x v="10"/>
    <x v="3"/>
    <x v="13"/>
    <x v="10"/>
    <s v="M and E-Business Partner"/>
    <x v="4"/>
    <d v="2023-06-19T15:39:43"/>
    <x v="457"/>
    <x v="4"/>
    <n v="-45096.652581018519"/>
    <d v="2023-07-09T15:39:43"/>
    <s v="Yes"/>
    <d v="2023-07-05T15:39:43"/>
    <x v="1"/>
    <x v="1"/>
    <d v="2023-07-11T15:39:43"/>
    <s v="Declined"/>
    <m/>
    <m/>
    <d v="2023-07-09T15:39:43"/>
    <m/>
    <x v="0"/>
    <m/>
    <m/>
    <m/>
    <m/>
    <m/>
    <m/>
    <s v="C1767"/>
    <s v="Candidate_767"/>
    <s v="Jun 26 2023"/>
    <x v="0"/>
    <s v="Referral"/>
    <n v="3"/>
    <m/>
    <x v="0"/>
    <m/>
    <m/>
    <x v="0"/>
    <x v="0"/>
    <m/>
    <x v="0"/>
    <x v="0"/>
  </r>
  <r>
    <n v="1766"/>
    <s v="1766 | M and E"/>
    <x v="11"/>
    <x v="3"/>
    <x v="13"/>
    <x v="10"/>
    <s v="M and E-Business Partner"/>
    <x v="4"/>
    <d v="2023-06-22T15:39:43"/>
    <x v="458"/>
    <x v="163"/>
    <n v="6"/>
    <d v="2023-07-17T15:39:43"/>
    <s v="Yes"/>
    <d v="2023-07-14T15:39:43"/>
    <x v="0"/>
    <x v="0"/>
    <m/>
    <m/>
    <m/>
    <m/>
    <d v="2023-07-18T15:39:43"/>
    <m/>
    <x v="0"/>
    <m/>
    <m/>
    <m/>
    <m/>
    <s v="Candidate"/>
    <m/>
    <s v="C1768"/>
    <s v="Candidate_768"/>
    <s v="06-30-2023"/>
    <x v="2"/>
    <s v="Job Board"/>
    <n v="3"/>
    <m/>
    <x v="0"/>
    <m/>
    <m/>
    <x v="0"/>
    <x v="0"/>
    <m/>
    <x v="1"/>
    <x v="0"/>
  </r>
  <r>
    <n v="1763"/>
    <s v="1763 | M and E"/>
    <x v="9"/>
    <x v="3"/>
    <x v="13"/>
    <x v="10"/>
    <s v="M and E-Business Partner"/>
    <x v="4"/>
    <d v="2023-06-21T15:39:43"/>
    <x v="459"/>
    <x v="163"/>
    <n v="7"/>
    <d v="2023-07-25T15:39:43"/>
    <s v="Yes"/>
    <d v="2023-07-02T15:39:43"/>
    <x v="0"/>
    <x v="3"/>
    <m/>
    <m/>
    <m/>
    <m/>
    <m/>
    <m/>
    <x v="0"/>
    <m/>
    <m/>
    <m/>
    <m/>
    <s v="Candidate"/>
    <m/>
    <s v="C1769"/>
    <s v="Candidate_769"/>
    <s v="24/06/2023"/>
    <x v="2"/>
    <s v="Job Board"/>
    <n v="6"/>
    <m/>
    <x v="0"/>
    <m/>
    <m/>
    <x v="0"/>
    <x v="0"/>
    <m/>
    <x v="1"/>
    <x v="0"/>
  </r>
  <r>
    <n v="1761"/>
    <s v="1761 | M and E"/>
    <x v="11"/>
    <x v="3"/>
    <x v="13"/>
    <x v="10"/>
    <s v="M and E-Business Partner"/>
    <x v="4"/>
    <d v="2023-06-24T15:39:43"/>
    <x v="460"/>
    <x v="163"/>
    <n v="4"/>
    <d v="2023-07-06T15:39:43"/>
    <s v="No"/>
    <m/>
    <x v="2"/>
    <x v="1"/>
    <m/>
    <m/>
    <m/>
    <m/>
    <m/>
    <m/>
    <x v="0"/>
    <m/>
    <m/>
    <m/>
    <m/>
    <m/>
    <m/>
    <s v="C1770"/>
    <s v="Candidate_770"/>
    <m/>
    <x v="2"/>
    <s v="Job Board"/>
    <n v="3"/>
    <m/>
    <x v="0"/>
    <m/>
    <m/>
    <x v="0"/>
    <x v="0"/>
    <m/>
    <x v="1"/>
    <x v="0"/>
  </r>
  <r>
    <n v="1660"/>
    <s v="1660 | M and E"/>
    <x v="10"/>
    <x v="3"/>
    <x v="13"/>
    <x v="10"/>
    <s v="M and E-Business Partner"/>
    <x v="4"/>
    <d v="2022-11-09T04:40:47"/>
    <x v="461"/>
    <x v="164"/>
    <n v="9"/>
    <d v="2022-11-25T04:40:47"/>
    <s v="No"/>
    <m/>
    <x v="2"/>
    <x v="1"/>
    <m/>
    <m/>
    <m/>
    <m/>
    <m/>
    <m/>
    <x v="0"/>
    <m/>
    <m/>
    <m/>
    <m/>
    <m/>
    <m/>
    <s v="C1771"/>
    <s v="Candidate_771"/>
    <m/>
    <x v="0"/>
    <s v="Referral"/>
    <n v="6"/>
    <m/>
    <x v="0"/>
    <m/>
    <m/>
    <x v="0"/>
    <x v="0"/>
    <m/>
    <x v="1"/>
    <x v="0"/>
  </r>
  <r>
    <n v="1655"/>
    <s v="1655 | M and E"/>
    <x v="9"/>
    <x v="3"/>
    <x v="13"/>
    <x v="10"/>
    <s v="M and E-Business Partner"/>
    <x v="4"/>
    <m/>
    <x v="462"/>
    <x v="164"/>
    <n v="44883.194988425923"/>
    <d v="2022-12-14T04:40:47"/>
    <s v="Yes"/>
    <d v="2022-11-30T04:40:47"/>
    <x v="3"/>
    <x v="1"/>
    <d v="2022-12-05T04:40:47"/>
    <s v="Accepted"/>
    <d v="2022-12-01T04:40:47"/>
    <d v="2022-12-05T04:40:47"/>
    <d v="2022-12-02T04:40:47"/>
    <d v="2022-12-09T04:40:47"/>
    <x v="1"/>
    <d v="2022-12-11T04:40:47"/>
    <d v="2022-12-14T04:40:47"/>
    <d v="2022-12-16T04:40:47"/>
    <m/>
    <m/>
    <d v="2023-01-01T04:40:47"/>
    <s v="C1772"/>
    <s v="Candidate_772"/>
    <s v="15/11/2022"/>
    <x v="0"/>
    <s v="Referral"/>
    <n v="3"/>
    <m/>
    <x v="0"/>
    <m/>
    <m/>
    <x v="0"/>
    <x v="0"/>
    <m/>
    <x v="0"/>
    <x v="0"/>
  </r>
  <r>
    <n v="1653"/>
    <s v="1653 | M and E"/>
    <x v="9"/>
    <x v="3"/>
    <x v="13"/>
    <x v="10"/>
    <s v="M and E-Business Partner"/>
    <x v="4"/>
    <d v="2022-11-11T04:40:47"/>
    <x v="461"/>
    <x v="164"/>
    <n v="7"/>
    <d v="2022-12-09T04:40:47"/>
    <s v="No"/>
    <m/>
    <x v="2"/>
    <x v="1"/>
    <m/>
    <m/>
    <m/>
    <m/>
    <m/>
    <m/>
    <x v="0"/>
    <m/>
    <m/>
    <m/>
    <m/>
    <m/>
    <m/>
    <s v="C1773"/>
    <s v="Candidate_773"/>
    <m/>
    <x v="2"/>
    <s v="Job Board"/>
    <n v="6"/>
    <m/>
    <x v="0"/>
    <m/>
    <m/>
    <x v="0"/>
    <x v="0"/>
    <m/>
    <x v="1"/>
    <x v="0"/>
  </r>
  <r>
    <n v="1630"/>
    <s v="1630 | M and E"/>
    <x v="9"/>
    <x v="3"/>
    <x v="13"/>
    <x v="10"/>
    <s v="M and E-Business Partner"/>
    <x v="4"/>
    <d v="2022-03-17T07:08:59"/>
    <x v="463"/>
    <x v="165"/>
    <n v="8"/>
    <d v="2022-04-05T07:08:59"/>
    <s v="Yes"/>
    <d v="2022-04-04T07:08:59"/>
    <x v="0"/>
    <x v="0"/>
    <m/>
    <m/>
    <m/>
    <m/>
    <m/>
    <m/>
    <x v="0"/>
    <m/>
    <m/>
    <m/>
    <m/>
    <s v="Candidate"/>
    <m/>
    <s v="C1774"/>
    <s v="Candidate_774"/>
    <s v="03-23-2022"/>
    <x v="2"/>
    <s v="Job Board"/>
    <n v="6"/>
    <m/>
    <x v="0"/>
    <m/>
    <m/>
    <x v="0"/>
    <x v="0"/>
    <m/>
    <x v="1"/>
    <x v="0"/>
  </r>
  <r>
    <n v="1627"/>
    <s v="1627 | M and E"/>
    <x v="9"/>
    <x v="3"/>
    <x v="13"/>
    <x v="10"/>
    <s v="M and E-Business Partner"/>
    <x v="4"/>
    <d v="2022-03-18T07:08:59"/>
    <x v="0"/>
    <x v="165"/>
    <n v="7"/>
    <d v="2022-04-21T07:08:59"/>
    <s v="Yes"/>
    <d v="2022-04-10T07:08:59"/>
    <x v="0"/>
    <x v="3"/>
    <m/>
    <m/>
    <m/>
    <m/>
    <d v="2022-04-13T07:08:59"/>
    <m/>
    <x v="0"/>
    <m/>
    <m/>
    <m/>
    <m/>
    <s v="Candidate"/>
    <m/>
    <s v="C1775"/>
    <s v="Candidate_775"/>
    <s v="Mar 22 2022"/>
    <x v="1"/>
    <s v="Linkedin"/>
    <n v="6"/>
    <m/>
    <x v="0"/>
    <m/>
    <m/>
    <x v="0"/>
    <x v="0"/>
    <m/>
    <x v="0"/>
    <x v="0"/>
  </r>
  <r>
    <n v="1480"/>
    <s v="1480 | M and E"/>
    <x v="9"/>
    <x v="3"/>
    <x v="13"/>
    <x v="10"/>
    <s v="M and E-Business Partner"/>
    <x v="4"/>
    <d v="2023-01-19T06:41:41"/>
    <x v="464"/>
    <x v="166"/>
    <n v="9"/>
    <d v="2023-02-18T06:41:41"/>
    <s v="Yes"/>
    <d v="2023-02-02T06:41:41"/>
    <x v="0"/>
    <x v="4"/>
    <m/>
    <m/>
    <m/>
    <m/>
    <d v="2023-02-03T06:41:41"/>
    <m/>
    <x v="0"/>
    <m/>
    <m/>
    <m/>
    <m/>
    <s v="Candidate"/>
    <m/>
    <s v="C1776"/>
    <s v="Candidate_776"/>
    <s v="Jan 17 2023"/>
    <x v="2"/>
    <s v="Job Board"/>
    <n v="3"/>
    <m/>
    <x v="0"/>
    <m/>
    <m/>
    <x v="0"/>
    <x v="0"/>
    <m/>
    <x v="1"/>
    <x v="0"/>
  </r>
  <r>
    <n v="1476"/>
    <s v="1476 | M and E"/>
    <x v="9"/>
    <x v="3"/>
    <x v="13"/>
    <x v="10"/>
    <s v="M and E-Business Partner"/>
    <x v="4"/>
    <d v="2023-01-22T06:41:41"/>
    <x v="465"/>
    <x v="166"/>
    <n v="6"/>
    <d v="2023-02-15T06:41:41"/>
    <s v="Yes"/>
    <d v="2023-01-30T06:41:41"/>
    <x v="1"/>
    <x v="1"/>
    <d v="2023-02-04T06:41:41"/>
    <s v="Declined"/>
    <m/>
    <m/>
    <d v="2023-02-03T06:41:41"/>
    <m/>
    <x v="0"/>
    <m/>
    <m/>
    <m/>
    <m/>
    <m/>
    <m/>
    <s v="C1777"/>
    <s v="Candidate_777"/>
    <s v="Jan 18 2023"/>
    <x v="1"/>
    <s v="Linkedin"/>
    <n v="3"/>
    <m/>
    <x v="0"/>
    <m/>
    <m/>
    <x v="0"/>
    <x v="0"/>
    <m/>
    <x v="1"/>
    <x v="0"/>
  </r>
  <r>
    <n v="1474"/>
    <s v="1474 | M and E"/>
    <x v="9"/>
    <x v="3"/>
    <x v="13"/>
    <x v="10"/>
    <s v="M and E-Business Partner"/>
    <x v="4"/>
    <d v="2023-01-23T06:41:41"/>
    <x v="465"/>
    <x v="166"/>
    <n v="5"/>
    <d v="2023-02-27T06:41:41"/>
    <s v="Yes"/>
    <d v="2023-02-10T06:41:41"/>
    <x v="0"/>
    <x v="0"/>
    <m/>
    <m/>
    <m/>
    <m/>
    <d v="2023-02-14T06:41:41"/>
    <m/>
    <x v="0"/>
    <m/>
    <m/>
    <m/>
    <m/>
    <s v="Company"/>
    <m/>
    <s v="C1778"/>
    <s v="Candidate_778"/>
    <s v="25/01/2023"/>
    <x v="1"/>
    <s v="Linkedin"/>
    <n v="6"/>
    <m/>
    <x v="0"/>
    <m/>
    <m/>
    <x v="0"/>
    <x v="0"/>
    <m/>
    <x v="1"/>
    <x v="0"/>
  </r>
  <r>
    <n v="1472"/>
    <s v="1472 | M and E"/>
    <x v="9"/>
    <x v="3"/>
    <x v="13"/>
    <x v="10"/>
    <s v="M and E-Business Partner"/>
    <x v="4"/>
    <d v="2023-01-22T06:41:41"/>
    <x v="466"/>
    <x v="166"/>
    <n v="6"/>
    <d v="2023-02-07T06:41:41"/>
    <s v="Yes"/>
    <d v="2023-02-10T06:41:41"/>
    <x v="4"/>
    <x v="1"/>
    <d v="2023-02-18T06:41:41"/>
    <s v="Pending"/>
    <m/>
    <m/>
    <d v="2023-02-14T06:41:41"/>
    <m/>
    <x v="0"/>
    <m/>
    <m/>
    <m/>
    <m/>
    <m/>
    <m/>
    <s v="C1779"/>
    <s v="Candidate_779"/>
    <s v="02/02/2023"/>
    <x v="0"/>
    <s v="Referral"/>
    <n v="3"/>
    <m/>
    <x v="0"/>
    <m/>
    <m/>
    <x v="0"/>
    <x v="0"/>
    <m/>
    <x v="1"/>
    <x v="0"/>
  </r>
  <r>
    <n v="1471"/>
    <s v="1471 | M and E"/>
    <x v="10"/>
    <x v="3"/>
    <x v="13"/>
    <x v="10"/>
    <s v="M and E-Business Partner"/>
    <x v="4"/>
    <d v="2023-01-18T06:41:41"/>
    <x v="464"/>
    <x v="166"/>
    <n v="10"/>
    <d v="2023-02-15T06:41:41"/>
    <s v="Yes"/>
    <d v="2023-02-12T06:41:41"/>
    <x v="1"/>
    <x v="1"/>
    <d v="2023-02-16T06:41:41"/>
    <s v="Declined"/>
    <m/>
    <m/>
    <d v="2023-02-14T06:41:41"/>
    <m/>
    <x v="0"/>
    <m/>
    <m/>
    <m/>
    <m/>
    <m/>
    <m/>
    <s v="C1780"/>
    <s v="Candidate_780"/>
    <s v="28/01/2023"/>
    <x v="2"/>
    <s v="Job Board"/>
    <n v="3"/>
    <m/>
    <x v="0"/>
    <m/>
    <m/>
    <x v="0"/>
    <x v="0"/>
    <m/>
    <x v="1"/>
    <x v="0"/>
  </r>
  <r>
    <n v="1380"/>
    <s v="1380 | M and E"/>
    <x v="11"/>
    <x v="3"/>
    <x v="13"/>
    <x v="0"/>
    <s v="M and E-Analyst"/>
    <x v="4"/>
    <d v="2022-10-27T03:08:08"/>
    <x v="467"/>
    <x v="152"/>
    <n v="8"/>
    <d v="2022-11-22T03:08:08"/>
    <s v="Yes"/>
    <d v="2022-11-05T03:08:08"/>
    <x v="0"/>
    <x v="4"/>
    <m/>
    <m/>
    <m/>
    <m/>
    <m/>
    <m/>
    <x v="0"/>
    <m/>
    <m/>
    <m/>
    <m/>
    <s v="Company"/>
    <m/>
    <s v="C1781"/>
    <s v="Candidate_781"/>
    <s v="17/10/2022"/>
    <x v="0"/>
    <s v="Referral"/>
    <n v="3"/>
    <m/>
    <x v="0"/>
    <m/>
    <m/>
    <x v="0"/>
    <x v="0"/>
    <m/>
    <x v="1"/>
    <x v="0"/>
  </r>
  <r>
    <n v="1375"/>
    <s v="1375 | M and E"/>
    <x v="10"/>
    <x v="3"/>
    <x v="13"/>
    <x v="0"/>
    <s v="M and E-Analyst"/>
    <x v="4"/>
    <d v="2022-10-25T03:08:08"/>
    <x v="468"/>
    <x v="4"/>
    <n v="-44859.130648148152"/>
    <d v="2022-11-24T03:08:08"/>
    <s v="Yes"/>
    <d v="2022-11-16T03:08:08"/>
    <x v="0"/>
    <x v="0"/>
    <m/>
    <m/>
    <m/>
    <m/>
    <d v="2022-11-17T03:08:08"/>
    <m/>
    <x v="0"/>
    <m/>
    <m/>
    <m/>
    <m/>
    <s v="Candidate"/>
    <m/>
    <s v="C1782"/>
    <s v="Candidate_782"/>
    <s v="Nov 11 2022"/>
    <x v="1"/>
    <s v="Linkedin"/>
    <n v="6"/>
    <m/>
    <x v="0"/>
    <m/>
    <m/>
    <x v="0"/>
    <x v="0"/>
    <m/>
    <x v="0"/>
    <x v="0"/>
  </r>
  <r>
    <n v="1349"/>
    <s v="1349 | M and E"/>
    <x v="10"/>
    <x v="3"/>
    <x v="13"/>
    <x v="0"/>
    <s v="M and E-Analyst"/>
    <x v="4"/>
    <d v="2023-06-15T00:56:18"/>
    <x v="469"/>
    <x v="167"/>
    <n v="8"/>
    <d v="2023-07-22T00:56:18"/>
    <s v="Yes"/>
    <d v="2023-06-30T00:56:18"/>
    <x v="0"/>
    <x v="2"/>
    <m/>
    <m/>
    <m/>
    <m/>
    <m/>
    <m/>
    <x v="0"/>
    <m/>
    <m/>
    <m/>
    <m/>
    <s v="Candidate"/>
    <m/>
    <s v="C1783"/>
    <s v="Candidate_783"/>
    <s v="Jun 17 2023"/>
    <x v="1"/>
    <s v="Linkedin"/>
    <n v="3"/>
    <m/>
    <x v="0"/>
    <m/>
    <m/>
    <x v="0"/>
    <x v="0"/>
    <m/>
    <x v="1"/>
    <x v="0"/>
  </r>
  <r>
    <n v="1344"/>
    <s v="1344 | M and E"/>
    <x v="9"/>
    <x v="3"/>
    <x v="13"/>
    <x v="0"/>
    <s v="M and E-Analyst"/>
    <x v="4"/>
    <d v="2023-06-14T00:56:18"/>
    <x v="469"/>
    <x v="167"/>
    <n v="9"/>
    <d v="2023-07-16T00:56:18"/>
    <s v="Yes"/>
    <d v="2023-06-28T00:56:18"/>
    <x v="1"/>
    <x v="1"/>
    <d v="2023-07-01T00:56:18"/>
    <s v="Declined"/>
    <m/>
    <m/>
    <d v="2023-06-30T00:56:18"/>
    <m/>
    <x v="0"/>
    <m/>
    <m/>
    <m/>
    <m/>
    <m/>
    <m/>
    <s v="C1784"/>
    <s v="Candidate_784"/>
    <s v="12/06/2023"/>
    <x v="0"/>
    <s v="Referral"/>
    <n v="3"/>
    <m/>
    <x v="0"/>
    <m/>
    <m/>
    <x v="0"/>
    <x v="0"/>
    <m/>
    <x v="1"/>
    <x v="0"/>
  </r>
  <r>
    <n v="1092"/>
    <s v="1092 | M and E"/>
    <x v="9"/>
    <x v="3"/>
    <x v="13"/>
    <x v="0"/>
    <s v="M and E-Analyst"/>
    <x v="4"/>
    <m/>
    <x v="470"/>
    <x v="168"/>
    <n v="45046.26462962963"/>
    <d v="2023-05-27T06:21:04"/>
    <s v="Yes"/>
    <d v="2023-05-04T06:21:04"/>
    <x v="3"/>
    <x v="1"/>
    <d v="2023-05-09T06:21:04"/>
    <s v="Accepted"/>
    <d v="2023-05-06T06:21:04"/>
    <d v="2023-05-09T06:21:04"/>
    <d v="2023-05-06T06:21:04"/>
    <d v="2023-05-16T06:21:04"/>
    <x v="1"/>
    <d v="2023-05-17T06:21:04"/>
    <d v="2023-05-18T06:21:04"/>
    <d v="2023-05-19T06:21:04"/>
    <m/>
    <m/>
    <d v="2023-06-06T06:21:04"/>
    <s v="C1785"/>
    <s v="Candidate_785"/>
    <s v="04-27-2023"/>
    <x v="1"/>
    <s v="Linkedin"/>
    <n v="6"/>
    <m/>
    <x v="0"/>
    <m/>
    <m/>
    <x v="0"/>
    <x v="0"/>
    <m/>
    <x v="0"/>
    <x v="0"/>
  </r>
  <r>
    <n v="1052"/>
    <s v="1052 | M and E"/>
    <x v="10"/>
    <x v="3"/>
    <x v="13"/>
    <x v="0"/>
    <s v="M and E-Analyst"/>
    <x v="4"/>
    <d v="2023-08-20T04:19:54"/>
    <x v="471"/>
    <x v="153"/>
    <n v="5"/>
    <d v="2023-09-02T04:19:54"/>
    <s v="Yes"/>
    <d v="2023-08-31T04:19:54"/>
    <x v="0"/>
    <x v="0"/>
    <m/>
    <m/>
    <m/>
    <m/>
    <d v="2023-09-01T04:19:54"/>
    <m/>
    <x v="0"/>
    <m/>
    <m/>
    <m/>
    <m/>
    <s v="Candidate"/>
    <m/>
    <s v="C1786"/>
    <s v="Candidate_786"/>
    <s v="Aug 22 2023"/>
    <x v="0"/>
    <s v="Referral"/>
    <n v="3"/>
    <m/>
    <x v="0"/>
    <m/>
    <m/>
    <x v="0"/>
    <x v="0"/>
    <m/>
    <x v="1"/>
    <x v="0"/>
  </r>
  <r>
    <n v="1051"/>
    <s v="1051 | M and E"/>
    <x v="11"/>
    <x v="3"/>
    <x v="13"/>
    <x v="0"/>
    <s v="M and E-Analyst"/>
    <x v="4"/>
    <d v="2023-08-21T04:19:54"/>
    <x v="472"/>
    <x v="153"/>
    <n v="4"/>
    <d v="2023-09-08T04:19:54"/>
    <s v="No"/>
    <m/>
    <x v="2"/>
    <x v="1"/>
    <m/>
    <m/>
    <m/>
    <m/>
    <m/>
    <m/>
    <x v="0"/>
    <m/>
    <m/>
    <m/>
    <m/>
    <m/>
    <m/>
    <s v="C1787"/>
    <s v="Candidate_787"/>
    <m/>
    <x v="2"/>
    <s v="Job Board"/>
    <n v="6"/>
    <m/>
    <x v="0"/>
    <m/>
    <m/>
    <x v="0"/>
    <x v="0"/>
    <m/>
    <x v="1"/>
    <x v="0"/>
  </r>
  <r>
    <n v="1006"/>
    <s v="1006 | M and E"/>
    <x v="9"/>
    <x v="3"/>
    <x v="13"/>
    <x v="0"/>
    <s v="M and E-Analyst"/>
    <x v="4"/>
    <d v="2022-12-23T16:31:31"/>
    <x v="473"/>
    <x v="169"/>
    <n v="5"/>
    <d v="2023-01-20T16:31:31"/>
    <s v="Yes"/>
    <d v="2023-01-10T16:31:31"/>
    <x v="0"/>
    <x v="0"/>
    <m/>
    <m/>
    <m/>
    <m/>
    <d v="2023-01-14T16:31:31"/>
    <m/>
    <x v="0"/>
    <m/>
    <m/>
    <m/>
    <m/>
    <s v="Company"/>
    <m/>
    <s v="C1788"/>
    <s v="Candidate_788"/>
    <s v="04/01/2023"/>
    <x v="0"/>
    <s v="Referral"/>
    <n v="3"/>
    <m/>
    <x v="0"/>
    <m/>
    <m/>
    <x v="0"/>
    <x v="0"/>
    <m/>
    <x v="1"/>
    <x v="0"/>
  </r>
  <r>
    <n v="1004"/>
    <s v="1004 | M and E"/>
    <x v="11"/>
    <x v="3"/>
    <x v="13"/>
    <x v="0"/>
    <s v="M and E-Analyst"/>
    <x v="4"/>
    <d v="2022-12-23T16:31:31"/>
    <x v="474"/>
    <x v="169"/>
    <n v="5"/>
    <d v="2023-01-05T16:31:31"/>
    <s v="No"/>
    <m/>
    <x v="2"/>
    <x v="1"/>
    <m/>
    <m/>
    <m/>
    <m/>
    <m/>
    <m/>
    <x v="0"/>
    <m/>
    <m/>
    <m/>
    <m/>
    <m/>
    <m/>
    <s v="C1789"/>
    <s v="Candidate_789"/>
    <m/>
    <x v="0"/>
    <s v="Referral"/>
    <n v="6"/>
    <m/>
    <x v="0"/>
    <m/>
    <m/>
    <x v="0"/>
    <x v="0"/>
    <m/>
    <x v="1"/>
    <x v="0"/>
  </r>
  <r>
    <n v="1003"/>
    <s v="1003 | M and E"/>
    <x v="9"/>
    <x v="3"/>
    <x v="13"/>
    <x v="0"/>
    <s v="M and E-Analyst"/>
    <x v="4"/>
    <d v="2022-12-18T16:31:31"/>
    <x v="475"/>
    <x v="169"/>
    <n v="10"/>
    <d v="2023-01-04T16:31:31"/>
    <s v="Yes"/>
    <d v="2023-01-11T16:31:31"/>
    <x v="3"/>
    <x v="1"/>
    <d v="2023-01-15T16:31:31"/>
    <s v="Accepted"/>
    <d v="2023-01-13T16:31:31"/>
    <d v="2023-01-14T16:31:31"/>
    <d v="2023-01-12T16:31:31"/>
    <d v="2023-01-22T16:31:31"/>
    <x v="1"/>
    <d v="2023-01-25T16:31:31"/>
    <d v="2023-01-28T16:31:31"/>
    <d v="2023-01-31T16:31:31"/>
    <m/>
    <m/>
    <d v="2023-02-16T16:31:31"/>
    <s v="C1790"/>
    <s v="Candidate_790"/>
    <s v="01-06-2023"/>
    <x v="0"/>
    <s v="Referral"/>
    <n v="3"/>
    <m/>
    <x v="0"/>
    <m/>
    <m/>
    <x v="0"/>
    <x v="0"/>
    <m/>
    <x v="90"/>
    <x v="0"/>
  </r>
  <r>
    <n v="990"/>
    <s v="990 | M and E"/>
    <x v="11"/>
    <x v="3"/>
    <x v="13"/>
    <x v="0"/>
    <s v="M and E-Analyst"/>
    <x v="4"/>
    <d v="2022-08-23T05:47:20"/>
    <x v="476"/>
    <x v="170"/>
    <n v="7"/>
    <d v="2022-09-23T05:47:20"/>
    <s v="Yes"/>
    <d v="2022-09-04T05:47:20"/>
    <x v="3"/>
    <x v="1"/>
    <d v="2022-09-07T05:47:20"/>
    <s v="Accepted"/>
    <d v="2022-09-06T05:47:20"/>
    <d v="2022-09-07T05:47:20"/>
    <d v="2022-09-05T05:47:20"/>
    <d v="2022-09-08T05:47:20"/>
    <x v="1"/>
    <d v="2022-09-11T05:47:20"/>
    <d v="2022-09-14T05:47:20"/>
    <d v="2022-09-15T05:47:20"/>
    <m/>
    <m/>
    <d v="2022-10-08T05:47:20"/>
    <s v="C1791"/>
    <s v="Candidate_791"/>
    <s v="08-17-2022"/>
    <x v="2"/>
    <s v="Job Board"/>
    <n v="3"/>
    <m/>
    <x v="0"/>
    <m/>
    <m/>
    <x v="0"/>
    <x v="0"/>
    <m/>
    <x v="91"/>
    <x v="0"/>
  </r>
  <r>
    <n v="989"/>
    <s v="989 | M and E"/>
    <x v="10"/>
    <x v="3"/>
    <x v="13"/>
    <x v="0"/>
    <s v="M and E-Analyst"/>
    <x v="4"/>
    <d v="2022-08-28T05:47:20"/>
    <x v="477"/>
    <x v="170"/>
    <n v="2"/>
    <d v="2022-09-11T05:47:20"/>
    <s v="Yes"/>
    <d v="2022-09-16T05:47:20"/>
    <x v="1"/>
    <x v="1"/>
    <d v="2022-09-21T05:47:20"/>
    <s v="Declined"/>
    <m/>
    <m/>
    <d v="2022-09-17T05:47:20"/>
    <m/>
    <x v="0"/>
    <m/>
    <m/>
    <m/>
    <m/>
    <m/>
    <m/>
    <s v="C1792"/>
    <s v="Candidate_792"/>
    <s v="Sep 09 2022"/>
    <x v="1"/>
    <s v="Linkedin"/>
    <n v="3"/>
    <m/>
    <x v="0"/>
    <m/>
    <m/>
    <x v="0"/>
    <x v="0"/>
    <m/>
    <x v="1"/>
    <x v="0"/>
  </r>
  <r>
    <n v="988"/>
    <s v="988 | M and E"/>
    <x v="9"/>
    <x v="3"/>
    <x v="13"/>
    <x v="0"/>
    <s v="M and E-Analyst"/>
    <x v="4"/>
    <d v="2022-08-22T05:47:20"/>
    <x v="478"/>
    <x v="170"/>
    <n v="8"/>
    <d v="2022-09-28T05:47:20"/>
    <s v="No"/>
    <m/>
    <x v="2"/>
    <x v="1"/>
    <m/>
    <m/>
    <m/>
    <m/>
    <m/>
    <m/>
    <x v="0"/>
    <m/>
    <m/>
    <m/>
    <m/>
    <m/>
    <m/>
    <s v="C1793"/>
    <s v="Candidate_793"/>
    <m/>
    <x v="0"/>
    <s v="Referral"/>
    <n v="3"/>
    <m/>
    <x v="0"/>
    <m/>
    <m/>
    <x v="0"/>
    <x v="0"/>
    <m/>
    <x v="1"/>
    <x v="0"/>
  </r>
  <r>
    <n v="986"/>
    <s v="986 | M and E"/>
    <x v="10"/>
    <x v="3"/>
    <x v="13"/>
    <x v="0"/>
    <s v="M and E-Analyst"/>
    <x v="4"/>
    <d v="2022-08-25T05:47:20"/>
    <x v="476"/>
    <x v="170"/>
    <n v="5"/>
    <d v="2022-09-07T05:47:20"/>
    <s v="Yes"/>
    <d v="2022-09-12T05:47:20"/>
    <x v="1"/>
    <x v="1"/>
    <d v="2022-09-15T05:47:20"/>
    <s v="Declined"/>
    <m/>
    <m/>
    <d v="2022-09-13T05:47:20"/>
    <m/>
    <x v="0"/>
    <m/>
    <m/>
    <m/>
    <m/>
    <m/>
    <m/>
    <s v="C1794"/>
    <s v="Candidate_794"/>
    <s v="Sep 02 2022"/>
    <x v="0"/>
    <s v="Referral"/>
    <n v="3"/>
    <m/>
    <x v="0"/>
    <m/>
    <m/>
    <x v="0"/>
    <x v="0"/>
    <m/>
    <x v="1"/>
    <x v="0"/>
  </r>
  <r>
    <n v="985"/>
    <s v="985 | M and E"/>
    <x v="9"/>
    <x v="3"/>
    <x v="13"/>
    <x v="0"/>
    <s v="M and E-Analyst"/>
    <x v="4"/>
    <d v="2022-08-23T05:47:20"/>
    <x v="478"/>
    <x v="170"/>
    <n v="7"/>
    <d v="2022-09-18T05:47:20"/>
    <s v="Yes"/>
    <d v="2022-09-03T05:47:20"/>
    <x v="0"/>
    <x v="5"/>
    <m/>
    <m/>
    <m/>
    <m/>
    <m/>
    <m/>
    <x v="0"/>
    <m/>
    <m/>
    <m/>
    <m/>
    <s v="Candidate"/>
    <m/>
    <s v="C1795"/>
    <s v="Candidate_795"/>
    <s v="08-25-2022"/>
    <x v="1"/>
    <s v="Linkedin"/>
    <n v="3"/>
    <m/>
    <x v="0"/>
    <m/>
    <m/>
    <x v="0"/>
    <x v="0"/>
    <m/>
    <x v="1"/>
    <x v="0"/>
  </r>
  <r>
    <n v="983"/>
    <s v="983 | M and E"/>
    <x v="11"/>
    <x v="3"/>
    <x v="13"/>
    <x v="0"/>
    <s v="M and E-Analyst"/>
    <x v="4"/>
    <d v="2022-08-28T05:47:20"/>
    <x v="477"/>
    <x v="170"/>
    <n v="2"/>
    <d v="2022-09-29T05:47:20"/>
    <s v="Yes"/>
    <d v="2022-09-06T05:47:20"/>
    <x v="3"/>
    <x v="1"/>
    <d v="2022-09-08T05:47:20"/>
    <s v="Accepted"/>
    <d v="2022-09-08T05:47:20"/>
    <d v="2022-09-11T05:47:20"/>
    <d v="2022-09-07T05:47:20"/>
    <d v="2022-09-13T05:47:20"/>
    <x v="1"/>
    <d v="2022-09-16T05:47:20"/>
    <d v="2022-09-18T05:47:20"/>
    <d v="2022-09-20T05:47:20"/>
    <m/>
    <m/>
    <d v="2022-10-08T05:47:20"/>
    <s v="C1796"/>
    <s v="Candidate_796"/>
    <s v="24/08/2022"/>
    <x v="0"/>
    <s v="Referral"/>
    <n v="3"/>
    <m/>
    <x v="0"/>
    <m/>
    <m/>
    <x v="0"/>
    <x v="0"/>
    <m/>
    <x v="91"/>
    <x v="0"/>
  </r>
  <r>
    <n v="878"/>
    <s v="878 | M and E"/>
    <x v="9"/>
    <x v="3"/>
    <x v="13"/>
    <x v="0"/>
    <s v="M and E-Analyst"/>
    <x v="4"/>
    <d v="2022-07-18T19:23:12"/>
    <x v="479"/>
    <x v="4"/>
    <n v="-44760.80777777778"/>
    <d v="2022-08-08T19:23:12"/>
    <s v="Yes"/>
    <d v="2022-08-05T19:23:12"/>
    <x v="1"/>
    <x v="1"/>
    <d v="2022-08-09T19:23:12"/>
    <s v="Declined"/>
    <m/>
    <m/>
    <d v="2022-08-08T19:23:12"/>
    <m/>
    <x v="0"/>
    <m/>
    <m/>
    <m/>
    <m/>
    <m/>
    <m/>
    <s v="C1797"/>
    <s v="Candidate_797"/>
    <s v="07-20-2022"/>
    <x v="0"/>
    <s v="Referral"/>
    <n v="6"/>
    <m/>
    <x v="0"/>
    <m/>
    <m/>
    <x v="0"/>
    <x v="0"/>
    <m/>
    <x v="0"/>
    <x v="0"/>
  </r>
  <r>
    <n v="874"/>
    <s v="874 | M and E"/>
    <x v="9"/>
    <x v="3"/>
    <x v="13"/>
    <x v="0"/>
    <s v="M and E-Analyst"/>
    <x v="4"/>
    <d v="2022-07-17T19:23:12"/>
    <x v="479"/>
    <x v="171"/>
    <n v="9"/>
    <d v="2022-07-31T19:23:12"/>
    <s v="Yes"/>
    <d v="2022-07-31T19:23:12"/>
    <x v="0"/>
    <x v="3"/>
    <m/>
    <m/>
    <m/>
    <m/>
    <m/>
    <m/>
    <x v="0"/>
    <m/>
    <m/>
    <m/>
    <m/>
    <s v="Company"/>
    <m/>
    <s v="C1798"/>
    <s v="Candidate_798"/>
    <s v="Jul 13 2022"/>
    <x v="0"/>
    <s v="Referral"/>
    <n v="3"/>
    <m/>
    <x v="0"/>
    <m/>
    <m/>
    <x v="0"/>
    <x v="0"/>
    <m/>
    <x v="1"/>
    <x v="0"/>
  </r>
  <r>
    <n v="753"/>
    <s v="753 | M and E"/>
    <x v="9"/>
    <x v="3"/>
    <x v="13"/>
    <x v="0"/>
    <s v="M and E-Analyst"/>
    <x v="4"/>
    <d v="2023-01-15T21:12:47"/>
    <x v="480"/>
    <x v="172"/>
    <n v="6"/>
    <d v="2023-02-01T21:12:47"/>
    <s v="Yes"/>
    <d v="2023-02-06T21:12:47"/>
    <x v="0"/>
    <x v="4"/>
    <m/>
    <m/>
    <m/>
    <m/>
    <m/>
    <m/>
    <x v="0"/>
    <m/>
    <m/>
    <m/>
    <m/>
    <s v="Candidate"/>
    <m/>
    <s v="C1799"/>
    <s v="Candidate_799"/>
    <s v="01-25-2023"/>
    <x v="0"/>
    <s v="Referral"/>
    <n v="3"/>
    <m/>
    <x v="0"/>
    <m/>
    <m/>
    <x v="0"/>
    <x v="0"/>
    <m/>
    <x v="1"/>
    <x v="0"/>
  </r>
  <r>
    <n v="700"/>
    <s v="700 | M and E"/>
    <x v="9"/>
    <x v="3"/>
    <x v="13"/>
    <x v="0"/>
    <s v="M and E-Analyst"/>
    <x v="4"/>
    <d v="2022-11-05T06:56:27"/>
    <x v="481"/>
    <x v="173"/>
    <n v="5"/>
    <d v="2022-11-15T06:56:27"/>
    <s v="Yes"/>
    <d v="2022-11-13T06:56:27"/>
    <x v="0"/>
    <x v="2"/>
    <m/>
    <m/>
    <m/>
    <m/>
    <m/>
    <m/>
    <x v="0"/>
    <m/>
    <m/>
    <m/>
    <m/>
    <s v="Company"/>
    <m/>
    <s v="C1800"/>
    <s v="Candidate_800"/>
    <s v="29/10/2022"/>
    <x v="0"/>
    <s v="Referral"/>
    <n v="3"/>
    <m/>
    <x v="0"/>
    <m/>
    <m/>
    <x v="0"/>
    <x v="0"/>
    <m/>
    <x v="1"/>
    <x v="0"/>
  </r>
  <r>
    <n v="645"/>
    <s v="645 | M and E"/>
    <x v="9"/>
    <x v="3"/>
    <x v="13"/>
    <x v="0"/>
    <s v="M and E-Analyst"/>
    <x v="4"/>
    <d v="2022-08-12T18:15:27"/>
    <x v="482"/>
    <x v="4"/>
    <n v="-44785.760729166657"/>
    <d v="2022-08-20T18:15:27"/>
    <s v="Yes"/>
    <d v="2022-08-19T18:15:27"/>
    <x v="3"/>
    <x v="1"/>
    <d v="2022-08-24T18:15:27"/>
    <s v="Accepted"/>
    <d v="2022-08-20T18:15:27"/>
    <d v="2022-08-22T18:15:27"/>
    <d v="2022-08-22T18:15:27"/>
    <d v="2022-08-28T18:15:27"/>
    <x v="1"/>
    <d v="2022-08-30T18:15:27"/>
    <d v="2022-09-02T18:15:27"/>
    <d v="2022-09-05T18:15:27"/>
    <m/>
    <m/>
    <d v="2022-09-13T18:15:27"/>
    <s v="C1801"/>
    <s v="Candidate_801"/>
    <s v="Aug 11 2022"/>
    <x v="2"/>
    <s v="Job Board"/>
    <n v="3"/>
    <m/>
    <x v="0"/>
    <m/>
    <m/>
    <x v="0"/>
    <x v="0"/>
    <m/>
    <x v="0"/>
    <x v="0"/>
  </r>
  <r>
    <n v="644"/>
    <s v="644 | M and E"/>
    <x v="10"/>
    <x v="3"/>
    <x v="13"/>
    <x v="0"/>
    <s v="M and E-Analyst"/>
    <x v="4"/>
    <m/>
    <x v="483"/>
    <x v="174"/>
    <n v="44788.760729166657"/>
    <d v="2022-09-11T18:15:27"/>
    <s v="Yes"/>
    <d v="2022-08-24T18:15:27"/>
    <x v="3"/>
    <x v="1"/>
    <d v="2022-08-29T18:15:27"/>
    <s v="Accepted"/>
    <d v="2022-08-25T18:15:27"/>
    <d v="2022-08-27T18:15:27"/>
    <d v="2022-08-28T18:15:27"/>
    <d v="2022-08-31T18:15:27"/>
    <x v="1"/>
    <d v="2022-09-01T18:15:27"/>
    <d v="2022-09-04T18:15:27"/>
    <d v="2022-09-05T18:15:27"/>
    <m/>
    <m/>
    <d v="2022-09-26T18:15:27"/>
    <s v="C1802"/>
    <s v="Candidate_802"/>
    <s v="08-17-2022"/>
    <x v="0"/>
    <s v="Referral"/>
    <n v="6"/>
    <m/>
    <x v="0"/>
    <m/>
    <m/>
    <x v="0"/>
    <x v="0"/>
    <m/>
    <x v="0"/>
    <x v="0"/>
  </r>
  <r>
    <n v="558"/>
    <s v="558 | M and E"/>
    <x v="9"/>
    <x v="3"/>
    <x v="13"/>
    <x v="0"/>
    <s v="M and E-Analyst"/>
    <x v="4"/>
    <d v="2023-06-09T00:15:10"/>
    <x v="484"/>
    <x v="175"/>
    <n v="5"/>
    <d v="2023-07-13T00:15:10"/>
    <s v="No"/>
    <m/>
    <x v="2"/>
    <x v="1"/>
    <m/>
    <m/>
    <m/>
    <m/>
    <m/>
    <m/>
    <x v="0"/>
    <m/>
    <m/>
    <m/>
    <m/>
    <m/>
    <m/>
    <s v="C1803"/>
    <s v="Candidate_803"/>
    <m/>
    <x v="2"/>
    <s v="Job Board"/>
    <n v="6"/>
    <m/>
    <x v="0"/>
    <m/>
    <m/>
    <x v="0"/>
    <x v="0"/>
    <m/>
    <x v="1"/>
    <x v="0"/>
  </r>
  <r>
    <n v="554"/>
    <s v="554 | M and E"/>
    <x v="9"/>
    <x v="3"/>
    <x v="13"/>
    <x v="0"/>
    <s v="M and E-Analyst"/>
    <x v="4"/>
    <d v="2023-06-09T00:15:10"/>
    <x v="484"/>
    <x v="175"/>
    <n v="5"/>
    <d v="2023-07-12T00:15:10"/>
    <s v="Yes"/>
    <d v="2023-06-18T00:15:10"/>
    <x v="0"/>
    <x v="0"/>
    <m/>
    <m/>
    <m/>
    <m/>
    <d v="2023-06-19T00:15:10"/>
    <m/>
    <x v="0"/>
    <m/>
    <m/>
    <m/>
    <m/>
    <s v="Candidate"/>
    <m/>
    <s v="C1804"/>
    <s v="Candidate_804"/>
    <s v="06-02-2023"/>
    <x v="0"/>
    <s v="Referral"/>
    <n v="3"/>
    <m/>
    <x v="0"/>
    <m/>
    <m/>
    <x v="0"/>
    <x v="0"/>
    <m/>
    <x v="1"/>
    <x v="0"/>
  </r>
  <r>
    <n v="2989"/>
    <s v="2989 | M and E"/>
    <x v="10"/>
    <x v="3"/>
    <x v="14"/>
    <x v="6"/>
    <s v="M and E-Manager"/>
    <x v="5"/>
    <d v="2023-01-02T23:42:41"/>
    <x v="485"/>
    <x v="4"/>
    <n v="-44928.987974537027"/>
    <d v="2023-02-04T23:42:41"/>
    <s v="Yes"/>
    <d v="2023-01-19T23:42:41"/>
    <x v="0"/>
    <x v="2"/>
    <m/>
    <m/>
    <m/>
    <m/>
    <d v="2023-01-21T23:42:41"/>
    <m/>
    <x v="0"/>
    <m/>
    <m/>
    <m/>
    <m/>
    <s v="Candidate"/>
    <m/>
    <s v="C1805"/>
    <s v="Candidate_805"/>
    <s v="01-13-2023"/>
    <x v="1"/>
    <s v="Linkedin"/>
    <n v="6"/>
    <m/>
    <x v="0"/>
    <m/>
    <m/>
    <x v="0"/>
    <x v="0"/>
    <m/>
    <x v="0"/>
    <x v="0"/>
  </r>
  <r>
    <n v="2907"/>
    <s v="2907 | M and E"/>
    <x v="9"/>
    <x v="3"/>
    <x v="14"/>
    <x v="6"/>
    <s v="M and E-Manager"/>
    <x v="5"/>
    <d v="2022-02-24T07:11:44"/>
    <x v="486"/>
    <x v="176"/>
    <n v="6"/>
    <d v="2022-04-16T07:11:44"/>
    <s v="Yes"/>
    <d v="2022-03-16T07:11:44"/>
    <x v="0"/>
    <x v="5"/>
    <m/>
    <m/>
    <m/>
    <m/>
    <d v="2022-03-19T07:11:44"/>
    <m/>
    <x v="0"/>
    <m/>
    <m/>
    <m/>
    <m/>
    <s v="Company"/>
    <m/>
    <s v="C1806"/>
    <s v="Candidate_806"/>
    <s v="03-05-2022"/>
    <x v="2"/>
    <s v="Job Board"/>
    <n v="6"/>
    <m/>
    <x v="0"/>
    <m/>
    <m/>
    <x v="0"/>
    <x v="0"/>
    <m/>
    <x v="1"/>
    <x v="0"/>
  </r>
  <r>
    <n v="2880"/>
    <s v="2880 | M and E"/>
    <x v="9"/>
    <x v="3"/>
    <x v="14"/>
    <x v="6"/>
    <s v="M and E-Manager"/>
    <x v="5"/>
    <d v="2023-07-10T03:57:06"/>
    <x v="487"/>
    <x v="4"/>
    <n v="-45117.164652777778"/>
    <d v="2023-08-12T03:57:06"/>
    <s v="Yes"/>
    <d v="2023-07-24T03:57:06"/>
    <x v="3"/>
    <x v="1"/>
    <d v="2023-07-30T03:57:06"/>
    <s v="Accepted"/>
    <d v="2023-07-25T03:57:06"/>
    <d v="2023-07-26T03:57:06"/>
    <d v="2023-07-27T03:57:06"/>
    <d v="2023-07-29T03:57:06"/>
    <x v="1"/>
    <d v="2023-07-31T03:57:06"/>
    <d v="2023-08-01T03:57:06"/>
    <d v="2023-08-02T03:57:06"/>
    <m/>
    <m/>
    <d v="2023-08-12T03:57:06"/>
    <s v="C1807"/>
    <s v="Candidate_807"/>
    <s v="07-16-2023"/>
    <x v="0"/>
    <s v="Referral"/>
    <n v="3"/>
    <m/>
    <x v="0"/>
    <m/>
    <m/>
    <x v="0"/>
    <x v="0"/>
    <m/>
    <x v="0"/>
    <x v="0"/>
  </r>
  <r>
    <n v="2876"/>
    <s v="2876 | M and E"/>
    <x v="9"/>
    <x v="3"/>
    <x v="14"/>
    <x v="6"/>
    <s v="M and E-Manager"/>
    <x v="5"/>
    <d v="2023-07-11T03:57:06"/>
    <x v="0"/>
    <x v="177"/>
    <n v="8"/>
    <d v="2023-07-30T03:57:06"/>
    <s v="Yes"/>
    <d v="2023-07-27T03:57:06"/>
    <x v="1"/>
    <x v="1"/>
    <d v="2023-08-02T03:57:06"/>
    <s v="Declined"/>
    <m/>
    <m/>
    <d v="2023-07-31T03:57:06"/>
    <m/>
    <x v="0"/>
    <m/>
    <m/>
    <m/>
    <m/>
    <m/>
    <m/>
    <s v="C1808"/>
    <s v="Candidate_808"/>
    <s v="07-10-2023"/>
    <x v="0"/>
    <s v="Referral"/>
    <n v="6"/>
    <m/>
    <x v="0"/>
    <m/>
    <m/>
    <x v="0"/>
    <x v="0"/>
    <m/>
    <x v="0"/>
    <x v="0"/>
  </r>
  <r>
    <n v="2875"/>
    <s v="2875 | M and E"/>
    <x v="9"/>
    <x v="3"/>
    <x v="14"/>
    <x v="6"/>
    <s v="M and E-Manager"/>
    <x v="5"/>
    <d v="2023-07-07T03:57:06"/>
    <x v="0"/>
    <x v="155"/>
    <n v="8"/>
    <d v="2023-07-31T03:57:06"/>
    <s v="No"/>
    <m/>
    <x v="2"/>
    <x v="1"/>
    <m/>
    <m/>
    <m/>
    <m/>
    <m/>
    <m/>
    <x v="0"/>
    <m/>
    <m/>
    <m/>
    <m/>
    <m/>
    <m/>
    <s v="C1809"/>
    <s v="Candidate_809"/>
    <m/>
    <x v="2"/>
    <s v="Job Board"/>
    <n v="3"/>
    <m/>
    <x v="0"/>
    <m/>
    <m/>
    <x v="0"/>
    <x v="0"/>
    <m/>
    <x v="0"/>
    <x v="0"/>
  </r>
  <r>
    <n v="2871"/>
    <s v="2871 | M and E"/>
    <x v="10"/>
    <x v="3"/>
    <x v="14"/>
    <x v="6"/>
    <s v="M and E-Manager"/>
    <x v="5"/>
    <m/>
    <x v="488"/>
    <x v="178"/>
    <n v="45127.164652777778"/>
    <d v="2023-09-28T03:57:06"/>
    <s v="Yes"/>
    <d v="2023-07-21T03:57:06"/>
    <x v="3"/>
    <x v="1"/>
    <d v="2023-07-29T03:57:06"/>
    <s v="Accepted"/>
    <d v="2023-07-23T03:57:06"/>
    <d v="2023-07-27T03:57:06"/>
    <d v="2023-07-25T03:57:06"/>
    <d v="2023-07-31T03:57:06"/>
    <x v="1"/>
    <d v="2023-08-04T03:57:06"/>
    <d v="2023-08-06T03:57:06"/>
    <d v="2023-08-09T03:57:06"/>
    <m/>
    <m/>
    <d v="2023-08-28T03:57:06"/>
    <s v="C1810"/>
    <s v="Candidate_810"/>
    <s v="07/07/2023"/>
    <x v="2"/>
    <s v="Job Board"/>
    <n v="6"/>
    <m/>
    <x v="0"/>
    <m/>
    <m/>
    <x v="0"/>
    <x v="0"/>
    <m/>
    <x v="0"/>
    <x v="0"/>
  </r>
  <r>
    <n v="2811"/>
    <s v="2811 | M and E"/>
    <x v="9"/>
    <x v="3"/>
    <x v="14"/>
    <x v="6"/>
    <s v="M and E-Manager"/>
    <x v="5"/>
    <d v="2022-11-28T20:42:08"/>
    <x v="422"/>
    <x v="142"/>
    <n v="5"/>
    <d v="2022-12-23T20:42:08"/>
    <s v="Yes"/>
    <d v="2022-12-10T20:42:08"/>
    <x v="1"/>
    <x v="1"/>
    <d v="2022-12-14T20:42:08"/>
    <s v="Declined"/>
    <m/>
    <m/>
    <d v="2022-12-12T20:42:08"/>
    <m/>
    <x v="0"/>
    <m/>
    <m/>
    <m/>
    <m/>
    <m/>
    <m/>
    <s v="C1811"/>
    <s v="Candidate_811"/>
    <s v="Nov 29 2022"/>
    <x v="2"/>
    <s v="Job Board"/>
    <n v="6"/>
    <m/>
    <x v="0"/>
    <m/>
    <m/>
    <x v="0"/>
    <x v="0"/>
    <m/>
    <x v="1"/>
    <x v="0"/>
  </r>
  <r>
    <n v="2718"/>
    <s v="2718 | M and E"/>
    <x v="11"/>
    <x v="3"/>
    <x v="14"/>
    <x v="6"/>
    <s v="M and E-Manager"/>
    <x v="5"/>
    <d v="2023-01-28T01:18:41"/>
    <x v="435"/>
    <x v="157"/>
    <n v="4"/>
    <d v="2023-02-25T01:18:41"/>
    <s v="Yes"/>
    <d v="2023-02-10T01:18:41"/>
    <x v="0"/>
    <x v="3"/>
    <m/>
    <m/>
    <m/>
    <m/>
    <d v="2023-02-11T01:18:41"/>
    <m/>
    <x v="0"/>
    <m/>
    <m/>
    <m/>
    <m/>
    <s v="Company"/>
    <m/>
    <s v="C1812"/>
    <s v="Candidate_812"/>
    <s v="04/02/2023"/>
    <x v="1"/>
    <s v="Linkedin"/>
    <n v="3"/>
    <m/>
    <x v="0"/>
    <m/>
    <m/>
    <x v="0"/>
    <x v="0"/>
    <m/>
    <x v="1"/>
    <x v="0"/>
  </r>
  <r>
    <n v="2714"/>
    <s v="2714 | M and E"/>
    <x v="9"/>
    <x v="3"/>
    <x v="14"/>
    <x v="6"/>
    <s v="M and E-Manager"/>
    <x v="5"/>
    <d v="2023-01-29T01:18:41"/>
    <x v="435"/>
    <x v="157"/>
    <n v="3"/>
    <d v="2023-02-11T01:18:41"/>
    <s v="Yes"/>
    <d v="2023-02-09T01:18:41"/>
    <x v="0"/>
    <x v="4"/>
    <m/>
    <m/>
    <m/>
    <m/>
    <m/>
    <m/>
    <x v="0"/>
    <m/>
    <m/>
    <m/>
    <m/>
    <s v="Candidate"/>
    <m/>
    <s v="C1813"/>
    <s v="Candidate_813"/>
    <s v="Feb 01 2023"/>
    <x v="1"/>
    <s v="Linkedin"/>
    <n v="3"/>
    <m/>
    <x v="0"/>
    <m/>
    <m/>
    <x v="0"/>
    <x v="0"/>
    <m/>
    <x v="1"/>
    <x v="0"/>
  </r>
  <r>
    <n v="2652"/>
    <s v="2652 | M and E"/>
    <x v="9"/>
    <x v="3"/>
    <x v="14"/>
    <x v="6"/>
    <s v="M and E-Manager"/>
    <x v="5"/>
    <d v="2022-02-08T10:00:31"/>
    <x v="489"/>
    <x v="158"/>
    <n v="5"/>
    <d v="2022-02-20T10:00:31"/>
    <s v="Yes"/>
    <d v="2022-03-03T10:00:31"/>
    <x v="0"/>
    <x v="2"/>
    <m/>
    <m/>
    <m/>
    <m/>
    <m/>
    <m/>
    <x v="0"/>
    <m/>
    <m/>
    <m/>
    <m/>
    <s v="Company"/>
    <m/>
    <s v="C1814"/>
    <s v="Candidate_814"/>
    <s v="02-13-2022"/>
    <x v="1"/>
    <s v="Linkedin"/>
    <n v="6"/>
    <m/>
    <x v="0"/>
    <m/>
    <m/>
    <x v="0"/>
    <x v="0"/>
    <m/>
    <x v="1"/>
    <x v="0"/>
  </r>
  <r>
    <n v="2608"/>
    <s v="2608 | M and E"/>
    <x v="10"/>
    <x v="3"/>
    <x v="14"/>
    <x v="6"/>
    <s v="M and E-Manager"/>
    <x v="5"/>
    <d v="2023-04-25T16:37:27"/>
    <x v="490"/>
    <x v="179"/>
    <n v="5"/>
    <d v="2023-05-19T16:37:27"/>
    <s v="Yes"/>
    <d v="2023-05-14T16:37:27"/>
    <x v="0"/>
    <x v="2"/>
    <m/>
    <m/>
    <m/>
    <m/>
    <m/>
    <m/>
    <x v="0"/>
    <m/>
    <m/>
    <m/>
    <m/>
    <s v="Candidate"/>
    <m/>
    <s v="C1815"/>
    <s v="Candidate_815"/>
    <s v="May 03 2023"/>
    <x v="2"/>
    <s v="Job Board"/>
    <n v="6"/>
    <m/>
    <x v="0"/>
    <m/>
    <m/>
    <x v="0"/>
    <x v="0"/>
    <m/>
    <x v="1"/>
    <x v="0"/>
  </r>
  <r>
    <n v="2605"/>
    <s v="2605 | M and E"/>
    <x v="11"/>
    <x v="3"/>
    <x v="14"/>
    <x v="6"/>
    <s v="M and E-Manager"/>
    <x v="5"/>
    <d v="2023-04-26T16:37:27"/>
    <x v="491"/>
    <x v="4"/>
    <n v="-45042.692673611113"/>
    <d v="2023-05-20T16:37:27"/>
    <s v="Yes"/>
    <d v="2023-05-16T16:37:27"/>
    <x v="0"/>
    <x v="3"/>
    <m/>
    <m/>
    <m/>
    <m/>
    <m/>
    <m/>
    <x v="0"/>
    <m/>
    <m/>
    <m/>
    <m/>
    <s v="Candidate"/>
    <m/>
    <s v="C1816"/>
    <s v="Candidate_816"/>
    <s v="05-03-2023"/>
    <x v="1"/>
    <s v="Linkedin"/>
    <n v="3"/>
    <m/>
    <x v="0"/>
    <m/>
    <m/>
    <x v="0"/>
    <x v="0"/>
    <m/>
    <x v="0"/>
    <x v="0"/>
  </r>
  <r>
    <n v="2470"/>
    <s v="2470 | M and E"/>
    <x v="11"/>
    <x v="3"/>
    <x v="14"/>
    <x v="6"/>
    <s v="M and E-Manager"/>
    <x v="5"/>
    <d v="2023-03-29T20:12:18"/>
    <x v="492"/>
    <x v="180"/>
    <n v="8"/>
    <d v="2023-05-03T20:12:18"/>
    <s v="Yes"/>
    <d v="2023-04-08T20:12:18"/>
    <x v="3"/>
    <x v="1"/>
    <d v="2023-04-16T20:12:18"/>
    <s v="Accepted"/>
    <d v="2023-04-09T20:12:18"/>
    <d v="2023-04-12T20:12:18"/>
    <d v="2023-04-12T20:12:18"/>
    <d v="2023-04-14T20:12:18"/>
    <x v="1"/>
    <d v="2023-04-18T20:12:18"/>
    <d v="2023-04-19T20:12:18"/>
    <d v="2023-04-21T20:12:18"/>
    <m/>
    <m/>
    <d v="2023-05-11T20:12:18"/>
    <s v="C1817"/>
    <s v="Candidate_817"/>
    <s v="29/03/2023"/>
    <x v="1"/>
    <s v="Linkedin"/>
    <n v="6"/>
    <m/>
    <x v="0"/>
    <m/>
    <m/>
    <x v="0"/>
    <x v="0"/>
    <m/>
    <x v="92"/>
    <x v="0"/>
  </r>
  <r>
    <n v="2466"/>
    <s v="2466 | M and E"/>
    <x v="10"/>
    <x v="3"/>
    <x v="14"/>
    <x v="6"/>
    <s v="M and E-Manager"/>
    <x v="5"/>
    <m/>
    <x v="493"/>
    <x v="180"/>
    <n v="45022.841874999998"/>
    <d v="2023-04-22T20:12:18"/>
    <s v="Yes"/>
    <d v="2023-04-20T20:12:18"/>
    <x v="4"/>
    <x v="1"/>
    <d v="2023-04-28T20:12:18"/>
    <s v="Pending"/>
    <m/>
    <m/>
    <d v="2023-04-24T20:12:18"/>
    <m/>
    <x v="0"/>
    <m/>
    <m/>
    <m/>
    <m/>
    <m/>
    <m/>
    <s v="C1818"/>
    <s v="Candidate_818"/>
    <s v="Apr 11 2023"/>
    <x v="0"/>
    <s v="Referral"/>
    <n v="3"/>
    <m/>
    <x v="0"/>
    <m/>
    <m/>
    <x v="0"/>
    <x v="0"/>
    <m/>
    <x v="0"/>
    <x v="0"/>
  </r>
  <r>
    <n v="2433"/>
    <s v="2433 | M and E"/>
    <x v="9"/>
    <x v="3"/>
    <x v="14"/>
    <x v="6"/>
    <s v="M and E-Manager"/>
    <x v="5"/>
    <d v="2022-07-02T03:02:50"/>
    <x v="494"/>
    <x v="181"/>
    <n v="5"/>
    <d v="2022-07-21T03:02:50"/>
    <s v="Yes"/>
    <d v="2022-07-16T03:02:50"/>
    <x v="0"/>
    <x v="3"/>
    <m/>
    <m/>
    <m/>
    <m/>
    <d v="2022-07-20T03:02:50"/>
    <m/>
    <x v="0"/>
    <m/>
    <m/>
    <m/>
    <m/>
    <s v="Company"/>
    <m/>
    <s v="C1819"/>
    <s v="Candidate_819"/>
    <s v="07-08-2022"/>
    <x v="2"/>
    <s v="Job Board"/>
    <n v="3"/>
    <m/>
    <x v="0"/>
    <m/>
    <m/>
    <x v="0"/>
    <x v="0"/>
    <m/>
    <x v="1"/>
    <x v="0"/>
  </r>
  <r>
    <n v="2350"/>
    <s v="2350 | M and E"/>
    <x v="11"/>
    <x v="3"/>
    <x v="14"/>
    <x v="6"/>
    <s v="M and E-Manager"/>
    <x v="5"/>
    <d v="2023-05-08T08:44:55"/>
    <x v="495"/>
    <x v="144"/>
    <n v="6"/>
    <d v="2023-06-09T08:44:55"/>
    <s v="Yes"/>
    <d v="2023-05-22T08:44:55"/>
    <x v="0"/>
    <x v="2"/>
    <m/>
    <m/>
    <m/>
    <m/>
    <d v="2023-05-23T08:44:55"/>
    <m/>
    <x v="0"/>
    <m/>
    <m/>
    <m/>
    <m/>
    <s v="Company"/>
    <m/>
    <s v="C1820"/>
    <s v="Candidate_820"/>
    <s v="05-09-2023"/>
    <x v="1"/>
    <s v="Linkedin"/>
    <n v="6"/>
    <m/>
    <x v="0"/>
    <m/>
    <m/>
    <x v="0"/>
    <x v="0"/>
    <m/>
    <x v="1"/>
    <x v="0"/>
  </r>
  <r>
    <n v="2343"/>
    <s v="2343 | M and E"/>
    <x v="9"/>
    <x v="3"/>
    <x v="14"/>
    <x v="6"/>
    <s v="M and E-Manager"/>
    <x v="5"/>
    <d v="2023-05-09T08:44:55"/>
    <x v="0"/>
    <x v="144"/>
    <n v="5"/>
    <d v="2023-05-30T08:44:55"/>
    <s v="No"/>
    <m/>
    <x v="2"/>
    <x v="1"/>
    <m/>
    <m/>
    <m/>
    <m/>
    <m/>
    <m/>
    <x v="0"/>
    <m/>
    <m/>
    <m/>
    <m/>
    <m/>
    <m/>
    <s v="C1821"/>
    <s v="Candidate_821"/>
    <m/>
    <x v="2"/>
    <s v="Job Board"/>
    <n v="6"/>
    <m/>
    <x v="0"/>
    <m/>
    <m/>
    <x v="0"/>
    <x v="0"/>
    <m/>
    <x v="0"/>
    <x v="0"/>
  </r>
  <r>
    <n v="2182"/>
    <s v="2182 | M and E"/>
    <x v="9"/>
    <x v="3"/>
    <x v="14"/>
    <x v="6"/>
    <s v="M and E-Manager"/>
    <x v="5"/>
    <d v="2023-03-08T12:45:42"/>
    <x v="496"/>
    <x v="161"/>
    <n v="7"/>
    <d v="2023-03-22T12:45:42"/>
    <s v="Yes"/>
    <d v="2023-03-19T12:45:42"/>
    <x v="3"/>
    <x v="1"/>
    <d v="2023-03-22T12:45:42"/>
    <s v="Accepted"/>
    <d v="2023-03-20T12:45:42"/>
    <d v="2023-03-24T12:45:42"/>
    <d v="2023-03-21T12:45:42"/>
    <d v="2023-03-31T12:45:42"/>
    <x v="1"/>
    <d v="2023-04-02T12:45:42"/>
    <d v="2023-04-05T12:45:42"/>
    <d v="2023-04-08T12:45:42"/>
    <m/>
    <m/>
    <d v="2023-04-25T12:45:42"/>
    <s v="C1822"/>
    <s v="Candidate_822"/>
    <s v="28/02/2023"/>
    <x v="1"/>
    <s v="Linkedin"/>
    <n v="3"/>
    <m/>
    <x v="0"/>
    <m/>
    <m/>
    <x v="0"/>
    <x v="0"/>
    <m/>
    <x v="93"/>
    <x v="0"/>
  </r>
  <r>
    <n v="2079"/>
    <s v="2079 | M and E"/>
    <x v="11"/>
    <x v="3"/>
    <x v="14"/>
    <x v="6"/>
    <s v="M and E-Manager"/>
    <x v="5"/>
    <d v="2022-12-19T10:35:07"/>
    <x v="497"/>
    <x v="162"/>
    <n v="9"/>
    <d v="2023-01-13T10:35:07"/>
    <s v="Yes"/>
    <d v="2023-01-04T10:35:07"/>
    <x v="3"/>
    <x v="1"/>
    <d v="2023-01-09T10:35:07"/>
    <s v="Accepted"/>
    <d v="2023-01-06T10:35:07"/>
    <d v="2023-01-07T10:35:07"/>
    <d v="2023-01-05T10:35:07"/>
    <d v="2023-01-08T10:35:07"/>
    <x v="1"/>
    <d v="2023-01-11T10:35:07"/>
    <d v="2023-01-12T10:35:07"/>
    <d v="2023-01-13T10:35:07"/>
    <m/>
    <m/>
    <d v="2023-02-04T10:35:07"/>
    <s v="C1823"/>
    <s v="Candidate_823"/>
    <s v="22/12/2022"/>
    <x v="2"/>
    <s v="Job Board"/>
    <n v="3"/>
    <m/>
    <x v="0"/>
    <m/>
    <m/>
    <x v="0"/>
    <x v="0"/>
    <m/>
    <x v="94"/>
    <x v="0"/>
  </r>
  <r>
    <n v="2076"/>
    <s v="2076 | M and E"/>
    <x v="10"/>
    <x v="3"/>
    <x v="14"/>
    <x v="6"/>
    <s v="M and E-Manager"/>
    <x v="5"/>
    <d v="2022-12-25T10:35:07"/>
    <x v="498"/>
    <x v="162"/>
    <n v="3"/>
    <d v="2023-01-06T10:35:07"/>
    <s v="Yes"/>
    <d v="2023-01-11T10:35:07"/>
    <x v="1"/>
    <x v="1"/>
    <d v="2023-01-16T10:35:07"/>
    <s v="Declined"/>
    <m/>
    <m/>
    <d v="2023-01-15T10:35:07"/>
    <m/>
    <x v="0"/>
    <m/>
    <m/>
    <m/>
    <m/>
    <m/>
    <m/>
    <s v="C1824"/>
    <s v="Candidate_824"/>
    <s v="Dec 25 2022"/>
    <x v="1"/>
    <s v="Linkedin"/>
    <n v="3"/>
    <m/>
    <x v="0"/>
    <m/>
    <m/>
    <x v="0"/>
    <x v="0"/>
    <m/>
    <x v="1"/>
    <x v="0"/>
  </r>
  <r>
    <n v="2020"/>
    <s v="2020 | M and E"/>
    <x v="11"/>
    <x v="3"/>
    <x v="14"/>
    <x v="6"/>
    <s v="M and E-Manager"/>
    <x v="5"/>
    <d v="2023-06-05T14:00:49"/>
    <x v="451"/>
    <x v="147"/>
    <n v="4"/>
    <d v="2023-06-15T14:00:49"/>
    <s v="Yes"/>
    <d v="2023-06-24T14:00:49"/>
    <x v="4"/>
    <x v="1"/>
    <d v="2023-06-29T14:00:49"/>
    <s v="Pending"/>
    <m/>
    <m/>
    <d v="2023-06-28T14:00:49"/>
    <m/>
    <x v="0"/>
    <m/>
    <m/>
    <m/>
    <m/>
    <m/>
    <m/>
    <s v="C1825"/>
    <s v="Candidate_825"/>
    <s v="06-19-2023"/>
    <x v="1"/>
    <s v="Linkedin"/>
    <n v="6"/>
    <m/>
    <x v="0"/>
    <m/>
    <m/>
    <x v="0"/>
    <x v="0"/>
    <m/>
    <x v="1"/>
    <x v="0"/>
  </r>
  <r>
    <n v="1950"/>
    <s v="1950 | M and E"/>
    <x v="11"/>
    <x v="3"/>
    <x v="14"/>
    <x v="6"/>
    <s v="M and E-Manager"/>
    <x v="5"/>
    <d v="2023-03-02T06:20:20"/>
    <x v="499"/>
    <x v="148"/>
    <n v="3"/>
    <d v="2023-03-30T06:20:20"/>
    <s v="Yes"/>
    <d v="2023-03-06T06:20:20"/>
    <x v="3"/>
    <x v="1"/>
    <d v="2023-03-10T06:20:20"/>
    <s v="Accepted"/>
    <d v="2023-03-07T06:20:20"/>
    <d v="2023-03-08T06:20:20"/>
    <d v="2023-03-08T06:20:20"/>
    <d v="2023-03-15T06:20:20"/>
    <x v="1"/>
    <d v="2023-03-17T06:20:20"/>
    <d v="2023-03-20T06:20:20"/>
    <d v="2023-03-23T06:20:20"/>
    <m/>
    <m/>
    <d v="2023-03-31T06:20:20"/>
    <s v="C1826"/>
    <s v="Candidate_826"/>
    <s v="Mar 01 2023"/>
    <x v="2"/>
    <s v="Job Board"/>
    <n v="3"/>
    <m/>
    <x v="0"/>
    <m/>
    <m/>
    <x v="0"/>
    <x v="0"/>
    <m/>
    <x v="95"/>
    <x v="0"/>
  </r>
  <r>
    <n v="1945"/>
    <s v="1945 | M and E"/>
    <x v="11"/>
    <x v="3"/>
    <x v="14"/>
    <x v="6"/>
    <s v="M and E-Manager"/>
    <x v="5"/>
    <d v="2023-02-25T06:20:20"/>
    <x v="428"/>
    <x v="148"/>
    <n v="8"/>
    <d v="2023-03-14T06:20:20"/>
    <s v="Yes"/>
    <d v="2023-03-14T06:20:20"/>
    <x v="0"/>
    <x v="2"/>
    <m/>
    <m/>
    <m/>
    <m/>
    <m/>
    <m/>
    <x v="0"/>
    <m/>
    <m/>
    <m/>
    <m/>
    <s v="Candidate"/>
    <m/>
    <s v="C1827"/>
    <s v="Candidate_827"/>
    <s v="02-24-2023"/>
    <x v="0"/>
    <s v="Referral"/>
    <n v="3"/>
    <m/>
    <x v="0"/>
    <m/>
    <m/>
    <x v="0"/>
    <x v="0"/>
    <m/>
    <x v="1"/>
    <x v="0"/>
  </r>
  <r>
    <n v="1942"/>
    <s v="1942 | M and E"/>
    <x v="9"/>
    <x v="3"/>
    <x v="14"/>
    <x v="6"/>
    <s v="M and E-Manager"/>
    <x v="5"/>
    <d v="2023-02-27T06:20:20"/>
    <x v="499"/>
    <x v="148"/>
    <n v="6"/>
    <d v="2023-03-30T06:20:20"/>
    <s v="Yes"/>
    <d v="2023-03-14T06:20:20"/>
    <x v="3"/>
    <x v="1"/>
    <d v="2023-03-18T06:20:20"/>
    <s v="Accepted"/>
    <d v="2023-03-16T06:20:20"/>
    <d v="2023-03-19T06:20:20"/>
    <d v="2023-03-16T06:20:20"/>
    <d v="2023-03-23T06:20:20"/>
    <x v="1"/>
    <d v="2023-03-25T06:20:20"/>
    <d v="2023-03-27T06:20:20"/>
    <d v="2023-03-28T06:20:20"/>
    <m/>
    <m/>
    <d v="2023-04-11T06:20:20"/>
    <s v="C1828"/>
    <s v="Candidate_828"/>
    <s v="Feb 26 2023"/>
    <x v="1"/>
    <s v="Linkedin"/>
    <n v="6"/>
    <m/>
    <x v="0"/>
    <m/>
    <m/>
    <x v="0"/>
    <x v="0"/>
    <m/>
    <x v="96"/>
    <x v="0"/>
  </r>
  <r>
    <n v="1927"/>
    <s v="1927 | M and E"/>
    <x v="9"/>
    <x v="3"/>
    <x v="14"/>
    <x v="6"/>
    <s v="M and E-Manager"/>
    <x v="5"/>
    <d v="2022-08-22T09:24:23"/>
    <x v="500"/>
    <x v="182"/>
    <n v="3"/>
    <d v="2022-09-10T09:24:23"/>
    <s v="No"/>
    <m/>
    <x v="2"/>
    <x v="1"/>
    <m/>
    <m/>
    <m/>
    <m/>
    <m/>
    <m/>
    <x v="0"/>
    <m/>
    <m/>
    <m/>
    <m/>
    <m/>
    <m/>
    <s v="C1829"/>
    <s v="Candidate_829"/>
    <m/>
    <x v="0"/>
    <s v="Referral"/>
    <n v="3"/>
    <m/>
    <x v="0"/>
    <m/>
    <m/>
    <x v="0"/>
    <x v="0"/>
    <m/>
    <x v="1"/>
    <x v="0"/>
  </r>
  <r>
    <n v="1923"/>
    <s v="1923 | M and E"/>
    <x v="9"/>
    <x v="3"/>
    <x v="14"/>
    <x v="6"/>
    <s v="M and E-Manager"/>
    <x v="5"/>
    <d v="2022-08-23T09:24:23"/>
    <x v="501"/>
    <x v="182"/>
    <n v="2"/>
    <d v="2022-09-08T09:24:23"/>
    <s v="Yes"/>
    <d v="2022-09-03T09:24:23"/>
    <x v="0"/>
    <x v="2"/>
    <m/>
    <m/>
    <m/>
    <m/>
    <d v="2022-09-05T09:24:23"/>
    <m/>
    <x v="0"/>
    <m/>
    <m/>
    <m/>
    <m/>
    <s v="Candidate"/>
    <m/>
    <s v="C1830"/>
    <s v="Candidate_830"/>
    <s v="Aug 22 2022"/>
    <x v="1"/>
    <s v="Linkedin"/>
    <n v="3"/>
    <m/>
    <x v="0"/>
    <m/>
    <m/>
    <x v="0"/>
    <x v="0"/>
    <m/>
    <x v="1"/>
    <x v="0"/>
  </r>
  <r>
    <n v="1839"/>
    <s v="1839 | M and E"/>
    <x v="9"/>
    <x v="3"/>
    <x v="14"/>
    <x v="6"/>
    <s v="M and E-Manager"/>
    <x v="5"/>
    <d v="2023-04-22T08:48:53"/>
    <x v="502"/>
    <x v="4"/>
    <n v="-45038.367280092592"/>
    <d v="2023-05-19T08:48:53"/>
    <s v="Yes"/>
    <d v="2023-05-10T08:48:53"/>
    <x v="1"/>
    <x v="1"/>
    <d v="2023-05-15T08:48:53"/>
    <s v="Declined"/>
    <m/>
    <m/>
    <d v="2023-05-12T08:48:53"/>
    <m/>
    <x v="0"/>
    <m/>
    <m/>
    <m/>
    <m/>
    <m/>
    <m/>
    <s v="C1831"/>
    <s v="Candidate_831"/>
    <s v="Apr 27 2023"/>
    <x v="0"/>
    <s v="Referral"/>
    <n v="6"/>
    <m/>
    <x v="0"/>
    <m/>
    <m/>
    <x v="0"/>
    <x v="0"/>
    <m/>
    <x v="0"/>
    <x v="0"/>
  </r>
  <r>
    <n v="1790"/>
    <s v="1790 | M and E"/>
    <x v="11"/>
    <x v="3"/>
    <x v="14"/>
    <x v="6"/>
    <s v="M and E-Manager"/>
    <x v="5"/>
    <m/>
    <x v="456"/>
    <x v="150"/>
    <n v="44665.356493055559"/>
    <d v="2022-05-02T08:33:21"/>
    <s v="No"/>
    <m/>
    <x v="2"/>
    <x v="1"/>
    <m/>
    <m/>
    <m/>
    <m/>
    <m/>
    <m/>
    <x v="0"/>
    <m/>
    <m/>
    <m/>
    <m/>
    <m/>
    <m/>
    <s v="C1832"/>
    <s v="Candidate_832"/>
    <m/>
    <x v="1"/>
    <s v="Linkedin"/>
    <n v="6"/>
    <m/>
    <x v="0"/>
    <m/>
    <m/>
    <x v="0"/>
    <x v="0"/>
    <m/>
    <x v="0"/>
    <x v="0"/>
  </r>
  <r>
    <n v="1782"/>
    <s v="1782 | M and E"/>
    <x v="10"/>
    <x v="3"/>
    <x v="14"/>
    <x v="6"/>
    <s v="M and E-Manager"/>
    <x v="5"/>
    <m/>
    <x v="503"/>
    <x v="150"/>
    <n v="44665.356493055559"/>
    <d v="2022-05-08T08:33:21"/>
    <s v="Yes"/>
    <d v="2022-04-19T08:33:21"/>
    <x v="1"/>
    <x v="1"/>
    <d v="2022-04-22T08:33:21"/>
    <s v="Declined"/>
    <m/>
    <m/>
    <d v="2022-04-21T08:33:21"/>
    <m/>
    <x v="0"/>
    <m/>
    <m/>
    <m/>
    <m/>
    <m/>
    <m/>
    <s v="C1833"/>
    <s v="Candidate_833"/>
    <s v="13/04/2022"/>
    <x v="1"/>
    <s v="Linkedin"/>
    <n v="3"/>
    <m/>
    <x v="0"/>
    <m/>
    <m/>
    <x v="0"/>
    <x v="0"/>
    <m/>
    <x v="0"/>
    <x v="0"/>
  </r>
  <r>
    <n v="1768"/>
    <s v="1768 | M and E"/>
    <x v="11"/>
    <x v="3"/>
    <x v="14"/>
    <x v="6"/>
    <s v="M and E-Manager"/>
    <x v="5"/>
    <d v="2023-06-20T15:39:43"/>
    <x v="458"/>
    <x v="163"/>
    <n v="8"/>
    <d v="2023-07-08T15:39:43"/>
    <s v="Yes"/>
    <d v="2023-07-14T15:39:43"/>
    <x v="3"/>
    <x v="1"/>
    <d v="2023-07-21T15:39:43"/>
    <s v="Accepted"/>
    <d v="2023-07-16T15:39:43"/>
    <d v="2023-07-20T15:39:43"/>
    <d v="2023-07-17T15:39:43"/>
    <d v="2023-07-27T15:39:43"/>
    <x v="1"/>
    <d v="2023-07-28T15:39:43"/>
    <d v="2023-07-31T15:39:43"/>
    <d v="2023-08-01T15:39:43"/>
    <m/>
    <m/>
    <d v="2023-08-16T15:39:43"/>
    <s v="C1834"/>
    <s v="Candidate_834"/>
    <s v="Jun 29 2023"/>
    <x v="2"/>
    <s v="Job Board"/>
    <n v="3"/>
    <m/>
    <x v="0"/>
    <m/>
    <m/>
    <x v="0"/>
    <x v="0"/>
    <m/>
    <x v="97"/>
    <x v="0"/>
  </r>
  <r>
    <n v="1765"/>
    <s v="1765 | M and E"/>
    <x v="9"/>
    <x v="3"/>
    <x v="14"/>
    <x v="6"/>
    <s v="M and E-Manager"/>
    <x v="5"/>
    <m/>
    <x v="460"/>
    <x v="163"/>
    <n v="45105.652581018519"/>
    <d v="2023-07-20T15:39:43"/>
    <s v="Yes"/>
    <d v="2023-07-11T15:39:43"/>
    <x v="1"/>
    <x v="1"/>
    <d v="2023-07-16T15:39:43"/>
    <s v="Declined"/>
    <m/>
    <m/>
    <d v="2023-07-15T15:39:43"/>
    <m/>
    <x v="0"/>
    <m/>
    <m/>
    <m/>
    <m/>
    <m/>
    <m/>
    <s v="C1835"/>
    <s v="Candidate_835"/>
    <s v="07-03-2023"/>
    <x v="2"/>
    <s v="Job Board"/>
    <n v="6"/>
    <m/>
    <x v="0"/>
    <m/>
    <m/>
    <x v="0"/>
    <x v="0"/>
    <m/>
    <x v="0"/>
    <x v="0"/>
  </r>
  <r>
    <n v="1764"/>
    <s v="1764 | M and E"/>
    <x v="10"/>
    <x v="3"/>
    <x v="14"/>
    <x v="6"/>
    <s v="M and E-Manager"/>
    <x v="5"/>
    <d v="2023-06-22T15:39:43"/>
    <x v="504"/>
    <x v="163"/>
    <n v="6"/>
    <d v="2023-07-19T15:39:43"/>
    <s v="Yes"/>
    <d v="2023-07-08T15:39:43"/>
    <x v="0"/>
    <x v="4"/>
    <m/>
    <m/>
    <m/>
    <m/>
    <d v="2023-07-09T15:39:43"/>
    <m/>
    <x v="0"/>
    <m/>
    <m/>
    <m/>
    <m/>
    <s v="Company"/>
    <m/>
    <s v="C1836"/>
    <s v="Candidate_836"/>
    <s v="29/06/2023"/>
    <x v="0"/>
    <s v="Referral"/>
    <n v="3"/>
    <m/>
    <x v="0"/>
    <m/>
    <m/>
    <x v="0"/>
    <x v="0"/>
    <m/>
    <x v="1"/>
    <x v="0"/>
  </r>
  <r>
    <n v="1729"/>
    <s v="1729 | M and E"/>
    <x v="10"/>
    <x v="3"/>
    <x v="14"/>
    <x v="6"/>
    <s v="M and E-Manager"/>
    <x v="5"/>
    <d v="2022-10-27T12:00:37"/>
    <x v="505"/>
    <x v="151"/>
    <n v="7"/>
    <d v="2022-11-22T12:00:37"/>
    <s v="Yes"/>
    <d v="2022-11-16T12:00:37"/>
    <x v="0"/>
    <x v="4"/>
    <m/>
    <m/>
    <m/>
    <m/>
    <m/>
    <m/>
    <x v="0"/>
    <m/>
    <m/>
    <m/>
    <m/>
    <s v="Company"/>
    <m/>
    <s v="C1837"/>
    <s v="Candidate_837"/>
    <s v="03/11/2022"/>
    <x v="2"/>
    <s v="Job Board"/>
    <n v="3"/>
    <m/>
    <x v="0"/>
    <m/>
    <m/>
    <x v="0"/>
    <x v="0"/>
    <m/>
    <x v="1"/>
    <x v="0"/>
  </r>
  <r>
    <n v="1721"/>
    <s v="1721 | M and E"/>
    <x v="9"/>
    <x v="3"/>
    <x v="14"/>
    <x v="6"/>
    <s v="M and E-Manager"/>
    <x v="5"/>
    <d v="2022-10-28T12:00:37"/>
    <x v="506"/>
    <x v="151"/>
    <n v="6"/>
    <d v="2022-11-30T12:00:37"/>
    <s v="No"/>
    <m/>
    <x v="2"/>
    <x v="1"/>
    <m/>
    <m/>
    <m/>
    <m/>
    <m/>
    <m/>
    <x v="0"/>
    <m/>
    <m/>
    <m/>
    <m/>
    <m/>
    <m/>
    <s v="C1838"/>
    <s v="Candidate_838"/>
    <m/>
    <x v="1"/>
    <s v="Linkedin"/>
    <n v="3"/>
    <m/>
    <x v="0"/>
    <m/>
    <m/>
    <x v="0"/>
    <x v="0"/>
    <m/>
    <x v="1"/>
    <x v="0"/>
  </r>
  <r>
    <n v="1651"/>
    <s v="1651 | M and E"/>
    <x v="11"/>
    <x v="3"/>
    <x v="14"/>
    <x v="6"/>
    <s v="M and E-Manager"/>
    <x v="5"/>
    <d v="2022-11-11T04:40:47"/>
    <x v="507"/>
    <x v="164"/>
    <n v="7"/>
    <d v="2022-12-04T04:40:47"/>
    <s v="Yes"/>
    <d v="2022-11-21T04:40:47"/>
    <x v="0"/>
    <x v="0"/>
    <m/>
    <m/>
    <m/>
    <m/>
    <m/>
    <m/>
    <x v="0"/>
    <m/>
    <m/>
    <m/>
    <m/>
    <s v="Company"/>
    <m/>
    <s v="C1839"/>
    <s v="Candidate_839"/>
    <s v="02/11/2022"/>
    <x v="0"/>
    <s v="Referral"/>
    <n v="6"/>
    <m/>
    <x v="0"/>
    <m/>
    <m/>
    <x v="0"/>
    <x v="0"/>
    <m/>
    <x v="1"/>
    <x v="0"/>
  </r>
  <r>
    <n v="1626"/>
    <s v="1626 | M and E"/>
    <x v="10"/>
    <x v="3"/>
    <x v="14"/>
    <x v="6"/>
    <s v="M and E-Manager"/>
    <x v="5"/>
    <m/>
    <x v="508"/>
    <x v="165"/>
    <n v="44645.297905092593"/>
    <d v="2022-04-16T07:08:59"/>
    <s v="Yes"/>
    <d v="2022-04-02T07:08:59"/>
    <x v="1"/>
    <x v="1"/>
    <d v="2022-04-05T07:08:59"/>
    <s v="Declined"/>
    <m/>
    <m/>
    <d v="2022-04-04T07:08:59"/>
    <m/>
    <x v="0"/>
    <m/>
    <m/>
    <m/>
    <m/>
    <m/>
    <m/>
    <s v="C1840"/>
    <s v="Candidate_840"/>
    <s v="Mar 22 2022"/>
    <x v="2"/>
    <s v="Job Board"/>
    <n v="6"/>
    <m/>
    <x v="0"/>
    <m/>
    <m/>
    <x v="0"/>
    <x v="0"/>
    <m/>
    <x v="0"/>
    <x v="0"/>
  </r>
  <r>
    <n v="1610"/>
    <s v="1610 | M and E"/>
    <x v="9"/>
    <x v="3"/>
    <x v="14"/>
    <x v="6"/>
    <s v="M and E-Manager"/>
    <x v="5"/>
    <d v="2022-01-03T19:39:24"/>
    <x v="509"/>
    <x v="183"/>
    <n v="5"/>
    <d v="2022-01-25T19:39:24"/>
    <s v="Yes"/>
    <d v="2022-01-17T19:39:24"/>
    <x v="1"/>
    <x v="1"/>
    <d v="2022-01-20T19:39:24"/>
    <s v="Declined"/>
    <m/>
    <m/>
    <d v="2022-01-18T19:39:24"/>
    <m/>
    <x v="0"/>
    <m/>
    <m/>
    <m/>
    <m/>
    <m/>
    <m/>
    <s v="C1841"/>
    <s v="Candidate_841"/>
    <s v="Jan 03 2022"/>
    <x v="1"/>
    <s v="Linkedin"/>
    <n v="6"/>
    <m/>
    <x v="0"/>
    <m/>
    <m/>
    <x v="0"/>
    <x v="0"/>
    <m/>
    <x v="1"/>
    <x v="0"/>
  </r>
  <r>
    <n v="1609"/>
    <s v="1609 | M and E"/>
    <x v="9"/>
    <x v="3"/>
    <x v="14"/>
    <x v="6"/>
    <s v="M and E-Manager"/>
    <x v="5"/>
    <d v="2022-01-01T19:39:24"/>
    <x v="510"/>
    <x v="183"/>
    <n v="7"/>
    <d v="2022-01-22T19:39:24"/>
    <s v="No"/>
    <m/>
    <x v="2"/>
    <x v="1"/>
    <m/>
    <m/>
    <m/>
    <m/>
    <m/>
    <m/>
    <x v="0"/>
    <m/>
    <m/>
    <m/>
    <m/>
    <m/>
    <m/>
    <s v="C1842"/>
    <s v="Candidate_842"/>
    <m/>
    <x v="2"/>
    <s v="Job Board"/>
    <n v="6"/>
    <m/>
    <x v="0"/>
    <m/>
    <m/>
    <x v="0"/>
    <x v="0"/>
    <m/>
    <x v="1"/>
    <x v="0"/>
  </r>
  <r>
    <n v="1608"/>
    <s v="1608 | M and E"/>
    <x v="9"/>
    <x v="3"/>
    <x v="14"/>
    <x v="6"/>
    <s v="M and E-Manager"/>
    <x v="5"/>
    <d v="2022-01-01T19:39:24"/>
    <x v="510"/>
    <x v="183"/>
    <n v="7"/>
    <d v="2022-01-25T19:39:24"/>
    <s v="Yes"/>
    <d v="2022-01-12T19:39:24"/>
    <x v="0"/>
    <x v="2"/>
    <m/>
    <m/>
    <m/>
    <m/>
    <d v="2022-01-16T19:39:24"/>
    <m/>
    <x v="0"/>
    <m/>
    <m/>
    <m/>
    <m/>
    <s v="Company"/>
    <m/>
    <s v="C1843"/>
    <s v="Candidate_843"/>
    <s v="06/01/2022"/>
    <x v="2"/>
    <s v="Job Board"/>
    <n v="3"/>
    <m/>
    <x v="0"/>
    <m/>
    <m/>
    <x v="0"/>
    <x v="0"/>
    <m/>
    <x v="1"/>
    <x v="0"/>
  </r>
  <r>
    <n v="1604"/>
    <s v="1604 | M and E"/>
    <x v="9"/>
    <x v="3"/>
    <x v="14"/>
    <x v="6"/>
    <s v="M and E-Manager"/>
    <x v="5"/>
    <m/>
    <x v="510"/>
    <x v="183"/>
    <n v="44569.819027777783"/>
    <d v="2022-01-24T19:39:24"/>
    <s v="Yes"/>
    <d v="2022-01-14T19:39:24"/>
    <x v="0"/>
    <x v="4"/>
    <m/>
    <m/>
    <m/>
    <m/>
    <m/>
    <m/>
    <x v="0"/>
    <m/>
    <m/>
    <m/>
    <m/>
    <s v="Candidate"/>
    <m/>
    <s v="C1844"/>
    <s v="Candidate_844"/>
    <s v="01-03-2022"/>
    <x v="1"/>
    <s v="Linkedin"/>
    <n v="3"/>
    <m/>
    <x v="0"/>
    <m/>
    <m/>
    <x v="0"/>
    <x v="0"/>
    <m/>
    <x v="0"/>
    <x v="0"/>
  </r>
  <r>
    <n v="1475"/>
    <s v="1475 | M and E"/>
    <x v="10"/>
    <x v="3"/>
    <x v="14"/>
    <x v="6"/>
    <s v="M and E-Manager"/>
    <x v="5"/>
    <d v="2023-01-20T06:41:41"/>
    <x v="464"/>
    <x v="166"/>
    <n v="8"/>
    <d v="2023-02-20T06:41:41"/>
    <s v="Yes"/>
    <d v="2023-02-03T06:41:41"/>
    <x v="4"/>
    <x v="1"/>
    <d v="2023-02-09T06:41:41"/>
    <s v="Pending"/>
    <m/>
    <m/>
    <d v="2023-02-05T06:41:41"/>
    <m/>
    <x v="0"/>
    <m/>
    <m/>
    <m/>
    <m/>
    <m/>
    <m/>
    <s v="C1845"/>
    <s v="Candidate_845"/>
    <s v="16/01/2023"/>
    <x v="1"/>
    <s v="Linkedin"/>
    <n v="3"/>
    <m/>
    <x v="0"/>
    <m/>
    <m/>
    <x v="0"/>
    <x v="0"/>
    <m/>
    <x v="1"/>
    <x v="0"/>
  </r>
  <r>
    <n v="1055"/>
    <s v="1055 | M and E"/>
    <x v="9"/>
    <x v="3"/>
    <x v="14"/>
    <x v="6"/>
    <s v="M and E-Manager"/>
    <x v="5"/>
    <d v="2023-08-17T04:19:54"/>
    <x v="511"/>
    <x v="153"/>
    <n v="8"/>
    <d v="2023-09-12T04:19:54"/>
    <s v="Yes"/>
    <d v="2023-09-03T04:19:54"/>
    <x v="3"/>
    <x v="1"/>
    <d v="2023-09-08T04:19:54"/>
    <s v="Accepted"/>
    <d v="2023-09-05T04:19:54"/>
    <d v="2023-09-09T04:19:54"/>
    <d v="2023-09-04T04:19:54"/>
    <d v="2023-09-09T04:19:54"/>
    <x v="1"/>
    <d v="2023-09-11T04:19:54"/>
    <d v="2023-09-14T04:19:54"/>
    <d v="2023-09-17T04:19:54"/>
    <m/>
    <m/>
    <d v="2023-10-03T04:19:54"/>
    <s v="C1846"/>
    <s v="Candidate_846"/>
    <s v="Aug 18 2023"/>
    <x v="1"/>
    <s v="Linkedin"/>
    <n v="6"/>
    <m/>
    <x v="0"/>
    <m/>
    <m/>
    <x v="0"/>
    <x v="0"/>
    <m/>
    <x v="98"/>
    <x v="0"/>
  </r>
  <r>
    <n v="1001"/>
    <s v="1001 | M and E"/>
    <x v="10"/>
    <x v="3"/>
    <x v="14"/>
    <x v="6"/>
    <s v="M and E-Manager"/>
    <x v="5"/>
    <d v="2022-12-24T16:31:31"/>
    <x v="473"/>
    <x v="169"/>
    <n v="4"/>
    <d v="2023-01-04T16:31:31"/>
    <s v="Yes"/>
    <d v="2023-01-13T16:31:31"/>
    <x v="1"/>
    <x v="1"/>
    <d v="2023-01-17T16:31:31"/>
    <s v="Declined"/>
    <m/>
    <m/>
    <d v="2023-01-15T16:31:31"/>
    <m/>
    <x v="0"/>
    <m/>
    <m/>
    <m/>
    <m/>
    <m/>
    <m/>
    <s v="C1847"/>
    <s v="Candidate_847"/>
    <s v="Jan 02 2023"/>
    <x v="2"/>
    <s v="Job Board"/>
    <n v="3"/>
    <m/>
    <x v="0"/>
    <m/>
    <m/>
    <x v="0"/>
    <x v="0"/>
    <m/>
    <x v="1"/>
    <x v="0"/>
  </r>
  <r>
    <n v="982"/>
    <s v="982 | M and E"/>
    <x v="10"/>
    <x v="3"/>
    <x v="14"/>
    <x v="6"/>
    <s v="M and E-Manager"/>
    <x v="5"/>
    <d v="2022-08-24T05:47:20"/>
    <x v="478"/>
    <x v="170"/>
    <n v="6"/>
    <d v="2022-09-20T05:47:20"/>
    <s v="Yes"/>
    <d v="2022-09-07T05:47:20"/>
    <x v="1"/>
    <x v="1"/>
    <d v="2022-09-12T05:47:20"/>
    <s v="Declined"/>
    <m/>
    <m/>
    <d v="2022-09-10T05:47:20"/>
    <m/>
    <x v="0"/>
    <m/>
    <m/>
    <m/>
    <m/>
    <m/>
    <m/>
    <s v="C1848"/>
    <s v="Candidate_848"/>
    <s v="Aug 31 2022"/>
    <x v="1"/>
    <s v="Linkedin"/>
    <n v="3"/>
    <m/>
    <x v="0"/>
    <m/>
    <m/>
    <x v="0"/>
    <x v="0"/>
    <m/>
    <x v="1"/>
    <x v="0"/>
  </r>
  <r>
    <n v="873"/>
    <s v="873 | M and E"/>
    <x v="11"/>
    <x v="3"/>
    <x v="14"/>
    <x v="6"/>
    <s v="M and E-Manager"/>
    <x v="5"/>
    <d v="2022-07-21T19:23:12"/>
    <x v="512"/>
    <x v="171"/>
    <n v="5"/>
    <d v="2022-08-07T19:23:12"/>
    <s v="Yes"/>
    <d v="2022-08-02T19:23:12"/>
    <x v="1"/>
    <x v="1"/>
    <d v="2022-08-10T19:23:12"/>
    <s v="Declined"/>
    <m/>
    <m/>
    <d v="2022-08-06T19:23:12"/>
    <m/>
    <x v="0"/>
    <m/>
    <m/>
    <m/>
    <m/>
    <m/>
    <m/>
    <s v="C1849"/>
    <s v="Candidate_849"/>
    <s v="25/07/2022"/>
    <x v="2"/>
    <s v="Job Board"/>
    <n v="6"/>
    <m/>
    <x v="0"/>
    <m/>
    <m/>
    <x v="0"/>
    <x v="0"/>
    <m/>
    <x v="1"/>
    <x v="0"/>
  </r>
  <r>
    <n v="871"/>
    <s v="871 | M and E"/>
    <x v="9"/>
    <x v="3"/>
    <x v="14"/>
    <x v="6"/>
    <s v="M and E-Manager"/>
    <x v="5"/>
    <d v="2022-07-16T19:23:12"/>
    <x v="513"/>
    <x v="171"/>
    <n v="10"/>
    <d v="2022-08-10T19:23:12"/>
    <s v="Yes"/>
    <d v="2022-07-29T19:23:12"/>
    <x v="3"/>
    <x v="1"/>
    <d v="2022-08-06T19:23:12"/>
    <s v="Accepted"/>
    <d v="2022-07-30T19:23:12"/>
    <d v="2022-08-02T19:23:12"/>
    <d v="2022-08-02T19:23:12"/>
    <d v="2022-08-03T19:23:12"/>
    <x v="1"/>
    <d v="2022-08-04T19:23:12"/>
    <d v="2022-08-05T19:23:12"/>
    <d v="2022-08-06T19:23:12"/>
    <m/>
    <m/>
    <d v="2022-08-23T19:23:12"/>
    <s v="C1850"/>
    <s v="Candidate_850"/>
    <s v="16/07/2022"/>
    <x v="2"/>
    <s v="Job Board"/>
    <n v="6"/>
    <m/>
    <x v="0"/>
    <m/>
    <m/>
    <x v="0"/>
    <x v="0"/>
    <m/>
    <x v="99"/>
    <x v="0"/>
  </r>
  <r>
    <n v="752"/>
    <s v="752 | M and E"/>
    <x v="10"/>
    <x v="3"/>
    <x v="14"/>
    <x v="6"/>
    <s v="M and E-Manager"/>
    <x v="5"/>
    <d v="2023-01-17T21:12:47"/>
    <x v="514"/>
    <x v="172"/>
    <n v="4"/>
    <d v="2023-02-17T21:12:47"/>
    <s v="Yes"/>
    <d v="2023-01-27T21:12:47"/>
    <x v="3"/>
    <x v="1"/>
    <d v="2023-01-30T21:12:47"/>
    <s v="Accepted"/>
    <d v="2023-01-28T21:12:47"/>
    <d v="2023-01-29T21:12:47"/>
    <d v="2023-01-28T21:12:47"/>
    <d v="2023-02-05T21:12:47"/>
    <x v="1"/>
    <d v="2023-02-08T21:12:47"/>
    <d v="2023-02-09T21:12:47"/>
    <d v="2023-02-11T21:12:47"/>
    <m/>
    <m/>
    <d v="2023-02-23T21:12:47"/>
    <s v="C1851"/>
    <s v="Candidate_851"/>
    <s v="Jan 08 2023"/>
    <x v="1"/>
    <s v="Linkedin"/>
    <n v="3"/>
    <m/>
    <x v="0"/>
    <m/>
    <m/>
    <x v="0"/>
    <x v="0"/>
    <m/>
    <x v="100"/>
    <x v="0"/>
  </r>
  <r>
    <n v="699"/>
    <s v="699 | M and E"/>
    <x v="9"/>
    <x v="3"/>
    <x v="14"/>
    <x v="6"/>
    <s v="M and E-Manager"/>
    <x v="5"/>
    <d v="2022-11-06T06:56:27"/>
    <x v="515"/>
    <x v="173"/>
    <n v="4"/>
    <d v="2022-12-10T06:56:27"/>
    <s v="Yes"/>
    <d v="2022-11-20T06:56:27"/>
    <x v="0"/>
    <x v="2"/>
    <m/>
    <m/>
    <m/>
    <m/>
    <d v="2022-11-22T06:56:27"/>
    <m/>
    <x v="0"/>
    <m/>
    <m/>
    <m/>
    <m/>
    <s v="Company"/>
    <m/>
    <s v="C1852"/>
    <s v="Candidate_852"/>
    <s v="Nov 08 2022"/>
    <x v="0"/>
    <s v="Referral"/>
    <n v="6"/>
    <m/>
    <x v="0"/>
    <m/>
    <m/>
    <x v="0"/>
    <x v="0"/>
    <m/>
    <x v="1"/>
    <x v="0"/>
  </r>
  <r>
    <n v="698"/>
    <s v="698 | M and E"/>
    <x v="9"/>
    <x v="3"/>
    <x v="14"/>
    <x v="6"/>
    <s v="M and E-Manager"/>
    <x v="5"/>
    <d v="2022-11-08T06:56:27"/>
    <x v="481"/>
    <x v="173"/>
    <n v="2"/>
    <d v="2022-12-10T06:56:27"/>
    <s v="No"/>
    <m/>
    <x v="2"/>
    <x v="1"/>
    <m/>
    <m/>
    <m/>
    <m/>
    <m/>
    <m/>
    <x v="0"/>
    <m/>
    <m/>
    <m/>
    <m/>
    <m/>
    <m/>
    <s v="C1853"/>
    <s v="Candidate_853"/>
    <m/>
    <x v="0"/>
    <s v="Referral"/>
    <n v="3"/>
    <m/>
    <x v="0"/>
    <m/>
    <m/>
    <x v="0"/>
    <x v="0"/>
    <m/>
    <x v="1"/>
    <x v="0"/>
  </r>
  <r>
    <n v="696"/>
    <s v="696 | M and E"/>
    <x v="10"/>
    <x v="3"/>
    <x v="14"/>
    <x v="6"/>
    <s v="M and E-Manager"/>
    <x v="5"/>
    <m/>
    <x v="516"/>
    <x v="173"/>
    <n v="44875.289201388892"/>
    <d v="2022-11-26T06:56:27"/>
    <s v="No"/>
    <m/>
    <x v="2"/>
    <x v="1"/>
    <m/>
    <m/>
    <m/>
    <m/>
    <m/>
    <m/>
    <x v="0"/>
    <m/>
    <m/>
    <m/>
    <m/>
    <m/>
    <m/>
    <s v="C1854"/>
    <s v="Candidate_854"/>
    <m/>
    <x v="0"/>
    <s v="Referral"/>
    <n v="3"/>
    <m/>
    <x v="0"/>
    <m/>
    <m/>
    <x v="0"/>
    <x v="0"/>
    <m/>
    <x v="0"/>
    <x v="0"/>
  </r>
  <r>
    <n v="695"/>
    <s v="695 | M and E"/>
    <x v="9"/>
    <x v="3"/>
    <x v="14"/>
    <x v="6"/>
    <s v="M and E-Manager"/>
    <x v="5"/>
    <d v="2022-11-04T06:56:27"/>
    <x v="517"/>
    <x v="173"/>
    <n v="6"/>
    <d v="2022-12-07T06:56:27"/>
    <s v="Yes"/>
    <d v="2022-11-17T06:56:27"/>
    <x v="0"/>
    <x v="0"/>
    <m/>
    <m/>
    <m/>
    <m/>
    <d v="2022-11-18T06:56:27"/>
    <m/>
    <x v="0"/>
    <m/>
    <m/>
    <m/>
    <m/>
    <s v="Company"/>
    <m/>
    <s v="C1855"/>
    <s v="Candidate_855"/>
    <s v="Nov 07 2022"/>
    <x v="1"/>
    <s v="Linkedin"/>
    <n v="6"/>
    <m/>
    <x v="0"/>
    <m/>
    <m/>
    <x v="0"/>
    <x v="0"/>
    <m/>
    <x v="1"/>
    <x v="0"/>
  </r>
  <r>
    <n v="648"/>
    <s v="648 | M and E"/>
    <x v="9"/>
    <x v="3"/>
    <x v="14"/>
    <x v="6"/>
    <s v="M and E-Manager"/>
    <x v="5"/>
    <d v="2022-08-10T18:15:27"/>
    <x v="518"/>
    <x v="174"/>
    <n v="5"/>
    <d v="2022-09-06T18:15:27"/>
    <s v="No"/>
    <m/>
    <x v="2"/>
    <x v="1"/>
    <m/>
    <m/>
    <m/>
    <m/>
    <m/>
    <m/>
    <x v="0"/>
    <m/>
    <m/>
    <m/>
    <m/>
    <m/>
    <m/>
    <s v="C1856"/>
    <s v="Candidate_856"/>
    <m/>
    <x v="2"/>
    <s v="Job Board"/>
    <n v="3"/>
    <m/>
    <x v="0"/>
    <m/>
    <m/>
    <x v="0"/>
    <x v="0"/>
    <m/>
    <x v="1"/>
    <x v="0"/>
  </r>
  <r>
    <n v="643"/>
    <s v="643 | M and E"/>
    <x v="11"/>
    <x v="3"/>
    <x v="14"/>
    <x v="6"/>
    <s v="M and E-Manager"/>
    <x v="5"/>
    <m/>
    <x v="519"/>
    <x v="174"/>
    <n v="44788.760729166657"/>
    <d v="2022-08-27T18:15:27"/>
    <s v="Yes"/>
    <d v="2022-08-29T18:15:27"/>
    <x v="0"/>
    <x v="2"/>
    <m/>
    <m/>
    <m/>
    <m/>
    <m/>
    <m/>
    <x v="0"/>
    <m/>
    <m/>
    <m/>
    <m/>
    <s v="Company"/>
    <m/>
    <s v="C1857"/>
    <s v="Candidate_857"/>
    <s v="24/08/2022"/>
    <x v="1"/>
    <s v="Linkedin"/>
    <n v="6"/>
    <m/>
    <x v="0"/>
    <m/>
    <m/>
    <x v="0"/>
    <x v="0"/>
    <m/>
    <x v="0"/>
    <x v="0"/>
  </r>
  <r>
    <n v="642"/>
    <s v="642 | M and E"/>
    <x v="9"/>
    <x v="3"/>
    <x v="14"/>
    <x v="6"/>
    <s v="M and E-Manager"/>
    <x v="5"/>
    <d v="2022-08-07T18:15:27"/>
    <x v="520"/>
    <x v="4"/>
    <n v="-44780.760729166657"/>
    <d v="2022-09-03T18:15:27"/>
    <s v="Yes"/>
    <d v="2022-08-19T18:15:27"/>
    <x v="1"/>
    <x v="1"/>
    <d v="2022-08-26T18:15:27"/>
    <s v="Declined"/>
    <m/>
    <m/>
    <d v="2022-08-23T18:15:27"/>
    <m/>
    <x v="0"/>
    <m/>
    <m/>
    <m/>
    <m/>
    <m/>
    <m/>
    <s v="C1858"/>
    <s v="Candidate_858"/>
    <s v="Jul 31 2022"/>
    <x v="1"/>
    <s v="Linkedin"/>
    <n v="3"/>
    <m/>
    <x v="0"/>
    <m/>
    <m/>
    <x v="0"/>
    <x v="0"/>
    <m/>
    <x v="0"/>
    <x v="0"/>
  </r>
  <r>
    <n v="589"/>
    <s v="589 | M and E"/>
    <x v="9"/>
    <x v="3"/>
    <x v="14"/>
    <x v="6"/>
    <s v="M and E-Manager"/>
    <x v="5"/>
    <d v="2022-11-26T09:55:12"/>
    <x v="521"/>
    <x v="184"/>
    <n v="5"/>
    <d v="2022-12-30T09:55:12"/>
    <s v="Yes"/>
    <d v="2022-12-03T09:55:12"/>
    <x v="0"/>
    <x v="0"/>
    <m/>
    <m/>
    <m/>
    <m/>
    <m/>
    <m/>
    <x v="0"/>
    <m/>
    <m/>
    <m/>
    <m/>
    <s v="Company"/>
    <m/>
    <s v="C1859"/>
    <s v="Candidate_859"/>
    <s v="11-28-2022"/>
    <x v="1"/>
    <s v="Linkedin"/>
    <n v="6"/>
    <m/>
    <x v="0"/>
    <m/>
    <m/>
    <x v="0"/>
    <x v="0"/>
    <m/>
    <x v="1"/>
    <x v="0"/>
  </r>
  <r>
    <n v="586"/>
    <s v="586 | M and E"/>
    <x v="9"/>
    <x v="3"/>
    <x v="14"/>
    <x v="6"/>
    <s v="M and E-Manager"/>
    <x v="5"/>
    <d v="2022-11-22T09:55:12"/>
    <x v="522"/>
    <x v="4"/>
    <n v="-44887.41333333333"/>
    <d v="2022-12-29T09:55:12"/>
    <s v="Yes"/>
    <d v="2022-12-04T09:55:12"/>
    <x v="0"/>
    <x v="5"/>
    <m/>
    <m/>
    <m/>
    <m/>
    <d v="2022-12-05T09:55:12"/>
    <m/>
    <x v="0"/>
    <m/>
    <m/>
    <m/>
    <m/>
    <s v="Candidate"/>
    <m/>
    <s v="C1860"/>
    <s v="Candidate_860"/>
    <s v="29/11/2022"/>
    <x v="1"/>
    <s v="Linkedin"/>
    <n v="6"/>
    <m/>
    <x v="0"/>
    <m/>
    <m/>
    <x v="0"/>
    <x v="0"/>
    <m/>
    <x v="0"/>
    <x v="0"/>
  </r>
  <r>
    <n v="585"/>
    <s v="585 | M and E"/>
    <x v="9"/>
    <x v="3"/>
    <x v="14"/>
    <x v="6"/>
    <s v="M and E-Manager"/>
    <x v="5"/>
    <d v="2022-11-27T09:55:12"/>
    <x v="523"/>
    <x v="184"/>
    <n v="4"/>
    <d v="2022-12-27T09:55:12"/>
    <s v="Yes"/>
    <d v="2022-12-15T09:55:12"/>
    <x v="4"/>
    <x v="1"/>
    <d v="2022-12-20T09:55:12"/>
    <s v="Pending"/>
    <m/>
    <m/>
    <d v="2022-12-16T09:55:12"/>
    <m/>
    <x v="0"/>
    <m/>
    <m/>
    <m/>
    <m/>
    <m/>
    <m/>
    <s v="C1861"/>
    <s v="Candidate_861"/>
    <s v="04/12/2022"/>
    <x v="0"/>
    <s v="Referral"/>
    <n v="3"/>
    <m/>
    <x v="0"/>
    <m/>
    <m/>
    <x v="0"/>
    <x v="0"/>
    <m/>
    <x v="1"/>
    <x v="0"/>
  </r>
  <r>
    <n v="584"/>
    <s v="584 | M and E"/>
    <x v="9"/>
    <x v="3"/>
    <x v="14"/>
    <x v="6"/>
    <s v="M and E-Manager"/>
    <x v="5"/>
    <d v="2022-11-26T09:55:12"/>
    <x v="524"/>
    <x v="184"/>
    <n v="5"/>
    <d v="2022-12-12T09:55:12"/>
    <s v="Yes"/>
    <d v="2022-12-16T09:55:12"/>
    <x v="3"/>
    <x v="1"/>
    <d v="2022-12-24T09:55:12"/>
    <s v="Accepted"/>
    <d v="2022-12-17T09:55:12"/>
    <d v="2022-12-21T09:55:12"/>
    <d v="2022-12-20T09:55:12"/>
    <d v="2022-12-27T09:55:12"/>
    <x v="1"/>
    <d v="2022-12-29T09:55:12"/>
    <d v="2022-12-31T09:55:12"/>
    <d v="2023-01-03T09:55:12"/>
    <m/>
    <m/>
    <d v="2023-01-13T09:55:12"/>
    <s v="C1862"/>
    <s v="Candidate_862"/>
    <s v="12-08-2022"/>
    <x v="1"/>
    <s v="Linkedin"/>
    <n v="6"/>
    <m/>
    <x v="0"/>
    <m/>
    <m/>
    <x v="0"/>
    <x v="0"/>
    <m/>
    <x v="101"/>
    <x v="0"/>
  </r>
  <r>
    <n v="581"/>
    <s v="581 | M and E"/>
    <x v="9"/>
    <x v="3"/>
    <x v="14"/>
    <x v="6"/>
    <s v="M and E-Manager"/>
    <x v="5"/>
    <d v="2022-11-21T09:55:12"/>
    <x v="525"/>
    <x v="184"/>
    <n v="10"/>
    <d v="2022-12-21T09:55:12"/>
    <s v="Yes"/>
    <d v="2022-12-18T09:55:12"/>
    <x v="0"/>
    <x v="2"/>
    <m/>
    <m/>
    <m/>
    <m/>
    <d v="2022-12-22T09:55:12"/>
    <m/>
    <x v="0"/>
    <m/>
    <m/>
    <m/>
    <m/>
    <s v="Candidate"/>
    <m/>
    <s v="C1863"/>
    <s v="Candidate_863"/>
    <s v="Nov 30 2022"/>
    <x v="2"/>
    <s v="Job Board"/>
    <n v="3"/>
    <m/>
    <x v="0"/>
    <m/>
    <m/>
    <x v="0"/>
    <x v="0"/>
    <m/>
    <x v="1"/>
    <x v="0"/>
  </r>
  <r>
    <n v="555"/>
    <s v="555 | M and E"/>
    <x v="10"/>
    <x v="3"/>
    <x v="14"/>
    <x v="6"/>
    <s v="M and E-Manager"/>
    <x v="5"/>
    <d v="2023-06-07T00:15:10"/>
    <x v="484"/>
    <x v="175"/>
    <n v="7"/>
    <d v="2023-06-30T00:15:10"/>
    <s v="Yes"/>
    <d v="2023-06-25T00:15:10"/>
    <x v="1"/>
    <x v="1"/>
    <d v="2023-06-29T00:15:10"/>
    <s v="Declined"/>
    <m/>
    <m/>
    <d v="2023-06-26T00:15:10"/>
    <m/>
    <x v="0"/>
    <m/>
    <m/>
    <m/>
    <m/>
    <m/>
    <m/>
    <s v="C1864"/>
    <s v="Candidate_864"/>
    <s v="06-12-2023"/>
    <x v="2"/>
    <s v="Job Board"/>
    <n v="6"/>
    <m/>
    <x v="0"/>
    <m/>
    <m/>
    <x v="0"/>
    <x v="0"/>
    <m/>
    <x v="1"/>
    <x v="0"/>
  </r>
  <r>
    <n v="542"/>
    <s v="542 | M and E"/>
    <x v="9"/>
    <x v="3"/>
    <x v="14"/>
    <x v="6"/>
    <s v="M and E-Manager"/>
    <x v="5"/>
    <m/>
    <x v="526"/>
    <x v="185"/>
    <n v="44964.651087962957"/>
    <d v="2023-02-20T15:37:34"/>
    <s v="No"/>
    <m/>
    <x v="2"/>
    <x v="1"/>
    <m/>
    <m/>
    <m/>
    <m/>
    <m/>
    <m/>
    <x v="0"/>
    <m/>
    <m/>
    <m/>
    <m/>
    <m/>
    <m/>
    <s v="C1865"/>
    <s v="Candidate_865"/>
    <m/>
    <x v="1"/>
    <s v="Linkedin"/>
    <n v="6"/>
    <m/>
    <x v="0"/>
    <m/>
    <m/>
    <x v="0"/>
    <x v="0"/>
    <m/>
    <x v="0"/>
    <x v="0"/>
  </r>
  <r>
    <n v="529"/>
    <s v="529 | M and E"/>
    <x v="9"/>
    <x v="3"/>
    <x v="14"/>
    <x v="6"/>
    <s v="M and E-Manager"/>
    <x v="5"/>
    <d v="2022-02-12T20:00:49"/>
    <x v="0"/>
    <x v="0"/>
    <n v="7"/>
    <d v="2022-03-07T20:00:49"/>
    <s v="Yes"/>
    <d v="2022-02-22T20:00:49"/>
    <x v="0"/>
    <x v="0"/>
    <m/>
    <m/>
    <m/>
    <m/>
    <d v="2022-02-26T20:00:49"/>
    <m/>
    <x v="0"/>
    <m/>
    <m/>
    <m/>
    <m/>
    <s v="Company"/>
    <m/>
    <s v="C1866"/>
    <s v="Candidate_866"/>
    <s v="03/02/2022"/>
    <x v="2"/>
    <s v="Job Board"/>
    <n v="6"/>
    <m/>
    <x v="0"/>
    <m/>
    <m/>
    <x v="0"/>
    <x v="0"/>
    <m/>
    <x v="0"/>
    <x v="0"/>
  </r>
  <r>
    <n v="526"/>
    <s v="526 | M and E"/>
    <x v="11"/>
    <x v="3"/>
    <x v="14"/>
    <x v="6"/>
    <s v="M and E-Manager"/>
    <x v="5"/>
    <m/>
    <x v="527"/>
    <x v="0"/>
    <n v="44611.83390046296"/>
    <d v="2022-03-19T20:00:49"/>
    <s v="No"/>
    <m/>
    <x v="2"/>
    <x v="1"/>
    <m/>
    <m/>
    <m/>
    <m/>
    <m/>
    <m/>
    <x v="0"/>
    <m/>
    <m/>
    <m/>
    <m/>
    <m/>
    <m/>
    <s v="C1867"/>
    <s v="Candidate_867"/>
    <m/>
    <x v="0"/>
    <s v="Referral"/>
    <n v="3"/>
    <m/>
    <x v="0"/>
    <m/>
    <m/>
    <x v="0"/>
    <x v="0"/>
    <m/>
    <x v="0"/>
    <x v="0"/>
  </r>
  <r>
    <n v="2908"/>
    <s v="2908 | M and E"/>
    <x v="9"/>
    <x v="3"/>
    <x v="15"/>
    <x v="0"/>
    <s v="M and E-Analyst"/>
    <x v="0"/>
    <m/>
    <x v="486"/>
    <x v="176"/>
    <n v="44622.299814814818"/>
    <d v="2022-04-16T07:11:44"/>
    <s v="Yes"/>
    <d v="2022-03-17T07:11:44"/>
    <x v="3"/>
    <x v="1"/>
    <d v="2022-03-22T07:11:44"/>
    <s v="Accepted"/>
    <d v="2022-03-18T07:11:44"/>
    <d v="2022-03-20T07:11:44"/>
    <d v="2022-03-21T07:11:44"/>
    <d v="2022-03-27T07:11:44"/>
    <x v="1"/>
    <d v="2022-03-29T07:11:44"/>
    <d v="2022-03-31T07:11:44"/>
    <d v="2022-04-01T07:11:44"/>
    <m/>
    <m/>
    <d v="2022-04-16T07:11:44"/>
    <s v="C1868"/>
    <s v="Candidate_868"/>
    <s v="Mar 04 2022"/>
    <x v="2"/>
    <s v="Job Board"/>
    <n v="3"/>
    <m/>
    <x v="0"/>
    <m/>
    <m/>
    <x v="0"/>
    <x v="0"/>
    <m/>
    <x v="0"/>
    <x v="0"/>
  </r>
  <r>
    <n v="2906"/>
    <s v="2906 | M and E"/>
    <x v="9"/>
    <x v="3"/>
    <x v="15"/>
    <x v="0"/>
    <s v="M and E-Analyst"/>
    <x v="0"/>
    <d v="2022-02-23T07:11:44"/>
    <x v="433"/>
    <x v="176"/>
    <n v="7"/>
    <d v="2022-04-16T07:11:44"/>
    <s v="Yes"/>
    <d v="2022-03-09T07:11:44"/>
    <x v="1"/>
    <x v="1"/>
    <d v="2022-03-14T07:11:44"/>
    <s v="Declined"/>
    <m/>
    <m/>
    <d v="2022-03-12T07:11:44"/>
    <m/>
    <x v="0"/>
    <m/>
    <m/>
    <m/>
    <m/>
    <m/>
    <m/>
    <s v="C1869"/>
    <s v="Candidate_869"/>
    <s v="02-28-2022"/>
    <x v="2"/>
    <s v="Job Board"/>
    <n v="3"/>
    <m/>
    <x v="0"/>
    <m/>
    <m/>
    <x v="0"/>
    <x v="0"/>
    <m/>
    <x v="1"/>
    <x v="0"/>
  </r>
  <r>
    <n v="2904"/>
    <s v="2904 | M and E"/>
    <x v="10"/>
    <x v="3"/>
    <x v="15"/>
    <x v="0"/>
    <s v="M and E-Analyst"/>
    <x v="0"/>
    <d v="2022-02-28T07:11:44"/>
    <x v="421"/>
    <x v="4"/>
    <n v="-44620.299814814818"/>
    <d v="2022-04-16T07:11:44"/>
    <s v="No"/>
    <m/>
    <x v="2"/>
    <x v="1"/>
    <m/>
    <m/>
    <m/>
    <m/>
    <m/>
    <m/>
    <x v="0"/>
    <m/>
    <m/>
    <m/>
    <m/>
    <m/>
    <m/>
    <s v="C1870"/>
    <s v="Candidate_870"/>
    <m/>
    <x v="2"/>
    <s v="Job Board"/>
    <n v="6"/>
    <m/>
    <x v="0"/>
    <m/>
    <m/>
    <x v="0"/>
    <x v="0"/>
    <m/>
    <x v="0"/>
    <x v="0"/>
  </r>
  <r>
    <n v="2812"/>
    <s v="2812 | M and E"/>
    <x v="9"/>
    <x v="3"/>
    <x v="15"/>
    <x v="0"/>
    <s v="M and E-Analyst"/>
    <x v="0"/>
    <m/>
    <x v="528"/>
    <x v="142"/>
    <n v="44898.862592592603"/>
    <d v="2022-12-14T20:42:08"/>
    <s v="Yes"/>
    <d v="2022-12-10T20:42:08"/>
    <x v="0"/>
    <x v="4"/>
    <m/>
    <m/>
    <m/>
    <m/>
    <m/>
    <m/>
    <x v="0"/>
    <m/>
    <m/>
    <m/>
    <m/>
    <s v="Candidate"/>
    <m/>
    <s v="C1871"/>
    <s v="Candidate_871"/>
    <s v="11-26-2022"/>
    <x v="2"/>
    <s v="Job Board"/>
    <n v="3"/>
    <m/>
    <x v="0"/>
    <m/>
    <m/>
    <x v="0"/>
    <x v="0"/>
    <m/>
    <x v="0"/>
    <x v="0"/>
  </r>
  <r>
    <n v="2720"/>
    <s v="2720 | M and E"/>
    <x v="9"/>
    <x v="3"/>
    <x v="15"/>
    <x v="0"/>
    <s v="M and E-Analyst"/>
    <x v="0"/>
    <d v="2023-01-26T01:18:41"/>
    <x v="0"/>
    <x v="157"/>
    <n v="6"/>
    <d v="2023-03-03T01:18:41"/>
    <s v="Yes"/>
    <d v="2023-02-16T01:18:41"/>
    <x v="1"/>
    <x v="1"/>
    <d v="2023-02-23T01:18:41"/>
    <s v="Declined"/>
    <m/>
    <m/>
    <d v="2023-02-20T01:18:41"/>
    <m/>
    <x v="0"/>
    <m/>
    <m/>
    <m/>
    <m/>
    <m/>
    <m/>
    <s v="C1872"/>
    <s v="Candidate_872"/>
    <s v="07/02/2023"/>
    <x v="1"/>
    <s v="Linkedin"/>
    <n v="6"/>
    <m/>
    <x v="0"/>
    <m/>
    <m/>
    <x v="0"/>
    <x v="0"/>
    <m/>
    <x v="0"/>
    <x v="0"/>
  </r>
  <r>
    <n v="2719"/>
    <s v="2719 | M and E"/>
    <x v="11"/>
    <x v="3"/>
    <x v="15"/>
    <x v="0"/>
    <s v="M and E-Analyst"/>
    <x v="0"/>
    <d v="2023-01-26T01:18:41"/>
    <x v="529"/>
    <x v="157"/>
    <n v="6"/>
    <d v="2023-02-23T01:18:41"/>
    <s v="Yes"/>
    <d v="2023-02-05T01:18:41"/>
    <x v="1"/>
    <x v="1"/>
    <d v="2023-02-07T01:18:41"/>
    <s v="Declined"/>
    <m/>
    <m/>
    <d v="2023-02-06T01:18:41"/>
    <m/>
    <x v="0"/>
    <m/>
    <m/>
    <m/>
    <m/>
    <m/>
    <m/>
    <s v="C1873"/>
    <s v="Candidate_873"/>
    <s v="01-18-2023"/>
    <x v="2"/>
    <s v="Job Board"/>
    <n v="6"/>
    <m/>
    <x v="0"/>
    <m/>
    <m/>
    <x v="0"/>
    <x v="0"/>
    <m/>
    <x v="1"/>
    <x v="0"/>
  </r>
  <r>
    <n v="2693"/>
    <s v="2693 | M and E"/>
    <x v="9"/>
    <x v="3"/>
    <x v="15"/>
    <x v="0"/>
    <s v="M and E-Analyst"/>
    <x v="0"/>
    <d v="2023-04-01T23:49:48"/>
    <x v="438"/>
    <x v="143"/>
    <n v="6"/>
    <d v="2023-05-03T23:49:48"/>
    <s v="Yes"/>
    <d v="2023-04-19T23:49:48"/>
    <x v="4"/>
    <x v="1"/>
    <d v="2023-04-23T23:49:48"/>
    <s v="Pending"/>
    <m/>
    <m/>
    <d v="2023-04-20T23:49:48"/>
    <m/>
    <x v="0"/>
    <m/>
    <m/>
    <m/>
    <m/>
    <m/>
    <m/>
    <s v="C1874"/>
    <s v="Candidate_874"/>
    <s v="04-10-2023"/>
    <x v="0"/>
    <s v="Referral"/>
    <n v="6"/>
    <m/>
    <x v="0"/>
    <m/>
    <m/>
    <x v="0"/>
    <x v="0"/>
    <m/>
    <x v="1"/>
    <x v="0"/>
  </r>
  <r>
    <n v="2659"/>
    <s v="2659 | M and E"/>
    <x v="10"/>
    <x v="3"/>
    <x v="15"/>
    <x v="0"/>
    <s v="M and E-Analyst"/>
    <x v="0"/>
    <d v="2022-02-07T10:00:31"/>
    <x v="440"/>
    <x v="158"/>
    <n v="6"/>
    <d v="2022-03-04T10:00:31"/>
    <s v="Yes"/>
    <d v="2022-02-26T10:00:31"/>
    <x v="1"/>
    <x v="1"/>
    <d v="2022-03-04T10:00:31"/>
    <s v="Declined"/>
    <m/>
    <m/>
    <d v="2022-03-02T10:00:31"/>
    <m/>
    <x v="0"/>
    <m/>
    <m/>
    <m/>
    <m/>
    <m/>
    <m/>
    <s v="C1875"/>
    <s v="Candidate_875"/>
    <s v="18/02/2022"/>
    <x v="0"/>
    <s v="Referral"/>
    <n v="6"/>
    <m/>
    <x v="0"/>
    <m/>
    <m/>
    <x v="0"/>
    <x v="0"/>
    <m/>
    <x v="1"/>
    <x v="0"/>
  </r>
  <r>
    <n v="2658"/>
    <s v="2658 | M and E"/>
    <x v="9"/>
    <x v="3"/>
    <x v="15"/>
    <x v="0"/>
    <s v="M and E-Analyst"/>
    <x v="0"/>
    <d v="2022-02-08T10:00:31"/>
    <x v="489"/>
    <x v="158"/>
    <n v="5"/>
    <d v="2022-02-18T10:00:31"/>
    <s v="Yes"/>
    <d v="2022-02-14T10:00:31"/>
    <x v="3"/>
    <x v="1"/>
    <d v="2022-02-19T10:00:31"/>
    <s v="Accepted"/>
    <d v="2022-02-16T10:00:31"/>
    <d v="2022-02-20T10:00:31"/>
    <d v="2022-02-16T10:00:31"/>
    <d v="2022-02-25T10:00:31"/>
    <x v="1"/>
    <d v="2022-03-01T10:00:31"/>
    <d v="2022-03-02T10:00:31"/>
    <d v="2022-03-05T10:00:31"/>
    <m/>
    <m/>
    <d v="2022-03-18T10:00:31"/>
    <s v="C1876"/>
    <s v="Candidate_876"/>
    <s v="28/01/2022"/>
    <x v="1"/>
    <s v="Linkedin"/>
    <n v="6"/>
    <m/>
    <x v="0"/>
    <m/>
    <m/>
    <x v="0"/>
    <x v="0"/>
    <m/>
    <x v="102"/>
    <x v="0"/>
  </r>
  <r>
    <n v="2656"/>
    <s v="2656 | M and E"/>
    <x v="10"/>
    <x v="3"/>
    <x v="15"/>
    <x v="0"/>
    <s v="M and E-Analyst"/>
    <x v="0"/>
    <d v="2022-02-09T10:00:31"/>
    <x v="0"/>
    <x v="158"/>
    <n v="4"/>
    <d v="2022-03-13T10:00:31"/>
    <s v="Yes"/>
    <d v="2022-02-20T10:00:31"/>
    <x v="3"/>
    <x v="1"/>
    <d v="2022-02-26T10:00:31"/>
    <s v="Accepted"/>
    <d v="2022-02-21T10:00:31"/>
    <d v="2022-02-23T10:00:31"/>
    <d v="2022-02-22T10:00:31"/>
    <d v="2022-02-25T10:00:31"/>
    <x v="1"/>
    <d v="2022-02-26T10:00:31"/>
    <d v="2022-02-27T10:00:31"/>
    <d v="2022-03-02T10:00:31"/>
    <m/>
    <m/>
    <d v="2022-03-17T10:00:31"/>
    <s v="C1877"/>
    <s v="Candidate_877"/>
    <s v="Feb 12 2022"/>
    <x v="2"/>
    <s v="Job Board"/>
    <n v="3"/>
    <m/>
    <x v="0"/>
    <m/>
    <m/>
    <x v="0"/>
    <x v="0"/>
    <m/>
    <x v="0"/>
    <x v="0"/>
  </r>
  <r>
    <n v="2655"/>
    <s v="2655 | M and E"/>
    <x v="10"/>
    <x v="3"/>
    <x v="15"/>
    <x v="0"/>
    <s v="M and E-Analyst"/>
    <x v="0"/>
    <d v="2022-02-07T10:00:31"/>
    <x v="530"/>
    <x v="158"/>
    <n v="6"/>
    <d v="2022-02-26T10:00:31"/>
    <s v="Yes"/>
    <d v="2022-02-17T10:00:31"/>
    <x v="3"/>
    <x v="1"/>
    <d v="2022-02-21T10:00:31"/>
    <s v="Accepted"/>
    <d v="2022-02-18T10:00:31"/>
    <d v="2022-02-19T10:00:31"/>
    <d v="2022-02-18T10:00:31"/>
    <d v="2022-02-28T10:00:31"/>
    <x v="1"/>
    <d v="2022-03-03T10:00:31"/>
    <d v="2022-03-06T10:00:31"/>
    <d v="2022-03-09T10:00:31"/>
    <m/>
    <m/>
    <d v="2022-03-19T10:00:31"/>
    <s v="C1878"/>
    <s v="Candidate_878"/>
    <s v="Feb 06 2022"/>
    <x v="2"/>
    <s v="Job Board"/>
    <n v="3"/>
    <m/>
    <x v="0"/>
    <m/>
    <m/>
    <x v="0"/>
    <x v="0"/>
    <m/>
    <x v="103"/>
    <x v="0"/>
  </r>
  <r>
    <n v="2610"/>
    <s v="2610 | M and E"/>
    <x v="9"/>
    <x v="3"/>
    <x v="15"/>
    <x v="8"/>
    <s v="M and E-Extension Officer"/>
    <x v="0"/>
    <d v="2023-04-25T16:37:27"/>
    <x v="531"/>
    <x v="179"/>
    <n v="5"/>
    <d v="2023-05-26T16:37:27"/>
    <s v="Yes"/>
    <d v="2023-05-12T16:37:27"/>
    <x v="1"/>
    <x v="1"/>
    <d v="2023-05-18T16:37:27"/>
    <s v="Declined"/>
    <m/>
    <m/>
    <d v="2023-05-16T16:37:27"/>
    <m/>
    <x v="0"/>
    <m/>
    <m/>
    <m/>
    <m/>
    <m/>
    <m/>
    <s v="C1879"/>
    <s v="Candidate_879"/>
    <s v="May 07 2023"/>
    <x v="1"/>
    <s v="Linkedin"/>
    <n v="6"/>
    <m/>
    <x v="0"/>
    <m/>
    <m/>
    <x v="0"/>
    <x v="0"/>
    <m/>
    <x v="1"/>
    <x v="0"/>
  </r>
  <r>
    <n v="2609"/>
    <s v="2609 | M and E"/>
    <x v="9"/>
    <x v="3"/>
    <x v="15"/>
    <x v="8"/>
    <s v="M and E-Extension Officer"/>
    <x v="0"/>
    <d v="2023-04-21T16:37:27"/>
    <x v="0"/>
    <x v="179"/>
    <n v="9"/>
    <d v="2023-05-07T16:37:27"/>
    <s v="Yes"/>
    <d v="2023-05-10T16:37:27"/>
    <x v="1"/>
    <x v="1"/>
    <d v="2023-05-15T16:37:27"/>
    <s v="Declined"/>
    <m/>
    <m/>
    <d v="2023-05-11T16:37:27"/>
    <m/>
    <x v="0"/>
    <m/>
    <m/>
    <m/>
    <m/>
    <m/>
    <m/>
    <s v="C1880"/>
    <s v="Candidate_880"/>
    <s v="26/04/2023"/>
    <x v="1"/>
    <s v="Linkedin"/>
    <n v="3"/>
    <m/>
    <x v="0"/>
    <m/>
    <m/>
    <x v="0"/>
    <x v="0"/>
    <m/>
    <x v="0"/>
    <x v="0"/>
  </r>
  <r>
    <n v="2606"/>
    <s v="2606 | M and E"/>
    <x v="11"/>
    <x v="3"/>
    <x v="15"/>
    <x v="8"/>
    <s v="M and E-Extension Officer"/>
    <x v="0"/>
    <d v="2023-04-24T16:37:27"/>
    <x v="491"/>
    <x v="179"/>
    <n v="6"/>
    <d v="2023-05-05T16:37:27"/>
    <s v="Yes"/>
    <d v="2023-05-06T16:37:27"/>
    <x v="1"/>
    <x v="1"/>
    <d v="2023-05-10T16:37:27"/>
    <s v="Declined"/>
    <m/>
    <m/>
    <d v="2023-05-09T16:37:27"/>
    <m/>
    <x v="0"/>
    <m/>
    <m/>
    <m/>
    <m/>
    <m/>
    <m/>
    <s v="C1881"/>
    <s v="Candidate_881"/>
    <s v="May 01 2023"/>
    <x v="0"/>
    <s v="Referral"/>
    <n v="3"/>
    <m/>
    <x v="0"/>
    <m/>
    <m/>
    <x v="0"/>
    <x v="0"/>
    <m/>
    <x v="1"/>
    <x v="0"/>
  </r>
  <r>
    <n v="2603"/>
    <s v="2603 | M and E"/>
    <x v="11"/>
    <x v="3"/>
    <x v="15"/>
    <x v="8"/>
    <s v="M and E-Extension Officer"/>
    <x v="0"/>
    <d v="2023-04-25T16:37:27"/>
    <x v="532"/>
    <x v="179"/>
    <n v="5"/>
    <d v="2023-05-26T16:37:27"/>
    <s v="Yes"/>
    <d v="2023-05-13T16:37:27"/>
    <x v="0"/>
    <x v="5"/>
    <m/>
    <m/>
    <m/>
    <m/>
    <d v="2023-05-14T16:37:27"/>
    <m/>
    <x v="0"/>
    <m/>
    <m/>
    <m/>
    <m/>
    <s v="Candidate"/>
    <m/>
    <s v="C1882"/>
    <s v="Candidate_882"/>
    <s v="24/04/2023"/>
    <x v="1"/>
    <s v="Linkedin"/>
    <n v="6"/>
    <m/>
    <x v="0"/>
    <m/>
    <m/>
    <x v="0"/>
    <x v="0"/>
    <m/>
    <x v="1"/>
    <x v="0"/>
  </r>
  <r>
    <n v="2602"/>
    <s v="2602 | M and E"/>
    <x v="10"/>
    <x v="3"/>
    <x v="15"/>
    <x v="8"/>
    <s v="M and E-Extension Officer"/>
    <x v="0"/>
    <d v="2023-04-23T16:37:27"/>
    <x v="533"/>
    <x v="179"/>
    <n v="7"/>
    <d v="2023-05-15T16:37:27"/>
    <s v="Yes"/>
    <d v="2023-05-09T16:37:27"/>
    <x v="4"/>
    <x v="1"/>
    <d v="2023-05-13T16:37:27"/>
    <s v="Pending"/>
    <m/>
    <m/>
    <d v="2023-05-12T16:37:27"/>
    <m/>
    <x v="0"/>
    <m/>
    <m/>
    <m/>
    <m/>
    <m/>
    <m/>
    <s v="C1883"/>
    <s v="Candidate_883"/>
    <s v="Apr 22 2023"/>
    <x v="1"/>
    <s v="Linkedin"/>
    <n v="6"/>
    <m/>
    <x v="0"/>
    <m/>
    <m/>
    <x v="0"/>
    <x v="0"/>
    <m/>
    <x v="1"/>
    <x v="0"/>
  </r>
  <r>
    <n v="2496"/>
    <s v="2496 | M and E"/>
    <x v="9"/>
    <x v="3"/>
    <x v="15"/>
    <x v="8"/>
    <s v="M and E-Extension Officer"/>
    <x v="0"/>
    <d v="2022-01-28T13:06:55"/>
    <x v="534"/>
    <x v="159"/>
    <n v="8"/>
    <d v="2022-02-17T13:06:55"/>
    <s v="Yes"/>
    <d v="2022-02-11T13:06:55"/>
    <x v="0"/>
    <x v="3"/>
    <m/>
    <m/>
    <m/>
    <m/>
    <m/>
    <m/>
    <x v="0"/>
    <m/>
    <m/>
    <m/>
    <m/>
    <s v="Company"/>
    <m/>
    <s v="C1884"/>
    <s v="Candidate_884"/>
    <s v="Feb 03 2022"/>
    <x v="1"/>
    <s v="Linkedin"/>
    <n v="6"/>
    <m/>
    <x v="0"/>
    <m/>
    <m/>
    <x v="0"/>
    <x v="0"/>
    <m/>
    <x v="1"/>
    <x v="0"/>
  </r>
  <r>
    <n v="2492"/>
    <s v="2492 | M and E"/>
    <x v="9"/>
    <x v="3"/>
    <x v="15"/>
    <x v="8"/>
    <s v="M and E-Extension Officer"/>
    <x v="0"/>
    <m/>
    <x v="442"/>
    <x v="159"/>
    <n v="44597.546469907407"/>
    <d v="2022-02-18T13:06:55"/>
    <s v="Yes"/>
    <d v="2022-02-12T13:06:55"/>
    <x v="3"/>
    <x v="1"/>
    <d v="2022-02-17T13:06:55"/>
    <s v="Accepted"/>
    <d v="2022-02-14T13:06:55"/>
    <d v="2022-02-15T13:06:55"/>
    <d v="2022-02-16T13:06:55"/>
    <d v="2022-02-21T13:06:55"/>
    <x v="1"/>
    <d v="2022-02-24T13:06:55"/>
    <d v="2022-02-25T13:06:55"/>
    <d v="2022-02-26T13:06:55"/>
    <m/>
    <m/>
    <d v="2022-03-18T13:06:55"/>
    <s v="C1885"/>
    <s v="Candidate_885"/>
    <s v="28/01/2022"/>
    <x v="1"/>
    <s v="Linkedin"/>
    <n v="3"/>
    <m/>
    <x v="0"/>
    <m/>
    <m/>
    <x v="0"/>
    <x v="0"/>
    <m/>
    <x v="0"/>
    <x v="0"/>
  </r>
  <r>
    <n v="2469"/>
    <s v="2469 | M and E"/>
    <x v="9"/>
    <x v="3"/>
    <x v="15"/>
    <x v="8"/>
    <s v="M and E-Extension Officer"/>
    <x v="0"/>
    <d v="2023-03-31T20:12:18"/>
    <x v="492"/>
    <x v="180"/>
    <n v="6"/>
    <d v="2023-05-01T20:12:18"/>
    <s v="Yes"/>
    <d v="2023-04-22T20:12:18"/>
    <x v="0"/>
    <x v="3"/>
    <m/>
    <m/>
    <m/>
    <m/>
    <m/>
    <m/>
    <x v="0"/>
    <m/>
    <m/>
    <m/>
    <m/>
    <s v="Company"/>
    <m/>
    <s v="C1886"/>
    <s v="Candidate_886"/>
    <s v="04-09-2023"/>
    <x v="1"/>
    <s v="Linkedin"/>
    <n v="6"/>
    <m/>
    <x v="0"/>
    <m/>
    <m/>
    <x v="0"/>
    <x v="0"/>
    <m/>
    <x v="1"/>
    <x v="0"/>
  </r>
  <r>
    <n v="2464"/>
    <s v="2464 | M and E"/>
    <x v="9"/>
    <x v="3"/>
    <x v="15"/>
    <x v="8"/>
    <s v="M and E-Extension Officer"/>
    <x v="0"/>
    <d v="2023-04-01T20:12:18"/>
    <x v="535"/>
    <x v="180"/>
    <n v="5"/>
    <d v="2023-04-22T20:12:18"/>
    <s v="Yes"/>
    <d v="2023-04-11T20:12:18"/>
    <x v="1"/>
    <x v="1"/>
    <d v="2023-04-18T20:12:18"/>
    <s v="Declined"/>
    <m/>
    <m/>
    <d v="2023-04-15T20:12:18"/>
    <m/>
    <x v="0"/>
    <m/>
    <m/>
    <m/>
    <m/>
    <m/>
    <m/>
    <s v="C1887"/>
    <s v="Candidate_887"/>
    <s v="24/03/2023"/>
    <x v="2"/>
    <s v="Job Board"/>
    <n v="3"/>
    <m/>
    <x v="0"/>
    <m/>
    <m/>
    <x v="0"/>
    <x v="0"/>
    <m/>
    <x v="1"/>
    <x v="0"/>
  </r>
  <r>
    <n v="2432"/>
    <s v="2432 | M and E"/>
    <x v="9"/>
    <x v="3"/>
    <x v="15"/>
    <x v="8"/>
    <s v="M and E-Extension Officer"/>
    <x v="0"/>
    <d v="2022-07-05T03:02:50"/>
    <x v="536"/>
    <x v="181"/>
    <n v="2"/>
    <d v="2022-07-17T03:02:50"/>
    <s v="Yes"/>
    <d v="2022-07-12T03:02:50"/>
    <x v="1"/>
    <x v="1"/>
    <d v="2022-07-16T03:02:50"/>
    <s v="Declined"/>
    <m/>
    <m/>
    <d v="2022-07-13T03:02:50"/>
    <m/>
    <x v="0"/>
    <m/>
    <m/>
    <m/>
    <m/>
    <m/>
    <m/>
    <s v="C1888"/>
    <s v="Candidate_888"/>
    <s v="Jun 29 2022"/>
    <x v="2"/>
    <s v="Job Board"/>
    <n v="3"/>
    <m/>
    <x v="0"/>
    <m/>
    <m/>
    <x v="0"/>
    <x v="0"/>
    <m/>
    <x v="1"/>
    <x v="0"/>
  </r>
  <r>
    <n v="2344"/>
    <s v="2344 | M and E"/>
    <x v="9"/>
    <x v="3"/>
    <x v="15"/>
    <x v="8"/>
    <s v="M and E-Extension Officer"/>
    <x v="0"/>
    <d v="2023-05-06T08:44:55"/>
    <x v="537"/>
    <x v="144"/>
    <n v="8"/>
    <d v="2023-05-31T08:44:55"/>
    <s v="Yes"/>
    <d v="2023-05-22T08:44:55"/>
    <x v="0"/>
    <x v="0"/>
    <m/>
    <m/>
    <m/>
    <m/>
    <d v="2023-05-24T08:44:55"/>
    <m/>
    <x v="0"/>
    <m/>
    <m/>
    <m/>
    <m/>
    <s v="Company"/>
    <m/>
    <s v="C1889"/>
    <s v="Candidate_889"/>
    <s v="10/05/2023"/>
    <x v="1"/>
    <s v="Linkedin"/>
    <n v="3"/>
    <m/>
    <x v="0"/>
    <m/>
    <m/>
    <x v="0"/>
    <x v="0"/>
    <m/>
    <x v="1"/>
    <x v="0"/>
  </r>
  <r>
    <n v="2209"/>
    <s v="2209 | M and E"/>
    <x v="9"/>
    <x v="3"/>
    <x v="15"/>
    <x v="8"/>
    <s v="M and E-Extension Officer"/>
    <x v="0"/>
    <d v="2023-06-19T04:51:46"/>
    <x v="538"/>
    <x v="160"/>
    <n v="2"/>
    <d v="2023-07-08T04:51:46"/>
    <s v="Yes"/>
    <d v="2023-07-06T04:51:46"/>
    <x v="3"/>
    <x v="1"/>
    <d v="2023-07-12T04:51:46"/>
    <s v="Accepted"/>
    <d v="2023-07-08T04:51:46"/>
    <d v="2023-07-10T04:51:46"/>
    <d v="2023-07-09T04:51:46"/>
    <d v="2023-07-10T04:51:46"/>
    <x v="1"/>
    <d v="2023-07-12T04:51:46"/>
    <d v="2023-07-13T04:51:46"/>
    <d v="2023-07-16T04:51:46"/>
    <m/>
    <m/>
    <d v="2023-07-31T04:51:46"/>
    <s v="C1890"/>
    <s v="Candidate_890"/>
    <s v="06-30-2023"/>
    <x v="1"/>
    <s v="Linkedin"/>
    <n v="3"/>
    <m/>
    <x v="0"/>
    <m/>
    <m/>
    <x v="0"/>
    <x v="0"/>
    <m/>
    <x v="104"/>
    <x v="0"/>
  </r>
  <r>
    <n v="2206"/>
    <s v="2206 | M and E"/>
    <x v="10"/>
    <x v="3"/>
    <x v="15"/>
    <x v="8"/>
    <s v="M and E-Extension Officer"/>
    <x v="0"/>
    <d v="2023-06-14T04:51:46"/>
    <x v="539"/>
    <x v="160"/>
    <n v="7"/>
    <d v="2023-07-09T04:51:46"/>
    <s v="Yes"/>
    <d v="2023-06-25T04:51:46"/>
    <x v="0"/>
    <x v="2"/>
    <m/>
    <m/>
    <m/>
    <m/>
    <d v="2023-06-26T04:51:46"/>
    <m/>
    <x v="0"/>
    <m/>
    <m/>
    <m/>
    <m/>
    <s v="Company"/>
    <m/>
    <s v="C1891"/>
    <s v="Candidate_891"/>
    <s v="Jun 11 2023"/>
    <x v="0"/>
    <s v="Referral"/>
    <n v="6"/>
    <m/>
    <x v="0"/>
    <m/>
    <m/>
    <x v="0"/>
    <x v="0"/>
    <m/>
    <x v="1"/>
    <x v="0"/>
  </r>
  <r>
    <n v="2188"/>
    <s v="2188 | M and E"/>
    <x v="10"/>
    <x v="3"/>
    <x v="15"/>
    <x v="8"/>
    <s v="M and E-Extension Officer"/>
    <x v="0"/>
    <d v="2023-03-11T12:45:42"/>
    <x v="540"/>
    <x v="161"/>
    <n v="4"/>
    <d v="2023-04-08T12:45:42"/>
    <s v="Yes"/>
    <d v="2023-03-30T12:45:42"/>
    <x v="0"/>
    <x v="4"/>
    <m/>
    <m/>
    <m/>
    <m/>
    <d v="2023-03-31T12:45:42"/>
    <m/>
    <x v="0"/>
    <m/>
    <m/>
    <m/>
    <m/>
    <s v="Candidate"/>
    <m/>
    <s v="C1892"/>
    <s v="Candidate_892"/>
    <s v="03-24-2023"/>
    <x v="2"/>
    <s v="Job Board"/>
    <n v="3"/>
    <m/>
    <x v="0"/>
    <m/>
    <m/>
    <x v="0"/>
    <x v="0"/>
    <m/>
    <x v="1"/>
    <x v="0"/>
  </r>
  <r>
    <n v="2186"/>
    <s v="2186 | M and E"/>
    <x v="9"/>
    <x v="3"/>
    <x v="15"/>
    <x v="8"/>
    <s v="M and E-Extension Officer"/>
    <x v="0"/>
    <d v="2023-03-11T12:45:42"/>
    <x v="540"/>
    <x v="161"/>
    <n v="4"/>
    <d v="2023-04-03T12:45:42"/>
    <s v="Yes"/>
    <d v="2023-03-27T12:45:42"/>
    <x v="0"/>
    <x v="4"/>
    <m/>
    <m/>
    <m/>
    <m/>
    <m/>
    <m/>
    <x v="0"/>
    <m/>
    <m/>
    <m/>
    <m/>
    <s v="Company"/>
    <m/>
    <s v="C1893"/>
    <s v="Candidate_893"/>
    <s v="03-11-2023"/>
    <x v="0"/>
    <s v="Referral"/>
    <n v="6"/>
    <m/>
    <x v="0"/>
    <m/>
    <m/>
    <x v="0"/>
    <x v="0"/>
    <m/>
    <x v="1"/>
    <x v="0"/>
  </r>
  <r>
    <n v="2185"/>
    <s v="2185 | M and E"/>
    <x v="10"/>
    <x v="3"/>
    <x v="15"/>
    <x v="8"/>
    <s v="M and E-Extension Officer"/>
    <x v="0"/>
    <d v="2023-03-12T12:45:42"/>
    <x v="448"/>
    <x v="161"/>
    <n v="3"/>
    <d v="2023-04-12T12:45:42"/>
    <s v="Yes"/>
    <d v="2023-03-21T12:45:42"/>
    <x v="1"/>
    <x v="1"/>
    <d v="2023-03-26T12:45:42"/>
    <s v="Declined"/>
    <m/>
    <m/>
    <d v="2023-03-23T12:45:42"/>
    <m/>
    <x v="0"/>
    <m/>
    <m/>
    <m/>
    <m/>
    <m/>
    <m/>
    <s v="C1894"/>
    <s v="Candidate_894"/>
    <s v="03-07-2023"/>
    <x v="0"/>
    <s v="Referral"/>
    <n v="3"/>
    <m/>
    <x v="0"/>
    <m/>
    <m/>
    <x v="0"/>
    <x v="0"/>
    <m/>
    <x v="1"/>
    <x v="0"/>
  </r>
  <r>
    <n v="2077"/>
    <s v="2077 | M and E"/>
    <x v="9"/>
    <x v="3"/>
    <x v="15"/>
    <x v="8"/>
    <s v="M and E-Extension Officer"/>
    <x v="0"/>
    <d v="2022-12-21T10:35:07"/>
    <x v="541"/>
    <x v="162"/>
    <n v="7"/>
    <d v="2023-01-12T10:35:07"/>
    <s v="Yes"/>
    <d v="2023-01-04T10:35:07"/>
    <x v="3"/>
    <x v="1"/>
    <d v="2023-01-08T10:35:07"/>
    <s v="Accepted"/>
    <d v="2023-01-05T10:35:07"/>
    <d v="2023-01-08T10:35:07"/>
    <d v="2023-01-05T10:35:07"/>
    <d v="2023-01-14T10:35:07"/>
    <x v="1"/>
    <d v="2023-01-18T10:35:07"/>
    <d v="2023-01-21T10:35:07"/>
    <d v="2023-01-24T10:35:07"/>
    <m/>
    <m/>
    <d v="2023-02-14T10:35:07"/>
    <s v="C1895"/>
    <s v="Candidate_895"/>
    <s v="25/12/2022"/>
    <x v="1"/>
    <s v="Linkedin"/>
    <n v="6"/>
    <m/>
    <x v="0"/>
    <m/>
    <m/>
    <x v="0"/>
    <x v="0"/>
    <m/>
    <x v="105"/>
    <x v="0"/>
  </r>
  <r>
    <n v="2016"/>
    <s v="2016 | M and E"/>
    <x v="10"/>
    <x v="3"/>
    <x v="15"/>
    <x v="8"/>
    <s v="M and E-Extension Officer"/>
    <x v="0"/>
    <d v="2023-06-02T14:00:49"/>
    <x v="451"/>
    <x v="4"/>
    <n v="-45079.58390046296"/>
    <d v="2023-07-04T14:00:49"/>
    <s v="Yes"/>
    <d v="2023-06-13T14:00:49"/>
    <x v="0"/>
    <x v="5"/>
    <m/>
    <m/>
    <m/>
    <m/>
    <d v="2023-06-17T14:00:49"/>
    <m/>
    <x v="0"/>
    <m/>
    <m/>
    <m/>
    <m/>
    <s v="Company"/>
    <m/>
    <s v="C1896"/>
    <s v="Candidate_896"/>
    <s v="06-01-2023"/>
    <x v="2"/>
    <s v="Job Board"/>
    <n v="3"/>
    <m/>
    <x v="0"/>
    <m/>
    <m/>
    <x v="0"/>
    <x v="0"/>
    <m/>
    <x v="0"/>
    <x v="0"/>
  </r>
  <r>
    <n v="2013"/>
    <s v="2013 | M and E"/>
    <x v="9"/>
    <x v="3"/>
    <x v="15"/>
    <x v="8"/>
    <s v="M and E-Extension Officer"/>
    <x v="0"/>
    <d v="2023-06-05T14:00:49"/>
    <x v="542"/>
    <x v="147"/>
    <n v="4"/>
    <d v="2023-06-14T14:00:49"/>
    <s v="Yes"/>
    <d v="2023-06-17T14:00:49"/>
    <x v="1"/>
    <x v="1"/>
    <d v="2023-06-22T14:00:49"/>
    <s v="Declined"/>
    <m/>
    <m/>
    <d v="2023-06-20T14:00:49"/>
    <m/>
    <x v="0"/>
    <m/>
    <m/>
    <m/>
    <m/>
    <m/>
    <m/>
    <s v="C1897"/>
    <s v="Candidate_897"/>
    <s v="04/06/2023"/>
    <x v="0"/>
    <s v="Referral"/>
    <n v="6"/>
    <m/>
    <x v="0"/>
    <m/>
    <m/>
    <x v="0"/>
    <x v="0"/>
    <m/>
    <x v="1"/>
    <x v="0"/>
  </r>
  <r>
    <n v="1944"/>
    <s v="1944 | M and E"/>
    <x v="11"/>
    <x v="3"/>
    <x v="15"/>
    <x v="8"/>
    <s v="M and E-Extension Officer"/>
    <x v="0"/>
    <d v="2023-03-01T06:20:20"/>
    <x v="543"/>
    <x v="148"/>
    <n v="4"/>
    <d v="2023-03-26T06:20:20"/>
    <s v="Yes"/>
    <d v="2023-03-13T06:20:20"/>
    <x v="0"/>
    <x v="4"/>
    <m/>
    <m/>
    <m/>
    <m/>
    <m/>
    <m/>
    <x v="0"/>
    <m/>
    <m/>
    <m/>
    <m/>
    <s v="Company"/>
    <m/>
    <s v="C1898"/>
    <s v="Candidate_898"/>
    <s v="07/03/2023"/>
    <x v="1"/>
    <s v="Linkedin"/>
    <n v="6"/>
    <m/>
    <x v="0"/>
    <m/>
    <m/>
    <x v="0"/>
    <x v="0"/>
    <m/>
    <x v="1"/>
    <x v="0"/>
  </r>
  <r>
    <n v="1922"/>
    <s v="1922 | M and E"/>
    <x v="10"/>
    <x v="3"/>
    <x v="15"/>
    <x v="8"/>
    <s v="M and E-Extension Officer"/>
    <x v="0"/>
    <d v="2022-08-20T09:24:23"/>
    <x v="544"/>
    <x v="182"/>
    <n v="5"/>
    <d v="2022-09-05T09:24:23"/>
    <s v="Yes"/>
    <d v="2022-08-28T09:24:23"/>
    <x v="4"/>
    <x v="1"/>
    <d v="2022-09-01T09:24:23"/>
    <s v="Pending"/>
    <m/>
    <m/>
    <d v="2022-08-30T09:24:23"/>
    <m/>
    <x v="0"/>
    <m/>
    <m/>
    <m/>
    <m/>
    <m/>
    <m/>
    <s v="C1899"/>
    <s v="Candidate_899"/>
    <s v="08-18-2022"/>
    <x v="1"/>
    <s v="Linkedin"/>
    <n v="3"/>
    <m/>
    <x v="0"/>
    <m/>
    <m/>
    <x v="0"/>
    <x v="0"/>
    <m/>
    <x v="1"/>
    <x v="0"/>
  </r>
  <r>
    <n v="1834"/>
    <s v="1834 | M and E"/>
    <x v="11"/>
    <x v="3"/>
    <x v="15"/>
    <x v="8"/>
    <s v="M and E-Extension Officer"/>
    <x v="0"/>
    <d v="2023-04-20T08:48:53"/>
    <x v="545"/>
    <x v="149"/>
    <n v="4"/>
    <d v="2023-05-02T08:48:53"/>
    <s v="Yes"/>
    <d v="2023-05-10T08:48:53"/>
    <x v="0"/>
    <x v="3"/>
    <m/>
    <m/>
    <m/>
    <m/>
    <m/>
    <m/>
    <x v="0"/>
    <m/>
    <m/>
    <m/>
    <m/>
    <s v="Company"/>
    <m/>
    <s v="C1900"/>
    <s v="Candidate_900"/>
    <s v="29/04/2023"/>
    <x v="2"/>
    <s v="Job Board"/>
    <n v="3"/>
    <m/>
    <x v="0"/>
    <m/>
    <m/>
    <x v="0"/>
    <x v="0"/>
    <m/>
    <x v="1"/>
    <x v="0"/>
  </r>
  <r>
    <n v="1789"/>
    <s v="1789 | M and E"/>
    <x v="10"/>
    <x v="3"/>
    <x v="15"/>
    <x v="8"/>
    <s v="M and E-Extension Officer"/>
    <x v="0"/>
    <d v="2022-04-10T08:33:21"/>
    <x v="503"/>
    <x v="150"/>
    <n v="4"/>
    <d v="2022-04-29T08:33:21"/>
    <s v="Yes"/>
    <d v="2022-04-17T08:33:21"/>
    <x v="3"/>
    <x v="1"/>
    <d v="2022-04-22T08:33:21"/>
    <s v="Accepted"/>
    <d v="2022-04-19T08:33:21"/>
    <d v="2022-04-22T08:33:21"/>
    <d v="2022-04-20T08:33:21"/>
    <d v="2022-04-26T08:33:21"/>
    <x v="1"/>
    <d v="2022-04-30T08:33:21"/>
    <d v="2022-05-03T08:33:21"/>
    <d v="2022-05-05T08:33:21"/>
    <m/>
    <m/>
    <d v="2022-05-22T08:33:21"/>
    <s v="C1901"/>
    <s v="Candidate_901"/>
    <s v="08/04/2022"/>
    <x v="0"/>
    <s v="Referral"/>
    <n v="3"/>
    <m/>
    <x v="0"/>
    <m/>
    <m/>
    <x v="0"/>
    <x v="0"/>
    <m/>
    <x v="106"/>
    <x v="0"/>
  </r>
  <r>
    <n v="1786"/>
    <s v="1786 | M and E"/>
    <x v="10"/>
    <x v="3"/>
    <x v="15"/>
    <x v="8"/>
    <s v="M and E-Extension Officer"/>
    <x v="0"/>
    <d v="2022-04-11T08:33:21"/>
    <x v="546"/>
    <x v="150"/>
    <n v="3"/>
    <d v="2022-05-09T08:33:21"/>
    <s v="No"/>
    <m/>
    <x v="2"/>
    <x v="1"/>
    <m/>
    <m/>
    <m/>
    <m/>
    <m/>
    <m/>
    <x v="0"/>
    <m/>
    <m/>
    <m/>
    <m/>
    <m/>
    <m/>
    <s v="C1902"/>
    <s v="Candidate_902"/>
    <m/>
    <x v="1"/>
    <s v="Linkedin"/>
    <n v="6"/>
    <m/>
    <x v="0"/>
    <m/>
    <m/>
    <x v="0"/>
    <x v="0"/>
    <m/>
    <x v="1"/>
    <x v="0"/>
  </r>
  <r>
    <n v="1783"/>
    <s v="1783 | M and E"/>
    <x v="11"/>
    <x v="3"/>
    <x v="15"/>
    <x v="8"/>
    <s v="M and E-Extension Officer"/>
    <x v="0"/>
    <d v="2022-04-08T08:33:21"/>
    <x v="547"/>
    <x v="150"/>
    <n v="6"/>
    <d v="2022-05-05T08:33:21"/>
    <s v="Yes"/>
    <d v="2022-04-22T08:33:21"/>
    <x v="1"/>
    <x v="1"/>
    <d v="2022-04-27T08:33:21"/>
    <s v="Declined"/>
    <m/>
    <m/>
    <d v="2022-04-23T08:33:21"/>
    <m/>
    <x v="0"/>
    <m/>
    <m/>
    <m/>
    <m/>
    <m/>
    <m/>
    <s v="C1903"/>
    <s v="Candidate_903"/>
    <s v="04-03-2022"/>
    <x v="2"/>
    <s v="Job Board"/>
    <n v="6"/>
    <m/>
    <x v="0"/>
    <m/>
    <m/>
    <x v="0"/>
    <x v="0"/>
    <m/>
    <x v="1"/>
    <x v="0"/>
  </r>
  <r>
    <n v="1769"/>
    <s v="1769 | M and E"/>
    <x v="9"/>
    <x v="3"/>
    <x v="15"/>
    <x v="8"/>
    <s v="M and E-Extension Officer"/>
    <x v="0"/>
    <d v="2023-06-22T15:39:43"/>
    <x v="0"/>
    <x v="163"/>
    <n v="6"/>
    <d v="2023-07-08T15:39:43"/>
    <s v="Yes"/>
    <d v="2023-07-02T15:39:43"/>
    <x v="3"/>
    <x v="1"/>
    <d v="2023-07-08T15:39:43"/>
    <s v="Accepted"/>
    <d v="2023-07-04T15:39:43"/>
    <d v="2023-07-08T15:39:43"/>
    <d v="2023-07-04T15:39:43"/>
    <d v="2023-07-14T15:39:43"/>
    <x v="1"/>
    <d v="2023-07-16T15:39:43"/>
    <d v="2023-07-19T15:39:43"/>
    <d v="2023-07-20T15:39:43"/>
    <m/>
    <m/>
    <d v="2023-08-11T15:39:43"/>
    <s v="C1904"/>
    <s v="Candidate_904"/>
    <s v="17/06/2023"/>
    <x v="1"/>
    <s v="Linkedin"/>
    <n v="6"/>
    <m/>
    <x v="0"/>
    <m/>
    <m/>
    <x v="0"/>
    <x v="0"/>
    <m/>
    <x v="0"/>
    <x v="0"/>
  </r>
  <r>
    <n v="1762"/>
    <s v="1762 | M and E"/>
    <x v="9"/>
    <x v="3"/>
    <x v="15"/>
    <x v="8"/>
    <s v="M and E-Extension Officer"/>
    <x v="0"/>
    <d v="2023-06-25T15:39:43"/>
    <x v="504"/>
    <x v="163"/>
    <n v="3"/>
    <d v="2023-07-07T15:39:43"/>
    <s v="Yes"/>
    <d v="2023-07-04T15:39:43"/>
    <x v="0"/>
    <x v="5"/>
    <m/>
    <m/>
    <m/>
    <m/>
    <m/>
    <m/>
    <x v="0"/>
    <m/>
    <m/>
    <m/>
    <m/>
    <s v="Candidate"/>
    <m/>
    <s v="C1905"/>
    <s v="Candidate_905"/>
    <s v="Jun 20 2023"/>
    <x v="2"/>
    <s v="Job Board"/>
    <n v="3"/>
    <m/>
    <x v="0"/>
    <m/>
    <m/>
    <x v="0"/>
    <x v="0"/>
    <m/>
    <x v="1"/>
    <x v="0"/>
  </r>
  <r>
    <n v="1725"/>
    <s v="1725 | M and E"/>
    <x v="11"/>
    <x v="3"/>
    <x v="15"/>
    <x v="8"/>
    <s v="M and E-Extension Officer"/>
    <x v="0"/>
    <d v="2022-10-26T12:00:37"/>
    <x v="505"/>
    <x v="4"/>
    <n v="-44860.500428240739"/>
    <d v="2022-11-27T12:00:37"/>
    <s v="Yes"/>
    <d v="2022-11-17T12:00:37"/>
    <x v="0"/>
    <x v="5"/>
    <m/>
    <m/>
    <m/>
    <m/>
    <m/>
    <m/>
    <x v="0"/>
    <m/>
    <m/>
    <m/>
    <m/>
    <s v="Company"/>
    <m/>
    <s v="C1906"/>
    <s v="Candidate_906"/>
    <s v="06/11/2022"/>
    <x v="1"/>
    <s v="Linkedin"/>
    <n v="3"/>
    <m/>
    <x v="0"/>
    <m/>
    <m/>
    <x v="0"/>
    <x v="0"/>
    <m/>
    <x v="0"/>
    <x v="0"/>
  </r>
  <r>
    <n v="1723"/>
    <s v="1723 | M and E"/>
    <x v="10"/>
    <x v="3"/>
    <x v="15"/>
    <x v="8"/>
    <s v="M and E-Extension Officer"/>
    <x v="0"/>
    <d v="2022-10-27T12:00:37"/>
    <x v="505"/>
    <x v="151"/>
    <n v="7"/>
    <d v="2022-11-13T12:00:37"/>
    <s v="No"/>
    <m/>
    <x v="2"/>
    <x v="1"/>
    <m/>
    <m/>
    <m/>
    <m/>
    <m/>
    <m/>
    <x v="0"/>
    <m/>
    <m/>
    <m/>
    <m/>
    <m/>
    <m/>
    <s v="C1907"/>
    <s v="Candidate_907"/>
    <m/>
    <x v="0"/>
    <s v="Referral"/>
    <n v="3"/>
    <m/>
    <x v="0"/>
    <m/>
    <m/>
    <x v="0"/>
    <x v="0"/>
    <m/>
    <x v="1"/>
    <x v="0"/>
  </r>
  <r>
    <n v="1622"/>
    <s v="1622 | M and E"/>
    <x v="10"/>
    <x v="3"/>
    <x v="15"/>
    <x v="8"/>
    <s v="M and E-Extension Officer"/>
    <x v="0"/>
    <d v="2022-03-19T07:08:59"/>
    <x v="463"/>
    <x v="165"/>
    <n v="6"/>
    <d v="2022-04-02T07:08:59"/>
    <s v="Yes"/>
    <d v="2022-04-04T07:08:59"/>
    <x v="4"/>
    <x v="1"/>
    <d v="2022-04-07T07:08:59"/>
    <s v="Pending"/>
    <m/>
    <m/>
    <d v="2022-04-06T07:08:59"/>
    <m/>
    <x v="0"/>
    <m/>
    <m/>
    <m/>
    <m/>
    <m/>
    <m/>
    <s v="C1908"/>
    <s v="Candidate_908"/>
    <s v="20/03/2022"/>
    <x v="1"/>
    <s v="Linkedin"/>
    <n v="3"/>
    <m/>
    <x v="0"/>
    <m/>
    <m/>
    <x v="0"/>
    <x v="0"/>
    <m/>
    <x v="1"/>
    <x v="0"/>
  </r>
  <r>
    <n v="1607"/>
    <s v="1607 | M and E"/>
    <x v="10"/>
    <x v="3"/>
    <x v="15"/>
    <x v="8"/>
    <s v="M and E-Extension Officer"/>
    <x v="0"/>
    <d v="2021-12-31T19:39:24"/>
    <x v="510"/>
    <x v="183"/>
    <n v="8"/>
    <d v="2022-01-17T19:39:24"/>
    <s v="Yes"/>
    <d v="2022-01-20T19:39:24"/>
    <x v="0"/>
    <x v="4"/>
    <m/>
    <m/>
    <m/>
    <m/>
    <d v="2022-01-23T19:39:24"/>
    <m/>
    <x v="0"/>
    <m/>
    <m/>
    <m/>
    <m/>
    <s v="Candidate"/>
    <m/>
    <s v="C1909"/>
    <s v="Candidate_909"/>
    <s v="07/01/2022"/>
    <x v="0"/>
    <s v="Referral"/>
    <n v="3"/>
    <m/>
    <x v="0"/>
    <m/>
    <m/>
    <x v="0"/>
    <x v="0"/>
    <m/>
    <x v="1"/>
    <x v="0"/>
  </r>
  <r>
    <n v="1606"/>
    <s v="1606 | M and E"/>
    <x v="9"/>
    <x v="3"/>
    <x v="15"/>
    <x v="8"/>
    <s v="M and E-Extension Officer"/>
    <x v="0"/>
    <d v="2022-01-02T19:39:24"/>
    <x v="548"/>
    <x v="183"/>
    <n v="6"/>
    <d v="2022-02-07T19:39:24"/>
    <s v="Yes"/>
    <d v="2022-01-11T19:39:24"/>
    <x v="1"/>
    <x v="1"/>
    <d v="2022-01-13T19:39:24"/>
    <s v="Declined"/>
    <m/>
    <m/>
    <d v="2022-01-12T19:39:24"/>
    <m/>
    <x v="0"/>
    <m/>
    <m/>
    <m/>
    <m/>
    <m/>
    <m/>
    <s v="C1910"/>
    <s v="Candidate_910"/>
    <s v="Dec 24 2021"/>
    <x v="0"/>
    <s v="Referral"/>
    <n v="3"/>
    <m/>
    <x v="0"/>
    <m/>
    <m/>
    <x v="0"/>
    <x v="0"/>
    <m/>
    <x v="1"/>
    <x v="0"/>
  </r>
  <r>
    <n v="1605"/>
    <s v="1605 | M and E"/>
    <x v="9"/>
    <x v="3"/>
    <x v="15"/>
    <x v="8"/>
    <s v="M and E-Extension Officer"/>
    <x v="0"/>
    <m/>
    <x v="510"/>
    <x v="183"/>
    <n v="44569.819027777783"/>
    <d v="2022-01-16T19:39:24"/>
    <s v="No"/>
    <m/>
    <x v="2"/>
    <x v="1"/>
    <m/>
    <m/>
    <m/>
    <m/>
    <m/>
    <m/>
    <x v="0"/>
    <m/>
    <m/>
    <m/>
    <m/>
    <m/>
    <m/>
    <s v="C1911"/>
    <s v="Candidate_911"/>
    <m/>
    <x v="0"/>
    <s v="Referral"/>
    <n v="3"/>
    <m/>
    <x v="0"/>
    <m/>
    <m/>
    <x v="0"/>
    <x v="0"/>
    <m/>
    <x v="0"/>
    <x v="0"/>
  </r>
  <r>
    <n v="1601"/>
    <s v="1601 | M and E"/>
    <x v="11"/>
    <x v="3"/>
    <x v="15"/>
    <x v="8"/>
    <s v="M and E-Extension Officer"/>
    <x v="0"/>
    <d v="2022-01-02T19:39:24"/>
    <x v="548"/>
    <x v="183"/>
    <n v="6"/>
    <d v="2022-02-04T19:39:24"/>
    <s v="Yes"/>
    <d v="2022-01-22T19:39:24"/>
    <x v="0"/>
    <x v="0"/>
    <m/>
    <m/>
    <m/>
    <m/>
    <d v="2022-01-26T19:39:24"/>
    <m/>
    <x v="0"/>
    <m/>
    <m/>
    <m/>
    <m/>
    <s v="Company"/>
    <m/>
    <s v="C1912"/>
    <s v="Candidate_912"/>
    <s v="10/01/2022"/>
    <x v="0"/>
    <s v="Referral"/>
    <n v="6"/>
    <m/>
    <x v="0"/>
    <m/>
    <m/>
    <x v="0"/>
    <x v="0"/>
    <m/>
    <x v="1"/>
    <x v="0"/>
  </r>
  <r>
    <n v="1479"/>
    <s v="1479 | M and E"/>
    <x v="10"/>
    <x v="3"/>
    <x v="15"/>
    <x v="8"/>
    <s v="M and E-Extension Officer"/>
    <x v="0"/>
    <d v="2023-01-25T06:41:41"/>
    <x v="465"/>
    <x v="166"/>
    <n v="3"/>
    <d v="2023-02-22T06:41:41"/>
    <s v="Yes"/>
    <d v="2023-02-01T06:41:41"/>
    <x v="0"/>
    <x v="4"/>
    <m/>
    <m/>
    <m/>
    <m/>
    <m/>
    <m/>
    <x v="0"/>
    <m/>
    <m/>
    <m/>
    <m/>
    <s v="Candidate"/>
    <m/>
    <s v="C1913"/>
    <s v="Candidate_913"/>
    <s v="23/01/2023"/>
    <x v="2"/>
    <s v="Job Board"/>
    <n v="6"/>
    <m/>
    <x v="0"/>
    <m/>
    <m/>
    <x v="0"/>
    <x v="0"/>
    <m/>
    <x v="1"/>
    <x v="0"/>
  </r>
  <r>
    <n v="1379"/>
    <s v="1379 | M and E"/>
    <x v="10"/>
    <x v="3"/>
    <x v="15"/>
    <x v="8"/>
    <s v="M and E-Extension Officer"/>
    <x v="0"/>
    <d v="2022-10-30T03:08:08"/>
    <x v="467"/>
    <x v="152"/>
    <n v="5"/>
    <d v="2022-11-23T03:08:08"/>
    <s v="Yes"/>
    <d v="2022-11-12T03:08:08"/>
    <x v="0"/>
    <x v="2"/>
    <m/>
    <m/>
    <m/>
    <m/>
    <m/>
    <m/>
    <x v="0"/>
    <m/>
    <m/>
    <m/>
    <m/>
    <s v="Candidate"/>
    <m/>
    <s v="C1914"/>
    <s v="Candidate_914"/>
    <s v="10-28-2022"/>
    <x v="0"/>
    <s v="Referral"/>
    <n v="6"/>
    <m/>
    <x v="0"/>
    <m/>
    <m/>
    <x v="0"/>
    <x v="0"/>
    <m/>
    <x v="1"/>
    <x v="0"/>
  </r>
  <r>
    <n v="1377"/>
    <s v="1377 | M and E"/>
    <x v="11"/>
    <x v="3"/>
    <x v="15"/>
    <x v="8"/>
    <s v="M and E-Extension Officer"/>
    <x v="0"/>
    <d v="2022-11-01T03:08:08"/>
    <x v="431"/>
    <x v="152"/>
    <n v="3"/>
    <d v="2022-11-16T03:08:08"/>
    <s v="Yes"/>
    <d v="2022-11-21T03:08:08"/>
    <x v="0"/>
    <x v="4"/>
    <m/>
    <m/>
    <m/>
    <m/>
    <m/>
    <m/>
    <x v="0"/>
    <m/>
    <m/>
    <m/>
    <m/>
    <s v="Candidate"/>
    <m/>
    <s v="C1915"/>
    <s v="Candidate_915"/>
    <s v="Nov 16 2022"/>
    <x v="0"/>
    <s v="Referral"/>
    <n v="3"/>
    <m/>
    <x v="0"/>
    <m/>
    <m/>
    <x v="0"/>
    <x v="0"/>
    <m/>
    <x v="1"/>
    <x v="0"/>
  </r>
  <r>
    <n v="1350"/>
    <s v="1350 | M and E"/>
    <x v="10"/>
    <x v="3"/>
    <x v="15"/>
    <x v="8"/>
    <s v="M and E-Extension Officer"/>
    <x v="0"/>
    <d v="2023-06-15T00:56:18"/>
    <x v="469"/>
    <x v="167"/>
    <n v="8"/>
    <d v="2023-07-07T00:56:18"/>
    <s v="Yes"/>
    <d v="2023-06-27T00:56:18"/>
    <x v="0"/>
    <x v="0"/>
    <m/>
    <m/>
    <m/>
    <m/>
    <d v="2023-06-28T00:56:18"/>
    <m/>
    <x v="0"/>
    <m/>
    <m/>
    <m/>
    <m/>
    <s v="Candidate"/>
    <m/>
    <s v="C1916"/>
    <s v="Candidate_916"/>
    <s v="Jun 21 2023"/>
    <x v="2"/>
    <s v="Job Board"/>
    <n v="6"/>
    <m/>
    <x v="0"/>
    <m/>
    <m/>
    <x v="0"/>
    <x v="0"/>
    <m/>
    <x v="1"/>
    <x v="0"/>
  </r>
  <r>
    <n v="1347"/>
    <s v="1347 | M and E"/>
    <x v="9"/>
    <x v="3"/>
    <x v="15"/>
    <x v="8"/>
    <s v="M and E-Extension Officer"/>
    <x v="0"/>
    <d v="2023-06-17T00:56:18"/>
    <x v="549"/>
    <x v="167"/>
    <n v="6"/>
    <d v="2023-07-17T00:56:18"/>
    <s v="Yes"/>
    <d v="2023-06-28T00:56:18"/>
    <x v="3"/>
    <x v="1"/>
    <d v="2023-07-02T00:56:18"/>
    <s v="Accepted"/>
    <d v="2023-06-29T00:56:18"/>
    <d v="2023-07-01T00:56:18"/>
    <d v="2023-07-01T00:56:18"/>
    <d v="2023-07-10T00:56:18"/>
    <x v="1"/>
    <d v="2023-07-12T00:56:18"/>
    <d v="2023-07-14T00:56:18"/>
    <d v="2023-07-17T00:56:18"/>
    <m/>
    <m/>
    <d v="2023-08-03T00:56:18"/>
    <s v="C1917"/>
    <s v="Candidate_917"/>
    <s v="Jun 23 2023"/>
    <x v="1"/>
    <s v="Linkedin"/>
    <n v="3"/>
    <m/>
    <x v="0"/>
    <m/>
    <m/>
    <x v="0"/>
    <x v="0"/>
    <m/>
    <x v="107"/>
    <x v="0"/>
  </r>
  <r>
    <n v="1346"/>
    <s v="1346 | M and E"/>
    <x v="9"/>
    <x v="3"/>
    <x v="15"/>
    <x v="8"/>
    <s v="M and E-Extension Officer"/>
    <x v="0"/>
    <d v="2023-06-20T00:56:18"/>
    <x v="550"/>
    <x v="167"/>
    <n v="3"/>
    <d v="2023-07-10T00:56:18"/>
    <s v="No"/>
    <m/>
    <x v="2"/>
    <x v="1"/>
    <m/>
    <m/>
    <m/>
    <m/>
    <m/>
    <m/>
    <x v="0"/>
    <m/>
    <m/>
    <m/>
    <m/>
    <m/>
    <m/>
    <s v="C1918"/>
    <s v="Candidate_918"/>
    <m/>
    <x v="0"/>
    <s v="Referral"/>
    <n v="6"/>
    <m/>
    <x v="0"/>
    <m/>
    <m/>
    <x v="0"/>
    <x v="0"/>
    <m/>
    <x v="1"/>
    <x v="0"/>
  </r>
  <r>
    <n v="1341"/>
    <s v="1341 | M and E"/>
    <x v="9"/>
    <x v="3"/>
    <x v="15"/>
    <x v="8"/>
    <s v="M and E-Extension Officer"/>
    <x v="0"/>
    <d v="2023-06-19T00:56:18"/>
    <x v="549"/>
    <x v="167"/>
    <n v="4"/>
    <d v="2023-07-06T00:56:18"/>
    <s v="Yes"/>
    <d v="2023-07-03T00:56:18"/>
    <x v="0"/>
    <x v="5"/>
    <m/>
    <m/>
    <m/>
    <m/>
    <d v="2023-07-05T00:56:18"/>
    <m/>
    <x v="0"/>
    <m/>
    <m/>
    <m/>
    <m/>
    <s v="Company"/>
    <m/>
    <s v="C1919"/>
    <s v="Candidate_919"/>
    <s v="Jun 18 2023"/>
    <x v="2"/>
    <s v="Job Board"/>
    <n v="3"/>
    <m/>
    <x v="0"/>
    <m/>
    <m/>
    <x v="0"/>
    <x v="0"/>
    <m/>
    <x v="1"/>
    <x v="0"/>
  </r>
  <r>
    <n v="1095"/>
    <s v="1095 | M and E"/>
    <x v="11"/>
    <x v="3"/>
    <x v="15"/>
    <x v="8"/>
    <s v="M and E-Extension Officer"/>
    <x v="0"/>
    <d v="2023-04-22T06:21:04"/>
    <x v="551"/>
    <x v="168"/>
    <n v="8"/>
    <d v="2023-05-24T06:21:04"/>
    <s v="Yes"/>
    <d v="2023-05-10T06:21:04"/>
    <x v="0"/>
    <x v="5"/>
    <m/>
    <m/>
    <m/>
    <m/>
    <d v="2023-05-14T06:21:04"/>
    <m/>
    <x v="0"/>
    <m/>
    <m/>
    <m/>
    <m/>
    <s v="Company"/>
    <m/>
    <s v="C1920"/>
    <s v="Candidate_920"/>
    <s v="02/05/2023"/>
    <x v="2"/>
    <s v="Job Board"/>
    <n v="3"/>
    <m/>
    <x v="0"/>
    <m/>
    <m/>
    <x v="0"/>
    <x v="0"/>
    <m/>
    <x v="1"/>
    <x v="0"/>
  </r>
  <r>
    <n v="1053"/>
    <s v="1053 | M and E"/>
    <x v="9"/>
    <x v="3"/>
    <x v="15"/>
    <x v="8"/>
    <s v="M and E-Extension Officer"/>
    <x v="0"/>
    <d v="2023-08-17T04:19:54"/>
    <x v="552"/>
    <x v="153"/>
    <n v="8"/>
    <d v="2023-09-04T04:19:54"/>
    <s v="Yes"/>
    <d v="2023-09-07T04:19:54"/>
    <x v="1"/>
    <x v="1"/>
    <d v="2023-09-12T04:19:54"/>
    <s v="Declined"/>
    <m/>
    <m/>
    <d v="2023-09-11T04:19:54"/>
    <m/>
    <x v="0"/>
    <m/>
    <m/>
    <m/>
    <m/>
    <m/>
    <m/>
    <s v="C1921"/>
    <s v="Candidate_921"/>
    <s v="23/08/2023"/>
    <x v="1"/>
    <s v="Linkedin"/>
    <n v="3"/>
    <m/>
    <x v="0"/>
    <m/>
    <m/>
    <x v="0"/>
    <x v="0"/>
    <m/>
    <x v="1"/>
    <x v="0"/>
  </r>
  <r>
    <n v="1002"/>
    <s v="1002 | M and E"/>
    <x v="9"/>
    <x v="3"/>
    <x v="15"/>
    <x v="8"/>
    <s v="M and E-Extension Officer"/>
    <x v="0"/>
    <d v="2022-12-23T16:31:31"/>
    <x v="553"/>
    <x v="169"/>
    <n v="5"/>
    <d v="2023-01-20T16:31:31"/>
    <s v="No"/>
    <m/>
    <x v="2"/>
    <x v="1"/>
    <m/>
    <m/>
    <m/>
    <m/>
    <m/>
    <m/>
    <x v="0"/>
    <m/>
    <m/>
    <m/>
    <m/>
    <m/>
    <m/>
    <s v="C1922"/>
    <s v="Candidate_922"/>
    <m/>
    <x v="0"/>
    <s v="Referral"/>
    <n v="6"/>
    <m/>
    <x v="0"/>
    <m/>
    <m/>
    <x v="0"/>
    <x v="0"/>
    <m/>
    <x v="1"/>
    <x v="0"/>
  </r>
  <r>
    <n v="984"/>
    <s v="984 | M and E"/>
    <x v="10"/>
    <x v="3"/>
    <x v="15"/>
    <x v="8"/>
    <s v="M and E-Extension Officer"/>
    <x v="0"/>
    <d v="2022-08-22T05:47:20"/>
    <x v="554"/>
    <x v="170"/>
    <n v="8"/>
    <d v="2022-09-14T05:47:20"/>
    <s v="No"/>
    <m/>
    <x v="2"/>
    <x v="1"/>
    <m/>
    <m/>
    <m/>
    <m/>
    <m/>
    <m/>
    <x v="0"/>
    <m/>
    <m/>
    <m/>
    <m/>
    <m/>
    <m/>
    <s v="C1923"/>
    <s v="Candidate_923"/>
    <m/>
    <x v="1"/>
    <s v="Linkedin"/>
    <n v="3"/>
    <m/>
    <x v="0"/>
    <m/>
    <m/>
    <x v="0"/>
    <x v="0"/>
    <m/>
    <x v="1"/>
    <x v="0"/>
  </r>
  <r>
    <n v="880"/>
    <s v="880 | M and E"/>
    <x v="11"/>
    <x v="3"/>
    <x v="15"/>
    <x v="8"/>
    <s v="M and E-Extension Officer"/>
    <x v="0"/>
    <d v="2022-07-17T19:23:12"/>
    <x v="479"/>
    <x v="171"/>
    <n v="9"/>
    <d v="2022-08-08T19:23:12"/>
    <s v="Yes"/>
    <d v="2022-08-01T19:23:12"/>
    <x v="0"/>
    <x v="2"/>
    <m/>
    <m/>
    <m/>
    <m/>
    <m/>
    <m/>
    <x v="0"/>
    <m/>
    <m/>
    <m/>
    <m/>
    <s v="Company"/>
    <m/>
    <s v="C1924"/>
    <s v="Candidate_924"/>
    <s v="07-18-2022"/>
    <x v="2"/>
    <s v="Job Board"/>
    <n v="6"/>
    <m/>
    <x v="0"/>
    <m/>
    <m/>
    <x v="0"/>
    <x v="0"/>
    <m/>
    <x v="1"/>
    <x v="0"/>
  </r>
  <r>
    <n v="758"/>
    <s v="758 | M and E"/>
    <x v="11"/>
    <x v="3"/>
    <x v="15"/>
    <x v="8"/>
    <s v="M and E-Extension Officer"/>
    <x v="0"/>
    <d v="2023-01-14T21:12:47"/>
    <x v="555"/>
    <x v="172"/>
    <n v="7"/>
    <d v="2023-02-16T21:12:47"/>
    <s v="Yes"/>
    <d v="2023-01-30T21:12:47"/>
    <x v="4"/>
    <x v="1"/>
    <d v="2023-02-05T21:12:47"/>
    <s v="Pending"/>
    <m/>
    <m/>
    <d v="2023-02-02T21:12:47"/>
    <m/>
    <x v="0"/>
    <m/>
    <m/>
    <m/>
    <m/>
    <m/>
    <m/>
    <s v="C1925"/>
    <s v="Candidate_925"/>
    <s v="Jan 14 2023"/>
    <x v="0"/>
    <s v="Referral"/>
    <n v="6"/>
    <m/>
    <x v="0"/>
    <m/>
    <m/>
    <x v="0"/>
    <x v="0"/>
    <m/>
    <x v="1"/>
    <x v="0"/>
  </r>
  <r>
    <n v="755"/>
    <s v="755 | M and E"/>
    <x v="10"/>
    <x v="3"/>
    <x v="15"/>
    <x v="8"/>
    <s v="M and E-Extension Officer"/>
    <x v="0"/>
    <d v="2023-01-16T21:12:47"/>
    <x v="556"/>
    <x v="172"/>
    <n v="5"/>
    <d v="2023-02-01T21:12:47"/>
    <s v="Yes"/>
    <d v="2023-02-08T21:12:47"/>
    <x v="1"/>
    <x v="1"/>
    <d v="2023-02-13T21:12:47"/>
    <s v="Declined"/>
    <m/>
    <m/>
    <d v="2023-02-10T21:12:47"/>
    <m/>
    <x v="0"/>
    <m/>
    <m/>
    <m/>
    <m/>
    <m/>
    <m/>
    <s v="C1926"/>
    <s v="Candidate_926"/>
    <s v="Feb 03 2023"/>
    <x v="1"/>
    <s v="Linkedin"/>
    <n v="3"/>
    <m/>
    <x v="0"/>
    <m/>
    <m/>
    <x v="0"/>
    <x v="0"/>
    <m/>
    <x v="1"/>
    <x v="0"/>
  </r>
  <r>
    <n v="754"/>
    <s v="754 | M and E"/>
    <x v="9"/>
    <x v="3"/>
    <x v="15"/>
    <x v="8"/>
    <s v="M and E-Extension Officer"/>
    <x v="0"/>
    <d v="2023-01-17T21:12:47"/>
    <x v="557"/>
    <x v="172"/>
    <n v="4"/>
    <d v="2023-02-05T21:12:47"/>
    <s v="Yes"/>
    <d v="2023-01-28T21:12:47"/>
    <x v="1"/>
    <x v="1"/>
    <d v="2023-02-02T21:12:47"/>
    <s v="Declined"/>
    <m/>
    <m/>
    <d v="2023-01-31T21:12:47"/>
    <m/>
    <x v="0"/>
    <m/>
    <m/>
    <m/>
    <m/>
    <m/>
    <m/>
    <s v="C1927"/>
    <s v="Candidate_927"/>
    <s v="01-22-2023"/>
    <x v="2"/>
    <s v="Job Board"/>
    <n v="3"/>
    <m/>
    <x v="0"/>
    <m/>
    <m/>
    <x v="0"/>
    <x v="0"/>
    <m/>
    <x v="1"/>
    <x v="0"/>
  </r>
  <r>
    <n v="692"/>
    <s v="692 | M and E"/>
    <x v="11"/>
    <x v="3"/>
    <x v="15"/>
    <x v="8"/>
    <s v="M and E-Extension Officer"/>
    <x v="0"/>
    <d v="2022-10-31T06:56:27"/>
    <x v="516"/>
    <x v="173"/>
    <n v="10"/>
    <d v="2022-12-04T06:56:27"/>
    <s v="Yes"/>
    <d v="2022-11-25T06:56:27"/>
    <x v="0"/>
    <x v="2"/>
    <m/>
    <m/>
    <m/>
    <m/>
    <m/>
    <m/>
    <x v="0"/>
    <m/>
    <m/>
    <m/>
    <m/>
    <s v="Company"/>
    <m/>
    <s v="C1928"/>
    <s v="Candidate_928"/>
    <s v="11-10-2022"/>
    <x v="0"/>
    <s v="Referral"/>
    <n v="6"/>
    <m/>
    <x v="0"/>
    <m/>
    <m/>
    <x v="0"/>
    <x v="0"/>
    <m/>
    <x v="1"/>
    <x v="0"/>
  </r>
  <r>
    <n v="559"/>
    <s v="559 | M and E"/>
    <x v="10"/>
    <x v="3"/>
    <x v="15"/>
    <x v="8"/>
    <s v="M and E-Extension Officer"/>
    <x v="0"/>
    <d v="2023-06-09T00:15:10"/>
    <x v="484"/>
    <x v="175"/>
    <n v="5"/>
    <d v="2023-06-30T00:15:10"/>
    <s v="Yes"/>
    <d v="2023-06-16T00:15:10"/>
    <x v="0"/>
    <x v="4"/>
    <m/>
    <m/>
    <m/>
    <m/>
    <m/>
    <m/>
    <x v="0"/>
    <m/>
    <m/>
    <m/>
    <m/>
    <s v="Candidate"/>
    <m/>
    <s v="C1929"/>
    <s v="Candidate_929"/>
    <s v="05-29-2023"/>
    <x v="1"/>
    <s v="Linkedin"/>
    <n v="3"/>
    <m/>
    <x v="0"/>
    <m/>
    <m/>
    <x v="0"/>
    <x v="0"/>
    <m/>
    <x v="1"/>
    <x v="0"/>
  </r>
  <r>
    <n v="553"/>
    <s v="553 | M and E"/>
    <x v="11"/>
    <x v="3"/>
    <x v="15"/>
    <x v="8"/>
    <s v="M and E-Extension Officer"/>
    <x v="0"/>
    <d v="2023-06-05T00:15:10"/>
    <x v="558"/>
    <x v="175"/>
    <n v="9"/>
    <d v="2023-06-26T00:15:10"/>
    <s v="Yes"/>
    <d v="2023-06-23T00:15:10"/>
    <x v="4"/>
    <x v="1"/>
    <d v="2023-06-30T00:15:10"/>
    <s v="Pending"/>
    <m/>
    <m/>
    <d v="2023-06-27T00:15:10"/>
    <m/>
    <x v="0"/>
    <m/>
    <m/>
    <m/>
    <m/>
    <m/>
    <m/>
    <s v="C1930"/>
    <s v="Candidate_930"/>
    <s v="13/06/2023"/>
    <x v="0"/>
    <s v="Referral"/>
    <n v="3"/>
    <m/>
    <x v="0"/>
    <m/>
    <m/>
    <x v="0"/>
    <x v="0"/>
    <m/>
    <x v="1"/>
    <x v="0"/>
  </r>
  <r>
    <n v="552"/>
    <s v="552 | M and E"/>
    <x v="9"/>
    <x v="3"/>
    <x v="15"/>
    <x v="8"/>
    <s v="M and E-Extension Officer"/>
    <x v="0"/>
    <d v="2023-06-07T00:15:10"/>
    <x v="0"/>
    <x v="175"/>
    <n v="7"/>
    <d v="2023-07-02T00:15:10"/>
    <s v="Yes"/>
    <d v="2023-06-21T00:15:10"/>
    <x v="0"/>
    <x v="4"/>
    <m/>
    <m/>
    <m/>
    <m/>
    <d v="2023-06-24T00:15:10"/>
    <m/>
    <x v="0"/>
    <m/>
    <m/>
    <m/>
    <m/>
    <s v="Candidate"/>
    <m/>
    <s v="C1931"/>
    <s v="Candidate_931"/>
    <s v="06-12-2023"/>
    <x v="1"/>
    <s v="Linkedin"/>
    <n v="3"/>
    <m/>
    <x v="0"/>
    <m/>
    <m/>
    <x v="0"/>
    <x v="0"/>
    <m/>
    <x v="0"/>
    <x v="0"/>
  </r>
  <r>
    <n v="551"/>
    <s v="551 | M and E"/>
    <x v="9"/>
    <x v="3"/>
    <x v="15"/>
    <x v="8"/>
    <s v="M and E-Extension Officer"/>
    <x v="0"/>
    <d v="2023-06-11T00:15:10"/>
    <x v="559"/>
    <x v="175"/>
    <n v="3"/>
    <d v="2023-07-01T00:15:10"/>
    <s v="Yes"/>
    <d v="2023-06-30T00:15:10"/>
    <x v="1"/>
    <x v="1"/>
    <d v="2023-07-05T00:15:10"/>
    <s v="Declined"/>
    <m/>
    <m/>
    <d v="2023-07-03T00:15:10"/>
    <m/>
    <x v="0"/>
    <m/>
    <m/>
    <m/>
    <m/>
    <m/>
    <m/>
    <s v="C1932"/>
    <s v="Candidate_932"/>
    <s v="17/06/2023"/>
    <x v="1"/>
    <s v="Linkedin"/>
    <n v="3"/>
    <m/>
    <x v="0"/>
    <m/>
    <m/>
    <x v="0"/>
    <x v="0"/>
    <m/>
    <x v="1"/>
    <x v="0"/>
  </r>
  <r>
    <n v="547"/>
    <s v="547 | M and E"/>
    <x v="10"/>
    <x v="3"/>
    <x v="15"/>
    <x v="8"/>
    <s v="M and E-Extension Officer"/>
    <x v="0"/>
    <d v="2023-02-01T15:37:34"/>
    <x v="560"/>
    <x v="185"/>
    <n v="6"/>
    <d v="2023-02-19T15:37:34"/>
    <s v="Yes"/>
    <d v="2023-02-11T15:37:34"/>
    <x v="1"/>
    <x v="1"/>
    <d v="2023-02-16T15:37:34"/>
    <s v="Declined"/>
    <m/>
    <m/>
    <d v="2023-02-14T15:37:34"/>
    <m/>
    <x v="0"/>
    <m/>
    <m/>
    <m/>
    <m/>
    <m/>
    <m/>
    <s v="C1933"/>
    <s v="Candidate_933"/>
    <s v="01-24-2023"/>
    <x v="1"/>
    <s v="Linkedin"/>
    <n v="3"/>
    <m/>
    <x v="0"/>
    <m/>
    <m/>
    <x v="0"/>
    <x v="0"/>
    <m/>
    <x v="1"/>
    <x v="0"/>
  </r>
  <r>
    <n v="545"/>
    <s v="545 | M and E"/>
    <x v="11"/>
    <x v="3"/>
    <x v="15"/>
    <x v="8"/>
    <s v="M and E-Extension Officer"/>
    <x v="0"/>
    <d v="2023-02-01T15:37:34"/>
    <x v="0"/>
    <x v="185"/>
    <n v="6"/>
    <d v="2023-02-25T15:37:34"/>
    <s v="Yes"/>
    <d v="2023-02-14T15:37:34"/>
    <x v="0"/>
    <x v="2"/>
    <m/>
    <m/>
    <m/>
    <m/>
    <m/>
    <m/>
    <x v="0"/>
    <m/>
    <m/>
    <m/>
    <m/>
    <s v="Candidate"/>
    <m/>
    <s v="C1934"/>
    <s v="Candidate_934"/>
    <s v="Feb 03 2023"/>
    <x v="1"/>
    <s v="Linkedin"/>
    <n v="3"/>
    <m/>
    <x v="0"/>
    <m/>
    <m/>
    <x v="0"/>
    <x v="0"/>
    <m/>
    <x v="0"/>
    <x v="0"/>
  </r>
  <r>
    <n v="541"/>
    <s v="541 | M and E"/>
    <x v="10"/>
    <x v="3"/>
    <x v="15"/>
    <x v="8"/>
    <s v="M and E-Extension Officer"/>
    <x v="0"/>
    <d v="2023-02-01T15:37:34"/>
    <x v="561"/>
    <x v="185"/>
    <n v="6"/>
    <d v="2023-02-24T15:37:34"/>
    <s v="Yes"/>
    <d v="2023-02-21T15:37:34"/>
    <x v="0"/>
    <x v="5"/>
    <m/>
    <m/>
    <m/>
    <m/>
    <d v="2023-02-23T15:37:34"/>
    <m/>
    <x v="0"/>
    <m/>
    <m/>
    <m/>
    <m/>
    <s v="Company"/>
    <m/>
    <s v="C1935"/>
    <s v="Candidate_935"/>
    <s v="12/02/2023"/>
    <x v="2"/>
    <s v="Job Board"/>
    <n v="3"/>
    <m/>
    <x v="0"/>
    <m/>
    <m/>
    <x v="0"/>
    <x v="0"/>
    <m/>
    <x v="1"/>
    <x v="0"/>
  </r>
  <r>
    <n v="2982"/>
    <s v="2982 | M and E"/>
    <x v="9"/>
    <x v="3"/>
    <x v="16"/>
    <x v="12"/>
    <s v="M and E-Lead"/>
    <x v="2"/>
    <d v="2022-12-27T23:42:41"/>
    <x v="419"/>
    <x v="139"/>
    <n v="12"/>
    <d v="2023-01-17T23:42:41"/>
    <s v="No"/>
    <m/>
    <x v="2"/>
    <x v="1"/>
    <m/>
    <m/>
    <m/>
    <m/>
    <m/>
    <m/>
    <x v="0"/>
    <m/>
    <m/>
    <m/>
    <m/>
    <m/>
    <m/>
    <s v="C1936"/>
    <s v="Candidate_936"/>
    <m/>
    <x v="2"/>
    <s v="Job Board"/>
    <n v="6"/>
    <m/>
    <x v="0"/>
    <m/>
    <m/>
    <x v="0"/>
    <x v="0"/>
    <m/>
    <x v="1"/>
    <x v="0"/>
  </r>
  <r>
    <n v="2462"/>
    <s v="2462 | M and E"/>
    <x v="10"/>
    <x v="3"/>
    <x v="16"/>
    <x v="12"/>
    <s v="M and E-Lead"/>
    <x v="2"/>
    <d v="2023-03-31T20:12:18"/>
    <x v="493"/>
    <x v="180"/>
    <n v="6"/>
    <d v="2023-04-25T20:12:18"/>
    <s v="No"/>
    <m/>
    <x v="2"/>
    <x v="1"/>
    <m/>
    <m/>
    <m/>
    <m/>
    <m/>
    <m/>
    <x v="0"/>
    <m/>
    <m/>
    <m/>
    <m/>
    <m/>
    <m/>
    <s v="C1937"/>
    <s v="Candidate_937"/>
    <m/>
    <x v="2"/>
    <s v="Job Board"/>
    <n v="3"/>
    <m/>
    <x v="0"/>
    <m/>
    <m/>
    <x v="0"/>
    <x v="0"/>
    <m/>
    <x v="1"/>
    <x v="0"/>
  </r>
  <r>
    <n v="2341"/>
    <s v="2341 | M and E"/>
    <x v="11"/>
    <x v="3"/>
    <x v="16"/>
    <x v="12"/>
    <s v="M and E-Lead"/>
    <x v="2"/>
    <d v="2023-05-08T08:44:55"/>
    <x v="562"/>
    <x v="144"/>
    <n v="6"/>
    <d v="2023-06-03T08:44:55"/>
    <s v="No"/>
    <m/>
    <x v="2"/>
    <x v="1"/>
    <m/>
    <m/>
    <m/>
    <m/>
    <m/>
    <m/>
    <x v="0"/>
    <m/>
    <m/>
    <m/>
    <m/>
    <m/>
    <m/>
    <s v="C1938"/>
    <s v="Candidate_938"/>
    <m/>
    <x v="1"/>
    <s v="Linkedin"/>
    <n v="3"/>
    <m/>
    <x v="0"/>
    <m/>
    <m/>
    <x v="0"/>
    <x v="0"/>
    <m/>
    <x v="1"/>
    <x v="0"/>
  </r>
  <r>
    <n v="2291"/>
    <s v="2291 | M and E"/>
    <x v="10"/>
    <x v="3"/>
    <x v="16"/>
    <x v="12"/>
    <s v="M and E-Lead"/>
    <x v="2"/>
    <d v="2023-06-27T15:45:36"/>
    <x v="563"/>
    <x v="145"/>
    <n v="9"/>
    <d v="2023-07-23T15:45:36"/>
    <s v="No"/>
    <m/>
    <x v="2"/>
    <x v="1"/>
    <m/>
    <m/>
    <m/>
    <m/>
    <m/>
    <m/>
    <x v="0"/>
    <m/>
    <m/>
    <m/>
    <m/>
    <m/>
    <m/>
    <s v="C1939"/>
    <s v="Candidate_939"/>
    <m/>
    <x v="2"/>
    <s v="Job Board"/>
    <n v="3"/>
    <m/>
    <x v="0"/>
    <m/>
    <m/>
    <x v="0"/>
    <x v="0"/>
    <m/>
    <x v="1"/>
    <x v="0"/>
  </r>
  <r>
    <n v="2201"/>
    <s v="2201 | M and E"/>
    <x v="9"/>
    <x v="3"/>
    <x v="16"/>
    <x v="12"/>
    <s v="M and E-Lead"/>
    <x v="2"/>
    <d v="2023-06-13T04:51:46"/>
    <x v="564"/>
    <x v="160"/>
    <n v="8"/>
    <d v="2023-07-13T04:51:46"/>
    <s v="No"/>
    <m/>
    <x v="2"/>
    <x v="1"/>
    <m/>
    <m/>
    <m/>
    <m/>
    <m/>
    <m/>
    <x v="0"/>
    <m/>
    <m/>
    <m/>
    <m/>
    <m/>
    <m/>
    <s v="C1940"/>
    <s v="Candidate_940"/>
    <m/>
    <x v="2"/>
    <s v="Job Board"/>
    <n v="3"/>
    <m/>
    <x v="0"/>
    <m/>
    <m/>
    <x v="0"/>
    <x v="0"/>
    <m/>
    <x v="1"/>
    <x v="0"/>
  </r>
  <r>
    <n v="2078"/>
    <s v="2078 | M and E"/>
    <x v="9"/>
    <x v="3"/>
    <x v="16"/>
    <x v="12"/>
    <s v="M and E-Lead"/>
    <x v="2"/>
    <d v="2022-12-18T10:35:07"/>
    <x v="0"/>
    <x v="4"/>
    <n v="-44913.441053240742"/>
    <d v="2023-01-15T10:35:07"/>
    <s v="No"/>
    <m/>
    <x v="2"/>
    <x v="1"/>
    <m/>
    <m/>
    <m/>
    <m/>
    <m/>
    <m/>
    <x v="0"/>
    <m/>
    <m/>
    <m/>
    <m/>
    <m/>
    <m/>
    <s v="C1941"/>
    <s v="Candidate_941"/>
    <m/>
    <x v="1"/>
    <s v="Linkedin"/>
    <n v="3"/>
    <m/>
    <x v="0"/>
    <m/>
    <m/>
    <x v="0"/>
    <x v="0"/>
    <m/>
    <x v="0"/>
    <x v="0"/>
  </r>
  <r>
    <n v="2073"/>
    <s v="2073 | M and E"/>
    <x v="9"/>
    <x v="3"/>
    <x v="16"/>
    <x v="12"/>
    <s v="M and E-Lead"/>
    <x v="2"/>
    <d v="2022-12-26T10:35:07"/>
    <x v="0"/>
    <x v="4"/>
    <n v="-44921.441053240742"/>
    <d v="2023-01-25T10:35:07"/>
    <s v="No"/>
    <m/>
    <x v="2"/>
    <x v="1"/>
    <m/>
    <m/>
    <m/>
    <m/>
    <m/>
    <m/>
    <x v="0"/>
    <m/>
    <m/>
    <m/>
    <m/>
    <m/>
    <m/>
    <s v="C1942"/>
    <s v="Candidate_942"/>
    <m/>
    <x v="0"/>
    <s v="Referral"/>
    <n v="3"/>
    <m/>
    <x v="0"/>
    <m/>
    <m/>
    <x v="0"/>
    <x v="0"/>
    <m/>
    <x v="0"/>
    <x v="0"/>
  </r>
  <r>
    <n v="2050"/>
    <s v="2050 | M and E"/>
    <x v="9"/>
    <x v="3"/>
    <x v="16"/>
    <x v="12"/>
    <s v="M and E-Lead"/>
    <x v="2"/>
    <d v="2022-07-17T04:48:46"/>
    <x v="565"/>
    <x v="4"/>
    <n v="-44759.200532407413"/>
    <d v="2022-08-12T04:48:46"/>
    <s v="No"/>
    <m/>
    <x v="2"/>
    <x v="1"/>
    <m/>
    <m/>
    <m/>
    <m/>
    <m/>
    <m/>
    <x v="0"/>
    <m/>
    <m/>
    <m/>
    <m/>
    <m/>
    <m/>
    <s v="C1943"/>
    <s v="Candidate_943"/>
    <m/>
    <x v="2"/>
    <s v="Job Board"/>
    <n v="6"/>
    <m/>
    <x v="0"/>
    <m/>
    <m/>
    <x v="0"/>
    <x v="0"/>
    <m/>
    <x v="0"/>
    <x v="0"/>
  </r>
  <r>
    <n v="1929"/>
    <s v="1929 | M and E"/>
    <x v="10"/>
    <x v="3"/>
    <x v="16"/>
    <x v="12"/>
    <s v="M and E-Lead"/>
    <x v="2"/>
    <d v="2022-08-20T09:24:23"/>
    <x v="500"/>
    <x v="182"/>
    <n v="5"/>
    <d v="2022-09-04T09:24:23"/>
    <s v="No"/>
    <m/>
    <x v="2"/>
    <x v="1"/>
    <m/>
    <m/>
    <m/>
    <m/>
    <m/>
    <m/>
    <x v="0"/>
    <m/>
    <m/>
    <m/>
    <m/>
    <m/>
    <m/>
    <s v="C1944"/>
    <s v="Candidate_944"/>
    <m/>
    <x v="2"/>
    <s v="Job Board"/>
    <n v="3"/>
    <m/>
    <x v="0"/>
    <m/>
    <m/>
    <x v="0"/>
    <x v="0"/>
    <m/>
    <x v="1"/>
    <x v="0"/>
  </r>
  <r>
    <n v="875"/>
    <s v="875 | M and E"/>
    <x v="9"/>
    <x v="3"/>
    <x v="16"/>
    <x v="12"/>
    <s v="M and E-Lead"/>
    <x v="2"/>
    <d v="2022-07-23T19:23:12"/>
    <x v="512"/>
    <x v="171"/>
    <n v="3"/>
    <d v="2022-08-15T19:23:12"/>
    <s v="Yes"/>
    <d v="2022-07-28T19:23:12"/>
    <x v="3"/>
    <x v="1"/>
    <d v="2022-08-03T19:23:12"/>
    <s v="Accepted"/>
    <d v="2022-07-30T19:23:12"/>
    <d v="2022-07-31T19:23:12"/>
    <d v="2022-07-31T19:23:12"/>
    <d v="2022-08-07T19:23:12"/>
    <x v="1"/>
    <d v="2022-08-09T19:23:12"/>
    <d v="2022-08-10T19:23:12"/>
    <d v="2022-08-12T19:23:12"/>
    <m/>
    <m/>
    <d v="2022-08-31T19:23:12"/>
    <s v="C1945"/>
    <s v="Candidate_945"/>
    <s v="15/07/2022"/>
    <x v="0"/>
    <s v="Referral"/>
    <n v="6"/>
    <m/>
    <x v="0"/>
    <m/>
    <m/>
    <x v="0"/>
    <x v="0"/>
    <m/>
    <x v="108"/>
    <x v="0"/>
  </r>
  <r>
    <n v="756"/>
    <s v="756 | M and E"/>
    <x v="10"/>
    <x v="3"/>
    <x v="16"/>
    <x v="12"/>
    <s v="M and E-Lead"/>
    <x v="2"/>
    <d v="2023-01-15T21:12:47"/>
    <x v="514"/>
    <x v="4"/>
    <n v="-44941.883877314824"/>
    <d v="2023-02-01T21:12:47"/>
    <s v="Yes"/>
    <d v="2023-02-07T21:12:47"/>
    <x v="1"/>
    <x v="1"/>
    <d v="2023-02-14T21:12:47"/>
    <s v="Declined"/>
    <m/>
    <m/>
    <d v="2023-02-11T21:12:47"/>
    <m/>
    <x v="0"/>
    <m/>
    <m/>
    <m/>
    <m/>
    <m/>
    <m/>
    <s v="C1946"/>
    <s v="Candidate_946"/>
    <s v="01-21-2023"/>
    <x v="0"/>
    <s v="Referral"/>
    <n v="3"/>
    <m/>
    <x v="0"/>
    <m/>
    <m/>
    <x v="0"/>
    <x v="0"/>
    <m/>
    <x v="0"/>
    <x v="0"/>
  </r>
  <r>
    <n v="697"/>
    <s v="697 | M and E"/>
    <x v="11"/>
    <x v="3"/>
    <x v="16"/>
    <x v="12"/>
    <s v="M and E-Lead"/>
    <x v="2"/>
    <m/>
    <x v="0"/>
    <x v="173"/>
    <n v="44875.289201388892"/>
    <d v="2022-11-29T06:56:27"/>
    <s v="Yes"/>
    <d v="2022-11-18T06:56:27"/>
    <x v="0"/>
    <x v="4"/>
    <m/>
    <m/>
    <m/>
    <m/>
    <d v="2022-11-21T06:56:27"/>
    <m/>
    <x v="0"/>
    <m/>
    <m/>
    <m/>
    <m/>
    <s v="Company"/>
    <m/>
    <s v="C1947"/>
    <s v="Candidate_947"/>
    <s v="Nov 09 2022"/>
    <x v="2"/>
    <s v="Job Board"/>
    <n v="6"/>
    <m/>
    <x v="0"/>
    <m/>
    <m/>
    <x v="0"/>
    <x v="0"/>
    <m/>
    <x v="0"/>
    <x v="0"/>
  </r>
  <r>
    <n v="649"/>
    <s v="649 | M and E"/>
    <x v="11"/>
    <x v="3"/>
    <x v="16"/>
    <x v="14"/>
    <s v="M and E-Associate Director"/>
    <x v="2"/>
    <d v="2022-08-10T18:15:27"/>
    <x v="518"/>
    <x v="174"/>
    <n v="5"/>
    <d v="2022-08-30T18:15:27"/>
    <s v="Yes"/>
    <d v="2022-08-27T18:15:27"/>
    <x v="0"/>
    <x v="0"/>
    <m/>
    <m/>
    <m/>
    <m/>
    <m/>
    <m/>
    <x v="0"/>
    <m/>
    <m/>
    <m/>
    <m/>
    <s v="Candidate"/>
    <m/>
    <s v="C1948"/>
    <s v="Candidate_948"/>
    <s v="17/08/2022"/>
    <x v="0"/>
    <s v="Referral"/>
    <n v="6"/>
    <m/>
    <x v="0"/>
    <m/>
    <m/>
    <x v="0"/>
    <x v="0"/>
    <m/>
    <x v="1"/>
    <x v="0"/>
  </r>
  <r>
    <n v="647"/>
    <s v="647 | M and E"/>
    <x v="9"/>
    <x v="3"/>
    <x v="16"/>
    <x v="14"/>
    <s v="M and E-Associate Director"/>
    <x v="2"/>
    <d v="2022-08-09T18:15:27"/>
    <x v="519"/>
    <x v="174"/>
    <n v="6"/>
    <d v="2022-09-05T18:15:27"/>
    <s v="No"/>
    <m/>
    <x v="2"/>
    <x v="1"/>
    <m/>
    <m/>
    <m/>
    <m/>
    <m/>
    <m/>
    <x v="0"/>
    <m/>
    <m/>
    <m/>
    <m/>
    <m/>
    <m/>
    <s v="C1949"/>
    <s v="Candidate_949"/>
    <m/>
    <x v="0"/>
    <s v="Referral"/>
    <n v="3"/>
    <m/>
    <x v="0"/>
    <m/>
    <m/>
    <x v="0"/>
    <x v="0"/>
    <m/>
    <x v="1"/>
    <x v="0"/>
  </r>
  <r>
    <n v="582"/>
    <s v="582 | M and E"/>
    <x v="10"/>
    <x v="3"/>
    <x v="16"/>
    <x v="14"/>
    <s v="M and E-Associate Director"/>
    <x v="2"/>
    <d v="2022-11-28T09:55:12"/>
    <x v="524"/>
    <x v="184"/>
    <n v="3"/>
    <d v="2022-12-10T09:55:12"/>
    <s v="No"/>
    <m/>
    <x v="2"/>
    <x v="1"/>
    <m/>
    <m/>
    <m/>
    <m/>
    <m/>
    <m/>
    <x v="0"/>
    <m/>
    <m/>
    <m/>
    <m/>
    <m/>
    <m/>
    <s v="C1950"/>
    <s v="Candidate_950"/>
    <m/>
    <x v="2"/>
    <s v="Job Board"/>
    <n v="3"/>
    <m/>
    <x v="0"/>
    <m/>
    <m/>
    <x v="0"/>
    <x v="0"/>
    <m/>
    <x v="1"/>
    <x v="0"/>
  </r>
  <r>
    <n v="560"/>
    <s v="560 | M and E"/>
    <x v="9"/>
    <x v="3"/>
    <x v="16"/>
    <x v="14"/>
    <s v="M and E-Associate Director"/>
    <x v="2"/>
    <d v="2023-06-09T00:15:10"/>
    <x v="484"/>
    <x v="175"/>
    <n v="5"/>
    <d v="2023-07-05T00:15:10"/>
    <s v="Yes"/>
    <d v="2023-06-20T00:15:10"/>
    <x v="3"/>
    <x v="1"/>
    <d v="2023-06-24T00:15:10"/>
    <s v="Accepted"/>
    <d v="2023-06-22T00:15:10"/>
    <d v="2023-06-23T00:15:10"/>
    <d v="2023-06-21T00:15:10"/>
    <d v="2023-06-23T00:15:10"/>
    <x v="1"/>
    <d v="2023-06-24T00:15:10"/>
    <d v="2023-06-27T00:15:10"/>
    <d v="2023-06-28T00:15:10"/>
    <m/>
    <m/>
    <d v="2023-07-12T00:15:10"/>
    <s v="C1951"/>
    <s v="Candidate_951"/>
    <s v="Jun 03 2023"/>
    <x v="1"/>
    <s v="Linkedin"/>
    <n v="6"/>
    <m/>
    <x v="0"/>
    <m/>
    <m/>
    <x v="0"/>
    <x v="0"/>
    <m/>
    <x v="109"/>
    <x v="0"/>
  </r>
  <r>
    <n v="556"/>
    <s v="556 | M and E"/>
    <x v="10"/>
    <x v="3"/>
    <x v="16"/>
    <x v="14"/>
    <s v="M and E-Associate Director"/>
    <x v="2"/>
    <d v="2023-06-07T00:15:10"/>
    <x v="0"/>
    <x v="175"/>
    <n v="7"/>
    <d v="2023-06-19T00:15:10"/>
    <s v="Yes"/>
    <d v="2023-06-17T00:15:10"/>
    <x v="0"/>
    <x v="2"/>
    <m/>
    <m/>
    <m/>
    <m/>
    <m/>
    <m/>
    <x v="0"/>
    <m/>
    <m/>
    <m/>
    <m/>
    <s v="Company"/>
    <m/>
    <s v="C1952"/>
    <s v="Candidate_952"/>
    <s v="Jun 04 2023"/>
    <x v="1"/>
    <s v="Linkedin"/>
    <n v="6"/>
    <m/>
    <x v="0"/>
    <m/>
    <m/>
    <x v="0"/>
    <x v="0"/>
    <m/>
    <x v="0"/>
    <x v="0"/>
  </r>
  <r>
    <n v="544"/>
    <s v="544 | M and E"/>
    <x v="9"/>
    <x v="3"/>
    <x v="16"/>
    <x v="14"/>
    <s v="M and E-Associate Director"/>
    <x v="2"/>
    <d v="2023-01-30T15:37:34"/>
    <x v="566"/>
    <x v="185"/>
    <n v="8"/>
    <d v="2023-02-20T15:37:34"/>
    <s v="Yes"/>
    <d v="2023-02-23T15:37:34"/>
    <x v="3"/>
    <x v="1"/>
    <d v="2023-02-25T15:37:34"/>
    <s v="Accepted"/>
    <d v="2023-02-24T15:37:34"/>
    <d v="2023-02-25T15:37:34"/>
    <d v="2023-02-24T15:37:34"/>
    <d v="2023-03-03T15:37:34"/>
    <x v="1"/>
    <d v="2023-03-06T15:37:34"/>
    <d v="2023-03-07T15:37:34"/>
    <d v="2023-03-10T15:37:34"/>
    <m/>
    <m/>
    <d v="2023-03-28T15:37:34"/>
    <s v="C1953"/>
    <s v="Candidate_953"/>
    <s v="Feb 15 2023"/>
    <x v="1"/>
    <s v="Linkedin"/>
    <n v="6"/>
    <m/>
    <x v="0"/>
    <m/>
    <m/>
    <x v="0"/>
    <x v="0"/>
    <m/>
    <x v="110"/>
    <x v="0"/>
  </r>
  <r>
    <n v="2878"/>
    <s v="2878 | M and E"/>
    <x v="10"/>
    <x v="3"/>
    <x v="17"/>
    <x v="8"/>
    <s v="M and E-Extension Officer"/>
    <x v="1"/>
    <d v="2023-07-07T03:57:06"/>
    <x v="567"/>
    <x v="155"/>
    <n v="8"/>
    <d v="2023-08-03T03:57:06"/>
    <s v="Yes"/>
    <d v="2023-07-18T03:57:06"/>
    <x v="0"/>
    <x v="5"/>
    <m/>
    <m/>
    <m/>
    <m/>
    <d v="2023-07-21T03:57:06"/>
    <m/>
    <x v="0"/>
    <m/>
    <m/>
    <m/>
    <m/>
    <s v="Candidate"/>
    <m/>
    <s v="C1954"/>
    <s v="Candidate_954"/>
    <s v="07-10-2023"/>
    <x v="0"/>
    <s v="Referral"/>
    <n v="3"/>
    <m/>
    <x v="0"/>
    <m/>
    <m/>
    <x v="0"/>
    <x v="0"/>
    <m/>
    <x v="1"/>
    <x v="0"/>
  </r>
  <r>
    <n v="2874"/>
    <s v="2874 | M and E"/>
    <x v="10"/>
    <x v="3"/>
    <x v="17"/>
    <x v="8"/>
    <s v="M and E-Extension Officer"/>
    <x v="1"/>
    <d v="2023-07-06T03:57:06"/>
    <x v="568"/>
    <x v="186"/>
    <n v="10"/>
    <d v="2023-07-31T03:57:06"/>
    <s v="Yes"/>
    <d v="2023-07-18T03:57:06"/>
    <x v="1"/>
    <x v="1"/>
    <d v="2023-07-23T03:57:06"/>
    <s v="Declined"/>
    <m/>
    <m/>
    <d v="2023-07-19T03:57:06"/>
    <m/>
    <x v="0"/>
    <m/>
    <m/>
    <m/>
    <m/>
    <m/>
    <m/>
    <s v="C1955"/>
    <s v="Candidate_955"/>
    <s v="Jul 01 2023"/>
    <x v="2"/>
    <s v="Job Board"/>
    <n v="6"/>
    <m/>
    <x v="0"/>
    <m/>
    <m/>
    <x v="0"/>
    <x v="0"/>
    <m/>
    <x v="1"/>
    <x v="0"/>
  </r>
  <r>
    <n v="2818"/>
    <s v="2818 | M and E"/>
    <x v="9"/>
    <x v="3"/>
    <x v="17"/>
    <x v="8"/>
    <s v="M and E-Extension Officer"/>
    <x v="1"/>
    <d v="2022-11-25T20:42:08"/>
    <x v="569"/>
    <x v="142"/>
    <n v="8"/>
    <d v="2022-12-23T20:42:08"/>
    <s v="Yes"/>
    <d v="2022-12-19T20:42:08"/>
    <x v="0"/>
    <x v="4"/>
    <m/>
    <m/>
    <m/>
    <m/>
    <d v="2022-12-20T20:42:08"/>
    <m/>
    <x v="0"/>
    <m/>
    <m/>
    <m/>
    <m/>
    <s v="Company"/>
    <m/>
    <s v="C1956"/>
    <s v="Candidate_956"/>
    <s v="12-09-2022"/>
    <x v="2"/>
    <s v="Job Board"/>
    <n v="3"/>
    <m/>
    <x v="0"/>
    <m/>
    <m/>
    <x v="0"/>
    <x v="0"/>
    <m/>
    <x v="1"/>
    <x v="0"/>
  </r>
  <r>
    <n v="2815"/>
    <s v="2815 | M and E"/>
    <x v="9"/>
    <x v="3"/>
    <x v="17"/>
    <x v="8"/>
    <s v="M and E-Extension Officer"/>
    <x v="1"/>
    <d v="2022-11-29T20:42:08"/>
    <x v="570"/>
    <x v="142"/>
    <n v="4"/>
    <d v="2022-12-22T20:42:08"/>
    <s v="Yes"/>
    <d v="2022-12-15T20:42:08"/>
    <x v="0"/>
    <x v="0"/>
    <m/>
    <m/>
    <m/>
    <m/>
    <m/>
    <m/>
    <x v="0"/>
    <m/>
    <m/>
    <m/>
    <m/>
    <s v="Company"/>
    <m/>
    <s v="C1957"/>
    <s v="Candidate_957"/>
    <s v="02/12/2022"/>
    <x v="2"/>
    <s v="Job Board"/>
    <n v="6"/>
    <m/>
    <x v="0"/>
    <m/>
    <m/>
    <x v="0"/>
    <x v="0"/>
    <m/>
    <x v="1"/>
    <x v="0"/>
  </r>
  <r>
    <n v="2717"/>
    <s v="2717 | M and E"/>
    <x v="10"/>
    <x v="3"/>
    <x v="17"/>
    <x v="8"/>
    <s v="M and E-Extension Officer"/>
    <x v="1"/>
    <m/>
    <x v="529"/>
    <x v="157"/>
    <n v="44958.0546412037"/>
    <d v="2023-02-06T01:18:41"/>
    <s v="Yes"/>
    <d v="2023-02-13T01:18:41"/>
    <x v="4"/>
    <x v="1"/>
    <d v="2023-02-17T01:18:41"/>
    <s v="Pending"/>
    <m/>
    <m/>
    <d v="2023-02-16T01:18:41"/>
    <m/>
    <x v="0"/>
    <m/>
    <m/>
    <m/>
    <m/>
    <m/>
    <m/>
    <s v="C1958"/>
    <s v="Candidate_958"/>
    <s v="02-01-2023"/>
    <x v="1"/>
    <s v="Linkedin"/>
    <n v="3"/>
    <m/>
    <x v="0"/>
    <m/>
    <m/>
    <x v="0"/>
    <x v="0"/>
    <m/>
    <x v="0"/>
    <x v="0"/>
  </r>
  <r>
    <n v="2716"/>
    <s v="2716 | M and E"/>
    <x v="10"/>
    <x v="3"/>
    <x v="17"/>
    <x v="8"/>
    <s v="M and E-Extension Officer"/>
    <x v="1"/>
    <d v="2023-01-26T01:18:41"/>
    <x v="437"/>
    <x v="4"/>
    <n v="-44952.0546412037"/>
    <d v="2023-02-24T01:18:41"/>
    <s v="Yes"/>
    <d v="2023-02-17T01:18:41"/>
    <x v="0"/>
    <x v="2"/>
    <m/>
    <m/>
    <m/>
    <m/>
    <d v="2023-02-19T01:18:41"/>
    <m/>
    <x v="0"/>
    <m/>
    <m/>
    <m/>
    <m/>
    <s v="Company"/>
    <m/>
    <s v="C1959"/>
    <s v="Candidate_959"/>
    <s v="Feb 08 2023"/>
    <x v="2"/>
    <s v="Job Board"/>
    <n v="6"/>
    <m/>
    <x v="0"/>
    <m/>
    <m/>
    <x v="0"/>
    <x v="0"/>
    <m/>
    <x v="0"/>
    <x v="0"/>
  </r>
  <r>
    <n v="2713"/>
    <s v="2713 | M and E"/>
    <x v="9"/>
    <x v="3"/>
    <x v="17"/>
    <x v="8"/>
    <s v="M and E-Extension Officer"/>
    <x v="1"/>
    <d v="2023-01-28T01:18:41"/>
    <x v="435"/>
    <x v="157"/>
    <n v="4"/>
    <d v="2023-02-20T01:18:41"/>
    <s v="Yes"/>
    <d v="2023-02-04T01:18:41"/>
    <x v="0"/>
    <x v="2"/>
    <m/>
    <m/>
    <m/>
    <m/>
    <m/>
    <m/>
    <x v="0"/>
    <m/>
    <m/>
    <m/>
    <m/>
    <s v="Candidate"/>
    <m/>
    <s v="C1960"/>
    <s v="Candidate_960"/>
    <s v="01-29-2023"/>
    <x v="1"/>
    <s v="Linkedin"/>
    <n v="3"/>
    <m/>
    <x v="0"/>
    <m/>
    <m/>
    <x v="0"/>
    <x v="0"/>
    <m/>
    <x v="1"/>
    <x v="0"/>
  </r>
  <r>
    <n v="2699"/>
    <s v="2699 | M and E"/>
    <x v="10"/>
    <x v="3"/>
    <x v="17"/>
    <x v="8"/>
    <s v="M and E-Extension Officer"/>
    <x v="1"/>
    <d v="2023-04-05T23:49:48"/>
    <x v="439"/>
    <x v="143"/>
    <n v="2"/>
    <d v="2023-04-25T23:49:48"/>
    <s v="Yes"/>
    <d v="2023-04-17T23:49:48"/>
    <x v="1"/>
    <x v="1"/>
    <d v="2023-04-23T23:49:48"/>
    <s v="Declined"/>
    <m/>
    <m/>
    <d v="2023-04-19T23:49:48"/>
    <m/>
    <x v="0"/>
    <m/>
    <m/>
    <m/>
    <m/>
    <m/>
    <m/>
    <s v="C1961"/>
    <s v="Candidate_961"/>
    <s v="04/04/2023"/>
    <x v="0"/>
    <s v="Referral"/>
    <n v="3"/>
    <m/>
    <x v="0"/>
    <m/>
    <m/>
    <x v="0"/>
    <x v="0"/>
    <m/>
    <x v="1"/>
    <x v="0"/>
  </r>
  <r>
    <n v="2694"/>
    <s v="2694 | M and E"/>
    <x v="11"/>
    <x v="3"/>
    <x v="17"/>
    <x v="8"/>
    <s v="M and E-Extension Officer"/>
    <x v="1"/>
    <d v="2023-03-30T23:49:48"/>
    <x v="438"/>
    <x v="143"/>
    <n v="8"/>
    <d v="2023-05-07T23:49:48"/>
    <s v="Yes"/>
    <d v="2023-04-10T23:49:48"/>
    <x v="1"/>
    <x v="1"/>
    <d v="2023-04-16T23:49:48"/>
    <s v="Declined"/>
    <m/>
    <m/>
    <d v="2023-04-12T23:49:48"/>
    <m/>
    <x v="0"/>
    <m/>
    <m/>
    <m/>
    <m/>
    <m/>
    <m/>
    <s v="C1962"/>
    <s v="Candidate_962"/>
    <s v="04-04-2023"/>
    <x v="2"/>
    <s v="Job Board"/>
    <n v="6"/>
    <m/>
    <x v="0"/>
    <m/>
    <m/>
    <x v="0"/>
    <x v="0"/>
    <m/>
    <x v="1"/>
    <x v="0"/>
  </r>
  <r>
    <n v="2660"/>
    <s v="2660 | M and E"/>
    <x v="9"/>
    <x v="3"/>
    <x v="17"/>
    <x v="9"/>
    <s v="M and E-Officer"/>
    <x v="1"/>
    <d v="2022-02-03T10:00:31"/>
    <x v="0"/>
    <x v="158"/>
    <n v="10"/>
    <d v="2022-03-15T10:00:31"/>
    <s v="Yes"/>
    <d v="2022-02-28T10:00:31"/>
    <x v="0"/>
    <x v="4"/>
    <m/>
    <m/>
    <m/>
    <m/>
    <d v="2022-03-04T10:00:31"/>
    <m/>
    <x v="0"/>
    <m/>
    <m/>
    <m/>
    <m/>
    <s v="Candidate"/>
    <m/>
    <s v="C1963"/>
    <s v="Candidate_963"/>
    <s v="Feb 13 2022"/>
    <x v="2"/>
    <s v="Job Board"/>
    <n v="3"/>
    <m/>
    <x v="0"/>
    <m/>
    <m/>
    <x v="0"/>
    <x v="0"/>
    <m/>
    <x v="0"/>
    <x v="0"/>
  </r>
  <r>
    <n v="2657"/>
    <s v="2657 | M and E"/>
    <x v="9"/>
    <x v="3"/>
    <x v="17"/>
    <x v="9"/>
    <s v="M and E-Officer"/>
    <x v="1"/>
    <d v="2022-02-08T10:00:31"/>
    <x v="530"/>
    <x v="158"/>
    <n v="5"/>
    <d v="2022-02-18T10:00:31"/>
    <s v="Yes"/>
    <d v="2022-02-23T10:00:31"/>
    <x v="0"/>
    <x v="0"/>
    <m/>
    <m/>
    <m/>
    <m/>
    <d v="2022-02-26T10:00:31"/>
    <m/>
    <x v="0"/>
    <m/>
    <m/>
    <m/>
    <m/>
    <s v="Company"/>
    <m/>
    <s v="C1964"/>
    <s v="Candidate_964"/>
    <s v="02-04-2022"/>
    <x v="2"/>
    <s v="Job Board"/>
    <n v="3"/>
    <m/>
    <x v="0"/>
    <m/>
    <m/>
    <x v="0"/>
    <x v="0"/>
    <m/>
    <x v="1"/>
    <x v="0"/>
  </r>
  <r>
    <n v="2653"/>
    <s v="2653 | M and E"/>
    <x v="11"/>
    <x v="3"/>
    <x v="17"/>
    <x v="9"/>
    <s v="M and E-Officer"/>
    <x v="1"/>
    <d v="2022-02-07T10:00:31"/>
    <x v="440"/>
    <x v="158"/>
    <n v="6"/>
    <d v="2022-03-11T10:00:31"/>
    <s v="Yes"/>
    <d v="2022-02-28T10:00:31"/>
    <x v="3"/>
    <x v="1"/>
    <d v="2022-03-05T10:00:31"/>
    <s v="Accepted"/>
    <d v="2022-03-01T10:00:31"/>
    <d v="2022-03-03T10:00:31"/>
    <d v="2022-03-04T10:00:31"/>
    <d v="2022-03-09T10:00:31"/>
    <x v="1"/>
    <d v="2022-03-13T10:00:31"/>
    <d v="2022-03-14T10:00:31"/>
    <d v="2022-03-17T10:00:31"/>
    <m/>
    <m/>
    <d v="2022-04-05T10:00:31"/>
    <s v="C1965"/>
    <s v="Candidate_965"/>
    <s v="18/02/2022"/>
    <x v="1"/>
    <s v="Linkedin"/>
    <n v="6"/>
    <m/>
    <x v="0"/>
    <m/>
    <m/>
    <x v="0"/>
    <x v="0"/>
    <m/>
    <x v="111"/>
    <x v="0"/>
  </r>
  <r>
    <n v="2604"/>
    <s v="2604 | M and E"/>
    <x v="10"/>
    <x v="3"/>
    <x v="17"/>
    <x v="9"/>
    <s v="M and E-Officer"/>
    <x v="1"/>
    <d v="2023-04-20T16:37:27"/>
    <x v="571"/>
    <x v="179"/>
    <n v="10"/>
    <d v="2023-05-28T16:37:27"/>
    <s v="Yes"/>
    <d v="2023-05-10T16:37:27"/>
    <x v="0"/>
    <x v="2"/>
    <m/>
    <m/>
    <m/>
    <m/>
    <d v="2023-05-11T16:37:27"/>
    <m/>
    <x v="0"/>
    <m/>
    <m/>
    <m/>
    <m/>
    <s v="Company"/>
    <m/>
    <s v="C1966"/>
    <s v="Candidate_966"/>
    <s v="30/04/2023"/>
    <x v="0"/>
    <s v="Referral"/>
    <n v="3"/>
    <m/>
    <x v="0"/>
    <m/>
    <m/>
    <x v="0"/>
    <x v="0"/>
    <m/>
    <x v="1"/>
    <x v="0"/>
  </r>
  <r>
    <n v="2601"/>
    <s v="2601 | M and E"/>
    <x v="11"/>
    <x v="3"/>
    <x v="17"/>
    <x v="9"/>
    <s v="M and E-Officer"/>
    <x v="1"/>
    <d v="2023-04-23T16:37:27"/>
    <x v="491"/>
    <x v="179"/>
    <n v="7"/>
    <d v="2023-05-16T16:37:27"/>
    <s v="Yes"/>
    <d v="2023-05-05T16:37:27"/>
    <x v="3"/>
    <x v="1"/>
    <d v="2023-05-11T16:37:27"/>
    <s v="Accepted"/>
    <d v="2023-05-07T16:37:27"/>
    <d v="2023-05-08T16:37:27"/>
    <d v="2023-05-07T16:37:27"/>
    <d v="2023-05-11T16:37:27"/>
    <x v="1"/>
    <d v="2023-05-12T16:37:27"/>
    <d v="2023-05-15T16:37:27"/>
    <d v="2023-05-17T16:37:27"/>
    <m/>
    <m/>
    <d v="2023-06-05T16:37:27"/>
    <s v="C1967"/>
    <s v="Candidate_967"/>
    <s v="04-23-2023"/>
    <x v="0"/>
    <s v="Referral"/>
    <n v="3"/>
    <m/>
    <x v="0"/>
    <m/>
    <m/>
    <x v="0"/>
    <x v="0"/>
    <m/>
    <x v="112"/>
    <x v="0"/>
  </r>
  <r>
    <n v="2497"/>
    <s v="2497 | M and E"/>
    <x v="9"/>
    <x v="3"/>
    <x v="17"/>
    <x v="9"/>
    <s v="M and E-Officer"/>
    <x v="1"/>
    <m/>
    <x v="442"/>
    <x v="159"/>
    <n v="44597.546469907407"/>
    <d v="2022-02-25T13:06:55"/>
    <s v="Yes"/>
    <d v="2022-02-16T13:06:55"/>
    <x v="0"/>
    <x v="4"/>
    <m/>
    <m/>
    <m/>
    <m/>
    <d v="2022-02-20T13:06:55"/>
    <m/>
    <x v="0"/>
    <m/>
    <m/>
    <m/>
    <m/>
    <s v="Company"/>
    <m/>
    <s v="C1968"/>
    <s v="Candidate_968"/>
    <s v="Feb 03 2022"/>
    <x v="1"/>
    <s v="Linkedin"/>
    <n v="6"/>
    <m/>
    <x v="0"/>
    <m/>
    <m/>
    <x v="0"/>
    <x v="0"/>
    <m/>
    <x v="0"/>
    <x v="0"/>
  </r>
  <r>
    <n v="2493"/>
    <s v="2493 | M and E"/>
    <x v="10"/>
    <x v="3"/>
    <x v="17"/>
    <x v="9"/>
    <s v="M and E-Officer"/>
    <x v="1"/>
    <d v="2022-01-28T13:06:55"/>
    <x v="442"/>
    <x v="159"/>
    <n v="8"/>
    <d v="2022-03-01T13:06:55"/>
    <s v="Yes"/>
    <d v="2022-02-12T13:06:55"/>
    <x v="0"/>
    <x v="2"/>
    <m/>
    <m/>
    <m/>
    <m/>
    <d v="2022-02-16T13:06:55"/>
    <m/>
    <x v="0"/>
    <m/>
    <m/>
    <m/>
    <m/>
    <s v="Candidate"/>
    <m/>
    <s v="C1969"/>
    <s v="Candidate_969"/>
    <s v="Jan 31 2022"/>
    <x v="0"/>
    <s v="Referral"/>
    <n v="6"/>
    <m/>
    <x v="0"/>
    <m/>
    <m/>
    <x v="0"/>
    <x v="0"/>
    <m/>
    <x v="1"/>
    <x v="0"/>
  </r>
  <r>
    <n v="2491"/>
    <s v="2491 | M and E"/>
    <x v="11"/>
    <x v="3"/>
    <x v="17"/>
    <x v="9"/>
    <s v="M and E-Officer"/>
    <x v="1"/>
    <d v="2022-01-26T13:06:55"/>
    <x v="572"/>
    <x v="159"/>
    <n v="10"/>
    <d v="2022-02-21T13:06:55"/>
    <s v="Yes"/>
    <d v="2022-02-13T13:06:55"/>
    <x v="0"/>
    <x v="5"/>
    <m/>
    <m/>
    <m/>
    <m/>
    <d v="2022-02-16T13:06:55"/>
    <m/>
    <x v="0"/>
    <m/>
    <m/>
    <m/>
    <m/>
    <s v="Company"/>
    <m/>
    <s v="C1970"/>
    <s v="Candidate_970"/>
    <s v="02-08-2022"/>
    <x v="0"/>
    <s v="Referral"/>
    <n v="6"/>
    <m/>
    <x v="0"/>
    <m/>
    <m/>
    <x v="0"/>
    <x v="0"/>
    <m/>
    <x v="1"/>
    <x v="0"/>
  </r>
  <r>
    <n v="2467"/>
    <s v="2467 | M and E"/>
    <x v="9"/>
    <x v="3"/>
    <x v="17"/>
    <x v="9"/>
    <s v="M and E-Officer"/>
    <x v="1"/>
    <d v="2023-04-01T20:12:18"/>
    <x v="535"/>
    <x v="180"/>
    <n v="5"/>
    <d v="2023-05-03T20:12:18"/>
    <s v="No"/>
    <m/>
    <x v="2"/>
    <x v="1"/>
    <m/>
    <m/>
    <m/>
    <m/>
    <m/>
    <m/>
    <x v="0"/>
    <m/>
    <m/>
    <m/>
    <m/>
    <m/>
    <m/>
    <s v="C1971"/>
    <s v="Candidate_971"/>
    <m/>
    <x v="1"/>
    <s v="Linkedin"/>
    <n v="3"/>
    <m/>
    <x v="0"/>
    <m/>
    <m/>
    <x v="0"/>
    <x v="0"/>
    <m/>
    <x v="1"/>
    <x v="0"/>
  </r>
  <r>
    <n v="2463"/>
    <s v="2463 | M and E"/>
    <x v="9"/>
    <x v="3"/>
    <x v="17"/>
    <x v="9"/>
    <s v="M and E-Officer"/>
    <x v="1"/>
    <d v="2023-03-31T20:12:18"/>
    <x v="573"/>
    <x v="180"/>
    <n v="6"/>
    <d v="2023-05-06T20:12:18"/>
    <s v="Yes"/>
    <d v="2023-04-15T20:12:18"/>
    <x v="3"/>
    <x v="1"/>
    <d v="2023-04-20T20:12:18"/>
    <s v="Accepted"/>
    <d v="2023-04-17T20:12:18"/>
    <d v="2023-04-20T20:12:18"/>
    <d v="2023-04-19T20:12:18"/>
    <d v="2023-04-27T20:12:18"/>
    <x v="1"/>
    <d v="2023-05-01T20:12:18"/>
    <d v="2023-05-03T20:12:18"/>
    <d v="2023-05-06T20:12:18"/>
    <m/>
    <m/>
    <d v="2023-05-21T20:12:18"/>
    <s v="C1972"/>
    <s v="Candidate_972"/>
    <s v="03-30-2023"/>
    <x v="1"/>
    <s v="Linkedin"/>
    <n v="3"/>
    <m/>
    <x v="0"/>
    <m/>
    <m/>
    <x v="0"/>
    <x v="0"/>
    <m/>
    <x v="113"/>
    <x v="0"/>
  </r>
  <r>
    <n v="2440"/>
    <s v="2440 | M and E"/>
    <x v="11"/>
    <x v="3"/>
    <x v="17"/>
    <x v="9"/>
    <s v="M and E-Officer"/>
    <x v="1"/>
    <d v="2022-07-04T03:02:50"/>
    <x v="574"/>
    <x v="181"/>
    <n v="3"/>
    <d v="2022-07-19T03:02:50"/>
    <s v="Yes"/>
    <d v="2022-07-18T03:02:50"/>
    <x v="1"/>
    <x v="1"/>
    <d v="2022-07-26T03:02:50"/>
    <s v="Declined"/>
    <m/>
    <m/>
    <d v="2022-07-22T03:02:50"/>
    <m/>
    <x v="0"/>
    <m/>
    <m/>
    <m/>
    <m/>
    <m/>
    <m/>
    <s v="C1973"/>
    <s v="Candidate_973"/>
    <s v="07-11-2022"/>
    <x v="2"/>
    <s v="Job Board"/>
    <n v="6"/>
    <m/>
    <x v="0"/>
    <m/>
    <m/>
    <x v="0"/>
    <x v="0"/>
    <m/>
    <x v="1"/>
    <x v="0"/>
  </r>
  <r>
    <n v="2439"/>
    <s v="2439 | M and E"/>
    <x v="9"/>
    <x v="3"/>
    <x v="17"/>
    <x v="9"/>
    <s v="M and E-Officer"/>
    <x v="1"/>
    <d v="2022-07-01T03:02:50"/>
    <x v="494"/>
    <x v="181"/>
    <n v="6"/>
    <d v="2022-07-17T03:02:50"/>
    <s v="No"/>
    <m/>
    <x v="2"/>
    <x v="1"/>
    <m/>
    <m/>
    <m/>
    <m/>
    <m/>
    <m/>
    <x v="0"/>
    <m/>
    <m/>
    <m/>
    <m/>
    <m/>
    <m/>
    <s v="C1974"/>
    <s v="Candidate_974"/>
    <m/>
    <x v="1"/>
    <s v="Linkedin"/>
    <n v="6"/>
    <m/>
    <x v="0"/>
    <m/>
    <m/>
    <x v="0"/>
    <x v="0"/>
    <m/>
    <x v="1"/>
    <x v="0"/>
  </r>
  <r>
    <n v="2438"/>
    <s v="2438 | M and E"/>
    <x v="9"/>
    <x v="3"/>
    <x v="17"/>
    <x v="9"/>
    <s v="M and E-Officer"/>
    <x v="1"/>
    <d v="2022-07-04T03:02:50"/>
    <x v="574"/>
    <x v="4"/>
    <n v="-44746.126967592587"/>
    <d v="2022-08-03T03:02:50"/>
    <s v="Yes"/>
    <d v="2022-07-13T03:02:50"/>
    <x v="0"/>
    <x v="4"/>
    <m/>
    <m/>
    <m/>
    <m/>
    <m/>
    <m/>
    <x v="0"/>
    <m/>
    <m/>
    <m/>
    <m/>
    <s v="Company"/>
    <m/>
    <s v="C1975"/>
    <s v="Candidate_975"/>
    <s v="Jul 04 2022"/>
    <x v="0"/>
    <s v="Referral"/>
    <n v="3"/>
    <m/>
    <x v="0"/>
    <m/>
    <m/>
    <x v="0"/>
    <x v="0"/>
    <m/>
    <x v="0"/>
    <x v="0"/>
  </r>
  <r>
    <n v="2437"/>
    <s v="2437 | M and E"/>
    <x v="11"/>
    <x v="3"/>
    <x v="17"/>
    <x v="9"/>
    <s v="M and E-Officer"/>
    <x v="1"/>
    <d v="2022-07-02T03:02:50"/>
    <x v="536"/>
    <x v="181"/>
    <n v="5"/>
    <d v="2022-07-28T03:02:50"/>
    <s v="Yes"/>
    <d v="2022-07-16T03:02:50"/>
    <x v="1"/>
    <x v="1"/>
    <d v="2022-07-19T03:02:50"/>
    <s v="Declined"/>
    <m/>
    <m/>
    <d v="2022-07-17T03:02:50"/>
    <m/>
    <x v="0"/>
    <m/>
    <m/>
    <m/>
    <m/>
    <m/>
    <m/>
    <s v="C1976"/>
    <s v="Candidate_976"/>
    <s v="28/06/2022"/>
    <x v="0"/>
    <s v="Referral"/>
    <n v="6"/>
    <m/>
    <x v="0"/>
    <m/>
    <m/>
    <x v="0"/>
    <x v="0"/>
    <m/>
    <x v="1"/>
    <x v="0"/>
  </r>
  <r>
    <n v="2436"/>
    <s v="2436 | M and E"/>
    <x v="11"/>
    <x v="3"/>
    <x v="17"/>
    <x v="9"/>
    <s v="M and E-Officer"/>
    <x v="1"/>
    <d v="2022-06-30T03:02:50"/>
    <x v="575"/>
    <x v="181"/>
    <n v="7"/>
    <d v="2022-08-03T03:02:50"/>
    <s v="Yes"/>
    <d v="2022-07-15T03:02:50"/>
    <x v="1"/>
    <x v="1"/>
    <d v="2022-07-23T03:02:50"/>
    <s v="Declined"/>
    <m/>
    <m/>
    <d v="2022-07-19T03:02:50"/>
    <m/>
    <x v="0"/>
    <m/>
    <m/>
    <m/>
    <m/>
    <m/>
    <m/>
    <s v="C1977"/>
    <s v="Candidate_977"/>
    <s v="06-30-2022"/>
    <x v="1"/>
    <s v="Linkedin"/>
    <n v="6"/>
    <m/>
    <x v="0"/>
    <m/>
    <m/>
    <x v="0"/>
    <x v="0"/>
    <m/>
    <x v="1"/>
    <x v="0"/>
  </r>
  <r>
    <n v="2349"/>
    <s v="2349 | M and E"/>
    <x v="9"/>
    <x v="3"/>
    <x v="17"/>
    <x v="9"/>
    <s v="M and E-Officer"/>
    <x v="1"/>
    <d v="2023-05-07T08:44:55"/>
    <x v="562"/>
    <x v="144"/>
    <n v="7"/>
    <d v="2023-06-08T08:44:55"/>
    <s v="Yes"/>
    <d v="2023-05-22T08:44:55"/>
    <x v="0"/>
    <x v="5"/>
    <m/>
    <m/>
    <m/>
    <m/>
    <m/>
    <m/>
    <x v="0"/>
    <m/>
    <m/>
    <m/>
    <m/>
    <s v="Company"/>
    <m/>
    <s v="C1978"/>
    <s v="Candidate_978"/>
    <s v="May 09 2023"/>
    <x v="0"/>
    <s v="Referral"/>
    <n v="3"/>
    <m/>
    <x v="0"/>
    <m/>
    <m/>
    <x v="0"/>
    <x v="0"/>
    <m/>
    <x v="1"/>
    <x v="0"/>
  </r>
  <r>
    <n v="2300"/>
    <s v="2300 | M and E"/>
    <x v="9"/>
    <x v="3"/>
    <x v="17"/>
    <x v="9"/>
    <s v="M and E-Officer"/>
    <x v="1"/>
    <d v="2023-07-01T15:45:36"/>
    <x v="576"/>
    <x v="145"/>
    <n v="5"/>
    <d v="2023-07-13T15:45:36"/>
    <s v="Yes"/>
    <d v="2023-07-17T15:45:36"/>
    <x v="0"/>
    <x v="0"/>
    <m/>
    <m/>
    <m/>
    <m/>
    <m/>
    <m/>
    <x v="0"/>
    <m/>
    <m/>
    <m/>
    <m/>
    <s v="Candidate"/>
    <m/>
    <s v="C1979"/>
    <s v="Candidate_979"/>
    <s v="07-02-2023"/>
    <x v="2"/>
    <s v="Job Board"/>
    <n v="3"/>
    <m/>
    <x v="0"/>
    <m/>
    <m/>
    <x v="0"/>
    <x v="0"/>
    <m/>
    <x v="1"/>
    <x v="0"/>
  </r>
  <r>
    <n v="2296"/>
    <s v="2296 | M and E"/>
    <x v="10"/>
    <x v="3"/>
    <x v="17"/>
    <x v="9"/>
    <s v="M and E-Officer"/>
    <x v="1"/>
    <d v="2023-06-28T15:45:36"/>
    <x v="563"/>
    <x v="145"/>
    <n v="8"/>
    <d v="2023-07-24T15:45:36"/>
    <s v="No"/>
    <m/>
    <x v="2"/>
    <x v="1"/>
    <m/>
    <m/>
    <m/>
    <m/>
    <m/>
    <m/>
    <x v="0"/>
    <m/>
    <m/>
    <m/>
    <m/>
    <m/>
    <m/>
    <s v="C1980"/>
    <s v="Candidate_980"/>
    <m/>
    <x v="0"/>
    <s v="Referral"/>
    <n v="3"/>
    <m/>
    <x v="0"/>
    <m/>
    <m/>
    <x v="0"/>
    <x v="0"/>
    <m/>
    <x v="1"/>
    <x v="0"/>
  </r>
  <r>
    <n v="2293"/>
    <s v="2293 | M and E"/>
    <x v="9"/>
    <x v="3"/>
    <x v="17"/>
    <x v="9"/>
    <s v="M and E-Officer"/>
    <x v="1"/>
    <d v="2023-07-02T15:45:36"/>
    <x v="576"/>
    <x v="145"/>
    <n v="4"/>
    <d v="2023-07-18T15:45:36"/>
    <s v="Yes"/>
    <d v="2023-07-14T15:45:36"/>
    <x v="0"/>
    <x v="2"/>
    <m/>
    <m/>
    <m/>
    <m/>
    <d v="2023-07-15T15:45:36"/>
    <m/>
    <x v="0"/>
    <m/>
    <m/>
    <m/>
    <m/>
    <s v="Company"/>
    <m/>
    <s v="C1981"/>
    <s v="Candidate_981"/>
    <s v="06/07/2023"/>
    <x v="1"/>
    <s v="Linkedin"/>
    <n v="6"/>
    <m/>
    <x v="0"/>
    <m/>
    <m/>
    <x v="0"/>
    <x v="0"/>
    <m/>
    <x v="1"/>
    <x v="0"/>
  </r>
  <r>
    <n v="2292"/>
    <s v="2292 | M and E"/>
    <x v="9"/>
    <x v="3"/>
    <x v="17"/>
    <x v="9"/>
    <s v="M and E-Officer"/>
    <x v="1"/>
    <d v="2023-06-28T15:45:36"/>
    <x v="577"/>
    <x v="145"/>
    <n v="8"/>
    <d v="2023-08-05T15:45:36"/>
    <s v="No"/>
    <m/>
    <x v="2"/>
    <x v="1"/>
    <m/>
    <m/>
    <m/>
    <m/>
    <m/>
    <m/>
    <x v="0"/>
    <m/>
    <m/>
    <m/>
    <m/>
    <m/>
    <m/>
    <s v="C1982"/>
    <s v="Candidate_982"/>
    <m/>
    <x v="1"/>
    <s v="Linkedin"/>
    <n v="3"/>
    <m/>
    <x v="0"/>
    <m/>
    <m/>
    <x v="0"/>
    <x v="0"/>
    <m/>
    <x v="1"/>
    <x v="0"/>
  </r>
  <r>
    <n v="2204"/>
    <s v="2204 | M and E"/>
    <x v="11"/>
    <x v="3"/>
    <x v="17"/>
    <x v="9"/>
    <s v="M and E-Officer"/>
    <x v="1"/>
    <d v="2023-06-15T04:51:46"/>
    <x v="539"/>
    <x v="160"/>
    <n v="6"/>
    <d v="2023-06-28T04:51:46"/>
    <s v="Yes"/>
    <d v="2023-07-08T04:51:46"/>
    <x v="0"/>
    <x v="0"/>
    <m/>
    <m/>
    <m/>
    <m/>
    <d v="2023-07-11T04:51:46"/>
    <m/>
    <x v="0"/>
    <m/>
    <m/>
    <m/>
    <m/>
    <s v="Company"/>
    <m/>
    <s v="C1983"/>
    <s v="Candidate_983"/>
    <s v="Jun 26 2023"/>
    <x v="2"/>
    <s v="Job Board"/>
    <n v="6"/>
    <m/>
    <x v="0"/>
    <m/>
    <m/>
    <x v="0"/>
    <x v="0"/>
    <m/>
    <x v="1"/>
    <x v="0"/>
  </r>
  <r>
    <n v="2202"/>
    <s v="2202 | M and E"/>
    <x v="10"/>
    <x v="3"/>
    <x v="17"/>
    <x v="9"/>
    <s v="M and E-Officer"/>
    <x v="1"/>
    <d v="2023-06-15T04:51:46"/>
    <x v="578"/>
    <x v="160"/>
    <n v="6"/>
    <d v="2023-07-06T04:51:46"/>
    <s v="Yes"/>
    <d v="2023-07-01T04:51:46"/>
    <x v="1"/>
    <x v="1"/>
    <d v="2023-07-07T04:51:46"/>
    <s v="Declined"/>
    <m/>
    <m/>
    <d v="2023-07-05T04:51:46"/>
    <m/>
    <x v="0"/>
    <m/>
    <m/>
    <m/>
    <m/>
    <m/>
    <m/>
    <s v="C1984"/>
    <s v="Candidate_984"/>
    <s v="Jun 15 2023"/>
    <x v="2"/>
    <s v="Job Board"/>
    <n v="3"/>
    <m/>
    <x v="0"/>
    <m/>
    <m/>
    <x v="0"/>
    <x v="0"/>
    <m/>
    <x v="1"/>
    <x v="0"/>
  </r>
  <r>
    <n v="2187"/>
    <s v="2187 | M and E"/>
    <x v="10"/>
    <x v="3"/>
    <x v="17"/>
    <x v="9"/>
    <s v="M and E-Officer"/>
    <x v="1"/>
    <d v="2023-03-10T12:45:42"/>
    <x v="496"/>
    <x v="4"/>
    <n v="-44995.531736111108"/>
    <d v="2023-03-31T12:45:42"/>
    <s v="Yes"/>
    <d v="2023-03-31T12:45:42"/>
    <x v="0"/>
    <x v="3"/>
    <m/>
    <m/>
    <m/>
    <m/>
    <d v="2023-04-04T12:45:42"/>
    <m/>
    <x v="0"/>
    <m/>
    <m/>
    <m/>
    <m/>
    <s v="Company"/>
    <m/>
    <s v="C1985"/>
    <s v="Candidate_985"/>
    <s v="Mar 12 2023"/>
    <x v="1"/>
    <s v="Linkedin"/>
    <n v="3"/>
    <m/>
    <x v="0"/>
    <m/>
    <m/>
    <x v="0"/>
    <x v="0"/>
    <m/>
    <x v="0"/>
    <x v="0"/>
  </r>
  <r>
    <n v="2072"/>
    <s v="2072 | M and E"/>
    <x v="9"/>
    <x v="3"/>
    <x v="17"/>
    <x v="9"/>
    <s v="M and E-Officer"/>
    <x v="1"/>
    <d v="2022-12-23T10:35:07"/>
    <x v="579"/>
    <x v="4"/>
    <n v="-44918.441053240742"/>
    <d v="2023-01-02T10:35:07"/>
    <s v="Yes"/>
    <d v="2023-01-01T10:35:07"/>
    <x v="1"/>
    <x v="1"/>
    <d v="2023-01-08T10:35:07"/>
    <s v="Declined"/>
    <m/>
    <m/>
    <d v="2023-01-04T10:35:07"/>
    <m/>
    <x v="0"/>
    <m/>
    <m/>
    <m/>
    <m/>
    <m/>
    <m/>
    <s v="C1986"/>
    <s v="Candidate_986"/>
    <s v="24/12/2022"/>
    <x v="0"/>
    <s v="Referral"/>
    <n v="3"/>
    <m/>
    <x v="0"/>
    <m/>
    <m/>
    <x v="0"/>
    <x v="0"/>
    <m/>
    <x v="0"/>
    <x v="0"/>
  </r>
  <r>
    <n v="2047"/>
    <s v="2047 | M and E"/>
    <x v="9"/>
    <x v="3"/>
    <x v="17"/>
    <x v="9"/>
    <s v="M and E-Officer"/>
    <x v="1"/>
    <d v="2022-07-16T04:48:46"/>
    <x v="580"/>
    <x v="4"/>
    <n v="-44758.200532407413"/>
    <d v="2022-08-04T04:48:46"/>
    <s v="No"/>
    <m/>
    <x v="2"/>
    <x v="1"/>
    <m/>
    <m/>
    <m/>
    <m/>
    <m/>
    <m/>
    <x v="0"/>
    <m/>
    <m/>
    <m/>
    <m/>
    <m/>
    <m/>
    <s v="C1987"/>
    <s v="Candidate_987"/>
    <m/>
    <x v="0"/>
    <s v="Referral"/>
    <n v="3"/>
    <m/>
    <x v="0"/>
    <m/>
    <m/>
    <x v="0"/>
    <x v="0"/>
    <m/>
    <x v="0"/>
    <x v="0"/>
  </r>
  <r>
    <n v="2015"/>
    <s v="2015 | M and E"/>
    <x v="9"/>
    <x v="3"/>
    <x v="17"/>
    <x v="9"/>
    <s v="M and E-Officer"/>
    <x v="1"/>
    <d v="2023-06-07T14:00:49"/>
    <x v="427"/>
    <x v="147"/>
    <n v="2"/>
    <d v="2023-06-15T14:00:49"/>
    <s v="No"/>
    <m/>
    <x v="2"/>
    <x v="1"/>
    <m/>
    <m/>
    <m/>
    <m/>
    <m/>
    <m/>
    <x v="0"/>
    <m/>
    <m/>
    <m/>
    <m/>
    <m/>
    <m/>
    <s v="C1988"/>
    <s v="Candidate_988"/>
    <m/>
    <x v="2"/>
    <s v="Job Board"/>
    <n v="3"/>
    <m/>
    <x v="0"/>
    <m/>
    <m/>
    <x v="0"/>
    <x v="0"/>
    <m/>
    <x v="1"/>
    <x v="0"/>
  </r>
  <r>
    <n v="1943"/>
    <s v="1943 | M and E"/>
    <x v="9"/>
    <x v="3"/>
    <x v="17"/>
    <x v="9"/>
    <s v="M and E-Officer"/>
    <x v="1"/>
    <d v="2023-03-02T06:20:20"/>
    <x v="499"/>
    <x v="148"/>
    <n v="3"/>
    <d v="2023-03-28T06:20:20"/>
    <s v="No"/>
    <m/>
    <x v="2"/>
    <x v="1"/>
    <m/>
    <m/>
    <m/>
    <m/>
    <m/>
    <m/>
    <x v="0"/>
    <m/>
    <m/>
    <m/>
    <m/>
    <m/>
    <m/>
    <s v="C1989"/>
    <s v="Candidate_989"/>
    <m/>
    <x v="1"/>
    <s v="Linkedin"/>
    <n v="6"/>
    <m/>
    <x v="0"/>
    <m/>
    <m/>
    <x v="0"/>
    <x v="0"/>
    <m/>
    <x v="1"/>
    <x v="0"/>
  </r>
  <r>
    <n v="1926"/>
    <s v="1926 | M and E"/>
    <x v="10"/>
    <x v="3"/>
    <x v="17"/>
    <x v="9"/>
    <s v="M and E-Officer"/>
    <x v="1"/>
    <m/>
    <x v="501"/>
    <x v="182"/>
    <n v="44798.391932870371"/>
    <d v="2022-09-06T09:24:23"/>
    <s v="Yes"/>
    <d v="2022-09-03T09:24:23"/>
    <x v="0"/>
    <x v="0"/>
    <m/>
    <m/>
    <m/>
    <m/>
    <m/>
    <m/>
    <x v="0"/>
    <m/>
    <m/>
    <m/>
    <m/>
    <s v="Company"/>
    <m/>
    <s v="C1990"/>
    <s v="Candidate_990"/>
    <s v="Aug 24 2022"/>
    <x v="0"/>
    <s v="Referral"/>
    <n v="6"/>
    <m/>
    <x v="0"/>
    <m/>
    <m/>
    <x v="0"/>
    <x v="0"/>
    <m/>
    <x v="0"/>
    <x v="0"/>
  </r>
  <r>
    <n v="1924"/>
    <s v="1924 | M and E"/>
    <x v="10"/>
    <x v="3"/>
    <x v="17"/>
    <x v="9"/>
    <s v="M and E-Officer"/>
    <x v="1"/>
    <d v="2022-08-15T09:24:23"/>
    <x v="581"/>
    <x v="4"/>
    <n v="-44788.391932870371"/>
    <d v="2022-09-23T09:24:23"/>
    <s v="Yes"/>
    <d v="2022-09-10T09:24:23"/>
    <x v="3"/>
    <x v="1"/>
    <d v="2022-09-13T09:24:23"/>
    <s v="Accepted"/>
    <d v="2022-09-11T09:24:23"/>
    <d v="2022-09-13T09:24:23"/>
    <d v="2022-09-11T09:24:23"/>
    <d v="2022-09-13T09:24:23"/>
    <x v="1"/>
    <d v="2022-09-15T09:24:23"/>
    <d v="2022-09-17T09:24:23"/>
    <d v="2022-09-19T09:24:23"/>
    <m/>
    <m/>
    <d v="2022-10-10T09:24:23"/>
    <s v="C1991"/>
    <s v="Candidate_991"/>
    <s v="Aug 30 2022"/>
    <x v="2"/>
    <s v="Job Board"/>
    <n v="3"/>
    <m/>
    <x v="0"/>
    <m/>
    <m/>
    <x v="0"/>
    <x v="0"/>
    <m/>
    <x v="0"/>
    <x v="0"/>
  </r>
  <r>
    <n v="1835"/>
    <s v="1835 | M and E"/>
    <x v="10"/>
    <x v="3"/>
    <x v="17"/>
    <x v="9"/>
    <s v="M and E-Officer"/>
    <x v="1"/>
    <d v="2023-04-21T08:48:53"/>
    <x v="454"/>
    <x v="149"/>
    <n v="3"/>
    <d v="2023-05-09T08:48:53"/>
    <s v="Yes"/>
    <d v="2023-05-08T08:48:53"/>
    <x v="0"/>
    <x v="4"/>
    <m/>
    <m/>
    <m/>
    <m/>
    <m/>
    <m/>
    <x v="0"/>
    <m/>
    <m/>
    <m/>
    <m/>
    <s v="Company"/>
    <m/>
    <s v="C1992"/>
    <s v="Candidate_992"/>
    <s v="29/04/2023"/>
    <x v="2"/>
    <s v="Job Board"/>
    <n v="6"/>
    <m/>
    <x v="0"/>
    <m/>
    <m/>
    <x v="0"/>
    <x v="0"/>
    <m/>
    <x v="1"/>
    <x v="0"/>
  </r>
  <r>
    <n v="1833"/>
    <s v="1833 | M and E"/>
    <x v="9"/>
    <x v="3"/>
    <x v="17"/>
    <x v="9"/>
    <s v="M and E-Officer"/>
    <x v="1"/>
    <d v="2023-04-15T08:48:53"/>
    <x v="582"/>
    <x v="149"/>
    <n v="9"/>
    <d v="2023-05-23T08:48:53"/>
    <s v="Yes"/>
    <d v="2023-04-27T08:48:53"/>
    <x v="3"/>
    <x v="1"/>
    <d v="2023-04-30T08:48:53"/>
    <s v="Accepted"/>
    <d v="2023-04-28T08:48:53"/>
    <d v="2023-04-29T08:48:53"/>
    <d v="2023-04-29T08:48:53"/>
    <d v="2023-05-04T08:48:53"/>
    <x v="1"/>
    <d v="2023-05-05T08:48:53"/>
    <d v="2023-05-08T08:48:53"/>
    <d v="2023-05-09T08:48:53"/>
    <m/>
    <m/>
    <d v="2023-05-25T08:48:53"/>
    <s v="C1993"/>
    <s v="Candidate_993"/>
    <s v="04-17-2023"/>
    <x v="1"/>
    <s v="Linkedin"/>
    <n v="3"/>
    <m/>
    <x v="0"/>
    <m/>
    <m/>
    <x v="0"/>
    <x v="0"/>
    <m/>
    <x v="114"/>
    <x v="0"/>
  </r>
  <r>
    <n v="1787"/>
    <s v="1787 | M and E"/>
    <x v="9"/>
    <x v="3"/>
    <x v="17"/>
    <x v="9"/>
    <s v="M and E-Officer"/>
    <x v="1"/>
    <d v="2022-04-10T08:33:21"/>
    <x v="546"/>
    <x v="150"/>
    <n v="4"/>
    <d v="2022-05-06T08:33:21"/>
    <s v="Yes"/>
    <d v="2022-04-23T08:33:21"/>
    <x v="1"/>
    <x v="1"/>
    <d v="2022-04-30T08:33:21"/>
    <s v="Declined"/>
    <m/>
    <m/>
    <d v="2022-04-27T08:33:21"/>
    <m/>
    <x v="0"/>
    <m/>
    <m/>
    <m/>
    <m/>
    <m/>
    <m/>
    <s v="C1994"/>
    <s v="Candidate_994"/>
    <s v="04-05-2022"/>
    <x v="2"/>
    <s v="Job Board"/>
    <n v="3"/>
    <m/>
    <x v="0"/>
    <m/>
    <m/>
    <x v="0"/>
    <x v="0"/>
    <m/>
    <x v="1"/>
    <x v="0"/>
  </r>
  <r>
    <n v="1730"/>
    <s v="1730 | M and E"/>
    <x v="9"/>
    <x v="3"/>
    <x v="17"/>
    <x v="11"/>
    <s v="M and E-Controller"/>
    <x v="1"/>
    <d v="2022-10-27T12:00:37"/>
    <x v="430"/>
    <x v="151"/>
    <n v="7"/>
    <d v="2022-11-22T12:00:37"/>
    <s v="Yes"/>
    <d v="2022-11-14T12:00:37"/>
    <x v="0"/>
    <x v="2"/>
    <m/>
    <m/>
    <m/>
    <m/>
    <m/>
    <m/>
    <x v="0"/>
    <m/>
    <m/>
    <m/>
    <m/>
    <s v="Company"/>
    <m/>
    <s v="C1995"/>
    <s v="Candidate_995"/>
    <s v="11-05-2022"/>
    <x v="1"/>
    <s v="Linkedin"/>
    <n v="6"/>
    <m/>
    <x v="0"/>
    <m/>
    <m/>
    <x v="0"/>
    <x v="0"/>
    <m/>
    <x v="1"/>
    <x v="0"/>
  </r>
  <r>
    <n v="1726"/>
    <s v="1726 | M and E"/>
    <x v="11"/>
    <x v="3"/>
    <x v="17"/>
    <x v="11"/>
    <s v="M and E-Controller"/>
    <x v="1"/>
    <d v="2022-11-01T12:00:37"/>
    <x v="583"/>
    <x v="151"/>
    <n v="2"/>
    <d v="2022-11-20T12:00:37"/>
    <s v="Yes"/>
    <d v="2022-11-09T12:00:37"/>
    <x v="0"/>
    <x v="4"/>
    <m/>
    <m/>
    <m/>
    <m/>
    <d v="2022-11-10T12:00:37"/>
    <m/>
    <x v="0"/>
    <m/>
    <m/>
    <m/>
    <m/>
    <s v="Candidate"/>
    <m/>
    <s v="C1996"/>
    <s v="Candidate_996"/>
    <s v="Oct 27 2022"/>
    <x v="2"/>
    <s v="Job Board"/>
    <n v="3"/>
    <m/>
    <x v="0"/>
    <m/>
    <m/>
    <x v="0"/>
    <x v="0"/>
    <m/>
    <x v="1"/>
    <x v="0"/>
  </r>
  <r>
    <n v="1658"/>
    <s v="1658 | M and E"/>
    <x v="9"/>
    <x v="3"/>
    <x v="17"/>
    <x v="11"/>
    <s v="M and E-Controller"/>
    <x v="1"/>
    <d v="2022-11-10T04:40:47"/>
    <x v="461"/>
    <x v="164"/>
    <n v="8"/>
    <d v="2022-12-11T04:40:47"/>
    <s v="Yes"/>
    <d v="2022-12-05T04:40:47"/>
    <x v="1"/>
    <x v="1"/>
    <d v="2022-12-08T04:40:47"/>
    <s v="Declined"/>
    <m/>
    <m/>
    <d v="2022-12-07T04:40:47"/>
    <m/>
    <x v="0"/>
    <m/>
    <m/>
    <m/>
    <m/>
    <m/>
    <m/>
    <s v="C1997"/>
    <s v="Candidate_997"/>
    <s v="11-18-2022"/>
    <x v="2"/>
    <s v="Job Board"/>
    <n v="6"/>
    <m/>
    <x v="0"/>
    <m/>
    <m/>
    <x v="0"/>
    <x v="0"/>
    <m/>
    <x v="1"/>
    <x v="0"/>
  </r>
  <r>
    <n v="1656"/>
    <s v="1656 | M and E"/>
    <x v="9"/>
    <x v="3"/>
    <x v="17"/>
    <x v="11"/>
    <s v="M and E-Controller"/>
    <x v="1"/>
    <d v="2022-11-14T04:40:47"/>
    <x v="507"/>
    <x v="164"/>
    <n v="4"/>
    <d v="2022-12-09T04:40:47"/>
    <s v="Yes"/>
    <d v="2022-11-29T04:40:47"/>
    <x v="0"/>
    <x v="4"/>
    <m/>
    <m/>
    <m/>
    <m/>
    <m/>
    <m/>
    <x v="0"/>
    <m/>
    <m/>
    <m/>
    <m/>
    <s v="Company"/>
    <m/>
    <s v="C1998"/>
    <s v="Candidate_998"/>
    <s v="11-15-2022"/>
    <x v="1"/>
    <s v="Linkedin"/>
    <n v="3"/>
    <m/>
    <x v="0"/>
    <m/>
    <m/>
    <x v="0"/>
    <x v="0"/>
    <m/>
    <x v="1"/>
    <x v="0"/>
  </r>
  <r>
    <n v="1654"/>
    <s v="1654 | M and E"/>
    <x v="9"/>
    <x v="3"/>
    <x v="17"/>
    <x v="11"/>
    <s v="M and E-Controller"/>
    <x v="1"/>
    <d v="2022-11-14T04:40:47"/>
    <x v="507"/>
    <x v="164"/>
    <n v="4"/>
    <d v="2022-12-04T04:40:47"/>
    <s v="Yes"/>
    <d v="2022-11-21T04:40:47"/>
    <x v="0"/>
    <x v="0"/>
    <m/>
    <m/>
    <m/>
    <m/>
    <m/>
    <m/>
    <x v="0"/>
    <m/>
    <m/>
    <m/>
    <m/>
    <s v="Candidate"/>
    <m/>
    <s v="C1999"/>
    <s v="Candidate_999"/>
    <s v="11-08-2022"/>
    <x v="2"/>
    <s v="Job Board"/>
    <n v="6"/>
    <m/>
    <x v="0"/>
    <m/>
    <m/>
    <x v="0"/>
    <x v="0"/>
    <m/>
    <x v="1"/>
    <x v="0"/>
  </r>
  <r>
    <n v="1628"/>
    <s v="1628 | M and E"/>
    <x v="9"/>
    <x v="3"/>
    <x v="17"/>
    <x v="11"/>
    <s v="M and E-Controller"/>
    <x v="1"/>
    <d v="2022-03-16T07:08:59"/>
    <x v="584"/>
    <x v="165"/>
    <n v="9"/>
    <d v="2022-04-07T07:08:59"/>
    <s v="No"/>
    <m/>
    <x v="2"/>
    <x v="1"/>
    <m/>
    <m/>
    <m/>
    <m/>
    <m/>
    <m/>
    <x v="0"/>
    <m/>
    <m/>
    <m/>
    <m/>
    <m/>
    <m/>
    <s v="C2000"/>
    <s v="Candidate_1000"/>
    <m/>
    <x v="2"/>
    <s v="Job Board"/>
    <n v="3"/>
    <m/>
    <x v="0"/>
    <m/>
    <m/>
    <x v="0"/>
    <x v="0"/>
    <m/>
    <x v="1"/>
    <x v="0"/>
  </r>
  <r>
    <n v="1625"/>
    <s v="1625 | M and E"/>
    <x v="9"/>
    <x v="3"/>
    <x v="17"/>
    <x v="11"/>
    <s v="M and E-Controller"/>
    <x v="1"/>
    <d v="2022-03-19T07:08:59"/>
    <x v="508"/>
    <x v="4"/>
    <n v="-44639.297905092593"/>
    <d v="2022-04-04T07:08:59"/>
    <s v="Yes"/>
    <d v="2022-03-29T07:08:59"/>
    <x v="0"/>
    <x v="3"/>
    <m/>
    <m/>
    <m/>
    <m/>
    <m/>
    <m/>
    <x v="0"/>
    <m/>
    <m/>
    <m/>
    <m/>
    <s v="Candidate"/>
    <m/>
    <s v="C2001"/>
    <s v="Candidate_1001"/>
    <s v="12/03/2022"/>
    <x v="1"/>
    <s v="Linkedin"/>
    <n v="3"/>
    <m/>
    <x v="0"/>
    <m/>
    <m/>
    <x v="0"/>
    <x v="0"/>
    <m/>
    <x v="0"/>
    <x v="0"/>
  </r>
  <r>
    <n v="1623"/>
    <s v="1623 | M and E"/>
    <x v="11"/>
    <x v="3"/>
    <x v="17"/>
    <x v="11"/>
    <s v="M and E-Controller"/>
    <x v="1"/>
    <d v="2022-03-19T07:08:59"/>
    <x v="508"/>
    <x v="165"/>
    <n v="6"/>
    <d v="2022-04-20T07:08:59"/>
    <s v="Yes"/>
    <d v="2022-04-10T07:08:59"/>
    <x v="1"/>
    <x v="1"/>
    <d v="2022-04-14T07:08:59"/>
    <s v="Declined"/>
    <m/>
    <m/>
    <d v="2022-04-12T07:08:59"/>
    <m/>
    <x v="0"/>
    <m/>
    <m/>
    <m/>
    <m/>
    <m/>
    <m/>
    <s v="C2002"/>
    <s v="Candidate_1002"/>
    <s v="04-04-2022"/>
    <x v="1"/>
    <s v="Linkedin"/>
    <n v="6"/>
    <m/>
    <x v="0"/>
    <m/>
    <m/>
    <x v="0"/>
    <x v="0"/>
    <m/>
    <x v="1"/>
    <x v="0"/>
  </r>
  <r>
    <n v="1602"/>
    <s v="1602 | M and E"/>
    <x v="9"/>
    <x v="3"/>
    <x v="17"/>
    <x v="11"/>
    <s v="M and E-Controller"/>
    <x v="1"/>
    <d v="2022-01-03T19:39:24"/>
    <x v="509"/>
    <x v="183"/>
    <n v="5"/>
    <d v="2022-01-31T19:39:24"/>
    <s v="Yes"/>
    <d v="2022-01-10T19:39:24"/>
    <x v="3"/>
    <x v="1"/>
    <d v="2022-01-14T19:39:24"/>
    <s v="Accepted"/>
    <d v="2022-01-12T19:39:24"/>
    <d v="2022-01-16T19:39:24"/>
    <d v="2022-01-13T19:39:24"/>
    <d v="2022-01-22T19:39:24"/>
    <x v="1"/>
    <d v="2022-01-26T19:39:24"/>
    <d v="2022-01-28T19:39:24"/>
    <d v="2022-01-31T19:39:24"/>
    <m/>
    <m/>
    <d v="2022-02-12T19:39:24"/>
    <s v="C2003"/>
    <s v="Candidate_1003"/>
    <s v="Dec 24 2021"/>
    <x v="1"/>
    <s v="Linkedin"/>
    <n v="6"/>
    <m/>
    <x v="0"/>
    <m/>
    <m/>
    <x v="0"/>
    <x v="0"/>
    <m/>
    <x v="115"/>
    <x v="0"/>
  </r>
  <r>
    <n v="1478"/>
    <s v="1478 | M and E"/>
    <x v="9"/>
    <x v="3"/>
    <x v="17"/>
    <x v="11"/>
    <s v="M and E-Controller"/>
    <x v="1"/>
    <d v="2023-01-21T06:41:41"/>
    <x v="585"/>
    <x v="166"/>
    <n v="7"/>
    <d v="2023-02-13T06:41:41"/>
    <s v="Yes"/>
    <d v="2023-02-05T06:41:41"/>
    <x v="3"/>
    <x v="1"/>
    <d v="2023-02-12T06:41:41"/>
    <s v="Accepted"/>
    <d v="2023-02-06T06:41:41"/>
    <d v="2023-02-08T06:41:41"/>
    <d v="2023-02-09T06:41:41"/>
    <d v="2023-02-14T06:41:41"/>
    <x v="1"/>
    <d v="2023-02-16T06:41:41"/>
    <d v="2023-02-19T06:41:41"/>
    <d v="2023-02-21T06:41:41"/>
    <m/>
    <m/>
    <d v="2023-03-03T06:41:41"/>
    <s v="C2004"/>
    <s v="Candidate_1004"/>
    <s v="24/01/2023"/>
    <x v="0"/>
    <s v="Referral"/>
    <n v="6"/>
    <m/>
    <x v="0"/>
    <m/>
    <m/>
    <x v="0"/>
    <x v="0"/>
    <m/>
    <x v="116"/>
    <x v="0"/>
  </r>
  <r>
    <n v="1343"/>
    <s v="1343 | M and E"/>
    <x v="11"/>
    <x v="3"/>
    <x v="17"/>
    <x v="11"/>
    <s v="M and E-Controller"/>
    <x v="1"/>
    <d v="2023-06-19T00:56:18"/>
    <x v="586"/>
    <x v="167"/>
    <n v="4"/>
    <d v="2023-07-06T00:56:18"/>
    <s v="Yes"/>
    <d v="2023-07-06T00:56:18"/>
    <x v="1"/>
    <x v="1"/>
    <d v="2023-07-12T00:56:18"/>
    <s v="Declined"/>
    <m/>
    <m/>
    <d v="2023-07-08T00:56:18"/>
    <m/>
    <x v="0"/>
    <m/>
    <m/>
    <m/>
    <m/>
    <m/>
    <m/>
    <s v="C2005"/>
    <s v="Candidate_1005"/>
    <s v="06-27-2023"/>
    <x v="2"/>
    <s v="Job Board"/>
    <n v="6"/>
    <m/>
    <x v="0"/>
    <m/>
    <m/>
    <x v="0"/>
    <x v="0"/>
    <m/>
    <x v="1"/>
    <x v="0"/>
  </r>
  <r>
    <n v="1096"/>
    <s v="1096 | M and E"/>
    <x v="10"/>
    <x v="3"/>
    <x v="17"/>
    <x v="11"/>
    <s v="M and E-Controller"/>
    <x v="1"/>
    <d v="2023-04-24T06:21:04"/>
    <x v="0"/>
    <x v="168"/>
    <n v="6"/>
    <d v="2023-05-15T06:21:04"/>
    <s v="Yes"/>
    <d v="2023-05-12T06:21:04"/>
    <x v="4"/>
    <x v="1"/>
    <d v="2023-05-18T06:21:04"/>
    <s v="Pending"/>
    <m/>
    <m/>
    <d v="2023-05-14T06:21:04"/>
    <m/>
    <x v="0"/>
    <m/>
    <m/>
    <m/>
    <m/>
    <m/>
    <m/>
    <s v="C2006"/>
    <s v="Candidate_1006"/>
    <s v="02/05/2023"/>
    <x v="2"/>
    <s v="Job Board"/>
    <n v="6"/>
    <m/>
    <x v="0"/>
    <m/>
    <m/>
    <x v="0"/>
    <x v="0"/>
    <m/>
    <x v="0"/>
    <x v="0"/>
  </r>
  <r>
    <n v="1093"/>
    <s v="1093 | M and E"/>
    <x v="9"/>
    <x v="3"/>
    <x v="17"/>
    <x v="11"/>
    <s v="M and E-Controller"/>
    <x v="1"/>
    <m/>
    <x v="587"/>
    <x v="168"/>
    <n v="45046.26462962963"/>
    <d v="2023-05-22T06:21:04"/>
    <s v="Yes"/>
    <d v="2023-05-15T06:21:04"/>
    <x v="1"/>
    <x v="1"/>
    <d v="2023-05-21T06:21:04"/>
    <s v="Declined"/>
    <m/>
    <m/>
    <d v="2023-05-19T06:21:04"/>
    <m/>
    <x v="0"/>
    <m/>
    <m/>
    <m/>
    <m/>
    <m/>
    <m/>
    <s v="C2007"/>
    <s v="Candidate_1007"/>
    <s v="07/05/2023"/>
    <x v="1"/>
    <s v="Linkedin"/>
    <n v="3"/>
    <m/>
    <x v="0"/>
    <m/>
    <m/>
    <x v="0"/>
    <x v="0"/>
    <m/>
    <x v="0"/>
    <x v="0"/>
  </r>
  <r>
    <n v="1060"/>
    <s v="1060 | M and E"/>
    <x v="10"/>
    <x v="3"/>
    <x v="17"/>
    <x v="11"/>
    <s v="M and E-Controller"/>
    <x v="1"/>
    <d v="2023-08-21T04:19:54"/>
    <x v="471"/>
    <x v="153"/>
    <n v="4"/>
    <d v="2023-09-16T04:19:54"/>
    <s v="Yes"/>
    <d v="2023-09-05T04:19:54"/>
    <x v="3"/>
    <x v="1"/>
    <d v="2023-09-11T04:19:54"/>
    <s v="Accepted"/>
    <d v="2023-09-07T04:19:54"/>
    <d v="2023-09-08T04:19:54"/>
    <d v="2023-09-07T04:19:54"/>
    <d v="2023-09-12T04:19:54"/>
    <x v="1"/>
    <d v="2023-09-16T04:19:54"/>
    <d v="2023-09-19T04:19:54"/>
    <d v="2023-09-21T04:19:54"/>
    <m/>
    <m/>
    <d v="2023-10-01T04:19:54"/>
    <s v="C2008"/>
    <s v="Candidate_1008"/>
    <s v="Aug 26 2023"/>
    <x v="2"/>
    <s v="Job Board"/>
    <n v="3"/>
    <m/>
    <x v="0"/>
    <m/>
    <m/>
    <x v="0"/>
    <x v="0"/>
    <m/>
    <x v="117"/>
    <x v="0"/>
  </r>
  <r>
    <n v="1059"/>
    <s v="1059 | M and E"/>
    <x v="9"/>
    <x v="3"/>
    <x v="17"/>
    <x v="11"/>
    <s v="M and E-Controller"/>
    <x v="1"/>
    <d v="2023-08-21T04:19:54"/>
    <x v="471"/>
    <x v="153"/>
    <n v="4"/>
    <d v="2023-09-17T04:19:54"/>
    <s v="Yes"/>
    <d v="2023-09-11T04:19:54"/>
    <x v="3"/>
    <x v="1"/>
    <d v="2023-09-18T04:19:54"/>
    <s v="Accepted"/>
    <d v="2023-09-13T04:19:54"/>
    <d v="2023-09-16T04:19:54"/>
    <d v="2023-09-14T04:19:54"/>
    <d v="2023-09-23T04:19:54"/>
    <x v="1"/>
    <d v="2023-09-27T04:19:54"/>
    <d v="2023-09-28T04:19:54"/>
    <d v="2023-09-30T04:19:54"/>
    <m/>
    <m/>
    <d v="2023-10-12T04:19:54"/>
    <s v="C2009"/>
    <s v="Candidate_1009"/>
    <s v="Aug 31 2023"/>
    <x v="2"/>
    <s v="Job Board"/>
    <n v="6"/>
    <m/>
    <x v="0"/>
    <m/>
    <m/>
    <x v="0"/>
    <x v="0"/>
    <m/>
    <x v="118"/>
    <x v="0"/>
  </r>
  <r>
    <n v="1057"/>
    <s v="1057 | M and E"/>
    <x v="9"/>
    <x v="3"/>
    <x v="17"/>
    <x v="10"/>
    <s v="M and E-Business Partner"/>
    <x v="1"/>
    <d v="2023-08-19T04:19:54"/>
    <x v="552"/>
    <x v="153"/>
    <n v="6"/>
    <d v="2023-09-14T04:19:54"/>
    <s v="Yes"/>
    <d v="2023-09-03T04:19:54"/>
    <x v="0"/>
    <x v="3"/>
    <m/>
    <m/>
    <m/>
    <m/>
    <m/>
    <m/>
    <x v="0"/>
    <m/>
    <m/>
    <m/>
    <m/>
    <s v="Company"/>
    <m/>
    <s v="C2010"/>
    <s v="Candidate_1010"/>
    <s v="16/08/2023"/>
    <x v="1"/>
    <s v="Linkedin"/>
    <n v="3"/>
    <m/>
    <x v="0"/>
    <m/>
    <m/>
    <x v="0"/>
    <x v="0"/>
    <m/>
    <x v="1"/>
    <x v="0"/>
  </r>
  <r>
    <n v="1056"/>
    <s v="1056 | M and E"/>
    <x v="10"/>
    <x v="3"/>
    <x v="17"/>
    <x v="10"/>
    <s v="M and E-Business Partner"/>
    <x v="1"/>
    <m/>
    <x v="0"/>
    <x v="153"/>
    <n v="45163.180486111109"/>
    <d v="2023-09-10T04:19:54"/>
    <s v="Yes"/>
    <d v="2023-09-03T04:19:54"/>
    <x v="0"/>
    <x v="3"/>
    <m/>
    <m/>
    <m/>
    <m/>
    <d v="2023-09-05T04:19:54"/>
    <m/>
    <x v="0"/>
    <m/>
    <m/>
    <m/>
    <m/>
    <s v="Company"/>
    <m/>
    <s v="C2011"/>
    <s v="Candidate_1011"/>
    <s v="08-17-2023"/>
    <x v="0"/>
    <s v="Referral"/>
    <n v="6"/>
    <m/>
    <x v="0"/>
    <m/>
    <m/>
    <x v="0"/>
    <x v="0"/>
    <m/>
    <x v="0"/>
    <x v="0"/>
  </r>
  <r>
    <n v="1009"/>
    <s v="1009 | M and E"/>
    <x v="9"/>
    <x v="3"/>
    <x v="17"/>
    <x v="10"/>
    <s v="M and E-Business Partner"/>
    <x v="1"/>
    <d v="2022-12-21T16:31:31"/>
    <x v="588"/>
    <x v="169"/>
    <n v="7"/>
    <d v="2023-01-13T16:31:31"/>
    <s v="Yes"/>
    <d v="2022-12-30T16:31:31"/>
    <x v="0"/>
    <x v="5"/>
    <m/>
    <m/>
    <m/>
    <m/>
    <d v="2023-01-02T16:31:31"/>
    <m/>
    <x v="0"/>
    <m/>
    <m/>
    <m/>
    <m/>
    <s v="Candidate"/>
    <m/>
    <s v="C2012"/>
    <s v="Candidate_1012"/>
    <s v="12-19-2022"/>
    <x v="2"/>
    <s v="Job Board"/>
    <n v="3"/>
    <m/>
    <x v="0"/>
    <m/>
    <m/>
    <x v="0"/>
    <x v="0"/>
    <m/>
    <x v="1"/>
    <x v="0"/>
  </r>
  <r>
    <n v="1008"/>
    <s v="1008 | M and E"/>
    <x v="9"/>
    <x v="3"/>
    <x v="17"/>
    <x v="10"/>
    <s v="M and E-Business Partner"/>
    <x v="1"/>
    <d v="2022-12-20T16:31:31"/>
    <x v="553"/>
    <x v="169"/>
    <n v="8"/>
    <d v="2023-01-18T16:31:31"/>
    <s v="No"/>
    <m/>
    <x v="2"/>
    <x v="1"/>
    <m/>
    <m/>
    <m/>
    <m/>
    <m/>
    <m/>
    <x v="0"/>
    <m/>
    <m/>
    <m/>
    <m/>
    <m/>
    <m/>
    <s v="C2013"/>
    <s v="Candidate_1013"/>
    <m/>
    <x v="1"/>
    <s v="Linkedin"/>
    <n v="3"/>
    <m/>
    <x v="0"/>
    <m/>
    <m/>
    <x v="0"/>
    <x v="0"/>
    <m/>
    <x v="1"/>
    <x v="0"/>
  </r>
  <r>
    <n v="987"/>
    <s v="987 | M and E"/>
    <x v="10"/>
    <x v="3"/>
    <x v="17"/>
    <x v="10"/>
    <s v="M and E-Business Partner"/>
    <x v="1"/>
    <d v="2022-08-22T05:47:20"/>
    <x v="478"/>
    <x v="170"/>
    <n v="8"/>
    <d v="2022-09-13T05:47:20"/>
    <s v="Yes"/>
    <d v="2022-09-14T05:47:20"/>
    <x v="1"/>
    <x v="1"/>
    <d v="2022-09-20T05:47:20"/>
    <s v="Declined"/>
    <m/>
    <m/>
    <d v="2022-09-16T05:47:20"/>
    <m/>
    <x v="0"/>
    <m/>
    <m/>
    <m/>
    <m/>
    <m/>
    <m/>
    <s v="C2014"/>
    <s v="Candidate_1014"/>
    <s v="Sep 05 2022"/>
    <x v="0"/>
    <s v="Referral"/>
    <n v="6"/>
    <m/>
    <x v="0"/>
    <m/>
    <m/>
    <x v="0"/>
    <x v="0"/>
    <m/>
    <x v="1"/>
    <x v="0"/>
  </r>
  <r>
    <n v="981"/>
    <s v="981 | M and E"/>
    <x v="10"/>
    <x v="3"/>
    <x v="17"/>
    <x v="10"/>
    <s v="M and E-Business Partner"/>
    <x v="1"/>
    <d v="2022-08-21T05:47:20"/>
    <x v="478"/>
    <x v="170"/>
    <n v="9"/>
    <d v="2022-09-20T05:47:20"/>
    <s v="Yes"/>
    <d v="2022-09-16T05:47:20"/>
    <x v="1"/>
    <x v="1"/>
    <d v="2022-09-21T05:47:20"/>
    <s v="Declined"/>
    <m/>
    <m/>
    <d v="2022-09-17T05:47:20"/>
    <m/>
    <x v="0"/>
    <m/>
    <m/>
    <m/>
    <m/>
    <m/>
    <m/>
    <s v="C2015"/>
    <s v="Candidate_1015"/>
    <s v="07/09/2022"/>
    <x v="1"/>
    <s v="Linkedin"/>
    <n v="3"/>
    <m/>
    <x v="0"/>
    <m/>
    <m/>
    <x v="0"/>
    <x v="0"/>
    <m/>
    <x v="1"/>
    <x v="0"/>
  </r>
  <r>
    <n v="872"/>
    <s v="872 | M and E"/>
    <x v="11"/>
    <x v="3"/>
    <x v="17"/>
    <x v="10"/>
    <s v="M and E-Business Partner"/>
    <x v="1"/>
    <d v="2022-07-18T19:23:12"/>
    <x v="589"/>
    <x v="171"/>
    <n v="8"/>
    <d v="2022-08-11T19:23:12"/>
    <s v="Yes"/>
    <d v="2022-07-28T19:23:12"/>
    <x v="1"/>
    <x v="1"/>
    <d v="2022-08-01T19:23:12"/>
    <s v="Declined"/>
    <m/>
    <m/>
    <d v="2022-07-30T19:23:12"/>
    <m/>
    <x v="0"/>
    <m/>
    <m/>
    <m/>
    <m/>
    <m/>
    <m/>
    <s v="C2016"/>
    <s v="Candidate_1016"/>
    <s v="Jul 23 2022"/>
    <x v="1"/>
    <s v="Linkedin"/>
    <n v="6"/>
    <m/>
    <x v="0"/>
    <m/>
    <m/>
    <x v="0"/>
    <x v="0"/>
    <m/>
    <x v="1"/>
    <x v="0"/>
  </r>
  <r>
    <n v="760"/>
    <s v="760 | M and E"/>
    <x v="9"/>
    <x v="3"/>
    <x v="17"/>
    <x v="10"/>
    <s v="M and E-Business Partner"/>
    <x v="1"/>
    <d v="2023-01-16T21:12:47"/>
    <x v="555"/>
    <x v="4"/>
    <n v="-44942.883877314824"/>
    <d v="2023-01-28T21:12:47"/>
    <s v="Yes"/>
    <d v="2023-02-03T21:12:47"/>
    <x v="4"/>
    <x v="1"/>
    <d v="2023-02-07T21:12:47"/>
    <s v="Pending"/>
    <m/>
    <m/>
    <d v="2023-02-05T21:12:47"/>
    <m/>
    <x v="0"/>
    <m/>
    <m/>
    <m/>
    <m/>
    <m/>
    <m/>
    <s v="C2017"/>
    <s v="Candidate_1017"/>
    <s v="01-29-2023"/>
    <x v="1"/>
    <s v="Linkedin"/>
    <n v="3"/>
    <m/>
    <x v="0"/>
    <m/>
    <m/>
    <x v="0"/>
    <x v="0"/>
    <m/>
    <x v="0"/>
    <x v="0"/>
  </r>
  <r>
    <n v="757"/>
    <s v="757 | M and E"/>
    <x v="9"/>
    <x v="3"/>
    <x v="17"/>
    <x v="10"/>
    <s v="M and E-Business Partner"/>
    <x v="1"/>
    <d v="2023-01-17T21:12:47"/>
    <x v="514"/>
    <x v="172"/>
    <n v="4"/>
    <d v="2023-02-15T21:12:47"/>
    <s v="No"/>
    <m/>
    <x v="2"/>
    <x v="1"/>
    <m/>
    <m/>
    <m/>
    <m/>
    <m/>
    <m/>
    <x v="0"/>
    <m/>
    <m/>
    <m/>
    <m/>
    <m/>
    <m/>
    <s v="C2018"/>
    <s v="Candidate_1018"/>
    <m/>
    <x v="1"/>
    <s v="Linkedin"/>
    <n v="3"/>
    <m/>
    <x v="0"/>
    <m/>
    <m/>
    <x v="0"/>
    <x v="0"/>
    <m/>
    <x v="1"/>
    <x v="0"/>
  </r>
  <r>
    <n v="751"/>
    <s v="751 | M and E"/>
    <x v="9"/>
    <x v="3"/>
    <x v="17"/>
    <x v="10"/>
    <s v="M and E-Business Partner"/>
    <x v="1"/>
    <d v="2023-01-11T21:12:47"/>
    <x v="590"/>
    <x v="172"/>
    <n v="10"/>
    <d v="2023-02-11T21:12:47"/>
    <s v="Yes"/>
    <d v="2023-02-05T21:12:47"/>
    <x v="1"/>
    <x v="1"/>
    <d v="2023-02-10T21:12:47"/>
    <s v="Declined"/>
    <m/>
    <m/>
    <d v="2023-02-07T21:12:47"/>
    <m/>
    <x v="0"/>
    <m/>
    <m/>
    <m/>
    <m/>
    <m/>
    <m/>
    <s v="C2019"/>
    <s v="Candidate_1019"/>
    <s v="Jan 30 2023"/>
    <x v="0"/>
    <s v="Referral"/>
    <n v="3"/>
    <m/>
    <x v="0"/>
    <m/>
    <m/>
    <x v="0"/>
    <x v="0"/>
    <m/>
    <x v="1"/>
    <x v="0"/>
  </r>
  <r>
    <n v="694"/>
    <s v="694 | M and E"/>
    <x v="10"/>
    <x v="3"/>
    <x v="17"/>
    <x v="10"/>
    <s v="M and E-Business Partner"/>
    <x v="1"/>
    <d v="2022-11-03T06:56:27"/>
    <x v="591"/>
    <x v="173"/>
    <n v="7"/>
    <d v="2022-12-01T06:56:27"/>
    <s v="Yes"/>
    <d v="2022-11-18T06:56:27"/>
    <x v="3"/>
    <x v="1"/>
    <d v="2022-11-23T06:56:27"/>
    <s v="Accepted"/>
    <d v="2022-11-19T06:56:27"/>
    <d v="2022-11-20T06:56:27"/>
    <d v="2022-11-21T06:56:27"/>
    <d v="2022-11-29T06:56:27"/>
    <x v="1"/>
    <d v="2022-12-01T06:56:27"/>
    <d v="2022-12-02T06:56:27"/>
    <d v="2022-12-05T06:56:27"/>
    <m/>
    <m/>
    <d v="2022-12-15T06:56:27"/>
    <s v="C2020"/>
    <s v="Candidate_1020"/>
    <s v="07/11/2022"/>
    <x v="0"/>
    <s v="Referral"/>
    <n v="6"/>
    <m/>
    <x v="0"/>
    <m/>
    <m/>
    <x v="0"/>
    <x v="0"/>
    <m/>
    <x v="119"/>
    <x v="0"/>
  </r>
  <r>
    <n v="650"/>
    <s v="650 | M and E"/>
    <x v="11"/>
    <x v="3"/>
    <x v="17"/>
    <x v="10"/>
    <s v="M and E-Business Partner"/>
    <x v="1"/>
    <d v="2022-08-09T18:15:27"/>
    <x v="482"/>
    <x v="174"/>
    <n v="6"/>
    <d v="2022-08-30T18:15:27"/>
    <s v="Yes"/>
    <d v="2022-08-19T18:15:27"/>
    <x v="0"/>
    <x v="0"/>
    <m/>
    <m/>
    <m/>
    <m/>
    <m/>
    <m/>
    <x v="0"/>
    <m/>
    <m/>
    <m/>
    <m/>
    <s v="Candidate"/>
    <m/>
    <s v="C2021"/>
    <s v="Candidate_1021"/>
    <s v="08-10-2022"/>
    <x v="2"/>
    <s v="Job Board"/>
    <n v="6"/>
    <m/>
    <x v="0"/>
    <m/>
    <m/>
    <x v="0"/>
    <x v="0"/>
    <m/>
    <x v="1"/>
    <x v="0"/>
  </r>
  <r>
    <n v="588"/>
    <s v="588 | M and E"/>
    <x v="11"/>
    <x v="3"/>
    <x v="17"/>
    <x v="10"/>
    <s v="M and E-Business Partner"/>
    <x v="1"/>
    <d v="2022-11-29T09:55:12"/>
    <x v="523"/>
    <x v="184"/>
    <n v="2"/>
    <d v="2022-12-18T09:55:12"/>
    <s v="Yes"/>
    <d v="2022-12-13T09:55:12"/>
    <x v="0"/>
    <x v="2"/>
    <m/>
    <m/>
    <m/>
    <m/>
    <m/>
    <m/>
    <x v="0"/>
    <m/>
    <m/>
    <m/>
    <m/>
    <s v="Candidate"/>
    <m/>
    <s v="C2022"/>
    <s v="Candidate_1022"/>
    <s v="Nov 28 2022"/>
    <x v="2"/>
    <s v="Job Board"/>
    <n v="3"/>
    <m/>
    <x v="0"/>
    <m/>
    <m/>
    <x v="0"/>
    <x v="0"/>
    <m/>
    <x v="1"/>
    <x v="0"/>
  </r>
  <r>
    <n v="587"/>
    <s v="587 | M and E"/>
    <x v="9"/>
    <x v="3"/>
    <x v="17"/>
    <x v="10"/>
    <s v="M and E-Business Partner"/>
    <x v="1"/>
    <d v="2022-11-26T09:55:12"/>
    <x v="523"/>
    <x v="184"/>
    <n v="5"/>
    <d v="2022-12-30T09:55:12"/>
    <s v="Yes"/>
    <d v="2022-12-10T09:55:12"/>
    <x v="1"/>
    <x v="1"/>
    <d v="2022-12-15T09:55:12"/>
    <s v="Declined"/>
    <m/>
    <m/>
    <d v="2022-12-12T09:55:12"/>
    <m/>
    <x v="0"/>
    <m/>
    <m/>
    <m/>
    <m/>
    <m/>
    <m/>
    <s v="C2023"/>
    <s v="Candidate_1023"/>
    <s v="Nov 22 2022"/>
    <x v="2"/>
    <s v="Job Board"/>
    <n v="6"/>
    <m/>
    <x v="0"/>
    <m/>
    <m/>
    <x v="0"/>
    <x v="0"/>
    <m/>
    <x v="1"/>
    <x v="0"/>
  </r>
  <r>
    <n v="583"/>
    <s v="583 | M and E"/>
    <x v="9"/>
    <x v="3"/>
    <x v="17"/>
    <x v="10"/>
    <s v="M and E-Business Partner"/>
    <x v="1"/>
    <d v="2022-11-27T09:55:12"/>
    <x v="524"/>
    <x v="184"/>
    <n v="4"/>
    <d v="2022-12-13T09:55:12"/>
    <s v="Yes"/>
    <d v="2022-12-14T09:55:12"/>
    <x v="0"/>
    <x v="2"/>
    <m/>
    <m/>
    <m/>
    <m/>
    <m/>
    <m/>
    <x v="0"/>
    <m/>
    <m/>
    <m/>
    <m/>
    <s v="Company"/>
    <m/>
    <s v="C2024"/>
    <s v="Candidate_1024"/>
    <s v="Dec 01 2022"/>
    <x v="0"/>
    <s v="Referral"/>
    <n v="6"/>
    <m/>
    <x v="0"/>
    <m/>
    <m/>
    <x v="0"/>
    <x v="0"/>
    <m/>
    <x v="1"/>
    <x v="0"/>
  </r>
  <r>
    <n v="557"/>
    <s v="557 | M and E"/>
    <x v="9"/>
    <x v="3"/>
    <x v="17"/>
    <x v="10"/>
    <s v="M and E-Business Partner"/>
    <x v="1"/>
    <d v="2023-06-09T00:15:10"/>
    <x v="592"/>
    <x v="175"/>
    <n v="5"/>
    <d v="2023-07-03T00:15:10"/>
    <s v="Yes"/>
    <d v="2023-06-23T00:15:10"/>
    <x v="1"/>
    <x v="1"/>
    <d v="2023-07-01T00:15:10"/>
    <s v="Declined"/>
    <m/>
    <m/>
    <d v="2023-06-27T00:15:10"/>
    <m/>
    <x v="0"/>
    <m/>
    <m/>
    <m/>
    <m/>
    <m/>
    <m/>
    <s v="C2025"/>
    <s v="Candidate_1025"/>
    <s v="Jun 14 2023"/>
    <x v="0"/>
    <s v="Referral"/>
    <n v="6"/>
    <m/>
    <x v="0"/>
    <m/>
    <m/>
    <x v="0"/>
    <x v="0"/>
    <m/>
    <x v="1"/>
    <x v="0"/>
  </r>
  <r>
    <n v="549"/>
    <s v="549 | M and E"/>
    <x v="9"/>
    <x v="3"/>
    <x v="17"/>
    <x v="10"/>
    <s v="M and E-Business Partner"/>
    <x v="1"/>
    <d v="2023-01-30T15:37:34"/>
    <x v="566"/>
    <x v="185"/>
    <n v="8"/>
    <d v="2023-02-15T15:37:34"/>
    <s v="Yes"/>
    <d v="2023-02-23T15:37:34"/>
    <x v="0"/>
    <x v="2"/>
    <m/>
    <m/>
    <m/>
    <m/>
    <d v="2023-02-25T15:37:34"/>
    <m/>
    <x v="0"/>
    <m/>
    <m/>
    <m/>
    <m/>
    <s v="Company"/>
    <m/>
    <s v="C2026"/>
    <s v="Candidate_1026"/>
    <s v="Feb 06 2023"/>
    <x v="2"/>
    <s v="Job Board"/>
    <n v="6"/>
    <m/>
    <x v="0"/>
    <m/>
    <m/>
    <x v="0"/>
    <x v="0"/>
    <m/>
    <x v="1"/>
    <x v="0"/>
  </r>
  <r>
    <n v="548"/>
    <s v="548 | M and E"/>
    <x v="11"/>
    <x v="3"/>
    <x v="17"/>
    <x v="10"/>
    <s v="M and E-Business Partner"/>
    <x v="1"/>
    <d v="2023-02-03T15:37:34"/>
    <x v="526"/>
    <x v="185"/>
    <n v="4"/>
    <d v="2023-02-12T15:37:34"/>
    <s v="No"/>
    <m/>
    <x v="2"/>
    <x v="1"/>
    <m/>
    <m/>
    <m/>
    <m/>
    <m/>
    <m/>
    <x v="0"/>
    <m/>
    <m/>
    <m/>
    <m/>
    <m/>
    <m/>
    <s v="C2027"/>
    <s v="Candidate_1027"/>
    <m/>
    <x v="1"/>
    <s v="Linkedin"/>
    <n v="3"/>
    <m/>
    <x v="0"/>
    <m/>
    <m/>
    <x v="0"/>
    <x v="0"/>
    <m/>
    <x v="1"/>
    <x v="0"/>
  </r>
  <r>
    <n v="530"/>
    <s v="530 | M and E"/>
    <x v="10"/>
    <x v="3"/>
    <x v="17"/>
    <x v="10"/>
    <s v="M and E-Business Partner"/>
    <x v="1"/>
    <m/>
    <x v="593"/>
    <x v="0"/>
    <n v="44611.83390046296"/>
    <d v="2022-02-28T20:00:49"/>
    <s v="Yes"/>
    <d v="2022-02-26T20:00:49"/>
    <x v="3"/>
    <x v="1"/>
    <d v="2022-03-02T20:00:49"/>
    <s v="Accepted"/>
    <d v="2022-02-28T20:00:49"/>
    <d v="2022-03-04T20:00:49"/>
    <d v="2022-02-28T20:00:49"/>
    <d v="2022-03-03T20:00:49"/>
    <x v="1"/>
    <d v="2022-03-04T20:00:49"/>
    <d v="2022-03-05T20:00:49"/>
    <d v="2022-03-07T20:00:49"/>
    <m/>
    <m/>
    <d v="2022-03-18T20:00:49"/>
    <s v="C2028"/>
    <s v="Candidate_1028"/>
    <s v="02-14-2022"/>
    <x v="1"/>
    <s v="Linkedin"/>
    <n v="3"/>
    <m/>
    <x v="0"/>
    <m/>
    <m/>
    <x v="0"/>
    <x v="0"/>
    <m/>
    <x v="0"/>
    <x v="0"/>
  </r>
  <r>
    <n v="2947"/>
    <s v="2947 | HR"/>
    <x v="12"/>
    <x v="4"/>
    <x v="18"/>
    <x v="4"/>
    <s v="IT-Senior Manager"/>
    <x v="3"/>
    <d v="2022-06-13T11:38:00"/>
    <x v="594"/>
    <x v="187"/>
    <n v="12"/>
    <d v="2022-08-09T11:38:00"/>
    <s v="Yes"/>
    <d v="2022-07-02T11:38:00"/>
    <x v="0"/>
    <x v="4"/>
    <m/>
    <m/>
    <m/>
    <m/>
    <m/>
    <m/>
    <x v="0"/>
    <m/>
    <m/>
    <m/>
    <m/>
    <s v="Company"/>
    <m/>
    <s v="C2029"/>
    <s v="Candidate_1029"/>
    <s v="Jun 26 2022"/>
    <x v="0"/>
    <s v="Referral"/>
    <n v="3"/>
    <m/>
    <x v="0"/>
    <m/>
    <m/>
    <x v="0"/>
    <x v="0"/>
    <m/>
    <x v="1"/>
    <x v="0"/>
  </r>
  <r>
    <n v="2943"/>
    <s v="2943 | HR"/>
    <x v="13"/>
    <x v="4"/>
    <x v="18"/>
    <x v="4"/>
    <s v="IT-Senior Manager"/>
    <x v="3"/>
    <d v="2022-06-12T11:38:00"/>
    <x v="595"/>
    <x v="188"/>
    <n v="9"/>
    <d v="2022-08-05T11:38:00"/>
    <s v="Yes"/>
    <d v="2022-07-02T11:38:00"/>
    <x v="0"/>
    <x v="5"/>
    <m/>
    <m/>
    <m/>
    <m/>
    <d v="2022-07-06T11:38:00"/>
    <m/>
    <x v="0"/>
    <m/>
    <m/>
    <m/>
    <m/>
    <s v="Candidate"/>
    <m/>
    <s v="C2030"/>
    <s v="Candidate_1030"/>
    <s v="Jun 19 2022"/>
    <x v="2"/>
    <s v="Job Board"/>
    <n v="6"/>
    <m/>
    <x v="0"/>
    <m/>
    <m/>
    <x v="0"/>
    <x v="0"/>
    <m/>
    <x v="1"/>
    <x v="0"/>
  </r>
  <r>
    <n v="2896"/>
    <s v="2896 | HR"/>
    <x v="13"/>
    <x v="4"/>
    <x v="18"/>
    <x v="4"/>
    <s v="IT-Senior Manager"/>
    <x v="3"/>
    <d v="2023-02-06T16:21:51"/>
    <x v="596"/>
    <x v="189"/>
    <n v="10"/>
    <d v="2023-04-02T16:21:51"/>
    <s v="Yes"/>
    <d v="2023-02-12T16:21:51"/>
    <x v="0"/>
    <x v="5"/>
    <m/>
    <m/>
    <m/>
    <m/>
    <d v="2023-02-13T16:21:51"/>
    <m/>
    <x v="0"/>
    <m/>
    <m/>
    <m/>
    <m/>
    <s v="Company"/>
    <m/>
    <s v="C2031"/>
    <s v="Candidate_1031"/>
    <s v="01/02/2023"/>
    <x v="0"/>
    <s v="Referral"/>
    <n v="6"/>
    <m/>
    <x v="0"/>
    <m/>
    <m/>
    <x v="0"/>
    <x v="0"/>
    <m/>
    <x v="1"/>
    <x v="0"/>
  </r>
  <r>
    <n v="2723"/>
    <s v="2723 | HR"/>
    <x v="14"/>
    <x v="4"/>
    <x v="18"/>
    <x v="4"/>
    <s v="IT-Senior Manager"/>
    <x v="3"/>
    <d v="2023-05-21T05:58:29"/>
    <x v="324"/>
    <x v="4"/>
    <n v="-45067.24894675926"/>
    <d v="2023-06-14T05:58:29"/>
    <s v="Yes"/>
    <d v="2023-05-26T05:58:29"/>
    <x v="0"/>
    <x v="2"/>
    <m/>
    <m/>
    <m/>
    <m/>
    <d v="2023-05-30T05:58:29"/>
    <m/>
    <x v="0"/>
    <m/>
    <m/>
    <m/>
    <m/>
    <s v="Company"/>
    <m/>
    <s v="C2032"/>
    <s v="Candidate_1032"/>
    <s v="20/05/2023"/>
    <x v="0"/>
    <s v="Referral"/>
    <n v="3"/>
    <m/>
    <x v="0"/>
    <m/>
    <m/>
    <x v="0"/>
    <x v="0"/>
    <m/>
    <x v="0"/>
    <x v="0"/>
  </r>
  <r>
    <n v="2583"/>
    <s v="2583 | HR"/>
    <x v="12"/>
    <x v="4"/>
    <x v="18"/>
    <x v="4"/>
    <s v="IT-Senior Manager"/>
    <x v="3"/>
    <d v="2022-08-11T00:55:27"/>
    <x v="597"/>
    <x v="190"/>
    <n v="7"/>
    <d v="2022-08-28T00:55:27"/>
    <s v="Yes"/>
    <d v="2022-08-27T00:55:27"/>
    <x v="0"/>
    <x v="2"/>
    <m/>
    <m/>
    <m/>
    <m/>
    <m/>
    <m/>
    <x v="0"/>
    <m/>
    <m/>
    <m/>
    <m/>
    <s v="Company"/>
    <m/>
    <s v="C2033"/>
    <s v="Candidate_1033"/>
    <s v="Aug 12 2022"/>
    <x v="2"/>
    <s v="Job Board"/>
    <n v="3"/>
    <m/>
    <x v="0"/>
    <m/>
    <m/>
    <x v="0"/>
    <x v="0"/>
    <m/>
    <x v="1"/>
    <x v="0"/>
  </r>
  <r>
    <n v="2581"/>
    <s v="2581 | HR"/>
    <x v="13"/>
    <x v="4"/>
    <x v="18"/>
    <x v="4"/>
    <s v="IT-Senior Manager"/>
    <x v="3"/>
    <d v="2022-08-14T00:55:27"/>
    <x v="0"/>
    <x v="190"/>
    <n v="4"/>
    <d v="2022-08-27T00:55:27"/>
    <s v="Yes"/>
    <d v="2022-09-01T00:55:27"/>
    <x v="0"/>
    <x v="4"/>
    <m/>
    <m/>
    <m/>
    <m/>
    <d v="2022-09-03T00:55:27"/>
    <m/>
    <x v="0"/>
    <m/>
    <m/>
    <m/>
    <m/>
    <s v="Candidate"/>
    <m/>
    <s v="C2034"/>
    <s v="Candidate_1034"/>
    <s v="08-25-2022"/>
    <x v="2"/>
    <s v="Job Board"/>
    <n v="3"/>
    <m/>
    <x v="0"/>
    <m/>
    <m/>
    <x v="0"/>
    <x v="0"/>
    <m/>
    <x v="0"/>
    <x v="0"/>
  </r>
  <r>
    <n v="2377"/>
    <s v="2377 | HR"/>
    <x v="14"/>
    <x v="4"/>
    <x v="18"/>
    <x v="4"/>
    <s v="IT-Senior Manager"/>
    <x v="3"/>
    <d v="2023-04-16T22:01:03"/>
    <x v="598"/>
    <x v="191"/>
    <n v="4"/>
    <d v="2023-05-03T22:01:03"/>
    <s v="Yes"/>
    <d v="2023-05-05T22:01:03"/>
    <x v="0"/>
    <x v="5"/>
    <m/>
    <m/>
    <m/>
    <m/>
    <d v="2023-05-08T22:01:03"/>
    <m/>
    <x v="0"/>
    <m/>
    <m/>
    <m/>
    <m/>
    <s v="Candidate"/>
    <m/>
    <s v="C2035"/>
    <s v="Candidate_1035"/>
    <s v="Apr 24 2023"/>
    <x v="1"/>
    <s v="Linkedin"/>
    <n v="6"/>
    <m/>
    <x v="0"/>
    <m/>
    <m/>
    <x v="0"/>
    <x v="0"/>
    <m/>
    <x v="1"/>
    <x v="0"/>
  </r>
  <r>
    <n v="2254"/>
    <s v="2254 | HR"/>
    <x v="12"/>
    <x v="4"/>
    <x v="18"/>
    <x v="4"/>
    <s v="IT-Senior Manager"/>
    <x v="3"/>
    <d v="2022-08-10T16:27:58"/>
    <x v="599"/>
    <x v="94"/>
    <n v="4"/>
    <d v="2022-09-09T16:27:58"/>
    <s v="Yes"/>
    <d v="2022-08-25T16:27:58"/>
    <x v="0"/>
    <x v="0"/>
    <m/>
    <m/>
    <m/>
    <m/>
    <m/>
    <m/>
    <x v="0"/>
    <m/>
    <m/>
    <m/>
    <m/>
    <s v="Candidate"/>
    <m/>
    <s v="C2036"/>
    <s v="Candidate_1036"/>
    <s v="14/08/2022"/>
    <x v="0"/>
    <s v="Referral"/>
    <n v="6"/>
    <m/>
    <x v="0"/>
    <m/>
    <m/>
    <x v="0"/>
    <x v="0"/>
    <m/>
    <x v="1"/>
    <x v="0"/>
  </r>
  <r>
    <n v="2055"/>
    <s v="2055 | HR"/>
    <x v="12"/>
    <x v="4"/>
    <x v="18"/>
    <x v="4"/>
    <s v="IT-Senior Manager"/>
    <x v="3"/>
    <d v="2022-01-13T19:56:47"/>
    <x v="600"/>
    <x v="132"/>
    <n v="6"/>
    <d v="2022-01-30T19:56:47"/>
    <s v="Yes"/>
    <d v="2022-01-22T19:56:47"/>
    <x v="0"/>
    <x v="0"/>
    <m/>
    <m/>
    <m/>
    <m/>
    <m/>
    <m/>
    <x v="0"/>
    <m/>
    <m/>
    <m/>
    <m/>
    <s v="Company"/>
    <m/>
    <s v="C2037"/>
    <s v="Candidate_1037"/>
    <s v="Jan 11 2022"/>
    <x v="2"/>
    <s v="Job Board"/>
    <n v="6"/>
    <m/>
    <x v="0"/>
    <m/>
    <m/>
    <x v="0"/>
    <x v="0"/>
    <m/>
    <x v="1"/>
    <x v="0"/>
  </r>
  <r>
    <n v="1958"/>
    <s v="1958 | HR"/>
    <x v="13"/>
    <x v="4"/>
    <x v="18"/>
    <x v="4"/>
    <s v="IT-Senior Manager"/>
    <x v="3"/>
    <d v="2022-09-17T01:01:03"/>
    <x v="601"/>
    <x v="192"/>
    <n v="4"/>
    <d v="2022-10-20T01:01:03"/>
    <s v="Yes"/>
    <d v="2022-10-04T01:01:03"/>
    <x v="0"/>
    <x v="4"/>
    <m/>
    <m/>
    <m/>
    <m/>
    <m/>
    <m/>
    <x v="0"/>
    <m/>
    <m/>
    <m/>
    <m/>
    <s v="Candidate"/>
    <m/>
    <s v="C2038"/>
    <s v="Candidate_1038"/>
    <s v="27/09/2022"/>
    <x v="2"/>
    <s v="Job Board"/>
    <n v="3"/>
    <m/>
    <x v="0"/>
    <m/>
    <m/>
    <x v="0"/>
    <x v="0"/>
    <m/>
    <x v="1"/>
    <x v="0"/>
  </r>
  <r>
    <n v="1957"/>
    <s v="1957 | HR"/>
    <x v="12"/>
    <x v="4"/>
    <x v="18"/>
    <x v="4"/>
    <s v="IT-Senior Manager"/>
    <x v="3"/>
    <d v="2022-09-13T01:01:03"/>
    <x v="602"/>
    <x v="192"/>
    <n v="8"/>
    <d v="2022-10-14T01:01:03"/>
    <s v="Yes"/>
    <d v="2022-10-05T01:01:03"/>
    <x v="0"/>
    <x v="4"/>
    <m/>
    <m/>
    <m/>
    <m/>
    <m/>
    <m/>
    <x v="0"/>
    <m/>
    <m/>
    <m/>
    <m/>
    <s v="Company"/>
    <m/>
    <s v="C2039"/>
    <s v="Candidate_1039"/>
    <s v="26/09/2022"/>
    <x v="1"/>
    <s v="Linkedin"/>
    <n v="3"/>
    <m/>
    <x v="0"/>
    <m/>
    <m/>
    <x v="0"/>
    <x v="0"/>
    <m/>
    <x v="1"/>
    <x v="0"/>
  </r>
  <r>
    <n v="1918"/>
    <s v="1918 | HR"/>
    <x v="14"/>
    <x v="4"/>
    <x v="18"/>
    <x v="4"/>
    <s v="IT-Senior Manager"/>
    <x v="3"/>
    <d v="2022-04-28T21:24:39"/>
    <x v="0"/>
    <x v="193"/>
    <n v="10"/>
    <d v="2022-05-24T21:24:39"/>
    <s v="Yes"/>
    <d v="2022-05-12T21:24:39"/>
    <x v="0"/>
    <x v="2"/>
    <m/>
    <m/>
    <m/>
    <m/>
    <m/>
    <m/>
    <x v="0"/>
    <m/>
    <m/>
    <m/>
    <m/>
    <s v="Company"/>
    <m/>
    <s v="C2040"/>
    <s v="Candidate_1040"/>
    <s v="05-03-2022"/>
    <x v="1"/>
    <s v="Linkedin"/>
    <n v="6"/>
    <m/>
    <x v="0"/>
    <m/>
    <m/>
    <x v="0"/>
    <x v="0"/>
    <m/>
    <x v="0"/>
    <x v="0"/>
  </r>
  <r>
    <n v="1916"/>
    <s v="1916 | HR"/>
    <x v="13"/>
    <x v="4"/>
    <x v="18"/>
    <x v="4"/>
    <s v="IT-Senior Manager"/>
    <x v="3"/>
    <m/>
    <x v="603"/>
    <x v="193"/>
    <n v="44689.892118055563"/>
    <d v="2022-06-01T21:24:39"/>
    <s v="Yes"/>
    <d v="2022-05-19T21:24:39"/>
    <x v="0"/>
    <x v="3"/>
    <m/>
    <m/>
    <m/>
    <m/>
    <d v="2022-05-21T21:24:39"/>
    <m/>
    <x v="0"/>
    <m/>
    <m/>
    <m/>
    <m/>
    <s v="Company"/>
    <m/>
    <s v="C2041"/>
    <s v="Candidate_1041"/>
    <s v="30/04/2022"/>
    <x v="1"/>
    <s v="Linkedin"/>
    <n v="3"/>
    <m/>
    <x v="0"/>
    <m/>
    <m/>
    <x v="0"/>
    <x v="0"/>
    <m/>
    <x v="0"/>
    <x v="0"/>
  </r>
  <r>
    <n v="1645"/>
    <s v="1645 | HR"/>
    <x v="12"/>
    <x v="4"/>
    <x v="18"/>
    <x v="4"/>
    <s v="IT-Senior Manager"/>
    <x v="3"/>
    <m/>
    <x v="604"/>
    <x v="99"/>
    <n v="44920.661261574067"/>
    <d v="2023-01-21T15:52:13"/>
    <s v="Yes"/>
    <d v="2023-01-01T15:52:13"/>
    <x v="0"/>
    <x v="4"/>
    <m/>
    <m/>
    <m/>
    <m/>
    <d v="2023-01-04T15:52:13"/>
    <m/>
    <x v="0"/>
    <m/>
    <m/>
    <m/>
    <m/>
    <s v="Company"/>
    <m/>
    <s v="C2042"/>
    <s v="Candidate_1042"/>
    <s v="Dec 18 2022"/>
    <x v="1"/>
    <s v="Linkedin"/>
    <n v="6"/>
    <m/>
    <x v="0"/>
    <m/>
    <m/>
    <x v="0"/>
    <x v="0"/>
    <m/>
    <x v="0"/>
    <x v="0"/>
  </r>
  <r>
    <n v="1452"/>
    <s v="1452 | HR"/>
    <x v="13"/>
    <x v="4"/>
    <x v="18"/>
    <x v="4"/>
    <s v="IT-Senior Manager"/>
    <x v="3"/>
    <m/>
    <x v="605"/>
    <x v="120"/>
    <n v="45029.57240740741"/>
    <d v="2023-05-11T13:44:16"/>
    <s v="Yes"/>
    <d v="2023-04-27T13:44:16"/>
    <x v="0"/>
    <x v="2"/>
    <m/>
    <m/>
    <m/>
    <m/>
    <m/>
    <m/>
    <x v="0"/>
    <m/>
    <m/>
    <m/>
    <m/>
    <s v="Company"/>
    <m/>
    <s v="C2043"/>
    <s v="Candidate_1043"/>
    <s v="14/04/2023"/>
    <x v="1"/>
    <s v="Linkedin"/>
    <n v="6"/>
    <m/>
    <x v="0"/>
    <m/>
    <m/>
    <x v="0"/>
    <x v="0"/>
    <m/>
    <x v="0"/>
    <x v="0"/>
  </r>
  <r>
    <n v="1273"/>
    <s v="1273 | HR"/>
    <x v="12"/>
    <x v="4"/>
    <x v="18"/>
    <x v="4"/>
    <s v="IT-Senior Manager"/>
    <x v="3"/>
    <d v="2022-05-29T02:35:25"/>
    <x v="606"/>
    <x v="103"/>
    <n v="7"/>
    <d v="2022-07-04T02:35:25"/>
    <s v="Yes"/>
    <d v="2022-06-10T02:35:25"/>
    <x v="0"/>
    <x v="4"/>
    <m/>
    <m/>
    <m/>
    <m/>
    <m/>
    <m/>
    <x v="0"/>
    <m/>
    <m/>
    <m/>
    <m/>
    <s v="Company"/>
    <m/>
    <s v="C2044"/>
    <s v="Candidate_1044"/>
    <s v="05-28-2022"/>
    <x v="0"/>
    <s v="Referral"/>
    <n v="3"/>
    <m/>
    <x v="0"/>
    <m/>
    <m/>
    <x v="0"/>
    <x v="0"/>
    <m/>
    <x v="1"/>
    <x v="0"/>
  </r>
  <r>
    <n v="1220"/>
    <s v="1220 | HR"/>
    <x v="13"/>
    <x v="4"/>
    <x v="18"/>
    <x v="4"/>
    <s v="IT-Senior Manager"/>
    <x v="3"/>
    <d v="2023-07-25T00:06:13"/>
    <x v="607"/>
    <x v="4"/>
    <n v="-45132.004317129627"/>
    <d v="2023-08-29T00:06:13"/>
    <s v="Yes"/>
    <d v="2023-08-18T00:06:13"/>
    <x v="0"/>
    <x v="4"/>
    <m/>
    <m/>
    <m/>
    <m/>
    <m/>
    <m/>
    <x v="0"/>
    <m/>
    <m/>
    <m/>
    <m/>
    <s v="Company"/>
    <m/>
    <s v="C2045"/>
    <s v="Candidate_1045"/>
    <s v="Jul 31 2023"/>
    <x v="1"/>
    <s v="Linkedin"/>
    <n v="6"/>
    <m/>
    <x v="0"/>
    <m/>
    <m/>
    <x v="0"/>
    <x v="0"/>
    <m/>
    <x v="0"/>
    <x v="0"/>
  </r>
  <r>
    <n v="1165"/>
    <s v="1165 | HR"/>
    <x v="13"/>
    <x v="4"/>
    <x v="18"/>
    <x v="4"/>
    <s v="IT-Senior Manager"/>
    <x v="3"/>
    <d v="2023-02-09T20:47:13"/>
    <x v="608"/>
    <x v="194"/>
    <n v="7"/>
    <d v="2023-03-07T20:47:13"/>
    <s v="Yes"/>
    <d v="2023-02-20T20:47:13"/>
    <x v="0"/>
    <x v="4"/>
    <m/>
    <m/>
    <m/>
    <m/>
    <m/>
    <m/>
    <x v="0"/>
    <m/>
    <m/>
    <m/>
    <m/>
    <s v="Candidate"/>
    <m/>
    <s v="C2046"/>
    <s v="Candidate_1046"/>
    <s v="02-07-2023"/>
    <x v="0"/>
    <s v="Referral"/>
    <n v="3"/>
    <m/>
    <x v="0"/>
    <m/>
    <m/>
    <x v="0"/>
    <x v="0"/>
    <m/>
    <x v="1"/>
    <x v="0"/>
  </r>
  <r>
    <n v="1089"/>
    <s v="1089 | HR"/>
    <x v="13"/>
    <x v="4"/>
    <x v="18"/>
    <x v="4"/>
    <s v="IT-Senior Manager"/>
    <x v="3"/>
    <d v="2022-11-27T23:25:45"/>
    <x v="338"/>
    <x v="107"/>
    <n v="7"/>
    <d v="2022-12-11T23:25:45"/>
    <s v="Yes"/>
    <d v="2022-12-22T23:25:45"/>
    <x v="0"/>
    <x v="4"/>
    <m/>
    <m/>
    <m/>
    <m/>
    <d v="2022-12-25T23:25:45"/>
    <m/>
    <x v="0"/>
    <m/>
    <m/>
    <m/>
    <m/>
    <s v="Candidate"/>
    <m/>
    <s v="C2047"/>
    <s v="Candidate_1047"/>
    <s v="Dec 10 2022"/>
    <x v="1"/>
    <s v="Linkedin"/>
    <n v="3"/>
    <m/>
    <x v="0"/>
    <m/>
    <m/>
    <x v="0"/>
    <x v="0"/>
    <m/>
    <x v="1"/>
    <x v="0"/>
  </r>
  <r>
    <n v="1050"/>
    <s v="1050 | HR"/>
    <x v="12"/>
    <x v="4"/>
    <x v="18"/>
    <x v="4"/>
    <s v="IT-Senior Manager"/>
    <x v="3"/>
    <d v="2022-11-21T23:03:14"/>
    <x v="609"/>
    <x v="108"/>
    <n v="5"/>
    <d v="2022-12-06T23:03:14"/>
    <s v="Yes"/>
    <d v="2022-12-05T23:03:14"/>
    <x v="0"/>
    <x v="2"/>
    <m/>
    <m/>
    <m/>
    <m/>
    <d v="2022-12-09T23:03:14"/>
    <m/>
    <x v="0"/>
    <m/>
    <m/>
    <m/>
    <m/>
    <s v="Company"/>
    <m/>
    <s v="C2048"/>
    <s v="Candidate_1048"/>
    <s v="Nov 23 2022"/>
    <x v="0"/>
    <s v="Referral"/>
    <n v="6"/>
    <m/>
    <x v="0"/>
    <m/>
    <m/>
    <x v="0"/>
    <x v="0"/>
    <m/>
    <x v="1"/>
    <x v="0"/>
  </r>
  <r>
    <n v="1029"/>
    <s v="1029 | HR"/>
    <x v="14"/>
    <x v="4"/>
    <x v="18"/>
    <x v="4"/>
    <s v="IT-Senior Manager"/>
    <x v="3"/>
    <d v="2023-01-28T18:59:14"/>
    <x v="610"/>
    <x v="135"/>
    <n v="4"/>
    <d v="2023-02-20T18:59:14"/>
    <s v="Yes"/>
    <d v="2023-02-09T18:59:14"/>
    <x v="0"/>
    <x v="0"/>
    <m/>
    <m/>
    <m/>
    <m/>
    <d v="2023-02-11T18:59:14"/>
    <m/>
    <x v="0"/>
    <m/>
    <m/>
    <m/>
    <m/>
    <s v="Candidate"/>
    <m/>
    <s v="C2049"/>
    <s v="Candidate_1049"/>
    <s v="22/01/2023"/>
    <x v="0"/>
    <s v="Referral"/>
    <n v="3"/>
    <m/>
    <x v="0"/>
    <m/>
    <m/>
    <x v="0"/>
    <x v="0"/>
    <m/>
    <x v="1"/>
    <x v="0"/>
  </r>
  <r>
    <n v="2942"/>
    <s v="2942 | HR"/>
    <x v="13"/>
    <x v="4"/>
    <x v="19"/>
    <x v="15"/>
    <s v="IT-Quality Assurance"/>
    <x v="4"/>
    <d v="2022-06-15T11:38:00"/>
    <x v="611"/>
    <x v="195"/>
    <n v="11"/>
    <d v="2022-08-10T11:38:00"/>
    <s v="Yes"/>
    <d v="2022-06-27T11:38:00"/>
    <x v="0"/>
    <x v="0"/>
    <m/>
    <m/>
    <m/>
    <m/>
    <m/>
    <m/>
    <x v="0"/>
    <m/>
    <m/>
    <m/>
    <m/>
    <s v="Company"/>
    <m/>
    <s v="C2050"/>
    <s v="Candidate_1050"/>
    <s v="06-12-2022"/>
    <x v="1"/>
    <s v="Linkedin"/>
    <n v="6"/>
    <m/>
    <x v="0"/>
    <m/>
    <m/>
    <x v="0"/>
    <x v="0"/>
    <m/>
    <x v="1"/>
    <x v="0"/>
  </r>
  <r>
    <n v="2900"/>
    <s v="2900 | HR"/>
    <x v="14"/>
    <x v="4"/>
    <x v="19"/>
    <x v="15"/>
    <s v="IT-Quality Assurance"/>
    <x v="4"/>
    <d v="2023-02-05T16:21:51"/>
    <x v="612"/>
    <x v="196"/>
    <n v="9"/>
    <d v="2023-03-31T16:21:51"/>
    <s v="Yes"/>
    <d v="2023-02-16T16:21:51"/>
    <x v="0"/>
    <x v="2"/>
    <m/>
    <m/>
    <m/>
    <m/>
    <m/>
    <m/>
    <x v="0"/>
    <m/>
    <m/>
    <m/>
    <m/>
    <s v="Company"/>
    <m/>
    <s v="C2051"/>
    <s v="Candidate_1051"/>
    <s v="02-07-2023"/>
    <x v="0"/>
    <s v="Referral"/>
    <n v="6"/>
    <m/>
    <x v="0"/>
    <m/>
    <m/>
    <x v="0"/>
    <x v="0"/>
    <m/>
    <x v="1"/>
    <x v="0"/>
  </r>
  <r>
    <n v="2584"/>
    <s v="2584 | HR"/>
    <x v="13"/>
    <x v="4"/>
    <x v="19"/>
    <x v="15"/>
    <s v="IT-Quality Assurance"/>
    <x v="4"/>
    <d v="2022-08-12T00:55:27"/>
    <x v="613"/>
    <x v="190"/>
    <n v="6"/>
    <d v="2022-09-13T00:55:27"/>
    <s v="Yes"/>
    <d v="2022-08-25T00:55:27"/>
    <x v="0"/>
    <x v="4"/>
    <m/>
    <m/>
    <m/>
    <m/>
    <m/>
    <m/>
    <x v="0"/>
    <m/>
    <m/>
    <m/>
    <m/>
    <s v="Candidate"/>
    <m/>
    <s v="C2052"/>
    <s v="Candidate_1052"/>
    <s v="08-14-2022"/>
    <x v="0"/>
    <s v="Referral"/>
    <n v="6"/>
    <m/>
    <x v="0"/>
    <m/>
    <m/>
    <x v="0"/>
    <x v="0"/>
    <m/>
    <x v="1"/>
    <x v="0"/>
  </r>
  <r>
    <n v="2582"/>
    <s v="2582 | HR"/>
    <x v="13"/>
    <x v="4"/>
    <x v="19"/>
    <x v="15"/>
    <s v="IT-Quality Assurance"/>
    <x v="4"/>
    <d v="2022-08-13T00:55:27"/>
    <x v="614"/>
    <x v="190"/>
    <n v="5"/>
    <d v="2022-08-23T00:55:27"/>
    <s v="Yes"/>
    <d v="2022-09-02T00:55:27"/>
    <x v="1"/>
    <x v="1"/>
    <d v="2022-09-08T00:55:27"/>
    <s v="Declined"/>
    <m/>
    <m/>
    <d v="2022-09-04T00:55:27"/>
    <m/>
    <x v="0"/>
    <m/>
    <m/>
    <m/>
    <m/>
    <m/>
    <m/>
    <s v="C2053"/>
    <s v="Candidate_1053"/>
    <s v="17/08/2022"/>
    <x v="1"/>
    <s v="Linkedin"/>
    <n v="3"/>
    <m/>
    <x v="0"/>
    <m/>
    <m/>
    <x v="0"/>
    <x v="0"/>
    <m/>
    <x v="1"/>
    <x v="0"/>
  </r>
  <r>
    <n v="2415"/>
    <s v="2415 | HR"/>
    <x v="12"/>
    <x v="4"/>
    <x v="19"/>
    <x v="15"/>
    <s v="IT-Quality Assurance"/>
    <x v="4"/>
    <m/>
    <x v="615"/>
    <x v="131"/>
    <n v="45015.608229166668"/>
    <d v="2023-04-18T14:35:51"/>
    <s v="Yes"/>
    <d v="2023-04-11T14:35:51"/>
    <x v="1"/>
    <x v="1"/>
    <d v="2023-04-15T14:35:51"/>
    <s v="Declined"/>
    <m/>
    <m/>
    <d v="2023-04-12T14:35:51"/>
    <m/>
    <x v="0"/>
    <m/>
    <m/>
    <m/>
    <m/>
    <m/>
    <m/>
    <s v="C2054"/>
    <s v="Candidate_1054"/>
    <s v="Mar 29 2023"/>
    <x v="2"/>
    <s v="Job Board"/>
    <n v="3"/>
    <m/>
    <x v="0"/>
    <m/>
    <m/>
    <x v="0"/>
    <x v="0"/>
    <m/>
    <x v="0"/>
    <x v="0"/>
  </r>
  <r>
    <n v="2412"/>
    <s v="2412 | HR"/>
    <x v="13"/>
    <x v="4"/>
    <x v="19"/>
    <x v="15"/>
    <s v="IT-Quality Assurance"/>
    <x v="4"/>
    <d v="2023-03-25T14:35:51"/>
    <x v="386"/>
    <x v="131"/>
    <n v="5"/>
    <d v="2023-04-24T14:35:51"/>
    <s v="Yes"/>
    <d v="2023-04-03T14:35:51"/>
    <x v="1"/>
    <x v="1"/>
    <d v="2023-04-11T14:35:51"/>
    <s v="Declined"/>
    <m/>
    <m/>
    <d v="2023-04-07T14:35:51"/>
    <m/>
    <x v="0"/>
    <m/>
    <m/>
    <m/>
    <m/>
    <m/>
    <m/>
    <s v="C2055"/>
    <s v="Candidate_1055"/>
    <s v="03-23-2023"/>
    <x v="2"/>
    <s v="Job Board"/>
    <n v="3"/>
    <m/>
    <x v="0"/>
    <m/>
    <m/>
    <x v="0"/>
    <x v="0"/>
    <m/>
    <x v="1"/>
    <x v="0"/>
  </r>
  <r>
    <n v="2374"/>
    <s v="2374 | HR"/>
    <x v="12"/>
    <x v="4"/>
    <x v="19"/>
    <x v="15"/>
    <s v="IT-Quality Assurance"/>
    <x v="4"/>
    <m/>
    <x v="616"/>
    <x v="191"/>
    <n v="45036.917395833327"/>
    <d v="2023-04-28T22:01:03"/>
    <s v="Yes"/>
    <d v="2023-05-04T22:01:03"/>
    <x v="0"/>
    <x v="2"/>
    <m/>
    <m/>
    <m/>
    <m/>
    <m/>
    <m/>
    <x v="0"/>
    <m/>
    <m/>
    <m/>
    <m/>
    <s v="Company"/>
    <m/>
    <s v="C2056"/>
    <s v="Candidate_1056"/>
    <s v="Apr 29 2023"/>
    <x v="1"/>
    <s v="Linkedin"/>
    <n v="6"/>
    <m/>
    <x v="0"/>
    <m/>
    <m/>
    <x v="0"/>
    <x v="0"/>
    <m/>
    <x v="0"/>
    <x v="0"/>
  </r>
  <r>
    <n v="2339"/>
    <s v="2339 | HR"/>
    <x v="12"/>
    <x v="4"/>
    <x v="19"/>
    <x v="15"/>
    <s v="IT-Quality Assurance"/>
    <x v="4"/>
    <d v="2022-05-11T09:15:53"/>
    <x v="387"/>
    <x v="93"/>
    <n v="8"/>
    <d v="2022-05-30T09:15:53"/>
    <s v="Yes"/>
    <d v="2022-05-21T09:15:53"/>
    <x v="0"/>
    <x v="2"/>
    <m/>
    <m/>
    <m/>
    <m/>
    <d v="2022-05-22T09:15:53"/>
    <m/>
    <x v="0"/>
    <m/>
    <m/>
    <m/>
    <m/>
    <s v="Company"/>
    <m/>
    <s v="C2057"/>
    <s v="Candidate_1057"/>
    <s v="16/05/2022"/>
    <x v="0"/>
    <s v="Referral"/>
    <n v="3"/>
    <m/>
    <x v="0"/>
    <m/>
    <m/>
    <x v="0"/>
    <x v="0"/>
    <m/>
    <x v="1"/>
    <x v="0"/>
  </r>
  <r>
    <n v="2337"/>
    <s v="2337 | HR"/>
    <x v="13"/>
    <x v="4"/>
    <x v="19"/>
    <x v="15"/>
    <s v="IT-Quality Assurance"/>
    <x v="4"/>
    <d v="2022-05-15T09:15:53"/>
    <x v="325"/>
    <x v="93"/>
    <n v="4"/>
    <d v="2022-06-02T09:15:53"/>
    <s v="Yes"/>
    <d v="2022-05-28T09:15:53"/>
    <x v="1"/>
    <x v="1"/>
    <d v="2022-06-04T09:15:53"/>
    <s v="Declined"/>
    <m/>
    <m/>
    <d v="2022-06-01T09:15:53"/>
    <m/>
    <x v="0"/>
    <m/>
    <m/>
    <m/>
    <m/>
    <m/>
    <m/>
    <s v="C2058"/>
    <s v="Candidate_1058"/>
    <s v="May 16 2022"/>
    <x v="1"/>
    <s v="Linkedin"/>
    <n v="3"/>
    <m/>
    <x v="0"/>
    <m/>
    <m/>
    <x v="0"/>
    <x v="0"/>
    <m/>
    <x v="1"/>
    <x v="0"/>
  </r>
  <r>
    <n v="2256"/>
    <s v="2256 | HR"/>
    <x v="14"/>
    <x v="4"/>
    <x v="19"/>
    <x v="15"/>
    <s v="IT-Quality Assurance"/>
    <x v="4"/>
    <m/>
    <x v="617"/>
    <x v="94"/>
    <n v="44787.68608796296"/>
    <d v="2022-09-05T16:27:58"/>
    <s v="Yes"/>
    <d v="2022-08-17T16:27:58"/>
    <x v="1"/>
    <x v="1"/>
    <d v="2022-08-22T16:27:58"/>
    <s v="Declined"/>
    <m/>
    <m/>
    <d v="2022-08-20T16:27:58"/>
    <m/>
    <x v="0"/>
    <m/>
    <m/>
    <m/>
    <m/>
    <m/>
    <m/>
    <s v="C2059"/>
    <s v="Candidate_1059"/>
    <s v="06/08/2022"/>
    <x v="0"/>
    <s v="Referral"/>
    <n v="3"/>
    <m/>
    <x v="0"/>
    <m/>
    <m/>
    <x v="0"/>
    <x v="0"/>
    <m/>
    <x v="0"/>
    <x v="0"/>
  </r>
  <r>
    <n v="2252"/>
    <s v="2252 | HR"/>
    <x v="13"/>
    <x v="4"/>
    <x v="19"/>
    <x v="15"/>
    <s v="IT-Quality Assurance"/>
    <x v="4"/>
    <d v="2022-08-08T16:27:58"/>
    <x v="388"/>
    <x v="94"/>
    <n v="6"/>
    <d v="2022-08-24T16:27:58"/>
    <s v="Yes"/>
    <d v="2022-08-25T16:27:58"/>
    <x v="3"/>
    <x v="1"/>
    <d v="2022-08-29T16:27:58"/>
    <s v="Accepted"/>
    <d v="2022-08-26T16:27:58"/>
    <d v="2022-08-29T16:27:58"/>
    <d v="2022-08-28T16:27:58"/>
    <d v="2022-09-05T16:27:58"/>
    <x v="1"/>
    <d v="2022-09-08T16:27:58"/>
    <d v="2022-09-09T16:27:58"/>
    <d v="2022-09-11T16:27:58"/>
    <m/>
    <m/>
    <d v="2022-09-29T16:27:58"/>
    <s v="C2060"/>
    <s v="Candidate_1060"/>
    <s v="08-18-2022"/>
    <x v="2"/>
    <s v="Job Board"/>
    <n v="6"/>
    <m/>
    <x v="0"/>
    <m/>
    <m/>
    <x v="0"/>
    <x v="0"/>
    <m/>
    <x v="120"/>
    <x v="0"/>
  </r>
  <r>
    <n v="2251"/>
    <s v="2251 | HR"/>
    <x v="13"/>
    <x v="4"/>
    <x v="19"/>
    <x v="15"/>
    <s v="IT-Quality Assurance"/>
    <x v="4"/>
    <d v="2022-08-11T16:27:58"/>
    <x v="618"/>
    <x v="94"/>
    <n v="3"/>
    <d v="2022-09-11T16:27:58"/>
    <s v="Yes"/>
    <d v="2022-08-20T16:27:58"/>
    <x v="0"/>
    <x v="2"/>
    <m/>
    <m/>
    <m/>
    <m/>
    <m/>
    <m/>
    <x v="0"/>
    <m/>
    <m/>
    <m/>
    <m/>
    <s v="Candidate"/>
    <m/>
    <s v="C2061"/>
    <s v="Candidate_1061"/>
    <s v="Aug 15 2022"/>
    <x v="0"/>
    <s v="Referral"/>
    <n v="6"/>
    <m/>
    <x v="0"/>
    <m/>
    <m/>
    <x v="0"/>
    <x v="0"/>
    <m/>
    <x v="1"/>
    <x v="0"/>
  </r>
  <r>
    <n v="1954"/>
    <s v="1954 | HR"/>
    <x v="13"/>
    <x v="4"/>
    <x v="19"/>
    <x v="15"/>
    <s v="IT-Quality Assurance"/>
    <x v="4"/>
    <d v="2022-09-14T01:01:03"/>
    <x v="602"/>
    <x v="192"/>
    <n v="7"/>
    <d v="2022-10-17T01:01:03"/>
    <s v="Yes"/>
    <d v="2022-10-04T01:01:03"/>
    <x v="1"/>
    <x v="1"/>
    <d v="2022-10-10T01:01:03"/>
    <s v="Declined"/>
    <m/>
    <m/>
    <d v="2022-10-07T01:01:03"/>
    <m/>
    <x v="0"/>
    <m/>
    <m/>
    <m/>
    <m/>
    <m/>
    <m/>
    <s v="C2062"/>
    <s v="Candidate_1062"/>
    <s v="20/09/2022"/>
    <x v="1"/>
    <s v="Linkedin"/>
    <n v="6"/>
    <m/>
    <x v="0"/>
    <m/>
    <m/>
    <x v="0"/>
    <x v="0"/>
    <m/>
    <x v="1"/>
    <x v="0"/>
  </r>
  <r>
    <n v="1951"/>
    <s v="1951 | HR"/>
    <x v="14"/>
    <x v="4"/>
    <x v="19"/>
    <x v="15"/>
    <s v="IT-Quality Assurance"/>
    <x v="4"/>
    <d v="2022-09-17T01:01:03"/>
    <x v="619"/>
    <x v="192"/>
    <n v="4"/>
    <d v="2022-10-05T01:01:03"/>
    <s v="Yes"/>
    <d v="2022-10-01T01:01:03"/>
    <x v="0"/>
    <x v="0"/>
    <m/>
    <m/>
    <m/>
    <m/>
    <m/>
    <m/>
    <x v="0"/>
    <m/>
    <m/>
    <m/>
    <m/>
    <s v="Company"/>
    <m/>
    <s v="C2063"/>
    <s v="Candidate_1063"/>
    <s v="09-22-2022"/>
    <x v="0"/>
    <s v="Referral"/>
    <n v="3"/>
    <m/>
    <x v="0"/>
    <m/>
    <m/>
    <x v="0"/>
    <x v="0"/>
    <m/>
    <x v="1"/>
    <x v="0"/>
  </r>
  <r>
    <n v="1915"/>
    <s v="1915 | HR"/>
    <x v="12"/>
    <x v="4"/>
    <x v="19"/>
    <x v="15"/>
    <s v="IT-Quality Assurance"/>
    <x v="4"/>
    <m/>
    <x v="620"/>
    <x v="193"/>
    <n v="44689.892118055563"/>
    <d v="2022-05-27T21:24:39"/>
    <s v="Yes"/>
    <d v="2022-05-16T21:24:39"/>
    <x v="0"/>
    <x v="0"/>
    <m/>
    <m/>
    <m/>
    <m/>
    <d v="2022-05-19T21:24:39"/>
    <m/>
    <x v="0"/>
    <m/>
    <m/>
    <m/>
    <m/>
    <s v="Company"/>
    <m/>
    <s v="C2064"/>
    <s v="Candidate_1064"/>
    <s v="May 05 2022"/>
    <x v="0"/>
    <s v="Referral"/>
    <n v="3"/>
    <m/>
    <x v="0"/>
    <m/>
    <m/>
    <x v="0"/>
    <x v="0"/>
    <m/>
    <x v="0"/>
    <x v="0"/>
  </r>
  <r>
    <n v="1914"/>
    <s v="1914 | HR"/>
    <x v="13"/>
    <x v="4"/>
    <x v="19"/>
    <x v="15"/>
    <s v="IT-Quality Assurance"/>
    <x v="4"/>
    <d v="2022-05-02T21:24:39"/>
    <x v="621"/>
    <x v="193"/>
    <n v="6"/>
    <d v="2022-05-31T21:24:39"/>
    <s v="Yes"/>
    <d v="2022-05-10T21:24:39"/>
    <x v="4"/>
    <x v="1"/>
    <d v="2022-05-15T21:24:39"/>
    <s v="Pending"/>
    <m/>
    <m/>
    <d v="2022-05-14T21:24:39"/>
    <m/>
    <x v="0"/>
    <m/>
    <m/>
    <m/>
    <m/>
    <m/>
    <m/>
    <s v="C2065"/>
    <s v="Candidate_1065"/>
    <s v="04-29-2022"/>
    <x v="2"/>
    <s v="Job Board"/>
    <n v="3"/>
    <m/>
    <x v="0"/>
    <m/>
    <m/>
    <x v="0"/>
    <x v="0"/>
    <m/>
    <x v="1"/>
    <x v="0"/>
  </r>
  <r>
    <n v="1909"/>
    <s v="1909 | HR"/>
    <x v="13"/>
    <x v="4"/>
    <x v="19"/>
    <x v="15"/>
    <s v="IT-Quality Assurance"/>
    <x v="4"/>
    <d v="2023-03-09T16:28:31"/>
    <x v="622"/>
    <x v="96"/>
    <n v="7"/>
    <d v="2023-04-06T16:28:31"/>
    <s v="Yes"/>
    <d v="2023-03-28T16:28:31"/>
    <x v="0"/>
    <x v="5"/>
    <m/>
    <m/>
    <m/>
    <m/>
    <d v="2023-03-30T16:28:31"/>
    <m/>
    <x v="0"/>
    <m/>
    <m/>
    <m/>
    <m/>
    <s v="Candidate"/>
    <m/>
    <s v="C2066"/>
    <s v="Candidate_1066"/>
    <s v="03-18-2023"/>
    <x v="0"/>
    <s v="Referral"/>
    <n v="6"/>
    <m/>
    <x v="0"/>
    <m/>
    <m/>
    <x v="0"/>
    <x v="0"/>
    <m/>
    <x v="1"/>
    <x v="0"/>
  </r>
  <r>
    <n v="1905"/>
    <s v="1905 | HR"/>
    <x v="13"/>
    <x v="4"/>
    <x v="19"/>
    <x v="15"/>
    <s v="IT-Quality Assurance"/>
    <x v="4"/>
    <d v="2023-03-08T16:28:31"/>
    <x v="327"/>
    <x v="96"/>
    <n v="8"/>
    <d v="2023-04-06T16:28:31"/>
    <s v="Yes"/>
    <d v="2023-04-01T16:28:31"/>
    <x v="1"/>
    <x v="1"/>
    <d v="2023-04-06T16:28:31"/>
    <s v="Declined"/>
    <m/>
    <m/>
    <d v="2023-04-04T16:28:31"/>
    <m/>
    <x v="0"/>
    <m/>
    <m/>
    <m/>
    <m/>
    <m/>
    <m/>
    <s v="C2067"/>
    <s v="Candidate_1067"/>
    <s v="03-21-2023"/>
    <x v="1"/>
    <s v="Linkedin"/>
    <n v="3"/>
    <m/>
    <x v="0"/>
    <m/>
    <m/>
    <x v="0"/>
    <x v="0"/>
    <m/>
    <x v="1"/>
    <x v="0"/>
  </r>
  <r>
    <n v="1777"/>
    <s v="1777 | HR"/>
    <x v="12"/>
    <x v="4"/>
    <x v="19"/>
    <x v="15"/>
    <s v="IT-Quality Assurance"/>
    <x v="4"/>
    <d v="2022-05-28T19:49:14"/>
    <x v="623"/>
    <x v="98"/>
    <n v="9"/>
    <d v="2022-06-13T19:49:14"/>
    <s v="Yes"/>
    <d v="2022-06-21T19:49:14"/>
    <x v="0"/>
    <x v="0"/>
    <m/>
    <m/>
    <m/>
    <m/>
    <m/>
    <m/>
    <x v="0"/>
    <m/>
    <m/>
    <m/>
    <m/>
    <s v="Candidate"/>
    <m/>
    <s v="C2068"/>
    <s v="Candidate_1068"/>
    <s v="11/06/2022"/>
    <x v="2"/>
    <s v="Job Board"/>
    <n v="3"/>
    <m/>
    <x v="0"/>
    <m/>
    <m/>
    <x v="0"/>
    <x v="0"/>
    <m/>
    <x v="1"/>
    <x v="0"/>
  </r>
  <r>
    <n v="1649"/>
    <s v="1649 | HR"/>
    <x v="14"/>
    <x v="4"/>
    <x v="19"/>
    <x v="15"/>
    <s v="IT-Quality Assurance"/>
    <x v="4"/>
    <d v="2022-12-17T15:52:13"/>
    <x v="330"/>
    <x v="99"/>
    <n v="8"/>
    <d v="2023-01-18T15:52:13"/>
    <s v="Yes"/>
    <d v="2023-01-08T15:52:13"/>
    <x v="1"/>
    <x v="1"/>
    <d v="2023-01-13T15:52:13"/>
    <s v="Declined"/>
    <m/>
    <m/>
    <d v="2023-01-12T15:52:13"/>
    <m/>
    <x v="0"/>
    <m/>
    <m/>
    <m/>
    <m/>
    <m/>
    <m/>
    <s v="C2069"/>
    <s v="Candidate_1069"/>
    <s v="12-20-2022"/>
    <x v="2"/>
    <s v="Job Board"/>
    <n v="6"/>
    <m/>
    <x v="0"/>
    <m/>
    <m/>
    <x v="0"/>
    <x v="0"/>
    <m/>
    <x v="1"/>
    <x v="0"/>
  </r>
  <r>
    <n v="1591"/>
    <s v="1591 | HR"/>
    <x v="12"/>
    <x v="4"/>
    <x v="19"/>
    <x v="0"/>
    <s v="IT-Analyst"/>
    <x v="4"/>
    <d v="2023-03-08T03:56:27"/>
    <x v="624"/>
    <x v="197"/>
    <n v="7"/>
    <d v="2023-04-02T03:56:27"/>
    <s v="Yes"/>
    <d v="2023-03-28T03:56:27"/>
    <x v="0"/>
    <x v="3"/>
    <m/>
    <m/>
    <m/>
    <m/>
    <d v="2023-03-30T03:56:27"/>
    <m/>
    <x v="0"/>
    <m/>
    <m/>
    <m/>
    <m/>
    <s v="Company"/>
    <m/>
    <s v="C2070"/>
    <s v="Candidate_1070"/>
    <s v="Mar 15 2023"/>
    <x v="2"/>
    <s v="Job Board"/>
    <n v="6"/>
    <m/>
    <x v="0"/>
    <m/>
    <m/>
    <x v="0"/>
    <x v="0"/>
    <m/>
    <x v="1"/>
    <x v="0"/>
  </r>
  <r>
    <n v="1531"/>
    <s v="1531 | HR"/>
    <x v="13"/>
    <x v="4"/>
    <x v="19"/>
    <x v="0"/>
    <s v="IT-Analyst"/>
    <x v="4"/>
    <d v="2023-05-11T13:06:51"/>
    <x v="625"/>
    <x v="119"/>
    <n v="3"/>
    <d v="2023-05-21T13:06:51"/>
    <s v="Yes"/>
    <d v="2023-05-26T13:06:51"/>
    <x v="0"/>
    <x v="4"/>
    <m/>
    <m/>
    <m/>
    <m/>
    <d v="2023-05-29T13:06:51"/>
    <m/>
    <x v="0"/>
    <m/>
    <m/>
    <m/>
    <m/>
    <s v="Candidate"/>
    <m/>
    <s v="C2071"/>
    <s v="Candidate_1071"/>
    <s v="11/05/2023"/>
    <x v="2"/>
    <s v="Job Board"/>
    <n v="3"/>
    <m/>
    <x v="0"/>
    <m/>
    <m/>
    <x v="0"/>
    <x v="0"/>
    <m/>
    <x v="1"/>
    <x v="0"/>
  </r>
  <r>
    <n v="1510"/>
    <s v="1510 | HR"/>
    <x v="13"/>
    <x v="4"/>
    <x v="19"/>
    <x v="0"/>
    <s v="IT-Analyst"/>
    <x v="4"/>
    <d v="2022-07-17T08:18:33"/>
    <x v="332"/>
    <x v="101"/>
    <n v="3"/>
    <d v="2022-08-15T08:18:33"/>
    <s v="Yes"/>
    <d v="2022-08-05T08:18:33"/>
    <x v="3"/>
    <x v="1"/>
    <d v="2022-08-09T08:18:33"/>
    <s v="Accepted"/>
    <d v="2022-08-06T08:18:33"/>
    <d v="2022-08-10T08:18:33"/>
    <d v="2022-08-07T08:18:33"/>
    <d v="2022-08-15T08:18:33"/>
    <x v="1"/>
    <d v="2022-08-16T08:18:33"/>
    <d v="2022-08-18T08:18:33"/>
    <d v="2022-08-20T08:18:33"/>
    <m/>
    <m/>
    <d v="2022-08-31T08:18:33"/>
    <s v="C2072"/>
    <s v="Candidate_1072"/>
    <s v="Jul 22 2022"/>
    <x v="1"/>
    <s v="Linkedin"/>
    <n v="6"/>
    <m/>
    <x v="0"/>
    <m/>
    <m/>
    <x v="0"/>
    <x v="0"/>
    <m/>
    <x v="121"/>
    <x v="0"/>
  </r>
  <r>
    <n v="1491"/>
    <s v="1491 | HR"/>
    <x v="13"/>
    <x v="4"/>
    <x v="19"/>
    <x v="0"/>
    <s v="IT-Analyst"/>
    <x v="4"/>
    <m/>
    <x v="0"/>
    <x v="198"/>
    <n v="44701.569456018522"/>
    <d v="2022-06-10T13:40:01"/>
    <s v="Yes"/>
    <d v="2022-05-29T13:40:01"/>
    <x v="1"/>
    <x v="1"/>
    <d v="2022-06-01T13:40:01"/>
    <s v="Declined"/>
    <m/>
    <m/>
    <d v="2022-05-30T13:40:01"/>
    <m/>
    <x v="0"/>
    <m/>
    <m/>
    <m/>
    <m/>
    <m/>
    <m/>
    <s v="C2073"/>
    <s v="Candidate_1073"/>
    <s v="05-14-2022"/>
    <x v="0"/>
    <s v="Referral"/>
    <n v="6"/>
    <m/>
    <x v="0"/>
    <m/>
    <m/>
    <x v="0"/>
    <x v="0"/>
    <m/>
    <x v="0"/>
    <x v="0"/>
  </r>
  <r>
    <n v="1460"/>
    <s v="1460 | HR"/>
    <x v="14"/>
    <x v="4"/>
    <x v="19"/>
    <x v="0"/>
    <s v="IT-Analyst"/>
    <x v="4"/>
    <d v="2023-04-06T13:44:16"/>
    <x v="626"/>
    <x v="120"/>
    <n v="7"/>
    <d v="2023-04-20T13:44:16"/>
    <s v="Yes"/>
    <d v="2023-04-24T13:44:16"/>
    <x v="1"/>
    <x v="1"/>
    <d v="2023-04-29T13:44:16"/>
    <s v="Declined"/>
    <m/>
    <m/>
    <d v="2023-04-26T13:44:16"/>
    <m/>
    <x v="0"/>
    <m/>
    <m/>
    <m/>
    <m/>
    <m/>
    <m/>
    <s v="C2074"/>
    <s v="Candidate_1074"/>
    <s v="11/04/2023"/>
    <x v="0"/>
    <s v="Referral"/>
    <n v="6"/>
    <m/>
    <x v="0"/>
    <m/>
    <m/>
    <x v="0"/>
    <x v="0"/>
    <m/>
    <x v="1"/>
    <x v="0"/>
  </r>
  <r>
    <n v="1456"/>
    <s v="1456 | HR"/>
    <x v="12"/>
    <x v="4"/>
    <x v="19"/>
    <x v="0"/>
    <s v="IT-Analyst"/>
    <x v="4"/>
    <d v="2023-04-04T13:44:16"/>
    <x v="626"/>
    <x v="120"/>
    <n v="9"/>
    <d v="2023-04-29T13:44:16"/>
    <s v="Yes"/>
    <d v="2023-04-24T13:44:16"/>
    <x v="3"/>
    <x v="1"/>
    <d v="2023-05-02T13:44:16"/>
    <s v="Accepted"/>
    <d v="2023-04-25T13:44:16"/>
    <d v="2023-04-28T13:44:16"/>
    <d v="2023-04-28T13:44:16"/>
    <d v="2023-05-05T13:44:16"/>
    <x v="1"/>
    <d v="2023-05-08T13:44:16"/>
    <d v="2023-05-09T13:44:16"/>
    <d v="2023-05-11T13:44:16"/>
    <m/>
    <m/>
    <d v="2023-06-02T13:44:16"/>
    <s v="C2075"/>
    <s v="Candidate_1075"/>
    <s v="Apr 08 2023"/>
    <x v="2"/>
    <s v="Job Board"/>
    <n v="6"/>
    <m/>
    <x v="0"/>
    <m/>
    <m/>
    <x v="0"/>
    <x v="0"/>
    <m/>
    <x v="122"/>
    <x v="0"/>
  </r>
  <r>
    <n v="1429"/>
    <s v="1429 | HR"/>
    <x v="13"/>
    <x v="4"/>
    <x v="19"/>
    <x v="0"/>
    <s v="IT-Analyst"/>
    <x v="4"/>
    <d v="2022-04-10T02:42:56"/>
    <x v="627"/>
    <x v="4"/>
    <n v="-44661.11314814815"/>
    <d v="2022-05-01T02:42:56"/>
    <s v="Yes"/>
    <d v="2022-05-02T02:42:56"/>
    <x v="0"/>
    <x v="5"/>
    <m/>
    <m/>
    <m/>
    <m/>
    <d v="2022-05-03T02:42:56"/>
    <m/>
    <x v="0"/>
    <m/>
    <m/>
    <m/>
    <m/>
    <s v="Candidate"/>
    <m/>
    <s v="C2076"/>
    <s v="Candidate_1076"/>
    <s v="22/04/2022"/>
    <x v="0"/>
    <s v="Referral"/>
    <n v="6"/>
    <m/>
    <x v="0"/>
    <m/>
    <m/>
    <x v="0"/>
    <x v="0"/>
    <m/>
    <x v="0"/>
    <x v="0"/>
  </r>
  <r>
    <n v="1424"/>
    <s v="1424 | HR"/>
    <x v="14"/>
    <x v="4"/>
    <x v="19"/>
    <x v="0"/>
    <s v="IT-Analyst"/>
    <x v="4"/>
    <m/>
    <x v="628"/>
    <x v="102"/>
    <n v="44666.11314814815"/>
    <d v="2022-04-28T02:42:56"/>
    <s v="Yes"/>
    <d v="2022-04-26T02:42:56"/>
    <x v="0"/>
    <x v="4"/>
    <m/>
    <m/>
    <m/>
    <m/>
    <m/>
    <m/>
    <x v="0"/>
    <m/>
    <m/>
    <m/>
    <m/>
    <s v="Candidate"/>
    <m/>
    <s v="C2077"/>
    <s v="Candidate_1077"/>
    <s v="04-21-2022"/>
    <x v="0"/>
    <s v="Referral"/>
    <n v="3"/>
    <m/>
    <x v="0"/>
    <m/>
    <m/>
    <x v="0"/>
    <x v="0"/>
    <m/>
    <x v="0"/>
    <x v="0"/>
  </r>
  <r>
    <n v="1370"/>
    <s v="1370 | HR"/>
    <x v="13"/>
    <x v="4"/>
    <x v="19"/>
    <x v="0"/>
    <s v="IT-Analyst"/>
    <x v="4"/>
    <d v="2022-10-15T03:55:53"/>
    <x v="629"/>
    <x v="199"/>
    <n v="7"/>
    <d v="2022-11-21T03:55:53"/>
    <s v="Yes"/>
    <d v="2022-10-29T03:55:53"/>
    <x v="4"/>
    <x v="1"/>
    <d v="2022-11-06T03:55:53"/>
    <s v="Pending"/>
    <m/>
    <m/>
    <d v="2022-11-02T03:55:53"/>
    <m/>
    <x v="0"/>
    <m/>
    <m/>
    <m/>
    <m/>
    <m/>
    <m/>
    <s v="C2078"/>
    <s v="Candidate_1078"/>
    <s v="Oct 11 2022"/>
    <x v="1"/>
    <s v="Linkedin"/>
    <n v="6"/>
    <m/>
    <x v="0"/>
    <m/>
    <m/>
    <x v="0"/>
    <x v="0"/>
    <m/>
    <x v="1"/>
    <x v="0"/>
  </r>
  <r>
    <n v="1367"/>
    <s v="1367 | HR"/>
    <x v="12"/>
    <x v="4"/>
    <x v="19"/>
    <x v="0"/>
    <s v="IT-Analyst"/>
    <x v="4"/>
    <d v="2022-10-15T03:55:53"/>
    <x v="630"/>
    <x v="4"/>
    <n v="-44849.163807870369"/>
    <d v="2022-11-15T03:55:53"/>
    <s v="Yes"/>
    <d v="2022-11-01T03:55:53"/>
    <x v="0"/>
    <x v="3"/>
    <m/>
    <m/>
    <m/>
    <m/>
    <d v="2022-11-02T03:55:53"/>
    <m/>
    <x v="0"/>
    <m/>
    <m/>
    <m/>
    <m/>
    <s v="Candidate"/>
    <m/>
    <s v="C2079"/>
    <s v="Candidate_1079"/>
    <s v="Oct 25 2022"/>
    <x v="2"/>
    <s v="Job Board"/>
    <n v="6"/>
    <m/>
    <x v="0"/>
    <m/>
    <m/>
    <x v="0"/>
    <x v="0"/>
    <m/>
    <x v="0"/>
    <x v="0"/>
  </r>
  <r>
    <n v="1312"/>
    <s v="1312 | HR"/>
    <x v="14"/>
    <x v="4"/>
    <x v="19"/>
    <x v="0"/>
    <s v="IT-Analyst"/>
    <x v="4"/>
    <d v="2023-08-11T05:35:37"/>
    <x v="631"/>
    <x v="4"/>
    <n v="-45149.233067129629"/>
    <d v="2023-08-25T05:35:37"/>
    <s v="Yes"/>
    <d v="2023-09-01T05:35:37"/>
    <x v="0"/>
    <x v="3"/>
    <m/>
    <m/>
    <m/>
    <m/>
    <m/>
    <m/>
    <x v="0"/>
    <m/>
    <m/>
    <m/>
    <m/>
    <s v="Candidate"/>
    <m/>
    <s v="C2080"/>
    <s v="Candidate_1080"/>
    <s v="Aug 22 2023"/>
    <x v="1"/>
    <s v="Linkedin"/>
    <n v="3"/>
    <m/>
    <x v="0"/>
    <m/>
    <m/>
    <x v="0"/>
    <x v="0"/>
    <m/>
    <x v="0"/>
    <x v="0"/>
  </r>
  <r>
    <n v="1280"/>
    <s v="1280 | HR"/>
    <x v="13"/>
    <x v="4"/>
    <x v="19"/>
    <x v="0"/>
    <s v="IT-Analyst"/>
    <x v="4"/>
    <d v="2022-05-31T02:35:25"/>
    <x v="606"/>
    <x v="103"/>
    <n v="5"/>
    <d v="2022-06-28T02:35:25"/>
    <s v="Yes"/>
    <d v="2022-06-15T02:35:25"/>
    <x v="4"/>
    <x v="1"/>
    <d v="2022-06-18T02:35:25"/>
    <s v="Pending"/>
    <m/>
    <m/>
    <d v="2022-06-16T02:35:25"/>
    <m/>
    <x v="0"/>
    <m/>
    <m/>
    <m/>
    <m/>
    <m/>
    <m/>
    <s v="C2081"/>
    <s v="Candidate_1081"/>
    <s v="05-31-2022"/>
    <x v="0"/>
    <s v="Referral"/>
    <n v="3"/>
    <m/>
    <x v="0"/>
    <m/>
    <m/>
    <x v="0"/>
    <x v="0"/>
    <m/>
    <x v="1"/>
    <x v="0"/>
  </r>
  <r>
    <n v="1276"/>
    <s v="1276 | HR"/>
    <x v="14"/>
    <x v="4"/>
    <x v="19"/>
    <x v="0"/>
    <s v="IT-Analyst"/>
    <x v="4"/>
    <m/>
    <x v="632"/>
    <x v="103"/>
    <n v="44717.107928240737"/>
    <d v="2022-07-04T02:35:25"/>
    <s v="Yes"/>
    <d v="2022-06-16T02:35:25"/>
    <x v="0"/>
    <x v="4"/>
    <m/>
    <m/>
    <m/>
    <m/>
    <m/>
    <m/>
    <x v="0"/>
    <m/>
    <m/>
    <m/>
    <m/>
    <s v="Candidate"/>
    <m/>
    <s v="C2082"/>
    <s v="Candidate_1082"/>
    <s v="06-02-2022"/>
    <x v="1"/>
    <s v="Linkedin"/>
    <n v="3"/>
    <m/>
    <x v="0"/>
    <m/>
    <m/>
    <x v="0"/>
    <x v="0"/>
    <m/>
    <x v="0"/>
    <x v="0"/>
  </r>
  <r>
    <n v="1214"/>
    <s v="1214 | HR"/>
    <x v="12"/>
    <x v="4"/>
    <x v="19"/>
    <x v="0"/>
    <s v="IT-Analyst"/>
    <x v="4"/>
    <d v="2023-07-26T00:06:13"/>
    <x v="0"/>
    <x v="104"/>
    <n v="5"/>
    <d v="2023-08-25T00:06:13"/>
    <s v="Yes"/>
    <d v="2023-08-03T00:06:13"/>
    <x v="1"/>
    <x v="1"/>
    <d v="2023-08-10T00:06:13"/>
    <s v="Declined"/>
    <m/>
    <m/>
    <d v="2023-08-07T00:06:13"/>
    <m/>
    <x v="0"/>
    <m/>
    <m/>
    <m/>
    <m/>
    <m/>
    <m/>
    <s v="C2083"/>
    <s v="Candidate_1083"/>
    <s v="Jul 28 2023"/>
    <x v="1"/>
    <s v="Linkedin"/>
    <n v="6"/>
    <m/>
    <x v="0"/>
    <m/>
    <m/>
    <x v="0"/>
    <x v="0"/>
    <m/>
    <x v="0"/>
    <x v="0"/>
  </r>
  <r>
    <n v="1188"/>
    <s v="1188 | HR"/>
    <x v="13"/>
    <x v="4"/>
    <x v="19"/>
    <x v="0"/>
    <s v="IT-Analyst"/>
    <x v="4"/>
    <d v="2023-05-26T18:50:13"/>
    <x v="0"/>
    <x v="105"/>
    <n v="8"/>
    <d v="2023-06-13T18:50:13"/>
    <s v="Yes"/>
    <d v="2023-06-14T18:50:13"/>
    <x v="1"/>
    <x v="1"/>
    <d v="2023-06-19T18:50:13"/>
    <s v="Declined"/>
    <m/>
    <m/>
    <d v="2023-06-15T18:50:13"/>
    <m/>
    <x v="0"/>
    <m/>
    <m/>
    <m/>
    <m/>
    <m/>
    <m/>
    <s v="C2084"/>
    <s v="Candidate_1084"/>
    <s v="Jun 07 2023"/>
    <x v="0"/>
    <s v="Referral"/>
    <n v="6"/>
    <m/>
    <x v="0"/>
    <m/>
    <m/>
    <x v="0"/>
    <x v="0"/>
    <m/>
    <x v="0"/>
    <x v="0"/>
  </r>
  <r>
    <n v="1168"/>
    <s v="1168 | HR"/>
    <x v="13"/>
    <x v="4"/>
    <x v="19"/>
    <x v="0"/>
    <s v="IT-Analyst"/>
    <x v="4"/>
    <d v="2023-02-09T20:47:13"/>
    <x v="633"/>
    <x v="194"/>
    <n v="7"/>
    <d v="2023-03-09T20:47:13"/>
    <s v="Yes"/>
    <d v="2023-02-19T20:47:13"/>
    <x v="0"/>
    <x v="5"/>
    <m/>
    <m/>
    <m/>
    <m/>
    <d v="2023-02-22T20:47:13"/>
    <m/>
    <x v="0"/>
    <m/>
    <m/>
    <m/>
    <m/>
    <s v="Company"/>
    <m/>
    <s v="C2085"/>
    <s v="Candidate_1085"/>
    <s v="08/02/2023"/>
    <x v="0"/>
    <s v="Referral"/>
    <n v="3"/>
    <m/>
    <x v="0"/>
    <m/>
    <m/>
    <x v="0"/>
    <x v="0"/>
    <m/>
    <x v="1"/>
    <x v="0"/>
  </r>
  <r>
    <n v="1163"/>
    <s v="1163 | HR"/>
    <x v="13"/>
    <x v="4"/>
    <x v="19"/>
    <x v="0"/>
    <s v="IT-Analyst"/>
    <x v="4"/>
    <d v="2023-02-09T20:47:13"/>
    <x v="634"/>
    <x v="194"/>
    <n v="7"/>
    <d v="2023-03-11T20:47:13"/>
    <s v="Yes"/>
    <d v="2023-02-19T20:47:13"/>
    <x v="0"/>
    <x v="4"/>
    <m/>
    <m/>
    <m/>
    <m/>
    <m/>
    <m/>
    <x v="0"/>
    <m/>
    <m/>
    <m/>
    <m/>
    <s v="Candidate"/>
    <m/>
    <s v="C2086"/>
    <s v="Candidate_1086"/>
    <s v="Feb 08 2023"/>
    <x v="2"/>
    <s v="Job Board"/>
    <n v="3"/>
    <m/>
    <x v="0"/>
    <m/>
    <m/>
    <x v="0"/>
    <x v="0"/>
    <m/>
    <x v="1"/>
    <x v="0"/>
  </r>
  <r>
    <n v="1135"/>
    <s v="1135 | HR"/>
    <x v="13"/>
    <x v="4"/>
    <x v="19"/>
    <x v="0"/>
    <s v="IT-Analyst"/>
    <x v="4"/>
    <d v="2022-03-15T19:06:16"/>
    <x v="635"/>
    <x v="134"/>
    <n v="4"/>
    <d v="2022-03-28T19:06:16"/>
    <s v="Yes"/>
    <d v="2022-03-31T19:06:16"/>
    <x v="1"/>
    <x v="1"/>
    <d v="2022-04-02T19:06:16"/>
    <s v="Declined"/>
    <m/>
    <m/>
    <d v="2022-04-01T19:06:16"/>
    <m/>
    <x v="0"/>
    <m/>
    <m/>
    <m/>
    <m/>
    <m/>
    <m/>
    <s v="C2087"/>
    <s v="Candidate_1087"/>
    <s v="03-25-2022"/>
    <x v="1"/>
    <s v="Linkedin"/>
    <n v="6"/>
    <m/>
    <x v="0"/>
    <m/>
    <m/>
    <x v="0"/>
    <x v="0"/>
    <m/>
    <x v="1"/>
    <x v="0"/>
  </r>
  <r>
    <n v="1128"/>
    <s v="1128 | HR"/>
    <x v="13"/>
    <x v="4"/>
    <x v="19"/>
    <x v="0"/>
    <s v="IT-Analyst"/>
    <x v="4"/>
    <m/>
    <x v="360"/>
    <x v="106"/>
    <n v="45102.561550925922"/>
    <d v="2023-07-09T13:28:38"/>
    <s v="Yes"/>
    <d v="2023-07-01T13:28:38"/>
    <x v="1"/>
    <x v="1"/>
    <d v="2023-07-03T13:28:38"/>
    <s v="Declined"/>
    <m/>
    <m/>
    <d v="2023-07-02T13:28:38"/>
    <m/>
    <x v="0"/>
    <m/>
    <m/>
    <m/>
    <m/>
    <m/>
    <m/>
    <s v="C2088"/>
    <s v="Candidate_1088"/>
    <s v="Jun 20 2023"/>
    <x v="1"/>
    <s v="Linkedin"/>
    <n v="6"/>
    <m/>
    <x v="0"/>
    <m/>
    <m/>
    <x v="0"/>
    <x v="0"/>
    <m/>
    <x v="0"/>
    <x v="0"/>
  </r>
  <r>
    <n v="1081"/>
    <s v="1081 | HR"/>
    <x v="13"/>
    <x v="4"/>
    <x v="19"/>
    <x v="0"/>
    <s v="IT-Analyst"/>
    <x v="4"/>
    <d v="2022-11-26T23:25:45"/>
    <x v="636"/>
    <x v="4"/>
    <n v="-44891.976215277777"/>
    <d v="2022-12-12T23:25:45"/>
    <s v="Yes"/>
    <d v="2022-12-12T23:25:45"/>
    <x v="0"/>
    <x v="3"/>
    <m/>
    <m/>
    <m/>
    <m/>
    <m/>
    <m/>
    <x v="0"/>
    <m/>
    <m/>
    <m/>
    <m/>
    <s v="Candidate"/>
    <m/>
    <s v="C2089"/>
    <s v="Candidate_1089"/>
    <s v="11-28-2022"/>
    <x v="1"/>
    <s v="Linkedin"/>
    <n v="6"/>
    <m/>
    <x v="0"/>
    <m/>
    <m/>
    <x v="0"/>
    <x v="0"/>
    <m/>
    <x v="0"/>
    <x v="0"/>
  </r>
  <r>
    <n v="1049"/>
    <s v="1049 | HR"/>
    <x v="14"/>
    <x v="4"/>
    <x v="19"/>
    <x v="0"/>
    <s v="IT-Analyst"/>
    <x v="4"/>
    <d v="2022-11-19T23:03:14"/>
    <x v="637"/>
    <x v="108"/>
    <n v="7"/>
    <d v="2022-12-23T23:03:14"/>
    <s v="Yes"/>
    <d v="2022-12-10T23:03:14"/>
    <x v="0"/>
    <x v="4"/>
    <m/>
    <m/>
    <m/>
    <m/>
    <m/>
    <m/>
    <x v="0"/>
    <m/>
    <m/>
    <m/>
    <m/>
    <s v="Company"/>
    <m/>
    <s v="C2090"/>
    <s v="Candidate_1090"/>
    <s v="11-25-2022"/>
    <x v="1"/>
    <s v="Linkedin"/>
    <n v="3"/>
    <m/>
    <x v="0"/>
    <m/>
    <m/>
    <x v="0"/>
    <x v="0"/>
    <m/>
    <x v="1"/>
    <x v="0"/>
  </r>
  <r>
    <n v="1044"/>
    <s v="1044 | HR"/>
    <x v="14"/>
    <x v="4"/>
    <x v="19"/>
    <x v="0"/>
    <s v="IT-Analyst"/>
    <x v="4"/>
    <d v="2022-11-21T23:03:14"/>
    <x v="638"/>
    <x v="108"/>
    <n v="5"/>
    <d v="2022-12-25T23:03:14"/>
    <s v="Yes"/>
    <d v="2022-12-13T23:03:14"/>
    <x v="1"/>
    <x v="1"/>
    <d v="2022-12-16T23:03:14"/>
    <s v="Declined"/>
    <m/>
    <m/>
    <d v="2022-12-14T23:03:14"/>
    <m/>
    <x v="0"/>
    <m/>
    <m/>
    <m/>
    <m/>
    <m/>
    <m/>
    <s v="C2091"/>
    <s v="Candidate_1091"/>
    <s v="Dec 05 2022"/>
    <x v="1"/>
    <s v="Linkedin"/>
    <n v="3"/>
    <m/>
    <x v="0"/>
    <m/>
    <m/>
    <x v="0"/>
    <x v="0"/>
    <m/>
    <x v="1"/>
    <x v="0"/>
  </r>
  <r>
    <n v="1041"/>
    <s v="1041 | HR"/>
    <x v="12"/>
    <x v="4"/>
    <x v="19"/>
    <x v="0"/>
    <s v="IT-Analyst"/>
    <x v="4"/>
    <d v="2022-11-21T23:03:14"/>
    <x v="609"/>
    <x v="108"/>
    <n v="5"/>
    <d v="2022-12-25T23:03:14"/>
    <s v="Yes"/>
    <d v="2022-12-08T23:03:14"/>
    <x v="1"/>
    <x v="1"/>
    <d v="2022-12-13T23:03:14"/>
    <s v="Declined"/>
    <m/>
    <m/>
    <d v="2022-12-10T23:03:14"/>
    <m/>
    <x v="0"/>
    <m/>
    <m/>
    <m/>
    <m/>
    <m/>
    <m/>
    <s v="C2092"/>
    <s v="Candidate_1092"/>
    <s v="Nov 26 2022"/>
    <x v="0"/>
    <s v="Referral"/>
    <n v="6"/>
    <m/>
    <x v="0"/>
    <m/>
    <m/>
    <x v="0"/>
    <x v="0"/>
    <m/>
    <x v="1"/>
    <x v="0"/>
  </r>
  <r>
    <n v="1024"/>
    <s v="1024 | HR"/>
    <x v="13"/>
    <x v="4"/>
    <x v="19"/>
    <x v="0"/>
    <s v="IT-Analyst"/>
    <x v="4"/>
    <d v="2023-01-28T18:59:14"/>
    <x v="0"/>
    <x v="135"/>
    <n v="4"/>
    <d v="2023-02-28T18:59:14"/>
    <s v="Yes"/>
    <d v="2023-02-17T18:59:14"/>
    <x v="4"/>
    <x v="1"/>
    <d v="2023-02-25T18:59:14"/>
    <s v="Pending"/>
    <m/>
    <m/>
    <d v="2023-02-21T18:59:14"/>
    <m/>
    <x v="0"/>
    <m/>
    <m/>
    <m/>
    <m/>
    <m/>
    <m/>
    <s v="C2093"/>
    <s v="Candidate_1093"/>
    <s v="Feb 03 2023"/>
    <x v="0"/>
    <s v="Referral"/>
    <n v="3"/>
    <m/>
    <x v="0"/>
    <m/>
    <m/>
    <x v="0"/>
    <x v="0"/>
    <m/>
    <x v="0"/>
    <x v="0"/>
  </r>
  <r>
    <n v="2950"/>
    <s v="2950 | HR"/>
    <x v="14"/>
    <x v="4"/>
    <x v="20"/>
    <x v="6"/>
    <s v="IT-Manager"/>
    <x v="5"/>
    <m/>
    <x v="639"/>
    <x v="200"/>
    <n v="44736.484722222223"/>
    <d v="2022-08-08T11:38:00"/>
    <s v="Yes"/>
    <d v="2022-06-27T11:38:00"/>
    <x v="0"/>
    <x v="0"/>
    <m/>
    <m/>
    <m/>
    <m/>
    <d v="2022-06-29T11:38:00"/>
    <m/>
    <x v="0"/>
    <m/>
    <m/>
    <m/>
    <m/>
    <s v="Candidate"/>
    <m/>
    <s v="C2094"/>
    <s v="Candidate_1094"/>
    <s v="06-17-2022"/>
    <x v="1"/>
    <s v="Linkedin"/>
    <n v="3"/>
    <m/>
    <x v="0"/>
    <m/>
    <m/>
    <x v="0"/>
    <x v="0"/>
    <m/>
    <x v="0"/>
    <x v="0"/>
  </r>
  <r>
    <n v="2893"/>
    <s v="2893 | HR"/>
    <x v="13"/>
    <x v="4"/>
    <x v="20"/>
    <x v="6"/>
    <s v="IT-Manager"/>
    <x v="5"/>
    <d v="2023-02-05T16:21:51"/>
    <x v="612"/>
    <x v="196"/>
    <n v="9"/>
    <d v="2023-03-31T16:21:51"/>
    <s v="Yes"/>
    <d v="2023-02-23T16:21:51"/>
    <x v="0"/>
    <x v="4"/>
    <m/>
    <m/>
    <m/>
    <m/>
    <d v="2023-02-24T16:21:51"/>
    <m/>
    <x v="0"/>
    <m/>
    <m/>
    <m/>
    <m/>
    <s v="Candidate"/>
    <m/>
    <s v="C2095"/>
    <s v="Candidate_1095"/>
    <s v="02-14-2023"/>
    <x v="1"/>
    <s v="Linkedin"/>
    <n v="6"/>
    <m/>
    <x v="0"/>
    <m/>
    <m/>
    <x v="0"/>
    <x v="0"/>
    <m/>
    <x v="1"/>
    <x v="0"/>
  </r>
  <r>
    <n v="2588"/>
    <s v="2588 | HR"/>
    <x v="12"/>
    <x v="4"/>
    <x v="20"/>
    <x v="6"/>
    <s v="IT-Manager"/>
    <x v="5"/>
    <d v="2022-08-09T00:55:27"/>
    <x v="597"/>
    <x v="190"/>
    <n v="9"/>
    <d v="2022-09-12T00:55:27"/>
    <s v="Yes"/>
    <d v="2022-08-23T00:55:27"/>
    <x v="1"/>
    <x v="1"/>
    <d v="2022-08-28T00:55:27"/>
    <s v="Declined"/>
    <m/>
    <m/>
    <d v="2022-08-24T00:55:27"/>
    <m/>
    <x v="0"/>
    <m/>
    <m/>
    <m/>
    <m/>
    <m/>
    <m/>
    <s v="C2096"/>
    <s v="Candidate_1096"/>
    <s v="Aug 15 2022"/>
    <x v="1"/>
    <s v="Linkedin"/>
    <n v="3"/>
    <m/>
    <x v="0"/>
    <m/>
    <m/>
    <x v="0"/>
    <x v="0"/>
    <m/>
    <x v="1"/>
    <x v="0"/>
  </r>
  <r>
    <n v="2419"/>
    <s v="2419 | HR"/>
    <x v="13"/>
    <x v="4"/>
    <x v="20"/>
    <x v="6"/>
    <s v="IT-Manager"/>
    <x v="5"/>
    <d v="2023-03-21T14:35:51"/>
    <x v="640"/>
    <x v="131"/>
    <n v="9"/>
    <d v="2023-04-20T14:35:51"/>
    <s v="Yes"/>
    <d v="2023-04-03T14:35:51"/>
    <x v="1"/>
    <x v="1"/>
    <d v="2023-04-05T14:35:51"/>
    <s v="Declined"/>
    <m/>
    <m/>
    <d v="2023-04-04T14:35:51"/>
    <m/>
    <x v="0"/>
    <m/>
    <m/>
    <m/>
    <m/>
    <m/>
    <m/>
    <s v="C2097"/>
    <s v="Candidate_1097"/>
    <s v="03-16-2023"/>
    <x v="1"/>
    <s v="Linkedin"/>
    <n v="6"/>
    <m/>
    <x v="0"/>
    <m/>
    <m/>
    <x v="0"/>
    <x v="0"/>
    <m/>
    <x v="1"/>
    <x v="0"/>
  </r>
  <r>
    <n v="2411"/>
    <s v="2411 | HR"/>
    <x v="13"/>
    <x v="4"/>
    <x v="20"/>
    <x v="6"/>
    <s v="IT-Manager"/>
    <x v="5"/>
    <d v="2023-03-21T14:35:51"/>
    <x v="615"/>
    <x v="131"/>
    <n v="9"/>
    <d v="2023-04-08T14:35:51"/>
    <s v="Yes"/>
    <d v="2023-04-06T14:35:51"/>
    <x v="1"/>
    <x v="1"/>
    <d v="2023-04-11T14:35:51"/>
    <s v="Declined"/>
    <m/>
    <m/>
    <d v="2023-04-07T14:35:51"/>
    <m/>
    <x v="0"/>
    <m/>
    <m/>
    <m/>
    <m/>
    <m/>
    <m/>
    <s v="C2098"/>
    <s v="Candidate_1098"/>
    <s v="26/03/2023"/>
    <x v="1"/>
    <s v="Linkedin"/>
    <n v="6"/>
    <m/>
    <x v="0"/>
    <m/>
    <m/>
    <x v="0"/>
    <x v="0"/>
    <m/>
    <x v="1"/>
    <x v="0"/>
  </r>
  <r>
    <n v="1960"/>
    <s v="1960 | HR"/>
    <x v="12"/>
    <x v="4"/>
    <x v="20"/>
    <x v="6"/>
    <s v="IT-Manager"/>
    <x v="5"/>
    <d v="2022-09-15T01:01:03"/>
    <x v="602"/>
    <x v="192"/>
    <n v="6"/>
    <d v="2022-10-15T01:01:03"/>
    <s v="Yes"/>
    <d v="2022-10-03T01:01:03"/>
    <x v="1"/>
    <x v="1"/>
    <d v="2022-10-06T01:01:03"/>
    <s v="Declined"/>
    <m/>
    <m/>
    <d v="2022-10-04T01:01:03"/>
    <m/>
    <x v="0"/>
    <m/>
    <m/>
    <m/>
    <m/>
    <m/>
    <m/>
    <s v="C2099"/>
    <s v="Candidate_1099"/>
    <s v="Sep 15 2022"/>
    <x v="1"/>
    <s v="Linkedin"/>
    <n v="3"/>
    <m/>
    <x v="0"/>
    <m/>
    <m/>
    <x v="0"/>
    <x v="0"/>
    <m/>
    <x v="1"/>
    <x v="0"/>
  </r>
  <r>
    <n v="1902"/>
    <s v="1902 | HR"/>
    <x v="14"/>
    <x v="4"/>
    <x v="20"/>
    <x v="6"/>
    <s v="IT-Manager"/>
    <x v="5"/>
    <m/>
    <x v="0"/>
    <x v="4"/>
    <n v="0"/>
    <d v="2023-03-24T16:28:31"/>
    <s v="Yes"/>
    <d v="2023-03-19T16:28:31"/>
    <x v="1"/>
    <x v="1"/>
    <d v="2023-03-24T16:28:31"/>
    <s v="Declined"/>
    <m/>
    <m/>
    <d v="2023-03-22T16:28:31"/>
    <m/>
    <x v="0"/>
    <m/>
    <m/>
    <m/>
    <m/>
    <m/>
    <m/>
    <s v="C2100"/>
    <s v="Candidate_1100"/>
    <s v="03-01-2023"/>
    <x v="1"/>
    <s v="Linkedin"/>
    <n v="3"/>
    <m/>
    <x v="0"/>
    <m/>
    <m/>
    <x v="0"/>
    <x v="0"/>
    <m/>
    <x v="0"/>
    <x v="0"/>
  </r>
  <r>
    <n v="1896"/>
    <s v="1896 | HR"/>
    <x v="12"/>
    <x v="4"/>
    <x v="20"/>
    <x v="6"/>
    <s v="IT-Manager"/>
    <x v="5"/>
    <d v="2022-01-31T06:40:23"/>
    <x v="0"/>
    <x v="97"/>
    <n v="7"/>
    <d v="2022-02-21T06:40:23"/>
    <s v="Yes"/>
    <d v="2022-02-24T06:40:23"/>
    <x v="1"/>
    <x v="1"/>
    <d v="2022-03-01T06:40:23"/>
    <s v="Declined"/>
    <m/>
    <m/>
    <d v="2022-02-26T06:40:23"/>
    <m/>
    <x v="0"/>
    <m/>
    <m/>
    <m/>
    <m/>
    <m/>
    <m/>
    <s v="C2101"/>
    <s v="Candidate_1101"/>
    <s v="14/02/2022"/>
    <x v="1"/>
    <s v="Linkedin"/>
    <n v="3"/>
    <m/>
    <x v="0"/>
    <m/>
    <m/>
    <x v="0"/>
    <x v="0"/>
    <m/>
    <x v="0"/>
    <x v="0"/>
  </r>
  <r>
    <n v="1891"/>
    <s v="1891 | HR"/>
    <x v="13"/>
    <x v="4"/>
    <x v="20"/>
    <x v="6"/>
    <s v="IT-Manager"/>
    <x v="5"/>
    <d v="2022-01-30T06:40:23"/>
    <x v="0"/>
    <x v="4"/>
    <n v="-44591.278043981481"/>
    <d v="2022-03-05T06:40:23"/>
    <s v="Yes"/>
    <d v="2022-02-21T06:40:23"/>
    <x v="1"/>
    <x v="1"/>
    <d v="2022-02-26T06:40:23"/>
    <s v="Declined"/>
    <m/>
    <m/>
    <d v="2022-02-25T06:40:23"/>
    <m/>
    <x v="0"/>
    <m/>
    <m/>
    <m/>
    <m/>
    <m/>
    <m/>
    <s v="C2102"/>
    <s v="Candidate_1102"/>
    <s v="06/02/2022"/>
    <x v="2"/>
    <s v="Job Board"/>
    <n v="3"/>
    <m/>
    <x v="0"/>
    <m/>
    <m/>
    <x v="0"/>
    <x v="0"/>
    <m/>
    <x v="0"/>
    <x v="0"/>
  </r>
  <r>
    <n v="1780"/>
    <s v="1780 | HR"/>
    <x v="13"/>
    <x v="4"/>
    <x v="20"/>
    <x v="6"/>
    <s v="IT-Manager"/>
    <x v="5"/>
    <d v="2022-05-31T19:49:14"/>
    <x v="641"/>
    <x v="98"/>
    <n v="6"/>
    <d v="2022-06-17T19:49:14"/>
    <s v="Yes"/>
    <d v="2022-06-17T19:49:14"/>
    <x v="0"/>
    <x v="2"/>
    <m/>
    <m/>
    <m/>
    <m/>
    <m/>
    <m/>
    <x v="0"/>
    <m/>
    <m/>
    <m/>
    <m/>
    <s v="Candidate"/>
    <m/>
    <s v="C2103"/>
    <s v="Candidate_1103"/>
    <s v="11/06/2022"/>
    <x v="1"/>
    <s v="Linkedin"/>
    <n v="3"/>
    <m/>
    <x v="0"/>
    <m/>
    <m/>
    <x v="0"/>
    <x v="0"/>
    <m/>
    <x v="1"/>
    <x v="0"/>
  </r>
  <r>
    <n v="1776"/>
    <s v="1776 | HR"/>
    <x v="13"/>
    <x v="4"/>
    <x v="20"/>
    <x v="6"/>
    <s v="IT-Manager"/>
    <x v="5"/>
    <d v="2022-05-30T19:49:14"/>
    <x v="0"/>
    <x v="98"/>
    <n v="7"/>
    <d v="2022-06-24T19:49:14"/>
    <s v="Yes"/>
    <d v="2022-06-22T19:49:14"/>
    <x v="0"/>
    <x v="5"/>
    <m/>
    <m/>
    <m/>
    <m/>
    <m/>
    <m/>
    <x v="0"/>
    <m/>
    <m/>
    <m/>
    <m/>
    <s v="Candidate"/>
    <m/>
    <s v="C2104"/>
    <s v="Candidate_1104"/>
    <s v="06-05-2022"/>
    <x v="1"/>
    <s v="Linkedin"/>
    <n v="6"/>
    <m/>
    <x v="0"/>
    <m/>
    <m/>
    <x v="0"/>
    <x v="0"/>
    <m/>
    <x v="0"/>
    <x v="0"/>
  </r>
  <r>
    <n v="1748"/>
    <s v="1748 | HR"/>
    <x v="13"/>
    <x v="4"/>
    <x v="20"/>
    <x v="6"/>
    <s v="IT-Manager"/>
    <x v="5"/>
    <d v="2023-01-21T19:09:14"/>
    <x v="0"/>
    <x v="133"/>
    <n v="6"/>
    <d v="2023-02-26T19:09:14"/>
    <s v="Yes"/>
    <d v="2023-02-05T19:09:14"/>
    <x v="3"/>
    <x v="1"/>
    <d v="2023-02-13T19:09:14"/>
    <s v="Accepted"/>
    <d v="2023-02-07T19:09:14"/>
    <d v="2023-02-10T19:09:14"/>
    <d v="2023-02-09T19:09:14"/>
    <d v="2023-02-15T19:09:14"/>
    <x v="1"/>
    <d v="2023-02-17T19:09:14"/>
    <d v="2023-02-18T19:09:14"/>
    <d v="2023-02-19T19:09:14"/>
    <m/>
    <m/>
    <d v="2023-03-05T19:09:14"/>
    <s v="C2105"/>
    <s v="Candidate_1105"/>
    <s v="01-30-2023"/>
    <x v="2"/>
    <s v="Job Board"/>
    <n v="3"/>
    <m/>
    <x v="0"/>
    <m/>
    <m/>
    <x v="0"/>
    <x v="0"/>
    <m/>
    <x v="0"/>
    <x v="0"/>
  </r>
  <r>
    <n v="1619"/>
    <s v="1619 | HR"/>
    <x v="13"/>
    <x v="4"/>
    <x v="20"/>
    <x v="6"/>
    <s v="IT-Manager"/>
    <x v="5"/>
    <d v="2022-10-14T22:49:43"/>
    <x v="642"/>
    <x v="4"/>
    <n v="-44848.951192129629"/>
    <d v="2022-11-18T22:49:43"/>
    <s v="Yes"/>
    <d v="2022-10-29T22:49:43"/>
    <x v="0"/>
    <x v="3"/>
    <m/>
    <m/>
    <m/>
    <m/>
    <d v="2022-10-30T22:49:43"/>
    <m/>
    <x v="0"/>
    <m/>
    <m/>
    <m/>
    <m/>
    <s v="Candidate"/>
    <m/>
    <s v="C2106"/>
    <s v="Candidate_1106"/>
    <s v="Oct 14 2022"/>
    <x v="1"/>
    <s v="Linkedin"/>
    <n v="3"/>
    <m/>
    <x v="0"/>
    <m/>
    <m/>
    <x v="0"/>
    <x v="0"/>
    <m/>
    <x v="0"/>
    <x v="0"/>
  </r>
  <r>
    <n v="1574"/>
    <s v="1574 | HR"/>
    <x v="14"/>
    <x v="4"/>
    <x v="20"/>
    <x v="6"/>
    <s v="IT-Manager"/>
    <x v="5"/>
    <d v="2022-09-05T17:35:38"/>
    <x v="643"/>
    <x v="100"/>
    <n v="4"/>
    <d v="2022-09-27T17:35:38"/>
    <s v="Yes"/>
    <d v="2022-09-20T17:35:38"/>
    <x v="1"/>
    <x v="1"/>
    <d v="2022-09-27T17:35:38"/>
    <s v="Declined"/>
    <m/>
    <m/>
    <d v="2022-09-24T17:35:38"/>
    <m/>
    <x v="0"/>
    <m/>
    <m/>
    <m/>
    <m/>
    <m/>
    <m/>
    <s v="C2107"/>
    <s v="Candidate_1107"/>
    <s v="09-08-2022"/>
    <x v="1"/>
    <s v="Linkedin"/>
    <n v="6"/>
    <m/>
    <x v="0"/>
    <m/>
    <m/>
    <x v="0"/>
    <x v="0"/>
    <m/>
    <x v="1"/>
    <x v="0"/>
  </r>
  <r>
    <n v="1532"/>
    <s v="1532 | HR"/>
    <x v="13"/>
    <x v="4"/>
    <x v="20"/>
    <x v="6"/>
    <s v="IT-Manager"/>
    <x v="5"/>
    <d v="2023-05-09T13:06:51"/>
    <x v="0"/>
    <x v="119"/>
    <n v="5"/>
    <d v="2023-06-02T13:06:51"/>
    <s v="Yes"/>
    <d v="2023-05-28T13:06:51"/>
    <x v="4"/>
    <x v="1"/>
    <d v="2023-05-31T13:06:51"/>
    <s v="Pending"/>
    <m/>
    <m/>
    <d v="2023-05-29T13:06:51"/>
    <m/>
    <x v="0"/>
    <m/>
    <m/>
    <m/>
    <m/>
    <m/>
    <m/>
    <s v="C2108"/>
    <s v="Candidate_1108"/>
    <s v="16/05/2023"/>
    <x v="2"/>
    <s v="Job Board"/>
    <n v="6"/>
    <m/>
    <x v="0"/>
    <m/>
    <m/>
    <x v="0"/>
    <x v="0"/>
    <m/>
    <x v="0"/>
    <x v="0"/>
  </r>
  <r>
    <n v="1459"/>
    <s v="1459 | HR"/>
    <x v="13"/>
    <x v="4"/>
    <x v="20"/>
    <x v="6"/>
    <s v="IT-Manager"/>
    <x v="5"/>
    <d v="2023-04-07T13:44:16"/>
    <x v="626"/>
    <x v="4"/>
    <n v="-45023.57240740741"/>
    <d v="2023-04-18T13:44:16"/>
    <s v="Yes"/>
    <d v="2023-04-24T13:44:16"/>
    <x v="0"/>
    <x v="5"/>
    <m/>
    <m/>
    <m/>
    <m/>
    <d v="2023-04-28T13:44:16"/>
    <m/>
    <x v="0"/>
    <m/>
    <m/>
    <m/>
    <m/>
    <s v="Candidate"/>
    <m/>
    <s v="C2109"/>
    <s v="Candidate_1109"/>
    <s v="18/04/2023"/>
    <x v="2"/>
    <s v="Job Board"/>
    <n v="6"/>
    <m/>
    <x v="0"/>
    <m/>
    <m/>
    <x v="0"/>
    <x v="0"/>
    <m/>
    <x v="0"/>
    <x v="0"/>
  </r>
  <r>
    <n v="1453"/>
    <s v="1453 | HR"/>
    <x v="12"/>
    <x v="4"/>
    <x v="20"/>
    <x v="6"/>
    <s v="IT-Manager"/>
    <x v="5"/>
    <d v="2023-04-06T13:44:16"/>
    <x v="626"/>
    <x v="120"/>
    <n v="7"/>
    <d v="2023-05-12T13:44:16"/>
    <s v="Yes"/>
    <d v="2023-04-17T13:44:16"/>
    <x v="1"/>
    <x v="1"/>
    <d v="2023-04-24T13:44:16"/>
    <s v="Declined"/>
    <m/>
    <m/>
    <d v="2023-04-20T13:44:16"/>
    <m/>
    <x v="0"/>
    <m/>
    <m/>
    <m/>
    <m/>
    <m/>
    <m/>
    <s v="C2110"/>
    <s v="Candidate_1110"/>
    <s v="Apr 05 2023"/>
    <x v="1"/>
    <s v="Linkedin"/>
    <n v="6"/>
    <m/>
    <x v="0"/>
    <m/>
    <m/>
    <x v="0"/>
    <x v="0"/>
    <m/>
    <x v="1"/>
    <x v="0"/>
  </r>
  <r>
    <n v="1426"/>
    <s v="1426 | HR"/>
    <x v="14"/>
    <x v="4"/>
    <x v="20"/>
    <x v="15"/>
    <s v="IT-Quality Assurance"/>
    <x v="5"/>
    <d v="2022-04-06T02:42:56"/>
    <x v="644"/>
    <x v="102"/>
    <n v="9"/>
    <d v="2022-05-08T02:42:56"/>
    <s v="Yes"/>
    <d v="2022-04-23T02:42:56"/>
    <x v="0"/>
    <x v="2"/>
    <m/>
    <m/>
    <m/>
    <m/>
    <d v="2022-04-27T02:42:56"/>
    <m/>
    <x v="0"/>
    <m/>
    <m/>
    <m/>
    <m/>
    <s v="Candidate"/>
    <m/>
    <s v="C2111"/>
    <s v="Candidate_1111"/>
    <s v="Apr 06 2022"/>
    <x v="0"/>
    <s v="Referral"/>
    <n v="6"/>
    <m/>
    <x v="0"/>
    <m/>
    <m/>
    <x v="0"/>
    <x v="0"/>
    <m/>
    <x v="1"/>
    <x v="0"/>
  </r>
  <r>
    <n v="1316"/>
    <s v="1316 | HR"/>
    <x v="13"/>
    <x v="4"/>
    <x v="20"/>
    <x v="15"/>
    <s v="IT-Quality Assurance"/>
    <x v="5"/>
    <d v="2023-08-13T05:35:37"/>
    <x v="645"/>
    <x v="201"/>
    <n v="4"/>
    <d v="2023-09-01T05:35:37"/>
    <s v="Yes"/>
    <d v="2023-09-03T05:35:37"/>
    <x v="3"/>
    <x v="1"/>
    <d v="2023-09-09T05:35:37"/>
    <s v="Accepted"/>
    <d v="2023-09-04T05:35:37"/>
    <d v="2023-09-06T05:35:37"/>
    <d v="2023-09-06T05:35:37"/>
    <d v="2023-09-13T05:35:37"/>
    <x v="1"/>
    <d v="2023-09-15T05:35:37"/>
    <d v="2023-09-18T05:35:37"/>
    <d v="2023-09-19T05:35:37"/>
    <m/>
    <m/>
    <d v="2023-10-10T05:35:37"/>
    <s v="C2112"/>
    <s v="Candidate_1112"/>
    <s v="Aug 27 2023"/>
    <x v="0"/>
    <s v="Referral"/>
    <n v="6"/>
    <m/>
    <x v="0"/>
    <m/>
    <m/>
    <x v="0"/>
    <x v="0"/>
    <m/>
    <x v="123"/>
    <x v="0"/>
  </r>
  <r>
    <n v="1314"/>
    <s v="1314 | HR"/>
    <x v="12"/>
    <x v="4"/>
    <x v="20"/>
    <x v="15"/>
    <s v="IT-Quality Assurance"/>
    <x v="5"/>
    <d v="2023-08-13T05:35:37"/>
    <x v="646"/>
    <x v="201"/>
    <n v="4"/>
    <d v="2023-08-22T05:35:37"/>
    <s v="Yes"/>
    <d v="2023-08-28T05:35:37"/>
    <x v="1"/>
    <x v="1"/>
    <d v="2023-09-05T05:35:37"/>
    <s v="Declined"/>
    <m/>
    <m/>
    <d v="2023-09-01T05:35:37"/>
    <m/>
    <x v="0"/>
    <m/>
    <m/>
    <m/>
    <m/>
    <m/>
    <m/>
    <s v="C2113"/>
    <s v="Candidate_1113"/>
    <s v="Aug 21 2023"/>
    <x v="1"/>
    <s v="Linkedin"/>
    <n v="3"/>
    <m/>
    <x v="0"/>
    <m/>
    <m/>
    <x v="0"/>
    <x v="0"/>
    <m/>
    <x v="1"/>
    <x v="0"/>
  </r>
  <r>
    <n v="1275"/>
    <s v="1275 | HR"/>
    <x v="13"/>
    <x v="4"/>
    <x v="20"/>
    <x v="15"/>
    <s v="IT-Quality Assurance"/>
    <x v="5"/>
    <d v="2022-05-30T02:35:25"/>
    <x v="647"/>
    <x v="103"/>
    <n v="6"/>
    <d v="2022-07-01T02:35:25"/>
    <s v="Yes"/>
    <d v="2022-06-11T02:35:25"/>
    <x v="0"/>
    <x v="0"/>
    <m/>
    <m/>
    <m/>
    <m/>
    <d v="2022-06-13T02:35:25"/>
    <m/>
    <x v="0"/>
    <m/>
    <m/>
    <m/>
    <m/>
    <s v="Candidate"/>
    <m/>
    <s v="C2114"/>
    <s v="Candidate_1114"/>
    <s v="May 28 2022"/>
    <x v="0"/>
    <s v="Referral"/>
    <n v="3"/>
    <m/>
    <x v="0"/>
    <m/>
    <m/>
    <x v="0"/>
    <x v="0"/>
    <m/>
    <x v="1"/>
    <x v="0"/>
  </r>
  <r>
    <n v="1042"/>
    <s v="1042 | HR"/>
    <x v="13"/>
    <x v="4"/>
    <x v="20"/>
    <x v="15"/>
    <s v="IT-Quality Assurance"/>
    <x v="5"/>
    <d v="2022-11-18T23:03:14"/>
    <x v="648"/>
    <x v="108"/>
    <n v="8"/>
    <d v="2022-12-19T23:03:14"/>
    <s v="Yes"/>
    <d v="2022-12-04T23:03:14"/>
    <x v="4"/>
    <x v="1"/>
    <d v="2022-12-07T23:03:14"/>
    <s v="Pending"/>
    <m/>
    <m/>
    <d v="2022-12-05T23:03:14"/>
    <m/>
    <x v="0"/>
    <m/>
    <m/>
    <m/>
    <m/>
    <m/>
    <m/>
    <s v="C2115"/>
    <s v="Candidate_1115"/>
    <s v="29/11/2022"/>
    <x v="0"/>
    <s v="Referral"/>
    <n v="6"/>
    <m/>
    <x v="0"/>
    <m/>
    <m/>
    <x v="0"/>
    <x v="0"/>
    <m/>
    <x v="1"/>
    <x v="0"/>
  </r>
  <r>
    <n v="1026"/>
    <s v="1026 | HR"/>
    <x v="14"/>
    <x v="4"/>
    <x v="20"/>
    <x v="15"/>
    <s v="IT-Quality Assurance"/>
    <x v="5"/>
    <d v="2023-01-23T18:59:14"/>
    <x v="649"/>
    <x v="135"/>
    <n v="9"/>
    <d v="2023-02-22T18:59:14"/>
    <s v="Yes"/>
    <d v="2023-02-16T18:59:14"/>
    <x v="1"/>
    <x v="1"/>
    <d v="2023-02-20T18:59:14"/>
    <s v="Declined"/>
    <m/>
    <m/>
    <d v="2023-02-18T18:59:14"/>
    <m/>
    <x v="0"/>
    <m/>
    <m/>
    <m/>
    <m/>
    <m/>
    <m/>
    <s v="C2116"/>
    <s v="Candidate_1116"/>
    <s v="Feb 05 2023"/>
    <x v="1"/>
    <s v="Linkedin"/>
    <n v="6"/>
    <m/>
    <x v="0"/>
    <m/>
    <m/>
    <x v="0"/>
    <x v="0"/>
    <m/>
    <x v="1"/>
    <x v="0"/>
  </r>
  <r>
    <n v="2661"/>
    <s v="2661 | HR"/>
    <x v="15"/>
    <x v="5"/>
    <x v="21"/>
    <x v="16"/>
    <s v="HR-Specialist"/>
    <x v="5"/>
    <d v="2022-11-29T21:41:18"/>
    <x v="0"/>
    <x v="118"/>
    <n v="9"/>
    <d v="2023-01-02T21:41:18"/>
    <s v="Yes"/>
    <d v="2022-12-21T21:41:18"/>
    <x v="0"/>
    <x v="3"/>
    <m/>
    <m/>
    <m/>
    <m/>
    <d v="2022-12-25T21:41:18"/>
    <m/>
    <x v="0"/>
    <m/>
    <m/>
    <m/>
    <m/>
    <s v="Candidate"/>
    <m/>
    <s v="C2117"/>
    <s v="Candidate_1117"/>
    <s v="11/12/2022"/>
    <x v="2"/>
    <s v="Job Board"/>
    <n v="6"/>
    <m/>
    <x v="0"/>
    <m/>
    <m/>
    <x v="0"/>
    <x v="0"/>
    <m/>
    <x v="0"/>
    <x v="0"/>
  </r>
  <r>
    <n v="2649"/>
    <s v="2649 | HR"/>
    <x v="16"/>
    <x v="5"/>
    <x v="21"/>
    <x v="16"/>
    <s v="HR-Specialist"/>
    <x v="5"/>
    <m/>
    <x v="650"/>
    <x v="130"/>
    <n v="44593.587569444448"/>
    <d v="2022-02-10T14:06:06"/>
    <s v="Yes"/>
    <d v="2022-02-12T14:06:06"/>
    <x v="0"/>
    <x v="5"/>
    <m/>
    <m/>
    <m/>
    <m/>
    <d v="2022-02-15T14:06:06"/>
    <m/>
    <x v="0"/>
    <m/>
    <m/>
    <m/>
    <m/>
    <s v="Candidate"/>
    <m/>
    <s v="C2118"/>
    <s v="Candidate_1118"/>
    <s v="27/01/2022"/>
    <x v="0"/>
    <s v="Referral"/>
    <n v="3"/>
    <m/>
    <x v="0"/>
    <m/>
    <m/>
    <x v="0"/>
    <x v="0"/>
    <m/>
    <x v="0"/>
    <x v="0"/>
  </r>
  <r>
    <n v="2643"/>
    <s v="2643 | HR"/>
    <x v="16"/>
    <x v="5"/>
    <x v="21"/>
    <x v="16"/>
    <s v="HR-Specialist"/>
    <x v="5"/>
    <m/>
    <x v="651"/>
    <x v="130"/>
    <n v="44593.587569444448"/>
    <d v="2022-02-09T14:06:06"/>
    <s v="Yes"/>
    <d v="2022-02-15T14:06:06"/>
    <x v="0"/>
    <x v="0"/>
    <m/>
    <m/>
    <m/>
    <m/>
    <m/>
    <m/>
    <x v="0"/>
    <m/>
    <m/>
    <m/>
    <m/>
    <s v="Company"/>
    <m/>
    <s v="C2119"/>
    <s v="Candidate_1119"/>
    <s v="Jan 27 2022"/>
    <x v="0"/>
    <s v="Referral"/>
    <n v="6"/>
    <m/>
    <x v="0"/>
    <m/>
    <m/>
    <x v="0"/>
    <x v="0"/>
    <m/>
    <x v="0"/>
    <x v="0"/>
  </r>
  <r>
    <n v="2642"/>
    <s v="2642 | HR"/>
    <x v="16"/>
    <x v="5"/>
    <x v="21"/>
    <x v="16"/>
    <s v="HR-Specialist"/>
    <x v="5"/>
    <d v="2022-01-25T14:06:06"/>
    <x v="650"/>
    <x v="4"/>
    <n v="-44586.587569444448"/>
    <d v="2022-02-10T14:06:06"/>
    <s v="Yes"/>
    <d v="2022-02-05T14:06:06"/>
    <x v="0"/>
    <x v="0"/>
    <m/>
    <m/>
    <m/>
    <m/>
    <d v="2022-02-07T14:06:06"/>
    <m/>
    <x v="0"/>
    <m/>
    <m/>
    <m/>
    <m/>
    <s v="Candidate"/>
    <m/>
    <s v="C2120"/>
    <s v="Candidate_1120"/>
    <s v="20/01/2022"/>
    <x v="2"/>
    <s v="Job Board"/>
    <n v="3"/>
    <m/>
    <x v="0"/>
    <m/>
    <m/>
    <x v="0"/>
    <x v="0"/>
    <m/>
    <x v="0"/>
    <x v="0"/>
  </r>
  <r>
    <n v="2375"/>
    <s v="2375 | HR"/>
    <x v="15"/>
    <x v="5"/>
    <x v="21"/>
    <x v="16"/>
    <s v="HR-Specialist"/>
    <x v="5"/>
    <d v="2023-04-16T22:01:03"/>
    <x v="598"/>
    <x v="191"/>
    <n v="4"/>
    <d v="2023-04-29T22:01:03"/>
    <s v="Yes"/>
    <d v="2023-04-27T22:01:03"/>
    <x v="0"/>
    <x v="2"/>
    <m/>
    <m/>
    <m/>
    <m/>
    <m/>
    <m/>
    <x v="0"/>
    <m/>
    <m/>
    <m/>
    <m/>
    <s v="Company"/>
    <m/>
    <s v="C2121"/>
    <s v="Candidate_1121"/>
    <s v="12/04/2023"/>
    <x v="2"/>
    <s v="Job Board"/>
    <n v="3"/>
    <m/>
    <x v="0"/>
    <m/>
    <m/>
    <x v="0"/>
    <x v="0"/>
    <m/>
    <x v="1"/>
    <x v="0"/>
  </r>
  <r>
    <n v="2340"/>
    <s v="2340 | HR"/>
    <x v="16"/>
    <x v="5"/>
    <x v="21"/>
    <x v="16"/>
    <s v="HR-Specialist"/>
    <x v="5"/>
    <d v="2022-05-10T09:15:53"/>
    <x v="652"/>
    <x v="93"/>
    <n v="9"/>
    <d v="2022-06-10T09:15:53"/>
    <s v="Yes"/>
    <d v="2022-05-29T09:15:53"/>
    <x v="0"/>
    <x v="4"/>
    <m/>
    <m/>
    <m/>
    <m/>
    <d v="2022-06-02T09:15:53"/>
    <m/>
    <x v="0"/>
    <m/>
    <m/>
    <m/>
    <m/>
    <s v="Company"/>
    <m/>
    <s v="C2122"/>
    <s v="Candidate_1122"/>
    <s v="05-23-2022"/>
    <x v="2"/>
    <s v="Job Board"/>
    <n v="3"/>
    <m/>
    <x v="0"/>
    <m/>
    <m/>
    <x v="0"/>
    <x v="0"/>
    <m/>
    <x v="1"/>
    <x v="0"/>
  </r>
  <r>
    <n v="2338"/>
    <s v="2338 | HR"/>
    <x v="15"/>
    <x v="5"/>
    <x v="21"/>
    <x v="16"/>
    <s v="HR-Specialist"/>
    <x v="5"/>
    <d v="2022-05-12T09:15:53"/>
    <x v="652"/>
    <x v="93"/>
    <n v="7"/>
    <d v="2022-06-13T09:15:53"/>
    <s v="Yes"/>
    <d v="2022-06-02T09:15:53"/>
    <x v="0"/>
    <x v="4"/>
    <m/>
    <m/>
    <m/>
    <m/>
    <d v="2022-06-03T09:15:53"/>
    <m/>
    <x v="0"/>
    <m/>
    <m/>
    <m/>
    <m/>
    <s v="Company"/>
    <m/>
    <s v="C2123"/>
    <s v="Candidate_1123"/>
    <s v="20/05/2022"/>
    <x v="0"/>
    <s v="Referral"/>
    <n v="6"/>
    <m/>
    <x v="0"/>
    <m/>
    <m/>
    <x v="0"/>
    <x v="0"/>
    <m/>
    <x v="1"/>
    <x v="0"/>
  </r>
  <r>
    <n v="2259"/>
    <s v="2259 | HR"/>
    <x v="16"/>
    <x v="5"/>
    <x v="21"/>
    <x v="16"/>
    <s v="HR-Specialist"/>
    <x v="5"/>
    <d v="2022-08-04T16:27:58"/>
    <x v="617"/>
    <x v="94"/>
    <n v="10"/>
    <d v="2022-08-25T16:27:58"/>
    <s v="Yes"/>
    <d v="2022-08-22T16:27:58"/>
    <x v="0"/>
    <x v="2"/>
    <m/>
    <m/>
    <m/>
    <m/>
    <d v="2022-08-25T16:27:58"/>
    <m/>
    <x v="0"/>
    <m/>
    <m/>
    <m/>
    <m/>
    <s v="Candidate"/>
    <m/>
    <s v="C2124"/>
    <s v="Candidate_1124"/>
    <s v="08-13-2022"/>
    <x v="0"/>
    <s v="Referral"/>
    <n v="6"/>
    <m/>
    <x v="0"/>
    <m/>
    <m/>
    <x v="0"/>
    <x v="0"/>
    <m/>
    <x v="1"/>
    <x v="0"/>
  </r>
  <r>
    <n v="2148"/>
    <s v="2148 | HR"/>
    <x v="15"/>
    <x v="5"/>
    <x v="21"/>
    <x v="16"/>
    <s v="HR-Specialist"/>
    <x v="5"/>
    <d v="2022-07-05T19:56:24"/>
    <x v="389"/>
    <x v="95"/>
    <n v="7"/>
    <d v="2022-07-29T19:56:24"/>
    <s v="Yes"/>
    <d v="2022-07-27T19:56:24"/>
    <x v="0"/>
    <x v="0"/>
    <m/>
    <m/>
    <m/>
    <m/>
    <d v="2022-07-30T19:56:24"/>
    <m/>
    <x v="0"/>
    <m/>
    <m/>
    <m/>
    <m/>
    <s v="Candidate"/>
    <m/>
    <s v="C2125"/>
    <s v="Candidate_1125"/>
    <s v="Jul 22 2022"/>
    <x v="0"/>
    <s v="Referral"/>
    <n v="6"/>
    <m/>
    <x v="0"/>
    <m/>
    <m/>
    <x v="0"/>
    <x v="0"/>
    <m/>
    <x v="1"/>
    <x v="0"/>
  </r>
  <r>
    <n v="2059"/>
    <s v="2059 | HR"/>
    <x v="16"/>
    <x v="5"/>
    <x v="21"/>
    <x v="16"/>
    <s v="HR-Specialist"/>
    <x v="5"/>
    <d v="2022-01-11T19:56:47"/>
    <x v="653"/>
    <x v="132"/>
    <n v="8"/>
    <d v="2022-01-27T19:56:47"/>
    <s v="Yes"/>
    <d v="2022-02-01T19:56:47"/>
    <x v="0"/>
    <x v="4"/>
    <m/>
    <m/>
    <m/>
    <m/>
    <m/>
    <m/>
    <x v="0"/>
    <m/>
    <m/>
    <m/>
    <m/>
    <s v="Candidate"/>
    <m/>
    <s v="C2126"/>
    <s v="Candidate_1126"/>
    <s v="19/01/2022"/>
    <x v="1"/>
    <s v="Linkedin"/>
    <n v="3"/>
    <m/>
    <x v="0"/>
    <m/>
    <m/>
    <x v="0"/>
    <x v="0"/>
    <m/>
    <x v="1"/>
    <x v="0"/>
  </r>
  <r>
    <n v="1953"/>
    <s v="1953 | HR"/>
    <x v="16"/>
    <x v="5"/>
    <x v="21"/>
    <x v="16"/>
    <s v="HR-Specialist"/>
    <x v="5"/>
    <d v="2022-09-13T01:01:03"/>
    <x v="602"/>
    <x v="192"/>
    <n v="8"/>
    <d v="2022-10-06T01:01:03"/>
    <s v="Yes"/>
    <d v="2022-10-08T01:01:03"/>
    <x v="0"/>
    <x v="2"/>
    <m/>
    <m/>
    <m/>
    <m/>
    <d v="2022-10-09T01:01:03"/>
    <m/>
    <x v="0"/>
    <m/>
    <m/>
    <m/>
    <m/>
    <s v="Candidate"/>
    <m/>
    <s v="C2127"/>
    <s v="Candidate_1127"/>
    <s v="Sep 20 2022"/>
    <x v="2"/>
    <s v="Job Board"/>
    <n v="3"/>
    <m/>
    <x v="0"/>
    <m/>
    <m/>
    <x v="0"/>
    <x v="0"/>
    <m/>
    <x v="1"/>
    <x v="0"/>
  </r>
  <r>
    <n v="1917"/>
    <s v="1917 | HR"/>
    <x v="16"/>
    <x v="5"/>
    <x v="21"/>
    <x v="16"/>
    <s v="HR-Specialist"/>
    <x v="5"/>
    <d v="2022-04-28T21:24:39"/>
    <x v="654"/>
    <x v="193"/>
    <n v="10"/>
    <d v="2022-05-13T21:24:39"/>
    <s v="Yes"/>
    <d v="2022-05-12T21:24:39"/>
    <x v="0"/>
    <x v="5"/>
    <m/>
    <m/>
    <m/>
    <m/>
    <d v="2022-05-13T21:24:39"/>
    <m/>
    <x v="0"/>
    <m/>
    <m/>
    <m/>
    <m/>
    <s v="Company"/>
    <m/>
    <s v="C2128"/>
    <s v="Candidate_1128"/>
    <s v="05-03-2022"/>
    <x v="0"/>
    <s v="Referral"/>
    <n v="6"/>
    <m/>
    <x v="0"/>
    <m/>
    <m/>
    <x v="0"/>
    <x v="0"/>
    <m/>
    <x v="1"/>
    <x v="0"/>
  </r>
  <r>
    <n v="1620"/>
    <s v="1620 | HR"/>
    <x v="16"/>
    <x v="5"/>
    <x v="21"/>
    <x v="16"/>
    <s v="HR-Specialist"/>
    <x v="5"/>
    <d v="2022-10-22T22:49:43"/>
    <x v="655"/>
    <x v="202"/>
    <n v="2"/>
    <d v="2022-10-31T22:49:43"/>
    <s v="Yes"/>
    <d v="2022-11-06T22:49:43"/>
    <x v="0"/>
    <x v="2"/>
    <m/>
    <m/>
    <m/>
    <m/>
    <d v="2022-11-10T22:49:43"/>
    <m/>
    <x v="0"/>
    <m/>
    <m/>
    <m/>
    <m/>
    <s v="Company"/>
    <m/>
    <s v="C2129"/>
    <s v="Candidate_1129"/>
    <s v="10-19-2022"/>
    <x v="0"/>
    <s v="Referral"/>
    <n v="3"/>
    <m/>
    <x v="0"/>
    <m/>
    <m/>
    <x v="0"/>
    <x v="0"/>
    <m/>
    <x v="1"/>
    <x v="0"/>
  </r>
  <r>
    <n v="1617"/>
    <s v="1617 | HR"/>
    <x v="15"/>
    <x v="5"/>
    <x v="21"/>
    <x v="16"/>
    <s v="HR-Specialist"/>
    <x v="5"/>
    <d v="2022-10-18T22:49:43"/>
    <x v="656"/>
    <x v="202"/>
    <n v="6"/>
    <d v="2022-11-16T22:49:43"/>
    <s v="Yes"/>
    <d v="2022-11-08T22:49:43"/>
    <x v="0"/>
    <x v="3"/>
    <m/>
    <m/>
    <m/>
    <m/>
    <d v="2022-11-10T22:49:43"/>
    <m/>
    <x v="0"/>
    <m/>
    <m/>
    <m/>
    <m/>
    <s v="Company"/>
    <m/>
    <s v="C2130"/>
    <s v="Candidate_1130"/>
    <s v="10-20-2022"/>
    <x v="0"/>
    <s v="Referral"/>
    <n v="3"/>
    <m/>
    <x v="0"/>
    <m/>
    <m/>
    <x v="0"/>
    <x v="0"/>
    <m/>
    <x v="1"/>
    <x v="0"/>
  </r>
  <r>
    <n v="1614"/>
    <s v="1614 | HR"/>
    <x v="17"/>
    <x v="5"/>
    <x v="21"/>
    <x v="16"/>
    <s v="HR-Specialist"/>
    <x v="5"/>
    <d v="2022-10-14T22:49:43"/>
    <x v="0"/>
    <x v="202"/>
    <n v="10"/>
    <d v="2022-10-31T22:49:43"/>
    <s v="Yes"/>
    <d v="2022-10-29T22:49:43"/>
    <x v="0"/>
    <x v="2"/>
    <m/>
    <m/>
    <m/>
    <m/>
    <d v="2022-11-02T22:49:43"/>
    <m/>
    <x v="0"/>
    <m/>
    <m/>
    <m/>
    <m/>
    <s v="Company"/>
    <m/>
    <s v="C2131"/>
    <s v="Candidate_1131"/>
    <s v="Oct 13 2022"/>
    <x v="2"/>
    <s v="Job Board"/>
    <n v="6"/>
    <m/>
    <x v="0"/>
    <m/>
    <m/>
    <x v="0"/>
    <x v="0"/>
    <m/>
    <x v="0"/>
    <x v="0"/>
  </r>
  <r>
    <n v="1600"/>
    <s v="1600 | HR"/>
    <x v="17"/>
    <x v="5"/>
    <x v="21"/>
    <x v="6"/>
    <s v="HR-Manager"/>
    <x v="5"/>
    <d v="2023-03-08T03:56:27"/>
    <x v="657"/>
    <x v="197"/>
    <n v="7"/>
    <d v="2023-03-29T03:56:27"/>
    <s v="Yes"/>
    <d v="2023-03-27T03:56:27"/>
    <x v="0"/>
    <x v="4"/>
    <m/>
    <m/>
    <m/>
    <m/>
    <d v="2023-03-30T03:56:27"/>
    <m/>
    <x v="0"/>
    <m/>
    <m/>
    <m/>
    <m/>
    <s v="Candidate"/>
    <m/>
    <s v="C2132"/>
    <s v="Candidate_1132"/>
    <s v="09/03/2023"/>
    <x v="1"/>
    <s v="Linkedin"/>
    <n v="6"/>
    <m/>
    <x v="0"/>
    <m/>
    <m/>
    <x v="0"/>
    <x v="0"/>
    <m/>
    <x v="1"/>
    <x v="0"/>
  </r>
  <r>
    <n v="1598"/>
    <s v="1598 | HR"/>
    <x v="15"/>
    <x v="5"/>
    <x v="21"/>
    <x v="6"/>
    <s v="HR-Manager"/>
    <x v="5"/>
    <d v="2023-03-10T03:56:27"/>
    <x v="658"/>
    <x v="197"/>
    <n v="5"/>
    <d v="2023-04-05T03:56:27"/>
    <s v="Yes"/>
    <d v="2023-03-26T03:56:27"/>
    <x v="0"/>
    <x v="0"/>
    <m/>
    <m/>
    <m/>
    <m/>
    <d v="2023-03-29T03:56:27"/>
    <m/>
    <x v="0"/>
    <m/>
    <m/>
    <m/>
    <m/>
    <s v="Company"/>
    <m/>
    <s v="C2133"/>
    <s v="Candidate_1133"/>
    <s v="03-16-2023"/>
    <x v="2"/>
    <s v="Job Board"/>
    <n v="6"/>
    <m/>
    <x v="0"/>
    <m/>
    <m/>
    <x v="0"/>
    <x v="0"/>
    <m/>
    <x v="1"/>
    <x v="0"/>
  </r>
  <r>
    <n v="1580"/>
    <s v="1580 | HR"/>
    <x v="15"/>
    <x v="5"/>
    <x v="21"/>
    <x v="6"/>
    <s v="HR-Manager"/>
    <x v="5"/>
    <d v="2022-09-03T17:35:38"/>
    <x v="659"/>
    <x v="100"/>
    <n v="6"/>
    <d v="2022-10-07T17:35:38"/>
    <s v="Yes"/>
    <d v="2022-09-14T17:35:38"/>
    <x v="0"/>
    <x v="5"/>
    <m/>
    <m/>
    <m/>
    <m/>
    <d v="2022-09-16T17:35:38"/>
    <m/>
    <x v="0"/>
    <m/>
    <m/>
    <m/>
    <m/>
    <s v="Candidate"/>
    <m/>
    <s v="C2134"/>
    <s v="Candidate_1134"/>
    <s v="09-07-2022"/>
    <x v="2"/>
    <s v="Job Board"/>
    <n v="6"/>
    <m/>
    <x v="0"/>
    <m/>
    <m/>
    <x v="0"/>
    <x v="0"/>
    <m/>
    <x v="1"/>
    <x v="0"/>
  </r>
  <r>
    <n v="1571"/>
    <s v="1571 | HR"/>
    <x v="16"/>
    <x v="5"/>
    <x v="21"/>
    <x v="6"/>
    <s v="HR-Manager"/>
    <x v="5"/>
    <d v="2022-09-04T17:35:38"/>
    <x v="660"/>
    <x v="100"/>
    <n v="5"/>
    <d v="2022-10-09T17:35:38"/>
    <s v="Yes"/>
    <d v="2022-09-23T17:35:38"/>
    <x v="0"/>
    <x v="2"/>
    <m/>
    <m/>
    <m/>
    <m/>
    <m/>
    <m/>
    <x v="0"/>
    <m/>
    <m/>
    <m/>
    <m/>
    <s v="Company"/>
    <m/>
    <s v="C2135"/>
    <s v="Candidate_1135"/>
    <s v="09-13-2022"/>
    <x v="2"/>
    <s v="Job Board"/>
    <n v="3"/>
    <m/>
    <x v="0"/>
    <m/>
    <m/>
    <x v="0"/>
    <x v="0"/>
    <m/>
    <x v="1"/>
    <x v="0"/>
  </r>
  <r>
    <n v="1537"/>
    <s v="1537 | HR"/>
    <x v="16"/>
    <x v="5"/>
    <x v="21"/>
    <x v="6"/>
    <s v="HR-Manager"/>
    <x v="5"/>
    <d v="2023-05-04T13:06:51"/>
    <x v="357"/>
    <x v="119"/>
    <n v="10"/>
    <d v="2023-05-30T13:06:51"/>
    <s v="Yes"/>
    <d v="2023-05-19T13:06:51"/>
    <x v="0"/>
    <x v="2"/>
    <m/>
    <m/>
    <m/>
    <m/>
    <d v="2023-05-22T13:06:51"/>
    <m/>
    <x v="0"/>
    <m/>
    <m/>
    <m/>
    <m/>
    <s v="Candidate"/>
    <m/>
    <s v="C2136"/>
    <s v="Candidate_1136"/>
    <s v="May 07 2023"/>
    <x v="1"/>
    <s v="Linkedin"/>
    <n v="6"/>
    <m/>
    <x v="0"/>
    <m/>
    <m/>
    <x v="0"/>
    <x v="0"/>
    <m/>
    <x v="1"/>
    <x v="0"/>
  </r>
  <r>
    <n v="1535"/>
    <s v="1535 | HR"/>
    <x v="16"/>
    <x v="5"/>
    <x v="21"/>
    <x v="6"/>
    <s v="HR-Manager"/>
    <x v="5"/>
    <d v="2023-05-10T13:06:51"/>
    <x v="661"/>
    <x v="119"/>
    <n v="4"/>
    <d v="2023-06-06T13:06:51"/>
    <s v="Yes"/>
    <d v="2023-05-25T13:06:51"/>
    <x v="0"/>
    <x v="3"/>
    <m/>
    <m/>
    <m/>
    <m/>
    <d v="2023-05-27T13:06:51"/>
    <m/>
    <x v="0"/>
    <m/>
    <m/>
    <m/>
    <m/>
    <s v="Candidate"/>
    <m/>
    <s v="C2137"/>
    <s v="Candidate_1137"/>
    <s v="16/05/2023"/>
    <x v="2"/>
    <s v="Job Board"/>
    <n v="6"/>
    <m/>
    <x v="0"/>
    <m/>
    <m/>
    <x v="0"/>
    <x v="0"/>
    <m/>
    <x v="1"/>
    <x v="0"/>
  </r>
  <r>
    <n v="1496"/>
    <s v="1496 | HR"/>
    <x v="16"/>
    <x v="5"/>
    <x v="21"/>
    <x v="6"/>
    <s v="HR-Manager"/>
    <x v="5"/>
    <d v="2022-05-14T13:40:01"/>
    <x v="662"/>
    <x v="198"/>
    <n v="6"/>
    <d v="2022-06-11T13:40:01"/>
    <s v="Yes"/>
    <d v="2022-05-23T13:40:01"/>
    <x v="0"/>
    <x v="5"/>
    <m/>
    <m/>
    <m/>
    <m/>
    <d v="2022-05-27T13:40:01"/>
    <m/>
    <x v="0"/>
    <m/>
    <m/>
    <m/>
    <m/>
    <s v="Company"/>
    <m/>
    <s v="C2138"/>
    <s v="Candidate_1138"/>
    <s v="May 08 2022"/>
    <x v="1"/>
    <s v="Linkedin"/>
    <n v="3"/>
    <m/>
    <x v="0"/>
    <m/>
    <m/>
    <x v="0"/>
    <x v="0"/>
    <m/>
    <x v="1"/>
    <x v="0"/>
  </r>
  <r>
    <n v="1493"/>
    <s v="1493 | HR"/>
    <x v="16"/>
    <x v="5"/>
    <x v="21"/>
    <x v="6"/>
    <s v="HR-Manager"/>
    <x v="5"/>
    <d v="2022-05-16T13:40:01"/>
    <x v="0"/>
    <x v="198"/>
    <n v="4"/>
    <d v="2022-06-18T13:40:01"/>
    <s v="Yes"/>
    <d v="2022-05-27T13:40:01"/>
    <x v="0"/>
    <x v="5"/>
    <m/>
    <m/>
    <m/>
    <m/>
    <m/>
    <m/>
    <x v="0"/>
    <m/>
    <m/>
    <m/>
    <m/>
    <s v="Company"/>
    <m/>
    <s v="C2139"/>
    <s v="Candidate_1139"/>
    <s v="May 22 2022"/>
    <x v="0"/>
    <s v="Referral"/>
    <n v="6"/>
    <m/>
    <x v="0"/>
    <m/>
    <m/>
    <x v="0"/>
    <x v="0"/>
    <m/>
    <x v="0"/>
    <x v="0"/>
  </r>
  <r>
    <n v="1492"/>
    <s v="1492 | HR"/>
    <x v="15"/>
    <x v="5"/>
    <x v="21"/>
    <x v="6"/>
    <s v="HR-Manager"/>
    <x v="5"/>
    <m/>
    <x v="663"/>
    <x v="198"/>
    <n v="44701.569456018522"/>
    <d v="2022-06-18T13:40:01"/>
    <s v="Yes"/>
    <d v="2022-06-04T13:40:01"/>
    <x v="0"/>
    <x v="0"/>
    <m/>
    <m/>
    <m/>
    <m/>
    <d v="2022-06-07T13:40:01"/>
    <m/>
    <x v="0"/>
    <m/>
    <m/>
    <m/>
    <m/>
    <s v="Company"/>
    <m/>
    <s v="C2140"/>
    <s v="Candidate_1140"/>
    <s v="May 21 2022"/>
    <x v="0"/>
    <s v="Referral"/>
    <n v="6"/>
    <m/>
    <x v="0"/>
    <m/>
    <m/>
    <x v="0"/>
    <x v="0"/>
    <m/>
    <x v="0"/>
    <x v="0"/>
  </r>
  <r>
    <n v="1362"/>
    <s v="1362 | HR"/>
    <x v="17"/>
    <x v="5"/>
    <x v="21"/>
    <x v="6"/>
    <s v="HR-Manager"/>
    <x v="5"/>
    <d v="2022-10-18T03:55:53"/>
    <x v="630"/>
    <x v="199"/>
    <n v="4"/>
    <d v="2022-11-10T03:55:53"/>
    <s v="Yes"/>
    <d v="2022-11-03T03:55:53"/>
    <x v="0"/>
    <x v="4"/>
    <m/>
    <m/>
    <m/>
    <m/>
    <m/>
    <m/>
    <x v="0"/>
    <m/>
    <m/>
    <m/>
    <m/>
    <s v="Company"/>
    <m/>
    <s v="C2141"/>
    <s v="Candidate_1141"/>
    <s v="15/10/2022"/>
    <x v="1"/>
    <s v="Linkedin"/>
    <n v="3"/>
    <m/>
    <x v="0"/>
    <m/>
    <m/>
    <x v="0"/>
    <x v="0"/>
    <m/>
    <x v="1"/>
    <x v="0"/>
  </r>
  <r>
    <n v="1361"/>
    <s v="1361 | HR"/>
    <x v="16"/>
    <x v="5"/>
    <x v="21"/>
    <x v="6"/>
    <s v="HR-Manager"/>
    <x v="5"/>
    <d v="2022-10-15T03:55:53"/>
    <x v="664"/>
    <x v="199"/>
    <n v="7"/>
    <d v="2022-11-10T03:55:53"/>
    <s v="Yes"/>
    <d v="2022-10-30T03:55:53"/>
    <x v="0"/>
    <x v="5"/>
    <m/>
    <m/>
    <m/>
    <m/>
    <m/>
    <m/>
    <x v="0"/>
    <m/>
    <m/>
    <m/>
    <m/>
    <s v="Candidate"/>
    <m/>
    <s v="C2142"/>
    <s v="Candidate_1142"/>
    <s v="10-19-2022"/>
    <x v="1"/>
    <s v="Linkedin"/>
    <n v="6"/>
    <m/>
    <x v="0"/>
    <m/>
    <m/>
    <x v="0"/>
    <x v="0"/>
    <m/>
    <x v="1"/>
    <x v="0"/>
  </r>
  <r>
    <n v="1218"/>
    <s v="1218 | HR"/>
    <x v="15"/>
    <x v="5"/>
    <x v="21"/>
    <x v="6"/>
    <s v="HR-Manager"/>
    <x v="5"/>
    <d v="2023-07-28T00:06:13"/>
    <x v="665"/>
    <x v="104"/>
    <n v="3"/>
    <d v="2023-08-06T00:06:13"/>
    <s v="Yes"/>
    <d v="2023-08-16T00:06:13"/>
    <x v="0"/>
    <x v="4"/>
    <m/>
    <m/>
    <m/>
    <m/>
    <d v="2023-08-18T00:06:13"/>
    <m/>
    <x v="0"/>
    <m/>
    <m/>
    <m/>
    <m/>
    <s v="Company"/>
    <m/>
    <s v="C2143"/>
    <s v="Candidate_1143"/>
    <s v="29/07/2023"/>
    <x v="2"/>
    <s v="Job Board"/>
    <n v="3"/>
    <m/>
    <x v="0"/>
    <m/>
    <m/>
    <x v="0"/>
    <x v="0"/>
    <m/>
    <x v="1"/>
    <x v="0"/>
  </r>
  <r>
    <n v="1190"/>
    <s v="1190 | HR"/>
    <x v="16"/>
    <x v="5"/>
    <x v="21"/>
    <x v="6"/>
    <s v="HR-Manager"/>
    <x v="5"/>
    <d v="2023-05-26T18:50:13"/>
    <x v="666"/>
    <x v="105"/>
    <n v="8"/>
    <d v="2023-06-17T18:50:13"/>
    <s v="Yes"/>
    <d v="2023-06-09T18:50:13"/>
    <x v="0"/>
    <x v="0"/>
    <m/>
    <m/>
    <m/>
    <m/>
    <d v="2023-06-10T18:50:13"/>
    <m/>
    <x v="0"/>
    <m/>
    <m/>
    <m/>
    <m/>
    <s v="Company"/>
    <m/>
    <s v="C2144"/>
    <s v="Candidate_1144"/>
    <s v="23/05/2023"/>
    <x v="2"/>
    <s v="Job Board"/>
    <n v="3"/>
    <m/>
    <x v="0"/>
    <m/>
    <m/>
    <x v="0"/>
    <x v="0"/>
    <m/>
    <x v="1"/>
    <x v="0"/>
  </r>
  <r>
    <n v="1187"/>
    <s v="1187 | HR"/>
    <x v="16"/>
    <x v="5"/>
    <x v="21"/>
    <x v="6"/>
    <s v="HR-Manager"/>
    <x v="5"/>
    <d v="2023-05-31T18:50:13"/>
    <x v="667"/>
    <x v="105"/>
    <n v="3"/>
    <d v="2023-06-23T18:50:13"/>
    <s v="Yes"/>
    <d v="2023-06-10T18:50:13"/>
    <x v="0"/>
    <x v="2"/>
    <m/>
    <m/>
    <m/>
    <m/>
    <d v="2023-06-14T18:50:13"/>
    <m/>
    <x v="0"/>
    <m/>
    <m/>
    <m/>
    <m/>
    <s v="Candidate"/>
    <m/>
    <s v="C2145"/>
    <s v="Candidate_1145"/>
    <s v="Jun 02 2023"/>
    <x v="0"/>
    <s v="Referral"/>
    <n v="6"/>
    <m/>
    <x v="0"/>
    <m/>
    <m/>
    <x v="0"/>
    <x v="0"/>
    <m/>
    <x v="1"/>
    <x v="0"/>
  </r>
  <r>
    <n v="1121"/>
    <s v="1121 | HR"/>
    <x v="17"/>
    <x v="5"/>
    <x v="21"/>
    <x v="6"/>
    <s v="HR-Manager"/>
    <x v="5"/>
    <d v="2023-06-21T13:28:38"/>
    <x v="668"/>
    <x v="106"/>
    <n v="4"/>
    <d v="2023-07-03T13:28:38"/>
    <s v="Yes"/>
    <d v="2023-07-01T13:28:38"/>
    <x v="0"/>
    <x v="5"/>
    <m/>
    <m/>
    <m/>
    <m/>
    <m/>
    <m/>
    <x v="0"/>
    <m/>
    <m/>
    <m/>
    <m/>
    <s v="Company"/>
    <m/>
    <s v="C2146"/>
    <s v="Candidate_1146"/>
    <s v="06-12-2023"/>
    <x v="2"/>
    <s v="Job Board"/>
    <n v="3"/>
    <m/>
    <x v="0"/>
    <m/>
    <m/>
    <x v="0"/>
    <x v="0"/>
    <m/>
    <x v="1"/>
    <x v="0"/>
  </r>
  <r>
    <n v="1083"/>
    <s v="1083 | HR"/>
    <x v="15"/>
    <x v="5"/>
    <x v="21"/>
    <x v="6"/>
    <s v="HR-Manager"/>
    <x v="5"/>
    <m/>
    <x v="669"/>
    <x v="107"/>
    <n v="44899.976215277777"/>
    <d v="2022-12-16T23:25:45"/>
    <s v="Yes"/>
    <d v="2022-12-08T23:25:45"/>
    <x v="0"/>
    <x v="5"/>
    <m/>
    <m/>
    <m/>
    <m/>
    <m/>
    <m/>
    <x v="0"/>
    <m/>
    <m/>
    <m/>
    <m/>
    <s v="Candidate"/>
    <m/>
    <s v="C2147"/>
    <s v="Candidate_1147"/>
    <s v="Nov 26 2022"/>
    <x v="2"/>
    <s v="Job Board"/>
    <n v="6"/>
    <m/>
    <x v="0"/>
    <m/>
    <m/>
    <x v="0"/>
    <x v="0"/>
    <m/>
    <x v="0"/>
    <x v="0"/>
  </r>
  <r>
    <n v="2949"/>
    <s v="2949 | HR"/>
    <x v="16"/>
    <x v="5"/>
    <x v="22"/>
    <x v="17"/>
    <s v="HR-Screening Associate"/>
    <x v="0"/>
    <d v="2022-06-12T11:38:00"/>
    <x v="670"/>
    <x v="203"/>
    <n v="11"/>
    <d v="2022-08-07T11:38:00"/>
    <s v="Yes"/>
    <d v="2022-07-01T11:38:00"/>
    <x v="0"/>
    <x v="4"/>
    <m/>
    <m/>
    <m/>
    <m/>
    <d v="2022-07-04T11:38:00"/>
    <m/>
    <x v="0"/>
    <m/>
    <m/>
    <m/>
    <m/>
    <s v="Company"/>
    <m/>
    <s v="C2148"/>
    <s v="Candidate_1148"/>
    <s v="06-19-2022"/>
    <x v="0"/>
    <s v="Referral"/>
    <n v="6"/>
    <m/>
    <x v="0"/>
    <m/>
    <m/>
    <x v="0"/>
    <x v="0"/>
    <m/>
    <x v="1"/>
    <x v="0"/>
  </r>
  <r>
    <n v="2945"/>
    <s v="2945 | HR"/>
    <x v="15"/>
    <x v="5"/>
    <x v="22"/>
    <x v="17"/>
    <s v="HR-Screening Associate"/>
    <x v="0"/>
    <d v="2022-06-12T11:38:00"/>
    <x v="671"/>
    <x v="204"/>
    <n v="10"/>
    <d v="2022-08-06T11:38:00"/>
    <s v="Yes"/>
    <d v="2022-07-05T11:38:00"/>
    <x v="1"/>
    <x v="1"/>
    <d v="2022-07-11T11:38:00"/>
    <s v="Declined"/>
    <m/>
    <m/>
    <d v="2022-07-09T11:38:00"/>
    <m/>
    <x v="0"/>
    <m/>
    <m/>
    <m/>
    <m/>
    <m/>
    <m/>
    <s v="C2149"/>
    <s v="Candidate_1149"/>
    <s v="06-29-2022"/>
    <x v="2"/>
    <s v="Job Board"/>
    <n v="3"/>
    <m/>
    <x v="0"/>
    <m/>
    <m/>
    <x v="0"/>
    <x v="0"/>
    <m/>
    <x v="1"/>
    <x v="0"/>
  </r>
  <r>
    <n v="2944"/>
    <s v="2944 | HR"/>
    <x v="17"/>
    <x v="5"/>
    <x v="22"/>
    <x v="17"/>
    <s v="HR-Screening Associate"/>
    <x v="0"/>
    <d v="2022-06-14T11:38:00"/>
    <x v="611"/>
    <x v="195"/>
    <n v="12"/>
    <d v="2022-08-10T11:38:00"/>
    <s v="Yes"/>
    <d v="2022-06-26T11:38:00"/>
    <x v="4"/>
    <x v="1"/>
    <d v="2022-07-02T11:38:00"/>
    <s v="Pending"/>
    <m/>
    <m/>
    <d v="2022-06-29T11:38:00"/>
    <m/>
    <x v="0"/>
    <m/>
    <m/>
    <m/>
    <m/>
    <m/>
    <m/>
    <s v="C2150"/>
    <s v="Candidate_1150"/>
    <s v="06-12-2022"/>
    <x v="2"/>
    <s v="Job Board"/>
    <n v="3"/>
    <m/>
    <x v="0"/>
    <m/>
    <m/>
    <x v="0"/>
    <x v="0"/>
    <m/>
    <x v="1"/>
    <x v="0"/>
  </r>
  <r>
    <n v="2899"/>
    <s v="2899 | HR"/>
    <x v="17"/>
    <x v="5"/>
    <x v="22"/>
    <x v="17"/>
    <s v="HR-Screening Associate"/>
    <x v="0"/>
    <d v="2023-02-06T16:21:51"/>
    <x v="323"/>
    <x v="91"/>
    <n v="9"/>
    <d v="2023-04-01T16:21:51"/>
    <s v="Yes"/>
    <d v="2023-02-28T16:21:51"/>
    <x v="1"/>
    <x v="1"/>
    <d v="2023-03-05T16:21:51"/>
    <s v="Declined"/>
    <m/>
    <m/>
    <d v="2023-03-02T16:21:51"/>
    <m/>
    <x v="0"/>
    <m/>
    <m/>
    <m/>
    <m/>
    <m/>
    <m/>
    <s v="C2151"/>
    <s v="Candidate_1151"/>
    <s v="17/02/2023"/>
    <x v="0"/>
    <s v="Referral"/>
    <n v="6"/>
    <m/>
    <x v="0"/>
    <m/>
    <m/>
    <x v="0"/>
    <x v="0"/>
    <m/>
    <x v="1"/>
    <x v="0"/>
  </r>
  <r>
    <n v="2898"/>
    <s v="2898 | HR"/>
    <x v="17"/>
    <x v="5"/>
    <x v="22"/>
    <x v="17"/>
    <s v="HR-Screening Associate"/>
    <x v="0"/>
    <d v="2023-02-03T16:21:51"/>
    <x v="354"/>
    <x v="117"/>
    <n v="10"/>
    <d v="2023-03-30T16:21:51"/>
    <s v="Yes"/>
    <d v="2023-02-17T16:21:51"/>
    <x v="1"/>
    <x v="1"/>
    <d v="2023-02-22T16:21:51"/>
    <s v="Declined"/>
    <m/>
    <m/>
    <d v="2023-02-19T16:21:51"/>
    <m/>
    <x v="0"/>
    <m/>
    <m/>
    <m/>
    <m/>
    <m/>
    <m/>
    <s v="C2152"/>
    <s v="Candidate_1152"/>
    <s v="09/02/2023"/>
    <x v="2"/>
    <s v="Job Board"/>
    <n v="3"/>
    <m/>
    <x v="0"/>
    <m/>
    <m/>
    <x v="0"/>
    <x v="0"/>
    <m/>
    <x v="1"/>
    <x v="0"/>
  </r>
  <r>
    <n v="2727"/>
    <s v="2727 | HR"/>
    <x v="15"/>
    <x v="5"/>
    <x v="22"/>
    <x v="17"/>
    <s v="HR-Screening Associate"/>
    <x v="0"/>
    <d v="2023-05-17T05:58:29"/>
    <x v="672"/>
    <x v="92"/>
    <n v="8"/>
    <d v="2023-06-16T05:58:29"/>
    <s v="Yes"/>
    <d v="2023-06-07T05:58:29"/>
    <x v="1"/>
    <x v="1"/>
    <d v="2023-06-10T05:58:29"/>
    <s v="Declined"/>
    <m/>
    <m/>
    <d v="2023-06-09T05:58:29"/>
    <m/>
    <x v="0"/>
    <m/>
    <m/>
    <m/>
    <m/>
    <m/>
    <m/>
    <s v="C2153"/>
    <s v="Candidate_1153"/>
    <s v="19/05/2023"/>
    <x v="0"/>
    <s v="Referral"/>
    <n v="6"/>
    <m/>
    <x v="0"/>
    <m/>
    <m/>
    <x v="0"/>
    <x v="0"/>
    <m/>
    <x v="1"/>
    <x v="0"/>
  </r>
  <r>
    <n v="2722"/>
    <s v="2722 | HR"/>
    <x v="17"/>
    <x v="5"/>
    <x v="22"/>
    <x v="17"/>
    <s v="HR-Screening Associate"/>
    <x v="0"/>
    <d v="2023-05-15T05:58:29"/>
    <x v="672"/>
    <x v="92"/>
    <n v="10"/>
    <d v="2023-06-21T05:58:29"/>
    <s v="Yes"/>
    <d v="2023-05-29T05:58:29"/>
    <x v="0"/>
    <x v="2"/>
    <m/>
    <m/>
    <m/>
    <m/>
    <m/>
    <m/>
    <x v="0"/>
    <m/>
    <m/>
    <m/>
    <m/>
    <s v="Company"/>
    <m/>
    <s v="C2154"/>
    <s v="Candidate_1154"/>
    <s v="23/05/2023"/>
    <x v="1"/>
    <s v="Linkedin"/>
    <n v="3"/>
    <m/>
    <x v="0"/>
    <m/>
    <m/>
    <x v="0"/>
    <x v="0"/>
    <m/>
    <x v="1"/>
    <x v="0"/>
  </r>
  <r>
    <n v="2646"/>
    <s v="2646 | HR"/>
    <x v="16"/>
    <x v="5"/>
    <x v="22"/>
    <x v="17"/>
    <s v="HR-Screening Associate"/>
    <x v="0"/>
    <m/>
    <x v="651"/>
    <x v="130"/>
    <n v="44593.587569444448"/>
    <d v="2022-02-16T14:06:06"/>
    <s v="Yes"/>
    <d v="2022-02-09T14:06:06"/>
    <x v="3"/>
    <x v="1"/>
    <d v="2022-02-15T14:06:06"/>
    <s v="Accepted"/>
    <d v="2022-02-11T14:06:06"/>
    <d v="2022-02-14T14:06:06"/>
    <d v="2022-02-11T14:06:06"/>
    <d v="2022-02-15T14:06:06"/>
    <x v="1"/>
    <d v="2022-02-16T14:06:06"/>
    <d v="2022-02-18T14:06:06"/>
    <d v="2022-02-20T14:06:06"/>
    <m/>
    <m/>
    <d v="2022-03-04T14:06:06"/>
    <s v="C2155"/>
    <s v="Candidate_1155"/>
    <s v="Feb 01 2022"/>
    <x v="0"/>
    <s v="Referral"/>
    <n v="6"/>
    <m/>
    <x v="0"/>
    <m/>
    <m/>
    <x v="0"/>
    <x v="0"/>
    <m/>
    <x v="0"/>
    <x v="0"/>
  </r>
  <r>
    <n v="2586"/>
    <s v="2586 | HR"/>
    <x v="17"/>
    <x v="5"/>
    <x v="22"/>
    <x v="17"/>
    <s v="HR-Screening Associate"/>
    <x v="0"/>
    <d v="2022-08-11T00:55:27"/>
    <x v="597"/>
    <x v="190"/>
    <n v="7"/>
    <d v="2022-09-07T00:55:27"/>
    <s v="Yes"/>
    <d v="2022-08-24T00:55:27"/>
    <x v="0"/>
    <x v="2"/>
    <m/>
    <m/>
    <m/>
    <m/>
    <d v="2022-08-27T00:55:27"/>
    <m/>
    <x v="0"/>
    <m/>
    <m/>
    <m/>
    <m/>
    <s v="Candidate"/>
    <m/>
    <s v="C2156"/>
    <s v="Candidate_1156"/>
    <s v="19/08/2022"/>
    <x v="1"/>
    <s v="Linkedin"/>
    <n v="6"/>
    <m/>
    <x v="0"/>
    <m/>
    <m/>
    <x v="0"/>
    <x v="0"/>
    <m/>
    <x v="1"/>
    <x v="0"/>
  </r>
  <r>
    <n v="2414"/>
    <s v="2414 | HR"/>
    <x v="15"/>
    <x v="5"/>
    <x v="22"/>
    <x v="17"/>
    <s v="HR-Screening Associate"/>
    <x v="0"/>
    <d v="2023-03-23T14:35:51"/>
    <x v="673"/>
    <x v="131"/>
    <n v="7"/>
    <d v="2023-04-10T14:35:51"/>
    <s v="Yes"/>
    <d v="2023-04-16T14:35:51"/>
    <x v="0"/>
    <x v="0"/>
    <m/>
    <m/>
    <m/>
    <m/>
    <m/>
    <m/>
    <x v="0"/>
    <m/>
    <m/>
    <m/>
    <m/>
    <s v="Company"/>
    <m/>
    <s v="C2157"/>
    <s v="Candidate_1157"/>
    <s v="Apr 04 2023"/>
    <x v="0"/>
    <s v="Referral"/>
    <n v="6"/>
    <m/>
    <x v="0"/>
    <m/>
    <m/>
    <x v="0"/>
    <x v="0"/>
    <m/>
    <x v="1"/>
    <x v="0"/>
  </r>
  <r>
    <n v="2145"/>
    <s v="2145 | HR"/>
    <x v="17"/>
    <x v="5"/>
    <x v="22"/>
    <x v="17"/>
    <s v="HR-Screening Associate"/>
    <x v="0"/>
    <d v="2022-07-05T19:56:24"/>
    <x v="674"/>
    <x v="95"/>
    <n v="7"/>
    <d v="2022-07-21T19:56:24"/>
    <s v="Yes"/>
    <d v="2022-07-25T19:56:24"/>
    <x v="0"/>
    <x v="4"/>
    <m/>
    <m/>
    <m/>
    <m/>
    <d v="2022-07-26T19:56:24"/>
    <m/>
    <x v="0"/>
    <m/>
    <m/>
    <m/>
    <m/>
    <s v="Company"/>
    <m/>
    <s v="C2158"/>
    <s v="Candidate_1158"/>
    <s v="Jul 09 2022"/>
    <x v="2"/>
    <s v="Job Board"/>
    <n v="3"/>
    <m/>
    <x v="0"/>
    <m/>
    <m/>
    <x v="0"/>
    <x v="0"/>
    <m/>
    <x v="1"/>
    <x v="0"/>
  </r>
  <r>
    <n v="1912"/>
    <s v="1912 | HR"/>
    <x v="16"/>
    <x v="5"/>
    <x v="22"/>
    <x v="17"/>
    <s v="HR-Screening Associate"/>
    <x v="0"/>
    <d v="2022-05-03T21:24:39"/>
    <x v="675"/>
    <x v="193"/>
    <n v="5"/>
    <d v="2022-05-26T21:24:39"/>
    <s v="Yes"/>
    <d v="2022-05-15T21:24:39"/>
    <x v="0"/>
    <x v="5"/>
    <m/>
    <m/>
    <m/>
    <m/>
    <d v="2022-05-16T21:24:39"/>
    <m/>
    <x v="0"/>
    <m/>
    <m/>
    <m/>
    <m/>
    <s v="Company"/>
    <m/>
    <s v="C2159"/>
    <s v="Candidate_1159"/>
    <s v="May 09 2022"/>
    <x v="1"/>
    <s v="Linkedin"/>
    <n v="3"/>
    <m/>
    <x v="0"/>
    <m/>
    <m/>
    <x v="0"/>
    <x v="0"/>
    <m/>
    <x v="1"/>
    <x v="0"/>
  </r>
  <r>
    <n v="1908"/>
    <s v="1908 | HR"/>
    <x v="17"/>
    <x v="5"/>
    <x v="22"/>
    <x v="17"/>
    <s v="HR-Screening Associate"/>
    <x v="0"/>
    <m/>
    <x v="622"/>
    <x v="96"/>
    <n v="45001.686469907407"/>
    <d v="2023-04-02T16:28:31"/>
    <s v="Yes"/>
    <d v="2023-03-29T16:28:31"/>
    <x v="0"/>
    <x v="0"/>
    <m/>
    <m/>
    <m/>
    <m/>
    <m/>
    <m/>
    <x v="0"/>
    <m/>
    <m/>
    <m/>
    <m/>
    <s v="Company"/>
    <m/>
    <s v="C2160"/>
    <s v="Candidate_1160"/>
    <s v="03-15-2023"/>
    <x v="1"/>
    <s v="Linkedin"/>
    <n v="3"/>
    <m/>
    <x v="0"/>
    <m/>
    <m/>
    <x v="0"/>
    <x v="0"/>
    <m/>
    <x v="0"/>
    <x v="0"/>
  </r>
  <r>
    <n v="1741"/>
    <s v="1741 | HR"/>
    <x v="17"/>
    <x v="5"/>
    <x v="22"/>
    <x v="17"/>
    <s v="HR-Screening Associate"/>
    <x v="0"/>
    <m/>
    <x v="676"/>
    <x v="133"/>
    <n v="44953.798078703701"/>
    <d v="2023-02-16T19:09:14"/>
    <s v="Yes"/>
    <d v="2023-02-11T19:09:14"/>
    <x v="0"/>
    <x v="4"/>
    <m/>
    <m/>
    <m/>
    <m/>
    <d v="2023-02-13T19:09:14"/>
    <m/>
    <x v="0"/>
    <m/>
    <m/>
    <m/>
    <m/>
    <s v="Candidate"/>
    <m/>
    <s v="C2161"/>
    <s v="Candidate_1161"/>
    <s v="Feb 02 2023"/>
    <x v="0"/>
    <s v="Referral"/>
    <n v="3"/>
    <m/>
    <x v="0"/>
    <m/>
    <m/>
    <x v="0"/>
    <x v="0"/>
    <m/>
    <x v="0"/>
    <x v="0"/>
  </r>
  <r>
    <n v="1611"/>
    <s v="1611 | HR"/>
    <x v="15"/>
    <x v="5"/>
    <x v="22"/>
    <x v="17"/>
    <s v="HR-Screening Associate"/>
    <x v="0"/>
    <d v="2022-10-17T22:49:43"/>
    <x v="677"/>
    <x v="202"/>
    <n v="7"/>
    <d v="2022-11-20T22:49:43"/>
    <s v="Yes"/>
    <d v="2022-11-05T22:49:43"/>
    <x v="0"/>
    <x v="3"/>
    <m/>
    <m/>
    <m/>
    <m/>
    <d v="2022-11-07T22:49:43"/>
    <m/>
    <x v="0"/>
    <m/>
    <m/>
    <m/>
    <m/>
    <s v="Candidate"/>
    <m/>
    <s v="C2162"/>
    <s v="Candidate_1162"/>
    <s v="22/10/2022"/>
    <x v="0"/>
    <s v="Referral"/>
    <n v="6"/>
    <m/>
    <x v="0"/>
    <m/>
    <m/>
    <x v="0"/>
    <x v="0"/>
    <m/>
    <x v="1"/>
    <x v="0"/>
  </r>
  <r>
    <n v="1540"/>
    <s v="1540 | HR"/>
    <x v="17"/>
    <x v="5"/>
    <x v="22"/>
    <x v="17"/>
    <s v="HR-Screening Associate"/>
    <x v="0"/>
    <d v="2023-05-07T13:06:51"/>
    <x v="678"/>
    <x v="119"/>
    <n v="7"/>
    <d v="2023-05-23T13:06:51"/>
    <s v="Yes"/>
    <d v="2023-05-23T13:06:51"/>
    <x v="1"/>
    <x v="1"/>
    <d v="2023-05-27T13:06:51"/>
    <s v="Declined"/>
    <m/>
    <m/>
    <d v="2023-05-26T13:06:51"/>
    <m/>
    <x v="0"/>
    <m/>
    <m/>
    <m/>
    <m/>
    <m/>
    <m/>
    <s v="C2163"/>
    <s v="Candidate_1163"/>
    <s v="18/05/2023"/>
    <x v="1"/>
    <s v="Linkedin"/>
    <n v="3"/>
    <m/>
    <x v="0"/>
    <m/>
    <m/>
    <x v="0"/>
    <x v="0"/>
    <m/>
    <x v="1"/>
    <x v="0"/>
  </r>
  <r>
    <n v="1508"/>
    <s v="1508 | HR"/>
    <x v="17"/>
    <x v="5"/>
    <x v="22"/>
    <x v="17"/>
    <s v="HR-Screening Associate"/>
    <x v="0"/>
    <m/>
    <x v="679"/>
    <x v="101"/>
    <n v="44762.346215277779"/>
    <d v="2022-08-17T08:18:33"/>
    <s v="Yes"/>
    <d v="2022-08-04T08:18:33"/>
    <x v="0"/>
    <x v="2"/>
    <m/>
    <m/>
    <m/>
    <m/>
    <m/>
    <m/>
    <x v="0"/>
    <m/>
    <m/>
    <m/>
    <m/>
    <s v="Candidate"/>
    <m/>
    <s v="C2164"/>
    <s v="Candidate_1164"/>
    <s v="07-29-2022"/>
    <x v="1"/>
    <s v="Linkedin"/>
    <n v="3"/>
    <m/>
    <x v="0"/>
    <m/>
    <m/>
    <x v="0"/>
    <x v="0"/>
    <m/>
    <x v="0"/>
    <x v="0"/>
  </r>
  <r>
    <n v="1505"/>
    <s v="1505 | HR"/>
    <x v="16"/>
    <x v="5"/>
    <x v="22"/>
    <x v="17"/>
    <s v="HR-Screening Associate"/>
    <x v="0"/>
    <m/>
    <x v="0"/>
    <x v="101"/>
    <n v="44762.346215277779"/>
    <d v="2022-07-30T08:18:33"/>
    <s v="Yes"/>
    <d v="2022-08-01T08:18:33"/>
    <x v="0"/>
    <x v="3"/>
    <m/>
    <m/>
    <m/>
    <m/>
    <d v="2022-08-03T08:18:33"/>
    <m/>
    <x v="0"/>
    <m/>
    <m/>
    <m/>
    <m/>
    <s v="Company"/>
    <m/>
    <s v="C2165"/>
    <s v="Candidate_1165"/>
    <s v="Jul 16 2022"/>
    <x v="2"/>
    <s v="Job Board"/>
    <n v="3"/>
    <m/>
    <x v="0"/>
    <m/>
    <m/>
    <x v="0"/>
    <x v="0"/>
    <m/>
    <x v="0"/>
    <x v="0"/>
  </r>
  <r>
    <n v="1500"/>
    <s v="1500 | HR"/>
    <x v="16"/>
    <x v="5"/>
    <x v="22"/>
    <x v="17"/>
    <s v="HR-Screening Associate"/>
    <x v="0"/>
    <d v="2022-05-13T13:40:01"/>
    <x v="0"/>
    <x v="4"/>
    <n v="-44694.569456018522"/>
    <d v="2022-06-03T13:40:01"/>
    <s v="Yes"/>
    <d v="2022-05-28T13:40:01"/>
    <x v="0"/>
    <x v="3"/>
    <m/>
    <m/>
    <m/>
    <m/>
    <d v="2022-05-30T13:40:01"/>
    <m/>
    <x v="0"/>
    <m/>
    <m/>
    <m/>
    <m/>
    <s v="Company"/>
    <m/>
    <s v="C2166"/>
    <s v="Candidate_1166"/>
    <s v="May 20 2022"/>
    <x v="1"/>
    <s v="Linkedin"/>
    <n v="6"/>
    <m/>
    <x v="0"/>
    <m/>
    <m/>
    <x v="0"/>
    <x v="0"/>
    <m/>
    <x v="0"/>
    <x v="0"/>
  </r>
  <r>
    <n v="1499"/>
    <s v="1499 | HR"/>
    <x v="17"/>
    <x v="5"/>
    <x v="22"/>
    <x v="17"/>
    <s v="HR-Screening Associate"/>
    <x v="0"/>
    <m/>
    <x v="680"/>
    <x v="198"/>
    <n v="44701.569456018522"/>
    <d v="2022-06-14T13:40:01"/>
    <s v="Yes"/>
    <d v="2022-05-28T13:40:01"/>
    <x v="0"/>
    <x v="5"/>
    <m/>
    <m/>
    <m/>
    <m/>
    <d v="2022-05-30T13:40:01"/>
    <m/>
    <x v="0"/>
    <m/>
    <m/>
    <m/>
    <m/>
    <s v="Candidate"/>
    <m/>
    <s v="C2167"/>
    <s v="Candidate_1167"/>
    <s v="17/05/2022"/>
    <x v="1"/>
    <s v="Linkedin"/>
    <n v="6"/>
    <m/>
    <x v="0"/>
    <m/>
    <m/>
    <x v="0"/>
    <x v="0"/>
    <m/>
    <x v="0"/>
    <x v="0"/>
  </r>
  <r>
    <n v="1451"/>
    <s v="1451 | HR"/>
    <x v="16"/>
    <x v="5"/>
    <x v="22"/>
    <x v="17"/>
    <s v="HR-Screening Associate"/>
    <x v="0"/>
    <d v="2023-04-08T13:44:16"/>
    <x v="681"/>
    <x v="120"/>
    <n v="5"/>
    <d v="2023-04-25T13:44:16"/>
    <s v="Yes"/>
    <d v="2023-04-25T13:44:16"/>
    <x v="0"/>
    <x v="5"/>
    <m/>
    <m/>
    <m/>
    <m/>
    <d v="2023-04-29T13:44:16"/>
    <m/>
    <x v="0"/>
    <m/>
    <m/>
    <m/>
    <m/>
    <s v="Company"/>
    <m/>
    <s v="C2168"/>
    <s v="Candidate_1168"/>
    <s v="04-19-2023"/>
    <x v="0"/>
    <s v="Referral"/>
    <n v="3"/>
    <m/>
    <x v="0"/>
    <m/>
    <m/>
    <x v="0"/>
    <x v="0"/>
    <m/>
    <x v="1"/>
    <x v="0"/>
  </r>
  <r>
    <n v="1366"/>
    <s v="1366 | HR"/>
    <x v="16"/>
    <x v="5"/>
    <x v="22"/>
    <x v="17"/>
    <s v="HR-Screening Associate"/>
    <x v="0"/>
    <d v="2022-10-20T03:55:53"/>
    <x v="682"/>
    <x v="199"/>
    <n v="2"/>
    <d v="2022-10-29T03:55:53"/>
    <s v="Yes"/>
    <d v="2022-10-31T03:55:53"/>
    <x v="0"/>
    <x v="0"/>
    <m/>
    <m/>
    <m/>
    <m/>
    <d v="2022-11-02T03:55:53"/>
    <m/>
    <x v="0"/>
    <m/>
    <m/>
    <m/>
    <m/>
    <s v="Candidate"/>
    <m/>
    <s v="C2169"/>
    <s v="Candidate_1169"/>
    <s v="10-17-2022"/>
    <x v="2"/>
    <s v="Job Board"/>
    <n v="6"/>
    <m/>
    <x v="0"/>
    <m/>
    <m/>
    <x v="0"/>
    <x v="0"/>
    <m/>
    <x v="1"/>
    <x v="0"/>
  </r>
  <r>
    <n v="1319"/>
    <s v="1319 | HR"/>
    <x v="16"/>
    <x v="5"/>
    <x v="22"/>
    <x v="17"/>
    <s v="HR-Screening Associate"/>
    <x v="0"/>
    <d v="2023-08-09T05:35:37"/>
    <x v="631"/>
    <x v="201"/>
    <n v="8"/>
    <d v="2023-09-06T05:35:37"/>
    <s v="Yes"/>
    <d v="2023-08-27T05:35:37"/>
    <x v="0"/>
    <x v="3"/>
    <m/>
    <m/>
    <m/>
    <m/>
    <d v="2023-08-31T05:35:37"/>
    <m/>
    <x v="0"/>
    <m/>
    <m/>
    <m/>
    <m/>
    <s v="Company"/>
    <m/>
    <s v="C2170"/>
    <s v="Candidate_1170"/>
    <s v="16/08/2023"/>
    <x v="2"/>
    <s v="Job Board"/>
    <n v="6"/>
    <m/>
    <x v="0"/>
    <m/>
    <m/>
    <x v="0"/>
    <x v="0"/>
    <m/>
    <x v="1"/>
    <x v="0"/>
  </r>
  <r>
    <n v="1311"/>
    <s v="1311 | HR"/>
    <x v="15"/>
    <x v="5"/>
    <x v="22"/>
    <x v="17"/>
    <s v="HR-Screening Associate"/>
    <x v="0"/>
    <d v="2023-08-12T05:35:37"/>
    <x v="631"/>
    <x v="201"/>
    <n v="5"/>
    <d v="2023-08-27T05:35:37"/>
    <s v="Yes"/>
    <d v="2023-08-27T05:35:37"/>
    <x v="0"/>
    <x v="3"/>
    <m/>
    <m/>
    <m/>
    <m/>
    <m/>
    <m/>
    <x v="0"/>
    <m/>
    <m/>
    <m/>
    <m/>
    <s v="Company"/>
    <m/>
    <s v="C2171"/>
    <s v="Candidate_1171"/>
    <s v="Aug 12 2023"/>
    <x v="1"/>
    <s v="Linkedin"/>
    <n v="3"/>
    <m/>
    <x v="0"/>
    <m/>
    <m/>
    <x v="0"/>
    <x v="0"/>
    <m/>
    <x v="1"/>
    <x v="0"/>
  </r>
  <r>
    <n v="1279"/>
    <s v="1279 | HR"/>
    <x v="15"/>
    <x v="5"/>
    <x v="22"/>
    <x v="17"/>
    <s v="HR-Screening Associate"/>
    <x v="0"/>
    <d v="2022-05-31T02:35:25"/>
    <x v="683"/>
    <x v="103"/>
    <n v="5"/>
    <d v="2022-06-14T02:35:25"/>
    <s v="Yes"/>
    <d v="2022-06-11T02:35:25"/>
    <x v="0"/>
    <x v="0"/>
    <m/>
    <m/>
    <m/>
    <m/>
    <d v="2022-06-13T02:35:25"/>
    <m/>
    <x v="0"/>
    <m/>
    <m/>
    <m/>
    <m/>
    <s v="Candidate"/>
    <m/>
    <s v="C2172"/>
    <s v="Candidate_1172"/>
    <s v="05/06/2022"/>
    <x v="0"/>
    <s v="Referral"/>
    <n v="3"/>
    <m/>
    <x v="0"/>
    <m/>
    <m/>
    <x v="0"/>
    <x v="0"/>
    <m/>
    <x v="1"/>
    <x v="0"/>
  </r>
  <r>
    <n v="1169"/>
    <s v="1169 | HR"/>
    <x v="17"/>
    <x v="5"/>
    <x v="22"/>
    <x v="17"/>
    <s v="HR-Screening Associate"/>
    <x v="0"/>
    <d v="2023-02-11T20:47:13"/>
    <x v="684"/>
    <x v="194"/>
    <n v="5"/>
    <d v="2023-03-05T20:47:13"/>
    <s v="Yes"/>
    <d v="2023-02-28T20:47:13"/>
    <x v="0"/>
    <x v="3"/>
    <m/>
    <m/>
    <m/>
    <m/>
    <m/>
    <m/>
    <x v="0"/>
    <m/>
    <m/>
    <m/>
    <m/>
    <s v="Company"/>
    <m/>
    <s v="C2173"/>
    <s v="Candidate_1173"/>
    <s v="02-22-2023"/>
    <x v="1"/>
    <s v="Linkedin"/>
    <n v="3"/>
    <m/>
    <x v="0"/>
    <m/>
    <m/>
    <x v="0"/>
    <x v="0"/>
    <m/>
    <x v="1"/>
    <x v="0"/>
  </r>
  <r>
    <n v="1166"/>
    <s v="1166 | HR"/>
    <x v="15"/>
    <x v="5"/>
    <x v="22"/>
    <x v="17"/>
    <s v="HR-Screening Associate"/>
    <x v="0"/>
    <d v="2023-02-07T20:47:13"/>
    <x v="685"/>
    <x v="194"/>
    <n v="9"/>
    <d v="2023-03-17T20:47:13"/>
    <s v="Yes"/>
    <d v="2023-02-24T20:47:13"/>
    <x v="1"/>
    <x v="1"/>
    <d v="2023-03-01T20:47:13"/>
    <s v="Declined"/>
    <m/>
    <m/>
    <d v="2023-02-26T20:47:13"/>
    <m/>
    <x v="0"/>
    <m/>
    <m/>
    <m/>
    <m/>
    <m/>
    <m/>
    <s v="C2174"/>
    <s v="Candidate_1174"/>
    <s v="Feb 14 2023"/>
    <x v="1"/>
    <s v="Linkedin"/>
    <n v="3"/>
    <m/>
    <x v="0"/>
    <m/>
    <m/>
    <x v="0"/>
    <x v="0"/>
    <m/>
    <x v="1"/>
    <x v="0"/>
  </r>
  <r>
    <n v="1137"/>
    <s v="1137 | HR"/>
    <x v="16"/>
    <x v="5"/>
    <x v="22"/>
    <x v="17"/>
    <s v="HR-Screening Associate"/>
    <x v="0"/>
    <d v="2022-03-15T19:06:16"/>
    <x v="686"/>
    <x v="134"/>
    <n v="4"/>
    <d v="2022-03-24T19:06:16"/>
    <s v="Yes"/>
    <d v="2022-03-27T19:06:16"/>
    <x v="1"/>
    <x v="1"/>
    <d v="2022-03-30T19:06:16"/>
    <s v="Declined"/>
    <m/>
    <m/>
    <d v="2022-03-29T19:06:16"/>
    <m/>
    <x v="0"/>
    <m/>
    <m/>
    <m/>
    <m/>
    <m/>
    <m/>
    <s v="C2175"/>
    <s v="Candidate_1175"/>
    <s v="Mar 11 2022"/>
    <x v="2"/>
    <s v="Job Board"/>
    <n v="3"/>
    <m/>
    <x v="0"/>
    <m/>
    <m/>
    <x v="0"/>
    <x v="0"/>
    <m/>
    <x v="1"/>
    <x v="0"/>
  </r>
  <r>
    <n v="1133"/>
    <s v="1133 | HR"/>
    <x v="17"/>
    <x v="5"/>
    <x v="22"/>
    <x v="17"/>
    <s v="HR-Screening Associate"/>
    <x v="0"/>
    <d v="2022-03-14T19:06:16"/>
    <x v="393"/>
    <x v="4"/>
    <n v="-44634.796018518522"/>
    <d v="2022-04-09T19:06:16"/>
    <s v="Yes"/>
    <d v="2022-03-29T19:06:16"/>
    <x v="1"/>
    <x v="1"/>
    <d v="2022-04-02T19:06:16"/>
    <s v="Declined"/>
    <m/>
    <m/>
    <d v="2022-04-01T19:06:16"/>
    <m/>
    <x v="0"/>
    <m/>
    <m/>
    <m/>
    <m/>
    <m/>
    <m/>
    <s v="C2176"/>
    <s v="Candidate_1176"/>
    <s v="03-18-2022"/>
    <x v="1"/>
    <s v="Linkedin"/>
    <n v="3"/>
    <m/>
    <x v="0"/>
    <m/>
    <m/>
    <x v="0"/>
    <x v="0"/>
    <m/>
    <x v="0"/>
    <x v="0"/>
  </r>
  <r>
    <n v="1125"/>
    <s v="1125 | HR"/>
    <x v="16"/>
    <x v="5"/>
    <x v="22"/>
    <x v="17"/>
    <s v="HR-Screening Associate"/>
    <x v="0"/>
    <d v="2023-06-20T13:28:38"/>
    <x v="687"/>
    <x v="106"/>
    <n v="5"/>
    <d v="2023-07-01T13:28:38"/>
    <s v="Yes"/>
    <d v="2023-07-02T13:28:38"/>
    <x v="3"/>
    <x v="1"/>
    <d v="2023-07-08T13:28:38"/>
    <s v="Accepted"/>
    <d v="2023-07-03T13:28:38"/>
    <d v="2023-07-06T13:28:38"/>
    <d v="2023-07-05T13:28:38"/>
    <d v="2023-07-07T13:28:38"/>
    <x v="1"/>
    <d v="2023-07-09T13:28:38"/>
    <d v="2023-07-11T13:28:38"/>
    <d v="2023-07-12T13:28:38"/>
    <m/>
    <m/>
    <d v="2023-07-28T13:28:38"/>
    <s v="C2177"/>
    <s v="Candidate_1177"/>
    <s v="06-15-2023"/>
    <x v="0"/>
    <s v="Referral"/>
    <n v="6"/>
    <m/>
    <x v="0"/>
    <m/>
    <m/>
    <x v="0"/>
    <x v="0"/>
    <m/>
    <x v="124"/>
    <x v="0"/>
  </r>
  <r>
    <n v="1124"/>
    <s v="1124 | HR"/>
    <x v="16"/>
    <x v="5"/>
    <x v="22"/>
    <x v="0"/>
    <s v="HR-Analyst"/>
    <x v="0"/>
    <d v="2023-06-19T13:28:38"/>
    <x v="687"/>
    <x v="4"/>
    <n v="-45096.561550925922"/>
    <d v="2023-07-04T13:28:38"/>
    <s v="Yes"/>
    <d v="2023-06-28T13:28:38"/>
    <x v="0"/>
    <x v="0"/>
    <m/>
    <m/>
    <m/>
    <m/>
    <m/>
    <m/>
    <x v="0"/>
    <m/>
    <m/>
    <m/>
    <m/>
    <s v="Candidate"/>
    <m/>
    <s v="C2178"/>
    <s v="Candidate_1178"/>
    <s v="06-13-2023"/>
    <x v="2"/>
    <s v="Job Board"/>
    <n v="3"/>
    <m/>
    <x v="0"/>
    <m/>
    <m/>
    <x v="0"/>
    <x v="0"/>
    <m/>
    <x v="0"/>
    <x v="0"/>
  </r>
  <r>
    <n v="1090"/>
    <s v="1090 | HR"/>
    <x v="16"/>
    <x v="5"/>
    <x v="22"/>
    <x v="0"/>
    <s v="HR-Analyst"/>
    <x v="0"/>
    <d v="2022-11-26T23:25:45"/>
    <x v="688"/>
    <x v="107"/>
    <n v="8"/>
    <d v="2022-12-23T23:25:45"/>
    <s v="Yes"/>
    <d v="2022-12-19T23:25:45"/>
    <x v="1"/>
    <x v="1"/>
    <d v="2022-12-26T23:25:45"/>
    <s v="Declined"/>
    <m/>
    <m/>
    <d v="2022-12-22T23:25:45"/>
    <m/>
    <x v="0"/>
    <m/>
    <m/>
    <m/>
    <m/>
    <m/>
    <m/>
    <s v="C2179"/>
    <s v="Candidate_1179"/>
    <s v="Dec 08 2022"/>
    <x v="0"/>
    <s v="Referral"/>
    <n v="3"/>
    <m/>
    <x v="0"/>
    <m/>
    <m/>
    <x v="0"/>
    <x v="0"/>
    <m/>
    <x v="1"/>
    <x v="0"/>
  </r>
  <r>
    <n v="1086"/>
    <s v="1086 | HR"/>
    <x v="17"/>
    <x v="5"/>
    <x v="22"/>
    <x v="0"/>
    <s v="HR-Analyst"/>
    <x v="0"/>
    <d v="2022-11-28T23:25:45"/>
    <x v="689"/>
    <x v="107"/>
    <n v="6"/>
    <d v="2022-12-17T23:25:45"/>
    <s v="Yes"/>
    <d v="2022-12-11T23:25:45"/>
    <x v="0"/>
    <x v="3"/>
    <m/>
    <m/>
    <m/>
    <m/>
    <m/>
    <m/>
    <x v="0"/>
    <m/>
    <m/>
    <m/>
    <m/>
    <s v="Company"/>
    <m/>
    <s v="C2180"/>
    <s v="Candidate_1180"/>
    <s v="22/11/2022"/>
    <x v="0"/>
    <s v="Referral"/>
    <n v="6"/>
    <m/>
    <x v="0"/>
    <m/>
    <m/>
    <x v="0"/>
    <x v="0"/>
    <m/>
    <x v="1"/>
    <x v="0"/>
  </r>
  <r>
    <n v="1045"/>
    <s v="1045 | HR"/>
    <x v="16"/>
    <x v="5"/>
    <x v="22"/>
    <x v="0"/>
    <s v="HR-Analyst"/>
    <x v="0"/>
    <d v="2022-11-21T23:03:14"/>
    <x v="609"/>
    <x v="108"/>
    <n v="5"/>
    <d v="2022-12-04T23:03:14"/>
    <s v="Yes"/>
    <d v="2022-12-07T23:03:14"/>
    <x v="0"/>
    <x v="3"/>
    <m/>
    <m/>
    <m/>
    <m/>
    <d v="2022-12-11T23:03:14"/>
    <m/>
    <x v="0"/>
    <m/>
    <m/>
    <m/>
    <m/>
    <s v="Candidate"/>
    <m/>
    <s v="C2181"/>
    <s v="Candidate_1181"/>
    <s v="18/11/2022"/>
    <x v="2"/>
    <s v="Job Board"/>
    <n v="3"/>
    <m/>
    <x v="0"/>
    <m/>
    <m/>
    <x v="0"/>
    <x v="0"/>
    <m/>
    <x v="1"/>
    <x v="0"/>
  </r>
  <r>
    <n v="1025"/>
    <s v="1025 | HR"/>
    <x v="17"/>
    <x v="5"/>
    <x v="22"/>
    <x v="0"/>
    <s v="HR-Analyst"/>
    <x v="0"/>
    <d v="2023-01-28T18:59:14"/>
    <x v="690"/>
    <x v="135"/>
    <n v="4"/>
    <d v="2023-02-26T18:59:14"/>
    <s v="Yes"/>
    <d v="2023-02-08T18:59:14"/>
    <x v="4"/>
    <x v="1"/>
    <d v="2023-02-11T18:59:14"/>
    <s v="Pending"/>
    <m/>
    <m/>
    <d v="2023-02-10T18:59:14"/>
    <m/>
    <x v="0"/>
    <m/>
    <m/>
    <m/>
    <m/>
    <m/>
    <m/>
    <s v="C2182"/>
    <s v="Candidate_1182"/>
    <s v="01-27-2023"/>
    <x v="1"/>
    <s v="Linkedin"/>
    <n v="6"/>
    <m/>
    <x v="0"/>
    <m/>
    <m/>
    <x v="0"/>
    <x v="0"/>
    <m/>
    <x v="1"/>
    <x v="0"/>
  </r>
  <r>
    <n v="1021"/>
    <s v="1021 | HR"/>
    <x v="15"/>
    <x v="5"/>
    <x v="22"/>
    <x v="0"/>
    <s v="HR-Analyst"/>
    <x v="0"/>
    <m/>
    <x v="691"/>
    <x v="135"/>
    <n v="44958.791134259263"/>
    <d v="2023-02-12T18:59:14"/>
    <s v="Yes"/>
    <d v="2023-02-16T18:59:14"/>
    <x v="0"/>
    <x v="5"/>
    <m/>
    <m/>
    <m/>
    <m/>
    <d v="2023-02-18T18:59:14"/>
    <m/>
    <x v="0"/>
    <m/>
    <m/>
    <m/>
    <m/>
    <s v="Company"/>
    <m/>
    <s v="C2183"/>
    <s v="Candidate_1183"/>
    <s v="02-07-2023"/>
    <x v="1"/>
    <s v="Linkedin"/>
    <n v="3"/>
    <m/>
    <x v="0"/>
    <m/>
    <m/>
    <x v="0"/>
    <x v="0"/>
    <m/>
    <x v="0"/>
    <x v="0"/>
  </r>
  <r>
    <n v="2894"/>
    <s v="2894 | HR"/>
    <x v="17"/>
    <x v="5"/>
    <x v="23"/>
    <x v="15"/>
    <s v="HR-Quality Assurance"/>
    <x v="1"/>
    <d v="2023-02-02T16:21:51"/>
    <x v="692"/>
    <x v="205"/>
    <n v="9"/>
    <d v="2023-03-28T16:21:51"/>
    <s v="Yes"/>
    <d v="2023-02-15T16:21:51"/>
    <x v="3"/>
    <x v="1"/>
    <d v="2023-02-20T16:21:51"/>
    <s v="Accepted"/>
    <d v="2023-02-17T16:21:51"/>
    <d v="2023-02-20T16:21:51"/>
    <d v="2023-02-17T16:21:51"/>
    <d v="2023-02-20T16:21:51"/>
    <x v="1"/>
    <d v="2023-02-23T16:21:51"/>
    <d v="2023-02-24T16:21:51"/>
    <d v="2023-02-26T16:21:51"/>
    <m/>
    <m/>
    <d v="2023-03-12T16:21:51"/>
    <s v="C2184"/>
    <s v="Candidate_1184"/>
    <s v="01-27-2023"/>
    <x v="1"/>
    <s v="Linkedin"/>
    <n v="3"/>
    <m/>
    <x v="0"/>
    <m/>
    <m/>
    <x v="0"/>
    <x v="0"/>
    <m/>
    <x v="125"/>
    <x v="0"/>
  </r>
  <r>
    <n v="2891"/>
    <s v="2891 | HR"/>
    <x v="15"/>
    <x v="5"/>
    <x v="23"/>
    <x v="15"/>
    <s v="HR-Quality Assurance"/>
    <x v="1"/>
    <d v="2023-02-05T16:21:51"/>
    <x v="0"/>
    <x v="117"/>
    <n v="8"/>
    <d v="2023-03-30T16:21:51"/>
    <s v="Yes"/>
    <d v="2023-02-15T16:21:51"/>
    <x v="1"/>
    <x v="1"/>
    <d v="2023-02-17T16:21:51"/>
    <s v="Declined"/>
    <m/>
    <m/>
    <d v="2023-02-16T16:21:51"/>
    <m/>
    <x v="0"/>
    <m/>
    <m/>
    <m/>
    <m/>
    <m/>
    <m/>
    <s v="C2185"/>
    <s v="Candidate_1185"/>
    <s v="01-27-2023"/>
    <x v="1"/>
    <s v="Linkedin"/>
    <n v="6"/>
    <m/>
    <x v="0"/>
    <m/>
    <m/>
    <x v="0"/>
    <x v="0"/>
    <m/>
    <x v="0"/>
    <x v="0"/>
  </r>
  <r>
    <n v="2729"/>
    <s v="2729 | HR"/>
    <x v="17"/>
    <x v="5"/>
    <x v="23"/>
    <x v="15"/>
    <s v="HR-Quality Assurance"/>
    <x v="1"/>
    <d v="2023-05-21T05:58:29"/>
    <x v="693"/>
    <x v="4"/>
    <n v="-45067.24894675926"/>
    <d v="2023-06-04T05:58:29"/>
    <s v="Yes"/>
    <d v="2023-06-10T05:58:29"/>
    <x v="0"/>
    <x v="2"/>
    <m/>
    <m/>
    <m/>
    <m/>
    <d v="2023-06-12T05:58:29"/>
    <m/>
    <x v="0"/>
    <m/>
    <m/>
    <m/>
    <m/>
    <s v="Company"/>
    <m/>
    <s v="C2186"/>
    <s v="Candidate_1186"/>
    <s v="05-22-2023"/>
    <x v="0"/>
    <s v="Referral"/>
    <n v="6"/>
    <m/>
    <x v="0"/>
    <m/>
    <m/>
    <x v="0"/>
    <x v="0"/>
    <m/>
    <x v="0"/>
    <x v="0"/>
  </r>
  <r>
    <n v="2668"/>
    <s v="2668 | HR"/>
    <x v="16"/>
    <x v="5"/>
    <x v="23"/>
    <x v="15"/>
    <s v="HR-Quality Assurance"/>
    <x v="1"/>
    <d v="2022-12-02T21:41:18"/>
    <x v="694"/>
    <x v="118"/>
    <n v="6"/>
    <d v="2022-12-29T21:41:18"/>
    <s v="Yes"/>
    <d v="2022-12-20T21:41:18"/>
    <x v="0"/>
    <x v="4"/>
    <m/>
    <m/>
    <m/>
    <m/>
    <m/>
    <m/>
    <x v="0"/>
    <m/>
    <m/>
    <m/>
    <m/>
    <s v="Company"/>
    <m/>
    <s v="C2187"/>
    <s v="Candidate_1187"/>
    <s v="12-07-2022"/>
    <x v="1"/>
    <s v="Linkedin"/>
    <n v="6"/>
    <m/>
    <x v="0"/>
    <m/>
    <m/>
    <x v="0"/>
    <x v="0"/>
    <m/>
    <x v="1"/>
    <x v="0"/>
  </r>
  <r>
    <n v="2662"/>
    <s v="2662 | HR"/>
    <x v="17"/>
    <x v="5"/>
    <x v="23"/>
    <x v="15"/>
    <s v="HR-Quality Assurance"/>
    <x v="1"/>
    <d v="2022-12-05T21:41:18"/>
    <x v="695"/>
    <x v="118"/>
    <n v="3"/>
    <d v="2022-12-30T21:41:18"/>
    <s v="Yes"/>
    <d v="2022-12-11T21:41:18"/>
    <x v="0"/>
    <x v="0"/>
    <m/>
    <m/>
    <m/>
    <m/>
    <d v="2022-12-12T21:41:18"/>
    <m/>
    <x v="0"/>
    <m/>
    <m/>
    <m/>
    <m/>
    <s v="Candidate"/>
    <m/>
    <s v="C2188"/>
    <s v="Candidate_1188"/>
    <s v="Nov 24 2022"/>
    <x v="0"/>
    <s v="Referral"/>
    <n v="6"/>
    <m/>
    <x v="0"/>
    <m/>
    <m/>
    <x v="0"/>
    <x v="0"/>
    <m/>
    <x v="1"/>
    <x v="0"/>
  </r>
  <r>
    <n v="2650"/>
    <s v="2650 | HR"/>
    <x v="17"/>
    <x v="5"/>
    <x v="23"/>
    <x v="15"/>
    <s v="HR-Quality Assurance"/>
    <x v="1"/>
    <d v="2022-01-22T14:06:06"/>
    <x v="651"/>
    <x v="130"/>
    <n v="10"/>
    <d v="2022-02-12T14:06:06"/>
    <s v="Yes"/>
    <d v="2022-02-13T14:06:06"/>
    <x v="0"/>
    <x v="4"/>
    <m/>
    <m/>
    <m/>
    <m/>
    <m/>
    <m/>
    <x v="0"/>
    <m/>
    <m/>
    <m/>
    <m/>
    <s v="Candidate"/>
    <m/>
    <s v="C2189"/>
    <s v="Candidate_1189"/>
    <s v="01-25-2022"/>
    <x v="1"/>
    <s v="Linkedin"/>
    <n v="3"/>
    <m/>
    <x v="0"/>
    <m/>
    <m/>
    <x v="0"/>
    <x v="0"/>
    <m/>
    <x v="1"/>
    <x v="0"/>
  </r>
  <r>
    <n v="2378"/>
    <s v="2378 | HR"/>
    <x v="16"/>
    <x v="5"/>
    <x v="23"/>
    <x v="15"/>
    <s v="HR-Quality Assurance"/>
    <x v="1"/>
    <d v="2023-04-11T22:01:03"/>
    <x v="696"/>
    <x v="191"/>
    <n v="9"/>
    <d v="2023-04-30T22:01:03"/>
    <s v="Yes"/>
    <d v="2023-05-01T22:01:03"/>
    <x v="1"/>
    <x v="1"/>
    <d v="2023-05-07T22:01:03"/>
    <s v="Declined"/>
    <m/>
    <m/>
    <d v="2023-05-03T22:01:03"/>
    <m/>
    <x v="0"/>
    <m/>
    <m/>
    <m/>
    <m/>
    <m/>
    <m/>
    <s v="C2190"/>
    <s v="Candidate_1190"/>
    <s v="Apr 13 2023"/>
    <x v="2"/>
    <s v="Job Board"/>
    <n v="3"/>
    <m/>
    <x v="0"/>
    <m/>
    <m/>
    <x v="0"/>
    <x v="0"/>
    <m/>
    <x v="1"/>
    <x v="0"/>
  </r>
  <r>
    <n v="2373"/>
    <s v="2373 | HR"/>
    <x v="17"/>
    <x v="5"/>
    <x v="23"/>
    <x v="15"/>
    <s v="HR-Quality Assurance"/>
    <x v="1"/>
    <d v="2023-04-14T22:01:03"/>
    <x v="598"/>
    <x v="191"/>
    <n v="6"/>
    <d v="2023-05-12T22:01:03"/>
    <s v="Yes"/>
    <d v="2023-04-30T22:01:03"/>
    <x v="0"/>
    <x v="2"/>
    <m/>
    <m/>
    <m/>
    <m/>
    <d v="2023-05-03T22:01:03"/>
    <m/>
    <x v="0"/>
    <m/>
    <m/>
    <m/>
    <m/>
    <s v="Company"/>
    <m/>
    <s v="C2191"/>
    <s v="Candidate_1191"/>
    <s v="04-14-2023"/>
    <x v="0"/>
    <s v="Referral"/>
    <n v="3"/>
    <m/>
    <x v="0"/>
    <m/>
    <m/>
    <x v="0"/>
    <x v="0"/>
    <m/>
    <x v="1"/>
    <x v="0"/>
  </r>
  <r>
    <n v="2258"/>
    <s v="2258 | HR"/>
    <x v="17"/>
    <x v="5"/>
    <x v="23"/>
    <x v="15"/>
    <s v="HR-Quality Assurance"/>
    <x v="1"/>
    <d v="2022-08-07T16:27:58"/>
    <x v="617"/>
    <x v="94"/>
    <n v="7"/>
    <d v="2022-09-13T16:27:58"/>
    <s v="Yes"/>
    <d v="2022-08-28T16:27:58"/>
    <x v="0"/>
    <x v="3"/>
    <m/>
    <m/>
    <m/>
    <m/>
    <m/>
    <m/>
    <x v="0"/>
    <m/>
    <m/>
    <m/>
    <m/>
    <s v="Candidate"/>
    <m/>
    <s v="C2192"/>
    <s v="Candidate_1192"/>
    <s v="20/08/2022"/>
    <x v="0"/>
    <s v="Referral"/>
    <n v="3"/>
    <m/>
    <x v="0"/>
    <m/>
    <m/>
    <x v="0"/>
    <x v="0"/>
    <m/>
    <x v="1"/>
    <x v="0"/>
  </r>
  <r>
    <n v="2257"/>
    <s v="2257 | HR"/>
    <x v="16"/>
    <x v="5"/>
    <x v="23"/>
    <x v="15"/>
    <s v="HR-Quality Assurance"/>
    <x v="1"/>
    <d v="2022-08-08T16:27:58"/>
    <x v="388"/>
    <x v="4"/>
    <n v="-44781.68608796296"/>
    <d v="2022-09-04T16:27:58"/>
    <s v="Yes"/>
    <d v="2022-08-23T16:27:58"/>
    <x v="3"/>
    <x v="1"/>
    <d v="2022-08-28T16:27:58"/>
    <s v="Accepted"/>
    <d v="2022-08-24T16:27:58"/>
    <d v="2022-08-25T16:27:58"/>
    <d v="2022-08-26T16:27:58"/>
    <d v="2022-08-29T16:27:58"/>
    <x v="1"/>
    <d v="2022-09-02T16:27:58"/>
    <d v="2022-09-05T16:27:58"/>
    <d v="2022-09-06T16:27:58"/>
    <m/>
    <m/>
    <d v="2022-09-18T16:27:58"/>
    <s v="C2193"/>
    <s v="Candidate_1193"/>
    <s v="08-09-2022"/>
    <x v="1"/>
    <s v="Linkedin"/>
    <n v="3"/>
    <m/>
    <x v="0"/>
    <m/>
    <m/>
    <x v="0"/>
    <x v="0"/>
    <m/>
    <x v="0"/>
    <x v="0"/>
  </r>
  <r>
    <n v="2051"/>
    <s v="2051 | HR"/>
    <x v="15"/>
    <x v="5"/>
    <x v="23"/>
    <x v="15"/>
    <s v="HR-Quality Assurance"/>
    <x v="1"/>
    <d v="2022-01-16T19:56:47"/>
    <x v="697"/>
    <x v="132"/>
    <n v="3"/>
    <d v="2022-01-27T19:56:47"/>
    <s v="Yes"/>
    <d v="2022-01-24T19:56:47"/>
    <x v="1"/>
    <x v="1"/>
    <d v="2022-01-30T19:56:47"/>
    <s v="Declined"/>
    <m/>
    <m/>
    <d v="2022-01-27T19:56:47"/>
    <m/>
    <x v="0"/>
    <m/>
    <m/>
    <m/>
    <m/>
    <m/>
    <m/>
    <s v="C2194"/>
    <s v="Candidate_1194"/>
    <s v="Jan 13 2022"/>
    <x v="2"/>
    <s v="Job Board"/>
    <n v="3"/>
    <m/>
    <x v="0"/>
    <m/>
    <m/>
    <x v="0"/>
    <x v="0"/>
    <m/>
    <x v="1"/>
    <x v="0"/>
  </r>
  <r>
    <n v="1959"/>
    <s v="1959 | HR"/>
    <x v="15"/>
    <x v="5"/>
    <x v="23"/>
    <x v="15"/>
    <s v="HR-Quality Assurance"/>
    <x v="1"/>
    <d v="2022-09-11T01:01:03"/>
    <x v="698"/>
    <x v="192"/>
    <n v="10"/>
    <d v="2022-10-14T01:01:03"/>
    <s v="Yes"/>
    <d v="2022-10-08T01:01:03"/>
    <x v="4"/>
    <x v="1"/>
    <d v="2022-10-13T01:01:03"/>
    <s v="Pending"/>
    <m/>
    <m/>
    <d v="2022-10-12T01:01:03"/>
    <m/>
    <x v="0"/>
    <m/>
    <m/>
    <m/>
    <m/>
    <m/>
    <m/>
    <s v="C2195"/>
    <s v="Candidate_1195"/>
    <s v="Sep 19 2022"/>
    <x v="1"/>
    <s v="Linkedin"/>
    <n v="3"/>
    <m/>
    <x v="0"/>
    <m/>
    <m/>
    <x v="0"/>
    <x v="0"/>
    <m/>
    <x v="1"/>
    <x v="0"/>
  </r>
  <r>
    <n v="1904"/>
    <s v="1904 | HR"/>
    <x v="17"/>
    <x v="5"/>
    <x v="23"/>
    <x v="15"/>
    <s v="HR-Quality Assurance"/>
    <x v="1"/>
    <d v="2023-03-10T16:28:31"/>
    <x v="699"/>
    <x v="96"/>
    <n v="6"/>
    <d v="2023-04-13T16:28:31"/>
    <s v="Yes"/>
    <d v="2023-03-31T16:28:31"/>
    <x v="0"/>
    <x v="4"/>
    <m/>
    <m/>
    <m/>
    <m/>
    <m/>
    <m/>
    <x v="0"/>
    <m/>
    <m/>
    <m/>
    <m/>
    <s v="Candidate"/>
    <m/>
    <s v="C2196"/>
    <s v="Candidate_1196"/>
    <s v="Mar 25 2023"/>
    <x v="1"/>
    <s v="Linkedin"/>
    <n v="3"/>
    <m/>
    <x v="0"/>
    <m/>
    <m/>
    <x v="0"/>
    <x v="0"/>
    <m/>
    <x v="1"/>
    <x v="0"/>
  </r>
  <r>
    <n v="1895"/>
    <s v="1895 | HR"/>
    <x v="17"/>
    <x v="5"/>
    <x v="23"/>
    <x v="15"/>
    <s v="HR-Quality Assurance"/>
    <x v="1"/>
    <d v="2022-02-01T06:40:23"/>
    <x v="390"/>
    <x v="97"/>
    <n v="6"/>
    <d v="2022-02-14T06:40:23"/>
    <s v="Yes"/>
    <d v="2022-02-15T06:40:23"/>
    <x v="0"/>
    <x v="4"/>
    <m/>
    <m/>
    <m/>
    <m/>
    <m/>
    <m/>
    <x v="0"/>
    <m/>
    <m/>
    <m/>
    <m/>
    <s v="Candidate"/>
    <m/>
    <s v="C2197"/>
    <s v="Candidate_1197"/>
    <s v="Feb 02 2022"/>
    <x v="1"/>
    <s v="Linkedin"/>
    <n v="3"/>
    <m/>
    <x v="0"/>
    <m/>
    <m/>
    <x v="0"/>
    <x v="0"/>
    <m/>
    <x v="1"/>
    <x v="0"/>
  </r>
  <r>
    <n v="1774"/>
    <s v="1774 | HR"/>
    <x v="16"/>
    <x v="5"/>
    <x v="23"/>
    <x v="15"/>
    <s v="HR-Quality Assurance"/>
    <x v="1"/>
    <d v="2022-05-31T19:49:14"/>
    <x v="329"/>
    <x v="4"/>
    <n v="-44712.825856481482"/>
    <d v="2022-06-14T19:49:14"/>
    <s v="Yes"/>
    <d v="2022-06-17T19:49:14"/>
    <x v="0"/>
    <x v="3"/>
    <m/>
    <m/>
    <m/>
    <m/>
    <m/>
    <m/>
    <x v="0"/>
    <m/>
    <m/>
    <m/>
    <m/>
    <s v="Candidate"/>
    <m/>
    <s v="C2198"/>
    <s v="Candidate_1198"/>
    <s v="06-05-2022"/>
    <x v="2"/>
    <s v="Job Board"/>
    <n v="3"/>
    <m/>
    <x v="0"/>
    <m/>
    <m/>
    <x v="0"/>
    <x v="0"/>
    <m/>
    <x v="0"/>
    <x v="0"/>
  </r>
  <r>
    <n v="1743"/>
    <s v="1743 | HR"/>
    <x v="17"/>
    <x v="5"/>
    <x v="23"/>
    <x v="15"/>
    <s v="HR-Quality Assurance"/>
    <x v="1"/>
    <d v="2023-01-22T19:09:14"/>
    <x v="676"/>
    <x v="133"/>
    <n v="5"/>
    <d v="2023-02-07T19:09:14"/>
    <s v="Yes"/>
    <d v="2023-02-07T19:09:14"/>
    <x v="1"/>
    <x v="1"/>
    <d v="2023-02-10T19:09:14"/>
    <s v="Declined"/>
    <m/>
    <m/>
    <d v="2023-02-09T19:09:14"/>
    <m/>
    <x v="0"/>
    <m/>
    <m/>
    <m/>
    <m/>
    <m/>
    <m/>
    <s v="C2199"/>
    <s v="Candidate_1199"/>
    <s v="Jan 28 2023"/>
    <x v="1"/>
    <s v="Linkedin"/>
    <n v="6"/>
    <m/>
    <x v="0"/>
    <m/>
    <m/>
    <x v="0"/>
    <x v="0"/>
    <m/>
    <x v="1"/>
    <x v="0"/>
  </r>
  <r>
    <n v="1648"/>
    <s v="1648 | HR"/>
    <x v="17"/>
    <x v="5"/>
    <x v="23"/>
    <x v="15"/>
    <s v="HR-Quality Assurance"/>
    <x v="1"/>
    <d v="2022-12-19T15:52:13"/>
    <x v="330"/>
    <x v="99"/>
    <n v="6"/>
    <d v="2023-01-12T15:52:13"/>
    <s v="Yes"/>
    <d v="2023-01-09T15:52:13"/>
    <x v="0"/>
    <x v="3"/>
    <m/>
    <m/>
    <m/>
    <m/>
    <m/>
    <m/>
    <x v="0"/>
    <m/>
    <m/>
    <m/>
    <m/>
    <s v="Candidate"/>
    <m/>
    <s v="C2200"/>
    <s v="Candidate_1200"/>
    <s v="12-25-2022"/>
    <x v="2"/>
    <s v="Job Board"/>
    <n v="3"/>
    <m/>
    <x v="0"/>
    <m/>
    <m/>
    <x v="0"/>
    <x v="0"/>
    <m/>
    <x v="1"/>
    <x v="0"/>
  </r>
  <r>
    <n v="1643"/>
    <s v="1643 | HR"/>
    <x v="16"/>
    <x v="5"/>
    <x v="23"/>
    <x v="15"/>
    <s v="HR-Quality Assurance"/>
    <x v="1"/>
    <d v="2022-12-22T15:52:13"/>
    <x v="700"/>
    <x v="99"/>
    <n v="3"/>
    <d v="2023-01-04T15:52:13"/>
    <s v="Yes"/>
    <d v="2023-01-02T15:52:13"/>
    <x v="3"/>
    <x v="1"/>
    <d v="2023-01-05T15:52:13"/>
    <s v="Accepted"/>
    <d v="2023-01-04T15:52:13"/>
    <d v="2023-01-07T15:52:13"/>
    <d v="2023-01-04T15:52:13"/>
    <d v="2023-01-09T15:52:13"/>
    <x v="1"/>
    <d v="2023-01-12T15:52:13"/>
    <d v="2023-01-13T15:52:13"/>
    <d v="2023-01-14T15:52:13"/>
    <m/>
    <m/>
    <d v="2023-01-28T15:52:13"/>
    <s v="C2201"/>
    <s v="Candidate_1201"/>
    <s v="12-26-2022"/>
    <x v="1"/>
    <s v="Linkedin"/>
    <n v="3"/>
    <m/>
    <x v="0"/>
    <m/>
    <m/>
    <x v="0"/>
    <x v="0"/>
    <m/>
    <x v="126"/>
    <x v="0"/>
  </r>
  <r>
    <n v="1618"/>
    <s v="1618 | HR"/>
    <x v="15"/>
    <x v="5"/>
    <x v="23"/>
    <x v="15"/>
    <s v="HR-Quality Assurance"/>
    <x v="1"/>
    <d v="2022-10-16T22:49:43"/>
    <x v="677"/>
    <x v="202"/>
    <n v="8"/>
    <d v="2022-11-08T22:49:43"/>
    <s v="Yes"/>
    <d v="2022-11-06T22:49:43"/>
    <x v="0"/>
    <x v="3"/>
    <m/>
    <m/>
    <m/>
    <m/>
    <m/>
    <m/>
    <x v="0"/>
    <m/>
    <m/>
    <m/>
    <m/>
    <s v="Candidate"/>
    <m/>
    <s v="C2202"/>
    <s v="Candidate_1202"/>
    <s v="19/10/2022"/>
    <x v="2"/>
    <s v="Job Board"/>
    <n v="3"/>
    <m/>
    <x v="0"/>
    <m/>
    <m/>
    <x v="0"/>
    <x v="0"/>
    <m/>
    <x v="1"/>
    <x v="0"/>
  </r>
  <r>
    <n v="1593"/>
    <s v="1593 | HR"/>
    <x v="16"/>
    <x v="5"/>
    <x v="23"/>
    <x v="15"/>
    <s v="HR-Quality Assurance"/>
    <x v="1"/>
    <d v="2023-03-11T03:56:27"/>
    <x v="657"/>
    <x v="197"/>
    <n v="4"/>
    <d v="2023-04-13T03:56:27"/>
    <s v="Yes"/>
    <d v="2023-03-26T03:56:27"/>
    <x v="4"/>
    <x v="1"/>
    <d v="2023-04-03T03:56:27"/>
    <s v="Pending"/>
    <m/>
    <m/>
    <d v="2023-03-30T03:56:27"/>
    <m/>
    <x v="0"/>
    <m/>
    <m/>
    <m/>
    <m/>
    <m/>
    <m/>
    <s v="C2203"/>
    <s v="Candidate_1203"/>
    <s v="03-10-2023"/>
    <x v="0"/>
    <s v="Referral"/>
    <n v="3"/>
    <m/>
    <x v="0"/>
    <m/>
    <m/>
    <x v="0"/>
    <x v="0"/>
    <m/>
    <x v="1"/>
    <x v="0"/>
  </r>
  <r>
    <n v="1536"/>
    <s v="1536 | HR"/>
    <x v="16"/>
    <x v="5"/>
    <x v="23"/>
    <x v="15"/>
    <s v="HR-Quality Assurance"/>
    <x v="1"/>
    <d v="2023-05-09T13:06:51"/>
    <x v="701"/>
    <x v="119"/>
    <n v="5"/>
    <d v="2023-05-20T13:06:51"/>
    <s v="Yes"/>
    <d v="2023-05-29T13:06:51"/>
    <x v="0"/>
    <x v="5"/>
    <m/>
    <m/>
    <m/>
    <m/>
    <m/>
    <m/>
    <x v="0"/>
    <m/>
    <m/>
    <m/>
    <m/>
    <s v="Company"/>
    <m/>
    <s v="C2204"/>
    <s v="Candidate_1204"/>
    <s v="05-20-2023"/>
    <x v="1"/>
    <s v="Linkedin"/>
    <n v="3"/>
    <m/>
    <x v="0"/>
    <m/>
    <m/>
    <x v="0"/>
    <x v="0"/>
    <m/>
    <x v="1"/>
    <x v="0"/>
  </r>
  <r>
    <n v="1502"/>
    <s v="1502 | HR"/>
    <x v="15"/>
    <x v="5"/>
    <x v="23"/>
    <x v="15"/>
    <s v="HR-Quality Assurance"/>
    <x v="1"/>
    <m/>
    <x v="332"/>
    <x v="4"/>
    <n v="0"/>
    <d v="2022-08-07T08:18:33"/>
    <s v="Yes"/>
    <d v="2022-07-25T08:18:33"/>
    <x v="0"/>
    <x v="0"/>
    <m/>
    <m/>
    <m/>
    <m/>
    <m/>
    <m/>
    <x v="0"/>
    <m/>
    <m/>
    <m/>
    <m/>
    <s v="Candidate"/>
    <m/>
    <s v="C2205"/>
    <s v="Candidate_1205"/>
    <s v="07-06-2022"/>
    <x v="2"/>
    <s v="Job Board"/>
    <n v="3"/>
    <m/>
    <x v="0"/>
    <m/>
    <m/>
    <x v="0"/>
    <x v="0"/>
    <m/>
    <x v="0"/>
    <x v="0"/>
  </r>
  <r>
    <n v="1501"/>
    <s v="1501 | HR"/>
    <x v="16"/>
    <x v="5"/>
    <x v="23"/>
    <x v="15"/>
    <s v="HR-Quality Assurance"/>
    <x v="1"/>
    <d v="2022-07-11T08:18:33"/>
    <x v="679"/>
    <x v="101"/>
    <n v="9"/>
    <d v="2022-08-09T08:18:33"/>
    <s v="Yes"/>
    <d v="2022-08-05T08:18:33"/>
    <x v="0"/>
    <x v="3"/>
    <m/>
    <m/>
    <m/>
    <m/>
    <d v="2022-08-07T08:18:33"/>
    <m/>
    <x v="0"/>
    <m/>
    <m/>
    <m/>
    <m/>
    <s v="Candidate"/>
    <m/>
    <s v="C2206"/>
    <s v="Candidate_1206"/>
    <s v="07-30-2022"/>
    <x v="1"/>
    <s v="Linkedin"/>
    <n v="3"/>
    <m/>
    <x v="0"/>
    <m/>
    <m/>
    <x v="0"/>
    <x v="0"/>
    <m/>
    <x v="1"/>
    <x v="0"/>
  </r>
  <r>
    <n v="1495"/>
    <s v="1495 | HR"/>
    <x v="17"/>
    <x v="5"/>
    <x v="23"/>
    <x v="15"/>
    <s v="HR-Quality Assurance"/>
    <x v="1"/>
    <d v="2022-05-14T13:40:01"/>
    <x v="0"/>
    <x v="198"/>
    <n v="6"/>
    <d v="2022-06-15T13:40:01"/>
    <s v="Yes"/>
    <d v="2022-05-31T13:40:01"/>
    <x v="0"/>
    <x v="0"/>
    <m/>
    <m/>
    <m/>
    <m/>
    <d v="2022-06-03T13:40:01"/>
    <m/>
    <x v="0"/>
    <m/>
    <m/>
    <m/>
    <m/>
    <s v="Candidate"/>
    <m/>
    <s v="C2207"/>
    <s v="Candidate_1207"/>
    <s v="May 21 2022"/>
    <x v="0"/>
    <s v="Referral"/>
    <n v="6"/>
    <m/>
    <x v="0"/>
    <m/>
    <m/>
    <x v="0"/>
    <x v="0"/>
    <m/>
    <x v="0"/>
    <x v="0"/>
  </r>
  <r>
    <n v="1458"/>
    <s v="1458 | HR"/>
    <x v="16"/>
    <x v="5"/>
    <x v="23"/>
    <x v="15"/>
    <s v="HR-Quality Assurance"/>
    <x v="1"/>
    <d v="2023-04-08T13:44:16"/>
    <x v="702"/>
    <x v="4"/>
    <n v="-45024.57240740741"/>
    <d v="2023-05-12T13:44:16"/>
    <s v="Yes"/>
    <d v="2023-04-22T13:44:16"/>
    <x v="0"/>
    <x v="3"/>
    <m/>
    <m/>
    <m/>
    <m/>
    <m/>
    <m/>
    <x v="0"/>
    <m/>
    <m/>
    <m/>
    <m/>
    <s v="Company"/>
    <m/>
    <s v="C2208"/>
    <s v="Candidate_1208"/>
    <s v="Apr 17 2023"/>
    <x v="0"/>
    <s v="Referral"/>
    <n v="3"/>
    <m/>
    <x v="0"/>
    <m/>
    <m/>
    <x v="0"/>
    <x v="0"/>
    <m/>
    <x v="0"/>
    <x v="0"/>
  </r>
  <r>
    <n v="1455"/>
    <s v="1455 | HR"/>
    <x v="16"/>
    <x v="5"/>
    <x v="23"/>
    <x v="15"/>
    <s v="HR-Quality Assurance"/>
    <x v="1"/>
    <d v="2023-04-08T13:44:16"/>
    <x v="681"/>
    <x v="120"/>
    <n v="5"/>
    <d v="2023-04-23T13:44:16"/>
    <s v="Yes"/>
    <d v="2023-04-22T13:44:16"/>
    <x v="0"/>
    <x v="5"/>
    <m/>
    <m/>
    <m/>
    <m/>
    <m/>
    <m/>
    <x v="0"/>
    <m/>
    <m/>
    <m/>
    <m/>
    <s v="Candidate"/>
    <m/>
    <s v="C2209"/>
    <s v="Candidate_1209"/>
    <s v="Apr 15 2023"/>
    <x v="0"/>
    <s v="Referral"/>
    <n v="3"/>
    <m/>
    <x v="0"/>
    <m/>
    <m/>
    <x v="0"/>
    <x v="0"/>
    <m/>
    <x v="1"/>
    <x v="0"/>
  </r>
  <r>
    <n v="1427"/>
    <s v="1427 | HR"/>
    <x v="16"/>
    <x v="5"/>
    <x v="23"/>
    <x v="15"/>
    <s v="HR-Quality Assurance"/>
    <x v="1"/>
    <d v="2022-04-09T02:42:56"/>
    <x v="627"/>
    <x v="102"/>
    <n v="6"/>
    <d v="2022-04-27T02:42:56"/>
    <s v="Yes"/>
    <d v="2022-04-21T02:42:56"/>
    <x v="0"/>
    <x v="2"/>
    <m/>
    <m/>
    <m/>
    <m/>
    <m/>
    <m/>
    <x v="0"/>
    <m/>
    <m/>
    <m/>
    <m/>
    <s v="Candidate"/>
    <m/>
    <s v="C2210"/>
    <s v="Candidate_1210"/>
    <s v="Apr 02 2022"/>
    <x v="0"/>
    <s v="Referral"/>
    <n v="6"/>
    <m/>
    <x v="0"/>
    <m/>
    <m/>
    <x v="0"/>
    <x v="0"/>
    <m/>
    <x v="1"/>
    <x v="0"/>
  </r>
  <r>
    <n v="1421"/>
    <s v="1421 | HR"/>
    <x v="17"/>
    <x v="5"/>
    <x v="23"/>
    <x v="15"/>
    <s v="HR-Quality Assurance"/>
    <x v="1"/>
    <d v="2022-04-07T02:42:56"/>
    <x v="628"/>
    <x v="102"/>
    <n v="8"/>
    <d v="2022-05-07T02:42:56"/>
    <s v="Yes"/>
    <d v="2022-04-26T02:42:56"/>
    <x v="3"/>
    <x v="1"/>
    <d v="2022-05-02T02:42:56"/>
    <s v="Accepted"/>
    <d v="2022-04-28T02:42:56"/>
    <d v="2022-05-01T02:42:56"/>
    <d v="2022-04-29T02:42:56"/>
    <d v="2022-05-01T02:42:56"/>
    <x v="1"/>
    <d v="2022-05-02T02:42:56"/>
    <d v="2022-05-05T02:42:56"/>
    <d v="2022-05-08T02:42:56"/>
    <m/>
    <m/>
    <d v="2022-05-17T02:42:56"/>
    <s v="C2211"/>
    <s v="Candidate_1211"/>
    <s v="19/04/2022"/>
    <x v="1"/>
    <s v="Linkedin"/>
    <n v="6"/>
    <m/>
    <x v="0"/>
    <m/>
    <m/>
    <x v="0"/>
    <x v="0"/>
    <m/>
    <x v="127"/>
    <x v="0"/>
  </r>
  <r>
    <n v="1363"/>
    <s v="1363 | HR"/>
    <x v="16"/>
    <x v="5"/>
    <x v="23"/>
    <x v="15"/>
    <s v="HR-Quality Assurance"/>
    <x v="1"/>
    <d v="2022-10-16T03:55:53"/>
    <x v="703"/>
    <x v="199"/>
    <n v="6"/>
    <d v="2022-11-12T03:55:53"/>
    <s v="Yes"/>
    <d v="2022-11-08T03:55:53"/>
    <x v="0"/>
    <x v="5"/>
    <m/>
    <m/>
    <m/>
    <m/>
    <d v="2022-11-12T03:55:53"/>
    <m/>
    <x v="0"/>
    <m/>
    <m/>
    <m/>
    <m/>
    <s v="Candidate"/>
    <m/>
    <s v="C2212"/>
    <s v="Candidate_1212"/>
    <s v="20/10/2022"/>
    <x v="2"/>
    <s v="Job Board"/>
    <n v="6"/>
    <m/>
    <x v="0"/>
    <m/>
    <m/>
    <x v="0"/>
    <x v="0"/>
    <m/>
    <x v="1"/>
    <x v="0"/>
  </r>
  <r>
    <n v="1318"/>
    <s v="1318 | HR"/>
    <x v="15"/>
    <x v="5"/>
    <x v="23"/>
    <x v="15"/>
    <s v="HR-Quality Assurance"/>
    <x v="1"/>
    <d v="2023-08-14T05:35:37"/>
    <x v="704"/>
    <x v="201"/>
    <n v="3"/>
    <d v="2023-09-09T05:35:37"/>
    <s v="Yes"/>
    <d v="2023-08-22T05:35:37"/>
    <x v="0"/>
    <x v="2"/>
    <m/>
    <m/>
    <m/>
    <m/>
    <d v="2023-08-24T05:35:37"/>
    <m/>
    <x v="0"/>
    <m/>
    <m/>
    <m/>
    <m/>
    <s v="Company"/>
    <m/>
    <s v="C2213"/>
    <s v="Candidate_1213"/>
    <s v="08-08-2023"/>
    <x v="1"/>
    <s v="Linkedin"/>
    <n v="3"/>
    <m/>
    <x v="0"/>
    <m/>
    <m/>
    <x v="0"/>
    <x v="0"/>
    <m/>
    <x v="1"/>
    <x v="0"/>
  </r>
  <r>
    <n v="1277"/>
    <s v="1277 | HR"/>
    <x v="16"/>
    <x v="5"/>
    <x v="23"/>
    <x v="15"/>
    <s v="HR-Quality Assurance"/>
    <x v="1"/>
    <d v="2022-06-01T02:35:25"/>
    <x v="334"/>
    <x v="103"/>
    <n v="4"/>
    <d v="2022-06-20T02:35:25"/>
    <s v="Yes"/>
    <d v="2022-06-22T02:35:25"/>
    <x v="0"/>
    <x v="0"/>
    <m/>
    <m/>
    <m/>
    <m/>
    <d v="2022-06-26T02:35:25"/>
    <m/>
    <x v="0"/>
    <m/>
    <m/>
    <m/>
    <m/>
    <s v="Company"/>
    <m/>
    <s v="C2214"/>
    <s v="Candidate_1214"/>
    <s v="Jun 15 2022"/>
    <x v="2"/>
    <s v="Job Board"/>
    <n v="3"/>
    <m/>
    <x v="0"/>
    <m/>
    <m/>
    <x v="0"/>
    <x v="0"/>
    <m/>
    <x v="1"/>
    <x v="0"/>
  </r>
  <r>
    <n v="1271"/>
    <s v="1271 | HR"/>
    <x v="17"/>
    <x v="5"/>
    <x v="23"/>
    <x v="15"/>
    <s v="HR-Quality Assurance"/>
    <x v="1"/>
    <d v="2022-06-02T02:35:25"/>
    <x v="334"/>
    <x v="103"/>
    <n v="3"/>
    <d v="2022-06-24T02:35:25"/>
    <s v="Yes"/>
    <d v="2022-06-20T02:35:25"/>
    <x v="0"/>
    <x v="0"/>
    <m/>
    <m/>
    <m/>
    <m/>
    <d v="2022-06-22T02:35:25"/>
    <m/>
    <x v="0"/>
    <m/>
    <m/>
    <m/>
    <m/>
    <s v="Candidate"/>
    <m/>
    <s v="C2215"/>
    <s v="Candidate_1215"/>
    <s v="06-10-2022"/>
    <x v="0"/>
    <s v="Referral"/>
    <n v="6"/>
    <m/>
    <x v="0"/>
    <m/>
    <m/>
    <x v="0"/>
    <x v="0"/>
    <m/>
    <x v="1"/>
    <x v="0"/>
  </r>
  <r>
    <n v="1217"/>
    <s v="1217 | HR"/>
    <x v="16"/>
    <x v="5"/>
    <x v="23"/>
    <x v="15"/>
    <s v="HR-Quality Assurance"/>
    <x v="1"/>
    <d v="2023-07-25T00:06:13"/>
    <x v="705"/>
    <x v="104"/>
    <n v="6"/>
    <d v="2023-08-27T00:06:13"/>
    <s v="Yes"/>
    <d v="2023-08-05T00:06:13"/>
    <x v="3"/>
    <x v="1"/>
    <d v="2023-08-09T00:06:13"/>
    <s v="Accepted"/>
    <d v="2023-08-06T00:06:13"/>
    <d v="2023-08-09T00:06:13"/>
    <d v="2023-08-06T00:06:13"/>
    <d v="2023-08-11T00:06:13"/>
    <x v="1"/>
    <d v="2023-08-14T00:06:13"/>
    <d v="2023-08-17T00:06:13"/>
    <d v="2023-08-18T00:06:13"/>
    <m/>
    <m/>
    <d v="2023-09-03T00:06:13"/>
    <s v="C2216"/>
    <s v="Candidate_1216"/>
    <s v="21/07/2023"/>
    <x v="2"/>
    <s v="Job Board"/>
    <n v="3"/>
    <m/>
    <x v="0"/>
    <m/>
    <m/>
    <x v="0"/>
    <x v="0"/>
    <m/>
    <x v="128"/>
    <x v="0"/>
  </r>
  <r>
    <n v="1184"/>
    <s v="1184 | HR"/>
    <x v="15"/>
    <x v="5"/>
    <x v="23"/>
    <x v="15"/>
    <s v="HR-Quality Assurance"/>
    <x v="1"/>
    <d v="2023-05-25T18:50:13"/>
    <x v="666"/>
    <x v="105"/>
    <n v="9"/>
    <d v="2023-06-09T18:50:13"/>
    <s v="Yes"/>
    <d v="2023-06-12T18:50:13"/>
    <x v="0"/>
    <x v="2"/>
    <m/>
    <m/>
    <m/>
    <m/>
    <d v="2023-06-14T18:50:13"/>
    <m/>
    <x v="0"/>
    <m/>
    <m/>
    <m/>
    <m/>
    <s v="Candidate"/>
    <m/>
    <s v="C2217"/>
    <s v="Candidate_1217"/>
    <s v="01/06/2023"/>
    <x v="0"/>
    <s v="Referral"/>
    <n v="3"/>
    <m/>
    <x v="0"/>
    <m/>
    <m/>
    <x v="0"/>
    <x v="0"/>
    <m/>
    <x v="1"/>
    <x v="0"/>
  </r>
  <r>
    <n v="1183"/>
    <s v="1183 | HR"/>
    <x v="15"/>
    <x v="5"/>
    <x v="23"/>
    <x v="10"/>
    <s v="HR-Business Partner"/>
    <x v="1"/>
    <d v="2023-05-25T18:50:13"/>
    <x v="666"/>
    <x v="105"/>
    <n v="9"/>
    <d v="2023-06-17T18:50:13"/>
    <s v="Yes"/>
    <d v="2023-06-04T18:50:13"/>
    <x v="0"/>
    <x v="5"/>
    <m/>
    <m/>
    <m/>
    <m/>
    <d v="2023-06-08T18:50:13"/>
    <m/>
    <x v="0"/>
    <m/>
    <m/>
    <m/>
    <m/>
    <s v="Candidate"/>
    <m/>
    <s v="C2218"/>
    <s v="Candidate_1218"/>
    <s v="05-29-2023"/>
    <x v="2"/>
    <s v="Job Board"/>
    <n v="3"/>
    <m/>
    <x v="0"/>
    <m/>
    <m/>
    <x v="0"/>
    <x v="0"/>
    <m/>
    <x v="1"/>
    <x v="0"/>
  </r>
  <r>
    <n v="1181"/>
    <s v="1181 | HR"/>
    <x v="16"/>
    <x v="5"/>
    <x v="23"/>
    <x v="10"/>
    <s v="HR-Business Partner"/>
    <x v="1"/>
    <d v="2023-05-30T18:50:13"/>
    <x v="706"/>
    <x v="105"/>
    <n v="4"/>
    <d v="2023-06-12T18:50:13"/>
    <s v="Yes"/>
    <d v="2023-06-06T18:50:13"/>
    <x v="1"/>
    <x v="1"/>
    <d v="2023-06-10T18:50:13"/>
    <s v="Declined"/>
    <m/>
    <m/>
    <d v="2023-06-07T18:50:13"/>
    <m/>
    <x v="0"/>
    <m/>
    <m/>
    <m/>
    <m/>
    <m/>
    <m/>
    <s v="C2219"/>
    <s v="Candidate_1219"/>
    <s v="05-25-2023"/>
    <x v="1"/>
    <s v="Linkedin"/>
    <n v="3"/>
    <m/>
    <x v="0"/>
    <m/>
    <m/>
    <x v="0"/>
    <x v="0"/>
    <m/>
    <x v="1"/>
    <x v="0"/>
  </r>
  <r>
    <n v="1167"/>
    <s v="1167 | HR"/>
    <x v="16"/>
    <x v="5"/>
    <x v="23"/>
    <x v="10"/>
    <s v="HR-Business Partner"/>
    <x v="1"/>
    <d v="2023-02-07T20:47:13"/>
    <x v="634"/>
    <x v="194"/>
    <n v="9"/>
    <d v="2023-03-05T20:47:13"/>
    <s v="Yes"/>
    <d v="2023-02-28T20:47:13"/>
    <x v="0"/>
    <x v="5"/>
    <m/>
    <m/>
    <m/>
    <m/>
    <d v="2023-03-01T20:47:13"/>
    <m/>
    <x v="0"/>
    <m/>
    <m/>
    <m/>
    <m/>
    <s v="Candidate"/>
    <m/>
    <s v="C2220"/>
    <s v="Candidate_1220"/>
    <s v="Feb 12 2023"/>
    <x v="0"/>
    <s v="Referral"/>
    <n v="3"/>
    <m/>
    <x v="0"/>
    <m/>
    <m/>
    <x v="0"/>
    <x v="0"/>
    <m/>
    <x v="1"/>
    <x v="0"/>
  </r>
  <r>
    <n v="1162"/>
    <s v="1162 | HR"/>
    <x v="15"/>
    <x v="5"/>
    <x v="23"/>
    <x v="10"/>
    <s v="HR-Business Partner"/>
    <x v="1"/>
    <m/>
    <x v="685"/>
    <x v="194"/>
    <n v="44973.866122685176"/>
    <d v="2023-03-11T20:47:13"/>
    <s v="Yes"/>
    <d v="2023-02-19T20:47:13"/>
    <x v="0"/>
    <x v="3"/>
    <m/>
    <m/>
    <m/>
    <m/>
    <m/>
    <m/>
    <x v="0"/>
    <m/>
    <m/>
    <m/>
    <m/>
    <s v="Company"/>
    <m/>
    <s v="C2221"/>
    <s v="Candidate_1221"/>
    <s v="31/01/2023"/>
    <x v="2"/>
    <s v="Job Board"/>
    <n v="6"/>
    <m/>
    <x v="0"/>
    <m/>
    <m/>
    <x v="0"/>
    <x v="0"/>
    <m/>
    <x v="0"/>
    <x v="0"/>
  </r>
  <r>
    <n v="1132"/>
    <s v="1132 | HR"/>
    <x v="16"/>
    <x v="5"/>
    <x v="23"/>
    <x v="10"/>
    <s v="HR-Business Partner"/>
    <x v="1"/>
    <d v="2022-03-15T19:06:16"/>
    <x v="686"/>
    <x v="134"/>
    <n v="4"/>
    <d v="2022-04-14T19:06:16"/>
    <s v="Yes"/>
    <d v="2022-04-05T19:06:16"/>
    <x v="3"/>
    <x v="1"/>
    <d v="2022-04-09T19:06:16"/>
    <s v="Accepted"/>
    <d v="2022-04-07T19:06:16"/>
    <d v="2022-04-11T19:06:16"/>
    <d v="2022-04-06T19:06:16"/>
    <d v="2022-04-16T19:06:16"/>
    <x v="1"/>
    <d v="2022-04-18T19:06:16"/>
    <d v="2022-04-20T19:06:16"/>
    <d v="2022-04-23T19:06:16"/>
    <m/>
    <m/>
    <d v="2022-05-05T19:06:16"/>
    <s v="C2222"/>
    <s v="Candidate_1222"/>
    <s v="Mar 24 2022"/>
    <x v="2"/>
    <s v="Job Board"/>
    <n v="6"/>
    <m/>
    <x v="0"/>
    <m/>
    <m/>
    <x v="0"/>
    <x v="0"/>
    <m/>
    <x v="129"/>
    <x v="0"/>
  </r>
  <r>
    <n v="1087"/>
    <s v="1087 | HR"/>
    <x v="17"/>
    <x v="5"/>
    <x v="23"/>
    <x v="10"/>
    <s v="HR-Business Partner"/>
    <x v="1"/>
    <m/>
    <x v="689"/>
    <x v="107"/>
    <n v="44899.976215277777"/>
    <d v="2022-12-10T23:25:45"/>
    <s v="Yes"/>
    <d v="2022-12-08T23:25:45"/>
    <x v="3"/>
    <x v="1"/>
    <d v="2022-12-14T23:25:45"/>
    <s v="Accepted"/>
    <d v="2022-12-09T23:25:45"/>
    <d v="2022-12-13T23:25:45"/>
    <d v="2022-12-11T23:25:45"/>
    <d v="2022-12-16T23:25:45"/>
    <x v="1"/>
    <d v="2022-12-19T23:25:45"/>
    <d v="2022-12-20T23:25:45"/>
    <d v="2022-12-21T23:25:45"/>
    <m/>
    <m/>
    <d v="2023-01-10T23:25:45"/>
    <s v="C2223"/>
    <s v="Candidate_1223"/>
    <s v="Nov 27 2022"/>
    <x v="0"/>
    <s v="Referral"/>
    <n v="6"/>
    <m/>
    <x v="0"/>
    <m/>
    <m/>
    <x v="0"/>
    <x v="0"/>
    <m/>
    <x v="0"/>
    <x v="0"/>
  </r>
  <r>
    <n v="1048"/>
    <s v="1048 | HR"/>
    <x v="15"/>
    <x v="5"/>
    <x v="23"/>
    <x v="10"/>
    <s v="HR-Business Partner"/>
    <x v="1"/>
    <d v="2022-11-17T23:03:14"/>
    <x v="648"/>
    <x v="108"/>
    <n v="9"/>
    <d v="2022-12-23T23:03:14"/>
    <s v="Yes"/>
    <d v="2022-12-07T23:03:14"/>
    <x v="0"/>
    <x v="0"/>
    <m/>
    <m/>
    <m/>
    <m/>
    <m/>
    <m/>
    <x v="0"/>
    <m/>
    <m/>
    <m/>
    <m/>
    <s v="Candidate"/>
    <m/>
    <s v="C2224"/>
    <s v="Candidate_1224"/>
    <s v="02/12/2022"/>
    <x v="0"/>
    <s v="Referral"/>
    <n v="6"/>
    <m/>
    <x v="0"/>
    <m/>
    <m/>
    <x v="0"/>
    <x v="0"/>
    <m/>
    <x v="1"/>
    <x v="0"/>
  </r>
  <r>
    <n v="1043"/>
    <s v="1043 | HR"/>
    <x v="16"/>
    <x v="5"/>
    <x v="23"/>
    <x v="10"/>
    <s v="HR-Business Partner"/>
    <x v="1"/>
    <d v="2022-11-17T23:03:14"/>
    <x v="648"/>
    <x v="108"/>
    <n v="9"/>
    <d v="2022-12-01T23:03:14"/>
    <s v="Yes"/>
    <d v="2022-12-03T23:03:14"/>
    <x v="1"/>
    <x v="1"/>
    <d v="2022-12-07T23:03:14"/>
    <s v="Declined"/>
    <m/>
    <m/>
    <d v="2022-12-06T23:03:14"/>
    <m/>
    <x v="0"/>
    <m/>
    <m/>
    <m/>
    <m/>
    <m/>
    <m/>
    <s v="C2225"/>
    <s v="Candidate_1225"/>
    <s v="Nov 14 2022"/>
    <x v="1"/>
    <s v="Linkedin"/>
    <n v="3"/>
    <m/>
    <x v="0"/>
    <m/>
    <m/>
    <x v="0"/>
    <x v="0"/>
    <m/>
    <x v="1"/>
    <x v="0"/>
  </r>
  <r>
    <n v="1028"/>
    <s v="1028 | HR"/>
    <x v="16"/>
    <x v="5"/>
    <x v="23"/>
    <x v="10"/>
    <s v="HR-Business Partner"/>
    <x v="1"/>
    <d v="2023-01-26T18:59:14"/>
    <x v="649"/>
    <x v="135"/>
    <n v="6"/>
    <d v="2023-02-15T18:59:14"/>
    <s v="Yes"/>
    <d v="2023-02-11T18:59:14"/>
    <x v="0"/>
    <x v="3"/>
    <m/>
    <m/>
    <m/>
    <m/>
    <d v="2023-02-13T18:59:14"/>
    <m/>
    <x v="0"/>
    <m/>
    <m/>
    <m/>
    <m/>
    <s v="Company"/>
    <m/>
    <s v="C2226"/>
    <s v="Candidate_1226"/>
    <s v="23/01/2023"/>
    <x v="2"/>
    <s v="Job Board"/>
    <n v="6"/>
    <m/>
    <x v="0"/>
    <m/>
    <m/>
    <x v="0"/>
    <x v="0"/>
    <m/>
    <x v="1"/>
    <x v="0"/>
  </r>
  <r>
    <n v="1027"/>
    <s v="1027 | HR"/>
    <x v="15"/>
    <x v="5"/>
    <x v="23"/>
    <x v="10"/>
    <s v="HR-Business Partner"/>
    <x v="1"/>
    <d v="2023-01-25T18:59:14"/>
    <x v="0"/>
    <x v="135"/>
    <n v="7"/>
    <d v="2023-02-15T18:59:14"/>
    <s v="Yes"/>
    <d v="2023-02-03T18:59:14"/>
    <x v="3"/>
    <x v="1"/>
    <d v="2023-02-08T18:59:14"/>
    <s v="Accepted"/>
    <d v="2023-02-05T18:59:14"/>
    <d v="2023-02-07T18:59:14"/>
    <d v="2023-02-06T18:59:14"/>
    <d v="2023-02-12T18:59:14"/>
    <x v="1"/>
    <d v="2023-02-15T18:59:14"/>
    <d v="2023-02-16T18:59:14"/>
    <d v="2023-02-18T18:59:14"/>
    <m/>
    <m/>
    <d v="2023-03-06T18:59:14"/>
    <s v="C2227"/>
    <s v="Candidate_1227"/>
    <s v="28/01/2023"/>
    <x v="2"/>
    <s v="Job Board"/>
    <n v="6"/>
    <m/>
    <x v="0"/>
    <m/>
    <m/>
    <x v="0"/>
    <x v="0"/>
    <m/>
    <x v="0"/>
    <x v="0"/>
  </r>
  <r>
    <n v="2993"/>
    <s v="2993 | Fundraising"/>
    <x v="18"/>
    <x v="6"/>
    <x v="24"/>
    <x v="4"/>
    <s v="Fundraising-Senior Manager"/>
    <x v="3"/>
    <d v="2023-02-28T00:56:51"/>
    <x v="707"/>
    <x v="206"/>
    <n v="11"/>
    <d v="2023-03-19T00:56:51"/>
    <s v="Yes"/>
    <d v="2023-03-24T00:56:51"/>
    <x v="0"/>
    <x v="3"/>
    <m/>
    <m/>
    <m/>
    <m/>
    <d v="2023-03-26T00:56:51"/>
    <m/>
    <x v="0"/>
    <m/>
    <m/>
    <m/>
    <m/>
    <s v="Company"/>
    <m/>
    <s v="C2228"/>
    <s v="Candidate_1228"/>
    <s v="17/03/2023"/>
    <x v="1"/>
    <s v="Linkedin"/>
    <n v="3"/>
    <m/>
    <x v="0"/>
    <m/>
    <m/>
    <x v="0"/>
    <x v="0"/>
    <m/>
    <x v="1"/>
    <x v="0"/>
  </r>
  <r>
    <n v="2830"/>
    <s v="2830 | Fundraising"/>
    <x v="19"/>
    <x v="6"/>
    <x v="24"/>
    <x v="4"/>
    <s v="Fundraising-Senior Manager"/>
    <x v="3"/>
    <d v="2022-01-07T01:20:30"/>
    <x v="708"/>
    <x v="207"/>
    <n v="3"/>
    <d v="2022-01-16T01:20:30"/>
    <s v="Yes"/>
    <d v="2022-01-17T01:20:30"/>
    <x v="0"/>
    <x v="3"/>
    <m/>
    <m/>
    <m/>
    <m/>
    <d v="2022-01-18T01:20:30"/>
    <m/>
    <x v="0"/>
    <m/>
    <m/>
    <m/>
    <m/>
    <s v="Company"/>
    <m/>
    <s v="C2229"/>
    <s v="Candidate_1229"/>
    <s v="Jan 02 2022"/>
    <x v="2"/>
    <s v="Job Board"/>
    <n v="6"/>
    <m/>
    <x v="0"/>
    <m/>
    <m/>
    <x v="0"/>
    <x v="0"/>
    <m/>
    <x v="1"/>
    <x v="0"/>
  </r>
  <r>
    <n v="2801"/>
    <s v="2801 | Fundraising"/>
    <x v="20"/>
    <x v="6"/>
    <x v="24"/>
    <x v="4"/>
    <s v="Fundraising-Senior Manager"/>
    <x v="3"/>
    <d v="2023-06-04T18:40:56"/>
    <x v="709"/>
    <x v="208"/>
    <n v="4"/>
    <d v="2023-06-22T18:40:56"/>
    <s v="Yes"/>
    <d v="2023-06-19T18:40:56"/>
    <x v="0"/>
    <x v="5"/>
    <m/>
    <m/>
    <m/>
    <m/>
    <m/>
    <m/>
    <x v="0"/>
    <m/>
    <m/>
    <m/>
    <m/>
    <s v="Company"/>
    <m/>
    <s v="C2230"/>
    <s v="Candidate_1230"/>
    <s v="02/06/2023"/>
    <x v="0"/>
    <s v="Referral"/>
    <n v="3"/>
    <m/>
    <x v="0"/>
    <m/>
    <m/>
    <x v="0"/>
    <x v="0"/>
    <m/>
    <x v="1"/>
    <x v="0"/>
  </r>
  <r>
    <n v="2767"/>
    <s v="2767 | Fundraising"/>
    <x v="20"/>
    <x v="6"/>
    <x v="24"/>
    <x v="4"/>
    <s v="Fundraising-Senior Manager"/>
    <x v="3"/>
    <d v="2022-09-05T07:14:27"/>
    <x v="710"/>
    <x v="209"/>
    <n v="4"/>
    <d v="2022-09-21T07:14:27"/>
    <s v="Yes"/>
    <d v="2022-09-21T07:14:27"/>
    <x v="0"/>
    <x v="2"/>
    <m/>
    <m/>
    <m/>
    <m/>
    <m/>
    <m/>
    <x v="0"/>
    <m/>
    <m/>
    <m/>
    <m/>
    <s v="Company"/>
    <m/>
    <s v="C2231"/>
    <s v="Candidate_1231"/>
    <s v="03/09/2022"/>
    <x v="2"/>
    <s v="Job Board"/>
    <n v="6"/>
    <m/>
    <x v="0"/>
    <m/>
    <m/>
    <x v="0"/>
    <x v="0"/>
    <m/>
    <x v="1"/>
    <x v="0"/>
  </r>
  <r>
    <n v="2762"/>
    <s v="2762 | Fundraising"/>
    <x v="20"/>
    <x v="6"/>
    <x v="24"/>
    <x v="4"/>
    <s v="Fundraising-Senior Manager"/>
    <x v="3"/>
    <d v="2022-09-03T07:14:27"/>
    <x v="711"/>
    <x v="4"/>
    <n v="-44807.301701388889"/>
    <d v="2022-09-22T07:14:27"/>
    <s v="Yes"/>
    <d v="2022-09-12T07:14:27"/>
    <x v="0"/>
    <x v="0"/>
    <m/>
    <m/>
    <m/>
    <m/>
    <d v="2022-09-14T07:14:27"/>
    <m/>
    <x v="0"/>
    <m/>
    <m/>
    <m/>
    <m/>
    <s v="Company"/>
    <m/>
    <s v="C2232"/>
    <s v="Candidate_1232"/>
    <s v="07/09/2022"/>
    <x v="1"/>
    <s v="Linkedin"/>
    <n v="3"/>
    <m/>
    <x v="0"/>
    <m/>
    <m/>
    <x v="0"/>
    <x v="0"/>
    <m/>
    <x v="0"/>
    <x v="0"/>
  </r>
  <r>
    <n v="2629"/>
    <s v="2629 | Fundraising"/>
    <x v="19"/>
    <x v="6"/>
    <x v="24"/>
    <x v="4"/>
    <s v="Fundraising-Senior Manager"/>
    <x v="3"/>
    <d v="2023-06-20T16:02:26"/>
    <x v="712"/>
    <x v="210"/>
    <n v="5"/>
    <d v="2023-07-10T16:02:26"/>
    <s v="Yes"/>
    <d v="2023-07-12T16:02:26"/>
    <x v="0"/>
    <x v="0"/>
    <m/>
    <m/>
    <m/>
    <m/>
    <d v="2023-07-14T16:02:26"/>
    <m/>
    <x v="0"/>
    <m/>
    <m/>
    <m/>
    <m/>
    <s v="Company"/>
    <m/>
    <s v="C2233"/>
    <s v="Candidate_1233"/>
    <s v="Jul 06 2023"/>
    <x v="0"/>
    <s v="Referral"/>
    <n v="6"/>
    <m/>
    <x v="0"/>
    <m/>
    <m/>
    <x v="0"/>
    <x v="0"/>
    <m/>
    <x v="1"/>
    <x v="0"/>
  </r>
  <r>
    <n v="2486"/>
    <s v="2486 | Fundraising"/>
    <x v="19"/>
    <x v="6"/>
    <x v="24"/>
    <x v="4"/>
    <s v="Fundraising-Senior Manager"/>
    <x v="3"/>
    <d v="2023-02-15T21:37:50"/>
    <x v="713"/>
    <x v="211"/>
    <n v="5"/>
    <d v="2023-03-06T21:37:50"/>
    <s v="Yes"/>
    <d v="2023-02-24T21:37:50"/>
    <x v="0"/>
    <x v="0"/>
    <m/>
    <m/>
    <m/>
    <m/>
    <d v="2023-02-25T21:37:50"/>
    <m/>
    <x v="0"/>
    <m/>
    <m/>
    <m/>
    <m/>
    <s v="Company"/>
    <m/>
    <s v="C2234"/>
    <s v="Candidate_1234"/>
    <s v="10/02/2023"/>
    <x v="1"/>
    <s v="Linkedin"/>
    <n v="3"/>
    <m/>
    <x v="0"/>
    <m/>
    <m/>
    <x v="0"/>
    <x v="0"/>
    <m/>
    <x v="1"/>
    <x v="0"/>
  </r>
  <r>
    <n v="2482"/>
    <s v="2482 | Fundraising"/>
    <x v="20"/>
    <x v="6"/>
    <x v="24"/>
    <x v="4"/>
    <s v="Fundraising-Senior Manager"/>
    <x v="3"/>
    <d v="2023-02-17T21:37:50"/>
    <x v="714"/>
    <x v="211"/>
    <n v="3"/>
    <d v="2023-03-19T21:37:50"/>
    <s v="Yes"/>
    <d v="2023-02-25T21:37:50"/>
    <x v="0"/>
    <x v="2"/>
    <m/>
    <m/>
    <m/>
    <m/>
    <d v="2023-02-27T21:37:50"/>
    <m/>
    <x v="0"/>
    <m/>
    <m/>
    <m/>
    <m/>
    <s v="Company"/>
    <m/>
    <s v="C2235"/>
    <s v="Candidate_1235"/>
    <s v="Feb 14 2023"/>
    <x v="0"/>
    <s v="Referral"/>
    <n v="6"/>
    <m/>
    <x v="0"/>
    <m/>
    <m/>
    <x v="0"/>
    <x v="0"/>
    <m/>
    <x v="1"/>
    <x v="0"/>
  </r>
  <r>
    <n v="1874"/>
    <s v="1874 | Fundraising"/>
    <x v="19"/>
    <x v="6"/>
    <x v="24"/>
    <x v="4"/>
    <s v="Fundraising-Senior Manager"/>
    <x v="3"/>
    <m/>
    <x v="715"/>
    <x v="212"/>
    <n v="44581.732974537037"/>
    <d v="2022-02-14T17:35:29"/>
    <s v="Yes"/>
    <d v="2022-02-07T17:35:29"/>
    <x v="0"/>
    <x v="2"/>
    <m/>
    <m/>
    <m/>
    <m/>
    <m/>
    <m/>
    <x v="0"/>
    <m/>
    <m/>
    <m/>
    <m/>
    <s v="Candidate"/>
    <m/>
    <s v="C2236"/>
    <s v="Candidate_1236"/>
    <s v="Jan 27 2022"/>
    <x v="2"/>
    <s v="Job Board"/>
    <n v="3"/>
    <m/>
    <x v="0"/>
    <m/>
    <m/>
    <x v="0"/>
    <x v="0"/>
    <m/>
    <x v="0"/>
    <x v="0"/>
  </r>
  <r>
    <n v="1692"/>
    <s v="1692 | Fundraising"/>
    <x v="18"/>
    <x v="6"/>
    <x v="24"/>
    <x v="4"/>
    <s v="Fundraising-Senior Manager"/>
    <x v="3"/>
    <d v="2023-02-23T18:21:09"/>
    <x v="716"/>
    <x v="213"/>
    <n v="9"/>
    <d v="2023-03-28T18:21:09"/>
    <s v="Yes"/>
    <d v="2023-03-10T18:21:09"/>
    <x v="0"/>
    <x v="5"/>
    <m/>
    <m/>
    <m/>
    <m/>
    <d v="2023-03-11T18:21:09"/>
    <m/>
    <x v="0"/>
    <m/>
    <m/>
    <m/>
    <m/>
    <s v="Candidate"/>
    <m/>
    <s v="C2237"/>
    <s v="Candidate_1237"/>
    <s v="Feb 23 2023"/>
    <x v="2"/>
    <s v="Job Board"/>
    <n v="3"/>
    <m/>
    <x v="0"/>
    <m/>
    <m/>
    <x v="0"/>
    <x v="0"/>
    <m/>
    <x v="1"/>
    <x v="0"/>
  </r>
  <r>
    <n v="1551"/>
    <s v="1551 | Fundraising"/>
    <x v="19"/>
    <x v="6"/>
    <x v="24"/>
    <x v="4"/>
    <s v="Fundraising-Senior Manager"/>
    <x v="3"/>
    <d v="2022-12-08T14:20:00"/>
    <x v="717"/>
    <x v="214"/>
    <n v="4"/>
    <d v="2022-12-18T14:20:00"/>
    <s v="Yes"/>
    <d v="2022-12-22T14:20:00"/>
    <x v="0"/>
    <x v="5"/>
    <m/>
    <m/>
    <m/>
    <m/>
    <m/>
    <m/>
    <x v="0"/>
    <m/>
    <m/>
    <m/>
    <m/>
    <s v="Company"/>
    <m/>
    <s v="C2238"/>
    <s v="Candidate_1238"/>
    <s v="Dec 14 2022"/>
    <x v="1"/>
    <s v="Linkedin"/>
    <n v="6"/>
    <m/>
    <x v="0"/>
    <m/>
    <m/>
    <x v="0"/>
    <x v="0"/>
    <m/>
    <x v="1"/>
    <x v="0"/>
  </r>
  <r>
    <n v="1489"/>
    <s v="1489 | Fundraising"/>
    <x v="20"/>
    <x v="6"/>
    <x v="24"/>
    <x v="4"/>
    <s v="Fundraising-Senior Manager"/>
    <x v="3"/>
    <d v="2023-07-06T13:00:43"/>
    <x v="718"/>
    <x v="215"/>
    <n v="6"/>
    <d v="2023-07-18T13:00:43"/>
    <s v="Yes"/>
    <d v="2023-07-26T13:00:43"/>
    <x v="0"/>
    <x v="0"/>
    <m/>
    <m/>
    <m/>
    <m/>
    <m/>
    <m/>
    <x v="0"/>
    <m/>
    <m/>
    <m/>
    <m/>
    <s v="Company"/>
    <m/>
    <s v="C2239"/>
    <s v="Candidate_1239"/>
    <s v="Jul 08 2023"/>
    <x v="2"/>
    <s v="Job Board"/>
    <n v="6"/>
    <m/>
    <x v="0"/>
    <m/>
    <m/>
    <x v="0"/>
    <x v="0"/>
    <m/>
    <x v="1"/>
    <x v="0"/>
  </r>
  <r>
    <n v="1486"/>
    <s v="1486 | Fundraising"/>
    <x v="19"/>
    <x v="6"/>
    <x v="24"/>
    <x v="4"/>
    <s v="Fundraising-Senior Manager"/>
    <x v="3"/>
    <d v="2023-07-04T13:00:43"/>
    <x v="718"/>
    <x v="4"/>
    <n v="-45111.542164351849"/>
    <d v="2023-07-28T13:00:43"/>
    <s v="Yes"/>
    <d v="2023-07-21T13:00:43"/>
    <x v="0"/>
    <x v="5"/>
    <m/>
    <m/>
    <m/>
    <m/>
    <d v="2023-07-24T13:00:43"/>
    <m/>
    <x v="0"/>
    <m/>
    <m/>
    <m/>
    <m/>
    <s v="Candidate"/>
    <m/>
    <s v="C2240"/>
    <s v="Candidate_1240"/>
    <s v="07-10-2023"/>
    <x v="0"/>
    <s v="Referral"/>
    <n v="6"/>
    <m/>
    <x v="0"/>
    <m/>
    <m/>
    <x v="0"/>
    <x v="0"/>
    <m/>
    <x v="0"/>
    <x v="0"/>
  </r>
  <r>
    <n v="1481"/>
    <s v="1481 | Fundraising"/>
    <x v="18"/>
    <x v="6"/>
    <x v="24"/>
    <x v="4"/>
    <s v="Fundraising-Senior Manager"/>
    <x v="3"/>
    <d v="2023-07-06T13:00:43"/>
    <x v="719"/>
    <x v="215"/>
    <n v="6"/>
    <d v="2023-07-25T13:00:43"/>
    <s v="Yes"/>
    <d v="2023-07-21T13:00:43"/>
    <x v="0"/>
    <x v="0"/>
    <m/>
    <m/>
    <m/>
    <m/>
    <d v="2023-07-23T13:00:43"/>
    <m/>
    <x v="0"/>
    <m/>
    <m/>
    <m/>
    <m/>
    <s v="Company"/>
    <m/>
    <s v="C2241"/>
    <s v="Candidate_1241"/>
    <s v="07-02-2023"/>
    <x v="1"/>
    <s v="Linkedin"/>
    <n v="6"/>
    <m/>
    <x v="0"/>
    <m/>
    <m/>
    <x v="0"/>
    <x v="0"/>
    <m/>
    <x v="1"/>
    <x v="0"/>
  </r>
  <r>
    <n v="1466"/>
    <s v="1466 | Fundraising"/>
    <x v="19"/>
    <x v="6"/>
    <x v="24"/>
    <x v="4"/>
    <s v="Fundraising-Senior Manager"/>
    <x v="3"/>
    <d v="2023-03-17T03:24:12"/>
    <x v="720"/>
    <x v="216"/>
    <n v="6"/>
    <d v="2023-03-29T03:24:12"/>
    <s v="Yes"/>
    <d v="2023-04-05T03:24:12"/>
    <x v="0"/>
    <x v="2"/>
    <m/>
    <m/>
    <m/>
    <m/>
    <d v="2023-04-08T03:24:12"/>
    <m/>
    <x v="0"/>
    <m/>
    <m/>
    <m/>
    <m/>
    <s v="Candidate"/>
    <m/>
    <s v="C2242"/>
    <s v="Candidate_1242"/>
    <s v="03-21-2023"/>
    <x v="0"/>
    <s v="Referral"/>
    <n v="6"/>
    <m/>
    <x v="0"/>
    <m/>
    <m/>
    <x v="0"/>
    <x v="0"/>
    <m/>
    <x v="1"/>
    <x v="0"/>
  </r>
  <r>
    <n v="1359"/>
    <s v="1359 | Fundraising"/>
    <x v="18"/>
    <x v="6"/>
    <x v="24"/>
    <x v="4"/>
    <s v="Fundraising-Senior Manager"/>
    <x v="3"/>
    <d v="2022-07-24T01:19:51"/>
    <x v="721"/>
    <x v="217"/>
    <n v="5"/>
    <d v="2022-08-21T01:19:51"/>
    <s v="Yes"/>
    <d v="2022-08-13T01:19:51"/>
    <x v="0"/>
    <x v="0"/>
    <m/>
    <m/>
    <m/>
    <m/>
    <m/>
    <m/>
    <x v="0"/>
    <m/>
    <m/>
    <m/>
    <m/>
    <s v="Company"/>
    <m/>
    <s v="C2243"/>
    <s v="Candidate_1243"/>
    <s v="07-28-2022"/>
    <x v="0"/>
    <s v="Referral"/>
    <n v="3"/>
    <m/>
    <x v="0"/>
    <m/>
    <m/>
    <x v="0"/>
    <x v="0"/>
    <m/>
    <x v="1"/>
    <x v="0"/>
  </r>
  <r>
    <n v="1353"/>
    <s v="1353 | Fundraising"/>
    <x v="19"/>
    <x v="6"/>
    <x v="24"/>
    <x v="4"/>
    <s v="Fundraising-Senior Manager"/>
    <x v="3"/>
    <d v="2022-07-25T01:19:51"/>
    <x v="722"/>
    <x v="217"/>
    <n v="4"/>
    <d v="2022-08-27T01:19:51"/>
    <s v="Yes"/>
    <d v="2022-08-01T01:19:51"/>
    <x v="0"/>
    <x v="2"/>
    <m/>
    <m/>
    <m/>
    <m/>
    <m/>
    <m/>
    <x v="0"/>
    <m/>
    <m/>
    <m/>
    <m/>
    <s v="Company"/>
    <m/>
    <s v="C2244"/>
    <s v="Candidate_1244"/>
    <s v="17/07/2022"/>
    <x v="1"/>
    <s v="Linkedin"/>
    <n v="6"/>
    <m/>
    <x v="0"/>
    <m/>
    <m/>
    <x v="0"/>
    <x v="0"/>
    <m/>
    <x v="1"/>
    <x v="0"/>
  </r>
  <r>
    <n v="1243"/>
    <s v="1243 | Fundraising"/>
    <x v="20"/>
    <x v="6"/>
    <x v="24"/>
    <x v="4"/>
    <s v="Fundraising-Senior Manager"/>
    <x v="3"/>
    <d v="2022-06-22T20:09:31"/>
    <x v="723"/>
    <x v="218"/>
    <n v="7"/>
    <d v="2022-07-24T20:09:31"/>
    <s v="Yes"/>
    <d v="2022-07-14T20:09:31"/>
    <x v="0"/>
    <x v="0"/>
    <m/>
    <m/>
    <m/>
    <m/>
    <d v="2022-07-18T20:09:31"/>
    <m/>
    <x v="0"/>
    <m/>
    <m/>
    <m/>
    <m/>
    <s v="Candidate"/>
    <m/>
    <s v="C2245"/>
    <s v="Candidate_1245"/>
    <s v="06-30-2022"/>
    <x v="2"/>
    <s v="Job Board"/>
    <n v="3"/>
    <m/>
    <x v="0"/>
    <m/>
    <m/>
    <x v="0"/>
    <x v="0"/>
    <m/>
    <x v="1"/>
    <x v="0"/>
  </r>
  <r>
    <n v="1209"/>
    <s v="1209 | Fundraising"/>
    <x v="18"/>
    <x v="6"/>
    <x v="24"/>
    <x v="4"/>
    <s v="Fundraising-Senior Manager"/>
    <x v="3"/>
    <d v="2022-07-26T04:55:35"/>
    <x v="724"/>
    <x v="219"/>
    <n v="2"/>
    <d v="2022-08-23T04:55:35"/>
    <s v="Yes"/>
    <d v="2022-08-03T04:55:35"/>
    <x v="0"/>
    <x v="4"/>
    <m/>
    <m/>
    <m/>
    <m/>
    <d v="2022-08-06T04:55:35"/>
    <m/>
    <x v="0"/>
    <m/>
    <m/>
    <m/>
    <m/>
    <s v="Candidate"/>
    <m/>
    <s v="C2246"/>
    <s v="Candidate_1246"/>
    <s v="Jul 28 2022"/>
    <x v="2"/>
    <s v="Job Board"/>
    <n v="6"/>
    <m/>
    <x v="0"/>
    <m/>
    <m/>
    <x v="0"/>
    <x v="0"/>
    <m/>
    <x v="1"/>
    <x v="0"/>
  </r>
  <r>
    <n v="1205"/>
    <s v="1205 | Fundraising"/>
    <x v="18"/>
    <x v="6"/>
    <x v="24"/>
    <x v="4"/>
    <s v="Fundraising-Senior Manager"/>
    <x v="3"/>
    <d v="2022-07-22T04:55:35"/>
    <x v="725"/>
    <x v="219"/>
    <n v="6"/>
    <d v="2022-08-03T04:55:35"/>
    <s v="Yes"/>
    <d v="2022-08-01T04:55:35"/>
    <x v="0"/>
    <x v="3"/>
    <m/>
    <m/>
    <m/>
    <m/>
    <d v="2022-08-04T04:55:35"/>
    <m/>
    <x v="0"/>
    <m/>
    <m/>
    <m/>
    <m/>
    <s v="Company"/>
    <m/>
    <s v="C2247"/>
    <s v="Candidate_1247"/>
    <s v="15/07/2022"/>
    <x v="1"/>
    <s v="Linkedin"/>
    <n v="6"/>
    <m/>
    <x v="0"/>
    <m/>
    <m/>
    <x v="0"/>
    <x v="0"/>
    <m/>
    <x v="1"/>
    <x v="0"/>
  </r>
  <r>
    <n v="1198"/>
    <s v="1198 | Fundraising"/>
    <x v="20"/>
    <x v="6"/>
    <x v="24"/>
    <x v="4"/>
    <s v="Fundraising-Senior Manager"/>
    <x v="3"/>
    <d v="2022-07-22T23:11:03"/>
    <x v="726"/>
    <x v="220"/>
    <n v="7"/>
    <d v="2022-08-06T23:11:03"/>
    <s v="Yes"/>
    <d v="2022-08-12T23:11:03"/>
    <x v="0"/>
    <x v="5"/>
    <m/>
    <m/>
    <m/>
    <m/>
    <m/>
    <m/>
    <x v="0"/>
    <m/>
    <m/>
    <m/>
    <m/>
    <s v="Company"/>
    <m/>
    <s v="C2248"/>
    <s v="Candidate_1248"/>
    <s v="08-03-2022"/>
    <x v="1"/>
    <s v="Linkedin"/>
    <n v="6"/>
    <m/>
    <x v="0"/>
    <m/>
    <m/>
    <x v="0"/>
    <x v="0"/>
    <m/>
    <x v="1"/>
    <x v="0"/>
  </r>
  <r>
    <n v="1177"/>
    <s v="1177 | Fundraising"/>
    <x v="19"/>
    <x v="6"/>
    <x v="24"/>
    <x v="4"/>
    <s v="Fundraising-Senior Manager"/>
    <x v="3"/>
    <d v="2023-05-14T01:00:09"/>
    <x v="727"/>
    <x v="221"/>
    <n v="6"/>
    <d v="2023-06-02T01:00:09"/>
    <s v="Yes"/>
    <d v="2023-05-31T01:00:09"/>
    <x v="0"/>
    <x v="4"/>
    <m/>
    <m/>
    <m/>
    <m/>
    <m/>
    <m/>
    <x v="0"/>
    <m/>
    <m/>
    <m/>
    <m/>
    <s v="Candidate"/>
    <m/>
    <s v="C2249"/>
    <s v="Candidate_1249"/>
    <s v="May 22 2023"/>
    <x v="1"/>
    <s v="Linkedin"/>
    <n v="3"/>
    <m/>
    <x v="0"/>
    <m/>
    <m/>
    <x v="0"/>
    <x v="0"/>
    <m/>
    <x v="1"/>
    <x v="0"/>
  </r>
  <r>
    <n v="1110"/>
    <s v="1110 | Fundraising"/>
    <x v="19"/>
    <x v="6"/>
    <x v="24"/>
    <x v="4"/>
    <s v="Fundraising-Senior Manager"/>
    <x v="3"/>
    <d v="2022-04-20T22:53:34"/>
    <x v="728"/>
    <x v="222"/>
    <n v="10"/>
    <d v="2022-05-16T22:53:34"/>
    <s v="Yes"/>
    <d v="2022-05-03T22:53:34"/>
    <x v="0"/>
    <x v="3"/>
    <m/>
    <m/>
    <m/>
    <m/>
    <d v="2022-05-06T22:53:34"/>
    <m/>
    <x v="0"/>
    <m/>
    <m/>
    <m/>
    <m/>
    <s v="Company"/>
    <m/>
    <s v="C2250"/>
    <s v="Candidate_1250"/>
    <s v="04-18-2022"/>
    <x v="1"/>
    <s v="Linkedin"/>
    <n v="3"/>
    <m/>
    <x v="0"/>
    <m/>
    <m/>
    <x v="0"/>
    <x v="0"/>
    <m/>
    <x v="1"/>
    <x v="0"/>
  </r>
  <r>
    <n v="1104"/>
    <s v="1104 | Fundraising"/>
    <x v="18"/>
    <x v="6"/>
    <x v="24"/>
    <x v="4"/>
    <s v="Fundraising-Senior Manager"/>
    <x v="3"/>
    <d v="2022-04-27T22:53:34"/>
    <x v="729"/>
    <x v="222"/>
    <n v="3"/>
    <d v="2022-05-24T22:53:34"/>
    <s v="Yes"/>
    <d v="2022-05-05T22:53:34"/>
    <x v="0"/>
    <x v="5"/>
    <m/>
    <m/>
    <m/>
    <m/>
    <m/>
    <m/>
    <x v="0"/>
    <m/>
    <m/>
    <m/>
    <m/>
    <s v="Company"/>
    <m/>
    <s v="C2251"/>
    <s v="Candidate_1251"/>
    <s v="16/04/2022"/>
    <x v="2"/>
    <s v="Job Board"/>
    <n v="3"/>
    <m/>
    <x v="0"/>
    <m/>
    <m/>
    <x v="0"/>
    <x v="0"/>
    <m/>
    <x v="1"/>
    <x v="0"/>
  </r>
  <r>
    <n v="1080"/>
    <s v="1080 | Fundraising"/>
    <x v="18"/>
    <x v="6"/>
    <x v="24"/>
    <x v="4"/>
    <s v="Fundraising-Senior Manager"/>
    <x v="3"/>
    <d v="2022-02-08T23:46:40"/>
    <x v="730"/>
    <x v="223"/>
    <n v="7"/>
    <d v="2022-02-20T23:46:40"/>
    <s v="Yes"/>
    <d v="2022-03-03T23:46:40"/>
    <x v="0"/>
    <x v="4"/>
    <m/>
    <m/>
    <m/>
    <m/>
    <m/>
    <m/>
    <x v="0"/>
    <m/>
    <m/>
    <m/>
    <m/>
    <s v="Company"/>
    <m/>
    <s v="C2252"/>
    <s v="Candidate_1252"/>
    <s v="12/02/2022"/>
    <x v="2"/>
    <s v="Job Board"/>
    <n v="3"/>
    <m/>
    <x v="0"/>
    <m/>
    <m/>
    <x v="0"/>
    <x v="0"/>
    <m/>
    <x v="1"/>
    <x v="0"/>
  </r>
  <r>
    <n v="2939"/>
    <s v="2939 | Fundraising"/>
    <x v="20"/>
    <x v="6"/>
    <x v="25"/>
    <x v="18"/>
    <s v="Fundraising-Fund Administrator"/>
    <x v="4"/>
    <d v="2023-02-11T13:12:09"/>
    <x v="731"/>
    <x v="224"/>
    <n v="11"/>
    <d v="2023-04-08T13:12:09"/>
    <s v="Yes"/>
    <d v="2023-03-04T13:12:09"/>
    <x v="0"/>
    <x v="5"/>
    <m/>
    <m/>
    <m/>
    <m/>
    <d v="2023-03-06T13:12:09"/>
    <m/>
    <x v="0"/>
    <m/>
    <m/>
    <m/>
    <m/>
    <s v="Company"/>
    <m/>
    <s v="C2253"/>
    <s v="Candidate_1253"/>
    <s v="02-17-2023"/>
    <x v="1"/>
    <s v="Linkedin"/>
    <n v="3"/>
    <m/>
    <x v="0"/>
    <m/>
    <m/>
    <x v="0"/>
    <x v="0"/>
    <m/>
    <x v="1"/>
    <x v="0"/>
  </r>
  <r>
    <n v="2936"/>
    <s v="2936 | Fundraising"/>
    <x v="18"/>
    <x v="6"/>
    <x v="25"/>
    <x v="18"/>
    <s v="Fundraising-Fund Administrator"/>
    <x v="4"/>
    <d v="2023-02-10T13:12:09"/>
    <x v="731"/>
    <x v="224"/>
    <n v="12"/>
    <d v="2023-04-08T13:12:09"/>
    <s v="Yes"/>
    <d v="2023-02-26T13:12:09"/>
    <x v="0"/>
    <x v="0"/>
    <m/>
    <m/>
    <m/>
    <m/>
    <d v="2023-03-02T13:12:09"/>
    <m/>
    <x v="0"/>
    <m/>
    <m/>
    <m/>
    <m/>
    <s v="Candidate"/>
    <m/>
    <s v="C2254"/>
    <s v="Candidate_1254"/>
    <s v="02-07-2023"/>
    <x v="2"/>
    <s v="Job Board"/>
    <n v="6"/>
    <m/>
    <x v="0"/>
    <m/>
    <m/>
    <x v="0"/>
    <x v="0"/>
    <m/>
    <x v="1"/>
    <x v="0"/>
  </r>
  <r>
    <n v="2932"/>
    <s v="2932 | Fundraising"/>
    <x v="18"/>
    <x v="6"/>
    <x v="25"/>
    <x v="18"/>
    <s v="Fundraising-Fund Administrator"/>
    <x v="4"/>
    <d v="2023-02-07T13:12:09"/>
    <x v="0"/>
    <x v="225"/>
    <n v="11"/>
    <d v="2023-04-04T13:12:09"/>
    <s v="Yes"/>
    <d v="2023-02-19T13:12:09"/>
    <x v="1"/>
    <x v="1"/>
    <d v="2023-02-26T13:12:09"/>
    <s v="Declined"/>
    <m/>
    <m/>
    <d v="2023-02-22T13:12:09"/>
    <m/>
    <x v="0"/>
    <m/>
    <m/>
    <m/>
    <m/>
    <m/>
    <m/>
    <s v="C2255"/>
    <s v="Candidate_1255"/>
    <s v="Feb 11 2023"/>
    <x v="0"/>
    <s v="Referral"/>
    <n v="3"/>
    <m/>
    <x v="0"/>
    <m/>
    <m/>
    <x v="0"/>
    <x v="0"/>
    <m/>
    <x v="0"/>
    <x v="0"/>
  </r>
  <r>
    <n v="2924"/>
    <s v="2924 | Fundraising"/>
    <x v="20"/>
    <x v="6"/>
    <x v="25"/>
    <x v="18"/>
    <s v="Fundraising-Fund Administrator"/>
    <x v="4"/>
    <d v="2023-09-06T09:16:50"/>
    <x v="732"/>
    <x v="226"/>
    <n v="12"/>
    <d v="2023-11-02T09:16:50"/>
    <s v="Yes"/>
    <d v="2023-09-22T09:16:50"/>
    <x v="1"/>
    <x v="1"/>
    <d v="2023-09-28T09:16:50"/>
    <s v="Declined"/>
    <m/>
    <m/>
    <d v="2023-09-26T09:16:50"/>
    <m/>
    <x v="0"/>
    <m/>
    <m/>
    <m/>
    <m/>
    <m/>
    <m/>
    <s v="C2256"/>
    <s v="Candidate_1256"/>
    <s v="03/09/2023"/>
    <x v="2"/>
    <s v="Job Board"/>
    <n v="6"/>
    <m/>
    <x v="0"/>
    <m/>
    <m/>
    <x v="0"/>
    <x v="0"/>
    <m/>
    <x v="1"/>
    <x v="0"/>
  </r>
  <r>
    <n v="2921"/>
    <s v="2921 | Fundraising"/>
    <x v="19"/>
    <x v="6"/>
    <x v="25"/>
    <x v="18"/>
    <s v="Fundraising-Fund Administrator"/>
    <x v="4"/>
    <d v="2023-09-07T09:16:50"/>
    <x v="0"/>
    <x v="227"/>
    <n v="10"/>
    <d v="2023-11-01T09:16:50"/>
    <s v="Yes"/>
    <d v="2023-09-29T09:16:50"/>
    <x v="0"/>
    <x v="0"/>
    <m/>
    <m/>
    <m/>
    <m/>
    <m/>
    <m/>
    <x v="0"/>
    <m/>
    <m/>
    <m/>
    <m/>
    <s v="Company"/>
    <m/>
    <s v="C2257"/>
    <s v="Candidate_1257"/>
    <s v="09-16-2023"/>
    <x v="0"/>
    <s v="Referral"/>
    <n v="6"/>
    <m/>
    <x v="0"/>
    <m/>
    <m/>
    <x v="0"/>
    <x v="0"/>
    <m/>
    <x v="0"/>
    <x v="0"/>
  </r>
  <r>
    <n v="2823"/>
    <s v="2823 | Fundraising"/>
    <x v="20"/>
    <x v="6"/>
    <x v="25"/>
    <x v="18"/>
    <s v="Fundraising-Fund Administrator"/>
    <x v="4"/>
    <d v="2022-01-05T01:20:30"/>
    <x v="0"/>
    <x v="207"/>
    <n v="5"/>
    <d v="2022-01-28T01:20:30"/>
    <s v="Yes"/>
    <d v="2022-01-23T01:20:30"/>
    <x v="0"/>
    <x v="0"/>
    <m/>
    <m/>
    <m/>
    <m/>
    <d v="2022-01-27T01:20:30"/>
    <m/>
    <x v="0"/>
    <m/>
    <m/>
    <m/>
    <m/>
    <s v="Company"/>
    <m/>
    <s v="C2258"/>
    <s v="Candidate_1258"/>
    <s v="18/01/2022"/>
    <x v="2"/>
    <s v="Job Board"/>
    <n v="6"/>
    <m/>
    <x v="0"/>
    <m/>
    <m/>
    <x v="0"/>
    <x v="0"/>
    <m/>
    <x v="0"/>
    <x v="0"/>
  </r>
  <r>
    <n v="2810"/>
    <s v="2810 | Fundraising"/>
    <x v="19"/>
    <x v="6"/>
    <x v="25"/>
    <x v="18"/>
    <s v="Fundraising-Fund Administrator"/>
    <x v="4"/>
    <d v="2023-05-31T18:40:56"/>
    <x v="733"/>
    <x v="208"/>
    <n v="8"/>
    <d v="2023-06-29T18:40:56"/>
    <s v="Yes"/>
    <d v="2023-06-12T18:40:56"/>
    <x v="0"/>
    <x v="0"/>
    <m/>
    <m/>
    <m/>
    <m/>
    <m/>
    <m/>
    <x v="0"/>
    <m/>
    <m/>
    <m/>
    <m/>
    <s v="Candidate"/>
    <m/>
    <s v="C2259"/>
    <s v="Candidate_1259"/>
    <s v="06-03-2023"/>
    <x v="1"/>
    <s v="Linkedin"/>
    <n v="6"/>
    <m/>
    <x v="0"/>
    <m/>
    <m/>
    <x v="0"/>
    <x v="0"/>
    <m/>
    <x v="1"/>
    <x v="0"/>
  </r>
  <r>
    <n v="2799"/>
    <s v="2799 | Fundraising"/>
    <x v="20"/>
    <x v="6"/>
    <x v="25"/>
    <x v="18"/>
    <s v="Fundraising-Fund Administrator"/>
    <x v="4"/>
    <d v="2023-06-26T20:01:36"/>
    <x v="734"/>
    <x v="228"/>
    <n v="6"/>
    <d v="2023-07-07T20:01:36"/>
    <s v="Yes"/>
    <d v="2023-07-09T20:01:36"/>
    <x v="0"/>
    <x v="2"/>
    <m/>
    <m/>
    <m/>
    <m/>
    <m/>
    <m/>
    <x v="0"/>
    <m/>
    <m/>
    <m/>
    <m/>
    <s v="Candidate"/>
    <m/>
    <s v="C2260"/>
    <s v="Candidate_1260"/>
    <s v="28/06/2023"/>
    <x v="0"/>
    <s v="Referral"/>
    <n v="3"/>
    <m/>
    <x v="0"/>
    <m/>
    <m/>
    <x v="0"/>
    <x v="0"/>
    <m/>
    <x v="1"/>
    <x v="0"/>
  </r>
  <r>
    <n v="2792"/>
    <s v="2792 | Fundraising"/>
    <x v="19"/>
    <x v="6"/>
    <x v="25"/>
    <x v="18"/>
    <s v="Fundraising-Fund Administrator"/>
    <x v="4"/>
    <d v="2023-06-26T20:01:36"/>
    <x v="735"/>
    <x v="228"/>
    <n v="6"/>
    <d v="2023-07-31T20:01:36"/>
    <s v="Yes"/>
    <d v="2023-07-12T20:01:36"/>
    <x v="0"/>
    <x v="4"/>
    <m/>
    <m/>
    <m/>
    <m/>
    <d v="2023-07-13T20:01:36"/>
    <m/>
    <x v="0"/>
    <m/>
    <m/>
    <m/>
    <m/>
    <s v="Company"/>
    <m/>
    <s v="C2261"/>
    <s v="Candidate_1261"/>
    <s v="Jun 23 2023"/>
    <x v="2"/>
    <s v="Job Board"/>
    <n v="6"/>
    <m/>
    <x v="0"/>
    <m/>
    <m/>
    <x v="0"/>
    <x v="0"/>
    <m/>
    <x v="1"/>
    <x v="0"/>
  </r>
  <r>
    <n v="2764"/>
    <s v="2764 | Fundraising"/>
    <x v="20"/>
    <x v="6"/>
    <x v="25"/>
    <x v="18"/>
    <s v="Fundraising-Fund Administrator"/>
    <x v="4"/>
    <d v="2022-09-02T07:14:27"/>
    <x v="711"/>
    <x v="209"/>
    <n v="7"/>
    <d v="2022-09-15T07:14:27"/>
    <s v="Yes"/>
    <d v="2022-09-23T07:14:27"/>
    <x v="0"/>
    <x v="5"/>
    <m/>
    <m/>
    <m/>
    <m/>
    <d v="2022-09-25T07:14:27"/>
    <m/>
    <x v="0"/>
    <m/>
    <m/>
    <m/>
    <m/>
    <s v="Candidate"/>
    <m/>
    <s v="C2262"/>
    <s v="Candidate_1262"/>
    <s v="07/09/2022"/>
    <x v="1"/>
    <s v="Linkedin"/>
    <n v="6"/>
    <m/>
    <x v="0"/>
    <m/>
    <m/>
    <x v="0"/>
    <x v="0"/>
    <m/>
    <x v="1"/>
    <x v="0"/>
  </r>
  <r>
    <n v="2746"/>
    <s v="2746 | Fundraising"/>
    <x v="20"/>
    <x v="6"/>
    <x v="25"/>
    <x v="18"/>
    <s v="Fundraising-Fund Administrator"/>
    <x v="4"/>
    <d v="2022-04-17T13:27:53"/>
    <x v="736"/>
    <x v="229"/>
    <n v="7"/>
    <d v="2022-05-17T13:27:53"/>
    <s v="Yes"/>
    <d v="2022-04-29T13:27:53"/>
    <x v="1"/>
    <x v="1"/>
    <d v="2022-05-03T13:27:53"/>
    <s v="Declined"/>
    <m/>
    <m/>
    <d v="2022-04-30T13:27:53"/>
    <m/>
    <x v="0"/>
    <m/>
    <m/>
    <m/>
    <m/>
    <m/>
    <m/>
    <s v="C2263"/>
    <s v="Candidate_1263"/>
    <s v="04-22-2022"/>
    <x v="1"/>
    <s v="Linkedin"/>
    <n v="6"/>
    <m/>
    <x v="0"/>
    <m/>
    <m/>
    <x v="0"/>
    <x v="0"/>
    <m/>
    <x v="1"/>
    <x v="0"/>
  </r>
  <r>
    <n v="2745"/>
    <s v="2745 | Fundraising"/>
    <x v="19"/>
    <x v="6"/>
    <x v="25"/>
    <x v="18"/>
    <s v="Fundraising-Fund Administrator"/>
    <x v="4"/>
    <d v="2022-04-18T13:27:53"/>
    <x v="737"/>
    <x v="229"/>
    <n v="6"/>
    <d v="2022-05-06T13:27:53"/>
    <s v="Yes"/>
    <d v="2022-05-10T13:27:53"/>
    <x v="1"/>
    <x v="1"/>
    <d v="2022-05-16T13:27:53"/>
    <s v="Declined"/>
    <m/>
    <m/>
    <d v="2022-05-12T13:27:53"/>
    <m/>
    <x v="0"/>
    <m/>
    <m/>
    <m/>
    <m/>
    <m/>
    <m/>
    <s v="C2264"/>
    <s v="Candidate_1264"/>
    <s v="22/04/2022"/>
    <x v="1"/>
    <s v="Linkedin"/>
    <n v="6"/>
    <m/>
    <x v="0"/>
    <m/>
    <m/>
    <x v="0"/>
    <x v="0"/>
    <m/>
    <x v="1"/>
    <x v="0"/>
  </r>
  <r>
    <n v="2635"/>
    <s v="2635 | Fundraising"/>
    <x v="20"/>
    <x v="6"/>
    <x v="25"/>
    <x v="18"/>
    <s v="Fundraising-Fund Administrator"/>
    <x v="4"/>
    <d v="2022-01-24T04:43:28"/>
    <x v="738"/>
    <x v="230"/>
    <n v="3"/>
    <d v="2022-02-02T04:43:28"/>
    <s v="Yes"/>
    <d v="2022-01-30T04:43:28"/>
    <x v="1"/>
    <x v="1"/>
    <d v="2022-02-04T04:43:28"/>
    <s v="Declined"/>
    <m/>
    <m/>
    <d v="2022-02-02T04:43:28"/>
    <m/>
    <x v="0"/>
    <m/>
    <m/>
    <m/>
    <m/>
    <m/>
    <m/>
    <s v="C2265"/>
    <s v="Candidate_1265"/>
    <s v="Jan 18 2022"/>
    <x v="0"/>
    <s v="Referral"/>
    <n v="3"/>
    <m/>
    <x v="0"/>
    <m/>
    <m/>
    <x v="0"/>
    <x v="0"/>
    <m/>
    <x v="1"/>
    <x v="0"/>
  </r>
  <r>
    <n v="2624"/>
    <s v="2624 | Fundraising"/>
    <x v="20"/>
    <x v="6"/>
    <x v="25"/>
    <x v="18"/>
    <s v="Fundraising-Fund Administrator"/>
    <x v="4"/>
    <d v="2023-06-20T16:02:26"/>
    <x v="739"/>
    <x v="210"/>
    <n v="5"/>
    <d v="2023-07-12T16:02:26"/>
    <s v="Yes"/>
    <d v="2023-06-29T16:02:26"/>
    <x v="0"/>
    <x v="5"/>
    <m/>
    <m/>
    <m/>
    <m/>
    <d v="2023-07-02T16:02:26"/>
    <m/>
    <x v="0"/>
    <m/>
    <m/>
    <m/>
    <m/>
    <s v="Candidate"/>
    <m/>
    <s v="C2266"/>
    <s v="Candidate_1266"/>
    <s v="06-14-2023"/>
    <x v="2"/>
    <s v="Job Board"/>
    <n v="6"/>
    <m/>
    <x v="0"/>
    <m/>
    <m/>
    <x v="0"/>
    <x v="0"/>
    <m/>
    <x v="1"/>
    <x v="0"/>
  </r>
  <r>
    <n v="2618"/>
    <s v="2618 | Fundraising"/>
    <x v="19"/>
    <x v="6"/>
    <x v="25"/>
    <x v="18"/>
    <s v="Fundraising-Fund Administrator"/>
    <x v="4"/>
    <m/>
    <x v="740"/>
    <x v="231"/>
    <n v="44936.379525462973"/>
    <d v="2023-01-30T09:06:31"/>
    <s v="Yes"/>
    <d v="2023-01-16T09:06:31"/>
    <x v="1"/>
    <x v="1"/>
    <d v="2023-01-22T09:06:31"/>
    <s v="Declined"/>
    <m/>
    <m/>
    <d v="2023-01-20T09:06:31"/>
    <m/>
    <x v="0"/>
    <m/>
    <m/>
    <m/>
    <m/>
    <m/>
    <m/>
    <s v="C2267"/>
    <s v="Candidate_1267"/>
    <s v="Jan 06 2023"/>
    <x v="0"/>
    <s v="Referral"/>
    <n v="3"/>
    <m/>
    <x v="0"/>
    <m/>
    <m/>
    <x v="0"/>
    <x v="0"/>
    <m/>
    <x v="0"/>
    <x v="0"/>
  </r>
  <r>
    <n v="2617"/>
    <s v="2617 | Fundraising"/>
    <x v="20"/>
    <x v="6"/>
    <x v="25"/>
    <x v="18"/>
    <s v="Fundraising-Fund Administrator"/>
    <x v="4"/>
    <d v="2023-01-05T09:06:31"/>
    <x v="741"/>
    <x v="231"/>
    <n v="5"/>
    <d v="2023-01-28T09:06:31"/>
    <s v="Yes"/>
    <d v="2023-01-26T09:06:31"/>
    <x v="1"/>
    <x v="1"/>
    <d v="2023-01-31T09:06:31"/>
    <s v="Declined"/>
    <m/>
    <m/>
    <d v="2023-01-30T09:06:31"/>
    <m/>
    <x v="0"/>
    <m/>
    <m/>
    <m/>
    <m/>
    <m/>
    <m/>
    <s v="C2268"/>
    <s v="Candidate_1268"/>
    <s v="19/01/2023"/>
    <x v="0"/>
    <s v="Referral"/>
    <n v="3"/>
    <m/>
    <x v="0"/>
    <m/>
    <m/>
    <x v="0"/>
    <x v="0"/>
    <m/>
    <x v="1"/>
    <x v="0"/>
  </r>
  <r>
    <n v="2597"/>
    <s v="2597 | Fundraising"/>
    <x v="20"/>
    <x v="6"/>
    <x v="25"/>
    <x v="18"/>
    <s v="Fundraising-Fund Administrator"/>
    <x v="4"/>
    <d v="2023-01-18T09:40:31"/>
    <x v="742"/>
    <x v="232"/>
    <n v="8"/>
    <d v="2023-02-18T09:40:31"/>
    <s v="Yes"/>
    <d v="2023-02-10T09:40:31"/>
    <x v="0"/>
    <x v="0"/>
    <m/>
    <m/>
    <m/>
    <m/>
    <m/>
    <m/>
    <x v="0"/>
    <m/>
    <m/>
    <m/>
    <m/>
    <s v="Candidate"/>
    <m/>
    <s v="C2269"/>
    <s v="Candidate_1269"/>
    <s v="01-31-2023"/>
    <x v="2"/>
    <s v="Job Board"/>
    <n v="6"/>
    <m/>
    <x v="0"/>
    <m/>
    <m/>
    <x v="0"/>
    <x v="0"/>
    <m/>
    <x v="1"/>
    <x v="0"/>
  </r>
  <r>
    <n v="2593"/>
    <s v="2593 | Fundraising"/>
    <x v="18"/>
    <x v="6"/>
    <x v="25"/>
    <x v="18"/>
    <s v="Fundraising-Fund Administrator"/>
    <x v="4"/>
    <d v="2023-01-19T09:40:31"/>
    <x v="743"/>
    <x v="232"/>
    <n v="7"/>
    <d v="2023-02-01T09:40:31"/>
    <s v="Yes"/>
    <d v="2023-01-30T09:40:31"/>
    <x v="0"/>
    <x v="0"/>
    <m/>
    <m/>
    <m/>
    <m/>
    <d v="2023-02-01T09:40:31"/>
    <m/>
    <x v="0"/>
    <m/>
    <m/>
    <m/>
    <m/>
    <s v="Company"/>
    <m/>
    <s v="C2270"/>
    <s v="Candidate_1270"/>
    <s v="Jan 24 2023"/>
    <x v="2"/>
    <s v="Job Board"/>
    <n v="3"/>
    <m/>
    <x v="0"/>
    <m/>
    <m/>
    <x v="0"/>
    <x v="0"/>
    <m/>
    <x v="1"/>
    <x v="0"/>
  </r>
  <r>
    <n v="2574"/>
    <s v="2574 | Fundraising"/>
    <x v="20"/>
    <x v="6"/>
    <x v="25"/>
    <x v="18"/>
    <s v="Fundraising-Fund Administrator"/>
    <x v="4"/>
    <d v="2022-03-18T17:14:32"/>
    <x v="744"/>
    <x v="233"/>
    <n v="7"/>
    <d v="2022-04-17T17:14:32"/>
    <s v="Yes"/>
    <d v="2022-03-30T17:14:32"/>
    <x v="0"/>
    <x v="3"/>
    <m/>
    <m/>
    <m/>
    <m/>
    <d v="2022-04-03T17:14:32"/>
    <m/>
    <x v="0"/>
    <m/>
    <m/>
    <m/>
    <m/>
    <s v="Company"/>
    <m/>
    <s v="C2271"/>
    <s v="Candidate_1271"/>
    <s v="21/03/2022"/>
    <x v="0"/>
    <s v="Referral"/>
    <n v="3"/>
    <m/>
    <x v="0"/>
    <m/>
    <m/>
    <x v="0"/>
    <x v="0"/>
    <m/>
    <x v="1"/>
    <x v="0"/>
  </r>
  <r>
    <n v="2429"/>
    <s v="2429 | Fundraising"/>
    <x v="19"/>
    <x v="6"/>
    <x v="25"/>
    <x v="18"/>
    <s v="Fundraising-Fund Administrator"/>
    <x v="4"/>
    <d v="2022-09-28T06:07:20"/>
    <x v="745"/>
    <x v="234"/>
    <n v="9"/>
    <d v="2022-10-19T06:07:20"/>
    <s v="Yes"/>
    <d v="2022-10-14T06:07:20"/>
    <x v="0"/>
    <x v="4"/>
    <m/>
    <m/>
    <m/>
    <m/>
    <d v="2022-10-17T06:07:20"/>
    <m/>
    <x v="0"/>
    <m/>
    <m/>
    <m/>
    <m/>
    <s v="Company"/>
    <m/>
    <s v="C2272"/>
    <s v="Candidate_1272"/>
    <s v="29/09/2022"/>
    <x v="0"/>
    <s v="Referral"/>
    <n v="6"/>
    <m/>
    <x v="0"/>
    <m/>
    <m/>
    <x v="0"/>
    <x v="0"/>
    <m/>
    <x v="1"/>
    <x v="0"/>
  </r>
  <r>
    <n v="2424"/>
    <s v="2424 | Fundraising"/>
    <x v="18"/>
    <x v="6"/>
    <x v="25"/>
    <x v="18"/>
    <s v="Fundraising-Fund Administrator"/>
    <x v="4"/>
    <d v="2022-09-28T06:07:20"/>
    <x v="745"/>
    <x v="234"/>
    <n v="9"/>
    <d v="2022-10-12T06:07:20"/>
    <s v="Yes"/>
    <d v="2022-10-16T06:07:20"/>
    <x v="0"/>
    <x v="5"/>
    <m/>
    <m/>
    <m/>
    <m/>
    <m/>
    <m/>
    <x v="0"/>
    <m/>
    <m/>
    <m/>
    <m/>
    <s v="Company"/>
    <m/>
    <s v="C2273"/>
    <s v="Candidate_1273"/>
    <s v="30/09/2022"/>
    <x v="2"/>
    <s v="Job Board"/>
    <n v="6"/>
    <m/>
    <x v="0"/>
    <m/>
    <m/>
    <x v="0"/>
    <x v="0"/>
    <m/>
    <x v="1"/>
    <x v="0"/>
  </r>
  <r>
    <n v="2400"/>
    <s v="2400 | Fundraising"/>
    <x v="20"/>
    <x v="6"/>
    <x v="25"/>
    <x v="18"/>
    <s v="Fundraising-Fund Administrator"/>
    <x v="4"/>
    <d v="2023-07-18T17:32:55"/>
    <x v="746"/>
    <x v="235"/>
    <n v="6"/>
    <d v="2023-08-07T17:32:55"/>
    <s v="Yes"/>
    <d v="2023-07-30T17:32:55"/>
    <x v="0"/>
    <x v="2"/>
    <m/>
    <m/>
    <m/>
    <m/>
    <d v="2023-08-01T17:32:55"/>
    <m/>
    <x v="0"/>
    <m/>
    <m/>
    <m/>
    <m/>
    <s v="Company"/>
    <m/>
    <s v="C2274"/>
    <s v="Candidate_1274"/>
    <s v="Jul 17 2023"/>
    <x v="2"/>
    <s v="Job Board"/>
    <n v="6"/>
    <m/>
    <x v="0"/>
    <m/>
    <m/>
    <x v="0"/>
    <x v="0"/>
    <m/>
    <x v="1"/>
    <x v="0"/>
  </r>
  <r>
    <n v="2392"/>
    <s v="2392 | Fundraising"/>
    <x v="18"/>
    <x v="6"/>
    <x v="25"/>
    <x v="18"/>
    <s v="Fundraising-Fund Administrator"/>
    <x v="4"/>
    <d v="2023-07-15T17:32:55"/>
    <x v="747"/>
    <x v="235"/>
    <n v="9"/>
    <d v="2023-08-21T17:32:55"/>
    <s v="Yes"/>
    <d v="2023-08-05T17:32:55"/>
    <x v="0"/>
    <x v="5"/>
    <m/>
    <m/>
    <m/>
    <m/>
    <m/>
    <m/>
    <x v="0"/>
    <m/>
    <m/>
    <m/>
    <m/>
    <s v="Candidate"/>
    <m/>
    <s v="C2275"/>
    <s v="Candidate_1275"/>
    <s v="21/07/2023"/>
    <x v="2"/>
    <s v="Job Board"/>
    <n v="6"/>
    <m/>
    <x v="0"/>
    <m/>
    <m/>
    <x v="0"/>
    <x v="0"/>
    <m/>
    <x v="1"/>
    <x v="0"/>
  </r>
  <r>
    <n v="2391"/>
    <s v="2391 | Fundraising"/>
    <x v="20"/>
    <x v="6"/>
    <x v="25"/>
    <x v="18"/>
    <s v="Fundraising-Fund Administrator"/>
    <x v="4"/>
    <d v="2023-07-20T17:32:55"/>
    <x v="748"/>
    <x v="235"/>
    <n v="4"/>
    <d v="2023-08-08T17:32:55"/>
    <s v="Yes"/>
    <d v="2023-08-09T17:32:55"/>
    <x v="1"/>
    <x v="1"/>
    <d v="2023-08-13T17:32:55"/>
    <s v="Declined"/>
    <m/>
    <m/>
    <d v="2023-08-12T17:32:55"/>
    <m/>
    <x v="0"/>
    <m/>
    <m/>
    <m/>
    <m/>
    <m/>
    <m/>
    <s v="C2276"/>
    <s v="Candidate_1276"/>
    <s v="Jul 22 2023"/>
    <x v="1"/>
    <s v="Linkedin"/>
    <n v="3"/>
    <m/>
    <x v="0"/>
    <m/>
    <m/>
    <x v="0"/>
    <x v="0"/>
    <m/>
    <x v="1"/>
    <x v="0"/>
  </r>
  <r>
    <n v="2040"/>
    <s v="2040 | Fundraising"/>
    <x v="20"/>
    <x v="6"/>
    <x v="25"/>
    <x v="18"/>
    <s v="Fundraising-Fund Administrator"/>
    <x v="4"/>
    <d v="2022-03-27T20:40:01"/>
    <x v="749"/>
    <x v="236"/>
    <n v="5"/>
    <d v="2022-04-17T20:40:01"/>
    <s v="Yes"/>
    <d v="2022-04-06T20:40:01"/>
    <x v="0"/>
    <x v="0"/>
    <m/>
    <m/>
    <m/>
    <m/>
    <m/>
    <m/>
    <x v="0"/>
    <m/>
    <m/>
    <m/>
    <m/>
    <s v="Candidate"/>
    <m/>
    <s v="C2277"/>
    <s v="Candidate_1277"/>
    <s v="03-21-2022"/>
    <x v="0"/>
    <s v="Referral"/>
    <n v="3"/>
    <m/>
    <x v="0"/>
    <m/>
    <m/>
    <x v="0"/>
    <x v="0"/>
    <m/>
    <x v="1"/>
    <x v="0"/>
  </r>
  <r>
    <n v="2036"/>
    <s v="2036 | Fundraising"/>
    <x v="18"/>
    <x v="6"/>
    <x v="25"/>
    <x v="18"/>
    <s v="Fundraising-Fund Administrator"/>
    <x v="4"/>
    <d v="2022-03-26T20:40:01"/>
    <x v="750"/>
    <x v="236"/>
    <n v="6"/>
    <d v="2022-05-01T20:40:01"/>
    <s v="Yes"/>
    <d v="2022-04-06T20:40:01"/>
    <x v="0"/>
    <x v="0"/>
    <m/>
    <m/>
    <m/>
    <m/>
    <m/>
    <m/>
    <x v="0"/>
    <m/>
    <m/>
    <m/>
    <m/>
    <s v="Company"/>
    <m/>
    <s v="C2278"/>
    <s v="Candidate_1278"/>
    <s v="28/03/2022"/>
    <x v="1"/>
    <s v="Linkedin"/>
    <n v="3"/>
    <m/>
    <x v="0"/>
    <m/>
    <m/>
    <x v="0"/>
    <x v="0"/>
    <m/>
    <x v="1"/>
    <x v="0"/>
  </r>
  <r>
    <n v="2035"/>
    <s v="2035 | Fundraising"/>
    <x v="20"/>
    <x v="6"/>
    <x v="25"/>
    <x v="18"/>
    <s v="Fundraising-Fund Administrator"/>
    <x v="4"/>
    <d v="2022-03-25T20:40:01"/>
    <x v="0"/>
    <x v="236"/>
    <n v="7"/>
    <d v="2022-04-27T20:40:01"/>
    <s v="Yes"/>
    <d v="2022-04-12T20:40:01"/>
    <x v="0"/>
    <x v="5"/>
    <m/>
    <m/>
    <m/>
    <m/>
    <m/>
    <m/>
    <x v="0"/>
    <m/>
    <m/>
    <m/>
    <m/>
    <s v="Candidate"/>
    <m/>
    <s v="C2279"/>
    <s v="Candidate_1279"/>
    <s v="06/04/2022"/>
    <x v="1"/>
    <s v="Linkedin"/>
    <n v="6"/>
    <m/>
    <x v="0"/>
    <m/>
    <m/>
    <x v="0"/>
    <x v="0"/>
    <m/>
    <x v="0"/>
    <x v="0"/>
  </r>
  <r>
    <n v="2033"/>
    <s v="2033 | Fundraising"/>
    <x v="20"/>
    <x v="6"/>
    <x v="25"/>
    <x v="18"/>
    <s v="Fundraising-Fund Administrator"/>
    <x v="4"/>
    <d v="2022-03-22T20:40:01"/>
    <x v="751"/>
    <x v="236"/>
    <n v="10"/>
    <d v="2022-04-16T20:40:01"/>
    <s v="Yes"/>
    <d v="2022-04-05T20:40:01"/>
    <x v="1"/>
    <x v="1"/>
    <d v="2022-04-07T20:40:01"/>
    <s v="Declined"/>
    <m/>
    <m/>
    <d v="2022-04-06T20:40:01"/>
    <m/>
    <x v="0"/>
    <m/>
    <m/>
    <m/>
    <m/>
    <m/>
    <m/>
    <s v="C2280"/>
    <s v="Candidate_1280"/>
    <s v="03-17-2022"/>
    <x v="2"/>
    <s v="Job Board"/>
    <n v="6"/>
    <m/>
    <x v="0"/>
    <m/>
    <m/>
    <x v="0"/>
    <x v="0"/>
    <m/>
    <x v="1"/>
    <x v="0"/>
  </r>
  <r>
    <n v="1933"/>
    <s v="1933 | Fundraising"/>
    <x v="19"/>
    <x v="6"/>
    <x v="25"/>
    <x v="18"/>
    <s v="Fundraising-Fund Administrator"/>
    <x v="4"/>
    <d v="2023-09-10T07:20:47"/>
    <x v="752"/>
    <x v="237"/>
    <n v="5"/>
    <d v="2023-09-24T07:20:47"/>
    <s v="Yes"/>
    <d v="2023-09-29T07:20:47"/>
    <x v="4"/>
    <x v="1"/>
    <d v="2023-10-02T07:20:47"/>
    <s v="Pending"/>
    <m/>
    <m/>
    <d v="2023-10-01T07:20:47"/>
    <m/>
    <x v="0"/>
    <m/>
    <m/>
    <m/>
    <m/>
    <m/>
    <m/>
    <s v="C2281"/>
    <s v="Candidate_1281"/>
    <s v="09-11-2023"/>
    <x v="0"/>
    <s v="Referral"/>
    <n v="6"/>
    <m/>
    <x v="0"/>
    <m/>
    <m/>
    <x v="0"/>
    <x v="0"/>
    <m/>
    <x v="1"/>
    <x v="0"/>
  </r>
  <r>
    <n v="1873"/>
    <s v="1873 | Fundraising"/>
    <x v="20"/>
    <x v="6"/>
    <x v="25"/>
    <x v="18"/>
    <s v="Fundraising-Fund Administrator"/>
    <x v="4"/>
    <m/>
    <x v="0"/>
    <x v="212"/>
    <n v="44581.732974537037"/>
    <d v="2022-02-01T17:35:29"/>
    <s v="Yes"/>
    <d v="2022-01-25T17:35:29"/>
    <x v="4"/>
    <x v="1"/>
    <d v="2022-02-01T17:35:29"/>
    <s v="Pending"/>
    <m/>
    <m/>
    <d v="2022-01-29T17:35:29"/>
    <m/>
    <x v="0"/>
    <m/>
    <m/>
    <m/>
    <m/>
    <m/>
    <m/>
    <s v="C2282"/>
    <s v="Candidate_1282"/>
    <s v="01-14-2022"/>
    <x v="2"/>
    <s v="Job Board"/>
    <n v="3"/>
    <m/>
    <x v="0"/>
    <m/>
    <m/>
    <x v="0"/>
    <x v="0"/>
    <m/>
    <x v="0"/>
    <x v="0"/>
  </r>
  <r>
    <n v="1719"/>
    <s v="1719 | Fundraising"/>
    <x v="19"/>
    <x v="6"/>
    <x v="25"/>
    <x v="18"/>
    <s v="Fundraising-Fund Administrator"/>
    <x v="4"/>
    <d v="2022-01-02T01:51:52"/>
    <x v="753"/>
    <x v="238"/>
    <n v="5"/>
    <d v="2022-02-06T01:51:52"/>
    <s v="Yes"/>
    <d v="2022-01-17T01:51:52"/>
    <x v="0"/>
    <x v="2"/>
    <m/>
    <m/>
    <m/>
    <m/>
    <m/>
    <m/>
    <x v="0"/>
    <m/>
    <m/>
    <m/>
    <m/>
    <s v="Candidate"/>
    <m/>
    <s v="C2283"/>
    <s v="Candidate_1283"/>
    <s v="01-03-2022"/>
    <x v="0"/>
    <s v="Referral"/>
    <n v="3"/>
    <m/>
    <x v="0"/>
    <m/>
    <m/>
    <x v="0"/>
    <x v="0"/>
    <m/>
    <x v="1"/>
    <x v="0"/>
  </r>
  <r>
    <n v="1711"/>
    <s v="1711 | Fundraising"/>
    <x v="19"/>
    <x v="6"/>
    <x v="25"/>
    <x v="18"/>
    <s v="Fundraising-Fund Administrator"/>
    <x v="4"/>
    <d v="2022-01-02T01:51:52"/>
    <x v="754"/>
    <x v="238"/>
    <n v="5"/>
    <d v="2022-01-31T01:51:52"/>
    <s v="Yes"/>
    <d v="2022-01-20T01:51:52"/>
    <x v="1"/>
    <x v="1"/>
    <d v="2022-01-22T01:51:52"/>
    <s v="Declined"/>
    <m/>
    <m/>
    <d v="2022-01-21T01:51:52"/>
    <m/>
    <x v="0"/>
    <m/>
    <m/>
    <m/>
    <m/>
    <m/>
    <m/>
    <s v="C2284"/>
    <s v="Candidate_1284"/>
    <s v="14/01/2022"/>
    <x v="0"/>
    <s v="Referral"/>
    <n v="6"/>
    <m/>
    <x v="0"/>
    <m/>
    <m/>
    <x v="0"/>
    <x v="0"/>
    <m/>
    <x v="1"/>
    <x v="0"/>
  </r>
  <r>
    <n v="1698"/>
    <s v="1698 | Fundraising"/>
    <x v="19"/>
    <x v="6"/>
    <x v="25"/>
    <x v="18"/>
    <s v="Fundraising-Fund Administrator"/>
    <x v="4"/>
    <d v="2023-02-28T18:21:09"/>
    <x v="755"/>
    <x v="213"/>
    <n v="4"/>
    <d v="2023-03-18T18:21:09"/>
    <s v="Yes"/>
    <d v="2023-03-09T18:21:09"/>
    <x v="0"/>
    <x v="0"/>
    <m/>
    <m/>
    <m/>
    <m/>
    <m/>
    <m/>
    <x v="0"/>
    <m/>
    <m/>
    <m/>
    <m/>
    <s v="Candidate"/>
    <m/>
    <s v="C2285"/>
    <s v="Candidate_1285"/>
    <s v="22/02/2023"/>
    <x v="2"/>
    <s v="Job Board"/>
    <n v="3"/>
    <m/>
    <x v="0"/>
    <m/>
    <m/>
    <x v="0"/>
    <x v="0"/>
    <m/>
    <x v="1"/>
    <x v="0"/>
  </r>
  <r>
    <n v="1559"/>
    <s v="1559 | Fundraising"/>
    <x v="20"/>
    <x v="6"/>
    <x v="25"/>
    <x v="18"/>
    <s v="Fundraising-Fund Administrator"/>
    <x v="4"/>
    <d v="2022-12-07T14:20:00"/>
    <x v="756"/>
    <x v="214"/>
    <n v="5"/>
    <d v="2023-01-04T14:20:00"/>
    <s v="Yes"/>
    <d v="2022-12-23T14:20:00"/>
    <x v="0"/>
    <x v="4"/>
    <m/>
    <m/>
    <m/>
    <m/>
    <d v="2022-12-27T14:20:00"/>
    <m/>
    <x v="0"/>
    <m/>
    <m/>
    <m/>
    <m/>
    <s v="Candidate"/>
    <m/>
    <s v="C2286"/>
    <s v="Candidate_1286"/>
    <s v="Dec 15 2022"/>
    <x v="2"/>
    <s v="Job Board"/>
    <n v="3"/>
    <m/>
    <x v="0"/>
    <m/>
    <m/>
    <x v="0"/>
    <x v="0"/>
    <m/>
    <x v="1"/>
    <x v="0"/>
  </r>
  <r>
    <n v="1557"/>
    <s v="1557 | Fundraising"/>
    <x v="20"/>
    <x v="6"/>
    <x v="25"/>
    <x v="18"/>
    <s v="Fundraising-Fund Administrator"/>
    <x v="4"/>
    <d v="2022-12-09T14:20:00"/>
    <x v="717"/>
    <x v="214"/>
    <n v="3"/>
    <d v="2022-12-29T14:20:00"/>
    <s v="Yes"/>
    <d v="2022-12-25T14:20:00"/>
    <x v="0"/>
    <x v="0"/>
    <m/>
    <m/>
    <m/>
    <m/>
    <d v="2022-12-28T14:20:00"/>
    <m/>
    <x v="0"/>
    <m/>
    <m/>
    <m/>
    <m/>
    <s v="Company"/>
    <m/>
    <s v="C2287"/>
    <s v="Candidate_1287"/>
    <s v="12-16-2022"/>
    <x v="2"/>
    <s v="Job Board"/>
    <n v="3"/>
    <m/>
    <x v="0"/>
    <m/>
    <m/>
    <x v="0"/>
    <x v="0"/>
    <m/>
    <x v="1"/>
    <x v="0"/>
  </r>
  <r>
    <n v="1553"/>
    <s v="1553 | Fundraising"/>
    <x v="20"/>
    <x v="6"/>
    <x v="25"/>
    <x v="18"/>
    <s v="Fundraising-Fund Administrator"/>
    <x v="4"/>
    <m/>
    <x v="757"/>
    <x v="214"/>
    <n v="44907.597222222219"/>
    <d v="2022-12-17T14:20:00"/>
    <s v="Yes"/>
    <d v="2022-12-26T14:20:00"/>
    <x v="0"/>
    <x v="5"/>
    <m/>
    <m/>
    <m/>
    <m/>
    <m/>
    <m/>
    <x v="0"/>
    <m/>
    <m/>
    <m/>
    <m/>
    <s v="Company"/>
    <m/>
    <s v="C2288"/>
    <s v="Candidate_1288"/>
    <s v="12-17-2022"/>
    <x v="0"/>
    <s v="Referral"/>
    <n v="3"/>
    <m/>
    <x v="0"/>
    <m/>
    <m/>
    <x v="0"/>
    <x v="0"/>
    <m/>
    <x v="0"/>
    <x v="0"/>
  </r>
  <r>
    <n v="1490"/>
    <s v="1490 | Fundraising"/>
    <x v="20"/>
    <x v="6"/>
    <x v="25"/>
    <x v="18"/>
    <s v="Fundraising-Fund Administrator"/>
    <x v="4"/>
    <d v="2023-07-10T13:00:43"/>
    <x v="758"/>
    <x v="215"/>
    <n v="2"/>
    <d v="2023-08-05T13:00:43"/>
    <s v="Yes"/>
    <d v="2023-07-18T13:00:43"/>
    <x v="0"/>
    <x v="4"/>
    <m/>
    <m/>
    <m/>
    <m/>
    <m/>
    <m/>
    <x v="0"/>
    <m/>
    <m/>
    <m/>
    <m/>
    <s v="Candidate"/>
    <m/>
    <s v="C2289"/>
    <s v="Candidate_1289"/>
    <s v="Jul 13 2023"/>
    <x v="2"/>
    <s v="Job Board"/>
    <n v="6"/>
    <m/>
    <x v="0"/>
    <m/>
    <m/>
    <x v="0"/>
    <x v="0"/>
    <m/>
    <x v="1"/>
    <x v="0"/>
  </r>
  <r>
    <n v="1483"/>
    <s v="1483 | Fundraising"/>
    <x v="19"/>
    <x v="6"/>
    <x v="25"/>
    <x v="18"/>
    <s v="Fundraising-Fund Administrator"/>
    <x v="4"/>
    <m/>
    <x v="0"/>
    <x v="215"/>
    <n v="45119.542164351849"/>
    <d v="2023-08-02T13:00:43"/>
    <s v="Yes"/>
    <d v="2023-07-29T13:00:43"/>
    <x v="0"/>
    <x v="0"/>
    <m/>
    <m/>
    <m/>
    <m/>
    <d v="2023-08-02T13:00:43"/>
    <m/>
    <x v="0"/>
    <m/>
    <m/>
    <m/>
    <m/>
    <s v="Company"/>
    <m/>
    <s v="C2290"/>
    <s v="Candidate_1290"/>
    <s v="Jul 22 2023"/>
    <x v="1"/>
    <s v="Linkedin"/>
    <n v="3"/>
    <m/>
    <x v="0"/>
    <m/>
    <m/>
    <x v="0"/>
    <x v="0"/>
    <m/>
    <x v="0"/>
    <x v="0"/>
  </r>
  <r>
    <n v="1470"/>
    <s v="1470 | Fundraising"/>
    <x v="20"/>
    <x v="6"/>
    <x v="25"/>
    <x v="18"/>
    <s v="Fundraising-Fund Administrator"/>
    <x v="4"/>
    <d v="2023-03-16T03:24:12"/>
    <x v="759"/>
    <x v="216"/>
    <n v="7"/>
    <d v="2023-04-08T03:24:12"/>
    <s v="Yes"/>
    <d v="2023-03-27T03:24:12"/>
    <x v="0"/>
    <x v="3"/>
    <m/>
    <m/>
    <m/>
    <m/>
    <m/>
    <m/>
    <x v="0"/>
    <m/>
    <m/>
    <m/>
    <m/>
    <s v="Candidate"/>
    <m/>
    <s v="C2291"/>
    <s v="Candidate_1291"/>
    <s v="Mar 18 2023"/>
    <x v="0"/>
    <s v="Referral"/>
    <n v="3"/>
    <m/>
    <x v="0"/>
    <m/>
    <m/>
    <x v="0"/>
    <x v="0"/>
    <m/>
    <x v="1"/>
    <x v="0"/>
  </r>
  <r>
    <n v="1462"/>
    <s v="1462 | Fundraising"/>
    <x v="19"/>
    <x v="6"/>
    <x v="25"/>
    <x v="18"/>
    <s v="Fundraising-Fund Administrator"/>
    <x v="4"/>
    <d v="2023-03-19T03:24:12"/>
    <x v="760"/>
    <x v="216"/>
    <n v="4"/>
    <d v="2023-04-20T03:24:12"/>
    <s v="Yes"/>
    <d v="2023-03-30T03:24:12"/>
    <x v="0"/>
    <x v="5"/>
    <m/>
    <m/>
    <m/>
    <m/>
    <m/>
    <m/>
    <x v="0"/>
    <m/>
    <m/>
    <m/>
    <m/>
    <s v="Company"/>
    <m/>
    <s v="C2292"/>
    <s v="Candidate_1292"/>
    <s v="Mar 21 2023"/>
    <x v="0"/>
    <s v="Referral"/>
    <n v="3"/>
    <m/>
    <x v="0"/>
    <m/>
    <m/>
    <x v="0"/>
    <x v="0"/>
    <m/>
    <x v="1"/>
    <x v="0"/>
  </r>
  <r>
    <n v="1245"/>
    <s v="1245 | Fundraising"/>
    <x v="20"/>
    <x v="6"/>
    <x v="25"/>
    <x v="18"/>
    <s v="Fundraising-Fund Administrator"/>
    <x v="4"/>
    <d v="2022-06-24T20:09:31"/>
    <x v="761"/>
    <x v="218"/>
    <n v="5"/>
    <d v="2022-07-24T20:09:31"/>
    <s v="Yes"/>
    <d v="2022-07-08T20:09:31"/>
    <x v="0"/>
    <x v="2"/>
    <m/>
    <m/>
    <m/>
    <m/>
    <m/>
    <m/>
    <x v="0"/>
    <m/>
    <m/>
    <m/>
    <m/>
    <s v="Company"/>
    <m/>
    <s v="C2293"/>
    <s v="Candidate_1293"/>
    <s v="02/07/2022"/>
    <x v="1"/>
    <s v="Linkedin"/>
    <n v="3"/>
    <m/>
    <x v="0"/>
    <m/>
    <m/>
    <x v="0"/>
    <x v="0"/>
    <m/>
    <x v="1"/>
    <x v="0"/>
  </r>
  <r>
    <n v="1242"/>
    <s v="1242 | Fundraising"/>
    <x v="20"/>
    <x v="6"/>
    <x v="25"/>
    <x v="18"/>
    <s v="Fundraising-Fund Administrator"/>
    <x v="4"/>
    <d v="2022-06-24T20:09:31"/>
    <x v="761"/>
    <x v="218"/>
    <n v="5"/>
    <d v="2022-07-17T20:09:31"/>
    <s v="Yes"/>
    <d v="2022-07-16T20:09:31"/>
    <x v="0"/>
    <x v="3"/>
    <m/>
    <m/>
    <m/>
    <m/>
    <d v="2022-07-20T20:09:31"/>
    <m/>
    <x v="0"/>
    <m/>
    <m/>
    <m/>
    <m/>
    <s v="Company"/>
    <m/>
    <s v="C2294"/>
    <s v="Candidate_1294"/>
    <s v="08/07/2022"/>
    <x v="2"/>
    <s v="Job Board"/>
    <n v="3"/>
    <m/>
    <x v="0"/>
    <m/>
    <m/>
    <x v="0"/>
    <x v="0"/>
    <m/>
    <x v="1"/>
    <x v="0"/>
  </r>
  <r>
    <n v="1236"/>
    <s v="1236 | Fundraising"/>
    <x v="20"/>
    <x v="6"/>
    <x v="25"/>
    <x v="18"/>
    <s v="Fundraising-Fund Administrator"/>
    <x v="4"/>
    <d v="2023-02-25T17:29:35"/>
    <x v="762"/>
    <x v="239"/>
    <n v="4"/>
    <d v="2023-03-17T17:29:35"/>
    <s v="Yes"/>
    <d v="2023-03-05T17:29:35"/>
    <x v="0"/>
    <x v="3"/>
    <m/>
    <m/>
    <m/>
    <m/>
    <m/>
    <m/>
    <x v="0"/>
    <m/>
    <m/>
    <m/>
    <m/>
    <s v="Company"/>
    <m/>
    <s v="C2295"/>
    <s v="Candidate_1295"/>
    <s v="25/02/2023"/>
    <x v="0"/>
    <s v="Referral"/>
    <n v="3"/>
    <m/>
    <x v="0"/>
    <m/>
    <m/>
    <x v="0"/>
    <x v="0"/>
    <m/>
    <x v="1"/>
    <x v="0"/>
  </r>
  <r>
    <n v="1234"/>
    <s v="1234 | Fundraising"/>
    <x v="20"/>
    <x v="6"/>
    <x v="25"/>
    <x v="18"/>
    <s v="Fundraising-Fund Administrator"/>
    <x v="4"/>
    <d v="2023-02-22T17:29:35"/>
    <x v="763"/>
    <x v="239"/>
    <n v="7"/>
    <d v="2023-03-31T17:29:35"/>
    <s v="Yes"/>
    <d v="2023-03-06T17:29:35"/>
    <x v="0"/>
    <x v="2"/>
    <m/>
    <m/>
    <m/>
    <m/>
    <d v="2023-03-07T17:29:35"/>
    <m/>
    <x v="0"/>
    <m/>
    <m/>
    <m/>
    <m/>
    <s v="Company"/>
    <m/>
    <s v="C2296"/>
    <s v="Candidate_1296"/>
    <s v="Feb 28 2023"/>
    <x v="2"/>
    <s v="Job Board"/>
    <n v="6"/>
    <m/>
    <x v="0"/>
    <m/>
    <m/>
    <x v="0"/>
    <x v="0"/>
    <m/>
    <x v="1"/>
    <x v="0"/>
  </r>
  <r>
    <n v="1229"/>
    <s v="1229 | Fundraising"/>
    <x v="20"/>
    <x v="6"/>
    <x v="25"/>
    <x v="18"/>
    <s v="Fundraising-Fund Administrator"/>
    <x v="4"/>
    <d v="2022-06-22T03:24:32"/>
    <x v="764"/>
    <x v="240"/>
    <n v="7"/>
    <d v="2022-07-26T03:24:32"/>
    <s v="Yes"/>
    <d v="2022-07-06T03:24:32"/>
    <x v="1"/>
    <x v="1"/>
    <d v="2022-07-13T03:24:32"/>
    <s v="Declined"/>
    <m/>
    <m/>
    <d v="2022-07-09T03:24:32"/>
    <m/>
    <x v="0"/>
    <m/>
    <m/>
    <m/>
    <m/>
    <m/>
    <m/>
    <s v="C2297"/>
    <s v="Candidate_1297"/>
    <s v="24/06/2022"/>
    <x v="0"/>
    <s v="Referral"/>
    <n v="3"/>
    <m/>
    <x v="0"/>
    <m/>
    <m/>
    <x v="0"/>
    <x v="0"/>
    <m/>
    <x v="1"/>
    <x v="0"/>
  </r>
  <r>
    <n v="1223"/>
    <s v="1223 | Fundraising"/>
    <x v="18"/>
    <x v="6"/>
    <x v="25"/>
    <x v="18"/>
    <s v="Fundraising-Fund Administrator"/>
    <x v="4"/>
    <d v="2022-06-24T03:24:32"/>
    <x v="765"/>
    <x v="240"/>
    <n v="5"/>
    <d v="2022-07-06T03:24:32"/>
    <s v="Yes"/>
    <d v="2022-07-15T03:24:32"/>
    <x v="0"/>
    <x v="2"/>
    <m/>
    <m/>
    <m/>
    <m/>
    <d v="2022-07-17T03:24:32"/>
    <m/>
    <x v="0"/>
    <m/>
    <m/>
    <m/>
    <m/>
    <s v="Company"/>
    <m/>
    <s v="C2298"/>
    <s v="Candidate_1298"/>
    <s v="Jun 27 2022"/>
    <x v="1"/>
    <s v="Linkedin"/>
    <n v="3"/>
    <m/>
    <x v="0"/>
    <m/>
    <m/>
    <x v="0"/>
    <x v="0"/>
    <m/>
    <x v="1"/>
    <x v="0"/>
  </r>
  <r>
    <n v="1222"/>
    <s v="1222 | Fundraising"/>
    <x v="20"/>
    <x v="6"/>
    <x v="25"/>
    <x v="18"/>
    <s v="Fundraising-Fund Administrator"/>
    <x v="4"/>
    <d v="2022-06-21T03:24:32"/>
    <x v="766"/>
    <x v="240"/>
    <n v="8"/>
    <d v="2022-07-14T03:24:32"/>
    <s v="Yes"/>
    <d v="2022-07-11T03:24:32"/>
    <x v="1"/>
    <x v="1"/>
    <d v="2022-07-15T03:24:32"/>
    <s v="Declined"/>
    <m/>
    <m/>
    <d v="2022-07-12T03:24:32"/>
    <m/>
    <x v="0"/>
    <m/>
    <m/>
    <m/>
    <m/>
    <m/>
    <m/>
    <s v="C2299"/>
    <s v="Candidate_1299"/>
    <s v="06-23-2022"/>
    <x v="2"/>
    <s v="Job Board"/>
    <n v="6"/>
    <m/>
    <x v="0"/>
    <m/>
    <m/>
    <x v="0"/>
    <x v="0"/>
    <m/>
    <x v="1"/>
    <x v="0"/>
  </r>
  <r>
    <n v="1208"/>
    <s v="1208 | Fundraising"/>
    <x v="20"/>
    <x v="6"/>
    <x v="25"/>
    <x v="18"/>
    <s v="Fundraising-Fund Administrator"/>
    <x v="4"/>
    <d v="2022-07-21T04:55:35"/>
    <x v="767"/>
    <x v="219"/>
    <n v="7"/>
    <d v="2022-08-22T04:55:35"/>
    <s v="Yes"/>
    <d v="2022-08-12T04:55:35"/>
    <x v="0"/>
    <x v="5"/>
    <m/>
    <m/>
    <m/>
    <m/>
    <m/>
    <m/>
    <x v="0"/>
    <m/>
    <m/>
    <m/>
    <m/>
    <s v="Candidate"/>
    <m/>
    <s v="C2300"/>
    <s v="Candidate_1300"/>
    <s v="07-24-2022"/>
    <x v="0"/>
    <s v="Referral"/>
    <n v="3"/>
    <m/>
    <x v="0"/>
    <m/>
    <m/>
    <x v="0"/>
    <x v="0"/>
    <m/>
    <x v="1"/>
    <x v="0"/>
  </r>
  <r>
    <n v="1191"/>
    <s v="1191 | Fundraising"/>
    <x v="20"/>
    <x v="6"/>
    <x v="25"/>
    <x v="18"/>
    <s v="Fundraising-Fund Administrator"/>
    <x v="4"/>
    <d v="2022-07-25T23:11:03"/>
    <x v="768"/>
    <x v="220"/>
    <n v="4"/>
    <d v="2022-08-10T23:11:03"/>
    <s v="Yes"/>
    <d v="2022-08-07T23:11:03"/>
    <x v="0"/>
    <x v="4"/>
    <m/>
    <m/>
    <m/>
    <m/>
    <d v="2022-08-08T23:11:03"/>
    <m/>
    <x v="0"/>
    <m/>
    <m/>
    <m/>
    <m/>
    <s v="Company"/>
    <m/>
    <s v="C2301"/>
    <s v="Candidate_1301"/>
    <s v="Jul 30 2022"/>
    <x v="2"/>
    <s v="Job Board"/>
    <n v="3"/>
    <m/>
    <x v="0"/>
    <m/>
    <m/>
    <x v="0"/>
    <x v="0"/>
    <m/>
    <x v="1"/>
    <x v="0"/>
  </r>
  <r>
    <n v="1179"/>
    <s v="1179 | Fundraising"/>
    <x v="18"/>
    <x v="6"/>
    <x v="25"/>
    <x v="18"/>
    <s v="Fundraising-Fund Administrator"/>
    <x v="4"/>
    <m/>
    <x v="769"/>
    <x v="221"/>
    <n v="45066.041770833333"/>
    <d v="2023-06-02T01:00:09"/>
    <s v="Yes"/>
    <d v="2023-06-07T01:00:09"/>
    <x v="0"/>
    <x v="0"/>
    <m/>
    <m/>
    <m/>
    <m/>
    <d v="2023-06-08T01:00:09"/>
    <m/>
    <x v="0"/>
    <m/>
    <m/>
    <m/>
    <m/>
    <s v="Company"/>
    <m/>
    <s v="C2302"/>
    <s v="Candidate_1302"/>
    <s v="May 26 2023"/>
    <x v="1"/>
    <s v="Linkedin"/>
    <n v="3"/>
    <m/>
    <x v="0"/>
    <m/>
    <m/>
    <x v="0"/>
    <x v="0"/>
    <m/>
    <x v="0"/>
    <x v="0"/>
  </r>
  <r>
    <n v="1105"/>
    <s v="1105 | Fundraising"/>
    <x v="19"/>
    <x v="6"/>
    <x v="25"/>
    <x v="18"/>
    <s v="Fundraising-Fund Administrator"/>
    <x v="4"/>
    <d v="2022-04-20T22:53:34"/>
    <x v="0"/>
    <x v="222"/>
    <n v="10"/>
    <d v="2022-05-14T22:53:34"/>
    <s v="Yes"/>
    <d v="2022-05-13T22:53:34"/>
    <x v="1"/>
    <x v="1"/>
    <d v="2022-05-18T22:53:34"/>
    <s v="Declined"/>
    <m/>
    <m/>
    <d v="2022-05-17T22:53:34"/>
    <m/>
    <x v="0"/>
    <m/>
    <m/>
    <m/>
    <m/>
    <m/>
    <m/>
    <s v="C2303"/>
    <s v="Candidate_1303"/>
    <s v="04-27-2022"/>
    <x v="1"/>
    <s v="Linkedin"/>
    <n v="6"/>
    <m/>
    <x v="0"/>
    <m/>
    <m/>
    <x v="0"/>
    <x v="0"/>
    <m/>
    <x v="0"/>
    <x v="0"/>
  </r>
  <r>
    <n v="1101"/>
    <s v="1101 | Fundraising"/>
    <x v="18"/>
    <x v="6"/>
    <x v="25"/>
    <x v="18"/>
    <s v="Fundraising-Fund Administrator"/>
    <x v="4"/>
    <d v="2022-04-24T22:53:34"/>
    <x v="770"/>
    <x v="222"/>
    <n v="6"/>
    <d v="2022-05-17T22:53:34"/>
    <s v="Yes"/>
    <d v="2022-05-12T22:53:34"/>
    <x v="1"/>
    <x v="1"/>
    <d v="2022-05-14T22:53:34"/>
    <s v="Declined"/>
    <m/>
    <m/>
    <d v="2022-05-13T22:53:34"/>
    <m/>
    <x v="0"/>
    <m/>
    <m/>
    <m/>
    <m/>
    <m/>
    <m/>
    <s v="C2304"/>
    <s v="Candidate_1304"/>
    <s v="May 02 2022"/>
    <x v="2"/>
    <s v="Job Board"/>
    <n v="6"/>
    <m/>
    <x v="0"/>
    <m/>
    <m/>
    <x v="0"/>
    <x v="0"/>
    <m/>
    <x v="1"/>
    <x v="0"/>
  </r>
  <r>
    <n v="2998"/>
    <s v="2998 | Fundraising"/>
    <x v="20"/>
    <x v="6"/>
    <x v="26"/>
    <x v="6"/>
    <s v="Fundraising-Manager"/>
    <x v="5"/>
    <d v="2023-03-05T00:56:51"/>
    <x v="771"/>
    <x v="241"/>
    <n v="3"/>
    <d v="2023-03-28T00:56:51"/>
    <s v="Yes"/>
    <d v="2023-03-18T00:56:51"/>
    <x v="0"/>
    <x v="4"/>
    <m/>
    <m/>
    <m/>
    <m/>
    <d v="2023-03-20T00:56:51"/>
    <m/>
    <x v="0"/>
    <m/>
    <m/>
    <m/>
    <m/>
    <s v="Company"/>
    <m/>
    <s v="C2305"/>
    <s v="Candidate_1305"/>
    <s v="Mar 13 2023"/>
    <x v="1"/>
    <s v="Linkedin"/>
    <n v="6"/>
    <m/>
    <x v="0"/>
    <m/>
    <m/>
    <x v="0"/>
    <x v="0"/>
    <m/>
    <x v="1"/>
    <x v="0"/>
  </r>
  <r>
    <n v="2996"/>
    <s v="2996 | Fundraising"/>
    <x v="20"/>
    <x v="6"/>
    <x v="26"/>
    <x v="6"/>
    <s v="Fundraising-Manager"/>
    <x v="5"/>
    <d v="2023-03-05T00:56:51"/>
    <x v="0"/>
    <x v="242"/>
    <n v="10"/>
    <d v="2023-03-15T00:56:51"/>
    <s v="Yes"/>
    <d v="2023-03-14T00:56:51"/>
    <x v="1"/>
    <x v="1"/>
    <d v="2023-03-19T00:56:51"/>
    <s v="Declined"/>
    <m/>
    <m/>
    <d v="2023-03-18T00:56:51"/>
    <m/>
    <x v="0"/>
    <m/>
    <m/>
    <m/>
    <m/>
    <m/>
    <m/>
    <s v="C2306"/>
    <s v="Candidate_1306"/>
    <s v="03-04-2023"/>
    <x v="2"/>
    <s v="Job Board"/>
    <n v="6"/>
    <m/>
    <x v="0"/>
    <m/>
    <m/>
    <x v="0"/>
    <x v="0"/>
    <m/>
    <x v="0"/>
    <x v="0"/>
  </r>
  <r>
    <n v="2791"/>
    <s v="2791 | Fundraising"/>
    <x v="19"/>
    <x v="6"/>
    <x v="26"/>
    <x v="6"/>
    <s v="Fundraising-Manager"/>
    <x v="5"/>
    <m/>
    <x v="734"/>
    <x v="228"/>
    <n v="45109.834444444437"/>
    <d v="2023-07-17T20:01:36"/>
    <s v="Yes"/>
    <d v="2023-07-05T20:01:36"/>
    <x v="0"/>
    <x v="4"/>
    <m/>
    <m/>
    <m/>
    <m/>
    <m/>
    <m/>
    <x v="0"/>
    <m/>
    <m/>
    <m/>
    <m/>
    <s v="Candidate"/>
    <m/>
    <s v="C2307"/>
    <s v="Candidate_1307"/>
    <s v="26/06/2023"/>
    <x v="2"/>
    <s v="Job Board"/>
    <n v="6"/>
    <m/>
    <x v="0"/>
    <m/>
    <m/>
    <x v="0"/>
    <x v="0"/>
    <m/>
    <x v="0"/>
    <x v="0"/>
  </r>
  <r>
    <n v="2769"/>
    <s v="2769 | Fundraising"/>
    <x v="20"/>
    <x v="6"/>
    <x v="26"/>
    <x v="6"/>
    <s v="Fundraising-Manager"/>
    <x v="5"/>
    <d v="2022-08-30T07:14:27"/>
    <x v="772"/>
    <x v="209"/>
    <n v="10"/>
    <d v="2022-09-19T07:14:27"/>
    <s v="Yes"/>
    <d v="2022-09-18T07:14:27"/>
    <x v="4"/>
    <x v="1"/>
    <d v="2022-09-22T07:14:27"/>
    <s v="Pending"/>
    <m/>
    <m/>
    <d v="2022-09-19T07:14:27"/>
    <m/>
    <x v="0"/>
    <m/>
    <m/>
    <m/>
    <m/>
    <m/>
    <m/>
    <s v="C2308"/>
    <s v="Candidate_1308"/>
    <s v="09-01-2022"/>
    <x v="2"/>
    <s v="Job Board"/>
    <n v="6"/>
    <m/>
    <x v="0"/>
    <m/>
    <m/>
    <x v="0"/>
    <x v="0"/>
    <m/>
    <x v="1"/>
    <x v="0"/>
  </r>
  <r>
    <n v="2742"/>
    <s v="2742 | Fundraising"/>
    <x v="20"/>
    <x v="6"/>
    <x v="26"/>
    <x v="6"/>
    <s v="Fundraising-Manager"/>
    <x v="5"/>
    <d v="2022-04-17T13:27:53"/>
    <x v="736"/>
    <x v="229"/>
    <n v="7"/>
    <d v="2022-05-13T13:27:53"/>
    <s v="Yes"/>
    <d v="2022-04-28T13:27:53"/>
    <x v="0"/>
    <x v="3"/>
    <m/>
    <m/>
    <m/>
    <m/>
    <d v="2022-05-01T13:27:53"/>
    <m/>
    <x v="0"/>
    <m/>
    <m/>
    <m/>
    <m/>
    <s v="Candidate"/>
    <m/>
    <s v="C2309"/>
    <s v="Candidate_1309"/>
    <s v="17/04/2022"/>
    <x v="0"/>
    <s v="Referral"/>
    <n v="3"/>
    <m/>
    <x v="0"/>
    <m/>
    <m/>
    <x v="0"/>
    <x v="0"/>
    <m/>
    <x v="1"/>
    <x v="0"/>
  </r>
  <r>
    <n v="2622"/>
    <s v="2622 | Fundraising"/>
    <x v="18"/>
    <x v="6"/>
    <x v="26"/>
    <x v="6"/>
    <s v="Fundraising-Manager"/>
    <x v="5"/>
    <d v="2023-06-19T16:02:26"/>
    <x v="0"/>
    <x v="210"/>
    <n v="6"/>
    <d v="2023-07-17T16:02:26"/>
    <s v="Yes"/>
    <d v="2023-07-03T16:02:26"/>
    <x v="0"/>
    <x v="2"/>
    <m/>
    <m/>
    <m/>
    <m/>
    <d v="2023-07-06T16:02:26"/>
    <m/>
    <x v="0"/>
    <m/>
    <m/>
    <m/>
    <m/>
    <s v="Candidate"/>
    <m/>
    <s v="C2310"/>
    <s v="Candidate_1310"/>
    <s v="Jun 21 2023"/>
    <x v="0"/>
    <s v="Referral"/>
    <n v="3"/>
    <m/>
    <x v="0"/>
    <m/>
    <m/>
    <x v="0"/>
    <x v="0"/>
    <m/>
    <x v="0"/>
    <x v="0"/>
  </r>
  <r>
    <n v="2619"/>
    <s v="2619 | Fundraising"/>
    <x v="19"/>
    <x v="6"/>
    <x v="26"/>
    <x v="6"/>
    <s v="Fundraising-Manager"/>
    <x v="5"/>
    <d v="2023-01-04T09:06:31"/>
    <x v="740"/>
    <x v="231"/>
    <n v="6"/>
    <d v="2023-01-20T09:06:31"/>
    <s v="Yes"/>
    <d v="2023-01-15T09:06:31"/>
    <x v="0"/>
    <x v="3"/>
    <m/>
    <m/>
    <m/>
    <m/>
    <d v="2023-01-18T09:06:31"/>
    <m/>
    <x v="0"/>
    <m/>
    <m/>
    <m/>
    <m/>
    <s v="Company"/>
    <m/>
    <s v="C2311"/>
    <s v="Candidate_1311"/>
    <s v="01-04-2023"/>
    <x v="1"/>
    <s v="Linkedin"/>
    <n v="6"/>
    <m/>
    <x v="0"/>
    <m/>
    <m/>
    <x v="0"/>
    <x v="0"/>
    <m/>
    <x v="1"/>
    <x v="0"/>
  </r>
  <r>
    <n v="2592"/>
    <s v="2592 | Fundraising"/>
    <x v="19"/>
    <x v="6"/>
    <x v="26"/>
    <x v="6"/>
    <s v="Fundraising-Manager"/>
    <x v="5"/>
    <d v="2023-01-23T09:40:31"/>
    <x v="773"/>
    <x v="232"/>
    <n v="3"/>
    <d v="2023-02-02T09:40:31"/>
    <s v="Yes"/>
    <d v="2023-02-01T09:40:31"/>
    <x v="0"/>
    <x v="0"/>
    <m/>
    <m/>
    <m/>
    <m/>
    <d v="2023-02-03T09:40:31"/>
    <m/>
    <x v="0"/>
    <m/>
    <m/>
    <m/>
    <m/>
    <s v="Candidate"/>
    <m/>
    <s v="C2312"/>
    <s v="Candidate_1312"/>
    <s v="Jan 16 2023"/>
    <x v="2"/>
    <s v="Job Board"/>
    <n v="6"/>
    <m/>
    <x v="0"/>
    <m/>
    <m/>
    <x v="0"/>
    <x v="0"/>
    <m/>
    <x v="1"/>
    <x v="0"/>
  </r>
  <r>
    <n v="2571"/>
    <s v="2571 | Fundraising"/>
    <x v="18"/>
    <x v="6"/>
    <x v="26"/>
    <x v="6"/>
    <s v="Fundraising-Manager"/>
    <x v="5"/>
    <m/>
    <x v="774"/>
    <x v="4"/>
    <n v="0"/>
    <d v="2022-04-22T17:14:32"/>
    <s v="Yes"/>
    <d v="2022-03-30T17:14:32"/>
    <x v="0"/>
    <x v="4"/>
    <m/>
    <m/>
    <m/>
    <m/>
    <m/>
    <m/>
    <x v="0"/>
    <m/>
    <m/>
    <m/>
    <m/>
    <s v="Candidate"/>
    <m/>
    <s v="C2313"/>
    <s v="Candidate_1313"/>
    <s v="03-20-2022"/>
    <x v="2"/>
    <s v="Job Board"/>
    <n v="3"/>
    <m/>
    <x v="0"/>
    <m/>
    <m/>
    <x v="0"/>
    <x v="0"/>
    <m/>
    <x v="0"/>
    <x v="0"/>
  </r>
  <r>
    <n v="2525"/>
    <s v="2525 | Fundraising"/>
    <x v="18"/>
    <x v="6"/>
    <x v="26"/>
    <x v="6"/>
    <s v="Fundraising-Manager"/>
    <x v="5"/>
    <d v="2023-04-12T18:41:30"/>
    <x v="775"/>
    <x v="243"/>
    <n v="5"/>
    <d v="2023-05-01T18:41:30"/>
    <s v="Yes"/>
    <d v="2023-04-29T18:41:30"/>
    <x v="3"/>
    <x v="1"/>
    <d v="2023-05-01T18:41:30"/>
    <s v="Accepted"/>
    <d v="2023-05-01T18:41:30"/>
    <d v="2023-05-05T18:41:30"/>
    <d v="2023-04-30T18:41:30"/>
    <d v="2023-05-06T18:41:30"/>
    <x v="1"/>
    <d v="2023-05-07T18:41:30"/>
    <d v="2023-05-10T18:41:30"/>
    <d v="2023-05-11T18:41:30"/>
    <m/>
    <m/>
    <d v="2023-05-27T18:41:30"/>
    <s v="C2314"/>
    <s v="Candidate_1314"/>
    <s v="19/04/2023"/>
    <x v="2"/>
    <s v="Job Board"/>
    <n v="6"/>
    <m/>
    <x v="0"/>
    <m/>
    <m/>
    <x v="0"/>
    <x v="0"/>
    <m/>
    <x v="130"/>
    <x v="0"/>
  </r>
  <r>
    <n v="2521"/>
    <s v="2521 | Fundraising"/>
    <x v="19"/>
    <x v="6"/>
    <x v="26"/>
    <x v="6"/>
    <s v="Fundraising-Manager"/>
    <x v="5"/>
    <d v="2023-04-10T18:41:30"/>
    <x v="776"/>
    <x v="243"/>
    <n v="7"/>
    <d v="2023-05-16T18:41:30"/>
    <s v="Yes"/>
    <d v="2023-04-29T18:41:30"/>
    <x v="0"/>
    <x v="5"/>
    <m/>
    <m/>
    <m/>
    <m/>
    <d v="2023-04-30T18:41:30"/>
    <m/>
    <x v="0"/>
    <m/>
    <m/>
    <m/>
    <m/>
    <s v="Company"/>
    <m/>
    <s v="C2315"/>
    <s v="Candidate_1315"/>
    <s v="04-20-2023"/>
    <x v="2"/>
    <s v="Job Board"/>
    <n v="3"/>
    <m/>
    <x v="0"/>
    <m/>
    <m/>
    <x v="0"/>
    <x v="0"/>
    <m/>
    <x v="1"/>
    <x v="0"/>
  </r>
  <r>
    <n v="2399"/>
    <s v="2399 | Fundraising"/>
    <x v="20"/>
    <x v="6"/>
    <x v="26"/>
    <x v="6"/>
    <s v="Fundraising-Manager"/>
    <x v="5"/>
    <d v="2023-07-18T17:32:55"/>
    <x v="777"/>
    <x v="235"/>
    <n v="6"/>
    <d v="2023-08-21T17:32:55"/>
    <s v="Yes"/>
    <d v="2023-08-01T17:32:55"/>
    <x v="1"/>
    <x v="1"/>
    <d v="2023-08-07T17:32:55"/>
    <s v="Declined"/>
    <m/>
    <m/>
    <d v="2023-08-03T17:32:55"/>
    <m/>
    <x v="0"/>
    <m/>
    <m/>
    <m/>
    <m/>
    <m/>
    <m/>
    <s v="C2316"/>
    <s v="Candidate_1316"/>
    <s v="07-15-2023"/>
    <x v="1"/>
    <s v="Linkedin"/>
    <n v="3"/>
    <m/>
    <x v="0"/>
    <m/>
    <m/>
    <x v="0"/>
    <x v="0"/>
    <m/>
    <x v="1"/>
    <x v="0"/>
  </r>
  <r>
    <n v="2139"/>
    <s v="2139 | Fundraising"/>
    <x v="18"/>
    <x v="6"/>
    <x v="26"/>
    <x v="6"/>
    <s v="Fundraising-Manager"/>
    <x v="5"/>
    <d v="2022-07-29T12:23:45"/>
    <x v="778"/>
    <x v="244"/>
    <n v="10"/>
    <d v="2022-09-07T12:23:45"/>
    <s v="Yes"/>
    <d v="2022-08-20T12:23:45"/>
    <x v="0"/>
    <x v="0"/>
    <m/>
    <m/>
    <m/>
    <m/>
    <m/>
    <m/>
    <x v="0"/>
    <m/>
    <m/>
    <m/>
    <m/>
    <s v="Company"/>
    <m/>
    <s v="C2317"/>
    <s v="Candidate_1317"/>
    <s v="08-05-2022"/>
    <x v="1"/>
    <s v="Linkedin"/>
    <n v="6"/>
    <m/>
    <x v="0"/>
    <m/>
    <m/>
    <x v="0"/>
    <x v="0"/>
    <m/>
    <x v="1"/>
    <x v="0"/>
  </r>
  <r>
    <n v="2131"/>
    <s v="2131 | Fundraising"/>
    <x v="20"/>
    <x v="6"/>
    <x v="26"/>
    <x v="6"/>
    <s v="Fundraising-Manager"/>
    <x v="5"/>
    <d v="2022-07-31T12:23:45"/>
    <x v="779"/>
    <x v="244"/>
    <n v="8"/>
    <d v="2022-08-18T12:23:45"/>
    <s v="Yes"/>
    <d v="2022-08-15T12:23:45"/>
    <x v="1"/>
    <x v="1"/>
    <d v="2022-08-19T12:23:45"/>
    <s v="Declined"/>
    <m/>
    <m/>
    <d v="2022-08-17T12:23:45"/>
    <m/>
    <x v="0"/>
    <m/>
    <m/>
    <m/>
    <m/>
    <m/>
    <m/>
    <s v="C2318"/>
    <s v="Candidate_1318"/>
    <s v="Aug 02 2022"/>
    <x v="2"/>
    <s v="Job Board"/>
    <n v="6"/>
    <m/>
    <x v="0"/>
    <m/>
    <m/>
    <x v="0"/>
    <x v="0"/>
    <m/>
    <x v="1"/>
    <x v="0"/>
  </r>
  <r>
    <n v="2108"/>
    <s v="2108 | Fundraising"/>
    <x v="19"/>
    <x v="6"/>
    <x v="26"/>
    <x v="6"/>
    <s v="Fundraising-Manager"/>
    <x v="5"/>
    <d v="2022-05-03T00:32:09"/>
    <x v="780"/>
    <x v="245"/>
    <n v="8"/>
    <d v="2022-05-23T00:32:09"/>
    <s v="Yes"/>
    <d v="2022-05-24T00:32:09"/>
    <x v="0"/>
    <x v="4"/>
    <m/>
    <m/>
    <m/>
    <m/>
    <d v="2022-05-26T00:32:09"/>
    <m/>
    <x v="0"/>
    <m/>
    <m/>
    <m/>
    <m/>
    <s v="Candidate"/>
    <m/>
    <s v="C2319"/>
    <s v="Candidate_1319"/>
    <s v="06/05/2022"/>
    <x v="2"/>
    <s v="Job Board"/>
    <n v="3"/>
    <m/>
    <x v="0"/>
    <m/>
    <m/>
    <x v="0"/>
    <x v="0"/>
    <m/>
    <x v="1"/>
    <x v="0"/>
  </r>
  <r>
    <n v="2094"/>
    <s v="2094 | Fundraising"/>
    <x v="18"/>
    <x v="6"/>
    <x v="26"/>
    <x v="6"/>
    <s v="Fundraising-Manager"/>
    <x v="5"/>
    <d v="2022-10-23T23:41:59"/>
    <x v="781"/>
    <x v="246"/>
    <n v="7"/>
    <d v="2022-11-26T23:41:59"/>
    <s v="Yes"/>
    <d v="2022-11-04T23:41:59"/>
    <x v="0"/>
    <x v="0"/>
    <m/>
    <m/>
    <m/>
    <m/>
    <m/>
    <m/>
    <x v="0"/>
    <m/>
    <m/>
    <m/>
    <m/>
    <s v="Candidate"/>
    <m/>
    <s v="C2320"/>
    <s v="Candidate_1320"/>
    <s v="10-22-2022"/>
    <x v="1"/>
    <s v="Linkedin"/>
    <n v="6"/>
    <m/>
    <x v="0"/>
    <m/>
    <m/>
    <x v="0"/>
    <x v="0"/>
    <m/>
    <x v="1"/>
    <x v="0"/>
  </r>
  <r>
    <n v="1937"/>
    <s v="1937 | Fundraising"/>
    <x v="20"/>
    <x v="6"/>
    <x v="26"/>
    <x v="6"/>
    <s v="Fundraising-Manager"/>
    <x v="5"/>
    <d v="2023-09-13T07:20:47"/>
    <x v="0"/>
    <x v="237"/>
    <n v="2"/>
    <d v="2023-10-10T07:20:47"/>
    <s v="Yes"/>
    <d v="2023-09-20T07:20:47"/>
    <x v="0"/>
    <x v="3"/>
    <m/>
    <m/>
    <m/>
    <m/>
    <d v="2023-09-23T07:20:47"/>
    <m/>
    <x v="0"/>
    <m/>
    <m/>
    <m/>
    <m/>
    <s v="Company"/>
    <m/>
    <s v="C2321"/>
    <s v="Candidate_1321"/>
    <s v="09-06-2023"/>
    <x v="2"/>
    <s v="Job Board"/>
    <n v="3"/>
    <m/>
    <x v="0"/>
    <m/>
    <m/>
    <x v="0"/>
    <x v="0"/>
    <m/>
    <x v="0"/>
    <x v="0"/>
  </r>
  <r>
    <n v="1936"/>
    <s v="1936 | Fundraising"/>
    <x v="20"/>
    <x v="6"/>
    <x v="26"/>
    <x v="6"/>
    <s v="Fundraising-Manager"/>
    <x v="5"/>
    <m/>
    <x v="782"/>
    <x v="237"/>
    <n v="45184.30609953704"/>
    <d v="2023-10-15T07:20:47"/>
    <s v="Yes"/>
    <d v="2023-09-24T07:20:47"/>
    <x v="4"/>
    <x v="1"/>
    <d v="2023-09-29T07:20:47"/>
    <s v="Pending"/>
    <m/>
    <m/>
    <d v="2023-09-27T07:20:47"/>
    <m/>
    <x v="0"/>
    <m/>
    <m/>
    <m/>
    <m/>
    <m/>
    <m/>
    <s v="C2322"/>
    <s v="Candidate_1322"/>
    <s v="Sep 07 2023"/>
    <x v="1"/>
    <s v="Linkedin"/>
    <n v="6"/>
    <m/>
    <x v="0"/>
    <m/>
    <m/>
    <x v="0"/>
    <x v="0"/>
    <m/>
    <x v="0"/>
    <x v="0"/>
  </r>
  <r>
    <n v="1879"/>
    <s v="1879 | Fundraising"/>
    <x v="20"/>
    <x v="6"/>
    <x v="26"/>
    <x v="6"/>
    <s v="Fundraising-Manager"/>
    <x v="5"/>
    <d v="2022-01-12T17:35:29"/>
    <x v="0"/>
    <x v="212"/>
    <n v="8"/>
    <d v="2022-01-26T17:35:29"/>
    <s v="Yes"/>
    <d v="2022-02-04T17:35:29"/>
    <x v="1"/>
    <x v="1"/>
    <d v="2022-02-07T17:35:29"/>
    <s v="Declined"/>
    <m/>
    <m/>
    <d v="2022-02-05T17:35:29"/>
    <m/>
    <x v="0"/>
    <m/>
    <m/>
    <m/>
    <m/>
    <m/>
    <m/>
    <s v="C2323"/>
    <s v="Candidate_1323"/>
    <s v="01-17-2022"/>
    <x v="0"/>
    <s v="Referral"/>
    <n v="3"/>
    <m/>
    <x v="0"/>
    <m/>
    <m/>
    <x v="0"/>
    <x v="0"/>
    <m/>
    <x v="0"/>
    <x v="0"/>
  </r>
  <r>
    <n v="1877"/>
    <s v="1877 | Fundraising"/>
    <x v="20"/>
    <x v="6"/>
    <x v="26"/>
    <x v="6"/>
    <s v="Fundraising-Manager"/>
    <x v="5"/>
    <d v="2022-01-16T17:35:29"/>
    <x v="783"/>
    <x v="212"/>
    <n v="4"/>
    <d v="2022-02-03T17:35:29"/>
    <s v="Yes"/>
    <d v="2022-01-30T17:35:29"/>
    <x v="1"/>
    <x v="1"/>
    <d v="2022-02-03T17:35:29"/>
    <s v="Declined"/>
    <m/>
    <m/>
    <d v="2022-02-02T17:35:29"/>
    <m/>
    <x v="0"/>
    <m/>
    <m/>
    <m/>
    <m/>
    <m/>
    <m/>
    <s v="C2324"/>
    <s v="Candidate_1324"/>
    <s v="Jan 11 2022"/>
    <x v="1"/>
    <s v="Linkedin"/>
    <n v="6"/>
    <m/>
    <x v="0"/>
    <m/>
    <m/>
    <x v="0"/>
    <x v="0"/>
    <m/>
    <x v="1"/>
    <x v="0"/>
  </r>
  <r>
    <n v="1712"/>
    <s v="1712 | Fundraising"/>
    <x v="19"/>
    <x v="6"/>
    <x v="26"/>
    <x v="6"/>
    <s v="Fundraising-Manager"/>
    <x v="5"/>
    <d v="2022-01-03T01:51:52"/>
    <x v="784"/>
    <x v="238"/>
    <n v="4"/>
    <d v="2022-01-20T01:51:52"/>
    <s v="Yes"/>
    <d v="2022-01-11T01:51:52"/>
    <x v="1"/>
    <x v="1"/>
    <d v="2022-01-16T01:51:52"/>
    <s v="Declined"/>
    <m/>
    <m/>
    <d v="2022-01-13T01:51:52"/>
    <m/>
    <x v="0"/>
    <m/>
    <m/>
    <m/>
    <m/>
    <m/>
    <m/>
    <s v="C2325"/>
    <s v="Candidate_1325"/>
    <s v="Dec 29 2021"/>
    <x v="0"/>
    <s v="Referral"/>
    <n v="3"/>
    <m/>
    <x v="0"/>
    <m/>
    <m/>
    <x v="0"/>
    <x v="0"/>
    <m/>
    <x v="1"/>
    <x v="0"/>
  </r>
  <r>
    <n v="1554"/>
    <s v="1554 | Fundraising"/>
    <x v="19"/>
    <x v="6"/>
    <x v="26"/>
    <x v="6"/>
    <s v="Fundraising-Manager"/>
    <x v="5"/>
    <d v="2022-12-04T14:20:00"/>
    <x v="757"/>
    <x v="214"/>
    <n v="8"/>
    <d v="2022-12-25T14:20:00"/>
    <s v="Yes"/>
    <d v="2022-12-15T14:20:00"/>
    <x v="0"/>
    <x v="2"/>
    <m/>
    <m/>
    <m/>
    <m/>
    <m/>
    <m/>
    <x v="0"/>
    <m/>
    <m/>
    <m/>
    <m/>
    <s v="Candidate"/>
    <m/>
    <s v="C2326"/>
    <s v="Candidate_1326"/>
    <s v="26/11/2022"/>
    <x v="1"/>
    <s v="Linkedin"/>
    <n v="3"/>
    <m/>
    <x v="0"/>
    <m/>
    <m/>
    <x v="0"/>
    <x v="0"/>
    <m/>
    <x v="1"/>
    <x v="0"/>
  </r>
  <r>
    <n v="1360"/>
    <s v="1360 | Fundraising"/>
    <x v="20"/>
    <x v="6"/>
    <x v="26"/>
    <x v="6"/>
    <s v="Fundraising-Manager"/>
    <x v="5"/>
    <d v="2022-07-26T01:19:51"/>
    <x v="722"/>
    <x v="217"/>
    <n v="3"/>
    <d v="2022-08-16T01:19:51"/>
    <s v="Yes"/>
    <d v="2022-08-11T01:19:51"/>
    <x v="0"/>
    <x v="4"/>
    <m/>
    <m/>
    <m/>
    <m/>
    <d v="2022-08-15T01:19:51"/>
    <m/>
    <x v="0"/>
    <m/>
    <m/>
    <m/>
    <m/>
    <s v="Company"/>
    <m/>
    <s v="C2327"/>
    <s v="Candidate_1327"/>
    <s v="08-06-2022"/>
    <x v="1"/>
    <s v="Linkedin"/>
    <n v="3"/>
    <m/>
    <x v="0"/>
    <m/>
    <m/>
    <x v="0"/>
    <x v="0"/>
    <m/>
    <x v="1"/>
    <x v="0"/>
  </r>
  <r>
    <n v="1357"/>
    <s v="1357 | Fundraising"/>
    <x v="20"/>
    <x v="6"/>
    <x v="26"/>
    <x v="6"/>
    <s v="Fundraising-Manager"/>
    <x v="5"/>
    <d v="2022-07-23T01:19:51"/>
    <x v="722"/>
    <x v="217"/>
    <n v="6"/>
    <d v="2022-08-27T01:19:51"/>
    <s v="Yes"/>
    <d v="2022-08-08T01:19:51"/>
    <x v="0"/>
    <x v="4"/>
    <m/>
    <m/>
    <m/>
    <m/>
    <d v="2022-08-11T01:19:51"/>
    <m/>
    <x v="0"/>
    <m/>
    <m/>
    <m/>
    <m/>
    <s v="Candidate"/>
    <m/>
    <s v="C2328"/>
    <s v="Candidate_1328"/>
    <s v="07-22-2022"/>
    <x v="2"/>
    <s v="Job Board"/>
    <n v="6"/>
    <m/>
    <x v="0"/>
    <m/>
    <m/>
    <x v="0"/>
    <x v="0"/>
    <m/>
    <x v="1"/>
    <x v="0"/>
  </r>
  <r>
    <n v="1352"/>
    <s v="1352 | Fundraising"/>
    <x v="20"/>
    <x v="6"/>
    <x v="26"/>
    <x v="6"/>
    <s v="Fundraising-Manager"/>
    <x v="5"/>
    <m/>
    <x v="721"/>
    <x v="217"/>
    <n v="44771.055451388893"/>
    <d v="2022-08-12T01:19:51"/>
    <s v="Yes"/>
    <d v="2022-08-01T01:19:51"/>
    <x v="4"/>
    <x v="1"/>
    <d v="2022-08-03T01:19:51"/>
    <s v="Pending"/>
    <m/>
    <m/>
    <d v="2022-08-02T01:19:51"/>
    <m/>
    <x v="0"/>
    <m/>
    <m/>
    <m/>
    <m/>
    <m/>
    <m/>
    <s v="C2329"/>
    <s v="Candidate_1329"/>
    <s v="07-19-2022"/>
    <x v="2"/>
    <s v="Job Board"/>
    <n v="6"/>
    <m/>
    <x v="0"/>
    <m/>
    <m/>
    <x v="0"/>
    <x v="0"/>
    <m/>
    <x v="0"/>
    <x v="0"/>
  </r>
  <r>
    <n v="1235"/>
    <s v="1235 | Fundraising"/>
    <x v="19"/>
    <x v="6"/>
    <x v="26"/>
    <x v="6"/>
    <s v="Fundraising-Manager"/>
    <x v="5"/>
    <d v="2023-02-22T17:29:35"/>
    <x v="0"/>
    <x v="239"/>
    <n v="7"/>
    <d v="2023-03-09T17:29:35"/>
    <s v="Yes"/>
    <d v="2023-03-12T17:29:35"/>
    <x v="1"/>
    <x v="1"/>
    <d v="2023-03-19T17:29:35"/>
    <s v="Declined"/>
    <m/>
    <m/>
    <d v="2023-03-15T17:29:35"/>
    <m/>
    <x v="0"/>
    <m/>
    <m/>
    <m/>
    <m/>
    <m/>
    <m/>
    <s v="C2330"/>
    <s v="Candidate_1330"/>
    <s v="Feb 24 2023"/>
    <x v="0"/>
    <s v="Referral"/>
    <n v="6"/>
    <m/>
    <x v="0"/>
    <m/>
    <m/>
    <x v="0"/>
    <x v="0"/>
    <m/>
    <x v="0"/>
    <x v="0"/>
  </r>
  <r>
    <n v="1232"/>
    <s v="1232 | Fundraising"/>
    <x v="19"/>
    <x v="6"/>
    <x v="26"/>
    <x v="6"/>
    <s v="Fundraising-Manager"/>
    <x v="5"/>
    <d v="2023-02-24T17:29:35"/>
    <x v="785"/>
    <x v="239"/>
    <n v="5"/>
    <d v="2023-03-07T17:29:35"/>
    <s v="Yes"/>
    <d v="2023-03-13T17:29:35"/>
    <x v="0"/>
    <x v="4"/>
    <m/>
    <m/>
    <m/>
    <m/>
    <m/>
    <m/>
    <x v="0"/>
    <m/>
    <m/>
    <m/>
    <m/>
    <s v="Candidate"/>
    <m/>
    <s v="C2331"/>
    <s v="Candidate_1331"/>
    <s v="26/02/2023"/>
    <x v="0"/>
    <s v="Referral"/>
    <n v="3"/>
    <m/>
    <x v="0"/>
    <m/>
    <m/>
    <x v="0"/>
    <x v="0"/>
    <m/>
    <x v="1"/>
    <x v="0"/>
  </r>
  <r>
    <n v="1228"/>
    <s v="1228 | Fundraising"/>
    <x v="20"/>
    <x v="6"/>
    <x v="26"/>
    <x v="6"/>
    <s v="Fundraising-Manager"/>
    <x v="5"/>
    <m/>
    <x v="786"/>
    <x v="240"/>
    <n v="44741.14203703704"/>
    <d v="2022-07-23T03:24:32"/>
    <s v="Yes"/>
    <d v="2022-07-08T03:24:32"/>
    <x v="0"/>
    <x v="0"/>
    <m/>
    <m/>
    <m/>
    <m/>
    <m/>
    <m/>
    <x v="0"/>
    <m/>
    <m/>
    <m/>
    <m/>
    <s v="Candidate"/>
    <m/>
    <s v="C2332"/>
    <s v="Candidate_1332"/>
    <s v="06-23-2022"/>
    <x v="2"/>
    <s v="Job Board"/>
    <n v="3"/>
    <m/>
    <x v="0"/>
    <m/>
    <m/>
    <x v="0"/>
    <x v="0"/>
    <m/>
    <x v="0"/>
    <x v="0"/>
  </r>
  <r>
    <n v="1202"/>
    <s v="1202 | Fundraising"/>
    <x v="20"/>
    <x v="6"/>
    <x v="26"/>
    <x v="6"/>
    <s v="Fundraising-Manager"/>
    <x v="5"/>
    <d v="2022-07-23T04:55:35"/>
    <x v="0"/>
    <x v="219"/>
    <n v="5"/>
    <d v="2022-08-16T04:55:35"/>
    <s v="Yes"/>
    <d v="2022-07-29T04:55:35"/>
    <x v="0"/>
    <x v="3"/>
    <m/>
    <m/>
    <m/>
    <m/>
    <d v="2022-07-31T04:55:35"/>
    <m/>
    <x v="0"/>
    <m/>
    <m/>
    <m/>
    <m/>
    <s v="Candidate"/>
    <m/>
    <s v="C2333"/>
    <s v="Candidate_1333"/>
    <s v="Jul 12 2022"/>
    <x v="0"/>
    <s v="Referral"/>
    <n v="6"/>
    <m/>
    <x v="0"/>
    <m/>
    <m/>
    <x v="0"/>
    <x v="0"/>
    <m/>
    <x v="0"/>
    <x v="0"/>
  </r>
  <r>
    <n v="1197"/>
    <s v="1197 | Fundraising"/>
    <x v="18"/>
    <x v="6"/>
    <x v="26"/>
    <x v="6"/>
    <s v="Fundraising-Manager"/>
    <x v="5"/>
    <d v="2022-07-25T23:11:03"/>
    <x v="0"/>
    <x v="220"/>
    <n v="4"/>
    <d v="2022-08-22T23:11:03"/>
    <s v="Yes"/>
    <d v="2022-08-03T23:11:03"/>
    <x v="4"/>
    <x v="1"/>
    <d v="2022-08-09T23:11:03"/>
    <s v="Pending"/>
    <m/>
    <m/>
    <d v="2022-08-06T23:11:03"/>
    <m/>
    <x v="0"/>
    <m/>
    <m/>
    <m/>
    <m/>
    <m/>
    <m/>
    <s v="C2334"/>
    <s v="Candidate_1334"/>
    <s v="07-15-2022"/>
    <x v="1"/>
    <s v="Linkedin"/>
    <n v="3"/>
    <m/>
    <x v="0"/>
    <m/>
    <m/>
    <x v="0"/>
    <x v="0"/>
    <m/>
    <x v="0"/>
    <x v="0"/>
  </r>
  <r>
    <n v="1196"/>
    <s v="1196 | Fundraising"/>
    <x v="20"/>
    <x v="6"/>
    <x v="26"/>
    <x v="6"/>
    <s v="Fundraising-Manager"/>
    <x v="5"/>
    <d v="2022-07-23T23:11:03"/>
    <x v="0"/>
    <x v="220"/>
    <n v="6"/>
    <d v="2022-08-25T23:11:03"/>
    <s v="Yes"/>
    <d v="2022-08-08T23:11:03"/>
    <x v="0"/>
    <x v="3"/>
    <m/>
    <m/>
    <m/>
    <m/>
    <m/>
    <m/>
    <x v="0"/>
    <m/>
    <m/>
    <m/>
    <m/>
    <s v="Candidate"/>
    <m/>
    <s v="C2335"/>
    <s v="Candidate_1335"/>
    <s v="25/07/2022"/>
    <x v="2"/>
    <s v="Job Board"/>
    <n v="3"/>
    <m/>
    <x v="0"/>
    <m/>
    <m/>
    <x v="0"/>
    <x v="0"/>
    <m/>
    <x v="0"/>
    <x v="0"/>
  </r>
  <r>
    <n v="1106"/>
    <s v="1106 | Fundraising"/>
    <x v="18"/>
    <x v="6"/>
    <x v="26"/>
    <x v="6"/>
    <s v="Fundraising-Manager"/>
    <x v="5"/>
    <m/>
    <x v="0"/>
    <x v="222"/>
    <n v="44681.953865740739"/>
    <d v="2022-05-11T22:53:34"/>
    <s v="Yes"/>
    <d v="2022-05-11T22:53:34"/>
    <x v="0"/>
    <x v="2"/>
    <m/>
    <m/>
    <m/>
    <m/>
    <m/>
    <m/>
    <x v="0"/>
    <m/>
    <m/>
    <m/>
    <m/>
    <s v="Company"/>
    <m/>
    <s v="C2336"/>
    <s v="Candidate_1336"/>
    <s v="05-05-2022"/>
    <x v="2"/>
    <s v="Job Board"/>
    <n v="3"/>
    <m/>
    <x v="0"/>
    <m/>
    <m/>
    <x v="0"/>
    <x v="0"/>
    <m/>
    <x v="0"/>
    <x v="0"/>
  </r>
  <r>
    <n v="1077"/>
    <s v="1077 | Fundraising"/>
    <x v="20"/>
    <x v="6"/>
    <x v="26"/>
    <x v="6"/>
    <s v="Fundraising-Manager"/>
    <x v="5"/>
    <d v="2022-02-11T23:46:40"/>
    <x v="730"/>
    <x v="223"/>
    <n v="4"/>
    <d v="2022-03-07T23:46:40"/>
    <s v="Yes"/>
    <d v="2022-02-22T23:46:40"/>
    <x v="0"/>
    <x v="4"/>
    <m/>
    <m/>
    <m/>
    <m/>
    <d v="2022-02-24T23:46:40"/>
    <m/>
    <x v="0"/>
    <m/>
    <m/>
    <m/>
    <m/>
    <s v="Candidate"/>
    <m/>
    <s v="C2337"/>
    <s v="Candidate_1337"/>
    <s v="02-14-2022"/>
    <x v="0"/>
    <s v="Referral"/>
    <n v="3"/>
    <m/>
    <x v="0"/>
    <m/>
    <m/>
    <x v="0"/>
    <x v="0"/>
    <m/>
    <x v="1"/>
    <x v="0"/>
  </r>
  <r>
    <n v="1073"/>
    <s v="1073 | Fundraising"/>
    <x v="20"/>
    <x v="6"/>
    <x v="26"/>
    <x v="6"/>
    <s v="Fundraising-Manager"/>
    <x v="5"/>
    <d v="2022-02-09T23:46:40"/>
    <x v="787"/>
    <x v="223"/>
    <n v="6"/>
    <d v="2022-02-23T23:46:40"/>
    <s v="Yes"/>
    <d v="2022-03-02T23:46:40"/>
    <x v="0"/>
    <x v="5"/>
    <m/>
    <m/>
    <m/>
    <m/>
    <m/>
    <m/>
    <x v="0"/>
    <m/>
    <m/>
    <m/>
    <m/>
    <s v="Candidate"/>
    <m/>
    <s v="C2338"/>
    <s v="Candidate_1338"/>
    <s v="Feb 11 2022"/>
    <x v="1"/>
    <s v="Linkedin"/>
    <n v="3"/>
    <m/>
    <x v="0"/>
    <m/>
    <m/>
    <x v="0"/>
    <x v="0"/>
    <m/>
    <x v="1"/>
    <x v="0"/>
  </r>
  <r>
    <n v="2994"/>
    <s v="2994 | Fundraising"/>
    <x v="19"/>
    <x v="6"/>
    <x v="27"/>
    <x v="10"/>
    <s v="Fundraising-Business Partner"/>
    <x v="0"/>
    <d v="2023-03-04T00:56:51"/>
    <x v="771"/>
    <x v="247"/>
    <n v="10"/>
    <d v="2023-03-17T00:56:51"/>
    <s v="Yes"/>
    <d v="2023-03-26T00:56:51"/>
    <x v="0"/>
    <x v="5"/>
    <m/>
    <m/>
    <m/>
    <m/>
    <m/>
    <m/>
    <x v="0"/>
    <m/>
    <m/>
    <m/>
    <m/>
    <s v="Candidate"/>
    <m/>
    <s v="C2339"/>
    <s v="Candidate_1339"/>
    <s v="03-15-2023"/>
    <x v="0"/>
    <s v="Referral"/>
    <n v="3"/>
    <m/>
    <x v="0"/>
    <m/>
    <m/>
    <x v="0"/>
    <x v="0"/>
    <m/>
    <x v="1"/>
    <x v="0"/>
  </r>
  <r>
    <n v="2958"/>
    <s v="2958 | Fundraising"/>
    <x v="18"/>
    <x v="6"/>
    <x v="27"/>
    <x v="10"/>
    <s v="Fundraising-Business Partner"/>
    <x v="0"/>
    <d v="2023-04-02T15:39:13"/>
    <x v="788"/>
    <x v="248"/>
    <n v="11"/>
    <d v="2023-05-28T15:39:13"/>
    <s v="Yes"/>
    <d v="2023-04-14T15:39:13"/>
    <x v="1"/>
    <x v="1"/>
    <d v="2023-04-19T15:39:13"/>
    <s v="Declined"/>
    <m/>
    <m/>
    <d v="2023-04-18T15:39:13"/>
    <m/>
    <x v="0"/>
    <m/>
    <m/>
    <m/>
    <m/>
    <m/>
    <m/>
    <s v="C2340"/>
    <s v="Candidate_1340"/>
    <s v="09/04/2023"/>
    <x v="1"/>
    <s v="Linkedin"/>
    <n v="3"/>
    <m/>
    <x v="0"/>
    <m/>
    <m/>
    <x v="0"/>
    <x v="0"/>
    <m/>
    <x v="1"/>
    <x v="0"/>
  </r>
  <r>
    <n v="2955"/>
    <s v="2955 | Fundraising"/>
    <x v="20"/>
    <x v="6"/>
    <x v="27"/>
    <x v="10"/>
    <s v="Fundraising-Business Partner"/>
    <x v="0"/>
    <d v="2023-04-01T15:39:13"/>
    <x v="789"/>
    <x v="249"/>
    <n v="9"/>
    <d v="2023-05-25T15:39:13"/>
    <s v="Yes"/>
    <d v="2023-04-20T15:39:13"/>
    <x v="0"/>
    <x v="5"/>
    <m/>
    <m/>
    <m/>
    <m/>
    <m/>
    <m/>
    <x v="0"/>
    <m/>
    <m/>
    <m/>
    <m/>
    <s v="Candidate"/>
    <m/>
    <s v="C2341"/>
    <s v="Candidate_1341"/>
    <s v="04/04/2023"/>
    <x v="0"/>
    <s v="Referral"/>
    <n v="6"/>
    <m/>
    <x v="0"/>
    <m/>
    <m/>
    <x v="0"/>
    <x v="0"/>
    <m/>
    <x v="1"/>
    <x v="0"/>
  </r>
  <r>
    <n v="2938"/>
    <s v="2938 | Fundraising"/>
    <x v="19"/>
    <x v="6"/>
    <x v="27"/>
    <x v="10"/>
    <s v="Fundraising-Business Partner"/>
    <x v="0"/>
    <d v="2023-02-11T13:12:09"/>
    <x v="790"/>
    <x v="250"/>
    <n v="12"/>
    <d v="2023-04-09T13:12:09"/>
    <s v="Yes"/>
    <d v="2023-02-21T13:12:09"/>
    <x v="4"/>
    <x v="1"/>
    <d v="2023-02-26T13:12:09"/>
    <s v="Pending"/>
    <m/>
    <m/>
    <d v="2023-02-25T13:12:09"/>
    <m/>
    <x v="0"/>
    <m/>
    <m/>
    <m/>
    <m/>
    <m/>
    <m/>
    <s v="C2342"/>
    <s v="Candidate_1342"/>
    <s v="Feb 02 2023"/>
    <x v="0"/>
    <s v="Referral"/>
    <n v="6"/>
    <m/>
    <x v="0"/>
    <m/>
    <m/>
    <x v="0"/>
    <x v="0"/>
    <m/>
    <x v="1"/>
    <x v="0"/>
  </r>
  <r>
    <n v="2937"/>
    <s v="2937 | Fundraising"/>
    <x v="19"/>
    <x v="6"/>
    <x v="27"/>
    <x v="10"/>
    <s v="Fundraising-Business Partner"/>
    <x v="0"/>
    <d v="2023-02-10T13:12:09"/>
    <x v="791"/>
    <x v="251"/>
    <n v="10"/>
    <d v="2023-04-06T13:12:09"/>
    <s v="Yes"/>
    <d v="2023-02-24T13:12:09"/>
    <x v="0"/>
    <x v="4"/>
    <m/>
    <m/>
    <m/>
    <m/>
    <d v="2023-02-26T13:12:09"/>
    <m/>
    <x v="0"/>
    <m/>
    <m/>
    <m/>
    <m/>
    <s v="Company"/>
    <m/>
    <s v="C2343"/>
    <s v="Candidate_1343"/>
    <s v="02-11-2023"/>
    <x v="1"/>
    <s v="Linkedin"/>
    <n v="3"/>
    <m/>
    <x v="0"/>
    <m/>
    <m/>
    <x v="0"/>
    <x v="0"/>
    <m/>
    <x v="1"/>
    <x v="0"/>
  </r>
  <r>
    <n v="2935"/>
    <s v="2935 | Fundraising"/>
    <x v="20"/>
    <x v="6"/>
    <x v="27"/>
    <x v="10"/>
    <s v="Fundraising-Business Partner"/>
    <x v="0"/>
    <d v="2023-02-09T13:12:09"/>
    <x v="0"/>
    <x v="251"/>
    <n v="11"/>
    <d v="2023-04-06T13:12:09"/>
    <s v="Yes"/>
    <d v="2023-02-20T13:12:09"/>
    <x v="0"/>
    <x v="4"/>
    <m/>
    <m/>
    <m/>
    <m/>
    <m/>
    <m/>
    <x v="0"/>
    <m/>
    <m/>
    <m/>
    <m/>
    <s v="Company"/>
    <m/>
    <s v="C2344"/>
    <s v="Candidate_1344"/>
    <s v="02-06-2023"/>
    <x v="2"/>
    <s v="Job Board"/>
    <n v="6"/>
    <m/>
    <x v="0"/>
    <m/>
    <m/>
    <x v="0"/>
    <x v="0"/>
    <m/>
    <x v="0"/>
    <x v="0"/>
  </r>
  <r>
    <n v="2931"/>
    <s v="2931 | Fundraising"/>
    <x v="20"/>
    <x v="6"/>
    <x v="27"/>
    <x v="10"/>
    <s v="Fundraising-Business Partner"/>
    <x v="0"/>
    <m/>
    <x v="0"/>
    <x v="250"/>
    <n v="44980.550104166658"/>
    <d v="2023-04-09T13:12:09"/>
    <s v="Yes"/>
    <d v="2023-02-28T13:12:09"/>
    <x v="0"/>
    <x v="4"/>
    <m/>
    <m/>
    <m/>
    <m/>
    <d v="2023-03-04T13:12:09"/>
    <m/>
    <x v="0"/>
    <m/>
    <m/>
    <m/>
    <m/>
    <s v="Company"/>
    <m/>
    <s v="C2345"/>
    <s v="Candidate_1345"/>
    <s v="16/02/2023"/>
    <x v="1"/>
    <s v="Linkedin"/>
    <n v="3"/>
    <m/>
    <x v="0"/>
    <m/>
    <m/>
    <x v="0"/>
    <x v="0"/>
    <m/>
    <x v="0"/>
    <x v="0"/>
  </r>
  <r>
    <n v="2928"/>
    <s v="2928 | Fundraising"/>
    <x v="18"/>
    <x v="6"/>
    <x v="27"/>
    <x v="10"/>
    <s v="Fundraising-Business Partner"/>
    <x v="0"/>
    <d v="2023-09-08T09:16:50"/>
    <x v="792"/>
    <x v="227"/>
    <n v="9"/>
    <d v="2023-11-01T09:16:50"/>
    <s v="Yes"/>
    <d v="2023-10-01T09:16:50"/>
    <x v="1"/>
    <x v="1"/>
    <d v="2023-10-06T09:16:50"/>
    <s v="Declined"/>
    <m/>
    <m/>
    <d v="2023-10-03T09:16:50"/>
    <m/>
    <x v="0"/>
    <m/>
    <m/>
    <m/>
    <m/>
    <m/>
    <m/>
    <s v="C2346"/>
    <s v="Candidate_1346"/>
    <s v="09-16-2023"/>
    <x v="1"/>
    <s v="Linkedin"/>
    <n v="3"/>
    <m/>
    <x v="0"/>
    <m/>
    <m/>
    <x v="0"/>
    <x v="0"/>
    <m/>
    <x v="1"/>
    <x v="0"/>
  </r>
  <r>
    <n v="2923"/>
    <s v="2923 | Fundraising"/>
    <x v="18"/>
    <x v="6"/>
    <x v="27"/>
    <x v="10"/>
    <s v="Fundraising-Business Partner"/>
    <x v="0"/>
    <d v="2023-09-09T09:16:50"/>
    <x v="793"/>
    <x v="252"/>
    <n v="10"/>
    <d v="2023-11-03T09:16:50"/>
    <s v="Yes"/>
    <d v="2023-09-25T09:16:50"/>
    <x v="0"/>
    <x v="3"/>
    <m/>
    <m/>
    <m/>
    <m/>
    <d v="2023-09-29T09:16:50"/>
    <m/>
    <x v="0"/>
    <m/>
    <m/>
    <m/>
    <m/>
    <s v="Company"/>
    <m/>
    <s v="C2347"/>
    <s v="Candidate_1347"/>
    <s v="13/09/2023"/>
    <x v="0"/>
    <s v="Referral"/>
    <n v="3"/>
    <m/>
    <x v="0"/>
    <m/>
    <m/>
    <x v="0"/>
    <x v="0"/>
    <m/>
    <x v="1"/>
    <x v="0"/>
  </r>
  <r>
    <n v="2912"/>
    <s v="2912 | Fundraising"/>
    <x v="20"/>
    <x v="6"/>
    <x v="27"/>
    <x v="10"/>
    <s v="Fundraising-Business Partner"/>
    <x v="0"/>
    <d v="2022-02-06T19:04:45"/>
    <x v="794"/>
    <x v="253"/>
    <n v="6"/>
    <d v="2022-03-29T19:04:45"/>
    <s v="Yes"/>
    <d v="2022-02-28T19:04:45"/>
    <x v="0"/>
    <x v="2"/>
    <m/>
    <m/>
    <m/>
    <m/>
    <m/>
    <m/>
    <x v="0"/>
    <m/>
    <m/>
    <m/>
    <m/>
    <s v="Company"/>
    <m/>
    <s v="C2348"/>
    <s v="Candidate_1348"/>
    <s v="10/02/2022"/>
    <x v="2"/>
    <s v="Job Board"/>
    <n v="6"/>
    <m/>
    <x v="0"/>
    <m/>
    <m/>
    <x v="0"/>
    <x v="0"/>
    <m/>
    <x v="1"/>
    <x v="0"/>
  </r>
  <r>
    <n v="2828"/>
    <s v="2828 | Fundraising"/>
    <x v="19"/>
    <x v="6"/>
    <x v="27"/>
    <x v="10"/>
    <s v="Fundraising-Business Partner"/>
    <x v="0"/>
    <d v="2022-01-02T01:20:30"/>
    <x v="795"/>
    <x v="207"/>
    <n v="8"/>
    <d v="2022-01-29T01:20:30"/>
    <s v="Yes"/>
    <d v="2022-01-17T01:20:30"/>
    <x v="0"/>
    <x v="2"/>
    <m/>
    <m/>
    <m/>
    <m/>
    <m/>
    <m/>
    <x v="0"/>
    <m/>
    <m/>
    <m/>
    <m/>
    <s v="Company"/>
    <m/>
    <s v="C2349"/>
    <s v="Candidate_1349"/>
    <s v="Jan 12 2022"/>
    <x v="1"/>
    <s v="Linkedin"/>
    <n v="6"/>
    <m/>
    <x v="0"/>
    <m/>
    <m/>
    <x v="0"/>
    <x v="0"/>
    <m/>
    <x v="1"/>
    <x v="0"/>
  </r>
  <r>
    <n v="2826"/>
    <s v="2826 | Fundraising"/>
    <x v="20"/>
    <x v="6"/>
    <x v="27"/>
    <x v="10"/>
    <s v="Fundraising-Business Partner"/>
    <x v="0"/>
    <d v="2022-01-08T01:20:30"/>
    <x v="796"/>
    <x v="207"/>
    <n v="2"/>
    <d v="2022-02-07T01:20:30"/>
    <s v="Yes"/>
    <d v="2022-01-18T01:20:30"/>
    <x v="0"/>
    <x v="5"/>
    <m/>
    <m/>
    <m/>
    <m/>
    <d v="2022-01-20T01:20:30"/>
    <m/>
    <x v="0"/>
    <m/>
    <m/>
    <m/>
    <m/>
    <s v="Candidate"/>
    <m/>
    <s v="C2350"/>
    <s v="Candidate_1350"/>
    <s v="01-06-2022"/>
    <x v="2"/>
    <s v="Job Board"/>
    <n v="6"/>
    <m/>
    <x v="0"/>
    <m/>
    <m/>
    <x v="0"/>
    <x v="0"/>
    <m/>
    <x v="1"/>
    <x v="0"/>
  </r>
  <r>
    <n v="2821"/>
    <s v="2821 | Fundraising"/>
    <x v="20"/>
    <x v="6"/>
    <x v="27"/>
    <x v="10"/>
    <s v="Fundraising-Business Partner"/>
    <x v="0"/>
    <d v="2022-01-06T01:20:30"/>
    <x v="797"/>
    <x v="207"/>
    <n v="4"/>
    <d v="2022-01-15T01:20:30"/>
    <s v="Yes"/>
    <d v="2022-01-19T01:20:30"/>
    <x v="1"/>
    <x v="1"/>
    <d v="2022-01-22T01:20:30"/>
    <s v="Declined"/>
    <m/>
    <m/>
    <d v="2022-01-21T01:20:30"/>
    <m/>
    <x v="0"/>
    <m/>
    <m/>
    <m/>
    <m/>
    <m/>
    <m/>
    <s v="C2351"/>
    <s v="Candidate_1351"/>
    <s v="07/01/2022"/>
    <x v="0"/>
    <s v="Referral"/>
    <n v="6"/>
    <m/>
    <x v="0"/>
    <m/>
    <m/>
    <x v="0"/>
    <x v="0"/>
    <m/>
    <x v="1"/>
    <x v="0"/>
  </r>
  <r>
    <n v="2807"/>
    <s v="2807 | Fundraising"/>
    <x v="20"/>
    <x v="6"/>
    <x v="27"/>
    <x v="10"/>
    <s v="Fundraising-Business Partner"/>
    <x v="0"/>
    <d v="2023-05-29T18:40:56"/>
    <x v="798"/>
    <x v="208"/>
    <n v="10"/>
    <d v="2023-07-06T18:40:56"/>
    <s v="Yes"/>
    <d v="2023-06-22T18:40:56"/>
    <x v="4"/>
    <x v="1"/>
    <d v="2023-06-28T18:40:56"/>
    <s v="Pending"/>
    <m/>
    <m/>
    <d v="2023-06-25T18:40:56"/>
    <m/>
    <x v="0"/>
    <m/>
    <m/>
    <m/>
    <m/>
    <m/>
    <m/>
    <s v="C2352"/>
    <s v="Candidate_1352"/>
    <s v="09/06/2023"/>
    <x v="2"/>
    <s v="Job Board"/>
    <n v="6"/>
    <m/>
    <x v="0"/>
    <m/>
    <m/>
    <x v="0"/>
    <x v="0"/>
    <m/>
    <x v="1"/>
    <x v="0"/>
  </r>
  <r>
    <n v="2794"/>
    <s v="2794 | Fundraising"/>
    <x v="20"/>
    <x v="6"/>
    <x v="27"/>
    <x v="10"/>
    <s v="Fundraising-Business Partner"/>
    <x v="0"/>
    <d v="2023-06-27T20:01:36"/>
    <x v="799"/>
    <x v="228"/>
    <n v="5"/>
    <d v="2023-07-22T20:01:36"/>
    <s v="Yes"/>
    <d v="2023-07-07T20:01:36"/>
    <x v="0"/>
    <x v="4"/>
    <m/>
    <m/>
    <m/>
    <m/>
    <m/>
    <m/>
    <x v="0"/>
    <m/>
    <m/>
    <m/>
    <m/>
    <s v="Candidate"/>
    <m/>
    <s v="C2353"/>
    <s v="Candidate_1353"/>
    <s v="06-29-2023"/>
    <x v="0"/>
    <s v="Referral"/>
    <n v="3"/>
    <m/>
    <x v="0"/>
    <m/>
    <m/>
    <x v="0"/>
    <x v="0"/>
    <m/>
    <x v="1"/>
    <x v="0"/>
  </r>
  <r>
    <n v="2747"/>
    <s v="2747 | Fundraising"/>
    <x v="20"/>
    <x v="6"/>
    <x v="27"/>
    <x v="10"/>
    <s v="Fundraising-Business Partner"/>
    <x v="0"/>
    <d v="2022-04-19T13:27:53"/>
    <x v="800"/>
    <x v="4"/>
    <n v="-44670.561030092591"/>
    <d v="2022-05-02T13:27:53"/>
    <s v="Yes"/>
    <d v="2022-04-29T13:27:53"/>
    <x v="0"/>
    <x v="5"/>
    <m/>
    <m/>
    <m/>
    <m/>
    <m/>
    <m/>
    <x v="0"/>
    <m/>
    <m/>
    <m/>
    <m/>
    <s v="Company"/>
    <m/>
    <s v="C2354"/>
    <s v="Candidate_1354"/>
    <s v="04-15-2022"/>
    <x v="0"/>
    <s v="Referral"/>
    <n v="3"/>
    <m/>
    <x v="0"/>
    <m/>
    <m/>
    <x v="0"/>
    <x v="0"/>
    <m/>
    <x v="0"/>
    <x v="0"/>
  </r>
  <r>
    <n v="2709"/>
    <s v="2709 | Fundraising"/>
    <x v="18"/>
    <x v="6"/>
    <x v="27"/>
    <x v="10"/>
    <s v="Fundraising-Business Partner"/>
    <x v="0"/>
    <d v="2022-09-28T11:53:56"/>
    <x v="0"/>
    <x v="254"/>
    <n v="5"/>
    <d v="2022-10-09T11:53:56"/>
    <s v="Yes"/>
    <d v="2022-10-12T11:53:56"/>
    <x v="1"/>
    <x v="1"/>
    <d v="2022-10-19T11:53:56"/>
    <s v="Declined"/>
    <m/>
    <m/>
    <d v="2022-10-16T11:53:56"/>
    <m/>
    <x v="0"/>
    <m/>
    <m/>
    <m/>
    <m/>
    <m/>
    <m/>
    <s v="C2355"/>
    <s v="Candidate_1355"/>
    <s v="Sep 28 2022"/>
    <x v="1"/>
    <s v="Linkedin"/>
    <n v="3"/>
    <m/>
    <x v="0"/>
    <m/>
    <m/>
    <x v="0"/>
    <x v="0"/>
    <m/>
    <x v="0"/>
    <x v="0"/>
  </r>
  <r>
    <n v="2634"/>
    <s v="2634 | Fundraising"/>
    <x v="18"/>
    <x v="6"/>
    <x v="27"/>
    <x v="10"/>
    <s v="Fundraising-Business Partner"/>
    <x v="0"/>
    <d v="2022-01-18T04:43:28"/>
    <x v="801"/>
    <x v="230"/>
    <n v="9"/>
    <d v="2022-02-15T04:43:28"/>
    <s v="Yes"/>
    <d v="2022-02-03T04:43:28"/>
    <x v="0"/>
    <x v="4"/>
    <m/>
    <m/>
    <m/>
    <m/>
    <m/>
    <m/>
    <x v="0"/>
    <m/>
    <m/>
    <m/>
    <m/>
    <s v="Candidate"/>
    <m/>
    <s v="C2356"/>
    <s v="Candidate_1356"/>
    <s v="Jan 25 2022"/>
    <x v="0"/>
    <s v="Referral"/>
    <n v="3"/>
    <m/>
    <x v="0"/>
    <m/>
    <m/>
    <x v="0"/>
    <x v="0"/>
    <m/>
    <x v="1"/>
    <x v="0"/>
  </r>
  <r>
    <n v="2632"/>
    <s v="2632 | Fundraising"/>
    <x v="20"/>
    <x v="6"/>
    <x v="27"/>
    <x v="10"/>
    <s v="Fundraising-Business Partner"/>
    <x v="0"/>
    <d v="2022-01-24T04:43:28"/>
    <x v="738"/>
    <x v="230"/>
    <n v="3"/>
    <d v="2022-02-05T04:43:28"/>
    <s v="Yes"/>
    <d v="2022-02-11T04:43:28"/>
    <x v="1"/>
    <x v="1"/>
    <d v="2022-02-18T04:43:28"/>
    <s v="Declined"/>
    <m/>
    <m/>
    <d v="2022-02-15T04:43:28"/>
    <m/>
    <x v="0"/>
    <m/>
    <m/>
    <m/>
    <m/>
    <m/>
    <m/>
    <s v="C2357"/>
    <s v="Candidate_1357"/>
    <s v="Jan 25 2022"/>
    <x v="2"/>
    <s v="Job Board"/>
    <n v="3"/>
    <m/>
    <x v="0"/>
    <m/>
    <m/>
    <x v="0"/>
    <x v="0"/>
    <m/>
    <x v="1"/>
    <x v="0"/>
  </r>
  <r>
    <n v="2631"/>
    <s v="2631 | Fundraising"/>
    <x v="18"/>
    <x v="6"/>
    <x v="27"/>
    <x v="10"/>
    <s v="Fundraising-Business Partner"/>
    <x v="0"/>
    <d v="2022-01-20T04:43:28"/>
    <x v="802"/>
    <x v="230"/>
    <n v="7"/>
    <d v="2022-02-11T04:43:28"/>
    <s v="Yes"/>
    <d v="2022-02-07T04:43:28"/>
    <x v="0"/>
    <x v="0"/>
    <m/>
    <m/>
    <m/>
    <m/>
    <d v="2022-02-10T04:43:28"/>
    <m/>
    <x v="0"/>
    <m/>
    <m/>
    <m/>
    <m/>
    <s v="Company"/>
    <m/>
    <s v="C2358"/>
    <s v="Candidate_1358"/>
    <s v="Jan 28 2022"/>
    <x v="1"/>
    <s v="Linkedin"/>
    <n v="6"/>
    <m/>
    <x v="0"/>
    <m/>
    <m/>
    <x v="0"/>
    <x v="0"/>
    <m/>
    <x v="1"/>
    <x v="0"/>
  </r>
  <r>
    <n v="2626"/>
    <s v="2626 | Fundraising"/>
    <x v="20"/>
    <x v="6"/>
    <x v="27"/>
    <x v="10"/>
    <s v="Fundraising-Business Partner"/>
    <x v="0"/>
    <d v="2023-06-19T16:02:26"/>
    <x v="803"/>
    <x v="210"/>
    <n v="6"/>
    <d v="2023-07-01T16:02:26"/>
    <s v="Yes"/>
    <d v="2023-06-28T16:02:26"/>
    <x v="0"/>
    <x v="0"/>
    <m/>
    <m/>
    <m/>
    <m/>
    <d v="2023-07-01T16:02:26"/>
    <m/>
    <x v="0"/>
    <m/>
    <m/>
    <m/>
    <m/>
    <s v="Company"/>
    <m/>
    <s v="C2359"/>
    <s v="Candidate_1359"/>
    <s v="Jun 13 2023"/>
    <x v="0"/>
    <s v="Referral"/>
    <n v="6"/>
    <m/>
    <x v="0"/>
    <m/>
    <m/>
    <x v="0"/>
    <x v="0"/>
    <m/>
    <x v="1"/>
    <x v="0"/>
  </r>
  <r>
    <n v="2620"/>
    <s v="2620 | Fundraising"/>
    <x v="18"/>
    <x v="6"/>
    <x v="27"/>
    <x v="10"/>
    <s v="Fundraising-Business Partner"/>
    <x v="0"/>
    <d v="2023-01-02T09:06:31"/>
    <x v="804"/>
    <x v="231"/>
    <n v="8"/>
    <d v="2023-01-19T09:06:31"/>
    <s v="Yes"/>
    <d v="2023-01-20T09:06:31"/>
    <x v="0"/>
    <x v="3"/>
    <m/>
    <m/>
    <m/>
    <m/>
    <d v="2023-01-24T09:06:31"/>
    <m/>
    <x v="0"/>
    <m/>
    <m/>
    <m/>
    <m/>
    <s v="Company"/>
    <m/>
    <s v="C2360"/>
    <s v="Candidate_1360"/>
    <s v="Jan 05 2023"/>
    <x v="1"/>
    <s v="Linkedin"/>
    <n v="6"/>
    <m/>
    <x v="0"/>
    <m/>
    <m/>
    <x v="0"/>
    <x v="0"/>
    <m/>
    <x v="1"/>
    <x v="0"/>
  </r>
  <r>
    <n v="2573"/>
    <s v="2573 | Fundraising"/>
    <x v="20"/>
    <x v="6"/>
    <x v="27"/>
    <x v="10"/>
    <s v="Fundraising-Business Partner"/>
    <x v="0"/>
    <d v="2022-03-16T17:14:32"/>
    <x v="774"/>
    <x v="233"/>
    <n v="9"/>
    <d v="2022-04-15T17:14:32"/>
    <s v="Yes"/>
    <d v="2022-04-07T17:14:32"/>
    <x v="3"/>
    <x v="1"/>
    <d v="2022-04-13T17:14:32"/>
    <s v="Accepted"/>
    <d v="2022-04-08T17:14:32"/>
    <d v="2022-04-12T17:14:32"/>
    <d v="2022-04-10T17:14:32"/>
    <d v="2022-04-14T17:14:32"/>
    <x v="1"/>
    <d v="2022-04-16T17:14:32"/>
    <d v="2022-04-17T17:14:32"/>
    <d v="2022-04-18T17:14:32"/>
    <m/>
    <m/>
    <d v="2022-05-01T17:14:32"/>
    <s v="C2361"/>
    <s v="Candidate_1361"/>
    <s v="Mar 30 2022"/>
    <x v="2"/>
    <s v="Job Board"/>
    <n v="6"/>
    <m/>
    <x v="0"/>
    <m/>
    <m/>
    <x v="0"/>
    <x v="0"/>
    <m/>
    <x v="131"/>
    <x v="0"/>
  </r>
  <r>
    <n v="2572"/>
    <s v="2572 | Fundraising"/>
    <x v="20"/>
    <x v="6"/>
    <x v="27"/>
    <x v="10"/>
    <s v="Fundraising-Business Partner"/>
    <x v="0"/>
    <d v="2022-03-21T17:14:32"/>
    <x v="805"/>
    <x v="4"/>
    <n v="-44641.718425925923"/>
    <d v="2022-04-10T17:14:32"/>
    <s v="Yes"/>
    <d v="2022-03-27T17:14:32"/>
    <x v="0"/>
    <x v="5"/>
    <m/>
    <m/>
    <m/>
    <m/>
    <m/>
    <m/>
    <x v="0"/>
    <m/>
    <m/>
    <m/>
    <m/>
    <s v="Company"/>
    <m/>
    <s v="C2362"/>
    <s v="Candidate_1362"/>
    <s v="Mar 13 2022"/>
    <x v="0"/>
    <s v="Referral"/>
    <n v="3"/>
    <m/>
    <x v="0"/>
    <m/>
    <m/>
    <x v="0"/>
    <x v="0"/>
    <m/>
    <x v="0"/>
    <x v="0"/>
  </r>
  <r>
    <n v="2489"/>
    <s v="2489 | Fundraising"/>
    <x v="20"/>
    <x v="6"/>
    <x v="27"/>
    <x v="10"/>
    <s v="Fundraising-Business Partner"/>
    <x v="0"/>
    <d v="2023-02-13T21:37:50"/>
    <x v="806"/>
    <x v="211"/>
    <n v="7"/>
    <d v="2023-03-01T21:37:50"/>
    <s v="Yes"/>
    <d v="2023-02-21T21:37:50"/>
    <x v="1"/>
    <x v="1"/>
    <d v="2023-03-01T21:37:50"/>
    <s v="Declined"/>
    <m/>
    <m/>
    <d v="2023-02-25T21:37:50"/>
    <m/>
    <x v="0"/>
    <m/>
    <m/>
    <m/>
    <m/>
    <m/>
    <m/>
    <s v="C2363"/>
    <s v="Candidate_1363"/>
    <s v="16/02/2023"/>
    <x v="1"/>
    <s v="Linkedin"/>
    <n v="3"/>
    <m/>
    <x v="0"/>
    <m/>
    <m/>
    <x v="0"/>
    <x v="0"/>
    <m/>
    <x v="1"/>
    <x v="0"/>
  </r>
  <r>
    <n v="2487"/>
    <s v="2487 | Fundraising"/>
    <x v="20"/>
    <x v="6"/>
    <x v="27"/>
    <x v="10"/>
    <s v="Fundraising-Business Partner"/>
    <x v="0"/>
    <d v="2023-02-15T21:37:50"/>
    <x v="806"/>
    <x v="211"/>
    <n v="5"/>
    <d v="2023-03-01T21:37:50"/>
    <s v="Yes"/>
    <d v="2023-02-24T21:37:50"/>
    <x v="0"/>
    <x v="3"/>
    <m/>
    <m/>
    <m/>
    <m/>
    <m/>
    <m/>
    <x v="0"/>
    <m/>
    <m/>
    <m/>
    <m/>
    <s v="Candidate"/>
    <m/>
    <s v="C2364"/>
    <s v="Candidate_1364"/>
    <s v="10/02/2023"/>
    <x v="0"/>
    <s v="Referral"/>
    <n v="6"/>
    <m/>
    <x v="0"/>
    <m/>
    <m/>
    <x v="0"/>
    <x v="0"/>
    <m/>
    <x v="1"/>
    <x v="0"/>
  </r>
  <r>
    <n v="2484"/>
    <s v="2484 | Fundraising"/>
    <x v="20"/>
    <x v="6"/>
    <x v="27"/>
    <x v="10"/>
    <s v="Fundraising-Business Partner"/>
    <x v="0"/>
    <d v="2023-02-14T21:37:50"/>
    <x v="713"/>
    <x v="211"/>
    <n v="6"/>
    <d v="2023-03-04T21:37:50"/>
    <s v="Yes"/>
    <d v="2023-03-01T21:37:50"/>
    <x v="3"/>
    <x v="1"/>
    <d v="2023-03-06T21:37:50"/>
    <s v="Accepted"/>
    <d v="2023-03-03T21:37:50"/>
    <d v="2023-03-04T21:37:50"/>
    <d v="2023-03-02T21:37:50"/>
    <d v="2023-03-11T21:37:50"/>
    <x v="1"/>
    <d v="2023-03-15T21:37:50"/>
    <d v="2023-03-18T21:37:50"/>
    <d v="2023-03-21T21:37:50"/>
    <m/>
    <m/>
    <d v="2023-04-10T21:37:50"/>
    <s v="C2365"/>
    <s v="Candidate_1365"/>
    <s v="Feb 22 2023"/>
    <x v="0"/>
    <s v="Referral"/>
    <n v="3"/>
    <m/>
    <x v="0"/>
    <m/>
    <m/>
    <x v="0"/>
    <x v="0"/>
    <m/>
    <x v="132"/>
    <x v="0"/>
  </r>
  <r>
    <n v="2398"/>
    <s v="2398 | Fundraising"/>
    <x v="19"/>
    <x v="6"/>
    <x v="27"/>
    <x v="10"/>
    <s v="Fundraising-Business Partner"/>
    <x v="0"/>
    <d v="2023-07-20T17:32:55"/>
    <x v="748"/>
    <x v="235"/>
    <n v="4"/>
    <d v="2023-08-01T17:32:55"/>
    <s v="Yes"/>
    <d v="2023-08-05T17:32:55"/>
    <x v="0"/>
    <x v="0"/>
    <m/>
    <m/>
    <m/>
    <m/>
    <d v="2023-08-08T17:32:55"/>
    <m/>
    <x v="0"/>
    <m/>
    <m/>
    <m/>
    <m/>
    <s v="Company"/>
    <m/>
    <s v="C2366"/>
    <s v="Candidate_1366"/>
    <s v="24/07/2023"/>
    <x v="1"/>
    <s v="Linkedin"/>
    <n v="3"/>
    <m/>
    <x v="0"/>
    <m/>
    <m/>
    <x v="0"/>
    <x v="0"/>
    <m/>
    <x v="1"/>
    <x v="0"/>
  </r>
  <r>
    <n v="2397"/>
    <s v="2397 | Fundraising"/>
    <x v="20"/>
    <x v="6"/>
    <x v="27"/>
    <x v="10"/>
    <s v="Fundraising-Business Partner"/>
    <x v="0"/>
    <d v="2023-07-17T17:32:55"/>
    <x v="777"/>
    <x v="235"/>
    <n v="7"/>
    <d v="2023-08-05T17:32:55"/>
    <s v="Yes"/>
    <d v="2023-08-07T17:32:55"/>
    <x v="0"/>
    <x v="2"/>
    <m/>
    <m/>
    <m/>
    <m/>
    <d v="2023-08-08T17:32:55"/>
    <m/>
    <x v="0"/>
    <m/>
    <m/>
    <m/>
    <m/>
    <s v="Candidate"/>
    <m/>
    <s v="C2367"/>
    <s v="Candidate_1367"/>
    <s v="Aug 01 2023"/>
    <x v="2"/>
    <s v="Job Board"/>
    <n v="6"/>
    <m/>
    <x v="0"/>
    <m/>
    <m/>
    <x v="0"/>
    <x v="0"/>
    <m/>
    <x v="1"/>
    <x v="0"/>
  </r>
  <r>
    <n v="2396"/>
    <s v="2396 | Fundraising"/>
    <x v="19"/>
    <x v="6"/>
    <x v="27"/>
    <x v="10"/>
    <s v="Fundraising-Business Partner"/>
    <x v="0"/>
    <d v="2023-07-20T17:32:55"/>
    <x v="748"/>
    <x v="235"/>
    <n v="4"/>
    <d v="2023-08-01T17:32:55"/>
    <s v="Yes"/>
    <d v="2023-08-06T17:32:55"/>
    <x v="0"/>
    <x v="5"/>
    <m/>
    <m/>
    <m/>
    <m/>
    <m/>
    <m/>
    <x v="0"/>
    <m/>
    <m/>
    <m/>
    <m/>
    <s v="Company"/>
    <m/>
    <s v="C2368"/>
    <s v="Candidate_1368"/>
    <s v="Jul 30 2023"/>
    <x v="2"/>
    <s v="Job Board"/>
    <n v="3"/>
    <m/>
    <x v="0"/>
    <m/>
    <m/>
    <x v="0"/>
    <x v="0"/>
    <m/>
    <x v="1"/>
    <x v="0"/>
  </r>
  <r>
    <n v="2133"/>
    <s v="2133 | Fundraising"/>
    <x v="19"/>
    <x v="6"/>
    <x v="27"/>
    <x v="10"/>
    <s v="Fundraising-Business Partner"/>
    <x v="0"/>
    <d v="2022-08-04T12:23:45"/>
    <x v="807"/>
    <x v="244"/>
    <n v="4"/>
    <d v="2022-08-29T12:23:45"/>
    <s v="Yes"/>
    <d v="2022-08-21T12:23:45"/>
    <x v="4"/>
    <x v="1"/>
    <d v="2022-08-23T12:23:45"/>
    <s v="Pending"/>
    <m/>
    <m/>
    <d v="2022-08-22T12:23:45"/>
    <m/>
    <x v="0"/>
    <m/>
    <m/>
    <m/>
    <m/>
    <m/>
    <m/>
    <s v="C2369"/>
    <s v="Candidate_1369"/>
    <s v="15/08/2022"/>
    <x v="2"/>
    <s v="Job Board"/>
    <n v="3"/>
    <m/>
    <x v="0"/>
    <m/>
    <m/>
    <x v="0"/>
    <x v="0"/>
    <m/>
    <x v="1"/>
    <x v="0"/>
  </r>
  <r>
    <n v="2106"/>
    <s v="2106 | Fundraising"/>
    <x v="20"/>
    <x v="6"/>
    <x v="27"/>
    <x v="10"/>
    <s v="Fundraising-Business Partner"/>
    <x v="0"/>
    <d v="2022-05-04T00:32:09"/>
    <x v="808"/>
    <x v="245"/>
    <n v="7"/>
    <d v="2022-05-22T00:32:09"/>
    <s v="Yes"/>
    <d v="2022-05-21T00:32:09"/>
    <x v="0"/>
    <x v="3"/>
    <m/>
    <m/>
    <m/>
    <m/>
    <d v="2022-05-23T00:32:09"/>
    <m/>
    <x v="0"/>
    <m/>
    <m/>
    <m/>
    <m/>
    <s v="Company"/>
    <m/>
    <s v="C2370"/>
    <s v="Candidate_1370"/>
    <s v="May 13 2022"/>
    <x v="2"/>
    <s v="Job Board"/>
    <n v="6"/>
    <m/>
    <x v="0"/>
    <m/>
    <m/>
    <x v="0"/>
    <x v="0"/>
    <m/>
    <x v="1"/>
    <x v="0"/>
  </r>
  <r>
    <n v="2037"/>
    <s v="2037 | Fundraising"/>
    <x v="20"/>
    <x v="6"/>
    <x v="27"/>
    <x v="10"/>
    <s v="Fundraising-Business Partner"/>
    <x v="0"/>
    <d v="2022-03-26T20:40:01"/>
    <x v="750"/>
    <x v="236"/>
    <n v="6"/>
    <d v="2022-04-11T20:40:01"/>
    <s v="Yes"/>
    <d v="2022-04-04T20:40:01"/>
    <x v="1"/>
    <x v="1"/>
    <d v="2022-04-09T20:40:01"/>
    <s v="Declined"/>
    <m/>
    <m/>
    <d v="2022-04-08T20:40:01"/>
    <m/>
    <x v="0"/>
    <m/>
    <m/>
    <m/>
    <m/>
    <m/>
    <m/>
    <s v="C2371"/>
    <s v="Candidate_1371"/>
    <s v="03-27-2022"/>
    <x v="1"/>
    <s v="Linkedin"/>
    <n v="3"/>
    <m/>
    <x v="0"/>
    <m/>
    <m/>
    <x v="0"/>
    <x v="0"/>
    <m/>
    <x v="1"/>
    <x v="0"/>
  </r>
  <r>
    <n v="1940"/>
    <s v="1940 | Fundraising"/>
    <x v="18"/>
    <x v="6"/>
    <x v="27"/>
    <x v="10"/>
    <s v="Fundraising-Business Partner"/>
    <x v="0"/>
    <d v="2023-09-09T07:20:47"/>
    <x v="809"/>
    <x v="237"/>
    <n v="6"/>
    <d v="2023-09-30T07:20:47"/>
    <s v="Yes"/>
    <d v="2023-10-01T07:20:47"/>
    <x v="1"/>
    <x v="1"/>
    <d v="2023-10-07T07:20:47"/>
    <s v="Declined"/>
    <m/>
    <m/>
    <d v="2023-10-05T07:20:47"/>
    <m/>
    <x v="0"/>
    <m/>
    <m/>
    <m/>
    <m/>
    <m/>
    <m/>
    <s v="C2372"/>
    <s v="Candidate_1372"/>
    <s v="09-16-2023"/>
    <x v="0"/>
    <s v="Referral"/>
    <n v="6"/>
    <m/>
    <x v="0"/>
    <m/>
    <m/>
    <x v="0"/>
    <x v="0"/>
    <m/>
    <x v="1"/>
    <x v="0"/>
  </r>
  <r>
    <n v="1876"/>
    <s v="1876 | Fundraising"/>
    <x v="18"/>
    <x v="6"/>
    <x v="27"/>
    <x v="10"/>
    <s v="Fundraising-Business Partner"/>
    <x v="0"/>
    <d v="2022-01-14T17:35:29"/>
    <x v="810"/>
    <x v="212"/>
    <n v="6"/>
    <d v="2022-02-08T17:35:29"/>
    <s v="Yes"/>
    <d v="2022-01-21T17:35:29"/>
    <x v="4"/>
    <x v="1"/>
    <d v="2022-01-26T17:35:29"/>
    <s v="Pending"/>
    <m/>
    <m/>
    <d v="2022-01-24T17:35:29"/>
    <m/>
    <x v="0"/>
    <m/>
    <m/>
    <m/>
    <m/>
    <m/>
    <m/>
    <s v="C2373"/>
    <s v="Candidate_1373"/>
    <s v="01-16-2022"/>
    <x v="1"/>
    <s v="Linkedin"/>
    <n v="6"/>
    <m/>
    <x v="0"/>
    <m/>
    <m/>
    <x v="0"/>
    <x v="0"/>
    <m/>
    <x v="1"/>
    <x v="0"/>
  </r>
  <r>
    <n v="1720"/>
    <s v="1720 | Fundraising"/>
    <x v="19"/>
    <x v="6"/>
    <x v="27"/>
    <x v="19"/>
    <s v="Fundraising-Review Associate"/>
    <x v="0"/>
    <m/>
    <x v="811"/>
    <x v="4"/>
    <n v="0"/>
    <d v="2022-01-12T01:51:52"/>
    <s v="Yes"/>
    <d v="2022-01-20T01:51:52"/>
    <x v="0"/>
    <x v="2"/>
    <m/>
    <m/>
    <m/>
    <m/>
    <m/>
    <m/>
    <x v="0"/>
    <m/>
    <m/>
    <m/>
    <m/>
    <s v="Company"/>
    <m/>
    <s v="C2374"/>
    <s v="Candidate_1374"/>
    <s v="01-11-2022"/>
    <x v="2"/>
    <s v="Job Board"/>
    <n v="3"/>
    <m/>
    <x v="0"/>
    <m/>
    <m/>
    <x v="0"/>
    <x v="0"/>
    <m/>
    <x v="0"/>
    <x v="0"/>
  </r>
  <r>
    <n v="1717"/>
    <s v="1717 | Fundraising"/>
    <x v="19"/>
    <x v="6"/>
    <x v="27"/>
    <x v="19"/>
    <s v="Fundraising-Review Associate"/>
    <x v="0"/>
    <d v="2022-01-02T01:51:52"/>
    <x v="784"/>
    <x v="238"/>
    <n v="5"/>
    <d v="2022-01-17T01:51:52"/>
    <s v="Yes"/>
    <d v="2022-01-17T01:51:52"/>
    <x v="1"/>
    <x v="1"/>
    <d v="2022-01-20T01:51:52"/>
    <s v="Declined"/>
    <m/>
    <m/>
    <d v="2022-01-18T01:51:52"/>
    <m/>
    <x v="0"/>
    <m/>
    <m/>
    <m/>
    <m/>
    <m/>
    <m/>
    <s v="C2375"/>
    <s v="Candidate_1375"/>
    <s v="Jan 04 2022"/>
    <x v="2"/>
    <s v="Job Board"/>
    <n v="3"/>
    <m/>
    <x v="0"/>
    <m/>
    <m/>
    <x v="0"/>
    <x v="0"/>
    <m/>
    <x v="1"/>
    <x v="0"/>
  </r>
  <r>
    <n v="1700"/>
    <s v="1700 | Fundraising"/>
    <x v="19"/>
    <x v="6"/>
    <x v="27"/>
    <x v="19"/>
    <s v="Fundraising-Review Associate"/>
    <x v="0"/>
    <d v="2023-02-28T18:21:09"/>
    <x v="0"/>
    <x v="213"/>
    <n v="4"/>
    <d v="2023-03-19T18:21:09"/>
    <s v="Yes"/>
    <d v="2023-03-13T18:21:09"/>
    <x v="0"/>
    <x v="2"/>
    <m/>
    <m/>
    <m/>
    <m/>
    <d v="2023-03-14T18:21:09"/>
    <m/>
    <x v="0"/>
    <m/>
    <m/>
    <m/>
    <m/>
    <s v="Company"/>
    <m/>
    <s v="C2376"/>
    <s v="Candidate_1376"/>
    <s v="Mar 08 2023"/>
    <x v="0"/>
    <s v="Referral"/>
    <n v="3"/>
    <m/>
    <x v="0"/>
    <m/>
    <m/>
    <x v="0"/>
    <x v="0"/>
    <m/>
    <x v="0"/>
    <x v="0"/>
  </r>
  <r>
    <n v="1485"/>
    <s v="1485 | Fundraising"/>
    <x v="20"/>
    <x v="6"/>
    <x v="27"/>
    <x v="19"/>
    <s v="Fundraising-Review Associate"/>
    <x v="0"/>
    <d v="2023-07-05T13:00:43"/>
    <x v="812"/>
    <x v="215"/>
    <n v="7"/>
    <d v="2023-07-25T13:00:43"/>
    <s v="Yes"/>
    <d v="2023-07-22T13:00:43"/>
    <x v="0"/>
    <x v="0"/>
    <m/>
    <m/>
    <m/>
    <m/>
    <d v="2023-07-25T13:00:43"/>
    <m/>
    <x v="0"/>
    <m/>
    <m/>
    <m/>
    <m/>
    <s v="Company"/>
    <m/>
    <s v="C2377"/>
    <s v="Candidate_1377"/>
    <s v="15/07/2023"/>
    <x v="2"/>
    <s v="Job Board"/>
    <n v="3"/>
    <m/>
    <x v="0"/>
    <m/>
    <m/>
    <x v="0"/>
    <x v="0"/>
    <m/>
    <x v="1"/>
    <x v="0"/>
  </r>
  <r>
    <n v="1469"/>
    <s v="1469 | Fundraising"/>
    <x v="19"/>
    <x v="6"/>
    <x v="27"/>
    <x v="19"/>
    <s v="Fundraising-Review Associate"/>
    <x v="0"/>
    <d v="2023-03-19T03:24:12"/>
    <x v="813"/>
    <x v="4"/>
    <n v="-45004.141805555562"/>
    <d v="2023-04-19T03:24:12"/>
    <s v="Yes"/>
    <d v="2023-03-30T03:24:12"/>
    <x v="0"/>
    <x v="0"/>
    <m/>
    <m/>
    <m/>
    <m/>
    <m/>
    <m/>
    <x v="0"/>
    <m/>
    <m/>
    <m/>
    <m/>
    <s v="Candidate"/>
    <m/>
    <s v="C2378"/>
    <s v="Candidate_1378"/>
    <s v="Mar 18 2023"/>
    <x v="2"/>
    <s v="Job Board"/>
    <n v="6"/>
    <m/>
    <x v="0"/>
    <m/>
    <m/>
    <x v="0"/>
    <x v="0"/>
    <m/>
    <x v="0"/>
    <x v="0"/>
  </r>
  <r>
    <n v="1468"/>
    <s v="1468 | Fundraising"/>
    <x v="18"/>
    <x v="6"/>
    <x v="27"/>
    <x v="19"/>
    <s v="Fundraising-Review Associate"/>
    <x v="0"/>
    <m/>
    <x v="759"/>
    <x v="216"/>
    <n v="45008.141805555562"/>
    <d v="2023-04-16T03:24:12"/>
    <s v="Yes"/>
    <d v="2023-04-03T03:24:12"/>
    <x v="0"/>
    <x v="5"/>
    <m/>
    <m/>
    <m/>
    <m/>
    <m/>
    <m/>
    <x v="0"/>
    <m/>
    <m/>
    <m/>
    <m/>
    <s v="Candidate"/>
    <m/>
    <s v="C2379"/>
    <s v="Candidate_1379"/>
    <s v="03-17-2023"/>
    <x v="0"/>
    <s v="Referral"/>
    <n v="6"/>
    <m/>
    <x v="0"/>
    <m/>
    <m/>
    <x v="0"/>
    <x v="0"/>
    <m/>
    <x v="0"/>
    <x v="0"/>
  </r>
  <r>
    <n v="1465"/>
    <s v="1465 | Fundraising"/>
    <x v="20"/>
    <x v="6"/>
    <x v="27"/>
    <x v="19"/>
    <s v="Fundraising-Review Associate"/>
    <x v="0"/>
    <d v="2023-03-20T03:24:12"/>
    <x v="813"/>
    <x v="216"/>
    <n v="3"/>
    <d v="2023-04-05T03:24:12"/>
    <s v="Yes"/>
    <d v="2023-03-31T03:24:12"/>
    <x v="4"/>
    <x v="1"/>
    <d v="2023-04-04T03:24:12"/>
    <s v="Pending"/>
    <m/>
    <m/>
    <d v="2023-04-03T03:24:12"/>
    <m/>
    <x v="0"/>
    <m/>
    <m/>
    <m/>
    <m/>
    <m/>
    <m/>
    <s v="C2380"/>
    <s v="Candidate_1380"/>
    <s v="24/03/2023"/>
    <x v="0"/>
    <s v="Referral"/>
    <n v="3"/>
    <m/>
    <x v="0"/>
    <m/>
    <m/>
    <x v="0"/>
    <x v="0"/>
    <m/>
    <x v="1"/>
    <x v="0"/>
  </r>
  <r>
    <n v="1351"/>
    <s v="1351 | Fundraising"/>
    <x v="20"/>
    <x v="6"/>
    <x v="27"/>
    <x v="19"/>
    <s v="Fundraising-Review Associate"/>
    <x v="0"/>
    <d v="2022-07-22T01:19:51"/>
    <x v="814"/>
    <x v="217"/>
    <n v="7"/>
    <d v="2022-08-05T01:19:51"/>
    <s v="Yes"/>
    <d v="2022-08-13T01:19:51"/>
    <x v="0"/>
    <x v="2"/>
    <m/>
    <m/>
    <m/>
    <m/>
    <m/>
    <m/>
    <x v="0"/>
    <m/>
    <m/>
    <m/>
    <m/>
    <s v="Company"/>
    <m/>
    <s v="C2381"/>
    <s v="Candidate_1381"/>
    <s v="08-08-2022"/>
    <x v="2"/>
    <s v="Job Board"/>
    <n v="6"/>
    <m/>
    <x v="0"/>
    <m/>
    <m/>
    <x v="0"/>
    <x v="0"/>
    <m/>
    <x v="1"/>
    <x v="0"/>
  </r>
  <r>
    <n v="1250"/>
    <s v="1250 | Fundraising"/>
    <x v="20"/>
    <x v="6"/>
    <x v="27"/>
    <x v="19"/>
    <s v="Fundraising-Review Associate"/>
    <x v="0"/>
    <d v="2022-06-23T20:09:31"/>
    <x v="815"/>
    <x v="218"/>
    <n v="6"/>
    <d v="2022-07-28T20:09:31"/>
    <s v="Yes"/>
    <d v="2022-07-14T20:09:31"/>
    <x v="3"/>
    <x v="1"/>
    <d v="2022-07-17T20:09:31"/>
    <s v="Accepted"/>
    <d v="2022-07-16T20:09:31"/>
    <d v="2022-07-20T20:09:31"/>
    <d v="2022-07-15T20:09:31"/>
    <d v="2022-07-18T20:09:31"/>
    <x v="1"/>
    <d v="2022-07-20T20:09:31"/>
    <d v="2022-07-21T20:09:31"/>
    <d v="2022-07-24T20:09:31"/>
    <m/>
    <m/>
    <d v="2022-08-01T20:09:31"/>
    <s v="C2382"/>
    <s v="Candidate_1382"/>
    <s v="01/07/2022"/>
    <x v="1"/>
    <s v="Linkedin"/>
    <n v="6"/>
    <m/>
    <x v="0"/>
    <m/>
    <m/>
    <x v="0"/>
    <x v="0"/>
    <m/>
    <x v="133"/>
    <x v="0"/>
  </r>
  <r>
    <n v="1239"/>
    <s v="1239 | Fundraising"/>
    <x v="20"/>
    <x v="6"/>
    <x v="27"/>
    <x v="19"/>
    <s v="Fundraising-Review Associate"/>
    <x v="0"/>
    <d v="2023-02-25T17:29:35"/>
    <x v="785"/>
    <x v="239"/>
    <n v="4"/>
    <d v="2023-03-17T17:29:35"/>
    <s v="Yes"/>
    <d v="2023-03-13T17:29:35"/>
    <x v="0"/>
    <x v="2"/>
    <m/>
    <m/>
    <m/>
    <m/>
    <d v="2023-03-17T17:29:35"/>
    <m/>
    <x v="0"/>
    <m/>
    <m/>
    <m/>
    <m/>
    <s v="Company"/>
    <m/>
    <s v="C2383"/>
    <s v="Candidate_1383"/>
    <s v="25/02/2023"/>
    <x v="2"/>
    <s v="Job Board"/>
    <n v="3"/>
    <m/>
    <x v="0"/>
    <m/>
    <m/>
    <x v="0"/>
    <x v="0"/>
    <m/>
    <x v="1"/>
    <x v="0"/>
  </r>
  <r>
    <n v="1224"/>
    <s v="1224 | Fundraising"/>
    <x v="19"/>
    <x v="6"/>
    <x v="27"/>
    <x v="19"/>
    <s v="Fundraising-Review Associate"/>
    <x v="0"/>
    <d v="2022-06-23T03:24:32"/>
    <x v="816"/>
    <x v="240"/>
    <n v="6"/>
    <d v="2022-07-05T03:24:32"/>
    <s v="Yes"/>
    <d v="2022-07-12T03:24:32"/>
    <x v="1"/>
    <x v="1"/>
    <d v="2022-07-19T03:24:32"/>
    <s v="Declined"/>
    <m/>
    <m/>
    <d v="2022-07-16T03:24:32"/>
    <m/>
    <x v="0"/>
    <m/>
    <m/>
    <m/>
    <m/>
    <m/>
    <m/>
    <s v="C2384"/>
    <s v="Candidate_1384"/>
    <s v="Jul 05 2022"/>
    <x v="0"/>
    <s v="Referral"/>
    <n v="6"/>
    <m/>
    <x v="0"/>
    <m/>
    <m/>
    <x v="0"/>
    <x v="0"/>
    <m/>
    <x v="1"/>
    <x v="0"/>
  </r>
  <r>
    <n v="1210"/>
    <s v="1210 | Fundraising"/>
    <x v="19"/>
    <x v="6"/>
    <x v="27"/>
    <x v="19"/>
    <s v="Fundraising-Review Associate"/>
    <x v="0"/>
    <d v="2022-07-24T04:55:35"/>
    <x v="817"/>
    <x v="219"/>
    <n v="4"/>
    <d v="2022-08-08T04:55:35"/>
    <s v="Yes"/>
    <d v="2022-08-09T04:55:35"/>
    <x v="1"/>
    <x v="1"/>
    <d v="2022-08-14T04:55:35"/>
    <s v="Declined"/>
    <m/>
    <m/>
    <d v="2022-08-10T04:55:35"/>
    <m/>
    <x v="0"/>
    <m/>
    <m/>
    <m/>
    <m/>
    <m/>
    <m/>
    <s v="C2385"/>
    <s v="Candidate_1385"/>
    <s v="26/07/2022"/>
    <x v="2"/>
    <s v="Job Board"/>
    <n v="6"/>
    <m/>
    <x v="0"/>
    <m/>
    <m/>
    <x v="0"/>
    <x v="0"/>
    <m/>
    <x v="1"/>
    <x v="0"/>
  </r>
  <r>
    <n v="1201"/>
    <s v="1201 | Fundraising"/>
    <x v="20"/>
    <x v="6"/>
    <x v="27"/>
    <x v="19"/>
    <s v="Fundraising-Review Associate"/>
    <x v="0"/>
    <d v="2022-07-20T04:55:35"/>
    <x v="767"/>
    <x v="4"/>
    <n v="-44762.205266203702"/>
    <d v="2022-08-07T04:55:35"/>
    <s v="Yes"/>
    <d v="2022-08-09T04:55:35"/>
    <x v="0"/>
    <x v="0"/>
    <m/>
    <m/>
    <m/>
    <m/>
    <d v="2022-08-11T04:55:35"/>
    <m/>
    <x v="0"/>
    <m/>
    <m/>
    <m/>
    <m/>
    <s v="Company"/>
    <m/>
    <s v="C2386"/>
    <s v="Candidate_1386"/>
    <s v="Jul 31 2022"/>
    <x v="0"/>
    <s v="Referral"/>
    <n v="3"/>
    <m/>
    <x v="0"/>
    <m/>
    <m/>
    <x v="0"/>
    <x v="0"/>
    <m/>
    <x v="0"/>
    <x v="0"/>
  </r>
  <r>
    <n v="1194"/>
    <s v="1194 | Fundraising"/>
    <x v="20"/>
    <x v="6"/>
    <x v="27"/>
    <x v="19"/>
    <s v="Fundraising-Review Associate"/>
    <x v="0"/>
    <d v="2022-07-21T23:11:03"/>
    <x v="726"/>
    <x v="220"/>
    <n v="8"/>
    <d v="2022-08-11T23:11:03"/>
    <s v="Yes"/>
    <d v="2022-08-14T23:11:03"/>
    <x v="0"/>
    <x v="3"/>
    <m/>
    <m/>
    <m/>
    <m/>
    <m/>
    <m/>
    <x v="0"/>
    <m/>
    <m/>
    <m/>
    <m/>
    <s v="Company"/>
    <m/>
    <s v="C2387"/>
    <s v="Candidate_1387"/>
    <s v="04/08/2022"/>
    <x v="2"/>
    <s v="Job Board"/>
    <n v="6"/>
    <m/>
    <x v="0"/>
    <m/>
    <m/>
    <x v="0"/>
    <x v="0"/>
    <m/>
    <x v="1"/>
    <x v="0"/>
  </r>
  <r>
    <n v="1171"/>
    <s v="1171 | Fundraising"/>
    <x v="19"/>
    <x v="6"/>
    <x v="27"/>
    <x v="19"/>
    <s v="Fundraising-Review Associate"/>
    <x v="0"/>
    <d v="2023-05-13T01:00:09"/>
    <x v="0"/>
    <x v="221"/>
    <n v="7"/>
    <d v="2023-05-29T01:00:09"/>
    <s v="Yes"/>
    <d v="2023-05-27T01:00:09"/>
    <x v="0"/>
    <x v="3"/>
    <m/>
    <m/>
    <m/>
    <m/>
    <d v="2023-05-31T01:00:09"/>
    <m/>
    <x v="0"/>
    <m/>
    <m/>
    <m/>
    <m/>
    <s v="Company"/>
    <m/>
    <s v="C2388"/>
    <s v="Candidate_1388"/>
    <s v="May 18 2023"/>
    <x v="1"/>
    <s v="Linkedin"/>
    <n v="6"/>
    <m/>
    <x v="0"/>
    <m/>
    <m/>
    <x v="0"/>
    <x v="0"/>
    <m/>
    <x v="0"/>
    <x v="0"/>
  </r>
  <r>
    <n v="2954"/>
    <s v="2954 | Fundraising"/>
    <x v="19"/>
    <x v="6"/>
    <x v="28"/>
    <x v="0"/>
    <s v="Fundraising-Analyst"/>
    <x v="1"/>
    <d v="2023-03-30T15:39:13"/>
    <x v="818"/>
    <x v="255"/>
    <n v="10"/>
    <d v="2023-05-24T15:39:13"/>
    <s v="Yes"/>
    <d v="2023-04-21T15:39:13"/>
    <x v="0"/>
    <x v="2"/>
    <m/>
    <m/>
    <m/>
    <m/>
    <m/>
    <m/>
    <x v="0"/>
    <m/>
    <m/>
    <m/>
    <m/>
    <s v="Company"/>
    <m/>
    <s v="C2389"/>
    <s v="Candidate_1389"/>
    <s v="Apr 12 2023"/>
    <x v="0"/>
    <s v="Referral"/>
    <n v="3"/>
    <m/>
    <x v="0"/>
    <m/>
    <m/>
    <x v="0"/>
    <x v="0"/>
    <m/>
    <x v="1"/>
    <x v="0"/>
  </r>
  <r>
    <n v="2916"/>
    <s v="2916 | Fundraising"/>
    <x v="20"/>
    <x v="6"/>
    <x v="28"/>
    <x v="0"/>
    <s v="Fundraising-Analyst"/>
    <x v="1"/>
    <d v="2022-02-04T19:04:45"/>
    <x v="819"/>
    <x v="256"/>
    <n v="12"/>
    <d v="2022-04-02T19:04:45"/>
    <s v="Yes"/>
    <d v="2022-02-17T19:04:45"/>
    <x v="1"/>
    <x v="1"/>
    <d v="2022-02-19T19:04:45"/>
    <s v="Declined"/>
    <m/>
    <m/>
    <d v="2022-02-18T19:04:45"/>
    <m/>
    <x v="0"/>
    <m/>
    <m/>
    <m/>
    <m/>
    <m/>
    <m/>
    <s v="C2390"/>
    <s v="Candidate_1390"/>
    <s v="03/02/2022"/>
    <x v="2"/>
    <s v="Job Board"/>
    <n v="3"/>
    <m/>
    <x v="0"/>
    <m/>
    <m/>
    <x v="0"/>
    <x v="0"/>
    <m/>
    <x v="1"/>
    <x v="0"/>
  </r>
  <r>
    <n v="2829"/>
    <s v="2829 | Fundraising"/>
    <x v="18"/>
    <x v="6"/>
    <x v="28"/>
    <x v="0"/>
    <s v="Fundraising-Analyst"/>
    <x v="1"/>
    <d v="2022-01-04T01:20:30"/>
    <x v="795"/>
    <x v="207"/>
    <n v="6"/>
    <d v="2022-02-06T01:20:30"/>
    <s v="Yes"/>
    <d v="2022-01-18T01:20:30"/>
    <x v="0"/>
    <x v="0"/>
    <m/>
    <m/>
    <m/>
    <m/>
    <m/>
    <m/>
    <x v="0"/>
    <m/>
    <m/>
    <m/>
    <m/>
    <s v="Candidate"/>
    <m/>
    <s v="C2391"/>
    <s v="Candidate_1391"/>
    <s v="01-05-2022"/>
    <x v="0"/>
    <s v="Referral"/>
    <n v="6"/>
    <m/>
    <x v="0"/>
    <m/>
    <m/>
    <x v="0"/>
    <x v="0"/>
    <m/>
    <x v="1"/>
    <x v="0"/>
  </r>
  <r>
    <n v="2809"/>
    <s v="2809 | Fundraising"/>
    <x v="20"/>
    <x v="6"/>
    <x v="28"/>
    <x v="0"/>
    <s v="Fundraising-Analyst"/>
    <x v="1"/>
    <d v="2023-06-02T18:40:56"/>
    <x v="733"/>
    <x v="4"/>
    <n v="-45079.778425925928"/>
    <d v="2023-06-13T18:40:56"/>
    <s v="Yes"/>
    <d v="2023-06-19T18:40:56"/>
    <x v="1"/>
    <x v="1"/>
    <d v="2023-06-25T18:40:56"/>
    <s v="Declined"/>
    <m/>
    <m/>
    <d v="2023-06-22T18:40:56"/>
    <m/>
    <x v="0"/>
    <m/>
    <m/>
    <m/>
    <m/>
    <m/>
    <m/>
    <s v="C2392"/>
    <s v="Candidate_1392"/>
    <s v="06-08-2023"/>
    <x v="0"/>
    <s v="Referral"/>
    <n v="6"/>
    <m/>
    <x v="0"/>
    <m/>
    <m/>
    <x v="0"/>
    <x v="0"/>
    <m/>
    <x v="0"/>
    <x v="0"/>
  </r>
  <r>
    <n v="2802"/>
    <s v="2802 | Fundraising"/>
    <x v="20"/>
    <x v="6"/>
    <x v="28"/>
    <x v="0"/>
    <s v="Fundraising-Analyst"/>
    <x v="1"/>
    <d v="2023-05-31T18:40:56"/>
    <x v="820"/>
    <x v="208"/>
    <n v="8"/>
    <d v="2023-06-18T18:40:56"/>
    <s v="Yes"/>
    <d v="2023-06-18T18:40:56"/>
    <x v="0"/>
    <x v="5"/>
    <m/>
    <m/>
    <m/>
    <m/>
    <m/>
    <m/>
    <x v="0"/>
    <m/>
    <m/>
    <m/>
    <m/>
    <s v="Company"/>
    <m/>
    <s v="C2393"/>
    <s v="Candidate_1393"/>
    <s v="Jun 13 2023"/>
    <x v="2"/>
    <s v="Job Board"/>
    <n v="3"/>
    <m/>
    <x v="0"/>
    <m/>
    <m/>
    <x v="0"/>
    <x v="0"/>
    <m/>
    <x v="1"/>
    <x v="0"/>
  </r>
  <r>
    <n v="2800"/>
    <s v="2800 | Fundraising"/>
    <x v="18"/>
    <x v="6"/>
    <x v="28"/>
    <x v="0"/>
    <s v="Fundraising-Analyst"/>
    <x v="1"/>
    <d v="2023-06-30T20:01:36"/>
    <x v="799"/>
    <x v="228"/>
    <n v="2"/>
    <d v="2023-07-08T20:01:36"/>
    <s v="Yes"/>
    <d v="2023-07-15T20:01:36"/>
    <x v="0"/>
    <x v="2"/>
    <m/>
    <m/>
    <m/>
    <m/>
    <d v="2023-07-19T20:01:36"/>
    <m/>
    <x v="0"/>
    <m/>
    <m/>
    <m/>
    <m/>
    <s v="Company"/>
    <m/>
    <s v="C2394"/>
    <s v="Candidate_1394"/>
    <s v="29/06/2023"/>
    <x v="0"/>
    <s v="Referral"/>
    <n v="6"/>
    <m/>
    <x v="0"/>
    <m/>
    <m/>
    <x v="0"/>
    <x v="0"/>
    <m/>
    <x v="1"/>
    <x v="0"/>
  </r>
  <r>
    <n v="2710"/>
    <s v="2710 | Fundraising"/>
    <x v="19"/>
    <x v="6"/>
    <x v="28"/>
    <x v="0"/>
    <s v="Fundraising-Analyst"/>
    <x v="1"/>
    <d v="2022-09-24T11:53:56"/>
    <x v="821"/>
    <x v="254"/>
    <n v="9"/>
    <d v="2022-10-19T11:53:56"/>
    <s v="Yes"/>
    <d v="2022-10-08T11:53:56"/>
    <x v="1"/>
    <x v="1"/>
    <d v="2022-10-11T11:53:56"/>
    <s v="Declined"/>
    <m/>
    <m/>
    <d v="2022-10-09T11:53:56"/>
    <m/>
    <x v="0"/>
    <m/>
    <m/>
    <m/>
    <m/>
    <m/>
    <m/>
    <s v="C2395"/>
    <s v="Candidate_1395"/>
    <s v="09-28-2022"/>
    <x v="2"/>
    <s v="Job Board"/>
    <n v="3"/>
    <m/>
    <x v="0"/>
    <m/>
    <m/>
    <x v="0"/>
    <x v="0"/>
    <m/>
    <x v="1"/>
    <x v="0"/>
  </r>
  <r>
    <n v="2708"/>
    <s v="2708 | Fundraising"/>
    <x v="20"/>
    <x v="6"/>
    <x v="28"/>
    <x v="0"/>
    <s v="Fundraising-Analyst"/>
    <x v="1"/>
    <d v="2022-09-29T11:53:56"/>
    <x v="822"/>
    <x v="254"/>
    <n v="4"/>
    <d v="2022-10-23T11:53:56"/>
    <s v="Yes"/>
    <d v="2022-10-10T11:53:56"/>
    <x v="0"/>
    <x v="5"/>
    <m/>
    <m/>
    <m/>
    <m/>
    <m/>
    <m/>
    <x v="0"/>
    <m/>
    <m/>
    <m/>
    <m/>
    <s v="Company"/>
    <m/>
    <s v="C2396"/>
    <s v="Candidate_1396"/>
    <s v="Oct 01 2022"/>
    <x v="2"/>
    <s v="Job Board"/>
    <n v="3"/>
    <m/>
    <x v="0"/>
    <m/>
    <m/>
    <x v="0"/>
    <x v="0"/>
    <m/>
    <x v="1"/>
    <x v="0"/>
  </r>
  <r>
    <n v="2706"/>
    <s v="2706 | Fundraising"/>
    <x v="20"/>
    <x v="6"/>
    <x v="28"/>
    <x v="0"/>
    <s v="Fundraising-Analyst"/>
    <x v="1"/>
    <d v="2022-09-25T11:53:56"/>
    <x v="823"/>
    <x v="254"/>
    <n v="8"/>
    <d v="2022-10-18T11:53:56"/>
    <s v="Yes"/>
    <d v="2022-10-16T11:53:56"/>
    <x v="0"/>
    <x v="3"/>
    <m/>
    <m/>
    <m/>
    <m/>
    <d v="2022-10-20T11:53:56"/>
    <m/>
    <x v="0"/>
    <m/>
    <m/>
    <m/>
    <m/>
    <s v="Candidate"/>
    <m/>
    <s v="C2397"/>
    <s v="Candidate_1397"/>
    <s v="27/09/2022"/>
    <x v="0"/>
    <s v="Referral"/>
    <n v="3"/>
    <m/>
    <x v="0"/>
    <m/>
    <m/>
    <x v="0"/>
    <x v="0"/>
    <m/>
    <x v="1"/>
    <x v="0"/>
  </r>
  <r>
    <n v="2621"/>
    <s v="2621 | Fundraising"/>
    <x v="18"/>
    <x v="6"/>
    <x v="28"/>
    <x v="0"/>
    <s v="Fundraising-Analyst"/>
    <x v="1"/>
    <d v="2023-06-23T16:02:26"/>
    <x v="739"/>
    <x v="210"/>
    <n v="2"/>
    <d v="2023-07-06T16:02:26"/>
    <s v="Yes"/>
    <d v="2023-07-11T16:02:26"/>
    <x v="0"/>
    <x v="0"/>
    <m/>
    <m/>
    <m/>
    <m/>
    <d v="2023-07-12T16:02:26"/>
    <m/>
    <x v="0"/>
    <m/>
    <m/>
    <m/>
    <m/>
    <s v="Candidate"/>
    <m/>
    <s v="C2398"/>
    <s v="Candidate_1398"/>
    <s v="26/06/2023"/>
    <x v="0"/>
    <s v="Referral"/>
    <n v="3"/>
    <m/>
    <x v="0"/>
    <m/>
    <m/>
    <x v="0"/>
    <x v="0"/>
    <m/>
    <x v="1"/>
    <x v="0"/>
  </r>
  <r>
    <n v="2599"/>
    <s v="2599 | Fundraising"/>
    <x v="19"/>
    <x v="6"/>
    <x v="28"/>
    <x v="0"/>
    <s v="Fundraising-Analyst"/>
    <x v="1"/>
    <m/>
    <x v="742"/>
    <x v="232"/>
    <n v="44952.403136574067"/>
    <d v="2023-02-13T09:40:31"/>
    <s v="Yes"/>
    <d v="2023-02-05T09:40:31"/>
    <x v="0"/>
    <x v="3"/>
    <m/>
    <m/>
    <m/>
    <m/>
    <d v="2023-02-08T09:40:31"/>
    <m/>
    <x v="0"/>
    <m/>
    <m/>
    <m/>
    <m/>
    <s v="Candidate"/>
    <m/>
    <s v="C2399"/>
    <s v="Candidate_1399"/>
    <s v="Jan 29 2023"/>
    <x v="2"/>
    <s v="Job Board"/>
    <n v="3"/>
    <m/>
    <x v="0"/>
    <m/>
    <m/>
    <x v="0"/>
    <x v="0"/>
    <m/>
    <x v="0"/>
    <x v="0"/>
  </r>
  <r>
    <n v="2596"/>
    <s v="2596 | Fundraising"/>
    <x v="18"/>
    <x v="6"/>
    <x v="28"/>
    <x v="0"/>
    <s v="Fundraising-Analyst"/>
    <x v="1"/>
    <m/>
    <x v="0"/>
    <x v="232"/>
    <n v="44952.403136574067"/>
    <d v="2023-02-19T09:40:31"/>
    <s v="Yes"/>
    <d v="2023-02-05T09:40:31"/>
    <x v="0"/>
    <x v="4"/>
    <m/>
    <m/>
    <m/>
    <m/>
    <m/>
    <m/>
    <x v="0"/>
    <m/>
    <m/>
    <m/>
    <m/>
    <s v="Candidate"/>
    <m/>
    <s v="C2400"/>
    <s v="Candidate_1400"/>
    <s v="27/01/2023"/>
    <x v="1"/>
    <s v="Linkedin"/>
    <n v="3"/>
    <m/>
    <x v="0"/>
    <m/>
    <m/>
    <x v="0"/>
    <x v="0"/>
    <m/>
    <x v="0"/>
    <x v="0"/>
  </r>
  <r>
    <n v="2594"/>
    <s v="2594 | Fundraising"/>
    <x v="18"/>
    <x v="6"/>
    <x v="28"/>
    <x v="0"/>
    <s v="Fundraising-Analyst"/>
    <x v="1"/>
    <d v="2023-01-20T09:40:31"/>
    <x v="742"/>
    <x v="4"/>
    <n v="-44946.403136574067"/>
    <d v="2023-02-18T09:40:31"/>
    <s v="Yes"/>
    <d v="2023-02-02T09:40:31"/>
    <x v="0"/>
    <x v="4"/>
    <m/>
    <m/>
    <m/>
    <m/>
    <m/>
    <m/>
    <x v="0"/>
    <m/>
    <m/>
    <m/>
    <m/>
    <s v="Candidate"/>
    <m/>
    <s v="C2401"/>
    <s v="Candidate_1401"/>
    <s v="01-25-2023"/>
    <x v="2"/>
    <s v="Job Board"/>
    <n v="6"/>
    <m/>
    <x v="0"/>
    <m/>
    <m/>
    <x v="0"/>
    <x v="0"/>
    <m/>
    <x v="0"/>
    <x v="0"/>
  </r>
  <r>
    <n v="2490"/>
    <s v="2490 | Fundraising"/>
    <x v="20"/>
    <x v="6"/>
    <x v="28"/>
    <x v="0"/>
    <s v="Fundraising-Analyst"/>
    <x v="1"/>
    <d v="2023-02-14T21:37:50"/>
    <x v="713"/>
    <x v="211"/>
    <n v="6"/>
    <d v="2023-03-15T21:37:50"/>
    <s v="Yes"/>
    <d v="2023-03-06T21:37:50"/>
    <x v="0"/>
    <x v="0"/>
    <m/>
    <m/>
    <m/>
    <m/>
    <m/>
    <m/>
    <x v="0"/>
    <m/>
    <m/>
    <m/>
    <m/>
    <s v="Candidate"/>
    <m/>
    <s v="C2402"/>
    <s v="Candidate_1402"/>
    <s v="21/02/2023"/>
    <x v="0"/>
    <s v="Referral"/>
    <n v="6"/>
    <m/>
    <x v="0"/>
    <m/>
    <m/>
    <x v="0"/>
    <x v="0"/>
    <m/>
    <x v="1"/>
    <x v="0"/>
  </r>
  <r>
    <n v="2423"/>
    <s v="2423 | Fundraising"/>
    <x v="19"/>
    <x v="6"/>
    <x v="28"/>
    <x v="0"/>
    <s v="Fundraising-Analyst"/>
    <x v="1"/>
    <d v="2022-10-02T06:07:20"/>
    <x v="824"/>
    <x v="234"/>
    <n v="5"/>
    <d v="2022-10-22T06:07:20"/>
    <s v="Yes"/>
    <d v="2022-10-13T06:07:20"/>
    <x v="1"/>
    <x v="1"/>
    <d v="2022-10-18T06:07:20"/>
    <s v="Declined"/>
    <m/>
    <m/>
    <d v="2022-10-16T06:07:20"/>
    <m/>
    <x v="0"/>
    <m/>
    <m/>
    <m/>
    <m/>
    <m/>
    <m/>
    <s v="C2403"/>
    <s v="Candidate_1403"/>
    <s v="Oct 04 2022"/>
    <x v="0"/>
    <s v="Referral"/>
    <n v="3"/>
    <m/>
    <x v="0"/>
    <m/>
    <m/>
    <x v="0"/>
    <x v="0"/>
    <m/>
    <x v="1"/>
    <x v="0"/>
  </r>
  <r>
    <n v="2104"/>
    <s v="2104 | Fundraising"/>
    <x v="19"/>
    <x v="6"/>
    <x v="28"/>
    <x v="0"/>
    <s v="Fundraising-Analyst"/>
    <x v="1"/>
    <d v="2022-05-03T00:32:09"/>
    <x v="808"/>
    <x v="245"/>
    <n v="8"/>
    <d v="2022-05-30T00:32:09"/>
    <s v="Yes"/>
    <d v="2022-05-22T00:32:09"/>
    <x v="1"/>
    <x v="1"/>
    <d v="2022-05-30T00:32:09"/>
    <s v="Declined"/>
    <m/>
    <m/>
    <d v="2022-05-26T00:32:09"/>
    <m/>
    <x v="0"/>
    <m/>
    <m/>
    <m/>
    <m/>
    <m/>
    <m/>
    <s v="C2404"/>
    <s v="Candidate_1404"/>
    <s v="May 16 2022"/>
    <x v="2"/>
    <s v="Job Board"/>
    <n v="3"/>
    <m/>
    <x v="0"/>
    <m/>
    <m/>
    <x v="0"/>
    <x v="0"/>
    <m/>
    <x v="1"/>
    <x v="0"/>
  </r>
  <r>
    <n v="2098"/>
    <s v="2098 | Fundraising"/>
    <x v="18"/>
    <x v="6"/>
    <x v="28"/>
    <x v="0"/>
    <s v="Fundraising-Analyst"/>
    <x v="1"/>
    <d v="2022-10-24T23:41:59"/>
    <x v="825"/>
    <x v="246"/>
    <n v="6"/>
    <d v="2022-11-13T23:41:59"/>
    <s v="Yes"/>
    <d v="2022-11-13T23:41:59"/>
    <x v="0"/>
    <x v="4"/>
    <m/>
    <m/>
    <m/>
    <m/>
    <m/>
    <m/>
    <x v="0"/>
    <m/>
    <m/>
    <m/>
    <m/>
    <s v="Candidate"/>
    <m/>
    <s v="C2405"/>
    <s v="Candidate_1405"/>
    <s v="Oct 29 2022"/>
    <x v="1"/>
    <s v="Linkedin"/>
    <n v="3"/>
    <m/>
    <x v="0"/>
    <m/>
    <m/>
    <x v="0"/>
    <x v="0"/>
    <m/>
    <x v="1"/>
    <x v="0"/>
  </r>
  <r>
    <n v="2091"/>
    <s v="2091 | Fundraising"/>
    <x v="19"/>
    <x v="6"/>
    <x v="28"/>
    <x v="0"/>
    <s v="Fundraising-Analyst"/>
    <x v="1"/>
    <d v="2022-10-26T23:41:59"/>
    <x v="826"/>
    <x v="246"/>
    <n v="4"/>
    <d v="2022-11-11T23:41:59"/>
    <s v="Yes"/>
    <d v="2022-11-07T23:41:59"/>
    <x v="0"/>
    <x v="0"/>
    <m/>
    <m/>
    <m/>
    <m/>
    <m/>
    <m/>
    <x v="0"/>
    <m/>
    <m/>
    <m/>
    <m/>
    <s v="Candidate"/>
    <m/>
    <s v="C2406"/>
    <s v="Candidate_1406"/>
    <s v="10-28-2022"/>
    <x v="0"/>
    <s v="Referral"/>
    <n v="3"/>
    <m/>
    <x v="0"/>
    <m/>
    <m/>
    <x v="0"/>
    <x v="0"/>
    <m/>
    <x v="1"/>
    <x v="0"/>
  </r>
  <r>
    <n v="2032"/>
    <s v="2032 | Fundraising"/>
    <x v="20"/>
    <x v="6"/>
    <x v="28"/>
    <x v="0"/>
    <s v="Fundraising-Analyst"/>
    <x v="1"/>
    <d v="2022-03-28T20:40:01"/>
    <x v="827"/>
    <x v="236"/>
    <n v="4"/>
    <d v="2022-04-13T20:40:01"/>
    <s v="Yes"/>
    <d v="2022-04-16T20:40:01"/>
    <x v="0"/>
    <x v="3"/>
    <m/>
    <m/>
    <m/>
    <m/>
    <d v="2022-04-18T20:40:01"/>
    <m/>
    <x v="0"/>
    <m/>
    <m/>
    <m/>
    <m/>
    <s v="Candidate"/>
    <m/>
    <s v="C2407"/>
    <s v="Candidate_1407"/>
    <s v="Apr 03 2022"/>
    <x v="2"/>
    <s v="Job Board"/>
    <n v="3"/>
    <m/>
    <x v="0"/>
    <m/>
    <m/>
    <x v="0"/>
    <x v="0"/>
    <m/>
    <x v="1"/>
    <x v="0"/>
  </r>
  <r>
    <n v="2031"/>
    <s v="2031 | Fundraising"/>
    <x v="20"/>
    <x v="6"/>
    <x v="28"/>
    <x v="0"/>
    <s v="Fundraising-Analyst"/>
    <x v="1"/>
    <m/>
    <x v="828"/>
    <x v="236"/>
    <n v="44652.861122685194"/>
    <d v="2022-04-08T20:40:01"/>
    <s v="Yes"/>
    <d v="2022-04-06T20:40:01"/>
    <x v="4"/>
    <x v="1"/>
    <d v="2022-04-11T20:40:01"/>
    <s v="Pending"/>
    <m/>
    <m/>
    <d v="2022-04-07T20:40:01"/>
    <m/>
    <x v="0"/>
    <m/>
    <m/>
    <m/>
    <m/>
    <m/>
    <m/>
    <s v="C2408"/>
    <s v="Candidate_1408"/>
    <s v="03-18-2022"/>
    <x v="0"/>
    <s v="Referral"/>
    <n v="3"/>
    <m/>
    <x v="0"/>
    <m/>
    <m/>
    <x v="0"/>
    <x v="0"/>
    <m/>
    <x v="0"/>
    <x v="0"/>
  </r>
  <r>
    <n v="1934"/>
    <s v="1934 | Fundraising"/>
    <x v="18"/>
    <x v="6"/>
    <x v="28"/>
    <x v="13"/>
    <s v="Fundraising-Auditor"/>
    <x v="1"/>
    <d v="2023-09-08T07:20:47"/>
    <x v="829"/>
    <x v="237"/>
    <n v="7"/>
    <d v="2023-10-02T07:20:47"/>
    <s v="Yes"/>
    <d v="2023-09-25T07:20:47"/>
    <x v="1"/>
    <x v="1"/>
    <d v="2023-09-30T07:20:47"/>
    <s v="Declined"/>
    <m/>
    <m/>
    <d v="2023-09-29T07:20:47"/>
    <m/>
    <x v="0"/>
    <m/>
    <m/>
    <m/>
    <m/>
    <m/>
    <m/>
    <s v="C2409"/>
    <s v="Candidate_1409"/>
    <s v="Sep 10 2023"/>
    <x v="1"/>
    <s v="Linkedin"/>
    <n v="3"/>
    <m/>
    <x v="0"/>
    <m/>
    <m/>
    <x v="0"/>
    <x v="0"/>
    <m/>
    <x v="1"/>
    <x v="0"/>
  </r>
  <r>
    <n v="1878"/>
    <s v="1878 | Fundraising"/>
    <x v="19"/>
    <x v="6"/>
    <x v="28"/>
    <x v="13"/>
    <s v="Fundraising-Auditor"/>
    <x v="1"/>
    <d v="2022-01-18T17:35:29"/>
    <x v="830"/>
    <x v="212"/>
    <n v="2"/>
    <d v="2022-01-29T17:35:29"/>
    <s v="Yes"/>
    <d v="2022-02-02T17:35:29"/>
    <x v="0"/>
    <x v="5"/>
    <m/>
    <m/>
    <m/>
    <m/>
    <m/>
    <m/>
    <x v="0"/>
    <m/>
    <m/>
    <m/>
    <m/>
    <s v="Company"/>
    <m/>
    <s v="C2410"/>
    <s v="Candidate_1410"/>
    <s v="16/01/2022"/>
    <x v="2"/>
    <s v="Job Board"/>
    <n v="3"/>
    <m/>
    <x v="0"/>
    <m/>
    <m/>
    <x v="0"/>
    <x v="0"/>
    <m/>
    <x v="1"/>
    <x v="0"/>
  </r>
  <r>
    <n v="1715"/>
    <s v="1715 | Fundraising"/>
    <x v="19"/>
    <x v="6"/>
    <x v="28"/>
    <x v="13"/>
    <s v="Fundraising-Auditor"/>
    <x v="1"/>
    <d v="2022-01-02T01:51:52"/>
    <x v="754"/>
    <x v="238"/>
    <n v="5"/>
    <d v="2022-02-02T01:51:52"/>
    <s v="Yes"/>
    <d v="2022-01-11T01:51:52"/>
    <x v="0"/>
    <x v="0"/>
    <m/>
    <m/>
    <m/>
    <m/>
    <d v="2022-01-13T01:51:52"/>
    <m/>
    <x v="0"/>
    <m/>
    <m/>
    <m/>
    <m/>
    <s v="Company"/>
    <m/>
    <s v="C2411"/>
    <s v="Candidate_1411"/>
    <s v="30/12/2021"/>
    <x v="1"/>
    <s v="Linkedin"/>
    <n v="3"/>
    <m/>
    <x v="0"/>
    <m/>
    <m/>
    <x v="0"/>
    <x v="0"/>
    <m/>
    <x v="1"/>
    <x v="0"/>
  </r>
  <r>
    <n v="1696"/>
    <s v="1696 | Fundraising"/>
    <x v="19"/>
    <x v="6"/>
    <x v="28"/>
    <x v="13"/>
    <s v="Fundraising-Auditor"/>
    <x v="1"/>
    <d v="2023-02-28T18:21:09"/>
    <x v="831"/>
    <x v="213"/>
    <n v="4"/>
    <d v="2023-03-12T18:21:09"/>
    <s v="Yes"/>
    <d v="2023-03-20T18:21:09"/>
    <x v="0"/>
    <x v="0"/>
    <m/>
    <m/>
    <m/>
    <m/>
    <m/>
    <m/>
    <x v="0"/>
    <m/>
    <m/>
    <m/>
    <m/>
    <s v="Candidate"/>
    <m/>
    <s v="C2412"/>
    <s v="Candidate_1412"/>
    <s v="03-11-2023"/>
    <x v="2"/>
    <s v="Job Board"/>
    <n v="3"/>
    <m/>
    <x v="0"/>
    <m/>
    <m/>
    <x v="0"/>
    <x v="0"/>
    <m/>
    <x v="1"/>
    <x v="0"/>
  </r>
  <r>
    <n v="1695"/>
    <s v="1695 | Fundraising"/>
    <x v="18"/>
    <x v="6"/>
    <x v="28"/>
    <x v="13"/>
    <s v="Fundraising-Auditor"/>
    <x v="1"/>
    <d v="2023-02-24T18:21:09"/>
    <x v="716"/>
    <x v="213"/>
    <n v="8"/>
    <d v="2023-03-24T18:21:09"/>
    <s v="Yes"/>
    <d v="2023-03-16T18:21:09"/>
    <x v="0"/>
    <x v="2"/>
    <m/>
    <m/>
    <m/>
    <m/>
    <m/>
    <m/>
    <x v="0"/>
    <m/>
    <m/>
    <m/>
    <m/>
    <s v="Candidate"/>
    <m/>
    <s v="C2413"/>
    <s v="Candidate_1413"/>
    <s v="02/03/2023"/>
    <x v="1"/>
    <s v="Linkedin"/>
    <n v="6"/>
    <m/>
    <x v="0"/>
    <m/>
    <m/>
    <x v="0"/>
    <x v="0"/>
    <m/>
    <x v="1"/>
    <x v="0"/>
  </r>
  <r>
    <n v="1555"/>
    <s v="1555 | Fundraising"/>
    <x v="20"/>
    <x v="6"/>
    <x v="28"/>
    <x v="13"/>
    <s v="Fundraising-Auditor"/>
    <x v="1"/>
    <m/>
    <x v="832"/>
    <x v="214"/>
    <n v="44907.597222222219"/>
    <d v="2022-12-21T14:20:00"/>
    <s v="Yes"/>
    <d v="2022-12-18T14:20:00"/>
    <x v="0"/>
    <x v="0"/>
    <m/>
    <m/>
    <m/>
    <m/>
    <d v="2022-12-20T14:20:00"/>
    <m/>
    <x v="0"/>
    <m/>
    <m/>
    <m/>
    <m/>
    <s v="Company"/>
    <m/>
    <s v="C2414"/>
    <s v="Candidate_1414"/>
    <s v="Dec 03 2022"/>
    <x v="1"/>
    <s v="Linkedin"/>
    <n v="3"/>
    <m/>
    <x v="0"/>
    <m/>
    <m/>
    <x v="0"/>
    <x v="0"/>
    <m/>
    <x v="0"/>
    <x v="0"/>
  </r>
  <r>
    <n v="1358"/>
    <s v="1358 | Fundraising"/>
    <x v="20"/>
    <x v="6"/>
    <x v="28"/>
    <x v="13"/>
    <s v="Fundraising-Auditor"/>
    <x v="1"/>
    <m/>
    <x v="833"/>
    <x v="217"/>
    <n v="44771.055451388893"/>
    <d v="2022-08-03T01:19:51"/>
    <s v="Yes"/>
    <d v="2022-08-13T01:19:51"/>
    <x v="0"/>
    <x v="2"/>
    <m/>
    <m/>
    <m/>
    <m/>
    <d v="2022-08-15T01:19:51"/>
    <m/>
    <x v="0"/>
    <m/>
    <m/>
    <m/>
    <m/>
    <s v="Company"/>
    <m/>
    <s v="C2415"/>
    <s v="Candidate_1415"/>
    <s v="08-06-2022"/>
    <x v="1"/>
    <s v="Linkedin"/>
    <n v="6"/>
    <m/>
    <x v="0"/>
    <m/>
    <m/>
    <x v="0"/>
    <x v="0"/>
    <m/>
    <x v="0"/>
    <x v="0"/>
  </r>
  <r>
    <n v="1356"/>
    <s v="1356 | Fundraising"/>
    <x v="20"/>
    <x v="6"/>
    <x v="28"/>
    <x v="13"/>
    <s v="Fundraising-Auditor"/>
    <x v="1"/>
    <d v="2022-07-26T01:19:51"/>
    <x v="721"/>
    <x v="217"/>
    <n v="3"/>
    <d v="2022-08-23T01:19:51"/>
    <s v="Yes"/>
    <d v="2022-08-06T01:19:51"/>
    <x v="0"/>
    <x v="3"/>
    <m/>
    <m/>
    <m/>
    <m/>
    <m/>
    <m/>
    <x v="0"/>
    <m/>
    <m/>
    <m/>
    <m/>
    <s v="Company"/>
    <m/>
    <s v="C2416"/>
    <s v="Candidate_1416"/>
    <s v="Jul 18 2022"/>
    <x v="0"/>
    <s v="Referral"/>
    <n v="3"/>
    <m/>
    <x v="0"/>
    <m/>
    <m/>
    <x v="0"/>
    <x v="0"/>
    <m/>
    <x v="1"/>
    <x v="0"/>
  </r>
  <r>
    <n v="1355"/>
    <s v="1355 | Fundraising"/>
    <x v="20"/>
    <x v="6"/>
    <x v="28"/>
    <x v="13"/>
    <s v="Fundraising-Auditor"/>
    <x v="1"/>
    <d v="2022-07-24T01:19:51"/>
    <x v="722"/>
    <x v="217"/>
    <n v="5"/>
    <d v="2022-08-07T01:19:51"/>
    <s v="Yes"/>
    <d v="2022-08-01T01:19:51"/>
    <x v="0"/>
    <x v="4"/>
    <m/>
    <m/>
    <m/>
    <m/>
    <d v="2022-08-02T01:19:51"/>
    <m/>
    <x v="0"/>
    <m/>
    <m/>
    <m/>
    <m/>
    <s v="Company"/>
    <m/>
    <s v="C2417"/>
    <s v="Candidate_1417"/>
    <s v="Jul 23 2022"/>
    <x v="1"/>
    <s v="Linkedin"/>
    <n v="3"/>
    <m/>
    <x v="0"/>
    <m/>
    <m/>
    <x v="0"/>
    <x v="0"/>
    <m/>
    <x v="1"/>
    <x v="0"/>
  </r>
  <r>
    <n v="1249"/>
    <s v="1249 | Fundraising"/>
    <x v="20"/>
    <x v="6"/>
    <x v="28"/>
    <x v="13"/>
    <s v="Fundraising-Auditor"/>
    <x v="1"/>
    <d v="2022-06-23T20:09:31"/>
    <x v="834"/>
    <x v="218"/>
    <n v="6"/>
    <d v="2022-07-05T20:09:31"/>
    <s v="Yes"/>
    <d v="2022-07-16T20:09:31"/>
    <x v="0"/>
    <x v="4"/>
    <m/>
    <m/>
    <m/>
    <m/>
    <d v="2022-07-20T20:09:31"/>
    <m/>
    <x v="0"/>
    <m/>
    <m/>
    <m/>
    <m/>
    <s v="Company"/>
    <m/>
    <s v="C2418"/>
    <s v="Candidate_1418"/>
    <s v="07-02-2022"/>
    <x v="1"/>
    <s v="Linkedin"/>
    <n v="3"/>
    <m/>
    <x v="0"/>
    <m/>
    <m/>
    <x v="0"/>
    <x v="0"/>
    <m/>
    <x v="1"/>
    <x v="0"/>
  </r>
  <r>
    <n v="1248"/>
    <s v="1248 | Fundraising"/>
    <x v="20"/>
    <x v="6"/>
    <x v="28"/>
    <x v="13"/>
    <s v="Fundraising-Auditor"/>
    <x v="1"/>
    <d v="2022-06-26T20:09:31"/>
    <x v="761"/>
    <x v="218"/>
    <n v="3"/>
    <d v="2022-07-21T20:09:31"/>
    <s v="Yes"/>
    <d v="2022-07-15T20:09:31"/>
    <x v="1"/>
    <x v="1"/>
    <d v="2022-07-20T20:09:31"/>
    <s v="Declined"/>
    <m/>
    <m/>
    <d v="2022-07-16T20:09:31"/>
    <m/>
    <x v="0"/>
    <m/>
    <m/>
    <m/>
    <m/>
    <m/>
    <m/>
    <s v="C2419"/>
    <s v="Candidate_1419"/>
    <s v="06-27-2022"/>
    <x v="1"/>
    <s v="Linkedin"/>
    <n v="3"/>
    <m/>
    <x v="0"/>
    <m/>
    <m/>
    <x v="0"/>
    <x v="0"/>
    <m/>
    <x v="1"/>
    <x v="0"/>
  </r>
  <r>
    <n v="1221"/>
    <s v="1221 | Fundraising"/>
    <x v="20"/>
    <x v="6"/>
    <x v="28"/>
    <x v="13"/>
    <s v="Fundraising-Auditor"/>
    <x v="1"/>
    <d v="2022-06-23T03:24:32"/>
    <x v="765"/>
    <x v="240"/>
    <n v="6"/>
    <d v="2022-07-04T03:24:32"/>
    <s v="Yes"/>
    <d v="2022-07-11T03:24:32"/>
    <x v="0"/>
    <x v="3"/>
    <m/>
    <m/>
    <m/>
    <m/>
    <d v="2022-07-13T03:24:32"/>
    <m/>
    <x v="0"/>
    <m/>
    <m/>
    <m/>
    <m/>
    <s v="Candidate"/>
    <m/>
    <s v="C2420"/>
    <s v="Candidate_1420"/>
    <s v="04/07/2022"/>
    <x v="0"/>
    <s v="Referral"/>
    <n v="6"/>
    <m/>
    <x v="0"/>
    <m/>
    <m/>
    <x v="0"/>
    <x v="0"/>
    <m/>
    <x v="1"/>
    <x v="0"/>
  </r>
  <r>
    <n v="1204"/>
    <s v="1204 | Fundraising"/>
    <x v="20"/>
    <x v="6"/>
    <x v="28"/>
    <x v="13"/>
    <s v="Fundraising-Auditor"/>
    <x v="1"/>
    <d v="2022-07-26T04:55:35"/>
    <x v="724"/>
    <x v="219"/>
    <n v="2"/>
    <d v="2022-08-23T04:55:35"/>
    <s v="Yes"/>
    <d v="2022-08-11T04:55:35"/>
    <x v="0"/>
    <x v="0"/>
    <m/>
    <m/>
    <m/>
    <m/>
    <m/>
    <m/>
    <x v="0"/>
    <m/>
    <m/>
    <m/>
    <m/>
    <s v="Company"/>
    <m/>
    <s v="C2421"/>
    <s v="Candidate_1421"/>
    <s v="08-06-2022"/>
    <x v="1"/>
    <s v="Linkedin"/>
    <n v="3"/>
    <m/>
    <x v="0"/>
    <m/>
    <m/>
    <x v="0"/>
    <x v="0"/>
    <m/>
    <x v="1"/>
    <x v="0"/>
  </r>
  <r>
    <n v="1195"/>
    <s v="1195 | Fundraising"/>
    <x v="20"/>
    <x v="6"/>
    <x v="28"/>
    <x v="13"/>
    <s v="Fundraising-Auditor"/>
    <x v="1"/>
    <m/>
    <x v="0"/>
    <x v="220"/>
    <n v="44771.966006944444"/>
    <d v="2022-08-03T23:11:03"/>
    <s v="Yes"/>
    <d v="2022-08-07T23:11:03"/>
    <x v="0"/>
    <x v="2"/>
    <m/>
    <m/>
    <m/>
    <m/>
    <d v="2022-08-10T23:11:03"/>
    <m/>
    <x v="0"/>
    <m/>
    <m/>
    <m/>
    <m/>
    <s v="Candidate"/>
    <m/>
    <s v="C2422"/>
    <s v="Candidate_1422"/>
    <s v="19/07/2022"/>
    <x v="1"/>
    <s v="Linkedin"/>
    <n v="6"/>
    <m/>
    <x v="0"/>
    <m/>
    <m/>
    <x v="0"/>
    <x v="0"/>
    <m/>
    <x v="0"/>
    <x v="0"/>
  </r>
  <r>
    <n v="1180"/>
    <s v="1180 | Fundraising"/>
    <x v="20"/>
    <x v="6"/>
    <x v="28"/>
    <x v="13"/>
    <s v="Fundraising-Auditor"/>
    <x v="1"/>
    <d v="2023-05-16T01:00:09"/>
    <x v="835"/>
    <x v="221"/>
    <n v="4"/>
    <d v="2023-06-01T01:00:09"/>
    <s v="Yes"/>
    <d v="2023-05-30T01:00:09"/>
    <x v="4"/>
    <x v="1"/>
    <d v="2023-06-01T01:00:09"/>
    <s v="Pending"/>
    <m/>
    <m/>
    <d v="2023-05-31T01:00:09"/>
    <m/>
    <x v="0"/>
    <m/>
    <m/>
    <m/>
    <m/>
    <m/>
    <m/>
    <s v="C2423"/>
    <s v="Candidate_1423"/>
    <s v="May 20 2023"/>
    <x v="2"/>
    <s v="Job Board"/>
    <n v="6"/>
    <m/>
    <x v="0"/>
    <m/>
    <m/>
    <x v="0"/>
    <x v="0"/>
    <m/>
    <x v="1"/>
    <x v="0"/>
  </r>
  <r>
    <n v="1173"/>
    <s v="1173 | Fundraising"/>
    <x v="19"/>
    <x v="6"/>
    <x v="28"/>
    <x v="13"/>
    <s v="Fundraising-Auditor"/>
    <x v="1"/>
    <d v="2023-05-11T01:00:09"/>
    <x v="836"/>
    <x v="221"/>
    <n v="9"/>
    <d v="2023-06-15T01:00:09"/>
    <s v="Yes"/>
    <d v="2023-06-06T01:00:09"/>
    <x v="1"/>
    <x v="1"/>
    <d v="2023-06-09T01:00:09"/>
    <s v="Declined"/>
    <m/>
    <m/>
    <d v="2023-06-08T01:00:09"/>
    <m/>
    <x v="0"/>
    <m/>
    <m/>
    <m/>
    <m/>
    <m/>
    <m/>
    <s v="C2424"/>
    <s v="Candidate_1424"/>
    <s v="26/05/2023"/>
    <x v="1"/>
    <s v="Linkedin"/>
    <n v="3"/>
    <m/>
    <x v="0"/>
    <m/>
    <m/>
    <x v="0"/>
    <x v="0"/>
    <m/>
    <x v="1"/>
    <x v="0"/>
  </r>
  <r>
    <n v="1109"/>
    <s v="1109 | Fundraising"/>
    <x v="18"/>
    <x v="6"/>
    <x v="28"/>
    <x v="13"/>
    <s v="Fundraising-Auditor"/>
    <x v="1"/>
    <d v="2022-04-24T22:53:34"/>
    <x v="837"/>
    <x v="222"/>
    <n v="6"/>
    <d v="2022-05-10T22:53:34"/>
    <s v="Yes"/>
    <d v="2022-05-01T22:53:34"/>
    <x v="0"/>
    <x v="4"/>
    <m/>
    <m/>
    <m/>
    <m/>
    <d v="2022-05-03T22:53:34"/>
    <m/>
    <x v="0"/>
    <m/>
    <m/>
    <m/>
    <m/>
    <s v="Candidate"/>
    <m/>
    <s v="C2425"/>
    <s v="Candidate_1425"/>
    <s v="04-20-2022"/>
    <x v="2"/>
    <s v="Job Board"/>
    <n v="3"/>
    <m/>
    <x v="0"/>
    <m/>
    <m/>
    <x v="0"/>
    <x v="0"/>
    <m/>
    <x v="1"/>
    <x v="0"/>
  </r>
  <r>
    <n v="1075"/>
    <s v="1075 | Fundraising"/>
    <x v="19"/>
    <x v="6"/>
    <x v="28"/>
    <x v="13"/>
    <s v="Fundraising-Auditor"/>
    <x v="1"/>
    <d v="2022-02-12T23:46:40"/>
    <x v="838"/>
    <x v="223"/>
    <n v="3"/>
    <d v="2022-03-03T23:46:40"/>
    <s v="Yes"/>
    <d v="2022-03-01T23:46:40"/>
    <x v="1"/>
    <x v="1"/>
    <d v="2022-03-08T23:46:40"/>
    <s v="Declined"/>
    <m/>
    <m/>
    <d v="2022-03-04T23:46:40"/>
    <m/>
    <x v="0"/>
    <m/>
    <m/>
    <m/>
    <m/>
    <m/>
    <m/>
    <s v="C2426"/>
    <s v="Candidate_1426"/>
    <s v="24/02/2022"/>
    <x v="1"/>
    <s v="Linkedin"/>
    <n v="3"/>
    <m/>
    <x v="0"/>
    <m/>
    <m/>
    <x v="0"/>
    <x v="0"/>
    <m/>
    <x v="1"/>
    <x v="0"/>
  </r>
  <r>
    <n v="1071"/>
    <s v="1071 | Fundraising"/>
    <x v="18"/>
    <x v="6"/>
    <x v="28"/>
    <x v="13"/>
    <s v="Fundraising-Auditor"/>
    <x v="1"/>
    <d v="2022-02-05T23:46:40"/>
    <x v="839"/>
    <x v="223"/>
    <n v="10"/>
    <d v="2022-03-13T23:46:40"/>
    <s v="Yes"/>
    <d v="2022-02-28T23:46:40"/>
    <x v="3"/>
    <x v="1"/>
    <d v="2022-03-08T23:46:40"/>
    <s v="Accepted"/>
    <d v="2022-03-01T23:46:40"/>
    <d v="2022-03-02T23:46:40"/>
    <d v="2022-03-04T23:46:40"/>
    <d v="2022-03-07T23:46:40"/>
    <x v="1"/>
    <d v="2022-03-09T23:46:40"/>
    <d v="2022-03-11T23:46:40"/>
    <d v="2022-03-13T23:46:40"/>
    <m/>
    <m/>
    <d v="2022-04-04T23:46:40"/>
    <s v="C2427"/>
    <s v="Candidate_1427"/>
    <s v="12/02/2022"/>
    <x v="1"/>
    <s v="Linkedin"/>
    <n v="3"/>
    <m/>
    <x v="0"/>
    <m/>
    <m/>
    <x v="0"/>
    <x v="0"/>
    <m/>
    <x v="134"/>
    <x v="0"/>
  </r>
  <r>
    <n v="2849"/>
    <s v="2849 | Finance"/>
    <x v="21"/>
    <x v="7"/>
    <x v="29"/>
    <x v="4"/>
    <s v="Finance-Senior Manager"/>
    <x v="3"/>
    <d v="2022-04-04T10:38:28"/>
    <x v="0"/>
    <x v="257"/>
    <n v="3"/>
    <d v="2022-06-16T10:38:28"/>
    <s v="Yes"/>
    <d v="2022-04-17T10:38:28"/>
    <x v="0"/>
    <x v="3"/>
    <m/>
    <m/>
    <m/>
    <m/>
    <d v="2022-04-19T10:38:28"/>
    <m/>
    <x v="0"/>
    <m/>
    <m/>
    <m/>
    <m/>
    <s v="Candidate"/>
    <m/>
    <s v="C2428"/>
    <s v="Candidate_1428"/>
    <s v="04-03-2022"/>
    <x v="2"/>
    <s v="Job Board"/>
    <n v="6"/>
    <m/>
    <x v="0"/>
    <m/>
    <m/>
    <x v="0"/>
    <x v="0"/>
    <m/>
    <x v="0"/>
    <x v="0"/>
  </r>
  <r>
    <n v="2772"/>
    <s v="2772 | Finance"/>
    <x v="21"/>
    <x v="7"/>
    <x v="29"/>
    <x v="4"/>
    <s v="Finance-Senior Manager"/>
    <x v="3"/>
    <d v="2022-05-03T18:40:18"/>
    <x v="840"/>
    <x v="258"/>
    <n v="5"/>
    <d v="2022-05-14T18:40:18"/>
    <s v="Yes"/>
    <d v="2022-05-12T18:40:18"/>
    <x v="0"/>
    <x v="2"/>
    <m/>
    <m/>
    <m/>
    <m/>
    <m/>
    <m/>
    <x v="0"/>
    <m/>
    <m/>
    <m/>
    <m/>
    <s v="Candidate"/>
    <m/>
    <s v="C2429"/>
    <s v="Candidate_1429"/>
    <s v="05-05-2022"/>
    <x v="1"/>
    <s v="Linkedin"/>
    <n v="6"/>
    <m/>
    <x v="0"/>
    <m/>
    <m/>
    <x v="0"/>
    <x v="0"/>
    <m/>
    <x v="1"/>
    <x v="0"/>
  </r>
  <r>
    <n v="2690"/>
    <s v="2690 | Finance"/>
    <x v="22"/>
    <x v="7"/>
    <x v="29"/>
    <x v="4"/>
    <s v="Finance-Senior Manager"/>
    <x v="3"/>
    <d v="2023-07-27T17:11:38"/>
    <x v="841"/>
    <x v="259"/>
    <n v="8"/>
    <d v="2023-08-14T17:11:38"/>
    <s v="Yes"/>
    <d v="2023-08-22T17:11:38"/>
    <x v="0"/>
    <x v="0"/>
    <m/>
    <m/>
    <m/>
    <m/>
    <m/>
    <m/>
    <x v="0"/>
    <m/>
    <m/>
    <m/>
    <m/>
    <s v="Candidate"/>
    <m/>
    <s v="C2430"/>
    <s v="Candidate_1430"/>
    <s v="10/08/2023"/>
    <x v="0"/>
    <s v="Referral"/>
    <n v="6"/>
    <m/>
    <x v="0"/>
    <m/>
    <m/>
    <x v="0"/>
    <x v="0"/>
    <m/>
    <x v="1"/>
    <x v="0"/>
  </r>
  <r>
    <n v="2685"/>
    <s v="2685 | Finance"/>
    <x v="22"/>
    <x v="7"/>
    <x v="29"/>
    <x v="4"/>
    <s v="Finance-Senior Manager"/>
    <x v="3"/>
    <d v="2023-07-30T17:11:38"/>
    <x v="842"/>
    <x v="259"/>
    <n v="5"/>
    <d v="2023-08-29T17:11:38"/>
    <s v="Yes"/>
    <d v="2023-08-16T17:11:38"/>
    <x v="0"/>
    <x v="5"/>
    <m/>
    <m/>
    <m/>
    <m/>
    <m/>
    <m/>
    <x v="0"/>
    <m/>
    <m/>
    <m/>
    <m/>
    <s v="Candidate"/>
    <m/>
    <s v="C2431"/>
    <s v="Candidate_1431"/>
    <s v="Aug 02 2023"/>
    <x v="2"/>
    <s v="Job Board"/>
    <n v="6"/>
    <m/>
    <x v="0"/>
    <m/>
    <m/>
    <x v="0"/>
    <x v="0"/>
    <m/>
    <x v="1"/>
    <x v="0"/>
  </r>
  <r>
    <n v="2323"/>
    <s v="2323 | Finance"/>
    <x v="22"/>
    <x v="7"/>
    <x v="29"/>
    <x v="4"/>
    <s v="Finance-Senior Manager"/>
    <x v="3"/>
    <d v="2022-02-05T06:22:29"/>
    <x v="843"/>
    <x v="260"/>
    <n v="6"/>
    <d v="2022-02-27T06:22:29"/>
    <s v="Yes"/>
    <d v="2022-02-25T06:22:29"/>
    <x v="0"/>
    <x v="4"/>
    <m/>
    <m/>
    <m/>
    <m/>
    <m/>
    <m/>
    <x v="0"/>
    <m/>
    <m/>
    <m/>
    <m/>
    <s v="Candidate"/>
    <m/>
    <s v="C2432"/>
    <s v="Candidate_1432"/>
    <s v="10/02/2022"/>
    <x v="2"/>
    <s v="Job Board"/>
    <n v="6"/>
    <m/>
    <x v="0"/>
    <m/>
    <m/>
    <x v="0"/>
    <x v="0"/>
    <m/>
    <x v="1"/>
    <x v="0"/>
  </r>
  <r>
    <n v="2278"/>
    <s v="2278 | Finance"/>
    <x v="22"/>
    <x v="7"/>
    <x v="29"/>
    <x v="4"/>
    <s v="Finance-Senior Manager"/>
    <x v="3"/>
    <d v="2023-08-27T21:41:36"/>
    <x v="844"/>
    <x v="4"/>
    <n v="-45165.90388888889"/>
    <d v="2023-09-30T21:41:36"/>
    <s v="Yes"/>
    <d v="2023-09-06T21:41:36"/>
    <x v="0"/>
    <x v="5"/>
    <m/>
    <m/>
    <m/>
    <m/>
    <d v="2023-09-09T21:41:36"/>
    <m/>
    <x v="0"/>
    <m/>
    <m/>
    <m/>
    <m/>
    <s v="Company"/>
    <m/>
    <s v="C2433"/>
    <s v="Candidate_1433"/>
    <s v="Aug 25 2023"/>
    <x v="2"/>
    <s v="Job Board"/>
    <n v="3"/>
    <m/>
    <x v="0"/>
    <m/>
    <m/>
    <x v="0"/>
    <x v="0"/>
    <m/>
    <x v="0"/>
    <x v="0"/>
  </r>
  <r>
    <n v="2223"/>
    <s v="2223 | Finance"/>
    <x v="22"/>
    <x v="7"/>
    <x v="29"/>
    <x v="4"/>
    <s v="Finance-Senior Manager"/>
    <x v="3"/>
    <d v="2023-08-19T12:50:13"/>
    <x v="845"/>
    <x v="261"/>
    <n v="4"/>
    <d v="2023-09-05T12:50:13"/>
    <s v="Yes"/>
    <d v="2023-08-26T12:50:13"/>
    <x v="0"/>
    <x v="2"/>
    <m/>
    <m/>
    <m/>
    <m/>
    <d v="2023-08-30T12:50:13"/>
    <m/>
    <x v="0"/>
    <m/>
    <m/>
    <m/>
    <m/>
    <s v="Candidate"/>
    <m/>
    <s v="C2434"/>
    <s v="Candidate_1434"/>
    <s v="Aug 08 2023"/>
    <x v="1"/>
    <s v="Linkedin"/>
    <n v="3"/>
    <m/>
    <x v="0"/>
    <m/>
    <m/>
    <x v="0"/>
    <x v="0"/>
    <m/>
    <x v="1"/>
    <x v="0"/>
  </r>
  <r>
    <n v="2180"/>
    <s v="2180 | Finance"/>
    <x v="21"/>
    <x v="7"/>
    <x v="29"/>
    <x v="4"/>
    <s v="Finance-Senior Manager"/>
    <x v="3"/>
    <d v="2022-07-15T14:26:50"/>
    <x v="846"/>
    <x v="262"/>
    <n v="2"/>
    <d v="2022-07-23T14:26:50"/>
    <s v="Yes"/>
    <d v="2022-07-28T14:26:50"/>
    <x v="0"/>
    <x v="0"/>
    <m/>
    <m/>
    <m/>
    <m/>
    <d v="2022-07-30T14:26:50"/>
    <m/>
    <x v="0"/>
    <m/>
    <m/>
    <m/>
    <m/>
    <s v="Company"/>
    <m/>
    <s v="C2435"/>
    <s v="Candidate_1435"/>
    <s v="07-22-2022"/>
    <x v="0"/>
    <s v="Referral"/>
    <n v="3"/>
    <m/>
    <x v="0"/>
    <m/>
    <m/>
    <x v="0"/>
    <x v="0"/>
    <m/>
    <x v="1"/>
    <x v="0"/>
  </r>
  <r>
    <n v="2175"/>
    <s v="2175 | Finance"/>
    <x v="22"/>
    <x v="7"/>
    <x v="29"/>
    <x v="4"/>
    <s v="Finance-Senior Manager"/>
    <x v="3"/>
    <d v="2022-07-08T14:26:50"/>
    <x v="847"/>
    <x v="262"/>
    <n v="9"/>
    <d v="2022-07-28T14:26:50"/>
    <s v="Yes"/>
    <d v="2022-07-20T14:26:50"/>
    <x v="0"/>
    <x v="2"/>
    <m/>
    <m/>
    <m/>
    <m/>
    <d v="2022-07-21T14:26:50"/>
    <m/>
    <x v="0"/>
    <m/>
    <m/>
    <m/>
    <m/>
    <s v="Candidate"/>
    <m/>
    <s v="C2436"/>
    <s v="Candidate_1436"/>
    <s v="07-09-2022"/>
    <x v="1"/>
    <s v="Linkedin"/>
    <n v="3"/>
    <m/>
    <x v="0"/>
    <m/>
    <m/>
    <x v="0"/>
    <x v="0"/>
    <m/>
    <x v="1"/>
    <x v="0"/>
  </r>
  <r>
    <n v="2084"/>
    <s v="2084 | Finance"/>
    <x v="23"/>
    <x v="7"/>
    <x v="29"/>
    <x v="4"/>
    <s v="Finance-Senior Manager"/>
    <x v="3"/>
    <d v="2022-10-02T21:05:46"/>
    <x v="848"/>
    <x v="263"/>
    <n v="5"/>
    <d v="2022-10-21T21:05:46"/>
    <s v="Yes"/>
    <d v="2022-10-12T21:05:46"/>
    <x v="0"/>
    <x v="2"/>
    <m/>
    <m/>
    <m/>
    <m/>
    <d v="2022-10-16T21:05:46"/>
    <m/>
    <x v="0"/>
    <m/>
    <m/>
    <m/>
    <m/>
    <s v="Company"/>
    <m/>
    <s v="C2437"/>
    <s v="Candidate_1437"/>
    <s v="Oct 07 2022"/>
    <x v="0"/>
    <s v="Referral"/>
    <n v="3"/>
    <m/>
    <x v="0"/>
    <m/>
    <m/>
    <x v="0"/>
    <x v="0"/>
    <m/>
    <x v="1"/>
    <x v="0"/>
  </r>
  <r>
    <n v="1890"/>
    <s v="1890 | Finance"/>
    <x v="23"/>
    <x v="7"/>
    <x v="29"/>
    <x v="4"/>
    <s v="Finance-Senior Manager"/>
    <x v="3"/>
    <d v="2022-10-04T10:12:16"/>
    <x v="849"/>
    <x v="264"/>
    <n v="10"/>
    <d v="2022-10-23T10:12:16"/>
    <s v="Yes"/>
    <d v="2022-10-29T10:12:16"/>
    <x v="0"/>
    <x v="2"/>
    <m/>
    <m/>
    <m/>
    <m/>
    <m/>
    <m/>
    <x v="0"/>
    <m/>
    <m/>
    <m/>
    <m/>
    <s v="Candidate"/>
    <m/>
    <s v="C2438"/>
    <s v="Candidate_1438"/>
    <s v="10-20-2022"/>
    <x v="1"/>
    <s v="Linkedin"/>
    <n v="3"/>
    <m/>
    <x v="0"/>
    <m/>
    <m/>
    <x v="0"/>
    <x v="0"/>
    <m/>
    <x v="1"/>
    <x v="0"/>
  </r>
  <r>
    <n v="1883"/>
    <s v="1883 | Finance"/>
    <x v="22"/>
    <x v="7"/>
    <x v="29"/>
    <x v="4"/>
    <s v="Finance-Senior Manager"/>
    <x v="3"/>
    <d v="2022-10-08T10:12:16"/>
    <x v="850"/>
    <x v="264"/>
    <n v="6"/>
    <d v="2022-10-28T10:12:16"/>
    <s v="Yes"/>
    <d v="2022-10-21T10:12:16"/>
    <x v="0"/>
    <x v="4"/>
    <m/>
    <m/>
    <m/>
    <m/>
    <d v="2022-10-23T10:12:16"/>
    <m/>
    <x v="0"/>
    <m/>
    <m/>
    <m/>
    <m/>
    <s v="Company"/>
    <m/>
    <s v="C2439"/>
    <s v="Candidate_1439"/>
    <s v="06/10/2022"/>
    <x v="0"/>
    <s v="Referral"/>
    <n v="3"/>
    <m/>
    <x v="0"/>
    <m/>
    <m/>
    <x v="0"/>
    <x v="0"/>
    <m/>
    <x v="1"/>
    <x v="0"/>
  </r>
  <r>
    <n v="1845"/>
    <s v="1845 | Finance"/>
    <x v="21"/>
    <x v="7"/>
    <x v="29"/>
    <x v="4"/>
    <s v="Finance-Senior Manager"/>
    <x v="3"/>
    <d v="2022-02-18T23:17:04"/>
    <x v="851"/>
    <x v="265"/>
    <n v="5"/>
    <d v="2022-03-24T23:17:04"/>
    <s v="Yes"/>
    <d v="2022-03-06T23:17:04"/>
    <x v="0"/>
    <x v="0"/>
    <m/>
    <m/>
    <m/>
    <m/>
    <m/>
    <m/>
    <x v="0"/>
    <m/>
    <m/>
    <m/>
    <m/>
    <s v="Company"/>
    <m/>
    <s v="C2440"/>
    <s v="Candidate_1440"/>
    <s v="26/02/2022"/>
    <x v="2"/>
    <s v="Job Board"/>
    <n v="3"/>
    <m/>
    <x v="0"/>
    <m/>
    <m/>
    <x v="0"/>
    <x v="0"/>
    <m/>
    <x v="1"/>
    <x v="0"/>
  </r>
  <r>
    <n v="1757"/>
    <s v="1757 | Finance"/>
    <x v="22"/>
    <x v="7"/>
    <x v="29"/>
    <x v="4"/>
    <s v="Finance-Senior Manager"/>
    <x v="3"/>
    <d v="2022-05-27T15:29:59"/>
    <x v="852"/>
    <x v="266"/>
    <n v="10"/>
    <d v="2022-06-24T15:29:59"/>
    <s v="Yes"/>
    <d v="2022-06-15T15:29:59"/>
    <x v="0"/>
    <x v="0"/>
    <m/>
    <m/>
    <m/>
    <m/>
    <m/>
    <m/>
    <x v="0"/>
    <m/>
    <m/>
    <m/>
    <m/>
    <s v="Company"/>
    <m/>
    <s v="C2441"/>
    <s v="Candidate_1441"/>
    <s v="05-31-2022"/>
    <x v="2"/>
    <s v="Job Board"/>
    <n v="6"/>
    <m/>
    <x v="0"/>
    <m/>
    <m/>
    <x v="0"/>
    <x v="0"/>
    <m/>
    <x v="1"/>
    <x v="0"/>
  </r>
  <r>
    <n v="1702"/>
    <s v="1702 | Finance"/>
    <x v="23"/>
    <x v="7"/>
    <x v="29"/>
    <x v="4"/>
    <s v="Finance-Senior Manager"/>
    <x v="3"/>
    <d v="2023-02-27T18:01:56"/>
    <x v="853"/>
    <x v="267"/>
    <n v="10"/>
    <d v="2023-03-23T18:01:56"/>
    <s v="Yes"/>
    <d v="2023-03-22T18:01:56"/>
    <x v="0"/>
    <x v="0"/>
    <m/>
    <m/>
    <m/>
    <m/>
    <m/>
    <m/>
    <x v="0"/>
    <m/>
    <m/>
    <m/>
    <m/>
    <s v="Candidate"/>
    <m/>
    <s v="C2442"/>
    <s v="Candidate_1442"/>
    <s v="05/03/2023"/>
    <x v="0"/>
    <s v="Referral"/>
    <n v="6"/>
    <m/>
    <x v="0"/>
    <m/>
    <m/>
    <x v="0"/>
    <x v="0"/>
    <m/>
    <x v="1"/>
    <x v="0"/>
  </r>
  <r>
    <n v="1677"/>
    <s v="1677 | Finance"/>
    <x v="22"/>
    <x v="7"/>
    <x v="29"/>
    <x v="4"/>
    <s v="Finance-Senior Manager"/>
    <x v="3"/>
    <d v="2022-11-05T03:27:45"/>
    <x v="854"/>
    <x v="268"/>
    <n v="7"/>
    <d v="2022-11-25T03:27:45"/>
    <s v="Yes"/>
    <d v="2022-11-20T03:27:45"/>
    <x v="0"/>
    <x v="0"/>
    <m/>
    <m/>
    <m/>
    <m/>
    <d v="2022-11-22T03:27:45"/>
    <m/>
    <x v="0"/>
    <m/>
    <m/>
    <m/>
    <m/>
    <s v="Company"/>
    <m/>
    <s v="C2443"/>
    <s v="Candidate_1443"/>
    <s v="11-03-2022"/>
    <x v="0"/>
    <s v="Referral"/>
    <n v="3"/>
    <m/>
    <x v="0"/>
    <m/>
    <m/>
    <x v="0"/>
    <x v="0"/>
    <m/>
    <x v="1"/>
    <x v="0"/>
  </r>
  <r>
    <n v="1635"/>
    <s v="1635 | Finance"/>
    <x v="23"/>
    <x v="7"/>
    <x v="29"/>
    <x v="4"/>
    <s v="Finance-Senior Manager"/>
    <x v="3"/>
    <d v="2023-09-02T07:41:24"/>
    <x v="855"/>
    <x v="269"/>
    <n v="7"/>
    <d v="2023-10-07T07:41:24"/>
    <s v="Yes"/>
    <d v="2023-09-15T07:41:24"/>
    <x v="0"/>
    <x v="3"/>
    <m/>
    <m/>
    <m/>
    <m/>
    <d v="2023-09-19T07:41:24"/>
    <m/>
    <x v="0"/>
    <m/>
    <m/>
    <m/>
    <m/>
    <s v="Candidate"/>
    <m/>
    <s v="C2444"/>
    <s v="Candidate_1444"/>
    <s v="Aug 31 2023"/>
    <x v="0"/>
    <s v="Referral"/>
    <n v="3"/>
    <m/>
    <x v="0"/>
    <m/>
    <m/>
    <x v="0"/>
    <x v="0"/>
    <m/>
    <x v="1"/>
    <x v="0"/>
  </r>
  <r>
    <n v="1585"/>
    <s v="1585 | Finance"/>
    <x v="22"/>
    <x v="7"/>
    <x v="29"/>
    <x v="4"/>
    <s v="Finance-Senior Manager"/>
    <x v="3"/>
    <d v="2023-09-15T20:10:47"/>
    <x v="856"/>
    <x v="270"/>
    <n v="4"/>
    <d v="2023-10-02T20:10:47"/>
    <s v="Yes"/>
    <d v="2023-10-03T20:10:47"/>
    <x v="0"/>
    <x v="3"/>
    <m/>
    <m/>
    <m/>
    <m/>
    <d v="2023-10-05T20:10:47"/>
    <m/>
    <x v="0"/>
    <m/>
    <m/>
    <m/>
    <m/>
    <s v="Company"/>
    <m/>
    <s v="C2445"/>
    <s v="Candidate_1445"/>
    <s v="19/09/2023"/>
    <x v="0"/>
    <s v="Referral"/>
    <n v="6"/>
    <m/>
    <x v="0"/>
    <m/>
    <m/>
    <x v="0"/>
    <x v="0"/>
    <m/>
    <x v="1"/>
    <x v="0"/>
  </r>
  <r>
    <n v="1581"/>
    <s v="1581 | Finance"/>
    <x v="22"/>
    <x v="7"/>
    <x v="29"/>
    <x v="4"/>
    <s v="Finance-Senior Manager"/>
    <x v="3"/>
    <d v="2023-09-11T20:10:47"/>
    <x v="857"/>
    <x v="270"/>
    <n v="8"/>
    <d v="2023-10-02T20:10:47"/>
    <s v="Yes"/>
    <d v="2023-09-29T20:10:47"/>
    <x v="0"/>
    <x v="2"/>
    <m/>
    <m/>
    <m/>
    <m/>
    <m/>
    <m/>
    <x v="0"/>
    <m/>
    <m/>
    <m/>
    <m/>
    <s v="Company"/>
    <m/>
    <s v="C2446"/>
    <s v="Candidate_1446"/>
    <s v="09-11-2023"/>
    <x v="1"/>
    <s v="Linkedin"/>
    <n v="6"/>
    <m/>
    <x v="0"/>
    <m/>
    <m/>
    <x v="0"/>
    <x v="0"/>
    <m/>
    <x v="1"/>
    <x v="0"/>
  </r>
  <r>
    <n v="1568"/>
    <s v="1568 | Finance"/>
    <x v="21"/>
    <x v="7"/>
    <x v="29"/>
    <x v="4"/>
    <s v="Finance-Senior Manager"/>
    <x v="3"/>
    <d v="2022-03-20T11:46:18"/>
    <x v="0"/>
    <x v="271"/>
    <n v="5"/>
    <d v="2022-04-16T11:46:18"/>
    <s v="Yes"/>
    <d v="2022-04-03T11:46:18"/>
    <x v="0"/>
    <x v="2"/>
    <m/>
    <m/>
    <m/>
    <m/>
    <m/>
    <m/>
    <x v="0"/>
    <m/>
    <m/>
    <m/>
    <m/>
    <s v="Company"/>
    <m/>
    <s v="C2447"/>
    <s v="Candidate_1447"/>
    <s v="22/03/2022"/>
    <x v="1"/>
    <s v="Linkedin"/>
    <n v="3"/>
    <m/>
    <x v="0"/>
    <m/>
    <m/>
    <x v="0"/>
    <x v="0"/>
    <m/>
    <x v="0"/>
    <x v="0"/>
  </r>
  <r>
    <n v="1524"/>
    <s v="1524 | Finance"/>
    <x v="22"/>
    <x v="7"/>
    <x v="29"/>
    <x v="4"/>
    <s v="Finance-Senior Manager"/>
    <x v="3"/>
    <d v="2023-01-02T00:36:18"/>
    <x v="858"/>
    <x v="272"/>
    <n v="5"/>
    <d v="2023-01-17T00:36:18"/>
    <s v="Yes"/>
    <d v="2023-01-12T00:36:18"/>
    <x v="0"/>
    <x v="2"/>
    <m/>
    <m/>
    <m/>
    <m/>
    <m/>
    <m/>
    <x v="0"/>
    <m/>
    <m/>
    <m/>
    <m/>
    <s v="Company"/>
    <m/>
    <s v="C2448"/>
    <s v="Candidate_1448"/>
    <s v="01-05-2023"/>
    <x v="1"/>
    <s v="Linkedin"/>
    <n v="3"/>
    <m/>
    <x v="0"/>
    <m/>
    <m/>
    <x v="0"/>
    <x v="0"/>
    <m/>
    <x v="1"/>
    <x v="0"/>
  </r>
  <r>
    <n v="1514"/>
    <s v="1514 | Finance"/>
    <x v="21"/>
    <x v="7"/>
    <x v="29"/>
    <x v="4"/>
    <s v="Finance-Senior Manager"/>
    <x v="3"/>
    <d v="2022-12-25T05:00:38"/>
    <x v="859"/>
    <x v="273"/>
    <n v="7"/>
    <d v="2023-01-12T05:00:38"/>
    <s v="Yes"/>
    <d v="2023-01-08T05:00:38"/>
    <x v="0"/>
    <x v="0"/>
    <m/>
    <m/>
    <m/>
    <m/>
    <d v="2023-01-12T05:00:38"/>
    <m/>
    <x v="0"/>
    <m/>
    <m/>
    <m/>
    <m/>
    <s v="Candidate"/>
    <m/>
    <s v="C2449"/>
    <s v="Candidate_1449"/>
    <s v="Dec 25 2022"/>
    <x v="2"/>
    <s v="Job Board"/>
    <n v="3"/>
    <m/>
    <x v="0"/>
    <m/>
    <m/>
    <x v="0"/>
    <x v="0"/>
    <m/>
    <x v="1"/>
    <x v="0"/>
  </r>
  <r>
    <n v="1434"/>
    <s v="1434 | Finance"/>
    <x v="23"/>
    <x v="7"/>
    <x v="29"/>
    <x v="4"/>
    <s v="Finance-Senior Manager"/>
    <x v="3"/>
    <d v="2023-06-09T22:29:11"/>
    <x v="860"/>
    <x v="274"/>
    <n v="6"/>
    <d v="2023-07-08T22:29:11"/>
    <s v="Yes"/>
    <d v="2023-06-19T22:29:11"/>
    <x v="0"/>
    <x v="0"/>
    <m/>
    <m/>
    <m/>
    <m/>
    <m/>
    <m/>
    <x v="0"/>
    <m/>
    <m/>
    <m/>
    <m/>
    <s v="Company"/>
    <m/>
    <s v="C2450"/>
    <s v="Candidate_1450"/>
    <s v="06-06-2023"/>
    <x v="0"/>
    <s v="Referral"/>
    <n v="3"/>
    <m/>
    <x v="0"/>
    <m/>
    <m/>
    <x v="0"/>
    <x v="0"/>
    <m/>
    <x v="1"/>
    <x v="0"/>
  </r>
  <r>
    <n v="1288"/>
    <s v="1288 | Finance"/>
    <x v="23"/>
    <x v="7"/>
    <x v="29"/>
    <x v="4"/>
    <s v="Finance-Senior Manager"/>
    <x v="3"/>
    <d v="2022-03-23T17:39:51"/>
    <x v="861"/>
    <x v="275"/>
    <n v="7"/>
    <d v="2022-04-17T17:39:51"/>
    <s v="Yes"/>
    <d v="2022-04-07T17:39:51"/>
    <x v="0"/>
    <x v="0"/>
    <m/>
    <m/>
    <m/>
    <m/>
    <d v="2022-04-09T17:39:51"/>
    <m/>
    <x v="0"/>
    <m/>
    <m/>
    <m/>
    <m/>
    <s v="Candidate"/>
    <m/>
    <s v="C2451"/>
    <s v="Candidate_1451"/>
    <s v="03-23-2022"/>
    <x v="2"/>
    <s v="Job Board"/>
    <n v="6"/>
    <m/>
    <x v="0"/>
    <m/>
    <m/>
    <x v="0"/>
    <x v="0"/>
    <m/>
    <x v="1"/>
    <x v="0"/>
  </r>
  <r>
    <n v="1262"/>
    <s v="1262 | Finance"/>
    <x v="22"/>
    <x v="7"/>
    <x v="29"/>
    <x v="4"/>
    <s v="Finance-Senior Manager"/>
    <x v="3"/>
    <d v="2023-03-13T21:55:08"/>
    <x v="862"/>
    <x v="276"/>
    <n v="7"/>
    <d v="2023-03-26T21:55:08"/>
    <s v="Yes"/>
    <d v="2023-03-29T21:55:08"/>
    <x v="0"/>
    <x v="4"/>
    <m/>
    <m/>
    <m/>
    <m/>
    <d v="2023-04-01T21:55:08"/>
    <m/>
    <x v="0"/>
    <m/>
    <m/>
    <m/>
    <m/>
    <s v="Company"/>
    <m/>
    <s v="C2452"/>
    <s v="Candidate_1452"/>
    <s v="03-11-2023"/>
    <x v="1"/>
    <s v="Linkedin"/>
    <n v="3"/>
    <m/>
    <x v="0"/>
    <m/>
    <m/>
    <x v="0"/>
    <x v="0"/>
    <m/>
    <x v="1"/>
    <x v="0"/>
  </r>
  <r>
    <n v="1256"/>
    <s v="1256 | Finance"/>
    <x v="21"/>
    <x v="7"/>
    <x v="29"/>
    <x v="4"/>
    <s v="Finance-Senior Manager"/>
    <x v="3"/>
    <d v="2022-06-26T04:05:26"/>
    <x v="863"/>
    <x v="277"/>
    <n v="5"/>
    <d v="2022-07-29T04:05:26"/>
    <s v="Yes"/>
    <d v="2022-07-09T04:05:26"/>
    <x v="0"/>
    <x v="3"/>
    <m/>
    <m/>
    <m/>
    <m/>
    <d v="2022-07-13T04:05:26"/>
    <m/>
    <x v="0"/>
    <m/>
    <m/>
    <m/>
    <m/>
    <s v="Company"/>
    <m/>
    <s v="C2453"/>
    <s v="Candidate_1453"/>
    <s v="Jul 04 2022"/>
    <x v="0"/>
    <s v="Referral"/>
    <n v="3"/>
    <m/>
    <x v="0"/>
    <m/>
    <m/>
    <x v="0"/>
    <x v="0"/>
    <m/>
    <x v="1"/>
    <x v="0"/>
  </r>
  <r>
    <n v="1150"/>
    <s v="1150 | Finance"/>
    <x v="23"/>
    <x v="7"/>
    <x v="29"/>
    <x v="4"/>
    <s v="Finance-Senior Manager"/>
    <x v="3"/>
    <d v="2023-08-04T01:36:53"/>
    <x v="864"/>
    <x v="278"/>
    <n v="6"/>
    <d v="2023-08-26T01:36:53"/>
    <s v="Yes"/>
    <d v="2023-08-17T01:36:53"/>
    <x v="0"/>
    <x v="5"/>
    <m/>
    <m/>
    <m/>
    <m/>
    <m/>
    <m/>
    <x v="0"/>
    <m/>
    <m/>
    <m/>
    <m/>
    <s v="Candidate"/>
    <m/>
    <s v="C2454"/>
    <s v="Candidate_1454"/>
    <s v="31/07/2023"/>
    <x v="2"/>
    <s v="Job Board"/>
    <n v="3"/>
    <m/>
    <x v="0"/>
    <m/>
    <m/>
    <x v="0"/>
    <x v="0"/>
    <m/>
    <x v="1"/>
    <x v="0"/>
  </r>
  <r>
    <n v="1120"/>
    <s v="1120 | Finance"/>
    <x v="23"/>
    <x v="7"/>
    <x v="29"/>
    <x v="4"/>
    <s v="Finance-Senior Manager"/>
    <x v="3"/>
    <d v="2023-04-03T06:23:43"/>
    <x v="865"/>
    <x v="279"/>
    <n v="8"/>
    <d v="2023-04-19T06:23:43"/>
    <s v="Yes"/>
    <d v="2023-04-20T06:23:43"/>
    <x v="0"/>
    <x v="5"/>
    <m/>
    <m/>
    <m/>
    <m/>
    <d v="2023-04-21T06:23:43"/>
    <m/>
    <x v="0"/>
    <m/>
    <m/>
    <m/>
    <m/>
    <s v="Company"/>
    <m/>
    <s v="C2455"/>
    <s v="Candidate_1455"/>
    <s v="04-09-2023"/>
    <x v="2"/>
    <s v="Job Board"/>
    <n v="3"/>
    <m/>
    <x v="0"/>
    <m/>
    <m/>
    <x v="0"/>
    <x v="0"/>
    <m/>
    <x v="1"/>
    <x v="0"/>
  </r>
  <r>
    <n v="1112"/>
    <s v="1112 | Finance"/>
    <x v="23"/>
    <x v="7"/>
    <x v="29"/>
    <x v="4"/>
    <s v="Finance-Senior Manager"/>
    <x v="3"/>
    <d v="2023-04-06T06:23:43"/>
    <x v="866"/>
    <x v="279"/>
    <n v="5"/>
    <d v="2023-05-06T06:23:43"/>
    <s v="Yes"/>
    <d v="2023-04-24T06:23:43"/>
    <x v="0"/>
    <x v="4"/>
    <m/>
    <m/>
    <m/>
    <m/>
    <d v="2023-04-27T06:23:43"/>
    <m/>
    <x v="0"/>
    <m/>
    <m/>
    <m/>
    <m/>
    <s v="Company"/>
    <m/>
    <s v="C2456"/>
    <s v="Candidate_1456"/>
    <s v="04-09-2023"/>
    <x v="1"/>
    <s v="Linkedin"/>
    <n v="3"/>
    <m/>
    <x v="0"/>
    <m/>
    <m/>
    <x v="0"/>
    <x v="0"/>
    <m/>
    <x v="1"/>
    <x v="0"/>
  </r>
  <r>
    <n v="1068"/>
    <s v="1068 | Finance"/>
    <x v="22"/>
    <x v="7"/>
    <x v="29"/>
    <x v="4"/>
    <s v="Finance-Senior Manager"/>
    <x v="3"/>
    <d v="2022-08-04T09:56:30"/>
    <x v="867"/>
    <x v="280"/>
    <n v="9"/>
    <d v="2022-08-24T09:56:30"/>
    <s v="Yes"/>
    <d v="2022-08-31T09:56:30"/>
    <x v="0"/>
    <x v="4"/>
    <m/>
    <m/>
    <m/>
    <m/>
    <d v="2022-09-01T09:56:30"/>
    <m/>
    <x v="0"/>
    <m/>
    <m/>
    <m/>
    <m/>
    <s v="Candidate"/>
    <m/>
    <s v="C2457"/>
    <s v="Candidate_1457"/>
    <s v="25/08/2022"/>
    <x v="2"/>
    <s v="Job Board"/>
    <n v="3"/>
    <m/>
    <x v="0"/>
    <m/>
    <m/>
    <x v="0"/>
    <x v="0"/>
    <m/>
    <x v="1"/>
    <x v="0"/>
  </r>
  <r>
    <n v="1067"/>
    <s v="1067 | Finance"/>
    <x v="22"/>
    <x v="7"/>
    <x v="29"/>
    <x v="4"/>
    <s v="Finance-Senior Manager"/>
    <x v="3"/>
    <d v="2022-08-09T09:56:30"/>
    <x v="868"/>
    <x v="280"/>
    <n v="4"/>
    <d v="2022-08-27T09:56:30"/>
    <s v="Yes"/>
    <d v="2022-08-17T09:56:30"/>
    <x v="0"/>
    <x v="4"/>
    <m/>
    <m/>
    <m/>
    <m/>
    <d v="2022-08-18T09:56:30"/>
    <m/>
    <x v="0"/>
    <m/>
    <m/>
    <m/>
    <m/>
    <s v="Candidate"/>
    <m/>
    <s v="C2458"/>
    <s v="Candidate_1458"/>
    <s v="06/08/2022"/>
    <x v="0"/>
    <s v="Referral"/>
    <n v="3"/>
    <m/>
    <x v="0"/>
    <m/>
    <m/>
    <x v="0"/>
    <x v="0"/>
    <m/>
    <x v="1"/>
    <x v="0"/>
  </r>
  <r>
    <n v="1032"/>
    <s v="1032 | Finance"/>
    <x v="23"/>
    <x v="7"/>
    <x v="29"/>
    <x v="4"/>
    <s v="Finance-Senior Manager"/>
    <x v="3"/>
    <d v="2023-03-03T19:44:13"/>
    <x v="869"/>
    <x v="281"/>
    <n v="5"/>
    <d v="2023-03-28T19:44:13"/>
    <s v="Yes"/>
    <d v="2023-03-19T19:44:13"/>
    <x v="0"/>
    <x v="0"/>
    <m/>
    <m/>
    <m/>
    <m/>
    <m/>
    <m/>
    <x v="0"/>
    <m/>
    <m/>
    <m/>
    <m/>
    <s v="Company"/>
    <m/>
    <s v="C2459"/>
    <s v="Candidate_1459"/>
    <s v="10/03/2023"/>
    <x v="2"/>
    <s v="Job Board"/>
    <n v="3"/>
    <m/>
    <x v="0"/>
    <m/>
    <m/>
    <x v="0"/>
    <x v="0"/>
    <m/>
    <x v="1"/>
    <x v="0"/>
  </r>
  <r>
    <n v="1019"/>
    <s v="1019 | Finance"/>
    <x v="22"/>
    <x v="7"/>
    <x v="29"/>
    <x v="4"/>
    <s v="Finance-Senior Manager"/>
    <x v="3"/>
    <m/>
    <x v="870"/>
    <x v="282"/>
    <n v="44602.329571759263"/>
    <d v="2022-03-12T07:54:35"/>
    <s v="Yes"/>
    <d v="2022-02-14T07:54:35"/>
    <x v="0"/>
    <x v="3"/>
    <m/>
    <m/>
    <m/>
    <m/>
    <d v="2022-02-17T07:54:35"/>
    <m/>
    <x v="0"/>
    <m/>
    <m/>
    <m/>
    <m/>
    <s v="Candidate"/>
    <m/>
    <s v="C2460"/>
    <s v="Candidate_1460"/>
    <s v="Feb 09 2022"/>
    <x v="2"/>
    <s v="Job Board"/>
    <n v="3"/>
    <m/>
    <x v="0"/>
    <m/>
    <m/>
    <x v="0"/>
    <x v="0"/>
    <m/>
    <x v="0"/>
    <x v="0"/>
  </r>
  <r>
    <n v="210"/>
    <s v="210 | Finance"/>
    <x v="22"/>
    <x v="7"/>
    <x v="29"/>
    <x v="4"/>
    <s v="Finance-Senior Manager"/>
    <x v="3"/>
    <d v="2022-07-05T08:13:46"/>
    <x v="0"/>
    <x v="283"/>
    <n v="7"/>
    <d v="2022-07-26T08:13:46"/>
    <s v="Yes"/>
    <d v="2022-07-28T08:13:46"/>
    <x v="0"/>
    <x v="4"/>
    <m/>
    <m/>
    <m/>
    <m/>
    <m/>
    <m/>
    <x v="0"/>
    <m/>
    <m/>
    <m/>
    <m/>
    <s v="Company"/>
    <m/>
    <s v="C2461"/>
    <s v="Candidate_1461"/>
    <s v="21/07/2022"/>
    <x v="0"/>
    <s v="Referral"/>
    <n v="6"/>
    <m/>
    <x v="0"/>
    <m/>
    <m/>
    <x v="0"/>
    <x v="0"/>
    <m/>
    <x v="0"/>
    <x v="0"/>
  </r>
  <r>
    <n v="203"/>
    <s v="203 | Finance"/>
    <x v="23"/>
    <x v="7"/>
    <x v="29"/>
    <x v="4"/>
    <s v="Finance-Senior Manager"/>
    <x v="3"/>
    <d v="2022-07-06T08:13:46"/>
    <x v="871"/>
    <x v="4"/>
    <n v="-44748.342893518522"/>
    <d v="2022-08-06T08:13:46"/>
    <s v="Yes"/>
    <d v="2022-07-21T08:13:46"/>
    <x v="3"/>
    <x v="1"/>
    <d v="2022-07-24T08:13:46"/>
    <s v="Accepted"/>
    <d v="2022-07-22T08:13:46"/>
    <d v="2022-07-24T08:13:46"/>
    <d v="2022-07-22T08:13:46"/>
    <d v="2022-07-24T08:13:46"/>
    <x v="1"/>
    <d v="2022-07-25T08:13:46"/>
    <d v="2022-07-27T08:13:46"/>
    <d v="2022-07-29T08:13:46"/>
    <m/>
    <m/>
    <d v="2022-08-09T08:13:46"/>
    <s v="C2462"/>
    <s v="Candidate_1462"/>
    <s v="10/07/2022"/>
    <x v="1"/>
    <s v="Linkedin"/>
    <n v="3"/>
    <m/>
    <x v="0"/>
    <m/>
    <m/>
    <x v="0"/>
    <x v="0"/>
    <m/>
    <x v="0"/>
    <x v="0"/>
  </r>
  <r>
    <n v="176"/>
    <s v="176 | Finance"/>
    <x v="21"/>
    <x v="7"/>
    <x v="29"/>
    <x v="4"/>
    <s v="Finance-Senior Manager"/>
    <x v="3"/>
    <m/>
    <x v="872"/>
    <x v="4"/>
    <n v="0"/>
    <d v="2023-07-09T08:54:08"/>
    <s v="Yes"/>
    <d v="2023-06-24T08:54:08"/>
    <x v="0"/>
    <x v="2"/>
    <m/>
    <m/>
    <m/>
    <m/>
    <d v="2023-06-25T08:54:08"/>
    <m/>
    <x v="0"/>
    <m/>
    <m/>
    <m/>
    <m/>
    <s v="Candidate"/>
    <m/>
    <s v="C2463"/>
    <s v="Candidate_1463"/>
    <s v="Jun 06 2023"/>
    <x v="0"/>
    <s v="Referral"/>
    <n v="6"/>
    <m/>
    <x v="0"/>
    <m/>
    <m/>
    <x v="0"/>
    <x v="0"/>
    <m/>
    <x v="0"/>
    <x v="0"/>
  </r>
  <r>
    <n v="171"/>
    <s v="171 | Finance"/>
    <x v="23"/>
    <x v="7"/>
    <x v="29"/>
    <x v="4"/>
    <s v="Finance-Senior Manager"/>
    <x v="3"/>
    <d v="2023-06-15T08:54:08"/>
    <x v="873"/>
    <x v="284"/>
    <n v="5"/>
    <d v="2023-07-20T08:54:08"/>
    <s v="Yes"/>
    <d v="2023-06-29T08:54:08"/>
    <x v="0"/>
    <x v="0"/>
    <m/>
    <m/>
    <m/>
    <m/>
    <d v="2023-07-02T08:54:08"/>
    <m/>
    <x v="0"/>
    <m/>
    <m/>
    <m/>
    <m/>
    <s v="Candidate"/>
    <m/>
    <s v="C2464"/>
    <s v="Candidate_1464"/>
    <s v="20/06/2023"/>
    <x v="2"/>
    <s v="Job Board"/>
    <n v="3"/>
    <m/>
    <x v="0"/>
    <m/>
    <m/>
    <x v="0"/>
    <x v="0"/>
    <m/>
    <x v="1"/>
    <x v="0"/>
  </r>
  <r>
    <n v="110"/>
    <s v="110 | Finance"/>
    <x v="21"/>
    <x v="7"/>
    <x v="29"/>
    <x v="4"/>
    <s v="Finance-Senior Manager"/>
    <x v="3"/>
    <d v="2023-03-29T21:07:16"/>
    <x v="874"/>
    <x v="285"/>
    <n v="5"/>
    <d v="2023-04-29T21:07:16"/>
    <s v="Yes"/>
    <d v="2023-04-10T21:07:16"/>
    <x v="1"/>
    <x v="1"/>
    <d v="2023-04-14T21:07:16"/>
    <s v="Declined"/>
    <m/>
    <m/>
    <d v="2023-04-13T21:07:16"/>
    <m/>
    <x v="0"/>
    <m/>
    <m/>
    <m/>
    <m/>
    <m/>
    <m/>
    <s v="C2465"/>
    <s v="Candidate_1465"/>
    <s v="24/03/2023"/>
    <x v="1"/>
    <s v="Linkedin"/>
    <n v="3"/>
    <m/>
    <x v="0"/>
    <m/>
    <m/>
    <x v="0"/>
    <x v="0"/>
    <m/>
    <x v="1"/>
    <x v="0"/>
  </r>
  <r>
    <n v="109"/>
    <s v="109 | Finance"/>
    <x v="21"/>
    <x v="7"/>
    <x v="29"/>
    <x v="4"/>
    <s v="Finance-Senior Manager"/>
    <x v="3"/>
    <d v="2023-03-24T21:07:16"/>
    <x v="875"/>
    <x v="285"/>
    <n v="10"/>
    <d v="2023-04-24T21:07:16"/>
    <s v="Yes"/>
    <d v="2023-04-09T21:07:16"/>
    <x v="1"/>
    <x v="1"/>
    <d v="2023-04-16T21:07:16"/>
    <s v="Declined"/>
    <m/>
    <m/>
    <d v="2023-04-12T21:07:16"/>
    <m/>
    <x v="0"/>
    <m/>
    <m/>
    <m/>
    <m/>
    <m/>
    <m/>
    <s v="C2466"/>
    <s v="Candidate_1466"/>
    <s v="04-01-2023"/>
    <x v="2"/>
    <s v="Job Board"/>
    <n v="6"/>
    <m/>
    <x v="0"/>
    <m/>
    <m/>
    <x v="0"/>
    <x v="0"/>
    <m/>
    <x v="1"/>
    <x v="0"/>
  </r>
  <r>
    <n v="104"/>
    <s v="104 | Finance"/>
    <x v="22"/>
    <x v="7"/>
    <x v="29"/>
    <x v="4"/>
    <s v="Finance-Senior Manager"/>
    <x v="3"/>
    <d v="2023-03-29T21:07:16"/>
    <x v="876"/>
    <x v="285"/>
    <n v="5"/>
    <d v="2023-04-15T21:07:16"/>
    <s v="Yes"/>
    <d v="2023-04-08T21:07:16"/>
    <x v="3"/>
    <x v="1"/>
    <d v="2023-04-14T21:07:16"/>
    <s v="Accepted"/>
    <d v="2023-04-09T21:07:16"/>
    <d v="2023-04-13T21:07:16"/>
    <d v="2023-04-11T21:07:16"/>
    <d v="2023-04-12T21:07:16"/>
    <x v="1"/>
    <d v="2023-04-13T21:07:16"/>
    <d v="2023-04-14T21:07:16"/>
    <d v="2023-04-16T21:07:16"/>
    <m/>
    <m/>
    <d v="2023-04-29T21:07:16"/>
    <s v="C2467"/>
    <s v="Candidate_1467"/>
    <s v="03-20-2023"/>
    <x v="2"/>
    <s v="Job Board"/>
    <n v="3"/>
    <m/>
    <x v="0"/>
    <m/>
    <m/>
    <x v="0"/>
    <x v="0"/>
    <m/>
    <x v="135"/>
    <x v="0"/>
  </r>
  <r>
    <n v="98"/>
    <s v="98 | Finance"/>
    <x v="21"/>
    <x v="7"/>
    <x v="29"/>
    <x v="4"/>
    <s v="Finance-Senior Manager"/>
    <x v="3"/>
    <d v="2022-10-06T14:05:41"/>
    <x v="877"/>
    <x v="286"/>
    <n v="7"/>
    <d v="2022-10-22T14:05:41"/>
    <s v="Yes"/>
    <d v="2022-10-21T14:05:41"/>
    <x v="3"/>
    <x v="1"/>
    <d v="2022-10-26T14:05:41"/>
    <s v="Accepted"/>
    <d v="2022-10-23T14:05:41"/>
    <d v="2022-10-27T14:05:41"/>
    <d v="2022-10-24T14:05:41"/>
    <d v="2022-10-30T14:05:41"/>
    <x v="1"/>
    <d v="2022-11-01T14:05:41"/>
    <d v="2022-11-03T14:05:41"/>
    <d v="2022-11-04T14:05:41"/>
    <m/>
    <m/>
    <d v="2022-11-23T14:05:41"/>
    <s v="C2468"/>
    <s v="Candidate_1468"/>
    <s v="Oct 04 2022"/>
    <x v="2"/>
    <s v="Job Board"/>
    <n v="6"/>
    <m/>
    <x v="0"/>
    <m/>
    <m/>
    <x v="0"/>
    <x v="0"/>
    <m/>
    <x v="136"/>
    <x v="0"/>
  </r>
  <r>
    <n v="94"/>
    <s v="94 | Finance"/>
    <x v="22"/>
    <x v="7"/>
    <x v="29"/>
    <x v="4"/>
    <s v="Finance-Senior Manager"/>
    <x v="3"/>
    <d v="2022-10-08T14:05:41"/>
    <x v="878"/>
    <x v="286"/>
    <n v="5"/>
    <d v="2022-11-02T14:05:41"/>
    <s v="Yes"/>
    <d v="2022-10-16T14:05:41"/>
    <x v="4"/>
    <x v="1"/>
    <d v="2022-10-23T14:05:41"/>
    <s v="Pending"/>
    <m/>
    <m/>
    <d v="2022-10-19T14:05:41"/>
    <m/>
    <x v="0"/>
    <m/>
    <m/>
    <m/>
    <m/>
    <m/>
    <m/>
    <s v="C2469"/>
    <s v="Candidate_1469"/>
    <s v="10-10-2022"/>
    <x v="1"/>
    <s v="Linkedin"/>
    <n v="3"/>
    <m/>
    <x v="0"/>
    <m/>
    <m/>
    <x v="0"/>
    <x v="0"/>
    <m/>
    <x v="1"/>
    <x v="0"/>
  </r>
  <r>
    <n v="28"/>
    <s v="28 | Finance"/>
    <x v="22"/>
    <x v="7"/>
    <x v="29"/>
    <x v="4"/>
    <s v="Finance-Senior Manager"/>
    <x v="3"/>
    <d v="2022-12-27T10:52:58"/>
    <x v="879"/>
    <x v="287"/>
    <n v="5"/>
    <d v="2023-01-20T10:52:58"/>
    <s v="Yes"/>
    <d v="2023-01-17T10:52:58"/>
    <x v="0"/>
    <x v="3"/>
    <m/>
    <m/>
    <m/>
    <m/>
    <d v="2023-01-18T10:52:58"/>
    <m/>
    <x v="0"/>
    <m/>
    <m/>
    <m/>
    <m/>
    <s v="Company"/>
    <m/>
    <s v="C2470"/>
    <s v="Candidate_1470"/>
    <s v="Jan 06 2023"/>
    <x v="1"/>
    <s v="Linkedin"/>
    <n v="6"/>
    <m/>
    <x v="0"/>
    <m/>
    <m/>
    <x v="0"/>
    <x v="0"/>
    <m/>
    <x v="1"/>
    <x v="0"/>
  </r>
  <r>
    <n v="22"/>
    <s v="22 | Finance"/>
    <x v="22"/>
    <x v="7"/>
    <x v="29"/>
    <x v="4"/>
    <s v="Finance-Senior Manager"/>
    <x v="3"/>
    <d v="2022-12-27T10:52:58"/>
    <x v="880"/>
    <x v="287"/>
    <n v="5"/>
    <d v="2023-01-17T10:52:58"/>
    <s v="Yes"/>
    <d v="2023-01-12T10:52:58"/>
    <x v="0"/>
    <x v="5"/>
    <m/>
    <m/>
    <m/>
    <m/>
    <d v="2023-01-13T10:52:58"/>
    <m/>
    <x v="0"/>
    <m/>
    <m/>
    <m/>
    <m/>
    <s v="Candidate"/>
    <m/>
    <s v="C2471"/>
    <s v="Candidate_1471"/>
    <s v="Jan 02 2023"/>
    <x v="1"/>
    <s v="Linkedin"/>
    <n v="6"/>
    <m/>
    <x v="0"/>
    <m/>
    <m/>
    <x v="0"/>
    <x v="0"/>
    <m/>
    <x v="1"/>
    <x v="0"/>
  </r>
  <r>
    <n v="16"/>
    <s v="16 | Finance"/>
    <x v="22"/>
    <x v="7"/>
    <x v="29"/>
    <x v="4"/>
    <s v="Finance-Senior Manager"/>
    <x v="3"/>
    <m/>
    <x v="881"/>
    <x v="288"/>
    <n v="44642.901284722233"/>
    <d v="2022-04-03T21:37:51"/>
    <s v="Yes"/>
    <d v="2022-03-24T21:37:51"/>
    <x v="3"/>
    <x v="1"/>
    <d v="2022-03-29T21:37:51"/>
    <s v="Accepted"/>
    <d v="2022-03-25T21:37:51"/>
    <d v="2022-03-27T21:37:51"/>
    <d v="2022-03-27T21:37:51"/>
    <d v="2022-04-06T21:37:51"/>
    <x v="1"/>
    <d v="2022-04-08T21:37:51"/>
    <d v="2022-04-09T21:37:51"/>
    <d v="2022-04-12T21:37:51"/>
    <m/>
    <m/>
    <d v="2022-04-29T21:37:51"/>
    <s v="C2472"/>
    <s v="Candidate_1472"/>
    <s v="03-05-2022"/>
    <x v="0"/>
    <s v="Referral"/>
    <n v="3"/>
    <m/>
    <x v="0"/>
    <m/>
    <m/>
    <x v="0"/>
    <x v="0"/>
    <m/>
    <x v="0"/>
    <x v="0"/>
  </r>
  <r>
    <n v="14"/>
    <s v="14 | Finance"/>
    <x v="22"/>
    <x v="7"/>
    <x v="29"/>
    <x v="4"/>
    <s v="Finance-Senior Manager"/>
    <x v="3"/>
    <d v="2022-03-18T21:37:51"/>
    <x v="882"/>
    <x v="288"/>
    <n v="4"/>
    <d v="2022-04-04T21:37:51"/>
    <s v="Yes"/>
    <d v="2022-03-29T21:37:51"/>
    <x v="0"/>
    <x v="4"/>
    <m/>
    <m/>
    <m/>
    <m/>
    <m/>
    <m/>
    <x v="0"/>
    <m/>
    <m/>
    <m/>
    <m/>
    <s v="Company"/>
    <m/>
    <s v="C2473"/>
    <s v="Candidate_1473"/>
    <s v="Mar 22 2022"/>
    <x v="0"/>
    <s v="Referral"/>
    <n v="3"/>
    <m/>
    <x v="0"/>
    <m/>
    <m/>
    <x v="0"/>
    <x v="0"/>
    <m/>
    <x v="1"/>
    <x v="0"/>
  </r>
  <r>
    <n v="2850"/>
    <s v="2850 | Finance"/>
    <x v="23"/>
    <x v="7"/>
    <x v="30"/>
    <x v="18"/>
    <s v="Finance-Fund Administrator"/>
    <x v="4"/>
    <d v="2022-04-01T10:38:28"/>
    <x v="883"/>
    <x v="257"/>
    <n v="6"/>
    <d v="2022-06-16T10:38:28"/>
    <s v="No"/>
    <m/>
    <x v="2"/>
    <x v="1"/>
    <m/>
    <m/>
    <m/>
    <m/>
    <m/>
    <m/>
    <x v="0"/>
    <m/>
    <m/>
    <m/>
    <m/>
    <m/>
    <m/>
    <s v="C2474"/>
    <s v="Candidate_1474"/>
    <m/>
    <x v="2"/>
    <s v="Job Board"/>
    <n v="6"/>
    <m/>
    <x v="0"/>
    <m/>
    <m/>
    <x v="0"/>
    <x v="0"/>
    <m/>
    <x v="1"/>
    <x v="0"/>
  </r>
  <r>
    <n v="2846"/>
    <s v="2846 | Finance"/>
    <x v="21"/>
    <x v="7"/>
    <x v="30"/>
    <x v="18"/>
    <s v="Finance-Fund Administrator"/>
    <x v="4"/>
    <d v="2022-04-01T10:38:28"/>
    <x v="883"/>
    <x v="257"/>
    <n v="6"/>
    <d v="2022-06-16T10:38:28"/>
    <s v="Yes"/>
    <d v="2022-04-14T10:38:28"/>
    <x v="0"/>
    <x v="2"/>
    <m/>
    <m/>
    <m/>
    <m/>
    <m/>
    <m/>
    <x v="0"/>
    <m/>
    <m/>
    <m/>
    <m/>
    <s v="Company"/>
    <m/>
    <s v="C2475"/>
    <s v="Candidate_1475"/>
    <s v="04-07-2022"/>
    <x v="2"/>
    <s v="Job Board"/>
    <n v="3"/>
    <m/>
    <x v="0"/>
    <m/>
    <m/>
    <x v="0"/>
    <x v="0"/>
    <m/>
    <x v="1"/>
    <x v="0"/>
  </r>
  <r>
    <n v="2842"/>
    <s v="2842 | Finance"/>
    <x v="22"/>
    <x v="7"/>
    <x v="30"/>
    <x v="18"/>
    <s v="Finance-Fund Administrator"/>
    <x v="4"/>
    <d v="2022-04-05T10:38:28"/>
    <x v="884"/>
    <x v="4"/>
    <n v="-44656.443379629629"/>
    <d v="2022-05-04T10:38:28"/>
    <s v="Yes"/>
    <d v="2022-04-17T10:38:28"/>
    <x v="0"/>
    <x v="0"/>
    <m/>
    <m/>
    <m/>
    <m/>
    <m/>
    <m/>
    <x v="0"/>
    <m/>
    <m/>
    <m/>
    <m/>
    <s v="Company"/>
    <m/>
    <s v="C2476"/>
    <s v="Candidate_1476"/>
    <s v="04/04/2022"/>
    <x v="0"/>
    <s v="Referral"/>
    <n v="3"/>
    <m/>
    <x v="0"/>
    <m/>
    <m/>
    <x v="0"/>
    <x v="0"/>
    <m/>
    <x v="0"/>
    <x v="0"/>
  </r>
  <r>
    <n v="2841"/>
    <s v="2841 | Finance"/>
    <x v="21"/>
    <x v="7"/>
    <x v="30"/>
    <x v="18"/>
    <s v="Finance-Fund Administrator"/>
    <x v="4"/>
    <d v="2022-04-04T10:38:28"/>
    <x v="884"/>
    <x v="257"/>
    <n v="3"/>
    <d v="2022-04-15T10:38:28"/>
    <s v="No"/>
    <m/>
    <x v="2"/>
    <x v="1"/>
    <m/>
    <m/>
    <m/>
    <m/>
    <m/>
    <m/>
    <x v="0"/>
    <m/>
    <m/>
    <m/>
    <m/>
    <m/>
    <m/>
    <s v="C2477"/>
    <s v="Candidate_1477"/>
    <m/>
    <x v="2"/>
    <s v="Job Board"/>
    <n v="3"/>
    <m/>
    <x v="0"/>
    <m/>
    <m/>
    <x v="0"/>
    <x v="0"/>
    <m/>
    <x v="1"/>
    <x v="0"/>
  </r>
  <r>
    <n v="2754"/>
    <s v="2754 | Finance"/>
    <x v="21"/>
    <x v="7"/>
    <x v="30"/>
    <x v="18"/>
    <s v="Finance-Fund Administrator"/>
    <x v="4"/>
    <d v="2023-04-10T18:21:43"/>
    <x v="885"/>
    <x v="289"/>
    <n v="6"/>
    <d v="2023-05-15T18:21:43"/>
    <s v="Yes"/>
    <d v="2023-05-02T18:21:43"/>
    <x v="0"/>
    <x v="3"/>
    <m/>
    <m/>
    <m/>
    <m/>
    <d v="2023-05-06T18:21:43"/>
    <m/>
    <x v="0"/>
    <m/>
    <m/>
    <m/>
    <m/>
    <s v="Company"/>
    <m/>
    <s v="C2478"/>
    <s v="Candidate_1478"/>
    <s v="04-27-2023"/>
    <x v="2"/>
    <s v="Job Board"/>
    <n v="6"/>
    <m/>
    <x v="0"/>
    <m/>
    <m/>
    <x v="0"/>
    <x v="0"/>
    <m/>
    <x v="1"/>
    <x v="0"/>
  </r>
  <r>
    <n v="2753"/>
    <s v="2753 | Finance"/>
    <x v="21"/>
    <x v="7"/>
    <x v="30"/>
    <x v="18"/>
    <s v="Finance-Fund Administrator"/>
    <x v="4"/>
    <d v="2023-04-08T18:21:43"/>
    <x v="886"/>
    <x v="289"/>
    <n v="8"/>
    <d v="2023-05-04T18:21:43"/>
    <s v="No"/>
    <m/>
    <x v="2"/>
    <x v="1"/>
    <m/>
    <m/>
    <m/>
    <m/>
    <m/>
    <m/>
    <x v="0"/>
    <m/>
    <m/>
    <m/>
    <m/>
    <m/>
    <m/>
    <s v="C2479"/>
    <s v="Candidate_1479"/>
    <m/>
    <x v="2"/>
    <s v="Job Board"/>
    <n v="3"/>
    <m/>
    <x v="0"/>
    <m/>
    <m/>
    <x v="0"/>
    <x v="0"/>
    <m/>
    <x v="1"/>
    <x v="0"/>
  </r>
  <r>
    <n v="2751"/>
    <s v="2751 | Finance"/>
    <x v="22"/>
    <x v="7"/>
    <x v="30"/>
    <x v="18"/>
    <s v="Finance-Fund Administrator"/>
    <x v="4"/>
    <d v="2023-04-12T18:21:43"/>
    <x v="887"/>
    <x v="289"/>
    <n v="4"/>
    <d v="2023-05-03T18:21:43"/>
    <s v="Yes"/>
    <d v="2023-04-17T18:21:43"/>
    <x v="0"/>
    <x v="3"/>
    <m/>
    <m/>
    <m/>
    <m/>
    <d v="2023-04-18T18:21:43"/>
    <m/>
    <x v="0"/>
    <m/>
    <m/>
    <m/>
    <m/>
    <s v="Candidate"/>
    <m/>
    <s v="C2480"/>
    <s v="Candidate_1480"/>
    <s v="07/04/2023"/>
    <x v="1"/>
    <s v="Linkedin"/>
    <n v="3"/>
    <m/>
    <x v="0"/>
    <m/>
    <m/>
    <x v="0"/>
    <x v="0"/>
    <m/>
    <x v="1"/>
    <x v="0"/>
  </r>
  <r>
    <n v="2688"/>
    <s v="2688 | Finance"/>
    <x v="22"/>
    <x v="7"/>
    <x v="30"/>
    <x v="18"/>
    <s v="Finance-Fund Administrator"/>
    <x v="4"/>
    <d v="2023-07-30T17:11:38"/>
    <x v="842"/>
    <x v="259"/>
    <n v="5"/>
    <d v="2023-08-31T17:11:38"/>
    <s v="Yes"/>
    <d v="2023-08-13T17:11:38"/>
    <x v="1"/>
    <x v="1"/>
    <d v="2023-08-18T17:11:38"/>
    <s v="Declined"/>
    <m/>
    <m/>
    <d v="2023-08-17T17:11:38"/>
    <m/>
    <x v="0"/>
    <m/>
    <m/>
    <m/>
    <m/>
    <m/>
    <m/>
    <s v="C2481"/>
    <s v="Candidate_1481"/>
    <s v="08-08-2023"/>
    <x v="0"/>
    <s v="Referral"/>
    <n v="3"/>
    <m/>
    <x v="0"/>
    <m/>
    <m/>
    <x v="0"/>
    <x v="0"/>
    <m/>
    <x v="1"/>
    <x v="0"/>
  </r>
  <r>
    <n v="2681"/>
    <s v="2681 | Finance"/>
    <x v="21"/>
    <x v="7"/>
    <x v="30"/>
    <x v="18"/>
    <s v="Finance-Fund Administrator"/>
    <x v="4"/>
    <d v="2023-08-01T17:11:38"/>
    <x v="842"/>
    <x v="259"/>
    <n v="3"/>
    <d v="2023-08-24T17:11:38"/>
    <s v="Yes"/>
    <d v="2023-08-12T17:11:38"/>
    <x v="4"/>
    <x v="1"/>
    <d v="2023-08-17T17:11:38"/>
    <s v="Pending"/>
    <m/>
    <m/>
    <d v="2023-08-14T17:11:38"/>
    <m/>
    <x v="0"/>
    <m/>
    <m/>
    <m/>
    <m/>
    <m/>
    <m/>
    <s v="C2482"/>
    <s v="Candidate_1482"/>
    <s v="24/07/2023"/>
    <x v="2"/>
    <s v="Job Board"/>
    <n v="3"/>
    <m/>
    <x v="0"/>
    <m/>
    <m/>
    <x v="0"/>
    <x v="0"/>
    <m/>
    <x v="1"/>
    <x v="0"/>
  </r>
  <r>
    <n v="2674"/>
    <s v="2674 | Finance"/>
    <x v="23"/>
    <x v="7"/>
    <x v="30"/>
    <x v="18"/>
    <s v="Finance-Fund Administrator"/>
    <x v="4"/>
    <m/>
    <x v="888"/>
    <x v="4"/>
    <n v="0"/>
    <d v="2022-02-28T03:23:10"/>
    <s v="Yes"/>
    <d v="2022-03-02T03:23:10"/>
    <x v="0"/>
    <x v="5"/>
    <m/>
    <m/>
    <m/>
    <m/>
    <d v="2022-03-06T03:23:10"/>
    <m/>
    <x v="0"/>
    <m/>
    <m/>
    <m/>
    <m/>
    <s v="Candidate"/>
    <m/>
    <s v="C2483"/>
    <s v="Candidate_1483"/>
    <s v="02-15-2022"/>
    <x v="2"/>
    <s v="Job Board"/>
    <n v="6"/>
    <m/>
    <x v="0"/>
    <m/>
    <m/>
    <x v="0"/>
    <x v="0"/>
    <m/>
    <x v="0"/>
    <x v="0"/>
  </r>
  <r>
    <n v="2671"/>
    <s v="2671 | Finance"/>
    <x v="23"/>
    <x v="7"/>
    <x v="30"/>
    <x v="18"/>
    <s v="Finance-Fund Administrator"/>
    <x v="4"/>
    <d v="2022-02-13T03:23:10"/>
    <x v="889"/>
    <x v="4"/>
    <n v="-44605.141087962962"/>
    <d v="2022-03-14T03:23:10"/>
    <s v="Yes"/>
    <d v="2022-02-18T03:23:10"/>
    <x v="4"/>
    <x v="1"/>
    <d v="2022-02-20T03:23:10"/>
    <s v="Pending"/>
    <m/>
    <m/>
    <d v="2022-02-19T03:23:10"/>
    <m/>
    <x v="0"/>
    <m/>
    <m/>
    <m/>
    <m/>
    <m/>
    <m/>
    <s v="C2484"/>
    <s v="Candidate_1484"/>
    <s v="Feb 12 2022"/>
    <x v="2"/>
    <s v="Job Board"/>
    <n v="3"/>
    <m/>
    <x v="0"/>
    <m/>
    <m/>
    <x v="0"/>
    <x v="0"/>
    <m/>
    <x v="0"/>
    <x v="0"/>
  </r>
  <r>
    <n v="2545"/>
    <s v="2545 | Finance"/>
    <x v="22"/>
    <x v="7"/>
    <x v="30"/>
    <x v="18"/>
    <s v="Finance-Fund Administrator"/>
    <x v="4"/>
    <d v="2023-06-27T11:30:00"/>
    <x v="890"/>
    <x v="290"/>
    <n v="8"/>
    <d v="2023-07-15T11:30:00"/>
    <s v="Yes"/>
    <d v="2023-07-20T11:30:00"/>
    <x v="0"/>
    <x v="3"/>
    <m/>
    <m/>
    <m/>
    <m/>
    <m/>
    <m/>
    <x v="0"/>
    <m/>
    <m/>
    <m/>
    <m/>
    <s v="Candidate"/>
    <m/>
    <s v="C2485"/>
    <s v="Candidate_1485"/>
    <s v="07/07/2023"/>
    <x v="2"/>
    <s v="Job Board"/>
    <n v="6"/>
    <m/>
    <x v="0"/>
    <m/>
    <m/>
    <x v="0"/>
    <x v="0"/>
    <m/>
    <x v="1"/>
    <x v="0"/>
  </r>
  <r>
    <n v="2541"/>
    <s v="2541 | Finance"/>
    <x v="21"/>
    <x v="7"/>
    <x v="30"/>
    <x v="18"/>
    <s v="Finance-Fund Administrator"/>
    <x v="4"/>
    <d v="2023-06-30T11:30:00"/>
    <x v="891"/>
    <x v="290"/>
    <n v="5"/>
    <d v="2023-08-03T11:30:00"/>
    <s v="Yes"/>
    <d v="2023-07-21T11:30:00"/>
    <x v="3"/>
    <x v="1"/>
    <d v="2023-07-25T11:30:00"/>
    <s v="Accepted"/>
    <d v="2023-07-23T11:30:00"/>
    <d v="2023-07-26T11:30:00"/>
    <d v="2023-07-24T11:30:00"/>
    <d v="2023-08-01T11:30:00"/>
    <x v="1"/>
    <d v="2023-08-04T11:30:00"/>
    <d v="2023-08-06T11:30:00"/>
    <d v="2023-08-07T11:30:00"/>
    <m/>
    <m/>
    <d v="2023-08-22T11:30:00"/>
    <s v="C2486"/>
    <s v="Candidate_1486"/>
    <s v="07-08-2023"/>
    <x v="2"/>
    <s v="Job Board"/>
    <n v="6"/>
    <m/>
    <x v="0"/>
    <m/>
    <m/>
    <x v="0"/>
    <x v="0"/>
    <m/>
    <x v="137"/>
    <x v="0"/>
  </r>
  <r>
    <n v="2479"/>
    <s v="2479 | Finance"/>
    <x v="21"/>
    <x v="7"/>
    <x v="30"/>
    <x v="18"/>
    <s v="Finance-Fund Administrator"/>
    <x v="4"/>
    <d v="2022-12-20T10:20:25"/>
    <x v="892"/>
    <x v="291"/>
    <n v="5"/>
    <d v="2023-01-18T10:20:25"/>
    <s v="Yes"/>
    <d v="2023-01-02T10:20:25"/>
    <x v="1"/>
    <x v="1"/>
    <d v="2023-01-08T10:20:25"/>
    <s v="Declined"/>
    <m/>
    <m/>
    <d v="2023-01-04T10:20:25"/>
    <m/>
    <x v="0"/>
    <m/>
    <m/>
    <m/>
    <m/>
    <m/>
    <m/>
    <s v="C2487"/>
    <s v="Candidate_1487"/>
    <s v="25/12/2022"/>
    <x v="2"/>
    <s v="Job Board"/>
    <n v="6"/>
    <m/>
    <x v="0"/>
    <m/>
    <m/>
    <x v="0"/>
    <x v="0"/>
    <m/>
    <x v="1"/>
    <x v="0"/>
  </r>
  <r>
    <n v="2471"/>
    <s v="2471 | Finance"/>
    <x v="23"/>
    <x v="7"/>
    <x v="30"/>
    <x v="18"/>
    <s v="Finance-Fund Administrator"/>
    <x v="4"/>
    <d v="2022-12-17T10:20:25"/>
    <x v="893"/>
    <x v="291"/>
    <n v="8"/>
    <d v="2023-01-17T10:20:25"/>
    <s v="Yes"/>
    <d v="2023-01-06T10:20:25"/>
    <x v="3"/>
    <x v="1"/>
    <d v="2023-01-10T10:20:25"/>
    <s v="Accepted"/>
    <d v="2023-01-07T10:20:25"/>
    <d v="2023-01-08T10:20:25"/>
    <d v="2023-01-07T10:20:25"/>
    <d v="2023-01-17T10:20:25"/>
    <x v="1"/>
    <d v="2023-01-20T10:20:25"/>
    <d v="2023-01-23T10:20:25"/>
    <d v="2023-01-26T10:20:25"/>
    <m/>
    <m/>
    <d v="2023-02-16T10:20:25"/>
    <s v="C2488"/>
    <s v="Candidate_1488"/>
    <s v="12-20-2022"/>
    <x v="1"/>
    <s v="Linkedin"/>
    <n v="6"/>
    <m/>
    <x v="0"/>
    <m/>
    <m/>
    <x v="0"/>
    <x v="0"/>
    <m/>
    <x v="138"/>
    <x v="0"/>
  </r>
  <r>
    <n v="2355"/>
    <s v="2355 | Finance"/>
    <x v="22"/>
    <x v="7"/>
    <x v="30"/>
    <x v="18"/>
    <s v="Finance-Fund Administrator"/>
    <x v="4"/>
    <d v="2023-04-10T12:37:54"/>
    <x v="894"/>
    <x v="292"/>
    <n v="6"/>
    <d v="2023-05-15T12:37:54"/>
    <s v="No"/>
    <m/>
    <x v="2"/>
    <x v="1"/>
    <m/>
    <m/>
    <m/>
    <m/>
    <m/>
    <m/>
    <x v="0"/>
    <m/>
    <m/>
    <m/>
    <m/>
    <m/>
    <m/>
    <s v="C2489"/>
    <s v="Candidate_1489"/>
    <m/>
    <x v="1"/>
    <s v="Linkedin"/>
    <n v="3"/>
    <m/>
    <x v="0"/>
    <m/>
    <m/>
    <x v="0"/>
    <x v="0"/>
    <m/>
    <x v="1"/>
    <x v="0"/>
  </r>
  <r>
    <n v="2354"/>
    <s v="2354 | Finance"/>
    <x v="22"/>
    <x v="7"/>
    <x v="30"/>
    <x v="18"/>
    <s v="Finance-Fund Administrator"/>
    <x v="4"/>
    <d v="2023-04-11T12:37:54"/>
    <x v="895"/>
    <x v="292"/>
    <n v="5"/>
    <d v="2023-04-22T12:37:54"/>
    <s v="Yes"/>
    <d v="2023-04-27T12:37:54"/>
    <x v="0"/>
    <x v="4"/>
    <m/>
    <m/>
    <m/>
    <m/>
    <d v="2023-04-30T12:37:54"/>
    <m/>
    <x v="0"/>
    <m/>
    <m/>
    <m/>
    <m/>
    <s v="Candidate"/>
    <m/>
    <s v="C2490"/>
    <s v="Candidate_1490"/>
    <s v="04-19-2023"/>
    <x v="1"/>
    <s v="Linkedin"/>
    <n v="3"/>
    <m/>
    <x v="0"/>
    <m/>
    <m/>
    <x v="0"/>
    <x v="0"/>
    <m/>
    <x v="1"/>
    <x v="0"/>
  </r>
  <r>
    <n v="2309"/>
    <s v="2309 | Finance"/>
    <x v="22"/>
    <x v="7"/>
    <x v="30"/>
    <x v="18"/>
    <s v="Finance-Fund Administrator"/>
    <x v="4"/>
    <d v="2023-06-22T01:56:26"/>
    <x v="0"/>
    <x v="293"/>
    <n v="6"/>
    <d v="2023-07-12T01:56:26"/>
    <s v="No"/>
    <m/>
    <x v="2"/>
    <x v="1"/>
    <m/>
    <m/>
    <m/>
    <m/>
    <m/>
    <m/>
    <x v="0"/>
    <m/>
    <m/>
    <m/>
    <m/>
    <m/>
    <m/>
    <s v="C2491"/>
    <s v="Candidate_1491"/>
    <m/>
    <x v="0"/>
    <s v="Referral"/>
    <n v="6"/>
    <m/>
    <x v="0"/>
    <m/>
    <m/>
    <x v="0"/>
    <x v="0"/>
    <m/>
    <x v="0"/>
    <x v="0"/>
  </r>
  <r>
    <n v="2283"/>
    <s v="2283 | Finance"/>
    <x v="21"/>
    <x v="7"/>
    <x v="30"/>
    <x v="18"/>
    <s v="Finance-Fund Administrator"/>
    <x v="4"/>
    <m/>
    <x v="896"/>
    <x v="294"/>
    <n v="44769.489282407398"/>
    <d v="2022-08-09T11:44:34"/>
    <s v="Yes"/>
    <d v="2022-08-08T11:44:34"/>
    <x v="3"/>
    <x v="1"/>
    <d v="2022-08-12T11:44:34"/>
    <s v="Accepted"/>
    <d v="2022-08-09T11:44:34"/>
    <d v="2022-08-12T11:44:34"/>
    <d v="2022-08-10T11:44:34"/>
    <d v="2022-08-20T11:44:34"/>
    <x v="1"/>
    <d v="2022-08-22T11:44:34"/>
    <d v="2022-08-23T11:44:34"/>
    <d v="2022-08-26T11:44:34"/>
    <m/>
    <m/>
    <d v="2022-09-14T11:44:34"/>
    <s v="C2492"/>
    <s v="Candidate_1492"/>
    <s v="22/07/2022"/>
    <x v="1"/>
    <s v="Linkedin"/>
    <n v="3"/>
    <m/>
    <x v="0"/>
    <m/>
    <m/>
    <x v="0"/>
    <x v="0"/>
    <m/>
    <x v="0"/>
    <x v="0"/>
  </r>
  <r>
    <n v="2234"/>
    <s v="2234 | Finance"/>
    <x v="21"/>
    <x v="7"/>
    <x v="30"/>
    <x v="18"/>
    <s v="Finance-Fund Administrator"/>
    <x v="4"/>
    <d v="2023-04-18T23:01:36"/>
    <x v="897"/>
    <x v="295"/>
    <n v="2"/>
    <d v="2023-05-20T23:01:36"/>
    <s v="No"/>
    <m/>
    <x v="2"/>
    <x v="1"/>
    <m/>
    <m/>
    <m/>
    <m/>
    <m/>
    <m/>
    <x v="0"/>
    <m/>
    <m/>
    <m/>
    <m/>
    <m/>
    <m/>
    <s v="C2493"/>
    <s v="Candidate_1493"/>
    <m/>
    <x v="1"/>
    <s v="Linkedin"/>
    <n v="3"/>
    <m/>
    <x v="0"/>
    <m/>
    <m/>
    <x v="0"/>
    <x v="0"/>
    <m/>
    <x v="1"/>
    <x v="0"/>
  </r>
  <r>
    <n v="2224"/>
    <s v="2224 | Finance"/>
    <x v="22"/>
    <x v="7"/>
    <x v="30"/>
    <x v="18"/>
    <s v="Finance-Fund Administrator"/>
    <x v="4"/>
    <d v="2023-08-19T12:50:13"/>
    <x v="898"/>
    <x v="4"/>
    <n v="-45157.534872685188"/>
    <d v="2023-09-18T12:50:13"/>
    <s v="Yes"/>
    <d v="2023-09-04T12:50:13"/>
    <x v="0"/>
    <x v="0"/>
    <m/>
    <m/>
    <m/>
    <m/>
    <m/>
    <m/>
    <x v="0"/>
    <m/>
    <m/>
    <m/>
    <m/>
    <s v="Candidate"/>
    <m/>
    <s v="C2494"/>
    <s v="Candidate_1494"/>
    <s v="Aug 28 2023"/>
    <x v="1"/>
    <s v="Linkedin"/>
    <n v="6"/>
    <m/>
    <x v="0"/>
    <m/>
    <m/>
    <x v="0"/>
    <x v="0"/>
    <m/>
    <x v="0"/>
    <x v="0"/>
  </r>
  <r>
    <n v="2171"/>
    <s v="2171 | Finance"/>
    <x v="22"/>
    <x v="7"/>
    <x v="30"/>
    <x v="18"/>
    <s v="Finance-Fund Administrator"/>
    <x v="4"/>
    <d v="2022-07-11T14:26:50"/>
    <x v="0"/>
    <x v="262"/>
    <n v="6"/>
    <d v="2022-08-04T14:26:50"/>
    <s v="Yes"/>
    <d v="2022-07-20T14:26:50"/>
    <x v="0"/>
    <x v="3"/>
    <m/>
    <m/>
    <m/>
    <m/>
    <d v="2022-07-21T14:26:50"/>
    <m/>
    <x v="0"/>
    <m/>
    <m/>
    <m/>
    <m/>
    <s v="Company"/>
    <m/>
    <s v="C2495"/>
    <s v="Candidate_1495"/>
    <s v="13/07/2022"/>
    <x v="2"/>
    <s v="Job Board"/>
    <n v="3"/>
    <m/>
    <x v="0"/>
    <m/>
    <m/>
    <x v="0"/>
    <x v="0"/>
    <m/>
    <x v="0"/>
    <x v="0"/>
  </r>
  <r>
    <n v="2088"/>
    <s v="2088 | Finance"/>
    <x v="22"/>
    <x v="7"/>
    <x v="30"/>
    <x v="18"/>
    <s v="Finance-Fund Administrator"/>
    <x v="4"/>
    <d v="2022-09-30T21:05:46"/>
    <x v="899"/>
    <x v="263"/>
    <n v="7"/>
    <d v="2022-10-17T21:05:46"/>
    <s v="Yes"/>
    <d v="2022-10-21T21:05:46"/>
    <x v="0"/>
    <x v="3"/>
    <m/>
    <m/>
    <m/>
    <m/>
    <d v="2022-10-23T21:05:46"/>
    <m/>
    <x v="0"/>
    <m/>
    <m/>
    <m/>
    <m/>
    <s v="Company"/>
    <m/>
    <s v="C2496"/>
    <s v="Candidate_1496"/>
    <s v="15/10/2022"/>
    <x v="1"/>
    <s v="Linkedin"/>
    <n v="6"/>
    <m/>
    <x v="0"/>
    <m/>
    <m/>
    <x v="0"/>
    <x v="0"/>
    <m/>
    <x v="1"/>
    <x v="0"/>
  </r>
  <r>
    <n v="2023"/>
    <s v="2023 | Finance"/>
    <x v="22"/>
    <x v="7"/>
    <x v="30"/>
    <x v="18"/>
    <s v="Finance-Fund Administrator"/>
    <x v="4"/>
    <d v="2022-08-10T16:19:01"/>
    <x v="900"/>
    <x v="296"/>
    <n v="7"/>
    <d v="2022-09-16T16:19:01"/>
    <s v="Yes"/>
    <d v="2022-08-30T16:19:01"/>
    <x v="0"/>
    <x v="5"/>
    <m/>
    <m/>
    <m/>
    <m/>
    <m/>
    <m/>
    <x v="0"/>
    <m/>
    <m/>
    <m/>
    <m/>
    <s v="Company"/>
    <m/>
    <s v="C2497"/>
    <s v="Candidate_1497"/>
    <s v="23/08/2022"/>
    <x v="1"/>
    <s v="Linkedin"/>
    <n v="6"/>
    <m/>
    <x v="0"/>
    <m/>
    <m/>
    <x v="0"/>
    <x v="0"/>
    <m/>
    <x v="1"/>
    <x v="0"/>
  </r>
  <r>
    <n v="2000"/>
    <s v="2000 | Finance"/>
    <x v="23"/>
    <x v="7"/>
    <x v="30"/>
    <x v="18"/>
    <s v="Finance-Fund Administrator"/>
    <x v="4"/>
    <d v="2023-03-30T15:41:39"/>
    <x v="901"/>
    <x v="297"/>
    <n v="6"/>
    <d v="2023-04-18T15:41:39"/>
    <s v="Yes"/>
    <d v="2023-04-12T15:41:39"/>
    <x v="3"/>
    <x v="1"/>
    <d v="2023-04-17T15:41:39"/>
    <s v="Accepted"/>
    <d v="2023-04-13T15:41:39"/>
    <d v="2023-04-15T15:41:39"/>
    <d v="2023-04-15T15:41:39"/>
    <d v="2023-04-16T15:41:39"/>
    <x v="1"/>
    <d v="2023-04-19T15:41:39"/>
    <d v="2023-04-21T15:41:39"/>
    <d v="2023-04-23T15:41:39"/>
    <m/>
    <m/>
    <d v="2023-05-10T15:41:39"/>
    <s v="C2498"/>
    <s v="Candidate_1498"/>
    <s v="04-06-2023"/>
    <x v="0"/>
    <s v="Referral"/>
    <n v="6"/>
    <m/>
    <x v="0"/>
    <m/>
    <m/>
    <x v="0"/>
    <x v="0"/>
    <m/>
    <x v="139"/>
    <x v="0"/>
  </r>
  <r>
    <n v="1998"/>
    <s v="1998 | Finance"/>
    <x v="23"/>
    <x v="7"/>
    <x v="30"/>
    <x v="18"/>
    <s v="Finance-Fund Administrator"/>
    <x v="4"/>
    <d v="2023-04-01T15:41:39"/>
    <x v="902"/>
    <x v="297"/>
    <n v="4"/>
    <d v="2023-05-04T15:41:39"/>
    <s v="Yes"/>
    <d v="2023-04-07T15:41:39"/>
    <x v="0"/>
    <x v="3"/>
    <m/>
    <m/>
    <m/>
    <m/>
    <m/>
    <m/>
    <x v="0"/>
    <m/>
    <m/>
    <m/>
    <m/>
    <s v="Company"/>
    <m/>
    <s v="C2499"/>
    <s v="Candidate_1499"/>
    <s v="Mar 24 2023"/>
    <x v="0"/>
    <s v="Referral"/>
    <n v="3"/>
    <m/>
    <x v="0"/>
    <m/>
    <m/>
    <x v="0"/>
    <x v="0"/>
    <m/>
    <x v="1"/>
    <x v="0"/>
  </r>
  <r>
    <n v="1997"/>
    <s v="1997 | Finance"/>
    <x v="22"/>
    <x v="7"/>
    <x v="30"/>
    <x v="18"/>
    <s v="Finance-Fund Administrator"/>
    <x v="4"/>
    <d v="2023-03-28T15:41:39"/>
    <x v="903"/>
    <x v="297"/>
    <n v="8"/>
    <d v="2023-04-13T15:41:39"/>
    <s v="No"/>
    <m/>
    <x v="2"/>
    <x v="1"/>
    <m/>
    <m/>
    <m/>
    <m/>
    <m/>
    <m/>
    <x v="0"/>
    <m/>
    <m/>
    <m/>
    <m/>
    <m/>
    <m/>
    <s v="C2500"/>
    <s v="Candidate_1500"/>
    <m/>
    <x v="2"/>
    <s v="Job Board"/>
    <n v="6"/>
    <m/>
    <x v="0"/>
    <m/>
    <m/>
    <x v="0"/>
    <x v="0"/>
    <m/>
    <x v="1"/>
    <x v="0"/>
  </r>
  <r>
    <n v="1995"/>
    <s v="1995 | Finance"/>
    <x v="21"/>
    <x v="7"/>
    <x v="30"/>
    <x v="18"/>
    <s v="Finance-Fund Administrator"/>
    <x v="4"/>
    <d v="2023-04-02T15:41:39"/>
    <x v="0"/>
    <x v="297"/>
    <n v="3"/>
    <d v="2023-04-18T15:41:39"/>
    <s v="Yes"/>
    <d v="2023-04-21T15:41:39"/>
    <x v="4"/>
    <x v="1"/>
    <d v="2023-04-26T15:41:39"/>
    <s v="Pending"/>
    <m/>
    <m/>
    <d v="2023-04-22T15:41:39"/>
    <m/>
    <x v="0"/>
    <m/>
    <m/>
    <m/>
    <m/>
    <m/>
    <m/>
    <s v="C2501"/>
    <s v="Candidate_1501"/>
    <s v="Apr 14 2023"/>
    <x v="2"/>
    <s v="Job Board"/>
    <n v="6"/>
    <m/>
    <x v="0"/>
    <m/>
    <m/>
    <x v="0"/>
    <x v="0"/>
    <m/>
    <x v="0"/>
    <x v="0"/>
  </r>
  <r>
    <n v="1993"/>
    <s v="1993 | Finance"/>
    <x v="22"/>
    <x v="7"/>
    <x v="30"/>
    <x v="18"/>
    <s v="Finance-Fund Administrator"/>
    <x v="4"/>
    <d v="2023-03-29T15:41:39"/>
    <x v="904"/>
    <x v="297"/>
    <n v="7"/>
    <d v="2023-04-25T15:41:39"/>
    <s v="Yes"/>
    <d v="2023-04-14T15:41:39"/>
    <x v="0"/>
    <x v="0"/>
    <m/>
    <m/>
    <m/>
    <m/>
    <d v="2023-04-17T15:41:39"/>
    <m/>
    <x v="0"/>
    <m/>
    <m/>
    <m/>
    <m/>
    <s v="Candidate"/>
    <m/>
    <s v="C2502"/>
    <s v="Candidate_1502"/>
    <s v="04-03-2023"/>
    <x v="2"/>
    <s v="Job Board"/>
    <n v="3"/>
    <m/>
    <x v="0"/>
    <m/>
    <m/>
    <x v="0"/>
    <x v="0"/>
    <m/>
    <x v="1"/>
    <x v="0"/>
  </r>
  <r>
    <n v="1870"/>
    <s v="1870 | Finance"/>
    <x v="22"/>
    <x v="7"/>
    <x v="30"/>
    <x v="18"/>
    <s v="Finance-Fund Administrator"/>
    <x v="4"/>
    <d v="2022-03-21T08:24:54"/>
    <x v="905"/>
    <x v="298"/>
    <n v="5"/>
    <d v="2022-04-09T08:24:54"/>
    <s v="Yes"/>
    <d v="2022-03-30T08:24:54"/>
    <x v="0"/>
    <x v="5"/>
    <m/>
    <m/>
    <m/>
    <m/>
    <d v="2022-04-03T08:24:54"/>
    <m/>
    <x v="0"/>
    <m/>
    <m/>
    <m/>
    <m/>
    <s v="Candidate"/>
    <m/>
    <s v="C2503"/>
    <s v="Candidate_1503"/>
    <s v="Mar 20 2022"/>
    <x v="2"/>
    <s v="Job Board"/>
    <n v="6"/>
    <m/>
    <x v="0"/>
    <m/>
    <m/>
    <x v="0"/>
    <x v="0"/>
    <m/>
    <x v="1"/>
    <x v="0"/>
  </r>
  <r>
    <n v="1866"/>
    <s v="1866 | Finance"/>
    <x v="21"/>
    <x v="7"/>
    <x v="30"/>
    <x v="18"/>
    <s v="Finance-Fund Administrator"/>
    <x v="4"/>
    <d v="2022-03-23T08:24:54"/>
    <x v="905"/>
    <x v="298"/>
    <n v="3"/>
    <d v="2022-04-21T08:24:54"/>
    <s v="Yes"/>
    <d v="2022-03-30T08:24:54"/>
    <x v="3"/>
    <x v="1"/>
    <d v="2022-04-03T08:24:54"/>
    <s v="Accepted"/>
    <d v="2022-03-31T08:24:54"/>
    <d v="2022-04-02T08:24:54"/>
    <d v="2022-03-31T08:24:54"/>
    <d v="2022-04-09T08:24:54"/>
    <x v="1"/>
    <d v="2022-04-10T08:24:54"/>
    <d v="2022-04-11T08:24:54"/>
    <d v="2022-04-12T08:24:54"/>
    <m/>
    <m/>
    <d v="2022-05-04T08:24:54"/>
    <s v="C2504"/>
    <s v="Candidate_1504"/>
    <s v="25/03/2022"/>
    <x v="1"/>
    <s v="Linkedin"/>
    <n v="6"/>
    <m/>
    <x v="0"/>
    <m/>
    <m/>
    <x v="0"/>
    <x v="0"/>
    <m/>
    <x v="140"/>
    <x v="0"/>
  </r>
  <r>
    <n v="1861"/>
    <s v="1861 | Finance"/>
    <x v="23"/>
    <x v="7"/>
    <x v="30"/>
    <x v="18"/>
    <s v="Finance-Fund Administrator"/>
    <x v="4"/>
    <d v="2022-03-19T08:24:54"/>
    <x v="906"/>
    <x v="298"/>
    <n v="7"/>
    <d v="2022-04-16T08:24:54"/>
    <s v="Yes"/>
    <d v="2022-03-30T08:24:54"/>
    <x v="1"/>
    <x v="1"/>
    <d v="2022-04-05T08:24:54"/>
    <s v="Declined"/>
    <m/>
    <m/>
    <d v="2022-04-01T08:24:54"/>
    <m/>
    <x v="0"/>
    <m/>
    <m/>
    <m/>
    <m/>
    <m/>
    <m/>
    <s v="C2505"/>
    <s v="Candidate_1505"/>
    <s v="03-11-2022"/>
    <x v="2"/>
    <s v="Job Board"/>
    <n v="3"/>
    <m/>
    <x v="0"/>
    <m/>
    <m/>
    <x v="0"/>
    <x v="0"/>
    <m/>
    <x v="1"/>
    <x v="0"/>
  </r>
  <r>
    <n v="1850"/>
    <s v="1850 | Finance"/>
    <x v="23"/>
    <x v="7"/>
    <x v="30"/>
    <x v="18"/>
    <s v="Finance-Fund Administrator"/>
    <x v="4"/>
    <d v="2022-02-20T23:17:04"/>
    <x v="0"/>
    <x v="4"/>
    <n v="-44612.970185185193"/>
    <d v="2022-03-06T23:17:04"/>
    <s v="Yes"/>
    <d v="2022-03-11T23:17:04"/>
    <x v="0"/>
    <x v="0"/>
    <m/>
    <m/>
    <m/>
    <m/>
    <m/>
    <m/>
    <x v="0"/>
    <m/>
    <m/>
    <m/>
    <m/>
    <s v="Candidate"/>
    <m/>
    <s v="C2506"/>
    <s v="Candidate_1506"/>
    <s v="01/03/2022"/>
    <x v="1"/>
    <s v="Linkedin"/>
    <n v="6"/>
    <m/>
    <x v="0"/>
    <m/>
    <m/>
    <x v="0"/>
    <x v="0"/>
    <m/>
    <x v="0"/>
    <x v="0"/>
  </r>
  <r>
    <n v="1848"/>
    <s v="1848 | Finance"/>
    <x v="22"/>
    <x v="7"/>
    <x v="30"/>
    <x v="18"/>
    <s v="Finance-Fund Administrator"/>
    <x v="4"/>
    <d v="2022-02-14T23:17:04"/>
    <x v="907"/>
    <x v="265"/>
    <n v="9"/>
    <d v="2022-03-07T23:17:04"/>
    <s v="Yes"/>
    <d v="2022-03-07T23:17:04"/>
    <x v="0"/>
    <x v="2"/>
    <m/>
    <m/>
    <m/>
    <m/>
    <m/>
    <m/>
    <x v="0"/>
    <m/>
    <m/>
    <m/>
    <m/>
    <s v="Company"/>
    <m/>
    <s v="C2507"/>
    <s v="Candidate_1507"/>
    <s v="21/02/2022"/>
    <x v="2"/>
    <s v="Job Board"/>
    <n v="6"/>
    <m/>
    <x v="0"/>
    <m/>
    <m/>
    <x v="0"/>
    <x v="0"/>
    <m/>
    <x v="1"/>
    <x v="0"/>
  </r>
  <r>
    <n v="1844"/>
    <s v="1844 | Finance"/>
    <x v="22"/>
    <x v="7"/>
    <x v="30"/>
    <x v="18"/>
    <s v="Finance-Fund Administrator"/>
    <x v="4"/>
    <m/>
    <x v="908"/>
    <x v="265"/>
    <n v="44615.970185185193"/>
    <d v="2022-03-08T23:17:04"/>
    <s v="Yes"/>
    <d v="2022-02-28T23:17:04"/>
    <x v="3"/>
    <x v="1"/>
    <d v="2022-03-03T23:17:04"/>
    <s v="Accepted"/>
    <d v="2022-03-02T23:17:04"/>
    <d v="2022-03-05T23:17:04"/>
    <d v="2022-03-02T23:17:04"/>
    <d v="2022-03-05T23:17:04"/>
    <x v="1"/>
    <d v="2022-03-07T23:17:04"/>
    <d v="2022-03-08T23:17:04"/>
    <d v="2022-03-09T23:17:04"/>
    <m/>
    <m/>
    <d v="2022-03-26T23:17:04"/>
    <s v="C2508"/>
    <s v="Candidate_1508"/>
    <s v="02-22-2022"/>
    <x v="2"/>
    <s v="Job Board"/>
    <n v="6"/>
    <m/>
    <x v="0"/>
    <m/>
    <m/>
    <x v="0"/>
    <x v="0"/>
    <m/>
    <x v="0"/>
    <x v="0"/>
  </r>
  <r>
    <n v="1760"/>
    <s v="1760 | Finance"/>
    <x v="22"/>
    <x v="7"/>
    <x v="30"/>
    <x v="18"/>
    <s v="Finance-Fund Administrator"/>
    <x v="4"/>
    <d v="2022-05-28T15:29:59"/>
    <x v="852"/>
    <x v="266"/>
    <n v="9"/>
    <d v="2022-06-27T15:29:59"/>
    <s v="Yes"/>
    <d v="2022-06-22T15:29:59"/>
    <x v="0"/>
    <x v="0"/>
    <m/>
    <m/>
    <m/>
    <m/>
    <d v="2022-06-26T15:29:59"/>
    <m/>
    <x v="0"/>
    <m/>
    <m/>
    <m/>
    <m/>
    <s v="Company"/>
    <m/>
    <s v="C2509"/>
    <s v="Candidate_1509"/>
    <s v="06-16-2022"/>
    <x v="0"/>
    <s v="Referral"/>
    <n v="3"/>
    <m/>
    <x v="0"/>
    <m/>
    <m/>
    <x v="0"/>
    <x v="0"/>
    <m/>
    <x v="1"/>
    <x v="0"/>
  </r>
  <r>
    <n v="1756"/>
    <s v="1756 | Finance"/>
    <x v="22"/>
    <x v="7"/>
    <x v="30"/>
    <x v="18"/>
    <s v="Finance-Fund Administrator"/>
    <x v="4"/>
    <d v="2022-05-28T15:29:59"/>
    <x v="909"/>
    <x v="4"/>
    <n v="-44709.645821759259"/>
    <d v="2022-07-06T15:29:59"/>
    <s v="Yes"/>
    <d v="2022-06-11T15:29:59"/>
    <x v="0"/>
    <x v="5"/>
    <m/>
    <m/>
    <m/>
    <m/>
    <m/>
    <m/>
    <x v="0"/>
    <m/>
    <m/>
    <m/>
    <m/>
    <s v="Company"/>
    <m/>
    <s v="C2510"/>
    <s v="Candidate_1510"/>
    <s v="29/05/2022"/>
    <x v="2"/>
    <s v="Job Board"/>
    <n v="6"/>
    <m/>
    <x v="0"/>
    <m/>
    <m/>
    <x v="0"/>
    <x v="0"/>
    <m/>
    <x v="0"/>
    <x v="0"/>
  </r>
  <r>
    <n v="1740"/>
    <s v="1740 | Finance"/>
    <x v="22"/>
    <x v="7"/>
    <x v="30"/>
    <x v="18"/>
    <s v="Finance-Fund Administrator"/>
    <x v="4"/>
    <d v="2022-01-03T15:13:53"/>
    <x v="910"/>
    <x v="299"/>
    <n v="4"/>
    <d v="2022-01-13T15:13:53"/>
    <s v="Yes"/>
    <d v="2022-01-20T15:13:53"/>
    <x v="3"/>
    <x v="1"/>
    <d v="2022-01-27T15:13:53"/>
    <s v="Accepted"/>
    <d v="2022-01-21T15:13:53"/>
    <d v="2022-01-25T15:13:53"/>
    <d v="2022-01-24T15:13:53"/>
    <d v="2022-01-25T15:13:53"/>
    <x v="1"/>
    <d v="2022-01-29T15:13:53"/>
    <d v="2022-01-31T15:13:53"/>
    <d v="2022-02-02T15:13:53"/>
    <m/>
    <m/>
    <d v="2022-02-24T15:13:53"/>
    <s v="C2511"/>
    <s v="Candidate_1511"/>
    <s v="Jan 15 2022"/>
    <x v="2"/>
    <s v="Job Board"/>
    <n v="6"/>
    <m/>
    <x v="0"/>
    <m/>
    <m/>
    <x v="0"/>
    <x v="0"/>
    <m/>
    <x v="141"/>
    <x v="0"/>
  </r>
  <r>
    <n v="1737"/>
    <s v="1737 | Finance"/>
    <x v="22"/>
    <x v="7"/>
    <x v="30"/>
    <x v="18"/>
    <s v="Finance-Fund Administrator"/>
    <x v="4"/>
    <d v="2022-01-03T15:13:53"/>
    <x v="911"/>
    <x v="299"/>
    <n v="4"/>
    <d v="2022-02-01T15:13:53"/>
    <s v="Yes"/>
    <d v="2022-01-12T15:13:53"/>
    <x v="0"/>
    <x v="2"/>
    <m/>
    <m/>
    <m/>
    <m/>
    <d v="2022-01-14T15:13:53"/>
    <m/>
    <x v="0"/>
    <m/>
    <m/>
    <m/>
    <m/>
    <s v="Company"/>
    <m/>
    <s v="C2512"/>
    <s v="Candidate_1512"/>
    <s v="27/12/2021"/>
    <x v="0"/>
    <s v="Referral"/>
    <n v="6"/>
    <m/>
    <x v="0"/>
    <m/>
    <m/>
    <x v="0"/>
    <x v="0"/>
    <m/>
    <x v="1"/>
    <x v="0"/>
  </r>
  <r>
    <n v="1736"/>
    <s v="1736 | Finance"/>
    <x v="23"/>
    <x v="7"/>
    <x v="30"/>
    <x v="18"/>
    <s v="Finance-Fund Administrator"/>
    <x v="4"/>
    <d v="2021-12-31T15:13:53"/>
    <x v="912"/>
    <x v="299"/>
    <n v="7"/>
    <d v="2022-01-12T15:13:53"/>
    <s v="Yes"/>
    <d v="2022-01-18T15:13:53"/>
    <x v="1"/>
    <x v="1"/>
    <d v="2022-01-24T15:13:53"/>
    <s v="Declined"/>
    <m/>
    <m/>
    <d v="2022-01-22T15:13:53"/>
    <m/>
    <x v="0"/>
    <m/>
    <m/>
    <m/>
    <m/>
    <m/>
    <m/>
    <s v="C2513"/>
    <s v="Candidate_1513"/>
    <s v="01/01/2022"/>
    <x v="2"/>
    <s v="Job Board"/>
    <n v="3"/>
    <m/>
    <x v="0"/>
    <m/>
    <m/>
    <x v="0"/>
    <x v="0"/>
    <m/>
    <x v="1"/>
    <x v="0"/>
  </r>
  <r>
    <n v="1735"/>
    <s v="1735 | Finance"/>
    <x v="22"/>
    <x v="7"/>
    <x v="30"/>
    <x v="18"/>
    <s v="Finance-Fund Administrator"/>
    <x v="4"/>
    <d v="2022-01-01T15:13:53"/>
    <x v="912"/>
    <x v="299"/>
    <n v="6"/>
    <d v="2022-01-18T15:13:53"/>
    <s v="Yes"/>
    <d v="2022-01-13T15:13:53"/>
    <x v="1"/>
    <x v="1"/>
    <d v="2022-01-18T15:13:53"/>
    <s v="Declined"/>
    <m/>
    <m/>
    <d v="2022-01-16T15:13:53"/>
    <m/>
    <x v="0"/>
    <m/>
    <m/>
    <m/>
    <m/>
    <m/>
    <m/>
    <s v="C2514"/>
    <s v="Candidate_1514"/>
    <s v="Dec 27 2021"/>
    <x v="0"/>
    <s v="Referral"/>
    <n v="3"/>
    <m/>
    <x v="0"/>
    <m/>
    <m/>
    <x v="0"/>
    <x v="0"/>
    <m/>
    <x v="1"/>
    <x v="0"/>
  </r>
  <r>
    <n v="1708"/>
    <s v="1708 | Finance"/>
    <x v="21"/>
    <x v="7"/>
    <x v="30"/>
    <x v="18"/>
    <s v="Finance-Fund Administrator"/>
    <x v="4"/>
    <d v="2023-03-03T18:01:56"/>
    <x v="0"/>
    <x v="4"/>
    <n v="-44988.751342592594"/>
    <d v="2023-04-03T18:01:56"/>
    <s v="Yes"/>
    <d v="2023-03-13T18:01:56"/>
    <x v="1"/>
    <x v="1"/>
    <d v="2023-03-18T18:01:56"/>
    <s v="Declined"/>
    <m/>
    <m/>
    <d v="2023-03-14T18:01:56"/>
    <m/>
    <x v="0"/>
    <m/>
    <m/>
    <m/>
    <m/>
    <m/>
    <m/>
    <s v="C2515"/>
    <s v="Candidate_1515"/>
    <s v="02-28-2023"/>
    <x v="1"/>
    <s v="Linkedin"/>
    <n v="6"/>
    <m/>
    <x v="0"/>
    <m/>
    <m/>
    <x v="0"/>
    <x v="0"/>
    <m/>
    <x v="0"/>
    <x v="0"/>
  </r>
  <r>
    <n v="1703"/>
    <s v="1703 | Finance"/>
    <x v="22"/>
    <x v="7"/>
    <x v="30"/>
    <x v="18"/>
    <s v="Finance-Fund Administrator"/>
    <x v="4"/>
    <d v="2023-03-03T18:01:56"/>
    <x v="913"/>
    <x v="267"/>
    <n v="6"/>
    <d v="2023-03-17T18:01:56"/>
    <s v="Yes"/>
    <d v="2023-03-19T18:01:56"/>
    <x v="1"/>
    <x v="1"/>
    <d v="2023-03-25T18:01:56"/>
    <s v="Declined"/>
    <m/>
    <m/>
    <d v="2023-03-21T18:01:56"/>
    <m/>
    <x v="0"/>
    <m/>
    <m/>
    <m/>
    <m/>
    <m/>
    <m/>
    <s v="C2516"/>
    <s v="Candidate_1516"/>
    <s v="14/03/2023"/>
    <x v="0"/>
    <s v="Referral"/>
    <n v="6"/>
    <m/>
    <x v="0"/>
    <m/>
    <m/>
    <x v="0"/>
    <x v="0"/>
    <m/>
    <x v="1"/>
    <x v="0"/>
  </r>
  <r>
    <n v="1701"/>
    <s v="1701 | Finance"/>
    <x v="23"/>
    <x v="7"/>
    <x v="30"/>
    <x v="18"/>
    <s v="Finance-Fund Administrator"/>
    <x v="4"/>
    <d v="2023-02-28T18:01:56"/>
    <x v="853"/>
    <x v="267"/>
    <n v="9"/>
    <d v="2023-04-02T18:01:56"/>
    <s v="Yes"/>
    <d v="2023-03-27T18:01:56"/>
    <x v="1"/>
    <x v="1"/>
    <d v="2023-03-31T18:01:56"/>
    <s v="Declined"/>
    <m/>
    <m/>
    <d v="2023-03-28T18:01:56"/>
    <m/>
    <x v="0"/>
    <m/>
    <m/>
    <m/>
    <m/>
    <m/>
    <m/>
    <s v="C2517"/>
    <s v="Candidate_1517"/>
    <s v="10/03/2023"/>
    <x v="2"/>
    <s v="Job Board"/>
    <n v="6"/>
    <m/>
    <x v="0"/>
    <m/>
    <m/>
    <x v="0"/>
    <x v="0"/>
    <m/>
    <x v="1"/>
    <x v="0"/>
  </r>
  <r>
    <n v="1678"/>
    <s v="1678 | Finance"/>
    <x v="22"/>
    <x v="7"/>
    <x v="30"/>
    <x v="18"/>
    <s v="Finance-Fund Administrator"/>
    <x v="4"/>
    <d v="2022-11-04T03:27:45"/>
    <x v="914"/>
    <x v="268"/>
    <n v="8"/>
    <d v="2022-11-21T03:27:45"/>
    <s v="Yes"/>
    <d v="2022-11-19T03:27:45"/>
    <x v="0"/>
    <x v="3"/>
    <m/>
    <m/>
    <m/>
    <m/>
    <m/>
    <m/>
    <x v="0"/>
    <m/>
    <m/>
    <m/>
    <m/>
    <s v="Candidate"/>
    <m/>
    <s v="C2518"/>
    <s v="Candidate_1518"/>
    <s v="11-01-2022"/>
    <x v="2"/>
    <s v="Job Board"/>
    <n v="6"/>
    <m/>
    <x v="0"/>
    <m/>
    <m/>
    <x v="0"/>
    <x v="0"/>
    <m/>
    <x v="1"/>
    <x v="0"/>
  </r>
  <r>
    <n v="1675"/>
    <s v="1675 | Finance"/>
    <x v="22"/>
    <x v="7"/>
    <x v="30"/>
    <x v="18"/>
    <s v="Finance-Fund Administrator"/>
    <x v="4"/>
    <d v="2022-11-08T03:27:45"/>
    <x v="915"/>
    <x v="268"/>
    <n v="4"/>
    <d v="2022-11-17T03:27:45"/>
    <s v="No"/>
    <m/>
    <x v="2"/>
    <x v="1"/>
    <m/>
    <m/>
    <m/>
    <m/>
    <m/>
    <m/>
    <x v="0"/>
    <m/>
    <m/>
    <m/>
    <m/>
    <m/>
    <m/>
    <s v="C2519"/>
    <s v="Candidate_1519"/>
    <m/>
    <x v="1"/>
    <s v="Linkedin"/>
    <n v="6"/>
    <m/>
    <x v="0"/>
    <m/>
    <m/>
    <x v="0"/>
    <x v="0"/>
    <m/>
    <x v="1"/>
    <x v="0"/>
  </r>
  <r>
    <n v="1638"/>
    <s v="1638 | Finance"/>
    <x v="23"/>
    <x v="7"/>
    <x v="30"/>
    <x v="18"/>
    <s v="Finance-Fund Administrator"/>
    <x v="4"/>
    <d v="2023-09-03T07:41:24"/>
    <x v="916"/>
    <x v="269"/>
    <n v="6"/>
    <d v="2023-09-24T07:41:24"/>
    <s v="Yes"/>
    <d v="2023-09-18T07:41:24"/>
    <x v="4"/>
    <x v="1"/>
    <d v="2023-09-20T07:41:24"/>
    <s v="Pending"/>
    <m/>
    <m/>
    <d v="2023-09-19T07:41:24"/>
    <m/>
    <x v="0"/>
    <m/>
    <m/>
    <m/>
    <m/>
    <m/>
    <m/>
    <s v="C2520"/>
    <s v="Candidate_1520"/>
    <s v="04/09/2023"/>
    <x v="1"/>
    <s v="Linkedin"/>
    <n v="6"/>
    <m/>
    <x v="0"/>
    <m/>
    <m/>
    <x v="0"/>
    <x v="0"/>
    <m/>
    <x v="1"/>
    <x v="0"/>
  </r>
  <r>
    <n v="1636"/>
    <s v="1636 | Finance"/>
    <x v="22"/>
    <x v="7"/>
    <x v="30"/>
    <x v="18"/>
    <s v="Finance-Fund Administrator"/>
    <x v="4"/>
    <d v="2023-09-07T07:41:24"/>
    <x v="917"/>
    <x v="269"/>
    <n v="2"/>
    <d v="2023-09-15T07:41:24"/>
    <s v="Yes"/>
    <d v="2023-09-14T07:41:24"/>
    <x v="0"/>
    <x v="0"/>
    <m/>
    <m/>
    <m/>
    <m/>
    <d v="2023-09-16T07:41:24"/>
    <m/>
    <x v="0"/>
    <m/>
    <m/>
    <m/>
    <m/>
    <s v="Candidate"/>
    <m/>
    <s v="C2521"/>
    <s v="Candidate_1521"/>
    <s v="Aug 29 2023"/>
    <x v="2"/>
    <s v="Job Board"/>
    <n v="3"/>
    <m/>
    <x v="0"/>
    <m/>
    <m/>
    <x v="0"/>
    <x v="0"/>
    <m/>
    <x v="1"/>
    <x v="0"/>
  </r>
  <r>
    <n v="1633"/>
    <s v="1633 | Finance"/>
    <x v="22"/>
    <x v="7"/>
    <x v="30"/>
    <x v="18"/>
    <s v="Finance-Fund Administrator"/>
    <x v="4"/>
    <d v="2023-09-07T07:41:24"/>
    <x v="917"/>
    <x v="269"/>
    <n v="2"/>
    <d v="2023-09-14T07:41:24"/>
    <s v="Yes"/>
    <d v="2023-09-12T07:41:24"/>
    <x v="0"/>
    <x v="4"/>
    <m/>
    <m/>
    <m/>
    <m/>
    <m/>
    <m/>
    <x v="0"/>
    <m/>
    <m/>
    <m/>
    <m/>
    <s v="Company"/>
    <m/>
    <s v="C2522"/>
    <s v="Candidate_1522"/>
    <s v="Sep 01 2023"/>
    <x v="0"/>
    <s v="Referral"/>
    <n v="6"/>
    <m/>
    <x v="0"/>
    <m/>
    <m/>
    <x v="0"/>
    <x v="0"/>
    <m/>
    <x v="1"/>
    <x v="0"/>
  </r>
  <r>
    <n v="1567"/>
    <s v="1567 | Finance"/>
    <x v="22"/>
    <x v="7"/>
    <x v="30"/>
    <x v="18"/>
    <s v="Finance-Fund Administrator"/>
    <x v="4"/>
    <d v="2022-03-18T11:46:18"/>
    <x v="918"/>
    <x v="271"/>
    <n v="7"/>
    <d v="2022-03-30T11:46:18"/>
    <s v="Yes"/>
    <d v="2022-04-09T11:46:18"/>
    <x v="3"/>
    <x v="1"/>
    <d v="2022-04-12T11:46:18"/>
    <s v="Accepted"/>
    <d v="2022-04-10T11:46:18"/>
    <d v="2022-04-12T11:46:18"/>
    <d v="2022-04-11T11:46:18"/>
    <d v="2022-04-19T11:46:18"/>
    <x v="1"/>
    <d v="2022-04-22T11:46:18"/>
    <d v="2022-04-25T11:46:18"/>
    <d v="2022-04-27T11:46:18"/>
    <m/>
    <m/>
    <d v="2022-05-06T11:46:18"/>
    <s v="C2523"/>
    <s v="Candidate_1523"/>
    <s v="Mar 25 2022"/>
    <x v="2"/>
    <s v="Job Board"/>
    <n v="3"/>
    <m/>
    <x v="0"/>
    <m/>
    <m/>
    <x v="0"/>
    <x v="0"/>
    <m/>
    <x v="142"/>
    <x v="0"/>
  </r>
  <r>
    <n v="1564"/>
    <s v="1564 | Finance"/>
    <x v="22"/>
    <x v="7"/>
    <x v="30"/>
    <x v="18"/>
    <s v="Finance-Fund Administrator"/>
    <x v="4"/>
    <d v="2022-03-15T11:46:18"/>
    <x v="0"/>
    <x v="271"/>
    <n v="10"/>
    <d v="2022-04-19T11:46:18"/>
    <s v="No"/>
    <m/>
    <x v="2"/>
    <x v="1"/>
    <m/>
    <m/>
    <m/>
    <m/>
    <m/>
    <m/>
    <x v="0"/>
    <m/>
    <m/>
    <m/>
    <m/>
    <m/>
    <m/>
    <s v="C2524"/>
    <s v="Candidate_1524"/>
    <m/>
    <x v="2"/>
    <s v="Job Board"/>
    <n v="6"/>
    <m/>
    <x v="0"/>
    <m/>
    <m/>
    <x v="0"/>
    <x v="0"/>
    <m/>
    <x v="0"/>
    <x v="0"/>
  </r>
  <r>
    <n v="1562"/>
    <s v="1562 | Finance"/>
    <x v="22"/>
    <x v="7"/>
    <x v="30"/>
    <x v="18"/>
    <s v="Finance-Fund Administrator"/>
    <x v="4"/>
    <d v="2022-03-18T11:46:18"/>
    <x v="919"/>
    <x v="271"/>
    <n v="7"/>
    <d v="2022-04-10T11:46:18"/>
    <s v="Yes"/>
    <d v="2022-03-30T11:46:18"/>
    <x v="3"/>
    <x v="1"/>
    <d v="2022-04-03T11:46:18"/>
    <s v="Accepted"/>
    <d v="2022-03-31T11:46:18"/>
    <d v="2022-04-03T11:46:18"/>
    <d v="2022-04-01T11:46:18"/>
    <d v="2022-04-07T11:46:18"/>
    <x v="1"/>
    <d v="2022-04-10T11:46:18"/>
    <d v="2022-04-12T11:46:18"/>
    <d v="2022-04-13T11:46:18"/>
    <m/>
    <m/>
    <d v="2022-04-24T11:46:18"/>
    <s v="C2525"/>
    <s v="Candidate_1525"/>
    <s v="17/03/2022"/>
    <x v="1"/>
    <s v="Linkedin"/>
    <n v="3"/>
    <m/>
    <x v="0"/>
    <m/>
    <m/>
    <x v="0"/>
    <x v="0"/>
    <m/>
    <x v="143"/>
    <x v="0"/>
  </r>
  <r>
    <n v="1549"/>
    <s v="1549 | Finance"/>
    <x v="23"/>
    <x v="7"/>
    <x v="30"/>
    <x v="18"/>
    <s v="Finance-Fund Administrator"/>
    <x v="4"/>
    <d v="2023-05-25T20:23:44"/>
    <x v="920"/>
    <x v="300"/>
    <n v="8"/>
    <d v="2023-06-26T20:23:44"/>
    <s v="Yes"/>
    <d v="2023-06-11T20:23:44"/>
    <x v="0"/>
    <x v="5"/>
    <m/>
    <m/>
    <m/>
    <m/>
    <m/>
    <m/>
    <x v="0"/>
    <m/>
    <m/>
    <m/>
    <m/>
    <s v="Candidate"/>
    <m/>
    <s v="C2526"/>
    <s v="Candidate_1526"/>
    <s v="May 24 2023"/>
    <x v="2"/>
    <s v="Job Board"/>
    <n v="3"/>
    <m/>
    <x v="0"/>
    <m/>
    <m/>
    <x v="0"/>
    <x v="0"/>
    <m/>
    <x v="1"/>
    <x v="0"/>
  </r>
  <r>
    <n v="1542"/>
    <s v="1542 | Finance"/>
    <x v="22"/>
    <x v="7"/>
    <x v="30"/>
    <x v="18"/>
    <s v="Finance-Fund Administrator"/>
    <x v="4"/>
    <d v="2023-05-23T20:23:44"/>
    <x v="921"/>
    <x v="300"/>
    <n v="10"/>
    <d v="2023-06-30T20:23:44"/>
    <s v="Yes"/>
    <d v="2023-06-17T20:23:44"/>
    <x v="0"/>
    <x v="0"/>
    <m/>
    <m/>
    <m/>
    <m/>
    <d v="2023-06-20T20:23:44"/>
    <m/>
    <x v="0"/>
    <m/>
    <m/>
    <m/>
    <m/>
    <s v="Candidate"/>
    <m/>
    <s v="C2527"/>
    <s v="Candidate_1527"/>
    <s v="06-09-2023"/>
    <x v="2"/>
    <s v="Job Board"/>
    <n v="3"/>
    <m/>
    <x v="0"/>
    <m/>
    <m/>
    <x v="0"/>
    <x v="0"/>
    <m/>
    <x v="1"/>
    <x v="0"/>
  </r>
  <r>
    <n v="1526"/>
    <s v="1526 | Finance"/>
    <x v="21"/>
    <x v="7"/>
    <x v="30"/>
    <x v="18"/>
    <s v="Finance-Fund Administrator"/>
    <x v="4"/>
    <d v="2023-01-02T00:36:18"/>
    <x v="858"/>
    <x v="4"/>
    <n v="-44928.025208333333"/>
    <d v="2023-01-14T00:36:18"/>
    <s v="Yes"/>
    <d v="2023-01-14T00:36:18"/>
    <x v="1"/>
    <x v="1"/>
    <d v="2023-01-19T00:36:18"/>
    <s v="Declined"/>
    <m/>
    <m/>
    <d v="2023-01-15T00:36:18"/>
    <m/>
    <x v="0"/>
    <m/>
    <m/>
    <m/>
    <m/>
    <m/>
    <m/>
    <s v="C2528"/>
    <s v="Candidate_1528"/>
    <s v="Dec 29 2022"/>
    <x v="2"/>
    <s v="Job Board"/>
    <n v="6"/>
    <m/>
    <x v="0"/>
    <m/>
    <m/>
    <x v="0"/>
    <x v="0"/>
    <m/>
    <x v="0"/>
    <x v="0"/>
  </r>
  <r>
    <n v="1521"/>
    <s v="1521 | Finance"/>
    <x v="21"/>
    <x v="7"/>
    <x v="30"/>
    <x v="18"/>
    <s v="Finance-Fund Administrator"/>
    <x v="4"/>
    <d v="2022-12-30T00:36:18"/>
    <x v="922"/>
    <x v="272"/>
    <n v="8"/>
    <d v="2023-01-22T00:36:18"/>
    <s v="Yes"/>
    <d v="2023-01-10T00:36:18"/>
    <x v="0"/>
    <x v="4"/>
    <m/>
    <m/>
    <m/>
    <m/>
    <m/>
    <m/>
    <x v="0"/>
    <m/>
    <m/>
    <m/>
    <m/>
    <s v="Company"/>
    <m/>
    <s v="C2529"/>
    <s v="Candidate_1529"/>
    <s v="12-31-2022"/>
    <x v="0"/>
    <s v="Referral"/>
    <n v="6"/>
    <m/>
    <x v="0"/>
    <m/>
    <m/>
    <x v="0"/>
    <x v="0"/>
    <m/>
    <x v="1"/>
    <x v="0"/>
  </r>
  <r>
    <n v="1517"/>
    <s v="1517 | Finance"/>
    <x v="22"/>
    <x v="7"/>
    <x v="30"/>
    <x v="18"/>
    <s v="Finance-Fund Administrator"/>
    <x v="4"/>
    <d v="2022-12-27T05:00:38"/>
    <x v="923"/>
    <x v="273"/>
    <n v="5"/>
    <d v="2023-01-29T05:00:38"/>
    <s v="Yes"/>
    <d v="2023-01-06T05:00:38"/>
    <x v="3"/>
    <x v="1"/>
    <d v="2023-01-12T05:00:38"/>
    <s v="Accepted"/>
    <d v="2023-01-07T05:00:38"/>
    <d v="2023-01-10T05:00:38"/>
    <d v="2023-01-08T05:00:38"/>
    <d v="2023-01-09T05:00:38"/>
    <x v="1"/>
    <d v="2023-01-12T05:00:38"/>
    <d v="2023-01-15T05:00:38"/>
    <d v="2023-01-16T05:00:38"/>
    <m/>
    <m/>
    <d v="2023-01-31T05:00:38"/>
    <s v="C2530"/>
    <s v="Candidate_1530"/>
    <s v="Dec 18 2022"/>
    <x v="1"/>
    <s v="Linkedin"/>
    <n v="3"/>
    <m/>
    <x v="0"/>
    <m/>
    <m/>
    <x v="0"/>
    <x v="0"/>
    <m/>
    <x v="144"/>
    <x v="0"/>
  </r>
  <r>
    <n v="1400"/>
    <s v="1400 | Finance"/>
    <x v="23"/>
    <x v="7"/>
    <x v="30"/>
    <x v="18"/>
    <s v="Finance-Fund Administrator"/>
    <x v="4"/>
    <d v="2022-08-14T08:38:11"/>
    <x v="924"/>
    <x v="4"/>
    <n v="-44787.359849537039"/>
    <d v="2022-09-15T08:38:11"/>
    <s v="Yes"/>
    <d v="2022-09-02T08:38:11"/>
    <x v="1"/>
    <x v="1"/>
    <d v="2022-09-09T08:38:11"/>
    <s v="Declined"/>
    <m/>
    <m/>
    <d v="2022-09-05T08:38:11"/>
    <m/>
    <x v="0"/>
    <m/>
    <m/>
    <m/>
    <m/>
    <m/>
    <m/>
    <s v="C2531"/>
    <s v="Candidate_1531"/>
    <s v="Aug 19 2022"/>
    <x v="1"/>
    <s v="Linkedin"/>
    <n v="6"/>
    <m/>
    <x v="0"/>
    <m/>
    <m/>
    <x v="0"/>
    <x v="0"/>
    <m/>
    <x v="0"/>
    <x v="0"/>
  </r>
  <r>
    <n v="1396"/>
    <s v="1396 | Finance"/>
    <x v="23"/>
    <x v="7"/>
    <x v="30"/>
    <x v="18"/>
    <s v="Finance-Fund Administrator"/>
    <x v="4"/>
    <m/>
    <x v="924"/>
    <x v="301"/>
    <n v="44796.359849537039"/>
    <d v="2022-09-14T08:38:11"/>
    <s v="No"/>
    <m/>
    <x v="2"/>
    <x v="1"/>
    <m/>
    <m/>
    <m/>
    <m/>
    <m/>
    <m/>
    <x v="0"/>
    <m/>
    <m/>
    <m/>
    <m/>
    <m/>
    <m/>
    <s v="C2532"/>
    <s v="Candidate_1532"/>
    <m/>
    <x v="1"/>
    <s v="Linkedin"/>
    <n v="6"/>
    <m/>
    <x v="0"/>
    <m/>
    <m/>
    <x v="0"/>
    <x v="0"/>
    <m/>
    <x v="0"/>
    <x v="0"/>
  </r>
  <r>
    <n v="1340"/>
    <s v="1340 | Finance"/>
    <x v="21"/>
    <x v="7"/>
    <x v="30"/>
    <x v="18"/>
    <s v="Finance-Fund Administrator"/>
    <x v="4"/>
    <d v="2023-08-27T16:35:04"/>
    <x v="925"/>
    <x v="302"/>
    <n v="9"/>
    <d v="2023-09-14T16:35:04"/>
    <s v="No"/>
    <m/>
    <x v="2"/>
    <x v="1"/>
    <m/>
    <m/>
    <m/>
    <m/>
    <m/>
    <m/>
    <x v="0"/>
    <m/>
    <m/>
    <m/>
    <m/>
    <m/>
    <m/>
    <s v="C2533"/>
    <s v="Candidate_1533"/>
    <m/>
    <x v="1"/>
    <s v="Linkedin"/>
    <n v="6"/>
    <m/>
    <x v="0"/>
    <m/>
    <m/>
    <x v="0"/>
    <x v="0"/>
    <m/>
    <x v="1"/>
    <x v="0"/>
  </r>
  <r>
    <n v="1337"/>
    <s v="1337 | Finance"/>
    <x v="22"/>
    <x v="7"/>
    <x v="30"/>
    <x v="18"/>
    <s v="Finance-Fund Administrator"/>
    <x v="4"/>
    <d v="2023-08-29T16:35:04"/>
    <x v="925"/>
    <x v="302"/>
    <n v="7"/>
    <d v="2023-09-22T16:35:04"/>
    <s v="Yes"/>
    <d v="2023-09-21T16:35:04"/>
    <x v="0"/>
    <x v="2"/>
    <m/>
    <m/>
    <m/>
    <m/>
    <m/>
    <m/>
    <x v="0"/>
    <m/>
    <m/>
    <m/>
    <m/>
    <s v="Candidate"/>
    <m/>
    <s v="C2534"/>
    <s v="Candidate_1534"/>
    <s v="09-16-2023"/>
    <x v="1"/>
    <s v="Linkedin"/>
    <n v="6"/>
    <m/>
    <x v="0"/>
    <m/>
    <m/>
    <x v="0"/>
    <x v="0"/>
    <m/>
    <x v="1"/>
    <x v="0"/>
  </r>
  <r>
    <n v="1309"/>
    <s v="1309 | Finance"/>
    <x v="22"/>
    <x v="7"/>
    <x v="30"/>
    <x v="18"/>
    <s v="Finance-Fund Administrator"/>
    <x v="4"/>
    <d v="2022-12-20T04:33:07"/>
    <x v="926"/>
    <x v="303"/>
    <n v="7"/>
    <d v="2023-01-09T04:33:07"/>
    <s v="Yes"/>
    <d v="2023-01-08T04:33:07"/>
    <x v="4"/>
    <x v="1"/>
    <d v="2023-01-12T04:33:07"/>
    <s v="Pending"/>
    <m/>
    <m/>
    <d v="2023-01-10T04:33:07"/>
    <m/>
    <x v="0"/>
    <m/>
    <m/>
    <m/>
    <m/>
    <m/>
    <m/>
    <s v="C2535"/>
    <s v="Candidate_1535"/>
    <s v="01-03-2023"/>
    <x v="2"/>
    <s v="Job Board"/>
    <n v="6"/>
    <m/>
    <x v="0"/>
    <m/>
    <m/>
    <x v="0"/>
    <x v="0"/>
    <m/>
    <x v="1"/>
    <x v="0"/>
  </r>
  <r>
    <n v="1270"/>
    <s v="1270 | Finance"/>
    <x v="23"/>
    <x v="7"/>
    <x v="30"/>
    <x v="18"/>
    <s v="Finance-Fund Administrator"/>
    <x v="4"/>
    <d v="2023-03-14T21:55:08"/>
    <x v="927"/>
    <x v="276"/>
    <n v="6"/>
    <d v="2023-03-31T21:55:08"/>
    <s v="Yes"/>
    <d v="2023-03-27T21:55:08"/>
    <x v="3"/>
    <x v="1"/>
    <d v="2023-04-02T21:55:08"/>
    <s v="Accepted"/>
    <d v="2023-03-29T21:55:08"/>
    <d v="2023-04-01T21:55:08"/>
    <d v="2023-03-31T21:55:08"/>
    <d v="2023-04-06T21:55:08"/>
    <x v="1"/>
    <d v="2023-04-08T21:55:08"/>
    <d v="2023-04-11T21:55:08"/>
    <d v="2023-04-13T21:55:08"/>
    <m/>
    <m/>
    <d v="2023-04-22T21:55:08"/>
    <s v="C2536"/>
    <s v="Candidate_1536"/>
    <s v="19/03/2023"/>
    <x v="1"/>
    <s v="Linkedin"/>
    <n v="6"/>
    <m/>
    <x v="0"/>
    <m/>
    <m/>
    <x v="0"/>
    <x v="0"/>
    <m/>
    <x v="145"/>
    <x v="0"/>
  </r>
  <r>
    <n v="1269"/>
    <s v="1269 | Finance"/>
    <x v="21"/>
    <x v="7"/>
    <x v="30"/>
    <x v="18"/>
    <s v="Finance-Fund Administrator"/>
    <x v="4"/>
    <d v="2023-03-12T21:55:08"/>
    <x v="928"/>
    <x v="276"/>
    <n v="8"/>
    <d v="2023-03-31T21:55:08"/>
    <s v="Yes"/>
    <d v="2023-04-04T21:55:08"/>
    <x v="4"/>
    <x v="1"/>
    <d v="2023-04-08T21:55:08"/>
    <s v="Pending"/>
    <m/>
    <m/>
    <d v="2023-04-05T21:55:08"/>
    <m/>
    <x v="0"/>
    <m/>
    <m/>
    <m/>
    <m/>
    <m/>
    <m/>
    <s v="C2537"/>
    <s v="Candidate_1537"/>
    <s v="22/03/2023"/>
    <x v="1"/>
    <s v="Linkedin"/>
    <n v="3"/>
    <m/>
    <x v="0"/>
    <m/>
    <m/>
    <x v="0"/>
    <x v="0"/>
    <m/>
    <x v="1"/>
    <x v="0"/>
  </r>
  <r>
    <n v="1268"/>
    <s v="1268 | Finance"/>
    <x v="22"/>
    <x v="7"/>
    <x v="30"/>
    <x v="18"/>
    <s v="Finance-Fund Administrator"/>
    <x v="4"/>
    <d v="2023-03-14T21:55:08"/>
    <x v="0"/>
    <x v="276"/>
    <n v="6"/>
    <d v="2023-04-17T21:55:08"/>
    <s v="Yes"/>
    <d v="2023-04-03T21:55:08"/>
    <x v="1"/>
    <x v="1"/>
    <d v="2023-04-08T21:55:08"/>
    <s v="Declined"/>
    <m/>
    <m/>
    <d v="2023-04-04T21:55:08"/>
    <m/>
    <x v="0"/>
    <m/>
    <m/>
    <m/>
    <m/>
    <m/>
    <m/>
    <s v="C2538"/>
    <s v="Candidate_1538"/>
    <s v="03-24-2023"/>
    <x v="1"/>
    <s v="Linkedin"/>
    <n v="6"/>
    <m/>
    <x v="0"/>
    <m/>
    <m/>
    <x v="0"/>
    <x v="0"/>
    <m/>
    <x v="0"/>
    <x v="0"/>
  </r>
  <r>
    <n v="1264"/>
    <s v="1264 | Finance"/>
    <x v="22"/>
    <x v="7"/>
    <x v="30"/>
    <x v="18"/>
    <s v="Finance-Fund Administrator"/>
    <x v="4"/>
    <m/>
    <x v="929"/>
    <x v="276"/>
    <n v="45005.913287037038"/>
    <d v="2023-04-01T21:55:08"/>
    <s v="Yes"/>
    <d v="2023-03-27T21:55:08"/>
    <x v="1"/>
    <x v="1"/>
    <d v="2023-04-02T21:55:08"/>
    <s v="Declined"/>
    <m/>
    <m/>
    <d v="2023-03-31T21:55:08"/>
    <m/>
    <x v="0"/>
    <m/>
    <m/>
    <m/>
    <m/>
    <m/>
    <m/>
    <s v="C2539"/>
    <s v="Candidate_1539"/>
    <s v="Mar 16 2023"/>
    <x v="0"/>
    <s v="Referral"/>
    <n v="6"/>
    <m/>
    <x v="0"/>
    <m/>
    <m/>
    <x v="0"/>
    <x v="0"/>
    <m/>
    <x v="0"/>
    <x v="0"/>
  </r>
  <r>
    <n v="1259"/>
    <s v="1259 | Finance"/>
    <x v="22"/>
    <x v="7"/>
    <x v="30"/>
    <x v="18"/>
    <s v="Finance-Fund Administrator"/>
    <x v="4"/>
    <m/>
    <x v="930"/>
    <x v="277"/>
    <n v="44743.170439814807"/>
    <d v="2022-07-27T04:05:26"/>
    <s v="No"/>
    <m/>
    <x v="2"/>
    <x v="1"/>
    <m/>
    <m/>
    <m/>
    <m/>
    <m/>
    <m/>
    <x v="0"/>
    <m/>
    <m/>
    <m/>
    <m/>
    <m/>
    <m/>
    <s v="C2540"/>
    <s v="Candidate_1540"/>
    <m/>
    <x v="2"/>
    <s v="Job Board"/>
    <n v="6"/>
    <m/>
    <x v="0"/>
    <m/>
    <m/>
    <x v="0"/>
    <x v="0"/>
    <m/>
    <x v="0"/>
    <x v="0"/>
  </r>
  <r>
    <n v="1254"/>
    <s v="1254 | Finance"/>
    <x v="21"/>
    <x v="7"/>
    <x v="30"/>
    <x v="18"/>
    <s v="Finance-Fund Administrator"/>
    <x v="4"/>
    <m/>
    <x v="931"/>
    <x v="277"/>
    <n v="44743.170439814807"/>
    <d v="2022-07-07T04:05:26"/>
    <s v="Yes"/>
    <d v="2022-07-09T04:05:26"/>
    <x v="0"/>
    <x v="0"/>
    <m/>
    <m/>
    <m/>
    <m/>
    <d v="2022-07-12T04:05:26"/>
    <m/>
    <x v="0"/>
    <m/>
    <m/>
    <m/>
    <m/>
    <s v="Candidate"/>
    <m/>
    <s v="C2541"/>
    <s v="Candidate_1541"/>
    <s v="Jun 26 2022"/>
    <x v="1"/>
    <s v="Linkedin"/>
    <n v="3"/>
    <m/>
    <x v="0"/>
    <m/>
    <m/>
    <x v="0"/>
    <x v="0"/>
    <m/>
    <x v="0"/>
    <x v="0"/>
  </r>
  <r>
    <n v="1251"/>
    <s v="1251 | Finance"/>
    <x v="21"/>
    <x v="7"/>
    <x v="30"/>
    <x v="18"/>
    <s v="Finance-Fund Administrator"/>
    <x v="4"/>
    <d v="2022-06-21T04:05:26"/>
    <x v="932"/>
    <x v="277"/>
    <n v="10"/>
    <d v="2022-07-10T04:05:26"/>
    <s v="Yes"/>
    <d v="2022-07-16T04:05:26"/>
    <x v="0"/>
    <x v="3"/>
    <m/>
    <m/>
    <m/>
    <m/>
    <m/>
    <m/>
    <x v="0"/>
    <m/>
    <m/>
    <m/>
    <m/>
    <s v="Company"/>
    <m/>
    <s v="C2542"/>
    <s v="Candidate_1542"/>
    <s v="06/07/2022"/>
    <x v="0"/>
    <s v="Referral"/>
    <n v="3"/>
    <m/>
    <x v="0"/>
    <m/>
    <m/>
    <x v="0"/>
    <x v="0"/>
    <m/>
    <x v="1"/>
    <x v="0"/>
  </r>
  <r>
    <n v="1144"/>
    <s v="1144 | Finance"/>
    <x v="23"/>
    <x v="7"/>
    <x v="30"/>
    <x v="18"/>
    <s v="Finance-Fund Administrator"/>
    <x v="4"/>
    <d v="2023-08-01T01:36:53"/>
    <x v="933"/>
    <x v="278"/>
    <n v="9"/>
    <d v="2023-08-21T01:36:53"/>
    <s v="Yes"/>
    <d v="2023-08-16T01:36:53"/>
    <x v="0"/>
    <x v="4"/>
    <m/>
    <m/>
    <m/>
    <m/>
    <m/>
    <m/>
    <x v="0"/>
    <m/>
    <m/>
    <m/>
    <m/>
    <s v="Company"/>
    <m/>
    <s v="C2543"/>
    <s v="Candidate_1543"/>
    <s v="28/07/2023"/>
    <x v="1"/>
    <s v="Linkedin"/>
    <n v="3"/>
    <m/>
    <x v="0"/>
    <m/>
    <m/>
    <x v="0"/>
    <x v="0"/>
    <m/>
    <x v="1"/>
    <x v="0"/>
  </r>
  <r>
    <n v="1142"/>
    <s v="1142 | Finance"/>
    <x v="22"/>
    <x v="7"/>
    <x v="30"/>
    <x v="18"/>
    <s v="Finance-Fund Administrator"/>
    <x v="4"/>
    <d v="2023-08-03T01:36:53"/>
    <x v="934"/>
    <x v="278"/>
    <n v="7"/>
    <d v="2023-09-02T01:36:53"/>
    <s v="Yes"/>
    <d v="2023-08-17T01:36:53"/>
    <x v="1"/>
    <x v="1"/>
    <d v="2023-08-24T01:36:53"/>
    <s v="Declined"/>
    <m/>
    <m/>
    <d v="2023-08-21T01:36:53"/>
    <m/>
    <x v="0"/>
    <m/>
    <m/>
    <m/>
    <m/>
    <m/>
    <m/>
    <s v="C2544"/>
    <s v="Candidate_1544"/>
    <s v="07-29-2023"/>
    <x v="2"/>
    <s v="Job Board"/>
    <n v="6"/>
    <m/>
    <x v="0"/>
    <m/>
    <m/>
    <x v="0"/>
    <x v="0"/>
    <m/>
    <x v="1"/>
    <x v="0"/>
  </r>
  <r>
    <n v="1141"/>
    <s v="1141 | Finance"/>
    <x v="22"/>
    <x v="7"/>
    <x v="30"/>
    <x v="18"/>
    <s v="Finance-Fund Administrator"/>
    <x v="4"/>
    <d v="2023-08-07T01:36:53"/>
    <x v="864"/>
    <x v="278"/>
    <n v="3"/>
    <d v="2023-08-15T01:36:53"/>
    <s v="No"/>
    <m/>
    <x v="2"/>
    <x v="1"/>
    <m/>
    <m/>
    <m/>
    <m/>
    <m/>
    <m/>
    <x v="0"/>
    <m/>
    <m/>
    <m/>
    <m/>
    <m/>
    <m/>
    <s v="C2545"/>
    <s v="Candidate_1545"/>
    <m/>
    <x v="0"/>
    <s v="Referral"/>
    <n v="3"/>
    <m/>
    <x v="0"/>
    <m/>
    <m/>
    <x v="0"/>
    <x v="0"/>
    <m/>
    <x v="1"/>
    <x v="0"/>
  </r>
  <r>
    <n v="1116"/>
    <s v="1116 | Finance"/>
    <x v="22"/>
    <x v="7"/>
    <x v="30"/>
    <x v="18"/>
    <s v="Finance-Fund Administrator"/>
    <x v="4"/>
    <d v="2023-04-07T06:23:43"/>
    <x v="0"/>
    <x v="279"/>
    <n v="4"/>
    <d v="2023-05-09T06:23:43"/>
    <s v="Yes"/>
    <d v="2023-04-20T06:23:43"/>
    <x v="0"/>
    <x v="3"/>
    <m/>
    <m/>
    <m/>
    <m/>
    <m/>
    <m/>
    <x v="0"/>
    <m/>
    <m/>
    <m/>
    <m/>
    <s v="Candidate"/>
    <m/>
    <s v="C2546"/>
    <s v="Candidate_1546"/>
    <s v="Apr 07 2023"/>
    <x v="0"/>
    <s v="Referral"/>
    <n v="3"/>
    <m/>
    <x v="0"/>
    <m/>
    <m/>
    <x v="0"/>
    <x v="0"/>
    <m/>
    <x v="0"/>
    <x v="0"/>
  </r>
  <r>
    <n v="1066"/>
    <s v="1066 | Finance"/>
    <x v="21"/>
    <x v="7"/>
    <x v="30"/>
    <x v="18"/>
    <s v="Finance-Fund Administrator"/>
    <x v="4"/>
    <d v="2022-08-06T09:56:30"/>
    <x v="935"/>
    <x v="280"/>
    <n v="7"/>
    <d v="2022-08-31T09:56:30"/>
    <s v="Yes"/>
    <d v="2022-08-19T09:56:30"/>
    <x v="1"/>
    <x v="1"/>
    <d v="2022-08-23T09:56:30"/>
    <s v="Declined"/>
    <m/>
    <m/>
    <d v="2022-08-21T09:56:30"/>
    <m/>
    <x v="0"/>
    <m/>
    <m/>
    <m/>
    <m/>
    <m/>
    <m/>
    <s v="C2547"/>
    <s v="Candidate_1547"/>
    <s v="Aug 09 2022"/>
    <x v="2"/>
    <s v="Job Board"/>
    <n v="3"/>
    <m/>
    <x v="0"/>
    <m/>
    <m/>
    <x v="0"/>
    <x v="0"/>
    <m/>
    <x v="1"/>
    <x v="0"/>
  </r>
  <r>
    <n v="1015"/>
    <s v="1015 | Finance"/>
    <x v="23"/>
    <x v="7"/>
    <x v="30"/>
    <x v="18"/>
    <s v="Finance-Fund Administrator"/>
    <x v="4"/>
    <d v="2022-02-02T07:54:35"/>
    <x v="936"/>
    <x v="282"/>
    <n v="8"/>
    <d v="2022-02-17T07:54:35"/>
    <s v="Yes"/>
    <d v="2022-02-19T07:54:35"/>
    <x v="1"/>
    <x v="1"/>
    <d v="2022-02-23T07:54:35"/>
    <s v="Declined"/>
    <m/>
    <m/>
    <d v="2022-02-21T07:54:35"/>
    <m/>
    <x v="0"/>
    <m/>
    <m/>
    <m/>
    <m/>
    <m/>
    <m/>
    <s v="C2548"/>
    <s v="Candidate_1548"/>
    <s v="10/02/2022"/>
    <x v="0"/>
    <s v="Referral"/>
    <n v="3"/>
    <m/>
    <x v="0"/>
    <m/>
    <m/>
    <x v="0"/>
    <x v="0"/>
    <m/>
    <x v="1"/>
    <x v="0"/>
  </r>
  <r>
    <n v="1014"/>
    <s v="1014 | Finance"/>
    <x v="22"/>
    <x v="7"/>
    <x v="30"/>
    <x v="18"/>
    <s v="Finance-Fund Administrator"/>
    <x v="4"/>
    <d v="2022-02-06T07:54:35"/>
    <x v="937"/>
    <x v="4"/>
    <n v="-44598.329571759263"/>
    <d v="2022-03-02T07:54:35"/>
    <s v="Yes"/>
    <d v="2022-02-15T07:54:35"/>
    <x v="0"/>
    <x v="3"/>
    <m/>
    <m/>
    <m/>
    <m/>
    <m/>
    <m/>
    <x v="0"/>
    <m/>
    <m/>
    <m/>
    <m/>
    <s v="Candidate"/>
    <m/>
    <s v="C2549"/>
    <s v="Candidate_1549"/>
    <s v="02-05-2022"/>
    <x v="0"/>
    <s v="Referral"/>
    <n v="3"/>
    <m/>
    <x v="0"/>
    <m/>
    <m/>
    <x v="0"/>
    <x v="0"/>
    <m/>
    <x v="0"/>
    <x v="0"/>
  </r>
  <r>
    <n v="980"/>
    <s v="980 | Finance"/>
    <x v="21"/>
    <x v="7"/>
    <x v="30"/>
    <x v="18"/>
    <s v="Finance-Fund Administrator"/>
    <x v="4"/>
    <d v="2022-07-17T16:46:55"/>
    <x v="938"/>
    <x v="304"/>
    <n v="5"/>
    <d v="2022-08-06T16:46:55"/>
    <s v="No"/>
    <m/>
    <x v="2"/>
    <x v="1"/>
    <m/>
    <m/>
    <m/>
    <m/>
    <m/>
    <m/>
    <x v="0"/>
    <m/>
    <m/>
    <m/>
    <m/>
    <m/>
    <m/>
    <s v="C2550"/>
    <s v="Candidate_1550"/>
    <m/>
    <x v="1"/>
    <s v="Linkedin"/>
    <n v="3"/>
    <m/>
    <x v="0"/>
    <m/>
    <m/>
    <x v="0"/>
    <x v="0"/>
    <m/>
    <x v="1"/>
    <x v="0"/>
  </r>
  <r>
    <n v="976"/>
    <s v="976 | Finance"/>
    <x v="21"/>
    <x v="7"/>
    <x v="30"/>
    <x v="18"/>
    <s v="Finance-Fund Administrator"/>
    <x v="4"/>
    <d v="2022-07-19T16:46:55"/>
    <x v="939"/>
    <x v="304"/>
    <n v="3"/>
    <d v="2022-08-18T16:46:55"/>
    <s v="Yes"/>
    <d v="2022-08-04T16:46:55"/>
    <x v="0"/>
    <x v="5"/>
    <m/>
    <m/>
    <m/>
    <m/>
    <d v="2022-08-05T16:46:55"/>
    <m/>
    <x v="0"/>
    <m/>
    <m/>
    <m/>
    <m/>
    <s v="Company"/>
    <m/>
    <s v="C2551"/>
    <s v="Candidate_1551"/>
    <s v="28/07/2022"/>
    <x v="0"/>
    <s v="Referral"/>
    <n v="3"/>
    <m/>
    <x v="0"/>
    <m/>
    <m/>
    <x v="0"/>
    <x v="0"/>
    <m/>
    <x v="1"/>
    <x v="0"/>
  </r>
  <r>
    <n v="973"/>
    <s v="973 | Finance"/>
    <x v="23"/>
    <x v="7"/>
    <x v="30"/>
    <x v="18"/>
    <s v="Finance-Fund Administrator"/>
    <x v="4"/>
    <d v="2022-07-13T16:46:55"/>
    <x v="940"/>
    <x v="304"/>
    <n v="9"/>
    <d v="2022-08-15T16:46:55"/>
    <s v="Yes"/>
    <d v="2022-07-31T16:46:55"/>
    <x v="0"/>
    <x v="4"/>
    <m/>
    <m/>
    <m/>
    <m/>
    <d v="2022-08-01T16:46:55"/>
    <m/>
    <x v="0"/>
    <m/>
    <m/>
    <m/>
    <m/>
    <s v="Company"/>
    <m/>
    <s v="C2552"/>
    <s v="Candidate_1552"/>
    <s v="07-25-2022"/>
    <x v="1"/>
    <s v="Linkedin"/>
    <n v="6"/>
    <m/>
    <x v="0"/>
    <m/>
    <m/>
    <x v="0"/>
    <x v="0"/>
    <m/>
    <x v="1"/>
    <x v="0"/>
  </r>
  <r>
    <n v="968"/>
    <s v="968 | Finance"/>
    <x v="21"/>
    <x v="7"/>
    <x v="30"/>
    <x v="18"/>
    <s v="Finance-Fund Administrator"/>
    <x v="4"/>
    <d v="2023-07-14T08:10:15"/>
    <x v="941"/>
    <x v="305"/>
    <n v="6"/>
    <d v="2023-08-14T08:10:15"/>
    <s v="Yes"/>
    <d v="2023-07-26T08:10:15"/>
    <x v="3"/>
    <x v="1"/>
    <d v="2023-07-30T08:10:15"/>
    <s v="Accepted"/>
    <d v="2023-07-28T08:10:15"/>
    <d v="2023-07-31T08:10:15"/>
    <d v="2023-07-27T08:10:15"/>
    <d v="2023-07-31T08:10:15"/>
    <x v="1"/>
    <d v="2023-08-01T08:10:15"/>
    <d v="2023-08-04T08:10:15"/>
    <d v="2023-08-05T08:10:15"/>
    <m/>
    <m/>
    <d v="2023-08-25T08:10:15"/>
    <s v="C2553"/>
    <s v="Candidate_1553"/>
    <s v="Jul 14 2023"/>
    <x v="0"/>
    <s v="Referral"/>
    <n v="6"/>
    <m/>
    <x v="0"/>
    <m/>
    <m/>
    <x v="0"/>
    <x v="0"/>
    <m/>
    <x v="146"/>
    <x v="0"/>
  </r>
  <r>
    <n v="967"/>
    <s v="967 | Finance"/>
    <x v="22"/>
    <x v="7"/>
    <x v="30"/>
    <x v="18"/>
    <s v="Finance-Fund Administrator"/>
    <x v="4"/>
    <m/>
    <x v="0"/>
    <x v="305"/>
    <n v="45127.340451388889"/>
    <d v="2023-07-27T08:10:15"/>
    <s v="Yes"/>
    <d v="2023-08-01T08:10:15"/>
    <x v="4"/>
    <x v="1"/>
    <d v="2023-08-05T08:10:15"/>
    <s v="Pending"/>
    <m/>
    <m/>
    <d v="2023-08-02T08:10:15"/>
    <m/>
    <x v="0"/>
    <m/>
    <m/>
    <m/>
    <m/>
    <m/>
    <m/>
    <s v="C2554"/>
    <s v="Candidate_1554"/>
    <s v="Jul 22 2023"/>
    <x v="1"/>
    <s v="Linkedin"/>
    <n v="6"/>
    <m/>
    <x v="0"/>
    <m/>
    <m/>
    <x v="0"/>
    <x v="0"/>
    <m/>
    <x v="0"/>
    <x v="0"/>
  </r>
  <r>
    <n v="962"/>
    <s v="962 | Finance"/>
    <x v="21"/>
    <x v="7"/>
    <x v="30"/>
    <x v="18"/>
    <s v="Finance-Fund Administrator"/>
    <x v="4"/>
    <d v="2023-07-13T08:10:15"/>
    <x v="942"/>
    <x v="305"/>
    <n v="7"/>
    <d v="2023-08-14T08:10:15"/>
    <s v="Yes"/>
    <d v="2023-08-06T08:10:15"/>
    <x v="3"/>
    <x v="1"/>
    <d v="2023-08-12T08:10:15"/>
    <s v="Accepted"/>
    <d v="2023-08-07T08:10:15"/>
    <d v="2023-08-09T08:10:15"/>
    <d v="2023-08-09T08:10:15"/>
    <d v="2023-08-15T08:10:15"/>
    <x v="1"/>
    <d v="2023-08-18T08:10:15"/>
    <d v="2023-08-20T08:10:15"/>
    <d v="2023-08-22T08:10:15"/>
    <m/>
    <m/>
    <d v="2023-09-11T08:10:15"/>
    <s v="C2555"/>
    <s v="Candidate_1555"/>
    <s v="Jul 25 2023"/>
    <x v="2"/>
    <s v="Job Board"/>
    <n v="6"/>
    <m/>
    <x v="0"/>
    <m/>
    <m/>
    <x v="0"/>
    <x v="0"/>
    <m/>
    <x v="147"/>
    <x v="0"/>
  </r>
  <r>
    <n v="892"/>
    <s v="892 | Finance"/>
    <x v="23"/>
    <x v="7"/>
    <x v="30"/>
    <x v="18"/>
    <s v="Finance-Fund Administrator"/>
    <x v="4"/>
    <d v="2022-10-11T22:33:20"/>
    <x v="943"/>
    <x v="306"/>
    <n v="5"/>
    <d v="2022-11-11T22:33:20"/>
    <s v="Yes"/>
    <d v="2022-10-25T22:33:20"/>
    <x v="3"/>
    <x v="1"/>
    <d v="2022-10-30T22:33:20"/>
    <s v="Accepted"/>
    <d v="2022-10-26T22:33:20"/>
    <d v="2022-10-29T22:33:20"/>
    <d v="2022-10-26T22:33:20"/>
    <d v="2022-11-03T22:33:20"/>
    <x v="1"/>
    <d v="2022-11-06T22:33:20"/>
    <d v="2022-11-09T22:33:20"/>
    <d v="2022-11-11T22:33:20"/>
    <m/>
    <m/>
    <d v="2022-11-25T22:33:20"/>
    <s v="C2556"/>
    <s v="Candidate_1556"/>
    <s v="18/10/2022"/>
    <x v="0"/>
    <s v="Referral"/>
    <n v="3"/>
    <m/>
    <x v="0"/>
    <m/>
    <m/>
    <x v="0"/>
    <x v="0"/>
    <m/>
    <x v="148"/>
    <x v="0"/>
  </r>
  <r>
    <n v="890"/>
    <s v="890 | Finance"/>
    <x v="21"/>
    <x v="7"/>
    <x v="30"/>
    <x v="18"/>
    <s v="Finance-Fund Administrator"/>
    <x v="4"/>
    <d v="2022-09-19T04:47:55"/>
    <x v="944"/>
    <x v="307"/>
    <n v="8"/>
    <d v="2022-10-10T04:47:55"/>
    <s v="Yes"/>
    <d v="2022-10-08T04:47:55"/>
    <x v="0"/>
    <x v="2"/>
    <m/>
    <m/>
    <m/>
    <m/>
    <m/>
    <m/>
    <x v="0"/>
    <m/>
    <m/>
    <m/>
    <m/>
    <s v="Company"/>
    <m/>
    <s v="C2557"/>
    <s v="Candidate_1557"/>
    <s v="09-29-2022"/>
    <x v="1"/>
    <s v="Linkedin"/>
    <n v="3"/>
    <m/>
    <x v="0"/>
    <m/>
    <m/>
    <x v="0"/>
    <x v="0"/>
    <m/>
    <x v="1"/>
    <x v="0"/>
  </r>
  <r>
    <n v="889"/>
    <s v="889 | Finance"/>
    <x v="22"/>
    <x v="7"/>
    <x v="30"/>
    <x v="18"/>
    <s v="Finance-Fund Administrator"/>
    <x v="4"/>
    <d v="2022-09-22T04:47:55"/>
    <x v="945"/>
    <x v="307"/>
    <n v="5"/>
    <d v="2022-10-12T04:47:55"/>
    <s v="No"/>
    <m/>
    <x v="2"/>
    <x v="1"/>
    <m/>
    <m/>
    <m/>
    <m/>
    <m/>
    <m/>
    <x v="0"/>
    <m/>
    <m/>
    <m/>
    <m/>
    <m/>
    <m/>
    <s v="C2558"/>
    <s v="Candidate_1558"/>
    <m/>
    <x v="0"/>
    <s v="Referral"/>
    <n v="3"/>
    <m/>
    <x v="0"/>
    <m/>
    <m/>
    <x v="0"/>
    <x v="0"/>
    <m/>
    <x v="1"/>
    <x v="0"/>
  </r>
  <r>
    <n v="885"/>
    <s v="885 | Finance"/>
    <x v="23"/>
    <x v="7"/>
    <x v="30"/>
    <x v="18"/>
    <s v="Finance-Fund Administrator"/>
    <x v="4"/>
    <d v="2022-09-19T04:47:55"/>
    <x v="946"/>
    <x v="307"/>
    <n v="8"/>
    <d v="2022-10-23T04:47:55"/>
    <s v="No"/>
    <m/>
    <x v="2"/>
    <x v="1"/>
    <m/>
    <m/>
    <m/>
    <m/>
    <m/>
    <m/>
    <x v="0"/>
    <m/>
    <m/>
    <m/>
    <m/>
    <m/>
    <m/>
    <s v="C2559"/>
    <s v="Candidate_1559"/>
    <m/>
    <x v="1"/>
    <s v="Linkedin"/>
    <n v="3"/>
    <m/>
    <x v="0"/>
    <m/>
    <m/>
    <x v="0"/>
    <x v="0"/>
    <m/>
    <x v="1"/>
    <x v="0"/>
  </r>
  <r>
    <n v="865"/>
    <s v="865 | Finance"/>
    <x v="23"/>
    <x v="7"/>
    <x v="30"/>
    <x v="18"/>
    <s v="Finance-Fund Administrator"/>
    <x v="4"/>
    <m/>
    <x v="0"/>
    <x v="308"/>
    <n v="45131.103344907409"/>
    <d v="2023-08-14T02:28:49"/>
    <s v="Yes"/>
    <d v="2023-08-03T02:28:49"/>
    <x v="3"/>
    <x v="1"/>
    <d v="2023-08-08T02:28:49"/>
    <s v="Accepted"/>
    <d v="2023-08-05T02:28:49"/>
    <d v="2023-08-09T02:28:49"/>
    <d v="2023-08-07T02:28:49"/>
    <d v="2023-08-09T02:28:49"/>
    <x v="1"/>
    <d v="2023-08-13T02:28:49"/>
    <d v="2023-08-15T02:28:49"/>
    <d v="2023-08-17T02:28:49"/>
    <m/>
    <m/>
    <d v="2023-09-03T02:28:49"/>
    <s v="C2560"/>
    <s v="Candidate_1560"/>
    <s v="Jul 27 2023"/>
    <x v="2"/>
    <s v="Job Board"/>
    <n v="3"/>
    <m/>
    <x v="0"/>
    <m/>
    <m/>
    <x v="0"/>
    <x v="0"/>
    <m/>
    <x v="0"/>
    <x v="0"/>
  </r>
  <r>
    <n v="860"/>
    <s v="860 | Finance"/>
    <x v="22"/>
    <x v="7"/>
    <x v="30"/>
    <x v="18"/>
    <s v="Finance-Fund Administrator"/>
    <x v="4"/>
    <d v="2023-02-03T00:03:45"/>
    <x v="947"/>
    <x v="309"/>
    <n v="4"/>
    <d v="2023-03-08T00:03:45"/>
    <s v="Yes"/>
    <d v="2023-02-14T00:03:45"/>
    <x v="0"/>
    <x v="0"/>
    <m/>
    <m/>
    <m/>
    <m/>
    <d v="2023-02-15T00:03:45"/>
    <m/>
    <x v="0"/>
    <m/>
    <m/>
    <m/>
    <m/>
    <s v="Candidate"/>
    <m/>
    <s v="C2561"/>
    <s v="Candidate_1561"/>
    <s v="30/01/2023"/>
    <x v="1"/>
    <s v="Linkedin"/>
    <n v="6"/>
    <m/>
    <x v="0"/>
    <m/>
    <m/>
    <x v="0"/>
    <x v="0"/>
    <m/>
    <x v="1"/>
    <x v="0"/>
  </r>
  <r>
    <n v="858"/>
    <s v="858 | Finance"/>
    <x v="22"/>
    <x v="7"/>
    <x v="30"/>
    <x v="18"/>
    <s v="Finance-Fund Administrator"/>
    <x v="4"/>
    <d v="2023-02-04T00:03:45"/>
    <x v="947"/>
    <x v="309"/>
    <n v="3"/>
    <d v="2023-03-01T00:03:45"/>
    <s v="Yes"/>
    <d v="2023-02-21T00:03:45"/>
    <x v="0"/>
    <x v="4"/>
    <m/>
    <m/>
    <m/>
    <m/>
    <m/>
    <m/>
    <x v="0"/>
    <m/>
    <m/>
    <m/>
    <m/>
    <s v="Company"/>
    <m/>
    <s v="C2562"/>
    <s v="Candidate_1562"/>
    <s v="02-11-2023"/>
    <x v="0"/>
    <s v="Referral"/>
    <n v="6"/>
    <m/>
    <x v="0"/>
    <m/>
    <m/>
    <x v="0"/>
    <x v="0"/>
    <m/>
    <x v="1"/>
    <x v="0"/>
  </r>
  <r>
    <n v="748"/>
    <s v="748 | Finance"/>
    <x v="22"/>
    <x v="7"/>
    <x v="30"/>
    <x v="18"/>
    <s v="Finance-Fund Administrator"/>
    <x v="4"/>
    <d v="2022-10-30T05:17:37"/>
    <x v="948"/>
    <x v="310"/>
    <n v="10"/>
    <d v="2022-11-20T05:17:37"/>
    <s v="Yes"/>
    <d v="2022-11-16T05:17:37"/>
    <x v="0"/>
    <x v="2"/>
    <m/>
    <m/>
    <m/>
    <m/>
    <m/>
    <m/>
    <x v="0"/>
    <m/>
    <m/>
    <m/>
    <m/>
    <s v="Company"/>
    <m/>
    <s v="C2563"/>
    <s v="Candidate_1563"/>
    <s v="10/11/2022"/>
    <x v="2"/>
    <s v="Job Board"/>
    <n v="3"/>
    <m/>
    <x v="0"/>
    <m/>
    <m/>
    <x v="0"/>
    <x v="0"/>
    <m/>
    <x v="1"/>
    <x v="0"/>
  </r>
  <r>
    <n v="745"/>
    <s v="745 | Finance"/>
    <x v="23"/>
    <x v="7"/>
    <x v="30"/>
    <x v="18"/>
    <s v="Finance-Fund Administrator"/>
    <x v="4"/>
    <d v="2022-11-04T05:17:37"/>
    <x v="949"/>
    <x v="310"/>
    <n v="5"/>
    <d v="2022-11-26T05:17:37"/>
    <s v="Yes"/>
    <d v="2022-11-26T05:17:37"/>
    <x v="1"/>
    <x v="1"/>
    <d v="2022-12-04T05:17:37"/>
    <s v="Declined"/>
    <m/>
    <m/>
    <d v="2022-11-30T05:17:37"/>
    <m/>
    <x v="0"/>
    <m/>
    <m/>
    <m/>
    <m/>
    <m/>
    <m/>
    <s v="C2564"/>
    <s v="Candidate_1564"/>
    <s v="Nov 18 2022"/>
    <x v="2"/>
    <s v="Job Board"/>
    <n v="3"/>
    <m/>
    <x v="0"/>
    <m/>
    <m/>
    <x v="0"/>
    <x v="0"/>
    <m/>
    <x v="1"/>
    <x v="0"/>
  </r>
  <r>
    <n v="705"/>
    <s v="705 | Finance"/>
    <x v="22"/>
    <x v="7"/>
    <x v="30"/>
    <x v="18"/>
    <s v="Finance-Fund Administrator"/>
    <x v="4"/>
    <d v="2023-07-08T15:23:01"/>
    <x v="950"/>
    <x v="311"/>
    <n v="6"/>
    <d v="2023-08-11T15:23:01"/>
    <s v="Yes"/>
    <d v="2023-07-16T15:23:01"/>
    <x v="3"/>
    <x v="1"/>
    <d v="2023-07-23T15:23:01"/>
    <s v="Accepted"/>
    <d v="2023-07-18T15:23:01"/>
    <d v="2023-07-21T15:23:01"/>
    <d v="2023-07-19T15:23:01"/>
    <d v="2023-07-26T15:23:01"/>
    <x v="1"/>
    <d v="2023-07-27T15:23:01"/>
    <d v="2023-07-29T15:23:01"/>
    <d v="2023-07-31T15:23:01"/>
    <m/>
    <m/>
    <d v="2023-08-11T15:23:01"/>
    <s v="C2565"/>
    <s v="Candidate_1565"/>
    <s v="Jun 28 2023"/>
    <x v="2"/>
    <s v="Job Board"/>
    <n v="6"/>
    <m/>
    <x v="0"/>
    <m/>
    <m/>
    <x v="0"/>
    <x v="0"/>
    <m/>
    <x v="149"/>
    <x v="0"/>
  </r>
  <r>
    <n v="701"/>
    <s v="701 | Finance"/>
    <x v="21"/>
    <x v="7"/>
    <x v="30"/>
    <x v="18"/>
    <s v="Finance-Fund Administrator"/>
    <x v="4"/>
    <d v="2023-07-11T15:23:01"/>
    <x v="951"/>
    <x v="4"/>
    <n v="-45118.640983796293"/>
    <d v="2023-08-13T15:23:01"/>
    <s v="Yes"/>
    <d v="2023-07-20T15:23:01"/>
    <x v="0"/>
    <x v="2"/>
    <m/>
    <m/>
    <m/>
    <m/>
    <m/>
    <m/>
    <x v="0"/>
    <m/>
    <m/>
    <m/>
    <m/>
    <s v="Company"/>
    <m/>
    <s v="C2566"/>
    <s v="Candidate_1566"/>
    <s v="Jul 05 2023"/>
    <x v="0"/>
    <s v="Referral"/>
    <n v="6"/>
    <m/>
    <x v="0"/>
    <m/>
    <m/>
    <x v="0"/>
    <x v="0"/>
    <m/>
    <x v="0"/>
    <x v="0"/>
  </r>
  <r>
    <n v="608"/>
    <s v="608 | Finance"/>
    <x v="22"/>
    <x v="7"/>
    <x v="30"/>
    <x v="18"/>
    <s v="Finance-Fund Administrator"/>
    <x v="4"/>
    <d v="2022-01-10T07:25:27"/>
    <x v="952"/>
    <x v="312"/>
    <n v="5"/>
    <d v="2022-01-28T07:25:27"/>
    <s v="No"/>
    <m/>
    <x v="2"/>
    <x v="1"/>
    <m/>
    <m/>
    <m/>
    <m/>
    <m/>
    <m/>
    <x v="0"/>
    <m/>
    <m/>
    <m/>
    <m/>
    <m/>
    <m/>
    <s v="C2567"/>
    <s v="Candidate_1567"/>
    <m/>
    <x v="0"/>
    <s v="Referral"/>
    <n v="3"/>
    <m/>
    <x v="0"/>
    <m/>
    <m/>
    <x v="0"/>
    <x v="0"/>
    <m/>
    <x v="1"/>
    <x v="0"/>
  </r>
  <r>
    <n v="606"/>
    <s v="606 | Finance"/>
    <x v="22"/>
    <x v="7"/>
    <x v="30"/>
    <x v="18"/>
    <s v="Finance-Fund Administrator"/>
    <x v="4"/>
    <d v="2022-01-11T07:25:27"/>
    <x v="953"/>
    <x v="312"/>
    <n v="4"/>
    <d v="2022-01-27T07:25:27"/>
    <s v="No"/>
    <m/>
    <x v="2"/>
    <x v="1"/>
    <m/>
    <m/>
    <m/>
    <m/>
    <m/>
    <m/>
    <x v="0"/>
    <m/>
    <m/>
    <m/>
    <m/>
    <m/>
    <m/>
    <s v="C2568"/>
    <s v="Candidate_1568"/>
    <m/>
    <x v="1"/>
    <s v="Linkedin"/>
    <n v="3"/>
    <m/>
    <x v="0"/>
    <m/>
    <m/>
    <x v="0"/>
    <x v="0"/>
    <m/>
    <x v="1"/>
    <x v="0"/>
  </r>
  <r>
    <n v="605"/>
    <s v="605 | Finance"/>
    <x v="22"/>
    <x v="7"/>
    <x v="30"/>
    <x v="18"/>
    <s v="Finance-Fund Administrator"/>
    <x v="4"/>
    <d v="2022-01-06T07:25:27"/>
    <x v="954"/>
    <x v="312"/>
    <n v="9"/>
    <d v="2022-02-06T07:25:27"/>
    <s v="Yes"/>
    <d v="2022-01-29T07:25:27"/>
    <x v="3"/>
    <x v="1"/>
    <d v="2022-02-03T07:25:27"/>
    <s v="Accepted"/>
    <d v="2022-01-31T07:25:27"/>
    <d v="2022-02-01T07:25:27"/>
    <d v="2022-02-01T07:25:27"/>
    <d v="2022-02-10T07:25:27"/>
    <x v="1"/>
    <d v="2022-02-13T07:25:27"/>
    <d v="2022-02-16T07:25:27"/>
    <d v="2022-02-19T07:25:27"/>
    <m/>
    <m/>
    <d v="2022-02-26T07:25:27"/>
    <s v="C2569"/>
    <s v="Candidate_1569"/>
    <s v="01-14-2022"/>
    <x v="0"/>
    <s v="Referral"/>
    <n v="6"/>
    <m/>
    <x v="0"/>
    <m/>
    <m/>
    <x v="0"/>
    <x v="0"/>
    <m/>
    <x v="150"/>
    <x v="0"/>
  </r>
  <r>
    <n v="597"/>
    <s v="597 | Finance"/>
    <x v="22"/>
    <x v="7"/>
    <x v="30"/>
    <x v="18"/>
    <s v="Finance-Fund Administrator"/>
    <x v="4"/>
    <d v="2022-11-13T19:43:02"/>
    <x v="0"/>
    <x v="313"/>
    <n v="8"/>
    <d v="2022-12-09T19:43:02"/>
    <s v="No"/>
    <m/>
    <x v="2"/>
    <x v="1"/>
    <m/>
    <m/>
    <m/>
    <m/>
    <m/>
    <m/>
    <x v="0"/>
    <m/>
    <m/>
    <m/>
    <m/>
    <m/>
    <m/>
    <s v="C2570"/>
    <s v="Candidate_1570"/>
    <m/>
    <x v="0"/>
    <s v="Referral"/>
    <n v="6"/>
    <m/>
    <x v="0"/>
    <m/>
    <m/>
    <x v="0"/>
    <x v="0"/>
    <m/>
    <x v="0"/>
    <x v="0"/>
  </r>
  <r>
    <n v="594"/>
    <s v="594 | Finance"/>
    <x v="22"/>
    <x v="7"/>
    <x v="30"/>
    <x v="18"/>
    <s v="Finance-Fund Administrator"/>
    <x v="4"/>
    <d v="2022-11-15T19:43:02"/>
    <x v="0"/>
    <x v="313"/>
    <n v="6"/>
    <d v="2022-11-28T19:43:02"/>
    <s v="Yes"/>
    <d v="2022-12-04T19:43:02"/>
    <x v="3"/>
    <x v="1"/>
    <d v="2022-12-09T19:43:02"/>
    <s v="Accepted"/>
    <d v="2022-12-06T19:43:02"/>
    <d v="2022-12-08T19:43:02"/>
    <d v="2022-12-08T19:43:02"/>
    <d v="2022-12-12T19:43:02"/>
    <x v="1"/>
    <d v="2022-12-15T19:43:02"/>
    <d v="2022-12-16T19:43:02"/>
    <d v="2022-12-18T19:43:02"/>
    <m/>
    <m/>
    <d v="2022-12-26T19:43:02"/>
    <s v="C2571"/>
    <s v="Candidate_1571"/>
    <s v="16/11/2022"/>
    <x v="1"/>
    <s v="Linkedin"/>
    <n v="6"/>
    <m/>
    <x v="0"/>
    <m/>
    <m/>
    <x v="0"/>
    <x v="0"/>
    <m/>
    <x v="0"/>
    <x v="0"/>
  </r>
  <r>
    <n v="591"/>
    <s v="591 | Finance"/>
    <x v="21"/>
    <x v="7"/>
    <x v="30"/>
    <x v="18"/>
    <s v="Finance-Fund Administrator"/>
    <x v="4"/>
    <m/>
    <x v="955"/>
    <x v="313"/>
    <n v="44886.821550925917"/>
    <d v="2022-12-01T19:43:02"/>
    <s v="Yes"/>
    <d v="2022-12-06T19:43:02"/>
    <x v="3"/>
    <x v="1"/>
    <d v="2022-12-11T19:43:02"/>
    <s v="Accepted"/>
    <d v="2022-12-07T19:43:02"/>
    <d v="2022-12-09T19:43:02"/>
    <d v="2022-12-09T19:43:02"/>
    <d v="2022-12-10T19:43:02"/>
    <x v="1"/>
    <d v="2022-12-12T19:43:02"/>
    <d v="2022-12-13T19:43:02"/>
    <d v="2022-12-15T19:43:02"/>
    <m/>
    <m/>
    <d v="2022-12-27T19:43:02"/>
    <s v="C2572"/>
    <s v="Candidate_1572"/>
    <s v="Nov 25 2022"/>
    <x v="1"/>
    <s v="Linkedin"/>
    <n v="6"/>
    <m/>
    <x v="0"/>
    <m/>
    <m/>
    <x v="0"/>
    <x v="0"/>
    <m/>
    <x v="0"/>
    <x v="0"/>
  </r>
  <r>
    <n v="459"/>
    <s v="459 | Finance"/>
    <x v="22"/>
    <x v="7"/>
    <x v="30"/>
    <x v="18"/>
    <s v="Finance-Fund Administrator"/>
    <x v="4"/>
    <d v="2023-02-19T13:42:17"/>
    <x v="956"/>
    <x v="314"/>
    <n v="3"/>
    <d v="2023-03-14T13:42:17"/>
    <s v="Yes"/>
    <d v="2023-03-05T13:42:17"/>
    <x v="3"/>
    <x v="1"/>
    <d v="2023-03-12T13:42:17"/>
    <s v="Accepted"/>
    <d v="2023-03-06T13:42:17"/>
    <d v="2023-03-07T13:42:17"/>
    <d v="2023-03-09T13:42:17"/>
    <d v="2023-03-16T13:42:17"/>
    <x v="1"/>
    <d v="2023-03-17T13:42:17"/>
    <d v="2023-03-20T13:42:17"/>
    <d v="2023-03-22T13:42:17"/>
    <m/>
    <m/>
    <d v="2023-04-03T13:42:17"/>
    <s v="C2573"/>
    <s v="Candidate_1573"/>
    <s v="Feb 19 2023"/>
    <x v="1"/>
    <s v="Linkedin"/>
    <n v="6"/>
    <m/>
    <x v="0"/>
    <m/>
    <m/>
    <x v="0"/>
    <x v="0"/>
    <m/>
    <x v="151"/>
    <x v="0"/>
  </r>
  <r>
    <n v="455"/>
    <s v="455 | Finance"/>
    <x v="21"/>
    <x v="7"/>
    <x v="30"/>
    <x v="18"/>
    <s v="Finance-Fund Administrator"/>
    <x v="4"/>
    <d v="2023-02-20T13:42:17"/>
    <x v="956"/>
    <x v="314"/>
    <n v="2"/>
    <d v="2023-03-08T13:42:17"/>
    <s v="Yes"/>
    <d v="2023-03-07T13:42:17"/>
    <x v="3"/>
    <x v="1"/>
    <d v="2023-03-11T13:42:17"/>
    <s v="Accepted"/>
    <d v="2023-03-08T13:42:17"/>
    <d v="2023-03-12T13:42:17"/>
    <d v="2023-03-09T13:42:17"/>
    <d v="2023-03-11T13:42:17"/>
    <x v="1"/>
    <d v="2023-03-12T13:42:17"/>
    <d v="2023-03-15T13:42:17"/>
    <d v="2023-03-17T13:42:17"/>
    <m/>
    <m/>
    <d v="2023-03-30T13:42:17"/>
    <s v="C2574"/>
    <s v="Candidate_1574"/>
    <s v="26/02/2023"/>
    <x v="2"/>
    <s v="Job Board"/>
    <n v="6"/>
    <m/>
    <x v="0"/>
    <m/>
    <m/>
    <x v="0"/>
    <x v="0"/>
    <m/>
    <x v="152"/>
    <x v="0"/>
  </r>
  <r>
    <n v="452"/>
    <s v="452 | Finance"/>
    <x v="22"/>
    <x v="7"/>
    <x v="30"/>
    <x v="18"/>
    <s v="Finance-Fund Administrator"/>
    <x v="4"/>
    <d v="2023-02-17T13:42:17"/>
    <x v="957"/>
    <x v="314"/>
    <n v="5"/>
    <d v="2023-03-07T13:42:17"/>
    <s v="Yes"/>
    <d v="2023-03-12T13:42:17"/>
    <x v="0"/>
    <x v="4"/>
    <m/>
    <m/>
    <m/>
    <m/>
    <m/>
    <m/>
    <x v="0"/>
    <m/>
    <m/>
    <m/>
    <m/>
    <s v="Company"/>
    <m/>
    <s v="C2575"/>
    <s v="Candidate_1575"/>
    <s v="Mar 05 2023"/>
    <x v="2"/>
    <s v="Job Board"/>
    <n v="6"/>
    <m/>
    <x v="0"/>
    <m/>
    <m/>
    <x v="0"/>
    <x v="0"/>
    <m/>
    <x v="1"/>
    <x v="0"/>
  </r>
  <r>
    <n v="400"/>
    <s v="400 | Finance"/>
    <x v="23"/>
    <x v="7"/>
    <x v="30"/>
    <x v="18"/>
    <s v="Finance-Fund Administrator"/>
    <x v="4"/>
    <d v="2023-02-18T16:28:40"/>
    <x v="958"/>
    <x v="315"/>
    <n v="2"/>
    <d v="2023-03-18T16:28:40"/>
    <s v="Yes"/>
    <d v="2023-03-07T16:28:40"/>
    <x v="0"/>
    <x v="3"/>
    <m/>
    <m/>
    <m/>
    <m/>
    <m/>
    <m/>
    <x v="0"/>
    <m/>
    <m/>
    <m/>
    <m/>
    <s v="Candidate"/>
    <m/>
    <s v="C2576"/>
    <s v="Candidate_1576"/>
    <s v="21/02/2023"/>
    <x v="1"/>
    <s v="Linkedin"/>
    <n v="6"/>
    <m/>
    <x v="0"/>
    <m/>
    <m/>
    <x v="0"/>
    <x v="0"/>
    <m/>
    <x v="1"/>
    <x v="0"/>
  </r>
  <r>
    <n v="393"/>
    <s v="393 | Finance"/>
    <x v="23"/>
    <x v="7"/>
    <x v="30"/>
    <x v="18"/>
    <s v="Finance-Fund Administrator"/>
    <x v="4"/>
    <d v="2023-02-15T16:28:40"/>
    <x v="959"/>
    <x v="315"/>
    <n v="5"/>
    <d v="2023-03-20T16:28:40"/>
    <s v="Yes"/>
    <d v="2023-03-02T16:28:40"/>
    <x v="1"/>
    <x v="1"/>
    <d v="2023-03-08T16:28:40"/>
    <s v="Declined"/>
    <m/>
    <m/>
    <d v="2023-03-05T16:28:40"/>
    <m/>
    <x v="0"/>
    <m/>
    <m/>
    <m/>
    <m/>
    <m/>
    <m/>
    <s v="C2577"/>
    <s v="Candidate_1577"/>
    <s v="Feb 15 2023"/>
    <x v="2"/>
    <s v="Job Board"/>
    <n v="6"/>
    <m/>
    <x v="0"/>
    <m/>
    <m/>
    <x v="0"/>
    <x v="0"/>
    <m/>
    <x v="1"/>
    <x v="0"/>
  </r>
  <r>
    <n v="345"/>
    <s v="345 | Finance"/>
    <x v="23"/>
    <x v="7"/>
    <x v="30"/>
    <x v="18"/>
    <s v="Finance-Fund Administrator"/>
    <x v="4"/>
    <d v="2022-05-05T15:27:54"/>
    <x v="960"/>
    <x v="316"/>
    <n v="4"/>
    <d v="2022-05-29T15:27:54"/>
    <s v="Yes"/>
    <d v="2022-05-19T15:27:54"/>
    <x v="1"/>
    <x v="1"/>
    <d v="2022-05-23T15:27:54"/>
    <s v="Declined"/>
    <m/>
    <m/>
    <d v="2022-05-22T15:27:54"/>
    <m/>
    <x v="0"/>
    <m/>
    <m/>
    <m/>
    <m/>
    <m/>
    <m/>
    <s v="C2578"/>
    <s v="Candidate_1578"/>
    <s v="05-03-2022"/>
    <x v="2"/>
    <s v="Job Board"/>
    <n v="3"/>
    <m/>
    <x v="0"/>
    <m/>
    <m/>
    <x v="0"/>
    <x v="0"/>
    <m/>
    <x v="1"/>
    <x v="0"/>
  </r>
  <r>
    <n v="341"/>
    <s v="341 | Finance"/>
    <x v="22"/>
    <x v="7"/>
    <x v="30"/>
    <x v="18"/>
    <s v="Finance-Fund Administrator"/>
    <x v="4"/>
    <d v="2022-05-04T15:27:54"/>
    <x v="961"/>
    <x v="316"/>
    <n v="5"/>
    <d v="2022-05-14T15:27:54"/>
    <s v="Yes"/>
    <d v="2022-05-12T15:27:54"/>
    <x v="4"/>
    <x v="1"/>
    <d v="2022-05-15T15:27:54"/>
    <s v="Pending"/>
    <m/>
    <m/>
    <d v="2022-05-14T15:27:54"/>
    <m/>
    <x v="0"/>
    <m/>
    <m/>
    <m/>
    <m/>
    <m/>
    <m/>
    <s v="C2579"/>
    <s v="Candidate_1579"/>
    <s v="24/04/2022"/>
    <x v="1"/>
    <s v="Linkedin"/>
    <n v="3"/>
    <m/>
    <x v="0"/>
    <m/>
    <m/>
    <x v="0"/>
    <x v="0"/>
    <m/>
    <x v="1"/>
    <x v="0"/>
  </r>
  <r>
    <n v="285"/>
    <s v="285 | Finance"/>
    <x v="22"/>
    <x v="7"/>
    <x v="30"/>
    <x v="18"/>
    <s v="Finance-Fund Administrator"/>
    <x v="4"/>
    <d v="2022-05-17T16:15:48"/>
    <x v="962"/>
    <x v="317"/>
    <n v="8"/>
    <d v="2022-06-02T16:15:48"/>
    <s v="Yes"/>
    <d v="2022-06-02T16:15:48"/>
    <x v="1"/>
    <x v="1"/>
    <d v="2022-06-08T16:15:48"/>
    <s v="Declined"/>
    <m/>
    <m/>
    <d v="2022-06-06T16:15:48"/>
    <m/>
    <x v="0"/>
    <m/>
    <m/>
    <m/>
    <m/>
    <m/>
    <m/>
    <s v="C2580"/>
    <s v="Candidate_1580"/>
    <s v="05-14-2022"/>
    <x v="2"/>
    <s v="Job Board"/>
    <n v="6"/>
    <m/>
    <x v="0"/>
    <m/>
    <m/>
    <x v="0"/>
    <x v="0"/>
    <m/>
    <x v="1"/>
    <x v="0"/>
  </r>
  <r>
    <n v="284"/>
    <s v="284 | Finance"/>
    <x v="22"/>
    <x v="7"/>
    <x v="30"/>
    <x v="18"/>
    <s v="Finance-Fund Administrator"/>
    <x v="4"/>
    <d v="2022-05-19T16:15:48"/>
    <x v="963"/>
    <x v="317"/>
    <n v="6"/>
    <d v="2022-06-13T16:15:48"/>
    <s v="Yes"/>
    <d v="2022-05-28T16:15:48"/>
    <x v="1"/>
    <x v="1"/>
    <d v="2022-05-31T16:15:48"/>
    <s v="Declined"/>
    <m/>
    <m/>
    <d v="2022-05-30T16:15:48"/>
    <m/>
    <x v="0"/>
    <m/>
    <m/>
    <m/>
    <m/>
    <m/>
    <m/>
    <s v="C2581"/>
    <s v="Candidate_1581"/>
    <s v="05-19-2022"/>
    <x v="0"/>
    <s v="Referral"/>
    <n v="6"/>
    <m/>
    <x v="0"/>
    <m/>
    <m/>
    <x v="0"/>
    <x v="0"/>
    <m/>
    <x v="1"/>
    <x v="0"/>
  </r>
  <r>
    <n v="207"/>
    <s v="207 | Finance"/>
    <x v="21"/>
    <x v="7"/>
    <x v="30"/>
    <x v="18"/>
    <s v="Finance-Fund Administrator"/>
    <x v="4"/>
    <d v="2022-07-03T08:13:46"/>
    <x v="964"/>
    <x v="283"/>
    <n v="9"/>
    <d v="2022-07-17T08:13:46"/>
    <s v="Yes"/>
    <d v="2022-07-19T08:13:46"/>
    <x v="4"/>
    <x v="1"/>
    <d v="2022-07-22T08:13:46"/>
    <s v="Pending"/>
    <m/>
    <m/>
    <d v="2022-07-20T08:13:46"/>
    <m/>
    <x v="0"/>
    <m/>
    <m/>
    <m/>
    <m/>
    <m/>
    <m/>
    <s v="C2582"/>
    <s v="Candidate_1582"/>
    <s v="07/07/2022"/>
    <x v="2"/>
    <s v="Job Board"/>
    <n v="3"/>
    <m/>
    <x v="0"/>
    <m/>
    <m/>
    <x v="0"/>
    <x v="0"/>
    <m/>
    <x v="1"/>
    <x v="0"/>
  </r>
  <r>
    <n v="177"/>
    <s v="177 | Finance"/>
    <x v="22"/>
    <x v="7"/>
    <x v="30"/>
    <x v="18"/>
    <s v="Finance-Fund Administrator"/>
    <x v="4"/>
    <d v="2023-06-15T08:54:08"/>
    <x v="965"/>
    <x v="284"/>
    <n v="5"/>
    <d v="2023-07-09T08:54:08"/>
    <s v="Yes"/>
    <d v="2023-06-22T08:54:08"/>
    <x v="1"/>
    <x v="1"/>
    <d v="2023-06-28T08:54:08"/>
    <s v="Declined"/>
    <m/>
    <m/>
    <d v="2023-06-24T08:54:08"/>
    <m/>
    <x v="0"/>
    <m/>
    <m/>
    <m/>
    <m/>
    <m/>
    <m/>
    <s v="C2583"/>
    <s v="Candidate_1583"/>
    <s v="Jun 08 2023"/>
    <x v="0"/>
    <s v="Referral"/>
    <n v="6"/>
    <m/>
    <x v="0"/>
    <m/>
    <m/>
    <x v="0"/>
    <x v="0"/>
    <m/>
    <x v="1"/>
    <x v="0"/>
  </r>
  <r>
    <n v="175"/>
    <s v="175 | Finance"/>
    <x v="21"/>
    <x v="7"/>
    <x v="30"/>
    <x v="18"/>
    <s v="Finance-Fund Administrator"/>
    <x v="4"/>
    <d v="2023-06-14T08:54:08"/>
    <x v="966"/>
    <x v="284"/>
    <n v="6"/>
    <d v="2023-07-17T08:54:08"/>
    <s v="Yes"/>
    <d v="2023-06-29T08:54:08"/>
    <x v="3"/>
    <x v="1"/>
    <d v="2023-07-02T08:54:08"/>
    <s v="Accepted"/>
    <d v="2023-06-30T08:54:08"/>
    <d v="2023-07-04T08:54:08"/>
    <d v="2023-07-01T08:54:08"/>
    <d v="2023-07-08T08:54:08"/>
    <x v="1"/>
    <d v="2023-07-09T08:54:08"/>
    <d v="2023-07-11T08:54:08"/>
    <d v="2023-07-13T08:54:08"/>
    <m/>
    <m/>
    <d v="2023-07-27T08:54:08"/>
    <s v="C2584"/>
    <s v="Candidate_1584"/>
    <s v="Jun 19 2023"/>
    <x v="2"/>
    <s v="Job Board"/>
    <n v="3"/>
    <m/>
    <x v="0"/>
    <m/>
    <m/>
    <x v="0"/>
    <x v="0"/>
    <m/>
    <x v="153"/>
    <x v="0"/>
  </r>
  <r>
    <n v="173"/>
    <s v="173 | Finance"/>
    <x v="21"/>
    <x v="7"/>
    <x v="30"/>
    <x v="18"/>
    <s v="Finance-Fund Administrator"/>
    <x v="4"/>
    <d v="2023-06-17T08:54:08"/>
    <x v="966"/>
    <x v="4"/>
    <n v="-45094.370925925927"/>
    <d v="2023-07-20T08:54:08"/>
    <s v="Yes"/>
    <d v="2023-06-24T08:54:08"/>
    <x v="1"/>
    <x v="1"/>
    <d v="2023-06-28T08:54:08"/>
    <s v="Declined"/>
    <m/>
    <m/>
    <d v="2023-06-26T08:54:08"/>
    <m/>
    <x v="0"/>
    <m/>
    <m/>
    <m/>
    <m/>
    <m/>
    <m/>
    <s v="C2585"/>
    <s v="Candidate_1585"/>
    <s v="16/06/2023"/>
    <x v="2"/>
    <s v="Job Board"/>
    <n v="6"/>
    <m/>
    <x v="0"/>
    <m/>
    <m/>
    <x v="0"/>
    <x v="0"/>
    <m/>
    <x v="0"/>
    <x v="0"/>
  </r>
  <r>
    <n v="95"/>
    <s v="95 | Finance"/>
    <x v="22"/>
    <x v="7"/>
    <x v="30"/>
    <x v="10"/>
    <s v="Finance-Business Partner"/>
    <x v="4"/>
    <d v="2022-10-05T14:05:41"/>
    <x v="877"/>
    <x v="286"/>
    <n v="8"/>
    <d v="2022-10-28T14:05:41"/>
    <s v="Yes"/>
    <d v="2022-10-23T14:05:41"/>
    <x v="4"/>
    <x v="1"/>
    <d v="2022-10-28T14:05:41"/>
    <s v="Pending"/>
    <m/>
    <m/>
    <d v="2022-10-25T14:05:41"/>
    <m/>
    <x v="0"/>
    <m/>
    <m/>
    <m/>
    <m/>
    <m/>
    <m/>
    <s v="C2586"/>
    <s v="Candidate_1586"/>
    <s v="15/10/2022"/>
    <x v="1"/>
    <s v="Linkedin"/>
    <n v="6"/>
    <m/>
    <x v="0"/>
    <m/>
    <m/>
    <x v="0"/>
    <x v="0"/>
    <m/>
    <x v="1"/>
    <x v="0"/>
  </r>
  <r>
    <n v="93"/>
    <s v="93 | Finance"/>
    <x v="22"/>
    <x v="7"/>
    <x v="30"/>
    <x v="10"/>
    <s v="Finance-Business Partner"/>
    <x v="4"/>
    <d v="2022-10-05T14:05:41"/>
    <x v="967"/>
    <x v="286"/>
    <n v="8"/>
    <d v="2022-10-21T14:05:41"/>
    <s v="Yes"/>
    <d v="2022-10-15T14:05:41"/>
    <x v="1"/>
    <x v="1"/>
    <d v="2022-10-21T14:05:41"/>
    <s v="Declined"/>
    <m/>
    <m/>
    <d v="2022-10-18T14:05:41"/>
    <m/>
    <x v="0"/>
    <m/>
    <m/>
    <m/>
    <m/>
    <m/>
    <m/>
    <s v="C2587"/>
    <s v="Candidate_1587"/>
    <s v="Oct 04 2022"/>
    <x v="2"/>
    <s v="Job Board"/>
    <n v="3"/>
    <m/>
    <x v="0"/>
    <m/>
    <m/>
    <x v="0"/>
    <x v="0"/>
    <m/>
    <x v="1"/>
    <x v="0"/>
  </r>
  <r>
    <n v="80"/>
    <s v="80 | Finance"/>
    <x v="22"/>
    <x v="7"/>
    <x v="30"/>
    <x v="10"/>
    <s v="Finance-Business Partner"/>
    <x v="4"/>
    <m/>
    <x v="968"/>
    <x v="318"/>
    <n v="44754.410798611112"/>
    <d v="2022-07-30T09:51:33"/>
    <s v="Yes"/>
    <d v="2022-07-25T09:51:33"/>
    <x v="3"/>
    <x v="1"/>
    <d v="2022-08-01T09:51:33"/>
    <s v="Accepted"/>
    <d v="2022-07-26T09:51:33"/>
    <d v="2022-07-28T09:51:33"/>
    <d v="2022-07-28T09:51:33"/>
    <d v="2022-08-02T09:51:33"/>
    <x v="1"/>
    <d v="2022-08-05T09:51:33"/>
    <d v="2022-08-07T09:51:33"/>
    <d v="2022-08-09T09:51:33"/>
    <m/>
    <m/>
    <d v="2022-08-21T09:51:33"/>
    <s v="C2588"/>
    <s v="Candidate_1588"/>
    <s v="Jul 07 2022"/>
    <x v="2"/>
    <s v="Job Board"/>
    <n v="6"/>
    <m/>
    <x v="0"/>
    <m/>
    <m/>
    <x v="0"/>
    <x v="0"/>
    <m/>
    <x v="0"/>
    <x v="0"/>
  </r>
  <r>
    <n v="29"/>
    <s v="29 | Finance"/>
    <x v="21"/>
    <x v="7"/>
    <x v="30"/>
    <x v="10"/>
    <s v="Finance-Business Partner"/>
    <x v="4"/>
    <d v="2022-12-27T10:52:58"/>
    <x v="879"/>
    <x v="287"/>
    <n v="5"/>
    <d v="2023-01-30T10:52:58"/>
    <s v="No"/>
    <m/>
    <x v="2"/>
    <x v="1"/>
    <m/>
    <m/>
    <m/>
    <m/>
    <m/>
    <m/>
    <x v="0"/>
    <m/>
    <m/>
    <m/>
    <m/>
    <m/>
    <m/>
    <s v="C2589"/>
    <s v="Candidate_1589"/>
    <m/>
    <x v="2"/>
    <s v="Job Board"/>
    <n v="6"/>
    <m/>
    <x v="0"/>
    <m/>
    <m/>
    <x v="0"/>
    <x v="0"/>
    <m/>
    <x v="1"/>
    <x v="0"/>
  </r>
  <r>
    <n v="18"/>
    <s v="18 | Finance"/>
    <x v="23"/>
    <x v="7"/>
    <x v="30"/>
    <x v="10"/>
    <s v="Finance-Business Partner"/>
    <x v="4"/>
    <d v="2022-03-16T21:37:51"/>
    <x v="969"/>
    <x v="288"/>
    <n v="6"/>
    <d v="2022-04-07T21:37:51"/>
    <s v="Yes"/>
    <d v="2022-03-28T21:37:51"/>
    <x v="0"/>
    <x v="4"/>
    <m/>
    <m/>
    <m/>
    <m/>
    <d v="2022-03-30T21:37:51"/>
    <m/>
    <x v="0"/>
    <m/>
    <m/>
    <m/>
    <m/>
    <s v="Candidate"/>
    <m/>
    <s v="C2590"/>
    <s v="Candidate_1590"/>
    <s v="Mar 16 2022"/>
    <x v="2"/>
    <s v="Job Board"/>
    <n v="6"/>
    <m/>
    <x v="0"/>
    <m/>
    <m/>
    <x v="0"/>
    <x v="0"/>
    <m/>
    <x v="1"/>
    <x v="0"/>
  </r>
  <r>
    <n v="2843"/>
    <s v="2843 | Finance"/>
    <x v="21"/>
    <x v="7"/>
    <x v="31"/>
    <x v="6"/>
    <s v="Finance-Manager"/>
    <x v="5"/>
    <m/>
    <x v="883"/>
    <x v="257"/>
    <n v="44658.443379629629"/>
    <d v="2022-04-28T10:38:28"/>
    <s v="Yes"/>
    <d v="2022-04-12T10:38:28"/>
    <x v="1"/>
    <x v="1"/>
    <d v="2022-04-17T10:38:28"/>
    <s v="Declined"/>
    <m/>
    <m/>
    <d v="2022-04-15T10:38:28"/>
    <m/>
    <x v="0"/>
    <m/>
    <m/>
    <m/>
    <m/>
    <m/>
    <m/>
    <s v="C2591"/>
    <s v="Candidate_1591"/>
    <s v="31/03/2022"/>
    <x v="1"/>
    <s v="Linkedin"/>
    <n v="6"/>
    <m/>
    <x v="0"/>
    <m/>
    <m/>
    <x v="0"/>
    <x v="0"/>
    <m/>
    <x v="0"/>
    <x v="0"/>
  </r>
  <r>
    <n v="2780"/>
    <s v="2780 | Finance"/>
    <x v="23"/>
    <x v="7"/>
    <x v="31"/>
    <x v="6"/>
    <s v="Finance-Manager"/>
    <x v="5"/>
    <d v="2022-05-03T18:40:18"/>
    <x v="970"/>
    <x v="258"/>
    <n v="5"/>
    <d v="2022-05-18T18:40:18"/>
    <s v="Yes"/>
    <d v="2022-05-15T18:40:18"/>
    <x v="3"/>
    <x v="1"/>
    <d v="2022-05-20T18:40:18"/>
    <s v="Accepted"/>
    <d v="2022-05-17T18:40:18"/>
    <d v="2022-05-18T18:40:18"/>
    <d v="2022-05-19T18:40:18"/>
    <d v="2022-05-20T18:40:18"/>
    <x v="1"/>
    <d v="2022-05-21T18:40:18"/>
    <d v="2022-05-24T18:40:18"/>
    <d v="2022-05-27T18:40:18"/>
    <m/>
    <m/>
    <d v="2022-06-07T18:40:18"/>
    <s v="C2592"/>
    <s v="Candidate_1592"/>
    <s v="04/05/2022"/>
    <x v="0"/>
    <s v="Referral"/>
    <n v="6"/>
    <m/>
    <x v="0"/>
    <m/>
    <m/>
    <x v="0"/>
    <x v="0"/>
    <m/>
    <x v="154"/>
    <x v="0"/>
  </r>
  <r>
    <n v="2778"/>
    <s v="2778 | Finance"/>
    <x v="22"/>
    <x v="7"/>
    <x v="31"/>
    <x v="6"/>
    <s v="Finance-Manager"/>
    <x v="5"/>
    <d v="2022-05-02T18:40:18"/>
    <x v="971"/>
    <x v="4"/>
    <n v="-44683.777986111112"/>
    <d v="2022-05-13T18:40:18"/>
    <s v="Yes"/>
    <d v="2022-05-25T18:40:18"/>
    <x v="1"/>
    <x v="1"/>
    <d v="2022-05-29T18:40:18"/>
    <s v="Declined"/>
    <m/>
    <m/>
    <d v="2022-05-26T18:40:18"/>
    <m/>
    <x v="0"/>
    <m/>
    <m/>
    <m/>
    <m/>
    <m/>
    <m/>
    <s v="C2593"/>
    <s v="Candidate_1593"/>
    <s v="05-07-2022"/>
    <x v="2"/>
    <s v="Job Board"/>
    <n v="3"/>
    <m/>
    <x v="0"/>
    <m/>
    <m/>
    <x v="0"/>
    <x v="0"/>
    <m/>
    <x v="0"/>
    <x v="0"/>
  </r>
  <r>
    <n v="2752"/>
    <s v="2752 | Finance"/>
    <x v="22"/>
    <x v="7"/>
    <x v="31"/>
    <x v="6"/>
    <s v="Finance-Manager"/>
    <x v="5"/>
    <m/>
    <x v="886"/>
    <x v="289"/>
    <n v="45032.765081018522"/>
    <d v="2023-04-21T18:21:43"/>
    <s v="Yes"/>
    <d v="2023-04-26T18:21:43"/>
    <x v="3"/>
    <x v="1"/>
    <d v="2023-05-01T18:21:43"/>
    <s v="Accepted"/>
    <d v="2023-04-28T18:21:43"/>
    <d v="2023-05-01T18:21:43"/>
    <d v="2023-04-29T18:21:43"/>
    <d v="2023-05-05T18:21:43"/>
    <x v="1"/>
    <d v="2023-05-09T18:21:43"/>
    <d v="2023-05-11T18:21:43"/>
    <d v="2023-05-12T18:21:43"/>
    <m/>
    <m/>
    <d v="2023-05-21T18:21:43"/>
    <s v="C2594"/>
    <s v="Candidate_1594"/>
    <s v="Apr 17 2023"/>
    <x v="2"/>
    <s v="Job Board"/>
    <n v="3"/>
    <m/>
    <x v="0"/>
    <m/>
    <m/>
    <x v="0"/>
    <x v="0"/>
    <m/>
    <x v="0"/>
    <x v="0"/>
  </r>
  <r>
    <n v="2677"/>
    <s v="2677 | Finance"/>
    <x v="22"/>
    <x v="7"/>
    <x v="31"/>
    <x v="6"/>
    <s v="Finance-Manager"/>
    <x v="5"/>
    <d v="2022-02-12T03:23:10"/>
    <x v="889"/>
    <x v="319"/>
    <n v="4"/>
    <d v="2022-02-27T03:23:10"/>
    <s v="Yes"/>
    <d v="2022-02-19T03:23:10"/>
    <x v="1"/>
    <x v="1"/>
    <d v="2022-02-24T03:23:10"/>
    <s v="Declined"/>
    <m/>
    <m/>
    <d v="2022-02-21T03:23:10"/>
    <m/>
    <x v="0"/>
    <m/>
    <m/>
    <m/>
    <m/>
    <m/>
    <m/>
    <s v="C2595"/>
    <s v="Candidate_1595"/>
    <s v="Feb 08 2022"/>
    <x v="0"/>
    <s v="Referral"/>
    <n v="3"/>
    <m/>
    <x v="0"/>
    <m/>
    <m/>
    <x v="0"/>
    <x v="0"/>
    <m/>
    <x v="1"/>
    <x v="0"/>
  </r>
  <r>
    <n v="2676"/>
    <s v="2676 | Finance"/>
    <x v="22"/>
    <x v="7"/>
    <x v="31"/>
    <x v="6"/>
    <s v="Finance-Manager"/>
    <x v="5"/>
    <d v="2022-02-10T03:23:10"/>
    <x v="0"/>
    <x v="319"/>
    <n v="6"/>
    <d v="2022-03-06T03:23:10"/>
    <s v="Yes"/>
    <d v="2022-03-06T03:23:10"/>
    <x v="1"/>
    <x v="1"/>
    <d v="2022-03-11T03:23:10"/>
    <s v="Declined"/>
    <m/>
    <m/>
    <d v="2022-03-08T03:23:10"/>
    <m/>
    <x v="0"/>
    <m/>
    <m/>
    <m/>
    <m/>
    <m/>
    <m/>
    <s v="C2596"/>
    <s v="Candidate_1596"/>
    <s v="02-22-2022"/>
    <x v="1"/>
    <s v="Linkedin"/>
    <n v="3"/>
    <m/>
    <x v="0"/>
    <m/>
    <m/>
    <x v="0"/>
    <x v="0"/>
    <m/>
    <x v="0"/>
    <x v="0"/>
  </r>
  <r>
    <n v="2675"/>
    <s v="2675 | Finance"/>
    <x v="23"/>
    <x v="7"/>
    <x v="31"/>
    <x v="6"/>
    <s v="Finance-Manager"/>
    <x v="5"/>
    <d v="2022-02-09T03:23:10"/>
    <x v="888"/>
    <x v="319"/>
    <n v="7"/>
    <d v="2022-03-07T03:23:10"/>
    <s v="No"/>
    <m/>
    <x v="2"/>
    <x v="1"/>
    <m/>
    <m/>
    <m/>
    <m/>
    <m/>
    <m/>
    <x v="0"/>
    <m/>
    <m/>
    <m/>
    <m/>
    <m/>
    <m/>
    <s v="C2597"/>
    <s v="Candidate_1597"/>
    <m/>
    <x v="0"/>
    <s v="Referral"/>
    <n v="3"/>
    <m/>
    <x v="0"/>
    <m/>
    <m/>
    <x v="0"/>
    <x v="0"/>
    <m/>
    <x v="1"/>
    <x v="0"/>
  </r>
  <r>
    <n v="2673"/>
    <s v="2673 | Finance"/>
    <x v="22"/>
    <x v="7"/>
    <x v="31"/>
    <x v="6"/>
    <s v="Finance-Manager"/>
    <x v="5"/>
    <d v="2022-02-10T03:23:10"/>
    <x v="888"/>
    <x v="319"/>
    <n v="6"/>
    <d v="2022-02-27T03:23:10"/>
    <s v="No"/>
    <m/>
    <x v="2"/>
    <x v="1"/>
    <m/>
    <m/>
    <m/>
    <m/>
    <m/>
    <m/>
    <x v="0"/>
    <m/>
    <m/>
    <m/>
    <m/>
    <m/>
    <m/>
    <s v="C2598"/>
    <s v="Candidate_1598"/>
    <m/>
    <x v="1"/>
    <s v="Linkedin"/>
    <n v="3"/>
    <m/>
    <x v="0"/>
    <m/>
    <m/>
    <x v="0"/>
    <x v="0"/>
    <m/>
    <x v="1"/>
    <x v="0"/>
  </r>
  <r>
    <n v="2550"/>
    <s v="2550 | Finance"/>
    <x v="21"/>
    <x v="7"/>
    <x v="31"/>
    <x v="6"/>
    <s v="Finance-Manager"/>
    <x v="5"/>
    <d v="2023-06-26T11:30:00"/>
    <x v="972"/>
    <x v="290"/>
    <n v="9"/>
    <d v="2023-07-30T11:30:00"/>
    <s v="Yes"/>
    <d v="2023-07-13T11:30:00"/>
    <x v="1"/>
    <x v="1"/>
    <d v="2023-07-19T11:30:00"/>
    <s v="Declined"/>
    <m/>
    <m/>
    <d v="2023-07-16T11:30:00"/>
    <m/>
    <x v="0"/>
    <m/>
    <m/>
    <m/>
    <m/>
    <m/>
    <m/>
    <s v="C2599"/>
    <s v="Candidate_1599"/>
    <s v="Jun 28 2023"/>
    <x v="0"/>
    <s v="Referral"/>
    <n v="3"/>
    <m/>
    <x v="0"/>
    <m/>
    <m/>
    <x v="0"/>
    <x v="0"/>
    <m/>
    <x v="1"/>
    <x v="0"/>
  </r>
  <r>
    <n v="2544"/>
    <s v="2544 | Finance"/>
    <x v="22"/>
    <x v="7"/>
    <x v="31"/>
    <x v="6"/>
    <s v="Finance-Manager"/>
    <x v="5"/>
    <d v="2023-06-28T11:30:00"/>
    <x v="972"/>
    <x v="4"/>
    <n v="-45105.479166666657"/>
    <d v="2023-07-12T11:30:00"/>
    <s v="Yes"/>
    <d v="2023-07-21T11:30:00"/>
    <x v="0"/>
    <x v="0"/>
    <m/>
    <m/>
    <m/>
    <m/>
    <d v="2023-07-22T11:30:00"/>
    <m/>
    <x v="0"/>
    <m/>
    <m/>
    <m/>
    <m/>
    <s v="Company"/>
    <m/>
    <s v="C2600"/>
    <s v="Candidate_1600"/>
    <s v="Jul 16 2023"/>
    <x v="0"/>
    <s v="Referral"/>
    <n v="3"/>
    <m/>
    <x v="0"/>
    <m/>
    <m/>
    <x v="0"/>
    <x v="0"/>
    <m/>
    <x v="0"/>
    <x v="0"/>
  </r>
  <r>
    <n v="2506"/>
    <s v="2506 | Finance"/>
    <x v="23"/>
    <x v="7"/>
    <x v="31"/>
    <x v="6"/>
    <s v="Finance-Manager"/>
    <x v="5"/>
    <d v="2022-06-25T18:38:51"/>
    <x v="973"/>
    <x v="320"/>
    <n v="6"/>
    <d v="2022-07-26T18:38:51"/>
    <s v="Yes"/>
    <d v="2022-07-16T18:38:51"/>
    <x v="1"/>
    <x v="1"/>
    <d v="2022-07-20T18:38:51"/>
    <s v="Declined"/>
    <m/>
    <m/>
    <d v="2022-07-19T18:38:51"/>
    <m/>
    <x v="0"/>
    <m/>
    <m/>
    <m/>
    <m/>
    <m/>
    <m/>
    <s v="C2601"/>
    <s v="Candidate_1601"/>
    <s v="Jun 29 2022"/>
    <x v="2"/>
    <s v="Job Board"/>
    <n v="3"/>
    <m/>
    <x v="0"/>
    <m/>
    <m/>
    <x v="0"/>
    <x v="0"/>
    <m/>
    <x v="1"/>
    <x v="0"/>
  </r>
  <r>
    <n v="2503"/>
    <s v="2503 | Finance"/>
    <x v="21"/>
    <x v="7"/>
    <x v="31"/>
    <x v="6"/>
    <s v="Finance-Manager"/>
    <x v="5"/>
    <d v="2022-06-27T18:38:51"/>
    <x v="0"/>
    <x v="320"/>
    <n v="4"/>
    <d v="2022-07-30T18:38:51"/>
    <s v="Yes"/>
    <d v="2022-07-02T18:38:51"/>
    <x v="3"/>
    <x v="1"/>
    <d v="2022-07-06T18:38:51"/>
    <s v="Accepted"/>
    <d v="2022-07-03T18:38:51"/>
    <d v="2022-07-06T18:38:51"/>
    <d v="2022-07-03T18:38:51"/>
    <d v="2022-07-08T18:38:51"/>
    <x v="1"/>
    <d v="2022-07-09T18:38:51"/>
    <d v="2022-07-12T18:38:51"/>
    <d v="2022-07-13T18:38:51"/>
    <m/>
    <m/>
    <d v="2022-07-30T18:38:51"/>
    <s v="C2602"/>
    <s v="Candidate_1602"/>
    <s v="24/06/2022"/>
    <x v="0"/>
    <s v="Referral"/>
    <n v="3"/>
    <m/>
    <x v="0"/>
    <m/>
    <m/>
    <x v="0"/>
    <x v="0"/>
    <m/>
    <x v="0"/>
    <x v="0"/>
  </r>
  <r>
    <n v="2502"/>
    <s v="2502 | Finance"/>
    <x v="22"/>
    <x v="7"/>
    <x v="31"/>
    <x v="6"/>
    <s v="Finance-Manager"/>
    <x v="5"/>
    <d v="2022-06-28T18:38:51"/>
    <x v="0"/>
    <x v="320"/>
    <n v="3"/>
    <d v="2022-07-27T18:38:51"/>
    <s v="Yes"/>
    <d v="2022-07-12T18:38:51"/>
    <x v="0"/>
    <x v="2"/>
    <m/>
    <m/>
    <m/>
    <m/>
    <d v="2022-07-14T18:38:51"/>
    <m/>
    <x v="0"/>
    <m/>
    <m/>
    <m/>
    <m/>
    <s v="Candidate"/>
    <m/>
    <s v="C2603"/>
    <s v="Candidate_1603"/>
    <s v="Jun 26 2022"/>
    <x v="2"/>
    <s v="Job Board"/>
    <n v="3"/>
    <m/>
    <x v="0"/>
    <m/>
    <m/>
    <x v="0"/>
    <x v="0"/>
    <m/>
    <x v="0"/>
    <x v="0"/>
  </r>
  <r>
    <n v="2480"/>
    <s v="2480 | Finance"/>
    <x v="22"/>
    <x v="7"/>
    <x v="31"/>
    <x v="6"/>
    <s v="Finance-Manager"/>
    <x v="5"/>
    <d v="2022-12-20T10:20:25"/>
    <x v="974"/>
    <x v="291"/>
    <n v="5"/>
    <d v="2023-01-05T10:20:25"/>
    <s v="Yes"/>
    <d v="2023-01-10T10:20:25"/>
    <x v="1"/>
    <x v="1"/>
    <d v="2023-01-13T10:20:25"/>
    <s v="Declined"/>
    <m/>
    <m/>
    <d v="2023-01-12T10:20:25"/>
    <m/>
    <x v="0"/>
    <m/>
    <m/>
    <m/>
    <m/>
    <m/>
    <m/>
    <s v="C2604"/>
    <s v="Candidate_1604"/>
    <s v="03/01/2023"/>
    <x v="2"/>
    <s v="Job Board"/>
    <n v="6"/>
    <m/>
    <x v="0"/>
    <m/>
    <m/>
    <x v="0"/>
    <x v="0"/>
    <m/>
    <x v="1"/>
    <x v="0"/>
  </r>
  <r>
    <n v="2472"/>
    <s v="2472 | Finance"/>
    <x v="21"/>
    <x v="7"/>
    <x v="31"/>
    <x v="6"/>
    <s v="Finance-Manager"/>
    <x v="5"/>
    <d v="2022-12-19T10:20:25"/>
    <x v="0"/>
    <x v="291"/>
    <n v="6"/>
    <d v="2023-01-15T10:20:25"/>
    <s v="Yes"/>
    <d v="2022-12-27T10:20:25"/>
    <x v="0"/>
    <x v="5"/>
    <m/>
    <m/>
    <m/>
    <m/>
    <d v="2022-12-31T10:20:25"/>
    <m/>
    <x v="0"/>
    <m/>
    <m/>
    <m/>
    <m/>
    <s v="Candidate"/>
    <m/>
    <s v="C2605"/>
    <s v="Candidate_1605"/>
    <s v="12-18-2022"/>
    <x v="2"/>
    <s v="Job Board"/>
    <n v="6"/>
    <m/>
    <x v="0"/>
    <m/>
    <m/>
    <x v="0"/>
    <x v="0"/>
    <m/>
    <x v="0"/>
    <x v="0"/>
  </r>
  <r>
    <n v="2359"/>
    <s v="2359 | Finance"/>
    <x v="21"/>
    <x v="7"/>
    <x v="31"/>
    <x v="6"/>
    <s v="Finance-Manager"/>
    <x v="5"/>
    <d v="2023-04-07T12:37:54"/>
    <x v="975"/>
    <x v="292"/>
    <n v="9"/>
    <d v="2023-04-29T12:37:54"/>
    <s v="No"/>
    <m/>
    <x v="2"/>
    <x v="1"/>
    <m/>
    <m/>
    <m/>
    <m/>
    <m/>
    <m/>
    <x v="0"/>
    <m/>
    <m/>
    <m/>
    <m/>
    <m/>
    <m/>
    <s v="C2606"/>
    <s v="Candidate_1606"/>
    <m/>
    <x v="0"/>
    <s v="Referral"/>
    <n v="6"/>
    <m/>
    <x v="0"/>
    <m/>
    <m/>
    <x v="0"/>
    <x v="0"/>
    <m/>
    <x v="1"/>
    <x v="0"/>
  </r>
  <r>
    <n v="2356"/>
    <s v="2356 | Finance"/>
    <x v="22"/>
    <x v="7"/>
    <x v="31"/>
    <x v="6"/>
    <s v="Finance-Manager"/>
    <x v="5"/>
    <d v="2023-04-12T12:37:54"/>
    <x v="895"/>
    <x v="292"/>
    <n v="4"/>
    <d v="2023-05-14T12:37:54"/>
    <s v="Yes"/>
    <d v="2023-04-22T12:37:54"/>
    <x v="0"/>
    <x v="3"/>
    <m/>
    <m/>
    <m/>
    <m/>
    <m/>
    <m/>
    <x v="0"/>
    <m/>
    <m/>
    <m/>
    <m/>
    <s v="Candidate"/>
    <m/>
    <s v="C2607"/>
    <s v="Candidate_1607"/>
    <s v="Apr 04 2023"/>
    <x v="1"/>
    <s v="Linkedin"/>
    <n v="3"/>
    <m/>
    <x v="0"/>
    <m/>
    <m/>
    <x v="0"/>
    <x v="0"/>
    <m/>
    <x v="1"/>
    <x v="0"/>
  </r>
  <r>
    <n v="2330"/>
    <s v="2330 | Finance"/>
    <x v="22"/>
    <x v="7"/>
    <x v="31"/>
    <x v="6"/>
    <s v="Finance-Manager"/>
    <x v="5"/>
    <d v="2022-02-03T06:22:29"/>
    <x v="843"/>
    <x v="260"/>
    <n v="8"/>
    <d v="2022-02-25T06:22:29"/>
    <s v="Yes"/>
    <d v="2022-02-24T06:22:29"/>
    <x v="1"/>
    <x v="1"/>
    <d v="2022-02-28T06:22:29"/>
    <s v="Declined"/>
    <m/>
    <m/>
    <d v="2022-02-25T06:22:29"/>
    <m/>
    <x v="0"/>
    <m/>
    <m/>
    <m/>
    <m/>
    <m/>
    <m/>
    <s v="C2608"/>
    <s v="Candidate_1608"/>
    <s v="02-14-2022"/>
    <x v="0"/>
    <s v="Referral"/>
    <n v="3"/>
    <m/>
    <x v="0"/>
    <m/>
    <m/>
    <x v="0"/>
    <x v="0"/>
    <m/>
    <x v="1"/>
    <x v="0"/>
  </r>
  <r>
    <n v="2308"/>
    <s v="2308 | Finance"/>
    <x v="21"/>
    <x v="7"/>
    <x v="31"/>
    <x v="6"/>
    <s v="Finance-Manager"/>
    <x v="5"/>
    <d v="2023-06-22T01:56:26"/>
    <x v="976"/>
    <x v="293"/>
    <n v="6"/>
    <d v="2023-07-10T01:56:26"/>
    <s v="Yes"/>
    <d v="2023-07-10T01:56:26"/>
    <x v="0"/>
    <x v="4"/>
    <m/>
    <m/>
    <m/>
    <m/>
    <d v="2023-07-12T01:56:26"/>
    <m/>
    <x v="0"/>
    <m/>
    <m/>
    <m/>
    <m/>
    <s v="Company"/>
    <m/>
    <s v="C2609"/>
    <s v="Candidate_1609"/>
    <s v="24/06/2023"/>
    <x v="2"/>
    <s v="Job Board"/>
    <n v="6"/>
    <m/>
    <x v="0"/>
    <m/>
    <m/>
    <x v="0"/>
    <x v="0"/>
    <m/>
    <x v="1"/>
    <x v="0"/>
  </r>
  <r>
    <n v="2279"/>
    <s v="2279 | Finance"/>
    <x v="21"/>
    <x v="7"/>
    <x v="31"/>
    <x v="6"/>
    <s v="Finance-Manager"/>
    <x v="5"/>
    <d v="2023-08-26T21:41:36"/>
    <x v="977"/>
    <x v="321"/>
    <n v="7"/>
    <d v="2023-09-14T21:41:36"/>
    <s v="No"/>
    <m/>
    <x v="2"/>
    <x v="1"/>
    <m/>
    <m/>
    <m/>
    <m/>
    <m/>
    <m/>
    <x v="0"/>
    <m/>
    <m/>
    <m/>
    <m/>
    <m/>
    <m/>
    <s v="C2610"/>
    <s v="Candidate_1610"/>
    <m/>
    <x v="0"/>
    <s v="Referral"/>
    <n v="6"/>
    <m/>
    <x v="0"/>
    <m/>
    <m/>
    <x v="0"/>
    <x v="0"/>
    <m/>
    <x v="1"/>
    <x v="0"/>
  </r>
  <r>
    <n v="2230"/>
    <s v="2230 | Finance"/>
    <x v="23"/>
    <x v="7"/>
    <x v="31"/>
    <x v="6"/>
    <s v="Finance-Manager"/>
    <x v="5"/>
    <d v="2023-08-16T12:50:13"/>
    <x v="978"/>
    <x v="261"/>
    <n v="7"/>
    <d v="2023-09-03T12:50:13"/>
    <s v="Yes"/>
    <d v="2023-08-31T12:50:13"/>
    <x v="4"/>
    <x v="1"/>
    <d v="2023-09-03T12:50:13"/>
    <s v="Pending"/>
    <m/>
    <m/>
    <d v="2023-09-01T12:50:13"/>
    <m/>
    <x v="0"/>
    <m/>
    <m/>
    <m/>
    <m/>
    <m/>
    <m/>
    <s v="C2611"/>
    <s v="Candidate_1611"/>
    <s v="Aug 15 2023"/>
    <x v="0"/>
    <s v="Referral"/>
    <n v="6"/>
    <m/>
    <x v="0"/>
    <m/>
    <m/>
    <x v="0"/>
    <x v="0"/>
    <m/>
    <x v="1"/>
    <x v="0"/>
  </r>
  <r>
    <n v="2226"/>
    <s v="2226 | Finance"/>
    <x v="21"/>
    <x v="7"/>
    <x v="31"/>
    <x v="6"/>
    <s v="Finance-Manager"/>
    <x v="5"/>
    <d v="2023-08-18T12:50:13"/>
    <x v="979"/>
    <x v="261"/>
    <n v="5"/>
    <d v="2023-09-01T12:50:13"/>
    <s v="Yes"/>
    <d v="2023-09-02T12:50:13"/>
    <x v="0"/>
    <x v="3"/>
    <m/>
    <m/>
    <m/>
    <m/>
    <m/>
    <m/>
    <x v="0"/>
    <m/>
    <m/>
    <m/>
    <m/>
    <s v="Company"/>
    <m/>
    <s v="C2612"/>
    <s v="Candidate_1612"/>
    <s v="Aug 22 2023"/>
    <x v="1"/>
    <s v="Linkedin"/>
    <n v="3"/>
    <m/>
    <x v="0"/>
    <m/>
    <m/>
    <x v="0"/>
    <x v="0"/>
    <m/>
    <x v="1"/>
    <x v="0"/>
  </r>
  <r>
    <n v="2222"/>
    <s v="2222 | Finance"/>
    <x v="23"/>
    <x v="7"/>
    <x v="31"/>
    <x v="6"/>
    <s v="Finance-Manager"/>
    <x v="5"/>
    <d v="2023-08-19T12:50:13"/>
    <x v="898"/>
    <x v="261"/>
    <n v="4"/>
    <d v="2023-09-15T12:50:13"/>
    <s v="Yes"/>
    <d v="2023-09-05T12:50:13"/>
    <x v="1"/>
    <x v="1"/>
    <d v="2023-09-08T12:50:13"/>
    <s v="Declined"/>
    <m/>
    <m/>
    <d v="2023-09-06T12:50:13"/>
    <m/>
    <x v="0"/>
    <m/>
    <m/>
    <m/>
    <m/>
    <m/>
    <m/>
    <s v="C2613"/>
    <s v="Candidate_1613"/>
    <s v="23/08/2023"/>
    <x v="2"/>
    <s v="Job Board"/>
    <n v="3"/>
    <m/>
    <x v="0"/>
    <m/>
    <m/>
    <x v="0"/>
    <x v="0"/>
    <m/>
    <x v="1"/>
    <x v="0"/>
  </r>
  <r>
    <n v="2172"/>
    <s v="2172 | Finance"/>
    <x v="21"/>
    <x v="7"/>
    <x v="31"/>
    <x v="6"/>
    <s v="Finance-Manager"/>
    <x v="5"/>
    <d v="2022-07-08T14:26:50"/>
    <x v="980"/>
    <x v="262"/>
    <n v="9"/>
    <d v="2022-08-07T14:26:50"/>
    <s v="Yes"/>
    <d v="2022-07-24T14:26:50"/>
    <x v="0"/>
    <x v="4"/>
    <m/>
    <m/>
    <m/>
    <m/>
    <m/>
    <m/>
    <x v="0"/>
    <m/>
    <m/>
    <m/>
    <m/>
    <s v="Company"/>
    <m/>
    <s v="C2614"/>
    <s v="Candidate_1614"/>
    <s v="07-14-2022"/>
    <x v="0"/>
    <s v="Referral"/>
    <n v="6"/>
    <m/>
    <x v="0"/>
    <m/>
    <m/>
    <x v="0"/>
    <x v="0"/>
    <m/>
    <x v="1"/>
    <x v="0"/>
  </r>
  <r>
    <n v="2156"/>
    <s v="2156 | Finance"/>
    <x v="21"/>
    <x v="7"/>
    <x v="31"/>
    <x v="6"/>
    <s v="Finance-Manager"/>
    <x v="5"/>
    <d v="2023-08-04T09:27:05"/>
    <x v="981"/>
    <x v="322"/>
    <n v="5"/>
    <d v="2023-09-02T09:27:05"/>
    <s v="Yes"/>
    <d v="2023-08-22T09:27:05"/>
    <x v="0"/>
    <x v="3"/>
    <m/>
    <m/>
    <m/>
    <m/>
    <m/>
    <m/>
    <x v="0"/>
    <m/>
    <m/>
    <m/>
    <m/>
    <s v="Candidate"/>
    <m/>
    <s v="C2615"/>
    <s v="Candidate_1615"/>
    <s v="16/08/2023"/>
    <x v="1"/>
    <s v="Linkedin"/>
    <n v="6"/>
    <m/>
    <x v="0"/>
    <m/>
    <m/>
    <x v="0"/>
    <x v="0"/>
    <m/>
    <x v="1"/>
    <x v="0"/>
  </r>
  <r>
    <n v="2154"/>
    <s v="2154 | Finance"/>
    <x v="21"/>
    <x v="7"/>
    <x v="31"/>
    <x v="6"/>
    <s v="Finance-Manager"/>
    <x v="5"/>
    <d v="2023-08-05T09:27:05"/>
    <x v="982"/>
    <x v="322"/>
    <n v="4"/>
    <d v="2023-09-04T09:27:05"/>
    <s v="Yes"/>
    <d v="2023-08-13T09:27:05"/>
    <x v="3"/>
    <x v="1"/>
    <d v="2023-08-17T09:27:05"/>
    <s v="Accepted"/>
    <d v="2023-08-15T09:27:05"/>
    <d v="2023-08-17T09:27:05"/>
    <d v="2023-08-16T09:27:05"/>
    <d v="2023-08-25T09:27:05"/>
    <x v="1"/>
    <d v="2023-08-27T09:27:05"/>
    <d v="2023-08-30T09:27:05"/>
    <d v="2023-08-31T09:27:05"/>
    <m/>
    <m/>
    <d v="2023-09-11T09:27:05"/>
    <s v="C2616"/>
    <s v="Candidate_1616"/>
    <s v="Aug 04 2023"/>
    <x v="2"/>
    <s v="Job Board"/>
    <n v="6"/>
    <m/>
    <x v="0"/>
    <m/>
    <m/>
    <x v="0"/>
    <x v="0"/>
    <m/>
    <x v="155"/>
    <x v="0"/>
  </r>
  <r>
    <n v="2083"/>
    <s v="2083 | Finance"/>
    <x v="23"/>
    <x v="7"/>
    <x v="31"/>
    <x v="6"/>
    <s v="Finance-Manager"/>
    <x v="5"/>
    <d v="2022-10-03T21:05:46"/>
    <x v="983"/>
    <x v="263"/>
    <n v="4"/>
    <d v="2022-10-18T21:05:46"/>
    <s v="Yes"/>
    <d v="2022-10-11T21:05:46"/>
    <x v="0"/>
    <x v="3"/>
    <m/>
    <m/>
    <m/>
    <m/>
    <d v="2022-10-14T21:05:46"/>
    <m/>
    <x v="0"/>
    <m/>
    <m/>
    <m/>
    <m/>
    <s v="Candidate"/>
    <m/>
    <s v="C2617"/>
    <s v="Candidate_1617"/>
    <s v="10-02-2022"/>
    <x v="2"/>
    <s v="Job Board"/>
    <n v="6"/>
    <m/>
    <x v="0"/>
    <m/>
    <m/>
    <x v="0"/>
    <x v="0"/>
    <m/>
    <x v="1"/>
    <x v="0"/>
  </r>
  <r>
    <n v="2030"/>
    <s v="2030 | Finance"/>
    <x v="23"/>
    <x v="7"/>
    <x v="31"/>
    <x v="6"/>
    <s v="Finance-Manager"/>
    <x v="5"/>
    <d v="2022-08-10T16:19:01"/>
    <x v="984"/>
    <x v="296"/>
    <n v="7"/>
    <d v="2022-09-09T16:19:01"/>
    <s v="No"/>
    <m/>
    <x v="2"/>
    <x v="1"/>
    <m/>
    <m/>
    <m/>
    <m/>
    <m/>
    <m/>
    <x v="0"/>
    <m/>
    <m/>
    <m/>
    <m/>
    <m/>
    <m/>
    <s v="C2618"/>
    <s v="Candidate_1618"/>
    <m/>
    <x v="1"/>
    <s v="Linkedin"/>
    <n v="6"/>
    <m/>
    <x v="0"/>
    <m/>
    <m/>
    <x v="0"/>
    <x v="0"/>
    <m/>
    <x v="1"/>
    <x v="0"/>
  </r>
  <r>
    <n v="2021"/>
    <s v="2021 | Finance"/>
    <x v="23"/>
    <x v="7"/>
    <x v="31"/>
    <x v="6"/>
    <s v="Finance-Manager"/>
    <x v="5"/>
    <d v="2022-08-12T16:19:01"/>
    <x v="985"/>
    <x v="296"/>
    <n v="5"/>
    <d v="2022-08-23T16:19:01"/>
    <s v="No"/>
    <m/>
    <x v="2"/>
    <x v="1"/>
    <m/>
    <m/>
    <m/>
    <m/>
    <m/>
    <m/>
    <x v="0"/>
    <m/>
    <m/>
    <m/>
    <m/>
    <m/>
    <m/>
    <s v="C2619"/>
    <s v="Candidate_1619"/>
    <m/>
    <x v="1"/>
    <s v="Linkedin"/>
    <n v="3"/>
    <m/>
    <x v="0"/>
    <m/>
    <m/>
    <x v="0"/>
    <x v="0"/>
    <m/>
    <x v="1"/>
    <x v="0"/>
  </r>
  <r>
    <n v="1996"/>
    <s v="1996 | Finance"/>
    <x v="23"/>
    <x v="7"/>
    <x v="31"/>
    <x v="6"/>
    <s v="Finance-Manager"/>
    <x v="5"/>
    <d v="2023-03-30T15:41:39"/>
    <x v="901"/>
    <x v="4"/>
    <n v="-45015.653923611113"/>
    <d v="2023-04-19T15:41:39"/>
    <s v="Yes"/>
    <d v="2023-04-10T15:41:39"/>
    <x v="0"/>
    <x v="3"/>
    <m/>
    <m/>
    <m/>
    <m/>
    <d v="2023-04-13T15:41:39"/>
    <m/>
    <x v="0"/>
    <m/>
    <m/>
    <m/>
    <m/>
    <s v="Company"/>
    <m/>
    <s v="C2620"/>
    <s v="Candidate_1620"/>
    <s v="04-02-2023"/>
    <x v="1"/>
    <s v="Linkedin"/>
    <n v="3"/>
    <m/>
    <x v="0"/>
    <m/>
    <m/>
    <x v="0"/>
    <x v="0"/>
    <m/>
    <x v="0"/>
    <x v="0"/>
  </r>
  <r>
    <n v="1889"/>
    <s v="1889 | Finance"/>
    <x v="21"/>
    <x v="7"/>
    <x v="31"/>
    <x v="6"/>
    <s v="Finance-Manager"/>
    <x v="5"/>
    <d v="2022-10-07T10:12:16"/>
    <x v="986"/>
    <x v="264"/>
    <n v="7"/>
    <d v="2022-11-08T10:12:16"/>
    <s v="No"/>
    <m/>
    <x v="2"/>
    <x v="1"/>
    <m/>
    <m/>
    <m/>
    <m/>
    <m/>
    <m/>
    <x v="0"/>
    <m/>
    <m/>
    <m/>
    <m/>
    <m/>
    <m/>
    <s v="C2621"/>
    <s v="Candidate_1621"/>
    <m/>
    <x v="2"/>
    <s v="Job Board"/>
    <n v="3"/>
    <m/>
    <x v="0"/>
    <m/>
    <m/>
    <x v="0"/>
    <x v="0"/>
    <m/>
    <x v="1"/>
    <x v="0"/>
  </r>
  <r>
    <n v="1887"/>
    <s v="1887 | Finance"/>
    <x v="21"/>
    <x v="7"/>
    <x v="31"/>
    <x v="6"/>
    <s v="Finance-Manager"/>
    <x v="5"/>
    <m/>
    <x v="986"/>
    <x v="264"/>
    <n v="44848.425185185188"/>
    <d v="2022-11-07T10:12:16"/>
    <s v="Yes"/>
    <d v="2022-10-22T10:12:16"/>
    <x v="1"/>
    <x v="1"/>
    <d v="2022-10-29T10:12:16"/>
    <s v="Declined"/>
    <m/>
    <m/>
    <d v="2022-10-25T10:12:16"/>
    <m/>
    <x v="0"/>
    <m/>
    <m/>
    <m/>
    <m/>
    <m/>
    <m/>
    <s v="C2622"/>
    <s v="Candidate_1622"/>
    <s v="Oct 13 2022"/>
    <x v="2"/>
    <s v="Job Board"/>
    <n v="3"/>
    <m/>
    <x v="0"/>
    <m/>
    <m/>
    <x v="0"/>
    <x v="0"/>
    <m/>
    <x v="0"/>
    <x v="0"/>
  </r>
  <r>
    <n v="1886"/>
    <s v="1886 | Finance"/>
    <x v="22"/>
    <x v="7"/>
    <x v="31"/>
    <x v="6"/>
    <s v="Finance-Manager"/>
    <x v="5"/>
    <d v="2022-10-07T10:12:16"/>
    <x v="849"/>
    <x v="4"/>
    <n v="-44841.425185185188"/>
    <d v="2022-11-03T10:12:16"/>
    <s v="Yes"/>
    <d v="2022-10-29T10:12:16"/>
    <x v="0"/>
    <x v="0"/>
    <m/>
    <m/>
    <m/>
    <m/>
    <m/>
    <m/>
    <x v="0"/>
    <m/>
    <m/>
    <m/>
    <m/>
    <s v="Candidate"/>
    <m/>
    <s v="C2623"/>
    <s v="Candidate_1623"/>
    <s v="Oct 11 2022"/>
    <x v="2"/>
    <s v="Job Board"/>
    <n v="3"/>
    <m/>
    <x v="0"/>
    <m/>
    <m/>
    <x v="0"/>
    <x v="0"/>
    <m/>
    <x v="0"/>
    <x v="0"/>
  </r>
  <r>
    <n v="1885"/>
    <s v="1885 | Finance"/>
    <x v="22"/>
    <x v="7"/>
    <x v="31"/>
    <x v="6"/>
    <s v="Finance-Manager"/>
    <x v="5"/>
    <d v="2022-10-09T10:12:16"/>
    <x v="987"/>
    <x v="264"/>
    <n v="5"/>
    <d v="2022-11-09T10:12:16"/>
    <s v="No"/>
    <m/>
    <x v="2"/>
    <x v="1"/>
    <m/>
    <m/>
    <m/>
    <m/>
    <m/>
    <m/>
    <x v="0"/>
    <m/>
    <m/>
    <m/>
    <m/>
    <m/>
    <m/>
    <s v="C2624"/>
    <s v="Candidate_1624"/>
    <m/>
    <x v="0"/>
    <s v="Referral"/>
    <n v="3"/>
    <m/>
    <x v="0"/>
    <m/>
    <m/>
    <x v="0"/>
    <x v="0"/>
    <m/>
    <x v="1"/>
    <x v="0"/>
  </r>
  <r>
    <n v="1884"/>
    <s v="1884 | Finance"/>
    <x v="22"/>
    <x v="7"/>
    <x v="31"/>
    <x v="6"/>
    <s v="Finance-Manager"/>
    <x v="5"/>
    <d v="2022-10-11T10:12:16"/>
    <x v="0"/>
    <x v="4"/>
    <n v="-44845.425185185188"/>
    <d v="2022-10-21T10:12:16"/>
    <s v="Yes"/>
    <d v="2022-10-21T10:12:16"/>
    <x v="3"/>
    <x v="1"/>
    <d v="2022-10-26T10:12:16"/>
    <s v="Accepted"/>
    <d v="2022-10-22T10:12:16"/>
    <d v="2022-10-26T10:12:16"/>
    <d v="2022-10-24T10:12:16"/>
    <d v="2022-10-25T10:12:16"/>
    <x v="1"/>
    <d v="2022-10-28T10:12:16"/>
    <d v="2022-10-29T10:12:16"/>
    <d v="2022-10-30T10:12:16"/>
    <m/>
    <m/>
    <d v="2022-11-09T10:12:16"/>
    <s v="C2625"/>
    <s v="Candidate_1625"/>
    <s v="Oct 13 2022"/>
    <x v="0"/>
    <s v="Referral"/>
    <n v="6"/>
    <m/>
    <x v="0"/>
    <m/>
    <m/>
    <x v="0"/>
    <x v="0"/>
    <m/>
    <x v="0"/>
    <x v="0"/>
  </r>
  <r>
    <n v="1843"/>
    <s v="1843 | Finance"/>
    <x v="21"/>
    <x v="7"/>
    <x v="31"/>
    <x v="6"/>
    <s v="Finance-Manager"/>
    <x v="5"/>
    <d v="2022-02-17T23:17:04"/>
    <x v="988"/>
    <x v="265"/>
    <n v="6"/>
    <d v="2022-03-09T23:17:04"/>
    <s v="Yes"/>
    <d v="2022-03-07T23:17:04"/>
    <x v="4"/>
    <x v="1"/>
    <d v="2022-03-12T23:17:04"/>
    <s v="Pending"/>
    <m/>
    <m/>
    <d v="2022-03-08T23:17:04"/>
    <m/>
    <x v="0"/>
    <m/>
    <m/>
    <m/>
    <m/>
    <m/>
    <m/>
    <s v="C2626"/>
    <s v="Candidate_1626"/>
    <s v="27/02/2022"/>
    <x v="2"/>
    <s v="Job Board"/>
    <n v="6"/>
    <m/>
    <x v="0"/>
    <m/>
    <m/>
    <x v="0"/>
    <x v="0"/>
    <m/>
    <x v="1"/>
    <x v="0"/>
  </r>
  <r>
    <n v="1842"/>
    <s v="1842 | Finance"/>
    <x v="21"/>
    <x v="7"/>
    <x v="31"/>
    <x v="6"/>
    <s v="Finance-Manager"/>
    <x v="5"/>
    <d v="2022-02-18T23:17:04"/>
    <x v="0"/>
    <x v="4"/>
    <n v="-44610.970185185193"/>
    <d v="2022-02-28T23:17:04"/>
    <s v="Yes"/>
    <d v="2022-03-07T23:17:04"/>
    <x v="0"/>
    <x v="4"/>
    <m/>
    <m/>
    <m/>
    <m/>
    <m/>
    <m/>
    <x v="0"/>
    <m/>
    <m/>
    <m/>
    <m/>
    <s v="Company"/>
    <m/>
    <s v="C2627"/>
    <s v="Candidate_1627"/>
    <s v="02-28-2022"/>
    <x v="0"/>
    <s v="Referral"/>
    <n v="3"/>
    <m/>
    <x v="0"/>
    <m/>
    <m/>
    <x v="0"/>
    <x v="0"/>
    <m/>
    <x v="0"/>
    <x v="0"/>
  </r>
  <r>
    <n v="1828"/>
    <s v="1828 | Finance"/>
    <x v="23"/>
    <x v="7"/>
    <x v="31"/>
    <x v="6"/>
    <s v="Finance-Manager"/>
    <x v="5"/>
    <d v="2022-04-11T11:01:49"/>
    <x v="989"/>
    <x v="323"/>
    <n v="6"/>
    <d v="2022-05-15T11:01:49"/>
    <s v="Yes"/>
    <d v="2022-05-02T11:01:49"/>
    <x v="4"/>
    <x v="1"/>
    <d v="2022-05-08T11:01:49"/>
    <s v="Pending"/>
    <m/>
    <m/>
    <d v="2022-05-04T11:01:49"/>
    <m/>
    <x v="0"/>
    <m/>
    <m/>
    <m/>
    <m/>
    <m/>
    <m/>
    <s v="C2628"/>
    <s v="Candidate_1628"/>
    <s v="Apr 26 2022"/>
    <x v="1"/>
    <s v="Linkedin"/>
    <n v="6"/>
    <m/>
    <x v="0"/>
    <m/>
    <m/>
    <x v="0"/>
    <x v="0"/>
    <m/>
    <x v="1"/>
    <x v="0"/>
  </r>
  <r>
    <n v="1827"/>
    <s v="1827 | Finance"/>
    <x v="23"/>
    <x v="7"/>
    <x v="31"/>
    <x v="6"/>
    <s v="Finance-Manager"/>
    <x v="5"/>
    <d v="2022-04-09T11:01:49"/>
    <x v="0"/>
    <x v="323"/>
    <n v="8"/>
    <d v="2022-04-30T11:01:49"/>
    <s v="Yes"/>
    <d v="2022-04-21T11:01:49"/>
    <x v="3"/>
    <x v="1"/>
    <d v="2022-04-26T11:01:49"/>
    <s v="Accepted"/>
    <d v="2022-04-23T11:01:49"/>
    <d v="2022-04-26T11:01:49"/>
    <d v="2022-04-22T11:01:49"/>
    <d v="2022-04-30T11:01:49"/>
    <x v="1"/>
    <d v="2022-05-04T11:01:49"/>
    <d v="2022-05-06T11:01:49"/>
    <d v="2022-05-07T11:01:49"/>
    <m/>
    <m/>
    <d v="2022-05-20T11:01:49"/>
    <s v="C2629"/>
    <s v="Candidate_1629"/>
    <s v="Apr 12 2022"/>
    <x v="1"/>
    <s v="Linkedin"/>
    <n v="3"/>
    <m/>
    <x v="0"/>
    <m/>
    <m/>
    <x v="0"/>
    <x v="0"/>
    <m/>
    <x v="0"/>
    <x v="0"/>
  </r>
  <r>
    <n v="1825"/>
    <s v="1825 | Finance"/>
    <x v="22"/>
    <x v="7"/>
    <x v="31"/>
    <x v="6"/>
    <s v="Finance-Manager"/>
    <x v="5"/>
    <d v="2022-04-11T11:01:49"/>
    <x v="990"/>
    <x v="323"/>
    <n v="6"/>
    <d v="2022-05-07T11:01:49"/>
    <s v="Yes"/>
    <d v="2022-04-22T11:01:49"/>
    <x v="0"/>
    <x v="2"/>
    <m/>
    <m/>
    <m/>
    <m/>
    <m/>
    <m/>
    <x v="0"/>
    <m/>
    <m/>
    <m/>
    <m/>
    <s v="Candidate"/>
    <m/>
    <s v="C2630"/>
    <s v="Candidate_1630"/>
    <s v="17/04/2022"/>
    <x v="0"/>
    <s v="Referral"/>
    <n v="6"/>
    <m/>
    <x v="0"/>
    <m/>
    <m/>
    <x v="0"/>
    <x v="0"/>
    <m/>
    <x v="1"/>
    <x v="0"/>
  </r>
  <r>
    <n v="1824"/>
    <s v="1824 | Finance"/>
    <x v="21"/>
    <x v="7"/>
    <x v="31"/>
    <x v="6"/>
    <s v="Finance-Manager"/>
    <x v="5"/>
    <d v="2022-04-12T11:01:49"/>
    <x v="991"/>
    <x v="323"/>
    <n v="5"/>
    <d v="2022-05-02T11:01:49"/>
    <s v="Yes"/>
    <d v="2022-04-22T11:01:49"/>
    <x v="0"/>
    <x v="2"/>
    <m/>
    <m/>
    <m/>
    <m/>
    <m/>
    <m/>
    <x v="0"/>
    <m/>
    <m/>
    <m/>
    <m/>
    <s v="Candidate"/>
    <m/>
    <s v="C2631"/>
    <s v="Candidate_1631"/>
    <s v="04-14-2022"/>
    <x v="1"/>
    <s v="Linkedin"/>
    <n v="6"/>
    <m/>
    <x v="0"/>
    <m/>
    <m/>
    <x v="0"/>
    <x v="0"/>
    <m/>
    <x v="1"/>
    <x v="0"/>
  </r>
  <r>
    <n v="1755"/>
    <s v="1755 | Finance"/>
    <x v="23"/>
    <x v="7"/>
    <x v="31"/>
    <x v="6"/>
    <s v="Finance-Manager"/>
    <x v="5"/>
    <d v="2022-05-28T15:29:59"/>
    <x v="852"/>
    <x v="266"/>
    <n v="9"/>
    <d v="2022-06-30T15:29:59"/>
    <s v="Yes"/>
    <d v="2022-06-18T15:29:59"/>
    <x v="0"/>
    <x v="0"/>
    <m/>
    <m/>
    <m/>
    <m/>
    <d v="2022-06-22T15:29:59"/>
    <m/>
    <x v="0"/>
    <m/>
    <m/>
    <m/>
    <m/>
    <s v="Company"/>
    <m/>
    <s v="C2632"/>
    <s v="Candidate_1632"/>
    <s v="06-11-2022"/>
    <x v="0"/>
    <s v="Referral"/>
    <n v="6"/>
    <m/>
    <x v="0"/>
    <m/>
    <m/>
    <x v="0"/>
    <x v="0"/>
    <m/>
    <x v="1"/>
    <x v="0"/>
  </r>
  <r>
    <n v="1753"/>
    <s v="1753 | Finance"/>
    <x v="22"/>
    <x v="7"/>
    <x v="31"/>
    <x v="6"/>
    <s v="Finance-Manager"/>
    <x v="5"/>
    <d v="2022-06-02T15:29:59"/>
    <x v="992"/>
    <x v="266"/>
    <n v="4"/>
    <d v="2022-06-16T15:29:59"/>
    <s v="Yes"/>
    <d v="2022-06-11T15:29:59"/>
    <x v="0"/>
    <x v="3"/>
    <m/>
    <m/>
    <m/>
    <m/>
    <m/>
    <m/>
    <x v="0"/>
    <m/>
    <m/>
    <m/>
    <m/>
    <s v="Candidate"/>
    <m/>
    <s v="C2633"/>
    <s v="Candidate_1633"/>
    <s v="05-25-2022"/>
    <x v="1"/>
    <s v="Linkedin"/>
    <n v="6"/>
    <m/>
    <x v="0"/>
    <m/>
    <m/>
    <x v="0"/>
    <x v="0"/>
    <m/>
    <x v="1"/>
    <x v="0"/>
  </r>
  <r>
    <n v="1739"/>
    <s v="1739 | Finance"/>
    <x v="22"/>
    <x v="7"/>
    <x v="31"/>
    <x v="6"/>
    <s v="Finance-Manager"/>
    <x v="5"/>
    <d v="2022-01-01T15:13:53"/>
    <x v="912"/>
    <x v="299"/>
    <n v="6"/>
    <d v="2022-02-02T15:13:53"/>
    <s v="No"/>
    <m/>
    <x v="2"/>
    <x v="1"/>
    <m/>
    <m/>
    <m/>
    <m/>
    <m/>
    <m/>
    <x v="0"/>
    <m/>
    <m/>
    <m/>
    <m/>
    <m/>
    <m/>
    <s v="C2634"/>
    <s v="Candidate_1634"/>
    <m/>
    <x v="2"/>
    <s v="Job Board"/>
    <n v="6"/>
    <m/>
    <x v="0"/>
    <m/>
    <m/>
    <x v="0"/>
    <x v="0"/>
    <m/>
    <x v="1"/>
    <x v="0"/>
  </r>
  <r>
    <n v="1710"/>
    <s v="1710 | Finance"/>
    <x v="22"/>
    <x v="7"/>
    <x v="31"/>
    <x v="6"/>
    <s v="Finance-Manager"/>
    <x v="5"/>
    <d v="2023-02-28T18:01:56"/>
    <x v="853"/>
    <x v="267"/>
    <n v="9"/>
    <d v="2023-03-16T18:01:56"/>
    <s v="Yes"/>
    <d v="2023-03-17T18:01:56"/>
    <x v="4"/>
    <x v="1"/>
    <d v="2023-03-23T18:01:56"/>
    <s v="Pending"/>
    <m/>
    <m/>
    <d v="2023-03-19T18:01:56"/>
    <m/>
    <x v="0"/>
    <m/>
    <m/>
    <m/>
    <m/>
    <m/>
    <m/>
    <s v="C2635"/>
    <s v="Candidate_1635"/>
    <s v="04/03/2023"/>
    <x v="1"/>
    <s v="Linkedin"/>
    <n v="6"/>
    <m/>
    <x v="0"/>
    <m/>
    <m/>
    <x v="0"/>
    <x v="0"/>
    <m/>
    <x v="1"/>
    <x v="0"/>
  </r>
  <r>
    <n v="1676"/>
    <s v="1676 | Finance"/>
    <x v="22"/>
    <x v="7"/>
    <x v="31"/>
    <x v="6"/>
    <s v="Finance-Manager"/>
    <x v="5"/>
    <d v="2022-11-08T03:27:45"/>
    <x v="915"/>
    <x v="268"/>
    <n v="4"/>
    <d v="2022-12-06T03:27:45"/>
    <s v="Yes"/>
    <d v="2022-11-14T03:27:45"/>
    <x v="0"/>
    <x v="3"/>
    <m/>
    <m/>
    <m/>
    <m/>
    <d v="2022-11-15T03:27:45"/>
    <m/>
    <x v="0"/>
    <m/>
    <m/>
    <m/>
    <m/>
    <s v="Company"/>
    <m/>
    <s v="C2636"/>
    <s v="Candidate_1636"/>
    <s v="31/10/2022"/>
    <x v="0"/>
    <s v="Referral"/>
    <n v="3"/>
    <m/>
    <x v="0"/>
    <m/>
    <m/>
    <x v="0"/>
    <x v="0"/>
    <m/>
    <x v="1"/>
    <x v="0"/>
  </r>
  <r>
    <n v="1673"/>
    <s v="1673 | Finance"/>
    <x v="22"/>
    <x v="7"/>
    <x v="31"/>
    <x v="6"/>
    <s v="Finance-Manager"/>
    <x v="5"/>
    <d v="2022-11-05T03:27:45"/>
    <x v="0"/>
    <x v="268"/>
    <n v="7"/>
    <d v="2022-11-30T03:27:45"/>
    <s v="Yes"/>
    <d v="2022-11-27T03:27:45"/>
    <x v="4"/>
    <x v="1"/>
    <d v="2022-12-04T03:27:45"/>
    <s v="Pending"/>
    <m/>
    <m/>
    <d v="2022-12-01T03:27:45"/>
    <m/>
    <x v="0"/>
    <m/>
    <m/>
    <m/>
    <m/>
    <m/>
    <m/>
    <s v="C2637"/>
    <s v="Candidate_1637"/>
    <s v="Nov 14 2022"/>
    <x v="1"/>
    <s v="Linkedin"/>
    <n v="6"/>
    <m/>
    <x v="0"/>
    <m/>
    <m/>
    <x v="0"/>
    <x v="0"/>
    <m/>
    <x v="0"/>
    <x v="0"/>
  </r>
  <r>
    <n v="1587"/>
    <s v="1587 | Finance"/>
    <x v="21"/>
    <x v="7"/>
    <x v="31"/>
    <x v="6"/>
    <s v="Finance-Manager"/>
    <x v="5"/>
    <d v="2023-09-17T20:10:47"/>
    <x v="993"/>
    <x v="270"/>
    <n v="2"/>
    <d v="2023-10-08T20:10:47"/>
    <s v="Yes"/>
    <d v="2023-09-23T20:10:47"/>
    <x v="3"/>
    <x v="1"/>
    <d v="2023-09-28T20:10:47"/>
    <s v="Accepted"/>
    <d v="2023-09-24T20:10:47"/>
    <d v="2023-09-28T20:10:47"/>
    <d v="2023-09-26T20:10:47"/>
    <d v="2023-10-05T20:10:47"/>
    <x v="1"/>
    <d v="2023-10-08T20:10:47"/>
    <d v="2023-10-11T20:10:47"/>
    <d v="2023-10-13T20:10:47"/>
    <m/>
    <m/>
    <d v="2023-10-27T20:10:47"/>
    <s v="C2638"/>
    <s v="Candidate_1638"/>
    <s v="Sep 12 2023"/>
    <x v="1"/>
    <s v="Linkedin"/>
    <n v="6"/>
    <m/>
    <x v="0"/>
    <m/>
    <m/>
    <x v="0"/>
    <x v="0"/>
    <m/>
    <x v="156"/>
    <x v="0"/>
  </r>
  <r>
    <n v="1566"/>
    <s v="1566 | Finance"/>
    <x v="22"/>
    <x v="7"/>
    <x v="31"/>
    <x v="6"/>
    <s v="Finance-Manager"/>
    <x v="5"/>
    <d v="2022-03-18T11:46:18"/>
    <x v="994"/>
    <x v="4"/>
    <n v="-44638.490486111114"/>
    <d v="2022-03-30T11:46:18"/>
    <s v="Yes"/>
    <d v="2022-04-01T11:46:18"/>
    <x v="1"/>
    <x v="1"/>
    <d v="2022-04-06T11:46:18"/>
    <s v="Declined"/>
    <m/>
    <m/>
    <d v="2022-04-03T11:46:18"/>
    <m/>
    <x v="0"/>
    <m/>
    <m/>
    <m/>
    <m/>
    <m/>
    <m/>
    <s v="C2639"/>
    <s v="Candidate_1639"/>
    <s v="03-13-2022"/>
    <x v="0"/>
    <s v="Referral"/>
    <n v="3"/>
    <m/>
    <x v="0"/>
    <m/>
    <m/>
    <x v="0"/>
    <x v="0"/>
    <m/>
    <x v="0"/>
    <x v="0"/>
  </r>
  <r>
    <n v="1565"/>
    <s v="1565 | Finance"/>
    <x v="22"/>
    <x v="7"/>
    <x v="31"/>
    <x v="6"/>
    <s v="Finance-Manager"/>
    <x v="5"/>
    <d v="2022-03-15T11:46:18"/>
    <x v="995"/>
    <x v="271"/>
    <n v="10"/>
    <d v="2022-04-19T11:46:18"/>
    <s v="Yes"/>
    <d v="2022-03-31T11:46:18"/>
    <x v="4"/>
    <x v="1"/>
    <d v="2022-04-04T11:46:18"/>
    <s v="Pending"/>
    <m/>
    <m/>
    <d v="2022-04-01T11:46:18"/>
    <m/>
    <x v="0"/>
    <m/>
    <m/>
    <m/>
    <m/>
    <m/>
    <m/>
    <s v="C2640"/>
    <s v="Candidate_1640"/>
    <s v="13/03/2022"/>
    <x v="0"/>
    <s v="Referral"/>
    <n v="6"/>
    <m/>
    <x v="0"/>
    <m/>
    <m/>
    <x v="0"/>
    <x v="0"/>
    <m/>
    <x v="1"/>
    <x v="0"/>
  </r>
  <r>
    <n v="1561"/>
    <s v="1561 | Finance"/>
    <x v="21"/>
    <x v="7"/>
    <x v="31"/>
    <x v="6"/>
    <s v="Finance-Manager"/>
    <x v="5"/>
    <d v="2022-03-20T11:46:18"/>
    <x v="994"/>
    <x v="271"/>
    <n v="5"/>
    <d v="2022-04-19T11:46:18"/>
    <s v="Yes"/>
    <d v="2022-04-05T11:46:18"/>
    <x v="1"/>
    <x v="1"/>
    <d v="2022-04-12T11:46:18"/>
    <s v="Declined"/>
    <m/>
    <m/>
    <d v="2022-04-09T11:46:18"/>
    <m/>
    <x v="0"/>
    <m/>
    <m/>
    <m/>
    <m/>
    <m/>
    <m/>
    <s v="C2641"/>
    <s v="Candidate_1641"/>
    <s v="03-31-2022"/>
    <x v="1"/>
    <s v="Linkedin"/>
    <n v="6"/>
    <m/>
    <x v="0"/>
    <m/>
    <m/>
    <x v="0"/>
    <x v="0"/>
    <m/>
    <x v="1"/>
    <x v="0"/>
  </r>
  <r>
    <n v="1541"/>
    <s v="1541 | Finance"/>
    <x v="22"/>
    <x v="7"/>
    <x v="31"/>
    <x v="6"/>
    <s v="Finance-Manager"/>
    <x v="5"/>
    <d v="2023-05-28T20:23:44"/>
    <x v="920"/>
    <x v="4"/>
    <n v="-45074.849814814806"/>
    <d v="2023-07-02T20:23:44"/>
    <s v="No"/>
    <m/>
    <x v="2"/>
    <x v="1"/>
    <m/>
    <m/>
    <m/>
    <m/>
    <m/>
    <m/>
    <x v="0"/>
    <m/>
    <m/>
    <m/>
    <m/>
    <m/>
    <m/>
    <s v="C2642"/>
    <s v="Candidate_1642"/>
    <m/>
    <x v="1"/>
    <s v="Linkedin"/>
    <n v="3"/>
    <m/>
    <x v="0"/>
    <m/>
    <m/>
    <x v="0"/>
    <x v="0"/>
    <m/>
    <x v="0"/>
    <x v="0"/>
  </r>
  <r>
    <n v="1530"/>
    <s v="1530 | Finance"/>
    <x v="21"/>
    <x v="7"/>
    <x v="31"/>
    <x v="6"/>
    <s v="Finance-Manager"/>
    <x v="5"/>
    <d v="2023-01-02T00:36:18"/>
    <x v="0"/>
    <x v="272"/>
    <n v="5"/>
    <d v="2023-01-21T00:36:18"/>
    <s v="Yes"/>
    <d v="2023-01-11T00:36:18"/>
    <x v="1"/>
    <x v="1"/>
    <d v="2023-01-18T00:36:18"/>
    <s v="Declined"/>
    <m/>
    <m/>
    <d v="2023-01-14T00:36:18"/>
    <m/>
    <x v="0"/>
    <m/>
    <m/>
    <m/>
    <m/>
    <m/>
    <m/>
    <s v="C2643"/>
    <s v="Candidate_1643"/>
    <s v="28/12/2022"/>
    <x v="0"/>
    <s v="Referral"/>
    <n v="6"/>
    <m/>
    <x v="0"/>
    <m/>
    <m/>
    <x v="0"/>
    <x v="0"/>
    <m/>
    <x v="0"/>
    <x v="0"/>
  </r>
  <r>
    <n v="1440"/>
    <s v="1440 | Finance"/>
    <x v="23"/>
    <x v="7"/>
    <x v="31"/>
    <x v="6"/>
    <s v="Finance-Manager"/>
    <x v="5"/>
    <d v="2023-06-06T22:29:11"/>
    <x v="996"/>
    <x v="4"/>
    <n v="-45083.936932870369"/>
    <d v="2023-07-10T22:29:11"/>
    <s v="Yes"/>
    <d v="2023-06-22T22:29:11"/>
    <x v="0"/>
    <x v="4"/>
    <m/>
    <m/>
    <m/>
    <m/>
    <d v="2023-06-24T22:29:11"/>
    <m/>
    <x v="0"/>
    <m/>
    <m/>
    <m/>
    <m/>
    <s v="Company"/>
    <m/>
    <s v="C2644"/>
    <s v="Candidate_1644"/>
    <s v="17/06/2023"/>
    <x v="1"/>
    <s v="Linkedin"/>
    <n v="6"/>
    <m/>
    <x v="0"/>
    <m/>
    <m/>
    <x v="0"/>
    <x v="0"/>
    <m/>
    <x v="0"/>
    <x v="0"/>
  </r>
  <r>
    <n v="1437"/>
    <s v="1437 | Finance"/>
    <x v="21"/>
    <x v="7"/>
    <x v="31"/>
    <x v="6"/>
    <s v="Finance-Manager"/>
    <x v="5"/>
    <d v="2023-06-08T22:29:11"/>
    <x v="997"/>
    <x v="274"/>
    <n v="7"/>
    <d v="2023-06-28T22:29:11"/>
    <s v="Yes"/>
    <d v="2023-06-19T22:29:11"/>
    <x v="4"/>
    <x v="1"/>
    <d v="2023-06-26T22:29:11"/>
    <s v="Pending"/>
    <m/>
    <m/>
    <d v="2023-06-23T22:29:11"/>
    <m/>
    <x v="0"/>
    <m/>
    <m/>
    <m/>
    <m/>
    <m/>
    <m/>
    <s v="C2645"/>
    <s v="Candidate_1645"/>
    <s v="Jun 06 2023"/>
    <x v="1"/>
    <s v="Linkedin"/>
    <n v="3"/>
    <m/>
    <x v="0"/>
    <m/>
    <m/>
    <x v="0"/>
    <x v="0"/>
    <m/>
    <x v="1"/>
    <x v="0"/>
  </r>
  <r>
    <n v="1432"/>
    <s v="1432 | Finance"/>
    <x v="22"/>
    <x v="7"/>
    <x v="31"/>
    <x v="6"/>
    <s v="Finance-Manager"/>
    <x v="5"/>
    <d v="2023-06-09T22:29:11"/>
    <x v="860"/>
    <x v="4"/>
    <n v="-45086.936932870369"/>
    <d v="2023-07-13T22:29:11"/>
    <s v="Yes"/>
    <d v="2023-06-20T22:29:11"/>
    <x v="0"/>
    <x v="0"/>
    <m/>
    <m/>
    <m/>
    <m/>
    <d v="2023-06-21T22:29:11"/>
    <m/>
    <x v="0"/>
    <m/>
    <m/>
    <m/>
    <m/>
    <s v="Company"/>
    <m/>
    <s v="C2646"/>
    <s v="Candidate_1646"/>
    <s v="Jun 05 2023"/>
    <x v="1"/>
    <s v="Linkedin"/>
    <n v="3"/>
    <m/>
    <x v="0"/>
    <m/>
    <m/>
    <x v="0"/>
    <x v="0"/>
    <m/>
    <x v="0"/>
    <x v="0"/>
  </r>
  <r>
    <n v="1399"/>
    <s v="1399 | Finance"/>
    <x v="22"/>
    <x v="7"/>
    <x v="31"/>
    <x v="6"/>
    <s v="Finance-Manager"/>
    <x v="5"/>
    <d v="2022-08-15T08:38:11"/>
    <x v="998"/>
    <x v="301"/>
    <n v="8"/>
    <d v="2022-08-30T08:38:11"/>
    <s v="Yes"/>
    <d v="2022-08-28T08:38:11"/>
    <x v="3"/>
    <x v="1"/>
    <d v="2022-08-30T08:38:11"/>
    <s v="Accepted"/>
    <d v="2022-08-30T08:38:11"/>
    <d v="2022-08-31T08:38:11"/>
    <d v="2022-08-29T08:38:11"/>
    <d v="2022-09-07T08:38:11"/>
    <x v="1"/>
    <d v="2022-09-08T08:38:11"/>
    <d v="2022-09-09T08:38:11"/>
    <d v="2022-09-11T08:38:11"/>
    <m/>
    <m/>
    <d v="2022-09-25T08:38:11"/>
    <s v="C2647"/>
    <s v="Candidate_1647"/>
    <s v="Aug 22 2022"/>
    <x v="2"/>
    <s v="Job Board"/>
    <n v="6"/>
    <m/>
    <x v="0"/>
    <m/>
    <m/>
    <x v="0"/>
    <x v="0"/>
    <m/>
    <x v="157"/>
    <x v="0"/>
  </r>
  <r>
    <n v="1397"/>
    <s v="1397 | Finance"/>
    <x v="21"/>
    <x v="7"/>
    <x v="31"/>
    <x v="6"/>
    <s v="Finance-Manager"/>
    <x v="5"/>
    <d v="2022-08-16T08:38:11"/>
    <x v="924"/>
    <x v="301"/>
    <n v="7"/>
    <d v="2022-08-30T08:38:11"/>
    <s v="Yes"/>
    <d v="2022-09-06T08:38:11"/>
    <x v="3"/>
    <x v="1"/>
    <d v="2022-09-09T08:38:11"/>
    <s v="Accepted"/>
    <d v="2022-09-07T08:38:11"/>
    <d v="2022-09-11T08:38:11"/>
    <d v="2022-09-08T08:38:11"/>
    <d v="2022-09-14T08:38:11"/>
    <x v="1"/>
    <d v="2022-09-18T08:38:11"/>
    <d v="2022-09-21T08:38:11"/>
    <d v="2022-09-24T08:38:11"/>
    <m/>
    <m/>
    <d v="2022-10-09T08:38:11"/>
    <s v="C2648"/>
    <s v="Candidate_1648"/>
    <s v="08-20-2022"/>
    <x v="2"/>
    <s v="Job Board"/>
    <n v="6"/>
    <m/>
    <x v="0"/>
    <m/>
    <m/>
    <x v="0"/>
    <x v="0"/>
    <m/>
    <x v="158"/>
    <x v="0"/>
  </r>
  <r>
    <n v="1394"/>
    <s v="1394 | Finance"/>
    <x v="21"/>
    <x v="7"/>
    <x v="31"/>
    <x v="6"/>
    <s v="Finance-Manager"/>
    <x v="5"/>
    <d v="2022-08-18T08:38:11"/>
    <x v="999"/>
    <x v="301"/>
    <n v="5"/>
    <d v="2022-08-31T08:38:11"/>
    <s v="Yes"/>
    <d v="2022-09-07T08:38:11"/>
    <x v="3"/>
    <x v="1"/>
    <d v="2022-09-12T08:38:11"/>
    <s v="Accepted"/>
    <d v="2022-09-09T08:38:11"/>
    <d v="2022-09-11T08:38:11"/>
    <d v="2022-09-08T08:38:11"/>
    <d v="2022-09-09T08:38:11"/>
    <x v="1"/>
    <d v="2022-09-12T08:38:11"/>
    <d v="2022-09-15T08:38:11"/>
    <d v="2022-09-16T08:38:11"/>
    <m/>
    <m/>
    <d v="2022-10-05T08:38:11"/>
    <s v="C2649"/>
    <s v="Candidate_1649"/>
    <s v="Aug 21 2022"/>
    <x v="1"/>
    <s v="Linkedin"/>
    <n v="6"/>
    <m/>
    <x v="0"/>
    <m/>
    <m/>
    <x v="0"/>
    <x v="0"/>
    <m/>
    <x v="159"/>
    <x v="0"/>
  </r>
  <r>
    <n v="1393"/>
    <s v="1393 | Finance"/>
    <x v="21"/>
    <x v="7"/>
    <x v="31"/>
    <x v="6"/>
    <s v="Finance-Manager"/>
    <x v="5"/>
    <d v="2022-08-17T08:38:11"/>
    <x v="998"/>
    <x v="4"/>
    <n v="-44790.359849537039"/>
    <d v="2022-09-08T08:38:11"/>
    <s v="Yes"/>
    <d v="2022-08-29T08:38:11"/>
    <x v="3"/>
    <x v="1"/>
    <d v="2022-09-06T08:38:11"/>
    <s v="Accepted"/>
    <d v="2022-08-30T08:38:11"/>
    <d v="2022-09-03T08:38:11"/>
    <d v="2022-09-02T08:38:11"/>
    <d v="2022-09-04T08:38:11"/>
    <x v="1"/>
    <d v="2022-09-08T08:38:11"/>
    <d v="2022-09-10T08:38:11"/>
    <d v="2022-09-12T08:38:11"/>
    <m/>
    <m/>
    <d v="2022-09-26T08:38:11"/>
    <s v="C2650"/>
    <s v="Candidate_1650"/>
    <s v="Aug 17 2022"/>
    <x v="0"/>
    <s v="Referral"/>
    <n v="3"/>
    <m/>
    <x v="0"/>
    <m/>
    <m/>
    <x v="0"/>
    <x v="0"/>
    <m/>
    <x v="0"/>
    <x v="0"/>
  </r>
  <r>
    <n v="1339"/>
    <s v="1339 | Finance"/>
    <x v="21"/>
    <x v="7"/>
    <x v="31"/>
    <x v="6"/>
    <s v="Finance-Manager"/>
    <x v="5"/>
    <m/>
    <x v="1000"/>
    <x v="302"/>
    <n v="45174.691018518519"/>
    <d v="2023-10-02T16:35:04"/>
    <s v="No"/>
    <m/>
    <x v="2"/>
    <x v="1"/>
    <m/>
    <m/>
    <m/>
    <m/>
    <m/>
    <m/>
    <x v="0"/>
    <m/>
    <m/>
    <m/>
    <m/>
    <m/>
    <m/>
    <s v="C2651"/>
    <s v="Candidate_1651"/>
    <m/>
    <x v="1"/>
    <s v="Linkedin"/>
    <n v="6"/>
    <m/>
    <x v="0"/>
    <m/>
    <m/>
    <x v="0"/>
    <x v="0"/>
    <m/>
    <x v="0"/>
    <x v="0"/>
  </r>
  <r>
    <n v="1338"/>
    <s v="1338 | Finance"/>
    <x v="22"/>
    <x v="7"/>
    <x v="31"/>
    <x v="6"/>
    <s v="Finance-Manager"/>
    <x v="5"/>
    <d v="2023-08-30T16:35:04"/>
    <x v="1000"/>
    <x v="302"/>
    <n v="6"/>
    <d v="2023-09-12T16:35:04"/>
    <s v="Yes"/>
    <d v="2023-09-18T16:35:04"/>
    <x v="1"/>
    <x v="1"/>
    <d v="2023-09-25T16:35:04"/>
    <s v="Declined"/>
    <m/>
    <m/>
    <d v="2023-09-22T16:35:04"/>
    <m/>
    <x v="0"/>
    <m/>
    <m/>
    <m/>
    <m/>
    <m/>
    <m/>
    <s v="C2652"/>
    <s v="Candidate_1652"/>
    <s v="Sep 09 2023"/>
    <x v="1"/>
    <s v="Linkedin"/>
    <n v="6"/>
    <m/>
    <x v="0"/>
    <m/>
    <m/>
    <x v="0"/>
    <x v="0"/>
    <m/>
    <x v="1"/>
    <x v="0"/>
  </r>
  <r>
    <n v="1336"/>
    <s v="1336 | Finance"/>
    <x v="21"/>
    <x v="7"/>
    <x v="31"/>
    <x v="6"/>
    <s v="Finance-Manager"/>
    <x v="5"/>
    <d v="2023-08-31T16:35:04"/>
    <x v="1001"/>
    <x v="302"/>
    <n v="5"/>
    <d v="2023-09-30T16:35:04"/>
    <s v="Yes"/>
    <d v="2023-09-14T16:35:04"/>
    <x v="0"/>
    <x v="2"/>
    <m/>
    <m/>
    <m/>
    <m/>
    <d v="2023-09-15T16:35:04"/>
    <m/>
    <x v="0"/>
    <m/>
    <m/>
    <m/>
    <m/>
    <s v="Candidate"/>
    <m/>
    <s v="C2653"/>
    <s v="Candidate_1653"/>
    <s v="09-04-2023"/>
    <x v="2"/>
    <s v="Job Board"/>
    <n v="6"/>
    <m/>
    <x v="0"/>
    <m/>
    <m/>
    <x v="0"/>
    <x v="0"/>
    <m/>
    <x v="1"/>
    <x v="0"/>
  </r>
  <r>
    <n v="1289"/>
    <s v="1289 | Finance"/>
    <x v="23"/>
    <x v="7"/>
    <x v="31"/>
    <x v="6"/>
    <s v="Finance-Manager"/>
    <x v="5"/>
    <d v="2022-03-23T17:39:51"/>
    <x v="1002"/>
    <x v="4"/>
    <n v="-44643.736006944448"/>
    <d v="2022-04-17T17:39:51"/>
    <s v="Yes"/>
    <d v="2022-04-09T17:39:51"/>
    <x v="0"/>
    <x v="0"/>
    <m/>
    <m/>
    <m/>
    <m/>
    <m/>
    <m/>
    <x v="0"/>
    <m/>
    <m/>
    <m/>
    <m/>
    <s v="Candidate"/>
    <m/>
    <s v="C2654"/>
    <s v="Candidate_1654"/>
    <s v="31/03/2022"/>
    <x v="0"/>
    <s v="Referral"/>
    <n v="6"/>
    <m/>
    <x v="0"/>
    <m/>
    <m/>
    <x v="0"/>
    <x v="0"/>
    <m/>
    <x v="0"/>
    <x v="0"/>
  </r>
  <r>
    <n v="1284"/>
    <s v="1284 | Finance"/>
    <x v="22"/>
    <x v="7"/>
    <x v="31"/>
    <x v="6"/>
    <s v="Finance-Manager"/>
    <x v="5"/>
    <m/>
    <x v="0"/>
    <x v="275"/>
    <n v="44650.736006944448"/>
    <d v="2022-04-12T17:39:51"/>
    <s v="Yes"/>
    <d v="2022-04-08T17:39:51"/>
    <x v="3"/>
    <x v="1"/>
    <d v="2022-04-12T17:39:51"/>
    <s v="Accepted"/>
    <d v="2022-04-10T17:39:51"/>
    <d v="2022-04-14T17:39:51"/>
    <d v="2022-04-10T17:39:51"/>
    <d v="2022-04-17T17:39:51"/>
    <x v="1"/>
    <d v="2022-04-21T17:39:51"/>
    <d v="2022-04-22T17:39:51"/>
    <d v="2022-04-23T17:39:51"/>
    <m/>
    <m/>
    <d v="2022-05-10T17:39:51"/>
    <s v="C2655"/>
    <s v="Candidate_1655"/>
    <s v="01/04/2022"/>
    <x v="1"/>
    <s v="Linkedin"/>
    <n v="3"/>
    <m/>
    <x v="0"/>
    <m/>
    <m/>
    <x v="0"/>
    <x v="0"/>
    <m/>
    <x v="0"/>
    <x v="0"/>
  </r>
  <r>
    <n v="1281"/>
    <s v="1281 | Finance"/>
    <x v="22"/>
    <x v="7"/>
    <x v="31"/>
    <x v="6"/>
    <s v="Finance-Manager"/>
    <x v="5"/>
    <d v="2022-03-26T17:39:51"/>
    <x v="1003"/>
    <x v="275"/>
    <n v="4"/>
    <d v="2022-04-27T17:39:51"/>
    <s v="Yes"/>
    <d v="2022-04-02T17:39:51"/>
    <x v="3"/>
    <x v="1"/>
    <d v="2022-04-07T17:39:51"/>
    <s v="Accepted"/>
    <d v="2022-04-03T17:39:51"/>
    <d v="2022-04-06T17:39:51"/>
    <d v="2022-04-05T17:39:51"/>
    <d v="2022-04-12T17:39:51"/>
    <x v="1"/>
    <d v="2022-04-13T17:39:51"/>
    <d v="2022-04-15T17:39:51"/>
    <d v="2022-04-17T17:39:51"/>
    <m/>
    <m/>
    <d v="2022-04-27T17:39:51"/>
    <s v="C2656"/>
    <s v="Candidate_1656"/>
    <s v="Mar 28 2022"/>
    <x v="2"/>
    <s v="Job Board"/>
    <n v="3"/>
    <m/>
    <x v="0"/>
    <m/>
    <m/>
    <x v="0"/>
    <x v="0"/>
    <m/>
    <x v="160"/>
    <x v="0"/>
  </r>
  <r>
    <n v="1267"/>
    <s v="1267 | Finance"/>
    <x v="22"/>
    <x v="7"/>
    <x v="31"/>
    <x v="6"/>
    <s v="Finance-Manager"/>
    <x v="5"/>
    <d v="2023-03-12T21:55:08"/>
    <x v="928"/>
    <x v="276"/>
    <n v="8"/>
    <d v="2023-04-04T21:55:08"/>
    <s v="Yes"/>
    <d v="2023-04-02T21:55:08"/>
    <x v="3"/>
    <x v="1"/>
    <d v="2023-04-08T21:55:08"/>
    <s v="Accepted"/>
    <d v="2023-04-03T21:55:08"/>
    <d v="2023-04-07T21:55:08"/>
    <d v="2023-04-05T21:55:08"/>
    <d v="2023-04-14T21:55:08"/>
    <x v="1"/>
    <d v="2023-04-16T21:55:08"/>
    <d v="2023-04-19T21:55:08"/>
    <d v="2023-04-21T21:55:08"/>
    <m/>
    <m/>
    <d v="2023-05-02T21:55:08"/>
    <s v="C2657"/>
    <s v="Candidate_1657"/>
    <s v="Mar 16 2023"/>
    <x v="1"/>
    <s v="Linkedin"/>
    <n v="6"/>
    <m/>
    <x v="0"/>
    <m/>
    <m/>
    <x v="0"/>
    <x v="0"/>
    <m/>
    <x v="161"/>
    <x v="0"/>
  </r>
  <r>
    <n v="1261"/>
    <s v="1261 | Finance"/>
    <x v="23"/>
    <x v="7"/>
    <x v="31"/>
    <x v="6"/>
    <s v="Finance-Manager"/>
    <x v="5"/>
    <d v="2023-03-14T21:55:08"/>
    <x v="928"/>
    <x v="4"/>
    <n v="-44999.913287037038"/>
    <d v="2023-04-11T21:55:08"/>
    <s v="Yes"/>
    <d v="2023-04-06T21:55:08"/>
    <x v="1"/>
    <x v="1"/>
    <d v="2023-04-09T21:55:08"/>
    <s v="Declined"/>
    <m/>
    <m/>
    <d v="2023-04-08T21:55:08"/>
    <m/>
    <x v="0"/>
    <m/>
    <m/>
    <m/>
    <m/>
    <m/>
    <m/>
    <s v="C2658"/>
    <s v="Candidate_1658"/>
    <s v="30/03/2023"/>
    <x v="0"/>
    <s v="Referral"/>
    <n v="6"/>
    <m/>
    <x v="0"/>
    <m/>
    <m/>
    <x v="0"/>
    <x v="0"/>
    <m/>
    <x v="0"/>
    <x v="0"/>
  </r>
  <r>
    <n v="1146"/>
    <s v="1146 | Finance"/>
    <x v="21"/>
    <x v="7"/>
    <x v="31"/>
    <x v="6"/>
    <s v="Finance-Manager"/>
    <x v="5"/>
    <d v="2023-08-03T01:36:53"/>
    <x v="934"/>
    <x v="278"/>
    <n v="7"/>
    <d v="2023-09-07T01:36:53"/>
    <s v="No"/>
    <m/>
    <x v="2"/>
    <x v="1"/>
    <m/>
    <m/>
    <m/>
    <m/>
    <m/>
    <m/>
    <x v="0"/>
    <m/>
    <m/>
    <m/>
    <m/>
    <m/>
    <m/>
    <s v="C2659"/>
    <s v="Candidate_1659"/>
    <m/>
    <x v="1"/>
    <s v="Linkedin"/>
    <n v="6"/>
    <m/>
    <x v="0"/>
    <m/>
    <m/>
    <x v="0"/>
    <x v="0"/>
    <m/>
    <x v="1"/>
    <x v="0"/>
  </r>
  <r>
    <n v="1118"/>
    <s v="1118 | Finance"/>
    <x v="22"/>
    <x v="7"/>
    <x v="31"/>
    <x v="6"/>
    <s v="Finance-Manager"/>
    <x v="5"/>
    <d v="2023-04-04T06:23:43"/>
    <x v="865"/>
    <x v="279"/>
    <n v="7"/>
    <d v="2023-04-28T06:23:43"/>
    <s v="Yes"/>
    <d v="2023-04-16T06:23:43"/>
    <x v="1"/>
    <x v="1"/>
    <d v="2023-04-21T06:23:43"/>
    <s v="Declined"/>
    <m/>
    <m/>
    <d v="2023-04-17T06:23:43"/>
    <m/>
    <x v="0"/>
    <m/>
    <m/>
    <m/>
    <m/>
    <m/>
    <m/>
    <s v="C2660"/>
    <s v="Candidate_1660"/>
    <s v="04-07-2023"/>
    <x v="2"/>
    <s v="Job Board"/>
    <n v="3"/>
    <m/>
    <x v="0"/>
    <m/>
    <m/>
    <x v="0"/>
    <x v="0"/>
    <m/>
    <x v="1"/>
    <x v="0"/>
  </r>
  <r>
    <n v="1113"/>
    <s v="1113 | Finance"/>
    <x v="22"/>
    <x v="7"/>
    <x v="31"/>
    <x v="6"/>
    <s v="Finance-Manager"/>
    <x v="5"/>
    <d v="2023-04-02T06:23:43"/>
    <x v="1004"/>
    <x v="279"/>
    <n v="9"/>
    <d v="2023-04-17T06:23:43"/>
    <s v="Yes"/>
    <d v="2023-04-26T06:23:43"/>
    <x v="3"/>
    <x v="1"/>
    <d v="2023-05-01T06:23:43"/>
    <s v="Accepted"/>
    <d v="2023-04-28T06:23:43"/>
    <d v="2023-05-02T06:23:43"/>
    <d v="2023-04-29T06:23:43"/>
    <d v="2023-05-09T06:23:43"/>
    <x v="1"/>
    <d v="2023-05-12T06:23:43"/>
    <d v="2023-05-14T06:23:43"/>
    <d v="2023-05-16T06:23:43"/>
    <m/>
    <m/>
    <d v="2023-05-29T06:23:43"/>
    <s v="C2661"/>
    <s v="Candidate_1661"/>
    <s v="19/04/2023"/>
    <x v="2"/>
    <s v="Job Board"/>
    <n v="3"/>
    <m/>
    <x v="0"/>
    <m/>
    <m/>
    <x v="0"/>
    <x v="0"/>
    <m/>
    <x v="162"/>
    <x v="0"/>
  </r>
  <r>
    <n v="1070"/>
    <s v="1070 | Finance"/>
    <x v="22"/>
    <x v="7"/>
    <x v="31"/>
    <x v="6"/>
    <s v="Finance-Manager"/>
    <x v="5"/>
    <d v="2022-08-06T09:56:30"/>
    <x v="867"/>
    <x v="4"/>
    <n v="-44779.414236111108"/>
    <d v="2022-08-31T09:56:30"/>
    <s v="Yes"/>
    <d v="2022-08-24T09:56:30"/>
    <x v="0"/>
    <x v="3"/>
    <m/>
    <m/>
    <m/>
    <m/>
    <d v="2022-08-25T09:56:30"/>
    <m/>
    <x v="0"/>
    <m/>
    <m/>
    <m/>
    <m/>
    <s v="Company"/>
    <m/>
    <s v="C2662"/>
    <s v="Candidate_1662"/>
    <s v="Aug 08 2022"/>
    <x v="2"/>
    <s v="Job Board"/>
    <n v="3"/>
    <m/>
    <x v="0"/>
    <m/>
    <m/>
    <x v="0"/>
    <x v="0"/>
    <m/>
    <x v="0"/>
    <x v="0"/>
  </r>
  <r>
    <n v="1069"/>
    <s v="1069 | Finance"/>
    <x v="21"/>
    <x v="7"/>
    <x v="31"/>
    <x v="6"/>
    <s v="Finance-Manager"/>
    <x v="5"/>
    <d v="2022-08-08T09:56:30"/>
    <x v="868"/>
    <x v="280"/>
    <n v="5"/>
    <d v="2022-09-07T09:56:30"/>
    <s v="Yes"/>
    <d v="2022-08-25T09:56:30"/>
    <x v="1"/>
    <x v="1"/>
    <d v="2022-08-30T09:56:30"/>
    <s v="Declined"/>
    <m/>
    <m/>
    <d v="2022-08-26T09:56:30"/>
    <m/>
    <x v="0"/>
    <m/>
    <m/>
    <m/>
    <m/>
    <m/>
    <m/>
    <s v="C2663"/>
    <s v="Candidate_1663"/>
    <s v="08-16-2022"/>
    <x v="1"/>
    <s v="Linkedin"/>
    <n v="3"/>
    <m/>
    <x v="0"/>
    <m/>
    <m/>
    <x v="0"/>
    <x v="0"/>
    <m/>
    <x v="1"/>
    <x v="0"/>
  </r>
  <r>
    <n v="1035"/>
    <s v="1035 | Finance"/>
    <x v="23"/>
    <x v="7"/>
    <x v="31"/>
    <x v="6"/>
    <s v="Finance-Manager"/>
    <x v="5"/>
    <d v="2023-03-03T19:44:13"/>
    <x v="1005"/>
    <x v="281"/>
    <n v="5"/>
    <d v="2023-03-22T19:44:13"/>
    <s v="No"/>
    <m/>
    <x v="2"/>
    <x v="1"/>
    <m/>
    <m/>
    <m/>
    <m/>
    <m/>
    <m/>
    <x v="0"/>
    <m/>
    <m/>
    <m/>
    <m/>
    <m/>
    <m/>
    <s v="C2664"/>
    <s v="Candidate_1664"/>
    <m/>
    <x v="2"/>
    <s v="Job Board"/>
    <n v="3"/>
    <m/>
    <x v="0"/>
    <m/>
    <m/>
    <x v="0"/>
    <x v="0"/>
    <m/>
    <x v="1"/>
    <x v="0"/>
  </r>
  <r>
    <n v="1020"/>
    <s v="1020 | Finance"/>
    <x v="21"/>
    <x v="7"/>
    <x v="31"/>
    <x v="6"/>
    <s v="Finance-Manager"/>
    <x v="5"/>
    <m/>
    <x v="1006"/>
    <x v="282"/>
    <n v="44602.329571759263"/>
    <d v="2022-02-23T07:54:35"/>
    <s v="Yes"/>
    <d v="2022-02-20T07:54:35"/>
    <x v="3"/>
    <x v="1"/>
    <d v="2022-02-25T07:54:35"/>
    <s v="Accepted"/>
    <d v="2022-02-21T07:54:35"/>
    <d v="2022-02-22T07:54:35"/>
    <d v="2022-02-22T07:54:35"/>
    <d v="2022-03-04T07:54:35"/>
    <x v="1"/>
    <d v="2022-03-06T07:54:35"/>
    <d v="2022-03-08T07:54:35"/>
    <d v="2022-03-09T07:54:35"/>
    <m/>
    <m/>
    <d v="2022-03-31T07:54:35"/>
    <s v="C2665"/>
    <s v="Candidate_1665"/>
    <s v="Feb 15 2022"/>
    <x v="1"/>
    <s v="Linkedin"/>
    <n v="3"/>
    <m/>
    <x v="0"/>
    <m/>
    <m/>
    <x v="0"/>
    <x v="0"/>
    <m/>
    <x v="0"/>
    <x v="0"/>
  </r>
  <r>
    <n v="1011"/>
    <s v="1011 | Finance"/>
    <x v="22"/>
    <x v="7"/>
    <x v="31"/>
    <x v="6"/>
    <s v="Finance-Manager"/>
    <x v="5"/>
    <d v="2022-02-05T07:54:35"/>
    <x v="937"/>
    <x v="282"/>
    <n v="5"/>
    <d v="2022-03-07T07:54:35"/>
    <s v="Yes"/>
    <d v="2022-02-23T07:54:35"/>
    <x v="0"/>
    <x v="5"/>
    <m/>
    <m/>
    <m/>
    <m/>
    <d v="2022-02-25T07:54:35"/>
    <m/>
    <x v="0"/>
    <m/>
    <m/>
    <m/>
    <m/>
    <s v="Candidate"/>
    <m/>
    <s v="C2666"/>
    <s v="Candidate_1666"/>
    <s v="08/02/2022"/>
    <x v="1"/>
    <s v="Linkedin"/>
    <n v="3"/>
    <m/>
    <x v="0"/>
    <m/>
    <m/>
    <x v="0"/>
    <x v="0"/>
    <m/>
    <x v="1"/>
    <x v="0"/>
  </r>
  <r>
    <n v="979"/>
    <s v="979 | Finance"/>
    <x v="22"/>
    <x v="7"/>
    <x v="31"/>
    <x v="6"/>
    <s v="Finance-Manager"/>
    <x v="5"/>
    <d v="2022-07-15T16:46:55"/>
    <x v="1007"/>
    <x v="4"/>
    <n v="-44757.699247685188"/>
    <d v="2022-07-28T16:46:55"/>
    <s v="Yes"/>
    <d v="2022-07-26T16:46:55"/>
    <x v="3"/>
    <x v="1"/>
    <d v="2022-08-01T16:46:55"/>
    <s v="Accepted"/>
    <d v="2022-07-27T16:46:55"/>
    <d v="2022-07-31T16:46:55"/>
    <d v="2022-07-29T16:46:55"/>
    <d v="2022-08-06T16:46:55"/>
    <x v="1"/>
    <d v="2022-08-09T16:46:55"/>
    <d v="2022-08-11T16:46:55"/>
    <d v="2022-08-13T16:46:55"/>
    <m/>
    <m/>
    <d v="2022-08-22T16:46:55"/>
    <s v="C2667"/>
    <s v="Candidate_1667"/>
    <s v="11/07/2022"/>
    <x v="0"/>
    <s v="Referral"/>
    <n v="3"/>
    <m/>
    <x v="0"/>
    <m/>
    <m/>
    <x v="0"/>
    <x v="0"/>
    <m/>
    <x v="0"/>
    <x v="0"/>
  </r>
  <r>
    <n v="975"/>
    <s v="975 | Finance"/>
    <x v="22"/>
    <x v="7"/>
    <x v="31"/>
    <x v="6"/>
    <s v="Finance-Manager"/>
    <x v="5"/>
    <m/>
    <x v="940"/>
    <x v="304"/>
    <n v="44764.699247685188"/>
    <d v="2022-08-01T16:46:55"/>
    <s v="Yes"/>
    <d v="2022-07-24T16:46:55"/>
    <x v="4"/>
    <x v="1"/>
    <d v="2022-07-28T16:46:55"/>
    <s v="Pending"/>
    <m/>
    <m/>
    <d v="2022-07-26T16:46:55"/>
    <m/>
    <x v="0"/>
    <m/>
    <m/>
    <m/>
    <m/>
    <m/>
    <m/>
    <s v="C2668"/>
    <s v="Candidate_1668"/>
    <s v="07-15-2022"/>
    <x v="0"/>
    <s v="Referral"/>
    <n v="3"/>
    <m/>
    <x v="0"/>
    <m/>
    <m/>
    <x v="0"/>
    <x v="0"/>
    <m/>
    <x v="0"/>
    <x v="0"/>
  </r>
  <r>
    <n v="971"/>
    <s v="971 | Finance"/>
    <x v="23"/>
    <x v="7"/>
    <x v="31"/>
    <x v="6"/>
    <s v="Finance-Manager"/>
    <x v="5"/>
    <d v="2022-07-14T16:46:55"/>
    <x v="1008"/>
    <x v="304"/>
    <n v="8"/>
    <d v="2022-08-10T16:46:55"/>
    <s v="Yes"/>
    <d v="2022-07-29T16:46:55"/>
    <x v="0"/>
    <x v="4"/>
    <m/>
    <m/>
    <m/>
    <m/>
    <d v="2022-08-01T16:46:55"/>
    <m/>
    <x v="0"/>
    <m/>
    <m/>
    <m/>
    <m/>
    <s v="Company"/>
    <m/>
    <s v="C2669"/>
    <s v="Candidate_1669"/>
    <s v="Jul 19 2022"/>
    <x v="1"/>
    <s v="Linkedin"/>
    <n v="3"/>
    <m/>
    <x v="0"/>
    <m/>
    <m/>
    <x v="0"/>
    <x v="0"/>
    <m/>
    <x v="1"/>
    <x v="0"/>
  </r>
  <r>
    <n v="970"/>
    <s v="970 | Finance"/>
    <x v="21"/>
    <x v="7"/>
    <x v="31"/>
    <x v="6"/>
    <s v="Finance-Manager"/>
    <x v="5"/>
    <d v="2023-07-10T08:10:15"/>
    <x v="942"/>
    <x v="305"/>
    <n v="10"/>
    <d v="2023-08-07T08:10:15"/>
    <s v="No"/>
    <m/>
    <x v="2"/>
    <x v="1"/>
    <m/>
    <m/>
    <m/>
    <m/>
    <m/>
    <m/>
    <x v="0"/>
    <m/>
    <m/>
    <m/>
    <m/>
    <m/>
    <m/>
    <s v="C2670"/>
    <s v="Candidate_1670"/>
    <m/>
    <x v="1"/>
    <s v="Linkedin"/>
    <n v="3"/>
    <m/>
    <x v="0"/>
    <m/>
    <m/>
    <x v="0"/>
    <x v="0"/>
    <m/>
    <x v="1"/>
    <x v="0"/>
  </r>
  <r>
    <n v="899"/>
    <s v="899 | Finance"/>
    <x v="23"/>
    <x v="7"/>
    <x v="31"/>
    <x v="6"/>
    <s v="Finance-Manager"/>
    <x v="5"/>
    <d v="2022-10-13T22:33:20"/>
    <x v="943"/>
    <x v="306"/>
    <n v="3"/>
    <d v="2022-10-26T22:33:20"/>
    <s v="Yes"/>
    <d v="2022-10-26T22:33:20"/>
    <x v="3"/>
    <x v="1"/>
    <d v="2022-11-01T22:33:20"/>
    <s v="Accepted"/>
    <d v="2022-10-27T22:33:20"/>
    <d v="2022-10-28T22:33:20"/>
    <d v="2022-10-29T22:33:20"/>
    <d v="2022-11-08T22:33:20"/>
    <x v="1"/>
    <d v="2022-11-12T22:33:20"/>
    <d v="2022-11-14T22:33:20"/>
    <d v="2022-11-15T22:33:20"/>
    <m/>
    <m/>
    <d v="2022-12-08T22:33:20"/>
    <s v="C2671"/>
    <s v="Candidate_1671"/>
    <s v="20/10/2022"/>
    <x v="0"/>
    <s v="Referral"/>
    <n v="6"/>
    <m/>
    <x v="0"/>
    <m/>
    <m/>
    <x v="0"/>
    <x v="0"/>
    <m/>
    <x v="163"/>
    <x v="0"/>
  </r>
  <r>
    <n v="886"/>
    <s v="886 | Finance"/>
    <x v="21"/>
    <x v="7"/>
    <x v="31"/>
    <x v="6"/>
    <s v="Finance-Manager"/>
    <x v="5"/>
    <d v="2022-09-20T04:47:55"/>
    <x v="946"/>
    <x v="307"/>
    <n v="7"/>
    <d v="2022-10-09T04:47:55"/>
    <s v="Yes"/>
    <d v="2022-10-04T04:47:55"/>
    <x v="0"/>
    <x v="3"/>
    <m/>
    <m/>
    <m/>
    <m/>
    <m/>
    <m/>
    <x v="0"/>
    <m/>
    <m/>
    <m/>
    <m/>
    <s v="Company"/>
    <m/>
    <s v="C2672"/>
    <s v="Candidate_1672"/>
    <s v="Sep 20 2022"/>
    <x v="0"/>
    <s v="Referral"/>
    <n v="6"/>
    <m/>
    <x v="0"/>
    <m/>
    <m/>
    <x v="0"/>
    <x v="0"/>
    <m/>
    <x v="1"/>
    <x v="0"/>
  </r>
  <r>
    <n v="866"/>
    <s v="866 | Finance"/>
    <x v="23"/>
    <x v="7"/>
    <x v="31"/>
    <x v="6"/>
    <s v="Finance-Manager"/>
    <x v="5"/>
    <d v="2023-07-17T02:28:49"/>
    <x v="1009"/>
    <x v="308"/>
    <n v="7"/>
    <d v="2023-08-06T02:28:49"/>
    <s v="Yes"/>
    <d v="2023-08-04T02:28:49"/>
    <x v="0"/>
    <x v="5"/>
    <m/>
    <m/>
    <m/>
    <m/>
    <m/>
    <m/>
    <x v="0"/>
    <m/>
    <m/>
    <m/>
    <m/>
    <s v="Candidate"/>
    <m/>
    <s v="C2673"/>
    <s v="Candidate_1673"/>
    <s v="22/07/2023"/>
    <x v="0"/>
    <s v="Referral"/>
    <n v="6"/>
    <m/>
    <x v="0"/>
    <m/>
    <m/>
    <x v="0"/>
    <x v="0"/>
    <m/>
    <x v="1"/>
    <x v="0"/>
  </r>
  <r>
    <n v="862"/>
    <s v="862 | Finance"/>
    <x v="22"/>
    <x v="7"/>
    <x v="31"/>
    <x v="6"/>
    <s v="Finance-Manager"/>
    <x v="5"/>
    <d v="2023-07-22T02:28:49"/>
    <x v="1010"/>
    <x v="308"/>
    <n v="2"/>
    <d v="2023-08-04T02:28:49"/>
    <s v="No"/>
    <m/>
    <x v="2"/>
    <x v="1"/>
    <m/>
    <m/>
    <m/>
    <m/>
    <m/>
    <m/>
    <x v="0"/>
    <m/>
    <m/>
    <m/>
    <m/>
    <m/>
    <m/>
    <s v="C2674"/>
    <s v="Candidate_1674"/>
    <m/>
    <x v="1"/>
    <s v="Linkedin"/>
    <n v="3"/>
    <m/>
    <x v="0"/>
    <m/>
    <m/>
    <x v="0"/>
    <x v="0"/>
    <m/>
    <x v="1"/>
    <x v="0"/>
  </r>
  <r>
    <n v="861"/>
    <s v="861 | Finance"/>
    <x v="21"/>
    <x v="7"/>
    <x v="31"/>
    <x v="6"/>
    <s v="Finance-Manager"/>
    <x v="5"/>
    <d v="2023-07-14T02:28:49"/>
    <x v="1011"/>
    <x v="308"/>
    <n v="10"/>
    <d v="2023-08-07T02:28:49"/>
    <s v="Yes"/>
    <d v="2023-08-06T02:28:49"/>
    <x v="3"/>
    <x v="1"/>
    <d v="2023-08-11T02:28:49"/>
    <s v="Accepted"/>
    <d v="2023-08-07T02:28:49"/>
    <d v="2023-08-09T02:28:49"/>
    <d v="2023-08-09T02:28:49"/>
    <d v="2023-08-19T02:28:49"/>
    <x v="1"/>
    <d v="2023-08-23T02:28:49"/>
    <d v="2023-08-25T02:28:49"/>
    <d v="2023-08-27T02:28:49"/>
    <m/>
    <m/>
    <d v="2023-09-15T02:28:49"/>
    <s v="C2675"/>
    <s v="Candidate_1675"/>
    <s v="Aug 01 2023"/>
    <x v="1"/>
    <s v="Linkedin"/>
    <n v="6"/>
    <m/>
    <x v="0"/>
    <m/>
    <m/>
    <x v="0"/>
    <x v="0"/>
    <m/>
    <x v="164"/>
    <x v="0"/>
  </r>
  <r>
    <n v="750"/>
    <s v="750 | Finance"/>
    <x v="22"/>
    <x v="7"/>
    <x v="31"/>
    <x v="6"/>
    <s v="Finance-Manager"/>
    <x v="5"/>
    <d v="2022-11-04T05:17:37"/>
    <x v="1012"/>
    <x v="310"/>
    <n v="5"/>
    <d v="2022-12-05T05:17:37"/>
    <s v="No"/>
    <m/>
    <x v="2"/>
    <x v="1"/>
    <m/>
    <m/>
    <m/>
    <m/>
    <m/>
    <m/>
    <x v="0"/>
    <m/>
    <m/>
    <m/>
    <m/>
    <m/>
    <m/>
    <s v="C2676"/>
    <s v="Candidate_1676"/>
    <m/>
    <x v="1"/>
    <s v="Linkedin"/>
    <n v="6"/>
    <m/>
    <x v="0"/>
    <m/>
    <m/>
    <x v="0"/>
    <x v="0"/>
    <m/>
    <x v="1"/>
    <x v="0"/>
  </r>
  <r>
    <n v="747"/>
    <s v="747 | Finance"/>
    <x v="21"/>
    <x v="7"/>
    <x v="31"/>
    <x v="6"/>
    <s v="Finance-Manager"/>
    <x v="5"/>
    <d v="2022-11-02T05:17:37"/>
    <x v="1013"/>
    <x v="310"/>
    <n v="7"/>
    <d v="2022-11-23T05:17:37"/>
    <s v="No"/>
    <m/>
    <x v="2"/>
    <x v="1"/>
    <m/>
    <m/>
    <m/>
    <m/>
    <m/>
    <m/>
    <x v="0"/>
    <m/>
    <m/>
    <m/>
    <m/>
    <m/>
    <m/>
    <s v="C2677"/>
    <s v="Candidate_1677"/>
    <m/>
    <x v="0"/>
    <s v="Referral"/>
    <n v="3"/>
    <m/>
    <x v="0"/>
    <m/>
    <m/>
    <x v="0"/>
    <x v="0"/>
    <m/>
    <x v="1"/>
    <x v="0"/>
  </r>
  <r>
    <n v="704"/>
    <s v="704 | Finance"/>
    <x v="23"/>
    <x v="7"/>
    <x v="31"/>
    <x v="6"/>
    <s v="Finance-Manager"/>
    <x v="5"/>
    <d v="2023-07-08T15:23:01"/>
    <x v="950"/>
    <x v="311"/>
    <n v="6"/>
    <d v="2023-08-05T15:23:01"/>
    <s v="No"/>
    <m/>
    <x v="2"/>
    <x v="1"/>
    <m/>
    <m/>
    <m/>
    <m/>
    <m/>
    <m/>
    <x v="0"/>
    <m/>
    <m/>
    <m/>
    <m/>
    <m/>
    <m/>
    <s v="C2678"/>
    <s v="Candidate_1678"/>
    <m/>
    <x v="0"/>
    <s v="Referral"/>
    <n v="3"/>
    <m/>
    <x v="0"/>
    <m/>
    <m/>
    <x v="0"/>
    <x v="0"/>
    <m/>
    <x v="1"/>
    <x v="0"/>
  </r>
  <r>
    <n v="609"/>
    <s v="609 | Finance"/>
    <x v="21"/>
    <x v="7"/>
    <x v="31"/>
    <x v="6"/>
    <s v="Finance-Manager"/>
    <x v="5"/>
    <d v="2022-01-10T07:25:27"/>
    <x v="1014"/>
    <x v="312"/>
    <n v="5"/>
    <d v="2022-02-05T07:25:27"/>
    <s v="Yes"/>
    <d v="2022-01-28T07:25:27"/>
    <x v="1"/>
    <x v="1"/>
    <d v="2022-02-03T07:25:27"/>
    <s v="Declined"/>
    <m/>
    <m/>
    <d v="2022-01-30T07:25:27"/>
    <m/>
    <x v="0"/>
    <m/>
    <m/>
    <m/>
    <m/>
    <m/>
    <m/>
    <s v="C2679"/>
    <s v="Candidate_1679"/>
    <s v="01-20-2022"/>
    <x v="1"/>
    <s v="Linkedin"/>
    <n v="6"/>
    <m/>
    <x v="0"/>
    <m/>
    <m/>
    <x v="0"/>
    <x v="0"/>
    <m/>
    <x v="1"/>
    <x v="0"/>
  </r>
  <r>
    <n v="600"/>
    <s v="600 | Finance"/>
    <x v="22"/>
    <x v="7"/>
    <x v="31"/>
    <x v="6"/>
    <s v="Finance-Manager"/>
    <x v="5"/>
    <d v="2022-11-12T19:43:02"/>
    <x v="1015"/>
    <x v="313"/>
    <n v="9"/>
    <d v="2022-12-09T19:43:02"/>
    <s v="Yes"/>
    <d v="2022-11-26T19:43:02"/>
    <x v="0"/>
    <x v="5"/>
    <m/>
    <m/>
    <m/>
    <m/>
    <m/>
    <m/>
    <x v="0"/>
    <m/>
    <m/>
    <m/>
    <m/>
    <s v="Candidate"/>
    <m/>
    <s v="C2680"/>
    <s v="Candidate_1680"/>
    <s v="12/11/2022"/>
    <x v="2"/>
    <s v="Job Board"/>
    <n v="3"/>
    <m/>
    <x v="0"/>
    <m/>
    <m/>
    <x v="0"/>
    <x v="0"/>
    <m/>
    <x v="1"/>
    <x v="0"/>
  </r>
  <r>
    <n v="595"/>
    <s v="595 | Finance"/>
    <x v="22"/>
    <x v="7"/>
    <x v="31"/>
    <x v="6"/>
    <s v="Finance-Manager"/>
    <x v="5"/>
    <d v="2022-11-17T19:43:02"/>
    <x v="955"/>
    <x v="313"/>
    <n v="4"/>
    <d v="2022-12-07T19:43:02"/>
    <s v="Yes"/>
    <d v="2022-11-29T19:43:02"/>
    <x v="3"/>
    <x v="1"/>
    <d v="2022-12-02T19:43:02"/>
    <s v="Accepted"/>
    <d v="2022-12-01T19:43:02"/>
    <d v="2022-12-04T19:43:02"/>
    <d v="2022-11-30T19:43:02"/>
    <d v="2022-12-06T19:43:02"/>
    <x v="1"/>
    <d v="2022-12-08T19:43:02"/>
    <d v="2022-12-11T19:43:02"/>
    <d v="2022-12-14T19:43:02"/>
    <m/>
    <m/>
    <d v="2022-12-25T19:43:02"/>
    <s v="C2681"/>
    <s v="Candidate_1681"/>
    <s v="Nov 19 2022"/>
    <x v="0"/>
    <s v="Referral"/>
    <n v="3"/>
    <m/>
    <x v="0"/>
    <m/>
    <m/>
    <x v="0"/>
    <x v="0"/>
    <m/>
    <x v="165"/>
    <x v="0"/>
  </r>
  <r>
    <n v="451"/>
    <s v="451 | Finance"/>
    <x v="22"/>
    <x v="7"/>
    <x v="31"/>
    <x v="6"/>
    <s v="Finance-Manager"/>
    <x v="5"/>
    <d v="2023-02-16T13:42:17"/>
    <x v="957"/>
    <x v="314"/>
    <n v="6"/>
    <d v="2023-03-03T13:42:17"/>
    <s v="Yes"/>
    <d v="2023-03-03T13:42:17"/>
    <x v="0"/>
    <x v="0"/>
    <m/>
    <m/>
    <m/>
    <m/>
    <d v="2023-03-07T13:42:17"/>
    <m/>
    <x v="0"/>
    <m/>
    <m/>
    <m/>
    <m/>
    <s v="Company"/>
    <m/>
    <s v="C2682"/>
    <s v="Candidate_1682"/>
    <s v="Feb 21 2023"/>
    <x v="1"/>
    <s v="Linkedin"/>
    <n v="3"/>
    <m/>
    <x v="0"/>
    <m/>
    <m/>
    <x v="0"/>
    <x v="0"/>
    <m/>
    <x v="1"/>
    <x v="0"/>
  </r>
  <r>
    <n v="392"/>
    <s v="392 | Finance"/>
    <x v="21"/>
    <x v="7"/>
    <x v="31"/>
    <x v="6"/>
    <s v="Finance-Manager"/>
    <x v="5"/>
    <d v="2023-02-13T16:28:40"/>
    <x v="1016"/>
    <x v="4"/>
    <n v="-44970.686574074083"/>
    <d v="2023-03-09T16:28:40"/>
    <s v="Yes"/>
    <d v="2023-02-26T16:28:40"/>
    <x v="0"/>
    <x v="4"/>
    <m/>
    <m/>
    <m/>
    <m/>
    <d v="2023-02-27T16:28:40"/>
    <m/>
    <x v="0"/>
    <m/>
    <m/>
    <m/>
    <m/>
    <s v="Company"/>
    <m/>
    <s v="C2683"/>
    <s v="Candidate_1683"/>
    <s v="02-12-2023"/>
    <x v="0"/>
    <s v="Referral"/>
    <n v="3"/>
    <m/>
    <x v="0"/>
    <m/>
    <m/>
    <x v="0"/>
    <x v="0"/>
    <m/>
    <x v="0"/>
    <x v="0"/>
  </r>
  <r>
    <n v="349"/>
    <s v="349 | Finance"/>
    <x v="22"/>
    <x v="7"/>
    <x v="31"/>
    <x v="6"/>
    <s v="Finance-Manager"/>
    <x v="5"/>
    <d v="2022-05-03T15:27:54"/>
    <x v="1017"/>
    <x v="316"/>
    <n v="6"/>
    <d v="2022-06-07T15:27:54"/>
    <s v="Yes"/>
    <d v="2022-05-21T15:27:54"/>
    <x v="3"/>
    <x v="1"/>
    <d v="2022-05-27T15:27:54"/>
    <s v="Accepted"/>
    <d v="2022-05-22T15:27:54"/>
    <d v="2022-05-26T15:27:54"/>
    <d v="2022-05-25T15:27:54"/>
    <d v="2022-06-04T15:27:54"/>
    <x v="1"/>
    <d v="2022-06-07T15:27:54"/>
    <d v="2022-06-09T15:27:54"/>
    <d v="2022-06-11T15:27:54"/>
    <m/>
    <m/>
    <d v="2022-06-22T15:27:54"/>
    <s v="C2684"/>
    <s v="Candidate_1684"/>
    <s v="May 14 2022"/>
    <x v="0"/>
    <s v="Referral"/>
    <n v="6"/>
    <m/>
    <x v="0"/>
    <m/>
    <m/>
    <x v="0"/>
    <x v="0"/>
    <m/>
    <x v="166"/>
    <x v="0"/>
  </r>
  <r>
    <n v="347"/>
    <s v="347 | Finance"/>
    <x v="21"/>
    <x v="7"/>
    <x v="31"/>
    <x v="6"/>
    <s v="Finance-Manager"/>
    <x v="5"/>
    <d v="2022-05-02T15:27:54"/>
    <x v="961"/>
    <x v="316"/>
    <n v="7"/>
    <d v="2022-05-19T15:27:54"/>
    <s v="Yes"/>
    <d v="2022-05-13T15:27:54"/>
    <x v="0"/>
    <x v="5"/>
    <m/>
    <m/>
    <m/>
    <m/>
    <d v="2022-05-17T15:27:54"/>
    <m/>
    <x v="0"/>
    <m/>
    <m/>
    <m/>
    <m/>
    <s v="Company"/>
    <m/>
    <s v="C2685"/>
    <s v="Candidate_1685"/>
    <s v="07/05/2022"/>
    <x v="1"/>
    <s v="Linkedin"/>
    <n v="6"/>
    <m/>
    <x v="0"/>
    <m/>
    <m/>
    <x v="0"/>
    <x v="0"/>
    <m/>
    <x v="1"/>
    <x v="0"/>
  </r>
  <r>
    <n v="346"/>
    <s v="346 | Finance"/>
    <x v="22"/>
    <x v="7"/>
    <x v="31"/>
    <x v="6"/>
    <s v="Finance-Manager"/>
    <x v="5"/>
    <d v="2022-05-02T15:27:54"/>
    <x v="1018"/>
    <x v="316"/>
    <n v="7"/>
    <d v="2022-06-02T15:27:54"/>
    <s v="Yes"/>
    <d v="2022-05-18T15:27:54"/>
    <x v="0"/>
    <x v="3"/>
    <m/>
    <m/>
    <m/>
    <m/>
    <m/>
    <m/>
    <x v="0"/>
    <m/>
    <m/>
    <m/>
    <m/>
    <s v="Company"/>
    <m/>
    <s v="C2686"/>
    <s v="Candidate_1686"/>
    <s v="04-30-2022"/>
    <x v="1"/>
    <s v="Linkedin"/>
    <n v="3"/>
    <m/>
    <x v="0"/>
    <m/>
    <m/>
    <x v="0"/>
    <x v="0"/>
    <m/>
    <x v="1"/>
    <x v="0"/>
  </r>
  <r>
    <n v="342"/>
    <s v="342 | Finance"/>
    <x v="22"/>
    <x v="7"/>
    <x v="31"/>
    <x v="6"/>
    <s v="Finance-Manager"/>
    <x v="5"/>
    <d v="2022-05-05T15:27:54"/>
    <x v="1019"/>
    <x v="316"/>
    <n v="4"/>
    <d v="2022-05-14T15:27:54"/>
    <s v="Yes"/>
    <d v="2022-05-16T15:27:54"/>
    <x v="0"/>
    <x v="5"/>
    <m/>
    <m/>
    <m/>
    <m/>
    <d v="2022-05-19T15:27:54"/>
    <m/>
    <x v="0"/>
    <m/>
    <m/>
    <m/>
    <m/>
    <s v="Candidate"/>
    <m/>
    <s v="C2687"/>
    <s v="Candidate_1687"/>
    <s v="May 09 2022"/>
    <x v="1"/>
    <s v="Linkedin"/>
    <n v="3"/>
    <m/>
    <x v="0"/>
    <m/>
    <m/>
    <x v="0"/>
    <x v="0"/>
    <m/>
    <x v="1"/>
    <x v="0"/>
  </r>
  <r>
    <n v="287"/>
    <s v="287 | Finance"/>
    <x v="22"/>
    <x v="7"/>
    <x v="31"/>
    <x v="20"/>
    <s v="Finance-Contoller"/>
    <x v="5"/>
    <d v="2022-05-20T16:15:48"/>
    <x v="1020"/>
    <x v="317"/>
    <n v="5"/>
    <d v="2022-06-03T16:15:48"/>
    <s v="No"/>
    <m/>
    <x v="2"/>
    <x v="1"/>
    <m/>
    <m/>
    <m/>
    <m/>
    <m/>
    <m/>
    <x v="0"/>
    <m/>
    <m/>
    <m/>
    <m/>
    <m/>
    <m/>
    <s v="C2688"/>
    <s v="Candidate_1688"/>
    <m/>
    <x v="1"/>
    <s v="Linkedin"/>
    <n v="6"/>
    <m/>
    <x v="0"/>
    <m/>
    <m/>
    <x v="0"/>
    <x v="0"/>
    <m/>
    <x v="1"/>
    <x v="0"/>
  </r>
  <r>
    <n v="282"/>
    <s v="282 | Finance"/>
    <x v="23"/>
    <x v="7"/>
    <x v="31"/>
    <x v="20"/>
    <s v="Finance-Contoller"/>
    <x v="5"/>
    <d v="2022-05-19T16:15:48"/>
    <x v="1021"/>
    <x v="317"/>
    <n v="6"/>
    <d v="2022-06-10T16:15:48"/>
    <s v="Yes"/>
    <d v="2022-05-29T16:15:48"/>
    <x v="3"/>
    <x v="1"/>
    <d v="2022-06-03T16:15:48"/>
    <s v="Accepted"/>
    <d v="2022-05-31T16:15:48"/>
    <d v="2022-06-02T16:15:48"/>
    <d v="2022-05-31T16:15:48"/>
    <d v="2022-06-04T16:15:48"/>
    <x v="1"/>
    <d v="2022-06-06T16:15:48"/>
    <d v="2022-06-08T16:15:48"/>
    <d v="2022-06-09T16:15:48"/>
    <m/>
    <m/>
    <d v="2022-07-01T16:15:48"/>
    <s v="C2689"/>
    <s v="Candidate_1689"/>
    <s v="16/05/2022"/>
    <x v="1"/>
    <s v="Linkedin"/>
    <n v="6"/>
    <m/>
    <x v="0"/>
    <m/>
    <m/>
    <x v="0"/>
    <x v="0"/>
    <m/>
    <x v="167"/>
    <x v="0"/>
  </r>
  <r>
    <n v="202"/>
    <s v="202 | Finance"/>
    <x v="22"/>
    <x v="7"/>
    <x v="31"/>
    <x v="20"/>
    <s v="Finance-Contoller"/>
    <x v="5"/>
    <d v="2022-07-02T08:13:46"/>
    <x v="964"/>
    <x v="283"/>
    <n v="10"/>
    <d v="2022-08-06T08:13:46"/>
    <s v="Yes"/>
    <d v="2022-07-20T08:13:46"/>
    <x v="0"/>
    <x v="3"/>
    <m/>
    <m/>
    <m/>
    <m/>
    <d v="2022-07-23T08:13:46"/>
    <m/>
    <x v="0"/>
    <m/>
    <m/>
    <m/>
    <m/>
    <s v="Company"/>
    <m/>
    <s v="C2690"/>
    <s v="Candidate_1690"/>
    <s v="08/07/2022"/>
    <x v="1"/>
    <s v="Linkedin"/>
    <n v="3"/>
    <m/>
    <x v="0"/>
    <m/>
    <m/>
    <x v="0"/>
    <x v="0"/>
    <m/>
    <x v="1"/>
    <x v="0"/>
  </r>
  <r>
    <n v="179"/>
    <s v="179 | Finance"/>
    <x v="21"/>
    <x v="7"/>
    <x v="31"/>
    <x v="20"/>
    <s v="Finance-Contoller"/>
    <x v="5"/>
    <d v="2023-06-16T08:54:08"/>
    <x v="873"/>
    <x v="284"/>
    <n v="4"/>
    <d v="2023-07-10T08:54:08"/>
    <s v="Yes"/>
    <d v="2023-06-27T08:54:08"/>
    <x v="1"/>
    <x v="1"/>
    <d v="2023-07-03T08:54:08"/>
    <s v="Declined"/>
    <m/>
    <m/>
    <d v="2023-06-29T08:54:08"/>
    <m/>
    <x v="0"/>
    <m/>
    <m/>
    <m/>
    <m/>
    <m/>
    <m/>
    <s v="C2691"/>
    <s v="Candidate_1691"/>
    <s v="Jun 14 2023"/>
    <x v="1"/>
    <s v="Linkedin"/>
    <n v="6"/>
    <m/>
    <x v="0"/>
    <m/>
    <m/>
    <x v="0"/>
    <x v="0"/>
    <m/>
    <x v="1"/>
    <x v="0"/>
  </r>
  <r>
    <n v="174"/>
    <s v="174 | Finance"/>
    <x v="22"/>
    <x v="7"/>
    <x v="31"/>
    <x v="20"/>
    <s v="Finance-Contoller"/>
    <x v="5"/>
    <d v="2023-06-13T08:54:08"/>
    <x v="873"/>
    <x v="284"/>
    <n v="7"/>
    <d v="2023-07-11T08:54:08"/>
    <s v="Yes"/>
    <d v="2023-06-27T08:54:08"/>
    <x v="0"/>
    <x v="0"/>
    <m/>
    <m/>
    <m/>
    <m/>
    <m/>
    <m/>
    <x v="0"/>
    <m/>
    <m/>
    <m/>
    <m/>
    <s v="Company"/>
    <m/>
    <s v="C2692"/>
    <s v="Candidate_1692"/>
    <s v="06-16-2023"/>
    <x v="0"/>
    <s v="Referral"/>
    <n v="3"/>
    <m/>
    <x v="0"/>
    <m/>
    <m/>
    <x v="0"/>
    <x v="0"/>
    <m/>
    <x v="1"/>
    <x v="0"/>
  </r>
  <r>
    <n v="172"/>
    <s v="172 | Finance"/>
    <x v="23"/>
    <x v="7"/>
    <x v="31"/>
    <x v="20"/>
    <s v="Finance-Contoller"/>
    <x v="5"/>
    <d v="2023-06-16T08:54:08"/>
    <x v="966"/>
    <x v="284"/>
    <n v="4"/>
    <d v="2023-07-04T08:54:08"/>
    <s v="Yes"/>
    <d v="2023-07-04T08:54:08"/>
    <x v="1"/>
    <x v="1"/>
    <d v="2023-07-10T08:54:08"/>
    <s v="Declined"/>
    <m/>
    <m/>
    <d v="2023-07-06T08:54:08"/>
    <m/>
    <x v="0"/>
    <m/>
    <m/>
    <m/>
    <m/>
    <m/>
    <m/>
    <s v="C2693"/>
    <s v="Candidate_1693"/>
    <s v="06-15-2023"/>
    <x v="0"/>
    <s v="Referral"/>
    <n v="6"/>
    <m/>
    <x v="0"/>
    <m/>
    <m/>
    <x v="0"/>
    <x v="0"/>
    <m/>
    <x v="1"/>
    <x v="0"/>
  </r>
  <r>
    <n v="103"/>
    <s v="103 | Finance"/>
    <x v="22"/>
    <x v="7"/>
    <x v="31"/>
    <x v="20"/>
    <s v="Finance-Contoller"/>
    <x v="5"/>
    <d v="2023-03-31T21:07:16"/>
    <x v="876"/>
    <x v="285"/>
    <n v="3"/>
    <d v="2023-04-08T21:07:16"/>
    <s v="Yes"/>
    <d v="2023-04-15T21:07:16"/>
    <x v="3"/>
    <x v="1"/>
    <d v="2023-04-21T21:07:16"/>
    <s v="Accepted"/>
    <d v="2023-04-17T21:07:16"/>
    <d v="2023-04-20T21:07:16"/>
    <d v="2023-04-17T21:07:16"/>
    <d v="2023-04-18T21:07:16"/>
    <x v="1"/>
    <d v="2023-04-21T21:07:16"/>
    <d v="2023-04-23T21:07:16"/>
    <d v="2023-04-26T21:07:16"/>
    <m/>
    <m/>
    <d v="2023-05-04T21:07:16"/>
    <s v="C2694"/>
    <s v="Candidate_1694"/>
    <s v="27/03/2023"/>
    <x v="1"/>
    <s v="Linkedin"/>
    <n v="3"/>
    <m/>
    <x v="0"/>
    <m/>
    <m/>
    <x v="0"/>
    <x v="0"/>
    <m/>
    <x v="168"/>
    <x v="0"/>
  </r>
  <r>
    <n v="102"/>
    <s v="102 | Finance"/>
    <x v="23"/>
    <x v="7"/>
    <x v="31"/>
    <x v="20"/>
    <s v="Finance-Contoller"/>
    <x v="5"/>
    <d v="2023-03-25T21:07:16"/>
    <x v="1022"/>
    <x v="285"/>
    <n v="9"/>
    <d v="2023-04-18T21:07:16"/>
    <s v="Yes"/>
    <d v="2023-04-08T21:07:16"/>
    <x v="3"/>
    <x v="1"/>
    <d v="2023-04-10T21:07:16"/>
    <s v="Accepted"/>
    <d v="2023-04-09T21:07:16"/>
    <d v="2023-04-13T21:07:16"/>
    <d v="2023-04-09T21:07:16"/>
    <d v="2023-04-10T21:07:16"/>
    <x v="1"/>
    <d v="2023-04-12T21:07:16"/>
    <d v="2023-04-15T21:07:16"/>
    <d v="2023-04-16T21:07:16"/>
    <m/>
    <m/>
    <d v="2023-04-30T21:07:16"/>
    <s v="C2695"/>
    <s v="Candidate_1695"/>
    <s v="Mar 31 2023"/>
    <x v="2"/>
    <s v="Job Board"/>
    <n v="6"/>
    <m/>
    <x v="0"/>
    <m/>
    <m/>
    <x v="0"/>
    <x v="0"/>
    <m/>
    <x v="169"/>
    <x v="0"/>
  </r>
  <r>
    <n v="99"/>
    <s v="99 | Finance"/>
    <x v="22"/>
    <x v="7"/>
    <x v="31"/>
    <x v="20"/>
    <s v="Finance-Contoller"/>
    <x v="5"/>
    <d v="2022-10-05T14:05:41"/>
    <x v="967"/>
    <x v="4"/>
    <n v="-44839.587280092594"/>
    <d v="2022-11-06T14:05:41"/>
    <s v="Yes"/>
    <d v="2022-10-17T14:05:41"/>
    <x v="3"/>
    <x v="1"/>
    <d v="2022-10-22T14:05:41"/>
    <s v="Accepted"/>
    <d v="2022-10-19T14:05:41"/>
    <d v="2022-10-20T14:05:41"/>
    <d v="2022-10-18T14:05:41"/>
    <d v="2022-10-21T14:05:41"/>
    <x v="1"/>
    <d v="2022-10-25T14:05:41"/>
    <d v="2022-10-26T14:05:41"/>
    <d v="2022-10-28T14:05:41"/>
    <m/>
    <m/>
    <d v="2022-11-12T14:05:41"/>
    <s v="C2696"/>
    <s v="Candidate_1696"/>
    <s v="Oct 05 2022"/>
    <x v="1"/>
    <s v="Linkedin"/>
    <n v="6"/>
    <m/>
    <x v="0"/>
    <m/>
    <m/>
    <x v="0"/>
    <x v="0"/>
    <m/>
    <x v="0"/>
    <x v="0"/>
  </r>
  <r>
    <n v="97"/>
    <s v="97 | Finance"/>
    <x v="23"/>
    <x v="7"/>
    <x v="31"/>
    <x v="20"/>
    <s v="Finance-Contoller"/>
    <x v="5"/>
    <m/>
    <x v="877"/>
    <x v="286"/>
    <n v="44847.587280092594"/>
    <d v="2022-10-29T14:05:41"/>
    <s v="Yes"/>
    <d v="2022-10-17T14:05:41"/>
    <x v="3"/>
    <x v="1"/>
    <d v="2022-10-21T14:05:41"/>
    <s v="Accepted"/>
    <d v="2022-10-19T14:05:41"/>
    <d v="2022-10-22T14:05:41"/>
    <d v="2022-10-18T14:05:41"/>
    <d v="2022-10-22T14:05:41"/>
    <x v="1"/>
    <d v="2022-10-24T14:05:41"/>
    <d v="2022-10-27T14:05:41"/>
    <d v="2022-10-29T14:05:41"/>
    <m/>
    <m/>
    <d v="2022-11-16T14:05:41"/>
    <s v="C2697"/>
    <s v="Candidate_1697"/>
    <s v="10-01-2022"/>
    <x v="0"/>
    <s v="Referral"/>
    <n v="3"/>
    <m/>
    <x v="0"/>
    <m/>
    <m/>
    <x v="0"/>
    <x v="0"/>
    <m/>
    <x v="0"/>
    <x v="0"/>
  </r>
  <r>
    <n v="92"/>
    <s v="92 | Finance"/>
    <x v="22"/>
    <x v="7"/>
    <x v="31"/>
    <x v="20"/>
    <s v="Finance-Contoller"/>
    <x v="5"/>
    <d v="2022-10-06T14:05:41"/>
    <x v="877"/>
    <x v="286"/>
    <n v="7"/>
    <d v="2022-11-11T14:05:41"/>
    <s v="Yes"/>
    <d v="2022-10-26T14:05:41"/>
    <x v="3"/>
    <x v="1"/>
    <d v="2022-11-03T14:05:41"/>
    <s v="Accepted"/>
    <d v="2022-10-27T14:05:41"/>
    <d v="2022-10-29T14:05:41"/>
    <d v="2022-10-30T14:05:41"/>
    <d v="2022-11-07T14:05:41"/>
    <x v="1"/>
    <d v="2022-11-08T14:05:41"/>
    <d v="2022-11-11T14:05:41"/>
    <d v="2022-11-14T14:05:41"/>
    <m/>
    <m/>
    <d v="2022-12-05T14:05:41"/>
    <s v="C2698"/>
    <s v="Candidate_1698"/>
    <s v="Oct 16 2022"/>
    <x v="2"/>
    <s v="Job Board"/>
    <n v="6"/>
    <m/>
    <x v="0"/>
    <m/>
    <m/>
    <x v="0"/>
    <x v="0"/>
    <m/>
    <x v="170"/>
    <x v="0"/>
  </r>
  <r>
    <n v="79"/>
    <s v="79 | Finance"/>
    <x v="22"/>
    <x v="7"/>
    <x v="31"/>
    <x v="20"/>
    <s v="Finance-Contoller"/>
    <x v="5"/>
    <d v="2022-07-07T09:51:33"/>
    <x v="968"/>
    <x v="4"/>
    <n v="-44749.410798611112"/>
    <d v="2022-07-29T09:51:33"/>
    <s v="Yes"/>
    <d v="2022-07-22T09:51:33"/>
    <x v="0"/>
    <x v="3"/>
    <m/>
    <m/>
    <m/>
    <m/>
    <m/>
    <m/>
    <x v="0"/>
    <m/>
    <m/>
    <m/>
    <m/>
    <s v="Candidate"/>
    <m/>
    <s v="C2699"/>
    <s v="Candidate_1699"/>
    <s v="07-07-2022"/>
    <x v="0"/>
    <s v="Referral"/>
    <n v="3"/>
    <m/>
    <x v="0"/>
    <m/>
    <m/>
    <x v="0"/>
    <x v="0"/>
    <m/>
    <x v="0"/>
    <x v="0"/>
  </r>
  <r>
    <n v="76"/>
    <s v="76 | Finance"/>
    <x v="23"/>
    <x v="7"/>
    <x v="31"/>
    <x v="20"/>
    <s v="Finance-Contoller"/>
    <x v="5"/>
    <d v="2022-07-10T09:51:33"/>
    <x v="1023"/>
    <x v="318"/>
    <n v="2"/>
    <d v="2022-08-08T09:51:33"/>
    <s v="No"/>
    <m/>
    <x v="2"/>
    <x v="1"/>
    <m/>
    <m/>
    <m/>
    <m/>
    <m/>
    <m/>
    <x v="0"/>
    <m/>
    <m/>
    <m/>
    <m/>
    <m/>
    <m/>
    <s v="C2700"/>
    <s v="Candidate_1700"/>
    <m/>
    <x v="1"/>
    <s v="Linkedin"/>
    <n v="3"/>
    <m/>
    <x v="0"/>
    <m/>
    <m/>
    <x v="0"/>
    <x v="0"/>
    <m/>
    <x v="1"/>
    <x v="0"/>
  </r>
  <r>
    <n v="24"/>
    <s v="24 | Finance"/>
    <x v="23"/>
    <x v="7"/>
    <x v="31"/>
    <x v="20"/>
    <s v="Finance-Contoller"/>
    <x v="5"/>
    <d v="2022-12-24T10:52:58"/>
    <x v="0"/>
    <x v="287"/>
    <n v="8"/>
    <d v="2023-01-29T10:52:58"/>
    <s v="Yes"/>
    <d v="2023-01-12T10:52:58"/>
    <x v="0"/>
    <x v="5"/>
    <m/>
    <m/>
    <m/>
    <m/>
    <d v="2023-01-15T10:52:58"/>
    <m/>
    <x v="0"/>
    <m/>
    <m/>
    <m/>
    <m/>
    <s v="Company"/>
    <m/>
    <s v="C2701"/>
    <s v="Candidate_1701"/>
    <s v="31/12/2022"/>
    <x v="0"/>
    <s v="Referral"/>
    <n v="3"/>
    <m/>
    <x v="0"/>
    <m/>
    <m/>
    <x v="0"/>
    <x v="0"/>
    <m/>
    <x v="0"/>
    <x v="0"/>
  </r>
  <r>
    <n v="17"/>
    <s v="17 | Finance"/>
    <x v="22"/>
    <x v="7"/>
    <x v="31"/>
    <x v="20"/>
    <s v="Finance-Contoller"/>
    <x v="5"/>
    <d v="2022-03-13T21:37:51"/>
    <x v="1024"/>
    <x v="288"/>
    <n v="9"/>
    <d v="2022-03-28T21:37:51"/>
    <s v="Yes"/>
    <d v="2022-04-01T21:37:51"/>
    <x v="1"/>
    <x v="1"/>
    <d v="2022-04-05T21:37:51"/>
    <s v="Declined"/>
    <m/>
    <m/>
    <d v="2022-04-04T21:37:51"/>
    <m/>
    <x v="0"/>
    <m/>
    <m/>
    <m/>
    <m/>
    <m/>
    <m/>
    <s v="C2702"/>
    <s v="Candidate_1702"/>
    <s v="03-27-2022"/>
    <x v="1"/>
    <s v="Linkedin"/>
    <n v="3"/>
    <m/>
    <x v="0"/>
    <m/>
    <m/>
    <x v="0"/>
    <x v="0"/>
    <m/>
    <x v="1"/>
    <x v="0"/>
  </r>
  <r>
    <n v="2848"/>
    <s v="2848 | Finance"/>
    <x v="22"/>
    <x v="7"/>
    <x v="32"/>
    <x v="0"/>
    <s v="Finance-Analyst"/>
    <x v="0"/>
    <d v="2022-03-31T10:38:28"/>
    <x v="1025"/>
    <x v="257"/>
    <n v="7"/>
    <d v="2022-06-16T10:38:28"/>
    <s v="Yes"/>
    <d v="2022-04-19T10:38:28"/>
    <x v="1"/>
    <x v="1"/>
    <d v="2022-04-21T10:38:28"/>
    <s v="Declined"/>
    <m/>
    <m/>
    <d v="2022-04-20T10:38:28"/>
    <m/>
    <x v="0"/>
    <m/>
    <m/>
    <m/>
    <m/>
    <m/>
    <m/>
    <s v="C2703"/>
    <s v="Candidate_1703"/>
    <s v="Mar 31 2022"/>
    <x v="1"/>
    <s v="Linkedin"/>
    <n v="6"/>
    <m/>
    <x v="0"/>
    <m/>
    <m/>
    <x v="0"/>
    <x v="0"/>
    <m/>
    <x v="1"/>
    <x v="0"/>
  </r>
  <r>
    <n v="2845"/>
    <s v="2845 | Finance"/>
    <x v="21"/>
    <x v="7"/>
    <x v="32"/>
    <x v="0"/>
    <s v="Finance-Analyst"/>
    <x v="0"/>
    <d v="2022-03-30T10:38:28"/>
    <x v="0"/>
    <x v="257"/>
    <n v="8"/>
    <d v="2022-04-13T10:38:28"/>
    <s v="No"/>
    <m/>
    <x v="2"/>
    <x v="1"/>
    <m/>
    <m/>
    <m/>
    <m/>
    <m/>
    <m/>
    <x v="0"/>
    <m/>
    <m/>
    <m/>
    <m/>
    <m/>
    <m/>
    <s v="C2704"/>
    <s v="Candidate_1704"/>
    <m/>
    <x v="1"/>
    <s v="Linkedin"/>
    <n v="6"/>
    <m/>
    <x v="0"/>
    <m/>
    <m/>
    <x v="0"/>
    <x v="0"/>
    <m/>
    <x v="0"/>
    <x v="0"/>
  </r>
  <r>
    <n v="2775"/>
    <s v="2775 | Finance"/>
    <x v="21"/>
    <x v="7"/>
    <x v="32"/>
    <x v="0"/>
    <s v="Finance-Analyst"/>
    <x v="0"/>
    <d v="2022-04-30T18:40:18"/>
    <x v="0"/>
    <x v="4"/>
    <n v="-44681.777986111112"/>
    <d v="2022-05-19T18:40:18"/>
    <s v="Yes"/>
    <d v="2022-05-20T18:40:18"/>
    <x v="0"/>
    <x v="3"/>
    <m/>
    <m/>
    <m/>
    <m/>
    <m/>
    <m/>
    <x v="0"/>
    <m/>
    <m/>
    <m/>
    <m/>
    <s v="Company"/>
    <m/>
    <s v="C2705"/>
    <s v="Candidate_1705"/>
    <s v="May 09 2022"/>
    <x v="2"/>
    <s v="Job Board"/>
    <n v="6"/>
    <m/>
    <x v="0"/>
    <m/>
    <m/>
    <x v="0"/>
    <x v="0"/>
    <m/>
    <x v="0"/>
    <x v="0"/>
  </r>
  <r>
    <n v="2773"/>
    <s v="2773 | Finance"/>
    <x v="22"/>
    <x v="7"/>
    <x v="32"/>
    <x v="0"/>
    <s v="Finance-Analyst"/>
    <x v="0"/>
    <d v="2022-04-30T18:40:18"/>
    <x v="1026"/>
    <x v="258"/>
    <n v="8"/>
    <d v="2022-05-28T18:40:18"/>
    <s v="Yes"/>
    <d v="2022-05-10T18:40:18"/>
    <x v="1"/>
    <x v="1"/>
    <d v="2022-05-13T18:40:18"/>
    <s v="Declined"/>
    <m/>
    <m/>
    <d v="2022-05-11T18:40:18"/>
    <m/>
    <x v="0"/>
    <m/>
    <m/>
    <m/>
    <m/>
    <m/>
    <m/>
    <s v="C2706"/>
    <s v="Candidate_1706"/>
    <s v="04-28-2022"/>
    <x v="2"/>
    <s v="Job Board"/>
    <n v="3"/>
    <m/>
    <x v="0"/>
    <m/>
    <m/>
    <x v="0"/>
    <x v="0"/>
    <m/>
    <x v="1"/>
    <x v="0"/>
  </r>
  <r>
    <n v="2759"/>
    <s v="2759 | Finance"/>
    <x v="22"/>
    <x v="7"/>
    <x v="32"/>
    <x v="0"/>
    <s v="Finance-Analyst"/>
    <x v="0"/>
    <d v="2023-04-11T18:21:43"/>
    <x v="885"/>
    <x v="289"/>
    <n v="5"/>
    <d v="2023-05-16T18:21:43"/>
    <s v="Yes"/>
    <d v="2023-04-22T18:21:43"/>
    <x v="3"/>
    <x v="1"/>
    <d v="2023-04-24T18:21:43"/>
    <s v="Accepted"/>
    <d v="2023-04-24T18:21:43"/>
    <d v="2023-04-26T18:21:43"/>
    <d v="2023-04-23T18:21:43"/>
    <d v="2023-05-01T18:21:43"/>
    <x v="1"/>
    <d v="2023-05-03T18:21:43"/>
    <d v="2023-05-06T18:21:43"/>
    <d v="2023-05-08T18:21:43"/>
    <m/>
    <m/>
    <d v="2023-05-30T18:21:43"/>
    <s v="C2707"/>
    <s v="Candidate_1707"/>
    <s v="05/04/2023"/>
    <x v="0"/>
    <s v="Referral"/>
    <n v="3"/>
    <m/>
    <x v="0"/>
    <m/>
    <m/>
    <x v="0"/>
    <x v="0"/>
    <m/>
    <x v="171"/>
    <x v="0"/>
  </r>
  <r>
    <n v="2689"/>
    <s v="2689 | Finance"/>
    <x v="21"/>
    <x v="7"/>
    <x v="32"/>
    <x v="0"/>
    <s v="Finance-Analyst"/>
    <x v="0"/>
    <d v="2023-07-28T17:11:38"/>
    <x v="1027"/>
    <x v="4"/>
    <n v="-45135.716412037043"/>
    <d v="2023-08-26T17:11:38"/>
    <s v="Yes"/>
    <d v="2023-08-18T17:11:38"/>
    <x v="3"/>
    <x v="1"/>
    <d v="2023-08-26T17:11:38"/>
    <s v="Accepted"/>
    <d v="2023-08-20T17:11:38"/>
    <d v="2023-08-24T17:11:38"/>
    <d v="2023-08-22T17:11:38"/>
    <d v="2023-08-28T17:11:38"/>
    <x v="1"/>
    <d v="2023-08-31T17:11:38"/>
    <d v="2023-09-01T17:11:38"/>
    <d v="2023-09-02T17:11:38"/>
    <m/>
    <m/>
    <d v="2023-09-16T17:11:38"/>
    <s v="C2708"/>
    <s v="Candidate_1708"/>
    <s v="Aug 08 2023"/>
    <x v="1"/>
    <s v="Linkedin"/>
    <n v="3"/>
    <m/>
    <x v="0"/>
    <m/>
    <m/>
    <x v="0"/>
    <x v="0"/>
    <m/>
    <x v="0"/>
    <x v="0"/>
  </r>
  <r>
    <n v="2687"/>
    <s v="2687 | Finance"/>
    <x v="22"/>
    <x v="7"/>
    <x v="32"/>
    <x v="0"/>
    <s v="Finance-Analyst"/>
    <x v="0"/>
    <d v="2023-07-27T17:11:38"/>
    <x v="841"/>
    <x v="259"/>
    <n v="8"/>
    <d v="2023-08-29T17:11:38"/>
    <s v="Yes"/>
    <d v="2023-08-08T17:11:38"/>
    <x v="0"/>
    <x v="3"/>
    <m/>
    <m/>
    <m/>
    <m/>
    <d v="2023-08-12T17:11:38"/>
    <m/>
    <x v="0"/>
    <m/>
    <m/>
    <m/>
    <m/>
    <s v="Company"/>
    <m/>
    <s v="C2709"/>
    <s v="Candidate_1709"/>
    <s v="07-27-2023"/>
    <x v="0"/>
    <s v="Referral"/>
    <n v="3"/>
    <m/>
    <x v="0"/>
    <m/>
    <m/>
    <x v="0"/>
    <x v="0"/>
    <m/>
    <x v="1"/>
    <x v="0"/>
  </r>
  <r>
    <n v="2683"/>
    <s v="2683 | Finance"/>
    <x v="22"/>
    <x v="7"/>
    <x v="32"/>
    <x v="0"/>
    <s v="Finance-Analyst"/>
    <x v="0"/>
    <d v="2023-08-01T17:11:38"/>
    <x v="842"/>
    <x v="259"/>
    <n v="3"/>
    <d v="2023-08-15T17:11:38"/>
    <s v="Yes"/>
    <d v="2023-08-18T17:11:38"/>
    <x v="3"/>
    <x v="1"/>
    <d v="2023-08-26T17:11:38"/>
    <s v="Accepted"/>
    <d v="2023-08-19T17:11:38"/>
    <d v="2023-08-23T17:11:38"/>
    <d v="2023-08-22T17:11:38"/>
    <d v="2023-08-29T17:11:38"/>
    <x v="1"/>
    <d v="2023-08-31T17:11:38"/>
    <d v="2023-09-01T17:11:38"/>
    <d v="2023-09-03T17:11:38"/>
    <m/>
    <m/>
    <d v="2023-09-25T17:11:38"/>
    <s v="C2710"/>
    <s v="Candidate_1710"/>
    <s v="01/08/2023"/>
    <x v="0"/>
    <s v="Referral"/>
    <n v="3"/>
    <m/>
    <x v="0"/>
    <m/>
    <m/>
    <x v="0"/>
    <x v="0"/>
    <m/>
    <x v="172"/>
    <x v="0"/>
  </r>
  <r>
    <n v="2682"/>
    <s v="2682 | Finance"/>
    <x v="22"/>
    <x v="7"/>
    <x v="32"/>
    <x v="0"/>
    <s v="Finance-Analyst"/>
    <x v="0"/>
    <d v="2023-07-31T17:11:38"/>
    <x v="1028"/>
    <x v="259"/>
    <n v="4"/>
    <d v="2023-09-02T17:11:38"/>
    <s v="No"/>
    <m/>
    <x v="2"/>
    <x v="1"/>
    <m/>
    <m/>
    <m/>
    <m/>
    <m/>
    <m/>
    <x v="0"/>
    <m/>
    <m/>
    <m/>
    <m/>
    <m/>
    <m/>
    <s v="C2711"/>
    <s v="Candidate_1711"/>
    <m/>
    <x v="2"/>
    <s v="Job Board"/>
    <n v="6"/>
    <m/>
    <x v="0"/>
    <m/>
    <m/>
    <x v="0"/>
    <x v="0"/>
    <m/>
    <x v="1"/>
    <x v="0"/>
  </r>
  <r>
    <n v="2680"/>
    <s v="2680 | Finance"/>
    <x v="22"/>
    <x v="7"/>
    <x v="32"/>
    <x v="0"/>
    <s v="Finance-Analyst"/>
    <x v="0"/>
    <d v="2022-02-07T03:23:10"/>
    <x v="1029"/>
    <x v="319"/>
    <n v="9"/>
    <d v="2022-03-18T03:23:10"/>
    <s v="Yes"/>
    <d v="2022-03-05T03:23:10"/>
    <x v="3"/>
    <x v="1"/>
    <d v="2022-03-12T03:23:10"/>
    <s v="Accepted"/>
    <d v="2022-03-07T03:23:10"/>
    <d v="2022-03-08T03:23:10"/>
    <d v="2022-03-08T03:23:10"/>
    <d v="2022-03-16T03:23:10"/>
    <x v="1"/>
    <d v="2022-03-19T03:23:10"/>
    <d v="2022-03-22T03:23:10"/>
    <d v="2022-03-24T03:23:10"/>
    <m/>
    <m/>
    <d v="2022-04-02T03:23:10"/>
    <s v="C2712"/>
    <s v="Candidate_1712"/>
    <s v="14/02/2022"/>
    <x v="0"/>
    <s v="Referral"/>
    <n v="6"/>
    <m/>
    <x v="0"/>
    <m/>
    <m/>
    <x v="0"/>
    <x v="0"/>
    <m/>
    <x v="173"/>
    <x v="0"/>
  </r>
  <r>
    <n v="2678"/>
    <s v="2678 | Finance"/>
    <x v="22"/>
    <x v="7"/>
    <x v="32"/>
    <x v="0"/>
    <s v="Finance-Analyst"/>
    <x v="0"/>
    <d v="2022-02-13T03:23:10"/>
    <x v="1030"/>
    <x v="319"/>
    <n v="3"/>
    <d v="2022-03-17T03:23:10"/>
    <s v="Yes"/>
    <d v="2022-02-20T03:23:10"/>
    <x v="3"/>
    <x v="1"/>
    <d v="2022-02-23T03:23:10"/>
    <s v="Accepted"/>
    <d v="2022-02-22T03:23:10"/>
    <d v="2022-02-23T03:23:10"/>
    <d v="2022-02-22T03:23:10"/>
    <d v="2022-03-01T03:23:10"/>
    <x v="1"/>
    <d v="2022-03-04T03:23:10"/>
    <d v="2022-03-05T03:23:10"/>
    <d v="2022-03-08T03:23:10"/>
    <m/>
    <m/>
    <d v="2022-03-27T03:23:10"/>
    <s v="C2713"/>
    <s v="Candidate_1713"/>
    <s v="Feb 08 2022"/>
    <x v="0"/>
    <s v="Referral"/>
    <n v="3"/>
    <m/>
    <x v="0"/>
    <m/>
    <m/>
    <x v="0"/>
    <x v="0"/>
    <m/>
    <x v="174"/>
    <x v="0"/>
  </r>
  <r>
    <n v="2549"/>
    <s v="2549 | Finance"/>
    <x v="23"/>
    <x v="7"/>
    <x v="32"/>
    <x v="0"/>
    <s v="Finance-Analyst"/>
    <x v="0"/>
    <d v="2023-07-01T11:30:00"/>
    <x v="1031"/>
    <x v="290"/>
    <n v="4"/>
    <d v="2023-07-27T11:30:00"/>
    <s v="Yes"/>
    <d v="2023-07-09T11:30:00"/>
    <x v="0"/>
    <x v="4"/>
    <m/>
    <m/>
    <m/>
    <m/>
    <m/>
    <m/>
    <x v="0"/>
    <m/>
    <m/>
    <m/>
    <m/>
    <s v="Candidate"/>
    <m/>
    <s v="C2714"/>
    <s v="Candidate_1714"/>
    <s v="Jun 30 2023"/>
    <x v="2"/>
    <s v="Job Board"/>
    <n v="6"/>
    <m/>
    <x v="0"/>
    <m/>
    <m/>
    <x v="0"/>
    <x v="0"/>
    <m/>
    <x v="1"/>
    <x v="0"/>
  </r>
  <r>
    <n v="2543"/>
    <s v="2543 | Finance"/>
    <x v="21"/>
    <x v="7"/>
    <x v="32"/>
    <x v="0"/>
    <s v="Finance-Analyst"/>
    <x v="0"/>
    <d v="2023-06-27T11:30:00"/>
    <x v="1032"/>
    <x v="290"/>
    <n v="8"/>
    <d v="2023-07-10T11:30:00"/>
    <s v="No"/>
    <m/>
    <x v="2"/>
    <x v="1"/>
    <m/>
    <m/>
    <m/>
    <m/>
    <m/>
    <m/>
    <x v="0"/>
    <m/>
    <m/>
    <m/>
    <m/>
    <m/>
    <m/>
    <s v="C2715"/>
    <s v="Candidate_1715"/>
    <m/>
    <x v="1"/>
    <s v="Linkedin"/>
    <n v="6"/>
    <m/>
    <x v="0"/>
    <m/>
    <m/>
    <x v="0"/>
    <x v="0"/>
    <m/>
    <x v="1"/>
    <x v="0"/>
  </r>
  <r>
    <n v="2510"/>
    <s v="2510 | Finance"/>
    <x v="21"/>
    <x v="7"/>
    <x v="32"/>
    <x v="0"/>
    <s v="Finance-Analyst"/>
    <x v="0"/>
    <d v="2022-06-26T18:38:51"/>
    <x v="1033"/>
    <x v="320"/>
    <n v="5"/>
    <d v="2022-07-06T18:38:51"/>
    <s v="Yes"/>
    <d v="2022-07-11T18:38:51"/>
    <x v="1"/>
    <x v="1"/>
    <d v="2022-07-16T18:38:51"/>
    <s v="Declined"/>
    <m/>
    <m/>
    <d v="2022-07-15T18:38:51"/>
    <m/>
    <x v="0"/>
    <m/>
    <m/>
    <m/>
    <m/>
    <m/>
    <m/>
    <s v="C2716"/>
    <s v="Candidate_1716"/>
    <s v="Jul 01 2022"/>
    <x v="2"/>
    <s v="Job Board"/>
    <n v="6"/>
    <m/>
    <x v="0"/>
    <m/>
    <m/>
    <x v="0"/>
    <x v="0"/>
    <m/>
    <x v="1"/>
    <x v="0"/>
  </r>
  <r>
    <n v="2507"/>
    <s v="2507 | Finance"/>
    <x v="21"/>
    <x v="7"/>
    <x v="32"/>
    <x v="0"/>
    <s v="Finance-Analyst"/>
    <x v="0"/>
    <d v="2022-06-24T18:38:51"/>
    <x v="1034"/>
    <x v="320"/>
    <n v="7"/>
    <d v="2022-07-25T18:38:51"/>
    <s v="Yes"/>
    <d v="2022-07-09T18:38:51"/>
    <x v="0"/>
    <x v="3"/>
    <m/>
    <m/>
    <m/>
    <m/>
    <d v="2022-07-12T18:38:51"/>
    <m/>
    <x v="0"/>
    <m/>
    <m/>
    <m/>
    <m/>
    <s v="Company"/>
    <m/>
    <s v="C2717"/>
    <s v="Candidate_1717"/>
    <s v="Jun 25 2022"/>
    <x v="2"/>
    <s v="Job Board"/>
    <n v="3"/>
    <m/>
    <x v="0"/>
    <m/>
    <m/>
    <x v="0"/>
    <x v="0"/>
    <m/>
    <x v="1"/>
    <x v="0"/>
  </r>
  <r>
    <n v="2477"/>
    <s v="2477 | Finance"/>
    <x v="23"/>
    <x v="7"/>
    <x v="32"/>
    <x v="0"/>
    <s v="Finance-Analyst"/>
    <x v="0"/>
    <d v="2022-12-20T10:20:25"/>
    <x v="1035"/>
    <x v="291"/>
    <n v="5"/>
    <d v="2023-01-16T10:20:25"/>
    <s v="Yes"/>
    <d v="2023-01-05T10:20:25"/>
    <x v="1"/>
    <x v="1"/>
    <d v="2023-01-12T10:20:25"/>
    <s v="Declined"/>
    <m/>
    <m/>
    <d v="2023-01-08T10:20:25"/>
    <m/>
    <x v="0"/>
    <m/>
    <m/>
    <m/>
    <m/>
    <m/>
    <m/>
    <s v="C2718"/>
    <s v="Candidate_1718"/>
    <s v="12-20-2022"/>
    <x v="1"/>
    <s v="Linkedin"/>
    <n v="6"/>
    <m/>
    <x v="0"/>
    <m/>
    <m/>
    <x v="0"/>
    <x v="0"/>
    <m/>
    <x v="1"/>
    <x v="0"/>
  </r>
  <r>
    <n v="2473"/>
    <s v="2473 | Finance"/>
    <x v="22"/>
    <x v="7"/>
    <x v="32"/>
    <x v="0"/>
    <s v="Finance-Analyst"/>
    <x v="0"/>
    <d v="2022-12-19T10:20:25"/>
    <x v="974"/>
    <x v="291"/>
    <n v="6"/>
    <d v="2023-01-02T10:20:25"/>
    <s v="Yes"/>
    <d v="2022-12-31T10:20:25"/>
    <x v="3"/>
    <x v="1"/>
    <d v="2023-01-07T10:20:25"/>
    <s v="Accepted"/>
    <d v="2023-01-02T10:20:25"/>
    <d v="2023-01-05T10:20:25"/>
    <d v="2023-01-03T10:20:25"/>
    <d v="2023-01-11T10:20:25"/>
    <x v="1"/>
    <d v="2023-01-14T10:20:25"/>
    <d v="2023-01-17T10:20:25"/>
    <d v="2023-01-20T10:20:25"/>
    <m/>
    <m/>
    <d v="2023-02-05T10:20:25"/>
    <s v="C2719"/>
    <s v="Candidate_1719"/>
    <s v="Dec 12 2022"/>
    <x v="1"/>
    <s v="Linkedin"/>
    <n v="3"/>
    <m/>
    <x v="0"/>
    <m/>
    <m/>
    <x v="0"/>
    <x v="0"/>
    <m/>
    <x v="175"/>
    <x v="0"/>
  </r>
  <r>
    <n v="2358"/>
    <s v="2358 | Finance"/>
    <x v="21"/>
    <x v="7"/>
    <x v="32"/>
    <x v="0"/>
    <s v="Finance-Analyst"/>
    <x v="0"/>
    <d v="2023-04-13T12:37:54"/>
    <x v="895"/>
    <x v="292"/>
    <n v="3"/>
    <d v="2023-04-27T12:37:54"/>
    <s v="Yes"/>
    <d v="2023-04-21T12:37:54"/>
    <x v="0"/>
    <x v="4"/>
    <m/>
    <m/>
    <m/>
    <m/>
    <m/>
    <m/>
    <x v="0"/>
    <m/>
    <m/>
    <m/>
    <m/>
    <s v="Candidate"/>
    <m/>
    <s v="C2720"/>
    <s v="Candidate_1720"/>
    <s v="16/04/2023"/>
    <x v="0"/>
    <s v="Referral"/>
    <n v="6"/>
    <m/>
    <x v="0"/>
    <m/>
    <m/>
    <x v="0"/>
    <x v="0"/>
    <m/>
    <x v="1"/>
    <x v="0"/>
  </r>
  <r>
    <n v="2352"/>
    <s v="2352 | Finance"/>
    <x v="22"/>
    <x v="7"/>
    <x v="32"/>
    <x v="0"/>
    <s v="Finance-Analyst"/>
    <x v="0"/>
    <m/>
    <x v="1036"/>
    <x v="292"/>
    <n v="45032.526319444441"/>
    <d v="2023-04-24T12:37:54"/>
    <s v="Yes"/>
    <d v="2023-04-28T12:37:54"/>
    <x v="1"/>
    <x v="1"/>
    <d v="2023-05-03T12:37:54"/>
    <s v="Declined"/>
    <m/>
    <m/>
    <d v="2023-04-30T12:37:54"/>
    <m/>
    <x v="0"/>
    <m/>
    <m/>
    <m/>
    <m/>
    <m/>
    <m/>
    <s v="C2721"/>
    <s v="Candidate_1721"/>
    <s v="04-23-2023"/>
    <x v="1"/>
    <s v="Linkedin"/>
    <n v="6"/>
    <m/>
    <x v="0"/>
    <m/>
    <m/>
    <x v="0"/>
    <x v="0"/>
    <m/>
    <x v="0"/>
    <x v="0"/>
  </r>
  <r>
    <n v="2329"/>
    <s v="2329 | Finance"/>
    <x v="21"/>
    <x v="7"/>
    <x v="32"/>
    <x v="0"/>
    <s v="Finance-Analyst"/>
    <x v="0"/>
    <d v="2022-02-03T06:22:29"/>
    <x v="1037"/>
    <x v="260"/>
    <n v="8"/>
    <d v="2022-02-17T06:22:29"/>
    <s v="No"/>
    <m/>
    <x v="2"/>
    <x v="1"/>
    <m/>
    <m/>
    <m/>
    <m/>
    <m/>
    <m/>
    <x v="0"/>
    <m/>
    <m/>
    <m/>
    <m/>
    <m/>
    <m/>
    <s v="C2722"/>
    <s v="Candidate_1722"/>
    <m/>
    <x v="0"/>
    <s v="Referral"/>
    <n v="6"/>
    <m/>
    <x v="0"/>
    <m/>
    <m/>
    <x v="0"/>
    <x v="0"/>
    <m/>
    <x v="1"/>
    <x v="0"/>
  </r>
  <r>
    <n v="2327"/>
    <s v="2327 | Finance"/>
    <x v="21"/>
    <x v="7"/>
    <x v="32"/>
    <x v="0"/>
    <s v="Finance-Analyst"/>
    <x v="0"/>
    <m/>
    <x v="1038"/>
    <x v="260"/>
    <n v="44603.265613425923"/>
    <d v="2022-02-23T06:22:29"/>
    <s v="Yes"/>
    <d v="2022-02-18T06:22:29"/>
    <x v="0"/>
    <x v="3"/>
    <m/>
    <m/>
    <m/>
    <m/>
    <m/>
    <m/>
    <x v="0"/>
    <m/>
    <m/>
    <m/>
    <m/>
    <s v="Candidate"/>
    <m/>
    <s v="C2723"/>
    <s v="Candidate_1723"/>
    <s v="05/02/2022"/>
    <x v="0"/>
    <s v="Referral"/>
    <n v="3"/>
    <m/>
    <x v="0"/>
    <m/>
    <m/>
    <x v="0"/>
    <x v="0"/>
    <m/>
    <x v="0"/>
    <x v="0"/>
  </r>
  <r>
    <n v="2324"/>
    <s v="2324 | Finance"/>
    <x v="22"/>
    <x v="7"/>
    <x v="32"/>
    <x v="0"/>
    <s v="Finance-Analyst"/>
    <x v="0"/>
    <d v="2022-02-02T06:22:29"/>
    <x v="1039"/>
    <x v="260"/>
    <n v="9"/>
    <d v="2022-02-24T06:22:29"/>
    <s v="No"/>
    <m/>
    <x v="2"/>
    <x v="1"/>
    <m/>
    <m/>
    <m/>
    <m/>
    <m/>
    <m/>
    <x v="0"/>
    <m/>
    <m/>
    <m/>
    <m/>
    <m/>
    <m/>
    <s v="C2724"/>
    <s v="Candidate_1724"/>
    <m/>
    <x v="2"/>
    <s v="Job Board"/>
    <n v="6"/>
    <m/>
    <x v="0"/>
    <m/>
    <m/>
    <x v="0"/>
    <x v="0"/>
    <m/>
    <x v="1"/>
    <x v="0"/>
  </r>
  <r>
    <n v="2322"/>
    <s v="2322 | Finance"/>
    <x v="23"/>
    <x v="7"/>
    <x v="32"/>
    <x v="0"/>
    <s v="Finance-Analyst"/>
    <x v="0"/>
    <d v="2022-02-02T06:22:29"/>
    <x v="843"/>
    <x v="260"/>
    <n v="9"/>
    <d v="2022-03-13T06:22:29"/>
    <s v="No"/>
    <m/>
    <x v="2"/>
    <x v="1"/>
    <m/>
    <m/>
    <m/>
    <m/>
    <m/>
    <m/>
    <x v="0"/>
    <m/>
    <m/>
    <m/>
    <m/>
    <m/>
    <m/>
    <s v="C2725"/>
    <s v="Candidate_1725"/>
    <m/>
    <x v="0"/>
    <s v="Referral"/>
    <n v="6"/>
    <m/>
    <x v="0"/>
    <m/>
    <m/>
    <x v="0"/>
    <x v="0"/>
    <m/>
    <x v="1"/>
    <x v="0"/>
  </r>
  <r>
    <n v="2310"/>
    <s v="2310 | Finance"/>
    <x v="22"/>
    <x v="7"/>
    <x v="32"/>
    <x v="0"/>
    <s v="Finance-Analyst"/>
    <x v="0"/>
    <d v="2023-06-21T01:56:26"/>
    <x v="1040"/>
    <x v="293"/>
    <n v="7"/>
    <d v="2023-07-18T01:56:26"/>
    <s v="Yes"/>
    <d v="2023-07-03T01:56:26"/>
    <x v="0"/>
    <x v="0"/>
    <m/>
    <m/>
    <m/>
    <m/>
    <m/>
    <m/>
    <x v="0"/>
    <m/>
    <m/>
    <m/>
    <m/>
    <s v="Company"/>
    <m/>
    <s v="C2726"/>
    <s v="Candidate_1726"/>
    <s v="06-17-2023"/>
    <x v="2"/>
    <s v="Job Board"/>
    <n v="6"/>
    <m/>
    <x v="0"/>
    <m/>
    <m/>
    <x v="0"/>
    <x v="0"/>
    <m/>
    <x v="1"/>
    <x v="0"/>
  </r>
  <r>
    <n v="2303"/>
    <s v="2303 | Finance"/>
    <x v="23"/>
    <x v="7"/>
    <x v="32"/>
    <x v="0"/>
    <s v="Finance-Analyst"/>
    <x v="0"/>
    <d v="2023-06-19T01:56:26"/>
    <x v="1040"/>
    <x v="293"/>
    <n v="9"/>
    <d v="2023-07-04T01:56:26"/>
    <s v="Yes"/>
    <d v="2023-07-16T01:56:26"/>
    <x v="0"/>
    <x v="3"/>
    <m/>
    <m/>
    <m/>
    <m/>
    <d v="2023-07-18T01:56:26"/>
    <m/>
    <x v="0"/>
    <m/>
    <m/>
    <m/>
    <m/>
    <s v="Company"/>
    <m/>
    <s v="C2727"/>
    <s v="Candidate_1727"/>
    <s v="01/07/2023"/>
    <x v="1"/>
    <s v="Linkedin"/>
    <n v="6"/>
    <m/>
    <x v="0"/>
    <m/>
    <m/>
    <x v="0"/>
    <x v="0"/>
    <m/>
    <x v="1"/>
    <x v="0"/>
  </r>
  <r>
    <n v="2289"/>
    <s v="2289 | Finance"/>
    <x v="21"/>
    <x v="7"/>
    <x v="32"/>
    <x v="0"/>
    <s v="Finance-Analyst"/>
    <x v="0"/>
    <m/>
    <x v="1041"/>
    <x v="294"/>
    <n v="44769.489282407398"/>
    <d v="2022-08-22T11:44:34"/>
    <s v="Yes"/>
    <d v="2022-08-13T11:44:34"/>
    <x v="3"/>
    <x v="1"/>
    <d v="2022-08-17T11:44:34"/>
    <s v="Accepted"/>
    <d v="2022-08-14T11:44:34"/>
    <d v="2022-08-18T11:44:34"/>
    <d v="2022-08-16T11:44:34"/>
    <d v="2022-08-25T11:44:34"/>
    <x v="1"/>
    <d v="2022-08-28T11:44:34"/>
    <d v="2022-08-29T11:44:34"/>
    <d v="2022-08-31T11:44:34"/>
    <m/>
    <m/>
    <d v="2022-09-11T11:44:34"/>
    <s v="C2728"/>
    <s v="Candidate_1728"/>
    <s v="26/07/2022"/>
    <x v="2"/>
    <s v="Job Board"/>
    <n v="3"/>
    <m/>
    <x v="0"/>
    <m/>
    <m/>
    <x v="0"/>
    <x v="0"/>
    <m/>
    <x v="0"/>
    <x v="0"/>
  </r>
  <r>
    <n v="2288"/>
    <s v="2288 | Finance"/>
    <x v="22"/>
    <x v="7"/>
    <x v="32"/>
    <x v="0"/>
    <s v="Finance-Analyst"/>
    <x v="0"/>
    <d v="2022-07-22T11:44:34"/>
    <x v="1041"/>
    <x v="294"/>
    <n v="5"/>
    <d v="2022-08-07T11:44:34"/>
    <s v="No"/>
    <m/>
    <x v="2"/>
    <x v="1"/>
    <m/>
    <m/>
    <m/>
    <m/>
    <m/>
    <m/>
    <x v="0"/>
    <m/>
    <m/>
    <m/>
    <m/>
    <m/>
    <m/>
    <s v="C2729"/>
    <s v="Candidate_1729"/>
    <m/>
    <x v="2"/>
    <s v="Job Board"/>
    <n v="6"/>
    <m/>
    <x v="0"/>
    <m/>
    <m/>
    <x v="0"/>
    <x v="0"/>
    <m/>
    <x v="1"/>
    <x v="0"/>
  </r>
  <r>
    <n v="2284"/>
    <s v="2284 | Finance"/>
    <x v="23"/>
    <x v="7"/>
    <x v="32"/>
    <x v="0"/>
    <s v="Finance-Analyst"/>
    <x v="0"/>
    <d v="2022-07-17T11:44:34"/>
    <x v="1042"/>
    <x v="294"/>
    <n v="10"/>
    <d v="2022-08-06T11:44:34"/>
    <s v="Yes"/>
    <d v="2022-08-10T11:44:34"/>
    <x v="0"/>
    <x v="0"/>
    <m/>
    <m/>
    <m/>
    <m/>
    <m/>
    <m/>
    <x v="0"/>
    <m/>
    <m/>
    <m/>
    <m/>
    <s v="Company"/>
    <m/>
    <s v="C2730"/>
    <s v="Candidate_1730"/>
    <s v="08-03-2022"/>
    <x v="2"/>
    <s v="Job Board"/>
    <n v="3"/>
    <m/>
    <x v="0"/>
    <m/>
    <m/>
    <x v="0"/>
    <x v="0"/>
    <m/>
    <x v="1"/>
    <x v="0"/>
  </r>
  <r>
    <n v="2280"/>
    <s v="2280 | Finance"/>
    <x v="22"/>
    <x v="7"/>
    <x v="32"/>
    <x v="0"/>
    <s v="Finance-Analyst"/>
    <x v="0"/>
    <d v="2023-08-27T21:41:36"/>
    <x v="0"/>
    <x v="4"/>
    <n v="-45165.90388888889"/>
    <d v="2023-09-30T21:41:36"/>
    <s v="Yes"/>
    <d v="2023-09-11T21:41:36"/>
    <x v="1"/>
    <x v="1"/>
    <d v="2023-09-15T21:41:36"/>
    <s v="Declined"/>
    <m/>
    <m/>
    <d v="2023-09-12T21:41:36"/>
    <m/>
    <x v="0"/>
    <m/>
    <m/>
    <m/>
    <m/>
    <m/>
    <m/>
    <s v="C2731"/>
    <s v="Candidate_1731"/>
    <s v="Aug 28 2023"/>
    <x v="0"/>
    <s v="Referral"/>
    <n v="6"/>
    <m/>
    <x v="0"/>
    <m/>
    <m/>
    <x v="0"/>
    <x v="0"/>
    <m/>
    <x v="0"/>
    <x v="0"/>
  </r>
  <r>
    <n v="2277"/>
    <s v="2277 | Finance"/>
    <x v="21"/>
    <x v="7"/>
    <x v="32"/>
    <x v="0"/>
    <s v="Finance-Analyst"/>
    <x v="0"/>
    <m/>
    <x v="0"/>
    <x v="321"/>
    <n v="45171.90388888889"/>
    <d v="2023-09-21T21:41:36"/>
    <s v="Yes"/>
    <d v="2023-09-13T21:41:36"/>
    <x v="0"/>
    <x v="3"/>
    <m/>
    <m/>
    <m/>
    <m/>
    <d v="2023-09-14T21:41:36"/>
    <m/>
    <x v="0"/>
    <m/>
    <m/>
    <m/>
    <m/>
    <s v="Candidate"/>
    <m/>
    <s v="C2732"/>
    <s v="Candidate_1732"/>
    <s v="08-30-2023"/>
    <x v="2"/>
    <s v="Job Board"/>
    <n v="3"/>
    <m/>
    <x v="0"/>
    <m/>
    <m/>
    <x v="0"/>
    <x v="0"/>
    <m/>
    <x v="0"/>
    <x v="0"/>
  </r>
  <r>
    <n v="2276"/>
    <s v="2276 | Finance"/>
    <x v="22"/>
    <x v="7"/>
    <x v="32"/>
    <x v="0"/>
    <s v="Finance-Analyst"/>
    <x v="0"/>
    <d v="2023-08-26T21:41:36"/>
    <x v="977"/>
    <x v="321"/>
    <n v="7"/>
    <d v="2023-09-15T21:41:36"/>
    <s v="Yes"/>
    <d v="2023-09-05T21:41:36"/>
    <x v="0"/>
    <x v="5"/>
    <m/>
    <m/>
    <m/>
    <m/>
    <d v="2023-09-06T21:41:36"/>
    <m/>
    <x v="0"/>
    <m/>
    <m/>
    <m/>
    <m/>
    <s v="Candidate"/>
    <m/>
    <s v="C2733"/>
    <s v="Candidate_1733"/>
    <s v="08-23-2023"/>
    <x v="0"/>
    <s v="Referral"/>
    <n v="3"/>
    <m/>
    <x v="0"/>
    <m/>
    <m/>
    <x v="0"/>
    <x v="0"/>
    <m/>
    <x v="1"/>
    <x v="0"/>
  </r>
  <r>
    <n v="2236"/>
    <s v="2236 | Finance"/>
    <x v="21"/>
    <x v="7"/>
    <x v="32"/>
    <x v="0"/>
    <s v="Finance-Analyst"/>
    <x v="0"/>
    <d v="2023-04-10T23:01:36"/>
    <x v="1043"/>
    <x v="295"/>
    <n v="10"/>
    <d v="2023-05-11T23:01:36"/>
    <s v="Yes"/>
    <d v="2023-05-04T23:01:36"/>
    <x v="0"/>
    <x v="2"/>
    <m/>
    <m/>
    <m/>
    <m/>
    <m/>
    <m/>
    <x v="0"/>
    <m/>
    <m/>
    <m/>
    <m/>
    <s v="Company"/>
    <m/>
    <s v="C2734"/>
    <s v="Candidate_1734"/>
    <s v="24/04/2023"/>
    <x v="2"/>
    <s v="Job Board"/>
    <n v="3"/>
    <m/>
    <x v="0"/>
    <m/>
    <m/>
    <x v="0"/>
    <x v="0"/>
    <m/>
    <x v="1"/>
    <x v="0"/>
  </r>
  <r>
    <n v="2232"/>
    <s v="2232 | Finance"/>
    <x v="22"/>
    <x v="7"/>
    <x v="32"/>
    <x v="0"/>
    <s v="Finance-Analyst"/>
    <x v="0"/>
    <d v="2023-04-15T23:01:36"/>
    <x v="1044"/>
    <x v="295"/>
    <n v="5"/>
    <d v="2023-05-19T23:01:36"/>
    <s v="Yes"/>
    <d v="2023-04-25T23:01:36"/>
    <x v="0"/>
    <x v="2"/>
    <m/>
    <m/>
    <m/>
    <m/>
    <m/>
    <m/>
    <x v="0"/>
    <m/>
    <m/>
    <m/>
    <m/>
    <s v="Candidate"/>
    <m/>
    <s v="C2735"/>
    <s v="Candidate_1735"/>
    <s v="06/04/2023"/>
    <x v="2"/>
    <s v="Job Board"/>
    <n v="6"/>
    <m/>
    <x v="0"/>
    <m/>
    <m/>
    <x v="0"/>
    <x v="0"/>
    <m/>
    <x v="1"/>
    <x v="0"/>
  </r>
  <r>
    <n v="2179"/>
    <s v="2179 | Finance"/>
    <x v="22"/>
    <x v="7"/>
    <x v="32"/>
    <x v="0"/>
    <s v="Finance-Analyst"/>
    <x v="0"/>
    <m/>
    <x v="0"/>
    <x v="262"/>
    <n v="44759.601967592593"/>
    <d v="2022-08-16T14:26:50"/>
    <s v="Yes"/>
    <d v="2022-07-22T14:26:50"/>
    <x v="1"/>
    <x v="1"/>
    <d v="2022-07-26T14:26:50"/>
    <s v="Declined"/>
    <m/>
    <m/>
    <d v="2022-07-25T14:26:50"/>
    <m/>
    <x v="0"/>
    <m/>
    <m/>
    <m/>
    <m/>
    <m/>
    <m/>
    <s v="C2736"/>
    <s v="Candidate_1736"/>
    <s v="07-12-2022"/>
    <x v="0"/>
    <s v="Referral"/>
    <n v="3"/>
    <m/>
    <x v="0"/>
    <m/>
    <m/>
    <x v="0"/>
    <x v="0"/>
    <m/>
    <x v="0"/>
    <x v="0"/>
  </r>
  <r>
    <n v="2176"/>
    <s v="2176 | Finance"/>
    <x v="22"/>
    <x v="7"/>
    <x v="32"/>
    <x v="0"/>
    <s v="Finance-Analyst"/>
    <x v="0"/>
    <d v="2022-07-12T14:26:50"/>
    <x v="846"/>
    <x v="262"/>
    <n v="5"/>
    <d v="2022-07-30T14:26:50"/>
    <s v="Yes"/>
    <d v="2022-07-20T14:26:50"/>
    <x v="0"/>
    <x v="5"/>
    <m/>
    <m/>
    <m/>
    <m/>
    <d v="2022-07-22T14:26:50"/>
    <m/>
    <x v="0"/>
    <m/>
    <m/>
    <m/>
    <m/>
    <s v="Company"/>
    <m/>
    <s v="C2737"/>
    <s v="Candidate_1737"/>
    <s v="03/07/2022"/>
    <x v="0"/>
    <s v="Referral"/>
    <n v="3"/>
    <m/>
    <x v="0"/>
    <m/>
    <m/>
    <x v="0"/>
    <x v="0"/>
    <m/>
    <x v="1"/>
    <x v="0"/>
  </r>
  <r>
    <n v="2158"/>
    <s v="2158 | Finance"/>
    <x v="22"/>
    <x v="7"/>
    <x v="32"/>
    <x v="0"/>
    <s v="Finance-Analyst"/>
    <x v="0"/>
    <d v="2023-08-03T09:27:05"/>
    <x v="1045"/>
    <x v="322"/>
    <n v="6"/>
    <d v="2023-09-02T09:27:05"/>
    <s v="Yes"/>
    <d v="2023-08-12T09:27:05"/>
    <x v="0"/>
    <x v="3"/>
    <m/>
    <m/>
    <m/>
    <m/>
    <d v="2023-08-15T09:27:05"/>
    <m/>
    <x v="0"/>
    <m/>
    <m/>
    <m/>
    <m/>
    <s v="Company"/>
    <m/>
    <s v="C2738"/>
    <s v="Candidate_1738"/>
    <s v="Aug 03 2023"/>
    <x v="2"/>
    <s v="Job Board"/>
    <n v="6"/>
    <m/>
    <x v="0"/>
    <m/>
    <m/>
    <x v="0"/>
    <x v="0"/>
    <m/>
    <x v="1"/>
    <x v="0"/>
  </r>
  <r>
    <n v="2155"/>
    <s v="2155 | Finance"/>
    <x v="23"/>
    <x v="7"/>
    <x v="32"/>
    <x v="0"/>
    <s v="Finance-Analyst"/>
    <x v="0"/>
    <d v="2023-08-02T09:27:05"/>
    <x v="1045"/>
    <x v="322"/>
    <n v="7"/>
    <d v="2023-08-25T09:27:05"/>
    <s v="Yes"/>
    <d v="2023-08-18T09:27:05"/>
    <x v="4"/>
    <x v="1"/>
    <d v="2023-08-22T09:27:05"/>
    <s v="Pending"/>
    <m/>
    <m/>
    <d v="2023-08-21T09:27:05"/>
    <m/>
    <x v="0"/>
    <m/>
    <m/>
    <m/>
    <m/>
    <m/>
    <m/>
    <s v="C2739"/>
    <s v="Candidate_1739"/>
    <s v="31/07/2023"/>
    <x v="0"/>
    <s v="Referral"/>
    <n v="6"/>
    <m/>
    <x v="0"/>
    <m/>
    <m/>
    <x v="0"/>
    <x v="0"/>
    <m/>
    <x v="1"/>
    <x v="0"/>
  </r>
  <r>
    <n v="2086"/>
    <s v="2086 | Finance"/>
    <x v="22"/>
    <x v="7"/>
    <x v="32"/>
    <x v="0"/>
    <s v="Finance-Analyst"/>
    <x v="0"/>
    <d v="2022-09-28T21:05:46"/>
    <x v="899"/>
    <x v="263"/>
    <n v="9"/>
    <d v="2022-10-25T21:05:46"/>
    <s v="No"/>
    <m/>
    <x v="2"/>
    <x v="1"/>
    <m/>
    <m/>
    <m/>
    <m/>
    <m/>
    <m/>
    <x v="0"/>
    <m/>
    <m/>
    <m/>
    <m/>
    <m/>
    <m/>
    <s v="C2740"/>
    <s v="Candidate_1740"/>
    <m/>
    <x v="2"/>
    <s v="Job Board"/>
    <n v="6"/>
    <m/>
    <x v="0"/>
    <m/>
    <m/>
    <x v="0"/>
    <x v="0"/>
    <m/>
    <x v="1"/>
    <x v="0"/>
  </r>
  <r>
    <n v="2082"/>
    <s v="2082 | Finance"/>
    <x v="22"/>
    <x v="7"/>
    <x v="32"/>
    <x v="0"/>
    <s v="Finance-Analyst"/>
    <x v="0"/>
    <m/>
    <x v="848"/>
    <x v="263"/>
    <n v="44841.879004629627"/>
    <d v="2022-10-24T21:05:46"/>
    <s v="Yes"/>
    <d v="2022-10-10T21:05:46"/>
    <x v="1"/>
    <x v="1"/>
    <d v="2022-10-13T21:05:46"/>
    <s v="Declined"/>
    <m/>
    <m/>
    <d v="2022-10-11T21:05:46"/>
    <m/>
    <x v="0"/>
    <m/>
    <m/>
    <m/>
    <m/>
    <m/>
    <m/>
    <s v="C2741"/>
    <s v="Candidate_1741"/>
    <s v="Sep 24 2022"/>
    <x v="0"/>
    <s v="Referral"/>
    <n v="6"/>
    <m/>
    <x v="0"/>
    <m/>
    <m/>
    <x v="0"/>
    <x v="0"/>
    <m/>
    <x v="0"/>
    <x v="0"/>
  </r>
  <r>
    <n v="1994"/>
    <s v="1994 | Finance"/>
    <x v="23"/>
    <x v="7"/>
    <x v="32"/>
    <x v="0"/>
    <s v="Finance-Analyst"/>
    <x v="0"/>
    <m/>
    <x v="902"/>
    <x v="4"/>
    <n v="0"/>
    <d v="2023-04-23T15:41:39"/>
    <s v="Yes"/>
    <d v="2023-04-19T15:41:39"/>
    <x v="3"/>
    <x v="1"/>
    <d v="2023-04-25T15:41:39"/>
    <s v="Accepted"/>
    <d v="2023-04-21T15:41:39"/>
    <d v="2023-04-22T15:41:39"/>
    <d v="2023-04-22T15:41:39"/>
    <d v="2023-04-24T15:41:39"/>
    <x v="1"/>
    <d v="2023-04-28T15:41:39"/>
    <d v="2023-04-30T15:41:39"/>
    <d v="2023-05-01T15:41:39"/>
    <m/>
    <m/>
    <d v="2023-05-21T15:41:39"/>
    <s v="C2742"/>
    <s v="Candidate_1742"/>
    <s v="Apr 03 2023"/>
    <x v="2"/>
    <s v="Job Board"/>
    <n v="6"/>
    <m/>
    <x v="0"/>
    <m/>
    <m/>
    <x v="0"/>
    <x v="0"/>
    <m/>
    <x v="0"/>
    <x v="0"/>
  </r>
  <r>
    <n v="1882"/>
    <s v="1882 | Finance"/>
    <x v="21"/>
    <x v="7"/>
    <x v="32"/>
    <x v="0"/>
    <s v="Finance-Analyst"/>
    <x v="0"/>
    <d v="2022-10-11T10:12:16"/>
    <x v="1046"/>
    <x v="4"/>
    <n v="-44845.425185185188"/>
    <d v="2022-11-10T10:12:16"/>
    <s v="Yes"/>
    <d v="2022-10-22T10:12:16"/>
    <x v="0"/>
    <x v="5"/>
    <m/>
    <m/>
    <m/>
    <m/>
    <d v="2022-10-24T10:12:16"/>
    <m/>
    <x v="0"/>
    <m/>
    <m/>
    <m/>
    <m/>
    <s v="Company"/>
    <m/>
    <s v="C2743"/>
    <s v="Candidate_1743"/>
    <s v="10-16-2022"/>
    <x v="1"/>
    <s v="Linkedin"/>
    <n v="3"/>
    <m/>
    <x v="0"/>
    <m/>
    <m/>
    <x v="0"/>
    <x v="0"/>
    <m/>
    <x v="0"/>
    <x v="0"/>
  </r>
  <r>
    <n v="1881"/>
    <s v="1881 | Finance"/>
    <x v="21"/>
    <x v="7"/>
    <x v="32"/>
    <x v="21"/>
    <s v="Finance-Billing Officer"/>
    <x v="0"/>
    <d v="2022-10-09T10:12:16"/>
    <x v="850"/>
    <x v="264"/>
    <n v="5"/>
    <d v="2022-10-29T10:12:16"/>
    <s v="Yes"/>
    <d v="2022-10-19T10:12:16"/>
    <x v="0"/>
    <x v="0"/>
    <m/>
    <m/>
    <m/>
    <m/>
    <d v="2022-10-21T10:12:16"/>
    <m/>
    <x v="0"/>
    <m/>
    <m/>
    <m/>
    <m/>
    <s v="Candidate"/>
    <m/>
    <s v="C2744"/>
    <s v="Candidate_1744"/>
    <s v="07/10/2022"/>
    <x v="2"/>
    <s v="Job Board"/>
    <n v="3"/>
    <m/>
    <x v="0"/>
    <m/>
    <m/>
    <x v="0"/>
    <x v="0"/>
    <m/>
    <x v="1"/>
    <x v="0"/>
  </r>
  <r>
    <n v="1869"/>
    <s v="1869 | Finance"/>
    <x v="22"/>
    <x v="7"/>
    <x v="32"/>
    <x v="21"/>
    <s v="Finance-Billing Officer"/>
    <x v="0"/>
    <d v="2022-03-19T08:24:54"/>
    <x v="906"/>
    <x v="298"/>
    <n v="7"/>
    <d v="2022-04-15T08:24:54"/>
    <s v="Yes"/>
    <d v="2022-04-03T08:24:54"/>
    <x v="0"/>
    <x v="2"/>
    <m/>
    <m/>
    <m/>
    <m/>
    <d v="2022-04-04T08:24:54"/>
    <m/>
    <x v="0"/>
    <m/>
    <m/>
    <m/>
    <m/>
    <s v="Candidate"/>
    <m/>
    <s v="C2745"/>
    <s v="Candidate_1745"/>
    <s v="18/03/2022"/>
    <x v="2"/>
    <s v="Job Board"/>
    <n v="3"/>
    <m/>
    <x v="0"/>
    <m/>
    <m/>
    <x v="0"/>
    <x v="0"/>
    <m/>
    <x v="1"/>
    <x v="0"/>
  </r>
  <r>
    <n v="1868"/>
    <s v="1868 | Finance"/>
    <x v="22"/>
    <x v="7"/>
    <x v="32"/>
    <x v="21"/>
    <s v="Finance-Billing Officer"/>
    <x v="0"/>
    <d v="2022-03-21T08:24:54"/>
    <x v="1047"/>
    <x v="298"/>
    <n v="5"/>
    <d v="2022-04-09T08:24:54"/>
    <s v="Yes"/>
    <d v="2022-03-30T08:24:54"/>
    <x v="0"/>
    <x v="0"/>
    <m/>
    <m/>
    <m/>
    <m/>
    <m/>
    <m/>
    <x v="0"/>
    <m/>
    <m/>
    <m/>
    <m/>
    <s v="Candidate"/>
    <m/>
    <s v="C2746"/>
    <s v="Candidate_1746"/>
    <s v="18/03/2022"/>
    <x v="2"/>
    <s v="Job Board"/>
    <n v="3"/>
    <m/>
    <x v="0"/>
    <m/>
    <m/>
    <x v="0"/>
    <x v="0"/>
    <m/>
    <x v="1"/>
    <x v="0"/>
  </r>
  <r>
    <n v="1849"/>
    <s v="1849 | Finance"/>
    <x v="22"/>
    <x v="7"/>
    <x v="32"/>
    <x v="21"/>
    <s v="Finance-Billing Officer"/>
    <x v="0"/>
    <d v="2022-02-19T23:17:04"/>
    <x v="988"/>
    <x v="265"/>
    <n v="4"/>
    <d v="2022-03-05T23:17:04"/>
    <s v="Yes"/>
    <d v="2022-02-28T23:17:04"/>
    <x v="3"/>
    <x v="1"/>
    <d v="2022-03-03T23:17:04"/>
    <s v="Accepted"/>
    <d v="2022-03-02T23:17:04"/>
    <d v="2022-03-05T23:17:04"/>
    <d v="2022-03-02T23:17:04"/>
    <d v="2022-03-12T23:17:04"/>
    <x v="1"/>
    <d v="2022-03-13T23:17:04"/>
    <d v="2022-03-15T23:17:04"/>
    <d v="2022-03-16T23:17:04"/>
    <m/>
    <m/>
    <d v="2022-03-29T23:17:04"/>
    <s v="C2747"/>
    <s v="Candidate_1747"/>
    <s v="23/02/2022"/>
    <x v="0"/>
    <s v="Referral"/>
    <n v="3"/>
    <m/>
    <x v="0"/>
    <m/>
    <m/>
    <x v="0"/>
    <x v="0"/>
    <m/>
    <x v="176"/>
    <x v="0"/>
  </r>
  <r>
    <n v="1847"/>
    <s v="1847 | Finance"/>
    <x v="22"/>
    <x v="7"/>
    <x v="32"/>
    <x v="21"/>
    <s v="Finance-Billing Officer"/>
    <x v="0"/>
    <d v="2022-02-14T23:17:04"/>
    <x v="907"/>
    <x v="265"/>
    <n v="9"/>
    <d v="2022-03-11T23:17:04"/>
    <s v="Yes"/>
    <d v="2022-02-26T23:17:04"/>
    <x v="1"/>
    <x v="1"/>
    <d v="2022-03-05T23:17:04"/>
    <s v="Declined"/>
    <m/>
    <m/>
    <d v="2022-03-02T23:17:04"/>
    <m/>
    <x v="0"/>
    <m/>
    <m/>
    <m/>
    <m/>
    <m/>
    <m/>
    <s v="C2748"/>
    <s v="Candidate_1748"/>
    <s v="02-21-2022"/>
    <x v="2"/>
    <s v="Job Board"/>
    <n v="3"/>
    <m/>
    <x v="0"/>
    <m/>
    <m/>
    <x v="0"/>
    <x v="0"/>
    <m/>
    <x v="1"/>
    <x v="0"/>
  </r>
  <r>
    <n v="1821"/>
    <s v="1821 | Finance"/>
    <x v="22"/>
    <x v="7"/>
    <x v="32"/>
    <x v="21"/>
    <s v="Finance-Billing Officer"/>
    <x v="0"/>
    <m/>
    <x v="1048"/>
    <x v="323"/>
    <n v="44668.459594907406"/>
    <d v="2022-04-23T11:01:49"/>
    <s v="Yes"/>
    <d v="2022-05-02T11:01:49"/>
    <x v="0"/>
    <x v="4"/>
    <m/>
    <m/>
    <m/>
    <m/>
    <m/>
    <m/>
    <x v="0"/>
    <m/>
    <m/>
    <m/>
    <m/>
    <s v="Company"/>
    <m/>
    <s v="C2749"/>
    <s v="Candidate_1749"/>
    <s v="24/04/2022"/>
    <x v="0"/>
    <s v="Referral"/>
    <n v="3"/>
    <m/>
    <x v="0"/>
    <m/>
    <m/>
    <x v="0"/>
    <x v="0"/>
    <m/>
    <x v="0"/>
    <x v="0"/>
  </r>
  <r>
    <n v="1733"/>
    <s v="1733 | Finance"/>
    <x v="21"/>
    <x v="7"/>
    <x v="32"/>
    <x v="21"/>
    <s v="Finance-Billing Officer"/>
    <x v="0"/>
    <d v="2022-01-03T15:13:53"/>
    <x v="910"/>
    <x v="299"/>
    <n v="4"/>
    <d v="2022-01-13T15:13:53"/>
    <s v="Yes"/>
    <d v="2022-01-12T15:13:53"/>
    <x v="0"/>
    <x v="0"/>
    <m/>
    <m/>
    <m/>
    <m/>
    <d v="2022-01-15T15:13:53"/>
    <m/>
    <x v="0"/>
    <m/>
    <m/>
    <m/>
    <m/>
    <s v="Candidate"/>
    <m/>
    <s v="C2750"/>
    <s v="Candidate_1750"/>
    <s v="01-02-2022"/>
    <x v="2"/>
    <s v="Job Board"/>
    <n v="3"/>
    <m/>
    <x v="0"/>
    <m/>
    <m/>
    <x v="0"/>
    <x v="0"/>
    <m/>
    <x v="1"/>
    <x v="0"/>
  </r>
  <r>
    <n v="1707"/>
    <s v="1707 | Finance"/>
    <x v="21"/>
    <x v="7"/>
    <x v="32"/>
    <x v="21"/>
    <s v="Finance-Billing Officer"/>
    <x v="0"/>
    <d v="2023-03-04T18:01:56"/>
    <x v="1049"/>
    <x v="267"/>
    <n v="5"/>
    <d v="2023-03-17T18:01:56"/>
    <s v="Yes"/>
    <d v="2023-03-25T18:01:56"/>
    <x v="0"/>
    <x v="4"/>
    <m/>
    <m/>
    <m/>
    <m/>
    <d v="2023-03-27T18:01:56"/>
    <m/>
    <x v="0"/>
    <m/>
    <m/>
    <m/>
    <m/>
    <s v="Candidate"/>
    <m/>
    <s v="C2751"/>
    <s v="Candidate_1751"/>
    <s v="11/03/2023"/>
    <x v="1"/>
    <s v="Linkedin"/>
    <n v="6"/>
    <m/>
    <x v="0"/>
    <m/>
    <m/>
    <x v="0"/>
    <x v="0"/>
    <m/>
    <x v="1"/>
    <x v="0"/>
  </r>
  <r>
    <n v="1634"/>
    <s v="1634 | Finance"/>
    <x v="22"/>
    <x v="7"/>
    <x v="32"/>
    <x v="21"/>
    <s v="Finance-Billing Officer"/>
    <x v="0"/>
    <m/>
    <x v="1050"/>
    <x v="4"/>
    <n v="0"/>
    <d v="2023-09-18T07:41:24"/>
    <s v="Yes"/>
    <d v="2023-09-22T07:41:24"/>
    <x v="3"/>
    <x v="1"/>
    <d v="2023-09-27T07:41:24"/>
    <s v="Accepted"/>
    <d v="2023-09-24T07:41:24"/>
    <d v="2023-09-26T07:41:24"/>
    <d v="2023-09-24T07:41:24"/>
    <d v="2023-09-26T07:41:24"/>
    <x v="1"/>
    <d v="2023-09-27T07:41:24"/>
    <d v="2023-09-29T07:41:24"/>
    <d v="2023-09-30T07:41:24"/>
    <m/>
    <m/>
    <d v="2023-10-16T07:41:24"/>
    <s v="C2752"/>
    <s v="Candidate_1752"/>
    <s v="09-05-2023"/>
    <x v="1"/>
    <s v="Linkedin"/>
    <n v="3"/>
    <m/>
    <x v="0"/>
    <m/>
    <m/>
    <x v="0"/>
    <x v="0"/>
    <m/>
    <x v="0"/>
    <x v="0"/>
  </r>
  <r>
    <n v="1589"/>
    <s v="1589 | Finance"/>
    <x v="21"/>
    <x v="7"/>
    <x v="32"/>
    <x v="21"/>
    <s v="Finance-Billing Officer"/>
    <x v="0"/>
    <d v="2023-09-11T20:10:47"/>
    <x v="1051"/>
    <x v="270"/>
    <n v="8"/>
    <d v="2023-10-16T20:10:47"/>
    <s v="Yes"/>
    <d v="2023-09-28T20:10:47"/>
    <x v="1"/>
    <x v="1"/>
    <d v="2023-10-03T20:10:47"/>
    <s v="Declined"/>
    <m/>
    <m/>
    <d v="2023-09-30T20:10:47"/>
    <m/>
    <x v="0"/>
    <m/>
    <m/>
    <m/>
    <m/>
    <m/>
    <m/>
    <s v="C2753"/>
    <s v="Candidate_1753"/>
    <s v="15/09/2023"/>
    <x v="0"/>
    <s v="Referral"/>
    <n v="3"/>
    <m/>
    <x v="0"/>
    <m/>
    <m/>
    <x v="0"/>
    <x v="0"/>
    <m/>
    <x v="1"/>
    <x v="0"/>
  </r>
  <r>
    <n v="1582"/>
    <s v="1582 | Finance"/>
    <x v="21"/>
    <x v="7"/>
    <x v="32"/>
    <x v="21"/>
    <s v="Finance-Billing Officer"/>
    <x v="0"/>
    <d v="2023-09-15T20:10:47"/>
    <x v="993"/>
    <x v="270"/>
    <n v="4"/>
    <d v="2023-10-02T20:10:47"/>
    <s v="Yes"/>
    <d v="2023-09-30T20:10:47"/>
    <x v="0"/>
    <x v="0"/>
    <m/>
    <m/>
    <m/>
    <m/>
    <m/>
    <m/>
    <x v="0"/>
    <m/>
    <m/>
    <m/>
    <m/>
    <s v="Candidate"/>
    <m/>
    <s v="C2754"/>
    <s v="Candidate_1754"/>
    <s v="09-16-2023"/>
    <x v="2"/>
    <s v="Job Board"/>
    <n v="6"/>
    <m/>
    <x v="0"/>
    <m/>
    <m/>
    <x v="0"/>
    <x v="0"/>
    <m/>
    <x v="1"/>
    <x v="0"/>
  </r>
  <r>
    <n v="1570"/>
    <s v="1570 | Finance"/>
    <x v="22"/>
    <x v="7"/>
    <x v="32"/>
    <x v="21"/>
    <s v="Finance-Billing Officer"/>
    <x v="0"/>
    <d v="2022-03-17T11:46:18"/>
    <x v="994"/>
    <x v="271"/>
    <n v="8"/>
    <d v="2022-03-30T11:46:18"/>
    <s v="Yes"/>
    <d v="2022-03-27T11:46:18"/>
    <x v="0"/>
    <x v="4"/>
    <m/>
    <m/>
    <m/>
    <m/>
    <d v="2022-03-31T11:46:18"/>
    <m/>
    <x v="0"/>
    <m/>
    <m/>
    <m/>
    <m/>
    <s v="Candidate"/>
    <m/>
    <s v="C2755"/>
    <s v="Candidate_1755"/>
    <s v="Mar 20 2022"/>
    <x v="2"/>
    <s v="Job Board"/>
    <n v="6"/>
    <m/>
    <x v="0"/>
    <m/>
    <m/>
    <x v="0"/>
    <x v="0"/>
    <m/>
    <x v="1"/>
    <x v="0"/>
  </r>
  <r>
    <n v="1548"/>
    <s v="1548 | Finance"/>
    <x v="23"/>
    <x v="7"/>
    <x v="32"/>
    <x v="21"/>
    <s v="Finance-Billing Officer"/>
    <x v="0"/>
    <d v="2023-05-27T20:23:44"/>
    <x v="920"/>
    <x v="300"/>
    <n v="6"/>
    <d v="2023-07-02T20:23:44"/>
    <s v="Yes"/>
    <d v="2023-06-12T20:23:44"/>
    <x v="1"/>
    <x v="1"/>
    <d v="2023-06-17T20:23:44"/>
    <s v="Declined"/>
    <m/>
    <m/>
    <d v="2023-06-15T20:23:44"/>
    <m/>
    <x v="0"/>
    <m/>
    <m/>
    <m/>
    <m/>
    <m/>
    <m/>
    <s v="C2756"/>
    <s v="Candidate_1756"/>
    <s v="06/06/2023"/>
    <x v="2"/>
    <s v="Job Board"/>
    <n v="6"/>
    <m/>
    <x v="0"/>
    <m/>
    <m/>
    <x v="0"/>
    <x v="0"/>
    <m/>
    <x v="1"/>
    <x v="0"/>
  </r>
  <r>
    <n v="1543"/>
    <s v="1543 | Finance"/>
    <x v="22"/>
    <x v="7"/>
    <x v="32"/>
    <x v="21"/>
    <s v="Finance-Billing Officer"/>
    <x v="0"/>
    <m/>
    <x v="1052"/>
    <x v="300"/>
    <n v="45079.849814814806"/>
    <d v="2023-06-13T20:23:44"/>
    <s v="No"/>
    <m/>
    <x v="2"/>
    <x v="1"/>
    <m/>
    <m/>
    <m/>
    <m/>
    <m/>
    <m/>
    <x v="0"/>
    <m/>
    <m/>
    <m/>
    <m/>
    <m/>
    <m/>
    <s v="C2757"/>
    <s v="Candidate_1757"/>
    <m/>
    <x v="1"/>
    <s v="Linkedin"/>
    <n v="3"/>
    <m/>
    <x v="0"/>
    <m/>
    <m/>
    <x v="0"/>
    <x v="0"/>
    <m/>
    <x v="0"/>
    <x v="0"/>
  </r>
  <r>
    <n v="1520"/>
    <s v="1520 | Finance"/>
    <x v="21"/>
    <x v="7"/>
    <x v="32"/>
    <x v="21"/>
    <s v="Finance-Billing Officer"/>
    <x v="0"/>
    <d v="2022-12-24T05:00:38"/>
    <x v="1053"/>
    <x v="273"/>
    <n v="8"/>
    <d v="2023-01-09T05:00:38"/>
    <s v="Yes"/>
    <d v="2023-01-02T05:00:38"/>
    <x v="0"/>
    <x v="3"/>
    <m/>
    <m/>
    <m/>
    <m/>
    <m/>
    <m/>
    <x v="0"/>
    <m/>
    <m/>
    <m/>
    <m/>
    <s v="Candidate"/>
    <m/>
    <s v="C2758"/>
    <s v="Candidate_1758"/>
    <s v="26/12/2022"/>
    <x v="2"/>
    <s v="Job Board"/>
    <n v="6"/>
    <m/>
    <x v="0"/>
    <m/>
    <m/>
    <x v="0"/>
    <x v="0"/>
    <m/>
    <x v="1"/>
    <x v="0"/>
  </r>
  <r>
    <n v="1511"/>
    <s v="1511 | Finance"/>
    <x v="22"/>
    <x v="7"/>
    <x v="32"/>
    <x v="21"/>
    <s v="Finance-Billing Officer"/>
    <x v="0"/>
    <d v="2022-12-23T05:00:38"/>
    <x v="1053"/>
    <x v="273"/>
    <n v="9"/>
    <d v="2023-01-13T05:00:38"/>
    <s v="Yes"/>
    <d v="2023-01-15T05:00:38"/>
    <x v="3"/>
    <x v="1"/>
    <d v="2023-01-18T05:00:38"/>
    <s v="Accepted"/>
    <d v="2023-01-16T05:00:38"/>
    <d v="2023-01-20T05:00:38"/>
    <d v="2023-01-17T05:00:38"/>
    <d v="2023-01-25T05:00:38"/>
    <x v="1"/>
    <d v="2023-01-29T05:00:38"/>
    <d v="2023-01-31T05:00:38"/>
    <d v="2023-02-03T05:00:38"/>
    <m/>
    <m/>
    <d v="2023-02-10T05:00:38"/>
    <s v="C2759"/>
    <s v="Candidate_1759"/>
    <s v="Jan 01 2023"/>
    <x v="0"/>
    <s v="Referral"/>
    <n v="3"/>
    <m/>
    <x v="0"/>
    <m/>
    <m/>
    <x v="0"/>
    <x v="0"/>
    <m/>
    <x v="177"/>
    <x v="0"/>
  </r>
  <r>
    <n v="1439"/>
    <s v="1439 | Finance"/>
    <x v="21"/>
    <x v="7"/>
    <x v="32"/>
    <x v="21"/>
    <s v="Finance-Billing Officer"/>
    <x v="0"/>
    <d v="2023-06-07T22:29:11"/>
    <x v="0"/>
    <x v="274"/>
    <n v="8"/>
    <d v="2023-07-01T22:29:11"/>
    <s v="Yes"/>
    <d v="2023-06-24T22:29:11"/>
    <x v="0"/>
    <x v="3"/>
    <m/>
    <m/>
    <m/>
    <m/>
    <m/>
    <m/>
    <x v="0"/>
    <m/>
    <m/>
    <m/>
    <m/>
    <s v="Company"/>
    <m/>
    <s v="C2760"/>
    <s v="Candidate_1760"/>
    <s v="19/06/2023"/>
    <x v="1"/>
    <s v="Linkedin"/>
    <n v="6"/>
    <m/>
    <x v="0"/>
    <m/>
    <m/>
    <x v="0"/>
    <x v="0"/>
    <m/>
    <x v="0"/>
    <x v="0"/>
  </r>
  <r>
    <n v="1438"/>
    <s v="1438 | Finance"/>
    <x v="22"/>
    <x v="7"/>
    <x v="32"/>
    <x v="21"/>
    <s v="Finance-Billing Officer"/>
    <x v="0"/>
    <d v="2023-06-07T22:29:11"/>
    <x v="1054"/>
    <x v="274"/>
    <n v="8"/>
    <d v="2023-07-15T22:29:11"/>
    <s v="Yes"/>
    <d v="2023-06-17T22:29:11"/>
    <x v="0"/>
    <x v="5"/>
    <m/>
    <m/>
    <m/>
    <m/>
    <m/>
    <m/>
    <x v="0"/>
    <m/>
    <m/>
    <m/>
    <m/>
    <s v="Candidate"/>
    <m/>
    <s v="C2761"/>
    <s v="Candidate_1761"/>
    <s v="29/05/2023"/>
    <x v="0"/>
    <s v="Referral"/>
    <n v="6"/>
    <m/>
    <x v="0"/>
    <m/>
    <m/>
    <x v="0"/>
    <x v="0"/>
    <m/>
    <x v="1"/>
    <x v="0"/>
  </r>
  <r>
    <n v="1431"/>
    <s v="1431 | Finance"/>
    <x v="22"/>
    <x v="7"/>
    <x v="32"/>
    <x v="21"/>
    <s v="Finance-Billing Officer"/>
    <x v="0"/>
    <d v="2023-06-09T22:29:11"/>
    <x v="1054"/>
    <x v="274"/>
    <n v="6"/>
    <d v="2023-06-21T22:29:11"/>
    <s v="Yes"/>
    <d v="2023-06-24T22:29:11"/>
    <x v="4"/>
    <x v="1"/>
    <d v="2023-06-28T22:29:11"/>
    <s v="Pending"/>
    <m/>
    <m/>
    <d v="2023-06-26T22:29:11"/>
    <m/>
    <x v="0"/>
    <m/>
    <m/>
    <m/>
    <m/>
    <m/>
    <m/>
    <s v="C2762"/>
    <s v="Candidate_1762"/>
    <s v="16/06/2023"/>
    <x v="0"/>
    <s v="Referral"/>
    <n v="3"/>
    <m/>
    <x v="0"/>
    <m/>
    <m/>
    <x v="0"/>
    <x v="0"/>
    <m/>
    <x v="1"/>
    <x v="0"/>
  </r>
  <r>
    <n v="1333"/>
    <s v="1333 | Finance"/>
    <x v="22"/>
    <x v="7"/>
    <x v="32"/>
    <x v="21"/>
    <s v="Finance-Billing Officer"/>
    <x v="0"/>
    <d v="2023-08-31T16:35:04"/>
    <x v="1055"/>
    <x v="302"/>
    <n v="5"/>
    <d v="2023-09-20T16:35:04"/>
    <s v="Yes"/>
    <d v="2023-09-16T16:35:04"/>
    <x v="0"/>
    <x v="4"/>
    <m/>
    <m/>
    <m/>
    <m/>
    <m/>
    <m/>
    <x v="0"/>
    <m/>
    <m/>
    <m/>
    <m/>
    <s v="Company"/>
    <m/>
    <s v="C2763"/>
    <s v="Candidate_1763"/>
    <s v="Sep 09 2023"/>
    <x v="1"/>
    <s v="Linkedin"/>
    <n v="3"/>
    <m/>
    <x v="0"/>
    <m/>
    <m/>
    <x v="0"/>
    <x v="0"/>
    <m/>
    <x v="1"/>
    <x v="0"/>
  </r>
  <r>
    <n v="1331"/>
    <s v="1331 | Finance"/>
    <x v="23"/>
    <x v="7"/>
    <x v="32"/>
    <x v="21"/>
    <s v="Finance-Billing Officer"/>
    <x v="0"/>
    <d v="2023-08-27T16:35:04"/>
    <x v="925"/>
    <x v="302"/>
    <n v="9"/>
    <d v="2023-09-20T16:35:04"/>
    <s v="Yes"/>
    <d v="2023-09-10T16:35:04"/>
    <x v="3"/>
    <x v="1"/>
    <d v="2023-09-16T16:35:04"/>
    <s v="Accepted"/>
    <d v="2023-09-11T16:35:04"/>
    <d v="2023-09-13T16:35:04"/>
    <d v="2023-09-14T16:35:04"/>
    <d v="2023-09-19T16:35:04"/>
    <x v="1"/>
    <d v="2023-09-21T16:35:04"/>
    <d v="2023-09-23T16:35:04"/>
    <d v="2023-09-25T16:35:04"/>
    <m/>
    <m/>
    <d v="2023-10-08T16:35:04"/>
    <s v="C2764"/>
    <s v="Candidate_1764"/>
    <s v="28/08/2023"/>
    <x v="0"/>
    <s v="Referral"/>
    <n v="6"/>
    <m/>
    <x v="0"/>
    <m/>
    <m/>
    <x v="0"/>
    <x v="0"/>
    <m/>
    <x v="178"/>
    <x v="0"/>
  </r>
  <r>
    <n v="1310"/>
    <s v="1310 | Finance"/>
    <x v="22"/>
    <x v="7"/>
    <x v="32"/>
    <x v="21"/>
    <s v="Finance-Billing Officer"/>
    <x v="0"/>
    <d v="2022-12-23T04:33:07"/>
    <x v="1056"/>
    <x v="303"/>
    <n v="4"/>
    <d v="2023-01-05T04:33:07"/>
    <s v="Yes"/>
    <d v="2023-01-08T04:33:07"/>
    <x v="0"/>
    <x v="0"/>
    <m/>
    <m/>
    <m/>
    <m/>
    <d v="2023-01-12T04:33:07"/>
    <m/>
    <x v="0"/>
    <m/>
    <m/>
    <m/>
    <m/>
    <s v="Company"/>
    <m/>
    <s v="C2765"/>
    <s v="Candidate_1765"/>
    <s v="Dec 26 2022"/>
    <x v="1"/>
    <s v="Linkedin"/>
    <n v="6"/>
    <m/>
    <x v="0"/>
    <m/>
    <m/>
    <x v="0"/>
    <x v="0"/>
    <m/>
    <x v="1"/>
    <x v="0"/>
  </r>
  <r>
    <n v="1304"/>
    <s v="1304 | Finance"/>
    <x v="21"/>
    <x v="7"/>
    <x v="32"/>
    <x v="21"/>
    <s v="Finance-Billing Officer"/>
    <x v="0"/>
    <d v="2022-12-17T04:33:07"/>
    <x v="1057"/>
    <x v="303"/>
    <n v="10"/>
    <d v="2023-01-02T04:33:07"/>
    <s v="Yes"/>
    <d v="2023-01-02T04:33:07"/>
    <x v="1"/>
    <x v="1"/>
    <d v="2023-01-06T04:33:07"/>
    <s v="Declined"/>
    <m/>
    <m/>
    <d v="2023-01-04T04:33:07"/>
    <m/>
    <x v="0"/>
    <m/>
    <m/>
    <m/>
    <m/>
    <m/>
    <m/>
    <s v="C2766"/>
    <s v="Candidate_1766"/>
    <s v="14/12/2022"/>
    <x v="0"/>
    <s v="Referral"/>
    <n v="6"/>
    <m/>
    <x v="0"/>
    <m/>
    <m/>
    <x v="0"/>
    <x v="0"/>
    <m/>
    <x v="1"/>
    <x v="0"/>
  </r>
  <r>
    <n v="1303"/>
    <s v="1303 | Finance"/>
    <x v="22"/>
    <x v="7"/>
    <x v="32"/>
    <x v="21"/>
    <s v="Finance-Billing Officer"/>
    <x v="0"/>
    <m/>
    <x v="1056"/>
    <x v="303"/>
    <n v="44922.189664351848"/>
    <d v="2023-01-25T04:33:07"/>
    <s v="Yes"/>
    <d v="2022-12-29T04:33:07"/>
    <x v="3"/>
    <x v="1"/>
    <d v="2023-01-04T04:33:07"/>
    <s v="Accepted"/>
    <d v="2022-12-30T04:33:07"/>
    <d v="2023-01-01T04:33:07"/>
    <d v="2023-01-02T04:33:07"/>
    <d v="2023-01-05T04:33:07"/>
    <x v="1"/>
    <d v="2023-01-09T04:33:07"/>
    <d v="2023-01-10T04:33:07"/>
    <d v="2023-01-13T04:33:07"/>
    <m/>
    <m/>
    <d v="2023-01-24T04:33:07"/>
    <s v="C2767"/>
    <s v="Candidate_1767"/>
    <s v="14/12/2022"/>
    <x v="2"/>
    <s v="Job Board"/>
    <n v="3"/>
    <m/>
    <x v="0"/>
    <m/>
    <m/>
    <x v="0"/>
    <x v="0"/>
    <m/>
    <x v="0"/>
    <x v="0"/>
  </r>
  <r>
    <n v="1286"/>
    <s v="1286 | Finance"/>
    <x v="22"/>
    <x v="7"/>
    <x v="32"/>
    <x v="21"/>
    <s v="Finance-Billing Officer"/>
    <x v="0"/>
    <d v="2022-03-23T17:39:51"/>
    <x v="1003"/>
    <x v="4"/>
    <n v="-44643.736006944448"/>
    <d v="2022-04-13T17:39:51"/>
    <s v="Yes"/>
    <d v="2022-04-15T17:39:51"/>
    <x v="0"/>
    <x v="0"/>
    <m/>
    <m/>
    <m/>
    <m/>
    <d v="2022-04-18T17:39:51"/>
    <m/>
    <x v="0"/>
    <m/>
    <m/>
    <m/>
    <m/>
    <s v="Company"/>
    <m/>
    <s v="C2768"/>
    <s v="Candidate_1768"/>
    <s v="Apr 07 2022"/>
    <x v="0"/>
    <s v="Referral"/>
    <n v="6"/>
    <m/>
    <x v="0"/>
    <m/>
    <m/>
    <x v="0"/>
    <x v="0"/>
    <m/>
    <x v="0"/>
    <x v="0"/>
  </r>
  <r>
    <n v="1282"/>
    <s v="1282 | Finance"/>
    <x v="21"/>
    <x v="7"/>
    <x v="32"/>
    <x v="21"/>
    <s v="Finance-Billing Officer"/>
    <x v="0"/>
    <d v="2022-03-23T17:39:51"/>
    <x v="1058"/>
    <x v="275"/>
    <n v="7"/>
    <d v="2022-04-20T17:39:51"/>
    <s v="Yes"/>
    <d v="2022-04-08T17:39:51"/>
    <x v="0"/>
    <x v="0"/>
    <m/>
    <m/>
    <m/>
    <m/>
    <d v="2022-04-12T17:39:51"/>
    <m/>
    <x v="0"/>
    <m/>
    <m/>
    <m/>
    <m/>
    <s v="Candidate"/>
    <m/>
    <s v="C2769"/>
    <s v="Candidate_1769"/>
    <s v="26/03/2022"/>
    <x v="2"/>
    <s v="Job Board"/>
    <n v="3"/>
    <m/>
    <x v="0"/>
    <m/>
    <m/>
    <x v="0"/>
    <x v="0"/>
    <m/>
    <x v="1"/>
    <x v="0"/>
  </r>
  <r>
    <n v="1266"/>
    <s v="1266 | Finance"/>
    <x v="22"/>
    <x v="7"/>
    <x v="32"/>
    <x v="21"/>
    <s v="Finance-Billing Officer"/>
    <x v="0"/>
    <d v="2023-03-13T21:55:08"/>
    <x v="929"/>
    <x v="276"/>
    <n v="7"/>
    <d v="2023-04-04T21:55:08"/>
    <s v="Yes"/>
    <d v="2023-03-25T21:55:08"/>
    <x v="0"/>
    <x v="3"/>
    <m/>
    <m/>
    <m/>
    <m/>
    <m/>
    <m/>
    <x v="0"/>
    <m/>
    <m/>
    <m/>
    <m/>
    <s v="Candidate"/>
    <m/>
    <s v="C2770"/>
    <s v="Candidate_1770"/>
    <s v="09/03/2023"/>
    <x v="2"/>
    <s v="Job Board"/>
    <n v="6"/>
    <m/>
    <x v="0"/>
    <m/>
    <m/>
    <x v="0"/>
    <x v="0"/>
    <m/>
    <x v="1"/>
    <x v="0"/>
  </r>
  <r>
    <n v="1265"/>
    <s v="1265 | Finance"/>
    <x v="21"/>
    <x v="7"/>
    <x v="32"/>
    <x v="21"/>
    <s v="Finance-Billing Officer"/>
    <x v="0"/>
    <d v="2023-03-15T21:55:08"/>
    <x v="862"/>
    <x v="276"/>
    <n v="5"/>
    <d v="2023-04-05T21:55:08"/>
    <s v="Yes"/>
    <d v="2023-03-22T21:55:08"/>
    <x v="0"/>
    <x v="0"/>
    <m/>
    <m/>
    <m/>
    <m/>
    <d v="2023-03-25T21:55:08"/>
    <m/>
    <x v="0"/>
    <m/>
    <m/>
    <m/>
    <m/>
    <s v="Company"/>
    <m/>
    <s v="C2771"/>
    <s v="Candidate_1771"/>
    <s v="11/03/2023"/>
    <x v="0"/>
    <s v="Referral"/>
    <n v="6"/>
    <m/>
    <x v="0"/>
    <m/>
    <m/>
    <x v="0"/>
    <x v="0"/>
    <m/>
    <x v="1"/>
    <x v="0"/>
  </r>
  <r>
    <n v="1252"/>
    <s v="1252 | Finance"/>
    <x v="21"/>
    <x v="7"/>
    <x v="32"/>
    <x v="21"/>
    <s v="Finance-Billing Officer"/>
    <x v="0"/>
    <d v="2022-06-21T04:05:26"/>
    <x v="932"/>
    <x v="277"/>
    <n v="10"/>
    <d v="2022-07-09T04:05:26"/>
    <s v="Yes"/>
    <d v="2022-07-14T04:05:26"/>
    <x v="0"/>
    <x v="3"/>
    <m/>
    <m/>
    <m/>
    <m/>
    <d v="2022-07-18T04:05:26"/>
    <m/>
    <x v="0"/>
    <m/>
    <m/>
    <m/>
    <m/>
    <s v="Company"/>
    <m/>
    <s v="C2772"/>
    <s v="Candidate_1772"/>
    <s v="06/07/2022"/>
    <x v="1"/>
    <s v="Linkedin"/>
    <n v="3"/>
    <m/>
    <x v="0"/>
    <m/>
    <m/>
    <x v="0"/>
    <x v="0"/>
    <m/>
    <x v="1"/>
    <x v="0"/>
  </r>
  <r>
    <n v="1038"/>
    <s v="1038 | Finance"/>
    <x v="22"/>
    <x v="7"/>
    <x v="32"/>
    <x v="21"/>
    <s v="Finance-Billing Officer"/>
    <x v="0"/>
    <d v="2023-03-02T19:44:13"/>
    <x v="869"/>
    <x v="281"/>
    <n v="6"/>
    <d v="2023-03-17T19:44:13"/>
    <s v="Yes"/>
    <d v="2023-03-16T19:44:13"/>
    <x v="0"/>
    <x v="3"/>
    <m/>
    <m/>
    <m/>
    <m/>
    <d v="2023-03-19T19:44:13"/>
    <m/>
    <x v="0"/>
    <m/>
    <m/>
    <m/>
    <m/>
    <s v="Candidate"/>
    <m/>
    <s v="C2773"/>
    <s v="Candidate_1773"/>
    <s v="03-02-2023"/>
    <x v="2"/>
    <s v="Job Board"/>
    <n v="3"/>
    <m/>
    <x v="0"/>
    <m/>
    <m/>
    <x v="0"/>
    <x v="0"/>
    <m/>
    <x v="1"/>
    <x v="0"/>
  </r>
  <r>
    <n v="1033"/>
    <s v="1033 | Finance"/>
    <x v="21"/>
    <x v="7"/>
    <x v="32"/>
    <x v="21"/>
    <s v="Finance-Billing Officer"/>
    <x v="0"/>
    <d v="2023-02-28T19:44:13"/>
    <x v="1005"/>
    <x v="281"/>
    <n v="8"/>
    <d v="2023-03-22T19:44:13"/>
    <s v="Yes"/>
    <d v="2023-03-12T19:44:13"/>
    <x v="1"/>
    <x v="1"/>
    <d v="2023-03-17T19:44:13"/>
    <s v="Declined"/>
    <m/>
    <m/>
    <d v="2023-03-15T19:44:13"/>
    <m/>
    <x v="0"/>
    <m/>
    <m/>
    <m/>
    <m/>
    <m/>
    <m/>
    <s v="C2774"/>
    <s v="Candidate_1774"/>
    <s v="03-07-2023"/>
    <x v="1"/>
    <s v="Linkedin"/>
    <n v="6"/>
    <m/>
    <x v="0"/>
    <m/>
    <m/>
    <x v="0"/>
    <x v="0"/>
    <m/>
    <x v="1"/>
    <x v="0"/>
  </r>
  <r>
    <n v="1017"/>
    <s v="1017 | Finance"/>
    <x v="22"/>
    <x v="7"/>
    <x v="32"/>
    <x v="21"/>
    <s v="Finance-Billing Officer"/>
    <x v="0"/>
    <d v="2022-02-06T07:54:35"/>
    <x v="937"/>
    <x v="282"/>
    <n v="4"/>
    <d v="2022-03-05T07:54:35"/>
    <s v="Yes"/>
    <d v="2022-02-23T07:54:35"/>
    <x v="0"/>
    <x v="2"/>
    <m/>
    <m/>
    <m/>
    <m/>
    <d v="2022-02-25T07:54:35"/>
    <m/>
    <x v="0"/>
    <m/>
    <m/>
    <m/>
    <m/>
    <s v="Candidate"/>
    <m/>
    <s v="C2775"/>
    <s v="Candidate_1775"/>
    <s v="17/02/2022"/>
    <x v="0"/>
    <s v="Referral"/>
    <n v="3"/>
    <m/>
    <x v="0"/>
    <m/>
    <m/>
    <x v="0"/>
    <x v="0"/>
    <m/>
    <x v="1"/>
    <x v="0"/>
  </r>
  <r>
    <n v="1016"/>
    <s v="1016 | Finance"/>
    <x v="22"/>
    <x v="7"/>
    <x v="32"/>
    <x v="21"/>
    <s v="Finance-Billing Officer"/>
    <x v="0"/>
    <d v="2022-02-07T07:54:35"/>
    <x v="1059"/>
    <x v="282"/>
    <n v="3"/>
    <d v="2022-03-07T07:54:35"/>
    <s v="No"/>
    <m/>
    <x v="2"/>
    <x v="1"/>
    <m/>
    <m/>
    <m/>
    <m/>
    <m/>
    <m/>
    <x v="0"/>
    <m/>
    <m/>
    <m/>
    <m/>
    <m/>
    <m/>
    <s v="C2776"/>
    <s v="Candidate_1776"/>
    <m/>
    <x v="1"/>
    <s v="Linkedin"/>
    <n v="3"/>
    <m/>
    <x v="0"/>
    <m/>
    <m/>
    <x v="0"/>
    <x v="0"/>
    <m/>
    <x v="1"/>
    <x v="0"/>
  </r>
  <r>
    <n v="966"/>
    <s v="966 | Finance"/>
    <x v="23"/>
    <x v="7"/>
    <x v="32"/>
    <x v="21"/>
    <s v="Finance-Billing Officer"/>
    <x v="0"/>
    <m/>
    <x v="941"/>
    <x v="305"/>
    <n v="45127.340451388889"/>
    <d v="2023-08-10T08:10:15"/>
    <s v="Yes"/>
    <d v="2023-07-31T08:10:15"/>
    <x v="1"/>
    <x v="1"/>
    <d v="2023-08-05T08:10:15"/>
    <s v="Declined"/>
    <m/>
    <m/>
    <d v="2023-08-02T08:10:15"/>
    <m/>
    <x v="0"/>
    <m/>
    <m/>
    <m/>
    <m/>
    <m/>
    <m/>
    <s v="C2777"/>
    <s v="Candidate_1777"/>
    <s v="24/07/2023"/>
    <x v="0"/>
    <s v="Referral"/>
    <n v="3"/>
    <m/>
    <x v="0"/>
    <m/>
    <m/>
    <x v="0"/>
    <x v="0"/>
    <m/>
    <x v="0"/>
    <x v="0"/>
  </r>
  <r>
    <n v="965"/>
    <s v="965 | Finance"/>
    <x v="22"/>
    <x v="7"/>
    <x v="32"/>
    <x v="21"/>
    <s v="Finance-Billing Officer"/>
    <x v="0"/>
    <d v="2023-07-13T08:10:15"/>
    <x v="942"/>
    <x v="305"/>
    <n v="7"/>
    <d v="2023-08-08T08:10:15"/>
    <s v="Yes"/>
    <d v="2023-07-23T08:10:15"/>
    <x v="3"/>
    <x v="1"/>
    <d v="2023-07-30T08:10:15"/>
    <s v="Accepted"/>
    <d v="2023-07-24T08:10:15"/>
    <d v="2023-07-26T08:10:15"/>
    <d v="2023-07-26T08:10:15"/>
    <d v="2023-07-27T08:10:15"/>
    <x v="1"/>
    <d v="2023-07-30T08:10:15"/>
    <d v="2023-08-02T08:10:15"/>
    <d v="2023-08-05T08:10:15"/>
    <m/>
    <m/>
    <d v="2023-08-17T08:10:15"/>
    <s v="C2778"/>
    <s v="Candidate_1778"/>
    <s v="09/07/2023"/>
    <x v="0"/>
    <s v="Referral"/>
    <n v="6"/>
    <m/>
    <x v="0"/>
    <m/>
    <m/>
    <x v="0"/>
    <x v="0"/>
    <m/>
    <x v="179"/>
    <x v="0"/>
  </r>
  <r>
    <n v="887"/>
    <s v="887 | Finance"/>
    <x v="21"/>
    <x v="7"/>
    <x v="32"/>
    <x v="21"/>
    <s v="Finance-Billing Officer"/>
    <x v="0"/>
    <d v="2022-09-20T04:47:55"/>
    <x v="946"/>
    <x v="307"/>
    <n v="7"/>
    <d v="2022-10-02T04:47:55"/>
    <s v="Yes"/>
    <d v="2022-10-14T04:47:55"/>
    <x v="0"/>
    <x v="3"/>
    <m/>
    <m/>
    <m/>
    <m/>
    <m/>
    <m/>
    <x v="0"/>
    <m/>
    <m/>
    <m/>
    <m/>
    <s v="Company"/>
    <m/>
    <s v="C2779"/>
    <s v="Candidate_1779"/>
    <s v="09-25-2022"/>
    <x v="2"/>
    <s v="Job Board"/>
    <n v="6"/>
    <m/>
    <x v="0"/>
    <m/>
    <m/>
    <x v="0"/>
    <x v="0"/>
    <m/>
    <x v="1"/>
    <x v="0"/>
  </r>
  <r>
    <n v="864"/>
    <s v="864 | Finance"/>
    <x v="21"/>
    <x v="7"/>
    <x v="32"/>
    <x v="21"/>
    <s v="Finance-Billing Officer"/>
    <x v="0"/>
    <d v="2023-07-19T02:28:49"/>
    <x v="1060"/>
    <x v="4"/>
    <n v="-45126.103344907409"/>
    <d v="2023-08-01T02:28:49"/>
    <s v="Yes"/>
    <d v="2023-08-01T02:28:49"/>
    <x v="0"/>
    <x v="2"/>
    <m/>
    <m/>
    <m/>
    <m/>
    <m/>
    <m/>
    <x v="0"/>
    <m/>
    <m/>
    <m/>
    <m/>
    <s v="Candidate"/>
    <m/>
    <s v="C2780"/>
    <s v="Candidate_1780"/>
    <s v="07-23-2023"/>
    <x v="0"/>
    <s v="Referral"/>
    <n v="6"/>
    <m/>
    <x v="0"/>
    <m/>
    <m/>
    <x v="0"/>
    <x v="0"/>
    <m/>
    <x v="0"/>
    <x v="0"/>
  </r>
  <r>
    <n v="851"/>
    <s v="851 | Finance"/>
    <x v="23"/>
    <x v="7"/>
    <x v="32"/>
    <x v="21"/>
    <s v="Finance-Billing Officer"/>
    <x v="0"/>
    <d v="2023-02-04T00:03:45"/>
    <x v="1061"/>
    <x v="309"/>
    <n v="3"/>
    <d v="2023-02-12T00:03:45"/>
    <s v="Yes"/>
    <d v="2023-02-12T00:03:45"/>
    <x v="1"/>
    <x v="1"/>
    <d v="2023-02-17T00:03:45"/>
    <s v="Declined"/>
    <m/>
    <m/>
    <d v="2023-02-14T00:03:45"/>
    <m/>
    <x v="0"/>
    <m/>
    <m/>
    <m/>
    <m/>
    <m/>
    <m/>
    <s v="C2781"/>
    <s v="Candidate_1781"/>
    <s v="Feb 03 2023"/>
    <x v="2"/>
    <s v="Job Board"/>
    <n v="3"/>
    <m/>
    <x v="0"/>
    <m/>
    <m/>
    <x v="0"/>
    <x v="0"/>
    <m/>
    <x v="1"/>
    <x v="0"/>
  </r>
  <r>
    <n v="746"/>
    <s v="746 | Finance"/>
    <x v="23"/>
    <x v="7"/>
    <x v="32"/>
    <x v="21"/>
    <s v="Finance-Billing Officer"/>
    <x v="0"/>
    <m/>
    <x v="1062"/>
    <x v="310"/>
    <n v="44874.220567129632"/>
    <d v="2022-11-18T05:17:37"/>
    <s v="No"/>
    <m/>
    <x v="2"/>
    <x v="1"/>
    <m/>
    <m/>
    <m/>
    <m/>
    <m/>
    <m/>
    <x v="0"/>
    <m/>
    <m/>
    <m/>
    <m/>
    <m/>
    <m/>
    <s v="C2782"/>
    <s v="Candidate_1782"/>
    <m/>
    <x v="0"/>
    <s v="Referral"/>
    <n v="3"/>
    <m/>
    <x v="0"/>
    <m/>
    <m/>
    <x v="0"/>
    <x v="0"/>
    <m/>
    <x v="0"/>
    <x v="0"/>
  </r>
  <r>
    <n v="743"/>
    <s v="743 | Finance"/>
    <x v="21"/>
    <x v="7"/>
    <x v="32"/>
    <x v="21"/>
    <s v="Finance-Billing Officer"/>
    <x v="0"/>
    <d v="2022-11-05T05:17:37"/>
    <x v="1013"/>
    <x v="310"/>
    <n v="4"/>
    <d v="2022-11-25T05:17:37"/>
    <s v="No"/>
    <m/>
    <x v="2"/>
    <x v="1"/>
    <m/>
    <m/>
    <m/>
    <m/>
    <m/>
    <m/>
    <x v="0"/>
    <m/>
    <m/>
    <m/>
    <m/>
    <m/>
    <m/>
    <s v="C2783"/>
    <s v="Candidate_1783"/>
    <m/>
    <x v="2"/>
    <s v="Job Board"/>
    <n v="6"/>
    <m/>
    <x v="0"/>
    <m/>
    <m/>
    <x v="0"/>
    <x v="0"/>
    <m/>
    <x v="1"/>
    <x v="0"/>
  </r>
  <r>
    <n v="703"/>
    <s v="703 | Finance"/>
    <x v="22"/>
    <x v="7"/>
    <x v="32"/>
    <x v="21"/>
    <s v="Finance-Billing Officer"/>
    <x v="0"/>
    <d v="2023-07-08T15:23:01"/>
    <x v="0"/>
    <x v="4"/>
    <n v="-45115.640983796293"/>
    <d v="2023-08-05T15:23:01"/>
    <s v="Yes"/>
    <d v="2023-07-27T15:23:01"/>
    <x v="3"/>
    <x v="1"/>
    <d v="2023-08-01T15:23:01"/>
    <s v="Accepted"/>
    <d v="2023-07-28T15:23:01"/>
    <d v="2023-07-31T15:23:01"/>
    <d v="2023-07-29T15:23:01"/>
    <d v="2023-08-06T15:23:01"/>
    <x v="1"/>
    <d v="2023-08-09T15:23:01"/>
    <d v="2023-08-12T15:23:01"/>
    <d v="2023-08-13T15:23:01"/>
    <m/>
    <m/>
    <d v="2023-08-22T15:23:01"/>
    <s v="C2784"/>
    <s v="Candidate_1784"/>
    <s v="07-22-2023"/>
    <x v="2"/>
    <s v="Job Board"/>
    <n v="3"/>
    <m/>
    <x v="0"/>
    <m/>
    <m/>
    <x v="0"/>
    <x v="0"/>
    <m/>
    <x v="0"/>
    <x v="0"/>
  </r>
  <r>
    <n v="702"/>
    <s v="702 | Finance"/>
    <x v="21"/>
    <x v="7"/>
    <x v="32"/>
    <x v="21"/>
    <s v="Finance-Billing Officer"/>
    <x v="0"/>
    <d v="2023-07-12T15:23:01"/>
    <x v="951"/>
    <x v="311"/>
    <n v="2"/>
    <d v="2023-07-22T15:23:01"/>
    <s v="Yes"/>
    <d v="2023-07-19T15:23:01"/>
    <x v="0"/>
    <x v="3"/>
    <m/>
    <m/>
    <m/>
    <m/>
    <d v="2023-07-20T15:23:01"/>
    <m/>
    <x v="0"/>
    <m/>
    <m/>
    <m/>
    <m/>
    <s v="Company"/>
    <m/>
    <s v="C2785"/>
    <s v="Candidate_1785"/>
    <s v="07-10-2023"/>
    <x v="1"/>
    <s v="Linkedin"/>
    <n v="6"/>
    <m/>
    <x v="0"/>
    <m/>
    <m/>
    <x v="0"/>
    <x v="0"/>
    <m/>
    <x v="1"/>
    <x v="0"/>
  </r>
  <r>
    <n v="607"/>
    <s v="607 | Finance"/>
    <x v="22"/>
    <x v="7"/>
    <x v="32"/>
    <x v="21"/>
    <s v="Finance-Billing Officer"/>
    <x v="0"/>
    <d v="2022-01-08T07:25:27"/>
    <x v="954"/>
    <x v="312"/>
    <n v="7"/>
    <d v="2022-02-03T07:25:27"/>
    <s v="Yes"/>
    <d v="2022-01-20T07:25:27"/>
    <x v="1"/>
    <x v="1"/>
    <d v="2022-01-27T07:25:27"/>
    <s v="Declined"/>
    <m/>
    <m/>
    <d v="2022-01-23T07:25:27"/>
    <m/>
    <x v="0"/>
    <m/>
    <m/>
    <m/>
    <m/>
    <m/>
    <m/>
    <s v="C2786"/>
    <s v="Candidate_1786"/>
    <s v="05/01/2022"/>
    <x v="0"/>
    <s v="Referral"/>
    <n v="6"/>
    <m/>
    <x v="0"/>
    <m/>
    <m/>
    <x v="0"/>
    <x v="0"/>
    <m/>
    <x v="1"/>
    <x v="0"/>
  </r>
  <r>
    <n v="601"/>
    <s v="601 | Finance"/>
    <x v="22"/>
    <x v="7"/>
    <x v="32"/>
    <x v="21"/>
    <s v="Finance-Billing Officer"/>
    <x v="0"/>
    <d v="2022-01-08T07:25:27"/>
    <x v="1063"/>
    <x v="312"/>
    <n v="7"/>
    <d v="2022-01-29T07:25:27"/>
    <s v="No"/>
    <m/>
    <x v="2"/>
    <x v="1"/>
    <m/>
    <m/>
    <m/>
    <m/>
    <m/>
    <m/>
    <x v="0"/>
    <m/>
    <m/>
    <m/>
    <m/>
    <m/>
    <m/>
    <s v="C2787"/>
    <s v="Candidate_1787"/>
    <m/>
    <x v="0"/>
    <s v="Referral"/>
    <n v="6"/>
    <m/>
    <x v="0"/>
    <m/>
    <m/>
    <x v="0"/>
    <x v="0"/>
    <m/>
    <x v="1"/>
    <x v="0"/>
  </r>
  <r>
    <n v="599"/>
    <s v="599 | Finance"/>
    <x v="21"/>
    <x v="7"/>
    <x v="32"/>
    <x v="21"/>
    <s v="Finance-Billing Officer"/>
    <x v="0"/>
    <d v="2022-11-16T19:43:02"/>
    <x v="1064"/>
    <x v="313"/>
    <n v="5"/>
    <d v="2022-11-26T19:43:02"/>
    <s v="Yes"/>
    <d v="2022-12-04T19:43:02"/>
    <x v="0"/>
    <x v="0"/>
    <m/>
    <m/>
    <m/>
    <m/>
    <m/>
    <m/>
    <x v="0"/>
    <m/>
    <m/>
    <m/>
    <m/>
    <s v="Candidate"/>
    <m/>
    <s v="C2788"/>
    <s v="Candidate_1788"/>
    <s v="11-25-2022"/>
    <x v="1"/>
    <s v="Linkedin"/>
    <n v="6"/>
    <m/>
    <x v="0"/>
    <m/>
    <m/>
    <x v="0"/>
    <x v="0"/>
    <m/>
    <x v="1"/>
    <x v="0"/>
  </r>
  <r>
    <n v="460"/>
    <s v="460 | Finance"/>
    <x v="23"/>
    <x v="7"/>
    <x v="32"/>
    <x v="21"/>
    <s v="Finance-Billing Officer"/>
    <x v="0"/>
    <d v="2023-02-13T13:42:17"/>
    <x v="1065"/>
    <x v="314"/>
    <n v="9"/>
    <d v="2023-03-19T13:42:17"/>
    <s v="Yes"/>
    <d v="2023-02-27T13:42:17"/>
    <x v="1"/>
    <x v="1"/>
    <d v="2023-03-04T13:42:17"/>
    <s v="Declined"/>
    <m/>
    <m/>
    <d v="2023-03-01T13:42:17"/>
    <m/>
    <x v="0"/>
    <m/>
    <m/>
    <m/>
    <m/>
    <m/>
    <m/>
    <s v="C2789"/>
    <s v="Candidate_1789"/>
    <s v="09/02/2023"/>
    <x v="1"/>
    <s v="Linkedin"/>
    <n v="3"/>
    <m/>
    <x v="0"/>
    <m/>
    <m/>
    <x v="0"/>
    <x v="0"/>
    <m/>
    <x v="1"/>
    <x v="0"/>
  </r>
  <r>
    <n v="454"/>
    <s v="454 | Finance"/>
    <x v="21"/>
    <x v="7"/>
    <x v="32"/>
    <x v="21"/>
    <s v="Finance-Billing Officer"/>
    <x v="0"/>
    <d v="2023-02-14T13:42:17"/>
    <x v="1066"/>
    <x v="4"/>
    <n v="-44971.571030092593"/>
    <d v="2023-03-17T13:42:17"/>
    <s v="Yes"/>
    <d v="2023-03-09T13:42:17"/>
    <x v="0"/>
    <x v="2"/>
    <m/>
    <m/>
    <m/>
    <m/>
    <m/>
    <m/>
    <x v="0"/>
    <m/>
    <m/>
    <m/>
    <m/>
    <s v="Company"/>
    <m/>
    <s v="C2790"/>
    <s v="Candidate_1790"/>
    <s v="02-18-2023"/>
    <x v="0"/>
    <s v="Referral"/>
    <n v="3"/>
    <m/>
    <x v="0"/>
    <m/>
    <m/>
    <x v="0"/>
    <x v="0"/>
    <m/>
    <x v="0"/>
    <x v="0"/>
  </r>
  <r>
    <n v="453"/>
    <s v="453 | Finance"/>
    <x v="22"/>
    <x v="7"/>
    <x v="32"/>
    <x v="21"/>
    <s v="Finance-Billing Officer"/>
    <x v="0"/>
    <d v="2023-02-12T13:42:17"/>
    <x v="1065"/>
    <x v="314"/>
    <n v="10"/>
    <d v="2023-03-20T13:42:17"/>
    <s v="Yes"/>
    <d v="2023-02-26T13:42:17"/>
    <x v="0"/>
    <x v="0"/>
    <m/>
    <m/>
    <m/>
    <m/>
    <m/>
    <m/>
    <x v="0"/>
    <m/>
    <m/>
    <m/>
    <m/>
    <s v="Company"/>
    <m/>
    <s v="C2791"/>
    <s v="Candidate_1791"/>
    <s v="Feb 15 2023"/>
    <x v="2"/>
    <s v="Job Board"/>
    <n v="6"/>
    <m/>
    <x v="0"/>
    <m/>
    <m/>
    <x v="0"/>
    <x v="0"/>
    <m/>
    <x v="1"/>
    <x v="0"/>
  </r>
  <r>
    <n v="394"/>
    <s v="394 | Finance"/>
    <x v="23"/>
    <x v="7"/>
    <x v="32"/>
    <x v="21"/>
    <s v="Finance-Billing Officer"/>
    <x v="0"/>
    <d v="2023-02-16T16:28:40"/>
    <x v="958"/>
    <x v="315"/>
    <n v="4"/>
    <d v="2023-03-02T16:28:40"/>
    <s v="Yes"/>
    <d v="2023-02-27T16:28:40"/>
    <x v="1"/>
    <x v="1"/>
    <d v="2023-03-01T16:28:40"/>
    <s v="Declined"/>
    <m/>
    <m/>
    <d v="2023-02-28T16:28:40"/>
    <m/>
    <x v="0"/>
    <m/>
    <m/>
    <m/>
    <m/>
    <m/>
    <m/>
    <s v="C2792"/>
    <s v="Candidate_1792"/>
    <s v="11/02/2023"/>
    <x v="2"/>
    <s v="Job Board"/>
    <n v="3"/>
    <m/>
    <x v="0"/>
    <m/>
    <m/>
    <x v="0"/>
    <x v="0"/>
    <m/>
    <x v="1"/>
    <x v="0"/>
  </r>
  <r>
    <n v="350"/>
    <s v="350 | Finance"/>
    <x v="21"/>
    <x v="7"/>
    <x v="32"/>
    <x v="21"/>
    <s v="Finance-Billing Officer"/>
    <x v="0"/>
    <d v="2022-05-02T15:27:54"/>
    <x v="1067"/>
    <x v="316"/>
    <n v="7"/>
    <d v="2022-06-04T15:27:54"/>
    <s v="No"/>
    <m/>
    <x v="2"/>
    <x v="1"/>
    <m/>
    <m/>
    <m/>
    <m/>
    <m/>
    <m/>
    <x v="0"/>
    <m/>
    <m/>
    <m/>
    <m/>
    <m/>
    <m/>
    <s v="C2793"/>
    <s v="Candidate_1793"/>
    <m/>
    <x v="2"/>
    <s v="Job Board"/>
    <n v="6"/>
    <m/>
    <x v="0"/>
    <m/>
    <m/>
    <x v="0"/>
    <x v="0"/>
    <m/>
    <x v="1"/>
    <x v="0"/>
  </r>
  <r>
    <n v="290"/>
    <s v="290 | Finance"/>
    <x v="22"/>
    <x v="7"/>
    <x v="32"/>
    <x v="21"/>
    <s v="Finance-Billing Officer"/>
    <x v="0"/>
    <d v="2022-05-19T16:15:48"/>
    <x v="1068"/>
    <x v="317"/>
    <n v="6"/>
    <d v="2022-06-09T16:15:48"/>
    <s v="Yes"/>
    <d v="2022-06-03T16:15:48"/>
    <x v="1"/>
    <x v="1"/>
    <d v="2022-06-10T16:15:48"/>
    <s v="Declined"/>
    <m/>
    <m/>
    <d v="2022-06-06T16:15:48"/>
    <m/>
    <x v="0"/>
    <m/>
    <m/>
    <m/>
    <m/>
    <m/>
    <m/>
    <s v="C2794"/>
    <s v="Candidate_1794"/>
    <s v="16/05/2022"/>
    <x v="2"/>
    <s v="Job Board"/>
    <n v="6"/>
    <m/>
    <x v="0"/>
    <m/>
    <m/>
    <x v="0"/>
    <x v="0"/>
    <m/>
    <x v="1"/>
    <x v="0"/>
  </r>
  <r>
    <n v="288"/>
    <s v="288 | Finance"/>
    <x v="23"/>
    <x v="7"/>
    <x v="32"/>
    <x v="21"/>
    <s v="Finance-Billing Officer"/>
    <x v="0"/>
    <d v="2022-05-19T16:15:48"/>
    <x v="963"/>
    <x v="317"/>
    <n v="6"/>
    <d v="2022-06-07T16:15:48"/>
    <s v="Yes"/>
    <d v="2022-05-28T16:15:48"/>
    <x v="1"/>
    <x v="1"/>
    <d v="2022-05-31T16:15:48"/>
    <s v="Declined"/>
    <m/>
    <m/>
    <d v="2022-05-29T16:15:48"/>
    <m/>
    <x v="0"/>
    <m/>
    <m/>
    <m/>
    <m/>
    <m/>
    <m/>
    <s v="C2795"/>
    <s v="Candidate_1795"/>
    <s v="09/05/2022"/>
    <x v="2"/>
    <s v="Job Board"/>
    <n v="3"/>
    <m/>
    <x v="0"/>
    <m/>
    <m/>
    <x v="0"/>
    <x v="0"/>
    <m/>
    <x v="1"/>
    <x v="0"/>
  </r>
  <r>
    <n v="208"/>
    <s v="208 | Finance"/>
    <x v="22"/>
    <x v="7"/>
    <x v="32"/>
    <x v="21"/>
    <s v="Finance-Billing Officer"/>
    <x v="0"/>
    <d v="2022-07-09T08:13:46"/>
    <x v="871"/>
    <x v="283"/>
    <n v="3"/>
    <d v="2022-08-10T08:13:46"/>
    <s v="No"/>
    <m/>
    <x v="2"/>
    <x v="1"/>
    <m/>
    <m/>
    <m/>
    <m/>
    <m/>
    <m/>
    <x v="0"/>
    <m/>
    <m/>
    <m/>
    <m/>
    <m/>
    <m/>
    <s v="C2796"/>
    <s v="Candidate_1796"/>
    <m/>
    <x v="2"/>
    <s v="Job Board"/>
    <n v="3"/>
    <m/>
    <x v="0"/>
    <m/>
    <m/>
    <x v="0"/>
    <x v="0"/>
    <m/>
    <x v="1"/>
    <x v="0"/>
  </r>
  <r>
    <n v="206"/>
    <s v="206 | Finance"/>
    <x v="22"/>
    <x v="7"/>
    <x v="32"/>
    <x v="21"/>
    <s v="Finance-Billing Officer"/>
    <x v="0"/>
    <d v="2022-07-05T08:13:46"/>
    <x v="964"/>
    <x v="283"/>
    <n v="7"/>
    <d v="2022-07-19T08:13:46"/>
    <s v="Yes"/>
    <d v="2022-07-18T08:13:46"/>
    <x v="0"/>
    <x v="3"/>
    <m/>
    <m/>
    <m/>
    <m/>
    <d v="2022-07-21T08:13:46"/>
    <m/>
    <x v="0"/>
    <m/>
    <m/>
    <m/>
    <m/>
    <s v="Candidate"/>
    <m/>
    <s v="C2797"/>
    <s v="Candidate_1797"/>
    <s v="Jun 29 2022"/>
    <x v="2"/>
    <s v="Job Board"/>
    <n v="3"/>
    <m/>
    <x v="0"/>
    <m/>
    <m/>
    <x v="0"/>
    <x v="0"/>
    <m/>
    <x v="1"/>
    <x v="0"/>
  </r>
  <r>
    <n v="205"/>
    <s v="205 | Finance"/>
    <x v="22"/>
    <x v="7"/>
    <x v="32"/>
    <x v="21"/>
    <s v="Finance-Billing Officer"/>
    <x v="0"/>
    <d v="2022-07-08T08:13:46"/>
    <x v="1069"/>
    <x v="283"/>
    <n v="4"/>
    <d v="2022-08-07T08:13:46"/>
    <s v="Yes"/>
    <d v="2022-07-16T08:13:46"/>
    <x v="0"/>
    <x v="5"/>
    <m/>
    <m/>
    <m/>
    <m/>
    <d v="2022-07-20T08:13:46"/>
    <m/>
    <x v="0"/>
    <m/>
    <m/>
    <m/>
    <m/>
    <s v="Company"/>
    <m/>
    <s v="C2798"/>
    <s v="Candidate_1798"/>
    <s v="06/07/2022"/>
    <x v="1"/>
    <s v="Linkedin"/>
    <n v="6"/>
    <m/>
    <x v="0"/>
    <m/>
    <m/>
    <x v="0"/>
    <x v="0"/>
    <m/>
    <x v="1"/>
    <x v="0"/>
  </r>
  <r>
    <n v="180"/>
    <s v="180 | Finance"/>
    <x v="21"/>
    <x v="7"/>
    <x v="32"/>
    <x v="21"/>
    <s v="Finance-Billing Officer"/>
    <x v="0"/>
    <d v="2023-06-11T08:54:08"/>
    <x v="872"/>
    <x v="284"/>
    <n v="9"/>
    <d v="2023-06-30T08:54:08"/>
    <s v="Yes"/>
    <d v="2023-06-29T08:54:08"/>
    <x v="0"/>
    <x v="3"/>
    <m/>
    <m/>
    <m/>
    <m/>
    <d v="2023-06-30T08:54:08"/>
    <m/>
    <x v="0"/>
    <m/>
    <m/>
    <m/>
    <m/>
    <s v="Candidate"/>
    <m/>
    <s v="C2799"/>
    <s v="Candidate_1799"/>
    <s v="06-13-2023"/>
    <x v="0"/>
    <s v="Referral"/>
    <n v="6"/>
    <m/>
    <x v="0"/>
    <m/>
    <m/>
    <x v="0"/>
    <x v="0"/>
    <m/>
    <x v="1"/>
    <x v="0"/>
  </r>
  <r>
    <n v="108"/>
    <s v="108 | Finance"/>
    <x v="23"/>
    <x v="7"/>
    <x v="32"/>
    <x v="21"/>
    <s v="Finance-Billing Officer"/>
    <x v="0"/>
    <d v="2023-03-30T21:07:16"/>
    <x v="1070"/>
    <x v="285"/>
    <n v="4"/>
    <d v="2023-05-02T21:07:16"/>
    <s v="No"/>
    <m/>
    <x v="2"/>
    <x v="1"/>
    <m/>
    <m/>
    <m/>
    <m/>
    <m/>
    <m/>
    <x v="0"/>
    <m/>
    <m/>
    <m/>
    <m/>
    <m/>
    <m/>
    <s v="C2800"/>
    <s v="Candidate_1800"/>
    <m/>
    <x v="2"/>
    <s v="Job Board"/>
    <n v="3"/>
    <m/>
    <x v="0"/>
    <m/>
    <m/>
    <x v="0"/>
    <x v="0"/>
    <m/>
    <x v="1"/>
    <x v="0"/>
  </r>
  <r>
    <n v="78"/>
    <s v="78 | Finance"/>
    <x v="22"/>
    <x v="7"/>
    <x v="32"/>
    <x v="21"/>
    <s v="Finance-Billing Officer"/>
    <x v="0"/>
    <d v="2022-07-08T09:51:33"/>
    <x v="0"/>
    <x v="318"/>
    <n v="4"/>
    <d v="2022-08-05T09:51:33"/>
    <s v="Yes"/>
    <d v="2022-07-16T09:51:33"/>
    <x v="0"/>
    <x v="5"/>
    <m/>
    <m/>
    <m/>
    <m/>
    <d v="2022-07-20T09:51:33"/>
    <m/>
    <x v="0"/>
    <m/>
    <m/>
    <m/>
    <m/>
    <s v="Candidate"/>
    <m/>
    <s v="C2801"/>
    <s v="Candidate_1801"/>
    <s v="30/06/2022"/>
    <x v="1"/>
    <s v="Linkedin"/>
    <n v="6"/>
    <m/>
    <x v="0"/>
    <m/>
    <m/>
    <x v="0"/>
    <x v="0"/>
    <m/>
    <x v="0"/>
    <x v="0"/>
  </r>
  <r>
    <n v="77"/>
    <s v="77 | Finance"/>
    <x v="21"/>
    <x v="7"/>
    <x v="32"/>
    <x v="21"/>
    <s v="Finance-Billing Officer"/>
    <x v="0"/>
    <m/>
    <x v="968"/>
    <x v="4"/>
    <n v="0"/>
    <d v="2022-08-04T09:51:33"/>
    <s v="Yes"/>
    <d v="2022-07-22T09:51:33"/>
    <x v="1"/>
    <x v="1"/>
    <d v="2022-07-30T09:51:33"/>
    <s v="Declined"/>
    <m/>
    <m/>
    <d v="2022-07-26T09:51:33"/>
    <m/>
    <x v="0"/>
    <m/>
    <m/>
    <m/>
    <m/>
    <m/>
    <m/>
    <s v="C2802"/>
    <s v="Candidate_1802"/>
    <s v="07-16-2022"/>
    <x v="0"/>
    <s v="Referral"/>
    <n v="3"/>
    <m/>
    <x v="0"/>
    <m/>
    <m/>
    <x v="0"/>
    <x v="0"/>
    <m/>
    <x v="0"/>
    <x v="0"/>
  </r>
  <r>
    <n v="74"/>
    <s v="74 | Finance"/>
    <x v="23"/>
    <x v="7"/>
    <x v="32"/>
    <x v="21"/>
    <s v="Finance-Billing Officer"/>
    <x v="0"/>
    <d v="2022-07-03T09:51:33"/>
    <x v="1071"/>
    <x v="318"/>
    <n v="9"/>
    <d v="2022-07-31T09:51:33"/>
    <s v="Yes"/>
    <d v="2022-07-28T09:51:33"/>
    <x v="1"/>
    <x v="1"/>
    <d v="2022-08-04T09:51:33"/>
    <s v="Declined"/>
    <m/>
    <m/>
    <d v="2022-08-01T09:51:33"/>
    <m/>
    <x v="0"/>
    <m/>
    <m/>
    <m/>
    <m/>
    <m/>
    <m/>
    <s v="C2803"/>
    <s v="Candidate_1803"/>
    <s v="Jul 19 2022"/>
    <x v="1"/>
    <s v="Linkedin"/>
    <n v="6"/>
    <m/>
    <x v="0"/>
    <m/>
    <m/>
    <x v="0"/>
    <x v="0"/>
    <m/>
    <x v="1"/>
    <x v="0"/>
  </r>
  <r>
    <n v="72"/>
    <s v="72 | Finance"/>
    <x v="21"/>
    <x v="7"/>
    <x v="32"/>
    <x v="21"/>
    <s v="Finance-Billing Officer"/>
    <x v="0"/>
    <d v="2022-07-08T09:51:33"/>
    <x v="1023"/>
    <x v="318"/>
    <n v="4"/>
    <d v="2022-07-17T09:51:33"/>
    <s v="Yes"/>
    <d v="2022-07-14T09:51:33"/>
    <x v="1"/>
    <x v="1"/>
    <d v="2022-07-19T09:51:33"/>
    <s v="Declined"/>
    <m/>
    <m/>
    <d v="2022-07-16T09:51:33"/>
    <m/>
    <x v="0"/>
    <m/>
    <m/>
    <m/>
    <m/>
    <m/>
    <m/>
    <s v="C2804"/>
    <s v="Candidate_1804"/>
    <s v="07-04-2022"/>
    <x v="0"/>
    <s v="Referral"/>
    <n v="6"/>
    <m/>
    <x v="0"/>
    <m/>
    <m/>
    <x v="0"/>
    <x v="0"/>
    <m/>
    <x v="1"/>
    <x v="0"/>
  </r>
  <r>
    <n v="15"/>
    <s v="15 | Finance"/>
    <x v="22"/>
    <x v="7"/>
    <x v="32"/>
    <x v="21"/>
    <s v="Finance-Billing Officer"/>
    <x v="0"/>
    <d v="2022-03-17T21:37:51"/>
    <x v="881"/>
    <x v="288"/>
    <n v="5"/>
    <d v="2022-03-29T21:37:51"/>
    <s v="Yes"/>
    <d v="2022-03-24T21:37:51"/>
    <x v="3"/>
    <x v="1"/>
    <d v="2022-03-26T21:37:51"/>
    <s v="Accepted"/>
    <d v="2022-03-25T21:37:51"/>
    <d v="2022-03-26T21:37:51"/>
    <d v="2022-03-25T21:37:51"/>
    <d v="2022-04-03T21:37:51"/>
    <x v="1"/>
    <d v="2022-04-05T21:37:51"/>
    <d v="2022-04-06T21:37:51"/>
    <d v="2022-04-07T21:37:51"/>
    <m/>
    <m/>
    <d v="2022-04-28T21:37:51"/>
    <s v="C2805"/>
    <s v="Candidate_1805"/>
    <s v="13/03/2022"/>
    <x v="2"/>
    <s v="Job Board"/>
    <n v="3"/>
    <m/>
    <x v="0"/>
    <m/>
    <m/>
    <x v="0"/>
    <x v="0"/>
    <m/>
    <x v="180"/>
    <x v="0"/>
  </r>
  <r>
    <n v="2290"/>
    <s v="2290 | Finance"/>
    <x v="22"/>
    <x v="7"/>
    <x v="33"/>
    <x v="14"/>
    <s v="Finance-Associate Director"/>
    <x v="2"/>
    <d v="2022-07-20T11:44:34"/>
    <x v="1072"/>
    <x v="294"/>
    <n v="7"/>
    <d v="2022-08-20T11:44:34"/>
    <s v="No"/>
    <m/>
    <x v="2"/>
    <x v="1"/>
    <m/>
    <m/>
    <m/>
    <m/>
    <m/>
    <m/>
    <x v="0"/>
    <m/>
    <m/>
    <m/>
    <m/>
    <m/>
    <m/>
    <s v="C2806"/>
    <s v="Candidate_1806"/>
    <m/>
    <x v="1"/>
    <s v="Linkedin"/>
    <n v="3"/>
    <m/>
    <x v="0"/>
    <m/>
    <m/>
    <x v="0"/>
    <x v="0"/>
    <m/>
    <x v="1"/>
    <x v="0"/>
  </r>
  <r>
    <n v="2028"/>
    <s v="2028 | Finance"/>
    <x v="22"/>
    <x v="7"/>
    <x v="33"/>
    <x v="14"/>
    <s v="Finance-Associate Director"/>
    <x v="2"/>
    <d v="2022-08-14T16:19:01"/>
    <x v="985"/>
    <x v="296"/>
    <n v="3"/>
    <d v="2022-09-13T16:19:01"/>
    <s v="No"/>
    <m/>
    <x v="2"/>
    <x v="1"/>
    <m/>
    <m/>
    <m/>
    <m/>
    <m/>
    <m/>
    <x v="0"/>
    <m/>
    <m/>
    <m/>
    <m/>
    <m/>
    <m/>
    <s v="C2807"/>
    <s v="Candidate_1807"/>
    <m/>
    <x v="1"/>
    <s v="Linkedin"/>
    <n v="3"/>
    <m/>
    <x v="0"/>
    <m/>
    <m/>
    <x v="0"/>
    <x v="0"/>
    <m/>
    <x v="1"/>
    <x v="0"/>
  </r>
  <r>
    <n v="1829"/>
    <s v="1829 | Finance"/>
    <x v="22"/>
    <x v="7"/>
    <x v="33"/>
    <x v="14"/>
    <s v="Finance-Associate Director"/>
    <x v="2"/>
    <d v="2022-04-10T11:01:49"/>
    <x v="0"/>
    <x v="323"/>
    <n v="7"/>
    <d v="2022-04-28T11:01:49"/>
    <s v="No"/>
    <m/>
    <x v="2"/>
    <x v="1"/>
    <m/>
    <m/>
    <m/>
    <m/>
    <m/>
    <m/>
    <x v="0"/>
    <m/>
    <m/>
    <m/>
    <m/>
    <m/>
    <m/>
    <s v="C2808"/>
    <s v="Candidate_1808"/>
    <m/>
    <x v="2"/>
    <s v="Job Board"/>
    <n v="6"/>
    <m/>
    <x v="0"/>
    <m/>
    <m/>
    <x v="0"/>
    <x v="0"/>
    <m/>
    <x v="0"/>
    <x v="0"/>
  </r>
  <r>
    <n v="1759"/>
    <s v="1759 | Finance"/>
    <x v="22"/>
    <x v="7"/>
    <x v="33"/>
    <x v="14"/>
    <s v="Finance-Associate Director"/>
    <x v="2"/>
    <d v="2022-06-02T15:29:59"/>
    <x v="1073"/>
    <x v="266"/>
    <n v="4"/>
    <d v="2022-06-29T15:29:59"/>
    <s v="No"/>
    <m/>
    <x v="2"/>
    <x v="1"/>
    <m/>
    <m/>
    <m/>
    <m/>
    <m/>
    <m/>
    <x v="0"/>
    <m/>
    <m/>
    <m/>
    <m/>
    <m/>
    <m/>
    <s v="C2809"/>
    <s v="Candidate_1809"/>
    <m/>
    <x v="0"/>
    <s v="Referral"/>
    <n v="3"/>
    <m/>
    <x v="0"/>
    <m/>
    <m/>
    <x v="0"/>
    <x v="0"/>
    <m/>
    <x v="1"/>
    <x v="0"/>
  </r>
  <r>
    <n v="1632"/>
    <s v="1632 | Finance"/>
    <x v="22"/>
    <x v="7"/>
    <x v="33"/>
    <x v="14"/>
    <s v="Finance-Associate Director"/>
    <x v="2"/>
    <d v="2023-09-02T07:41:24"/>
    <x v="0"/>
    <x v="269"/>
    <n v="7"/>
    <d v="2023-10-05T07:41:24"/>
    <s v="No"/>
    <m/>
    <x v="2"/>
    <x v="1"/>
    <m/>
    <m/>
    <m/>
    <m/>
    <m/>
    <m/>
    <x v="0"/>
    <m/>
    <m/>
    <m/>
    <m/>
    <m/>
    <m/>
    <s v="C2810"/>
    <s v="Candidate_1810"/>
    <m/>
    <x v="1"/>
    <s v="Linkedin"/>
    <n v="3"/>
    <m/>
    <x v="0"/>
    <m/>
    <m/>
    <x v="0"/>
    <x v="0"/>
    <m/>
    <x v="0"/>
    <x v="0"/>
  </r>
  <r>
    <n v="1516"/>
    <s v="1516 | Finance"/>
    <x v="22"/>
    <x v="7"/>
    <x v="33"/>
    <x v="14"/>
    <s v="Finance-Associate Director"/>
    <x v="2"/>
    <d v="2022-12-30T05:00:38"/>
    <x v="1074"/>
    <x v="273"/>
    <n v="2"/>
    <d v="2023-01-12T05:00:38"/>
    <s v="No"/>
    <m/>
    <x v="2"/>
    <x v="1"/>
    <m/>
    <m/>
    <m/>
    <m/>
    <m/>
    <m/>
    <x v="0"/>
    <m/>
    <m/>
    <m/>
    <m/>
    <m/>
    <m/>
    <s v="C2811"/>
    <s v="Candidate_1811"/>
    <m/>
    <x v="2"/>
    <s v="Job Board"/>
    <n v="3"/>
    <m/>
    <x v="0"/>
    <m/>
    <m/>
    <x v="0"/>
    <x v="0"/>
    <m/>
    <x v="1"/>
    <x v="0"/>
  </r>
  <r>
    <n v="1435"/>
    <s v="1435 | Finance"/>
    <x v="22"/>
    <x v="7"/>
    <x v="33"/>
    <x v="14"/>
    <s v="Finance-Associate Director"/>
    <x v="2"/>
    <d v="2023-06-08T22:29:11"/>
    <x v="997"/>
    <x v="274"/>
    <n v="7"/>
    <d v="2023-07-14T22:29:11"/>
    <s v="No"/>
    <m/>
    <x v="2"/>
    <x v="1"/>
    <m/>
    <m/>
    <m/>
    <m/>
    <m/>
    <m/>
    <x v="0"/>
    <m/>
    <m/>
    <m/>
    <m/>
    <m/>
    <m/>
    <s v="C2812"/>
    <s v="Candidate_1812"/>
    <m/>
    <x v="1"/>
    <s v="Linkedin"/>
    <n v="6"/>
    <m/>
    <x v="0"/>
    <m/>
    <m/>
    <x v="0"/>
    <x v="0"/>
    <m/>
    <x v="1"/>
    <x v="0"/>
  </r>
  <r>
    <n v="1149"/>
    <s v="1149 | Finance"/>
    <x v="23"/>
    <x v="7"/>
    <x v="33"/>
    <x v="14"/>
    <s v="Finance-Associate Director"/>
    <x v="2"/>
    <d v="2023-08-02T01:36:53"/>
    <x v="933"/>
    <x v="278"/>
    <n v="8"/>
    <d v="2023-08-19T01:36:53"/>
    <s v="No"/>
    <m/>
    <x v="2"/>
    <x v="1"/>
    <m/>
    <m/>
    <m/>
    <m/>
    <m/>
    <m/>
    <x v="0"/>
    <m/>
    <m/>
    <m/>
    <m/>
    <m/>
    <m/>
    <s v="C2813"/>
    <s v="Candidate_1813"/>
    <m/>
    <x v="1"/>
    <s v="Linkedin"/>
    <n v="3"/>
    <m/>
    <x v="0"/>
    <m/>
    <m/>
    <x v="0"/>
    <x v="0"/>
    <m/>
    <x v="1"/>
    <x v="0"/>
  </r>
  <r>
    <n v="1034"/>
    <s v="1034 | Finance"/>
    <x v="21"/>
    <x v="7"/>
    <x v="33"/>
    <x v="14"/>
    <s v="Finance-Associate Director"/>
    <x v="2"/>
    <d v="2023-03-01T19:44:13"/>
    <x v="1075"/>
    <x v="281"/>
    <n v="7"/>
    <d v="2023-03-22T19:44:13"/>
    <s v="No"/>
    <m/>
    <x v="2"/>
    <x v="1"/>
    <m/>
    <m/>
    <m/>
    <m/>
    <m/>
    <m/>
    <x v="0"/>
    <m/>
    <m/>
    <m/>
    <m/>
    <m/>
    <m/>
    <s v="C2814"/>
    <s v="Candidate_1814"/>
    <m/>
    <x v="2"/>
    <s v="Job Board"/>
    <n v="6"/>
    <m/>
    <x v="0"/>
    <m/>
    <m/>
    <x v="0"/>
    <x v="0"/>
    <m/>
    <x v="1"/>
    <x v="0"/>
  </r>
  <r>
    <n v="974"/>
    <s v="974 | Finance"/>
    <x v="22"/>
    <x v="7"/>
    <x v="33"/>
    <x v="14"/>
    <s v="Finance-Associate Director"/>
    <x v="2"/>
    <d v="2022-07-12T16:46:55"/>
    <x v="1008"/>
    <x v="304"/>
    <n v="10"/>
    <d v="2022-08-11T16:46:55"/>
    <s v="Yes"/>
    <d v="2022-08-08T16:46:55"/>
    <x v="1"/>
    <x v="1"/>
    <d v="2022-08-13T16:46:55"/>
    <s v="Declined"/>
    <m/>
    <m/>
    <d v="2022-08-12T16:46:55"/>
    <m/>
    <x v="0"/>
    <m/>
    <m/>
    <m/>
    <m/>
    <m/>
    <m/>
    <s v="C2815"/>
    <s v="Candidate_1815"/>
    <s v="07-22-2022"/>
    <x v="1"/>
    <s v="Linkedin"/>
    <n v="3"/>
    <m/>
    <x v="0"/>
    <m/>
    <m/>
    <x v="0"/>
    <x v="0"/>
    <m/>
    <x v="1"/>
    <x v="0"/>
  </r>
  <r>
    <n v="961"/>
    <s v="961 | Finance"/>
    <x v="21"/>
    <x v="7"/>
    <x v="33"/>
    <x v="14"/>
    <s v="Finance-Associate Director"/>
    <x v="2"/>
    <d v="2023-07-15T08:10:15"/>
    <x v="1076"/>
    <x v="305"/>
    <n v="5"/>
    <d v="2023-08-13T08:10:15"/>
    <s v="Yes"/>
    <d v="2023-08-03T08:10:15"/>
    <x v="3"/>
    <x v="1"/>
    <d v="2023-08-06T08:10:15"/>
    <s v="Accepted"/>
    <d v="2023-08-05T08:10:15"/>
    <d v="2023-08-09T08:10:15"/>
    <d v="2023-08-04T08:10:15"/>
    <d v="2023-08-11T08:10:15"/>
    <x v="1"/>
    <d v="2023-08-14T08:10:15"/>
    <d v="2023-08-17T08:10:15"/>
    <d v="2023-08-18T08:10:15"/>
    <m/>
    <m/>
    <d v="2023-08-28T08:10:15"/>
    <s v="C2816"/>
    <s v="Candidate_1816"/>
    <s v="16/07/2023"/>
    <x v="1"/>
    <s v="Linkedin"/>
    <n v="6"/>
    <m/>
    <x v="0"/>
    <m/>
    <m/>
    <x v="0"/>
    <x v="0"/>
    <m/>
    <x v="181"/>
    <x v="0"/>
  </r>
  <r>
    <n v="900"/>
    <s v="900 | Finance"/>
    <x v="23"/>
    <x v="7"/>
    <x v="33"/>
    <x v="14"/>
    <s v="Finance-Associate Director"/>
    <x v="2"/>
    <d v="2022-10-09T22:33:20"/>
    <x v="1077"/>
    <x v="4"/>
    <n v="-44843.939814814818"/>
    <d v="2022-11-12T22:33:20"/>
    <s v="Yes"/>
    <d v="2022-10-21T22:33:20"/>
    <x v="0"/>
    <x v="4"/>
    <m/>
    <m/>
    <m/>
    <m/>
    <d v="2022-10-24T22:33:20"/>
    <m/>
    <x v="0"/>
    <m/>
    <m/>
    <m/>
    <m/>
    <s v="Candidate"/>
    <m/>
    <s v="C2817"/>
    <s v="Candidate_1817"/>
    <s v="10-11-2022"/>
    <x v="2"/>
    <s v="Job Board"/>
    <n v="6"/>
    <m/>
    <x v="0"/>
    <m/>
    <m/>
    <x v="0"/>
    <x v="0"/>
    <m/>
    <x v="0"/>
    <x v="0"/>
  </r>
  <r>
    <n v="896"/>
    <s v="896 | Finance"/>
    <x v="22"/>
    <x v="7"/>
    <x v="33"/>
    <x v="14"/>
    <s v="Finance-Associate Director"/>
    <x v="2"/>
    <d v="2022-10-12T22:33:20"/>
    <x v="1078"/>
    <x v="306"/>
    <n v="4"/>
    <d v="2022-10-21T22:33:20"/>
    <s v="Yes"/>
    <d v="2022-10-23T22:33:20"/>
    <x v="0"/>
    <x v="4"/>
    <m/>
    <m/>
    <m/>
    <m/>
    <d v="2022-10-25T22:33:20"/>
    <m/>
    <x v="0"/>
    <m/>
    <m/>
    <m/>
    <m/>
    <s v="Candidate"/>
    <m/>
    <s v="C2818"/>
    <s v="Candidate_1818"/>
    <s v="15/10/2022"/>
    <x v="1"/>
    <s v="Linkedin"/>
    <n v="3"/>
    <m/>
    <x v="0"/>
    <m/>
    <m/>
    <x v="0"/>
    <x v="0"/>
    <m/>
    <x v="1"/>
    <x v="0"/>
  </r>
  <r>
    <n v="893"/>
    <s v="893 | Finance"/>
    <x v="22"/>
    <x v="7"/>
    <x v="33"/>
    <x v="22"/>
    <s v="Finance-Principal Officer"/>
    <x v="2"/>
    <d v="2022-10-08T22:33:20"/>
    <x v="1079"/>
    <x v="306"/>
    <n v="8"/>
    <d v="2022-10-31T22:33:20"/>
    <s v="Yes"/>
    <d v="2022-10-23T22:33:20"/>
    <x v="0"/>
    <x v="3"/>
    <m/>
    <m/>
    <m/>
    <m/>
    <m/>
    <m/>
    <x v="0"/>
    <m/>
    <m/>
    <m/>
    <m/>
    <s v="Candidate"/>
    <m/>
    <s v="C2819"/>
    <s v="Candidate_1819"/>
    <s v="10-13-2022"/>
    <x v="0"/>
    <s v="Referral"/>
    <n v="6"/>
    <m/>
    <x v="0"/>
    <m/>
    <m/>
    <x v="0"/>
    <x v="0"/>
    <m/>
    <x v="1"/>
    <x v="0"/>
  </r>
  <r>
    <n v="891"/>
    <s v="891 | Finance"/>
    <x v="22"/>
    <x v="7"/>
    <x v="33"/>
    <x v="22"/>
    <s v="Finance-Principal Officer"/>
    <x v="2"/>
    <d v="2022-10-11T22:33:20"/>
    <x v="943"/>
    <x v="306"/>
    <n v="5"/>
    <d v="2022-11-11T22:33:20"/>
    <s v="Yes"/>
    <d v="2022-11-01T22:33:20"/>
    <x v="1"/>
    <x v="1"/>
    <d v="2022-11-04T22:33:20"/>
    <s v="Declined"/>
    <m/>
    <m/>
    <d v="2022-11-02T22:33:20"/>
    <m/>
    <x v="0"/>
    <m/>
    <m/>
    <m/>
    <m/>
    <m/>
    <m/>
    <s v="C2820"/>
    <s v="Candidate_1820"/>
    <s v="20/10/2022"/>
    <x v="2"/>
    <s v="Job Board"/>
    <n v="3"/>
    <m/>
    <x v="0"/>
    <m/>
    <m/>
    <x v="0"/>
    <x v="0"/>
    <m/>
    <x v="1"/>
    <x v="0"/>
  </r>
  <r>
    <n v="888"/>
    <s v="888 | Finance"/>
    <x v="21"/>
    <x v="7"/>
    <x v="33"/>
    <x v="22"/>
    <s v="Finance-Principal Officer"/>
    <x v="2"/>
    <m/>
    <x v="1080"/>
    <x v="307"/>
    <n v="44831.199942129628"/>
    <d v="2022-10-07T04:47:55"/>
    <s v="Yes"/>
    <d v="2022-10-07T04:47:55"/>
    <x v="0"/>
    <x v="0"/>
    <m/>
    <m/>
    <m/>
    <m/>
    <d v="2022-10-10T04:47:55"/>
    <m/>
    <x v="0"/>
    <m/>
    <m/>
    <m/>
    <m/>
    <s v="Candidate"/>
    <m/>
    <s v="C2821"/>
    <s v="Candidate_1821"/>
    <s v="23/09/2022"/>
    <x v="2"/>
    <s v="Job Board"/>
    <n v="6"/>
    <m/>
    <x v="0"/>
    <m/>
    <m/>
    <x v="0"/>
    <x v="0"/>
    <m/>
    <x v="0"/>
    <x v="0"/>
  </r>
  <r>
    <n v="883"/>
    <s v="883 | Finance"/>
    <x v="22"/>
    <x v="7"/>
    <x v="33"/>
    <x v="22"/>
    <s v="Finance-Principal Officer"/>
    <x v="2"/>
    <d v="2022-09-20T04:47:55"/>
    <x v="1080"/>
    <x v="307"/>
    <n v="7"/>
    <d v="2022-10-06T04:47:55"/>
    <s v="Yes"/>
    <d v="2022-09-29T04:47:55"/>
    <x v="0"/>
    <x v="4"/>
    <m/>
    <m/>
    <m/>
    <m/>
    <m/>
    <m/>
    <x v="0"/>
    <m/>
    <m/>
    <m/>
    <m/>
    <s v="Company"/>
    <m/>
    <s v="C2822"/>
    <s v="Candidate_1822"/>
    <s v="17/09/2022"/>
    <x v="1"/>
    <s v="Linkedin"/>
    <n v="3"/>
    <m/>
    <x v="0"/>
    <m/>
    <m/>
    <x v="0"/>
    <x v="0"/>
    <m/>
    <x v="1"/>
    <x v="0"/>
  </r>
  <r>
    <n v="882"/>
    <s v="882 | Finance"/>
    <x v="22"/>
    <x v="7"/>
    <x v="33"/>
    <x v="22"/>
    <s v="Finance-Principal Officer"/>
    <x v="2"/>
    <d v="2022-09-22T04:47:55"/>
    <x v="1081"/>
    <x v="307"/>
    <n v="5"/>
    <d v="2022-10-18T04:47:55"/>
    <s v="Yes"/>
    <d v="2022-10-05T04:47:55"/>
    <x v="0"/>
    <x v="0"/>
    <m/>
    <m/>
    <m/>
    <m/>
    <d v="2022-10-09T04:47:55"/>
    <m/>
    <x v="0"/>
    <m/>
    <m/>
    <m/>
    <m/>
    <s v="Candidate"/>
    <m/>
    <s v="C2823"/>
    <s v="Candidate_1823"/>
    <s v="Sep 17 2022"/>
    <x v="1"/>
    <s v="Linkedin"/>
    <n v="6"/>
    <m/>
    <x v="0"/>
    <m/>
    <m/>
    <x v="0"/>
    <x v="0"/>
    <m/>
    <x v="1"/>
    <x v="0"/>
  </r>
  <r>
    <n v="869"/>
    <s v="869 | Finance"/>
    <x v="23"/>
    <x v="7"/>
    <x v="33"/>
    <x v="22"/>
    <s v="Finance-Principal Officer"/>
    <x v="2"/>
    <d v="2023-07-14T02:28:49"/>
    <x v="1011"/>
    <x v="308"/>
    <n v="10"/>
    <d v="2023-08-20T02:28:49"/>
    <s v="No"/>
    <m/>
    <x v="2"/>
    <x v="1"/>
    <m/>
    <m/>
    <m/>
    <m/>
    <m/>
    <m/>
    <x v="0"/>
    <m/>
    <m/>
    <m/>
    <m/>
    <m/>
    <m/>
    <s v="C2824"/>
    <s v="Candidate_1824"/>
    <m/>
    <x v="1"/>
    <s v="Linkedin"/>
    <n v="3"/>
    <m/>
    <x v="0"/>
    <m/>
    <m/>
    <x v="0"/>
    <x v="0"/>
    <m/>
    <x v="1"/>
    <x v="0"/>
  </r>
  <r>
    <n v="868"/>
    <s v="868 | Finance"/>
    <x v="21"/>
    <x v="7"/>
    <x v="33"/>
    <x v="22"/>
    <s v="Finance-Principal Officer"/>
    <x v="2"/>
    <d v="2023-07-17T02:28:49"/>
    <x v="1011"/>
    <x v="308"/>
    <n v="7"/>
    <d v="2023-08-03T02:28:49"/>
    <s v="Yes"/>
    <d v="2023-07-29T02:28:49"/>
    <x v="0"/>
    <x v="3"/>
    <m/>
    <m/>
    <m/>
    <m/>
    <d v="2023-08-01T02:28:49"/>
    <m/>
    <x v="0"/>
    <m/>
    <m/>
    <m/>
    <m/>
    <s v="Company"/>
    <m/>
    <s v="C2825"/>
    <s v="Candidate_1825"/>
    <s v="07-15-2023"/>
    <x v="0"/>
    <s v="Referral"/>
    <n v="6"/>
    <m/>
    <x v="0"/>
    <m/>
    <m/>
    <x v="0"/>
    <x v="0"/>
    <m/>
    <x v="1"/>
    <x v="0"/>
  </r>
  <r>
    <n v="867"/>
    <s v="867 | Finance"/>
    <x v="21"/>
    <x v="7"/>
    <x v="33"/>
    <x v="22"/>
    <s v="Finance-Principal Officer"/>
    <x v="2"/>
    <d v="2023-07-16T02:28:49"/>
    <x v="1082"/>
    <x v="308"/>
    <n v="8"/>
    <d v="2023-08-20T02:28:49"/>
    <s v="Yes"/>
    <d v="2023-08-03T02:28:49"/>
    <x v="3"/>
    <x v="1"/>
    <d v="2023-08-07T02:28:49"/>
    <s v="Accepted"/>
    <d v="2023-08-04T02:28:49"/>
    <d v="2023-08-07T02:28:49"/>
    <d v="2023-08-04T02:28:49"/>
    <d v="2023-08-13T02:28:49"/>
    <x v="1"/>
    <d v="2023-08-14T02:28:49"/>
    <d v="2023-08-17T02:28:49"/>
    <d v="2023-08-20T02:28:49"/>
    <m/>
    <m/>
    <d v="2023-09-01T02:28:49"/>
    <s v="C2826"/>
    <s v="Candidate_1826"/>
    <s v="07-20-2023"/>
    <x v="0"/>
    <s v="Referral"/>
    <n v="3"/>
    <m/>
    <x v="0"/>
    <m/>
    <m/>
    <x v="0"/>
    <x v="0"/>
    <m/>
    <x v="182"/>
    <x v="0"/>
  </r>
  <r>
    <n v="857"/>
    <s v="857 | Finance"/>
    <x v="22"/>
    <x v="7"/>
    <x v="33"/>
    <x v="22"/>
    <s v="Finance-Principal Officer"/>
    <x v="2"/>
    <d v="2023-01-31T00:03:45"/>
    <x v="1083"/>
    <x v="309"/>
    <n v="7"/>
    <d v="2023-02-28T00:03:45"/>
    <s v="Yes"/>
    <d v="2023-02-16T00:03:45"/>
    <x v="3"/>
    <x v="1"/>
    <d v="2023-02-20T00:03:45"/>
    <s v="Accepted"/>
    <d v="2023-02-18T00:03:45"/>
    <d v="2023-02-20T00:03:45"/>
    <d v="2023-02-19T00:03:45"/>
    <d v="2023-02-23T00:03:45"/>
    <x v="1"/>
    <d v="2023-02-27T00:03:45"/>
    <d v="2023-03-02T00:03:45"/>
    <d v="2023-03-04T00:03:45"/>
    <m/>
    <m/>
    <d v="2023-03-21T00:03:45"/>
    <s v="C2827"/>
    <s v="Candidate_1827"/>
    <s v="05/02/2023"/>
    <x v="1"/>
    <s v="Linkedin"/>
    <n v="6"/>
    <m/>
    <x v="0"/>
    <m/>
    <m/>
    <x v="0"/>
    <x v="0"/>
    <m/>
    <x v="183"/>
    <x v="0"/>
  </r>
  <r>
    <n v="854"/>
    <s v="854 | Finance"/>
    <x v="23"/>
    <x v="7"/>
    <x v="33"/>
    <x v="22"/>
    <s v="Finance-Principal Officer"/>
    <x v="2"/>
    <d v="2023-01-29T00:03:45"/>
    <x v="1084"/>
    <x v="309"/>
    <n v="9"/>
    <d v="2023-02-20T00:03:45"/>
    <s v="No"/>
    <m/>
    <x v="2"/>
    <x v="1"/>
    <m/>
    <m/>
    <m/>
    <m/>
    <m/>
    <m/>
    <x v="0"/>
    <m/>
    <m/>
    <m/>
    <m/>
    <m/>
    <m/>
    <s v="C2828"/>
    <s v="Candidate_1828"/>
    <m/>
    <x v="0"/>
    <s v="Referral"/>
    <n v="6"/>
    <m/>
    <x v="0"/>
    <m/>
    <m/>
    <x v="0"/>
    <x v="0"/>
    <m/>
    <x v="1"/>
    <x v="0"/>
  </r>
  <r>
    <n v="853"/>
    <s v="853 | Finance"/>
    <x v="23"/>
    <x v="7"/>
    <x v="33"/>
    <x v="22"/>
    <s v="Finance-Principal Officer"/>
    <x v="2"/>
    <d v="2023-01-31T00:03:45"/>
    <x v="1085"/>
    <x v="309"/>
    <n v="7"/>
    <d v="2023-02-16T00:03:45"/>
    <s v="Yes"/>
    <d v="2023-02-22T00:03:45"/>
    <x v="3"/>
    <x v="1"/>
    <d v="2023-02-26T00:03:45"/>
    <s v="Accepted"/>
    <d v="2023-02-24T00:03:45"/>
    <d v="2023-02-28T00:03:45"/>
    <d v="2023-02-23T00:03:45"/>
    <d v="2023-02-27T00:03:45"/>
    <x v="1"/>
    <d v="2023-03-03T00:03:45"/>
    <d v="2023-03-04T00:03:45"/>
    <d v="2023-03-06T00:03:45"/>
    <m/>
    <m/>
    <d v="2023-03-23T00:03:45"/>
    <s v="C2829"/>
    <s v="Candidate_1829"/>
    <s v="08/02/2023"/>
    <x v="0"/>
    <s v="Referral"/>
    <n v="3"/>
    <m/>
    <x v="0"/>
    <m/>
    <m/>
    <x v="0"/>
    <x v="0"/>
    <m/>
    <x v="184"/>
    <x v="0"/>
  </r>
  <r>
    <n v="742"/>
    <s v="742 | Finance"/>
    <x v="22"/>
    <x v="7"/>
    <x v="33"/>
    <x v="22"/>
    <s v="Finance-Principal Officer"/>
    <x v="2"/>
    <d v="2022-10-30T05:17:37"/>
    <x v="0"/>
    <x v="310"/>
    <n v="10"/>
    <d v="2022-11-20T05:17:37"/>
    <s v="Yes"/>
    <d v="2022-11-20T05:17:37"/>
    <x v="0"/>
    <x v="4"/>
    <m/>
    <m/>
    <m/>
    <m/>
    <m/>
    <m/>
    <x v="0"/>
    <m/>
    <m/>
    <m/>
    <m/>
    <s v="Candidate"/>
    <m/>
    <s v="C2830"/>
    <s v="Candidate_1830"/>
    <s v="14/11/2022"/>
    <x v="2"/>
    <s v="Job Board"/>
    <n v="3"/>
    <m/>
    <x v="0"/>
    <m/>
    <m/>
    <x v="0"/>
    <x v="0"/>
    <m/>
    <x v="0"/>
    <x v="0"/>
  </r>
  <r>
    <n v="741"/>
    <s v="741 | Finance"/>
    <x v="21"/>
    <x v="7"/>
    <x v="33"/>
    <x v="22"/>
    <s v="Finance-Principal Officer"/>
    <x v="2"/>
    <d v="2022-11-04T05:17:37"/>
    <x v="1012"/>
    <x v="4"/>
    <n v="-44869.220567129632"/>
    <d v="2022-12-04T05:17:37"/>
    <s v="Yes"/>
    <d v="2022-11-27T05:17:37"/>
    <x v="4"/>
    <x v="1"/>
    <d v="2022-12-01T05:17:37"/>
    <s v="Pending"/>
    <m/>
    <m/>
    <d v="2022-11-29T05:17:37"/>
    <m/>
    <x v="0"/>
    <m/>
    <m/>
    <m/>
    <m/>
    <m/>
    <m/>
    <s v="C2831"/>
    <s v="Candidate_1831"/>
    <s v="Nov 15 2022"/>
    <x v="0"/>
    <s v="Referral"/>
    <n v="3"/>
    <m/>
    <x v="0"/>
    <m/>
    <m/>
    <x v="0"/>
    <x v="0"/>
    <m/>
    <x v="0"/>
    <x v="0"/>
  </r>
  <r>
    <n v="709"/>
    <s v="709 | Finance"/>
    <x v="22"/>
    <x v="7"/>
    <x v="33"/>
    <x v="22"/>
    <s v="Finance-Principal Officer"/>
    <x v="2"/>
    <d v="2023-07-06T15:23:01"/>
    <x v="1086"/>
    <x v="311"/>
    <n v="8"/>
    <d v="2023-08-09T15:23:01"/>
    <s v="Yes"/>
    <d v="2023-07-29T15:23:01"/>
    <x v="0"/>
    <x v="4"/>
    <m/>
    <m/>
    <m/>
    <m/>
    <d v="2023-08-02T15:23:01"/>
    <m/>
    <x v="0"/>
    <m/>
    <m/>
    <m/>
    <m/>
    <s v="Company"/>
    <m/>
    <s v="C2832"/>
    <s v="Candidate_1832"/>
    <s v="16/07/2023"/>
    <x v="2"/>
    <s v="Job Board"/>
    <n v="3"/>
    <m/>
    <x v="0"/>
    <m/>
    <m/>
    <x v="0"/>
    <x v="0"/>
    <m/>
    <x v="1"/>
    <x v="0"/>
  </r>
  <r>
    <n v="708"/>
    <s v="708 | Finance"/>
    <x v="22"/>
    <x v="7"/>
    <x v="33"/>
    <x v="22"/>
    <s v="Finance-Principal Officer"/>
    <x v="2"/>
    <d v="2023-07-07T15:23:01"/>
    <x v="0"/>
    <x v="311"/>
    <n v="7"/>
    <d v="2023-08-09T15:23:01"/>
    <s v="Yes"/>
    <d v="2023-07-21T15:23:01"/>
    <x v="1"/>
    <x v="1"/>
    <d v="2023-07-24T15:23:01"/>
    <s v="Declined"/>
    <m/>
    <m/>
    <d v="2023-07-23T15:23:01"/>
    <m/>
    <x v="0"/>
    <m/>
    <m/>
    <m/>
    <m/>
    <m/>
    <m/>
    <s v="C2833"/>
    <s v="Candidate_1833"/>
    <s v="07-13-2023"/>
    <x v="0"/>
    <s v="Referral"/>
    <n v="6"/>
    <m/>
    <x v="0"/>
    <m/>
    <m/>
    <x v="0"/>
    <x v="0"/>
    <m/>
    <x v="0"/>
    <x v="0"/>
  </r>
  <r>
    <n v="706"/>
    <s v="706 | Finance"/>
    <x v="22"/>
    <x v="7"/>
    <x v="33"/>
    <x v="22"/>
    <s v="Finance-Principal Officer"/>
    <x v="2"/>
    <d v="2023-07-08T15:23:01"/>
    <x v="1086"/>
    <x v="4"/>
    <n v="-45115.640983796293"/>
    <d v="2023-07-27T15:23:01"/>
    <s v="Yes"/>
    <d v="2023-07-19T15:23:01"/>
    <x v="4"/>
    <x v="1"/>
    <d v="2023-07-23T15:23:01"/>
    <s v="Pending"/>
    <m/>
    <m/>
    <d v="2023-07-21T15:23:01"/>
    <m/>
    <x v="0"/>
    <m/>
    <m/>
    <m/>
    <m/>
    <m/>
    <m/>
    <s v="C2834"/>
    <s v="Candidate_1834"/>
    <s v="07-14-2023"/>
    <x v="2"/>
    <s v="Job Board"/>
    <n v="6"/>
    <m/>
    <x v="0"/>
    <m/>
    <m/>
    <x v="0"/>
    <x v="0"/>
    <m/>
    <x v="0"/>
    <x v="0"/>
  </r>
  <r>
    <n v="604"/>
    <s v="604 | Finance"/>
    <x v="22"/>
    <x v="7"/>
    <x v="33"/>
    <x v="22"/>
    <s v="Finance-Principal Officer"/>
    <x v="2"/>
    <d v="2022-01-07T07:25:27"/>
    <x v="954"/>
    <x v="312"/>
    <n v="8"/>
    <d v="2022-02-06T07:25:27"/>
    <s v="Yes"/>
    <d v="2022-01-27T07:25:27"/>
    <x v="4"/>
    <x v="1"/>
    <d v="2022-02-02T07:25:27"/>
    <s v="Pending"/>
    <m/>
    <m/>
    <d v="2022-01-30T07:25:27"/>
    <m/>
    <x v="0"/>
    <m/>
    <m/>
    <m/>
    <m/>
    <m/>
    <m/>
    <s v="C2835"/>
    <s v="Candidate_1835"/>
    <s v="Jan 08 2022"/>
    <x v="2"/>
    <s v="Job Board"/>
    <n v="6"/>
    <m/>
    <x v="0"/>
    <m/>
    <m/>
    <x v="0"/>
    <x v="0"/>
    <m/>
    <x v="1"/>
    <x v="0"/>
  </r>
  <r>
    <n v="603"/>
    <s v="603 | Finance"/>
    <x v="22"/>
    <x v="7"/>
    <x v="33"/>
    <x v="22"/>
    <s v="Finance-Principal Officer"/>
    <x v="2"/>
    <d v="2022-01-11T07:25:27"/>
    <x v="1014"/>
    <x v="312"/>
    <n v="4"/>
    <d v="2022-01-30T07:25:27"/>
    <s v="Yes"/>
    <d v="2022-01-28T07:25:27"/>
    <x v="3"/>
    <x v="1"/>
    <d v="2022-02-05T07:25:27"/>
    <s v="Accepted"/>
    <d v="2022-01-29T07:25:27"/>
    <d v="2022-01-31T07:25:27"/>
    <d v="2022-02-01T07:25:27"/>
    <d v="2022-02-09T07:25:27"/>
    <x v="1"/>
    <d v="2022-02-11T07:25:27"/>
    <d v="2022-02-12T07:25:27"/>
    <d v="2022-02-14T07:25:27"/>
    <m/>
    <m/>
    <d v="2022-02-25T07:25:27"/>
    <s v="C2836"/>
    <s v="Candidate_1836"/>
    <s v="Jan 10 2022"/>
    <x v="0"/>
    <s v="Referral"/>
    <n v="3"/>
    <m/>
    <x v="0"/>
    <m/>
    <m/>
    <x v="0"/>
    <x v="0"/>
    <m/>
    <x v="185"/>
    <x v="0"/>
  </r>
  <r>
    <n v="602"/>
    <s v="602 | Finance"/>
    <x v="23"/>
    <x v="7"/>
    <x v="33"/>
    <x v="22"/>
    <s v="Finance-Principal Officer"/>
    <x v="2"/>
    <d v="2022-01-10T07:25:27"/>
    <x v="952"/>
    <x v="4"/>
    <n v="-44571.309340277781"/>
    <d v="2022-01-25T07:25:27"/>
    <s v="Yes"/>
    <d v="2022-01-25T07:25:27"/>
    <x v="1"/>
    <x v="1"/>
    <d v="2022-01-30T07:25:27"/>
    <s v="Declined"/>
    <m/>
    <m/>
    <d v="2022-01-27T07:25:27"/>
    <m/>
    <x v="0"/>
    <m/>
    <m/>
    <m/>
    <m/>
    <m/>
    <m/>
    <s v="C2837"/>
    <s v="Candidate_1837"/>
    <s v="Jan 15 2022"/>
    <x v="0"/>
    <s v="Referral"/>
    <n v="3"/>
    <m/>
    <x v="0"/>
    <m/>
    <m/>
    <x v="0"/>
    <x v="0"/>
    <m/>
    <x v="0"/>
    <x v="0"/>
  </r>
  <r>
    <n v="598"/>
    <s v="598 | Finance"/>
    <x v="22"/>
    <x v="7"/>
    <x v="33"/>
    <x v="22"/>
    <s v="Finance-Principal Officer"/>
    <x v="2"/>
    <d v="2022-11-15T19:43:02"/>
    <x v="955"/>
    <x v="313"/>
    <n v="6"/>
    <d v="2022-12-21T19:43:02"/>
    <s v="Yes"/>
    <d v="2022-11-27T19:43:02"/>
    <x v="3"/>
    <x v="1"/>
    <d v="2022-11-30T19:43:02"/>
    <s v="Accepted"/>
    <d v="2022-11-29T19:43:02"/>
    <d v="2022-11-30T19:43:02"/>
    <d v="2022-11-28T19:43:02"/>
    <d v="2022-12-03T19:43:02"/>
    <x v="1"/>
    <d v="2022-12-07T19:43:02"/>
    <d v="2022-12-10T19:43:02"/>
    <d v="2022-12-12T19:43:02"/>
    <m/>
    <m/>
    <d v="2022-12-24T19:43:02"/>
    <s v="C2838"/>
    <s v="Candidate_1838"/>
    <s v="Nov 17 2022"/>
    <x v="2"/>
    <s v="Job Board"/>
    <n v="3"/>
    <m/>
    <x v="0"/>
    <m/>
    <m/>
    <x v="0"/>
    <x v="0"/>
    <m/>
    <x v="186"/>
    <x v="0"/>
  </r>
  <r>
    <n v="596"/>
    <s v="596 | Finance"/>
    <x v="23"/>
    <x v="7"/>
    <x v="33"/>
    <x v="22"/>
    <s v="Finance-Principal Officer"/>
    <x v="2"/>
    <d v="2022-11-13T19:43:02"/>
    <x v="1015"/>
    <x v="313"/>
    <n v="8"/>
    <d v="2022-12-16T19:43:02"/>
    <s v="Yes"/>
    <d v="2022-11-30T19:43:02"/>
    <x v="3"/>
    <x v="1"/>
    <d v="2022-12-05T19:43:02"/>
    <s v="Accepted"/>
    <d v="2022-12-02T19:43:02"/>
    <d v="2022-12-03T19:43:02"/>
    <d v="2022-12-03T19:43:02"/>
    <d v="2022-12-12T19:43:02"/>
    <x v="1"/>
    <d v="2022-12-14T19:43:02"/>
    <d v="2022-12-15T19:43:02"/>
    <d v="2022-12-18T19:43:02"/>
    <m/>
    <m/>
    <d v="2023-01-02T19:43:02"/>
    <s v="C2839"/>
    <s v="Candidate_1839"/>
    <s v="24/11/2022"/>
    <x v="2"/>
    <s v="Job Board"/>
    <n v="3"/>
    <m/>
    <x v="0"/>
    <m/>
    <m/>
    <x v="0"/>
    <x v="0"/>
    <m/>
    <x v="187"/>
    <x v="0"/>
  </r>
  <r>
    <n v="593"/>
    <s v="593 | Finance"/>
    <x v="21"/>
    <x v="7"/>
    <x v="33"/>
    <x v="22"/>
    <s v="Finance-Principal Officer"/>
    <x v="2"/>
    <d v="2022-11-12T19:43:02"/>
    <x v="1015"/>
    <x v="313"/>
    <n v="9"/>
    <d v="2022-11-27T19:43:02"/>
    <s v="Yes"/>
    <d v="2022-11-27T19:43:02"/>
    <x v="3"/>
    <x v="1"/>
    <d v="2022-12-03T19:43:02"/>
    <s v="Accepted"/>
    <d v="2022-11-29T19:43:02"/>
    <d v="2022-12-01T19:43:02"/>
    <d v="2022-12-01T19:43:02"/>
    <d v="2022-12-05T19:43:02"/>
    <x v="1"/>
    <d v="2022-12-06T19:43:02"/>
    <d v="2022-12-07T19:43:02"/>
    <d v="2022-12-08T19:43:02"/>
    <m/>
    <m/>
    <d v="2022-12-28T19:43:02"/>
    <s v="C2840"/>
    <s v="Candidate_1840"/>
    <s v="Nov 19 2022"/>
    <x v="0"/>
    <s v="Referral"/>
    <n v="6"/>
    <m/>
    <x v="0"/>
    <m/>
    <m/>
    <x v="0"/>
    <x v="0"/>
    <m/>
    <x v="188"/>
    <x v="0"/>
  </r>
  <r>
    <n v="592"/>
    <s v="592 | Finance"/>
    <x v="21"/>
    <x v="7"/>
    <x v="33"/>
    <x v="22"/>
    <s v="Finance-Principal Officer"/>
    <x v="2"/>
    <d v="2022-11-13T19:43:02"/>
    <x v="1087"/>
    <x v="313"/>
    <n v="8"/>
    <d v="2022-12-07T19:43:02"/>
    <s v="Yes"/>
    <d v="2022-12-02T19:43:02"/>
    <x v="3"/>
    <x v="1"/>
    <d v="2022-12-07T19:43:02"/>
    <s v="Accepted"/>
    <d v="2022-12-04T19:43:02"/>
    <d v="2022-12-05T19:43:02"/>
    <d v="2022-12-03T19:43:02"/>
    <d v="2022-12-12T19:43:02"/>
    <x v="1"/>
    <d v="2022-12-14T19:43:02"/>
    <d v="2022-12-17T19:43:02"/>
    <d v="2022-12-19T19:43:02"/>
    <m/>
    <m/>
    <d v="2023-01-09T19:43:02"/>
    <s v="C2841"/>
    <s v="Candidate_1841"/>
    <s v="Nov 16 2022"/>
    <x v="2"/>
    <s v="Job Board"/>
    <n v="6"/>
    <m/>
    <x v="0"/>
    <m/>
    <m/>
    <x v="0"/>
    <x v="0"/>
    <m/>
    <x v="189"/>
    <x v="0"/>
  </r>
  <r>
    <n v="457"/>
    <s v="457 | Finance"/>
    <x v="22"/>
    <x v="7"/>
    <x v="33"/>
    <x v="22"/>
    <s v="Finance-Principal Officer"/>
    <x v="2"/>
    <d v="2023-02-13T13:42:17"/>
    <x v="1065"/>
    <x v="314"/>
    <n v="9"/>
    <d v="2023-03-07T13:42:17"/>
    <s v="Yes"/>
    <d v="2023-03-08T13:42:17"/>
    <x v="1"/>
    <x v="1"/>
    <d v="2023-03-16T13:42:17"/>
    <s v="Declined"/>
    <m/>
    <m/>
    <d v="2023-03-12T13:42:17"/>
    <m/>
    <x v="0"/>
    <m/>
    <m/>
    <m/>
    <m/>
    <m/>
    <m/>
    <s v="C2842"/>
    <s v="Candidate_1842"/>
    <s v="02-19-2023"/>
    <x v="0"/>
    <s v="Referral"/>
    <n v="3"/>
    <m/>
    <x v="0"/>
    <m/>
    <m/>
    <x v="0"/>
    <x v="0"/>
    <m/>
    <x v="1"/>
    <x v="0"/>
  </r>
  <r>
    <n v="398"/>
    <s v="398 | Finance"/>
    <x v="22"/>
    <x v="7"/>
    <x v="33"/>
    <x v="22"/>
    <s v="Finance-Principal Officer"/>
    <x v="2"/>
    <d v="2023-02-12T16:28:40"/>
    <x v="1016"/>
    <x v="315"/>
    <n v="8"/>
    <d v="2023-03-02T16:28:40"/>
    <s v="Yes"/>
    <d v="2023-02-26T16:28:40"/>
    <x v="0"/>
    <x v="0"/>
    <m/>
    <m/>
    <m/>
    <m/>
    <d v="2023-03-02T16:28:40"/>
    <m/>
    <x v="0"/>
    <m/>
    <m/>
    <m/>
    <m/>
    <s v="Company"/>
    <m/>
    <s v="C2843"/>
    <s v="Candidate_1843"/>
    <s v="14/02/2023"/>
    <x v="2"/>
    <s v="Job Board"/>
    <n v="3"/>
    <m/>
    <x v="0"/>
    <m/>
    <m/>
    <x v="0"/>
    <x v="0"/>
    <m/>
    <x v="1"/>
    <x v="0"/>
  </r>
  <r>
    <n v="397"/>
    <s v="397 | Finance"/>
    <x v="21"/>
    <x v="7"/>
    <x v="33"/>
    <x v="22"/>
    <s v="Finance-Principal Officer"/>
    <x v="2"/>
    <d v="2023-02-14T16:28:40"/>
    <x v="959"/>
    <x v="315"/>
    <n v="6"/>
    <d v="2023-03-04T16:28:40"/>
    <s v="No"/>
    <m/>
    <x v="2"/>
    <x v="1"/>
    <m/>
    <m/>
    <m/>
    <m/>
    <m/>
    <m/>
    <x v="0"/>
    <m/>
    <m/>
    <m/>
    <m/>
    <m/>
    <m/>
    <s v="C2844"/>
    <s v="Candidate_1844"/>
    <m/>
    <x v="2"/>
    <s v="Job Board"/>
    <n v="6"/>
    <m/>
    <x v="0"/>
    <m/>
    <m/>
    <x v="0"/>
    <x v="0"/>
    <m/>
    <x v="1"/>
    <x v="0"/>
  </r>
  <r>
    <n v="391"/>
    <s v="391 | Finance"/>
    <x v="22"/>
    <x v="7"/>
    <x v="33"/>
    <x v="22"/>
    <s v="Finance-Principal Officer"/>
    <x v="2"/>
    <m/>
    <x v="958"/>
    <x v="4"/>
    <n v="0"/>
    <d v="2023-02-28T16:28:40"/>
    <s v="Yes"/>
    <d v="2023-03-01T16:28:40"/>
    <x v="0"/>
    <x v="5"/>
    <m/>
    <m/>
    <m/>
    <m/>
    <m/>
    <m/>
    <x v="0"/>
    <m/>
    <m/>
    <m/>
    <m/>
    <s v="Company"/>
    <m/>
    <s v="C2845"/>
    <s v="Candidate_1845"/>
    <s v="02-16-2023"/>
    <x v="1"/>
    <s v="Linkedin"/>
    <n v="6"/>
    <m/>
    <x v="0"/>
    <m/>
    <m/>
    <x v="0"/>
    <x v="0"/>
    <m/>
    <x v="0"/>
    <x v="0"/>
  </r>
  <r>
    <n v="348"/>
    <s v="348 | Finance"/>
    <x v="23"/>
    <x v="7"/>
    <x v="33"/>
    <x v="22"/>
    <s v="Finance-Principal Officer"/>
    <x v="2"/>
    <m/>
    <x v="1017"/>
    <x v="316"/>
    <n v="44690.644375000003"/>
    <d v="2022-06-07T15:27:54"/>
    <s v="Yes"/>
    <d v="2022-05-12T15:27:54"/>
    <x v="3"/>
    <x v="1"/>
    <d v="2022-05-16T15:27:54"/>
    <s v="Accepted"/>
    <d v="2022-05-13T15:27:54"/>
    <d v="2022-05-17T15:27:54"/>
    <d v="2022-05-15T15:27:54"/>
    <d v="2022-05-22T15:27:54"/>
    <x v="1"/>
    <d v="2022-05-24T15:27:54"/>
    <d v="2022-05-25T15:27:54"/>
    <d v="2022-05-27T15:27:54"/>
    <m/>
    <m/>
    <d v="2022-06-13T15:27:54"/>
    <s v="C2846"/>
    <s v="Candidate_1846"/>
    <s v="Apr 27 2022"/>
    <x v="1"/>
    <s v="Linkedin"/>
    <n v="3"/>
    <m/>
    <x v="0"/>
    <m/>
    <m/>
    <x v="0"/>
    <x v="0"/>
    <m/>
    <x v="0"/>
    <x v="0"/>
  </r>
  <r>
    <n v="344"/>
    <s v="344 | Finance"/>
    <x v="21"/>
    <x v="7"/>
    <x v="33"/>
    <x v="22"/>
    <s v="Finance-Principal Officer"/>
    <x v="2"/>
    <d v="2022-04-30T15:27:54"/>
    <x v="1017"/>
    <x v="316"/>
    <n v="9"/>
    <d v="2022-05-28T15:27:54"/>
    <s v="No"/>
    <m/>
    <x v="2"/>
    <x v="1"/>
    <m/>
    <m/>
    <m/>
    <m/>
    <m/>
    <m/>
    <x v="0"/>
    <m/>
    <m/>
    <m/>
    <m/>
    <m/>
    <m/>
    <s v="C2847"/>
    <s v="Candidate_1847"/>
    <m/>
    <x v="1"/>
    <s v="Linkedin"/>
    <n v="3"/>
    <m/>
    <x v="0"/>
    <m/>
    <m/>
    <x v="0"/>
    <x v="0"/>
    <m/>
    <x v="1"/>
    <x v="0"/>
  </r>
  <r>
    <n v="343"/>
    <s v="343 | Finance"/>
    <x v="23"/>
    <x v="7"/>
    <x v="33"/>
    <x v="22"/>
    <s v="Finance-Principal Officer"/>
    <x v="2"/>
    <d v="2022-05-07T15:27:54"/>
    <x v="1019"/>
    <x v="316"/>
    <n v="2"/>
    <d v="2022-06-05T15:27:54"/>
    <s v="Yes"/>
    <d v="2022-05-25T15:27:54"/>
    <x v="0"/>
    <x v="5"/>
    <m/>
    <m/>
    <m/>
    <m/>
    <d v="2022-05-26T15:27:54"/>
    <m/>
    <x v="0"/>
    <m/>
    <m/>
    <m/>
    <m/>
    <s v="Candidate"/>
    <m/>
    <s v="C2848"/>
    <s v="Candidate_1848"/>
    <s v="05-15-2022"/>
    <x v="2"/>
    <s v="Job Board"/>
    <n v="3"/>
    <m/>
    <x v="0"/>
    <m/>
    <m/>
    <x v="0"/>
    <x v="0"/>
    <m/>
    <x v="1"/>
    <x v="0"/>
  </r>
  <r>
    <n v="289"/>
    <s v="289 | Finance"/>
    <x v="21"/>
    <x v="7"/>
    <x v="33"/>
    <x v="22"/>
    <s v="Finance-Principal Officer"/>
    <x v="2"/>
    <d v="2022-05-17T16:15:48"/>
    <x v="962"/>
    <x v="4"/>
    <n v="-44698.67763888889"/>
    <d v="2022-06-01T16:15:48"/>
    <s v="Yes"/>
    <d v="2022-06-11T16:15:48"/>
    <x v="3"/>
    <x v="1"/>
    <d v="2022-06-15T16:15:48"/>
    <s v="Accepted"/>
    <d v="2022-06-12T16:15:48"/>
    <d v="2022-06-16T16:15:48"/>
    <d v="2022-06-14T16:15:48"/>
    <d v="2022-06-23T16:15:48"/>
    <x v="1"/>
    <d v="2022-06-26T16:15:48"/>
    <d v="2022-06-27T16:15:48"/>
    <d v="2022-06-30T16:15:48"/>
    <m/>
    <m/>
    <d v="2022-07-14T16:15:48"/>
    <s v="C2849"/>
    <s v="Candidate_1849"/>
    <s v="05-28-2022"/>
    <x v="0"/>
    <s v="Referral"/>
    <n v="6"/>
    <m/>
    <x v="0"/>
    <m/>
    <m/>
    <x v="0"/>
    <x v="0"/>
    <m/>
    <x v="0"/>
    <x v="0"/>
  </r>
  <r>
    <n v="281"/>
    <s v="281 | Finance"/>
    <x v="21"/>
    <x v="7"/>
    <x v="33"/>
    <x v="2"/>
    <s v="Finance-Director"/>
    <x v="2"/>
    <d v="2022-05-18T16:15:48"/>
    <x v="963"/>
    <x v="317"/>
    <n v="7"/>
    <d v="2022-05-31T16:15:48"/>
    <s v="Yes"/>
    <d v="2022-06-04T16:15:48"/>
    <x v="0"/>
    <x v="4"/>
    <m/>
    <m/>
    <m/>
    <m/>
    <d v="2022-06-07T16:15:48"/>
    <m/>
    <x v="0"/>
    <m/>
    <m/>
    <m/>
    <m/>
    <s v="Candidate"/>
    <m/>
    <s v="C2850"/>
    <s v="Candidate_1850"/>
    <s v="May 30 2022"/>
    <x v="2"/>
    <s v="Job Board"/>
    <n v="3"/>
    <m/>
    <x v="0"/>
    <m/>
    <m/>
    <x v="0"/>
    <x v="0"/>
    <m/>
    <x v="1"/>
    <x v="0"/>
  </r>
  <r>
    <n v="209"/>
    <s v="209 | Finance"/>
    <x v="21"/>
    <x v="7"/>
    <x v="33"/>
    <x v="2"/>
    <s v="Finance-Director"/>
    <x v="2"/>
    <d v="2022-07-02T08:13:46"/>
    <x v="964"/>
    <x v="283"/>
    <n v="10"/>
    <d v="2023-01-18T08:13:46"/>
    <s v="Yes"/>
    <d v="2022-07-22T08:13:46"/>
    <x v="0"/>
    <x v="0"/>
    <m/>
    <m/>
    <m/>
    <m/>
    <d v="2022-07-26T08:13:46"/>
    <m/>
    <x v="0"/>
    <m/>
    <m/>
    <m/>
    <m/>
    <s v="Candidate"/>
    <m/>
    <s v="C2851"/>
    <s v="Candidate_1851"/>
    <s v="07-15-2022"/>
    <x v="1"/>
    <s v="Linkedin"/>
    <n v="3"/>
    <m/>
    <x v="0"/>
    <m/>
    <m/>
    <x v="0"/>
    <x v="0"/>
    <m/>
    <x v="1"/>
    <x v="0"/>
  </r>
  <r>
    <n v="201"/>
    <s v="201 | Finance"/>
    <x v="22"/>
    <x v="7"/>
    <x v="33"/>
    <x v="2"/>
    <s v="Finance-Director"/>
    <x v="2"/>
    <d v="2022-07-06T08:13:46"/>
    <x v="871"/>
    <x v="283"/>
    <n v="6"/>
    <d v="2023-01-18T08:13:46"/>
    <s v="No"/>
    <m/>
    <x v="2"/>
    <x v="1"/>
    <m/>
    <m/>
    <m/>
    <m/>
    <m/>
    <m/>
    <x v="0"/>
    <m/>
    <m/>
    <m/>
    <m/>
    <m/>
    <m/>
    <s v="C2852"/>
    <s v="Candidate_1852"/>
    <m/>
    <x v="2"/>
    <s v="Job Board"/>
    <n v="6"/>
    <m/>
    <x v="0"/>
    <m/>
    <m/>
    <x v="0"/>
    <x v="0"/>
    <m/>
    <x v="1"/>
    <x v="0"/>
  </r>
  <r>
    <n v="107"/>
    <s v="107 | Finance"/>
    <x v="21"/>
    <x v="7"/>
    <x v="33"/>
    <x v="2"/>
    <s v="Finance-Director"/>
    <x v="2"/>
    <d v="2023-03-28T21:07:16"/>
    <x v="1070"/>
    <x v="285"/>
    <n v="6"/>
    <d v="2023-04-15T21:07:16"/>
    <s v="Yes"/>
    <d v="2023-04-06T21:07:16"/>
    <x v="4"/>
    <x v="1"/>
    <d v="2023-04-14T21:07:16"/>
    <s v="Pending"/>
    <m/>
    <m/>
    <d v="2023-04-10T21:07:16"/>
    <m/>
    <x v="0"/>
    <m/>
    <m/>
    <m/>
    <m/>
    <m/>
    <m/>
    <s v="C2853"/>
    <s v="Candidate_1853"/>
    <s v="03-20-2023"/>
    <x v="1"/>
    <s v="Linkedin"/>
    <n v="3"/>
    <m/>
    <x v="0"/>
    <m/>
    <m/>
    <x v="0"/>
    <x v="0"/>
    <m/>
    <x v="1"/>
    <x v="0"/>
  </r>
  <r>
    <n v="96"/>
    <s v="96 | Finance"/>
    <x v="23"/>
    <x v="7"/>
    <x v="33"/>
    <x v="2"/>
    <s v="Finance-Director"/>
    <x v="2"/>
    <d v="2022-10-06T14:05:41"/>
    <x v="0"/>
    <x v="286"/>
    <n v="7"/>
    <d v="2022-10-28T14:05:41"/>
    <s v="Yes"/>
    <d v="2022-10-21T14:05:41"/>
    <x v="0"/>
    <x v="3"/>
    <m/>
    <m/>
    <m/>
    <m/>
    <d v="2022-10-23T14:05:41"/>
    <m/>
    <x v="0"/>
    <m/>
    <m/>
    <m/>
    <m/>
    <s v="Candidate"/>
    <m/>
    <s v="C2854"/>
    <s v="Candidate_1854"/>
    <s v="Oct 15 2022"/>
    <x v="2"/>
    <s v="Job Board"/>
    <n v="6"/>
    <m/>
    <x v="0"/>
    <m/>
    <m/>
    <x v="0"/>
    <x v="0"/>
    <m/>
    <x v="0"/>
    <x v="0"/>
  </r>
  <r>
    <n v="75"/>
    <s v="75 | Finance"/>
    <x v="22"/>
    <x v="7"/>
    <x v="33"/>
    <x v="2"/>
    <s v="Finance-Director"/>
    <x v="2"/>
    <d v="2022-07-05T09:51:33"/>
    <x v="1088"/>
    <x v="318"/>
    <n v="7"/>
    <d v="2022-07-29T09:51:33"/>
    <s v="Yes"/>
    <d v="2022-07-27T09:51:33"/>
    <x v="0"/>
    <x v="4"/>
    <m/>
    <m/>
    <m/>
    <m/>
    <m/>
    <m/>
    <x v="0"/>
    <m/>
    <m/>
    <m/>
    <m/>
    <s v="Candidate"/>
    <m/>
    <s v="C2855"/>
    <s v="Candidate_1855"/>
    <s v="11/07/2022"/>
    <x v="2"/>
    <s v="Job Board"/>
    <n v="6"/>
    <m/>
    <x v="0"/>
    <m/>
    <m/>
    <x v="0"/>
    <x v="0"/>
    <m/>
    <x v="1"/>
    <x v="0"/>
  </r>
  <r>
    <n v="73"/>
    <s v="73 | Finance"/>
    <x v="22"/>
    <x v="7"/>
    <x v="33"/>
    <x v="2"/>
    <s v="Finance-Director"/>
    <x v="2"/>
    <d v="2022-07-06T09:51:33"/>
    <x v="1071"/>
    <x v="318"/>
    <n v="6"/>
    <d v="2022-08-09T09:51:33"/>
    <s v="Yes"/>
    <d v="2022-07-17T09:51:33"/>
    <x v="3"/>
    <x v="1"/>
    <d v="2022-07-22T09:51:33"/>
    <s v="Accepted"/>
    <d v="2022-07-18T09:51:33"/>
    <d v="2022-07-22T09:51:33"/>
    <d v="2022-07-21T09:51:33"/>
    <d v="2022-07-30T09:51:33"/>
    <x v="1"/>
    <d v="2022-08-03T09:51:33"/>
    <d v="2022-08-04T09:51:33"/>
    <d v="2022-08-06T09:51:33"/>
    <m/>
    <m/>
    <d v="2022-08-23T09:51:33"/>
    <s v="C2856"/>
    <s v="Candidate_1856"/>
    <s v="07-02-2022"/>
    <x v="0"/>
    <s v="Referral"/>
    <n v="6"/>
    <m/>
    <x v="0"/>
    <m/>
    <m/>
    <x v="0"/>
    <x v="0"/>
    <m/>
    <x v="190"/>
    <x v="0"/>
  </r>
  <r>
    <n v="71"/>
    <s v="71 | Finance"/>
    <x v="21"/>
    <x v="7"/>
    <x v="33"/>
    <x v="2"/>
    <s v="Finance-Director"/>
    <x v="2"/>
    <d v="2022-07-10T09:51:33"/>
    <x v="1023"/>
    <x v="318"/>
    <n v="2"/>
    <d v="2022-07-23T09:51:33"/>
    <s v="Yes"/>
    <d v="2022-07-20T09:51:33"/>
    <x v="4"/>
    <x v="1"/>
    <d v="2022-07-26T09:51:33"/>
    <s v="Pending"/>
    <m/>
    <m/>
    <d v="2022-07-24T09:51:33"/>
    <m/>
    <x v="0"/>
    <m/>
    <m/>
    <m/>
    <m/>
    <m/>
    <m/>
    <s v="C2857"/>
    <s v="Candidate_1857"/>
    <s v="06/07/2022"/>
    <x v="0"/>
    <s v="Referral"/>
    <n v="3"/>
    <m/>
    <x v="0"/>
    <m/>
    <m/>
    <x v="0"/>
    <x v="0"/>
    <m/>
    <x v="1"/>
    <x v="0"/>
  </r>
  <r>
    <n v="27"/>
    <s v="27 | Finance"/>
    <x v="21"/>
    <x v="7"/>
    <x v="33"/>
    <x v="2"/>
    <s v="Finance-Director"/>
    <x v="2"/>
    <m/>
    <x v="1089"/>
    <x v="287"/>
    <n v="44927.453449074077"/>
    <d v="2023-01-13T10:52:58"/>
    <s v="Yes"/>
    <d v="2023-01-07T10:52:58"/>
    <x v="4"/>
    <x v="1"/>
    <d v="2023-01-12T10:52:58"/>
    <s v="Pending"/>
    <m/>
    <m/>
    <d v="2023-01-08T10:52:58"/>
    <m/>
    <x v="0"/>
    <m/>
    <m/>
    <m/>
    <m/>
    <m/>
    <m/>
    <s v="C2858"/>
    <s v="Candidate_1858"/>
    <s v="01/01/2023"/>
    <x v="2"/>
    <s v="Job Board"/>
    <n v="3"/>
    <m/>
    <x v="0"/>
    <m/>
    <m/>
    <x v="0"/>
    <x v="0"/>
    <m/>
    <x v="0"/>
    <x v="0"/>
  </r>
  <r>
    <n v="26"/>
    <s v="26 | Finance"/>
    <x v="21"/>
    <x v="7"/>
    <x v="33"/>
    <x v="2"/>
    <s v="Finance-Director"/>
    <x v="2"/>
    <d v="2022-12-27T10:52:58"/>
    <x v="879"/>
    <x v="287"/>
    <n v="5"/>
    <d v="2023-01-12T10:52:58"/>
    <s v="Yes"/>
    <d v="2023-01-19T10:52:58"/>
    <x v="3"/>
    <x v="1"/>
    <d v="2023-01-26T10:52:58"/>
    <s v="Accepted"/>
    <d v="2023-01-20T10:52:58"/>
    <d v="2023-01-22T10:52:58"/>
    <d v="2023-01-22T10:52:58"/>
    <d v="2023-01-27T10:52:58"/>
    <x v="1"/>
    <d v="2023-01-28T10:52:58"/>
    <d v="2023-01-29T10:52:58"/>
    <d v="2023-02-01T10:52:58"/>
    <m/>
    <m/>
    <d v="2023-02-13T10:52:58"/>
    <s v="C2859"/>
    <s v="Candidate_1859"/>
    <s v="01-09-2023"/>
    <x v="1"/>
    <s v="Linkedin"/>
    <n v="3"/>
    <m/>
    <x v="0"/>
    <m/>
    <m/>
    <x v="0"/>
    <x v="0"/>
    <m/>
    <x v="191"/>
    <x v="0"/>
  </r>
  <r>
    <n v="25"/>
    <s v="25 | Finance"/>
    <x v="23"/>
    <x v="7"/>
    <x v="33"/>
    <x v="2"/>
    <s v="Finance-Director"/>
    <x v="2"/>
    <d v="2022-12-22T10:52:58"/>
    <x v="1089"/>
    <x v="287"/>
    <n v="10"/>
    <d v="2023-01-25T10:52:58"/>
    <s v="Yes"/>
    <d v="2023-01-12T10:52:58"/>
    <x v="0"/>
    <x v="4"/>
    <m/>
    <m/>
    <m/>
    <m/>
    <d v="2023-01-13T10:52:58"/>
    <m/>
    <x v="0"/>
    <m/>
    <m/>
    <m/>
    <m/>
    <s v="Company"/>
    <m/>
    <s v="C2860"/>
    <s v="Candidate_1860"/>
    <s v="Jan 06 2023"/>
    <x v="0"/>
    <s v="Referral"/>
    <n v="6"/>
    <m/>
    <x v="0"/>
    <m/>
    <m/>
    <x v="0"/>
    <x v="0"/>
    <m/>
    <x v="1"/>
    <x v="0"/>
  </r>
  <r>
    <n v="19"/>
    <s v="19 | Finance"/>
    <x v="22"/>
    <x v="7"/>
    <x v="33"/>
    <x v="2"/>
    <s v="Finance-Director"/>
    <x v="2"/>
    <d v="2022-03-17T21:37:51"/>
    <x v="969"/>
    <x v="288"/>
    <n v="5"/>
    <d v="2022-03-31T21:37:51"/>
    <s v="Yes"/>
    <d v="2022-03-29T21:37:51"/>
    <x v="0"/>
    <x v="0"/>
    <m/>
    <m/>
    <m/>
    <m/>
    <m/>
    <m/>
    <x v="0"/>
    <m/>
    <m/>
    <m/>
    <m/>
    <s v="Candidate"/>
    <m/>
    <s v="C2861"/>
    <s v="Candidate_1861"/>
    <s v="Mar 20 2022"/>
    <x v="0"/>
    <s v="Referral"/>
    <n v="6"/>
    <m/>
    <x v="0"/>
    <m/>
    <m/>
    <x v="0"/>
    <x v="0"/>
    <m/>
    <x v="1"/>
    <x v="0"/>
  </r>
  <r>
    <n v="13"/>
    <s v="13 | Finance"/>
    <x v="22"/>
    <x v="7"/>
    <x v="33"/>
    <x v="2"/>
    <s v="Finance-Director"/>
    <x v="2"/>
    <d v="2022-03-12T21:37:51"/>
    <x v="1024"/>
    <x v="288"/>
    <n v="10"/>
    <d v="2022-04-11T21:37:51"/>
    <s v="Yes"/>
    <d v="2022-03-28T21:37:51"/>
    <x v="0"/>
    <x v="4"/>
    <m/>
    <m/>
    <m/>
    <m/>
    <m/>
    <m/>
    <x v="0"/>
    <m/>
    <m/>
    <m/>
    <m/>
    <s v="Candidate"/>
    <m/>
    <s v="C2862"/>
    <s v="Candidate_1862"/>
    <s v="17/03/2022"/>
    <x v="0"/>
    <s v="Referral"/>
    <n v="6"/>
    <m/>
    <x v="0"/>
    <m/>
    <m/>
    <x v="0"/>
    <x v="0"/>
    <m/>
    <x v="1"/>
    <x v="0"/>
  </r>
  <r>
    <n v="11"/>
    <s v="11 | Finance"/>
    <x v="21"/>
    <x v="7"/>
    <x v="33"/>
    <x v="2"/>
    <s v="Finance-Director"/>
    <x v="2"/>
    <d v="2022-03-14T21:37:51"/>
    <x v="0"/>
    <x v="288"/>
    <n v="8"/>
    <d v="2022-04-17T21:37:51"/>
    <s v="Yes"/>
    <d v="2022-04-04T21:37:51"/>
    <x v="0"/>
    <x v="3"/>
    <m/>
    <m/>
    <m/>
    <m/>
    <d v="2022-04-07T21:37:51"/>
    <m/>
    <x v="0"/>
    <m/>
    <m/>
    <m/>
    <m/>
    <s v="Company"/>
    <m/>
    <s v="C2863"/>
    <s v="Candidate_1863"/>
    <s v="Mar 18 2022"/>
    <x v="2"/>
    <s v="Job Board"/>
    <n v="6"/>
    <m/>
    <x v="0"/>
    <m/>
    <m/>
    <x v="0"/>
    <x v="0"/>
    <m/>
    <x v="0"/>
    <x v="0"/>
  </r>
  <r>
    <n v="2760"/>
    <s v="2760 | Finance"/>
    <x v="21"/>
    <x v="7"/>
    <x v="34"/>
    <x v="23"/>
    <s v="Finance-Revenue Recorgnition"/>
    <x v="1"/>
    <d v="2023-04-10T18:21:43"/>
    <x v="887"/>
    <x v="289"/>
    <n v="6"/>
    <d v="2023-05-04T18:21:43"/>
    <s v="Yes"/>
    <d v="2023-04-21T18:21:43"/>
    <x v="0"/>
    <x v="2"/>
    <m/>
    <m/>
    <m/>
    <m/>
    <d v="2023-04-24T18:21:43"/>
    <m/>
    <x v="0"/>
    <m/>
    <m/>
    <m/>
    <m/>
    <s v="Company"/>
    <m/>
    <s v="C2864"/>
    <s v="Candidate_1864"/>
    <s v="09/04/2023"/>
    <x v="2"/>
    <s v="Job Board"/>
    <n v="6"/>
    <m/>
    <x v="0"/>
    <m/>
    <m/>
    <x v="0"/>
    <x v="0"/>
    <m/>
    <x v="1"/>
    <x v="0"/>
  </r>
  <r>
    <n v="2684"/>
    <s v="2684 | Finance"/>
    <x v="21"/>
    <x v="7"/>
    <x v="34"/>
    <x v="23"/>
    <s v="Finance-Revenue Recorgnition"/>
    <x v="1"/>
    <d v="2023-07-29T17:11:38"/>
    <x v="1027"/>
    <x v="259"/>
    <n v="6"/>
    <d v="2023-09-03T17:11:38"/>
    <s v="No"/>
    <m/>
    <x v="2"/>
    <x v="1"/>
    <m/>
    <m/>
    <m/>
    <m/>
    <m/>
    <m/>
    <x v="0"/>
    <m/>
    <m/>
    <m/>
    <m/>
    <m/>
    <m/>
    <s v="C2865"/>
    <s v="Candidate_1865"/>
    <m/>
    <x v="2"/>
    <s v="Job Board"/>
    <n v="6"/>
    <m/>
    <x v="0"/>
    <m/>
    <m/>
    <x v="0"/>
    <x v="0"/>
    <m/>
    <x v="1"/>
    <x v="0"/>
  </r>
  <r>
    <n v="2679"/>
    <s v="2679 | Finance"/>
    <x v="22"/>
    <x v="7"/>
    <x v="34"/>
    <x v="23"/>
    <s v="Finance-Revenue Recorgnition"/>
    <x v="1"/>
    <d v="2022-02-08T03:23:10"/>
    <x v="1090"/>
    <x v="319"/>
    <n v="8"/>
    <d v="2022-03-08T03:23:10"/>
    <s v="Yes"/>
    <d v="2022-03-03T03:23:10"/>
    <x v="3"/>
    <x v="1"/>
    <d v="2022-03-07T03:23:10"/>
    <s v="Accepted"/>
    <d v="2022-03-05T03:23:10"/>
    <d v="2022-03-07T03:23:10"/>
    <d v="2022-03-06T03:23:10"/>
    <d v="2022-03-10T03:23:10"/>
    <x v="1"/>
    <d v="2022-03-14T03:23:10"/>
    <d v="2022-03-17T03:23:10"/>
    <d v="2022-03-18T03:23:10"/>
    <m/>
    <m/>
    <d v="2022-03-29T03:23:10"/>
    <s v="C2866"/>
    <s v="Candidate_1866"/>
    <s v="Feb 19 2022"/>
    <x v="0"/>
    <s v="Referral"/>
    <n v="3"/>
    <m/>
    <x v="0"/>
    <m/>
    <m/>
    <x v="0"/>
    <x v="0"/>
    <m/>
    <x v="192"/>
    <x v="0"/>
  </r>
  <r>
    <n v="2672"/>
    <s v="2672 | Finance"/>
    <x v="23"/>
    <x v="7"/>
    <x v="34"/>
    <x v="23"/>
    <s v="Finance-Revenue Recorgnition"/>
    <x v="1"/>
    <d v="2022-02-12T03:23:10"/>
    <x v="889"/>
    <x v="319"/>
    <n v="4"/>
    <d v="2022-03-08T03:23:10"/>
    <s v="Yes"/>
    <d v="2022-02-21T03:23:10"/>
    <x v="0"/>
    <x v="0"/>
    <m/>
    <m/>
    <m/>
    <m/>
    <d v="2022-02-24T03:23:10"/>
    <m/>
    <x v="0"/>
    <m/>
    <m/>
    <m/>
    <m/>
    <s v="Company"/>
    <m/>
    <s v="C2867"/>
    <s v="Candidate_1867"/>
    <s v="12/02/2022"/>
    <x v="2"/>
    <s v="Job Board"/>
    <n v="3"/>
    <m/>
    <x v="0"/>
    <m/>
    <m/>
    <x v="0"/>
    <x v="0"/>
    <m/>
    <x v="1"/>
    <x v="0"/>
  </r>
  <r>
    <n v="2548"/>
    <s v="2548 | Finance"/>
    <x v="22"/>
    <x v="7"/>
    <x v="34"/>
    <x v="23"/>
    <s v="Finance-Revenue Recorgnition"/>
    <x v="1"/>
    <d v="2023-06-30T11:30:00"/>
    <x v="891"/>
    <x v="290"/>
    <n v="5"/>
    <d v="2023-07-21T11:30:00"/>
    <s v="Yes"/>
    <d v="2023-07-18T11:30:00"/>
    <x v="0"/>
    <x v="3"/>
    <m/>
    <m/>
    <m/>
    <m/>
    <m/>
    <m/>
    <x v="0"/>
    <m/>
    <m/>
    <m/>
    <m/>
    <s v="Company"/>
    <m/>
    <s v="C2868"/>
    <s v="Candidate_1868"/>
    <s v="07-06-2023"/>
    <x v="1"/>
    <s v="Linkedin"/>
    <n v="3"/>
    <m/>
    <x v="0"/>
    <m/>
    <m/>
    <x v="0"/>
    <x v="0"/>
    <m/>
    <x v="1"/>
    <x v="0"/>
  </r>
  <r>
    <n v="2546"/>
    <s v="2546 | Finance"/>
    <x v="22"/>
    <x v="7"/>
    <x v="34"/>
    <x v="23"/>
    <s v="Finance-Revenue Recorgnition"/>
    <x v="1"/>
    <d v="2023-07-01T11:30:00"/>
    <x v="1091"/>
    <x v="290"/>
    <n v="4"/>
    <d v="2023-08-01T11:30:00"/>
    <s v="Yes"/>
    <d v="2023-07-19T11:30:00"/>
    <x v="3"/>
    <x v="1"/>
    <d v="2023-07-27T11:30:00"/>
    <s v="Accepted"/>
    <d v="2023-07-21T11:30:00"/>
    <d v="2023-07-25T11:30:00"/>
    <d v="2023-07-23T11:30:00"/>
    <d v="2023-07-28T11:30:00"/>
    <x v="1"/>
    <d v="2023-07-31T11:30:00"/>
    <d v="2023-08-03T11:30:00"/>
    <d v="2023-08-05T11:30:00"/>
    <m/>
    <m/>
    <d v="2023-08-14T11:30:00"/>
    <s v="C2869"/>
    <s v="Candidate_1869"/>
    <s v="04/07/2023"/>
    <x v="1"/>
    <s v="Linkedin"/>
    <n v="6"/>
    <m/>
    <x v="0"/>
    <m/>
    <m/>
    <x v="0"/>
    <x v="0"/>
    <m/>
    <x v="193"/>
    <x v="0"/>
  </r>
  <r>
    <n v="2509"/>
    <s v="2509 | Finance"/>
    <x v="22"/>
    <x v="7"/>
    <x v="34"/>
    <x v="23"/>
    <s v="Finance-Revenue Recorgnition"/>
    <x v="1"/>
    <d v="2022-06-26T18:38:51"/>
    <x v="1033"/>
    <x v="4"/>
    <n v="-44738.776979166672"/>
    <d v="2022-07-21T18:38:51"/>
    <s v="Yes"/>
    <d v="2022-07-11T18:38:51"/>
    <x v="1"/>
    <x v="1"/>
    <d v="2022-07-16T18:38:51"/>
    <s v="Declined"/>
    <m/>
    <m/>
    <d v="2022-07-12T18:38:51"/>
    <m/>
    <x v="0"/>
    <m/>
    <m/>
    <m/>
    <m/>
    <m/>
    <m/>
    <s v="C2870"/>
    <s v="Candidate_1870"/>
    <s v="06-26-2022"/>
    <x v="2"/>
    <s v="Job Board"/>
    <n v="6"/>
    <m/>
    <x v="0"/>
    <m/>
    <m/>
    <x v="0"/>
    <x v="0"/>
    <m/>
    <x v="0"/>
    <x v="0"/>
  </r>
  <r>
    <n v="2504"/>
    <s v="2504 | Finance"/>
    <x v="22"/>
    <x v="7"/>
    <x v="34"/>
    <x v="23"/>
    <s v="Finance-Revenue Recorgnition"/>
    <x v="1"/>
    <m/>
    <x v="1034"/>
    <x v="320"/>
    <n v="44743.776979166672"/>
    <d v="2022-07-25T18:38:51"/>
    <s v="Yes"/>
    <d v="2022-07-18T18:38:51"/>
    <x v="0"/>
    <x v="0"/>
    <m/>
    <m/>
    <m/>
    <m/>
    <d v="2022-07-21T18:38:51"/>
    <m/>
    <x v="0"/>
    <m/>
    <m/>
    <m/>
    <m/>
    <s v="Candidate"/>
    <m/>
    <s v="C2871"/>
    <s v="Candidate_1871"/>
    <s v="Jun 29 2022"/>
    <x v="1"/>
    <s v="Linkedin"/>
    <n v="6"/>
    <m/>
    <x v="0"/>
    <m/>
    <m/>
    <x v="0"/>
    <x v="0"/>
    <m/>
    <x v="0"/>
    <x v="0"/>
  </r>
  <r>
    <n v="2501"/>
    <s v="2501 | Finance"/>
    <x v="23"/>
    <x v="7"/>
    <x v="34"/>
    <x v="23"/>
    <s v="Finance-Revenue Recorgnition"/>
    <x v="1"/>
    <d v="2022-06-22T18:38:51"/>
    <x v="1092"/>
    <x v="4"/>
    <n v="-44734.776979166672"/>
    <d v="2022-07-23T18:38:51"/>
    <s v="Yes"/>
    <d v="2022-07-09T18:38:51"/>
    <x v="0"/>
    <x v="2"/>
    <m/>
    <m/>
    <m/>
    <m/>
    <d v="2022-07-12T18:38:51"/>
    <m/>
    <x v="0"/>
    <m/>
    <m/>
    <m/>
    <m/>
    <s v="Candidate"/>
    <m/>
    <s v="C2872"/>
    <s v="Candidate_1872"/>
    <s v="Jul 01 2022"/>
    <x v="1"/>
    <s v="Linkedin"/>
    <n v="3"/>
    <m/>
    <x v="0"/>
    <m/>
    <m/>
    <x v="0"/>
    <x v="0"/>
    <m/>
    <x v="0"/>
    <x v="0"/>
  </r>
  <r>
    <n v="2475"/>
    <s v="2475 | Finance"/>
    <x v="22"/>
    <x v="7"/>
    <x v="34"/>
    <x v="23"/>
    <s v="Finance-Revenue Recorgnition"/>
    <x v="1"/>
    <d v="2022-12-20T10:20:25"/>
    <x v="1035"/>
    <x v="4"/>
    <n v="-44915.430844907409"/>
    <d v="2022-12-31T10:20:25"/>
    <s v="Yes"/>
    <d v="2022-12-31T10:20:25"/>
    <x v="1"/>
    <x v="1"/>
    <d v="2023-01-03T10:20:25"/>
    <s v="Declined"/>
    <m/>
    <m/>
    <d v="2023-01-02T10:20:25"/>
    <m/>
    <x v="0"/>
    <m/>
    <m/>
    <m/>
    <m/>
    <m/>
    <m/>
    <s v="C2873"/>
    <s v="Candidate_1873"/>
    <s v="12-18-2022"/>
    <x v="1"/>
    <s v="Linkedin"/>
    <n v="6"/>
    <m/>
    <x v="0"/>
    <m/>
    <m/>
    <x v="0"/>
    <x v="0"/>
    <m/>
    <x v="0"/>
    <x v="0"/>
  </r>
  <r>
    <n v="2353"/>
    <s v="2353 | Finance"/>
    <x v="22"/>
    <x v="7"/>
    <x v="34"/>
    <x v="23"/>
    <s v="Finance-Revenue Recorgnition"/>
    <x v="1"/>
    <m/>
    <x v="0"/>
    <x v="292"/>
    <n v="45032.526319444441"/>
    <d v="2023-04-30T12:37:54"/>
    <s v="Yes"/>
    <d v="2023-04-24T12:37:54"/>
    <x v="0"/>
    <x v="3"/>
    <m/>
    <m/>
    <m/>
    <m/>
    <m/>
    <m/>
    <x v="0"/>
    <m/>
    <m/>
    <m/>
    <m/>
    <s v="Company"/>
    <m/>
    <s v="C2874"/>
    <s v="Candidate_1874"/>
    <s v="04-18-2023"/>
    <x v="1"/>
    <s v="Linkedin"/>
    <n v="3"/>
    <m/>
    <x v="0"/>
    <m/>
    <m/>
    <x v="0"/>
    <x v="0"/>
    <m/>
    <x v="0"/>
    <x v="0"/>
  </r>
  <r>
    <n v="2351"/>
    <s v="2351 | Finance"/>
    <x v="21"/>
    <x v="7"/>
    <x v="34"/>
    <x v="23"/>
    <s v="Finance-Revenue Recorgnition"/>
    <x v="1"/>
    <d v="2023-04-06T12:37:54"/>
    <x v="975"/>
    <x v="292"/>
    <n v="10"/>
    <d v="2023-05-13T12:37:54"/>
    <s v="Yes"/>
    <d v="2023-04-28T12:37:54"/>
    <x v="3"/>
    <x v="1"/>
    <d v="2023-05-04T12:37:54"/>
    <s v="Accepted"/>
    <d v="2023-04-29T12:37:54"/>
    <d v="2023-05-03T12:37:54"/>
    <d v="2023-05-02T12:37:54"/>
    <d v="2023-05-07T12:37:54"/>
    <x v="1"/>
    <d v="2023-05-10T12:37:54"/>
    <d v="2023-05-13T12:37:54"/>
    <d v="2023-05-16T12:37:54"/>
    <m/>
    <m/>
    <d v="2023-05-24T12:37:54"/>
    <s v="C2875"/>
    <s v="Candidate_1875"/>
    <s v="Apr 11 2023"/>
    <x v="2"/>
    <s v="Job Board"/>
    <n v="3"/>
    <m/>
    <x v="0"/>
    <m/>
    <m/>
    <x v="0"/>
    <x v="0"/>
    <m/>
    <x v="194"/>
    <x v="0"/>
  </r>
  <r>
    <n v="2326"/>
    <s v="2326 | Finance"/>
    <x v="22"/>
    <x v="7"/>
    <x v="34"/>
    <x v="23"/>
    <s v="Finance-Revenue Recorgnition"/>
    <x v="1"/>
    <d v="2022-02-06T06:22:29"/>
    <x v="1093"/>
    <x v="260"/>
    <n v="5"/>
    <d v="2022-02-18T06:22:29"/>
    <s v="Yes"/>
    <d v="2022-02-16T06:22:29"/>
    <x v="3"/>
    <x v="1"/>
    <d v="2022-02-21T06:22:29"/>
    <s v="Accepted"/>
    <d v="2022-02-18T06:22:29"/>
    <d v="2022-02-22T06:22:29"/>
    <d v="2022-02-18T06:22:29"/>
    <d v="2022-02-28T06:22:29"/>
    <x v="1"/>
    <d v="2022-03-04T06:22:29"/>
    <d v="2022-03-07T06:22:29"/>
    <d v="2022-03-08T06:22:29"/>
    <m/>
    <m/>
    <d v="2022-03-29T06:22:29"/>
    <s v="C2876"/>
    <s v="Candidate_1876"/>
    <s v="09/02/2022"/>
    <x v="0"/>
    <s v="Referral"/>
    <n v="6"/>
    <m/>
    <x v="0"/>
    <m/>
    <m/>
    <x v="0"/>
    <x v="0"/>
    <m/>
    <x v="195"/>
    <x v="0"/>
  </r>
  <r>
    <n v="2321"/>
    <s v="2321 | Finance"/>
    <x v="22"/>
    <x v="7"/>
    <x v="34"/>
    <x v="23"/>
    <s v="Finance-Revenue Recorgnition"/>
    <x v="1"/>
    <d v="2022-02-04T06:22:29"/>
    <x v="1038"/>
    <x v="260"/>
    <n v="7"/>
    <d v="2022-02-17T06:22:29"/>
    <s v="Yes"/>
    <d v="2022-02-23T06:22:29"/>
    <x v="0"/>
    <x v="4"/>
    <m/>
    <m/>
    <m/>
    <m/>
    <d v="2022-02-25T06:22:29"/>
    <m/>
    <x v="0"/>
    <m/>
    <m/>
    <m/>
    <m/>
    <s v="Company"/>
    <m/>
    <s v="C2877"/>
    <s v="Candidate_1877"/>
    <s v="13/02/2022"/>
    <x v="2"/>
    <s v="Job Board"/>
    <n v="6"/>
    <m/>
    <x v="0"/>
    <m/>
    <m/>
    <x v="0"/>
    <x v="0"/>
    <m/>
    <x v="1"/>
    <x v="0"/>
  </r>
  <r>
    <n v="2306"/>
    <s v="2306 | Finance"/>
    <x v="21"/>
    <x v="7"/>
    <x v="34"/>
    <x v="23"/>
    <s v="Finance-Revenue Recorgnition"/>
    <x v="1"/>
    <d v="2023-06-24T01:56:26"/>
    <x v="976"/>
    <x v="293"/>
    <n v="4"/>
    <d v="2023-07-14T01:56:26"/>
    <s v="Yes"/>
    <d v="2023-07-08T01:56:26"/>
    <x v="0"/>
    <x v="5"/>
    <m/>
    <m/>
    <m/>
    <m/>
    <m/>
    <m/>
    <x v="0"/>
    <m/>
    <m/>
    <m/>
    <m/>
    <s v="Candidate"/>
    <m/>
    <s v="C2878"/>
    <s v="Candidate_1878"/>
    <s v="30/06/2023"/>
    <x v="2"/>
    <s v="Job Board"/>
    <n v="3"/>
    <m/>
    <x v="0"/>
    <m/>
    <m/>
    <x v="0"/>
    <x v="0"/>
    <m/>
    <x v="1"/>
    <x v="0"/>
  </r>
  <r>
    <n v="2302"/>
    <s v="2302 | Finance"/>
    <x v="21"/>
    <x v="7"/>
    <x v="34"/>
    <x v="23"/>
    <s v="Finance-Revenue Recorgnition"/>
    <x v="1"/>
    <d v="2023-06-20T01:56:26"/>
    <x v="1094"/>
    <x v="4"/>
    <n v="-45097.08085648148"/>
    <d v="2023-07-08T01:56:26"/>
    <s v="Yes"/>
    <d v="2023-07-03T01:56:26"/>
    <x v="0"/>
    <x v="3"/>
    <m/>
    <m/>
    <m/>
    <m/>
    <d v="2023-07-04T01:56:26"/>
    <m/>
    <x v="0"/>
    <m/>
    <m/>
    <m/>
    <m/>
    <s v="Company"/>
    <m/>
    <s v="C2879"/>
    <s v="Candidate_1879"/>
    <s v="06-18-2023"/>
    <x v="2"/>
    <s v="Job Board"/>
    <n v="6"/>
    <m/>
    <x v="0"/>
    <m/>
    <m/>
    <x v="0"/>
    <x v="0"/>
    <m/>
    <x v="0"/>
    <x v="0"/>
  </r>
  <r>
    <n v="2271"/>
    <s v="2271 | Finance"/>
    <x v="21"/>
    <x v="7"/>
    <x v="34"/>
    <x v="23"/>
    <s v="Finance-Revenue Recorgnition"/>
    <x v="1"/>
    <d v="2023-08-29T21:41:36"/>
    <x v="1095"/>
    <x v="321"/>
    <n v="4"/>
    <d v="2023-09-27T21:41:36"/>
    <s v="Yes"/>
    <d v="2023-09-04T21:41:36"/>
    <x v="3"/>
    <x v="1"/>
    <d v="2023-09-09T21:41:36"/>
    <s v="Accepted"/>
    <d v="2023-09-05T21:41:36"/>
    <d v="2023-09-06T21:41:36"/>
    <d v="2023-09-06T21:41:36"/>
    <d v="2023-09-13T21:41:36"/>
    <x v="1"/>
    <d v="2023-09-15T21:41:36"/>
    <d v="2023-09-16T21:41:36"/>
    <d v="2023-09-19T21:41:36"/>
    <m/>
    <m/>
    <d v="2023-10-10T21:41:36"/>
    <s v="C2880"/>
    <s v="Candidate_1880"/>
    <s v="08-22-2023"/>
    <x v="0"/>
    <s v="Referral"/>
    <n v="6"/>
    <m/>
    <x v="0"/>
    <m/>
    <m/>
    <x v="0"/>
    <x v="0"/>
    <m/>
    <x v="196"/>
    <x v="0"/>
  </r>
  <r>
    <n v="2229"/>
    <s v="2229 | Finance"/>
    <x v="22"/>
    <x v="7"/>
    <x v="34"/>
    <x v="23"/>
    <s v="Finance-Revenue Recorgnition"/>
    <x v="1"/>
    <d v="2023-08-13T12:50:13"/>
    <x v="1096"/>
    <x v="261"/>
    <n v="10"/>
    <d v="2023-09-22T12:50:13"/>
    <s v="Yes"/>
    <d v="2023-09-07T12:50:13"/>
    <x v="0"/>
    <x v="5"/>
    <m/>
    <m/>
    <m/>
    <m/>
    <d v="2023-09-08T12:50:13"/>
    <m/>
    <x v="0"/>
    <m/>
    <m/>
    <m/>
    <m/>
    <s v="Candidate"/>
    <m/>
    <s v="C2881"/>
    <s v="Candidate_1881"/>
    <s v="Aug 22 2023"/>
    <x v="0"/>
    <s v="Referral"/>
    <n v="3"/>
    <m/>
    <x v="0"/>
    <m/>
    <m/>
    <x v="0"/>
    <x v="0"/>
    <m/>
    <x v="1"/>
    <x v="0"/>
  </r>
  <r>
    <n v="2227"/>
    <s v="2227 | Finance"/>
    <x v="23"/>
    <x v="7"/>
    <x v="34"/>
    <x v="23"/>
    <s v="Finance-Revenue Recorgnition"/>
    <x v="1"/>
    <d v="2023-08-17T12:50:13"/>
    <x v="979"/>
    <x v="261"/>
    <n v="6"/>
    <d v="2023-09-01T12:50:13"/>
    <s v="Yes"/>
    <d v="2023-08-27T12:50:13"/>
    <x v="3"/>
    <x v="1"/>
    <d v="2023-08-31T12:50:13"/>
    <s v="Accepted"/>
    <d v="2023-08-29T12:50:13"/>
    <d v="2023-08-31T12:50:13"/>
    <d v="2023-08-28T12:50:13"/>
    <d v="2023-09-07T12:50:13"/>
    <x v="1"/>
    <d v="2023-09-11T12:50:13"/>
    <d v="2023-09-14T12:50:13"/>
    <d v="2023-09-17T12:50:13"/>
    <m/>
    <m/>
    <d v="2023-10-05T12:50:13"/>
    <s v="C2882"/>
    <s v="Candidate_1882"/>
    <s v="08-18-2023"/>
    <x v="0"/>
    <s v="Referral"/>
    <n v="3"/>
    <m/>
    <x v="0"/>
    <m/>
    <m/>
    <x v="0"/>
    <x v="0"/>
    <m/>
    <x v="197"/>
    <x v="0"/>
  </r>
  <r>
    <n v="2221"/>
    <s v="2221 | Finance"/>
    <x v="22"/>
    <x v="7"/>
    <x v="34"/>
    <x v="23"/>
    <s v="Finance-Revenue Recorgnition"/>
    <x v="1"/>
    <d v="2023-08-20T12:50:13"/>
    <x v="845"/>
    <x v="261"/>
    <n v="3"/>
    <d v="2023-09-06T12:50:13"/>
    <s v="Yes"/>
    <d v="2023-09-09T12:50:13"/>
    <x v="1"/>
    <x v="1"/>
    <d v="2023-09-12T12:50:13"/>
    <s v="Declined"/>
    <m/>
    <m/>
    <d v="2023-09-10T12:50:13"/>
    <m/>
    <x v="0"/>
    <m/>
    <m/>
    <m/>
    <m/>
    <m/>
    <m/>
    <s v="C2883"/>
    <s v="Candidate_1883"/>
    <s v="Aug 29 2023"/>
    <x v="0"/>
    <s v="Referral"/>
    <n v="3"/>
    <m/>
    <x v="0"/>
    <m/>
    <m/>
    <x v="0"/>
    <x v="0"/>
    <m/>
    <x v="1"/>
    <x v="0"/>
  </r>
  <r>
    <n v="2178"/>
    <s v="2178 | Finance"/>
    <x v="22"/>
    <x v="7"/>
    <x v="34"/>
    <x v="23"/>
    <s v="Finance-Revenue Recorgnition"/>
    <x v="1"/>
    <d v="2022-07-14T14:26:50"/>
    <x v="846"/>
    <x v="262"/>
    <n v="3"/>
    <d v="2022-07-26T14:26:50"/>
    <s v="Yes"/>
    <d v="2022-07-31T14:26:50"/>
    <x v="3"/>
    <x v="1"/>
    <d v="2022-08-04T14:26:50"/>
    <s v="Accepted"/>
    <d v="2022-08-02T14:26:50"/>
    <d v="2022-08-03T14:26:50"/>
    <d v="2022-08-03T14:26:50"/>
    <d v="2022-08-04T14:26:50"/>
    <x v="1"/>
    <d v="2022-08-07T14:26:50"/>
    <d v="2022-08-10T14:26:50"/>
    <d v="2022-08-11T14:26:50"/>
    <m/>
    <m/>
    <d v="2022-08-24T14:26:50"/>
    <s v="C2884"/>
    <s v="Candidate_1884"/>
    <s v="19/07/2022"/>
    <x v="2"/>
    <s v="Job Board"/>
    <n v="6"/>
    <m/>
    <x v="0"/>
    <m/>
    <m/>
    <x v="0"/>
    <x v="0"/>
    <m/>
    <x v="198"/>
    <x v="0"/>
  </r>
  <r>
    <n v="2177"/>
    <s v="2177 | Finance"/>
    <x v="21"/>
    <x v="7"/>
    <x v="34"/>
    <x v="23"/>
    <s v="Finance-Revenue Recorgnition"/>
    <x v="1"/>
    <d v="2022-07-08T14:26:50"/>
    <x v="980"/>
    <x v="262"/>
    <n v="9"/>
    <d v="2022-07-27T14:26:50"/>
    <s v="Yes"/>
    <d v="2022-07-22T14:26:50"/>
    <x v="0"/>
    <x v="2"/>
    <m/>
    <m/>
    <m/>
    <m/>
    <d v="2022-07-24T14:26:50"/>
    <m/>
    <x v="0"/>
    <m/>
    <m/>
    <m/>
    <m/>
    <s v="Company"/>
    <m/>
    <s v="C2885"/>
    <s v="Candidate_1885"/>
    <s v="03/07/2022"/>
    <x v="1"/>
    <s v="Linkedin"/>
    <n v="6"/>
    <m/>
    <x v="0"/>
    <m/>
    <m/>
    <x v="0"/>
    <x v="0"/>
    <m/>
    <x v="1"/>
    <x v="0"/>
  </r>
  <r>
    <n v="2159"/>
    <s v="2159 | Finance"/>
    <x v="23"/>
    <x v="7"/>
    <x v="34"/>
    <x v="23"/>
    <s v="Finance-Revenue Recorgnition"/>
    <x v="1"/>
    <m/>
    <x v="1045"/>
    <x v="322"/>
    <n v="45147.393807870372"/>
    <d v="2023-08-24T09:27:05"/>
    <s v="Yes"/>
    <d v="2023-08-14T09:27:05"/>
    <x v="0"/>
    <x v="5"/>
    <m/>
    <m/>
    <m/>
    <m/>
    <d v="2023-08-18T09:27:05"/>
    <m/>
    <x v="0"/>
    <m/>
    <m/>
    <m/>
    <m/>
    <s v="Candidate"/>
    <m/>
    <s v="C2886"/>
    <s v="Candidate_1886"/>
    <s v="08-06-2023"/>
    <x v="0"/>
    <s v="Referral"/>
    <n v="6"/>
    <m/>
    <x v="0"/>
    <m/>
    <m/>
    <x v="0"/>
    <x v="0"/>
    <m/>
    <x v="0"/>
    <x v="0"/>
  </r>
  <r>
    <n v="2157"/>
    <s v="2157 | Finance"/>
    <x v="22"/>
    <x v="7"/>
    <x v="34"/>
    <x v="23"/>
    <s v="Finance-Revenue Recorgnition"/>
    <x v="1"/>
    <d v="2023-08-02T09:27:05"/>
    <x v="1097"/>
    <x v="322"/>
    <n v="7"/>
    <d v="2023-08-23T09:27:05"/>
    <s v="Yes"/>
    <d v="2023-08-15T09:27:05"/>
    <x v="1"/>
    <x v="1"/>
    <d v="2023-08-21T09:27:05"/>
    <s v="Declined"/>
    <m/>
    <m/>
    <d v="2023-08-18T09:27:05"/>
    <m/>
    <x v="0"/>
    <m/>
    <m/>
    <m/>
    <m/>
    <m/>
    <m/>
    <s v="C2887"/>
    <s v="Candidate_1887"/>
    <s v="03/08/2023"/>
    <x v="2"/>
    <s v="Job Board"/>
    <n v="3"/>
    <m/>
    <x v="0"/>
    <m/>
    <m/>
    <x v="0"/>
    <x v="0"/>
    <m/>
    <x v="1"/>
    <x v="0"/>
  </r>
  <r>
    <n v="2085"/>
    <s v="2085 | Finance"/>
    <x v="22"/>
    <x v="7"/>
    <x v="34"/>
    <x v="23"/>
    <s v="Finance-Revenue Recorgnition"/>
    <x v="1"/>
    <d v="2022-10-04T21:05:46"/>
    <x v="848"/>
    <x v="263"/>
    <n v="3"/>
    <d v="2022-10-18T21:05:46"/>
    <s v="Yes"/>
    <d v="2022-10-11T21:05:46"/>
    <x v="3"/>
    <x v="1"/>
    <d v="2022-10-15T21:05:46"/>
    <s v="Accepted"/>
    <d v="2022-10-12T21:05:46"/>
    <d v="2022-10-14T21:05:46"/>
    <d v="2022-10-12T21:05:46"/>
    <d v="2022-10-14T21:05:46"/>
    <x v="1"/>
    <d v="2022-10-18T21:05:46"/>
    <d v="2022-10-20T21:05:46"/>
    <d v="2022-10-21T21:05:46"/>
    <m/>
    <m/>
    <d v="2022-11-07T21:05:46"/>
    <s v="C2888"/>
    <s v="Candidate_1888"/>
    <s v="10-05-2022"/>
    <x v="2"/>
    <s v="Job Board"/>
    <n v="6"/>
    <m/>
    <x v="0"/>
    <m/>
    <m/>
    <x v="0"/>
    <x v="0"/>
    <m/>
    <x v="199"/>
    <x v="0"/>
  </r>
  <r>
    <n v="2024"/>
    <s v="2024 | Finance"/>
    <x v="23"/>
    <x v="7"/>
    <x v="34"/>
    <x v="23"/>
    <s v="Finance-Revenue Recorgnition"/>
    <x v="1"/>
    <d v="2022-08-09T16:19:01"/>
    <x v="1098"/>
    <x v="296"/>
    <n v="8"/>
    <d v="2022-08-27T16:19:01"/>
    <s v="Yes"/>
    <d v="2022-08-29T16:19:01"/>
    <x v="0"/>
    <x v="5"/>
    <m/>
    <m/>
    <m/>
    <m/>
    <m/>
    <m/>
    <x v="0"/>
    <m/>
    <m/>
    <m/>
    <m/>
    <s v="Candidate"/>
    <m/>
    <s v="C2889"/>
    <s v="Candidate_1889"/>
    <s v="08-19-2022"/>
    <x v="1"/>
    <s v="Linkedin"/>
    <n v="3"/>
    <m/>
    <x v="0"/>
    <m/>
    <m/>
    <x v="0"/>
    <x v="0"/>
    <m/>
    <x v="1"/>
    <x v="0"/>
  </r>
  <r>
    <n v="1888"/>
    <s v="1888 | Finance"/>
    <x v="21"/>
    <x v="7"/>
    <x v="34"/>
    <x v="23"/>
    <s v="Finance-Revenue Recorgnition"/>
    <x v="1"/>
    <d v="2022-10-06T10:12:16"/>
    <x v="986"/>
    <x v="4"/>
    <n v="-44840.425185185188"/>
    <d v="2022-10-28T10:12:16"/>
    <s v="Yes"/>
    <d v="2022-10-18T10:12:16"/>
    <x v="0"/>
    <x v="4"/>
    <m/>
    <m/>
    <m/>
    <m/>
    <d v="2022-10-20T10:12:16"/>
    <m/>
    <x v="0"/>
    <m/>
    <m/>
    <m/>
    <m/>
    <s v="Candidate"/>
    <m/>
    <s v="C2890"/>
    <s v="Candidate_1890"/>
    <s v="10-03-2022"/>
    <x v="1"/>
    <s v="Linkedin"/>
    <n v="3"/>
    <m/>
    <x v="0"/>
    <m/>
    <m/>
    <x v="0"/>
    <x v="0"/>
    <m/>
    <x v="0"/>
    <x v="0"/>
  </r>
  <r>
    <n v="1830"/>
    <s v="1830 | Finance"/>
    <x v="22"/>
    <x v="7"/>
    <x v="34"/>
    <x v="23"/>
    <s v="Finance-Revenue Recorgnition"/>
    <x v="1"/>
    <d v="2022-04-11T11:01:49"/>
    <x v="989"/>
    <x v="323"/>
    <n v="6"/>
    <d v="2022-04-27T11:01:49"/>
    <s v="No"/>
    <m/>
    <x v="2"/>
    <x v="1"/>
    <m/>
    <m/>
    <m/>
    <m/>
    <m/>
    <m/>
    <x v="0"/>
    <m/>
    <m/>
    <m/>
    <m/>
    <m/>
    <m/>
    <s v="C2891"/>
    <s v="Candidate_1891"/>
    <m/>
    <x v="2"/>
    <s v="Job Board"/>
    <n v="3"/>
    <m/>
    <x v="0"/>
    <m/>
    <m/>
    <x v="0"/>
    <x v="0"/>
    <m/>
    <x v="1"/>
    <x v="0"/>
  </r>
  <r>
    <n v="1826"/>
    <s v="1826 | Finance"/>
    <x v="23"/>
    <x v="7"/>
    <x v="34"/>
    <x v="23"/>
    <s v="Finance-Revenue Recorgnition"/>
    <x v="1"/>
    <d v="2022-04-13T11:01:49"/>
    <x v="990"/>
    <x v="323"/>
    <n v="4"/>
    <d v="2022-05-05T11:01:49"/>
    <s v="Yes"/>
    <d v="2022-04-21T11:01:49"/>
    <x v="1"/>
    <x v="1"/>
    <d v="2022-04-24T11:01:49"/>
    <s v="Declined"/>
    <m/>
    <m/>
    <d v="2022-04-22T11:01:49"/>
    <m/>
    <x v="0"/>
    <m/>
    <m/>
    <m/>
    <m/>
    <m/>
    <m/>
    <s v="C2892"/>
    <s v="Candidate_1892"/>
    <s v="Apr 13 2022"/>
    <x v="2"/>
    <s v="Job Board"/>
    <n v="3"/>
    <m/>
    <x v="0"/>
    <m/>
    <m/>
    <x v="0"/>
    <x v="0"/>
    <m/>
    <x v="1"/>
    <x v="0"/>
  </r>
  <r>
    <n v="1823"/>
    <s v="1823 | Finance"/>
    <x v="23"/>
    <x v="7"/>
    <x v="34"/>
    <x v="23"/>
    <s v="Finance-Revenue Recorgnition"/>
    <x v="1"/>
    <d v="2022-04-15T11:01:49"/>
    <x v="0"/>
    <x v="323"/>
    <n v="2"/>
    <d v="2022-05-16T11:01:49"/>
    <s v="Yes"/>
    <d v="2022-04-27T11:01:49"/>
    <x v="1"/>
    <x v="1"/>
    <d v="2022-05-05T11:01:49"/>
    <s v="Declined"/>
    <m/>
    <m/>
    <d v="2022-05-01T11:01:49"/>
    <m/>
    <x v="0"/>
    <m/>
    <m/>
    <m/>
    <m/>
    <m/>
    <m/>
    <s v="C2893"/>
    <s v="Candidate_1893"/>
    <s v="14/04/2022"/>
    <x v="1"/>
    <s v="Linkedin"/>
    <n v="6"/>
    <m/>
    <x v="0"/>
    <m/>
    <m/>
    <x v="0"/>
    <x v="0"/>
    <m/>
    <x v="0"/>
    <x v="0"/>
  </r>
  <r>
    <n v="1754"/>
    <s v="1754 | Finance"/>
    <x v="22"/>
    <x v="7"/>
    <x v="34"/>
    <x v="23"/>
    <s v="Finance-Revenue Recorgnition"/>
    <x v="1"/>
    <d v="2022-06-03T15:29:59"/>
    <x v="1099"/>
    <x v="266"/>
    <n v="3"/>
    <d v="2022-07-04T15:29:59"/>
    <s v="Yes"/>
    <d v="2022-06-18T15:29:59"/>
    <x v="0"/>
    <x v="2"/>
    <m/>
    <m/>
    <m/>
    <m/>
    <d v="2022-06-22T15:29:59"/>
    <m/>
    <x v="0"/>
    <m/>
    <m/>
    <m/>
    <m/>
    <s v="Candidate"/>
    <m/>
    <s v="C2894"/>
    <s v="Candidate_1894"/>
    <s v="11/06/2022"/>
    <x v="1"/>
    <s v="Linkedin"/>
    <n v="3"/>
    <m/>
    <x v="0"/>
    <m/>
    <m/>
    <x v="0"/>
    <x v="0"/>
    <m/>
    <x v="1"/>
    <x v="0"/>
  </r>
  <r>
    <n v="1751"/>
    <s v="1751 | Finance"/>
    <x v="23"/>
    <x v="7"/>
    <x v="34"/>
    <x v="23"/>
    <s v="Finance-Revenue Recorgnition"/>
    <x v="1"/>
    <d v="2022-06-01T15:29:59"/>
    <x v="1099"/>
    <x v="266"/>
    <n v="5"/>
    <d v="2022-07-04T15:29:59"/>
    <s v="Yes"/>
    <d v="2022-06-21T15:29:59"/>
    <x v="0"/>
    <x v="3"/>
    <m/>
    <m/>
    <m/>
    <m/>
    <m/>
    <m/>
    <x v="0"/>
    <m/>
    <m/>
    <m/>
    <m/>
    <s v="Candidate"/>
    <m/>
    <s v="C2895"/>
    <s v="Candidate_1895"/>
    <s v="Jun 10 2022"/>
    <x v="0"/>
    <s v="Referral"/>
    <n v="3"/>
    <m/>
    <x v="0"/>
    <m/>
    <m/>
    <x v="0"/>
    <x v="0"/>
    <m/>
    <x v="1"/>
    <x v="0"/>
  </r>
  <r>
    <n v="1732"/>
    <s v="1732 | Finance"/>
    <x v="22"/>
    <x v="7"/>
    <x v="34"/>
    <x v="23"/>
    <s v="Finance-Revenue Recorgnition"/>
    <x v="1"/>
    <d v="2021-12-31T15:13:53"/>
    <x v="1100"/>
    <x v="299"/>
    <n v="7"/>
    <d v="2022-02-01T15:13:53"/>
    <s v="Yes"/>
    <d v="2022-01-20T15:13:53"/>
    <x v="1"/>
    <x v="1"/>
    <d v="2022-01-25T15:13:53"/>
    <s v="Declined"/>
    <m/>
    <m/>
    <d v="2022-01-23T15:13:53"/>
    <m/>
    <x v="0"/>
    <m/>
    <m/>
    <m/>
    <m/>
    <m/>
    <m/>
    <s v="C2896"/>
    <s v="Candidate_1896"/>
    <s v="Jan 07 2022"/>
    <x v="1"/>
    <s v="Linkedin"/>
    <n v="3"/>
    <m/>
    <x v="0"/>
    <m/>
    <m/>
    <x v="0"/>
    <x v="0"/>
    <m/>
    <x v="1"/>
    <x v="0"/>
  </r>
  <r>
    <n v="1706"/>
    <s v="1706 | Finance"/>
    <x v="22"/>
    <x v="7"/>
    <x v="34"/>
    <x v="23"/>
    <s v="Finance-Revenue Recorgnition"/>
    <x v="1"/>
    <d v="2023-03-01T18:01:56"/>
    <x v="1101"/>
    <x v="4"/>
    <n v="-44986.751342592594"/>
    <d v="2023-04-08T18:01:56"/>
    <s v="Yes"/>
    <d v="2023-03-25T18:01:56"/>
    <x v="0"/>
    <x v="4"/>
    <m/>
    <m/>
    <m/>
    <m/>
    <d v="2023-03-28T18:01:56"/>
    <m/>
    <x v="0"/>
    <m/>
    <m/>
    <m/>
    <m/>
    <s v="Company"/>
    <m/>
    <s v="C2897"/>
    <s v="Candidate_1897"/>
    <s v="16/03/2023"/>
    <x v="2"/>
    <s v="Job Board"/>
    <n v="3"/>
    <m/>
    <x v="0"/>
    <m/>
    <m/>
    <x v="0"/>
    <x v="0"/>
    <m/>
    <x v="0"/>
    <x v="0"/>
  </r>
  <r>
    <n v="1704"/>
    <s v="1704 | Finance"/>
    <x v="21"/>
    <x v="7"/>
    <x v="34"/>
    <x v="23"/>
    <s v="Finance-Revenue Recorgnition"/>
    <x v="1"/>
    <d v="2023-03-02T18:01:56"/>
    <x v="853"/>
    <x v="267"/>
    <n v="7"/>
    <d v="2023-04-04T18:01:56"/>
    <s v="Yes"/>
    <d v="2023-03-21T18:01:56"/>
    <x v="1"/>
    <x v="1"/>
    <d v="2023-03-27T18:01:56"/>
    <s v="Declined"/>
    <m/>
    <m/>
    <d v="2023-03-25T18:01:56"/>
    <m/>
    <x v="0"/>
    <m/>
    <m/>
    <m/>
    <m/>
    <m/>
    <m/>
    <s v="C2898"/>
    <s v="Candidate_1898"/>
    <s v="Mar 02 2023"/>
    <x v="2"/>
    <s v="Job Board"/>
    <n v="6"/>
    <m/>
    <x v="0"/>
    <m/>
    <m/>
    <x v="0"/>
    <x v="0"/>
    <m/>
    <x v="1"/>
    <x v="0"/>
  </r>
  <r>
    <n v="1674"/>
    <s v="1674 | Finance"/>
    <x v="22"/>
    <x v="7"/>
    <x v="34"/>
    <x v="23"/>
    <s v="Finance-Revenue Recorgnition"/>
    <x v="1"/>
    <d v="2022-11-06T03:27:45"/>
    <x v="0"/>
    <x v="268"/>
    <n v="6"/>
    <d v="2022-11-24T03:27:45"/>
    <s v="No"/>
    <m/>
    <x v="2"/>
    <x v="1"/>
    <m/>
    <m/>
    <m/>
    <m/>
    <m/>
    <m/>
    <x v="0"/>
    <m/>
    <m/>
    <m/>
    <m/>
    <m/>
    <m/>
    <s v="C2899"/>
    <s v="Candidate_1899"/>
    <m/>
    <x v="2"/>
    <s v="Job Board"/>
    <n v="6"/>
    <m/>
    <x v="0"/>
    <m/>
    <m/>
    <x v="0"/>
    <x v="0"/>
    <m/>
    <x v="0"/>
    <x v="0"/>
  </r>
  <r>
    <n v="1672"/>
    <s v="1672 | Finance"/>
    <x v="21"/>
    <x v="7"/>
    <x v="34"/>
    <x v="23"/>
    <s v="Finance-Revenue Recorgnition"/>
    <x v="1"/>
    <d v="2022-11-05T03:27:45"/>
    <x v="915"/>
    <x v="268"/>
    <n v="7"/>
    <d v="2022-11-28T03:27:45"/>
    <s v="Yes"/>
    <d v="2022-11-27T03:27:45"/>
    <x v="3"/>
    <x v="1"/>
    <d v="2022-11-30T03:27:45"/>
    <s v="Accepted"/>
    <d v="2022-11-29T03:27:45"/>
    <d v="2022-11-30T03:27:45"/>
    <d v="2022-11-28T03:27:45"/>
    <d v="2022-12-01T03:27:45"/>
    <x v="1"/>
    <d v="2022-12-03T03:27:45"/>
    <d v="2022-12-05T03:27:45"/>
    <d v="2022-12-06T03:27:45"/>
    <m/>
    <m/>
    <d v="2022-12-29T03:27:45"/>
    <s v="C2900"/>
    <s v="Candidate_1900"/>
    <s v="10/11/2022"/>
    <x v="2"/>
    <s v="Job Board"/>
    <n v="6"/>
    <m/>
    <x v="0"/>
    <m/>
    <m/>
    <x v="0"/>
    <x v="0"/>
    <m/>
    <x v="200"/>
    <x v="0"/>
  </r>
  <r>
    <n v="1671"/>
    <s v="1671 | Finance"/>
    <x v="21"/>
    <x v="7"/>
    <x v="34"/>
    <x v="23"/>
    <s v="Finance-Revenue Recorgnition"/>
    <x v="1"/>
    <d v="2022-11-05T03:27:45"/>
    <x v="915"/>
    <x v="268"/>
    <n v="7"/>
    <d v="2022-12-06T03:27:45"/>
    <s v="Yes"/>
    <d v="2022-11-27T03:27:45"/>
    <x v="0"/>
    <x v="4"/>
    <m/>
    <m/>
    <m/>
    <m/>
    <m/>
    <m/>
    <x v="0"/>
    <m/>
    <m/>
    <m/>
    <m/>
    <s v="Company"/>
    <m/>
    <s v="C2901"/>
    <s v="Candidate_1901"/>
    <s v="Nov 16 2022"/>
    <x v="0"/>
    <s v="Referral"/>
    <n v="6"/>
    <m/>
    <x v="0"/>
    <m/>
    <m/>
    <x v="0"/>
    <x v="0"/>
    <m/>
    <x v="1"/>
    <x v="0"/>
  </r>
  <r>
    <n v="1640"/>
    <s v="1640 | Finance"/>
    <x v="21"/>
    <x v="7"/>
    <x v="34"/>
    <x v="23"/>
    <s v="Finance-Revenue Recorgnition"/>
    <x v="1"/>
    <d v="2023-09-04T07:41:24"/>
    <x v="1050"/>
    <x v="269"/>
    <n v="5"/>
    <d v="2023-09-16T07:41:24"/>
    <s v="No"/>
    <m/>
    <x v="2"/>
    <x v="1"/>
    <m/>
    <m/>
    <m/>
    <m/>
    <m/>
    <m/>
    <x v="0"/>
    <m/>
    <m/>
    <m/>
    <m/>
    <m/>
    <m/>
    <s v="C2902"/>
    <s v="Candidate_1902"/>
    <m/>
    <x v="1"/>
    <s v="Linkedin"/>
    <n v="6"/>
    <m/>
    <x v="0"/>
    <m/>
    <m/>
    <x v="0"/>
    <x v="0"/>
    <m/>
    <x v="1"/>
    <x v="0"/>
  </r>
  <r>
    <n v="1590"/>
    <s v="1590 | Finance"/>
    <x v="21"/>
    <x v="7"/>
    <x v="34"/>
    <x v="23"/>
    <s v="Finance-Revenue Recorgnition"/>
    <x v="1"/>
    <m/>
    <x v="993"/>
    <x v="270"/>
    <n v="45188.840821759259"/>
    <d v="2023-10-09T20:10:47"/>
    <s v="Yes"/>
    <d v="2023-10-03T20:10:47"/>
    <x v="1"/>
    <x v="1"/>
    <d v="2023-10-09T20:10:47"/>
    <s v="Declined"/>
    <m/>
    <m/>
    <d v="2023-10-06T20:10:47"/>
    <m/>
    <x v="0"/>
    <m/>
    <m/>
    <m/>
    <m/>
    <m/>
    <m/>
    <s v="C2903"/>
    <s v="Candidate_1903"/>
    <s v="09-25-2023"/>
    <x v="0"/>
    <s v="Referral"/>
    <n v="6"/>
    <m/>
    <x v="0"/>
    <m/>
    <m/>
    <x v="0"/>
    <x v="0"/>
    <m/>
    <x v="0"/>
    <x v="0"/>
  </r>
  <r>
    <n v="1588"/>
    <s v="1588 | Finance"/>
    <x v="23"/>
    <x v="7"/>
    <x v="34"/>
    <x v="23"/>
    <s v="Finance-Revenue Recorgnition"/>
    <x v="1"/>
    <d v="2023-09-13T20:10:47"/>
    <x v="857"/>
    <x v="4"/>
    <n v="-45182.840821759259"/>
    <d v="2023-09-29T20:10:47"/>
    <s v="Yes"/>
    <d v="2023-09-24T20:10:47"/>
    <x v="0"/>
    <x v="4"/>
    <m/>
    <m/>
    <m/>
    <m/>
    <m/>
    <m/>
    <x v="0"/>
    <m/>
    <m/>
    <m/>
    <m/>
    <s v="Company"/>
    <m/>
    <s v="C2904"/>
    <s v="Candidate_1904"/>
    <s v="09/09/2023"/>
    <x v="2"/>
    <s v="Job Board"/>
    <n v="6"/>
    <m/>
    <x v="0"/>
    <m/>
    <m/>
    <x v="0"/>
    <x v="0"/>
    <m/>
    <x v="0"/>
    <x v="0"/>
  </r>
  <r>
    <n v="1584"/>
    <s v="1584 | Finance"/>
    <x v="22"/>
    <x v="7"/>
    <x v="34"/>
    <x v="23"/>
    <s v="Finance-Revenue Recorgnition"/>
    <x v="1"/>
    <d v="2023-09-12T20:10:47"/>
    <x v="857"/>
    <x v="270"/>
    <n v="7"/>
    <d v="2023-09-30T20:10:47"/>
    <s v="Yes"/>
    <d v="2023-09-22T20:10:47"/>
    <x v="4"/>
    <x v="1"/>
    <d v="2023-09-28T20:10:47"/>
    <s v="Pending"/>
    <m/>
    <m/>
    <d v="2023-09-24T20:10:47"/>
    <m/>
    <x v="0"/>
    <m/>
    <m/>
    <m/>
    <m/>
    <m/>
    <m/>
    <s v="C2905"/>
    <s v="Candidate_1905"/>
    <s v="07/09/2023"/>
    <x v="2"/>
    <s v="Job Board"/>
    <n v="3"/>
    <m/>
    <x v="0"/>
    <m/>
    <m/>
    <x v="0"/>
    <x v="0"/>
    <m/>
    <x v="1"/>
    <x v="0"/>
  </r>
  <r>
    <n v="1583"/>
    <s v="1583 | Finance"/>
    <x v="23"/>
    <x v="7"/>
    <x v="34"/>
    <x v="23"/>
    <s v="Finance-Revenue Recorgnition"/>
    <x v="1"/>
    <m/>
    <x v="857"/>
    <x v="270"/>
    <n v="45188.840821759259"/>
    <d v="2023-10-12T20:10:47"/>
    <s v="Yes"/>
    <d v="2023-09-29T20:10:47"/>
    <x v="0"/>
    <x v="5"/>
    <m/>
    <m/>
    <m/>
    <m/>
    <m/>
    <m/>
    <x v="0"/>
    <m/>
    <m/>
    <m/>
    <m/>
    <s v="Company"/>
    <m/>
    <s v="C2906"/>
    <s v="Candidate_1906"/>
    <s v="09-21-2023"/>
    <x v="2"/>
    <s v="Job Board"/>
    <n v="6"/>
    <m/>
    <x v="0"/>
    <m/>
    <m/>
    <x v="0"/>
    <x v="0"/>
    <m/>
    <x v="0"/>
    <x v="0"/>
  </r>
  <r>
    <n v="1563"/>
    <s v="1563 | Finance"/>
    <x v="21"/>
    <x v="7"/>
    <x v="34"/>
    <x v="23"/>
    <s v="Finance-Revenue Recorgnition"/>
    <x v="1"/>
    <d v="2022-03-21T11:46:18"/>
    <x v="1102"/>
    <x v="271"/>
    <n v="4"/>
    <d v="2022-04-05T11:46:18"/>
    <s v="No"/>
    <m/>
    <x v="2"/>
    <x v="1"/>
    <m/>
    <m/>
    <m/>
    <m/>
    <m/>
    <m/>
    <x v="0"/>
    <m/>
    <m/>
    <m/>
    <m/>
    <m/>
    <m/>
    <s v="C2907"/>
    <s v="Candidate_1907"/>
    <m/>
    <x v="0"/>
    <s v="Referral"/>
    <n v="6"/>
    <m/>
    <x v="0"/>
    <m/>
    <m/>
    <x v="0"/>
    <x v="0"/>
    <m/>
    <x v="1"/>
    <x v="0"/>
  </r>
  <r>
    <n v="1550"/>
    <s v="1550 | Finance"/>
    <x v="21"/>
    <x v="7"/>
    <x v="34"/>
    <x v="23"/>
    <s v="Finance-Revenue Recorgnition"/>
    <x v="1"/>
    <d v="2023-05-26T20:23:44"/>
    <x v="1103"/>
    <x v="300"/>
    <n v="7"/>
    <d v="2023-06-11T20:23:44"/>
    <s v="Yes"/>
    <d v="2023-06-05T20:23:44"/>
    <x v="3"/>
    <x v="1"/>
    <d v="2023-06-11T20:23:44"/>
    <s v="Accepted"/>
    <d v="2023-06-07T20:23:44"/>
    <d v="2023-06-09T20:23:44"/>
    <d v="2023-06-07T20:23:44"/>
    <d v="2023-06-09T20:23:44"/>
    <x v="1"/>
    <d v="2023-06-10T20:23:44"/>
    <d v="2023-06-12T20:23:44"/>
    <d v="2023-06-15T20:23:44"/>
    <m/>
    <m/>
    <d v="2023-06-29T20:23:44"/>
    <s v="C2908"/>
    <s v="Candidate_1908"/>
    <s v="23/05/2023"/>
    <x v="1"/>
    <s v="Linkedin"/>
    <n v="3"/>
    <m/>
    <x v="0"/>
    <m/>
    <m/>
    <x v="0"/>
    <x v="0"/>
    <m/>
    <x v="201"/>
    <x v="0"/>
  </r>
  <r>
    <n v="1545"/>
    <s v="1545 | Finance"/>
    <x v="21"/>
    <x v="7"/>
    <x v="34"/>
    <x v="23"/>
    <s v="Finance-Revenue Recorgnition"/>
    <x v="1"/>
    <d v="2023-05-27T20:23:44"/>
    <x v="920"/>
    <x v="300"/>
    <n v="6"/>
    <d v="2023-06-11T20:23:44"/>
    <s v="Yes"/>
    <d v="2023-06-15T20:23:44"/>
    <x v="0"/>
    <x v="0"/>
    <m/>
    <m/>
    <m/>
    <m/>
    <d v="2023-06-19T20:23:44"/>
    <m/>
    <x v="0"/>
    <m/>
    <m/>
    <m/>
    <m/>
    <s v="Candidate"/>
    <m/>
    <s v="C2909"/>
    <s v="Candidate_1909"/>
    <s v="06-02-2023"/>
    <x v="2"/>
    <s v="Job Board"/>
    <n v="6"/>
    <m/>
    <x v="0"/>
    <m/>
    <m/>
    <x v="0"/>
    <x v="0"/>
    <m/>
    <x v="1"/>
    <x v="0"/>
  </r>
  <r>
    <n v="1528"/>
    <s v="1528 | Finance"/>
    <x v="21"/>
    <x v="7"/>
    <x v="34"/>
    <x v="21"/>
    <s v="Finance-Billing Officer"/>
    <x v="1"/>
    <d v="2023-01-02T00:36:18"/>
    <x v="1104"/>
    <x v="272"/>
    <n v="5"/>
    <d v="2023-01-27T00:36:18"/>
    <s v="Yes"/>
    <d v="2023-01-17T00:36:18"/>
    <x v="3"/>
    <x v="1"/>
    <d v="2023-01-22T00:36:18"/>
    <s v="Accepted"/>
    <d v="2023-01-18T00:36:18"/>
    <d v="2023-01-20T00:36:18"/>
    <d v="2023-01-19T00:36:18"/>
    <d v="2023-01-26T00:36:18"/>
    <x v="1"/>
    <d v="2023-01-30T00:36:18"/>
    <d v="2023-02-02T00:36:18"/>
    <d v="2023-02-03T00:36:18"/>
    <m/>
    <m/>
    <d v="2023-02-17T00:36:18"/>
    <s v="C2910"/>
    <s v="Candidate_1910"/>
    <s v="01/01/2023"/>
    <x v="1"/>
    <s v="Linkedin"/>
    <n v="3"/>
    <m/>
    <x v="0"/>
    <m/>
    <m/>
    <x v="0"/>
    <x v="0"/>
    <m/>
    <x v="202"/>
    <x v="0"/>
  </r>
  <r>
    <n v="1525"/>
    <s v="1525 | Finance"/>
    <x v="21"/>
    <x v="7"/>
    <x v="34"/>
    <x v="21"/>
    <s v="Finance-Billing Officer"/>
    <x v="1"/>
    <d v="2023-01-02T00:36:18"/>
    <x v="1105"/>
    <x v="272"/>
    <n v="5"/>
    <d v="2023-02-04T00:36:18"/>
    <s v="Yes"/>
    <d v="2023-01-19T00:36:18"/>
    <x v="0"/>
    <x v="3"/>
    <m/>
    <m/>
    <m/>
    <m/>
    <d v="2023-01-20T00:36:18"/>
    <m/>
    <x v="0"/>
    <m/>
    <m/>
    <m/>
    <m/>
    <s v="Company"/>
    <m/>
    <s v="C2911"/>
    <s v="Candidate_1911"/>
    <s v="01-03-2023"/>
    <x v="1"/>
    <s v="Linkedin"/>
    <n v="6"/>
    <m/>
    <x v="0"/>
    <m/>
    <m/>
    <x v="0"/>
    <x v="0"/>
    <m/>
    <x v="1"/>
    <x v="0"/>
  </r>
  <r>
    <n v="1523"/>
    <s v="1523 | Finance"/>
    <x v="23"/>
    <x v="7"/>
    <x v="34"/>
    <x v="21"/>
    <s v="Finance-Billing Officer"/>
    <x v="1"/>
    <d v="2023-01-01T00:36:18"/>
    <x v="1106"/>
    <x v="272"/>
    <n v="6"/>
    <d v="2023-02-06T00:36:18"/>
    <s v="Yes"/>
    <d v="2023-01-19T00:36:18"/>
    <x v="1"/>
    <x v="1"/>
    <d v="2023-01-23T00:36:18"/>
    <s v="Declined"/>
    <m/>
    <m/>
    <d v="2023-01-22T00:36:18"/>
    <m/>
    <x v="0"/>
    <m/>
    <m/>
    <m/>
    <m/>
    <m/>
    <m/>
    <s v="C2912"/>
    <s v="Candidate_1912"/>
    <s v="01-01-2023"/>
    <x v="1"/>
    <s v="Linkedin"/>
    <n v="6"/>
    <m/>
    <x v="0"/>
    <m/>
    <m/>
    <x v="0"/>
    <x v="0"/>
    <m/>
    <x v="1"/>
    <x v="0"/>
  </r>
  <r>
    <n v="1515"/>
    <s v="1515 | Finance"/>
    <x v="23"/>
    <x v="7"/>
    <x v="34"/>
    <x v="21"/>
    <s v="Finance-Billing Officer"/>
    <x v="1"/>
    <d v="2022-12-25T05:00:38"/>
    <x v="1107"/>
    <x v="273"/>
    <n v="7"/>
    <d v="2023-01-13T05:00:38"/>
    <s v="Yes"/>
    <d v="2023-01-02T05:00:38"/>
    <x v="1"/>
    <x v="1"/>
    <d v="2023-01-05T05:00:38"/>
    <s v="Declined"/>
    <m/>
    <m/>
    <d v="2023-01-03T05:00:38"/>
    <m/>
    <x v="0"/>
    <m/>
    <m/>
    <m/>
    <m/>
    <m/>
    <m/>
    <s v="C2913"/>
    <s v="Candidate_1913"/>
    <s v="16/12/2022"/>
    <x v="0"/>
    <s v="Referral"/>
    <n v="3"/>
    <m/>
    <x v="0"/>
    <m/>
    <m/>
    <x v="0"/>
    <x v="0"/>
    <m/>
    <x v="1"/>
    <x v="0"/>
  </r>
  <r>
    <n v="1513"/>
    <s v="1513 | Finance"/>
    <x v="22"/>
    <x v="7"/>
    <x v="34"/>
    <x v="21"/>
    <s v="Finance-Billing Officer"/>
    <x v="1"/>
    <d v="2022-12-30T05:00:38"/>
    <x v="1074"/>
    <x v="273"/>
    <n v="2"/>
    <d v="2023-01-14T05:00:38"/>
    <s v="Yes"/>
    <d v="2023-01-11T05:00:38"/>
    <x v="0"/>
    <x v="5"/>
    <m/>
    <m/>
    <m/>
    <m/>
    <m/>
    <m/>
    <x v="0"/>
    <m/>
    <m/>
    <m/>
    <m/>
    <s v="Company"/>
    <m/>
    <s v="C2914"/>
    <s v="Candidate_1914"/>
    <s v="01-03-2023"/>
    <x v="2"/>
    <s v="Job Board"/>
    <n v="6"/>
    <m/>
    <x v="0"/>
    <m/>
    <m/>
    <x v="0"/>
    <x v="0"/>
    <m/>
    <x v="1"/>
    <x v="0"/>
  </r>
  <r>
    <n v="1433"/>
    <s v="1433 | Finance"/>
    <x v="22"/>
    <x v="7"/>
    <x v="34"/>
    <x v="21"/>
    <s v="Finance-Billing Officer"/>
    <x v="1"/>
    <d v="2023-06-08T22:29:11"/>
    <x v="1054"/>
    <x v="274"/>
    <n v="7"/>
    <d v="2023-06-23T22:29:11"/>
    <s v="Yes"/>
    <d v="2023-06-29T22:29:11"/>
    <x v="3"/>
    <x v="1"/>
    <d v="2023-07-03T22:29:11"/>
    <s v="Accepted"/>
    <d v="2023-07-01T22:29:11"/>
    <d v="2023-07-03T22:29:11"/>
    <d v="2023-07-01T22:29:11"/>
    <d v="2023-07-09T22:29:11"/>
    <x v="1"/>
    <d v="2023-07-11T22:29:11"/>
    <d v="2023-07-14T22:29:11"/>
    <d v="2023-07-15T22:29:11"/>
    <m/>
    <m/>
    <d v="2023-08-04T22:29:11"/>
    <s v="C2915"/>
    <s v="Candidate_1915"/>
    <s v="13/06/2023"/>
    <x v="1"/>
    <s v="Linkedin"/>
    <n v="3"/>
    <m/>
    <x v="0"/>
    <m/>
    <m/>
    <x v="0"/>
    <x v="0"/>
    <m/>
    <x v="203"/>
    <x v="0"/>
  </r>
  <r>
    <n v="1392"/>
    <s v="1392 | Finance"/>
    <x v="21"/>
    <x v="7"/>
    <x v="34"/>
    <x v="21"/>
    <s v="Finance-Billing Officer"/>
    <x v="1"/>
    <d v="2022-08-19T08:38:11"/>
    <x v="1108"/>
    <x v="301"/>
    <n v="4"/>
    <d v="2022-09-03T08:38:11"/>
    <s v="Yes"/>
    <d v="2022-08-29T08:38:11"/>
    <x v="1"/>
    <x v="1"/>
    <d v="2022-09-03T08:38:11"/>
    <s v="Declined"/>
    <m/>
    <m/>
    <d v="2022-09-01T08:38:11"/>
    <m/>
    <x v="0"/>
    <m/>
    <m/>
    <m/>
    <m/>
    <m/>
    <m/>
    <s v="C2916"/>
    <s v="Candidate_1916"/>
    <s v="08-12-2022"/>
    <x v="1"/>
    <s v="Linkedin"/>
    <n v="6"/>
    <m/>
    <x v="0"/>
    <m/>
    <m/>
    <x v="0"/>
    <x v="0"/>
    <m/>
    <x v="1"/>
    <x v="0"/>
  </r>
  <r>
    <n v="1335"/>
    <s v="1335 | Finance"/>
    <x v="22"/>
    <x v="7"/>
    <x v="34"/>
    <x v="21"/>
    <s v="Finance-Billing Officer"/>
    <x v="1"/>
    <d v="2023-08-31T16:35:04"/>
    <x v="1055"/>
    <x v="4"/>
    <n v="-45169.691018518519"/>
    <d v="2023-09-13T16:35:04"/>
    <s v="No"/>
    <m/>
    <x v="2"/>
    <x v="1"/>
    <m/>
    <m/>
    <m/>
    <m/>
    <m/>
    <m/>
    <x v="0"/>
    <m/>
    <m/>
    <m/>
    <m/>
    <m/>
    <m/>
    <s v="C2917"/>
    <s v="Candidate_1917"/>
    <m/>
    <x v="1"/>
    <s v="Linkedin"/>
    <n v="3"/>
    <m/>
    <x v="0"/>
    <m/>
    <m/>
    <x v="0"/>
    <x v="0"/>
    <m/>
    <x v="0"/>
    <x v="0"/>
  </r>
  <r>
    <n v="1305"/>
    <s v="1305 | Finance"/>
    <x v="22"/>
    <x v="7"/>
    <x v="34"/>
    <x v="21"/>
    <s v="Finance-Billing Officer"/>
    <x v="1"/>
    <d v="2022-12-19T04:33:07"/>
    <x v="1057"/>
    <x v="303"/>
    <n v="8"/>
    <d v="2023-01-02T04:33:07"/>
    <s v="Yes"/>
    <d v="2023-01-01T04:33:07"/>
    <x v="0"/>
    <x v="5"/>
    <m/>
    <m/>
    <m/>
    <m/>
    <d v="2023-01-02T04:33:07"/>
    <m/>
    <x v="0"/>
    <m/>
    <m/>
    <m/>
    <m/>
    <s v="Candidate"/>
    <m/>
    <s v="C2918"/>
    <s v="Candidate_1918"/>
    <s v="12-23-2022"/>
    <x v="0"/>
    <s v="Referral"/>
    <n v="6"/>
    <m/>
    <x v="0"/>
    <m/>
    <m/>
    <x v="0"/>
    <x v="0"/>
    <m/>
    <x v="1"/>
    <x v="0"/>
  </r>
  <r>
    <n v="1290"/>
    <s v="1290 | Finance"/>
    <x v="22"/>
    <x v="7"/>
    <x v="34"/>
    <x v="21"/>
    <s v="Finance-Billing Officer"/>
    <x v="1"/>
    <d v="2022-03-24T17:39:51"/>
    <x v="861"/>
    <x v="275"/>
    <n v="6"/>
    <d v="2022-04-21T17:39:51"/>
    <s v="Yes"/>
    <d v="2022-04-01T17:39:51"/>
    <x v="0"/>
    <x v="2"/>
    <m/>
    <m/>
    <m/>
    <m/>
    <m/>
    <m/>
    <x v="0"/>
    <m/>
    <m/>
    <m/>
    <m/>
    <s v="Company"/>
    <m/>
    <s v="C2919"/>
    <s v="Candidate_1919"/>
    <s v="03-18-2022"/>
    <x v="1"/>
    <s v="Linkedin"/>
    <n v="6"/>
    <m/>
    <x v="0"/>
    <m/>
    <m/>
    <x v="0"/>
    <x v="0"/>
    <m/>
    <x v="1"/>
    <x v="0"/>
  </r>
  <r>
    <n v="1257"/>
    <s v="1257 | Finance"/>
    <x v="21"/>
    <x v="7"/>
    <x v="34"/>
    <x v="21"/>
    <s v="Finance-Billing Officer"/>
    <x v="1"/>
    <d v="2022-06-27T04:05:26"/>
    <x v="931"/>
    <x v="277"/>
    <n v="4"/>
    <d v="2022-07-07T04:05:26"/>
    <s v="Yes"/>
    <d v="2022-07-07T04:05:26"/>
    <x v="4"/>
    <x v="1"/>
    <d v="2022-07-12T04:05:26"/>
    <s v="Pending"/>
    <m/>
    <m/>
    <d v="2022-07-10T04:05:26"/>
    <m/>
    <x v="0"/>
    <m/>
    <m/>
    <m/>
    <m/>
    <m/>
    <m/>
    <s v="C2920"/>
    <s v="Candidate_1920"/>
    <s v="30/06/2022"/>
    <x v="0"/>
    <s v="Referral"/>
    <n v="3"/>
    <m/>
    <x v="0"/>
    <m/>
    <m/>
    <x v="0"/>
    <x v="0"/>
    <m/>
    <x v="1"/>
    <x v="0"/>
  </r>
  <r>
    <n v="1255"/>
    <s v="1255 | Finance"/>
    <x v="21"/>
    <x v="7"/>
    <x v="34"/>
    <x v="21"/>
    <s v="Finance-Billing Officer"/>
    <x v="1"/>
    <d v="2022-06-26T04:05:26"/>
    <x v="931"/>
    <x v="277"/>
    <n v="5"/>
    <d v="2022-07-16T04:05:26"/>
    <s v="Yes"/>
    <d v="2022-07-02T04:05:26"/>
    <x v="0"/>
    <x v="3"/>
    <m/>
    <m/>
    <m/>
    <m/>
    <d v="2022-07-06T04:05:26"/>
    <m/>
    <x v="0"/>
    <m/>
    <m/>
    <m/>
    <m/>
    <s v="Company"/>
    <m/>
    <s v="C2921"/>
    <s v="Candidate_1921"/>
    <s v="Jun 21 2022"/>
    <x v="2"/>
    <s v="Job Board"/>
    <n v="3"/>
    <m/>
    <x v="0"/>
    <m/>
    <m/>
    <x v="0"/>
    <x v="0"/>
    <m/>
    <x v="1"/>
    <x v="0"/>
  </r>
  <r>
    <n v="1253"/>
    <s v="1253 | Finance"/>
    <x v="21"/>
    <x v="7"/>
    <x v="34"/>
    <x v="21"/>
    <s v="Finance-Billing Officer"/>
    <x v="1"/>
    <d v="2022-06-24T04:05:26"/>
    <x v="1109"/>
    <x v="277"/>
    <n v="7"/>
    <d v="2022-07-17T04:05:26"/>
    <s v="Yes"/>
    <d v="2022-07-19T04:05:26"/>
    <x v="3"/>
    <x v="1"/>
    <d v="2022-07-26T04:05:26"/>
    <s v="Accepted"/>
    <d v="2022-07-21T04:05:26"/>
    <d v="2022-07-22T04:05:26"/>
    <d v="2022-07-22T04:05:26"/>
    <d v="2022-07-29T04:05:26"/>
    <x v="1"/>
    <d v="2022-07-31T04:05:26"/>
    <d v="2022-08-03T04:05:26"/>
    <d v="2022-08-05T04:05:26"/>
    <m/>
    <m/>
    <d v="2022-08-15T04:05:26"/>
    <s v="C2922"/>
    <s v="Candidate_1922"/>
    <s v="Jul 02 2022"/>
    <x v="2"/>
    <s v="Job Board"/>
    <n v="6"/>
    <m/>
    <x v="0"/>
    <m/>
    <m/>
    <x v="0"/>
    <x v="0"/>
    <m/>
    <x v="204"/>
    <x v="0"/>
  </r>
  <r>
    <n v="1148"/>
    <s v="1148 | Finance"/>
    <x v="22"/>
    <x v="7"/>
    <x v="34"/>
    <x v="21"/>
    <s v="Finance-Billing Officer"/>
    <x v="1"/>
    <d v="2023-08-03T01:36:53"/>
    <x v="1110"/>
    <x v="278"/>
    <n v="7"/>
    <d v="2023-08-25T01:36:53"/>
    <s v="Yes"/>
    <d v="2023-08-17T01:36:53"/>
    <x v="0"/>
    <x v="5"/>
    <m/>
    <m/>
    <m/>
    <m/>
    <m/>
    <m/>
    <x v="0"/>
    <m/>
    <m/>
    <m/>
    <m/>
    <s v="Company"/>
    <m/>
    <s v="C2923"/>
    <s v="Candidate_1923"/>
    <s v="08-11-2023"/>
    <x v="1"/>
    <s v="Linkedin"/>
    <n v="6"/>
    <m/>
    <x v="0"/>
    <m/>
    <m/>
    <x v="0"/>
    <x v="0"/>
    <m/>
    <x v="1"/>
    <x v="0"/>
  </r>
  <r>
    <n v="1145"/>
    <s v="1145 | Finance"/>
    <x v="21"/>
    <x v="7"/>
    <x v="34"/>
    <x v="21"/>
    <s v="Finance-Billing Officer"/>
    <x v="1"/>
    <d v="2023-08-06T01:36:53"/>
    <x v="934"/>
    <x v="278"/>
    <n v="4"/>
    <d v="2023-09-01T01:36:53"/>
    <s v="Yes"/>
    <d v="2023-08-13T01:36:53"/>
    <x v="0"/>
    <x v="3"/>
    <m/>
    <m/>
    <m/>
    <m/>
    <d v="2023-08-17T01:36:53"/>
    <m/>
    <x v="0"/>
    <m/>
    <m/>
    <m/>
    <m/>
    <s v="Candidate"/>
    <m/>
    <s v="C2924"/>
    <s v="Candidate_1924"/>
    <s v="25/07/2023"/>
    <x v="1"/>
    <s v="Linkedin"/>
    <n v="6"/>
    <m/>
    <x v="0"/>
    <m/>
    <m/>
    <x v="0"/>
    <x v="0"/>
    <m/>
    <x v="1"/>
    <x v="0"/>
  </r>
  <r>
    <n v="1119"/>
    <s v="1119 | Finance"/>
    <x v="21"/>
    <x v="7"/>
    <x v="34"/>
    <x v="21"/>
    <s v="Finance-Billing Officer"/>
    <x v="1"/>
    <d v="2023-04-03T06:23:43"/>
    <x v="1004"/>
    <x v="279"/>
    <n v="8"/>
    <d v="2023-04-19T06:23:43"/>
    <s v="No"/>
    <m/>
    <x v="2"/>
    <x v="1"/>
    <m/>
    <m/>
    <m/>
    <m/>
    <m/>
    <m/>
    <x v="0"/>
    <m/>
    <m/>
    <m/>
    <m/>
    <m/>
    <m/>
    <s v="C2925"/>
    <s v="Candidate_1925"/>
    <m/>
    <x v="2"/>
    <s v="Job Board"/>
    <n v="6"/>
    <m/>
    <x v="0"/>
    <m/>
    <m/>
    <x v="0"/>
    <x v="0"/>
    <m/>
    <x v="1"/>
    <x v="0"/>
  </r>
  <r>
    <n v="1114"/>
    <s v="1114 | Finance"/>
    <x v="22"/>
    <x v="7"/>
    <x v="34"/>
    <x v="21"/>
    <s v="Finance-Billing Officer"/>
    <x v="1"/>
    <d v="2023-04-05T06:23:43"/>
    <x v="0"/>
    <x v="279"/>
    <n v="6"/>
    <d v="2023-04-20T06:23:43"/>
    <s v="No"/>
    <m/>
    <x v="2"/>
    <x v="1"/>
    <m/>
    <m/>
    <m/>
    <m/>
    <m/>
    <m/>
    <x v="0"/>
    <m/>
    <m/>
    <m/>
    <m/>
    <m/>
    <m/>
    <s v="C2926"/>
    <s v="Candidate_1926"/>
    <m/>
    <x v="2"/>
    <s v="Job Board"/>
    <n v="6"/>
    <m/>
    <x v="0"/>
    <m/>
    <m/>
    <x v="0"/>
    <x v="0"/>
    <m/>
    <x v="0"/>
    <x v="0"/>
  </r>
  <r>
    <n v="1064"/>
    <s v="1064 | Finance"/>
    <x v="21"/>
    <x v="7"/>
    <x v="34"/>
    <x v="21"/>
    <s v="Finance-Billing Officer"/>
    <x v="1"/>
    <d v="2022-08-09T09:56:30"/>
    <x v="0"/>
    <x v="280"/>
    <n v="4"/>
    <d v="2022-09-06T09:56:30"/>
    <s v="Yes"/>
    <d v="2022-08-16T09:56:30"/>
    <x v="0"/>
    <x v="5"/>
    <m/>
    <m/>
    <m/>
    <m/>
    <m/>
    <m/>
    <x v="0"/>
    <m/>
    <m/>
    <m/>
    <m/>
    <s v="Company"/>
    <m/>
    <s v="C2927"/>
    <s v="Candidate_1927"/>
    <s v="07/08/2022"/>
    <x v="1"/>
    <s v="Linkedin"/>
    <n v="3"/>
    <m/>
    <x v="0"/>
    <m/>
    <m/>
    <x v="0"/>
    <x v="0"/>
    <m/>
    <x v="0"/>
    <x v="0"/>
  </r>
  <r>
    <n v="1062"/>
    <s v="1062 | Finance"/>
    <x v="23"/>
    <x v="7"/>
    <x v="34"/>
    <x v="21"/>
    <s v="Finance-Billing Officer"/>
    <x v="1"/>
    <d v="2022-08-06T09:56:30"/>
    <x v="1111"/>
    <x v="280"/>
    <n v="7"/>
    <d v="2022-09-07T09:56:30"/>
    <s v="Yes"/>
    <d v="2022-08-17T09:56:30"/>
    <x v="0"/>
    <x v="4"/>
    <m/>
    <m/>
    <m/>
    <m/>
    <d v="2022-08-20T09:56:30"/>
    <m/>
    <x v="0"/>
    <m/>
    <m/>
    <m/>
    <m/>
    <s v="Candidate"/>
    <m/>
    <s v="C2928"/>
    <s v="Candidate_1928"/>
    <s v="06/08/2022"/>
    <x v="0"/>
    <s v="Referral"/>
    <n v="6"/>
    <m/>
    <x v="0"/>
    <m/>
    <m/>
    <x v="0"/>
    <x v="0"/>
    <m/>
    <x v="1"/>
    <x v="0"/>
  </r>
  <r>
    <n v="1036"/>
    <s v="1036 | Finance"/>
    <x v="22"/>
    <x v="7"/>
    <x v="34"/>
    <x v="21"/>
    <s v="Finance-Billing Officer"/>
    <x v="1"/>
    <d v="2023-03-03T19:44:13"/>
    <x v="869"/>
    <x v="281"/>
    <n v="5"/>
    <d v="2023-03-27T19:44:13"/>
    <s v="Yes"/>
    <d v="2023-03-21T19:44:13"/>
    <x v="0"/>
    <x v="0"/>
    <m/>
    <m/>
    <m/>
    <m/>
    <m/>
    <m/>
    <x v="0"/>
    <m/>
    <m/>
    <m/>
    <m/>
    <s v="Candidate"/>
    <m/>
    <s v="C2929"/>
    <s v="Candidate_1929"/>
    <s v="14/03/2023"/>
    <x v="2"/>
    <s v="Job Board"/>
    <n v="3"/>
    <m/>
    <x v="0"/>
    <m/>
    <m/>
    <x v="0"/>
    <x v="0"/>
    <m/>
    <x v="1"/>
    <x v="0"/>
  </r>
  <r>
    <n v="1031"/>
    <s v="1031 | Finance"/>
    <x v="21"/>
    <x v="7"/>
    <x v="34"/>
    <x v="21"/>
    <s v="Finance-Billing Officer"/>
    <x v="1"/>
    <d v="2023-03-05T19:44:13"/>
    <x v="1112"/>
    <x v="281"/>
    <n v="3"/>
    <d v="2023-04-02T19:44:13"/>
    <s v="Yes"/>
    <d v="2023-03-12T19:44:13"/>
    <x v="1"/>
    <x v="1"/>
    <d v="2023-03-14T19:44:13"/>
    <s v="Declined"/>
    <m/>
    <m/>
    <d v="2023-03-13T19:44:13"/>
    <m/>
    <x v="0"/>
    <m/>
    <m/>
    <m/>
    <m/>
    <m/>
    <m/>
    <s v="C2930"/>
    <s v="Candidate_1930"/>
    <s v="Mar 04 2023"/>
    <x v="1"/>
    <s v="Linkedin"/>
    <n v="3"/>
    <m/>
    <x v="0"/>
    <m/>
    <m/>
    <x v="0"/>
    <x v="0"/>
    <m/>
    <x v="1"/>
    <x v="0"/>
  </r>
  <r>
    <n v="1018"/>
    <s v="1018 | Finance"/>
    <x v="23"/>
    <x v="7"/>
    <x v="34"/>
    <x v="21"/>
    <s v="Finance-Billing Officer"/>
    <x v="1"/>
    <d v="2022-02-07T07:54:35"/>
    <x v="1059"/>
    <x v="282"/>
    <n v="3"/>
    <d v="2022-02-25T07:54:35"/>
    <s v="Yes"/>
    <d v="2022-02-21T07:54:35"/>
    <x v="3"/>
    <x v="1"/>
    <d v="2022-02-23T07:54:35"/>
    <s v="Accepted"/>
    <d v="2022-02-23T07:54:35"/>
    <d v="2022-02-24T07:54:35"/>
    <d v="2022-02-22T07:54:35"/>
    <d v="2022-03-04T07:54:35"/>
    <x v="1"/>
    <d v="2022-03-05T07:54:35"/>
    <d v="2022-03-07T07:54:35"/>
    <d v="2022-03-10T07:54:35"/>
    <m/>
    <m/>
    <d v="2022-03-19T07:54:35"/>
    <s v="C2931"/>
    <s v="Candidate_1931"/>
    <s v="Feb 14 2022"/>
    <x v="0"/>
    <s v="Referral"/>
    <n v="3"/>
    <m/>
    <x v="0"/>
    <m/>
    <m/>
    <x v="0"/>
    <x v="0"/>
    <m/>
    <x v="205"/>
    <x v="0"/>
  </r>
  <r>
    <n v="1012"/>
    <s v="1012 | Finance"/>
    <x v="23"/>
    <x v="7"/>
    <x v="34"/>
    <x v="21"/>
    <s v="Finance-Billing Officer"/>
    <x v="1"/>
    <d v="2022-02-02T07:54:35"/>
    <x v="936"/>
    <x v="282"/>
    <n v="8"/>
    <d v="2022-03-11T07:54:35"/>
    <s v="Yes"/>
    <d v="2022-02-24T07:54:35"/>
    <x v="0"/>
    <x v="5"/>
    <m/>
    <m/>
    <m/>
    <m/>
    <d v="2022-02-28T07:54:35"/>
    <m/>
    <x v="0"/>
    <m/>
    <m/>
    <m/>
    <m/>
    <s v="Candidate"/>
    <m/>
    <s v="C2932"/>
    <s v="Candidate_1932"/>
    <s v="02-11-2022"/>
    <x v="0"/>
    <s v="Referral"/>
    <n v="6"/>
    <m/>
    <x v="0"/>
    <m/>
    <m/>
    <x v="0"/>
    <x v="0"/>
    <m/>
    <x v="1"/>
    <x v="0"/>
  </r>
  <r>
    <n v="977"/>
    <s v="977 | Finance"/>
    <x v="22"/>
    <x v="7"/>
    <x v="34"/>
    <x v="21"/>
    <s v="Finance-Billing Officer"/>
    <x v="1"/>
    <d v="2022-07-17T16:46:55"/>
    <x v="1113"/>
    <x v="304"/>
    <n v="5"/>
    <d v="2022-08-20T16:46:55"/>
    <s v="Yes"/>
    <d v="2022-08-04T16:46:55"/>
    <x v="0"/>
    <x v="4"/>
    <m/>
    <m/>
    <m/>
    <m/>
    <m/>
    <m/>
    <x v="0"/>
    <m/>
    <m/>
    <m/>
    <m/>
    <s v="Company"/>
    <m/>
    <s v="C2933"/>
    <s v="Candidate_1933"/>
    <s v="Jul 26 2022"/>
    <x v="2"/>
    <s v="Job Board"/>
    <n v="3"/>
    <m/>
    <x v="0"/>
    <m/>
    <m/>
    <x v="0"/>
    <x v="0"/>
    <m/>
    <x v="1"/>
    <x v="0"/>
  </r>
  <r>
    <n v="969"/>
    <s v="969 | Finance"/>
    <x v="23"/>
    <x v="7"/>
    <x v="34"/>
    <x v="21"/>
    <s v="Finance-Billing Officer"/>
    <x v="1"/>
    <d v="2023-07-12T08:10:15"/>
    <x v="941"/>
    <x v="305"/>
    <n v="8"/>
    <d v="2023-08-09T08:10:15"/>
    <s v="Yes"/>
    <d v="2023-08-02T08:10:15"/>
    <x v="1"/>
    <x v="1"/>
    <d v="2023-08-10T08:10:15"/>
    <s v="Declined"/>
    <m/>
    <m/>
    <d v="2023-08-06T08:10:15"/>
    <m/>
    <x v="0"/>
    <m/>
    <m/>
    <m/>
    <m/>
    <m/>
    <m/>
    <s v="C2934"/>
    <s v="Candidate_1934"/>
    <s v="18/07/2023"/>
    <x v="2"/>
    <s v="Job Board"/>
    <n v="6"/>
    <m/>
    <x v="0"/>
    <m/>
    <m/>
    <x v="0"/>
    <x v="0"/>
    <m/>
    <x v="1"/>
    <x v="0"/>
  </r>
  <r>
    <n v="963"/>
    <s v="963 | Finance"/>
    <x v="22"/>
    <x v="7"/>
    <x v="34"/>
    <x v="21"/>
    <s v="Finance-Billing Officer"/>
    <x v="1"/>
    <d v="2023-07-18T08:10:15"/>
    <x v="1114"/>
    <x v="305"/>
    <n v="2"/>
    <d v="2023-07-25T08:10:15"/>
    <s v="Yes"/>
    <d v="2023-07-23T08:10:15"/>
    <x v="0"/>
    <x v="5"/>
    <m/>
    <m/>
    <m/>
    <m/>
    <m/>
    <m/>
    <x v="0"/>
    <m/>
    <m/>
    <m/>
    <m/>
    <s v="Candidate"/>
    <m/>
    <s v="C2935"/>
    <s v="Candidate_1935"/>
    <s v="07-05-2023"/>
    <x v="1"/>
    <s v="Linkedin"/>
    <n v="6"/>
    <m/>
    <x v="0"/>
    <m/>
    <m/>
    <x v="0"/>
    <x v="0"/>
    <m/>
    <x v="1"/>
    <x v="0"/>
  </r>
  <r>
    <n v="898"/>
    <s v="898 | Finance"/>
    <x v="23"/>
    <x v="7"/>
    <x v="34"/>
    <x v="21"/>
    <s v="Finance-Billing Officer"/>
    <x v="1"/>
    <d v="2022-10-10T22:33:20"/>
    <x v="1115"/>
    <x v="306"/>
    <n v="6"/>
    <d v="2022-11-11T22:33:20"/>
    <s v="Yes"/>
    <d v="2022-10-19T22:33:20"/>
    <x v="0"/>
    <x v="0"/>
    <m/>
    <m/>
    <m/>
    <m/>
    <d v="2022-10-23T22:33:20"/>
    <m/>
    <x v="0"/>
    <m/>
    <m/>
    <m/>
    <m/>
    <s v="Candidate"/>
    <m/>
    <s v="C2936"/>
    <s v="Candidate_1936"/>
    <s v="02/10/2022"/>
    <x v="0"/>
    <s v="Referral"/>
    <n v="6"/>
    <m/>
    <x v="0"/>
    <m/>
    <m/>
    <x v="0"/>
    <x v="0"/>
    <m/>
    <x v="1"/>
    <x v="0"/>
  </r>
  <r>
    <n v="897"/>
    <s v="897 | Finance"/>
    <x v="23"/>
    <x v="7"/>
    <x v="34"/>
    <x v="21"/>
    <s v="Finance-Billing Officer"/>
    <x v="1"/>
    <d v="2022-10-10T22:33:20"/>
    <x v="1077"/>
    <x v="306"/>
    <n v="6"/>
    <d v="2022-10-23T22:33:20"/>
    <s v="Yes"/>
    <d v="2022-10-25T22:33:20"/>
    <x v="0"/>
    <x v="3"/>
    <m/>
    <m/>
    <m/>
    <m/>
    <m/>
    <m/>
    <x v="0"/>
    <m/>
    <m/>
    <m/>
    <m/>
    <s v="Candidate"/>
    <m/>
    <s v="C2937"/>
    <s v="Candidate_1937"/>
    <s v="Oct 20 2022"/>
    <x v="1"/>
    <s v="Linkedin"/>
    <n v="6"/>
    <m/>
    <x v="0"/>
    <m/>
    <m/>
    <x v="0"/>
    <x v="0"/>
    <m/>
    <x v="1"/>
    <x v="0"/>
  </r>
  <r>
    <n v="895"/>
    <s v="895 | Finance"/>
    <x v="23"/>
    <x v="7"/>
    <x v="34"/>
    <x v="21"/>
    <s v="Finance-Billing Officer"/>
    <x v="1"/>
    <d v="2022-10-12T22:33:20"/>
    <x v="1078"/>
    <x v="306"/>
    <n v="4"/>
    <d v="2022-11-03T22:33:20"/>
    <s v="Yes"/>
    <d v="2022-10-27T22:33:20"/>
    <x v="0"/>
    <x v="4"/>
    <m/>
    <m/>
    <m/>
    <m/>
    <m/>
    <m/>
    <x v="0"/>
    <m/>
    <m/>
    <m/>
    <m/>
    <s v="Candidate"/>
    <m/>
    <s v="C2938"/>
    <s v="Candidate_1938"/>
    <s v="13/10/2022"/>
    <x v="0"/>
    <s v="Referral"/>
    <n v="6"/>
    <m/>
    <x v="0"/>
    <m/>
    <m/>
    <x v="0"/>
    <x v="0"/>
    <m/>
    <x v="1"/>
    <x v="0"/>
  </r>
  <r>
    <n v="884"/>
    <s v="884 | Finance"/>
    <x v="22"/>
    <x v="7"/>
    <x v="34"/>
    <x v="21"/>
    <s v="Finance-Billing Officer"/>
    <x v="1"/>
    <d v="2022-09-23T04:47:55"/>
    <x v="945"/>
    <x v="307"/>
    <n v="4"/>
    <d v="2022-10-19T04:47:55"/>
    <s v="Yes"/>
    <d v="2022-10-04T04:47:55"/>
    <x v="0"/>
    <x v="0"/>
    <m/>
    <m/>
    <m/>
    <m/>
    <m/>
    <m/>
    <x v="0"/>
    <m/>
    <m/>
    <m/>
    <m/>
    <s v="Candidate"/>
    <m/>
    <s v="C2939"/>
    <s v="Candidate_1939"/>
    <s v="Sep 20 2022"/>
    <x v="2"/>
    <s v="Job Board"/>
    <n v="6"/>
    <m/>
    <x v="0"/>
    <m/>
    <m/>
    <x v="0"/>
    <x v="0"/>
    <m/>
    <x v="1"/>
    <x v="0"/>
  </r>
  <r>
    <n v="881"/>
    <s v="881 | Finance"/>
    <x v="23"/>
    <x v="7"/>
    <x v="34"/>
    <x v="21"/>
    <s v="Finance-Billing Officer"/>
    <x v="1"/>
    <d v="2022-09-20T04:47:55"/>
    <x v="1116"/>
    <x v="307"/>
    <n v="7"/>
    <d v="2022-10-15T04:47:55"/>
    <s v="Yes"/>
    <d v="2022-09-28T04:47:55"/>
    <x v="3"/>
    <x v="1"/>
    <d v="2022-10-01T04:47:55"/>
    <s v="Accepted"/>
    <d v="2022-09-30T04:47:55"/>
    <d v="2022-10-03T04:47:55"/>
    <d v="2022-09-30T04:47:55"/>
    <d v="2022-10-01T04:47:55"/>
    <x v="1"/>
    <d v="2022-10-05T04:47:55"/>
    <d v="2022-10-08T04:47:55"/>
    <d v="2022-10-09T04:47:55"/>
    <m/>
    <m/>
    <d v="2022-10-26T04:47:55"/>
    <s v="C2940"/>
    <s v="Candidate_1940"/>
    <s v="09-22-2022"/>
    <x v="0"/>
    <s v="Referral"/>
    <n v="3"/>
    <m/>
    <x v="0"/>
    <m/>
    <m/>
    <x v="0"/>
    <x v="0"/>
    <m/>
    <x v="206"/>
    <x v="0"/>
  </r>
  <r>
    <n v="855"/>
    <s v="855 | Finance"/>
    <x v="22"/>
    <x v="7"/>
    <x v="34"/>
    <x v="21"/>
    <s v="Finance-Billing Officer"/>
    <x v="1"/>
    <m/>
    <x v="1117"/>
    <x v="4"/>
    <n v="0"/>
    <d v="2023-02-21T00:03:45"/>
    <s v="Yes"/>
    <d v="2023-02-09T00:03:45"/>
    <x v="3"/>
    <x v="1"/>
    <d v="2023-02-14T00:03:45"/>
    <s v="Accepted"/>
    <d v="2023-02-11T00:03:45"/>
    <d v="2023-02-12T00:03:45"/>
    <d v="2023-02-10T00:03:45"/>
    <d v="2023-02-12T00:03:45"/>
    <x v="1"/>
    <d v="2023-02-14T00:03:45"/>
    <d v="2023-02-16T00:03:45"/>
    <d v="2023-02-18T00:03:45"/>
    <m/>
    <m/>
    <d v="2023-02-28T00:03:45"/>
    <s v="C2941"/>
    <s v="Candidate_1941"/>
    <s v="23/01/2023"/>
    <x v="0"/>
    <s v="Referral"/>
    <n v="6"/>
    <m/>
    <x v="0"/>
    <m/>
    <m/>
    <x v="0"/>
    <x v="0"/>
    <m/>
    <x v="0"/>
    <x v="0"/>
  </r>
  <r>
    <n v="852"/>
    <s v="852 | Finance"/>
    <x v="21"/>
    <x v="7"/>
    <x v="34"/>
    <x v="21"/>
    <s v="Finance-Billing Officer"/>
    <x v="1"/>
    <m/>
    <x v="0"/>
    <x v="309"/>
    <n v="44964.002604166657"/>
    <d v="2023-02-19T00:03:45"/>
    <s v="Yes"/>
    <d v="2023-02-24T00:03:45"/>
    <x v="0"/>
    <x v="4"/>
    <m/>
    <m/>
    <m/>
    <m/>
    <m/>
    <m/>
    <x v="0"/>
    <m/>
    <m/>
    <m/>
    <m/>
    <s v="Company"/>
    <m/>
    <s v="C2942"/>
    <s v="Candidate_1942"/>
    <s v="16/02/2023"/>
    <x v="1"/>
    <s v="Linkedin"/>
    <n v="6"/>
    <m/>
    <x v="0"/>
    <m/>
    <m/>
    <x v="0"/>
    <x v="0"/>
    <m/>
    <x v="0"/>
    <x v="0"/>
  </r>
  <r>
    <n v="749"/>
    <s v="749 | Finance"/>
    <x v="23"/>
    <x v="7"/>
    <x v="34"/>
    <x v="21"/>
    <s v="Finance-Billing Officer"/>
    <x v="1"/>
    <d v="2022-11-03T05:17:37"/>
    <x v="1062"/>
    <x v="310"/>
    <n v="6"/>
    <d v="2022-11-19T05:17:37"/>
    <s v="Yes"/>
    <d v="2022-11-14T05:17:37"/>
    <x v="1"/>
    <x v="1"/>
    <d v="2022-11-17T05:17:37"/>
    <s v="Declined"/>
    <m/>
    <m/>
    <d v="2022-11-16T05:17:37"/>
    <m/>
    <x v="0"/>
    <m/>
    <m/>
    <m/>
    <m/>
    <m/>
    <m/>
    <s v="C2943"/>
    <s v="Candidate_1943"/>
    <s v="29/10/2022"/>
    <x v="1"/>
    <s v="Linkedin"/>
    <n v="6"/>
    <m/>
    <x v="0"/>
    <m/>
    <m/>
    <x v="0"/>
    <x v="0"/>
    <m/>
    <x v="1"/>
    <x v="0"/>
  </r>
  <r>
    <n v="744"/>
    <s v="744 | Finance"/>
    <x v="23"/>
    <x v="7"/>
    <x v="34"/>
    <x v="21"/>
    <s v="Finance-Billing Officer"/>
    <x v="1"/>
    <d v="2022-11-07T05:17:37"/>
    <x v="949"/>
    <x v="4"/>
    <n v="-44872.220567129632"/>
    <d v="2022-11-29T05:17:37"/>
    <s v="No"/>
    <m/>
    <x v="2"/>
    <x v="1"/>
    <m/>
    <m/>
    <m/>
    <m/>
    <m/>
    <m/>
    <x v="0"/>
    <m/>
    <m/>
    <m/>
    <m/>
    <m/>
    <m/>
    <s v="C2944"/>
    <s v="Candidate_1944"/>
    <m/>
    <x v="1"/>
    <s v="Linkedin"/>
    <n v="3"/>
    <m/>
    <x v="0"/>
    <m/>
    <m/>
    <x v="0"/>
    <x v="0"/>
    <m/>
    <x v="0"/>
    <x v="0"/>
  </r>
  <r>
    <n v="610"/>
    <s v="610 | Finance"/>
    <x v="22"/>
    <x v="7"/>
    <x v="34"/>
    <x v="21"/>
    <s v="Finance-Billing Officer"/>
    <x v="1"/>
    <m/>
    <x v="954"/>
    <x v="312"/>
    <n v="44576.309340277781"/>
    <d v="2022-02-12T07:25:27"/>
    <s v="Yes"/>
    <d v="2022-01-26T07:25:27"/>
    <x v="0"/>
    <x v="3"/>
    <m/>
    <m/>
    <m/>
    <m/>
    <d v="2022-01-29T07:25:27"/>
    <m/>
    <x v="0"/>
    <m/>
    <m/>
    <m/>
    <m/>
    <s v="Candidate"/>
    <m/>
    <s v="C2945"/>
    <s v="Candidate_1945"/>
    <s v="18/01/2022"/>
    <x v="2"/>
    <s v="Job Board"/>
    <n v="6"/>
    <m/>
    <x v="0"/>
    <m/>
    <m/>
    <x v="0"/>
    <x v="0"/>
    <m/>
    <x v="0"/>
    <x v="0"/>
  </r>
  <r>
    <n v="458"/>
    <s v="458 | Finance"/>
    <x v="21"/>
    <x v="7"/>
    <x v="34"/>
    <x v="21"/>
    <s v="Finance-Billing Officer"/>
    <x v="1"/>
    <d v="2023-02-13T13:42:17"/>
    <x v="0"/>
    <x v="4"/>
    <n v="-44970.571030092593"/>
    <d v="2023-03-09T13:42:17"/>
    <s v="No"/>
    <m/>
    <x v="2"/>
    <x v="1"/>
    <m/>
    <m/>
    <m/>
    <m/>
    <m/>
    <m/>
    <x v="0"/>
    <m/>
    <m/>
    <m/>
    <m/>
    <m/>
    <m/>
    <s v="C2946"/>
    <s v="Candidate_1946"/>
    <m/>
    <x v="0"/>
    <s v="Referral"/>
    <n v="6"/>
    <m/>
    <x v="0"/>
    <m/>
    <m/>
    <x v="0"/>
    <x v="0"/>
    <m/>
    <x v="0"/>
    <x v="0"/>
  </r>
  <r>
    <n v="456"/>
    <s v="456 | Finance"/>
    <x v="21"/>
    <x v="7"/>
    <x v="34"/>
    <x v="21"/>
    <s v="Finance-Billing Officer"/>
    <x v="1"/>
    <m/>
    <x v="1066"/>
    <x v="314"/>
    <n v="44979.571030092593"/>
    <d v="2023-03-23T13:42:17"/>
    <s v="No"/>
    <m/>
    <x v="2"/>
    <x v="1"/>
    <m/>
    <m/>
    <m/>
    <m/>
    <m/>
    <m/>
    <x v="0"/>
    <m/>
    <m/>
    <m/>
    <m/>
    <m/>
    <m/>
    <s v="C2947"/>
    <s v="Candidate_1947"/>
    <m/>
    <x v="0"/>
    <s v="Referral"/>
    <n v="6"/>
    <m/>
    <x v="0"/>
    <m/>
    <m/>
    <x v="0"/>
    <x v="0"/>
    <m/>
    <x v="0"/>
    <x v="0"/>
  </r>
  <r>
    <n v="399"/>
    <s v="399 | Finance"/>
    <x v="22"/>
    <x v="7"/>
    <x v="34"/>
    <x v="21"/>
    <s v="Finance-Billing Officer"/>
    <x v="1"/>
    <d v="2023-02-15T16:28:40"/>
    <x v="958"/>
    <x v="315"/>
    <n v="5"/>
    <d v="2023-03-20T16:28:40"/>
    <s v="Yes"/>
    <d v="2023-02-24T16:28:40"/>
    <x v="0"/>
    <x v="0"/>
    <m/>
    <m/>
    <m/>
    <m/>
    <d v="2023-02-26T16:28:40"/>
    <m/>
    <x v="0"/>
    <m/>
    <m/>
    <m/>
    <m/>
    <s v="Candidate"/>
    <m/>
    <s v="C2948"/>
    <s v="Candidate_1948"/>
    <s v="15/02/2023"/>
    <x v="0"/>
    <s v="Referral"/>
    <n v="6"/>
    <m/>
    <x v="0"/>
    <m/>
    <m/>
    <x v="0"/>
    <x v="0"/>
    <m/>
    <x v="1"/>
    <x v="0"/>
  </r>
  <r>
    <n v="396"/>
    <s v="396 | Finance"/>
    <x v="23"/>
    <x v="7"/>
    <x v="34"/>
    <x v="24"/>
    <s v="Finance-Collections Officer"/>
    <x v="1"/>
    <d v="2023-02-13T16:28:40"/>
    <x v="1118"/>
    <x v="315"/>
    <n v="7"/>
    <d v="2023-03-02T16:28:40"/>
    <s v="No"/>
    <m/>
    <x v="2"/>
    <x v="1"/>
    <m/>
    <m/>
    <m/>
    <m/>
    <m/>
    <m/>
    <x v="0"/>
    <m/>
    <m/>
    <m/>
    <m/>
    <m/>
    <m/>
    <s v="C2949"/>
    <s v="Candidate_1949"/>
    <m/>
    <x v="0"/>
    <s v="Referral"/>
    <n v="6"/>
    <m/>
    <x v="0"/>
    <m/>
    <m/>
    <x v="0"/>
    <x v="0"/>
    <m/>
    <x v="1"/>
    <x v="0"/>
  </r>
  <r>
    <n v="395"/>
    <s v="395 | Finance"/>
    <x v="21"/>
    <x v="7"/>
    <x v="34"/>
    <x v="24"/>
    <s v="Finance-Collections Officer"/>
    <x v="1"/>
    <d v="2023-02-17T16:28:40"/>
    <x v="1119"/>
    <x v="315"/>
    <n v="3"/>
    <d v="2023-03-16T16:28:40"/>
    <s v="No"/>
    <m/>
    <x v="2"/>
    <x v="1"/>
    <m/>
    <m/>
    <m/>
    <m/>
    <m/>
    <m/>
    <x v="0"/>
    <m/>
    <m/>
    <m/>
    <m/>
    <m/>
    <m/>
    <s v="C2950"/>
    <s v="Candidate_1950"/>
    <m/>
    <x v="0"/>
    <s v="Referral"/>
    <n v="3"/>
    <m/>
    <x v="0"/>
    <m/>
    <m/>
    <x v="0"/>
    <x v="0"/>
    <m/>
    <x v="1"/>
    <x v="0"/>
  </r>
  <r>
    <n v="286"/>
    <s v="286 | Finance"/>
    <x v="23"/>
    <x v="7"/>
    <x v="34"/>
    <x v="24"/>
    <s v="Finance-Collections Officer"/>
    <x v="1"/>
    <d v="2022-05-22T16:15:48"/>
    <x v="1020"/>
    <x v="317"/>
    <n v="3"/>
    <d v="2022-06-21T16:15:48"/>
    <s v="Yes"/>
    <d v="2022-06-09T16:15:48"/>
    <x v="3"/>
    <x v="1"/>
    <d v="2022-06-14T16:15:48"/>
    <s v="Accepted"/>
    <d v="2022-06-10T16:15:48"/>
    <d v="2022-06-11T16:15:48"/>
    <d v="2022-06-13T16:15:48"/>
    <d v="2022-06-20T16:15:48"/>
    <x v="1"/>
    <d v="2022-06-22T16:15:48"/>
    <d v="2022-06-25T16:15:48"/>
    <d v="2022-06-28T16:15:48"/>
    <m/>
    <m/>
    <d v="2022-07-17T16:15:48"/>
    <s v="C2951"/>
    <s v="Candidate_1951"/>
    <s v="06-03-2022"/>
    <x v="1"/>
    <s v="Linkedin"/>
    <n v="6"/>
    <m/>
    <x v="0"/>
    <m/>
    <m/>
    <x v="0"/>
    <x v="0"/>
    <m/>
    <x v="207"/>
    <x v="0"/>
  </r>
  <r>
    <n v="283"/>
    <s v="283 | Finance"/>
    <x v="22"/>
    <x v="7"/>
    <x v="34"/>
    <x v="24"/>
    <s v="Finance-Collections Officer"/>
    <x v="1"/>
    <d v="2022-05-23T16:15:48"/>
    <x v="1020"/>
    <x v="317"/>
    <n v="2"/>
    <d v="2022-06-11T16:15:48"/>
    <s v="Yes"/>
    <d v="2022-06-09T16:15:48"/>
    <x v="0"/>
    <x v="0"/>
    <m/>
    <m/>
    <m/>
    <m/>
    <d v="2022-06-10T16:15:48"/>
    <m/>
    <x v="0"/>
    <m/>
    <m/>
    <m/>
    <m/>
    <s v="Company"/>
    <m/>
    <s v="C2952"/>
    <s v="Candidate_1952"/>
    <s v="May 23 2022"/>
    <x v="2"/>
    <s v="Job Board"/>
    <n v="6"/>
    <m/>
    <x v="0"/>
    <m/>
    <m/>
    <x v="0"/>
    <x v="0"/>
    <m/>
    <x v="1"/>
    <x v="0"/>
  </r>
  <r>
    <n v="204"/>
    <s v="204 | Finance"/>
    <x v="22"/>
    <x v="7"/>
    <x v="34"/>
    <x v="24"/>
    <s v="Finance-Collections Officer"/>
    <x v="1"/>
    <d v="2022-07-07T08:13:46"/>
    <x v="871"/>
    <x v="283"/>
    <n v="5"/>
    <d v="2022-07-25T08:13:46"/>
    <s v="Yes"/>
    <d v="2022-07-21T08:13:46"/>
    <x v="0"/>
    <x v="2"/>
    <m/>
    <m/>
    <m/>
    <m/>
    <m/>
    <m/>
    <x v="0"/>
    <m/>
    <m/>
    <m/>
    <m/>
    <s v="Candidate"/>
    <m/>
    <s v="C2953"/>
    <s v="Candidate_1953"/>
    <s v="07-16-2022"/>
    <x v="1"/>
    <s v="Linkedin"/>
    <n v="3"/>
    <m/>
    <x v="0"/>
    <m/>
    <m/>
    <x v="0"/>
    <x v="0"/>
    <m/>
    <x v="1"/>
    <x v="0"/>
  </r>
  <r>
    <n v="178"/>
    <s v="178 | Finance"/>
    <x v="22"/>
    <x v="7"/>
    <x v="34"/>
    <x v="24"/>
    <s v="Finance-Collections Officer"/>
    <x v="1"/>
    <d v="2023-06-16T08:54:08"/>
    <x v="873"/>
    <x v="4"/>
    <n v="-45093.370925925927"/>
    <d v="2023-07-20T08:54:08"/>
    <s v="Yes"/>
    <d v="2023-07-03T08:54:08"/>
    <x v="0"/>
    <x v="5"/>
    <m/>
    <m/>
    <m/>
    <m/>
    <m/>
    <m/>
    <x v="0"/>
    <m/>
    <m/>
    <m/>
    <m/>
    <s v="Candidate"/>
    <m/>
    <s v="C2954"/>
    <s v="Candidate_1954"/>
    <s v="06-16-2023"/>
    <x v="0"/>
    <s v="Referral"/>
    <n v="6"/>
    <m/>
    <x v="0"/>
    <m/>
    <m/>
    <x v="0"/>
    <x v="0"/>
    <m/>
    <x v="0"/>
    <x v="0"/>
  </r>
  <r>
    <n v="106"/>
    <s v="106 | Finance"/>
    <x v="22"/>
    <x v="7"/>
    <x v="34"/>
    <x v="24"/>
    <s v="Finance-Collections Officer"/>
    <x v="1"/>
    <d v="2023-03-29T21:07:16"/>
    <x v="1120"/>
    <x v="285"/>
    <n v="5"/>
    <d v="2023-04-29T21:07:16"/>
    <s v="Yes"/>
    <d v="2023-04-16T21:07:16"/>
    <x v="0"/>
    <x v="2"/>
    <m/>
    <m/>
    <m/>
    <m/>
    <m/>
    <m/>
    <x v="0"/>
    <m/>
    <m/>
    <m/>
    <m/>
    <s v="Company"/>
    <m/>
    <s v="C2955"/>
    <s v="Candidate_1955"/>
    <s v="09/04/2023"/>
    <x v="2"/>
    <s v="Job Board"/>
    <n v="6"/>
    <m/>
    <x v="0"/>
    <m/>
    <m/>
    <x v="0"/>
    <x v="0"/>
    <m/>
    <x v="1"/>
    <x v="0"/>
  </r>
  <r>
    <n v="105"/>
    <s v="105 | Finance"/>
    <x v="21"/>
    <x v="7"/>
    <x v="34"/>
    <x v="24"/>
    <s v="Finance-Collections Officer"/>
    <x v="1"/>
    <d v="2023-03-25T21:07:16"/>
    <x v="1022"/>
    <x v="285"/>
    <n v="9"/>
    <d v="2023-04-20T21:07:16"/>
    <s v="Yes"/>
    <d v="2023-04-11T21:07:16"/>
    <x v="1"/>
    <x v="1"/>
    <d v="2023-04-16T21:07:16"/>
    <s v="Declined"/>
    <m/>
    <m/>
    <d v="2023-04-14T21:07:16"/>
    <m/>
    <x v="0"/>
    <m/>
    <m/>
    <m/>
    <m/>
    <m/>
    <m/>
    <s v="C2956"/>
    <s v="Candidate_1956"/>
    <s v="25/03/2023"/>
    <x v="1"/>
    <s v="Linkedin"/>
    <n v="3"/>
    <m/>
    <x v="0"/>
    <m/>
    <m/>
    <x v="0"/>
    <x v="0"/>
    <m/>
    <x v="1"/>
    <x v="0"/>
  </r>
  <r>
    <n v="101"/>
    <s v="101 | Finance"/>
    <x v="23"/>
    <x v="7"/>
    <x v="34"/>
    <x v="24"/>
    <s v="Finance-Collections Officer"/>
    <x v="1"/>
    <d v="2023-03-29T21:07:16"/>
    <x v="1070"/>
    <x v="4"/>
    <n v="-45014.880046296297"/>
    <d v="2023-04-22T21:07:16"/>
    <s v="Yes"/>
    <d v="2023-04-18T21:07:16"/>
    <x v="0"/>
    <x v="2"/>
    <m/>
    <m/>
    <m/>
    <m/>
    <m/>
    <m/>
    <x v="0"/>
    <m/>
    <m/>
    <m/>
    <m/>
    <s v="Candidate"/>
    <m/>
    <s v="C2957"/>
    <s v="Candidate_1957"/>
    <s v="04-12-2023"/>
    <x v="0"/>
    <s v="Referral"/>
    <n v="3"/>
    <m/>
    <x v="0"/>
    <m/>
    <m/>
    <x v="0"/>
    <x v="0"/>
    <m/>
    <x v="0"/>
    <x v="0"/>
  </r>
  <r>
    <n v="100"/>
    <s v="100 | Finance"/>
    <x v="23"/>
    <x v="7"/>
    <x v="34"/>
    <x v="24"/>
    <s v="Finance-Collections Officer"/>
    <x v="1"/>
    <d v="2022-10-03T14:05:41"/>
    <x v="877"/>
    <x v="286"/>
    <n v="10"/>
    <d v="2022-10-29T14:05:41"/>
    <s v="No"/>
    <m/>
    <x v="2"/>
    <x v="1"/>
    <m/>
    <m/>
    <m/>
    <m/>
    <m/>
    <m/>
    <x v="0"/>
    <m/>
    <m/>
    <m/>
    <m/>
    <m/>
    <m/>
    <s v="C2958"/>
    <s v="Candidate_1958"/>
    <m/>
    <x v="2"/>
    <s v="Job Board"/>
    <n v="3"/>
    <m/>
    <x v="0"/>
    <m/>
    <m/>
    <x v="0"/>
    <x v="0"/>
    <m/>
    <x v="1"/>
    <x v="0"/>
  </r>
  <r>
    <n v="91"/>
    <s v="91 | Finance"/>
    <x v="21"/>
    <x v="7"/>
    <x v="34"/>
    <x v="24"/>
    <s v="Finance-Collections Officer"/>
    <x v="1"/>
    <d v="2022-10-08T14:05:41"/>
    <x v="1121"/>
    <x v="286"/>
    <n v="5"/>
    <d v="2022-10-24T14:05:41"/>
    <s v="Yes"/>
    <d v="2022-10-25T14:05:41"/>
    <x v="1"/>
    <x v="1"/>
    <d v="2022-10-30T14:05:41"/>
    <s v="Declined"/>
    <m/>
    <m/>
    <d v="2022-10-26T14:05:41"/>
    <m/>
    <x v="0"/>
    <m/>
    <m/>
    <m/>
    <m/>
    <m/>
    <m/>
    <s v="C2959"/>
    <s v="Candidate_1959"/>
    <s v="10-13-2022"/>
    <x v="2"/>
    <s v="Job Board"/>
    <n v="3"/>
    <m/>
    <x v="0"/>
    <m/>
    <m/>
    <x v="0"/>
    <x v="0"/>
    <m/>
    <x v="1"/>
    <x v="0"/>
  </r>
  <r>
    <n v="30"/>
    <s v="30 | Finance"/>
    <x v="22"/>
    <x v="7"/>
    <x v="34"/>
    <x v="24"/>
    <s v="Finance-Collections Officer"/>
    <x v="1"/>
    <d v="2022-12-25T10:52:58"/>
    <x v="880"/>
    <x v="4"/>
    <n v="-44920.453449074077"/>
    <d v="2023-01-11T10:52:58"/>
    <s v="No"/>
    <m/>
    <x v="2"/>
    <x v="1"/>
    <m/>
    <m/>
    <m/>
    <m/>
    <m/>
    <m/>
    <x v="0"/>
    <m/>
    <m/>
    <m/>
    <m/>
    <m/>
    <m/>
    <s v="C2960"/>
    <s v="Candidate_1960"/>
    <m/>
    <x v="1"/>
    <s v="Linkedin"/>
    <n v="3"/>
    <m/>
    <x v="0"/>
    <m/>
    <m/>
    <x v="0"/>
    <x v="0"/>
    <m/>
    <x v="0"/>
    <x v="0"/>
  </r>
  <r>
    <n v="23"/>
    <s v="23 | Finance"/>
    <x v="22"/>
    <x v="7"/>
    <x v="34"/>
    <x v="24"/>
    <s v="Finance-Collections Officer"/>
    <x v="1"/>
    <m/>
    <x v="0"/>
    <x v="287"/>
    <n v="44927.453449074077"/>
    <d v="2023-01-27T10:52:58"/>
    <s v="No"/>
    <m/>
    <x v="2"/>
    <x v="1"/>
    <m/>
    <m/>
    <m/>
    <m/>
    <m/>
    <m/>
    <x v="0"/>
    <m/>
    <m/>
    <m/>
    <m/>
    <m/>
    <m/>
    <s v="C2961"/>
    <s v="Candidate_1961"/>
    <m/>
    <x v="0"/>
    <s v="Referral"/>
    <n v="3"/>
    <m/>
    <x v="0"/>
    <m/>
    <m/>
    <x v="0"/>
    <x v="0"/>
    <m/>
    <x v="0"/>
    <x v="0"/>
  </r>
  <r>
    <n v="21"/>
    <s v="21 | Finance"/>
    <x v="23"/>
    <x v="7"/>
    <x v="34"/>
    <x v="24"/>
    <s v="Finance-Collections Officer"/>
    <x v="1"/>
    <d v="2022-12-25T10:52:58"/>
    <x v="1089"/>
    <x v="287"/>
    <n v="7"/>
    <d v="2023-01-19T10:52:58"/>
    <s v="Yes"/>
    <d v="2023-01-15T10:52:58"/>
    <x v="3"/>
    <x v="1"/>
    <d v="2023-01-21T10:52:58"/>
    <s v="Accepted"/>
    <d v="2023-01-17T10:52:58"/>
    <d v="2023-01-18T10:52:58"/>
    <d v="2023-01-18T10:52:58"/>
    <d v="2023-01-23T10:52:58"/>
    <x v="1"/>
    <d v="2023-01-24T10:52:58"/>
    <d v="2023-01-27T10:52:58"/>
    <d v="2023-01-30T10:52:58"/>
    <m/>
    <m/>
    <d v="2023-02-19T10:52:58"/>
    <s v="C2962"/>
    <s v="Candidate_1962"/>
    <s v="01-03-2023"/>
    <x v="1"/>
    <s v="Linkedin"/>
    <n v="6"/>
    <m/>
    <x v="0"/>
    <m/>
    <m/>
    <x v="0"/>
    <x v="0"/>
    <m/>
    <x v="208"/>
    <x v="0"/>
  </r>
  <r>
    <n v="20"/>
    <s v="20 | Finance"/>
    <x v="21"/>
    <x v="7"/>
    <x v="34"/>
    <x v="24"/>
    <s v="Finance-Collections Officer"/>
    <x v="1"/>
    <d v="2022-03-14T21:37:51"/>
    <x v="1122"/>
    <x v="288"/>
    <n v="8"/>
    <d v="2022-04-10T21:37:51"/>
    <s v="Yes"/>
    <d v="2022-04-01T21:37:51"/>
    <x v="1"/>
    <x v="1"/>
    <d v="2022-04-06T21:37:51"/>
    <s v="Declined"/>
    <m/>
    <m/>
    <d v="2022-04-05T21:37:51"/>
    <m/>
    <x v="0"/>
    <m/>
    <m/>
    <m/>
    <m/>
    <m/>
    <m/>
    <s v="C2963"/>
    <s v="Candidate_1963"/>
    <s v="15/03/2022"/>
    <x v="1"/>
    <s v="Linkedin"/>
    <n v="6"/>
    <m/>
    <x v="0"/>
    <m/>
    <m/>
    <x v="0"/>
    <x v="0"/>
    <m/>
    <x v="1"/>
    <x v="0"/>
  </r>
  <r>
    <n v="12"/>
    <s v="12 | Finance"/>
    <x v="22"/>
    <x v="7"/>
    <x v="34"/>
    <x v="24"/>
    <s v="Finance-Collections Officer"/>
    <x v="1"/>
    <d v="2022-03-16T21:37:51"/>
    <x v="881"/>
    <x v="288"/>
    <n v="6"/>
    <d v="2022-04-10T21:37:51"/>
    <s v="No"/>
    <m/>
    <x v="2"/>
    <x v="1"/>
    <m/>
    <m/>
    <m/>
    <m/>
    <m/>
    <m/>
    <x v="0"/>
    <m/>
    <m/>
    <m/>
    <m/>
    <m/>
    <m/>
    <s v="C2964"/>
    <s v="Candidate_1964"/>
    <m/>
    <x v="0"/>
    <s v="Referral"/>
    <n v="6"/>
    <m/>
    <x v="0"/>
    <m/>
    <m/>
    <x v="0"/>
    <x v="0"/>
    <m/>
    <x v="1"/>
    <x v="0"/>
  </r>
  <r>
    <n v="439"/>
    <s v="439 | Communication and Advocacy"/>
    <x v="24"/>
    <x v="8"/>
    <x v="35"/>
    <x v="4"/>
    <s v="Communication and Advocacy-Senior Manager"/>
    <x v="3"/>
    <d v="2022-06-24T07:34:28"/>
    <x v="1123"/>
    <x v="115"/>
    <n v="5"/>
    <d v="2022-07-12T07:34:28"/>
    <s v="Yes"/>
    <d v="2022-07-12T07:34:28"/>
    <x v="0"/>
    <x v="5"/>
    <m/>
    <m/>
    <m/>
    <m/>
    <d v="2022-07-13T07:34:28"/>
    <m/>
    <x v="0"/>
    <m/>
    <m/>
    <m/>
    <m/>
    <s v="Candidate"/>
    <m/>
    <s v="C2965"/>
    <s v="Candidate_1965"/>
    <s v="Jul 03 2022"/>
    <x v="2"/>
    <s v="Job Board"/>
    <n v="6"/>
    <m/>
    <x v="0"/>
    <m/>
    <m/>
    <x v="0"/>
    <x v="0"/>
    <m/>
    <x v="1"/>
    <x v="0"/>
  </r>
  <r>
    <n v="432"/>
    <s v="432 | Communication and Advocacy"/>
    <x v="24"/>
    <x v="8"/>
    <x v="35"/>
    <x v="4"/>
    <s v="Communication and Advocacy-Senior Manager"/>
    <x v="3"/>
    <d v="2022-06-23T07:34:28"/>
    <x v="1124"/>
    <x v="115"/>
    <n v="6"/>
    <d v="2022-07-29T07:34:28"/>
    <s v="Yes"/>
    <d v="2022-07-14T07:34:28"/>
    <x v="0"/>
    <x v="2"/>
    <m/>
    <m/>
    <m/>
    <m/>
    <m/>
    <m/>
    <x v="0"/>
    <m/>
    <m/>
    <m/>
    <m/>
    <s v="Company"/>
    <m/>
    <s v="C2966"/>
    <s v="Candidate_1966"/>
    <s v="Jul 05 2022"/>
    <x v="0"/>
    <s v="Referral"/>
    <n v="6"/>
    <m/>
    <x v="0"/>
    <m/>
    <m/>
    <x v="0"/>
    <x v="0"/>
    <m/>
    <x v="1"/>
    <x v="0"/>
  </r>
  <r>
    <n v="365"/>
    <s v="365 | Communication and Advocacy"/>
    <x v="24"/>
    <x v="8"/>
    <x v="35"/>
    <x v="4"/>
    <s v="Communication and Advocacy-Senior Manager"/>
    <x v="3"/>
    <d v="2022-04-28T18:02:17"/>
    <x v="352"/>
    <x v="116"/>
    <n v="10"/>
    <d v="2022-06-05T18:02:17"/>
    <s v="Yes"/>
    <d v="2022-05-15T18:02:17"/>
    <x v="1"/>
    <x v="1"/>
    <d v="2022-05-21T18:02:17"/>
    <s v="Declined"/>
    <m/>
    <m/>
    <d v="2022-05-17T18:02:17"/>
    <m/>
    <x v="0"/>
    <m/>
    <m/>
    <m/>
    <m/>
    <m/>
    <m/>
    <s v="C2967"/>
    <s v="Candidate_1967"/>
    <s v="28/04/2022"/>
    <x v="2"/>
    <s v="Job Board"/>
    <n v="6"/>
    <m/>
    <x v="0"/>
    <m/>
    <m/>
    <x v="0"/>
    <x v="0"/>
    <m/>
    <x v="1"/>
    <x v="0"/>
  </r>
  <r>
    <n v="364"/>
    <s v="364 | Communication and Advocacy"/>
    <x v="24"/>
    <x v="8"/>
    <x v="35"/>
    <x v="4"/>
    <s v="Communication and Advocacy-Senior Manager"/>
    <x v="3"/>
    <d v="2022-05-01T18:02:17"/>
    <x v="406"/>
    <x v="116"/>
    <n v="7"/>
    <d v="2022-06-01T18:02:17"/>
    <s v="Yes"/>
    <d v="2022-05-21T18:02:17"/>
    <x v="3"/>
    <x v="1"/>
    <d v="2022-05-25T18:02:17"/>
    <s v="Accepted"/>
    <d v="2022-05-23T18:02:17"/>
    <d v="2022-05-27T18:02:17"/>
    <d v="2022-05-22T18:02:17"/>
    <d v="2022-05-24T18:02:17"/>
    <x v="1"/>
    <d v="2022-05-27T18:02:17"/>
    <d v="2022-05-30T18:02:17"/>
    <d v="2022-05-31T18:02:17"/>
    <m/>
    <m/>
    <d v="2022-06-20T18:02:17"/>
    <s v="C2968"/>
    <s v="Candidate_1968"/>
    <s v="05-05-2022"/>
    <x v="2"/>
    <s v="Job Board"/>
    <n v="3"/>
    <m/>
    <x v="0"/>
    <m/>
    <m/>
    <x v="0"/>
    <x v="0"/>
    <m/>
    <x v="209"/>
    <x v="0"/>
  </r>
  <r>
    <n v="360"/>
    <s v="360 | Communication and Advocacy"/>
    <x v="25"/>
    <x v="8"/>
    <x v="35"/>
    <x v="4"/>
    <s v="Communication and Advocacy-Senior Manager"/>
    <x v="3"/>
    <d v="2022-10-08T04:14:17"/>
    <x v="1125"/>
    <x v="136"/>
    <n v="2"/>
    <d v="2022-10-30T04:14:17"/>
    <s v="Yes"/>
    <d v="2022-10-18T04:14:17"/>
    <x v="0"/>
    <x v="2"/>
    <m/>
    <m/>
    <m/>
    <m/>
    <d v="2022-10-20T04:14:17"/>
    <m/>
    <x v="0"/>
    <m/>
    <m/>
    <m/>
    <m/>
    <s v="Candidate"/>
    <m/>
    <s v="C2969"/>
    <s v="Candidate_1969"/>
    <s v="12/10/2022"/>
    <x v="1"/>
    <s v="Linkedin"/>
    <n v="3"/>
    <m/>
    <x v="0"/>
    <m/>
    <m/>
    <x v="0"/>
    <x v="0"/>
    <m/>
    <x v="1"/>
    <x v="0"/>
  </r>
  <r>
    <n v="358"/>
    <s v="358 | Communication and Advocacy"/>
    <x v="25"/>
    <x v="8"/>
    <x v="35"/>
    <x v="4"/>
    <s v="Communication and Advocacy-Senior Manager"/>
    <x v="3"/>
    <d v="2022-10-03T04:14:17"/>
    <x v="1126"/>
    <x v="136"/>
    <n v="7"/>
    <d v="2022-10-29T04:14:17"/>
    <s v="Yes"/>
    <d v="2022-10-16T04:14:17"/>
    <x v="0"/>
    <x v="2"/>
    <m/>
    <m/>
    <m/>
    <m/>
    <d v="2022-10-20T04:14:17"/>
    <m/>
    <x v="0"/>
    <m/>
    <m/>
    <m/>
    <m/>
    <s v="Candidate"/>
    <m/>
    <s v="C2970"/>
    <s v="Candidate_1970"/>
    <s v="Oct 04 2022"/>
    <x v="0"/>
    <s v="Referral"/>
    <n v="3"/>
    <m/>
    <x v="0"/>
    <m/>
    <m/>
    <x v="0"/>
    <x v="0"/>
    <m/>
    <x v="1"/>
    <x v="0"/>
  </r>
  <r>
    <n v="354"/>
    <s v="354 | Communication and Advocacy"/>
    <x v="25"/>
    <x v="8"/>
    <x v="35"/>
    <x v="4"/>
    <s v="Communication and Advocacy-Senior Manager"/>
    <x v="3"/>
    <d v="2022-10-01T04:14:17"/>
    <x v="407"/>
    <x v="136"/>
    <n v="9"/>
    <d v="2022-10-15T04:14:17"/>
    <s v="Yes"/>
    <d v="2022-10-17T04:14:17"/>
    <x v="1"/>
    <x v="1"/>
    <d v="2022-10-19T04:14:17"/>
    <s v="Declined"/>
    <m/>
    <m/>
    <d v="2022-10-18T04:14:17"/>
    <m/>
    <x v="0"/>
    <m/>
    <m/>
    <m/>
    <m/>
    <m/>
    <m/>
    <s v="C2971"/>
    <s v="Candidate_1971"/>
    <s v="11/10/2022"/>
    <x v="1"/>
    <s v="Linkedin"/>
    <n v="6"/>
    <m/>
    <x v="0"/>
    <m/>
    <m/>
    <x v="0"/>
    <x v="0"/>
    <m/>
    <x v="1"/>
    <x v="0"/>
  </r>
  <r>
    <n v="326"/>
    <s v="326 | Communication and Advocacy"/>
    <x v="26"/>
    <x v="8"/>
    <x v="35"/>
    <x v="4"/>
    <s v="Communication and Advocacy-Senior Manager"/>
    <x v="3"/>
    <d v="2022-01-16T22:01:29"/>
    <x v="409"/>
    <x v="122"/>
    <n v="5"/>
    <d v="2022-02-18T22:01:29"/>
    <s v="Yes"/>
    <d v="2022-01-23T22:01:29"/>
    <x v="1"/>
    <x v="1"/>
    <d v="2022-01-25T22:01:29"/>
    <s v="Declined"/>
    <m/>
    <m/>
    <d v="2022-01-24T22:01:29"/>
    <m/>
    <x v="0"/>
    <m/>
    <m/>
    <m/>
    <m/>
    <m/>
    <m/>
    <s v="C2972"/>
    <s v="Candidate_1972"/>
    <s v="01-10-2022"/>
    <x v="2"/>
    <s v="Job Board"/>
    <n v="6"/>
    <m/>
    <x v="0"/>
    <m/>
    <m/>
    <x v="0"/>
    <x v="0"/>
    <m/>
    <x v="1"/>
    <x v="0"/>
  </r>
  <r>
    <n v="324"/>
    <s v="324 | Communication and Advocacy"/>
    <x v="24"/>
    <x v="8"/>
    <x v="35"/>
    <x v="4"/>
    <s v="Communication and Advocacy-Senior Manager"/>
    <x v="3"/>
    <m/>
    <x v="371"/>
    <x v="122"/>
    <n v="44582.917696759258"/>
    <d v="2022-02-17T22:01:29"/>
    <s v="Yes"/>
    <d v="2022-01-24T22:01:29"/>
    <x v="3"/>
    <x v="1"/>
    <d v="2022-01-30T22:01:29"/>
    <s v="Accepted"/>
    <d v="2022-01-25T22:01:29"/>
    <d v="2022-01-29T22:01:29"/>
    <d v="2022-01-26T22:01:29"/>
    <d v="2022-01-31T22:01:29"/>
    <x v="1"/>
    <d v="2022-02-01T22:01:29"/>
    <d v="2022-02-02T22:01:29"/>
    <d v="2022-02-03T22:01:29"/>
    <m/>
    <m/>
    <d v="2022-02-26T22:01:29"/>
    <s v="C2973"/>
    <s v="Candidate_1973"/>
    <s v="Jan 09 2022"/>
    <x v="0"/>
    <s v="Referral"/>
    <n v="6"/>
    <m/>
    <x v="0"/>
    <m/>
    <m/>
    <x v="0"/>
    <x v="0"/>
    <m/>
    <x v="0"/>
    <x v="0"/>
  </r>
  <r>
    <n v="323"/>
    <s v="323 | Communication and Advocacy"/>
    <x v="24"/>
    <x v="8"/>
    <x v="35"/>
    <x v="4"/>
    <s v="Communication and Advocacy-Senior Manager"/>
    <x v="3"/>
    <d v="2022-01-15T22:01:29"/>
    <x v="409"/>
    <x v="122"/>
    <n v="6"/>
    <d v="2022-02-15T22:01:29"/>
    <s v="Yes"/>
    <d v="2022-02-02T22:01:29"/>
    <x v="4"/>
    <x v="1"/>
    <d v="2022-02-05T22:01:29"/>
    <s v="Pending"/>
    <m/>
    <m/>
    <d v="2022-02-03T22:01:29"/>
    <m/>
    <x v="0"/>
    <m/>
    <m/>
    <m/>
    <m/>
    <m/>
    <m/>
    <s v="C2974"/>
    <s v="Candidate_1974"/>
    <s v="27/01/2022"/>
    <x v="0"/>
    <s v="Referral"/>
    <n v="6"/>
    <m/>
    <x v="0"/>
    <m/>
    <m/>
    <x v="0"/>
    <x v="0"/>
    <m/>
    <x v="1"/>
    <x v="0"/>
  </r>
  <r>
    <n v="297"/>
    <s v="297 | Communication and Advocacy"/>
    <x v="26"/>
    <x v="8"/>
    <x v="35"/>
    <x v="4"/>
    <s v="Communication and Advocacy-Senior Manager"/>
    <x v="3"/>
    <d v="2023-07-27T17:45:37"/>
    <x v="411"/>
    <x v="123"/>
    <n v="4"/>
    <d v="2023-08-25T17:45:37"/>
    <s v="Yes"/>
    <d v="2023-08-11T17:45:37"/>
    <x v="1"/>
    <x v="1"/>
    <d v="2023-08-16T17:45:37"/>
    <s v="Declined"/>
    <m/>
    <m/>
    <d v="2023-08-14T17:45:37"/>
    <m/>
    <x v="0"/>
    <m/>
    <m/>
    <m/>
    <m/>
    <m/>
    <m/>
    <s v="C2975"/>
    <s v="Candidate_1975"/>
    <s v="Aug 05 2023"/>
    <x v="2"/>
    <s v="Job Board"/>
    <n v="3"/>
    <m/>
    <x v="0"/>
    <m/>
    <m/>
    <x v="0"/>
    <x v="0"/>
    <m/>
    <x v="1"/>
    <x v="0"/>
  </r>
  <r>
    <n v="279"/>
    <s v="279 | Communication and Advocacy"/>
    <x v="25"/>
    <x v="8"/>
    <x v="35"/>
    <x v="4"/>
    <s v="Communication and Advocacy-Senior Manager"/>
    <x v="3"/>
    <m/>
    <x v="1127"/>
    <x v="124"/>
    <n v="44852.592418981483"/>
    <d v="2022-11-09T14:13:05"/>
    <s v="Yes"/>
    <d v="2022-10-26T14:13:05"/>
    <x v="0"/>
    <x v="5"/>
    <m/>
    <m/>
    <m/>
    <m/>
    <m/>
    <m/>
    <x v="0"/>
    <m/>
    <m/>
    <m/>
    <m/>
    <s v="Candidate"/>
    <m/>
    <s v="C2976"/>
    <s v="Candidate_1976"/>
    <s v="09/10/2022"/>
    <x v="0"/>
    <s v="Referral"/>
    <n v="3"/>
    <m/>
    <x v="0"/>
    <m/>
    <m/>
    <x v="0"/>
    <x v="0"/>
    <m/>
    <x v="0"/>
    <x v="0"/>
  </r>
  <r>
    <n v="278"/>
    <s v="278 | Communication and Advocacy"/>
    <x v="25"/>
    <x v="8"/>
    <x v="35"/>
    <x v="4"/>
    <s v="Communication and Advocacy-Senior Manager"/>
    <x v="3"/>
    <m/>
    <x v="1128"/>
    <x v="124"/>
    <n v="44852.592418981483"/>
    <d v="2022-11-01T14:13:05"/>
    <s v="Yes"/>
    <d v="2022-11-02T14:13:05"/>
    <x v="0"/>
    <x v="3"/>
    <m/>
    <m/>
    <m/>
    <m/>
    <d v="2022-11-03T14:13:05"/>
    <m/>
    <x v="0"/>
    <m/>
    <m/>
    <m/>
    <m/>
    <s v="Candidate"/>
    <m/>
    <s v="C2977"/>
    <s v="Candidate_1977"/>
    <s v="Oct 21 2022"/>
    <x v="1"/>
    <s v="Linkedin"/>
    <n v="6"/>
    <m/>
    <x v="0"/>
    <m/>
    <m/>
    <x v="0"/>
    <x v="0"/>
    <m/>
    <x v="0"/>
    <x v="0"/>
  </r>
  <r>
    <n v="271"/>
    <s v="271 | Communication and Advocacy"/>
    <x v="26"/>
    <x v="8"/>
    <x v="35"/>
    <x v="4"/>
    <s v="Communication and Advocacy-Senior Manager"/>
    <x v="3"/>
    <d v="2022-10-12T14:13:05"/>
    <x v="1129"/>
    <x v="124"/>
    <n v="6"/>
    <d v="2022-10-28T14:13:05"/>
    <s v="Yes"/>
    <d v="2022-10-27T14:13:05"/>
    <x v="3"/>
    <x v="1"/>
    <d v="2022-10-31T14:13:05"/>
    <s v="Accepted"/>
    <d v="2022-10-29T14:13:05"/>
    <d v="2022-11-01T14:13:05"/>
    <d v="2022-10-28T14:13:05"/>
    <d v="2022-11-02T14:13:05"/>
    <x v="1"/>
    <d v="2022-11-05T14:13:05"/>
    <d v="2022-11-06T14:13:05"/>
    <d v="2022-11-07T14:13:05"/>
    <m/>
    <m/>
    <d v="2022-11-24T14:13:05"/>
    <s v="C2978"/>
    <s v="Candidate_1978"/>
    <s v="21/10/2022"/>
    <x v="0"/>
    <s v="Referral"/>
    <n v="3"/>
    <m/>
    <x v="0"/>
    <m/>
    <m/>
    <x v="0"/>
    <x v="0"/>
    <m/>
    <x v="210"/>
    <x v="0"/>
  </r>
  <r>
    <n v="249"/>
    <s v="249 | Communication and Advocacy"/>
    <x v="24"/>
    <x v="8"/>
    <x v="35"/>
    <x v="4"/>
    <s v="Communication and Advocacy-Senior Manager"/>
    <x v="3"/>
    <m/>
    <x v="376"/>
    <x v="4"/>
    <n v="0"/>
    <d v="2022-05-29T08:21:52"/>
    <s v="Yes"/>
    <d v="2022-05-07T08:21:52"/>
    <x v="1"/>
    <x v="1"/>
    <d v="2022-05-10T08:21:52"/>
    <s v="Declined"/>
    <m/>
    <m/>
    <d v="2022-05-08T08:21:52"/>
    <m/>
    <x v="0"/>
    <m/>
    <m/>
    <m/>
    <m/>
    <m/>
    <m/>
    <s v="C2979"/>
    <s v="Candidate_1979"/>
    <s v="04-23-2022"/>
    <x v="0"/>
    <s v="Referral"/>
    <n v="3"/>
    <m/>
    <x v="0"/>
    <m/>
    <m/>
    <x v="0"/>
    <x v="0"/>
    <m/>
    <x v="0"/>
    <x v="0"/>
  </r>
  <r>
    <n v="247"/>
    <s v="247 | Communication and Advocacy"/>
    <x v="24"/>
    <x v="8"/>
    <x v="35"/>
    <x v="4"/>
    <s v="Communication and Advocacy-Senior Manager"/>
    <x v="3"/>
    <d v="2022-04-22T08:21:52"/>
    <x v="376"/>
    <x v="125"/>
    <n v="9"/>
    <d v="2022-05-22T08:21:52"/>
    <s v="Yes"/>
    <d v="2022-05-14T08:21:52"/>
    <x v="3"/>
    <x v="1"/>
    <d v="2022-05-18T08:21:52"/>
    <s v="Accepted"/>
    <d v="2022-05-16T08:21:52"/>
    <d v="2022-05-19T08:21:52"/>
    <d v="2022-05-17T08:21:52"/>
    <d v="2022-05-25T08:21:52"/>
    <x v="1"/>
    <d v="2022-05-26T08:21:52"/>
    <d v="2022-05-28T08:21:52"/>
    <d v="2022-05-30T08:21:52"/>
    <m/>
    <m/>
    <d v="2022-06-21T08:21:52"/>
    <s v="C2980"/>
    <s v="Candidate_1980"/>
    <s v="05-04-2022"/>
    <x v="2"/>
    <s v="Job Board"/>
    <n v="6"/>
    <m/>
    <x v="0"/>
    <m/>
    <m/>
    <x v="0"/>
    <x v="0"/>
    <m/>
    <x v="211"/>
    <x v="0"/>
  </r>
  <r>
    <n v="242"/>
    <s v="242 | Communication and Advocacy"/>
    <x v="26"/>
    <x v="8"/>
    <x v="35"/>
    <x v="4"/>
    <s v="Communication and Advocacy-Senior Manager"/>
    <x v="3"/>
    <d v="2022-04-26T08:21:52"/>
    <x v="1130"/>
    <x v="125"/>
    <n v="5"/>
    <d v="2022-05-13T08:21:52"/>
    <s v="Yes"/>
    <d v="2022-05-15T08:21:52"/>
    <x v="0"/>
    <x v="3"/>
    <m/>
    <m/>
    <m/>
    <m/>
    <m/>
    <m/>
    <x v="0"/>
    <m/>
    <m/>
    <m/>
    <m/>
    <s v="Candidate"/>
    <m/>
    <s v="C2981"/>
    <s v="Candidate_1981"/>
    <s v="May 02 2022"/>
    <x v="1"/>
    <s v="Linkedin"/>
    <n v="3"/>
    <m/>
    <x v="0"/>
    <m/>
    <m/>
    <x v="0"/>
    <x v="0"/>
    <m/>
    <x v="1"/>
    <x v="0"/>
  </r>
  <r>
    <n v="126"/>
    <s v="126 | Communication and Advocacy"/>
    <x v="24"/>
    <x v="8"/>
    <x v="35"/>
    <x v="4"/>
    <s v="Communication and Advocacy-Senior Manager"/>
    <x v="3"/>
    <d v="2022-09-21T11:20:41"/>
    <x v="1131"/>
    <x v="128"/>
    <n v="8"/>
    <d v="2022-10-07T11:20:41"/>
    <s v="Yes"/>
    <d v="2022-10-14T11:20:41"/>
    <x v="3"/>
    <x v="1"/>
    <d v="2022-10-16T11:20:41"/>
    <s v="Accepted"/>
    <d v="2022-10-15T11:20:41"/>
    <d v="2022-10-18T11:20:41"/>
    <d v="2022-10-15T11:20:41"/>
    <d v="2022-10-22T11:20:41"/>
    <x v="1"/>
    <d v="2022-10-26T11:20:41"/>
    <d v="2022-10-29T11:20:41"/>
    <d v="2022-10-30T11:20:41"/>
    <m/>
    <m/>
    <d v="2022-11-14T11:20:41"/>
    <s v="C2982"/>
    <s v="Candidate_1982"/>
    <s v="29/09/2022"/>
    <x v="1"/>
    <s v="Linkedin"/>
    <n v="6"/>
    <m/>
    <x v="0"/>
    <m/>
    <m/>
    <x v="0"/>
    <x v="0"/>
    <m/>
    <x v="212"/>
    <x v="0"/>
  </r>
  <r>
    <n v="123"/>
    <s v="123 | Communication and Advocacy"/>
    <x v="25"/>
    <x v="8"/>
    <x v="35"/>
    <x v="4"/>
    <s v="Communication and Advocacy-Senior Manager"/>
    <x v="3"/>
    <d v="2022-09-20T11:20:41"/>
    <x v="0"/>
    <x v="128"/>
    <n v="9"/>
    <d v="2022-10-08T11:20:41"/>
    <s v="No"/>
    <m/>
    <x v="2"/>
    <x v="1"/>
    <m/>
    <m/>
    <m/>
    <m/>
    <m/>
    <m/>
    <x v="0"/>
    <m/>
    <m/>
    <m/>
    <m/>
    <m/>
    <m/>
    <s v="C2983"/>
    <s v="Candidate_1983"/>
    <m/>
    <x v="1"/>
    <s v="Linkedin"/>
    <n v="6"/>
    <m/>
    <x v="0"/>
    <m/>
    <m/>
    <x v="0"/>
    <x v="0"/>
    <m/>
    <x v="0"/>
    <x v="0"/>
  </r>
  <r>
    <n v="88"/>
    <s v="88 | Communication and Advocacy"/>
    <x v="26"/>
    <x v="8"/>
    <x v="35"/>
    <x v="4"/>
    <s v="Communication and Advocacy-Senior Manager"/>
    <x v="3"/>
    <d v="2022-06-13T02:13:25"/>
    <x v="1132"/>
    <x v="137"/>
    <n v="6"/>
    <d v="2022-07-12T02:13:25"/>
    <s v="No"/>
    <m/>
    <x v="2"/>
    <x v="1"/>
    <m/>
    <m/>
    <m/>
    <m/>
    <m/>
    <m/>
    <x v="0"/>
    <m/>
    <m/>
    <m/>
    <m/>
    <m/>
    <m/>
    <s v="C2984"/>
    <s v="Candidate_1984"/>
    <m/>
    <x v="1"/>
    <s v="Linkedin"/>
    <n v="3"/>
    <m/>
    <x v="0"/>
    <m/>
    <m/>
    <x v="0"/>
    <x v="0"/>
    <m/>
    <x v="1"/>
    <x v="0"/>
  </r>
  <r>
    <n v="86"/>
    <s v="86 | Communication and Advocacy"/>
    <x v="26"/>
    <x v="8"/>
    <x v="35"/>
    <x v="4"/>
    <s v="Communication and Advocacy-Senior Manager"/>
    <x v="3"/>
    <d v="2022-06-12T02:13:25"/>
    <x v="1133"/>
    <x v="137"/>
    <n v="7"/>
    <d v="2022-06-27T02:13:25"/>
    <s v="Yes"/>
    <d v="2022-06-25T02:13:25"/>
    <x v="3"/>
    <x v="1"/>
    <d v="2022-06-30T02:13:25"/>
    <s v="Accepted"/>
    <d v="2022-06-27T02:13:25"/>
    <d v="2022-06-29T02:13:25"/>
    <d v="2022-06-29T02:13:25"/>
    <d v="2022-07-09T02:13:25"/>
    <x v="1"/>
    <d v="2022-07-10T02:13:25"/>
    <d v="2022-07-11T02:13:25"/>
    <d v="2022-07-13T02:13:25"/>
    <m/>
    <m/>
    <d v="2022-08-03T02:13:25"/>
    <s v="C2985"/>
    <s v="Candidate_1985"/>
    <s v="06-15-2022"/>
    <x v="2"/>
    <s v="Job Board"/>
    <n v="6"/>
    <m/>
    <x v="0"/>
    <m/>
    <m/>
    <x v="0"/>
    <x v="0"/>
    <m/>
    <x v="213"/>
    <x v="0"/>
  </r>
  <r>
    <n v="43"/>
    <s v="43 | Communication and Advocacy"/>
    <x v="24"/>
    <x v="8"/>
    <x v="35"/>
    <x v="4"/>
    <s v="Communication and Advocacy-Senior Manager"/>
    <x v="3"/>
    <d v="2022-03-05T21:14:55"/>
    <x v="1134"/>
    <x v="129"/>
    <n v="4"/>
    <d v="2022-03-21T21:14:55"/>
    <s v="No"/>
    <m/>
    <x v="2"/>
    <x v="1"/>
    <m/>
    <m/>
    <m/>
    <m/>
    <m/>
    <m/>
    <x v="0"/>
    <m/>
    <m/>
    <m/>
    <m/>
    <m/>
    <m/>
    <s v="C2986"/>
    <s v="Candidate_1986"/>
    <m/>
    <x v="2"/>
    <s v="Job Board"/>
    <n v="6"/>
    <m/>
    <x v="0"/>
    <m/>
    <m/>
    <x v="0"/>
    <x v="0"/>
    <m/>
    <x v="1"/>
    <x v="0"/>
  </r>
  <r>
    <n v="41"/>
    <s v="41 | Communication and Advocacy"/>
    <x v="26"/>
    <x v="8"/>
    <x v="35"/>
    <x v="4"/>
    <s v="Communication and Advocacy-Senior Manager"/>
    <x v="3"/>
    <m/>
    <x v="1135"/>
    <x v="129"/>
    <n v="44629.885358796288"/>
    <d v="2022-04-01T21:14:55"/>
    <s v="Yes"/>
    <d v="2022-03-21T21:14:55"/>
    <x v="0"/>
    <x v="5"/>
    <m/>
    <m/>
    <m/>
    <m/>
    <m/>
    <m/>
    <x v="0"/>
    <m/>
    <m/>
    <m/>
    <m/>
    <s v="Candidate"/>
    <m/>
    <s v="C2987"/>
    <s v="Candidate_1987"/>
    <s v="Mar 02 2022"/>
    <x v="2"/>
    <s v="Job Board"/>
    <n v="3"/>
    <m/>
    <x v="0"/>
    <m/>
    <m/>
    <x v="0"/>
    <x v="0"/>
    <m/>
    <x v="0"/>
    <x v="0"/>
  </r>
  <r>
    <n v="2724"/>
    <s v="2724 | Communication and Advocacy"/>
    <x v="24"/>
    <x v="8"/>
    <x v="36"/>
    <x v="8"/>
    <s v="Communication and Advocacy-Extension Officer"/>
    <x v="4"/>
    <d v="2023-05-19T05:58:29"/>
    <x v="1136"/>
    <x v="92"/>
    <n v="6"/>
    <d v="2023-06-17T05:58:29"/>
    <s v="No"/>
    <m/>
    <x v="2"/>
    <x v="1"/>
    <m/>
    <m/>
    <m/>
    <m/>
    <m/>
    <m/>
    <x v="0"/>
    <m/>
    <m/>
    <m/>
    <m/>
    <m/>
    <m/>
    <s v="C2988"/>
    <s v="Candidate_1988"/>
    <m/>
    <x v="0"/>
    <s v="Referral"/>
    <n v="3"/>
    <m/>
    <x v="0"/>
    <m/>
    <m/>
    <x v="0"/>
    <x v="0"/>
    <m/>
    <x v="1"/>
    <x v="0"/>
  </r>
  <r>
    <n v="2648"/>
    <s v="2648 | Communication and Advocacy"/>
    <x v="24"/>
    <x v="8"/>
    <x v="36"/>
    <x v="8"/>
    <s v="Communication and Advocacy-Extension Officer"/>
    <x v="4"/>
    <d v="2022-01-28T14:06:06"/>
    <x v="1137"/>
    <x v="4"/>
    <n v="-44589.587569444448"/>
    <d v="2022-02-28T14:06:06"/>
    <s v="Yes"/>
    <d v="2022-02-13T14:06:06"/>
    <x v="3"/>
    <x v="1"/>
    <d v="2022-02-18T14:06:06"/>
    <s v="Accepted"/>
    <d v="2022-02-15T14:06:06"/>
    <d v="2022-02-17T14:06:06"/>
    <d v="2022-02-14T14:06:06"/>
    <d v="2022-02-24T14:06:06"/>
    <x v="1"/>
    <d v="2022-02-27T14:06:06"/>
    <d v="2022-02-28T14:06:06"/>
    <d v="2022-03-02T14:06:06"/>
    <m/>
    <m/>
    <d v="2022-03-20T14:06:06"/>
    <s v="C2989"/>
    <s v="Candidate_1989"/>
    <s v="01-25-2022"/>
    <x v="2"/>
    <s v="Job Board"/>
    <n v="6"/>
    <m/>
    <x v="0"/>
    <m/>
    <m/>
    <x v="0"/>
    <x v="0"/>
    <m/>
    <x v="0"/>
    <x v="0"/>
  </r>
  <r>
    <n v="2371"/>
    <s v="2371 | Communication and Advocacy"/>
    <x v="24"/>
    <x v="8"/>
    <x v="36"/>
    <x v="8"/>
    <s v="Communication and Advocacy-Extension Officer"/>
    <x v="4"/>
    <d v="2023-04-13T22:01:03"/>
    <x v="696"/>
    <x v="191"/>
    <n v="7"/>
    <d v="2023-05-16T22:01:03"/>
    <s v="No"/>
    <m/>
    <x v="2"/>
    <x v="1"/>
    <m/>
    <m/>
    <m/>
    <m/>
    <m/>
    <m/>
    <x v="0"/>
    <m/>
    <m/>
    <m/>
    <m/>
    <m/>
    <m/>
    <s v="C2990"/>
    <s v="Candidate_1990"/>
    <m/>
    <x v="0"/>
    <s v="Referral"/>
    <n v="3"/>
    <m/>
    <x v="0"/>
    <m/>
    <m/>
    <x v="0"/>
    <x v="0"/>
    <m/>
    <x v="1"/>
    <x v="0"/>
  </r>
  <r>
    <n v="2331"/>
    <s v="2331 | Communication and Advocacy"/>
    <x v="24"/>
    <x v="8"/>
    <x v="36"/>
    <x v="8"/>
    <s v="Communication and Advocacy-Extension Officer"/>
    <x v="4"/>
    <d v="2022-05-11T09:15:53"/>
    <x v="652"/>
    <x v="4"/>
    <n v="-44692.386030092603"/>
    <d v="2022-06-08T09:15:53"/>
    <s v="No"/>
    <m/>
    <x v="2"/>
    <x v="1"/>
    <m/>
    <m/>
    <m/>
    <m/>
    <m/>
    <m/>
    <x v="0"/>
    <m/>
    <m/>
    <m/>
    <m/>
    <m/>
    <m/>
    <s v="C2991"/>
    <s v="Candidate_1991"/>
    <m/>
    <x v="0"/>
    <s v="Referral"/>
    <n v="3"/>
    <m/>
    <x v="0"/>
    <m/>
    <m/>
    <x v="0"/>
    <x v="0"/>
    <m/>
    <x v="0"/>
    <x v="0"/>
  </r>
  <r>
    <n v="2141"/>
    <s v="2141 | Communication and Advocacy"/>
    <x v="24"/>
    <x v="8"/>
    <x v="36"/>
    <x v="8"/>
    <s v="Communication and Advocacy-Extension Officer"/>
    <x v="4"/>
    <d v="2022-07-07T19:56:24"/>
    <x v="0"/>
    <x v="95"/>
    <n v="5"/>
    <d v="2022-08-06T19:56:24"/>
    <s v="Yes"/>
    <d v="2022-07-18T19:56:24"/>
    <x v="3"/>
    <x v="1"/>
    <d v="2022-07-23T19:56:24"/>
    <s v="Accepted"/>
    <d v="2022-07-20T19:56:24"/>
    <d v="2022-07-22T19:56:24"/>
    <d v="2022-07-19T19:56:24"/>
    <d v="2022-07-23T19:56:24"/>
    <x v="1"/>
    <d v="2022-07-25T19:56:24"/>
    <d v="2022-07-27T19:56:24"/>
    <d v="2022-07-29T19:56:24"/>
    <m/>
    <m/>
    <d v="2022-08-14T19:56:24"/>
    <s v="C2992"/>
    <s v="Candidate_1992"/>
    <s v="07-10-2022"/>
    <x v="2"/>
    <s v="Job Board"/>
    <n v="6"/>
    <m/>
    <x v="0"/>
    <m/>
    <m/>
    <x v="0"/>
    <x v="0"/>
    <m/>
    <x v="0"/>
    <x v="0"/>
  </r>
  <r>
    <n v="2057"/>
    <s v="2057 | Communication and Advocacy"/>
    <x v="25"/>
    <x v="8"/>
    <x v="36"/>
    <x v="8"/>
    <s v="Communication and Advocacy-Extension Officer"/>
    <x v="4"/>
    <d v="2022-01-15T19:56:47"/>
    <x v="697"/>
    <x v="132"/>
    <n v="4"/>
    <d v="2022-02-01T19:56:47"/>
    <s v="Yes"/>
    <d v="2022-01-26T19:56:47"/>
    <x v="3"/>
    <x v="1"/>
    <d v="2022-01-30T19:56:47"/>
    <s v="Accepted"/>
    <d v="2022-01-28T19:56:47"/>
    <d v="2022-01-31T19:56:47"/>
    <d v="2022-01-28T19:56:47"/>
    <d v="2022-02-02T19:56:47"/>
    <x v="1"/>
    <d v="2022-02-04T19:56:47"/>
    <d v="2022-02-06T19:56:47"/>
    <d v="2022-02-09T19:56:47"/>
    <m/>
    <m/>
    <d v="2022-02-21T19:56:47"/>
    <s v="C2993"/>
    <s v="Candidate_1993"/>
    <s v="Jan 13 2022"/>
    <x v="2"/>
    <s v="Job Board"/>
    <n v="3"/>
    <m/>
    <x v="0"/>
    <m/>
    <m/>
    <x v="0"/>
    <x v="0"/>
    <m/>
    <x v="214"/>
    <x v="0"/>
  </r>
  <r>
    <n v="1955"/>
    <s v="1955 | Communication and Advocacy"/>
    <x v="24"/>
    <x v="8"/>
    <x v="36"/>
    <x v="8"/>
    <s v="Communication and Advocacy-Extension Officer"/>
    <x v="4"/>
    <d v="2022-09-16T01:01:03"/>
    <x v="1138"/>
    <x v="192"/>
    <n v="5"/>
    <d v="2022-10-18T01:01:03"/>
    <s v="No"/>
    <m/>
    <x v="2"/>
    <x v="1"/>
    <m/>
    <m/>
    <m/>
    <m/>
    <m/>
    <m/>
    <x v="0"/>
    <m/>
    <m/>
    <m/>
    <m/>
    <m/>
    <m/>
    <s v="C2994"/>
    <s v="Candidate_1994"/>
    <m/>
    <x v="0"/>
    <s v="Referral"/>
    <n v="6"/>
    <m/>
    <x v="0"/>
    <m/>
    <m/>
    <x v="0"/>
    <x v="0"/>
    <m/>
    <x v="1"/>
    <x v="0"/>
  </r>
  <r>
    <n v="1920"/>
    <s v="1920 | Communication and Advocacy"/>
    <x v="26"/>
    <x v="8"/>
    <x v="36"/>
    <x v="8"/>
    <s v="Communication and Advocacy-Extension Officer"/>
    <x v="4"/>
    <d v="2022-05-01T21:24:39"/>
    <x v="621"/>
    <x v="193"/>
    <n v="7"/>
    <d v="2022-05-15T21:24:39"/>
    <s v="No"/>
    <m/>
    <x v="2"/>
    <x v="1"/>
    <m/>
    <m/>
    <m/>
    <m/>
    <m/>
    <m/>
    <x v="0"/>
    <m/>
    <m/>
    <m/>
    <m/>
    <m/>
    <m/>
    <s v="C2995"/>
    <s v="Candidate_1995"/>
    <m/>
    <x v="1"/>
    <s v="Linkedin"/>
    <n v="6"/>
    <m/>
    <x v="0"/>
    <m/>
    <m/>
    <x v="0"/>
    <x v="0"/>
    <m/>
    <x v="1"/>
    <x v="0"/>
  </r>
  <r>
    <n v="1750"/>
    <s v="1750 | Communication and Advocacy"/>
    <x v="25"/>
    <x v="8"/>
    <x v="36"/>
    <x v="8"/>
    <s v="Communication and Advocacy-Extension Officer"/>
    <x v="4"/>
    <d v="2023-01-21T19:09:14"/>
    <x v="676"/>
    <x v="133"/>
    <n v="6"/>
    <d v="2023-02-20T19:09:14"/>
    <s v="Yes"/>
    <d v="2023-02-07T19:09:14"/>
    <x v="3"/>
    <x v="1"/>
    <d v="2023-02-10T19:09:14"/>
    <s v="Accepted"/>
    <d v="2023-02-08T19:09:14"/>
    <d v="2023-02-12T19:09:14"/>
    <d v="2023-02-09T19:09:14"/>
    <d v="2023-02-19T19:09:14"/>
    <x v="1"/>
    <d v="2023-02-21T19:09:14"/>
    <d v="2023-02-23T19:09:14"/>
    <d v="2023-02-24T19:09:14"/>
    <m/>
    <m/>
    <d v="2023-03-16T19:09:14"/>
    <s v="C2996"/>
    <s v="Candidate_1996"/>
    <s v="31/01/2023"/>
    <x v="2"/>
    <s v="Job Board"/>
    <n v="6"/>
    <m/>
    <x v="0"/>
    <m/>
    <m/>
    <x v="0"/>
    <x v="0"/>
    <m/>
    <x v="215"/>
    <x v="0"/>
  </r>
  <r>
    <n v="1749"/>
    <s v="1749 | Communication and Advocacy"/>
    <x v="26"/>
    <x v="8"/>
    <x v="36"/>
    <x v="8"/>
    <s v="Communication and Advocacy-Extension Officer"/>
    <x v="4"/>
    <d v="2023-01-24T19:09:14"/>
    <x v="1139"/>
    <x v="4"/>
    <n v="-44950.798078703701"/>
    <d v="2023-02-14T19:09:14"/>
    <s v="No"/>
    <m/>
    <x v="2"/>
    <x v="1"/>
    <m/>
    <m/>
    <m/>
    <m/>
    <m/>
    <m/>
    <x v="0"/>
    <m/>
    <m/>
    <m/>
    <m/>
    <m/>
    <m/>
    <s v="C2997"/>
    <s v="Candidate_1997"/>
    <m/>
    <x v="0"/>
    <s v="Referral"/>
    <n v="3"/>
    <m/>
    <x v="0"/>
    <m/>
    <m/>
    <x v="0"/>
    <x v="0"/>
    <m/>
    <x v="0"/>
    <x v="0"/>
  </r>
  <r>
    <n v="1742"/>
    <s v="1742 | Communication and Advocacy"/>
    <x v="26"/>
    <x v="8"/>
    <x v="36"/>
    <x v="8"/>
    <s v="Communication and Advocacy-Extension Officer"/>
    <x v="4"/>
    <m/>
    <x v="676"/>
    <x v="133"/>
    <n v="44953.798078703701"/>
    <d v="2023-02-22T19:09:14"/>
    <s v="No"/>
    <m/>
    <x v="2"/>
    <x v="1"/>
    <m/>
    <m/>
    <m/>
    <m/>
    <m/>
    <m/>
    <x v="0"/>
    <m/>
    <m/>
    <m/>
    <m/>
    <m/>
    <m/>
    <s v="C2998"/>
    <s v="Candidate_1998"/>
    <m/>
    <x v="0"/>
    <s v="Referral"/>
    <n v="3"/>
    <m/>
    <x v="0"/>
    <m/>
    <m/>
    <x v="0"/>
    <x v="0"/>
    <m/>
    <x v="0"/>
    <x v="0"/>
  </r>
  <r>
    <n v="1650"/>
    <s v="1650 | Communication and Advocacy"/>
    <x v="24"/>
    <x v="8"/>
    <x v="36"/>
    <x v="8"/>
    <s v="Communication and Advocacy-Extension Officer"/>
    <x v="4"/>
    <d v="2022-12-20T15:52:13"/>
    <x v="1140"/>
    <x v="99"/>
    <n v="5"/>
    <d v="2023-01-23T15:52:13"/>
    <s v="Yes"/>
    <d v="2023-01-04T15:52:13"/>
    <x v="3"/>
    <x v="1"/>
    <d v="2023-01-09T15:52:13"/>
    <s v="Accepted"/>
    <d v="2023-01-06T15:52:13"/>
    <d v="2023-01-09T15:52:13"/>
    <d v="2023-01-06T15:52:13"/>
    <d v="2023-01-14T15:52:13"/>
    <x v="1"/>
    <d v="2023-01-17T15:52:13"/>
    <d v="2023-01-19T15:52:13"/>
    <d v="2023-01-20T15:52:13"/>
    <m/>
    <m/>
    <d v="2023-02-05T15:52:13"/>
    <s v="C2999"/>
    <s v="Candidate_1999"/>
    <s v="Dec 18 2022"/>
    <x v="1"/>
    <s v="Linkedin"/>
    <n v="6"/>
    <m/>
    <x v="0"/>
    <m/>
    <m/>
    <x v="0"/>
    <x v="0"/>
    <m/>
    <x v="216"/>
    <x v="0"/>
  </r>
  <r>
    <n v="1533"/>
    <s v="1533 | Communication and Advocacy"/>
    <x v="26"/>
    <x v="8"/>
    <x v="36"/>
    <x v="8"/>
    <s v="Communication and Advocacy-Extension Officer"/>
    <x v="4"/>
    <d v="2023-05-09T13:06:51"/>
    <x v="661"/>
    <x v="119"/>
    <n v="5"/>
    <d v="2023-05-28T13:06:51"/>
    <s v="Yes"/>
    <d v="2023-05-30T13:06:51"/>
    <x v="3"/>
    <x v="1"/>
    <d v="2023-06-06T13:06:51"/>
    <s v="Accepted"/>
    <d v="2023-05-31T13:06:51"/>
    <d v="2023-06-02T13:06:51"/>
    <d v="2023-06-02T13:06:51"/>
    <d v="2023-06-12T13:06:51"/>
    <x v="1"/>
    <d v="2023-06-15T13:06:51"/>
    <d v="2023-06-18T13:06:51"/>
    <d v="2023-06-21T13:06:51"/>
    <m/>
    <m/>
    <d v="2023-07-07T13:06:51"/>
    <s v="C3000"/>
    <s v="Candidate_2000"/>
    <s v="May 16 2023"/>
    <x v="2"/>
    <s v="Job Board"/>
    <n v="3"/>
    <m/>
    <x v="0"/>
    <m/>
    <m/>
    <x v="0"/>
    <x v="0"/>
    <m/>
    <x v="217"/>
    <x v="0"/>
  </r>
  <r>
    <n v="1503"/>
    <s v="1503 | Communication and Advocacy"/>
    <x v="26"/>
    <x v="8"/>
    <x v="36"/>
    <x v="8"/>
    <s v="Communication and Advocacy-Extension Officer"/>
    <x v="4"/>
    <d v="2022-07-15T08:18:33"/>
    <x v="1141"/>
    <x v="101"/>
    <n v="5"/>
    <d v="2022-08-06T08:18:33"/>
    <s v="No"/>
    <m/>
    <x v="2"/>
    <x v="1"/>
    <m/>
    <m/>
    <m/>
    <m/>
    <m/>
    <m/>
    <x v="0"/>
    <m/>
    <m/>
    <m/>
    <m/>
    <m/>
    <m/>
    <s v="C3001"/>
    <s v="Candidate_2001"/>
    <m/>
    <x v="1"/>
    <s v="Linkedin"/>
    <n v="6"/>
    <m/>
    <x v="0"/>
    <m/>
    <m/>
    <x v="0"/>
    <x v="0"/>
    <m/>
    <x v="1"/>
    <x v="0"/>
  </r>
  <r>
    <n v="1497"/>
    <s v="1497 | Communication and Advocacy"/>
    <x v="25"/>
    <x v="8"/>
    <x v="36"/>
    <x v="8"/>
    <s v="Communication and Advocacy-Extension Officer"/>
    <x v="4"/>
    <d v="2022-05-15T13:40:01"/>
    <x v="663"/>
    <x v="198"/>
    <n v="5"/>
    <d v="2022-06-07T13:40:01"/>
    <s v="Yes"/>
    <d v="2022-05-22T13:40:01"/>
    <x v="3"/>
    <x v="1"/>
    <d v="2022-05-27T13:40:01"/>
    <s v="Accepted"/>
    <d v="2022-05-24T13:40:01"/>
    <d v="2022-05-28T13:40:01"/>
    <d v="2022-05-26T13:40:01"/>
    <d v="2022-05-30T13:40:01"/>
    <x v="1"/>
    <d v="2022-06-01T13:40:01"/>
    <d v="2022-06-02T13:40:01"/>
    <d v="2022-06-03T13:40:01"/>
    <m/>
    <m/>
    <d v="2022-06-25T13:40:01"/>
    <s v="C3002"/>
    <s v="Candidate_2002"/>
    <s v="05-11-2022"/>
    <x v="2"/>
    <s v="Job Board"/>
    <n v="3"/>
    <m/>
    <x v="0"/>
    <m/>
    <m/>
    <x v="0"/>
    <x v="0"/>
    <m/>
    <x v="218"/>
    <x v="0"/>
  </r>
  <r>
    <n v="1368"/>
    <s v="1368 | Communication and Advocacy"/>
    <x v="24"/>
    <x v="8"/>
    <x v="36"/>
    <x v="8"/>
    <s v="Communication and Advocacy-Extension Officer"/>
    <x v="4"/>
    <d v="2022-10-19T03:55:53"/>
    <x v="703"/>
    <x v="199"/>
    <n v="3"/>
    <d v="2022-11-01T03:55:53"/>
    <s v="No"/>
    <m/>
    <x v="2"/>
    <x v="1"/>
    <m/>
    <m/>
    <m/>
    <m/>
    <m/>
    <m/>
    <x v="0"/>
    <m/>
    <m/>
    <m/>
    <m/>
    <m/>
    <m/>
    <s v="C3003"/>
    <s v="Candidate_2003"/>
    <m/>
    <x v="2"/>
    <s v="Job Board"/>
    <n v="6"/>
    <m/>
    <x v="0"/>
    <m/>
    <m/>
    <x v="0"/>
    <x v="0"/>
    <m/>
    <x v="1"/>
    <x v="0"/>
  </r>
  <r>
    <n v="1213"/>
    <s v="1213 | Communication and Advocacy"/>
    <x v="26"/>
    <x v="8"/>
    <x v="36"/>
    <x v="8"/>
    <s v="Communication and Advocacy-Extension Officer"/>
    <x v="4"/>
    <d v="2023-07-23T00:06:13"/>
    <x v="0"/>
    <x v="4"/>
    <n v="-45130.004317129627"/>
    <d v="2023-08-05T00:06:13"/>
    <s v="No"/>
    <m/>
    <x v="2"/>
    <x v="1"/>
    <m/>
    <m/>
    <m/>
    <m/>
    <m/>
    <m/>
    <x v="0"/>
    <m/>
    <m/>
    <m/>
    <m/>
    <m/>
    <m/>
    <s v="C3004"/>
    <s v="Candidate_2004"/>
    <m/>
    <x v="0"/>
    <s v="Referral"/>
    <n v="6"/>
    <m/>
    <x v="0"/>
    <m/>
    <m/>
    <x v="0"/>
    <x v="0"/>
    <m/>
    <x v="0"/>
    <x v="0"/>
  </r>
  <r>
    <n v="1131"/>
    <s v="1131 | Communication and Advocacy"/>
    <x v="26"/>
    <x v="8"/>
    <x v="36"/>
    <x v="8"/>
    <s v="Communication and Advocacy-Extension Officer"/>
    <x v="4"/>
    <d v="2022-03-16T19:06:16"/>
    <x v="686"/>
    <x v="134"/>
    <n v="3"/>
    <d v="2022-03-29T19:06:16"/>
    <s v="No"/>
    <m/>
    <x v="2"/>
    <x v="1"/>
    <m/>
    <m/>
    <m/>
    <m/>
    <m/>
    <m/>
    <x v="0"/>
    <m/>
    <m/>
    <m/>
    <m/>
    <m/>
    <m/>
    <s v="C3005"/>
    <s v="Candidate_2005"/>
    <m/>
    <x v="2"/>
    <s v="Job Board"/>
    <n v="3"/>
    <m/>
    <x v="0"/>
    <m/>
    <m/>
    <x v="0"/>
    <x v="0"/>
    <m/>
    <x v="1"/>
    <x v="0"/>
  </r>
  <r>
    <n v="1085"/>
    <s v="1085 | Communication and Advocacy"/>
    <x v="26"/>
    <x v="8"/>
    <x v="36"/>
    <x v="8"/>
    <s v="Communication and Advocacy-Extension Officer"/>
    <x v="4"/>
    <d v="2022-11-29T23:25:45"/>
    <x v="1142"/>
    <x v="107"/>
    <n v="5"/>
    <d v="2022-12-16T23:25:45"/>
    <s v="No"/>
    <m/>
    <x v="2"/>
    <x v="1"/>
    <m/>
    <m/>
    <m/>
    <m/>
    <m/>
    <m/>
    <x v="0"/>
    <m/>
    <m/>
    <m/>
    <m/>
    <m/>
    <m/>
    <s v="C3006"/>
    <s v="Candidate_2006"/>
    <m/>
    <x v="2"/>
    <s v="Job Board"/>
    <n v="6"/>
    <m/>
    <x v="0"/>
    <m/>
    <m/>
    <x v="0"/>
    <x v="0"/>
    <m/>
    <x v="1"/>
    <x v="0"/>
  </r>
  <r>
    <n v="1047"/>
    <s v="1047 | Communication and Advocacy"/>
    <x v="24"/>
    <x v="8"/>
    <x v="36"/>
    <x v="8"/>
    <s v="Communication and Advocacy-Extension Officer"/>
    <x v="4"/>
    <d v="2022-11-20T23:03:14"/>
    <x v="609"/>
    <x v="108"/>
    <n v="6"/>
    <d v="2022-12-07T23:03:14"/>
    <s v="No"/>
    <m/>
    <x v="2"/>
    <x v="1"/>
    <m/>
    <m/>
    <m/>
    <m/>
    <m/>
    <m/>
    <x v="0"/>
    <m/>
    <m/>
    <m/>
    <m/>
    <m/>
    <m/>
    <s v="C3007"/>
    <s v="Candidate_2007"/>
    <m/>
    <x v="2"/>
    <s v="Job Board"/>
    <n v="3"/>
    <m/>
    <x v="0"/>
    <m/>
    <m/>
    <x v="0"/>
    <x v="0"/>
    <m/>
    <x v="1"/>
    <x v="0"/>
  </r>
  <r>
    <n v="1030"/>
    <s v="1030 | Communication and Advocacy"/>
    <x v="24"/>
    <x v="8"/>
    <x v="36"/>
    <x v="8"/>
    <s v="Communication and Advocacy-Extension Officer"/>
    <x v="4"/>
    <d v="2023-01-25T18:59:14"/>
    <x v="0"/>
    <x v="135"/>
    <n v="7"/>
    <d v="2023-02-08T18:59:14"/>
    <s v="Yes"/>
    <d v="2023-02-03T18:59:14"/>
    <x v="3"/>
    <x v="1"/>
    <d v="2023-02-10T18:59:14"/>
    <s v="Accepted"/>
    <d v="2023-02-04T18:59:14"/>
    <d v="2023-02-05T18:59:14"/>
    <d v="2023-02-07T18:59:14"/>
    <d v="2023-02-11T18:59:14"/>
    <x v="1"/>
    <d v="2023-02-14T18:59:14"/>
    <d v="2023-02-15T18:59:14"/>
    <d v="2023-02-17T18:59:14"/>
    <m/>
    <m/>
    <d v="2023-03-08T18:59:14"/>
    <s v="C3008"/>
    <s v="Candidate_2008"/>
    <s v="01-27-2023"/>
    <x v="1"/>
    <s v="Linkedin"/>
    <n v="3"/>
    <m/>
    <x v="0"/>
    <m/>
    <m/>
    <x v="0"/>
    <x v="0"/>
    <m/>
    <x v="0"/>
    <x v="0"/>
  </r>
  <r>
    <n v="938"/>
    <s v="938 | Communication and Advocacy"/>
    <x v="26"/>
    <x v="8"/>
    <x v="36"/>
    <x v="8"/>
    <s v="Communication and Advocacy-Extension Officer"/>
    <x v="4"/>
    <d v="2023-03-16T16:55:04"/>
    <x v="363"/>
    <x v="4"/>
    <n v="-45001.704907407409"/>
    <d v="2023-03-31T16:55:04"/>
    <s v="Yes"/>
    <d v="2023-03-22T16:55:04"/>
    <x v="0"/>
    <x v="4"/>
    <m/>
    <m/>
    <m/>
    <m/>
    <d v="2023-03-25T16:55:04"/>
    <m/>
    <x v="0"/>
    <m/>
    <m/>
    <m/>
    <m/>
    <s v="Company"/>
    <m/>
    <s v="C3009"/>
    <s v="Candidate_2009"/>
    <s v="16/03/2023"/>
    <x v="1"/>
    <s v="Linkedin"/>
    <n v="3"/>
    <m/>
    <x v="0"/>
    <m/>
    <m/>
    <x v="0"/>
    <x v="0"/>
    <m/>
    <x v="0"/>
    <x v="0"/>
  </r>
  <r>
    <n v="931"/>
    <s v="931 | Communication and Advocacy"/>
    <x v="26"/>
    <x v="8"/>
    <x v="36"/>
    <x v="8"/>
    <s v="Communication and Advocacy-Extension Officer"/>
    <x v="4"/>
    <d v="2023-03-12T16:55:04"/>
    <x v="0"/>
    <x v="109"/>
    <n v="8"/>
    <d v="2023-04-11T16:55:04"/>
    <s v="Yes"/>
    <d v="2023-03-29T16:55:04"/>
    <x v="1"/>
    <x v="1"/>
    <d v="2023-04-04T16:55:04"/>
    <s v="Declined"/>
    <m/>
    <m/>
    <d v="2023-03-31T16:55:04"/>
    <m/>
    <x v="0"/>
    <m/>
    <m/>
    <m/>
    <m/>
    <m/>
    <m/>
    <s v="C3010"/>
    <s v="Candidate_2010"/>
    <s v="03-14-2023"/>
    <x v="2"/>
    <s v="Job Board"/>
    <n v="3"/>
    <m/>
    <x v="0"/>
    <m/>
    <m/>
    <x v="0"/>
    <x v="0"/>
    <m/>
    <x v="0"/>
    <x v="0"/>
  </r>
  <r>
    <n v="849"/>
    <s v="849 | Communication and Advocacy"/>
    <x v="26"/>
    <x v="8"/>
    <x v="36"/>
    <x v="8"/>
    <s v="Communication and Advocacy-Extension Officer"/>
    <x v="4"/>
    <d v="2022-08-06T20:03:55"/>
    <x v="341"/>
    <x v="110"/>
    <n v="4"/>
    <d v="2022-09-07T20:03:55"/>
    <s v="Yes"/>
    <d v="2022-08-21T20:03:55"/>
    <x v="0"/>
    <x v="0"/>
    <m/>
    <m/>
    <m/>
    <m/>
    <m/>
    <m/>
    <x v="0"/>
    <m/>
    <m/>
    <m/>
    <m/>
    <s v="Candidate"/>
    <m/>
    <s v="C3011"/>
    <s v="Candidate_2011"/>
    <s v="Aug 12 2022"/>
    <x v="1"/>
    <s v="Linkedin"/>
    <n v="6"/>
    <m/>
    <x v="0"/>
    <m/>
    <m/>
    <x v="0"/>
    <x v="0"/>
    <m/>
    <x v="1"/>
    <x v="0"/>
  </r>
  <r>
    <n v="843"/>
    <s v="843 | Communication and Advocacy"/>
    <x v="26"/>
    <x v="8"/>
    <x v="36"/>
    <x v="8"/>
    <s v="Communication and Advocacy-Extension Officer"/>
    <x v="4"/>
    <d v="2022-08-03T20:03:55"/>
    <x v="0"/>
    <x v="110"/>
    <n v="7"/>
    <d v="2022-08-29T20:03:55"/>
    <s v="Yes"/>
    <d v="2022-08-12T20:03:55"/>
    <x v="0"/>
    <x v="0"/>
    <m/>
    <m/>
    <m/>
    <m/>
    <d v="2022-08-15T20:03:55"/>
    <m/>
    <x v="0"/>
    <m/>
    <m/>
    <m/>
    <m/>
    <s v="Company"/>
    <m/>
    <s v="C3012"/>
    <s v="Candidate_2012"/>
    <s v="Jul 28 2022"/>
    <x v="1"/>
    <s v="Linkedin"/>
    <n v="6"/>
    <m/>
    <x v="0"/>
    <m/>
    <m/>
    <x v="0"/>
    <x v="0"/>
    <m/>
    <x v="0"/>
    <x v="0"/>
  </r>
  <r>
    <n v="820"/>
    <s v="820 | Communication and Advocacy"/>
    <x v="24"/>
    <x v="8"/>
    <x v="36"/>
    <x v="8"/>
    <s v="Communication and Advocacy-Extension Officer"/>
    <x v="4"/>
    <d v="2022-04-21T21:29:01"/>
    <x v="0"/>
    <x v="111"/>
    <n v="4"/>
    <d v="2022-05-07T21:29:01"/>
    <s v="Yes"/>
    <d v="2022-05-08T21:29:01"/>
    <x v="0"/>
    <x v="2"/>
    <m/>
    <m/>
    <m/>
    <m/>
    <m/>
    <m/>
    <x v="0"/>
    <m/>
    <m/>
    <m/>
    <m/>
    <s v="Company"/>
    <m/>
    <s v="C3013"/>
    <s v="Candidate_2013"/>
    <s v="25/04/2022"/>
    <x v="0"/>
    <s v="Referral"/>
    <n v="3"/>
    <m/>
    <x v="0"/>
    <m/>
    <m/>
    <x v="0"/>
    <x v="0"/>
    <m/>
    <x v="0"/>
    <x v="0"/>
  </r>
  <r>
    <n v="816"/>
    <s v="816 | Communication and Advocacy"/>
    <x v="26"/>
    <x v="8"/>
    <x v="36"/>
    <x v="8"/>
    <s v="Communication and Advocacy-Extension Officer"/>
    <x v="4"/>
    <d v="2022-04-15T21:29:01"/>
    <x v="1143"/>
    <x v="111"/>
    <n v="10"/>
    <d v="2022-05-13T21:29:01"/>
    <s v="Yes"/>
    <d v="2022-05-03T21:29:01"/>
    <x v="0"/>
    <x v="4"/>
    <m/>
    <m/>
    <m/>
    <m/>
    <d v="2022-05-04T21:29:01"/>
    <m/>
    <x v="0"/>
    <m/>
    <m/>
    <m/>
    <m/>
    <s v="Candidate"/>
    <m/>
    <s v="C3014"/>
    <s v="Candidate_2014"/>
    <s v="Apr 20 2022"/>
    <x v="0"/>
    <s v="Referral"/>
    <n v="6"/>
    <m/>
    <x v="0"/>
    <m/>
    <m/>
    <x v="0"/>
    <x v="0"/>
    <m/>
    <x v="1"/>
    <x v="0"/>
  </r>
  <r>
    <n v="787"/>
    <s v="787 | Communication and Advocacy"/>
    <x v="26"/>
    <x v="8"/>
    <x v="36"/>
    <x v="8"/>
    <s v="Communication and Advocacy-Extension Officer"/>
    <x v="4"/>
    <d v="2023-01-05T23:55:35"/>
    <x v="0"/>
    <x v="112"/>
    <n v="10"/>
    <d v="2023-01-28T23:55:35"/>
    <s v="Yes"/>
    <d v="2023-01-30T23:55:35"/>
    <x v="0"/>
    <x v="3"/>
    <m/>
    <m/>
    <m/>
    <m/>
    <d v="2023-01-31T23:55:35"/>
    <m/>
    <x v="0"/>
    <m/>
    <m/>
    <m/>
    <m/>
    <s v="Candidate"/>
    <m/>
    <s v="C3015"/>
    <s v="Candidate_2015"/>
    <s v="Jan 16 2023"/>
    <x v="2"/>
    <s v="Job Board"/>
    <n v="6"/>
    <m/>
    <x v="0"/>
    <m/>
    <m/>
    <x v="0"/>
    <x v="0"/>
    <m/>
    <x v="0"/>
    <x v="0"/>
  </r>
  <r>
    <n v="739"/>
    <s v="739 | Communication and Advocacy"/>
    <x v="26"/>
    <x v="8"/>
    <x v="36"/>
    <x v="8"/>
    <s v="Communication and Advocacy-Extension Officer"/>
    <x v="4"/>
    <d v="2023-04-27T15:28:09"/>
    <x v="367"/>
    <x v="113"/>
    <n v="4"/>
    <d v="2023-05-25T15:28:09"/>
    <s v="Yes"/>
    <d v="2023-05-11T15:28:09"/>
    <x v="0"/>
    <x v="0"/>
    <m/>
    <m/>
    <m/>
    <m/>
    <d v="2023-05-14T15:28:09"/>
    <m/>
    <x v="0"/>
    <m/>
    <m/>
    <m/>
    <m/>
    <s v="Candidate"/>
    <m/>
    <s v="C3016"/>
    <s v="Candidate_2016"/>
    <s v="23/04/2023"/>
    <x v="0"/>
    <s v="Referral"/>
    <n v="6"/>
    <m/>
    <x v="0"/>
    <m/>
    <m/>
    <x v="0"/>
    <x v="0"/>
    <m/>
    <x v="1"/>
    <x v="0"/>
  </r>
  <r>
    <n v="734"/>
    <s v="734 | Communication and Advocacy"/>
    <x v="24"/>
    <x v="8"/>
    <x v="36"/>
    <x v="8"/>
    <s v="Communication and Advocacy-Extension Officer"/>
    <x v="4"/>
    <d v="2023-04-25T15:28:09"/>
    <x v="345"/>
    <x v="113"/>
    <n v="6"/>
    <d v="2023-05-23T15:28:09"/>
    <s v="Yes"/>
    <d v="2023-05-04T15:28:09"/>
    <x v="1"/>
    <x v="1"/>
    <d v="2023-05-11T15:28:09"/>
    <s v="Declined"/>
    <m/>
    <m/>
    <d v="2023-05-07T15:28:09"/>
    <m/>
    <x v="0"/>
    <m/>
    <m/>
    <m/>
    <m/>
    <m/>
    <m/>
    <s v="C3017"/>
    <s v="Candidate_2017"/>
    <s v="24/04/2023"/>
    <x v="0"/>
    <s v="Referral"/>
    <n v="3"/>
    <m/>
    <x v="0"/>
    <m/>
    <m/>
    <x v="0"/>
    <x v="0"/>
    <m/>
    <x v="1"/>
    <x v="0"/>
  </r>
  <r>
    <n v="688"/>
    <s v="688 | Communication and Advocacy"/>
    <x v="25"/>
    <x v="8"/>
    <x v="36"/>
    <x v="8"/>
    <s v="Communication and Advocacy-Extension Officer"/>
    <x v="4"/>
    <d v="2023-06-25T02:46:21"/>
    <x v="0"/>
    <x v="121"/>
    <n v="4"/>
    <d v="2023-07-13T02:46:21"/>
    <s v="Yes"/>
    <d v="2023-07-12T02:46:21"/>
    <x v="1"/>
    <x v="1"/>
    <d v="2023-07-14T02:46:21"/>
    <s v="Declined"/>
    <m/>
    <m/>
    <d v="2023-07-13T02:46:21"/>
    <m/>
    <x v="0"/>
    <m/>
    <m/>
    <m/>
    <m/>
    <m/>
    <m/>
    <s v="C3018"/>
    <s v="Candidate_2018"/>
    <s v="07-03-2023"/>
    <x v="0"/>
    <s v="Referral"/>
    <n v="6"/>
    <m/>
    <x v="0"/>
    <m/>
    <m/>
    <x v="0"/>
    <x v="0"/>
    <m/>
    <x v="0"/>
    <x v="0"/>
  </r>
  <r>
    <n v="682"/>
    <s v="682 | Communication and Advocacy"/>
    <x v="25"/>
    <x v="8"/>
    <x v="36"/>
    <x v="8"/>
    <s v="Communication and Advocacy-Extension Officer"/>
    <x v="4"/>
    <d v="2023-06-26T02:46:21"/>
    <x v="0"/>
    <x v="121"/>
    <n v="3"/>
    <d v="2023-07-27T02:46:21"/>
    <s v="Yes"/>
    <d v="2023-07-01T02:46:21"/>
    <x v="0"/>
    <x v="2"/>
    <m/>
    <m/>
    <m/>
    <m/>
    <m/>
    <m/>
    <x v="0"/>
    <m/>
    <m/>
    <m/>
    <m/>
    <s v="Candidate"/>
    <m/>
    <s v="C3019"/>
    <s v="Candidate_2019"/>
    <s v="Jun 24 2023"/>
    <x v="2"/>
    <s v="Job Board"/>
    <n v="3"/>
    <m/>
    <x v="0"/>
    <m/>
    <m/>
    <x v="0"/>
    <x v="0"/>
    <m/>
    <x v="0"/>
    <x v="0"/>
  </r>
  <r>
    <n v="567"/>
    <s v="567 | Communication and Advocacy"/>
    <x v="25"/>
    <x v="8"/>
    <x v="36"/>
    <x v="8"/>
    <s v="Communication and Advocacy-Extension Officer"/>
    <x v="4"/>
    <d v="2022-11-05T23:10:12"/>
    <x v="1144"/>
    <x v="114"/>
    <n v="3"/>
    <d v="2022-11-13T23:10:12"/>
    <s v="Yes"/>
    <d v="2022-11-11T23:10:12"/>
    <x v="0"/>
    <x v="5"/>
    <m/>
    <m/>
    <m/>
    <m/>
    <m/>
    <m/>
    <x v="0"/>
    <m/>
    <m/>
    <m/>
    <m/>
    <s v="Company"/>
    <m/>
    <s v="C3020"/>
    <s v="Candidate_2020"/>
    <s v="10-31-2022"/>
    <x v="0"/>
    <s v="Referral"/>
    <n v="3"/>
    <m/>
    <x v="0"/>
    <m/>
    <m/>
    <x v="0"/>
    <x v="0"/>
    <m/>
    <x v="1"/>
    <x v="0"/>
  </r>
  <r>
    <n v="369"/>
    <s v="369 | Communication and Advocacy"/>
    <x v="26"/>
    <x v="8"/>
    <x v="36"/>
    <x v="8"/>
    <s v="Communication and Advocacy-Extension Officer"/>
    <x v="4"/>
    <d v="2022-05-04T18:02:17"/>
    <x v="1145"/>
    <x v="116"/>
    <n v="4"/>
    <d v="2022-05-23T18:02:17"/>
    <s v="Yes"/>
    <d v="2022-05-25T18:02:17"/>
    <x v="0"/>
    <x v="0"/>
    <m/>
    <m/>
    <m/>
    <m/>
    <m/>
    <m/>
    <x v="0"/>
    <m/>
    <m/>
    <m/>
    <m/>
    <s v="Candidate"/>
    <m/>
    <s v="C3021"/>
    <s v="Candidate_2021"/>
    <s v="20/05/2022"/>
    <x v="2"/>
    <s v="Job Board"/>
    <n v="6"/>
    <m/>
    <x v="0"/>
    <m/>
    <m/>
    <x v="0"/>
    <x v="0"/>
    <m/>
    <x v="1"/>
    <x v="0"/>
  </r>
  <r>
    <n v="366"/>
    <s v="366 | Communication and Advocacy"/>
    <x v="25"/>
    <x v="8"/>
    <x v="36"/>
    <x v="8"/>
    <s v="Communication and Advocacy-Extension Officer"/>
    <x v="4"/>
    <d v="2022-05-04T18:02:17"/>
    <x v="405"/>
    <x v="116"/>
    <n v="4"/>
    <d v="2022-05-16T18:02:17"/>
    <s v="Yes"/>
    <d v="2022-05-15T18:02:17"/>
    <x v="1"/>
    <x v="1"/>
    <d v="2022-05-19T18:02:17"/>
    <s v="Declined"/>
    <m/>
    <m/>
    <d v="2022-05-18T18:02:17"/>
    <m/>
    <x v="0"/>
    <m/>
    <m/>
    <m/>
    <m/>
    <m/>
    <m/>
    <s v="C3022"/>
    <s v="Candidate_2022"/>
    <s v="05-06-2022"/>
    <x v="1"/>
    <s v="Linkedin"/>
    <n v="3"/>
    <m/>
    <x v="0"/>
    <m/>
    <m/>
    <x v="0"/>
    <x v="0"/>
    <m/>
    <x v="1"/>
    <x v="0"/>
  </r>
  <r>
    <n v="363"/>
    <s v="363 | Communication and Advocacy"/>
    <x v="25"/>
    <x v="8"/>
    <x v="36"/>
    <x v="8"/>
    <s v="Communication and Advocacy-Extension Officer"/>
    <x v="4"/>
    <d v="2022-05-01T18:02:17"/>
    <x v="1146"/>
    <x v="116"/>
    <n v="7"/>
    <d v="2022-05-25T18:02:17"/>
    <s v="Yes"/>
    <d v="2022-05-13T18:02:17"/>
    <x v="1"/>
    <x v="1"/>
    <d v="2022-05-18T18:02:17"/>
    <s v="Declined"/>
    <m/>
    <m/>
    <d v="2022-05-15T18:02:17"/>
    <m/>
    <x v="0"/>
    <m/>
    <m/>
    <m/>
    <m/>
    <m/>
    <m/>
    <s v="C3023"/>
    <s v="Candidate_2023"/>
    <s v="04/05/2022"/>
    <x v="2"/>
    <s v="Job Board"/>
    <n v="3"/>
    <m/>
    <x v="0"/>
    <m/>
    <m/>
    <x v="0"/>
    <x v="0"/>
    <m/>
    <x v="1"/>
    <x v="0"/>
  </r>
  <r>
    <n v="357"/>
    <s v="357 | Communication and Advocacy"/>
    <x v="25"/>
    <x v="8"/>
    <x v="36"/>
    <x v="8"/>
    <s v="Communication and Advocacy-Extension Officer"/>
    <x v="4"/>
    <d v="2022-10-05T04:14:17"/>
    <x v="353"/>
    <x v="136"/>
    <n v="5"/>
    <d v="2022-11-07T04:14:17"/>
    <s v="Yes"/>
    <d v="2022-10-20T04:14:17"/>
    <x v="3"/>
    <x v="1"/>
    <d v="2022-10-24T04:14:17"/>
    <s v="Accepted"/>
    <d v="2022-10-21T04:14:17"/>
    <d v="2022-10-24T04:14:17"/>
    <d v="2022-10-22T04:14:17"/>
    <d v="2022-10-27T04:14:17"/>
    <x v="1"/>
    <d v="2022-10-30T04:14:17"/>
    <d v="2022-10-31T04:14:17"/>
    <d v="2022-11-02T04:14:17"/>
    <m/>
    <m/>
    <d v="2022-11-13T04:14:17"/>
    <s v="C3024"/>
    <s v="Candidate_2024"/>
    <s v="10-06-2022"/>
    <x v="1"/>
    <s v="Linkedin"/>
    <n v="6"/>
    <m/>
    <x v="0"/>
    <m/>
    <m/>
    <x v="0"/>
    <x v="0"/>
    <m/>
    <x v="219"/>
    <x v="0"/>
  </r>
  <r>
    <n v="329"/>
    <s v="329 | Communication and Advocacy"/>
    <x v="26"/>
    <x v="8"/>
    <x v="36"/>
    <x v="15"/>
    <s v="Communication and Advocacy-Quality Assurance"/>
    <x v="4"/>
    <d v="2022-01-16T22:01:29"/>
    <x v="1147"/>
    <x v="122"/>
    <n v="5"/>
    <d v="2022-02-03T22:01:29"/>
    <s v="Yes"/>
    <d v="2022-02-06T22:01:29"/>
    <x v="3"/>
    <x v="1"/>
    <d v="2022-02-08T22:01:29"/>
    <s v="Accepted"/>
    <d v="2022-02-08T22:01:29"/>
    <d v="2022-02-12T22:01:29"/>
    <d v="2022-02-07T22:01:29"/>
    <d v="2022-02-14T22:01:29"/>
    <x v="1"/>
    <d v="2022-02-17T22:01:29"/>
    <d v="2022-02-20T22:01:29"/>
    <d v="2022-02-23T22:01:29"/>
    <m/>
    <m/>
    <d v="2022-03-05T22:01:29"/>
    <s v="C3025"/>
    <s v="Candidate_2025"/>
    <s v="21/01/2022"/>
    <x v="0"/>
    <s v="Referral"/>
    <n v="3"/>
    <m/>
    <x v="0"/>
    <m/>
    <m/>
    <x v="0"/>
    <x v="0"/>
    <m/>
    <x v="220"/>
    <x v="0"/>
  </r>
  <r>
    <n v="293"/>
    <s v="293 | Communication and Advocacy"/>
    <x v="25"/>
    <x v="8"/>
    <x v="36"/>
    <x v="15"/>
    <s v="Communication and Advocacy-Quality Assurance"/>
    <x v="4"/>
    <d v="2023-07-27T17:45:37"/>
    <x v="411"/>
    <x v="123"/>
    <n v="4"/>
    <d v="2023-08-26T17:45:37"/>
    <s v="Yes"/>
    <d v="2023-08-05T17:45:37"/>
    <x v="0"/>
    <x v="4"/>
    <m/>
    <m/>
    <m/>
    <m/>
    <m/>
    <m/>
    <x v="0"/>
    <m/>
    <m/>
    <m/>
    <m/>
    <s v="Candidate"/>
    <m/>
    <s v="C3026"/>
    <s v="Candidate_2026"/>
    <s v="Jul 21 2023"/>
    <x v="2"/>
    <s v="Job Board"/>
    <n v="6"/>
    <m/>
    <x v="0"/>
    <m/>
    <m/>
    <x v="0"/>
    <x v="0"/>
    <m/>
    <x v="1"/>
    <x v="0"/>
  </r>
  <r>
    <n v="274"/>
    <s v="274 | Communication and Advocacy"/>
    <x v="24"/>
    <x v="8"/>
    <x v="36"/>
    <x v="15"/>
    <s v="Communication and Advocacy-Quality Assurance"/>
    <x v="4"/>
    <d v="2022-10-12T14:13:05"/>
    <x v="374"/>
    <x v="124"/>
    <n v="6"/>
    <d v="2022-11-03T14:13:05"/>
    <s v="Yes"/>
    <d v="2022-10-24T14:13:05"/>
    <x v="0"/>
    <x v="3"/>
    <m/>
    <m/>
    <m/>
    <m/>
    <d v="2022-10-26T14:13:05"/>
    <m/>
    <x v="0"/>
    <m/>
    <m/>
    <m/>
    <m/>
    <s v="Company"/>
    <m/>
    <s v="C3027"/>
    <s v="Candidate_2027"/>
    <s v="Oct 16 2022"/>
    <x v="2"/>
    <s v="Job Board"/>
    <n v="3"/>
    <m/>
    <x v="0"/>
    <m/>
    <m/>
    <x v="0"/>
    <x v="0"/>
    <m/>
    <x v="1"/>
    <x v="0"/>
  </r>
  <r>
    <n v="199"/>
    <s v="199 | Communication and Advocacy"/>
    <x v="26"/>
    <x v="8"/>
    <x v="36"/>
    <x v="15"/>
    <s v="Communication and Advocacy-Quality Assurance"/>
    <x v="4"/>
    <d v="2022-06-11T18:28:45"/>
    <x v="1148"/>
    <x v="126"/>
    <n v="8"/>
    <d v="2022-07-10T18:28:45"/>
    <s v="Yes"/>
    <d v="2022-06-25T18:28:45"/>
    <x v="3"/>
    <x v="1"/>
    <d v="2022-06-30T18:28:45"/>
    <s v="Accepted"/>
    <d v="2022-06-26T18:28:45"/>
    <d v="2022-06-30T18:28:45"/>
    <d v="2022-06-27T18:28:45"/>
    <d v="2022-07-01T18:28:45"/>
    <x v="1"/>
    <d v="2022-07-04T18:28:45"/>
    <d v="2022-07-07T18:28:45"/>
    <d v="2022-07-09T18:28:45"/>
    <m/>
    <m/>
    <d v="2022-07-31T18:28:45"/>
    <s v="C3028"/>
    <s v="Candidate_2028"/>
    <s v="06-07-2022"/>
    <x v="2"/>
    <s v="Job Board"/>
    <n v="6"/>
    <m/>
    <x v="0"/>
    <m/>
    <m/>
    <x v="0"/>
    <x v="0"/>
    <m/>
    <x v="221"/>
    <x v="0"/>
  </r>
  <r>
    <n v="194"/>
    <s v="194 | Communication and Advocacy"/>
    <x v="26"/>
    <x v="8"/>
    <x v="36"/>
    <x v="15"/>
    <s v="Communication and Advocacy-Quality Assurance"/>
    <x v="4"/>
    <d v="2022-06-10T18:28:45"/>
    <x v="1148"/>
    <x v="126"/>
    <n v="9"/>
    <d v="2022-07-15T18:28:45"/>
    <s v="Yes"/>
    <d v="2022-06-21T18:28:45"/>
    <x v="1"/>
    <x v="1"/>
    <d v="2022-06-29T18:28:45"/>
    <s v="Declined"/>
    <m/>
    <m/>
    <d v="2022-06-25T18:28:45"/>
    <m/>
    <x v="0"/>
    <m/>
    <m/>
    <m/>
    <m/>
    <m/>
    <m/>
    <s v="C3029"/>
    <s v="Candidate_2029"/>
    <s v="06-03-2022"/>
    <x v="1"/>
    <s v="Linkedin"/>
    <n v="6"/>
    <m/>
    <x v="0"/>
    <m/>
    <m/>
    <x v="0"/>
    <x v="0"/>
    <m/>
    <x v="1"/>
    <x v="0"/>
  </r>
  <r>
    <n v="169"/>
    <s v="169 | Communication and Advocacy"/>
    <x v="26"/>
    <x v="8"/>
    <x v="36"/>
    <x v="15"/>
    <s v="Communication and Advocacy-Quality Assurance"/>
    <x v="4"/>
    <d v="2022-12-11T15:32:46"/>
    <x v="415"/>
    <x v="127"/>
    <n v="5"/>
    <d v="2023-01-14T15:32:46"/>
    <s v="Yes"/>
    <d v="2022-12-23T15:32:46"/>
    <x v="0"/>
    <x v="3"/>
    <m/>
    <m/>
    <m/>
    <m/>
    <m/>
    <m/>
    <x v="0"/>
    <m/>
    <m/>
    <m/>
    <m/>
    <s v="Candidate"/>
    <m/>
    <s v="C3030"/>
    <s v="Candidate_2030"/>
    <s v="17/12/2022"/>
    <x v="0"/>
    <s v="Referral"/>
    <n v="6"/>
    <m/>
    <x v="0"/>
    <m/>
    <m/>
    <x v="0"/>
    <x v="0"/>
    <m/>
    <x v="1"/>
    <x v="0"/>
  </r>
  <r>
    <n v="167"/>
    <s v="167 | Communication and Advocacy"/>
    <x v="24"/>
    <x v="8"/>
    <x v="36"/>
    <x v="15"/>
    <s v="Communication and Advocacy-Quality Assurance"/>
    <x v="4"/>
    <d v="2022-12-11T15:32:46"/>
    <x v="415"/>
    <x v="127"/>
    <n v="5"/>
    <d v="2022-12-29T15:32:46"/>
    <s v="Yes"/>
    <d v="2022-12-27T15:32:46"/>
    <x v="3"/>
    <x v="1"/>
    <d v="2023-01-02T15:32:46"/>
    <s v="Accepted"/>
    <d v="2022-12-28T15:32:46"/>
    <d v="2023-01-01T15:32:46"/>
    <d v="2022-12-29T15:32:46"/>
    <d v="2023-01-03T15:32:46"/>
    <x v="1"/>
    <d v="2023-01-06T15:32:46"/>
    <d v="2023-01-08T15:32:46"/>
    <d v="2023-01-09T15:32:46"/>
    <m/>
    <m/>
    <d v="2023-01-20T15:32:46"/>
    <s v="C3031"/>
    <s v="Candidate_2031"/>
    <s v="Dec 12 2022"/>
    <x v="1"/>
    <s v="Linkedin"/>
    <n v="3"/>
    <m/>
    <x v="0"/>
    <m/>
    <m/>
    <x v="0"/>
    <x v="0"/>
    <m/>
    <x v="222"/>
    <x v="0"/>
  </r>
  <r>
    <n v="166"/>
    <s v="166 | Communication and Advocacy"/>
    <x v="25"/>
    <x v="8"/>
    <x v="36"/>
    <x v="15"/>
    <s v="Communication and Advocacy-Quality Assurance"/>
    <x v="4"/>
    <d v="2022-12-11T15:32:46"/>
    <x v="414"/>
    <x v="127"/>
    <n v="5"/>
    <d v="2023-01-05T15:32:46"/>
    <s v="Yes"/>
    <d v="2022-12-19T15:32:46"/>
    <x v="1"/>
    <x v="1"/>
    <d v="2022-12-27T15:32:46"/>
    <s v="Declined"/>
    <m/>
    <m/>
    <d v="2022-12-23T15:32:46"/>
    <m/>
    <x v="0"/>
    <m/>
    <m/>
    <m/>
    <m/>
    <m/>
    <m/>
    <s v="C3032"/>
    <s v="Candidate_2032"/>
    <s v="Dec 08 2022"/>
    <x v="0"/>
    <s v="Referral"/>
    <n v="3"/>
    <m/>
    <x v="0"/>
    <m/>
    <m/>
    <x v="0"/>
    <x v="0"/>
    <m/>
    <x v="1"/>
    <x v="0"/>
  </r>
  <r>
    <n v="163"/>
    <s v="163 | Communication and Advocacy"/>
    <x v="26"/>
    <x v="8"/>
    <x v="36"/>
    <x v="15"/>
    <s v="Communication and Advocacy-Quality Assurance"/>
    <x v="4"/>
    <d v="2022-12-10T15:32:46"/>
    <x v="414"/>
    <x v="127"/>
    <n v="6"/>
    <d v="2023-01-04T15:32:46"/>
    <s v="No"/>
    <m/>
    <x v="2"/>
    <x v="1"/>
    <m/>
    <m/>
    <m/>
    <m/>
    <m/>
    <m/>
    <x v="0"/>
    <m/>
    <m/>
    <m/>
    <m/>
    <m/>
    <m/>
    <s v="C3033"/>
    <s v="Candidate_2033"/>
    <m/>
    <x v="1"/>
    <s v="Linkedin"/>
    <n v="3"/>
    <m/>
    <x v="0"/>
    <m/>
    <m/>
    <x v="0"/>
    <x v="0"/>
    <m/>
    <x v="1"/>
    <x v="0"/>
  </r>
  <r>
    <n v="125"/>
    <s v="125 | Communication and Advocacy"/>
    <x v="26"/>
    <x v="8"/>
    <x v="36"/>
    <x v="15"/>
    <s v="Communication and Advocacy-Quality Assurance"/>
    <x v="4"/>
    <d v="2022-09-23T11:20:41"/>
    <x v="1149"/>
    <x v="128"/>
    <n v="6"/>
    <d v="2022-10-18T11:20:41"/>
    <s v="No"/>
    <m/>
    <x v="2"/>
    <x v="1"/>
    <m/>
    <m/>
    <m/>
    <m/>
    <m/>
    <m/>
    <x v="0"/>
    <m/>
    <m/>
    <m/>
    <m/>
    <m/>
    <m/>
    <s v="C3034"/>
    <s v="Candidate_2034"/>
    <m/>
    <x v="2"/>
    <s v="Job Board"/>
    <n v="6"/>
    <m/>
    <x v="0"/>
    <m/>
    <m/>
    <x v="0"/>
    <x v="0"/>
    <m/>
    <x v="1"/>
    <x v="0"/>
  </r>
  <r>
    <n v="85"/>
    <s v="85 | Communication and Advocacy"/>
    <x v="24"/>
    <x v="8"/>
    <x v="36"/>
    <x v="15"/>
    <s v="Communication and Advocacy-Quality Assurance"/>
    <x v="4"/>
    <d v="2022-06-12T02:13:25"/>
    <x v="1132"/>
    <x v="137"/>
    <n v="7"/>
    <d v="2022-07-09T02:13:25"/>
    <s v="Yes"/>
    <d v="2022-06-30T02:13:25"/>
    <x v="1"/>
    <x v="1"/>
    <d v="2022-07-05T02:13:25"/>
    <s v="Declined"/>
    <m/>
    <m/>
    <d v="2022-07-03T02:13:25"/>
    <m/>
    <x v="0"/>
    <m/>
    <m/>
    <m/>
    <m/>
    <m/>
    <m/>
    <s v="C3035"/>
    <s v="Candidate_2035"/>
    <s v="20/06/2022"/>
    <x v="1"/>
    <s v="Linkedin"/>
    <n v="3"/>
    <m/>
    <x v="0"/>
    <m/>
    <m/>
    <x v="0"/>
    <x v="0"/>
    <m/>
    <x v="1"/>
    <x v="0"/>
  </r>
  <r>
    <n v="84"/>
    <s v="84 | Communication and Advocacy"/>
    <x v="24"/>
    <x v="8"/>
    <x v="36"/>
    <x v="15"/>
    <s v="Communication and Advocacy-Quality Assurance"/>
    <x v="4"/>
    <m/>
    <x v="1132"/>
    <x v="137"/>
    <n v="44731.092650462961"/>
    <d v="2022-07-06T02:13:25"/>
    <s v="No"/>
    <m/>
    <x v="2"/>
    <x v="1"/>
    <m/>
    <m/>
    <m/>
    <m/>
    <m/>
    <m/>
    <x v="0"/>
    <m/>
    <m/>
    <m/>
    <m/>
    <m/>
    <m/>
    <s v="C3036"/>
    <s v="Candidate_2036"/>
    <m/>
    <x v="1"/>
    <s v="Linkedin"/>
    <n v="3"/>
    <m/>
    <x v="0"/>
    <m/>
    <m/>
    <x v="0"/>
    <x v="0"/>
    <m/>
    <x v="0"/>
    <x v="0"/>
  </r>
  <r>
    <n v="49"/>
    <s v="49 | Communication and Advocacy"/>
    <x v="25"/>
    <x v="8"/>
    <x v="36"/>
    <x v="15"/>
    <s v="Communication and Advocacy-Quality Assurance"/>
    <x v="4"/>
    <d v="2022-03-04T21:14:55"/>
    <x v="1150"/>
    <x v="129"/>
    <n v="5"/>
    <d v="2022-04-02T21:14:55"/>
    <s v="Yes"/>
    <d v="2022-03-26T21:14:55"/>
    <x v="0"/>
    <x v="0"/>
    <m/>
    <m/>
    <m/>
    <m/>
    <m/>
    <m/>
    <x v="0"/>
    <m/>
    <m/>
    <m/>
    <m/>
    <s v="Candidate"/>
    <m/>
    <s v="C3037"/>
    <s v="Candidate_2037"/>
    <s v="21/03/2022"/>
    <x v="1"/>
    <s v="Linkedin"/>
    <n v="6"/>
    <m/>
    <x v="0"/>
    <m/>
    <m/>
    <x v="0"/>
    <x v="0"/>
    <m/>
    <x v="1"/>
    <x v="0"/>
  </r>
  <r>
    <n v="48"/>
    <s v="48 | Communication and Advocacy"/>
    <x v="26"/>
    <x v="8"/>
    <x v="36"/>
    <x v="15"/>
    <s v="Communication and Advocacy-Quality Assurance"/>
    <x v="4"/>
    <m/>
    <x v="1151"/>
    <x v="129"/>
    <n v="44629.885358796288"/>
    <d v="2022-03-27T21:14:55"/>
    <s v="Yes"/>
    <d v="2022-03-13T21:14:55"/>
    <x v="0"/>
    <x v="0"/>
    <m/>
    <m/>
    <m/>
    <m/>
    <d v="2022-03-15T21:14:55"/>
    <m/>
    <x v="0"/>
    <m/>
    <m/>
    <m/>
    <m/>
    <s v="Company"/>
    <m/>
    <s v="C3038"/>
    <s v="Candidate_2038"/>
    <s v="02-23-2022"/>
    <x v="0"/>
    <s v="Referral"/>
    <n v="6"/>
    <m/>
    <x v="0"/>
    <m/>
    <m/>
    <x v="0"/>
    <x v="0"/>
    <m/>
    <x v="0"/>
    <x v="0"/>
  </r>
  <r>
    <n v="42"/>
    <s v="42 | Communication and Advocacy"/>
    <x v="26"/>
    <x v="8"/>
    <x v="36"/>
    <x v="15"/>
    <s v="Communication and Advocacy-Quality Assurance"/>
    <x v="4"/>
    <d v="2022-03-03T21:14:55"/>
    <x v="1151"/>
    <x v="129"/>
    <n v="6"/>
    <d v="2022-04-06T21:14:55"/>
    <s v="Yes"/>
    <d v="2022-03-13T21:14:55"/>
    <x v="0"/>
    <x v="4"/>
    <m/>
    <m/>
    <m/>
    <m/>
    <d v="2022-03-15T21:14:55"/>
    <m/>
    <x v="0"/>
    <m/>
    <m/>
    <m/>
    <m/>
    <s v="Company"/>
    <m/>
    <s v="C3039"/>
    <s v="Candidate_2039"/>
    <s v="Mar 02 2022"/>
    <x v="2"/>
    <s v="Job Board"/>
    <n v="3"/>
    <m/>
    <x v="0"/>
    <m/>
    <m/>
    <x v="0"/>
    <x v="0"/>
    <m/>
    <x v="1"/>
    <x v="0"/>
  </r>
  <r>
    <n v="2948"/>
    <s v="2948 | Communication and Advocacy"/>
    <x v="25"/>
    <x v="8"/>
    <x v="37"/>
    <x v="6"/>
    <s v="Communication and Advocacy-Manager"/>
    <x v="5"/>
    <d v="2022-06-13T11:38:00"/>
    <x v="670"/>
    <x v="203"/>
    <n v="10"/>
    <d v="2022-08-07T11:38:00"/>
    <s v="No"/>
    <m/>
    <x v="2"/>
    <x v="1"/>
    <m/>
    <m/>
    <m/>
    <m/>
    <m/>
    <m/>
    <x v="0"/>
    <m/>
    <m/>
    <m/>
    <m/>
    <m/>
    <m/>
    <s v="C3040"/>
    <s v="Candidate_2040"/>
    <m/>
    <x v="2"/>
    <s v="Job Board"/>
    <n v="6"/>
    <m/>
    <x v="0"/>
    <m/>
    <m/>
    <x v="0"/>
    <x v="0"/>
    <m/>
    <x v="1"/>
    <x v="0"/>
  </r>
  <r>
    <n v="2941"/>
    <s v="2941 | Communication and Advocacy"/>
    <x v="26"/>
    <x v="8"/>
    <x v="37"/>
    <x v="6"/>
    <s v="Communication and Advocacy-Manager"/>
    <x v="5"/>
    <d v="2022-06-10T11:38:00"/>
    <x v="595"/>
    <x v="188"/>
    <n v="11"/>
    <d v="2022-08-05T11:38:00"/>
    <s v="No"/>
    <m/>
    <x v="2"/>
    <x v="1"/>
    <m/>
    <m/>
    <m/>
    <m/>
    <m/>
    <m/>
    <x v="0"/>
    <m/>
    <m/>
    <m/>
    <m/>
    <m/>
    <m/>
    <s v="C3041"/>
    <s v="Candidate_2041"/>
    <m/>
    <x v="1"/>
    <s v="Linkedin"/>
    <n v="3"/>
    <m/>
    <x v="0"/>
    <m/>
    <m/>
    <x v="0"/>
    <x v="0"/>
    <m/>
    <x v="1"/>
    <x v="0"/>
  </r>
  <r>
    <n v="2336"/>
    <s v="2336 | Communication and Advocacy"/>
    <x v="25"/>
    <x v="8"/>
    <x v="37"/>
    <x v="6"/>
    <s v="Communication and Advocacy-Manager"/>
    <x v="5"/>
    <d v="2022-05-11T09:15:53"/>
    <x v="387"/>
    <x v="93"/>
    <n v="8"/>
    <d v="2022-06-14T09:15:53"/>
    <s v="No"/>
    <m/>
    <x v="2"/>
    <x v="1"/>
    <m/>
    <m/>
    <m/>
    <m/>
    <m/>
    <m/>
    <x v="0"/>
    <m/>
    <m/>
    <m/>
    <m/>
    <m/>
    <m/>
    <s v="C3042"/>
    <s v="Candidate_2042"/>
    <m/>
    <x v="1"/>
    <s v="Linkedin"/>
    <n v="6"/>
    <m/>
    <x v="0"/>
    <m/>
    <m/>
    <x v="0"/>
    <x v="0"/>
    <m/>
    <x v="1"/>
    <x v="0"/>
  </r>
  <r>
    <n v="2335"/>
    <s v="2335 | Communication and Advocacy"/>
    <x v="26"/>
    <x v="8"/>
    <x v="37"/>
    <x v="6"/>
    <s v="Communication and Advocacy-Manager"/>
    <x v="5"/>
    <d v="2022-05-10T09:15:53"/>
    <x v="652"/>
    <x v="93"/>
    <n v="9"/>
    <d v="2022-06-15T09:15:53"/>
    <s v="No"/>
    <m/>
    <x v="2"/>
    <x v="1"/>
    <m/>
    <m/>
    <m/>
    <m/>
    <m/>
    <m/>
    <x v="0"/>
    <m/>
    <m/>
    <m/>
    <m/>
    <m/>
    <m/>
    <s v="C3043"/>
    <s v="Candidate_2043"/>
    <m/>
    <x v="2"/>
    <s v="Job Board"/>
    <n v="6"/>
    <m/>
    <x v="0"/>
    <m/>
    <m/>
    <x v="0"/>
    <x v="0"/>
    <m/>
    <x v="1"/>
    <x v="0"/>
  </r>
  <r>
    <n v="2058"/>
    <s v="2058 | Communication and Advocacy"/>
    <x v="24"/>
    <x v="8"/>
    <x v="37"/>
    <x v="6"/>
    <s v="Communication and Advocacy-Manager"/>
    <x v="5"/>
    <d v="2022-01-16T19:56:47"/>
    <x v="697"/>
    <x v="132"/>
    <n v="3"/>
    <d v="2022-01-26T19:56:47"/>
    <s v="No"/>
    <m/>
    <x v="2"/>
    <x v="1"/>
    <m/>
    <m/>
    <m/>
    <m/>
    <m/>
    <m/>
    <x v="0"/>
    <m/>
    <m/>
    <m/>
    <m/>
    <m/>
    <m/>
    <s v="C3044"/>
    <s v="Candidate_2044"/>
    <m/>
    <x v="0"/>
    <s v="Referral"/>
    <n v="6"/>
    <m/>
    <x v="0"/>
    <m/>
    <m/>
    <x v="0"/>
    <x v="0"/>
    <m/>
    <x v="1"/>
    <x v="0"/>
  </r>
  <r>
    <n v="2056"/>
    <s v="2056 | Communication and Advocacy"/>
    <x v="26"/>
    <x v="8"/>
    <x v="37"/>
    <x v="6"/>
    <s v="Communication and Advocacy-Manager"/>
    <x v="5"/>
    <d v="2022-01-12T19:56:47"/>
    <x v="653"/>
    <x v="132"/>
    <n v="7"/>
    <d v="2022-02-15T19:56:47"/>
    <s v="No"/>
    <m/>
    <x v="2"/>
    <x v="1"/>
    <m/>
    <m/>
    <m/>
    <m/>
    <m/>
    <m/>
    <x v="0"/>
    <m/>
    <m/>
    <m/>
    <m/>
    <m/>
    <m/>
    <s v="C3045"/>
    <s v="Candidate_2045"/>
    <m/>
    <x v="2"/>
    <s v="Job Board"/>
    <n v="3"/>
    <m/>
    <x v="0"/>
    <m/>
    <m/>
    <x v="0"/>
    <x v="0"/>
    <m/>
    <x v="1"/>
    <x v="0"/>
  </r>
  <r>
    <n v="2054"/>
    <s v="2054 | Communication and Advocacy"/>
    <x v="26"/>
    <x v="8"/>
    <x v="37"/>
    <x v="6"/>
    <s v="Communication and Advocacy-Manager"/>
    <x v="5"/>
    <d v="2022-01-15T19:56:47"/>
    <x v="600"/>
    <x v="132"/>
    <n v="4"/>
    <d v="2022-02-18T19:56:47"/>
    <s v="Yes"/>
    <d v="2022-02-04T19:56:47"/>
    <x v="3"/>
    <x v="1"/>
    <d v="2022-02-09T19:56:47"/>
    <s v="Accepted"/>
    <d v="2022-02-05T19:56:47"/>
    <d v="2022-02-08T19:56:47"/>
    <d v="2022-02-08T19:56:47"/>
    <d v="2022-02-10T19:56:47"/>
    <x v="1"/>
    <d v="2022-02-14T19:56:47"/>
    <d v="2022-02-15T19:56:47"/>
    <d v="2022-02-18T19:56:47"/>
    <m/>
    <m/>
    <d v="2022-02-26T19:56:47"/>
    <s v="C3046"/>
    <s v="Candidate_2046"/>
    <s v="26/01/2022"/>
    <x v="2"/>
    <s v="Job Board"/>
    <n v="3"/>
    <m/>
    <x v="0"/>
    <m/>
    <m/>
    <x v="0"/>
    <x v="0"/>
    <m/>
    <x v="223"/>
    <x v="0"/>
  </r>
  <r>
    <n v="1911"/>
    <s v="1911 | Communication and Advocacy"/>
    <x v="25"/>
    <x v="8"/>
    <x v="37"/>
    <x v="6"/>
    <s v="Communication and Advocacy-Manager"/>
    <x v="5"/>
    <d v="2022-05-04T21:24:39"/>
    <x v="1152"/>
    <x v="4"/>
    <n v="-44685.892118055563"/>
    <d v="2022-05-23T21:24:39"/>
    <s v="No"/>
    <m/>
    <x v="2"/>
    <x v="1"/>
    <m/>
    <m/>
    <m/>
    <m/>
    <m/>
    <m/>
    <x v="0"/>
    <m/>
    <m/>
    <m/>
    <m/>
    <m/>
    <m/>
    <s v="C3047"/>
    <s v="Candidate_2047"/>
    <m/>
    <x v="2"/>
    <s v="Job Board"/>
    <n v="6"/>
    <m/>
    <x v="0"/>
    <m/>
    <m/>
    <x v="0"/>
    <x v="0"/>
    <m/>
    <x v="0"/>
    <x v="0"/>
  </r>
  <r>
    <n v="1745"/>
    <s v="1745 | Communication and Advocacy"/>
    <x v="26"/>
    <x v="8"/>
    <x v="37"/>
    <x v="6"/>
    <s v="Communication and Advocacy-Manager"/>
    <x v="5"/>
    <d v="2023-01-20T19:09:14"/>
    <x v="1153"/>
    <x v="133"/>
    <n v="7"/>
    <d v="2023-02-10T19:09:14"/>
    <s v="No"/>
    <m/>
    <x v="2"/>
    <x v="1"/>
    <m/>
    <m/>
    <m/>
    <m/>
    <m/>
    <m/>
    <x v="0"/>
    <m/>
    <m/>
    <m/>
    <m/>
    <m/>
    <m/>
    <s v="C3048"/>
    <s v="Candidate_2048"/>
    <m/>
    <x v="0"/>
    <s v="Referral"/>
    <n v="6"/>
    <m/>
    <x v="0"/>
    <m/>
    <m/>
    <x v="0"/>
    <x v="0"/>
    <m/>
    <x v="1"/>
    <x v="0"/>
  </r>
  <r>
    <n v="1597"/>
    <s v="1597 | Communication and Advocacy"/>
    <x v="26"/>
    <x v="8"/>
    <x v="37"/>
    <x v="6"/>
    <s v="Communication and Advocacy-Manager"/>
    <x v="5"/>
    <d v="2023-03-06T03:56:27"/>
    <x v="624"/>
    <x v="197"/>
    <n v="9"/>
    <d v="2023-03-27T03:56:27"/>
    <s v="No"/>
    <m/>
    <x v="2"/>
    <x v="1"/>
    <m/>
    <m/>
    <m/>
    <m/>
    <m/>
    <m/>
    <x v="0"/>
    <m/>
    <m/>
    <m/>
    <m/>
    <m/>
    <m/>
    <s v="C3049"/>
    <s v="Candidate_2049"/>
    <m/>
    <x v="2"/>
    <s v="Job Board"/>
    <n v="6"/>
    <m/>
    <x v="0"/>
    <m/>
    <m/>
    <x v="0"/>
    <x v="0"/>
    <m/>
    <x v="1"/>
    <x v="0"/>
  </r>
  <r>
    <n v="1579"/>
    <s v="1579 | Communication and Advocacy"/>
    <x v="25"/>
    <x v="8"/>
    <x v="37"/>
    <x v="6"/>
    <s v="Communication and Advocacy-Manager"/>
    <x v="5"/>
    <d v="2022-09-05T17:35:38"/>
    <x v="660"/>
    <x v="100"/>
    <n v="4"/>
    <d v="2022-10-07T17:35:38"/>
    <s v="Yes"/>
    <d v="2022-09-16T17:35:38"/>
    <x v="3"/>
    <x v="1"/>
    <d v="2022-09-19T17:35:38"/>
    <s v="Accepted"/>
    <d v="2022-09-18T17:35:38"/>
    <d v="2022-09-22T17:35:38"/>
    <d v="2022-09-18T17:35:38"/>
    <d v="2022-09-26T17:35:38"/>
    <x v="1"/>
    <d v="2022-09-29T17:35:38"/>
    <d v="2022-10-02T17:35:38"/>
    <d v="2022-10-04T17:35:38"/>
    <m/>
    <m/>
    <d v="2022-10-20T17:35:38"/>
    <s v="C3050"/>
    <s v="Candidate_2050"/>
    <s v="08-28-2022"/>
    <x v="1"/>
    <s v="Linkedin"/>
    <n v="3"/>
    <m/>
    <x v="0"/>
    <m/>
    <m/>
    <x v="0"/>
    <x v="0"/>
    <m/>
    <x v="224"/>
    <x v="0"/>
  </r>
  <r>
    <n v="1576"/>
    <s v="1576 | Communication and Advocacy"/>
    <x v="24"/>
    <x v="8"/>
    <x v="37"/>
    <x v="6"/>
    <s v="Communication and Advocacy-Manager"/>
    <x v="5"/>
    <d v="2022-09-01T17:35:38"/>
    <x v="331"/>
    <x v="100"/>
    <n v="8"/>
    <d v="2022-09-30T17:35:38"/>
    <s v="Yes"/>
    <d v="2022-09-24T17:35:38"/>
    <x v="3"/>
    <x v="1"/>
    <d v="2022-09-29T17:35:38"/>
    <s v="Accepted"/>
    <d v="2022-09-26T17:35:38"/>
    <d v="2022-09-28T17:35:38"/>
    <d v="2022-09-27T17:35:38"/>
    <d v="2022-09-30T17:35:38"/>
    <x v="1"/>
    <d v="2022-10-02T17:35:38"/>
    <d v="2022-10-03T17:35:38"/>
    <d v="2022-10-06T17:35:38"/>
    <m/>
    <m/>
    <d v="2022-10-24T17:35:38"/>
    <s v="C3051"/>
    <s v="Candidate_2051"/>
    <s v="09-16-2022"/>
    <x v="1"/>
    <s v="Linkedin"/>
    <n v="3"/>
    <m/>
    <x v="0"/>
    <m/>
    <m/>
    <x v="0"/>
    <x v="0"/>
    <m/>
    <x v="225"/>
    <x v="0"/>
  </r>
  <r>
    <n v="1504"/>
    <s v="1504 | Communication and Advocacy"/>
    <x v="26"/>
    <x v="8"/>
    <x v="37"/>
    <x v="6"/>
    <s v="Communication and Advocacy-Manager"/>
    <x v="5"/>
    <d v="2022-07-10T08:18:33"/>
    <x v="0"/>
    <x v="101"/>
    <n v="10"/>
    <d v="2022-08-11T08:18:33"/>
    <s v="Yes"/>
    <d v="2022-07-24T08:18:33"/>
    <x v="3"/>
    <x v="1"/>
    <d v="2022-07-31T08:18:33"/>
    <s v="Accepted"/>
    <d v="2022-07-26T08:18:33"/>
    <d v="2022-07-28T08:18:33"/>
    <d v="2022-07-28T08:18:33"/>
    <d v="2022-07-30T08:18:33"/>
    <x v="1"/>
    <d v="2022-08-03T08:18:33"/>
    <d v="2022-08-05T08:18:33"/>
    <d v="2022-08-07T08:18:33"/>
    <m/>
    <m/>
    <d v="2022-08-24T08:18:33"/>
    <s v="C3052"/>
    <s v="Candidate_2052"/>
    <s v="10/07/2022"/>
    <x v="1"/>
    <s v="Linkedin"/>
    <n v="3"/>
    <m/>
    <x v="0"/>
    <m/>
    <m/>
    <x v="0"/>
    <x v="0"/>
    <m/>
    <x v="0"/>
    <x v="0"/>
  </r>
  <r>
    <n v="1494"/>
    <s v="1494 | Communication and Advocacy"/>
    <x v="26"/>
    <x v="8"/>
    <x v="37"/>
    <x v="6"/>
    <s v="Communication and Advocacy-Manager"/>
    <x v="5"/>
    <m/>
    <x v="0"/>
    <x v="198"/>
    <n v="44701.569456018522"/>
    <d v="2022-06-04T13:40:01"/>
    <s v="Yes"/>
    <d v="2022-05-29T13:40:01"/>
    <x v="3"/>
    <x v="1"/>
    <d v="2022-06-04T13:40:01"/>
    <s v="Accepted"/>
    <d v="2022-05-31T13:40:01"/>
    <d v="2022-06-03T13:40:01"/>
    <d v="2022-06-01T13:40:01"/>
    <d v="2022-06-04T13:40:01"/>
    <x v="1"/>
    <d v="2022-06-05T13:40:01"/>
    <d v="2022-06-07T13:40:01"/>
    <d v="2022-06-08T13:40:01"/>
    <m/>
    <m/>
    <d v="2022-06-20T13:40:01"/>
    <s v="C3053"/>
    <s v="Candidate_2053"/>
    <s v="15/05/2022"/>
    <x v="2"/>
    <s v="Job Board"/>
    <n v="3"/>
    <m/>
    <x v="0"/>
    <m/>
    <m/>
    <x v="0"/>
    <x v="0"/>
    <m/>
    <x v="0"/>
    <x v="0"/>
  </r>
  <r>
    <n v="1315"/>
    <s v="1315 | Communication and Advocacy"/>
    <x v="26"/>
    <x v="8"/>
    <x v="37"/>
    <x v="6"/>
    <s v="Communication and Advocacy-Manager"/>
    <x v="5"/>
    <d v="2023-08-10T05:35:37"/>
    <x v="631"/>
    <x v="201"/>
    <n v="7"/>
    <d v="2023-09-03T05:35:37"/>
    <s v="No"/>
    <m/>
    <x v="2"/>
    <x v="1"/>
    <m/>
    <m/>
    <m/>
    <m/>
    <m/>
    <m/>
    <x v="0"/>
    <m/>
    <m/>
    <m/>
    <m/>
    <m/>
    <m/>
    <s v="C3054"/>
    <s v="Candidate_2054"/>
    <m/>
    <x v="1"/>
    <s v="Linkedin"/>
    <n v="3"/>
    <m/>
    <x v="0"/>
    <m/>
    <m/>
    <x v="0"/>
    <x v="0"/>
    <m/>
    <x v="1"/>
    <x v="0"/>
  </r>
  <r>
    <n v="1023"/>
    <s v="1023 | Communication and Advocacy"/>
    <x v="24"/>
    <x v="8"/>
    <x v="37"/>
    <x v="6"/>
    <s v="Communication and Advocacy-Manager"/>
    <x v="5"/>
    <d v="2023-01-25T18:59:14"/>
    <x v="649"/>
    <x v="135"/>
    <n v="7"/>
    <d v="2023-02-14T18:59:14"/>
    <s v="No"/>
    <m/>
    <x v="2"/>
    <x v="1"/>
    <m/>
    <m/>
    <m/>
    <m/>
    <m/>
    <m/>
    <x v="0"/>
    <m/>
    <m/>
    <m/>
    <m/>
    <m/>
    <m/>
    <s v="C3055"/>
    <s v="Candidate_2055"/>
    <m/>
    <x v="1"/>
    <s v="Linkedin"/>
    <n v="6"/>
    <m/>
    <x v="0"/>
    <m/>
    <m/>
    <x v="0"/>
    <x v="0"/>
    <m/>
    <x v="1"/>
    <x v="0"/>
  </r>
  <r>
    <n v="841"/>
    <s v="841 | Communication and Advocacy"/>
    <x v="25"/>
    <x v="8"/>
    <x v="37"/>
    <x v="6"/>
    <s v="Communication and Advocacy-Manager"/>
    <x v="5"/>
    <d v="2022-08-04T20:03:55"/>
    <x v="341"/>
    <x v="110"/>
    <n v="6"/>
    <d v="2022-08-20T20:03:55"/>
    <s v="Yes"/>
    <d v="2022-08-26T20:03:55"/>
    <x v="1"/>
    <x v="1"/>
    <d v="2022-08-31T20:03:55"/>
    <s v="Declined"/>
    <m/>
    <m/>
    <d v="2022-08-29T20:03:55"/>
    <m/>
    <x v="0"/>
    <m/>
    <m/>
    <m/>
    <m/>
    <m/>
    <m/>
    <s v="C3056"/>
    <s v="Candidate_2056"/>
    <s v="08-14-2022"/>
    <x v="2"/>
    <s v="Job Board"/>
    <n v="3"/>
    <m/>
    <x v="0"/>
    <m/>
    <m/>
    <x v="0"/>
    <x v="0"/>
    <m/>
    <x v="1"/>
    <x v="0"/>
  </r>
  <r>
    <n v="789"/>
    <s v="789 | Communication and Advocacy"/>
    <x v="26"/>
    <x v="8"/>
    <x v="37"/>
    <x v="6"/>
    <s v="Communication and Advocacy-Manager"/>
    <x v="5"/>
    <d v="2023-01-06T23:55:35"/>
    <x v="344"/>
    <x v="112"/>
    <n v="9"/>
    <d v="2023-01-24T23:55:35"/>
    <s v="Yes"/>
    <d v="2023-01-25T23:55:35"/>
    <x v="1"/>
    <x v="1"/>
    <d v="2023-01-29T23:55:35"/>
    <s v="Declined"/>
    <m/>
    <m/>
    <d v="2023-01-26T23:55:35"/>
    <m/>
    <x v="0"/>
    <m/>
    <m/>
    <m/>
    <m/>
    <m/>
    <m/>
    <s v="C3057"/>
    <s v="Candidate_2057"/>
    <s v="01-06-2023"/>
    <x v="0"/>
    <s v="Referral"/>
    <n v="3"/>
    <m/>
    <x v="0"/>
    <m/>
    <m/>
    <x v="0"/>
    <x v="0"/>
    <m/>
    <x v="1"/>
    <x v="0"/>
  </r>
  <r>
    <n v="738"/>
    <s v="738 | Communication and Advocacy"/>
    <x v="26"/>
    <x v="8"/>
    <x v="37"/>
    <x v="6"/>
    <s v="Communication and Advocacy-Manager"/>
    <x v="5"/>
    <d v="2023-04-23T15:28:09"/>
    <x v="345"/>
    <x v="113"/>
    <n v="8"/>
    <d v="2023-05-30T15:28:09"/>
    <s v="Yes"/>
    <d v="2023-05-07T15:28:09"/>
    <x v="0"/>
    <x v="5"/>
    <m/>
    <m/>
    <m/>
    <m/>
    <d v="2023-05-10T15:28:09"/>
    <m/>
    <x v="0"/>
    <m/>
    <m/>
    <m/>
    <m/>
    <s v="Candidate"/>
    <m/>
    <s v="C3058"/>
    <s v="Candidate_2058"/>
    <s v="29/04/2023"/>
    <x v="0"/>
    <s v="Referral"/>
    <n v="6"/>
    <m/>
    <x v="0"/>
    <m/>
    <m/>
    <x v="0"/>
    <x v="0"/>
    <m/>
    <x v="1"/>
    <x v="0"/>
  </r>
  <r>
    <n v="737"/>
    <s v="737 | Communication and Advocacy"/>
    <x v="25"/>
    <x v="8"/>
    <x v="37"/>
    <x v="6"/>
    <s v="Communication and Advocacy-Manager"/>
    <x v="5"/>
    <d v="2023-04-21T15:28:09"/>
    <x v="0"/>
    <x v="113"/>
    <n v="10"/>
    <d v="2023-05-23T15:28:09"/>
    <s v="Yes"/>
    <d v="2023-05-05T15:28:09"/>
    <x v="4"/>
    <x v="1"/>
    <d v="2023-05-13T15:28:09"/>
    <s v="Pending"/>
    <m/>
    <m/>
    <d v="2023-05-09T15:28:09"/>
    <m/>
    <x v="0"/>
    <m/>
    <m/>
    <m/>
    <m/>
    <m/>
    <m/>
    <s v="C3059"/>
    <s v="Candidate_2059"/>
    <s v="21/04/2023"/>
    <x v="1"/>
    <s v="Linkedin"/>
    <n v="3"/>
    <m/>
    <x v="0"/>
    <m/>
    <m/>
    <x v="0"/>
    <x v="0"/>
    <m/>
    <x v="0"/>
    <x v="0"/>
  </r>
  <r>
    <n v="735"/>
    <s v="735 | Communication and Advocacy"/>
    <x v="24"/>
    <x v="8"/>
    <x v="37"/>
    <x v="6"/>
    <s v="Communication and Advocacy-Manager"/>
    <x v="5"/>
    <d v="2023-04-27T15:28:09"/>
    <x v="401"/>
    <x v="113"/>
    <n v="4"/>
    <d v="2023-05-13T15:28:09"/>
    <s v="Yes"/>
    <d v="2023-05-13T15:28:09"/>
    <x v="3"/>
    <x v="1"/>
    <d v="2023-05-20T15:28:09"/>
    <s v="Accepted"/>
    <d v="2023-05-14T15:28:09"/>
    <d v="2023-05-15T15:28:09"/>
    <d v="2023-05-17T15:28:09"/>
    <d v="2023-05-24T15:28:09"/>
    <x v="1"/>
    <d v="2023-05-26T15:28:09"/>
    <d v="2023-05-28T15:28:09"/>
    <d v="2023-05-29T15:28:09"/>
    <m/>
    <m/>
    <d v="2023-06-07T15:28:09"/>
    <s v="C3060"/>
    <s v="Candidate_2060"/>
    <s v="26/04/2023"/>
    <x v="0"/>
    <s v="Referral"/>
    <n v="3"/>
    <m/>
    <x v="0"/>
    <m/>
    <m/>
    <x v="0"/>
    <x v="0"/>
    <m/>
    <x v="226"/>
    <x v="0"/>
  </r>
  <r>
    <n v="689"/>
    <s v="689 | Communication and Advocacy"/>
    <x v="26"/>
    <x v="8"/>
    <x v="37"/>
    <x v="6"/>
    <s v="Communication and Advocacy-Manager"/>
    <x v="5"/>
    <m/>
    <x v="1154"/>
    <x v="121"/>
    <n v="45106.115520833337"/>
    <d v="2023-07-16T02:46:21"/>
    <s v="Yes"/>
    <d v="2023-07-06T02:46:21"/>
    <x v="0"/>
    <x v="4"/>
    <m/>
    <m/>
    <m/>
    <m/>
    <m/>
    <m/>
    <x v="0"/>
    <m/>
    <m/>
    <m/>
    <m/>
    <s v="Candidate"/>
    <m/>
    <s v="C3061"/>
    <s v="Candidate_2061"/>
    <s v="Jun 29 2023"/>
    <x v="1"/>
    <s v="Linkedin"/>
    <n v="6"/>
    <m/>
    <x v="0"/>
    <m/>
    <m/>
    <x v="0"/>
    <x v="0"/>
    <m/>
    <x v="0"/>
    <x v="0"/>
  </r>
  <r>
    <n v="687"/>
    <s v="687 | Communication and Advocacy"/>
    <x v="26"/>
    <x v="8"/>
    <x v="37"/>
    <x v="6"/>
    <s v="Communication and Advocacy-Manager"/>
    <x v="5"/>
    <d v="2023-06-22T02:46:21"/>
    <x v="1155"/>
    <x v="121"/>
    <n v="7"/>
    <d v="2023-07-23T02:46:21"/>
    <s v="Yes"/>
    <d v="2023-07-15T02:46:21"/>
    <x v="3"/>
    <x v="1"/>
    <d v="2023-07-21T02:46:21"/>
    <s v="Accepted"/>
    <d v="2023-07-16T02:46:21"/>
    <d v="2023-07-20T02:46:21"/>
    <d v="2023-07-19T02:46:21"/>
    <d v="2023-07-26T02:46:21"/>
    <x v="1"/>
    <d v="2023-07-29T02:46:21"/>
    <d v="2023-07-31T02:46:21"/>
    <d v="2023-08-03T02:46:21"/>
    <m/>
    <m/>
    <d v="2023-08-17T02:46:21"/>
    <s v="C3062"/>
    <s v="Candidate_2062"/>
    <s v="06-27-2023"/>
    <x v="0"/>
    <s v="Referral"/>
    <n v="3"/>
    <m/>
    <x v="0"/>
    <m/>
    <m/>
    <x v="0"/>
    <x v="0"/>
    <m/>
    <x v="227"/>
    <x v="0"/>
  </r>
  <r>
    <n v="685"/>
    <s v="685 | Communication and Advocacy"/>
    <x v="26"/>
    <x v="8"/>
    <x v="37"/>
    <x v="6"/>
    <s v="Communication and Advocacy-Manager"/>
    <x v="5"/>
    <d v="2023-06-24T02:46:21"/>
    <x v="0"/>
    <x v="121"/>
    <n v="5"/>
    <d v="2023-07-21T02:46:21"/>
    <s v="Yes"/>
    <d v="2023-07-15T02:46:21"/>
    <x v="0"/>
    <x v="2"/>
    <m/>
    <m/>
    <m/>
    <m/>
    <d v="2023-07-18T02:46:21"/>
    <m/>
    <x v="0"/>
    <m/>
    <m/>
    <m/>
    <m/>
    <s v="Candidate"/>
    <m/>
    <s v="C3063"/>
    <s v="Candidate_2063"/>
    <s v="29/06/2023"/>
    <x v="2"/>
    <s v="Job Board"/>
    <n v="3"/>
    <m/>
    <x v="0"/>
    <m/>
    <m/>
    <x v="0"/>
    <x v="0"/>
    <m/>
    <x v="0"/>
    <x v="0"/>
  </r>
  <r>
    <n v="570"/>
    <s v="570 | Communication and Advocacy"/>
    <x v="25"/>
    <x v="8"/>
    <x v="37"/>
    <x v="6"/>
    <s v="Communication and Advocacy-Manager"/>
    <x v="5"/>
    <d v="2022-11-03T23:10:12"/>
    <x v="348"/>
    <x v="114"/>
    <n v="5"/>
    <d v="2022-11-23T23:10:12"/>
    <s v="Yes"/>
    <d v="2022-11-23T23:10:12"/>
    <x v="0"/>
    <x v="3"/>
    <m/>
    <m/>
    <m/>
    <m/>
    <d v="2022-11-27T23:10:12"/>
    <m/>
    <x v="0"/>
    <m/>
    <m/>
    <m/>
    <m/>
    <s v="Company"/>
    <m/>
    <s v="C3064"/>
    <s v="Candidate_2064"/>
    <s v="11-11-2022"/>
    <x v="1"/>
    <s v="Linkedin"/>
    <n v="6"/>
    <m/>
    <x v="0"/>
    <m/>
    <m/>
    <x v="0"/>
    <x v="0"/>
    <m/>
    <x v="1"/>
    <x v="0"/>
  </r>
  <r>
    <n v="566"/>
    <s v="566 | Communication and Advocacy"/>
    <x v="25"/>
    <x v="8"/>
    <x v="37"/>
    <x v="6"/>
    <s v="Communication and Advocacy-Manager"/>
    <x v="5"/>
    <d v="2022-11-02T23:10:12"/>
    <x v="403"/>
    <x v="114"/>
    <n v="6"/>
    <d v="2022-11-19T23:10:12"/>
    <s v="Yes"/>
    <d v="2022-11-24T23:10:12"/>
    <x v="1"/>
    <x v="1"/>
    <d v="2022-11-28T23:10:12"/>
    <s v="Declined"/>
    <m/>
    <m/>
    <d v="2022-11-25T23:10:12"/>
    <m/>
    <x v="0"/>
    <m/>
    <m/>
    <m/>
    <m/>
    <m/>
    <m/>
    <s v="C3065"/>
    <s v="Candidate_2065"/>
    <s v="15/11/2022"/>
    <x v="0"/>
    <s v="Referral"/>
    <n v="6"/>
    <m/>
    <x v="0"/>
    <m/>
    <m/>
    <x v="0"/>
    <x v="0"/>
    <m/>
    <x v="1"/>
    <x v="0"/>
  </r>
  <r>
    <n v="563"/>
    <s v="563 | Communication and Advocacy"/>
    <x v="26"/>
    <x v="8"/>
    <x v="37"/>
    <x v="6"/>
    <s v="Communication and Advocacy-Manager"/>
    <x v="5"/>
    <d v="2022-11-02T23:10:12"/>
    <x v="0"/>
    <x v="114"/>
    <n v="6"/>
    <d v="2022-11-30T23:10:12"/>
    <s v="Yes"/>
    <d v="2022-11-16T23:10:12"/>
    <x v="0"/>
    <x v="4"/>
    <m/>
    <m/>
    <m/>
    <m/>
    <m/>
    <m/>
    <x v="0"/>
    <m/>
    <m/>
    <m/>
    <m/>
    <s v="Company"/>
    <m/>
    <s v="C3066"/>
    <s v="Candidate_2066"/>
    <s v="Nov 06 2022"/>
    <x v="2"/>
    <s v="Job Board"/>
    <n v="6"/>
    <m/>
    <x v="0"/>
    <m/>
    <m/>
    <x v="0"/>
    <x v="0"/>
    <m/>
    <x v="0"/>
    <x v="0"/>
  </r>
  <r>
    <n v="437"/>
    <s v="437 | Communication and Advocacy"/>
    <x v="26"/>
    <x v="8"/>
    <x v="37"/>
    <x v="6"/>
    <s v="Communication and Advocacy-Manager"/>
    <x v="5"/>
    <d v="2022-06-22T07:34:28"/>
    <x v="1124"/>
    <x v="115"/>
    <n v="7"/>
    <d v="2022-07-08T07:34:28"/>
    <s v="Yes"/>
    <d v="2022-07-02T07:34:28"/>
    <x v="4"/>
    <x v="1"/>
    <d v="2022-07-08T07:34:28"/>
    <s v="Pending"/>
    <m/>
    <m/>
    <d v="2022-07-06T07:34:28"/>
    <m/>
    <x v="0"/>
    <m/>
    <m/>
    <m/>
    <m/>
    <m/>
    <m/>
    <s v="C3067"/>
    <s v="Candidate_2067"/>
    <s v="06-27-2022"/>
    <x v="0"/>
    <s v="Referral"/>
    <n v="3"/>
    <m/>
    <x v="0"/>
    <m/>
    <m/>
    <x v="0"/>
    <x v="0"/>
    <m/>
    <x v="1"/>
    <x v="0"/>
  </r>
  <r>
    <n v="434"/>
    <s v="434 | Communication and Advocacy"/>
    <x v="24"/>
    <x v="8"/>
    <x v="37"/>
    <x v="6"/>
    <s v="Communication and Advocacy-Manager"/>
    <x v="5"/>
    <d v="2022-06-23T07:34:28"/>
    <x v="1123"/>
    <x v="115"/>
    <n v="6"/>
    <d v="2022-07-19T07:34:28"/>
    <s v="Yes"/>
    <d v="2022-07-10T07:34:28"/>
    <x v="0"/>
    <x v="2"/>
    <m/>
    <m/>
    <m/>
    <m/>
    <d v="2022-07-14T07:34:28"/>
    <m/>
    <x v="0"/>
    <m/>
    <m/>
    <m/>
    <m/>
    <s v="Company"/>
    <m/>
    <s v="C3068"/>
    <s v="Candidate_2068"/>
    <s v="Jul 02 2022"/>
    <x v="0"/>
    <s v="Referral"/>
    <n v="6"/>
    <m/>
    <x v="0"/>
    <m/>
    <m/>
    <x v="0"/>
    <x v="0"/>
    <m/>
    <x v="1"/>
    <x v="0"/>
  </r>
  <r>
    <n v="353"/>
    <s v="353 | Communication and Advocacy"/>
    <x v="26"/>
    <x v="8"/>
    <x v="37"/>
    <x v="6"/>
    <s v="Communication and Advocacy-Manager"/>
    <x v="5"/>
    <d v="2022-10-02T04:14:17"/>
    <x v="1156"/>
    <x v="4"/>
    <n v="-44836.176585648151"/>
    <d v="2022-11-04T04:14:17"/>
    <s v="Yes"/>
    <d v="2022-10-24T04:14:17"/>
    <x v="0"/>
    <x v="0"/>
    <m/>
    <m/>
    <m/>
    <m/>
    <m/>
    <m/>
    <x v="0"/>
    <m/>
    <m/>
    <m/>
    <m/>
    <s v="Candidate"/>
    <m/>
    <s v="C3069"/>
    <s v="Candidate_2069"/>
    <s v="Oct 15 2022"/>
    <x v="1"/>
    <s v="Linkedin"/>
    <n v="3"/>
    <m/>
    <x v="0"/>
    <m/>
    <m/>
    <x v="0"/>
    <x v="0"/>
    <m/>
    <x v="0"/>
    <x v="0"/>
  </r>
  <r>
    <n v="352"/>
    <s v="352 | Communication and Advocacy"/>
    <x v="24"/>
    <x v="8"/>
    <x v="37"/>
    <x v="6"/>
    <s v="Communication and Advocacy-Manager"/>
    <x v="5"/>
    <d v="2022-10-08T04:14:17"/>
    <x v="1125"/>
    <x v="136"/>
    <n v="2"/>
    <d v="2022-10-21T04:14:17"/>
    <s v="Yes"/>
    <d v="2022-10-15T04:14:17"/>
    <x v="1"/>
    <x v="1"/>
    <d v="2022-10-22T04:14:17"/>
    <s v="Declined"/>
    <m/>
    <m/>
    <d v="2022-10-18T04:14:17"/>
    <m/>
    <x v="0"/>
    <m/>
    <m/>
    <m/>
    <m/>
    <m/>
    <m/>
    <s v="C3070"/>
    <s v="Candidate_2070"/>
    <s v="06/10/2022"/>
    <x v="0"/>
    <s v="Referral"/>
    <n v="3"/>
    <m/>
    <x v="0"/>
    <m/>
    <m/>
    <x v="0"/>
    <x v="0"/>
    <m/>
    <x v="1"/>
    <x v="0"/>
  </r>
  <r>
    <n v="327"/>
    <s v="327 | Communication and Advocacy"/>
    <x v="24"/>
    <x v="8"/>
    <x v="37"/>
    <x v="6"/>
    <s v="Communication and Advocacy-Manager"/>
    <x v="5"/>
    <d v="2022-01-17T22:01:29"/>
    <x v="1157"/>
    <x v="122"/>
    <n v="4"/>
    <d v="2022-02-12T22:01:29"/>
    <s v="Yes"/>
    <d v="2022-01-26T22:01:29"/>
    <x v="1"/>
    <x v="1"/>
    <d v="2022-01-29T22:01:29"/>
    <s v="Declined"/>
    <m/>
    <m/>
    <d v="2022-01-27T22:01:29"/>
    <m/>
    <x v="0"/>
    <m/>
    <m/>
    <m/>
    <m/>
    <m/>
    <m/>
    <s v="C3071"/>
    <s v="Candidate_2071"/>
    <s v="Jan 17 2022"/>
    <x v="2"/>
    <s v="Job Board"/>
    <n v="6"/>
    <m/>
    <x v="0"/>
    <m/>
    <m/>
    <x v="0"/>
    <x v="0"/>
    <m/>
    <x v="1"/>
    <x v="0"/>
  </r>
  <r>
    <n v="298"/>
    <s v="298 | Communication and Advocacy"/>
    <x v="26"/>
    <x v="8"/>
    <x v="37"/>
    <x v="6"/>
    <s v="Communication and Advocacy-Manager"/>
    <x v="5"/>
    <d v="2023-07-25T17:45:37"/>
    <x v="412"/>
    <x v="123"/>
    <n v="6"/>
    <d v="2023-08-16T17:45:37"/>
    <s v="Yes"/>
    <d v="2023-08-14T17:45:37"/>
    <x v="3"/>
    <x v="1"/>
    <d v="2023-08-19T17:45:37"/>
    <s v="Accepted"/>
    <d v="2023-08-16T17:45:37"/>
    <d v="2023-08-20T17:45:37"/>
    <d v="2023-08-18T17:45:37"/>
    <d v="2023-08-21T17:45:37"/>
    <x v="1"/>
    <d v="2023-08-23T17:45:37"/>
    <d v="2023-08-25T17:45:37"/>
    <d v="2023-08-26T17:45:37"/>
    <m/>
    <m/>
    <d v="2023-09-14T17:45:37"/>
    <s v="C3072"/>
    <s v="Candidate_2072"/>
    <s v="26/07/2023"/>
    <x v="1"/>
    <s v="Linkedin"/>
    <n v="6"/>
    <m/>
    <x v="0"/>
    <m/>
    <m/>
    <x v="0"/>
    <x v="0"/>
    <m/>
    <x v="228"/>
    <x v="0"/>
  </r>
  <r>
    <n v="280"/>
    <s v="280 | Communication and Advocacy"/>
    <x v="24"/>
    <x v="8"/>
    <x v="37"/>
    <x v="6"/>
    <s v="Communication and Advocacy-Manager"/>
    <x v="5"/>
    <d v="2022-10-12T14:13:05"/>
    <x v="374"/>
    <x v="124"/>
    <n v="6"/>
    <d v="2022-10-26T14:13:05"/>
    <s v="Yes"/>
    <d v="2022-10-22T14:13:05"/>
    <x v="3"/>
    <x v="1"/>
    <d v="2022-10-24T14:13:05"/>
    <s v="Accepted"/>
    <d v="2022-10-23T14:13:05"/>
    <d v="2022-10-27T14:13:05"/>
    <d v="2022-10-23T14:13:05"/>
    <d v="2022-11-01T14:13:05"/>
    <x v="1"/>
    <d v="2022-11-04T14:13:05"/>
    <d v="2022-11-07T14:13:05"/>
    <d v="2022-11-08T14:13:05"/>
    <m/>
    <m/>
    <d v="2022-11-19T14:13:05"/>
    <s v="C3073"/>
    <s v="Candidate_2073"/>
    <s v="Oct 11 2022"/>
    <x v="0"/>
    <s v="Referral"/>
    <n v="3"/>
    <m/>
    <x v="0"/>
    <m/>
    <m/>
    <x v="0"/>
    <x v="0"/>
    <m/>
    <x v="229"/>
    <x v="0"/>
  </r>
  <r>
    <n v="272"/>
    <s v="272 | Communication and Advocacy"/>
    <x v="26"/>
    <x v="8"/>
    <x v="37"/>
    <x v="6"/>
    <s v="Communication and Advocacy-Manager"/>
    <x v="5"/>
    <d v="2022-10-14T14:13:05"/>
    <x v="1129"/>
    <x v="4"/>
    <n v="-44848.592418981483"/>
    <d v="2022-11-15T14:13:05"/>
    <s v="Yes"/>
    <d v="2022-10-28T14:13:05"/>
    <x v="1"/>
    <x v="1"/>
    <d v="2022-11-04T14:13:05"/>
    <s v="Declined"/>
    <m/>
    <m/>
    <d v="2022-10-31T14:13:05"/>
    <m/>
    <x v="0"/>
    <m/>
    <m/>
    <m/>
    <m/>
    <m/>
    <m/>
    <s v="C3074"/>
    <s v="Candidate_2074"/>
    <s v="09/10/2022"/>
    <x v="2"/>
    <s v="Job Board"/>
    <n v="6"/>
    <m/>
    <x v="0"/>
    <m/>
    <m/>
    <x v="0"/>
    <x v="0"/>
    <m/>
    <x v="0"/>
    <x v="0"/>
  </r>
  <r>
    <n v="244"/>
    <s v="244 | Communication and Advocacy"/>
    <x v="24"/>
    <x v="8"/>
    <x v="37"/>
    <x v="6"/>
    <s v="Communication and Advocacy-Manager"/>
    <x v="5"/>
    <d v="2022-04-25T08:21:52"/>
    <x v="1158"/>
    <x v="125"/>
    <n v="6"/>
    <d v="2022-05-09T08:21:52"/>
    <s v="Yes"/>
    <d v="2022-05-12T08:21:52"/>
    <x v="0"/>
    <x v="2"/>
    <m/>
    <m/>
    <m/>
    <m/>
    <m/>
    <m/>
    <x v="0"/>
    <m/>
    <m/>
    <m/>
    <m/>
    <s v="Company"/>
    <m/>
    <s v="C3075"/>
    <s v="Candidate_2075"/>
    <s v="05-02-2022"/>
    <x v="1"/>
    <s v="Linkedin"/>
    <n v="6"/>
    <m/>
    <x v="0"/>
    <m/>
    <m/>
    <x v="0"/>
    <x v="0"/>
    <m/>
    <x v="1"/>
    <x v="0"/>
  </r>
  <r>
    <n v="241"/>
    <s v="241 | Communication and Advocacy"/>
    <x v="26"/>
    <x v="8"/>
    <x v="37"/>
    <x v="6"/>
    <s v="Communication and Advocacy-Manager"/>
    <x v="5"/>
    <d v="2022-04-25T08:21:52"/>
    <x v="378"/>
    <x v="125"/>
    <n v="6"/>
    <d v="2022-05-14T08:21:52"/>
    <s v="Yes"/>
    <d v="2022-05-03T08:21:52"/>
    <x v="0"/>
    <x v="3"/>
    <m/>
    <m/>
    <m/>
    <m/>
    <m/>
    <m/>
    <x v="0"/>
    <m/>
    <m/>
    <m/>
    <m/>
    <s v="Company"/>
    <m/>
    <s v="C3076"/>
    <s v="Candidate_2076"/>
    <s v="04-23-2022"/>
    <x v="2"/>
    <s v="Job Board"/>
    <n v="6"/>
    <m/>
    <x v="0"/>
    <m/>
    <m/>
    <x v="0"/>
    <x v="0"/>
    <m/>
    <x v="1"/>
    <x v="0"/>
  </r>
  <r>
    <n v="197"/>
    <s v="197 | Communication and Advocacy"/>
    <x v="24"/>
    <x v="8"/>
    <x v="37"/>
    <x v="6"/>
    <s v="Communication and Advocacy-Manager"/>
    <x v="5"/>
    <d v="2022-06-15T18:28:45"/>
    <x v="381"/>
    <x v="126"/>
    <n v="4"/>
    <d v="2022-07-07T18:28:45"/>
    <s v="Yes"/>
    <d v="2022-06-21T18:28:45"/>
    <x v="3"/>
    <x v="1"/>
    <d v="2022-06-27T18:28:45"/>
    <s v="Accepted"/>
    <d v="2022-06-23T18:28:45"/>
    <d v="2022-06-27T18:28:45"/>
    <d v="2022-06-25T18:28:45"/>
    <d v="2022-06-26T18:28:45"/>
    <x v="1"/>
    <d v="2022-06-27T18:28:45"/>
    <d v="2022-06-28T18:28:45"/>
    <d v="2022-06-30T18:28:45"/>
    <m/>
    <m/>
    <d v="2022-07-13T18:28:45"/>
    <s v="C3077"/>
    <s v="Candidate_2077"/>
    <s v="06-14-2022"/>
    <x v="1"/>
    <s v="Linkedin"/>
    <n v="6"/>
    <m/>
    <x v="0"/>
    <m/>
    <m/>
    <x v="0"/>
    <x v="0"/>
    <m/>
    <x v="230"/>
    <x v="0"/>
  </r>
  <r>
    <n v="192"/>
    <s v="192 | Communication and Advocacy"/>
    <x v="26"/>
    <x v="8"/>
    <x v="37"/>
    <x v="6"/>
    <s v="Communication and Advocacy-Manager"/>
    <x v="5"/>
    <d v="2022-06-15T18:28:45"/>
    <x v="381"/>
    <x v="126"/>
    <n v="4"/>
    <d v="2022-07-06T18:28:45"/>
    <s v="Yes"/>
    <d v="2022-06-27T18:28:45"/>
    <x v="3"/>
    <x v="1"/>
    <d v="2022-07-02T18:28:45"/>
    <s v="Accepted"/>
    <d v="2022-06-28T18:28:45"/>
    <d v="2022-07-01T18:28:45"/>
    <d v="2022-06-30T18:28:45"/>
    <d v="2022-07-09T18:28:45"/>
    <x v="1"/>
    <d v="2022-07-11T18:28:45"/>
    <d v="2022-07-13T18:28:45"/>
    <d v="2022-07-16T18:28:45"/>
    <m/>
    <m/>
    <d v="2022-07-31T18:28:45"/>
    <s v="C3078"/>
    <s v="Candidate_2078"/>
    <s v="Jun 15 2022"/>
    <x v="2"/>
    <s v="Job Board"/>
    <n v="6"/>
    <m/>
    <x v="0"/>
    <m/>
    <m/>
    <x v="0"/>
    <x v="0"/>
    <m/>
    <x v="221"/>
    <x v="0"/>
  </r>
  <r>
    <n v="168"/>
    <s v="168 | Communication and Advocacy"/>
    <x v="25"/>
    <x v="8"/>
    <x v="37"/>
    <x v="6"/>
    <s v="Communication and Advocacy-Manager"/>
    <x v="5"/>
    <d v="2022-12-12T15:32:46"/>
    <x v="414"/>
    <x v="127"/>
    <n v="4"/>
    <d v="2022-12-29T15:32:46"/>
    <s v="Yes"/>
    <d v="2022-12-26T15:32:46"/>
    <x v="0"/>
    <x v="4"/>
    <m/>
    <m/>
    <m/>
    <m/>
    <d v="2022-12-27T15:32:46"/>
    <m/>
    <x v="0"/>
    <m/>
    <m/>
    <m/>
    <m/>
    <s v="Candidate"/>
    <m/>
    <s v="C3079"/>
    <s v="Candidate_2079"/>
    <s v="Dec 21 2022"/>
    <x v="2"/>
    <s v="Job Board"/>
    <n v="6"/>
    <m/>
    <x v="0"/>
    <m/>
    <m/>
    <x v="0"/>
    <x v="0"/>
    <m/>
    <x v="1"/>
    <x v="0"/>
  </r>
  <r>
    <n v="124"/>
    <s v="124 | Communication and Advocacy"/>
    <x v="25"/>
    <x v="8"/>
    <x v="37"/>
    <x v="6"/>
    <s v="Communication and Advocacy-Manager"/>
    <x v="5"/>
    <d v="2022-09-25T11:20:41"/>
    <x v="1159"/>
    <x v="4"/>
    <n v="-44829.472696759258"/>
    <d v="2022-10-29T11:20:41"/>
    <s v="Yes"/>
    <d v="2022-10-04T11:20:41"/>
    <x v="3"/>
    <x v="1"/>
    <d v="2022-10-10T11:20:41"/>
    <s v="Accepted"/>
    <d v="2022-10-06T11:20:41"/>
    <d v="2022-10-09T11:20:41"/>
    <d v="2022-10-07T11:20:41"/>
    <d v="2022-10-12T11:20:41"/>
    <x v="1"/>
    <d v="2022-10-15T11:20:41"/>
    <d v="2022-10-17T11:20:41"/>
    <d v="2022-10-19T11:20:41"/>
    <m/>
    <m/>
    <d v="2022-11-09T11:20:41"/>
    <s v="C3080"/>
    <s v="Candidate_2080"/>
    <s v="09-22-2022"/>
    <x v="0"/>
    <s v="Referral"/>
    <n v="6"/>
    <m/>
    <x v="0"/>
    <m/>
    <m/>
    <x v="0"/>
    <x v="0"/>
    <m/>
    <x v="0"/>
    <x v="0"/>
  </r>
  <r>
    <n v="50"/>
    <s v="50 | Communication and Advocacy"/>
    <x v="26"/>
    <x v="8"/>
    <x v="37"/>
    <x v="6"/>
    <s v="Communication and Advocacy-Manager"/>
    <x v="5"/>
    <d v="2022-03-05T21:14:55"/>
    <x v="1150"/>
    <x v="4"/>
    <n v="-44625.885358796288"/>
    <d v="2022-03-15T21:14:55"/>
    <s v="No"/>
    <m/>
    <x v="2"/>
    <x v="1"/>
    <m/>
    <m/>
    <m/>
    <m/>
    <m/>
    <m/>
    <x v="0"/>
    <m/>
    <m/>
    <m/>
    <m/>
    <m/>
    <m/>
    <s v="C3081"/>
    <s v="Candidate_2081"/>
    <m/>
    <x v="0"/>
    <s v="Referral"/>
    <n v="3"/>
    <m/>
    <x v="0"/>
    <m/>
    <m/>
    <x v="0"/>
    <x v="0"/>
    <m/>
    <x v="0"/>
    <x v="0"/>
  </r>
  <r>
    <n v="44"/>
    <s v="44 | Communication and Advocacy"/>
    <x v="25"/>
    <x v="8"/>
    <x v="37"/>
    <x v="6"/>
    <s v="Communication and Advocacy-Manager"/>
    <x v="5"/>
    <d v="2022-03-04T21:14:55"/>
    <x v="1135"/>
    <x v="129"/>
    <n v="5"/>
    <d v="2022-04-01T21:14:55"/>
    <s v="Yes"/>
    <d v="2022-03-17T21:14:55"/>
    <x v="0"/>
    <x v="5"/>
    <m/>
    <m/>
    <m/>
    <m/>
    <m/>
    <m/>
    <x v="0"/>
    <m/>
    <m/>
    <m/>
    <m/>
    <s v="Candidate"/>
    <m/>
    <s v="C3082"/>
    <s v="Candidate_2082"/>
    <s v="Mar 09 2022"/>
    <x v="1"/>
    <s v="Linkedin"/>
    <n v="3"/>
    <m/>
    <x v="0"/>
    <m/>
    <m/>
    <x v="0"/>
    <x v="0"/>
    <m/>
    <x v="1"/>
    <x v="0"/>
  </r>
  <r>
    <n v="355"/>
    <s v="355 | Communication and Advocacy"/>
    <x v="25"/>
    <x v="8"/>
    <x v="38"/>
    <x v="0"/>
    <s v="Communication and Advocacy-Analyst"/>
    <x v="0"/>
    <d v="2022-10-01T04:14:17"/>
    <x v="407"/>
    <x v="4"/>
    <n v="-44835.176585648151"/>
    <d v="2022-10-29T04:14:17"/>
    <s v="Yes"/>
    <d v="2022-10-16T04:14:17"/>
    <x v="0"/>
    <x v="0"/>
    <m/>
    <m/>
    <m/>
    <m/>
    <m/>
    <m/>
    <x v="0"/>
    <m/>
    <m/>
    <m/>
    <m/>
    <s v="Candidate"/>
    <m/>
    <s v="C3083"/>
    <s v="Candidate_2083"/>
    <s v="03/10/2022"/>
    <x v="1"/>
    <s v="Linkedin"/>
    <n v="3"/>
    <m/>
    <x v="0"/>
    <m/>
    <m/>
    <x v="0"/>
    <x v="0"/>
    <m/>
    <x v="0"/>
    <x v="0"/>
  </r>
  <r>
    <n v="330"/>
    <s v="330 | Communication and Advocacy"/>
    <x v="26"/>
    <x v="8"/>
    <x v="38"/>
    <x v="0"/>
    <s v="Communication and Advocacy-Analyst"/>
    <x v="0"/>
    <d v="2022-01-12T22:01:29"/>
    <x v="372"/>
    <x v="122"/>
    <n v="9"/>
    <d v="2022-02-19T22:01:29"/>
    <s v="Yes"/>
    <d v="2022-01-29T22:01:29"/>
    <x v="0"/>
    <x v="3"/>
    <m/>
    <m/>
    <m/>
    <m/>
    <d v="2022-02-01T22:01:29"/>
    <m/>
    <x v="0"/>
    <m/>
    <m/>
    <m/>
    <m/>
    <s v="Company"/>
    <m/>
    <s v="C3084"/>
    <s v="Candidate_2084"/>
    <s v="Jan 17 2022"/>
    <x v="1"/>
    <s v="Linkedin"/>
    <n v="3"/>
    <m/>
    <x v="0"/>
    <m/>
    <m/>
    <x v="0"/>
    <x v="0"/>
    <m/>
    <x v="1"/>
    <x v="0"/>
  </r>
  <r>
    <n v="296"/>
    <s v="296 | Communication and Advocacy"/>
    <x v="24"/>
    <x v="8"/>
    <x v="38"/>
    <x v="0"/>
    <s v="Communication and Advocacy-Analyst"/>
    <x v="0"/>
    <d v="2023-07-23T17:45:37"/>
    <x v="412"/>
    <x v="123"/>
    <n v="8"/>
    <d v="2023-08-05T17:45:37"/>
    <s v="Yes"/>
    <d v="2023-08-12T17:45:37"/>
    <x v="0"/>
    <x v="4"/>
    <m/>
    <m/>
    <m/>
    <m/>
    <m/>
    <m/>
    <x v="0"/>
    <m/>
    <m/>
    <m/>
    <m/>
    <s v="Company"/>
    <m/>
    <s v="C3085"/>
    <s v="Candidate_2085"/>
    <s v="29/07/2023"/>
    <x v="2"/>
    <s v="Job Board"/>
    <n v="6"/>
    <m/>
    <x v="0"/>
    <m/>
    <m/>
    <x v="0"/>
    <x v="0"/>
    <m/>
    <x v="1"/>
    <x v="0"/>
  </r>
  <r>
    <n v="277"/>
    <s v="277 | Communication and Advocacy"/>
    <x v="26"/>
    <x v="8"/>
    <x v="38"/>
    <x v="0"/>
    <s v="Communication and Advocacy-Analyst"/>
    <x v="0"/>
    <d v="2022-10-11T14:13:05"/>
    <x v="0"/>
    <x v="124"/>
    <n v="7"/>
    <d v="2022-11-12T14:13:05"/>
    <s v="Yes"/>
    <d v="2022-11-01T14:13:05"/>
    <x v="0"/>
    <x v="4"/>
    <m/>
    <m/>
    <m/>
    <m/>
    <d v="2022-11-05T14:13:05"/>
    <m/>
    <x v="0"/>
    <m/>
    <m/>
    <m/>
    <m/>
    <s v="Company"/>
    <m/>
    <s v="C3086"/>
    <s v="Candidate_2086"/>
    <s v="Oct 25 2022"/>
    <x v="0"/>
    <s v="Referral"/>
    <n v="6"/>
    <m/>
    <x v="0"/>
    <m/>
    <m/>
    <x v="0"/>
    <x v="0"/>
    <m/>
    <x v="0"/>
    <x v="0"/>
  </r>
  <r>
    <n v="273"/>
    <s v="273 | Communication and Advocacy"/>
    <x v="26"/>
    <x v="8"/>
    <x v="38"/>
    <x v="0"/>
    <s v="Communication and Advocacy-Analyst"/>
    <x v="0"/>
    <d v="2022-10-14T14:13:05"/>
    <x v="374"/>
    <x v="124"/>
    <n v="4"/>
    <d v="2022-11-04T14:13:05"/>
    <s v="Yes"/>
    <d v="2022-11-01T14:13:05"/>
    <x v="4"/>
    <x v="1"/>
    <d v="2022-11-05T14:13:05"/>
    <s v="Pending"/>
    <m/>
    <m/>
    <d v="2022-11-02T14:13:05"/>
    <m/>
    <x v="0"/>
    <m/>
    <m/>
    <m/>
    <m/>
    <m/>
    <m/>
    <s v="C3087"/>
    <s v="Candidate_2087"/>
    <s v="Oct 15 2022"/>
    <x v="0"/>
    <s v="Referral"/>
    <n v="3"/>
    <m/>
    <x v="0"/>
    <m/>
    <m/>
    <x v="0"/>
    <x v="0"/>
    <m/>
    <x v="1"/>
    <x v="0"/>
  </r>
  <r>
    <n v="196"/>
    <s v="196 | Communication and Advocacy"/>
    <x v="24"/>
    <x v="8"/>
    <x v="38"/>
    <x v="0"/>
    <s v="Communication and Advocacy-Analyst"/>
    <x v="0"/>
    <d v="2022-06-10T18:28:45"/>
    <x v="0"/>
    <x v="4"/>
    <n v="-44722.769965277781"/>
    <d v="2022-07-19T18:28:45"/>
    <s v="Yes"/>
    <d v="2022-07-01T18:28:45"/>
    <x v="1"/>
    <x v="1"/>
    <d v="2022-07-07T18:28:45"/>
    <s v="Declined"/>
    <m/>
    <m/>
    <d v="2022-07-04T18:28:45"/>
    <m/>
    <x v="0"/>
    <m/>
    <m/>
    <m/>
    <m/>
    <m/>
    <m/>
    <s v="C3088"/>
    <s v="Candidate_2088"/>
    <s v="Jun 12 2022"/>
    <x v="0"/>
    <s v="Referral"/>
    <n v="3"/>
    <m/>
    <x v="0"/>
    <m/>
    <m/>
    <x v="0"/>
    <x v="0"/>
    <m/>
    <x v="0"/>
    <x v="0"/>
  </r>
  <r>
    <n v="170"/>
    <s v="170 | Communication and Advocacy"/>
    <x v="24"/>
    <x v="8"/>
    <x v="38"/>
    <x v="0"/>
    <s v="Communication and Advocacy-Analyst"/>
    <x v="0"/>
    <m/>
    <x v="1160"/>
    <x v="127"/>
    <n v="44911.64775462963"/>
    <d v="2022-12-26T15:32:46"/>
    <s v="Yes"/>
    <d v="2022-12-20T15:32:46"/>
    <x v="1"/>
    <x v="1"/>
    <d v="2022-12-24T15:32:46"/>
    <s v="Declined"/>
    <m/>
    <m/>
    <d v="2022-12-22T15:32:46"/>
    <m/>
    <x v="0"/>
    <m/>
    <m/>
    <m/>
    <m/>
    <m/>
    <m/>
    <s v="C3089"/>
    <s v="Candidate_2089"/>
    <s v="Dec 11 2022"/>
    <x v="1"/>
    <s v="Linkedin"/>
    <n v="3"/>
    <m/>
    <x v="0"/>
    <m/>
    <m/>
    <x v="0"/>
    <x v="0"/>
    <m/>
    <x v="0"/>
    <x v="0"/>
  </r>
  <r>
    <n v="165"/>
    <s v="165 | Communication and Advocacy"/>
    <x v="26"/>
    <x v="8"/>
    <x v="38"/>
    <x v="0"/>
    <s v="Communication and Advocacy-Analyst"/>
    <x v="0"/>
    <d v="2022-12-07T15:32:46"/>
    <x v="1161"/>
    <x v="127"/>
    <n v="9"/>
    <d v="2023-01-15T15:32:46"/>
    <s v="Yes"/>
    <d v="2022-12-27T15:32:46"/>
    <x v="0"/>
    <x v="3"/>
    <m/>
    <m/>
    <m/>
    <m/>
    <m/>
    <m/>
    <x v="0"/>
    <m/>
    <m/>
    <m/>
    <m/>
    <s v="Company"/>
    <m/>
    <s v="C3090"/>
    <s v="Candidate_2090"/>
    <s v="19/12/2022"/>
    <x v="2"/>
    <s v="Job Board"/>
    <n v="3"/>
    <m/>
    <x v="0"/>
    <m/>
    <m/>
    <x v="0"/>
    <x v="0"/>
    <m/>
    <x v="1"/>
    <x v="0"/>
  </r>
  <r>
    <n v="130"/>
    <s v="130 | Communication and Advocacy"/>
    <x v="24"/>
    <x v="8"/>
    <x v="38"/>
    <x v="0"/>
    <s v="Communication and Advocacy-Analyst"/>
    <x v="0"/>
    <m/>
    <x v="383"/>
    <x v="4"/>
    <n v="0"/>
    <d v="2022-10-14T11:20:41"/>
    <s v="Yes"/>
    <d v="2022-10-03T11:20:41"/>
    <x v="0"/>
    <x v="5"/>
    <m/>
    <m/>
    <m/>
    <m/>
    <m/>
    <m/>
    <x v="0"/>
    <m/>
    <m/>
    <m/>
    <m/>
    <s v="Candidate"/>
    <m/>
    <s v="C3091"/>
    <s v="Candidate_2091"/>
    <s v="27/09/2022"/>
    <x v="2"/>
    <s v="Job Board"/>
    <n v="6"/>
    <m/>
    <x v="0"/>
    <m/>
    <m/>
    <x v="0"/>
    <x v="0"/>
    <m/>
    <x v="0"/>
    <x v="0"/>
  </r>
  <r>
    <n v="129"/>
    <s v="129 | Communication and Advocacy"/>
    <x v="24"/>
    <x v="8"/>
    <x v="38"/>
    <x v="0"/>
    <s v="Communication and Advocacy-Analyst"/>
    <x v="0"/>
    <d v="2022-09-25T11:20:41"/>
    <x v="1149"/>
    <x v="128"/>
    <n v="4"/>
    <d v="2022-10-24T11:20:41"/>
    <s v="Yes"/>
    <d v="2022-10-09T11:20:41"/>
    <x v="3"/>
    <x v="1"/>
    <d v="2022-10-14T11:20:41"/>
    <s v="Accepted"/>
    <d v="2022-10-10T11:20:41"/>
    <d v="2022-10-12T11:20:41"/>
    <d v="2022-10-13T11:20:41"/>
    <d v="2022-10-20T11:20:41"/>
    <x v="1"/>
    <d v="2022-10-23T11:20:41"/>
    <d v="2022-10-26T11:20:41"/>
    <d v="2022-10-29T11:20:41"/>
    <m/>
    <m/>
    <d v="2022-11-08T11:20:41"/>
    <s v="C3092"/>
    <s v="Candidate_2092"/>
    <s v="22/09/2022"/>
    <x v="1"/>
    <s v="Linkedin"/>
    <n v="6"/>
    <m/>
    <x v="0"/>
    <m/>
    <m/>
    <x v="0"/>
    <x v="0"/>
    <m/>
    <x v="231"/>
    <x v="0"/>
  </r>
  <r>
    <n v="128"/>
    <s v="128 | Communication and Advocacy"/>
    <x v="26"/>
    <x v="8"/>
    <x v="38"/>
    <x v="0"/>
    <s v="Communication and Advocacy-Analyst"/>
    <x v="0"/>
    <d v="2022-09-23T11:20:41"/>
    <x v="1162"/>
    <x v="128"/>
    <n v="6"/>
    <d v="2022-10-05T11:20:41"/>
    <s v="Yes"/>
    <d v="2022-10-16T11:20:41"/>
    <x v="4"/>
    <x v="1"/>
    <d v="2022-10-22T11:20:41"/>
    <s v="Pending"/>
    <m/>
    <m/>
    <d v="2022-10-18T11:20:41"/>
    <m/>
    <x v="0"/>
    <m/>
    <m/>
    <m/>
    <m/>
    <m/>
    <m/>
    <s v="C3093"/>
    <s v="Candidate_2093"/>
    <s v="Oct 06 2022"/>
    <x v="1"/>
    <s v="Linkedin"/>
    <n v="6"/>
    <m/>
    <x v="0"/>
    <m/>
    <m/>
    <x v="0"/>
    <x v="0"/>
    <m/>
    <x v="1"/>
    <x v="0"/>
  </r>
  <r>
    <n v="127"/>
    <s v="127 | Communication and Advocacy"/>
    <x v="26"/>
    <x v="8"/>
    <x v="38"/>
    <x v="0"/>
    <s v="Communication and Advocacy-Analyst"/>
    <x v="0"/>
    <d v="2022-09-22T11:20:41"/>
    <x v="1131"/>
    <x v="128"/>
    <n v="7"/>
    <d v="2022-10-23T11:20:41"/>
    <s v="Yes"/>
    <d v="2022-10-08T11:20:41"/>
    <x v="0"/>
    <x v="0"/>
    <m/>
    <m/>
    <m/>
    <m/>
    <d v="2022-10-10T11:20:41"/>
    <m/>
    <x v="0"/>
    <m/>
    <m/>
    <m/>
    <m/>
    <s v="Company"/>
    <m/>
    <s v="C3094"/>
    <s v="Candidate_2094"/>
    <s v="02/10/2022"/>
    <x v="1"/>
    <s v="Linkedin"/>
    <n v="6"/>
    <m/>
    <x v="0"/>
    <m/>
    <m/>
    <x v="0"/>
    <x v="0"/>
    <m/>
    <x v="1"/>
    <x v="0"/>
  </r>
  <r>
    <n v="122"/>
    <s v="122 | Communication and Advocacy"/>
    <x v="25"/>
    <x v="8"/>
    <x v="38"/>
    <x v="0"/>
    <s v="Communication and Advocacy-Analyst"/>
    <x v="0"/>
    <d v="2022-09-24T11:20:41"/>
    <x v="1149"/>
    <x v="128"/>
    <n v="5"/>
    <d v="2022-10-05T11:20:41"/>
    <s v="Yes"/>
    <d v="2022-10-02T11:20:41"/>
    <x v="3"/>
    <x v="1"/>
    <d v="2022-10-09T11:20:41"/>
    <s v="Accepted"/>
    <d v="2022-10-04T11:20:41"/>
    <d v="2022-10-08T11:20:41"/>
    <d v="2022-10-05T11:20:41"/>
    <d v="2022-10-12T11:20:41"/>
    <x v="1"/>
    <d v="2022-10-15T11:20:41"/>
    <d v="2022-10-18T11:20:41"/>
    <d v="2022-10-19T11:20:41"/>
    <m/>
    <m/>
    <d v="2022-11-08T11:20:41"/>
    <s v="C3095"/>
    <s v="Candidate_2095"/>
    <s v="Sep 13 2022"/>
    <x v="2"/>
    <s v="Job Board"/>
    <n v="6"/>
    <m/>
    <x v="0"/>
    <m/>
    <m/>
    <x v="0"/>
    <x v="0"/>
    <m/>
    <x v="231"/>
    <x v="0"/>
  </r>
  <r>
    <n v="90"/>
    <s v="90 | Communication and Advocacy"/>
    <x v="26"/>
    <x v="8"/>
    <x v="38"/>
    <x v="0"/>
    <s v="Communication and Advocacy-Analyst"/>
    <x v="0"/>
    <d v="2022-06-13T02:13:25"/>
    <x v="1132"/>
    <x v="137"/>
    <n v="6"/>
    <d v="2022-07-15T02:13:25"/>
    <s v="No"/>
    <m/>
    <x v="2"/>
    <x v="1"/>
    <m/>
    <m/>
    <m/>
    <m/>
    <m/>
    <m/>
    <x v="0"/>
    <m/>
    <m/>
    <m/>
    <m/>
    <m/>
    <m/>
    <s v="C3096"/>
    <s v="Candidate_2096"/>
    <m/>
    <x v="2"/>
    <s v="Job Board"/>
    <n v="6"/>
    <m/>
    <x v="0"/>
    <m/>
    <m/>
    <x v="0"/>
    <x v="0"/>
    <m/>
    <x v="1"/>
    <x v="0"/>
  </r>
  <r>
    <n v="87"/>
    <s v="87 | Communication and Advocacy"/>
    <x v="26"/>
    <x v="8"/>
    <x v="38"/>
    <x v="0"/>
    <s v="Communication and Advocacy-Analyst"/>
    <x v="0"/>
    <d v="2022-06-14T02:13:25"/>
    <x v="1163"/>
    <x v="4"/>
    <n v="-44726.092650462961"/>
    <d v="2022-07-11T02:13:25"/>
    <s v="Yes"/>
    <d v="2022-07-02T02:13:25"/>
    <x v="3"/>
    <x v="1"/>
    <d v="2022-07-05T02:13:25"/>
    <s v="Accepted"/>
    <d v="2022-07-04T02:13:25"/>
    <d v="2022-07-05T02:13:25"/>
    <d v="2022-07-04T02:13:25"/>
    <d v="2022-07-13T02:13:25"/>
    <x v="1"/>
    <d v="2022-07-14T02:13:25"/>
    <d v="2022-07-17T02:13:25"/>
    <d v="2022-07-20T02:13:25"/>
    <m/>
    <m/>
    <d v="2022-07-27T02:13:25"/>
    <s v="C3097"/>
    <s v="Candidate_2097"/>
    <s v="06-26-2022"/>
    <x v="2"/>
    <s v="Job Board"/>
    <n v="6"/>
    <m/>
    <x v="0"/>
    <m/>
    <m/>
    <x v="0"/>
    <x v="0"/>
    <m/>
    <x v="0"/>
    <x v="0"/>
  </r>
  <r>
    <n v="81"/>
    <s v="81 | Communication and Advocacy"/>
    <x v="26"/>
    <x v="8"/>
    <x v="38"/>
    <x v="0"/>
    <s v="Communication and Advocacy-Analyst"/>
    <x v="0"/>
    <d v="2022-06-15T02:13:25"/>
    <x v="1132"/>
    <x v="137"/>
    <n v="4"/>
    <d v="2022-06-27T02:13:25"/>
    <s v="No"/>
    <m/>
    <x v="2"/>
    <x v="1"/>
    <m/>
    <m/>
    <m/>
    <m/>
    <m/>
    <m/>
    <x v="0"/>
    <m/>
    <m/>
    <m/>
    <m/>
    <m/>
    <m/>
    <s v="C3098"/>
    <s v="Candidate_2098"/>
    <m/>
    <x v="2"/>
    <s v="Job Board"/>
    <n v="6"/>
    <m/>
    <x v="0"/>
    <m/>
    <m/>
    <x v="0"/>
    <x v="0"/>
    <m/>
    <x v="1"/>
    <x v="0"/>
  </r>
  <r>
    <n v="47"/>
    <s v="47 | Communication and Advocacy"/>
    <x v="24"/>
    <x v="8"/>
    <x v="38"/>
    <x v="0"/>
    <s v="Communication and Advocacy-Analyst"/>
    <x v="0"/>
    <d v="2022-03-01T21:14:55"/>
    <x v="1135"/>
    <x v="129"/>
    <n v="8"/>
    <d v="2022-03-26T21:14:55"/>
    <s v="No"/>
    <m/>
    <x v="2"/>
    <x v="1"/>
    <m/>
    <m/>
    <m/>
    <m/>
    <m/>
    <m/>
    <x v="0"/>
    <m/>
    <m/>
    <m/>
    <m/>
    <m/>
    <m/>
    <s v="C3099"/>
    <s v="Candidate_2099"/>
    <m/>
    <x v="1"/>
    <s v="Linkedin"/>
    <n v="3"/>
    <m/>
    <x v="0"/>
    <m/>
    <m/>
    <x v="0"/>
    <x v="0"/>
    <m/>
    <x v="1"/>
    <x v="0"/>
  </r>
  <r>
    <n v="508"/>
    <s v="508 | Capacity Building"/>
    <x v="27"/>
    <x v="9"/>
    <x v="39"/>
    <x v="4"/>
    <s v="Capacity Building-Senior Manager"/>
    <x v="3"/>
    <d v="2022-07-02T02:29:24"/>
    <x v="1164"/>
    <x v="324"/>
    <n v="5"/>
    <d v="2022-07-18T02:29:24"/>
    <s v="Yes"/>
    <d v="2022-07-12T02:29:24"/>
    <x v="4"/>
    <x v="1"/>
    <d v="2022-07-17T02:29:24"/>
    <s v="Pending"/>
    <m/>
    <m/>
    <d v="2022-07-13T02:29:24"/>
    <m/>
    <x v="0"/>
    <m/>
    <m/>
    <m/>
    <m/>
    <m/>
    <m/>
    <s v="C3100"/>
    <s v="Candidate_2100"/>
    <s v="03/07/2022"/>
    <x v="0"/>
    <s v="Referral"/>
    <n v="6"/>
    <m/>
    <x v="0"/>
    <m/>
    <m/>
    <x v="0"/>
    <x v="0"/>
    <m/>
    <x v="1"/>
    <x v="0"/>
  </r>
  <r>
    <n v="506"/>
    <s v="506 | Capacity Building"/>
    <x v="28"/>
    <x v="9"/>
    <x v="39"/>
    <x v="4"/>
    <s v="Capacity Building-Senior Manager"/>
    <x v="3"/>
    <d v="2022-06-30T02:29:24"/>
    <x v="1164"/>
    <x v="324"/>
    <n v="7"/>
    <d v="2022-07-24T02:29:24"/>
    <s v="Yes"/>
    <d v="2022-07-20T02:29:24"/>
    <x v="0"/>
    <x v="5"/>
    <m/>
    <m/>
    <m/>
    <m/>
    <d v="2022-07-24T02:29:24"/>
    <m/>
    <x v="0"/>
    <m/>
    <m/>
    <m/>
    <m/>
    <s v="Company"/>
    <m/>
    <s v="C3101"/>
    <s v="Candidate_2101"/>
    <s v="Jul 12 2022"/>
    <x v="2"/>
    <s v="Job Board"/>
    <n v="6"/>
    <m/>
    <x v="0"/>
    <m/>
    <m/>
    <x v="0"/>
    <x v="0"/>
    <m/>
    <x v="1"/>
    <x v="0"/>
  </r>
  <r>
    <n v="503"/>
    <s v="503 | Capacity Building"/>
    <x v="27"/>
    <x v="9"/>
    <x v="39"/>
    <x v="4"/>
    <s v="Capacity Building-Senior Manager"/>
    <x v="3"/>
    <d v="2022-07-03T02:29:24"/>
    <x v="1165"/>
    <x v="324"/>
    <n v="4"/>
    <d v="2022-07-25T02:29:24"/>
    <s v="Yes"/>
    <d v="2022-07-14T02:29:24"/>
    <x v="1"/>
    <x v="1"/>
    <d v="2022-07-20T02:29:24"/>
    <s v="Declined"/>
    <m/>
    <m/>
    <d v="2022-07-17T02:29:24"/>
    <m/>
    <x v="0"/>
    <m/>
    <m/>
    <m/>
    <m/>
    <m/>
    <m/>
    <s v="C3102"/>
    <s v="Candidate_2102"/>
    <s v="07-04-2022"/>
    <x v="0"/>
    <s v="Referral"/>
    <n v="3"/>
    <m/>
    <x v="0"/>
    <m/>
    <m/>
    <x v="0"/>
    <x v="0"/>
    <m/>
    <x v="1"/>
    <x v="0"/>
  </r>
  <r>
    <n v="502"/>
    <s v="502 | Capacity Building"/>
    <x v="28"/>
    <x v="9"/>
    <x v="39"/>
    <x v="4"/>
    <s v="Capacity Building-Senior Manager"/>
    <x v="3"/>
    <d v="2022-06-30T02:29:24"/>
    <x v="1166"/>
    <x v="324"/>
    <n v="7"/>
    <d v="2022-07-27T02:29:24"/>
    <s v="Yes"/>
    <d v="2022-07-21T02:29:24"/>
    <x v="3"/>
    <x v="1"/>
    <d v="2022-07-25T02:29:24"/>
    <s v="Accepted"/>
    <d v="2022-07-23T02:29:24"/>
    <d v="2022-07-27T02:29:24"/>
    <d v="2022-07-22T02:29:24"/>
    <d v="2022-07-26T02:29:24"/>
    <x v="1"/>
    <d v="2022-07-30T02:29:24"/>
    <d v="2022-07-31T02:29:24"/>
    <d v="2022-08-03T02:29:24"/>
    <m/>
    <m/>
    <d v="2022-08-23T02:29:24"/>
    <s v="C3103"/>
    <s v="Candidate_2103"/>
    <s v="Jul 07 2022"/>
    <x v="0"/>
    <s v="Referral"/>
    <n v="6"/>
    <m/>
    <x v="0"/>
    <m/>
    <m/>
    <x v="0"/>
    <x v="0"/>
    <m/>
    <x v="232"/>
    <x v="0"/>
  </r>
  <r>
    <n v="416"/>
    <s v="416 | Capacity Building"/>
    <x v="27"/>
    <x v="9"/>
    <x v="39"/>
    <x v="4"/>
    <s v="Capacity Building-Senior Manager"/>
    <x v="3"/>
    <d v="2023-06-17T15:18:23"/>
    <x v="1167"/>
    <x v="325"/>
    <n v="6"/>
    <d v="2023-07-07T15:18:23"/>
    <s v="Yes"/>
    <d v="2023-06-24T15:18:23"/>
    <x v="0"/>
    <x v="0"/>
    <m/>
    <m/>
    <m/>
    <m/>
    <d v="2023-06-25T15:18:23"/>
    <m/>
    <x v="0"/>
    <m/>
    <m/>
    <m/>
    <m/>
    <s v="Company"/>
    <m/>
    <s v="C3104"/>
    <s v="Candidate_2104"/>
    <s v="Jun 19 2023"/>
    <x v="2"/>
    <s v="Job Board"/>
    <n v="3"/>
    <m/>
    <x v="0"/>
    <m/>
    <m/>
    <x v="0"/>
    <x v="0"/>
    <m/>
    <x v="1"/>
    <x v="0"/>
  </r>
  <r>
    <n v="413"/>
    <s v="413 | Capacity Building"/>
    <x v="27"/>
    <x v="9"/>
    <x v="39"/>
    <x v="4"/>
    <s v="Capacity Building-Senior Manager"/>
    <x v="3"/>
    <d v="2023-06-18T15:18:23"/>
    <x v="1167"/>
    <x v="325"/>
    <n v="5"/>
    <d v="2023-07-06T15:18:23"/>
    <s v="Yes"/>
    <d v="2023-06-25T15:18:23"/>
    <x v="0"/>
    <x v="0"/>
    <m/>
    <m/>
    <m/>
    <m/>
    <m/>
    <m/>
    <x v="0"/>
    <m/>
    <m/>
    <m/>
    <m/>
    <s v="Candidate"/>
    <m/>
    <s v="C3105"/>
    <s v="Candidate_2105"/>
    <s v="Jun 12 2023"/>
    <x v="2"/>
    <s v="Job Board"/>
    <n v="3"/>
    <m/>
    <x v="0"/>
    <m/>
    <m/>
    <x v="0"/>
    <x v="0"/>
    <m/>
    <x v="1"/>
    <x v="0"/>
  </r>
  <r>
    <n v="412"/>
    <s v="412 | Capacity Building"/>
    <x v="28"/>
    <x v="9"/>
    <x v="39"/>
    <x v="4"/>
    <s v="Capacity Building-Senior Manager"/>
    <x v="3"/>
    <m/>
    <x v="1168"/>
    <x v="4"/>
    <n v="0"/>
    <d v="2023-07-17T15:18:23"/>
    <s v="Yes"/>
    <d v="2023-07-06T15:18:23"/>
    <x v="0"/>
    <x v="5"/>
    <m/>
    <m/>
    <m/>
    <m/>
    <m/>
    <m/>
    <x v="0"/>
    <m/>
    <m/>
    <m/>
    <m/>
    <s v="Company"/>
    <m/>
    <s v="C3106"/>
    <s v="Candidate_2106"/>
    <s v="06-22-2023"/>
    <x v="1"/>
    <s v="Linkedin"/>
    <n v="3"/>
    <m/>
    <x v="0"/>
    <m/>
    <m/>
    <x v="0"/>
    <x v="0"/>
    <m/>
    <x v="0"/>
    <x v="0"/>
  </r>
  <r>
    <n v="265"/>
    <s v="265 | Capacity Building"/>
    <x v="29"/>
    <x v="9"/>
    <x v="39"/>
    <x v="4"/>
    <s v="Capacity Building-Senior Manager"/>
    <x v="3"/>
    <d v="2022-07-25T06:46:55"/>
    <x v="0"/>
    <x v="326"/>
    <n v="3"/>
    <d v="2022-08-27T06:46:55"/>
    <s v="Yes"/>
    <d v="2022-08-04T06:46:55"/>
    <x v="1"/>
    <x v="1"/>
    <d v="2022-08-06T06:46:55"/>
    <s v="Declined"/>
    <m/>
    <m/>
    <d v="2022-08-05T06:46:55"/>
    <m/>
    <x v="0"/>
    <m/>
    <m/>
    <m/>
    <m/>
    <m/>
    <m/>
    <s v="C3107"/>
    <s v="Candidate_2107"/>
    <s v="Jul 22 2022"/>
    <x v="2"/>
    <s v="Job Board"/>
    <n v="3"/>
    <m/>
    <x v="0"/>
    <m/>
    <m/>
    <x v="0"/>
    <x v="0"/>
    <m/>
    <x v="0"/>
    <x v="0"/>
  </r>
  <r>
    <n v="264"/>
    <s v="264 | Capacity Building"/>
    <x v="27"/>
    <x v="9"/>
    <x v="39"/>
    <x v="4"/>
    <s v="Capacity Building-Senior Manager"/>
    <x v="3"/>
    <d v="2022-07-21T06:46:55"/>
    <x v="1169"/>
    <x v="326"/>
    <n v="7"/>
    <d v="2022-08-10T06:46:55"/>
    <s v="Yes"/>
    <d v="2022-08-11T06:46:55"/>
    <x v="1"/>
    <x v="1"/>
    <d v="2022-08-16T06:46:55"/>
    <s v="Declined"/>
    <m/>
    <m/>
    <d v="2022-08-12T06:46:55"/>
    <m/>
    <x v="0"/>
    <m/>
    <m/>
    <m/>
    <m/>
    <m/>
    <m/>
    <s v="C3108"/>
    <s v="Candidate_2108"/>
    <s v="07-23-2022"/>
    <x v="2"/>
    <s v="Job Board"/>
    <n v="3"/>
    <m/>
    <x v="0"/>
    <m/>
    <m/>
    <x v="0"/>
    <x v="0"/>
    <m/>
    <x v="1"/>
    <x v="0"/>
  </r>
  <r>
    <n v="258"/>
    <s v="258 | Capacity Building"/>
    <x v="29"/>
    <x v="9"/>
    <x v="39"/>
    <x v="4"/>
    <s v="Capacity Building-Senior Manager"/>
    <x v="3"/>
    <d v="2022-05-24T15:11:28"/>
    <x v="1170"/>
    <x v="327"/>
    <n v="8"/>
    <d v="2022-06-12T15:11:28"/>
    <s v="No"/>
    <m/>
    <x v="2"/>
    <x v="1"/>
    <m/>
    <m/>
    <m/>
    <m/>
    <m/>
    <m/>
    <x v="0"/>
    <m/>
    <m/>
    <m/>
    <m/>
    <m/>
    <m/>
    <s v="C3109"/>
    <s v="Candidate_2109"/>
    <m/>
    <x v="0"/>
    <s v="Referral"/>
    <n v="6"/>
    <m/>
    <x v="0"/>
    <m/>
    <m/>
    <x v="0"/>
    <x v="0"/>
    <m/>
    <x v="1"/>
    <x v="0"/>
  </r>
  <r>
    <n v="236"/>
    <s v="236 | Capacity Building"/>
    <x v="28"/>
    <x v="9"/>
    <x v="39"/>
    <x v="4"/>
    <s v="Capacity Building-Senior Manager"/>
    <x v="3"/>
    <m/>
    <x v="1171"/>
    <x v="328"/>
    <n v="44603.810960648138"/>
    <d v="2022-03-04T19:27:47"/>
    <s v="Yes"/>
    <d v="2022-02-22T19:27:47"/>
    <x v="3"/>
    <x v="1"/>
    <d v="2022-02-26T19:27:47"/>
    <s v="Accepted"/>
    <d v="2022-02-23T19:27:47"/>
    <d v="2022-02-24T19:27:47"/>
    <d v="2022-02-25T19:27:47"/>
    <d v="2022-02-26T19:27:47"/>
    <x v="1"/>
    <d v="2022-02-27T19:27:47"/>
    <d v="2022-03-02T19:27:47"/>
    <d v="2022-03-05T19:27:47"/>
    <m/>
    <m/>
    <d v="2022-03-25T19:27:47"/>
    <s v="C3110"/>
    <s v="Candidate_2110"/>
    <s v="02-11-2022"/>
    <x v="1"/>
    <s v="Linkedin"/>
    <n v="3"/>
    <m/>
    <x v="0"/>
    <m/>
    <m/>
    <x v="0"/>
    <x v="0"/>
    <m/>
    <x v="0"/>
    <x v="0"/>
  </r>
  <r>
    <n v="235"/>
    <s v="235 | Capacity Building"/>
    <x v="28"/>
    <x v="9"/>
    <x v="39"/>
    <x v="4"/>
    <s v="Capacity Building-Senior Manager"/>
    <x v="3"/>
    <d v="2022-02-05T19:27:47"/>
    <x v="0"/>
    <x v="328"/>
    <n v="6"/>
    <d v="2022-03-12T19:27:47"/>
    <s v="Yes"/>
    <d v="2022-02-25T19:27:47"/>
    <x v="4"/>
    <x v="1"/>
    <d v="2022-03-02T19:27:47"/>
    <s v="Pending"/>
    <m/>
    <m/>
    <d v="2022-02-28T19:27:47"/>
    <m/>
    <x v="0"/>
    <m/>
    <m/>
    <m/>
    <m/>
    <m/>
    <m/>
    <s v="C3111"/>
    <s v="Candidate_2111"/>
    <s v="Feb 14 2022"/>
    <x v="0"/>
    <s v="Referral"/>
    <n v="3"/>
    <m/>
    <x v="0"/>
    <m/>
    <m/>
    <x v="0"/>
    <x v="0"/>
    <m/>
    <x v="0"/>
    <x v="0"/>
  </r>
  <r>
    <n v="233"/>
    <s v="233 | Capacity Building"/>
    <x v="28"/>
    <x v="9"/>
    <x v="39"/>
    <x v="4"/>
    <s v="Capacity Building-Senior Manager"/>
    <x v="3"/>
    <m/>
    <x v="1171"/>
    <x v="328"/>
    <n v="44603.810960648138"/>
    <d v="2022-03-10T19:27:47"/>
    <s v="Yes"/>
    <d v="2022-02-25T19:27:47"/>
    <x v="4"/>
    <x v="1"/>
    <d v="2022-02-27T19:27:47"/>
    <s v="Pending"/>
    <m/>
    <m/>
    <d v="2022-02-26T19:27:47"/>
    <m/>
    <x v="0"/>
    <m/>
    <m/>
    <m/>
    <m/>
    <m/>
    <m/>
    <s v="C3112"/>
    <s v="Candidate_2112"/>
    <s v="Feb 07 2022"/>
    <x v="2"/>
    <s v="Job Board"/>
    <n v="3"/>
    <m/>
    <x v="0"/>
    <m/>
    <m/>
    <x v="0"/>
    <x v="0"/>
    <m/>
    <x v="0"/>
    <x v="0"/>
  </r>
  <r>
    <n v="160"/>
    <s v="160 | Capacity Building"/>
    <x v="29"/>
    <x v="9"/>
    <x v="39"/>
    <x v="4"/>
    <s v="Capacity Building-Senior Manager"/>
    <x v="3"/>
    <d v="2023-01-08T15:27:51"/>
    <x v="0"/>
    <x v="329"/>
    <n v="4"/>
    <d v="2023-02-05T15:27:51"/>
    <s v="Yes"/>
    <d v="2023-01-23T15:27:51"/>
    <x v="0"/>
    <x v="0"/>
    <m/>
    <m/>
    <m/>
    <m/>
    <d v="2023-01-27T15:27:51"/>
    <m/>
    <x v="0"/>
    <m/>
    <m/>
    <m/>
    <m/>
    <s v="Company"/>
    <m/>
    <s v="C3113"/>
    <s v="Candidate_2113"/>
    <s v="01-11-2023"/>
    <x v="2"/>
    <s v="Job Board"/>
    <n v="3"/>
    <m/>
    <x v="0"/>
    <m/>
    <m/>
    <x v="0"/>
    <x v="0"/>
    <m/>
    <x v="0"/>
    <x v="0"/>
  </r>
  <r>
    <n v="157"/>
    <s v="157 | Capacity Building"/>
    <x v="27"/>
    <x v="9"/>
    <x v="39"/>
    <x v="4"/>
    <s v="Capacity Building-Senior Manager"/>
    <x v="3"/>
    <d v="2023-01-03T15:27:51"/>
    <x v="1172"/>
    <x v="329"/>
    <n v="9"/>
    <d v="2023-01-23T15:27:51"/>
    <s v="Yes"/>
    <d v="2023-01-17T15:27:51"/>
    <x v="0"/>
    <x v="4"/>
    <m/>
    <m/>
    <m/>
    <m/>
    <d v="2023-01-20T15:27:51"/>
    <m/>
    <x v="0"/>
    <m/>
    <m/>
    <m/>
    <m/>
    <s v="Candidate"/>
    <m/>
    <s v="C3114"/>
    <s v="Candidate_2114"/>
    <s v="Jan 10 2023"/>
    <x v="2"/>
    <s v="Job Board"/>
    <n v="3"/>
    <m/>
    <x v="0"/>
    <m/>
    <m/>
    <x v="0"/>
    <x v="0"/>
    <m/>
    <x v="1"/>
    <x v="0"/>
  </r>
  <r>
    <n v="144"/>
    <s v="144 | Capacity Building"/>
    <x v="27"/>
    <x v="9"/>
    <x v="39"/>
    <x v="4"/>
    <s v="Capacity Building-Senior Manager"/>
    <x v="3"/>
    <d v="2022-03-09T23:34:26"/>
    <x v="1173"/>
    <x v="330"/>
    <n v="7"/>
    <d v="2022-04-02T23:34:26"/>
    <s v="Yes"/>
    <d v="2022-03-21T23:34:26"/>
    <x v="3"/>
    <x v="1"/>
    <d v="2022-03-25T23:34:26"/>
    <s v="Accepted"/>
    <d v="2022-03-23T23:34:26"/>
    <d v="2022-03-26T23:34:26"/>
    <d v="2022-03-22T23:34:26"/>
    <d v="2022-03-29T23:34:26"/>
    <x v="1"/>
    <d v="2022-04-01T23:34:26"/>
    <d v="2022-04-02T23:34:26"/>
    <d v="2022-04-03T23:34:26"/>
    <m/>
    <m/>
    <d v="2022-04-19T23:34:26"/>
    <s v="C3115"/>
    <s v="Candidate_2115"/>
    <s v="03-15-2022"/>
    <x v="1"/>
    <s v="Linkedin"/>
    <n v="3"/>
    <m/>
    <x v="0"/>
    <m/>
    <m/>
    <x v="0"/>
    <x v="0"/>
    <m/>
    <x v="233"/>
    <x v="0"/>
  </r>
  <r>
    <n v="119"/>
    <s v="119 | Capacity Building"/>
    <x v="27"/>
    <x v="9"/>
    <x v="39"/>
    <x v="4"/>
    <s v="Capacity Building-Senior Manager"/>
    <x v="3"/>
    <d v="2022-06-27T04:45:15"/>
    <x v="1174"/>
    <x v="331"/>
    <n v="7"/>
    <d v="2022-07-17T04:45:15"/>
    <s v="Yes"/>
    <d v="2022-07-20T04:45:15"/>
    <x v="3"/>
    <x v="1"/>
    <d v="2022-07-24T04:45:15"/>
    <s v="Accepted"/>
    <d v="2022-07-22T04:45:15"/>
    <d v="2022-07-24T04:45:15"/>
    <d v="2022-07-22T04:45:15"/>
    <d v="2022-07-29T04:45:15"/>
    <x v="1"/>
    <d v="2022-07-31T04:45:15"/>
    <d v="2022-08-01T04:45:15"/>
    <d v="2022-08-02T04:45:15"/>
    <m/>
    <m/>
    <d v="2022-08-13T04:45:15"/>
    <s v="C3116"/>
    <s v="Candidate_2116"/>
    <s v="Jul 15 2022"/>
    <x v="2"/>
    <s v="Job Board"/>
    <n v="6"/>
    <m/>
    <x v="0"/>
    <m/>
    <m/>
    <x v="0"/>
    <x v="0"/>
    <m/>
    <x v="234"/>
    <x v="0"/>
  </r>
  <r>
    <n v="113"/>
    <s v="113 | Capacity Building"/>
    <x v="27"/>
    <x v="9"/>
    <x v="39"/>
    <x v="4"/>
    <s v="Capacity Building-Senior Manager"/>
    <x v="3"/>
    <d v="2022-06-26T04:45:15"/>
    <x v="1175"/>
    <x v="331"/>
    <n v="8"/>
    <d v="2022-07-24T04:45:15"/>
    <s v="Yes"/>
    <d v="2022-07-19T04:45:15"/>
    <x v="1"/>
    <x v="1"/>
    <d v="2022-07-24T04:45:15"/>
    <s v="Declined"/>
    <m/>
    <m/>
    <d v="2022-07-20T04:45:15"/>
    <m/>
    <x v="0"/>
    <m/>
    <m/>
    <m/>
    <m/>
    <m/>
    <m/>
    <s v="C3117"/>
    <s v="Candidate_2117"/>
    <s v="07-08-2022"/>
    <x v="0"/>
    <s v="Referral"/>
    <n v="6"/>
    <m/>
    <x v="0"/>
    <m/>
    <m/>
    <x v="0"/>
    <x v="0"/>
    <m/>
    <x v="1"/>
    <x v="0"/>
  </r>
  <r>
    <n v="53"/>
    <s v="53 | Capacity Building"/>
    <x v="28"/>
    <x v="9"/>
    <x v="39"/>
    <x v="4"/>
    <s v="Capacity Building-Senior Manager"/>
    <x v="3"/>
    <d v="2022-07-28T00:18:39"/>
    <x v="0"/>
    <x v="332"/>
    <n v="7"/>
    <d v="2022-08-11T00:18:39"/>
    <s v="Yes"/>
    <d v="2022-08-06T00:18:39"/>
    <x v="0"/>
    <x v="3"/>
    <m/>
    <m/>
    <m/>
    <m/>
    <m/>
    <m/>
    <x v="0"/>
    <m/>
    <m/>
    <m/>
    <m/>
    <s v="Company"/>
    <m/>
    <s v="C3118"/>
    <s v="Candidate_2118"/>
    <s v="Jul 29 2022"/>
    <x v="1"/>
    <s v="Linkedin"/>
    <n v="3"/>
    <m/>
    <x v="0"/>
    <m/>
    <m/>
    <x v="0"/>
    <x v="0"/>
    <m/>
    <x v="0"/>
    <x v="0"/>
  </r>
  <r>
    <n v="3000"/>
    <s v="3000 | Capacity Building"/>
    <x v="29"/>
    <x v="9"/>
    <x v="40"/>
    <x v="8"/>
    <s v="Capacity Building-Extension Officer"/>
    <x v="4"/>
    <d v="2023-03-04T00:56:51"/>
    <x v="1176"/>
    <x v="241"/>
    <n v="4"/>
    <d v="2023-03-22T00:56:51"/>
    <s v="No"/>
    <m/>
    <x v="2"/>
    <x v="1"/>
    <m/>
    <m/>
    <m/>
    <m/>
    <m/>
    <m/>
    <x v="0"/>
    <m/>
    <m/>
    <m/>
    <m/>
    <m/>
    <m/>
    <s v="C3119"/>
    <s v="Candidate_2119"/>
    <m/>
    <x v="0"/>
    <s v="Referral"/>
    <n v="3"/>
    <m/>
    <x v="0"/>
    <m/>
    <m/>
    <x v="0"/>
    <x v="0"/>
    <m/>
    <x v="1"/>
    <x v="0"/>
  </r>
  <r>
    <n v="2925"/>
    <s v="2925 | Capacity Building"/>
    <x v="27"/>
    <x v="9"/>
    <x v="40"/>
    <x v="8"/>
    <s v="Capacity Building-Extension Officer"/>
    <x v="4"/>
    <m/>
    <x v="1177"/>
    <x v="333"/>
    <n v="45185.386689814812"/>
    <d v="2023-10-31T09:16:50"/>
    <s v="Yes"/>
    <d v="2023-09-19T09:16:50"/>
    <x v="3"/>
    <x v="1"/>
    <d v="2023-09-23T09:16:50"/>
    <s v="Accepted"/>
    <d v="2023-09-21T09:16:50"/>
    <d v="2023-09-22T09:16:50"/>
    <d v="2023-09-21T09:16:50"/>
    <d v="2023-09-30T09:16:50"/>
    <x v="1"/>
    <d v="2023-10-01T09:16:50"/>
    <d v="2023-10-02T09:16:50"/>
    <d v="2023-10-04T09:16:50"/>
    <m/>
    <m/>
    <d v="2023-10-15T09:16:50"/>
    <s v="C3120"/>
    <s v="Candidate_2120"/>
    <s v="14/09/2023"/>
    <x v="2"/>
    <s v="Job Board"/>
    <n v="6"/>
    <m/>
    <x v="0"/>
    <m/>
    <m/>
    <x v="0"/>
    <x v="0"/>
    <m/>
    <x v="0"/>
    <x v="0"/>
  </r>
  <r>
    <n v="2915"/>
    <s v="2915 | Capacity Building"/>
    <x v="29"/>
    <x v="9"/>
    <x v="40"/>
    <x v="8"/>
    <s v="Capacity Building-Extension Officer"/>
    <x v="4"/>
    <d v="2022-02-06T19:04:45"/>
    <x v="819"/>
    <x v="256"/>
    <n v="10"/>
    <d v="2022-04-02T19:04:45"/>
    <s v="Yes"/>
    <d v="2022-02-22T19:04:45"/>
    <x v="3"/>
    <x v="1"/>
    <d v="2022-03-02T19:04:45"/>
    <s v="Accepted"/>
    <d v="2022-02-24T19:04:45"/>
    <d v="2022-02-26T19:04:45"/>
    <d v="2022-02-26T19:04:45"/>
    <d v="2022-03-08T19:04:45"/>
    <x v="1"/>
    <d v="2022-03-09T19:04:45"/>
    <d v="2022-03-10T19:04:45"/>
    <d v="2022-03-11T19:04:45"/>
    <m/>
    <m/>
    <d v="2022-03-22T19:04:45"/>
    <s v="C3121"/>
    <s v="Candidate_2121"/>
    <s v="06/02/2022"/>
    <x v="2"/>
    <s v="Job Board"/>
    <n v="3"/>
    <m/>
    <x v="0"/>
    <m/>
    <m/>
    <x v="0"/>
    <x v="0"/>
    <m/>
    <x v="235"/>
    <x v="0"/>
  </r>
  <r>
    <n v="2825"/>
    <s v="2825 | Capacity Building"/>
    <x v="28"/>
    <x v="9"/>
    <x v="40"/>
    <x v="8"/>
    <s v="Capacity Building-Extension Officer"/>
    <x v="4"/>
    <m/>
    <x v="796"/>
    <x v="207"/>
    <n v="44571.055902777778"/>
    <d v="2022-02-08T01:20:30"/>
    <s v="No"/>
    <m/>
    <x v="2"/>
    <x v="1"/>
    <m/>
    <m/>
    <m/>
    <m/>
    <m/>
    <m/>
    <x v="0"/>
    <m/>
    <m/>
    <m/>
    <m/>
    <m/>
    <m/>
    <s v="C3122"/>
    <s v="Candidate_2122"/>
    <m/>
    <x v="2"/>
    <s v="Job Board"/>
    <n v="3"/>
    <m/>
    <x v="0"/>
    <m/>
    <m/>
    <x v="0"/>
    <x v="0"/>
    <m/>
    <x v="0"/>
    <x v="0"/>
  </r>
  <r>
    <n v="2703"/>
    <s v="2703 | Capacity Building"/>
    <x v="27"/>
    <x v="9"/>
    <x v="40"/>
    <x v="8"/>
    <s v="Capacity Building-Extension Officer"/>
    <x v="4"/>
    <m/>
    <x v="821"/>
    <x v="254"/>
    <n v="44837.495787037027"/>
    <d v="2022-10-20T11:53:56"/>
    <s v="No"/>
    <m/>
    <x v="2"/>
    <x v="1"/>
    <m/>
    <m/>
    <m/>
    <m/>
    <m/>
    <m/>
    <x v="0"/>
    <m/>
    <m/>
    <m/>
    <m/>
    <m/>
    <m/>
    <s v="C3123"/>
    <s v="Candidate_2123"/>
    <m/>
    <x v="2"/>
    <s v="Job Board"/>
    <n v="3"/>
    <m/>
    <x v="0"/>
    <m/>
    <m/>
    <x v="0"/>
    <x v="0"/>
    <m/>
    <x v="0"/>
    <x v="0"/>
  </r>
  <r>
    <n v="2636"/>
    <s v="2636 | Capacity Building"/>
    <x v="28"/>
    <x v="9"/>
    <x v="40"/>
    <x v="8"/>
    <s v="Capacity Building-Extension Officer"/>
    <x v="4"/>
    <d v="2022-01-23T04:43:28"/>
    <x v="802"/>
    <x v="4"/>
    <n v="-44584.196851851862"/>
    <d v="2022-02-23T04:43:28"/>
    <s v="No"/>
    <m/>
    <x v="2"/>
    <x v="1"/>
    <m/>
    <m/>
    <m/>
    <m/>
    <m/>
    <m/>
    <x v="0"/>
    <m/>
    <m/>
    <m/>
    <m/>
    <m/>
    <m/>
    <s v="C3124"/>
    <s v="Candidate_2124"/>
    <m/>
    <x v="1"/>
    <s v="Linkedin"/>
    <n v="6"/>
    <m/>
    <x v="0"/>
    <m/>
    <m/>
    <x v="0"/>
    <x v="0"/>
    <m/>
    <x v="0"/>
    <x v="0"/>
  </r>
  <r>
    <n v="2580"/>
    <s v="2580 | Capacity Building"/>
    <x v="27"/>
    <x v="9"/>
    <x v="40"/>
    <x v="8"/>
    <s v="Capacity Building-Extension Officer"/>
    <x v="4"/>
    <d v="2022-03-21T17:14:32"/>
    <x v="1178"/>
    <x v="233"/>
    <n v="4"/>
    <d v="2022-03-31T17:14:32"/>
    <s v="Yes"/>
    <d v="2022-03-28T17:14:32"/>
    <x v="3"/>
    <x v="1"/>
    <d v="2022-04-04T17:14:32"/>
    <s v="Accepted"/>
    <d v="2022-03-29T17:14:32"/>
    <d v="2022-04-02T17:14:32"/>
    <d v="2022-04-01T17:14:32"/>
    <d v="2022-04-09T17:14:32"/>
    <x v="1"/>
    <d v="2022-04-11T17:14:32"/>
    <d v="2022-04-13T17:14:32"/>
    <d v="2022-04-15T17:14:32"/>
    <m/>
    <m/>
    <d v="2022-04-26T17:14:32"/>
    <s v="C3125"/>
    <s v="Candidate_2125"/>
    <s v="Mar 09 2022"/>
    <x v="0"/>
    <s v="Referral"/>
    <n v="6"/>
    <m/>
    <x v="0"/>
    <m/>
    <m/>
    <x v="0"/>
    <x v="0"/>
    <m/>
    <x v="236"/>
    <x v="0"/>
  </r>
  <r>
    <n v="2140"/>
    <s v="2140 | Capacity Building"/>
    <x v="27"/>
    <x v="9"/>
    <x v="40"/>
    <x v="8"/>
    <s v="Capacity Building-Extension Officer"/>
    <x v="4"/>
    <d v="2022-08-01T12:23:45"/>
    <x v="779"/>
    <x v="244"/>
    <n v="7"/>
    <d v="2022-09-02T12:23:45"/>
    <s v="No"/>
    <m/>
    <x v="2"/>
    <x v="1"/>
    <m/>
    <m/>
    <m/>
    <m/>
    <m/>
    <m/>
    <x v="0"/>
    <m/>
    <m/>
    <m/>
    <m/>
    <m/>
    <m/>
    <s v="C3126"/>
    <s v="Candidate_2126"/>
    <m/>
    <x v="2"/>
    <s v="Job Board"/>
    <n v="6"/>
    <m/>
    <x v="0"/>
    <m/>
    <m/>
    <x v="0"/>
    <x v="0"/>
    <m/>
    <x v="1"/>
    <x v="0"/>
  </r>
  <r>
    <n v="2107"/>
    <s v="2107 | Capacity Building"/>
    <x v="29"/>
    <x v="9"/>
    <x v="40"/>
    <x v="8"/>
    <s v="Capacity Building-Extension Officer"/>
    <x v="4"/>
    <d v="2022-05-03T00:32:09"/>
    <x v="780"/>
    <x v="245"/>
    <n v="8"/>
    <d v="2022-05-19T00:32:09"/>
    <s v="Yes"/>
    <d v="2022-05-21T00:32:09"/>
    <x v="3"/>
    <x v="1"/>
    <d v="2022-05-28T00:32:09"/>
    <s v="Accepted"/>
    <d v="2022-05-22T00:32:09"/>
    <d v="2022-05-26T00:32:09"/>
    <d v="2022-05-24T00:32:09"/>
    <d v="2022-06-02T00:32:09"/>
    <x v="1"/>
    <d v="2022-06-06T00:32:09"/>
    <d v="2022-06-07T00:32:09"/>
    <d v="2022-06-09T00:32:09"/>
    <m/>
    <m/>
    <d v="2022-06-25T00:32:09"/>
    <s v="C3127"/>
    <s v="Candidate_2127"/>
    <s v="May 11 2022"/>
    <x v="1"/>
    <s v="Linkedin"/>
    <n v="6"/>
    <m/>
    <x v="0"/>
    <m/>
    <m/>
    <x v="0"/>
    <x v="0"/>
    <m/>
    <x v="237"/>
    <x v="0"/>
  </r>
  <r>
    <n v="2100"/>
    <s v="2100 | Capacity Building"/>
    <x v="27"/>
    <x v="9"/>
    <x v="40"/>
    <x v="8"/>
    <s v="Capacity Building-Extension Officer"/>
    <x v="4"/>
    <d v="2022-10-26T23:41:59"/>
    <x v="781"/>
    <x v="246"/>
    <n v="4"/>
    <d v="2022-11-28T23:41:59"/>
    <s v="No"/>
    <m/>
    <x v="2"/>
    <x v="1"/>
    <m/>
    <m/>
    <m/>
    <m/>
    <m/>
    <m/>
    <x v="0"/>
    <m/>
    <m/>
    <m/>
    <m/>
    <m/>
    <m/>
    <s v="C3128"/>
    <s v="Candidate_2128"/>
    <m/>
    <x v="1"/>
    <s v="Linkedin"/>
    <n v="6"/>
    <m/>
    <x v="0"/>
    <m/>
    <m/>
    <x v="0"/>
    <x v="0"/>
    <m/>
    <x v="1"/>
    <x v="0"/>
  </r>
  <r>
    <n v="1714"/>
    <s v="1714 | Capacity Building"/>
    <x v="27"/>
    <x v="9"/>
    <x v="40"/>
    <x v="8"/>
    <s v="Capacity Building-Extension Officer"/>
    <x v="4"/>
    <d v="2022-01-02T01:51:52"/>
    <x v="784"/>
    <x v="238"/>
    <n v="5"/>
    <d v="2022-01-13T01:51:52"/>
    <s v="No"/>
    <m/>
    <x v="2"/>
    <x v="1"/>
    <m/>
    <m/>
    <m/>
    <m/>
    <m/>
    <m/>
    <x v="0"/>
    <m/>
    <m/>
    <m/>
    <m/>
    <m/>
    <m/>
    <s v="C3129"/>
    <s v="Candidate_2129"/>
    <m/>
    <x v="0"/>
    <s v="Referral"/>
    <n v="6"/>
    <m/>
    <x v="0"/>
    <m/>
    <m/>
    <x v="0"/>
    <x v="0"/>
    <m/>
    <x v="1"/>
    <x v="0"/>
  </r>
  <r>
    <n v="1693"/>
    <s v="1693 | Capacity Building"/>
    <x v="27"/>
    <x v="9"/>
    <x v="40"/>
    <x v="8"/>
    <s v="Capacity Building-Extension Officer"/>
    <x v="4"/>
    <d v="2023-02-23T18:21:09"/>
    <x v="1179"/>
    <x v="213"/>
    <n v="9"/>
    <d v="2023-03-29T18:21:09"/>
    <s v="No"/>
    <m/>
    <x v="2"/>
    <x v="1"/>
    <m/>
    <m/>
    <m/>
    <m/>
    <m/>
    <m/>
    <x v="0"/>
    <m/>
    <m/>
    <m/>
    <m/>
    <m/>
    <m/>
    <s v="C3130"/>
    <s v="Candidate_2130"/>
    <m/>
    <x v="2"/>
    <s v="Job Board"/>
    <n v="3"/>
    <m/>
    <x v="0"/>
    <m/>
    <m/>
    <x v="0"/>
    <x v="0"/>
    <m/>
    <x v="1"/>
    <x v="0"/>
  </r>
  <r>
    <n v="1552"/>
    <s v="1552 | Capacity Building"/>
    <x v="28"/>
    <x v="9"/>
    <x v="40"/>
    <x v="8"/>
    <s v="Capacity Building-Extension Officer"/>
    <x v="4"/>
    <d v="2022-12-07T14:20:00"/>
    <x v="757"/>
    <x v="214"/>
    <n v="5"/>
    <d v="2023-01-07T14:20:00"/>
    <s v="No"/>
    <m/>
    <x v="2"/>
    <x v="1"/>
    <m/>
    <m/>
    <m/>
    <m/>
    <m/>
    <m/>
    <x v="0"/>
    <m/>
    <m/>
    <m/>
    <m/>
    <m/>
    <m/>
    <s v="C3131"/>
    <s v="Candidate_2131"/>
    <m/>
    <x v="2"/>
    <s v="Job Board"/>
    <n v="3"/>
    <m/>
    <x v="0"/>
    <m/>
    <m/>
    <x v="0"/>
    <x v="0"/>
    <m/>
    <x v="1"/>
    <x v="0"/>
  </r>
  <r>
    <n v="1200"/>
    <s v="1200 | Capacity Building"/>
    <x v="27"/>
    <x v="9"/>
    <x v="40"/>
    <x v="8"/>
    <s v="Capacity Building-Extension Officer"/>
    <x v="4"/>
    <d v="2022-07-24T23:11:03"/>
    <x v="0"/>
    <x v="220"/>
    <n v="5"/>
    <d v="2022-08-11T23:11:03"/>
    <s v="No"/>
    <m/>
    <x v="2"/>
    <x v="1"/>
    <m/>
    <m/>
    <m/>
    <m/>
    <m/>
    <m/>
    <x v="0"/>
    <m/>
    <m/>
    <m/>
    <m/>
    <m/>
    <m/>
    <s v="C3132"/>
    <s v="Candidate_2132"/>
    <m/>
    <x v="0"/>
    <s v="Referral"/>
    <n v="3"/>
    <m/>
    <x v="0"/>
    <m/>
    <m/>
    <x v="0"/>
    <x v="0"/>
    <m/>
    <x v="0"/>
    <x v="0"/>
  </r>
  <r>
    <n v="1178"/>
    <s v="1178 | Capacity Building"/>
    <x v="28"/>
    <x v="9"/>
    <x v="40"/>
    <x v="8"/>
    <s v="Capacity Building-Extension Officer"/>
    <x v="4"/>
    <d v="2023-05-17T01:00:09"/>
    <x v="769"/>
    <x v="221"/>
    <n v="3"/>
    <d v="2023-05-29T01:00:09"/>
    <s v="Yes"/>
    <d v="2023-06-02T01:00:09"/>
    <x v="3"/>
    <x v="1"/>
    <d v="2023-06-09T01:00:09"/>
    <s v="Accepted"/>
    <d v="2023-06-03T01:00:09"/>
    <d v="2023-06-04T01:00:09"/>
    <d v="2023-06-05T01:00:09"/>
    <d v="2023-06-09T01:00:09"/>
    <x v="1"/>
    <d v="2023-06-10T01:00:09"/>
    <d v="2023-06-12T01:00:09"/>
    <d v="2023-06-13T01:00:09"/>
    <m/>
    <m/>
    <d v="2023-06-22T01:00:09"/>
    <s v="C3133"/>
    <s v="Candidate_2133"/>
    <s v="May 26 2023"/>
    <x v="2"/>
    <s v="Job Board"/>
    <n v="6"/>
    <m/>
    <x v="0"/>
    <m/>
    <m/>
    <x v="0"/>
    <x v="0"/>
    <m/>
    <x v="238"/>
    <x v="0"/>
  </r>
  <r>
    <n v="1103"/>
    <s v="1103 | Capacity Building"/>
    <x v="29"/>
    <x v="9"/>
    <x v="40"/>
    <x v="8"/>
    <s v="Capacity Building-Extension Officer"/>
    <x v="4"/>
    <d v="2022-04-25T22:53:34"/>
    <x v="1180"/>
    <x v="222"/>
    <n v="5"/>
    <d v="2022-05-12T22:53:34"/>
    <s v="Yes"/>
    <d v="2022-05-02T22:53:34"/>
    <x v="3"/>
    <x v="1"/>
    <d v="2022-05-05T22:53:34"/>
    <s v="Accepted"/>
    <d v="2022-05-04T22:53:34"/>
    <d v="2022-05-06T22:53:34"/>
    <d v="2022-05-04T22:53:34"/>
    <d v="2022-05-12T22:53:34"/>
    <x v="1"/>
    <d v="2022-05-14T22:53:34"/>
    <d v="2022-05-17T22:53:34"/>
    <d v="2022-05-19T22:53:34"/>
    <m/>
    <m/>
    <d v="2022-05-31T22:53:34"/>
    <s v="C3134"/>
    <s v="Candidate_2134"/>
    <s v="26/04/2022"/>
    <x v="1"/>
    <s v="Linkedin"/>
    <n v="3"/>
    <m/>
    <x v="0"/>
    <m/>
    <m/>
    <x v="0"/>
    <x v="0"/>
    <m/>
    <x v="239"/>
    <x v="0"/>
  </r>
  <r>
    <n v="1074"/>
    <s v="1074 | Capacity Building"/>
    <x v="27"/>
    <x v="9"/>
    <x v="40"/>
    <x v="8"/>
    <s v="Capacity Building-Extension Officer"/>
    <x v="4"/>
    <d v="2022-02-09T23:46:40"/>
    <x v="838"/>
    <x v="223"/>
    <n v="6"/>
    <d v="2022-03-15T23:46:40"/>
    <s v="No"/>
    <m/>
    <x v="2"/>
    <x v="1"/>
    <m/>
    <m/>
    <m/>
    <m/>
    <m/>
    <m/>
    <x v="0"/>
    <m/>
    <m/>
    <m/>
    <m/>
    <m/>
    <m/>
    <s v="C3135"/>
    <s v="Candidate_2135"/>
    <m/>
    <x v="0"/>
    <s v="Referral"/>
    <n v="6"/>
    <m/>
    <x v="0"/>
    <m/>
    <m/>
    <x v="0"/>
    <x v="0"/>
    <m/>
    <x v="1"/>
    <x v="0"/>
  </r>
  <r>
    <n v="923"/>
    <s v="923 | Capacity Building"/>
    <x v="28"/>
    <x v="9"/>
    <x v="40"/>
    <x v="8"/>
    <s v="Capacity Building-Extension Officer"/>
    <x v="4"/>
    <m/>
    <x v="1181"/>
    <x v="334"/>
    <n v="45080.494004629632"/>
    <d v="2023-06-28T11:51:22"/>
    <s v="Yes"/>
    <d v="2023-06-20T11:51:22"/>
    <x v="0"/>
    <x v="2"/>
    <m/>
    <m/>
    <m/>
    <m/>
    <d v="2023-06-22T11:51:22"/>
    <m/>
    <x v="0"/>
    <m/>
    <m/>
    <m/>
    <m/>
    <s v="Company"/>
    <m/>
    <s v="C3136"/>
    <s v="Candidate_2136"/>
    <s v="10/06/2023"/>
    <x v="2"/>
    <s v="Job Board"/>
    <n v="3"/>
    <m/>
    <x v="0"/>
    <m/>
    <m/>
    <x v="0"/>
    <x v="0"/>
    <m/>
    <x v="0"/>
    <x v="0"/>
  </r>
  <r>
    <n v="922"/>
    <s v="922 | Capacity Building"/>
    <x v="27"/>
    <x v="9"/>
    <x v="40"/>
    <x v="8"/>
    <s v="Capacity Building-Extension Officer"/>
    <x v="4"/>
    <d v="2023-05-25T11:51:22"/>
    <x v="1182"/>
    <x v="334"/>
    <n v="9"/>
    <d v="2023-06-08T11:51:22"/>
    <s v="Yes"/>
    <d v="2023-06-09T11:51:22"/>
    <x v="4"/>
    <x v="1"/>
    <d v="2023-06-14T11:51:22"/>
    <s v="Pending"/>
    <m/>
    <m/>
    <d v="2023-06-11T11:51:22"/>
    <m/>
    <x v="0"/>
    <m/>
    <m/>
    <m/>
    <m/>
    <m/>
    <m/>
    <s v="C3137"/>
    <s v="Candidate_2137"/>
    <s v="05-31-2023"/>
    <x v="1"/>
    <s v="Linkedin"/>
    <n v="6"/>
    <m/>
    <x v="0"/>
    <m/>
    <m/>
    <x v="0"/>
    <x v="0"/>
    <m/>
    <x v="1"/>
    <x v="0"/>
  </r>
  <r>
    <n v="921"/>
    <s v="921 | Capacity Building"/>
    <x v="28"/>
    <x v="9"/>
    <x v="40"/>
    <x v="8"/>
    <s v="Capacity Building-Extension Officer"/>
    <x v="4"/>
    <d v="2023-05-24T11:51:22"/>
    <x v="1183"/>
    <x v="334"/>
    <n v="10"/>
    <d v="2023-07-02T11:51:22"/>
    <s v="Yes"/>
    <d v="2023-06-12T11:51:22"/>
    <x v="3"/>
    <x v="1"/>
    <d v="2023-06-18T11:51:22"/>
    <s v="Accepted"/>
    <d v="2023-06-13T11:51:22"/>
    <d v="2023-06-15T11:51:22"/>
    <d v="2023-06-16T11:51:22"/>
    <d v="2023-06-23T11:51:22"/>
    <x v="1"/>
    <d v="2023-06-24T11:51:22"/>
    <d v="2023-06-26T11:51:22"/>
    <d v="2023-06-29T11:51:22"/>
    <m/>
    <m/>
    <d v="2023-07-10T11:51:22"/>
    <s v="C3138"/>
    <s v="Candidate_2138"/>
    <s v="06-03-2023"/>
    <x v="2"/>
    <s v="Job Board"/>
    <n v="6"/>
    <m/>
    <x v="0"/>
    <m/>
    <m/>
    <x v="0"/>
    <x v="0"/>
    <m/>
    <x v="240"/>
    <x v="0"/>
  </r>
  <r>
    <n v="808"/>
    <s v="808 | Capacity Building"/>
    <x v="28"/>
    <x v="9"/>
    <x v="40"/>
    <x v="8"/>
    <s v="Capacity Building-Extension Officer"/>
    <x v="4"/>
    <d v="2023-01-11T21:41:28"/>
    <x v="1184"/>
    <x v="335"/>
    <n v="7"/>
    <d v="2023-01-26T21:41:28"/>
    <s v="Yes"/>
    <d v="2023-01-22T21:41:28"/>
    <x v="1"/>
    <x v="1"/>
    <d v="2023-01-26T21:41:28"/>
    <s v="Declined"/>
    <m/>
    <m/>
    <d v="2023-01-25T21:41:28"/>
    <m/>
    <x v="0"/>
    <m/>
    <m/>
    <m/>
    <m/>
    <m/>
    <m/>
    <s v="C3139"/>
    <s v="Candidate_2139"/>
    <s v="Jan 16 2023"/>
    <x v="1"/>
    <s v="Linkedin"/>
    <n v="6"/>
    <m/>
    <x v="0"/>
    <m/>
    <m/>
    <x v="0"/>
    <x v="0"/>
    <m/>
    <x v="1"/>
    <x v="0"/>
  </r>
  <r>
    <n v="803"/>
    <s v="803 | Capacity Building"/>
    <x v="27"/>
    <x v="9"/>
    <x v="40"/>
    <x v="8"/>
    <s v="Capacity Building-Extension Officer"/>
    <x v="4"/>
    <d v="2023-01-11T21:41:28"/>
    <x v="1185"/>
    <x v="335"/>
    <n v="7"/>
    <d v="2023-02-10T21:41:28"/>
    <s v="Yes"/>
    <d v="2023-01-26T21:41:28"/>
    <x v="0"/>
    <x v="3"/>
    <m/>
    <m/>
    <m/>
    <m/>
    <d v="2023-01-28T21:41:28"/>
    <m/>
    <x v="0"/>
    <m/>
    <m/>
    <m/>
    <m/>
    <s v="Company"/>
    <m/>
    <s v="C3140"/>
    <s v="Candidate_2140"/>
    <s v="Jan 13 2023"/>
    <x v="0"/>
    <s v="Referral"/>
    <n v="6"/>
    <m/>
    <x v="0"/>
    <m/>
    <m/>
    <x v="0"/>
    <x v="0"/>
    <m/>
    <x v="1"/>
    <x v="0"/>
  </r>
  <r>
    <n v="802"/>
    <s v="802 | Capacity Building"/>
    <x v="28"/>
    <x v="9"/>
    <x v="40"/>
    <x v="8"/>
    <s v="Capacity Building-Extension Officer"/>
    <x v="4"/>
    <d v="2023-01-11T21:41:28"/>
    <x v="1184"/>
    <x v="335"/>
    <n v="7"/>
    <d v="2023-02-15T21:41:28"/>
    <s v="Yes"/>
    <d v="2023-01-20T21:41:28"/>
    <x v="3"/>
    <x v="1"/>
    <d v="2023-01-24T21:41:28"/>
    <s v="Accepted"/>
    <d v="2023-01-21T21:41:28"/>
    <d v="2023-01-25T21:41:28"/>
    <d v="2023-01-23T21:41:28"/>
    <d v="2023-01-26T21:41:28"/>
    <x v="1"/>
    <d v="2023-01-27T21:41:28"/>
    <d v="2023-01-28T21:41:28"/>
    <d v="2023-01-29T21:41:28"/>
    <m/>
    <m/>
    <d v="2023-02-13T21:41:28"/>
    <s v="C3141"/>
    <s v="Candidate_2141"/>
    <s v="Jan 10 2023"/>
    <x v="2"/>
    <s v="Job Board"/>
    <n v="6"/>
    <m/>
    <x v="0"/>
    <m/>
    <m/>
    <x v="0"/>
    <x v="0"/>
    <m/>
    <x v="241"/>
    <x v="0"/>
  </r>
  <r>
    <n v="771"/>
    <s v="771 | Capacity Building"/>
    <x v="27"/>
    <x v="9"/>
    <x v="40"/>
    <x v="8"/>
    <s v="Capacity Building-Extension Officer"/>
    <x v="4"/>
    <d v="2023-03-20T09:31:46"/>
    <x v="1186"/>
    <x v="336"/>
    <n v="7"/>
    <d v="2023-04-15T09:31:46"/>
    <s v="Yes"/>
    <d v="2023-04-08T09:31:46"/>
    <x v="0"/>
    <x v="2"/>
    <m/>
    <m/>
    <m/>
    <m/>
    <m/>
    <m/>
    <x v="0"/>
    <m/>
    <m/>
    <m/>
    <m/>
    <s v="Candidate"/>
    <m/>
    <s v="C3142"/>
    <s v="Candidate_2142"/>
    <s v="29/03/2023"/>
    <x v="1"/>
    <s v="Linkedin"/>
    <n v="6"/>
    <m/>
    <x v="0"/>
    <m/>
    <m/>
    <x v="0"/>
    <x v="0"/>
    <m/>
    <x v="1"/>
    <x v="0"/>
  </r>
  <r>
    <n v="666"/>
    <s v="666 | Capacity Building"/>
    <x v="27"/>
    <x v="9"/>
    <x v="40"/>
    <x v="15"/>
    <s v="Capacity Building-Quality Assurance"/>
    <x v="4"/>
    <d v="2022-01-11T04:53:52"/>
    <x v="1187"/>
    <x v="337"/>
    <n v="4"/>
    <d v="2022-02-01T04:53:52"/>
    <s v="Yes"/>
    <d v="2022-01-30T04:53:52"/>
    <x v="4"/>
    <x v="1"/>
    <d v="2022-02-03T04:53:52"/>
    <s v="Pending"/>
    <m/>
    <m/>
    <d v="2022-01-31T04:53:52"/>
    <m/>
    <x v="0"/>
    <m/>
    <m/>
    <m/>
    <m/>
    <m/>
    <m/>
    <s v="C3143"/>
    <s v="Candidate_2143"/>
    <s v="25/01/2022"/>
    <x v="1"/>
    <s v="Linkedin"/>
    <n v="6"/>
    <m/>
    <x v="0"/>
    <m/>
    <m/>
    <x v="0"/>
    <x v="0"/>
    <m/>
    <x v="1"/>
    <x v="0"/>
  </r>
  <r>
    <n v="665"/>
    <s v="665 | Capacity Building"/>
    <x v="28"/>
    <x v="9"/>
    <x v="40"/>
    <x v="15"/>
    <s v="Capacity Building-Quality Assurance"/>
    <x v="4"/>
    <d v="2022-01-09T04:53:52"/>
    <x v="1188"/>
    <x v="337"/>
    <n v="6"/>
    <d v="2022-02-01T04:53:52"/>
    <s v="Yes"/>
    <d v="2022-01-20T04:53:52"/>
    <x v="1"/>
    <x v="1"/>
    <d v="2022-01-24T04:53:52"/>
    <s v="Declined"/>
    <m/>
    <m/>
    <d v="2022-01-22T04:53:52"/>
    <m/>
    <x v="0"/>
    <m/>
    <m/>
    <m/>
    <m/>
    <m/>
    <m/>
    <s v="C3144"/>
    <s v="Candidate_2144"/>
    <s v="06/01/2022"/>
    <x v="0"/>
    <s v="Referral"/>
    <n v="6"/>
    <m/>
    <x v="0"/>
    <m/>
    <m/>
    <x v="0"/>
    <x v="0"/>
    <m/>
    <x v="1"/>
    <x v="0"/>
  </r>
  <r>
    <n v="625"/>
    <s v="625 | Capacity Building"/>
    <x v="28"/>
    <x v="9"/>
    <x v="40"/>
    <x v="15"/>
    <s v="Capacity Building-Quality Assurance"/>
    <x v="4"/>
    <d v="2023-03-09T19:53:06"/>
    <x v="1189"/>
    <x v="338"/>
    <n v="6"/>
    <d v="2023-03-30T19:53:06"/>
    <s v="Yes"/>
    <d v="2023-03-28T19:53:06"/>
    <x v="1"/>
    <x v="1"/>
    <d v="2023-04-02T19:53:06"/>
    <s v="Declined"/>
    <m/>
    <m/>
    <d v="2023-03-31T19:53:06"/>
    <m/>
    <x v="0"/>
    <m/>
    <m/>
    <m/>
    <m/>
    <m/>
    <m/>
    <s v="C3145"/>
    <s v="Candidate_2145"/>
    <s v="Mar 13 2023"/>
    <x v="0"/>
    <s v="Referral"/>
    <n v="6"/>
    <m/>
    <x v="0"/>
    <m/>
    <m/>
    <x v="0"/>
    <x v="0"/>
    <m/>
    <x v="1"/>
    <x v="0"/>
  </r>
  <r>
    <n v="624"/>
    <s v="624 | Capacity Building"/>
    <x v="27"/>
    <x v="9"/>
    <x v="40"/>
    <x v="15"/>
    <s v="Capacity Building-Quality Assurance"/>
    <x v="4"/>
    <d v="2023-03-07T19:53:06"/>
    <x v="1190"/>
    <x v="338"/>
    <n v="8"/>
    <d v="2023-04-03T19:53:06"/>
    <s v="Yes"/>
    <d v="2023-03-23T19:53:06"/>
    <x v="3"/>
    <x v="1"/>
    <d v="2023-03-31T19:53:06"/>
    <s v="Accepted"/>
    <d v="2023-03-25T19:53:06"/>
    <d v="2023-03-28T19:53:06"/>
    <d v="2023-03-27T19:53:06"/>
    <d v="2023-03-30T19:53:06"/>
    <x v="1"/>
    <d v="2023-04-03T19:53:06"/>
    <d v="2023-04-04T19:53:06"/>
    <d v="2023-04-05T19:53:06"/>
    <m/>
    <m/>
    <d v="2023-04-23T19:53:06"/>
    <s v="C3146"/>
    <s v="Candidate_2146"/>
    <s v="03-13-2023"/>
    <x v="0"/>
    <s v="Referral"/>
    <n v="3"/>
    <m/>
    <x v="0"/>
    <m/>
    <m/>
    <x v="0"/>
    <x v="0"/>
    <m/>
    <x v="242"/>
    <x v="0"/>
  </r>
  <r>
    <n v="540"/>
    <s v="540 | Capacity Building"/>
    <x v="29"/>
    <x v="9"/>
    <x v="40"/>
    <x v="15"/>
    <s v="Capacity Building-Quality Assurance"/>
    <x v="4"/>
    <d v="2022-01-15T06:30:30"/>
    <x v="1191"/>
    <x v="339"/>
    <n v="2"/>
    <d v="2022-01-30T06:30:30"/>
    <s v="No"/>
    <m/>
    <x v="2"/>
    <x v="1"/>
    <m/>
    <m/>
    <m/>
    <m/>
    <m/>
    <m/>
    <x v="0"/>
    <m/>
    <m/>
    <m/>
    <m/>
    <m/>
    <m/>
    <s v="C3147"/>
    <s v="Candidate_2147"/>
    <m/>
    <x v="1"/>
    <s v="Linkedin"/>
    <n v="6"/>
    <m/>
    <x v="0"/>
    <m/>
    <m/>
    <x v="0"/>
    <x v="0"/>
    <m/>
    <x v="1"/>
    <x v="0"/>
  </r>
  <r>
    <n v="536"/>
    <s v="536 | Capacity Building"/>
    <x v="28"/>
    <x v="9"/>
    <x v="40"/>
    <x v="15"/>
    <s v="Capacity Building-Quality Assurance"/>
    <x v="4"/>
    <d v="2022-01-13T06:30:30"/>
    <x v="1191"/>
    <x v="339"/>
    <n v="4"/>
    <d v="2022-02-04T06:30:30"/>
    <s v="Yes"/>
    <d v="2022-01-25T06:30:30"/>
    <x v="4"/>
    <x v="1"/>
    <d v="2022-01-31T06:30:30"/>
    <s v="Pending"/>
    <m/>
    <m/>
    <d v="2022-01-29T06:30:30"/>
    <m/>
    <x v="0"/>
    <m/>
    <m/>
    <m/>
    <m/>
    <m/>
    <m/>
    <s v="C3148"/>
    <s v="Candidate_2148"/>
    <s v="09/01/2022"/>
    <x v="0"/>
    <s v="Referral"/>
    <n v="3"/>
    <m/>
    <x v="0"/>
    <m/>
    <m/>
    <x v="0"/>
    <x v="0"/>
    <m/>
    <x v="1"/>
    <x v="0"/>
  </r>
  <r>
    <n v="533"/>
    <s v="533 | Capacity Building"/>
    <x v="29"/>
    <x v="9"/>
    <x v="40"/>
    <x v="15"/>
    <s v="Capacity Building-Quality Assurance"/>
    <x v="4"/>
    <d v="2022-01-13T06:30:30"/>
    <x v="1192"/>
    <x v="339"/>
    <n v="4"/>
    <d v="2022-01-24T06:30:30"/>
    <s v="Yes"/>
    <d v="2022-02-01T06:30:30"/>
    <x v="3"/>
    <x v="1"/>
    <d v="2022-02-06T06:30:30"/>
    <s v="Accepted"/>
    <d v="2022-02-03T06:30:30"/>
    <d v="2022-02-06T06:30:30"/>
    <d v="2022-02-03T06:30:30"/>
    <d v="2022-02-10T06:30:30"/>
    <x v="1"/>
    <d v="2022-02-14T06:30:30"/>
    <d v="2022-02-17T06:30:30"/>
    <d v="2022-02-20T06:30:30"/>
    <m/>
    <m/>
    <d v="2022-03-11T06:30:30"/>
    <s v="C3149"/>
    <s v="Candidate_2149"/>
    <s v="Jan 20 2022"/>
    <x v="1"/>
    <s v="Linkedin"/>
    <n v="6"/>
    <m/>
    <x v="0"/>
    <m/>
    <m/>
    <x v="0"/>
    <x v="0"/>
    <m/>
    <x v="243"/>
    <x v="0"/>
  </r>
  <r>
    <n v="501"/>
    <s v="501 | Capacity Building"/>
    <x v="27"/>
    <x v="9"/>
    <x v="40"/>
    <x v="15"/>
    <s v="Capacity Building-Quality Assurance"/>
    <x v="4"/>
    <d v="2022-07-04T02:29:24"/>
    <x v="1193"/>
    <x v="324"/>
    <n v="3"/>
    <d v="2022-07-17T02:29:24"/>
    <s v="Yes"/>
    <d v="2022-07-16T02:29:24"/>
    <x v="0"/>
    <x v="3"/>
    <m/>
    <m/>
    <m/>
    <m/>
    <m/>
    <m/>
    <x v="0"/>
    <m/>
    <m/>
    <m/>
    <m/>
    <s v="Company"/>
    <m/>
    <s v="C3150"/>
    <s v="Candidate_2150"/>
    <s v="28/06/2022"/>
    <x v="0"/>
    <s v="Referral"/>
    <n v="6"/>
    <m/>
    <x v="0"/>
    <m/>
    <m/>
    <x v="0"/>
    <x v="0"/>
    <m/>
    <x v="1"/>
    <x v="0"/>
  </r>
  <r>
    <n v="429"/>
    <s v="429 | Capacity Building"/>
    <x v="27"/>
    <x v="9"/>
    <x v="40"/>
    <x v="15"/>
    <s v="Capacity Building-Quality Assurance"/>
    <x v="4"/>
    <d v="2023-02-25T13:03:58"/>
    <x v="1194"/>
    <x v="340"/>
    <n v="5"/>
    <d v="2023-03-17T13:03:58"/>
    <s v="No"/>
    <m/>
    <x v="2"/>
    <x v="1"/>
    <m/>
    <m/>
    <m/>
    <m/>
    <m/>
    <m/>
    <x v="0"/>
    <m/>
    <m/>
    <m/>
    <m/>
    <m/>
    <m/>
    <s v="C3151"/>
    <s v="Candidate_2151"/>
    <m/>
    <x v="2"/>
    <s v="Job Board"/>
    <n v="3"/>
    <m/>
    <x v="0"/>
    <m/>
    <m/>
    <x v="0"/>
    <x v="0"/>
    <m/>
    <x v="1"/>
    <x v="0"/>
  </r>
  <r>
    <n v="422"/>
    <s v="422 | Capacity Building"/>
    <x v="27"/>
    <x v="9"/>
    <x v="40"/>
    <x v="15"/>
    <s v="Capacity Building-Quality Assurance"/>
    <x v="4"/>
    <d v="2023-02-27T13:03:58"/>
    <x v="1195"/>
    <x v="340"/>
    <n v="3"/>
    <d v="2023-03-15T13:03:58"/>
    <s v="Yes"/>
    <d v="2023-03-05T13:03:58"/>
    <x v="1"/>
    <x v="1"/>
    <d v="2023-03-13T13:03:58"/>
    <s v="Declined"/>
    <m/>
    <m/>
    <d v="2023-03-09T13:03:58"/>
    <m/>
    <x v="0"/>
    <m/>
    <m/>
    <m/>
    <m/>
    <m/>
    <m/>
    <s v="C3152"/>
    <s v="Candidate_2152"/>
    <s v="21/02/2023"/>
    <x v="0"/>
    <s v="Referral"/>
    <n v="6"/>
    <m/>
    <x v="0"/>
    <m/>
    <m/>
    <x v="0"/>
    <x v="0"/>
    <m/>
    <x v="1"/>
    <x v="0"/>
  </r>
  <r>
    <n v="411"/>
    <s v="411 | Capacity Building"/>
    <x v="27"/>
    <x v="9"/>
    <x v="40"/>
    <x v="15"/>
    <s v="Capacity Building-Quality Assurance"/>
    <x v="4"/>
    <d v="2023-06-15T15:18:23"/>
    <x v="1196"/>
    <x v="4"/>
    <n v="-45092.637766203698"/>
    <d v="2023-07-05T15:18:23"/>
    <s v="No"/>
    <m/>
    <x v="2"/>
    <x v="1"/>
    <m/>
    <m/>
    <m/>
    <m/>
    <m/>
    <m/>
    <x v="0"/>
    <m/>
    <m/>
    <m/>
    <m/>
    <m/>
    <m/>
    <s v="C3153"/>
    <s v="Candidate_2153"/>
    <m/>
    <x v="2"/>
    <s v="Job Board"/>
    <n v="3"/>
    <m/>
    <x v="0"/>
    <m/>
    <m/>
    <x v="0"/>
    <x v="0"/>
    <m/>
    <x v="0"/>
    <x v="0"/>
  </r>
  <r>
    <n v="269"/>
    <s v="269 | Capacity Building"/>
    <x v="27"/>
    <x v="9"/>
    <x v="40"/>
    <x v="15"/>
    <s v="Capacity Building-Quality Assurance"/>
    <x v="4"/>
    <d v="2022-07-26T06:46:55"/>
    <x v="0"/>
    <x v="326"/>
    <n v="2"/>
    <d v="2022-08-15T06:46:55"/>
    <s v="Yes"/>
    <d v="2022-08-06T06:46:55"/>
    <x v="3"/>
    <x v="1"/>
    <d v="2022-08-12T06:46:55"/>
    <s v="Accepted"/>
    <d v="2022-08-08T06:46:55"/>
    <d v="2022-08-10T06:46:55"/>
    <d v="2022-08-09T06:46:55"/>
    <d v="2022-08-17T06:46:55"/>
    <x v="1"/>
    <d v="2022-08-21T06:46:55"/>
    <d v="2022-08-22T06:46:55"/>
    <d v="2022-08-23T06:46:55"/>
    <m/>
    <m/>
    <d v="2022-09-14T06:46:55"/>
    <s v="C3154"/>
    <s v="Candidate_2154"/>
    <s v="Jul 31 2022"/>
    <x v="1"/>
    <s v="Linkedin"/>
    <n v="6"/>
    <m/>
    <x v="0"/>
    <m/>
    <m/>
    <x v="0"/>
    <x v="0"/>
    <m/>
    <x v="0"/>
    <x v="0"/>
  </r>
  <r>
    <n v="266"/>
    <s v="266 | Capacity Building"/>
    <x v="27"/>
    <x v="9"/>
    <x v="40"/>
    <x v="15"/>
    <s v="Capacity Building-Quality Assurance"/>
    <x v="4"/>
    <d v="2022-07-21T06:46:55"/>
    <x v="1197"/>
    <x v="326"/>
    <n v="7"/>
    <d v="2022-08-17T06:46:55"/>
    <s v="Yes"/>
    <d v="2022-08-06T06:46:55"/>
    <x v="1"/>
    <x v="1"/>
    <d v="2022-08-12T06:46:55"/>
    <s v="Declined"/>
    <m/>
    <m/>
    <d v="2022-08-08T06:46:55"/>
    <m/>
    <x v="0"/>
    <m/>
    <m/>
    <m/>
    <m/>
    <m/>
    <m/>
    <s v="C3155"/>
    <s v="Candidate_2155"/>
    <s v="Jul 20 2022"/>
    <x v="1"/>
    <s v="Linkedin"/>
    <n v="6"/>
    <m/>
    <x v="0"/>
    <m/>
    <m/>
    <x v="0"/>
    <x v="0"/>
    <m/>
    <x v="1"/>
    <x v="0"/>
  </r>
  <r>
    <n v="256"/>
    <s v="256 | Capacity Building"/>
    <x v="27"/>
    <x v="9"/>
    <x v="40"/>
    <x v="15"/>
    <s v="Capacity Building-Quality Assurance"/>
    <x v="4"/>
    <d v="2022-05-24T15:11:28"/>
    <x v="1198"/>
    <x v="327"/>
    <n v="8"/>
    <d v="2022-07-01T15:11:28"/>
    <s v="Yes"/>
    <d v="2022-06-12T15:11:28"/>
    <x v="3"/>
    <x v="1"/>
    <d v="2022-06-19T15:11:28"/>
    <s v="Accepted"/>
    <d v="2022-06-13T15:11:28"/>
    <d v="2022-06-15T15:11:28"/>
    <d v="2022-06-16T15:11:28"/>
    <d v="2022-06-20T15:11:28"/>
    <x v="1"/>
    <d v="2022-06-22T15:11:28"/>
    <d v="2022-06-23T15:11:28"/>
    <d v="2022-06-25T15:11:28"/>
    <m/>
    <m/>
    <d v="2022-07-04T15:11:28"/>
    <s v="C3156"/>
    <s v="Candidate_2156"/>
    <s v="30/05/2022"/>
    <x v="0"/>
    <s v="Referral"/>
    <n v="6"/>
    <m/>
    <x v="0"/>
    <m/>
    <m/>
    <x v="0"/>
    <x v="0"/>
    <m/>
    <x v="244"/>
    <x v="0"/>
  </r>
  <r>
    <n v="254"/>
    <s v="254 | Capacity Building"/>
    <x v="29"/>
    <x v="9"/>
    <x v="40"/>
    <x v="15"/>
    <s v="Capacity Building-Quality Assurance"/>
    <x v="4"/>
    <d v="2022-05-25T15:11:28"/>
    <x v="1199"/>
    <x v="327"/>
    <n v="7"/>
    <d v="2022-06-26T15:11:28"/>
    <s v="Yes"/>
    <d v="2022-06-06T15:11:28"/>
    <x v="0"/>
    <x v="2"/>
    <m/>
    <m/>
    <m/>
    <m/>
    <m/>
    <m/>
    <x v="0"/>
    <m/>
    <m/>
    <m/>
    <m/>
    <s v="Candidate"/>
    <m/>
    <s v="C3157"/>
    <s v="Candidate_2157"/>
    <s v="05-27-2022"/>
    <x v="2"/>
    <s v="Job Board"/>
    <n v="3"/>
    <m/>
    <x v="0"/>
    <m/>
    <m/>
    <x v="0"/>
    <x v="0"/>
    <m/>
    <x v="1"/>
    <x v="0"/>
  </r>
  <r>
    <n v="251"/>
    <s v="251 | Capacity Building"/>
    <x v="27"/>
    <x v="9"/>
    <x v="40"/>
    <x v="15"/>
    <s v="Capacity Building-Quality Assurance"/>
    <x v="4"/>
    <d v="2022-05-27T15:11:28"/>
    <x v="1200"/>
    <x v="327"/>
    <n v="5"/>
    <d v="2022-06-15T15:11:28"/>
    <s v="Yes"/>
    <d v="2022-06-14T15:11:28"/>
    <x v="0"/>
    <x v="4"/>
    <m/>
    <m/>
    <m/>
    <m/>
    <d v="2022-06-15T15:11:28"/>
    <m/>
    <x v="0"/>
    <m/>
    <m/>
    <m/>
    <m/>
    <s v="Company"/>
    <m/>
    <s v="C3158"/>
    <s v="Candidate_2158"/>
    <s v="06-07-2022"/>
    <x v="1"/>
    <s v="Linkedin"/>
    <n v="6"/>
    <m/>
    <x v="0"/>
    <m/>
    <m/>
    <x v="0"/>
    <x v="0"/>
    <m/>
    <x v="1"/>
    <x v="0"/>
  </r>
  <r>
    <n v="231"/>
    <s v="231 | Capacity Building"/>
    <x v="29"/>
    <x v="9"/>
    <x v="40"/>
    <x v="15"/>
    <s v="Capacity Building-Quality Assurance"/>
    <x v="4"/>
    <d v="2022-02-03T19:27:47"/>
    <x v="1201"/>
    <x v="328"/>
    <n v="8"/>
    <d v="2022-03-06T19:27:47"/>
    <s v="Yes"/>
    <d v="2022-02-12T19:27:47"/>
    <x v="0"/>
    <x v="4"/>
    <m/>
    <m/>
    <m/>
    <m/>
    <d v="2022-02-16T19:27:47"/>
    <m/>
    <x v="0"/>
    <m/>
    <m/>
    <m/>
    <m/>
    <s v="Company"/>
    <m/>
    <s v="C3159"/>
    <s v="Candidate_2159"/>
    <s v="02-02-2022"/>
    <x v="0"/>
    <s v="Referral"/>
    <n v="6"/>
    <m/>
    <x v="0"/>
    <m/>
    <m/>
    <x v="0"/>
    <x v="0"/>
    <m/>
    <x v="1"/>
    <x v="0"/>
  </r>
  <r>
    <n v="224"/>
    <s v="224 | Capacity Building"/>
    <x v="27"/>
    <x v="9"/>
    <x v="40"/>
    <x v="15"/>
    <s v="Capacity Building-Quality Assurance"/>
    <x v="4"/>
    <d v="2022-06-29T10:44:44"/>
    <x v="1202"/>
    <x v="341"/>
    <n v="3"/>
    <d v="2022-07-27T10:44:44"/>
    <s v="Yes"/>
    <d v="2022-07-12T10:44:44"/>
    <x v="0"/>
    <x v="4"/>
    <m/>
    <m/>
    <m/>
    <m/>
    <m/>
    <m/>
    <x v="0"/>
    <m/>
    <m/>
    <m/>
    <m/>
    <s v="Candidate"/>
    <m/>
    <s v="C3160"/>
    <s v="Candidate_2160"/>
    <s v="26/06/2022"/>
    <x v="0"/>
    <s v="Referral"/>
    <n v="6"/>
    <m/>
    <x v="0"/>
    <m/>
    <m/>
    <x v="0"/>
    <x v="0"/>
    <m/>
    <x v="1"/>
    <x v="0"/>
  </r>
  <r>
    <n v="223"/>
    <s v="223 | Capacity Building"/>
    <x v="27"/>
    <x v="9"/>
    <x v="40"/>
    <x v="15"/>
    <s v="Capacity Building-Quality Assurance"/>
    <x v="4"/>
    <d v="2022-06-28T10:44:44"/>
    <x v="1203"/>
    <x v="341"/>
    <n v="4"/>
    <d v="2022-07-23T10:44:44"/>
    <s v="Yes"/>
    <d v="2022-07-08T10:44:44"/>
    <x v="0"/>
    <x v="4"/>
    <m/>
    <m/>
    <m/>
    <m/>
    <d v="2022-07-11T10:44:44"/>
    <m/>
    <x v="0"/>
    <m/>
    <m/>
    <m/>
    <m/>
    <s v="Company"/>
    <m/>
    <s v="C3161"/>
    <s v="Candidate_2161"/>
    <s v="06-30-2022"/>
    <x v="0"/>
    <s v="Referral"/>
    <n v="6"/>
    <m/>
    <x v="0"/>
    <m/>
    <m/>
    <x v="0"/>
    <x v="0"/>
    <m/>
    <x v="1"/>
    <x v="0"/>
  </r>
  <r>
    <n v="158"/>
    <s v="158 | Capacity Building"/>
    <x v="27"/>
    <x v="9"/>
    <x v="40"/>
    <x v="15"/>
    <s v="Capacity Building-Quality Assurance"/>
    <x v="4"/>
    <d v="2023-01-05T15:27:51"/>
    <x v="1172"/>
    <x v="4"/>
    <n v="-44931.64434027778"/>
    <d v="2023-01-27T15:27:51"/>
    <s v="Yes"/>
    <d v="2023-01-16T15:27:51"/>
    <x v="0"/>
    <x v="3"/>
    <m/>
    <m/>
    <m/>
    <m/>
    <m/>
    <m/>
    <x v="0"/>
    <m/>
    <m/>
    <m/>
    <m/>
    <s v="Company"/>
    <m/>
    <s v="C3162"/>
    <s v="Candidate_2162"/>
    <s v="03/01/2023"/>
    <x v="1"/>
    <s v="Linkedin"/>
    <n v="3"/>
    <m/>
    <x v="0"/>
    <m/>
    <m/>
    <x v="0"/>
    <x v="0"/>
    <m/>
    <x v="0"/>
    <x v="0"/>
  </r>
  <r>
    <n v="153"/>
    <s v="153 | Capacity Building"/>
    <x v="28"/>
    <x v="9"/>
    <x v="40"/>
    <x v="15"/>
    <s v="Capacity Building-Quality Assurance"/>
    <x v="4"/>
    <d v="2023-01-04T15:27:51"/>
    <x v="1204"/>
    <x v="329"/>
    <n v="8"/>
    <d v="2023-01-29T15:27:51"/>
    <s v="No"/>
    <m/>
    <x v="2"/>
    <x v="1"/>
    <m/>
    <m/>
    <m/>
    <m/>
    <m/>
    <m/>
    <x v="0"/>
    <m/>
    <m/>
    <m/>
    <m/>
    <m/>
    <m/>
    <s v="C3163"/>
    <s v="Candidate_2163"/>
    <m/>
    <x v="1"/>
    <s v="Linkedin"/>
    <n v="6"/>
    <m/>
    <x v="0"/>
    <m/>
    <m/>
    <x v="0"/>
    <x v="0"/>
    <m/>
    <x v="1"/>
    <x v="0"/>
  </r>
  <r>
    <n v="142"/>
    <s v="142 | Capacity Building"/>
    <x v="29"/>
    <x v="9"/>
    <x v="40"/>
    <x v="13"/>
    <s v="Capacity Building-Auditor"/>
    <x v="4"/>
    <d v="2022-03-08T23:34:26"/>
    <x v="1205"/>
    <x v="330"/>
    <n v="8"/>
    <d v="2022-04-13T23:34:26"/>
    <s v="Yes"/>
    <d v="2022-03-26T23:34:26"/>
    <x v="4"/>
    <x v="1"/>
    <d v="2022-03-31T23:34:26"/>
    <s v="Pending"/>
    <m/>
    <m/>
    <d v="2022-03-30T23:34:26"/>
    <m/>
    <x v="0"/>
    <m/>
    <m/>
    <m/>
    <m/>
    <m/>
    <m/>
    <s v="C3164"/>
    <s v="Candidate_2164"/>
    <s v="08/03/2022"/>
    <x v="1"/>
    <s v="Linkedin"/>
    <n v="3"/>
    <m/>
    <x v="0"/>
    <m/>
    <m/>
    <x v="0"/>
    <x v="0"/>
    <m/>
    <x v="1"/>
    <x v="0"/>
  </r>
  <r>
    <n v="115"/>
    <s v="115 | Capacity Building"/>
    <x v="27"/>
    <x v="9"/>
    <x v="40"/>
    <x v="13"/>
    <s v="Capacity Building-Auditor"/>
    <x v="4"/>
    <d v="2022-06-26T04:45:15"/>
    <x v="1174"/>
    <x v="331"/>
    <n v="8"/>
    <d v="2022-08-01T04:45:15"/>
    <s v="Yes"/>
    <d v="2022-07-18T04:45:15"/>
    <x v="0"/>
    <x v="5"/>
    <m/>
    <m/>
    <m/>
    <m/>
    <m/>
    <m/>
    <x v="0"/>
    <m/>
    <m/>
    <m/>
    <m/>
    <s v="Candidate"/>
    <m/>
    <s v="C3165"/>
    <s v="Candidate_2165"/>
    <s v="03/07/2022"/>
    <x v="2"/>
    <s v="Job Board"/>
    <n v="6"/>
    <m/>
    <x v="0"/>
    <m/>
    <m/>
    <x v="0"/>
    <x v="0"/>
    <m/>
    <x v="1"/>
    <x v="0"/>
  </r>
  <r>
    <n v="112"/>
    <s v="112 | Capacity Building"/>
    <x v="27"/>
    <x v="9"/>
    <x v="40"/>
    <x v="13"/>
    <s v="Capacity Building-Auditor"/>
    <x v="4"/>
    <d v="2022-07-01T04:45:15"/>
    <x v="1206"/>
    <x v="331"/>
    <n v="3"/>
    <d v="2022-07-31T04:45:15"/>
    <s v="Yes"/>
    <d v="2022-07-10T04:45:15"/>
    <x v="3"/>
    <x v="1"/>
    <d v="2022-07-16T04:45:15"/>
    <s v="Accepted"/>
    <d v="2022-07-11T04:45:15"/>
    <d v="2022-07-15T04:45:15"/>
    <d v="2022-07-12T04:45:15"/>
    <d v="2022-07-13T04:45:15"/>
    <x v="1"/>
    <d v="2022-07-15T04:45:15"/>
    <d v="2022-07-16T04:45:15"/>
    <d v="2022-07-19T04:45:15"/>
    <m/>
    <m/>
    <d v="2022-08-09T04:45:15"/>
    <s v="C3166"/>
    <s v="Candidate_2166"/>
    <s v="Jul 04 2022"/>
    <x v="1"/>
    <s v="Linkedin"/>
    <n v="6"/>
    <m/>
    <x v="0"/>
    <m/>
    <m/>
    <x v="0"/>
    <x v="0"/>
    <m/>
    <x v="245"/>
    <x v="0"/>
  </r>
  <r>
    <n v="60"/>
    <s v="60 | Capacity Building"/>
    <x v="28"/>
    <x v="9"/>
    <x v="40"/>
    <x v="13"/>
    <s v="Capacity Building-Auditor"/>
    <x v="4"/>
    <d v="2022-07-31T00:18:39"/>
    <x v="1207"/>
    <x v="332"/>
    <n v="4"/>
    <d v="2022-08-09T00:18:39"/>
    <s v="No"/>
    <m/>
    <x v="2"/>
    <x v="1"/>
    <m/>
    <m/>
    <m/>
    <m/>
    <m/>
    <m/>
    <x v="0"/>
    <m/>
    <m/>
    <m/>
    <m/>
    <m/>
    <m/>
    <s v="C3167"/>
    <s v="Candidate_2167"/>
    <m/>
    <x v="2"/>
    <s v="Job Board"/>
    <n v="6"/>
    <m/>
    <x v="0"/>
    <m/>
    <m/>
    <x v="0"/>
    <x v="0"/>
    <m/>
    <x v="1"/>
    <x v="0"/>
  </r>
  <r>
    <n v="59"/>
    <s v="59 | Capacity Building"/>
    <x v="29"/>
    <x v="9"/>
    <x v="40"/>
    <x v="13"/>
    <s v="Capacity Building-Auditor"/>
    <x v="4"/>
    <d v="2022-07-29T00:18:39"/>
    <x v="1208"/>
    <x v="332"/>
    <n v="6"/>
    <d v="2022-09-03T00:18:39"/>
    <s v="Yes"/>
    <d v="2022-08-17T00:18:39"/>
    <x v="0"/>
    <x v="0"/>
    <m/>
    <m/>
    <m/>
    <m/>
    <d v="2022-08-20T00:18:39"/>
    <m/>
    <x v="0"/>
    <m/>
    <m/>
    <m/>
    <m/>
    <s v="Candidate"/>
    <m/>
    <s v="C3168"/>
    <s v="Candidate_2168"/>
    <s v="08-07-2022"/>
    <x v="1"/>
    <s v="Linkedin"/>
    <n v="3"/>
    <m/>
    <x v="0"/>
    <m/>
    <m/>
    <x v="0"/>
    <x v="0"/>
    <m/>
    <x v="1"/>
    <x v="0"/>
  </r>
  <r>
    <n v="51"/>
    <s v="51 | Capacity Building"/>
    <x v="27"/>
    <x v="9"/>
    <x v="40"/>
    <x v="13"/>
    <s v="Capacity Building-Auditor"/>
    <x v="4"/>
    <d v="2022-07-29T00:18:39"/>
    <x v="1209"/>
    <x v="332"/>
    <n v="6"/>
    <d v="2022-08-15T00:18:39"/>
    <s v="No"/>
    <m/>
    <x v="2"/>
    <x v="1"/>
    <m/>
    <m/>
    <m/>
    <m/>
    <m/>
    <m/>
    <x v="0"/>
    <m/>
    <m/>
    <m/>
    <m/>
    <m/>
    <m/>
    <s v="C3169"/>
    <s v="Candidate_2169"/>
    <m/>
    <x v="1"/>
    <s v="Linkedin"/>
    <n v="3"/>
    <m/>
    <x v="0"/>
    <m/>
    <m/>
    <x v="0"/>
    <x v="0"/>
    <m/>
    <x v="1"/>
    <x v="0"/>
  </r>
  <r>
    <n v="2952"/>
    <s v="2952 | Capacity Building"/>
    <x v="29"/>
    <x v="9"/>
    <x v="41"/>
    <x v="6"/>
    <s v="Capacity Building-Manager"/>
    <x v="5"/>
    <d v="2023-03-31T15:39:13"/>
    <x v="818"/>
    <x v="255"/>
    <n v="9"/>
    <d v="2023-05-24T15:39:13"/>
    <s v="No"/>
    <m/>
    <x v="2"/>
    <x v="1"/>
    <m/>
    <m/>
    <m/>
    <m/>
    <m/>
    <m/>
    <x v="0"/>
    <m/>
    <m/>
    <m/>
    <m/>
    <m/>
    <m/>
    <s v="C3170"/>
    <s v="Candidate_2170"/>
    <m/>
    <x v="0"/>
    <s v="Referral"/>
    <n v="6"/>
    <m/>
    <x v="0"/>
    <m/>
    <m/>
    <x v="0"/>
    <x v="0"/>
    <m/>
    <x v="1"/>
    <x v="0"/>
  </r>
  <r>
    <n v="2934"/>
    <s v="2934 | Capacity Building"/>
    <x v="27"/>
    <x v="9"/>
    <x v="41"/>
    <x v="6"/>
    <s v="Capacity Building-Manager"/>
    <x v="5"/>
    <d v="2023-02-10T13:12:09"/>
    <x v="1210"/>
    <x v="342"/>
    <n v="9"/>
    <d v="2023-04-05T13:12:09"/>
    <s v="No"/>
    <m/>
    <x v="2"/>
    <x v="1"/>
    <m/>
    <m/>
    <m/>
    <m/>
    <m/>
    <m/>
    <x v="0"/>
    <m/>
    <m/>
    <m/>
    <m/>
    <m/>
    <m/>
    <s v="C3171"/>
    <s v="Candidate_2171"/>
    <m/>
    <x v="1"/>
    <s v="Linkedin"/>
    <n v="3"/>
    <m/>
    <x v="0"/>
    <m/>
    <m/>
    <x v="0"/>
    <x v="0"/>
    <m/>
    <x v="1"/>
    <x v="0"/>
  </r>
  <r>
    <n v="2805"/>
    <s v="2805 | Capacity Building"/>
    <x v="28"/>
    <x v="9"/>
    <x v="41"/>
    <x v="6"/>
    <s v="Capacity Building-Manager"/>
    <x v="5"/>
    <d v="2023-06-03T18:40:56"/>
    <x v="1211"/>
    <x v="4"/>
    <n v="-45080.778425925928"/>
    <d v="2023-06-23T18:40:56"/>
    <s v="Yes"/>
    <d v="2023-06-23T18:40:56"/>
    <x v="3"/>
    <x v="1"/>
    <d v="2023-06-27T18:40:56"/>
    <s v="Accepted"/>
    <d v="2023-06-24T18:40:56"/>
    <d v="2023-06-27T18:40:56"/>
    <d v="2023-06-24T18:40:56"/>
    <d v="2023-07-04T18:40:56"/>
    <x v="1"/>
    <d v="2023-07-08T18:40:56"/>
    <d v="2023-07-11T18:40:56"/>
    <d v="2023-07-14T18:40:56"/>
    <m/>
    <m/>
    <d v="2023-08-04T18:40:56"/>
    <s v="C3172"/>
    <s v="Candidate_2172"/>
    <s v="11/06/2023"/>
    <x v="1"/>
    <s v="Linkedin"/>
    <n v="3"/>
    <m/>
    <x v="0"/>
    <m/>
    <m/>
    <x v="0"/>
    <x v="0"/>
    <m/>
    <x v="0"/>
    <x v="0"/>
  </r>
  <r>
    <n v="2798"/>
    <s v="2798 | Capacity Building"/>
    <x v="27"/>
    <x v="9"/>
    <x v="41"/>
    <x v="6"/>
    <s v="Capacity Building-Manager"/>
    <x v="5"/>
    <d v="2023-06-25T20:01:36"/>
    <x v="735"/>
    <x v="228"/>
    <n v="7"/>
    <d v="2023-07-14T20:01:36"/>
    <s v="Yes"/>
    <d v="2023-07-04T20:01:36"/>
    <x v="3"/>
    <x v="1"/>
    <d v="2023-07-07T20:01:36"/>
    <s v="Accepted"/>
    <d v="2023-07-05T20:01:36"/>
    <d v="2023-07-09T20:01:36"/>
    <d v="2023-07-05T20:01:36"/>
    <d v="2023-07-11T20:01:36"/>
    <x v="1"/>
    <d v="2023-07-14T20:01:36"/>
    <d v="2023-07-15T20:01:36"/>
    <d v="2023-07-18T20:01:36"/>
    <m/>
    <m/>
    <d v="2023-08-05T20:01:36"/>
    <s v="C3173"/>
    <s v="Candidate_2173"/>
    <s v="29/06/2023"/>
    <x v="0"/>
    <s v="Referral"/>
    <n v="3"/>
    <m/>
    <x v="0"/>
    <m/>
    <m/>
    <x v="0"/>
    <x v="0"/>
    <m/>
    <x v="246"/>
    <x v="0"/>
  </r>
  <r>
    <n v="2766"/>
    <s v="2766 | Capacity Building"/>
    <x v="27"/>
    <x v="9"/>
    <x v="41"/>
    <x v="6"/>
    <s v="Capacity Building-Manager"/>
    <x v="5"/>
    <d v="2022-09-03T07:14:27"/>
    <x v="1212"/>
    <x v="209"/>
    <n v="6"/>
    <d v="2022-09-19T07:14:27"/>
    <s v="Yes"/>
    <d v="2022-09-15T07:14:27"/>
    <x v="3"/>
    <x v="1"/>
    <d v="2022-09-23T07:14:27"/>
    <s v="Accepted"/>
    <d v="2022-09-16T07:14:27"/>
    <d v="2022-09-19T07:14:27"/>
    <d v="2022-09-19T07:14:27"/>
    <d v="2022-09-21T07:14:27"/>
    <x v="1"/>
    <d v="2022-09-25T07:14:27"/>
    <d v="2022-09-27T07:14:27"/>
    <d v="2022-09-29T07:14:27"/>
    <m/>
    <m/>
    <d v="2022-10-10T07:14:27"/>
    <s v="C3174"/>
    <s v="Candidate_2174"/>
    <s v="Aug 30 2022"/>
    <x v="2"/>
    <s v="Job Board"/>
    <n v="6"/>
    <m/>
    <x v="0"/>
    <m/>
    <m/>
    <x v="0"/>
    <x v="0"/>
    <m/>
    <x v="247"/>
    <x v="0"/>
  </r>
  <r>
    <n v="2705"/>
    <s v="2705 | Capacity Building"/>
    <x v="27"/>
    <x v="9"/>
    <x v="41"/>
    <x v="6"/>
    <s v="Capacity Building-Manager"/>
    <x v="5"/>
    <d v="2022-09-26T11:53:56"/>
    <x v="823"/>
    <x v="4"/>
    <n v="-44830.495787037027"/>
    <d v="2022-10-30T11:53:56"/>
    <s v="No"/>
    <m/>
    <x v="2"/>
    <x v="1"/>
    <m/>
    <m/>
    <m/>
    <m/>
    <m/>
    <m/>
    <x v="0"/>
    <m/>
    <m/>
    <m/>
    <m/>
    <m/>
    <m/>
    <s v="C3175"/>
    <s v="Candidate_2175"/>
    <m/>
    <x v="0"/>
    <s v="Referral"/>
    <n v="3"/>
    <m/>
    <x v="0"/>
    <m/>
    <m/>
    <x v="0"/>
    <x v="0"/>
    <m/>
    <x v="0"/>
    <x v="0"/>
  </r>
  <r>
    <n v="2615"/>
    <s v="2615 | Capacity Building"/>
    <x v="27"/>
    <x v="9"/>
    <x v="41"/>
    <x v="6"/>
    <s v="Capacity Building-Manager"/>
    <x v="5"/>
    <d v="2023-01-05T09:06:31"/>
    <x v="1213"/>
    <x v="231"/>
    <n v="5"/>
    <d v="2023-01-16T09:06:31"/>
    <s v="No"/>
    <m/>
    <x v="2"/>
    <x v="1"/>
    <m/>
    <m/>
    <m/>
    <m/>
    <m/>
    <m/>
    <x v="0"/>
    <m/>
    <m/>
    <m/>
    <m/>
    <m/>
    <m/>
    <s v="C3176"/>
    <s v="Candidate_2176"/>
    <m/>
    <x v="2"/>
    <s v="Job Board"/>
    <n v="3"/>
    <m/>
    <x v="0"/>
    <m/>
    <m/>
    <x v="0"/>
    <x v="0"/>
    <m/>
    <x v="1"/>
    <x v="0"/>
  </r>
  <r>
    <n v="2611"/>
    <s v="2611 | Capacity Building"/>
    <x v="28"/>
    <x v="9"/>
    <x v="41"/>
    <x v="6"/>
    <s v="Capacity Building-Manager"/>
    <x v="5"/>
    <d v="2023-01-07T09:06:31"/>
    <x v="741"/>
    <x v="4"/>
    <n v="-44933.379525462973"/>
    <d v="2023-01-19T09:06:31"/>
    <s v="No"/>
    <m/>
    <x v="2"/>
    <x v="1"/>
    <m/>
    <m/>
    <m/>
    <m/>
    <m/>
    <m/>
    <x v="0"/>
    <m/>
    <m/>
    <m/>
    <m/>
    <m/>
    <m/>
    <s v="C3177"/>
    <s v="Candidate_2177"/>
    <m/>
    <x v="2"/>
    <s v="Job Board"/>
    <n v="6"/>
    <m/>
    <x v="0"/>
    <m/>
    <m/>
    <x v="0"/>
    <x v="0"/>
    <m/>
    <x v="0"/>
    <x v="0"/>
  </r>
  <r>
    <n v="2575"/>
    <s v="2575 | Capacity Building"/>
    <x v="27"/>
    <x v="9"/>
    <x v="41"/>
    <x v="6"/>
    <s v="Capacity Building-Manager"/>
    <x v="5"/>
    <d v="2022-03-21T17:14:32"/>
    <x v="1178"/>
    <x v="233"/>
    <n v="4"/>
    <d v="2022-04-14T17:14:32"/>
    <s v="Yes"/>
    <d v="2022-03-30T17:14:32"/>
    <x v="3"/>
    <x v="1"/>
    <d v="2022-04-05T17:14:32"/>
    <s v="Accepted"/>
    <d v="2022-03-31T17:14:32"/>
    <d v="2022-04-04T17:14:32"/>
    <d v="2022-04-03T17:14:32"/>
    <d v="2022-04-04T17:14:32"/>
    <x v="1"/>
    <d v="2022-04-08T17:14:32"/>
    <d v="2022-04-10T17:14:32"/>
    <d v="2022-04-11T17:14:32"/>
    <m/>
    <m/>
    <d v="2022-04-22T17:14:32"/>
    <s v="C3178"/>
    <s v="Candidate_2178"/>
    <s v="22/03/2022"/>
    <x v="1"/>
    <s v="Linkedin"/>
    <n v="6"/>
    <m/>
    <x v="0"/>
    <m/>
    <m/>
    <x v="0"/>
    <x v="0"/>
    <m/>
    <x v="248"/>
    <x v="0"/>
  </r>
  <r>
    <n v="2523"/>
    <s v="2523 | Capacity Building"/>
    <x v="27"/>
    <x v="9"/>
    <x v="41"/>
    <x v="6"/>
    <s v="Capacity Building-Manager"/>
    <x v="5"/>
    <d v="2023-04-12T18:41:30"/>
    <x v="775"/>
    <x v="4"/>
    <n v="-45028.778819444437"/>
    <d v="2023-04-25T18:41:30"/>
    <s v="Yes"/>
    <d v="2023-05-01T18:41:30"/>
    <x v="3"/>
    <x v="1"/>
    <d v="2023-05-08T18:41:30"/>
    <s v="Accepted"/>
    <d v="2023-05-02T18:41:30"/>
    <d v="2023-05-03T18:41:30"/>
    <d v="2023-05-04T18:41:30"/>
    <d v="2023-05-07T18:41:30"/>
    <x v="1"/>
    <d v="2023-05-11T18:41:30"/>
    <d v="2023-05-12T18:41:30"/>
    <d v="2023-05-14T18:41:30"/>
    <m/>
    <m/>
    <d v="2023-05-23T18:41:30"/>
    <s v="C3179"/>
    <s v="Candidate_2179"/>
    <s v="24/04/2023"/>
    <x v="0"/>
    <s v="Referral"/>
    <n v="6"/>
    <m/>
    <x v="0"/>
    <m/>
    <m/>
    <x v="0"/>
    <x v="0"/>
    <m/>
    <x v="0"/>
    <x v="0"/>
  </r>
  <r>
    <n v="2134"/>
    <s v="2134 | Capacity Building"/>
    <x v="29"/>
    <x v="9"/>
    <x v="41"/>
    <x v="6"/>
    <s v="Capacity Building-Manager"/>
    <x v="5"/>
    <d v="2022-08-03T12:23:45"/>
    <x v="807"/>
    <x v="244"/>
    <n v="5"/>
    <d v="2022-08-29T12:23:45"/>
    <s v="No"/>
    <m/>
    <x v="2"/>
    <x v="1"/>
    <m/>
    <m/>
    <m/>
    <m/>
    <m/>
    <m/>
    <x v="0"/>
    <m/>
    <m/>
    <m/>
    <m/>
    <m/>
    <m/>
    <s v="C3180"/>
    <s v="Candidate_2180"/>
    <m/>
    <x v="1"/>
    <s v="Linkedin"/>
    <n v="3"/>
    <m/>
    <x v="0"/>
    <m/>
    <m/>
    <x v="0"/>
    <x v="0"/>
    <m/>
    <x v="1"/>
    <x v="0"/>
  </r>
  <r>
    <n v="2102"/>
    <s v="2102 | Capacity Building"/>
    <x v="27"/>
    <x v="9"/>
    <x v="41"/>
    <x v="6"/>
    <s v="Capacity Building-Manager"/>
    <x v="5"/>
    <d v="2022-05-05T00:32:09"/>
    <x v="1214"/>
    <x v="245"/>
    <n v="6"/>
    <d v="2022-06-05T00:32:09"/>
    <s v="No"/>
    <m/>
    <x v="2"/>
    <x v="1"/>
    <m/>
    <m/>
    <m/>
    <m/>
    <m/>
    <m/>
    <x v="0"/>
    <m/>
    <m/>
    <m/>
    <m/>
    <m/>
    <m/>
    <s v="C3181"/>
    <s v="Candidate_2181"/>
    <m/>
    <x v="2"/>
    <s v="Job Board"/>
    <n v="3"/>
    <m/>
    <x v="0"/>
    <m/>
    <m/>
    <x v="0"/>
    <x v="0"/>
    <m/>
    <x v="1"/>
    <x v="0"/>
  </r>
  <r>
    <n v="2039"/>
    <s v="2039 | Capacity Building"/>
    <x v="27"/>
    <x v="9"/>
    <x v="41"/>
    <x v="6"/>
    <s v="Capacity Building-Manager"/>
    <x v="5"/>
    <d v="2022-03-25T20:40:01"/>
    <x v="0"/>
    <x v="236"/>
    <n v="7"/>
    <d v="2022-04-25T20:40:01"/>
    <s v="No"/>
    <m/>
    <x v="2"/>
    <x v="1"/>
    <m/>
    <m/>
    <m/>
    <m/>
    <m/>
    <m/>
    <x v="0"/>
    <m/>
    <m/>
    <m/>
    <m/>
    <m/>
    <m/>
    <s v="C3182"/>
    <s v="Candidate_2182"/>
    <m/>
    <x v="1"/>
    <s v="Linkedin"/>
    <n v="3"/>
    <m/>
    <x v="0"/>
    <m/>
    <m/>
    <x v="0"/>
    <x v="0"/>
    <m/>
    <x v="0"/>
    <x v="0"/>
  </r>
  <r>
    <n v="1718"/>
    <s v="1718 | Capacity Building"/>
    <x v="29"/>
    <x v="9"/>
    <x v="41"/>
    <x v="6"/>
    <s v="Capacity Building-Manager"/>
    <x v="5"/>
    <d v="2021-12-31T01:51:52"/>
    <x v="753"/>
    <x v="238"/>
    <n v="7"/>
    <d v="2022-02-02T01:51:52"/>
    <s v="No"/>
    <m/>
    <x v="2"/>
    <x v="1"/>
    <m/>
    <m/>
    <m/>
    <m/>
    <m/>
    <m/>
    <x v="0"/>
    <m/>
    <m/>
    <m/>
    <m/>
    <m/>
    <m/>
    <s v="C3183"/>
    <s v="Candidate_2183"/>
    <m/>
    <x v="0"/>
    <s v="Referral"/>
    <n v="3"/>
    <m/>
    <x v="0"/>
    <m/>
    <m/>
    <x v="0"/>
    <x v="0"/>
    <m/>
    <x v="1"/>
    <x v="0"/>
  </r>
  <r>
    <n v="1716"/>
    <s v="1716 | Capacity Building"/>
    <x v="27"/>
    <x v="9"/>
    <x v="41"/>
    <x v="6"/>
    <s v="Capacity Building-Manager"/>
    <x v="5"/>
    <d v="2022-01-02T01:51:52"/>
    <x v="784"/>
    <x v="4"/>
    <n v="-44563.077685185177"/>
    <d v="2022-01-16T01:51:52"/>
    <s v="No"/>
    <m/>
    <x v="2"/>
    <x v="1"/>
    <m/>
    <m/>
    <m/>
    <m/>
    <m/>
    <m/>
    <x v="0"/>
    <m/>
    <m/>
    <m/>
    <m/>
    <m/>
    <m/>
    <s v="C3184"/>
    <s v="Candidate_2184"/>
    <m/>
    <x v="0"/>
    <s v="Referral"/>
    <n v="6"/>
    <m/>
    <x v="0"/>
    <m/>
    <m/>
    <x v="0"/>
    <x v="0"/>
    <m/>
    <x v="0"/>
    <x v="0"/>
  </r>
  <r>
    <n v="1713"/>
    <s v="1713 | Capacity Building"/>
    <x v="29"/>
    <x v="9"/>
    <x v="41"/>
    <x v="6"/>
    <s v="Capacity Building-Manager"/>
    <x v="5"/>
    <d v="2022-01-02T01:51:52"/>
    <x v="784"/>
    <x v="238"/>
    <n v="5"/>
    <d v="2022-02-06T01:51:52"/>
    <s v="No"/>
    <m/>
    <x v="2"/>
    <x v="1"/>
    <m/>
    <m/>
    <m/>
    <m/>
    <m/>
    <m/>
    <x v="0"/>
    <m/>
    <m/>
    <m/>
    <m/>
    <m/>
    <m/>
    <s v="C3185"/>
    <s v="Candidate_2185"/>
    <m/>
    <x v="2"/>
    <s v="Job Board"/>
    <n v="6"/>
    <m/>
    <x v="0"/>
    <m/>
    <m/>
    <x v="0"/>
    <x v="0"/>
    <m/>
    <x v="1"/>
    <x v="0"/>
  </r>
  <r>
    <n v="1461"/>
    <s v="1461 | Capacity Building"/>
    <x v="28"/>
    <x v="9"/>
    <x v="41"/>
    <x v="6"/>
    <s v="Capacity Building-Manager"/>
    <x v="5"/>
    <d v="2023-03-20T03:24:12"/>
    <x v="760"/>
    <x v="216"/>
    <n v="3"/>
    <d v="2023-04-06T03:24:12"/>
    <s v="Yes"/>
    <d v="2023-04-08T03:24:12"/>
    <x v="3"/>
    <x v="1"/>
    <d v="2023-04-12T03:24:12"/>
    <s v="Accepted"/>
    <d v="2023-04-09T03:24:12"/>
    <d v="2023-04-13T03:24:12"/>
    <d v="2023-04-09T03:24:12"/>
    <d v="2023-04-14T03:24:12"/>
    <x v="1"/>
    <d v="2023-04-18T03:24:12"/>
    <d v="2023-04-19T03:24:12"/>
    <d v="2023-04-21T03:24:12"/>
    <m/>
    <m/>
    <d v="2023-05-07T03:24:12"/>
    <s v="C3186"/>
    <s v="Candidate_2186"/>
    <s v="20/03/2023"/>
    <x v="2"/>
    <s v="Job Board"/>
    <n v="3"/>
    <m/>
    <x v="0"/>
    <m/>
    <m/>
    <x v="0"/>
    <x v="0"/>
    <m/>
    <x v="249"/>
    <x v="0"/>
  </r>
  <r>
    <n v="1246"/>
    <s v="1246 | Capacity Building"/>
    <x v="28"/>
    <x v="9"/>
    <x v="41"/>
    <x v="6"/>
    <s v="Capacity Building-Manager"/>
    <x v="5"/>
    <d v="2022-06-24T20:09:31"/>
    <x v="723"/>
    <x v="218"/>
    <n v="5"/>
    <d v="2022-07-29T20:09:31"/>
    <s v="Yes"/>
    <d v="2022-07-04T20:09:31"/>
    <x v="3"/>
    <x v="1"/>
    <d v="2022-07-08T20:09:31"/>
    <s v="Accepted"/>
    <d v="2022-07-06T20:09:31"/>
    <d v="2022-07-10T20:09:31"/>
    <d v="2022-07-06T20:09:31"/>
    <d v="2022-07-07T20:09:31"/>
    <x v="1"/>
    <d v="2022-07-09T20:09:31"/>
    <d v="2022-07-12T20:09:31"/>
    <d v="2022-07-15T20:09:31"/>
    <m/>
    <m/>
    <d v="2022-07-28T20:09:31"/>
    <s v="C3187"/>
    <s v="Candidate_2187"/>
    <s v="Jun 19 2022"/>
    <x v="0"/>
    <s v="Referral"/>
    <n v="6"/>
    <m/>
    <x v="0"/>
    <m/>
    <m/>
    <x v="0"/>
    <x v="0"/>
    <m/>
    <x v="250"/>
    <x v="0"/>
  </r>
  <r>
    <n v="1241"/>
    <s v="1241 | Capacity Building"/>
    <x v="29"/>
    <x v="9"/>
    <x v="41"/>
    <x v="6"/>
    <s v="Capacity Building-Manager"/>
    <x v="5"/>
    <d v="2022-06-22T20:09:31"/>
    <x v="834"/>
    <x v="4"/>
    <n v="-44734.839942129627"/>
    <d v="2022-07-19T20:09:31"/>
    <s v="No"/>
    <m/>
    <x v="2"/>
    <x v="1"/>
    <m/>
    <m/>
    <m/>
    <m/>
    <m/>
    <m/>
    <x v="0"/>
    <m/>
    <m/>
    <m/>
    <m/>
    <m/>
    <m/>
    <s v="C3188"/>
    <s v="Candidate_2188"/>
    <m/>
    <x v="2"/>
    <s v="Job Board"/>
    <n v="3"/>
    <m/>
    <x v="0"/>
    <m/>
    <m/>
    <x v="0"/>
    <x v="0"/>
    <m/>
    <x v="0"/>
    <x v="0"/>
  </r>
  <r>
    <n v="1102"/>
    <s v="1102 | Capacity Building"/>
    <x v="28"/>
    <x v="9"/>
    <x v="41"/>
    <x v="6"/>
    <s v="Capacity Building-Manager"/>
    <x v="5"/>
    <d v="2022-04-28T22:53:34"/>
    <x v="1215"/>
    <x v="222"/>
    <n v="2"/>
    <d v="2022-05-15T22:53:34"/>
    <s v="No"/>
    <m/>
    <x v="2"/>
    <x v="1"/>
    <m/>
    <m/>
    <m/>
    <m/>
    <m/>
    <m/>
    <x v="0"/>
    <m/>
    <m/>
    <m/>
    <m/>
    <m/>
    <m/>
    <s v="C3189"/>
    <s v="Candidate_2189"/>
    <m/>
    <x v="1"/>
    <s v="Linkedin"/>
    <n v="6"/>
    <m/>
    <x v="0"/>
    <m/>
    <m/>
    <x v="0"/>
    <x v="0"/>
    <m/>
    <x v="1"/>
    <x v="0"/>
  </r>
  <r>
    <n v="1079"/>
    <s v="1079 | Capacity Building"/>
    <x v="29"/>
    <x v="9"/>
    <x v="41"/>
    <x v="6"/>
    <s v="Capacity Building-Manager"/>
    <x v="5"/>
    <d v="2022-02-10T23:46:40"/>
    <x v="787"/>
    <x v="223"/>
    <n v="5"/>
    <d v="2022-03-10T23:46:40"/>
    <s v="No"/>
    <m/>
    <x v="2"/>
    <x v="1"/>
    <m/>
    <m/>
    <m/>
    <m/>
    <m/>
    <m/>
    <x v="0"/>
    <m/>
    <m/>
    <m/>
    <m/>
    <m/>
    <m/>
    <s v="C3190"/>
    <s v="Candidate_2190"/>
    <m/>
    <x v="0"/>
    <s v="Referral"/>
    <n v="6"/>
    <m/>
    <x v="0"/>
    <m/>
    <m/>
    <x v="0"/>
    <x v="0"/>
    <m/>
    <x v="1"/>
    <x v="0"/>
  </r>
  <r>
    <n v="928"/>
    <s v="928 | Capacity Building"/>
    <x v="28"/>
    <x v="9"/>
    <x v="41"/>
    <x v="6"/>
    <s v="Capacity Building-Manager"/>
    <x v="5"/>
    <d v="2023-05-28T11:51:22"/>
    <x v="1181"/>
    <x v="334"/>
    <n v="6"/>
    <d v="2023-06-30T11:51:22"/>
    <s v="No"/>
    <m/>
    <x v="2"/>
    <x v="1"/>
    <m/>
    <m/>
    <m/>
    <m/>
    <m/>
    <m/>
    <x v="0"/>
    <m/>
    <m/>
    <m/>
    <m/>
    <m/>
    <m/>
    <s v="C3191"/>
    <s v="Candidate_2191"/>
    <m/>
    <x v="0"/>
    <s v="Referral"/>
    <n v="3"/>
    <m/>
    <x v="0"/>
    <m/>
    <m/>
    <x v="0"/>
    <x v="0"/>
    <m/>
    <x v="1"/>
    <x v="0"/>
  </r>
  <r>
    <n v="924"/>
    <s v="924 | Capacity Building"/>
    <x v="29"/>
    <x v="9"/>
    <x v="41"/>
    <x v="6"/>
    <s v="Capacity Building-Manager"/>
    <x v="5"/>
    <d v="2023-05-29T11:51:22"/>
    <x v="1181"/>
    <x v="334"/>
    <n v="5"/>
    <d v="2023-06-08T11:51:22"/>
    <s v="Yes"/>
    <d v="2023-06-06T11:51:22"/>
    <x v="0"/>
    <x v="3"/>
    <m/>
    <m/>
    <m/>
    <m/>
    <d v="2023-06-09T11:51:22"/>
    <m/>
    <x v="0"/>
    <m/>
    <m/>
    <m/>
    <m/>
    <s v="Company"/>
    <m/>
    <s v="C3192"/>
    <s v="Candidate_2192"/>
    <s v="05-21-2023"/>
    <x v="1"/>
    <s v="Linkedin"/>
    <n v="6"/>
    <m/>
    <x v="0"/>
    <m/>
    <m/>
    <x v="0"/>
    <x v="0"/>
    <m/>
    <x v="1"/>
    <x v="0"/>
  </r>
  <r>
    <n v="806"/>
    <s v="806 | Capacity Building"/>
    <x v="27"/>
    <x v="9"/>
    <x v="41"/>
    <x v="6"/>
    <s v="Capacity Building-Manager"/>
    <x v="5"/>
    <d v="2023-01-14T21:41:28"/>
    <x v="1216"/>
    <x v="335"/>
    <n v="4"/>
    <d v="2023-02-03T21:41:28"/>
    <s v="No"/>
    <m/>
    <x v="2"/>
    <x v="1"/>
    <m/>
    <m/>
    <m/>
    <m/>
    <m/>
    <m/>
    <x v="0"/>
    <m/>
    <m/>
    <m/>
    <m/>
    <m/>
    <m/>
    <s v="C3193"/>
    <s v="Candidate_2193"/>
    <m/>
    <x v="2"/>
    <s v="Job Board"/>
    <n v="3"/>
    <m/>
    <x v="0"/>
    <m/>
    <m/>
    <x v="0"/>
    <x v="0"/>
    <m/>
    <x v="1"/>
    <x v="0"/>
  </r>
  <r>
    <n v="804"/>
    <s v="804 | Capacity Building"/>
    <x v="27"/>
    <x v="9"/>
    <x v="41"/>
    <x v="6"/>
    <s v="Capacity Building-Manager"/>
    <x v="5"/>
    <d v="2023-01-10T21:41:28"/>
    <x v="1217"/>
    <x v="335"/>
    <n v="8"/>
    <d v="2023-02-16T21:41:28"/>
    <s v="Yes"/>
    <d v="2023-02-02T21:41:28"/>
    <x v="0"/>
    <x v="4"/>
    <m/>
    <m/>
    <m/>
    <m/>
    <d v="2023-02-03T21:41:28"/>
    <m/>
    <x v="0"/>
    <m/>
    <m/>
    <m/>
    <m/>
    <s v="Candidate"/>
    <m/>
    <s v="C3194"/>
    <s v="Candidate_2194"/>
    <s v="Jan 16 2023"/>
    <x v="0"/>
    <s v="Referral"/>
    <n v="6"/>
    <m/>
    <x v="0"/>
    <m/>
    <m/>
    <x v="0"/>
    <x v="0"/>
    <m/>
    <x v="1"/>
    <x v="0"/>
  </r>
  <r>
    <n v="775"/>
    <s v="775 | Capacity Building"/>
    <x v="27"/>
    <x v="9"/>
    <x v="41"/>
    <x v="6"/>
    <s v="Capacity Building-Manager"/>
    <x v="5"/>
    <d v="2023-03-25T09:31:46"/>
    <x v="1218"/>
    <x v="336"/>
    <n v="2"/>
    <d v="2023-04-13T09:31:46"/>
    <s v="Yes"/>
    <d v="2023-04-05T09:31:46"/>
    <x v="0"/>
    <x v="5"/>
    <m/>
    <m/>
    <m/>
    <m/>
    <d v="2023-04-08T09:31:46"/>
    <m/>
    <x v="0"/>
    <m/>
    <m/>
    <m/>
    <m/>
    <s v="Candidate"/>
    <m/>
    <s v="C3195"/>
    <s v="Candidate_2195"/>
    <s v="03-23-2023"/>
    <x v="2"/>
    <s v="Job Board"/>
    <n v="3"/>
    <m/>
    <x v="0"/>
    <m/>
    <m/>
    <x v="0"/>
    <x v="0"/>
    <m/>
    <x v="1"/>
    <x v="0"/>
  </r>
  <r>
    <n v="772"/>
    <s v="772 | Capacity Building"/>
    <x v="29"/>
    <x v="9"/>
    <x v="41"/>
    <x v="6"/>
    <s v="Capacity Building-Manager"/>
    <x v="5"/>
    <d v="2023-03-21T09:31:46"/>
    <x v="1219"/>
    <x v="336"/>
    <n v="6"/>
    <d v="2023-04-11T09:31:46"/>
    <s v="Yes"/>
    <d v="2023-03-29T09:31:46"/>
    <x v="0"/>
    <x v="2"/>
    <m/>
    <m/>
    <m/>
    <m/>
    <d v="2023-03-30T09:31:46"/>
    <m/>
    <x v="0"/>
    <m/>
    <m/>
    <m/>
    <m/>
    <s v="Company"/>
    <m/>
    <s v="C3196"/>
    <s v="Candidate_2196"/>
    <s v="03-10-2023"/>
    <x v="2"/>
    <s v="Job Board"/>
    <n v="3"/>
    <m/>
    <x v="0"/>
    <m/>
    <m/>
    <x v="0"/>
    <x v="0"/>
    <m/>
    <x v="1"/>
    <x v="0"/>
  </r>
  <r>
    <n v="669"/>
    <s v="669 | Capacity Building"/>
    <x v="27"/>
    <x v="9"/>
    <x v="41"/>
    <x v="6"/>
    <s v="Capacity Building-Manager"/>
    <x v="5"/>
    <d v="2022-01-09T04:53:52"/>
    <x v="1220"/>
    <x v="337"/>
    <n v="6"/>
    <d v="2022-01-25T04:53:52"/>
    <s v="No"/>
    <m/>
    <x v="2"/>
    <x v="1"/>
    <m/>
    <m/>
    <m/>
    <m/>
    <m/>
    <m/>
    <x v="0"/>
    <m/>
    <m/>
    <m/>
    <m/>
    <m/>
    <m/>
    <s v="C3197"/>
    <s v="Candidate_2197"/>
    <m/>
    <x v="1"/>
    <s v="Linkedin"/>
    <n v="6"/>
    <m/>
    <x v="0"/>
    <m/>
    <m/>
    <x v="0"/>
    <x v="0"/>
    <m/>
    <x v="1"/>
    <x v="0"/>
  </r>
  <r>
    <n v="630"/>
    <s v="630 | Capacity Building"/>
    <x v="27"/>
    <x v="9"/>
    <x v="41"/>
    <x v="6"/>
    <s v="Capacity Building-Manager"/>
    <x v="5"/>
    <d v="2023-03-09T19:53:06"/>
    <x v="1221"/>
    <x v="338"/>
    <n v="6"/>
    <d v="2023-03-20T19:53:06"/>
    <s v="Yes"/>
    <d v="2023-03-27T19:53:06"/>
    <x v="1"/>
    <x v="1"/>
    <d v="2023-04-03T19:53:06"/>
    <s v="Declined"/>
    <m/>
    <m/>
    <d v="2023-03-31T19:53:06"/>
    <m/>
    <x v="0"/>
    <m/>
    <m/>
    <m/>
    <m/>
    <m/>
    <m/>
    <s v="C3198"/>
    <s v="Candidate_2198"/>
    <s v="10/03/2023"/>
    <x v="1"/>
    <s v="Linkedin"/>
    <n v="3"/>
    <m/>
    <x v="0"/>
    <m/>
    <m/>
    <x v="0"/>
    <x v="0"/>
    <m/>
    <x v="1"/>
    <x v="0"/>
  </r>
  <r>
    <n v="629"/>
    <s v="629 | Capacity Building"/>
    <x v="27"/>
    <x v="9"/>
    <x v="41"/>
    <x v="6"/>
    <s v="Capacity Building-Manager"/>
    <x v="5"/>
    <d v="2023-03-08T19:53:06"/>
    <x v="1190"/>
    <x v="338"/>
    <n v="7"/>
    <d v="2023-04-06T19:53:06"/>
    <s v="Yes"/>
    <d v="2023-04-02T19:53:06"/>
    <x v="0"/>
    <x v="2"/>
    <m/>
    <m/>
    <m/>
    <m/>
    <d v="2023-04-04T19:53:06"/>
    <m/>
    <x v="0"/>
    <m/>
    <m/>
    <m/>
    <m/>
    <s v="Candidate"/>
    <m/>
    <s v="C3199"/>
    <s v="Candidate_2199"/>
    <s v="21/03/2023"/>
    <x v="2"/>
    <s v="Job Board"/>
    <n v="3"/>
    <m/>
    <x v="0"/>
    <m/>
    <m/>
    <x v="0"/>
    <x v="0"/>
    <m/>
    <x v="1"/>
    <x v="0"/>
  </r>
  <r>
    <n v="623"/>
    <s v="623 | Capacity Building"/>
    <x v="28"/>
    <x v="9"/>
    <x v="41"/>
    <x v="6"/>
    <s v="Capacity Building-Manager"/>
    <x v="5"/>
    <d v="2023-03-06T19:53:06"/>
    <x v="1190"/>
    <x v="338"/>
    <n v="9"/>
    <d v="2023-03-20T19:53:06"/>
    <s v="Yes"/>
    <d v="2023-03-22T19:53:06"/>
    <x v="1"/>
    <x v="1"/>
    <d v="2023-03-27T19:53:06"/>
    <s v="Declined"/>
    <m/>
    <m/>
    <d v="2023-03-24T19:53:06"/>
    <m/>
    <x v="0"/>
    <m/>
    <m/>
    <m/>
    <m/>
    <m/>
    <m/>
    <s v="C3200"/>
    <s v="Candidate_2200"/>
    <s v="Mar 06 2023"/>
    <x v="0"/>
    <s v="Referral"/>
    <n v="6"/>
    <m/>
    <x v="0"/>
    <m/>
    <m/>
    <x v="0"/>
    <x v="0"/>
    <m/>
    <x v="1"/>
    <x v="0"/>
  </r>
  <r>
    <n v="622"/>
    <s v="622 | Capacity Building"/>
    <x v="27"/>
    <x v="9"/>
    <x v="41"/>
    <x v="6"/>
    <s v="Capacity Building-Manager"/>
    <x v="5"/>
    <d v="2023-03-07T19:53:06"/>
    <x v="1222"/>
    <x v="4"/>
    <n v="-44992.828541666669"/>
    <d v="2023-03-28T19:53:06"/>
    <s v="Yes"/>
    <d v="2023-03-19T19:53:06"/>
    <x v="1"/>
    <x v="1"/>
    <d v="2023-03-24T19:53:06"/>
    <s v="Declined"/>
    <m/>
    <m/>
    <d v="2023-03-23T19:53:06"/>
    <m/>
    <x v="0"/>
    <m/>
    <m/>
    <m/>
    <m/>
    <m/>
    <m/>
    <s v="C3201"/>
    <s v="Candidate_2201"/>
    <s v="07/03/2023"/>
    <x v="0"/>
    <s v="Referral"/>
    <n v="6"/>
    <m/>
    <x v="0"/>
    <m/>
    <m/>
    <x v="0"/>
    <x v="0"/>
    <m/>
    <x v="0"/>
    <x v="0"/>
  </r>
  <r>
    <n v="428"/>
    <s v="428 | Capacity Building"/>
    <x v="27"/>
    <x v="9"/>
    <x v="41"/>
    <x v="6"/>
    <s v="Capacity Building-Manager"/>
    <x v="5"/>
    <d v="2023-02-26T13:03:58"/>
    <x v="0"/>
    <x v="340"/>
    <n v="4"/>
    <d v="2023-03-27T13:03:58"/>
    <s v="Yes"/>
    <d v="2023-03-13T13:03:58"/>
    <x v="0"/>
    <x v="3"/>
    <m/>
    <m/>
    <m/>
    <m/>
    <m/>
    <m/>
    <x v="0"/>
    <m/>
    <m/>
    <m/>
    <m/>
    <s v="Candidate"/>
    <m/>
    <s v="C3202"/>
    <s v="Candidate_2202"/>
    <s v="05/03/2023"/>
    <x v="1"/>
    <s v="Linkedin"/>
    <n v="3"/>
    <m/>
    <x v="0"/>
    <m/>
    <m/>
    <x v="0"/>
    <x v="0"/>
    <m/>
    <x v="0"/>
    <x v="0"/>
  </r>
  <r>
    <n v="423"/>
    <s v="423 | Capacity Building"/>
    <x v="27"/>
    <x v="9"/>
    <x v="41"/>
    <x v="6"/>
    <s v="Capacity Building-Manager"/>
    <x v="5"/>
    <d v="2023-02-22T13:03:58"/>
    <x v="1223"/>
    <x v="340"/>
    <n v="8"/>
    <d v="2023-03-23T13:03:58"/>
    <s v="Yes"/>
    <d v="2023-03-13T13:03:58"/>
    <x v="3"/>
    <x v="1"/>
    <d v="2023-03-21T13:03:58"/>
    <s v="Accepted"/>
    <d v="2023-03-14T13:03:58"/>
    <d v="2023-03-17T13:03:58"/>
    <d v="2023-03-17T13:03:58"/>
    <d v="2023-03-20T13:03:58"/>
    <x v="1"/>
    <d v="2023-03-23T13:03:58"/>
    <d v="2023-03-24T13:03:58"/>
    <d v="2023-03-25T13:03:58"/>
    <m/>
    <m/>
    <d v="2023-04-05T13:03:58"/>
    <s v="C3203"/>
    <s v="Candidate_2203"/>
    <s v="03-07-2023"/>
    <x v="0"/>
    <s v="Referral"/>
    <n v="6"/>
    <m/>
    <x v="0"/>
    <m/>
    <m/>
    <x v="0"/>
    <x v="0"/>
    <m/>
    <x v="251"/>
    <x v="0"/>
  </r>
  <r>
    <n v="421"/>
    <s v="421 | Capacity Building"/>
    <x v="27"/>
    <x v="9"/>
    <x v="41"/>
    <x v="6"/>
    <s v="Capacity Building-Manager"/>
    <x v="5"/>
    <m/>
    <x v="1195"/>
    <x v="340"/>
    <n v="44987.544421296298"/>
    <d v="2023-03-07T13:03:58"/>
    <s v="Yes"/>
    <d v="2023-03-12T13:03:58"/>
    <x v="3"/>
    <x v="1"/>
    <d v="2023-03-16T13:03:58"/>
    <s v="Accepted"/>
    <d v="2023-03-13T13:03:58"/>
    <d v="2023-03-16T13:03:58"/>
    <d v="2023-03-14T13:03:58"/>
    <d v="2023-03-20T13:03:58"/>
    <x v="1"/>
    <d v="2023-03-22T13:03:58"/>
    <d v="2023-03-24T13:03:58"/>
    <d v="2023-03-26T13:03:58"/>
    <m/>
    <m/>
    <d v="2023-04-08T13:03:58"/>
    <s v="C3204"/>
    <s v="Candidate_2204"/>
    <s v="04/03/2023"/>
    <x v="2"/>
    <s v="Job Board"/>
    <n v="3"/>
    <m/>
    <x v="0"/>
    <m/>
    <m/>
    <x v="0"/>
    <x v="0"/>
    <m/>
    <x v="0"/>
    <x v="0"/>
  </r>
  <r>
    <n v="267"/>
    <s v="267 | Capacity Building"/>
    <x v="28"/>
    <x v="9"/>
    <x v="41"/>
    <x v="6"/>
    <s v="Capacity Building-Manager"/>
    <x v="5"/>
    <d v="2022-07-24T06:46:55"/>
    <x v="1169"/>
    <x v="4"/>
    <n v="-44766.282581018517"/>
    <d v="2022-08-18T06:46:55"/>
    <s v="Yes"/>
    <d v="2022-08-02T06:46:55"/>
    <x v="0"/>
    <x v="3"/>
    <m/>
    <m/>
    <m/>
    <m/>
    <d v="2022-08-06T06:46:55"/>
    <m/>
    <x v="0"/>
    <m/>
    <m/>
    <m/>
    <m/>
    <s v="Company"/>
    <m/>
    <s v="C3205"/>
    <s v="Candidate_2205"/>
    <s v="Jul 16 2022"/>
    <x v="1"/>
    <s v="Linkedin"/>
    <n v="3"/>
    <m/>
    <x v="0"/>
    <m/>
    <m/>
    <x v="0"/>
    <x v="0"/>
    <m/>
    <x v="0"/>
    <x v="0"/>
  </r>
  <r>
    <n v="263"/>
    <s v="263 | Capacity Building"/>
    <x v="29"/>
    <x v="9"/>
    <x v="41"/>
    <x v="6"/>
    <s v="Capacity Building-Manager"/>
    <x v="5"/>
    <d v="2022-07-19T06:46:55"/>
    <x v="1224"/>
    <x v="4"/>
    <n v="-44761.282581018517"/>
    <d v="2022-08-11T06:46:55"/>
    <s v="Yes"/>
    <d v="2022-08-12T06:46:55"/>
    <x v="1"/>
    <x v="1"/>
    <d v="2022-08-18T06:46:55"/>
    <s v="Declined"/>
    <m/>
    <m/>
    <d v="2022-08-15T06:46:55"/>
    <m/>
    <x v="0"/>
    <m/>
    <m/>
    <m/>
    <m/>
    <m/>
    <m/>
    <s v="C3206"/>
    <s v="Candidate_2206"/>
    <s v="27/07/2022"/>
    <x v="1"/>
    <s v="Linkedin"/>
    <n v="6"/>
    <m/>
    <x v="0"/>
    <m/>
    <m/>
    <x v="0"/>
    <x v="0"/>
    <m/>
    <x v="0"/>
    <x v="0"/>
  </r>
  <r>
    <n v="261"/>
    <s v="261 | Capacity Building"/>
    <x v="28"/>
    <x v="9"/>
    <x v="41"/>
    <x v="6"/>
    <s v="Capacity Building-Manager"/>
    <x v="5"/>
    <d v="2022-07-25T06:46:55"/>
    <x v="1225"/>
    <x v="326"/>
    <n v="3"/>
    <d v="2022-08-24T06:46:55"/>
    <s v="No"/>
    <m/>
    <x v="2"/>
    <x v="1"/>
    <m/>
    <m/>
    <m/>
    <m/>
    <m/>
    <m/>
    <x v="0"/>
    <m/>
    <m/>
    <m/>
    <m/>
    <m/>
    <m/>
    <s v="C3207"/>
    <s v="Candidate_2207"/>
    <m/>
    <x v="2"/>
    <s v="Job Board"/>
    <n v="3"/>
    <m/>
    <x v="0"/>
    <m/>
    <m/>
    <x v="0"/>
    <x v="0"/>
    <m/>
    <x v="1"/>
    <x v="0"/>
  </r>
  <r>
    <n v="260"/>
    <s v="260 | Capacity Building"/>
    <x v="29"/>
    <x v="9"/>
    <x v="41"/>
    <x v="6"/>
    <s v="Capacity Building-Manager"/>
    <x v="5"/>
    <d v="2022-05-23T15:11:28"/>
    <x v="1198"/>
    <x v="327"/>
    <n v="9"/>
    <d v="2022-06-18T15:11:28"/>
    <s v="Yes"/>
    <d v="2022-06-16T15:11:28"/>
    <x v="1"/>
    <x v="1"/>
    <d v="2022-06-21T15:11:28"/>
    <s v="Declined"/>
    <m/>
    <m/>
    <d v="2022-06-18T15:11:28"/>
    <m/>
    <x v="0"/>
    <m/>
    <m/>
    <m/>
    <m/>
    <m/>
    <m/>
    <s v="C3208"/>
    <s v="Candidate_2208"/>
    <s v="06-06-2022"/>
    <x v="0"/>
    <s v="Referral"/>
    <n v="6"/>
    <m/>
    <x v="0"/>
    <m/>
    <m/>
    <x v="0"/>
    <x v="0"/>
    <m/>
    <x v="1"/>
    <x v="0"/>
  </r>
  <r>
    <n v="240"/>
    <s v="240 | Capacity Building"/>
    <x v="27"/>
    <x v="9"/>
    <x v="41"/>
    <x v="6"/>
    <s v="Capacity Building-Manager"/>
    <x v="5"/>
    <d v="2022-02-03T19:27:47"/>
    <x v="1226"/>
    <x v="328"/>
    <n v="8"/>
    <d v="2022-02-26T19:27:47"/>
    <s v="Yes"/>
    <d v="2022-02-24T19:27:47"/>
    <x v="4"/>
    <x v="1"/>
    <d v="2022-03-01T19:27:47"/>
    <s v="Pending"/>
    <m/>
    <m/>
    <d v="2022-02-25T19:27:47"/>
    <m/>
    <x v="0"/>
    <m/>
    <m/>
    <m/>
    <m/>
    <m/>
    <m/>
    <s v="C3209"/>
    <s v="Candidate_2209"/>
    <s v="Feb 17 2022"/>
    <x v="2"/>
    <s v="Job Board"/>
    <n v="6"/>
    <m/>
    <x v="0"/>
    <m/>
    <m/>
    <x v="0"/>
    <x v="0"/>
    <m/>
    <x v="1"/>
    <x v="0"/>
  </r>
  <r>
    <n v="232"/>
    <s v="232 | Capacity Building"/>
    <x v="27"/>
    <x v="9"/>
    <x v="41"/>
    <x v="6"/>
    <s v="Capacity Building-Manager"/>
    <x v="5"/>
    <d v="2022-02-06T19:27:47"/>
    <x v="1227"/>
    <x v="328"/>
    <n v="5"/>
    <d v="2022-02-21T19:27:47"/>
    <s v="Yes"/>
    <d v="2022-02-24T19:27:47"/>
    <x v="0"/>
    <x v="4"/>
    <m/>
    <m/>
    <m/>
    <m/>
    <d v="2022-02-25T19:27:47"/>
    <m/>
    <x v="0"/>
    <m/>
    <m/>
    <m/>
    <m/>
    <s v="Company"/>
    <m/>
    <s v="C3210"/>
    <s v="Candidate_2210"/>
    <s v="02-09-2022"/>
    <x v="2"/>
    <s v="Job Board"/>
    <n v="3"/>
    <m/>
    <x v="0"/>
    <m/>
    <m/>
    <x v="0"/>
    <x v="0"/>
    <m/>
    <x v="1"/>
    <x v="0"/>
  </r>
  <r>
    <n v="225"/>
    <s v="225 | Capacity Building"/>
    <x v="29"/>
    <x v="9"/>
    <x v="41"/>
    <x v="6"/>
    <s v="Capacity Building-Manager"/>
    <x v="5"/>
    <m/>
    <x v="1203"/>
    <x v="341"/>
    <n v="44744.447731481479"/>
    <d v="2022-07-20T10:44:44"/>
    <s v="Yes"/>
    <d v="2022-07-19T10:44:44"/>
    <x v="0"/>
    <x v="2"/>
    <m/>
    <m/>
    <m/>
    <m/>
    <m/>
    <m/>
    <x v="0"/>
    <m/>
    <m/>
    <m/>
    <m/>
    <s v="Candidate"/>
    <m/>
    <s v="C3211"/>
    <s v="Candidate_2211"/>
    <s v="07-08-2022"/>
    <x v="1"/>
    <s v="Linkedin"/>
    <n v="6"/>
    <m/>
    <x v="0"/>
    <m/>
    <m/>
    <x v="0"/>
    <x v="0"/>
    <m/>
    <x v="0"/>
    <x v="0"/>
  </r>
  <r>
    <n v="221"/>
    <s v="221 | Capacity Building"/>
    <x v="27"/>
    <x v="9"/>
    <x v="41"/>
    <x v="6"/>
    <s v="Capacity Building-Manager"/>
    <x v="5"/>
    <d v="2022-06-26T10:44:44"/>
    <x v="1228"/>
    <x v="4"/>
    <n v="-44738.447731481479"/>
    <d v="2022-07-22T10:44:44"/>
    <s v="Yes"/>
    <d v="2022-07-09T10:44:44"/>
    <x v="0"/>
    <x v="5"/>
    <m/>
    <m/>
    <m/>
    <m/>
    <d v="2022-07-11T10:44:44"/>
    <m/>
    <x v="0"/>
    <m/>
    <m/>
    <m/>
    <m/>
    <s v="Candidate"/>
    <m/>
    <s v="C3212"/>
    <s v="Candidate_2212"/>
    <s v="30/06/2022"/>
    <x v="1"/>
    <s v="Linkedin"/>
    <n v="3"/>
    <m/>
    <x v="0"/>
    <m/>
    <m/>
    <x v="0"/>
    <x v="0"/>
    <m/>
    <x v="0"/>
    <x v="0"/>
  </r>
  <r>
    <n v="152"/>
    <s v="152 | Capacity Building"/>
    <x v="28"/>
    <x v="9"/>
    <x v="41"/>
    <x v="6"/>
    <s v="Capacity Building-Manager"/>
    <x v="5"/>
    <d v="2023-01-02T15:27:51"/>
    <x v="0"/>
    <x v="329"/>
    <n v="10"/>
    <d v="2023-01-26T15:27:51"/>
    <s v="Yes"/>
    <d v="2023-01-25T15:27:51"/>
    <x v="4"/>
    <x v="1"/>
    <d v="2023-01-28T15:27:51"/>
    <s v="Pending"/>
    <m/>
    <m/>
    <d v="2023-01-27T15:27:51"/>
    <m/>
    <x v="0"/>
    <m/>
    <m/>
    <m/>
    <m/>
    <m/>
    <m/>
    <s v="C3213"/>
    <s v="Candidate_2213"/>
    <s v="Jan 18 2023"/>
    <x v="1"/>
    <s v="Linkedin"/>
    <n v="3"/>
    <m/>
    <x v="0"/>
    <m/>
    <m/>
    <x v="0"/>
    <x v="0"/>
    <m/>
    <x v="0"/>
    <x v="0"/>
  </r>
  <r>
    <n v="120"/>
    <s v="120 | Capacity Building"/>
    <x v="28"/>
    <x v="9"/>
    <x v="41"/>
    <x v="6"/>
    <s v="Capacity Building-Manager"/>
    <x v="5"/>
    <d v="2022-06-27T04:45:15"/>
    <x v="1229"/>
    <x v="331"/>
    <n v="7"/>
    <d v="2022-07-24T04:45:15"/>
    <s v="No"/>
    <m/>
    <x v="2"/>
    <x v="1"/>
    <m/>
    <m/>
    <m/>
    <m/>
    <m/>
    <m/>
    <x v="0"/>
    <m/>
    <m/>
    <m/>
    <m/>
    <m/>
    <m/>
    <s v="C3214"/>
    <s v="Candidate_2214"/>
    <m/>
    <x v="1"/>
    <s v="Linkedin"/>
    <n v="6"/>
    <m/>
    <x v="0"/>
    <m/>
    <m/>
    <x v="0"/>
    <x v="0"/>
    <m/>
    <x v="1"/>
    <x v="0"/>
  </r>
  <r>
    <n v="117"/>
    <s v="117 | Capacity Building"/>
    <x v="27"/>
    <x v="9"/>
    <x v="41"/>
    <x v="6"/>
    <s v="Capacity Building-Manager"/>
    <x v="5"/>
    <d v="2022-06-25T04:45:15"/>
    <x v="1230"/>
    <x v="331"/>
    <n v="9"/>
    <d v="2022-07-30T04:45:15"/>
    <s v="Yes"/>
    <d v="2022-07-13T04:45:15"/>
    <x v="3"/>
    <x v="1"/>
    <d v="2022-07-17T04:45:15"/>
    <s v="Accepted"/>
    <d v="2022-07-15T04:45:15"/>
    <d v="2022-07-17T04:45:15"/>
    <d v="2022-07-16T04:45:15"/>
    <d v="2022-07-17T04:45:15"/>
    <x v="1"/>
    <d v="2022-07-21T04:45:15"/>
    <d v="2022-07-23T04:45:15"/>
    <d v="2022-07-26T04:45:15"/>
    <m/>
    <m/>
    <d v="2022-08-11T04:45:15"/>
    <s v="C3215"/>
    <s v="Candidate_2215"/>
    <s v="03/07/2022"/>
    <x v="0"/>
    <s v="Referral"/>
    <n v="3"/>
    <m/>
    <x v="0"/>
    <m/>
    <m/>
    <x v="0"/>
    <x v="0"/>
    <m/>
    <x v="252"/>
    <x v="0"/>
  </r>
  <r>
    <n v="57"/>
    <s v="57 | Capacity Building"/>
    <x v="28"/>
    <x v="9"/>
    <x v="41"/>
    <x v="6"/>
    <s v="Capacity Building-Manager"/>
    <x v="5"/>
    <d v="2022-07-30T00:18:39"/>
    <x v="1207"/>
    <x v="332"/>
    <n v="5"/>
    <d v="2022-08-12T00:18:39"/>
    <s v="Yes"/>
    <d v="2022-08-19T00:18:39"/>
    <x v="3"/>
    <x v="1"/>
    <d v="2022-08-25T00:18:39"/>
    <s v="Accepted"/>
    <d v="2022-08-20T00:18:39"/>
    <d v="2022-08-21T00:18:39"/>
    <d v="2022-08-22T00:18:39"/>
    <d v="2022-08-27T00:18:39"/>
    <x v="1"/>
    <d v="2022-08-28T00:18:39"/>
    <d v="2022-08-30T00:18:39"/>
    <d v="2022-09-02T00:18:39"/>
    <m/>
    <m/>
    <d v="2022-09-20T00:18:39"/>
    <s v="C3216"/>
    <s v="Candidate_2216"/>
    <s v="01/08/2022"/>
    <x v="2"/>
    <s v="Job Board"/>
    <n v="3"/>
    <m/>
    <x v="0"/>
    <m/>
    <m/>
    <x v="0"/>
    <x v="0"/>
    <m/>
    <x v="253"/>
    <x v="0"/>
  </r>
  <r>
    <n v="2999"/>
    <s v="2999 | Capacity Building"/>
    <x v="27"/>
    <x v="9"/>
    <x v="42"/>
    <x v="25"/>
    <s v="Capacity Building-Training Associate"/>
    <x v="0"/>
    <d v="2023-03-04T00:56:51"/>
    <x v="1231"/>
    <x v="241"/>
    <n v="4"/>
    <d v="2023-04-06T00:56:51"/>
    <s v="Yes"/>
    <d v="2023-03-12T00:56:51"/>
    <x v="3"/>
    <x v="1"/>
    <d v="2023-03-15T00:56:51"/>
    <s v="Accepted"/>
    <d v="2023-03-13T00:56:51"/>
    <d v="2023-03-15T00:56:51"/>
    <d v="2023-03-13T00:56:51"/>
    <d v="2023-03-22T00:56:51"/>
    <x v="1"/>
    <d v="2023-03-26T00:56:51"/>
    <d v="2023-03-29T00:56:51"/>
    <d v="2023-04-01T00:56:51"/>
    <m/>
    <m/>
    <d v="2023-04-22T00:56:51"/>
    <s v="C3217"/>
    <s v="Candidate_2217"/>
    <s v="21/02/2023"/>
    <x v="0"/>
    <s v="Referral"/>
    <n v="3"/>
    <m/>
    <x v="0"/>
    <m/>
    <m/>
    <x v="0"/>
    <x v="0"/>
    <m/>
    <x v="254"/>
    <x v="0"/>
  </r>
  <r>
    <n v="2953"/>
    <s v="2953 | Capacity Building"/>
    <x v="27"/>
    <x v="9"/>
    <x v="42"/>
    <x v="25"/>
    <s v="Capacity Building-Training Associate"/>
    <x v="0"/>
    <d v="2023-04-02T15:39:13"/>
    <x v="1232"/>
    <x v="343"/>
    <n v="10"/>
    <d v="2023-05-27T15:39:13"/>
    <s v="No"/>
    <m/>
    <x v="2"/>
    <x v="1"/>
    <m/>
    <m/>
    <m/>
    <m/>
    <m/>
    <m/>
    <x v="0"/>
    <m/>
    <m/>
    <m/>
    <m/>
    <m/>
    <m/>
    <s v="C3218"/>
    <s v="Candidate_2218"/>
    <m/>
    <x v="2"/>
    <s v="Job Board"/>
    <n v="6"/>
    <m/>
    <x v="0"/>
    <m/>
    <m/>
    <x v="0"/>
    <x v="0"/>
    <m/>
    <x v="1"/>
    <x v="0"/>
  </r>
  <r>
    <n v="2911"/>
    <s v="2911 | Capacity Building"/>
    <x v="28"/>
    <x v="9"/>
    <x v="42"/>
    <x v="25"/>
    <s v="Capacity Building-Training Associate"/>
    <x v="0"/>
    <d v="2022-02-09T19:04:45"/>
    <x v="1233"/>
    <x v="253"/>
    <n v="3"/>
    <d v="2022-03-29T19:04:45"/>
    <s v="Yes"/>
    <d v="2022-02-22T19:04:45"/>
    <x v="3"/>
    <x v="1"/>
    <d v="2022-02-26T19:04:45"/>
    <s v="Accepted"/>
    <d v="2022-02-23T19:04:45"/>
    <d v="2022-02-27T19:04:45"/>
    <d v="2022-02-24T19:04:45"/>
    <d v="2022-03-02T19:04:45"/>
    <x v="1"/>
    <d v="2022-03-03T19:04:45"/>
    <d v="2022-03-05T19:04:45"/>
    <d v="2022-03-08T19:04:45"/>
    <m/>
    <m/>
    <d v="2022-03-27T19:04:45"/>
    <s v="C3219"/>
    <s v="Candidate_2219"/>
    <s v="02-14-2022"/>
    <x v="1"/>
    <s v="Linkedin"/>
    <n v="3"/>
    <m/>
    <x v="0"/>
    <m/>
    <m/>
    <x v="0"/>
    <x v="0"/>
    <m/>
    <x v="255"/>
    <x v="0"/>
  </r>
  <r>
    <n v="2797"/>
    <s v="2797 | Capacity Building"/>
    <x v="27"/>
    <x v="9"/>
    <x v="42"/>
    <x v="25"/>
    <s v="Capacity Building-Training Associate"/>
    <x v="0"/>
    <d v="2023-06-23T20:01:36"/>
    <x v="1234"/>
    <x v="228"/>
    <n v="9"/>
    <d v="2023-07-18T20:01:36"/>
    <s v="No"/>
    <m/>
    <x v="2"/>
    <x v="1"/>
    <m/>
    <m/>
    <m/>
    <m/>
    <m/>
    <m/>
    <x v="0"/>
    <m/>
    <m/>
    <m/>
    <m/>
    <m/>
    <m/>
    <s v="C3220"/>
    <s v="Candidate_2220"/>
    <m/>
    <x v="0"/>
    <s v="Referral"/>
    <n v="3"/>
    <m/>
    <x v="0"/>
    <m/>
    <m/>
    <x v="0"/>
    <x v="0"/>
    <m/>
    <x v="1"/>
    <x v="0"/>
  </r>
  <r>
    <n v="2741"/>
    <s v="2741 | Capacity Building"/>
    <x v="27"/>
    <x v="9"/>
    <x v="42"/>
    <x v="25"/>
    <s v="Capacity Building-Training Associate"/>
    <x v="0"/>
    <d v="2022-04-16T13:27:53"/>
    <x v="1235"/>
    <x v="229"/>
    <n v="8"/>
    <d v="2022-05-01T13:27:53"/>
    <s v="No"/>
    <m/>
    <x v="2"/>
    <x v="1"/>
    <m/>
    <m/>
    <m/>
    <m/>
    <m/>
    <m/>
    <x v="0"/>
    <m/>
    <m/>
    <m/>
    <m/>
    <m/>
    <m/>
    <s v="C3221"/>
    <s v="Candidate_2221"/>
    <m/>
    <x v="1"/>
    <s v="Linkedin"/>
    <n v="6"/>
    <m/>
    <x v="0"/>
    <m/>
    <m/>
    <x v="0"/>
    <x v="0"/>
    <m/>
    <x v="1"/>
    <x v="0"/>
  </r>
  <r>
    <n v="2707"/>
    <s v="2707 | Capacity Building"/>
    <x v="27"/>
    <x v="9"/>
    <x v="42"/>
    <x v="25"/>
    <s v="Capacity Building-Training Associate"/>
    <x v="0"/>
    <d v="2022-09-25T11:53:56"/>
    <x v="823"/>
    <x v="254"/>
    <n v="8"/>
    <d v="2022-10-19T11:53:56"/>
    <s v="Yes"/>
    <d v="2022-10-13T11:53:56"/>
    <x v="3"/>
    <x v="1"/>
    <d v="2022-10-17T11:53:56"/>
    <s v="Accepted"/>
    <d v="2022-10-15T11:53:56"/>
    <d v="2022-10-18T11:53:56"/>
    <d v="2022-10-14T11:53:56"/>
    <d v="2022-10-15T11:53:56"/>
    <x v="1"/>
    <d v="2022-10-17T11:53:56"/>
    <d v="2022-10-20T11:53:56"/>
    <d v="2022-10-23T11:53:56"/>
    <m/>
    <m/>
    <d v="2022-11-09T11:53:56"/>
    <s v="C3222"/>
    <s v="Candidate_2222"/>
    <s v="10-07-2022"/>
    <x v="0"/>
    <s v="Referral"/>
    <n v="3"/>
    <m/>
    <x v="0"/>
    <m/>
    <m/>
    <x v="0"/>
    <x v="0"/>
    <m/>
    <x v="256"/>
    <x v="0"/>
  </r>
  <r>
    <n v="2701"/>
    <s v="2701 | Capacity Building"/>
    <x v="27"/>
    <x v="9"/>
    <x v="42"/>
    <x v="25"/>
    <s v="Capacity Building-Training Associate"/>
    <x v="0"/>
    <d v="2022-09-28T11:53:56"/>
    <x v="1236"/>
    <x v="254"/>
    <n v="5"/>
    <d v="2022-10-20T11:53:56"/>
    <s v="Yes"/>
    <d v="2022-10-07T11:53:56"/>
    <x v="3"/>
    <x v="1"/>
    <d v="2022-10-12T11:53:56"/>
    <s v="Accepted"/>
    <d v="2022-10-08T11:53:56"/>
    <d v="2022-10-12T11:53:56"/>
    <d v="2022-10-10T11:53:56"/>
    <d v="2022-10-13T11:53:56"/>
    <x v="1"/>
    <d v="2022-10-15T11:53:56"/>
    <d v="2022-10-16T11:53:56"/>
    <d v="2022-10-19T11:53:56"/>
    <m/>
    <m/>
    <d v="2022-11-03T11:53:56"/>
    <s v="C3223"/>
    <s v="Candidate_2223"/>
    <s v="10-01-2022"/>
    <x v="2"/>
    <s v="Job Board"/>
    <n v="6"/>
    <m/>
    <x v="0"/>
    <m/>
    <m/>
    <x v="0"/>
    <x v="0"/>
    <m/>
    <x v="257"/>
    <x v="0"/>
  </r>
  <r>
    <n v="2640"/>
    <s v="2640 | Capacity Building"/>
    <x v="28"/>
    <x v="9"/>
    <x v="42"/>
    <x v="25"/>
    <s v="Capacity Building-Training Associate"/>
    <x v="0"/>
    <m/>
    <x v="1237"/>
    <x v="230"/>
    <n v="44588.196851851862"/>
    <d v="2022-02-25T04:43:28"/>
    <s v="Yes"/>
    <d v="2022-02-08T04:43:28"/>
    <x v="3"/>
    <x v="1"/>
    <d v="2022-02-15T04:43:28"/>
    <s v="Accepted"/>
    <d v="2022-02-09T04:43:28"/>
    <d v="2022-02-13T04:43:28"/>
    <d v="2022-02-11T04:43:28"/>
    <d v="2022-02-21T04:43:28"/>
    <x v="1"/>
    <d v="2022-02-22T04:43:28"/>
    <d v="2022-02-23T04:43:28"/>
    <d v="2022-02-24T04:43:28"/>
    <m/>
    <m/>
    <d v="2022-03-08T04:43:28"/>
    <s v="C3224"/>
    <s v="Candidate_2224"/>
    <s v="02-03-2022"/>
    <x v="2"/>
    <s v="Job Board"/>
    <n v="6"/>
    <m/>
    <x v="0"/>
    <m/>
    <m/>
    <x v="0"/>
    <x v="0"/>
    <m/>
    <x v="0"/>
    <x v="0"/>
  </r>
  <r>
    <n v="2638"/>
    <s v="2638 | Capacity Building"/>
    <x v="27"/>
    <x v="9"/>
    <x v="42"/>
    <x v="25"/>
    <s v="Capacity Building-Training Associate"/>
    <x v="0"/>
    <d v="2022-01-23T04:43:28"/>
    <x v="738"/>
    <x v="4"/>
    <n v="-44584.196851851862"/>
    <d v="2022-02-02T04:43:28"/>
    <s v="No"/>
    <m/>
    <x v="2"/>
    <x v="1"/>
    <m/>
    <m/>
    <m/>
    <m/>
    <m/>
    <m/>
    <x v="0"/>
    <m/>
    <m/>
    <m/>
    <m/>
    <m/>
    <m/>
    <s v="C3225"/>
    <s v="Candidate_2225"/>
    <m/>
    <x v="1"/>
    <s v="Linkedin"/>
    <n v="6"/>
    <m/>
    <x v="0"/>
    <m/>
    <m/>
    <x v="0"/>
    <x v="0"/>
    <m/>
    <x v="0"/>
    <x v="0"/>
  </r>
  <r>
    <n v="2627"/>
    <s v="2627 | Capacity Building"/>
    <x v="28"/>
    <x v="9"/>
    <x v="42"/>
    <x v="25"/>
    <s v="Capacity Building-Training Associate"/>
    <x v="0"/>
    <d v="2023-06-21T16:02:26"/>
    <x v="803"/>
    <x v="4"/>
    <n v="-45098.668356481481"/>
    <d v="2023-07-02T16:02:26"/>
    <s v="No"/>
    <m/>
    <x v="2"/>
    <x v="1"/>
    <m/>
    <m/>
    <m/>
    <m/>
    <m/>
    <m/>
    <x v="0"/>
    <m/>
    <m/>
    <m/>
    <m/>
    <m/>
    <m/>
    <s v="C3226"/>
    <s v="Candidate_2226"/>
    <m/>
    <x v="1"/>
    <s v="Linkedin"/>
    <n v="3"/>
    <m/>
    <x v="0"/>
    <m/>
    <m/>
    <x v="0"/>
    <x v="0"/>
    <m/>
    <x v="0"/>
    <x v="0"/>
  </r>
  <r>
    <n v="2595"/>
    <s v="2595 | Capacity Building"/>
    <x v="27"/>
    <x v="9"/>
    <x v="42"/>
    <x v="25"/>
    <s v="Capacity Building-Training Associate"/>
    <x v="0"/>
    <d v="2023-01-19T09:40:31"/>
    <x v="1238"/>
    <x v="232"/>
    <n v="7"/>
    <d v="2023-02-14T09:40:31"/>
    <s v="No"/>
    <m/>
    <x v="2"/>
    <x v="1"/>
    <m/>
    <m/>
    <m/>
    <m/>
    <m/>
    <m/>
    <x v="0"/>
    <m/>
    <m/>
    <m/>
    <m/>
    <m/>
    <m/>
    <s v="C3227"/>
    <s v="Candidate_2227"/>
    <m/>
    <x v="1"/>
    <s v="Linkedin"/>
    <n v="3"/>
    <m/>
    <x v="0"/>
    <m/>
    <m/>
    <x v="0"/>
    <x v="0"/>
    <m/>
    <x v="1"/>
    <x v="0"/>
  </r>
  <r>
    <n v="2578"/>
    <s v="2578 | Capacity Building"/>
    <x v="28"/>
    <x v="9"/>
    <x v="42"/>
    <x v="25"/>
    <s v="Capacity Building-Training Associate"/>
    <x v="0"/>
    <d v="2022-03-22T17:14:32"/>
    <x v="0"/>
    <x v="4"/>
    <n v="-44642.718425925923"/>
    <d v="2022-04-22T17:14:32"/>
    <s v="Yes"/>
    <d v="2022-04-09T17:14:32"/>
    <x v="3"/>
    <x v="1"/>
    <d v="2022-04-13T17:14:32"/>
    <s v="Accepted"/>
    <d v="2022-04-10T17:14:32"/>
    <d v="2022-04-11T17:14:32"/>
    <d v="2022-04-10T17:14:32"/>
    <d v="2022-04-13T17:14:32"/>
    <x v="1"/>
    <d v="2022-04-16T17:14:32"/>
    <d v="2022-04-19T17:14:32"/>
    <d v="2022-04-20T17:14:32"/>
    <m/>
    <m/>
    <d v="2022-05-03T17:14:32"/>
    <s v="C3228"/>
    <s v="Candidate_2228"/>
    <s v="Mar 24 2022"/>
    <x v="0"/>
    <s v="Referral"/>
    <n v="6"/>
    <m/>
    <x v="0"/>
    <m/>
    <m/>
    <x v="0"/>
    <x v="0"/>
    <m/>
    <x v="0"/>
    <x v="0"/>
  </r>
  <r>
    <n v="2425"/>
    <s v="2425 | Capacity Building"/>
    <x v="28"/>
    <x v="9"/>
    <x v="42"/>
    <x v="25"/>
    <s v="Capacity Building-Training Associate"/>
    <x v="0"/>
    <d v="2022-09-28T06:07:20"/>
    <x v="745"/>
    <x v="234"/>
    <n v="9"/>
    <d v="2022-10-21T06:07:20"/>
    <s v="Yes"/>
    <d v="2022-10-19T06:07:20"/>
    <x v="3"/>
    <x v="1"/>
    <d v="2022-10-22T06:07:20"/>
    <s v="Accepted"/>
    <d v="2022-10-21T06:07:20"/>
    <d v="2022-10-25T06:07:20"/>
    <d v="2022-10-21T06:07:20"/>
    <d v="2022-10-30T06:07:20"/>
    <x v="1"/>
    <d v="2022-11-01T06:07:20"/>
    <d v="2022-11-03T06:07:20"/>
    <d v="2022-11-05T06:07:20"/>
    <m/>
    <m/>
    <d v="2022-11-16T06:07:20"/>
    <s v="C3229"/>
    <s v="Candidate_2229"/>
    <s v="14/10/2022"/>
    <x v="2"/>
    <s v="Job Board"/>
    <n v="3"/>
    <m/>
    <x v="0"/>
    <m/>
    <m/>
    <x v="0"/>
    <x v="0"/>
    <m/>
    <x v="258"/>
    <x v="0"/>
  </r>
  <r>
    <n v="2395"/>
    <s v="2395 | Capacity Building"/>
    <x v="27"/>
    <x v="9"/>
    <x v="42"/>
    <x v="25"/>
    <s v="Capacity Building-Training Associate"/>
    <x v="0"/>
    <d v="2023-07-18T17:32:55"/>
    <x v="777"/>
    <x v="235"/>
    <n v="6"/>
    <d v="2023-08-04T17:32:55"/>
    <s v="Yes"/>
    <d v="2023-07-29T17:32:55"/>
    <x v="3"/>
    <x v="1"/>
    <d v="2023-08-03T17:32:55"/>
    <s v="Accepted"/>
    <d v="2023-07-31T17:32:55"/>
    <d v="2023-08-02T17:32:55"/>
    <d v="2023-08-02T17:32:55"/>
    <d v="2023-08-08T17:32:55"/>
    <x v="1"/>
    <d v="2023-08-10T17:32:55"/>
    <d v="2023-08-12T17:32:55"/>
    <d v="2023-08-13T17:32:55"/>
    <m/>
    <m/>
    <d v="2023-08-23T17:32:55"/>
    <s v="C3230"/>
    <s v="Candidate_2230"/>
    <s v="10/07/2023"/>
    <x v="1"/>
    <s v="Linkedin"/>
    <n v="3"/>
    <m/>
    <x v="0"/>
    <m/>
    <m/>
    <x v="0"/>
    <x v="0"/>
    <m/>
    <x v="259"/>
    <x v="0"/>
  </r>
  <r>
    <n v="2038"/>
    <s v="2038 | Capacity Building"/>
    <x v="27"/>
    <x v="9"/>
    <x v="42"/>
    <x v="25"/>
    <s v="Capacity Building-Training Associate"/>
    <x v="0"/>
    <d v="2022-03-26T20:40:01"/>
    <x v="1239"/>
    <x v="236"/>
    <n v="6"/>
    <d v="2022-04-13T20:40:01"/>
    <s v="Yes"/>
    <d v="2022-04-19T20:40:01"/>
    <x v="3"/>
    <x v="1"/>
    <d v="2022-04-24T20:40:01"/>
    <s v="Accepted"/>
    <d v="2022-04-20T20:40:01"/>
    <d v="2022-04-22T20:40:01"/>
    <d v="2022-04-21T20:40:01"/>
    <d v="2022-04-30T20:40:01"/>
    <x v="1"/>
    <d v="2022-05-01T20:40:01"/>
    <d v="2022-05-03T20:40:01"/>
    <d v="2022-05-05T20:40:01"/>
    <m/>
    <m/>
    <d v="2022-05-22T20:40:01"/>
    <s v="C3231"/>
    <s v="Candidate_2231"/>
    <s v="Apr 13 2022"/>
    <x v="1"/>
    <s v="Linkedin"/>
    <n v="6"/>
    <m/>
    <x v="0"/>
    <m/>
    <m/>
    <x v="0"/>
    <x v="0"/>
    <m/>
    <x v="260"/>
    <x v="0"/>
  </r>
  <r>
    <n v="1871"/>
    <s v="1871 | Capacity Building"/>
    <x v="29"/>
    <x v="9"/>
    <x v="42"/>
    <x v="25"/>
    <s v="Capacity Building-Training Associate"/>
    <x v="0"/>
    <d v="2022-01-17T17:35:29"/>
    <x v="830"/>
    <x v="212"/>
    <n v="3"/>
    <d v="2022-01-25T17:35:29"/>
    <s v="Yes"/>
    <d v="2022-02-04T17:35:29"/>
    <x v="3"/>
    <x v="1"/>
    <d v="2022-02-06T17:35:29"/>
    <s v="Accepted"/>
    <d v="2022-02-06T17:35:29"/>
    <d v="2022-02-07T17:35:29"/>
    <d v="2022-02-05T17:35:29"/>
    <d v="2022-02-07T17:35:29"/>
    <x v="1"/>
    <d v="2022-02-10T17:35:29"/>
    <d v="2022-02-12T17:35:29"/>
    <d v="2022-02-13T17:35:29"/>
    <m/>
    <m/>
    <d v="2022-03-04T17:35:29"/>
    <s v="C3232"/>
    <s v="Candidate_2232"/>
    <s v="01-21-2022"/>
    <x v="2"/>
    <s v="Job Board"/>
    <n v="6"/>
    <m/>
    <x v="0"/>
    <m/>
    <m/>
    <x v="0"/>
    <x v="0"/>
    <m/>
    <x v="261"/>
    <x v="0"/>
  </r>
  <r>
    <n v="1487"/>
    <s v="1487 | Capacity Building"/>
    <x v="29"/>
    <x v="9"/>
    <x v="42"/>
    <x v="25"/>
    <s v="Capacity Building-Training Associate"/>
    <x v="0"/>
    <d v="2023-07-08T13:00:43"/>
    <x v="719"/>
    <x v="215"/>
    <n v="4"/>
    <d v="2023-07-24T13:00:43"/>
    <s v="No"/>
    <m/>
    <x v="2"/>
    <x v="1"/>
    <m/>
    <m/>
    <m/>
    <m/>
    <m/>
    <m/>
    <x v="0"/>
    <m/>
    <m/>
    <m/>
    <m/>
    <m/>
    <m/>
    <s v="C3233"/>
    <s v="Candidate_2233"/>
    <m/>
    <x v="0"/>
    <s v="Referral"/>
    <n v="6"/>
    <m/>
    <x v="0"/>
    <m/>
    <m/>
    <x v="0"/>
    <x v="0"/>
    <m/>
    <x v="1"/>
    <x v="0"/>
  </r>
  <r>
    <n v="1247"/>
    <s v="1247 | Capacity Building"/>
    <x v="27"/>
    <x v="9"/>
    <x v="42"/>
    <x v="25"/>
    <s v="Capacity Building-Training Associate"/>
    <x v="0"/>
    <d v="2022-06-23T20:09:31"/>
    <x v="1240"/>
    <x v="218"/>
    <n v="6"/>
    <d v="2022-07-10T20:09:31"/>
    <s v="No"/>
    <m/>
    <x v="2"/>
    <x v="1"/>
    <m/>
    <m/>
    <m/>
    <m/>
    <m/>
    <m/>
    <x v="0"/>
    <m/>
    <m/>
    <m/>
    <m/>
    <m/>
    <m/>
    <s v="C3234"/>
    <s v="Candidate_2234"/>
    <m/>
    <x v="2"/>
    <s v="Job Board"/>
    <n v="3"/>
    <m/>
    <x v="0"/>
    <m/>
    <m/>
    <x v="0"/>
    <x v="0"/>
    <m/>
    <x v="1"/>
    <x v="0"/>
  </r>
  <r>
    <n v="1244"/>
    <s v="1244 | Capacity Building"/>
    <x v="28"/>
    <x v="9"/>
    <x v="42"/>
    <x v="25"/>
    <s v="Capacity Building-Training Associate"/>
    <x v="0"/>
    <d v="2022-06-25T20:09:31"/>
    <x v="761"/>
    <x v="218"/>
    <n v="4"/>
    <d v="2022-07-04T20:09:31"/>
    <s v="No"/>
    <m/>
    <x v="2"/>
    <x v="1"/>
    <m/>
    <m/>
    <m/>
    <m/>
    <m/>
    <m/>
    <x v="0"/>
    <m/>
    <m/>
    <m/>
    <m/>
    <m/>
    <m/>
    <s v="C3235"/>
    <s v="Candidate_2235"/>
    <m/>
    <x v="2"/>
    <s v="Job Board"/>
    <n v="3"/>
    <m/>
    <x v="0"/>
    <m/>
    <m/>
    <x v="0"/>
    <x v="0"/>
    <m/>
    <x v="1"/>
    <x v="0"/>
  </r>
  <r>
    <n v="1238"/>
    <s v="1238 | Capacity Building"/>
    <x v="27"/>
    <x v="9"/>
    <x v="42"/>
    <x v="25"/>
    <s v="Capacity Building-Training Associate"/>
    <x v="0"/>
    <m/>
    <x v="1241"/>
    <x v="239"/>
    <n v="44986.728877314818"/>
    <d v="2023-03-29T17:29:35"/>
    <s v="Yes"/>
    <d v="2023-03-13T17:29:35"/>
    <x v="3"/>
    <x v="1"/>
    <d v="2023-03-17T17:29:35"/>
    <s v="Accepted"/>
    <d v="2023-03-15T17:29:35"/>
    <d v="2023-03-16T17:29:35"/>
    <d v="2023-03-14T17:29:35"/>
    <d v="2023-03-17T17:29:35"/>
    <x v="1"/>
    <d v="2023-03-21T17:29:35"/>
    <d v="2023-03-24T17:29:35"/>
    <d v="2023-03-27T17:29:35"/>
    <m/>
    <m/>
    <d v="2023-04-09T17:29:35"/>
    <s v="C3236"/>
    <s v="Candidate_2236"/>
    <s v="02-27-2023"/>
    <x v="0"/>
    <s v="Referral"/>
    <n v="3"/>
    <m/>
    <x v="0"/>
    <m/>
    <m/>
    <x v="0"/>
    <x v="0"/>
    <m/>
    <x v="0"/>
    <x v="0"/>
  </r>
  <r>
    <n v="1226"/>
    <s v="1226 | Capacity Building"/>
    <x v="28"/>
    <x v="9"/>
    <x v="42"/>
    <x v="25"/>
    <s v="Capacity Building-Training Associate"/>
    <x v="0"/>
    <d v="2022-06-25T03:24:32"/>
    <x v="765"/>
    <x v="240"/>
    <n v="4"/>
    <d v="2022-07-12T03:24:32"/>
    <s v="Yes"/>
    <d v="2022-07-11T03:24:32"/>
    <x v="3"/>
    <x v="1"/>
    <d v="2022-07-16T03:24:32"/>
    <s v="Accepted"/>
    <d v="2022-07-12T03:24:32"/>
    <d v="2022-07-16T03:24:32"/>
    <d v="2022-07-13T03:24:32"/>
    <d v="2022-07-23T03:24:32"/>
    <x v="1"/>
    <d v="2022-07-26T03:24:32"/>
    <d v="2022-07-27T03:24:32"/>
    <d v="2022-07-30T03:24:32"/>
    <m/>
    <m/>
    <d v="2022-08-19T03:24:32"/>
    <s v="C3237"/>
    <s v="Candidate_2237"/>
    <s v="Jun 28 2022"/>
    <x v="0"/>
    <s v="Referral"/>
    <n v="6"/>
    <m/>
    <x v="0"/>
    <m/>
    <m/>
    <x v="0"/>
    <x v="0"/>
    <m/>
    <x v="262"/>
    <x v="0"/>
  </r>
  <r>
    <n v="1174"/>
    <s v="1174 | Capacity Building"/>
    <x v="27"/>
    <x v="9"/>
    <x v="42"/>
    <x v="25"/>
    <s v="Capacity Building-Training Associate"/>
    <x v="0"/>
    <d v="2023-05-12T01:00:09"/>
    <x v="727"/>
    <x v="221"/>
    <n v="8"/>
    <d v="2023-06-13T01:00:09"/>
    <s v="Yes"/>
    <d v="2023-06-06T01:00:09"/>
    <x v="3"/>
    <x v="1"/>
    <d v="2023-06-11T01:00:09"/>
    <s v="Accepted"/>
    <d v="2023-06-08T01:00:09"/>
    <d v="2023-06-12T01:00:09"/>
    <d v="2023-06-08T01:00:09"/>
    <d v="2023-06-13T01:00:09"/>
    <x v="1"/>
    <d v="2023-06-15T01:00:09"/>
    <d v="2023-06-17T01:00:09"/>
    <d v="2023-06-19T01:00:09"/>
    <m/>
    <m/>
    <d v="2023-07-10T01:00:09"/>
    <s v="C3238"/>
    <s v="Candidate_2238"/>
    <s v="05-20-2023"/>
    <x v="0"/>
    <s v="Referral"/>
    <n v="3"/>
    <m/>
    <x v="0"/>
    <m/>
    <m/>
    <x v="0"/>
    <x v="0"/>
    <m/>
    <x v="263"/>
    <x v="0"/>
  </r>
  <r>
    <n v="1107"/>
    <s v="1107 | Capacity Building"/>
    <x v="27"/>
    <x v="9"/>
    <x v="42"/>
    <x v="25"/>
    <s v="Capacity Building-Training Associate"/>
    <x v="0"/>
    <d v="2022-04-25T22:53:34"/>
    <x v="837"/>
    <x v="4"/>
    <n v="-44676.953865740739"/>
    <d v="2022-05-07T22:53:34"/>
    <s v="No"/>
    <m/>
    <x v="2"/>
    <x v="1"/>
    <m/>
    <m/>
    <m/>
    <m/>
    <m/>
    <m/>
    <x v="0"/>
    <m/>
    <m/>
    <m/>
    <m/>
    <m/>
    <m/>
    <s v="C3239"/>
    <s v="Candidate_2239"/>
    <m/>
    <x v="0"/>
    <s v="Referral"/>
    <n v="6"/>
    <m/>
    <x v="0"/>
    <m/>
    <m/>
    <x v="0"/>
    <x v="0"/>
    <m/>
    <x v="0"/>
    <x v="0"/>
  </r>
  <r>
    <n v="1072"/>
    <s v="1072 | Capacity Building"/>
    <x v="27"/>
    <x v="9"/>
    <x v="42"/>
    <x v="25"/>
    <s v="Capacity Building-Training Associate"/>
    <x v="0"/>
    <d v="2022-02-11T23:46:40"/>
    <x v="730"/>
    <x v="223"/>
    <n v="4"/>
    <d v="2022-03-10T23:46:40"/>
    <s v="No"/>
    <m/>
    <x v="2"/>
    <x v="1"/>
    <m/>
    <m/>
    <m/>
    <m/>
    <m/>
    <m/>
    <x v="0"/>
    <m/>
    <m/>
    <m/>
    <m/>
    <m/>
    <m/>
    <s v="C3240"/>
    <s v="Candidate_2240"/>
    <m/>
    <x v="0"/>
    <s v="Referral"/>
    <n v="6"/>
    <m/>
    <x v="0"/>
    <m/>
    <m/>
    <x v="0"/>
    <x v="0"/>
    <m/>
    <x v="1"/>
    <x v="0"/>
  </r>
  <r>
    <n v="810"/>
    <s v="810 | Capacity Building"/>
    <x v="27"/>
    <x v="9"/>
    <x v="42"/>
    <x v="25"/>
    <s v="Capacity Building-Training Associate"/>
    <x v="0"/>
    <d v="2023-01-14T21:41:28"/>
    <x v="0"/>
    <x v="335"/>
    <n v="4"/>
    <d v="2023-02-02T21:41:28"/>
    <s v="Yes"/>
    <d v="2023-01-26T21:41:28"/>
    <x v="0"/>
    <x v="5"/>
    <m/>
    <m/>
    <m/>
    <m/>
    <m/>
    <m/>
    <x v="0"/>
    <m/>
    <m/>
    <m/>
    <m/>
    <s v="Company"/>
    <m/>
    <s v="C3241"/>
    <s v="Candidate_2241"/>
    <s v="Jan 19 2023"/>
    <x v="1"/>
    <s v="Linkedin"/>
    <n v="3"/>
    <m/>
    <x v="0"/>
    <m/>
    <m/>
    <x v="0"/>
    <x v="0"/>
    <m/>
    <x v="0"/>
    <x v="0"/>
  </r>
  <r>
    <n v="779"/>
    <s v="779 | Capacity Building"/>
    <x v="27"/>
    <x v="9"/>
    <x v="42"/>
    <x v="25"/>
    <s v="Capacity Building-Training Associate"/>
    <x v="0"/>
    <d v="2023-03-19T09:31:46"/>
    <x v="1242"/>
    <x v="336"/>
    <n v="8"/>
    <d v="2023-04-19T09:31:46"/>
    <s v="Yes"/>
    <d v="2023-04-13T09:31:46"/>
    <x v="4"/>
    <x v="1"/>
    <d v="2023-04-18T09:31:46"/>
    <s v="Pending"/>
    <m/>
    <m/>
    <d v="2023-04-15T09:31:46"/>
    <m/>
    <x v="0"/>
    <m/>
    <m/>
    <m/>
    <m/>
    <m/>
    <m/>
    <s v="C3242"/>
    <s v="Candidate_2242"/>
    <s v="08/04/2023"/>
    <x v="0"/>
    <s v="Referral"/>
    <n v="3"/>
    <m/>
    <x v="0"/>
    <m/>
    <m/>
    <x v="0"/>
    <x v="0"/>
    <m/>
    <x v="1"/>
    <x v="0"/>
  </r>
  <r>
    <n v="773"/>
    <s v="773 | Capacity Building"/>
    <x v="27"/>
    <x v="9"/>
    <x v="42"/>
    <x v="25"/>
    <s v="Capacity Building-Training Associate"/>
    <x v="0"/>
    <d v="2023-03-25T09:31:46"/>
    <x v="1218"/>
    <x v="336"/>
    <n v="2"/>
    <d v="2023-04-24T09:31:46"/>
    <s v="No"/>
    <m/>
    <x v="2"/>
    <x v="1"/>
    <m/>
    <m/>
    <m/>
    <m/>
    <m/>
    <m/>
    <x v="0"/>
    <m/>
    <m/>
    <m/>
    <m/>
    <m/>
    <m/>
    <s v="C3243"/>
    <s v="Candidate_2243"/>
    <m/>
    <x v="1"/>
    <s v="Linkedin"/>
    <n v="6"/>
    <m/>
    <x v="0"/>
    <m/>
    <m/>
    <x v="0"/>
    <x v="0"/>
    <m/>
    <x v="1"/>
    <x v="0"/>
  </r>
  <r>
    <n v="664"/>
    <s v="664 | Capacity Building"/>
    <x v="27"/>
    <x v="9"/>
    <x v="42"/>
    <x v="25"/>
    <s v="Capacity Building-Training Associate"/>
    <x v="0"/>
    <d v="2022-01-12T04:53:52"/>
    <x v="1187"/>
    <x v="337"/>
    <n v="3"/>
    <d v="2022-02-05T04:53:52"/>
    <s v="Yes"/>
    <d v="2022-01-29T04:53:52"/>
    <x v="0"/>
    <x v="4"/>
    <m/>
    <m/>
    <m/>
    <m/>
    <d v="2022-02-02T04:53:52"/>
    <m/>
    <x v="0"/>
    <m/>
    <m/>
    <m/>
    <m/>
    <s v="Candidate"/>
    <m/>
    <s v="C3244"/>
    <s v="Candidate_2244"/>
    <s v="24/01/2022"/>
    <x v="1"/>
    <s v="Linkedin"/>
    <n v="3"/>
    <m/>
    <x v="0"/>
    <m/>
    <m/>
    <x v="0"/>
    <x v="0"/>
    <m/>
    <x v="1"/>
    <x v="0"/>
  </r>
  <r>
    <n v="661"/>
    <s v="661 | Capacity Building"/>
    <x v="28"/>
    <x v="9"/>
    <x v="42"/>
    <x v="25"/>
    <s v="Capacity Building-Training Associate"/>
    <x v="0"/>
    <d v="2022-01-09T04:53:52"/>
    <x v="1188"/>
    <x v="337"/>
    <n v="6"/>
    <d v="2022-01-24T04:53:52"/>
    <s v="Yes"/>
    <d v="2022-01-19T04:53:52"/>
    <x v="0"/>
    <x v="5"/>
    <m/>
    <m/>
    <m/>
    <m/>
    <d v="2022-01-23T04:53:52"/>
    <m/>
    <x v="0"/>
    <m/>
    <m/>
    <m/>
    <m/>
    <s v="Company"/>
    <m/>
    <s v="C3245"/>
    <s v="Candidate_2245"/>
    <s v="02/01/2022"/>
    <x v="1"/>
    <s v="Linkedin"/>
    <n v="3"/>
    <m/>
    <x v="0"/>
    <m/>
    <m/>
    <x v="0"/>
    <x v="0"/>
    <m/>
    <x v="1"/>
    <x v="0"/>
  </r>
  <r>
    <n v="626"/>
    <s v="626 | Capacity Building"/>
    <x v="27"/>
    <x v="9"/>
    <x v="42"/>
    <x v="25"/>
    <s v="Capacity Building-Training Associate"/>
    <x v="0"/>
    <m/>
    <x v="1222"/>
    <x v="338"/>
    <n v="45000.828541666669"/>
    <d v="2023-04-03T19:53:06"/>
    <s v="Yes"/>
    <d v="2023-03-30T19:53:06"/>
    <x v="0"/>
    <x v="5"/>
    <m/>
    <m/>
    <m/>
    <m/>
    <m/>
    <m/>
    <x v="0"/>
    <m/>
    <m/>
    <m/>
    <m/>
    <s v="Company"/>
    <m/>
    <s v="C3246"/>
    <s v="Candidate_2246"/>
    <s v="18/03/2023"/>
    <x v="1"/>
    <s v="Linkedin"/>
    <n v="6"/>
    <m/>
    <x v="0"/>
    <m/>
    <m/>
    <x v="0"/>
    <x v="0"/>
    <m/>
    <x v="0"/>
    <x v="0"/>
  </r>
  <r>
    <n v="539"/>
    <s v="539 | Capacity Building"/>
    <x v="27"/>
    <x v="9"/>
    <x v="42"/>
    <x v="25"/>
    <s v="Capacity Building-Training Associate"/>
    <x v="0"/>
    <m/>
    <x v="0"/>
    <x v="339"/>
    <n v="44578.271180555559"/>
    <d v="2022-02-13T06:30:30"/>
    <s v="No"/>
    <m/>
    <x v="2"/>
    <x v="1"/>
    <m/>
    <m/>
    <m/>
    <m/>
    <m/>
    <m/>
    <x v="0"/>
    <m/>
    <m/>
    <m/>
    <m/>
    <m/>
    <m/>
    <s v="C3247"/>
    <s v="Candidate_2247"/>
    <m/>
    <x v="2"/>
    <s v="Job Board"/>
    <n v="3"/>
    <m/>
    <x v="0"/>
    <m/>
    <m/>
    <x v="0"/>
    <x v="0"/>
    <m/>
    <x v="0"/>
    <x v="0"/>
  </r>
  <r>
    <n v="532"/>
    <s v="532 | Capacity Building"/>
    <x v="27"/>
    <x v="9"/>
    <x v="42"/>
    <x v="25"/>
    <s v="Capacity Building-Training Associate"/>
    <x v="0"/>
    <d v="2022-01-11T06:30:30"/>
    <x v="1243"/>
    <x v="4"/>
    <n v="-44572.271180555559"/>
    <d v="2022-02-11T06:30:30"/>
    <s v="Yes"/>
    <d v="2022-01-30T06:30:30"/>
    <x v="0"/>
    <x v="4"/>
    <m/>
    <m/>
    <m/>
    <m/>
    <m/>
    <m/>
    <x v="0"/>
    <m/>
    <m/>
    <m/>
    <m/>
    <s v="Company"/>
    <m/>
    <s v="C3248"/>
    <s v="Candidate_2248"/>
    <s v="13/01/2022"/>
    <x v="1"/>
    <s v="Linkedin"/>
    <n v="6"/>
    <m/>
    <x v="0"/>
    <m/>
    <m/>
    <x v="0"/>
    <x v="0"/>
    <m/>
    <x v="0"/>
    <x v="0"/>
  </r>
  <r>
    <n v="509"/>
    <s v="509 | Capacity Building"/>
    <x v="29"/>
    <x v="9"/>
    <x v="42"/>
    <x v="25"/>
    <s v="Capacity Building-Training Associate"/>
    <x v="0"/>
    <d v="2022-07-02T02:29:24"/>
    <x v="1193"/>
    <x v="324"/>
    <n v="5"/>
    <d v="2022-07-25T02:29:24"/>
    <s v="Yes"/>
    <d v="2022-07-13T02:29:24"/>
    <x v="3"/>
    <x v="1"/>
    <d v="2022-07-17T02:29:24"/>
    <s v="Accepted"/>
    <d v="2022-07-15T02:29:24"/>
    <d v="2022-07-16T02:29:24"/>
    <d v="2022-07-15T02:29:24"/>
    <d v="2022-07-22T02:29:24"/>
    <x v="1"/>
    <d v="2022-07-25T02:29:24"/>
    <d v="2022-07-26T02:29:24"/>
    <d v="2022-07-27T02:29:24"/>
    <m/>
    <m/>
    <d v="2022-08-10T02:29:24"/>
    <s v="C3249"/>
    <s v="Candidate_2249"/>
    <s v="Jun 29 2022"/>
    <x v="1"/>
    <s v="Linkedin"/>
    <n v="3"/>
    <m/>
    <x v="0"/>
    <m/>
    <m/>
    <x v="0"/>
    <x v="0"/>
    <m/>
    <x v="264"/>
    <x v="0"/>
  </r>
  <r>
    <n v="507"/>
    <s v="507 | Capacity Building"/>
    <x v="29"/>
    <x v="9"/>
    <x v="42"/>
    <x v="25"/>
    <s v="Capacity Building-Training Associate"/>
    <x v="0"/>
    <d v="2022-06-29T02:29:24"/>
    <x v="1166"/>
    <x v="324"/>
    <n v="8"/>
    <d v="2022-08-02T02:29:24"/>
    <s v="No"/>
    <m/>
    <x v="2"/>
    <x v="1"/>
    <m/>
    <m/>
    <m/>
    <m/>
    <m/>
    <m/>
    <x v="0"/>
    <m/>
    <m/>
    <m/>
    <m/>
    <m/>
    <m/>
    <s v="C3250"/>
    <s v="Candidate_2250"/>
    <m/>
    <x v="0"/>
    <s v="Referral"/>
    <n v="3"/>
    <m/>
    <x v="0"/>
    <m/>
    <m/>
    <x v="0"/>
    <x v="0"/>
    <m/>
    <x v="1"/>
    <x v="0"/>
  </r>
  <r>
    <n v="505"/>
    <s v="505 | Capacity Building"/>
    <x v="27"/>
    <x v="9"/>
    <x v="42"/>
    <x v="25"/>
    <s v="Capacity Building-Training Associate"/>
    <x v="0"/>
    <d v="2022-07-03T02:29:24"/>
    <x v="1193"/>
    <x v="324"/>
    <n v="4"/>
    <d v="2022-07-27T02:29:24"/>
    <s v="No"/>
    <m/>
    <x v="2"/>
    <x v="1"/>
    <m/>
    <m/>
    <m/>
    <m/>
    <m/>
    <m/>
    <x v="0"/>
    <m/>
    <m/>
    <m/>
    <m/>
    <m/>
    <m/>
    <s v="C3251"/>
    <s v="Candidate_2251"/>
    <m/>
    <x v="0"/>
    <s v="Referral"/>
    <n v="3"/>
    <m/>
    <x v="0"/>
    <m/>
    <m/>
    <x v="0"/>
    <x v="0"/>
    <m/>
    <x v="1"/>
    <x v="0"/>
  </r>
  <r>
    <n v="504"/>
    <s v="504 | Capacity Building"/>
    <x v="29"/>
    <x v="9"/>
    <x v="42"/>
    <x v="25"/>
    <s v="Capacity Building-Training Associate"/>
    <x v="0"/>
    <d v="2022-07-01T02:29:24"/>
    <x v="1193"/>
    <x v="324"/>
    <n v="6"/>
    <d v="2022-07-25T02:29:24"/>
    <s v="Yes"/>
    <d v="2022-07-14T02:29:24"/>
    <x v="0"/>
    <x v="5"/>
    <m/>
    <m/>
    <m/>
    <m/>
    <d v="2022-07-17T02:29:24"/>
    <m/>
    <x v="0"/>
    <m/>
    <m/>
    <m/>
    <m/>
    <s v="Company"/>
    <m/>
    <s v="C3252"/>
    <s v="Candidate_2252"/>
    <s v="Jun 27 2022"/>
    <x v="0"/>
    <s v="Referral"/>
    <n v="3"/>
    <m/>
    <x v="0"/>
    <m/>
    <m/>
    <x v="0"/>
    <x v="0"/>
    <m/>
    <x v="1"/>
    <x v="0"/>
  </r>
  <r>
    <n v="427"/>
    <s v="427 | Capacity Building"/>
    <x v="27"/>
    <x v="9"/>
    <x v="42"/>
    <x v="25"/>
    <s v="Capacity Building-Training Associate"/>
    <x v="0"/>
    <m/>
    <x v="1195"/>
    <x v="340"/>
    <n v="44987.544421296298"/>
    <d v="2023-03-12T13:03:58"/>
    <s v="Yes"/>
    <d v="2023-03-14T13:03:58"/>
    <x v="0"/>
    <x v="4"/>
    <m/>
    <m/>
    <m/>
    <m/>
    <d v="2023-03-18T13:03:58"/>
    <m/>
    <x v="0"/>
    <m/>
    <m/>
    <m/>
    <m/>
    <s v="Candidate"/>
    <m/>
    <s v="C3253"/>
    <s v="Candidate_2253"/>
    <s v="03-01-2023"/>
    <x v="0"/>
    <s v="Referral"/>
    <n v="3"/>
    <m/>
    <x v="0"/>
    <m/>
    <m/>
    <x v="0"/>
    <x v="0"/>
    <m/>
    <x v="0"/>
    <x v="0"/>
  </r>
  <r>
    <n v="415"/>
    <s v="415 | Capacity Building"/>
    <x v="28"/>
    <x v="9"/>
    <x v="42"/>
    <x v="25"/>
    <s v="Capacity Building-Training Associate"/>
    <x v="0"/>
    <d v="2023-06-16T15:18:23"/>
    <x v="1168"/>
    <x v="325"/>
    <n v="7"/>
    <d v="2023-06-30T15:18:23"/>
    <s v="No"/>
    <m/>
    <x v="2"/>
    <x v="1"/>
    <m/>
    <m/>
    <m/>
    <m/>
    <m/>
    <m/>
    <x v="0"/>
    <m/>
    <m/>
    <m/>
    <m/>
    <m/>
    <m/>
    <s v="C3254"/>
    <s v="Candidate_2254"/>
    <m/>
    <x v="1"/>
    <s v="Linkedin"/>
    <n v="3"/>
    <m/>
    <x v="0"/>
    <m/>
    <m/>
    <x v="0"/>
    <x v="0"/>
    <m/>
    <x v="1"/>
    <x v="0"/>
  </r>
  <r>
    <n v="255"/>
    <s v="255 | Capacity Building"/>
    <x v="29"/>
    <x v="9"/>
    <x v="42"/>
    <x v="25"/>
    <s v="Capacity Building-Training Associate"/>
    <x v="0"/>
    <d v="2022-05-29T15:11:28"/>
    <x v="1200"/>
    <x v="327"/>
    <n v="3"/>
    <d v="2022-06-23T15:11:28"/>
    <s v="No"/>
    <m/>
    <x v="2"/>
    <x v="1"/>
    <m/>
    <m/>
    <m/>
    <m/>
    <m/>
    <m/>
    <x v="0"/>
    <m/>
    <m/>
    <m/>
    <m/>
    <m/>
    <m/>
    <s v="C3255"/>
    <s v="Candidate_2255"/>
    <m/>
    <x v="2"/>
    <s v="Job Board"/>
    <n v="3"/>
    <m/>
    <x v="0"/>
    <m/>
    <m/>
    <x v="0"/>
    <x v="0"/>
    <m/>
    <x v="1"/>
    <x v="0"/>
  </r>
  <r>
    <n v="252"/>
    <s v="252 | Capacity Building"/>
    <x v="27"/>
    <x v="9"/>
    <x v="42"/>
    <x v="25"/>
    <s v="Capacity Building-Training Associate"/>
    <x v="0"/>
    <d v="2022-05-22T15:11:28"/>
    <x v="1244"/>
    <x v="327"/>
    <n v="10"/>
    <d v="2022-06-28T15:11:28"/>
    <s v="Yes"/>
    <d v="2022-06-14T15:11:28"/>
    <x v="0"/>
    <x v="2"/>
    <m/>
    <m/>
    <m/>
    <m/>
    <d v="2022-06-16T15:11:28"/>
    <m/>
    <x v="0"/>
    <m/>
    <m/>
    <m/>
    <m/>
    <s v="Company"/>
    <m/>
    <s v="C3256"/>
    <s v="Candidate_2256"/>
    <s v="May 26 2022"/>
    <x v="0"/>
    <s v="Referral"/>
    <n v="6"/>
    <m/>
    <x v="0"/>
    <m/>
    <m/>
    <x v="0"/>
    <x v="0"/>
    <m/>
    <x v="1"/>
    <x v="0"/>
  </r>
  <r>
    <n v="230"/>
    <s v="230 | Capacity Building"/>
    <x v="28"/>
    <x v="9"/>
    <x v="42"/>
    <x v="25"/>
    <s v="Capacity Building-Training Associate"/>
    <x v="0"/>
    <d v="2022-06-27T10:44:44"/>
    <x v="1202"/>
    <x v="4"/>
    <n v="-44739.447731481479"/>
    <d v="2022-07-20T10:44:44"/>
    <s v="Yes"/>
    <d v="2022-07-17T10:44:44"/>
    <x v="1"/>
    <x v="1"/>
    <d v="2022-07-23T10:44:44"/>
    <s v="Declined"/>
    <m/>
    <m/>
    <d v="2022-07-19T10:44:44"/>
    <m/>
    <x v="0"/>
    <m/>
    <m/>
    <m/>
    <m/>
    <m/>
    <m/>
    <s v="C3257"/>
    <s v="Candidate_2257"/>
    <s v="30/06/2022"/>
    <x v="2"/>
    <s v="Job Board"/>
    <n v="6"/>
    <m/>
    <x v="0"/>
    <m/>
    <m/>
    <x v="0"/>
    <x v="0"/>
    <m/>
    <x v="0"/>
    <x v="0"/>
  </r>
  <r>
    <n v="228"/>
    <s v="228 | Capacity Building"/>
    <x v="28"/>
    <x v="9"/>
    <x v="42"/>
    <x v="25"/>
    <s v="Capacity Building-Training Associate"/>
    <x v="0"/>
    <m/>
    <x v="1203"/>
    <x v="341"/>
    <n v="44744.447731481479"/>
    <d v="2022-07-10T10:44:44"/>
    <s v="Yes"/>
    <d v="2022-07-17T10:44:44"/>
    <x v="0"/>
    <x v="5"/>
    <m/>
    <m/>
    <m/>
    <m/>
    <m/>
    <m/>
    <x v="0"/>
    <m/>
    <m/>
    <m/>
    <m/>
    <s v="Candidate"/>
    <m/>
    <s v="C3258"/>
    <s v="Candidate_2258"/>
    <s v="07-01-2022"/>
    <x v="1"/>
    <s v="Linkedin"/>
    <n v="6"/>
    <m/>
    <x v="0"/>
    <m/>
    <m/>
    <x v="0"/>
    <x v="0"/>
    <m/>
    <x v="0"/>
    <x v="0"/>
  </r>
  <r>
    <n v="226"/>
    <s v="226 | Capacity Building"/>
    <x v="29"/>
    <x v="9"/>
    <x v="42"/>
    <x v="0"/>
    <s v="Capacity Building-Analyst"/>
    <x v="0"/>
    <d v="2022-06-25T10:44:44"/>
    <x v="0"/>
    <x v="341"/>
    <n v="7"/>
    <d v="2022-07-16T10:44:44"/>
    <s v="Yes"/>
    <d v="2022-07-11T10:44:44"/>
    <x v="0"/>
    <x v="3"/>
    <m/>
    <m/>
    <m/>
    <m/>
    <d v="2022-07-14T10:44:44"/>
    <m/>
    <x v="0"/>
    <m/>
    <m/>
    <m/>
    <m/>
    <s v="Candidate"/>
    <m/>
    <s v="C3259"/>
    <s v="Candidate_2259"/>
    <s v="Jun 29 2022"/>
    <x v="2"/>
    <s v="Job Board"/>
    <n v="3"/>
    <m/>
    <x v="0"/>
    <m/>
    <m/>
    <x v="0"/>
    <x v="0"/>
    <m/>
    <x v="0"/>
    <x v="0"/>
  </r>
  <r>
    <n v="154"/>
    <s v="154 | Capacity Building"/>
    <x v="29"/>
    <x v="9"/>
    <x v="42"/>
    <x v="0"/>
    <s v="Capacity Building-Analyst"/>
    <x v="0"/>
    <d v="2023-01-08T15:27:51"/>
    <x v="1245"/>
    <x v="329"/>
    <n v="4"/>
    <d v="2023-01-29T15:27:51"/>
    <s v="Yes"/>
    <d v="2023-01-28T15:27:51"/>
    <x v="4"/>
    <x v="1"/>
    <d v="2023-01-31T15:27:51"/>
    <s v="Pending"/>
    <m/>
    <m/>
    <d v="2023-01-30T15:27:51"/>
    <m/>
    <x v="0"/>
    <m/>
    <m/>
    <m/>
    <m/>
    <m/>
    <m/>
    <s v="C3260"/>
    <s v="Candidate_2260"/>
    <s v="22/01/2023"/>
    <x v="1"/>
    <s v="Linkedin"/>
    <n v="6"/>
    <m/>
    <x v="0"/>
    <m/>
    <m/>
    <x v="0"/>
    <x v="0"/>
    <m/>
    <x v="1"/>
    <x v="0"/>
  </r>
  <r>
    <n v="151"/>
    <s v="151 | Capacity Building"/>
    <x v="28"/>
    <x v="9"/>
    <x v="42"/>
    <x v="0"/>
    <s v="Capacity Building-Analyst"/>
    <x v="0"/>
    <d v="2023-01-04T15:27:51"/>
    <x v="1204"/>
    <x v="4"/>
    <n v="-44930.64434027778"/>
    <d v="2023-01-21T15:27:51"/>
    <s v="Yes"/>
    <d v="2023-01-27T15:27:51"/>
    <x v="3"/>
    <x v="1"/>
    <d v="2023-02-01T15:27:51"/>
    <s v="Accepted"/>
    <d v="2023-01-28T15:27:51"/>
    <d v="2023-01-31T15:27:51"/>
    <d v="2023-01-30T15:27:51"/>
    <d v="2023-02-06T15:27:51"/>
    <x v="1"/>
    <d v="2023-02-10T15:27:51"/>
    <d v="2023-02-13T15:27:51"/>
    <d v="2023-02-15T15:27:51"/>
    <m/>
    <m/>
    <d v="2023-02-26T15:27:51"/>
    <s v="C3261"/>
    <s v="Candidate_2261"/>
    <s v="Jan 19 2023"/>
    <x v="2"/>
    <s v="Job Board"/>
    <n v="3"/>
    <m/>
    <x v="0"/>
    <m/>
    <m/>
    <x v="0"/>
    <x v="0"/>
    <m/>
    <x v="0"/>
    <x v="0"/>
  </r>
  <r>
    <n v="150"/>
    <s v="150 | Capacity Building"/>
    <x v="27"/>
    <x v="9"/>
    <x v="42"/>
    <x v="0"/>
    <s v="Capacity Building-Analyst"/>
    <x v="0"/>
    <d v="2022-03-07T23:34:26"/>
    <x v="1173"/>
    <x v="330"/>
    <n v="9"/>
    <d v="2022-04-07T23:34:26"/>
    <s v="Yes"/>
    <d v="2022-03-31T23:34:26"/>
    <x v="1"/>
    <x v="1"/>
    <d v="2022-04-04T23:34:26"/>
    <s v="Declined"/>
    <m/>
    <m/>
    <d v="2022-04-01T23:34:26"/>
    <m/>
    <x v="0"/>
    <m/>
    <m/>
    <m/>
    <m/>
    <m/>
    <m/>
    <s v="C3262"/>
    <s v="Candidate_2262"/>
    <s v="03-24-2022"/>
    <x v="2"/>
    <s v="Job Board"/>
    <n v="6"/>
    <m/>
    <x v="0"/>
    <m/>
    <m/>
    <x v="0"/>
    <x v="0"/>
    <m/>
    <x v="1"/>
    <x v="0"/>
  </r>
  <r>
    <n v="145"/>
    <s v="145 | Capacity Building"/>
    <x v="27"/>
    <x v="9"/>
    <x v="42"/>
    <x v="0"/>
    <s v="Capacity Building-Analyst"/>
    <x v="0"/>
    <d v="2022-03-11T23:34:26"/>
    <x v="1246"/>
    <x v="330"/>
    <n v="5"/>
    <d v="2022-04-05T23:34:26"/>
    <s v="Yes"/>
    <d v="2022-04-01T23:34:26"/>
    <x v="3"/>
    <x v="1"/>
    <d v="2022-04-06T23:34:26"/>
    <s v="Accepted"/>
    <d v="2022-04-03T23:34:26"/>
    <d v="2022-04-05T23:34:26"/>
    <d v="2022-04-02T23:34:26"/>
    <d v="2022-04-06T23:34:26"/>
    <x v="1"/>
    <d v="2022-04-07T23:34:26"/>
    <d v="2022-04-08T23:34:26"/>
    <d v="2022-04-10T23:34:26"/>
    <m/>
    <m/>
    <d v="2022-04-22T23:34:26"/>
    <s v="C3263"/>
    <s v="Candidate_2263"/>
    <s v="Mar 21 2022"/>
    <x v="0"/>
    <s v="Referral"/>
    <n v="6"/>
    <m/>
    <x v="0"/>
    <m/>
    <m/>
    <x v="0"/>
    <x v="0"/>
    <m/>
    <x v="265"/>
    <x v="0"/>
  </r>
  <r>
    <n v="141"/>
    <s v="141 | Capacity Building"/>
    <x v="27"/>
    <x v="9"/>
    <x v="42"/>
    <x v="0"/>
    <s v="Capacity Building-Analyst"/>
    <x v="0"/>
    <d v="2022-03-09T23:34:26"/>
    <x v="1173"/>
    <x v="330"/>
    <n v="7"/>
    <d v="2022-03-31T23:34:26"/>
    <s v="Yes"/>
    <d v="2022-03-30T23:34:26"/>
    <x v="3"/>
    <x v="1"/>
    <d v="2022-04-07T23:34:26"/>
    <s v="Accepted"/>
    <d v="2022-03-31T23:34:26"/>
    <d v="2022-04-04T23:34:26"/>
    <d v="2022-04-03T23:34:26"/>
    <d v="2022-04-09T23:34:26"/>
    <x v="1"/>
    <d v="2022-04-10T23:34:26"/>
    <d v="2022-04-11T23:34:26"/>
    <d v="2022-04-12T23:34:26"/>
    <m/>
    <m/>
    <d v="2022-05-04T23:34:26"/>
    <s v="C3264"/>
    <s v="Candidate_2264"/>
    <s v="Mar 20 2022"/>
    <x v="0"/>
    <s v="Referral"/>
    <n v="3"/>
    <m/>
    <x v="0"/>
    <m/>
    <m/>
    <x v="0"/>
    <x v="0"/>
    <m/>
    <x v="266"/>
    <x v="0"/>
  </r>
  <r>
    <n v="114"/>
    <s v="114 | Capacity Building"/>
    <x v="29"/>
    <x v="9"/>
    <x v="42"/>
    <x v="0"/>
    <s v="Capacity Building-Analyst"/>
    <x v="0"/>
    <d v="2022-06-26T04:45:15"/>
    <x v="1230"/>
    <x v="331"/>
    <n v="8"/>
    <d v="2022-07-18T04:45:15"/>
    <s v="Yes"/>
    <d v="2022-07-07T04:45:15"/>
    <x v="3"/>
    <x v="1"/>
    <d v="2022-07-10T04:45:15"/>
    <s v="Accepted"/>
    <d v="2022-07-08T04:45:15"/>
    <d v="2022-07-12T04:45:15"/>
    <d v="2022-07-08T04:45:15"/>
    <d v="2022-07-11T04:45:15"/>
    <x v="1"/>
    <d v="2022-07-12T04:45:15"/>
    <d v="2022-07-13T04:45:15"/>
    <d v="2022-07-15T04:45:15"/>
    <m/>
    <m/>
    <d v="2022-08-04T04:45:15"/>
    <s v="C3265"/>
    <s v="Candidate_2265"/>
    <s v="Jun 19 2022"/>
    <x v="1"/>
    <s v="Linkedin"/>
    <n v="3"/>
    <m/>
    <x v="0"/>
    <m/>
    <m/>
    <x v="0"/>
    <x v="0"/>
    <m/>
    <x v="267"/>
    <x v="0"/>
  </r>
  <r>
    <n v="58"/>
    <s v="58 | Capacity Building"/>
    <x v="29"/>
    <x v="9"/>
    <x v="42"/>
    <x v="0"/>
    <s v="Capacity Building-Analyst"/>
    <x v="0"/>
    <d v="2022-07-31T00:18:39"/>
    <x v="1247"/>
    <x v="332"/>
    <n v="4"/>
    <d v="2022-08-13T00:18:39"/>
    <s v="Yes"/>
    <d v="2022-08-22T00:18:39"/>
    <x v="0"/>
    <x v="2"/>
    <m/>
    <m/>
    <m/>
    <m/>
    <m/>
    <m/>
    <x v="0"/>
    <m/>
    <m/>
    <m/>
    <m/>
    <s v="Company"/>
    <m/>
    <s v="C3266"/>
    <s v="Candidate_2266"/>
    <s v="Aug 08 2022"/>
    <x v="1"/>
    <s v="Linkedin"/>
    <n v="6"/>
    <m/>
    <x v="0"/>
    <m/>
    <m/>
    <x v="0"/>
    <x v="0"/>
    <m/>
    <x v="1"/>
    <x v="0"/>
  </r>
  <r>
    <n v="55"/>
    <s v="55 | Capacity Building"/>
    <x v="28"/>
    <x v="9"/>
    <x v="42"/>
    <x v="0"/>
    <s v="Capacity Building-Analyst"/>
    <x v="0"/>
    <d v="2022-07-27T00:18:39"/>
    <x v="1248"/>
    <x v="332"/>
    <n v="8"/>
    <d v="2022-08-30T00:18:39"/>
    <s v="Yes"/>
    <d v="2022-08-11T00:18:39"/>
    <x v="3"/>
    <x v="1"/>
    <d v="2022-08-15T00:18:39"/>
    <s v="Accepted"/>
    <d v="2022-08-13T00:18:39"/>
    <d v="2022-08-16T00:18:39"/>
    <d v="2022-08-13T00:18:39"/>
    <d v="2022-08-14T00:18:39"/>
    <x v="1"/>
    <d v="2022-08-17T00:18:39"/>
    <d v="2022-08-19T00:18:39"/>
    <d v="2022-08-20T00:18:39"/>
    <m/>
    <m/>
    <d v="2022-09-12T00:18:39"/>
    <s v="C3267"/>
    <s v="Candidate_2267"/>
    <s v="02/08/2022"/>
    <x v="0"/>
    <s v="Referral"/>
    <n v="6"/>
    <m/>
    <x v="0"/>
    <m/>
    <m/>
    <x v="0"/>
    <x v="0"/>
    <m/>
    <x v="268"/>
    <x v="0"/>
  </r>
  <r>
    <n v="2992"/>
    <s v="2992 | Capacity Building"/>
    <x v="27"/>
    <x v="9"/>
    <x v="43"/>
    <x v="14"/>
    <s v="Capacity Building-Associate Director"/>
    <x v="2"/>
    <d v="2023-03-02T00:56:51"/>
    <x v="1231"/>
    <x v="344"/>
    <n v="11"/>
    <d v="2023-03-30T00:56:51"/>
    <s v="No"/>
    <m/>
    <x v="2"/>
    <x v="1"/>
    <m/>
    <m/>
    <m/>
    <m/>
    <m/>
    <m/>
    <x v="0"/>
    <m/>
    <m/>
    <m/>
    <m/>
    <m/>
    <m/>
    <s v="C3268"/>
    <s v="Candidate_2268"/>
    <m/>
    <x v="1"/>
    <s v="Linkedin"/>
    <n v="6"/>
    <m/>
    <x v="0"/>
    <m/>
    <m/>
    <x v="0"/>
    <x v="0"/>
    <m/>
    <x v="1"/>
    <x v="0"/>
  </r>
  <r>
    <n v="2768"/>
    <s v="2768 | Capacity Building"/>
    <x v="27"/>
    <x v="9"/>
    <x v="43"/>
    <x v="14"/>
    <s v="Capacity Building-Associate Director"/>
    <x v="2"/>
    <d v="2022-09-01T07:14:27"/>
    <x v="711"/>
    <x v="4"/>
    <n v="-44805.301701388889"/>
    <d v="2022-10-08T07:14:27"/>
    <s v="No"/>
    <m/>
    <x v="2"/>
    <x v="1"/>
    <m/>
    <m/>
    <m/>
    <m/>
    <m/>
    <m/>
    <x v="0"/>
    <m/>
    <m/>
    <m/>
    <m/>
    <m/>
    <m/>
    <s v="C3269"/>
    <s v="Candidate_2269"/>
    <m/>
    <x v="0"/>
    <s v="Referral"/>
    <n v="6"/>
    <m/>
    <x v="0"/>
    <m/>
    <m/>
    <x v="0"/>
    <x v="0"/>
    <m/>
    <x v="0"/>
    <x v="0"/>
  </r>
  <r>
    <n v="2633"/>
    <s v="2633 | Capacity Building"/>
    <x v="29"/>
    <x v="9"/>
    <x v="43"/>
    <x v="14"/>
    <s v="Capacity Building-Associate Director"/>
    <x v="2"/>
    <d v="2022-01-20T04:43:28"/>
    <x v="1237"/>
    <x v="230"/>
    <n v="7"/>
    <d v="2022-02-21T04:43:28"/>
    <s v="No"/>
    <m/>
    <x v="2"/>
    <x v="1"/>
    <m/>
    <m/>
    <m/>
    <m/>
    <m/>
    <m/>
    <x v="0"/>
    <m/>
    <m/>
    <m/>
    <m/>
    <m/>
    <m/>
    <s v="C3270"/>
    <s v="Candidate_2270"/>
    <m/>
    <x v="0"/>
    <s v="Referral"/>
    <n v="6"/>
    <m/>
    <x v="0"/>
    <m/>
    <m/>
    <x v="0"/>
    <x v="0"/>
    <m/>
    <x v="1"/>
    <x v="0"/>
  </r>
  <r>
    <n v="2576"/>
    <s v="2576 | Capacity Building"/>
    <x v="28"/>
    <x v="9"/>
    <x v="43"/>
    <x v="14"/>
    <s v="Capacity Building-Associate Director"/>
    <x v="2"/>
    <d v="2022-03-17T17:14:32"/>
    <x v="744"/>
    <x v="233"/>
    <n v="8"/>
    <d v="2022-04-03T17:14:32"/>
    <s v="No"/>
    <m/>
    <x v="2"/>
    <x v="1"/>
    <m/>
    <m/>
    <m/>
    <m/>
    <m/>
    <m/>
    <x v="0"/>
    <m/>
    <m/>
    <m/>
    <m/>
    <m/>
    <m/>
    <s v="C3271"/>
    <s v="Candidate_2271"/>
    <m/>
    <x v="0"/>
    <s v="Referral"/>
    <n v="3"/>
    <m/>
    <x v="0"/>
    <m/>
    <m/>
    <x v="0"/>
    <x v="0"/>
    <m/>
    <x v="1"/>
    <x v="0"/>
  </r>
  <r>
    <n v="2529"/>
    <s v="2529 | Capacity Building"/>
    <x v="27"/>
    <x v="9"/>
    <x v="43"/>
    <x v="14"/>
    <s v="Capacity Building-Associate Director"/>
    <x v="2"/>
    <d v="2023-04-11T18:41:30"/>
    <x v="1249"/>
    <x v="243"/>
    <n v="6"/>
    <d v="2023-05-09T18:41:30"/>
    <s v="No"/>
    <m/>
    <x v="2"/>
    <x v="1"/>
    <m/>
    <m/>
    <m/>
    <m/>
    <m/>
    <m/>
    <x v="0"/>
    <m/>
    <m/>
    <m/>
    <m/>
    <m/>
    <m/>
    <s v="C3272"/>
    <s v="Candidate_2272"/>
    <m/>
    <x v="1"/>
    <s v="Linkedin"/>
    <n v="6"/>
    <m/>
    <x v="0"/>
    <m/>
    <m/>
    <x v="0"/>
    <x v="0"/>
    <m/>
    <x v="1"/>
    <x v="0"/>
  </r>
  <r>
    <n v="2092"/>
    <s v="2092 | Capacity Building"/>
    <x v="27"/>
    <x v="9"/>
    <x v="43"/>
    <x v="14"/>
    <s v="Capacity Building-Associate Director"/>
    <x v="2"/>
    <d v="2022-10-23T23:41:59"/>
    <x v="1250"/>
    <x v="246"/>
    <n v="7"/>
    <d v="2022-11-04T23:41:59"/>
    <s v="No"/>
    <m/>
    <x v="2"/>
    <x v="1"/>
    <m/>
    <m/>
    <m/>
    <m/>
    <m/>
    <m/>
    <x v="0"/>
    <m/>
    <m/>
    <m/>
    <m/>
    <m/>
    <m/>
    <s v="C3273"/>
    <s v="Candidate_2273"/>
    <m/>
    <x v="0"/>
    <s v="Referral"/>
    <n v="6"/>
    <m/>
    <x v="0"/>
    <m/>
    <m/>
    <x v="0"/>
    <x v="0"/>
    <m/>
    <x v="1"/>
    <x v="0"/>
  </r>
  <r>
    <n v="1939"/>
    <s v="1939 | Capacity Building"/>
    <x v="29"/>
    <x v="9"/>
    <x v="43"/>
    <x v="14"/>
    <s v="Capacity Building-Associate Director"/>
    <x v="2"/>
    <d v="2023-09-10T07:20:47"/>
    <x v="1251"/>
    <x v="237"/>
    <n v="5"/>
    <d v="2023-09-23T07:20:47"/>
    <s v="No"/>
    <m/>
    <x v="2"/>
    <x v="1"/>
    <m/>
    <m/>
    <m/>
    <m/>
    <m/>
    <m/>
    <x v="0"/>
    <m/>
    <m/>
    <m/>
    <m/>
    <m/>
    <m/>
    <s v="C3274"/>
    <s v="Candidate_2274"/>
    <m/>
    <x v="2"/>
    <s v="Job Board"/>
    <n v="6"/>
    <m/>
    <x v="0"/>
    <m/>
    <m/>
    <x v="0"/>
    <x v="0"/>
    <m/>
    <x v="1"/>
    <x v="0"/>
  </r>
  <r>
    <n v="1192"/>
    <s v="1192 | Capacity Building"/>
    <x v="29"/>
    <x v="9"/>
    <x v="43"/>
    <x v="14"/>
    <s v="Capacity Building-Associate Director"/>
    <x v="2"/>
    <d v="2022-07-23T23:11:03"/>
    <x v="1252"/>
    <x v="220"/>
    <n v="6"/>
    <d v="2022-08-27T23:11:03"/>
    <s v="No"/>
    <m/>
    <x v="2"/>
    <x v="1"/>
    <m/>
    <m/>
    <m/>
    <m/>
    <m/>
    <m/>
    <x v="0"/>
    <m/>
    <m/>
    <m/>
    <m/>
    <m/>
    <m/>
    <s v="C3275"/>
    <s v="Candidate_2275"/>
    <m/>
    <x v="1"/>
    <s v="Linkedin"/>
    <n v="6"/>
    <m/>
    <x v="0"/>
    <m/>
    <m/>
    <x v="0"/>
    <x v="0"/>
    <m/>
    <x v="1"/>
    <x v="0"/>
  </r>
  <r>
    <n v="929"/>
    <s v="929 | Capacity Building"/>
    <x v="27"/>
    <x v="9"/>
    <x v="43"/>
    <x v="14"/>
    <s v="Capacity Building-Associate Director"/>
    <x v="2"/>
    <d v="2023-05-25T11:51:22"/>
    <x v="1182"/>
    <x v="334"/>
    <n v="9"/>
    <d v="2023-06-13T11:51:22"/>
    <s v="Yes"/>
    <d v="2023-06-10T11:51:22"/>
    <x v="0"/>
    <x v="5"/>
    <m/>
    <m/>
    <m/>
    <m/>
    <d v="2023-06-13T11:51:22"/>
    <m/>
    <x v="0"/>
    <m/>
    <m/>
    <m/>
    <m/>
    <s v="Company"/>
    <m/>
    <s v="C3276"/>
    <s v="Candidate_2276"/>
    <s v="06-03-2023"/>
    <x v="1"/>
    <s v="Linkedin"/>
    <n v="3"/>
    <m/>
    <x v="0"/>
    <m/>
    <m/>
    <x v="0"/>
    <x v="0"/>
    <m/>
    <x v="1"/>
    <x v="0"/>
  </r>
  <r>
    <n v="927"/>
    <s v="927 | Capacity Building"/>
    <x v="29"/>
    <x v="9"/>
    <x v="43"/>
    <x v="22"/>
    <s v="Capacity Building-Principal Officer"/>
    <x v="2"/>
    <d v="2023-05-30T11:51:22"/>
    <x v="1181"/>
    <x v="334"/>
    <n v="4"/>
    <d v="2023-06-16T11:51:22"/>
    <s v="No"/>
    <m/>
    <x v="2"/>
    <x v="1"/>
    <m/>
    <m/>
    <m/>
    <m/>
    <m/>
    <m/>
    <x v="0"/>
    <m/>
    <m/>
    <m/>
    <m/>
    <m/>
    <m/>
    <s v="C3277"/>
    <s v="Candidate_2277"/>
    <m/>
    <x v="2"/>
    <s v="Job Board"/>
    <n v="6"/>
    <m/>
    <x v="0"/>
    <m/>
    <m/>
    <x v="0"/>
    <x v="0"/>
    <m/>
    <x v="1"/>
    <x v="0"/>
  </r>
  <r>
    <n v="809"/>
    <s v="809 | Capacity Building"/>
    <x v="27"/>
    <x v="9"/>
    <x v="43"/>
    <x v="22"/>
    <s v="Capacity Building-Principal Officer"/>
    <x v="2"/>
    <d v="2023-01-11T21:41:28"/>
    <x v="1253"/>
    <x v="335"/>
    <n v="7"/>
    <d v="2023-01-24T21:41:28"/>
    <s v="Yes"/>
    <d v="2023-01-27T21:41:28"/>
    <x v="0"/>
    <x v="3"/>
    <m/>
    <m/>
    <m/>
    <m/>
    <m/>
    <m/>
    <x v="0"/>
    <m/>
    <m/>
    <m/>
    <m/>
    <s v="Company"/>
    <m/>
    <s v="C3278"/>
    <s v="Candidate_2278"/>
    <s v="Jan 11 2023"/>
    <x v="1"/>
    <s v="Linkedin"/>
    <n v="3"/>
    <m/>
    <x v="0"/>
    <m/>
    <m/>
    <x v="0"/>
    <x v="0"/>
    <m/>
    <x v="1"/>
    <x v="0"/>
  </r>
  <r>
    <n v="805"/>
    <s v="805 | Capacity Building"/>
    <x v="28"/>
    <x v="9"/>
    <x v="43"/>
    <x v="22"/>
    <s v="Capacity Building-Principal Officer"/>
    <x v="2"/>
    <d v="2023-01-14T21:41:28"/>
    <x v="1216"/>
    <x v="4"/>
    <n v="-44940.903796296298"/>
    <d v="2023-01-27T21:41:28"/>
    <s v="No"/>
    <m/>
    <x v="2"/>
    <x v="1"/>
    <m/>
    <m/>
    <m/>
    <m/>
    <m/>
    <m/>
    <x v="0"/>
    <m/>
    <m/>
    <m/>
    <m/>
    <m/>
    <m/>
    <s v="C3279"/>
    <s v="Candidate_2279"/>
    <m/>
    <x v="0"/>
    <s v="Referral"/>
    <n v="3"/>
    <m/>
    <x v="0"/>
    <m/>
    <m/>
    <x v="0"/>
    <x v="0"/>
    <m/>
    <x v="0"/>
    <x v="0"/>
  </r>
  <r>
    <n v="801"/>
    <s v="801 | Capacity Building"/>
    <x v="29"/>
    <x v="9"/>
    <x v="43"/>
    <x v="22"/>
    <s v="Capacity Building-Principal Officer"/>
    <x v="2"/>
    <d v="2023-01-14T21:41:28"/>
    <x v="1254"/>
    <x v="335"/>
    <n v="4"/>
    <d v="2023-02-11T21:41:28"/>
    <s v="Yes"/>
    <d v="2023-01-26T21:41:28"/>
    <x v="1"/>
    <x v="1"/>
    <d v="2023-02-01T21:41:28"/>
    <s v="Declined"/>
    <m/>
    <m/>
    <d v="2023-01-29T21:41:28"/>
    <m/>
    <x v="0"/>
    <m/>
    <m/>
    <m/>
    <m/>
    <m/>
    <m/>
    <s v="C3280"/>
    <s v="Candidate_2280"/>
    <s v="01-17-2023"/>
    <x v="2"/>
    <s v="Job Board"/>
    <n v="3"/>
    <m/>
    <x v="0"/>
    <m/>
    <m/>
    <x v="0"/>
    <x v="0"/>
    <m/>
    <x v="1"/>
    <x v="0"/>
  </r>
  <r>
    <n v="777"/>
    <s v="777 | Capacity Building"/>
    <x v="28"/>
    <x v="9"/>
    <x v="43"/>
    <x v="22"/>
    <s v="Capacity Building-Principal Officer"/>
    <x v="2"/>
    <d v="2023-03-21T09:31:46"/>
    <x v="1255"/>
    <x v="336"/>
    <n v="6"/>
    <d v="2023-04-25T09:31:46"/>
    <s v="Yes"/>
    <d v="2023-04-04T09:31:46"/>
    <x v="3"/>
    <x v="1"/>
    <d v="2023-04-11T09:31:46"/>
    <s v="Accepted"/>
    <d v="2023-04-05T09:31:46"/>
    <d v="2023-04-07T09:31:46"/>
    <d v="2023-04-07T09:31:46"/>
    <d v="2023-04-12T09:31:46"/>
    <x v="1"/>
    <d v="2023-04-15T09:31:46"/>
    <d v="2023-04-17T09:31:46"/>
    <d v="2023-04-18T09:31:46"/>
    <m/>
    <m/>
    <d v="2023-05-10T09:31:46"/>
    <s v="C3281"/>
    <s v="Candidate_2281"/>
    <s v="Mar 23 2023"/>
    <x v="2"/>
    <s v="Job Board"/>
    <n v="6"/>
    <m/>
    <x v="0"/>
    <m/>
    <m/>
    <x v="0"/>
    <x v="0"/>
    <m/>
    <x v="269"/>
    <x v="0"/>
  </r>
  <r>
    <n v="776"/>
    <s v="776 | Capacity Building"/>
    <x v="28"/>
    <x v="9"/>
    <x v="43"/>
    <x v="22"/>
    <s v="Capacity Building-Principal Officer"/>
    <x v="2"/>
    <m/>
    <x v="1186"/>
    <x v="336"/>
    <n v="45012.397060185183"/>
    <d v="2023-04-24T09:31:46"/>
    <s v="Yes"/>
    <d v="2023-04-11T09:31:46"/>
    <x v="1"/>
    <x v="1"/>
    <d v="2023-04-14T09:31:46"/>
    <s v="Declined"/>
    <m/>
    <m/>
    <d v="2023-04-12T09:31:46"/>
    <m/>
    <x v="0"/>
    <m/>
    <m/>
    <m/>
    <m/>
    <m/>
    <m/>
    <s v="C3282"/>
    <s v="Candidate_2282"/>
    <s v="30/03/2023"/>
    <x v="2"/>
    <s v="Job Board"/>
    <n v="6"/>
    <m/>
    <x v="0"/>
    <m/>
    <m/>
    <x v="0"/>
    <x v="0"/>
    <m/>
    <x v="0"/>
    <x v="0"/>
  </r>
  <r>
    <n v="670"/>
    <s v="670 | Capacity Building"/>
    <x v="28"/>
    <x v="9"/>
    <x v="43"/>
    <x v="22"/>
    <s v="Capacity Building-Principal Officer"/>
    <x v="2"/>
    <d v="2022-01-09T04:53:52"/>
    <x v="1188"/>
    <x v="337"/>
    <n v="6"/>
    <d v="2022-02-09T04:53:52"/>
    <s v="Yes"/>
    <d v="2022-01-30T04:53:52"/>
    <x v="0"/>
    <x v="5"/>
    <m/>
    <m/>
    <m/>
    <m/>
    <m/>
    <m/>
    <x v="0"/>
    <m/>
    <m/>
    <m/>
    <m/>
    <s v="Candidate"/>
    <m/>
    <s v="C3283"/>
    <s v="Candidate_2283"/>
    <s v="01-15-2022"/>
    <x v="2"/>
    <s v="Job Board"/>
    <n v="6"/>
    <m/>
    <x v="0"/>
    <m/>
    <m/>
    <x v="0"/>
    <x v="0"/>
    <m/>
    <x v="1"/>
    <x v="0"/>
  </r>
  <r>
    <n v="663"/>
    <s v="663 | Capacity Building"/>
    <x v="27"/>
    <x v="9"/>
    <x v="43"/>
    <x v="22"/>
    <s v="Capacity Building-Principal Officer"/>
    <x v="2"/>
    <d v="2022-01-07T04:53:52"/>
    <x v="0"/>
    <x v="337"/>
    <n v="8"/>
    <d v="2022-01-29T04:53:52"/>
    <s v="Yes"/>
    <d v="2022-01-28T04:53:52"/>
    <x v="0"/>
    <x v="2"/>
    <m/>
    <m/>
    <m/>
    <m/>
    <m/>
    <m/>
    <x v="0"/>
    <m/>
    <m/>
    <m/>
    <m/>
    <s v="Company"/>
    <m/>
    <s v="C3284"/>
    <s v="Candidate_2284"/>
    <s v="Jan 21 2022"/>
    <x v="1"/>
    <s v="Linkedin"/>
    <n v="6"/>
    <m/>
    <x v="0"/>
    <m/>
    <m/>
    <x v="0"/>
    <x v="0"/>
    <m/>
    <x v="0"/>
    <x v="0"/>
  </r>
  <r>
    <n v="662"/>
    <s v="662 | Capacity Building"/>
    <x v="27"/>
    <x v="9"/>
    <x v="43"/>
    <x v="22"/>
    <s v="Capacity Building-Principal Officer"/>
    <x v="2"/>
    <d v="2022-01-05T04:53:52"/>
    <x v="1256"/>
    <x v="337"/>
    <n v="10"/>
    <d v="2022-01-25T04:53:52"/>
    <s v="Yes"/>
    <d v="2022-01-21T04:53:52"/>
    <x v="3"/>
    <x v="1"/>
    <d v="2022-01-26T04:53:52"/>
    <s v="Accepted"/>
    <d v="2022-01-23T04:53:52"/>
    <d v="2022-01-26T04:53:52"/>
    <d v="2022-01-25T04:53:52"/>
    <d v="2022-01-26T04:53:52"/>
    <x v="1"/>
    <d v="2022-01-28T04:53:52"/>
    <d v="2022-01-29T04:53:52"/>
    <d v="2022-01-30T04:53:52"/>
    <m/>
    <m/>
    <d v="2022-02-13T04:53:52"/>
    <s v="C3285"/>
    <s v="Candidate_2285"/>
    <s v="01-15-2022"/>
    <x v="0"/>
    <s v="Referral"/>
    <n v="6"/>
    <m/>
    <x v="0"/>
    <m/>
    <m/>
    <x v="0"/>
    <x v="0"/>
    <m/>
    <x v="270"/>
    <x v="0"/>
  </r>
  <r>
    <n v="628"/>
    <s v="628 | Capacity Building"/>
    <x v="28"/>
    <x v="9"/>
    <x v="43"/>
    <x v="22"/>
    <s v="Capacity Building-Principal Officer"/>
    <x v="2"/>
    <d v="2023-03-09T19:53:06"/>
    <x v="1221"/>
    <x v="338"/>
    <n v="6"/>
    <d v="2023-04-05T19:53:06"/>
    <s v="Yes"/>
    <d v="2023-03-21T19:53:06"/>
    <x v="0"/>
    <x v="0"/>
    <m/>
    <m/>
    <m/>
    <m/>
    <d v="2023-03-24T19:53:06"/>
    <m/>
    <x v="0"/>
    <m/>
    <m/>
    <m/>
    <m/>
    <s v="Company"/>
    <m/>
    <s v="C3286"/>
    <s v="Candidate_2286"/>
    <s v="Mar 12 2023"/>
    <x v="1"/>
    <s v="Linkedin"/>
    <n v="6"/>
    <m/>
    <x v="0"/>
    <m/>
    <m/>
    <x v="0"/>
    <x v="0"/>
    <m/>
    <x v="1"/>
    <x v="0"/>
  </r>
  <r>
    <n v="538"/>
    <s v="538 | Capacity Building"/>
    <x v="28"/>
    <x v="9"/>
    <x v="43"/>
    <x v="22"/>
    <s v="Capacity Building-Principal Officer"/>
    <x v="2"/>
    <d v="2022-01-09T06:30:30"/>
    <x v="1243"/>
    <x v="339"/>
    <n v="8"/>
    <d v="2022-02-14T06:30:30"/>
    <s v="Yes"/>
    <d v="2022-01-23T06:30:30"/>
    <x v="0"/>
    <x v="2"/>
    <m/>
    <m/>
    <m/>
    <m/>
    <d v="2022-01-26T06:30:30"/>
    <m/>
    <x v="0"/>
    <m/>
    <m/>
    <m/>
    <m/>
    <s v="Company"/>
    <m/>
    <s v="C3287"/>
    <s v="Candidate_2287"/>
    <s v="15/01/2022"/>
    <x v="0"/>
    <s v="Referral"/>
    <n v="6"/>
    <m/>
    <x v="0"/>
    <m/>
    <m/>
    <x v="0"/>
    <x v="0"/>
    <m/>
    <x v="1"/>
    <x v="0"/>
  </r>
  <r>
    <n v="537"/>
    <s v="537 | Capacity Building"/>
    <x v="28"/>
    <x v="9"/>
    <x v="43"/>
    <x v="22"/>
    <s v="Capacity Building-Principal Officer"/>
    <x v="2"/>
    <d v="2022-01-12T06:30:30"/>
    <x v="1257"/>
    <x v="339"/>
    <n v="5"/>
    <d v="2022-01-30T06:30:30"/>
    <s v="Yes"/>
    <d v="2022-01-21T06:30:30"/>
    <x v="0"/>
    <x v="2"/>
    <m/>
    <m/>
    <m/>
    <m/>
    <d v="2022-01-24T06:30:30"/>
    <m/>
    <x v="0"/>
    <m/>
    <m/>
    <m/>
    <m/>
    <s v="Candidate"/>
    <m/>
    <s v="C3288"/>
    <s v="Candidate_2288"/>
    <s v="03/01/2022"/>
    <x v="0"/>
    <s v="Referral"/>
    <n v="3"/>
    <m/>
    <x v="0"/>
    <m/>
    <m/>
    <x v="0"/>
    <x v="0"/>
    <m/>
    <x v="1"/>
    <x v="0"/>
  </r>
  <r>
    <n v="426"/>
    <s v="426 | Capacity Building"/>
    <x v="27"/>
    <x v="9"/>
    <x v="43"/>
    <x v="22"/>
    <s v="Capacity Building-Principal Officer"/>
    <x v="2"/>
    <d v="2023-02-26T13:03:58"/>
    <x v="1258"/>
    <x v="340"/>
    <n v="4"/>
    <d v="2023-03-26T13:03:58"/>
    <s v="Yes"/>
    <d v="2023-03-06T13:03:58"/>
    <x v="1"/>
    <x v="1"/>
    <d v="2023-03-09T13:03:58"/>
    <s v="Declined"/>
    <m/>
    <m/>
    <d v="2023-03-07T13:03:58"/>
    <m/>
    <x v="0"/>
    <m/>
    <m/>
    <m/>
    <m/>
    <m/>
    <m/>
    <s v="C3289"/>
    <s v="Candidate_2289"/>
    <s v="19/02/2023"/>
    <x v="0"/>
    <s v="Referral"/>
    <n v="3"/>
    <m/>
    <x v="0"/>
    <m/>
    <m/>
    <x v="0"/>
    <x v="0"/>
    <m/>
    <x v="1"/>
    <x v="0"/>
  </r>
  <r>
    <n v="424"/>
    <s v="424 | Capacity Building"/>
    <x v="27"/>
    <x v="9"/>
    <x v="43"/>
    <x v="22"/>
    <s v="Capacity Building-Principal Officer"/>
    <x v="2"/>
    <d v="2023-02-24T13:03:58"/>
    <x v="1258"/>
    <x v="340"/>
    <n v="6"/>
    <d v="2023-04-01T13:03:58"/>
    <s v="No"/>
    <m/>
    <x v="2"/>
    <x v="1"/>
    <m/>
    <m/>
    <m/>
    <m/>
    <m/>
    <m/>
    <x v="0"/>
    <m/>
    <m/>
    <m/>
    <m/>
    <m/>
    <m/>
    <s v="C3290"/>
    <s v="Candidate_2290"/>
    <m/>
    <x v="1"/>
    <s v="Linkedin"/>
    <n v="6"/>
    <m/>
    <x v="0"/>
    <m/>
    <m/>
    <x v="0"/>
    <x v="0"/>
    <m/>
    <x v="1"/>
    <x v="0"/>
  </r>
  <r>
    <n v="420"/>
    <s v="420 | Capacity Building"/>
    <x v="28"/>
    <x v="9"/>
    <x v="43"/>
    <x v="22"/>
    <s v="Capacity Building-Principal Officer"/>
    <x v="2"/>
    <d v="2023-06-18T15:18:23"/>
    <x v="1259"/>
    <x v="325"/>
    <n v="5"/>
    <d v="2023-06-30T15:18:23"/>
    <s v="Yes"/>
    <d v="2023-06-29T15:18:23"/>
    <x v="1"/>
    <x v="1"/>
    <d v="2023-07-07T15:18:23"/>
    <s v="Declined"/>
    <m/>
    <m/>
    <d v="2023-07-03T15:18:23"/>
    <m/>
    <x v="0"/>
    <m/>
    <m/>
    <m/>
    <m/>
    <m/>
    <m/>
    <s v="C3291"/>
    <s v="Candidate_2291"/>
    <s v="11/06/2023"/>
    <x v="0"/>
    <s v="Referral"/>
    <n v="3"/>
    <m/>
    <x v="0"/>
    <m/>
    <m/>
    <x v="0"/>
    <x v="0"/>
    <m/>
    <x v="1"/>
    <x v="0"/>
  </r>
  <r>
    <n v="417"/>
    <s v="417 | Capacity Building"/>
    <x v="28"/>
    <x v="9"/>
    <x v="43"/>
    <x v="22"/>
    <s v="Capacity Building-Principal Officer"/>
    <x v="2"/>
    <m/>
    <x v="1167"/>
    <x v="325"/>
    <n v="45100.637766203698"/>
    <d v="2023-07-05T15:18:23"/>
    <s v="Yes"/>
    <d v="2023-07-04T15:18:23"/>
    <x v="1"/>
    <x v="1"/>
    <d v="2023-07-09T15:18:23"/>
    <s v="Declined"/>
    <m/>
    <m/>
    <d v="2023-07-05T15:18:23"/>
    <m/>
    <x v="0"/>
    <m/>
    <m/>
    <m/>
    <m/>
    <m/>
    <m/>
    <s v="C3292"/>
    <s v="Candidate_2292"/>
    <s v="29/06/2023"/>
    <x v="2"/>
    <s v="Job Board"/>
    <n v="6"/>
    <m/>
    <x v="0"/>
    <m/>
    <m/>
    <x v="0"/>
    <x v="0"/>
    <m/>
    <x v="0"/>
    <x v="0"/>
  </r>
  <r>
    <n v="414"/>
    <s v="414 | Capacity Building"/>
    <x v="28"/>
    <x v="9"/>
    <x v="43"/>
    <x v="22"/>
    <s v="Capacity Building-Principal Officer"/>
    <x v="2"/>
    <d v="2023-06-17T15:18:23"/>
    <x v="1167"/>
    <x v="4"/>
    <n v="-45094.637766203698"/>
    <d v="2023-07-12T15:18:23"/>
    <s v="No"/>
    <m/>
    <x v="2"/>
    <x v="1"/>
    <m/>
    <m/>
    <m/>
    <m/>
    <m/>
    <m/>
    <x v="0"/>
    <m/>
    <m/>
    <m/>
    <m/>
    <m/>
    <m/>
    <s v="C3293"/>
    <s v="Candidate_2293"/>
    <m/>
    <x v="2"/>
    <s v="Job Board"/>
    <n v="6"/>
    <m/>
    <x v="0"/>
    <m/>
    <m/>
    <x v="0"/>
    <x v="0"/>
    <m/>
    <x v="0"/>
    <x v="0"/>
  </r>
  <r>
    <n v="268"/>
    <s v="268 | Capacity Building"/>
    <x v="27"/>
    <x v="9"/>
    <x v="43"/>
    <x v="22"/>
    <s v="Capacity Building-Principal Officer"/>
    <x v="2"/>
    <d v="2022-07-25T06:46:55"/>
    <x v="1225"/>
    <x v="326"/>
    <n v="3"/>
    <d v="2022-08-14T06:46:55"/>
    <s v="No"/>
    <m/>
    <x v="2"/>
    <x v="1"/>
    <m/>
    <m/>
    <m/>
    <m/>
    <m/>
    <m/>
    <x v="0"/>
    <m/>
    <m/>
    <m/>
    <m/>
    <m/>
    <m/>
    <s v="C3294"/>
    <s v="Candidate_2294"/>
    <m/>
    <x v="1"/>
    <s v="Linkedin"/>
    <n v="6"/>
    <m/>
    <x v="0"/>
    <m/>
    <m/>
    <x v="0"/>
    <x v="0"/>
    <m/>
    <x v="1"/>
    <x v="0"/>
  </r>
  <r>
    <n v="262"/>
    <s v="262 | Capacity Building"/>
    <x v="27"/>
    <x v="9"/>
    <x v="43"/>
    <x v="22"/>
    <s v="Capacity Building-Principal Officer"/>
    <x v="2"/>
    <d v="2022-07-21T06:46:55"/>
    <x v="1224"/>
    <x v="326"/>
    <n v="7"/>
    <d v="2022-08-15T06:46:55"/>
    <s v="Yes"/>
    <d v="2022-07-31T06:46:55"/>
    <x v="0"/>
    <x v="2"/>
    <m/>
    <m/>
    <m/>
    <m/>
    <d v="2022-08-02T06:46:55"/>
    <m/>
    <x v="0"/>
    <m/>
    <m/>
    <m/>
    <m/>
    <s v="Company"/>
    <m/>
    <s v="C3295"/>
    <s v="Candidate_2295"/>
    <s v="07-19-2022"/>
    <x v="1"/>
    <s v="Linkedin"/>
    <n v="6"/>
    <m/>
    <x v="0"/>
    <m/>
    <m/>
    <x v="0"/>
    <x v="0"/>
    <m/>
    <x v="1"/>
    <x v="0"/>
  </r>
  <r>
    <n v="257"/>
    <s v="257 | Capacity Building"/>
    <x v="27"/>
    <x v="9"/>
    <x v="43"/>
    <x v="22"/>
    <s v="Capacity Building-Principal Officer"/>
    <x v="2"/>
    <d v="2022-05-24T15:11:28"/>
    <x v="1198"/>
    <x v="327"/>
    <n v="8"/>
    <d v="2022-06-28T15:11:28"/>
    <s v="Yes"/>
    <d v="2022-06-16T15:11:28"/>
    <x v="0"/>
    <x v="4"/>
    <m/>
    <m/>
    <m/>
    <m/>
    <d v="2022-06-20T15:11:28"/>
    <m/>
    <x v="0"/>
    <m/>
    <m/>
    <m/>
    <m/>
    <s v="Candidate"/>
    <m/>
    <s v="C3296"/>
    <s v="Candidate_2296"/>
    <s v="06-06-2022"/>
    <x v="0"/>
    <s v="Referral"/>
    <n v="6"/>
    <m/>
    <x v="0"/>
    <m/>
    <m/>
    <x v="0"/>
    <x v="0"/>
    <m/>
    <x v="1"/>
    <x v="0"/>
  </r>
  <r>
    <n v="239"/>
    <s v="239 | Capacity Building"/>
    <x v="29"/>
    <x v="9"/>
    <x v="43"/>
    <x v="22"/>
    <s v="Capacity Building-Principal Officer"/>
    <x v="2"/>
    <d v="2022-02-02T19:27:47"/>
    <x v="1260"/>
    <x v="328"/>
    <n v="9"/>
    <d v="2022-08-20T19:27:47"/>
    <s v="No"/>
    <m/>
    <x v="2"/>
    <x v="1"/>
    <m/>
    <m/>
    <m/>
    <m/>
    <m/>
    <m/>
    <x v="0"/>
    <m/>
    <m/>
    <m/>
    <m/>
    <m/>
    <m/>
    <s v="C3297"/>
    <s v="Candidate_2297"/>
    <m/>
    <x v="0"/>
    <s v="Referral"/>
    <n v="3"/>
    <m/>
    <x v="0"/>
    <m/>
    <m/>
    <x v="0"/>
    <x v="0"/>
    <m/>
    <x v="1"/>
    <x v="0"/>
  </r>
  <r>
    <n v="237"/>
    <s v="237 | Capacity Building"/>
    <x v="29"/>
    <x v="9"/>
    <x v="43"/>
    <x v="22"/>
    <s v="Capacity Building-Principal Officer"/>
    <x v="2"/>
    <d v="2022-02-04T19:27:47"/>
    <x v="1201"/>
    <x v="328"/>
    <n v="7"/>
    <d v="2022-08-20T19:27:47"/>
    <s v="Yes"/>
    <d v="2022-02-23T19:27:47"/>
    <x v="3"/>
    <x v="1"/>
    <d v="2022-02-27T19:27:47"/>
    <s v="Accepted"/>
    <d v="2022-02-25T19:27:47"/>
    <d v="2022-02-28T19:27:47"/>
    <d v="2022-02-25T19:27:47"/>
    <d v="2022-02-26T19:27:47"/>
    <x v="1"/>
    <d v="2022-02-28T19:27:47"/>
    <d v="2022-03-02T19:27:47"/>
    <d v="2022-03-05T19:27:47"/>
    <m/>
    <m/>
    <d v="2022-03-24T19:27:47"/>
    <s v="C3298"/>
    <s v="Candidate_2298"/>
    <s v="04/02/2022"/>
    <x v="1"/>
    <s v="Linkedin"/>
    <n v="3"/>
    <m/>
    <x v="0"/>
    <m/>
    <m/>
    <x v="0"/>
    <x v="0"/>
    <m/>
    <x v="271"/>
    <x v="0"/>
  </r>
  <r>
    <n v="229"/>
    <s v="229 | Capacity Building"/>
    <x v="27"/>
    <x v="9"/>
    <x v="43"/>
    <x v="22"/>
    <s v="Capacity Building-Principal Officer"/>
    <x v="2"/>
    <d v="2022-06-26T10:44:44"/>
    <x v="1261"/>
    <x v="341"/>
    <n v="6"/>
    <d v="2023-01-08T10:44:44"/>
    <s v="Yes"/>
    <d v="2022-07-03T10:44:44"/>
    <x v="0"/>
    <x v="5"/>
    <m/>
    <m/>
    <m/>
    <m/>
    <m/>
    <m/>
    <x v="0"/>
    <m/>
    <m/>
    <m/>
    <m/>
    <s v="Company"/>
    <m/>
    <s v="C3299"/>
    <s v="Candidate_2299"/>
    <s v="Jun 28 2022"/>
    <x v="0"/>
    <s v="Referral"/>
    <n v="3"/>
    <m/>
    <x v="0"/>
    <m/>
    <m/>
    <x v="0"/>
    <x v="0"/>
    <m/>
    <x v="1"/>
    <x v="0"/>
  </r>
  <r>
    <n v="222"/>
    <s v="222 | Capacity Building"/>
    <x v="27"/>
    <x v="9"/>
    <x v="43"/>
    <x v="22"/>
    <s v="Capacity Building-Principal Officer"/>
    <x v="2"/>
    <d v="2022-06-27T10:44:44"/>
    <x v="0"/>
    <x v="341"/>
    <n v="5"/>
    <d v="2023-01-08T10:44:44"/>
    <s v="No"/>
    <m/>
    <x v="2"/>
    <x v="1"/>
    <m/>
    <m/>
    <m/>
    <m/>
    <m/>
    <m/>
    <x v="0"/>
    <m/>
    <m/>
    <m/>
    <m/>
    <m/>
    <m/>
    <s v="C3300"/>
    <s v="Candidate_2300"/>
    <m/>
    <x v="0"/>
    <s v="Referral"/>
    <n v="3"/>
    <m/>
    <x v="0"/>
    <m/>
    <m/>
    <x v="0"/>
    <x v="0"/>
    <m/>
    <x v="0"/>
    <x v="0"/>
  </r>
  <r>
    <n v="159"/>
    <s v="159 | Capacity Building"/>
    <x v="27"/>
    <x v="9"/>
    <x v="43"/>
    <x v="22"/>
    <s v="Capacity Building-Principal Officer"/>
    <x v="2"/>
    <d v="2023-01-08T15:27:51"/>
    <x v="1262"/>
    <x v="329"/>
    <n v="4"/>
    <d v="2023-07-21T15:27:51"/>
    <s v="No"/>
    <m/>
    <x v="2"/>
    <x v="1"/>
    <m/>
    <m/>
    <m/>
    <m/>
    <m/>
    <m/>
    <x v="0"/>
    <m/>
    <m/>
    <m/>
    <m/>
    <m/>
    <m/>
    <s v="C3301"/>
    <s v="Candidate_2301"/>
    <m/>
    <x v="2"/>
    <s v="Job Board"/>
    <n v="3"/>
    <m/>
    <x v="0"/>
    <m/>
    <m/>
    <x v="0"/>
    <x v="0"/>
    <m/>
    <x v="1"/>
    <x v="0"/>
  </r>
  <r>
    <n v="156"/>
    <s v="156 | Capacity Building"/>
    <x v="27"/>
    <x v="9"/>
    <x v="43"/>
    <x v="22"/>
    <s v="Capacity Building-Principal Officer"/>
    <x v="2"/>
    <d v="2023-01-05T15:27:51"/>
    <x v="0"/>
    <x v="329"/>
    <n v="7"/>
    <d v="2023-07-21T15:27:51"/>
    <s v="Yes"/>
    <d v="2023-01-25T15:27:51"/>
    <x v="3"/>
    <x v="1"/>
    <d v="2023-01-30T15:27:51"/>
    <s v="Accepted"/>
    <d v="2023-01-26T15:27:51"/>
    <d v="2023-01-29T15:27:51"/>
    <d v="2023-01-28T15:27:51"/>
    <d v="2023-01-30T15:27:51"/>
    <x v="1"/>
    <d v="2023-02-01T15:27:51"/>
    <d v="2023-02-04T15:27:51"/>
    <d v="2023-02-05T15:27:51"/>
    <m/>
    <m/>
    <d v="2023-02-24T15:27:51"/>
    <s v="C3302"/>
    <s v="Candidate_2302"/>
    <s v="01-07-2023"/>
    <x v="2"/>
    <s v="Job Board"/>
    <n v="6"/>
    <m/>
    <x v="0"/>
    <m/>
    <m/>
    <x v="0"/>
    <x v="0"/>
    <m/>
    <x v="0"/>
    <x v="0"/>
  </r>
  <r>
    <n v="155"/>
    <s v="155 | Capacity Building"/>
    <x v="29"/>
    <x v="9"/>
    <x v="43"/>
    <x v="22"/>
    <s v="Capacity Building-Principal Officer"/>
    <x v="2"/>
    <d v="2023-01-09T15:27:51"/>
    <x v="1245"/>
    <x v="329"/>
    <n v="3"/>
    <d v="2023-07-21T15:27:51"/>
    <s v="Yes"/>
    <d v="2023-01-20T15:27:51"/>
    <x v="1"/>
    <x v="1"/>
    <d v="2023-01-25T15:27:51"/>
    <s v="Declined"/>
    <m/>
    <m/>
    <d v="2023-01-24T15:27:51"/>
    <m/>
    <x v="0"/>
    <m/>
    <m/>
    <m/>
    <m/>
    <m/>
    <m/>
    <s v="C3303"/>
    <s v="Candidate_2303"/>
    <s v="10/01/2023"/>
    <x v="1"/>
    <s v="Linkedin"/>
    <n v="3"/>
    <m/>
    <x v="0"/>
    <m/>
    <m/>
    <x v="0"/>
    <x v="0"/>
    <m/>
    <x v="1"/>
    <x v="0"/>
  </r>
  <r>
    <n v="149"/>
    <s v="149 | Capacity Building"/>
    <x v="29"/>
    <x v="9"/>
    <x v="43"/>
    <x v="22"/>
    <s v="Capacity Building-Principal Officer"/>
    <x v="2"/>
    <d v="2022-03-11T23:34:26"/>
    <x v="1246"/>
    <x v="330"/>
    <n v="5"/>
    <d v="2022-09-22T23:34:26"/>
    <s v="No"/>
    <m/>
    <x v="2"/>
    <x v="1"/>
    <m/>
    <m/>
    <m/>
    <m/>
    <m/>
    <m/>
    <x v="0"/>
    <m/>
    <m/>
    <m/>
    <m/>
    <m/>
    <m/>
    <s v="C3304"/>
    <s v="Candidate_2304"/>
    <m/>
    <x v="1"/>
    <s v="Linkedin"/>
    <n v="6"/>
    <m/>
    <x v="0"/>
    <m/>
    <m/>
    <x v="0"/>
    <x v="0"/>
    <m/>
    <x v="1"/>
    <x v="0"/>
  </r>
  <r>
    <n v="148"/>
    <s v="148 | Capacity Building"/>
    <x v="28"/>
    <x v="9"/>
    <x v="43"/>
    <x v="22"/>
    <s v="Capacity Building-Principal Officer"/>
    <x v="2"/>
    <d v="2022-03-10T23:34:26"/>
    <x v="1205"/>
    <x v="330"/>
    <n v="6"/>
    <d v="2022-09-22T23:34:26"/>
    <s v="Yes"/>
    <d v="2022-03-29T23:34:26"/>
    <x v="1"/>
    <x v="1"/>
    <d v="2022-04-06T23:34:26"/>
    <s v="Declined"/>
    <m/>
    <m/>
    <d v="2022-04-02T23:34:26"/>
    <m/>
    <x v="0"/>
    <m/>
    <m/>
    <m/>
    <m/>
    <m/>
    <m/>
    <s v="C3305"/>
    <s v="Candidate_2305"/>
    <s v="Mar 12 2022"/>
    <x v="0"/>
    <s v="Referral"/>
    <n v="6"/>
    <m/>
    <x v="0"/>
    <m/>
    <m/>
    <x v="0"/>
    <x v="0"/>
    <m/>
    <x v="1"/>
    <x v="0"/>
  </r>
  <r>
    <n v="146"/>
    <s v="146 | Capacity Building"/>
    <x v="27"/>
    <x v="9"/>
    <x v="43"/>
    <x v="22"/>
    <s v="Capacity Building-Principal Officer"/>
    <x v="2"/>
    <d v="2022-03-08T23:34:26"/>
    <x v="1263"/>
    <x v="330"/>
    <n v="8"/>
    <d v="2022-09-22T23:34:26"/>
    <s v="Yes"/>
    <d v="2022-03-30T23:34:26"/>
    <x v="1"/>
    <x v="1"/>
    <d v="2022-04-03T23:34:26"/>
    <s v="Declined"/>
    <m/>
    <m/>
    <d v="2022-03-31T23:34:26"/>
    <m/>
    <x v="0"/>
    <m/>
    <m/>
    <m/>
    <m/>
    <m/>
    <m/>
    <s v="C3306"/>
    <s v="Candidate_2306"/>
    <s v="Mar 14 2022"/>
    <x v="2"/>
    <s v="Job Board"/>
    <n v="6"/>
    <m/>
    <x v="0"/>
    <m/>
    <m/>
    <x v="0"/>
    <x v="0"/>
    <m/>
    <x v="1"/>
    <x v="0"/>
  </r>
  <r>
    <n v="111"/>
    <s v="111 | Capacity Building"/>
    <x v="28"/>
    <x v="9"/>
    <x v="43"/>
    <x v="22"/>
    <s v="Capacity Building-Principal Officer"/>
    <x v="2"/>
    <d v="2022-06-29T04:45:15"/>
    <x v="1175"/>
    <x v="331"/>
    <n v="5"/>
    <d v="2022-07-17T04:45:15"/>
    <s v="Yes"/>
    <d v="2022-07-10T04:45:15"/>
    <x v="0"/>
    <x v="5"/>
    <m/>
    <m/>
    <m/>
    <m/>
    <m/>
    <m/>
    <x v="0"/>
    <m/>
    <m/>
    <m/>
    <m/>
    <s v="Company"/>
    <m/>
    <s v="C3307"/>
    <s v="Candidate_2307"/>
    <s v="07-03-2022"/>
    <x v="2"/>
    <s v="Job Board"/>
    <n v="6"/>
    <m/>
    <x v="0"/>
    <m/>
    <m/>
    <x v="0"/>
    <x v="0"/>
    <m/>
    <x v="1"/>
    <x v="0"/>
  </r>
  <r>
    <n v="52"/>
    <s v="52 | Capacity Building"/>
    <x v="29"/>
    <x v="9"/>
    <x v="43"/>
    <x v="2"/>
    <s v="Capacity Building-Director"/>
    <x v="2"/>
    <d v="2022-07-28T00:18:39"/>
    <x v="1248"/>
    <x v="332"/>
    <n v="7"/>
    <d v="2022-08-24T00:18:39"/>
    <s v="Yes"/>
    <d v="2022-08-08T00:18:39"/>
    <x v="3"/>
    <x v="1"/>
    <d v="2022-08-16T00:18:39"/>
    <s v="Accepted"/>
    <d v="2022-08-10T00:18:39"/>
    <d v="2022-08-13T00:18:39"/>
    <d v="2022-08-12T00:18:39"/>
    <d v="2022-08-20T00:18:39"/>
    <x v="1"/>
    <d v="2022-08-24T00:18:39"/>
    <d v="2022-08-25T00:18:39"/>
    <d v="2022-08-26T00:18:39"/>
    <m/>
    <m/>
    <d v="2022-09-10T00:18:39"/>
    <s v="C3308"/>
    <s v="Candidate_2308"/>
    <s v="Jul 30 2022"/>
    <x v="1"/>
    <s v="Linkedin"/>
    <n v="6"/>
    <m/>
    <x v="0"/>
    <m/>
    <m/>
    <x v="0"/>
    <x v="0"/>
    <m/>
    <x v="272"/>
    <x v="0"/>
  </r>
  <r>
    <n v="2997"/>
    <s v="2997 | Capacity Building"/>
    <x v="28"/>
    <x v="9"/>
    <x v="44"/>
    <x v="2"/>
    <s v="Capacity Building-Director"/>
    <x v="1"/>
    <d v="2023-03-04T00:56:51"/>
    <x v="771"/>
    <x v="241"/>
    <n v="4"/>
    <d v="2023-03-19T00:56:51"/>
    <s v="No"/>
    <m/>
    <x v="2"/>
    <x v="1"/>
    <m/>
    <m/>
    <m/>
    <m/>
    <m/>
    <m/>
    <x v="0"/>
    <m/>
    <m/>
    <m/>
    <m/>
    <m/>
    <m/>
    <s v="C3309"/>
    <s v="Candidate_2309"/>
    <m/>
    <x v="2"/>
    <s v="Job Board"/>
    <n v="3"/>
    <m/>
    <x v="0"/>
    <m/>
    <m/>
    <x v="0"/>
    <x v="0"/>
    <m/>
    <x v="1"/>
    <x v="0"/>
  </r>
  <r>
    <n v="2930"/>
    <s v="2930 | Capacity Building"/>
    <x v="29"/>
    <x v="9"/>
    <x v="44"/>
    <x v="2"/>
    <s v="Capacity Building-Director"/>
    <x v="1"/>
    <d v="2023-09-11T09:16:50"/>
    <x v="0"/>
    <x v="345"/>
    <n v="9"/>
    <d v="2023-11-04T09:16:50"/>
    <s v="Yes"/>
    <d v="2023-09-25T09:16:50"/>
    <x v="3"/>
    <x v="1"/>
    <d v="2023-09-29T09:16:50"/>
    <s v="Accepted"/>
    <d v="2023-09-26T09:16:50"/>
    <d v="2023-09-27T09:16:50"/>
    <d v="2023-09-27T09:16:50"/>
    <d v="2023-10-01T09:16:50"/>
    <x v="1"/>
    <d v="2023-10-03T09:16:50"/>
    <d v="2023-10-06T09:16:50"/>
    <d v="2023-10-09T09:16:50"/>
    <m/>
    <m/>
    <d v="2023-10-28T09:16:50"/>
    <s v="C3310"/>
    <s v="Candidate_2310"/>
    <s v="06/09/2023"/>
    <x v="0"/>
    <s v="Referral"/>
    <n v="3"/>
    <m/>
    <x v="0"/>
    <m/>
    <m/>
    <x v="0"/>
    <x v="0"/>
    <m/>
    <x v="0"/>
    <x v="0"/>
  </r>
  <r>
    <n v="2919"/>
    <s v="2919 | Capacity Building"/>
    <x v="27"/>
    <x v="9"/>
    <x v="44"/>
    <x v="2"/>
    <s v="Capacity Building-Director"/>
    <x v="1"/>
    <d v="2022-02-06T19:04:45"/>
    <x v="1264"/>
    <x v="346"/>
    <n v="11"/>
    <d v="2022-04-03T19:04:45"/>
    <s v="No"/>
    <m/>
    <x v="2"/>
    <x v="1"/>
    <m/>
    <m/>
    <m/>
    <m/>
    <m/>
    <m/>
    <x v="0"/>
    <m/>
    <m/>
    <m/>
    <m/>
    <m/>
    <m/>
    <s v="C3311"/>
    <s v="Candidate_2311"/>
    <m/>
    <x v="2"/>
    <s v="Job Board"/>
    <n v="3"/>
    <m/>
    <x v="0"/>
    <m/>
    <m/>
    <x v="0"/>
    <x v="0"/>
    <m/>
    <x v="1"/>
    <x v="0"/>
  </r>
  <r>
    <n v="2824"/>
    <s v="2824 | Capacity Building"/>
    <x v="28"/>
    <x v="9"/>
    <x v="44"/>
    <x v="2"/>
    <s v="Capacity Building-Director"/>
    <x v="1"/>
    <d v="2022-01-04T01:20:30"/>
    <x v="797"/>
    <x v="4"/>
    <n v="-44565.055902777778"/>
    <d v="2022-01-26T01:20:30"/>
    <s v="Yes"/>
    <d v="2022-01-16T01:20:30"/>
    <x v="3"/>
    <x v="1"/>
    <d v="2022-01-21T01:20:30"/>
    <s v="Accepted"/>
    <d v="2022-01-17T01:20:30"/>
    <d v="2022-01-21T01:20:30"/>
    <d v="2022-01-19T01:20:30"/>
    <d v="2022-01-24T01:20:30"/>
    <x v="1"/>
    <d v="2022-01-28T01:20:30"/>
    <d v="2022-01-31T01:20:30"/>
    <d v="2022-02-01T01:20:30"/>
    <m/>
    <m/>
    <d v="2022-02-21T01:20:30"/>
    <s v="C3312"/>
    <s v="Candidate_2312"/>
    <s v="01/01/2022"/>
    <x v="2"/>
    <s v="Job Board"/>
    <n v="6"/>
    <m/>
    <x v="0"/>
    <m/>
    <m/>
    <x v="0"/>
    <x v="0"/>
    <m/>
    <x v="0"/>
    <x v="0"/>
  </r>
  <r>
    <n v="2770"/>
    <s v="2770 | Capacity Building"/>
    <x v="27"/>
    <x v="9"/>
    <x v="44"/>
    <x v="2"/>
    <s v="Capacity Building-Director"/>
    <x v="1"/>
    <d v="2022-09-04T07:14:27"/>
    <x v="1265"/>
    <x v="209"/>
    <n v="5"/>
    <d v="2022-09-17T07:14:27"/>
    <s v="No"/>
    <m/>
    <x v="2"/>
    <x v="1"/>
    <m/>
    <m/>
    <m/>
    <m/>
    <m/>
    <m/>
    <x v="0"/>
    <m/>
    <m/>
    <m/>
    <m/>
    <m/>
    <m/>
    <s v="C3313"/>
    <s v="Candidate_2313"/>
    <m/>
    <x v="2"/>
    <s v="Job Board"/>
    <n v="3"/>
    <m/>
    <x v="0"/>
    <m/>
    <m/>
    <x v="0"/>
    <x v="0"/>
    <m/>
    <x v="1"/>
    <x v="0"/>
  </r>
  <r>
    <n v="2628"/>
    <s v="2628 | Capacity Building"/>
    <x v="27"/>
    <x v="9"/>
    <x v="44"/>
    <x v="2"/>
    <s v="Capacity Building-Director"/>
    <x v="1"/>
    <d v="2023-06-22T16:02:26"/>
    <x v="712"/>
    <x v="210"/>
    <n v="3"/>
    <d v="2023-07-06T16:02:26"/>
    <s v="Yes"/>
    <d v="2023-07-04T16:02:26"/>
    <x v="3"/>
    <x v="1"/>
    <d v="2023-07-07T16:02:26"/>
    <s v="Accepted"/>
    <d v="2023-07-06T16:02:26"/>
    <d v="2023-07-08T16:02:26"/>
    <d v="2023-07-06T16:02:26"/>
    <d v="2023-07-09T16:02:26"/>
    <x v="1"/>
    <d v="2023-07-12T16:02:26"/>
    <d v="2023-07-13T16:02:26"/>
    <d v="2023-07-14T16:02:26"/>
    <m/>
    <m/>
    <d v="2023-07-23T16:02:26"/>
    <s v="C3314"/>
    <s v="Candidate_2314"/>
    <s v="Jun 25 2023"/>
    <x v="0"/>
    <s v="Referral"/>
    <n v="6"/>
    <m/>
    <x v="0"/>
    <m/>
    <m/>
    <x v="0"/>
    <x v="0"/>
    <m/>
    <x v="273"/>
    <x v="0"/>
  </r>
  <r>
    <n v="2530"/>
    <s v="2530 | Capacity Building"/>
    <x v="28"/>
    <x v="9"/>
    <x v="44"/>
    <x v="2"/>
    <s v="Capacity Building-Director"/>
    <x v="1"/>
    <d v="2023-04-10T18:41:30"/>
    <x v="1249"/>
    <x v="243"/>
    <n v="7"/>
    <d v="2023-05-11T18:41:30"/>
    <s v="Yes"/>
    <d v="2023-04-27T18:41:30"/>
    <x v="3"/>
    <x v="1"/>
    <d v="2023-05-01T18:41:30"/>
    <s v="Accepted"/>
    <d v="2023-04-29T18:41:30"/>
    <d v="2023-05-01T18:41:30"/>
    <d v="2023-04-30T18:41:30"/>
    <d v="2023-05-10T18:41:30"/>
    <x v="1"/>
    <d v="2023-05-13T18:41:30"/>
    <d v="2023-05-14T18:41:30"/>
    <d v="2023-05-16T18:41:30"/>
    <m/>
    <m/>
    <d v="2023-06-02T18:41:30"/>
    <s v="C3315"/>
    <s v="Candidate_2315"/>
    <s v="04-14-2023"/>
    <x v="1"/>
    <s v="Linkedin"/>
    <n v="3"/>
    <m/>
    <x v="0"/>
    <m/>
    <m/>
    <x v="0"/>
    <x v="0"/>
    <m/>
    <x v="274"/>
    <x v="0"/>
  </r>
  <r>
    <n v="2528"/>
    <s v="2528 | Capacity Building"/>
    <x v="28"/>
    <x v="9"/>
    <x v="44"/>
    <x v="2"/>
    <s v="Capacity Building-Director"/>
    <x v="1"/>
    <d v="2023-04-10T18:41:30"/>
    <x v="775"/>
    <x v="243"/>
    <n v="7"/>
    <d v="2023-05-02T18:41:30"/>
    <s v="No"/>
    <m/>
    <x v="2"/>
    <x v="1"/>
    <m/>
    <m/>
    <m/>
    <m/>
    <m/>
    <m/>
    <x v="0"/>
    <m/>
    <m/>
    <m/>
    <m/>
    <m/>
    <m/>
    <s v="C3316"/>
    <s v="Candidate_2316"/>
    <m/>
    <x v="1"/>
    <s v="Linkedin"/>
    <n v="3"/>
    <m/>
    <x v="0"/>
    <m/>
    <m/>
    <x v="0"/>
    <x v="0"/>
    <m/>
    <x v="1"/>
    <x v="0"/>
  </r>
  <r>
    <n v="2430"/>
    <s v="2430 | Capacity Building"/>
    <x v="27"/>
    <x v="9"/>
    <x v="44"/>
    <x v="2"/>
    <s v="Capacity Building-Director"/>
    <x v="1"/>
    <d v="2022-10-02T06:07:20"/>
    <x v="824"/>
    <x v="234"/>
    <n v="5"/>
    <d v="2022-11-05T06:07:20"/>
    <s v="Yes"/>
    <d v="2022-10-13T06:07:20"/>
    <x v="3"/>
    <x v="1"/>
    <d v="2022-10-18T06:07:20"/>
    <s v="Accepted"/>
    <d v="2022-10-14T06:07:20"/>
    <d v="2022-10-17T06:07:20"/>
    <d v="2022-10-17T06:07:20"/>
    <d v="2022-10-26T06:07:20"/>
    <x v="1"/>
    <d v="2022-10-28T06:07:20"/>
    <d v="2022-10-31T06:07:20"/>
    <d v="2022-11-03T06:07:20"/>
    <m/>
    <m/>
    <d v="2022-11-17T06:07:20"/>
    <s v="C3317"/>
    <s v="Candidate_2317"/>
    <s v="Sep 25 2022"/>
    <x v="1"/>
    <s v="Linkedin"/>
    <n v="6"/>
    <m/>
    <x v="0"/>
    <m/>
    <m/>
    <x v="0"/>
    <x v="0"/>
    <m/>
    <x v="275"/>
    <x v="0"/>
  </r>
  <r>
    <n v="2427"/>
    <s v="2427 | Capacity Building"/>
    <x v="29"/>
    <x v="9"/>
    <x v="44"/>
    <x v="2"/>
    <s v="Capacity Building-Director"/>
    <x v="1"/>
    <d v="2022-10-05T06:07:20"/>
    <x v="1266"/>
    <x v="234"/>
    <n v="2"/>
    <d v="2022-10-15T06:07:20"/>
    <s v="Yes"/>
    <d v="2022-10-11T06:07:20"/>
    <x v="3"/>
    <x v="1"/>
    <d v="2022-10-17T06:07:20"/>
    <s v="Accepted"/>
    <d v="2022-10-13T06:07:20"/>
    <d v="2022-10-14T06:07:20"/>
    <d v="2022-10-15T06:07:20"/>
    <d v="2022-10-16T06:07:20"/>
    <x v="1"/>
    <d v="2022-10-19T06:07:20"/>
    <d v="2022-10-22T06:07:20"/>
    <d v="2022-10-25T06:07:20"/>
    <m/>
    <m/>
    <d v="2022-11-09T06:07:20"/>
    <s v="C3318"/>
    <s v="Candidate_2318"/>
    <s v="09-23-2022"/>
    <x v="2"/>
    <s v="Job Board"/>
    <n v="3"/>
    <m/>
    <x v="0"/>
    <m/>
    <m/>
    <x v="0"/>
    <x v="0"/>
    <m/>
    <x v="276"/>
    <x v="0"/>
  </r>
  <r>
    <n v="2137"/>
    <s v="2137 | Capacity Building"/>
    <x v="29"/>
    <x v="9"/>
    <x v="44"/>
    <x v="2"/>
    <s v="Capacity Building-Director"/>
    <x v="1"/>
    <d v="2022-08-01T12:23:45"/>
    <x v="778"/>
    <x v="244"/>
    <n v="7"/>
    <d v="2022-08-24T12:23:45"/>
    <s v="No"/>
    <m/>
    <x v="2"/>
    <x v="1"/>
    <m/>
    <m/>
    <m/>
    <m/>
    <m/>
    <m/>
    <x v="0"/>
    <m/>
    <m/>
    <m/>
    <m/>
    <m/>
    <m/>
    <s v="C3319"/>
    <s v="Candidate_2319"/>
    <m/>
    <x v="0"/>
    <s v="Referral"/>
    <n v="3"/>
    <m/>
    <x v="0"/>
    <m/>
    <m/>
    <x v="0"/>
    <x v="0"/>
    <m/>
    <x v="1"/>
    <x v="0"/>
  </r>
  <r>
    <n v="2103"/>
    <s v="2103 | Capacity Building"/>
    <x v="28"/>
    <x v="9"/>
    <x v="44"/>
    <x v="2"/>
    <s v="Capacity Building-Director"/>
    <x v="1"/>
    <d v="2022-05-03T00:32:09"/>
    <x v="1267"/>
    <x v="245"/>
    <n v="8"/>
    <d v="2022-06-07T00:32:09"/>
    <s v="No"/>
    <m/>
    <x v="2"/>
    <x v="1"/>
    <m/>
    <m/>
    <m/>
    <m/>
    <m/>
    <m/>
    <x v="0"/>
    <m/>
    <m/>
    <m/>
    <m/>
    <m/>
    <m/>
    <s v="C3320"/>
    <s v="Candidate_2320"/>
    <m/>
    <x v="0"/>
    <s v="Referral"/>
    <n v="3"/>
    <m/>
    <x v="0"/>
    <m/>
    <m/>
    <x v="0"/>
    <x v="0"/>
    <m/>
    <x v="1"/>
    <x v="0"/>
  </r>
  <r>
    <n v="2099"/>
    <s v="2099 | Capacity Building"/>
    <x v="27"/>
    <x v="9"/>
    <x v="44"/>
    <x v="8"/>
    <s v="Capacity Building-Extension Officer"/>
    <x v="1"/>
    <d v="2022-10-23T23:41:59"/>
    <x v="1268"/>
    <x v="4"/>
    <n v="-44857.987488425933"/>
    <d v="2022-11-16T23:41:59"/>
    <s v="Yes"/>
    <d v="2022-11-03T23:41:59"/>
    <x v="3"/>
    <x v="1"/>
    <d v="2022-11-06T23:41:59"/>
    <s v="Accepted"/>
    <d v="2022-11-04T23:41:59"/>
    <d v="2022-11-05T23:41:59"/>
    <d v="2022-11-04T23:41:59"/>
    <d v="2022-11-07T23:41:59"/>
    <x v="1"/>
    <d v="2022-11-11T23:41:59"/>
    <d v="2022-11-14T23:41:59"/>
    <d v="2022-11-16T23:41:59"/>
    <m/>
    <m/>
    <d v="2022-11-24T23:41:59"/>
    <s v="C3321"/>
    <s v="Candidate_2321"/>
    <s v="29/10/2022"/>
    <x v="2"/>
    <s v="Job Board"/>
    <n v="6"/>
    <m/>
    <x v="0"/>
    <m/>
    <m/>
    <x v="0"/>
    <x v="0"/>
    <m/>
    <x v="0"/>
    <x v="0"/>
  </r>
  <r>
    <n v="2097"/>
    <s v="2097 | Capacity Building"/>
    <x v="28"/>
    <x v="9"/>
    <x v="44"/>
    <x v="8"/>
    <s v="Capacity Building-Extension Officer"/>
    <x v="1"/>
    <d v="2022-10-27T23:41:59"/>
    <x v="826"/>
    <x v="246"/>
    <n v="3"/>
    <d v="2022-11-26T23:41:59"/>
    <s v="No"/>
    <m/>
    <x v="2"/>
    <x v="1"/>
    <m/>
    <m/>
    <m/>
    <m/>
    <m/>
    <m/>
    <x v="0"/>
    <m/>
    <m/>
    <m/>
    <m/>
    <m/>
    <m/>
    <s v="C3322"/>
    <s v="Candidate_2322"/>
    <m/>
    <x v="0"/>
    <s v="Referral"/>
    <n v="6"/>
    <m/>
    <x v="0"/>
    <m/>
    <m/>
    <x v="0"/>
    <x v="0"/>
    <m/>
    <x v="1"/>
    <x v="0"/>
  </r>
  <r>
    <n v="2034"/>
    <s v="2034 | Capacity Building"/>
    <x v="28"/>
    <x v="9"/>
    <x v="44"/>
    <x v="8"/>
    <s v="Capacity Building-Extension Officer"/>
    <x v="1"/>
    <d v="2022-03-28T20:40:01"/>
    <x v="750"/>
    <x v="236"/>
    <n v="4"/>
    <d v="2022-04-15T20:40:01"/>
    <s v="Yes"/>
    <d v="2022-04-11T20:40:01"/>
    <x v="3"/>
    <x v="1"/>
    <d v="2022-04-16T20:40:01"/>
    <s v="Accepted"/>
    <d v="2022-04-12T20:40:01"/>
    <d v="2022-04-16T20:40:01"/>
    <d v="2022-04-12T20:40:01"/>
    <d v="2022-04-14T20:40:01"/>
    <x v="1"/>
    <d v="2022-04-18T20:40:01"/>
    <d v="2022-04-21T20:40:01"/>
    <d v="2022-04-22T20:40:01"/>
    <m/>
    <m/>
    <d v="2022-05-13T20:40:01"/>
    <s v="C3323"/>
    <s v="Candidate_2323"/>
    <s v="03-24-2022"/>
    <x v="1"/>
    <s v="Linkedin"/>
    <n v="3"/>
    <m/>
    <x v="0"/>
    <m/>
    <m/>
    <x v="0"/>
    <x v="0"/>
    <m/>
    <x v="277"/>
    <x v="0"/>
  </r>
  <r>
    <n v="1931"/>
    <s v="1931 | Capacity Building"/>
    <x v="27"/>
    <x v="9"/>
    <x v="44"/>
    <x v="8"/>
    <s v="Capacity Building-Extension Officer"/>
    <x v="1"/>
    <d v="2023-09-09T07:20:47"/>
    <x v="809"/>
    <x v="237"/>
    <n v="6"/>
    <d v="2023-10-04T07:20:47"/>
    <s v="Yes"/>
    <d v="2023-09-21T07:20:47"/>
    <x v="3"/>
    <x v="1"/>
    <d v="2023-09-26T07:20:47"/>
    <s v="Accepted"/>
    <d v="2023-09-23T07:20:47"/>
    <d v="2023-09-24T07:20:47"/>
    <d v="2023-09-23T07:20:47"/>
    <d v="2023-10-02T07:20:47"/>
    <x v="1"/>
    <d v="2023-10-04T07:20:47"/>
    <d v="2023-10-05T07:20:47"/>
    <d v="2023-10-06T07:20:47"/>
    <m/>
    <m/>
    <d v="2023-10-25T07:20:47"/>
    <s v="C3324"/>
    <s v="Candidate_2324"/>
    <s v="09-04-2023"/>
    <x v="1"/>
    <s v="Linkedin"/>
    <n v="6"/>
    <m/>
    <x v="0"/>
    <m/>
    <m/>
    <x v="0"/>
    <x v="0"/>
    <m/>
    <x v="278"/>
    <x v="0"/>
  </r>
  <r>
    <n v="1691"/>
    <s v="1691 | Capacity Building"/>
    <x v="28"/>
    <x v="9"/>
    <x v="44"/>
    <x v="8"/>
    <s v="Capacity Building-Extension Officer"/>
    <x v="1"/>
    <d v="2023-02-22T18:21:09"/>
    <x v="716"/>
    <x v="213"/>
    <n v="10"/>
    <d v="2023-03-22T18:21:09"/>
    <s v="No"/>
    <m/>
    <x v="2"/>
    <x v="1"/>
    <m/>
    <m/>
    <m/>
    <m/>
    <m/>
    <m/>
    <x v="0"/>
    <m/>
    <m/>
    <m/>
    <m/>
    <m/>
    <m/>
    <s v="C3325"/>
    <s v="Candidate_2325"/>
    <m/>
    <x v="0"/>
    <s v="Referral"/>
    <n v="6"/>
    <m/>
    <x v="0"/>
    <m/>
    <m/>
    <x v="0"/>
    <x v="0"/>
    <m/>
    <x v="1"/>
    <x v="0"/>
  </r>
  <r>
    <n v="1556"/>
    <s v="1556 | Capacity Building"/>
    <x v="29"/>
    <x v="9"/>
    <x v="44"/>
    <x v="8"/>
    <s v="Capacity Building-Extension Officer"/>
    <x v="1"/>
    <m/>
    <x v="756"/>
    <x v="214"/>
    <n v="44907.597222222219"/>
    <d v="2022-12-30T14:20:00"/>
    <s v="No"/>
    <m/>
    <x v="2"/>
    <x v="1"/>
    <m/>
    <m/>
    <m/>
    <m/>
    <m/>
    <m/>
    <x v="0"/>
    <m/>
    <m/>
    <m/>
    <m/>
    <m/>
    <m/>
    <s v="C3326"/>
    <s v="Candidate_2326"/>
    <m/>
    <x v="2"/>
    <s v="Job Board"/>
    <n v="6"/>
    <m/>
    <x v="0"/>
    <m/>
    <m/>
    <x v="0"/>
    <x v="0"/>
    <m/>
    <x v="0"/>
    <x v="0"/>
  </r>
  <r>
    <n v="1233"/>
    <s v="1233 | Capacity Building"/>
    <x v="27"/>
    <x v="9"/>
    <x v="44"/>
    <x v="8"/>
    <s v="Capacity Building-Extension Officer"/>
    <x v="1"/>
    <d v="2023-02-22T17:29:35"/>
    <x v="763"/>
    <x v="239"/>
    <n v="7"/>
    <d v="2023-03-24T17:29:35"/>
    <s v="No"/>
    <m/>
    <x v="2"/>
    <x v="1"/>
    <m/>
    <m/>
    <m/>
    <m/>
    <m/>
    <m/>
    <x v="0"/>
    <m/>
    <m/>
    <m/>
    <m/>
    <m/>
    <m/>
    <s v="C3327"/>
    <s v="Candidate_2327"/>
    <m/>
    <x v="0"/>
    <s v="Referral"/>
    <n v="3"/>
    <m/>
    <x v="0"/>
    <m/>
    <m/>
    <x v="0"/>
    <x v="0"/>
    <m/>
    <x v="1"/>
    <x v="0"/>
  </r>
  <r>
    <n v="1230"/>
    <s v="1230 | Capacity Building"/>
    <x v="27"/>
    <x v="9"/>
    <x v="44"/>
    <x v="8"/>
    <s v="Capacity Building-Extension Officer"/>
    <x v="1"/>
    <d v="2022-06-20T03:24:32"/>
    <x v="0"/>
    <x v="240"/>
    <n v="9"/>
    <d v="2022-07-26T03:24:32"/>
    <s v="Yes"/>
    <d v="2022-07-04T03:24:32"/>
    <x v="3"/>
    <x v="1"/>
    <d v="2022-07-11T03:24:32"/>
    <s v="Accepted"/>
    <d v="2022-07-05T03:24:32"/>
    <d v="2022-07-06T03:24:32"/>
    <d v="2022-07-07T03:24:32"/>
    <d v="2022-07-13T03:24:32"/>
    <x v="1"/>
    <d v="2022-07-14T03:24:32"/>
    <d v="2022-07-17T03:24:32"/>
    <d v="2022-07-20T03:24:32"/>
    <m/>
    <m/>
    <d v="2022-08-09T03:24:32"/>
    <s v="C3328"/>
    <s v="Candidate_2328"/>
    <s v="17/06/2022"/>
    <x v="0"/>
    <s v="Referral"/>
    <n v="3"/>
    <m/>
    <x v="0"/>
    <m/>
    <m/>
    <x v="0"/>
    <x v="0"/>
    <m/>
    <x v="0"/>
    <x v="0"/>
  </r>
  <r>
    <n v="1206"/>
    <s v="1206 | Capacity Building"/>
    <x v="28"/>
    <x v="9"/>
    <x v="44"/>
    <x v="8"/>
    <s v="Capacity Building-Extension Officer"/>
    <x v="1"/>
    <d v="2022-07-21T04:55:35"/>
    <x v="767"/>
    <x v="4"/>
    <n v="-44763.205266203702"/>
    <d v="2022-08-24T04:55:35"/>
    <s v="Yes"/>
    <d v="2022-08-13T04:55:35"/>
    <x v="3"/>
    <x v="1"/>
    <d v="2022-08-18T04:55:35"/>
    <s v="Accepted"/>
    <d v="2022-08-14T04:55:35"/>
    <d v="2022-08-17T04:55:35"/>
    <d v="2022-08-17T04:55:35"/>
    <d v="2022-08-20T04:55:35"/>
    <x v="1"/>
    <d v="2022-08-22T04:55:35"/>
    <d v="2022-08-24T04:55:35"/>
    <d v="2022-08-26T04:55:35"/>
    <m/>
    <m/>
    <d v="2022-09-04T04:55:35"/>
    <s v="C3329"/>
    <s v="Candidate_2329"/>
    <s v="Jul 30 2022"/>
    <x v="0"/>
    <s v="Referral"/>
    <n v="6"/>
    <m/>
    <x v="0"/>
    <m/>
    <m/>
    <x v="0"/>
    <x v="0"/>
    <m/>
    <x v="0"/>
    <x v="0"/>
  </r>
  <r>
    <n v="1193"/>
    <s v="1193 | Capacity Building"/>
    <x v="29"/>
    <x v="9"/>
    <x v="44"/>
    <x v="8"/>
    <s v="Capacity Building-Extension Officer"/>
    <x v="1"/>
    <d v="2022-07-26T23:11:03"/>
    <x v="1252"/>
    <x v="220"/>
    <n v="3"/>
    <d v="2022-08-07T23:11:03"/>
    <s v="Yes"/>
    <d v="2022-08-06T23:11:03"/>
    <x v="3"/>
    <x v="1"/>
    <d v="2022-08-12T23:11:03"/>
    <s v="Accepted"/>
    <d v="2022-08-07T23:11:03"/>
    <d v="2022-08-09T23:11:03"/>
    <d v="2022-08-10T23:11:03"/>
    <d v="2022-08-17T23:11:03"/>
    <x v="1"/>
    <d v="2022-08-21T23:11:03"/>
    <d v="2022-08-23T23:11:03"/>
    <d v="2022-08-26T23:11:03"/>
    <m/>
    <m/>
    <d v="2022-09-10T23:11:03"/>
    <s v="C3330"/>
    <s v="Candidate_2330"/>
    <s v="26/07/2022"/>
    <x v="1"/>
    <s v="Linkedin"/>
    <n v="6"/>
    <m/>
    <x v="0"/>
    <m/>
    <m/>
    <x v="0"/>
    <x v="0"/>
    <m/>
    <x v="279"/>
    <x v="0"/>
  </r>
  <r>
    <n v="1175"/>
    <s v="1175 | Capacity Building"/>
    <x v="29"/>
    <x v="9"/>
    <x v="44"/>
    <x v="8"/>
    <s v="Capacity Building-Extension Officer"/>
    <x v="1"/>
    <d v="2023-05-15T01:00:09"/>
    <x v="835"/>
    <x v="221"/>
    <n v="5"/>
    <d v="2023-06-06T01:00:09"/>
    <s v="Yes"/>
    <d v="2023-05-26T01:00:09"/>
    <x v="3"/>
    <x v="1"/>
    <d v="2023-06-01T01:00:09"/>
    <s v="Accepted"/>
    <d v="2023-05-28T01:00:09"/>
    <d v="2023-05-31T01:00:09"/>
    <d v="2023-05-28T01:00:09"/>
    <d v="2023-06-03T01:00:09"/>
    <x v="1"/>
    <d v="2023-06-05T01:00:09"/>
    <d v="2023-06-07T01:00:09"/>
    <d v="2023-06-10T01:00:09"/>
    <m/>
    <m/>
    <d v="2023-06-17T01:00:09"/>
    <s v="C3331"/>
    <s v="Candidate_2331"/>
    <s v="16/05/2023"/>
    <x v="1"/>
    <s v="Linkedin"/>
    <n v="6"/>
    <m/>
    <x v="0"/>
    <m/>
    <m/>
    <x v="0"/>
    <x v="0"/>
    <m/>
    <x v="280"/>
    <x v="0"/>
  </r>
  <r>
    <n v="1172"/>
    <s v="1172 | Capacity Building"/>
    <x v="27"/>
    <x v="9"/>
    <x v="44"/>
    <x v="8"/>
    <s v="Capacity Building-Extension Officer"/>
    <x v="1"/>
    <d v="2023-05-14T01:00:09"/>
    <x v="1269"/>
    <x v="221"/>
    <n v="6"/>
    <d v="2023-06-13T01:00:09"/>
    <s v="No"/>
    <m/>
    <x v="2"/>
    <x v="1"/>
    <m/>
    <m/>
    <m/>
    <m/>
    <m/>
    <m/>
    <x v="0"/>
    <m/>
    <m/>
    <m/>
    <m/>
    <m/>
    <m/>
    <s v="C3332"/>
    <s v="Candidate_2332"/>
    <m/>
    <x v="0"/>
    <s v="Referral"/>
    <n v="3"/>
    <m/>
    <x v="0"/>
    <m/>
    <m/>
    <x v="0"/>
    <x v="0"/>
    <m/>
    <x v="1"/>
    <x v="0"/>
  </r>
  <r>
    <n v="925"/>
    <s v="925 | Capacity Building"/>
    <x v="28"/>
    <x v="9"/>
    <x v="44"/>
    <x v="8"/>
    <s v="Capacity Building-Extension Officer"/>
    <x v="1"/>
    <d v="2023-05-28T11:51:22"/>
    <x v="1181"/>
    <x v="334"/>
    <n v="6"/>
    <d v="2023-06-11T11:51:22"/>
    <s v="Yes"/>
    <d v="2023-06-15T11:51:22"/>
    <x v="0"/>
    <x v="0"/>
    <m/>
    <m/>
    <m/>
    <m/>
    <d v="2023-06-16T11:51:22"/>
    <m/>
    <x v="0"/>
    <m/>
    <m/>
    <m/>
    <m/>
    <s v="Company"/>
    <m/>
    <s v="C3333"/>
    <s v="Candidate_2333"/>
    <s v="06-09-2023"/>
    <x v="2"/>
    <s v="Job Board"/>
    <n v="6"/>
    <m/>
    <x v="0"/>
    <m/>
    <m/>
    <x v="0"/>
    <x v="0"/>
    <m/>
    <x v="1"/>
    <x v="0"/>
  </r>
  <r>
    <n v="807"/>
    <s v="807 | Capacity Building"/>
    <x v="27"/>
    <x v="9"/>
    <x v="44"/>
    <x v="8"/>
    <s v="Capacity Building-Extension Officer"/>
    <x v="1"/>
    <d v="2023-01-13T21:41:28"/>
    <x v="1217"/>
    <x v="335"/>
    <n v="5"/>
    <d v="2023-01-23T21:41:28"/>
    <s v="No"/>
    <m/>
    <x v="2"/>
    <x v="1"/>
    <m/>
    <m/>
    <m/>
    <m/>
    <m/>
    <m/>
    <x v="0"/>
    <m/>
    <m/>
    <m/>
    <m/>
    <m/>
    <m/>
    <s v="C3334"/>
    <s v="Candidate_2334"/>
    <m/>
    <x v="0"/>
    <s v="Referral"/>
    <n v="3"/>
    <m/>
    <x v="0"/>
    <m/>
    <m/>
    <x v="0"/>
    <x v="0"/>
    <m/>
    <x v="1"/>
    <x v="0"/>
  </r>
  <r>
    <n v="780"/>
    <s v="780 | Capacity Building"/>
    <x v="27"/>
    <x v="9"/>
    <x v="44"/>
    <x v="8"/>
    <s v="Capacity Building-Extension Officer"/>
    <x v="1"/>
    <d v="2023-03-22T09:31:46"/>
    <x v="1219"/>
    <x v="336"/>
    <n v="5"/>
    <d v="2023-04-10T09:31:46"/>
    <s v="Yes"/>
    <d v="2023-04-01T09:31:46"/>
    <x v="0"/>
    <x v="5"/>
    <m/>
    <m/>
    <m/>
    <m/>
    <d v="2023-04-03T09:31:46"/>
    <m/>
    <x v="0"/>
    <m/>
    <m/>
    <m/>
    <m/>
    <s v="Candidate"/>
    <m/>
    <s v="C3335"/>
    <s v="Candidate_2335"/>
    <s v="Mar 25 2023"/>
    <x v="0"/>
    <s v="Referral"/>
    <n v="6"/>
    <m/>
    <x v="0"/>
    <m/>
    <m/>
    <x v="0"/>
    <x v="0"/>
    <m/>
    <x v="1"/>
    <x v="0"/>
  </r>
  <r>
    <n v="667"/>
    <s v="667 | Capacity Building"/>
    <x v="27"/>
    <x v="9"/>
    <x v="44"/>
    <x v="8"/>
    <s v="Capacity Building-Extension Officer"/>
    <x v="1"/>
    <d v="2022-01-05T04:53:52"/>
    <x v="1256"/>
    <x v="337"/>
    <n v="10"/>
    <d v="2022-01-31T04:53:52"/>
    <s v="Yes"/>
    <d v="2022-01-27T04:53:52"/>
    <x v="0"/>
    <x v="0"/>
    <m/>
    <m/>
    <m/>
    <m/>
    <d v="2022-01-29T04:53:52"/>
    <m/>
    <x v="0"/>
    <m/>
    <m/>
    <m/>
    <m/>
    <s v="Company"/>
    <m/>
    <s v="C3336"/>
    <s v="Candidate_2336"/>
    <s v="Jan 08 2022"/>
    <x v="0"/>
    <s v="Referral"/>
    <n v="3"/>
    <m/>
    <x v="0"/>
    <m/>
    <m/>
    <x v="0"/>
    <x v="0"/>
    <m/>
    <x v="1"/>
    <x v="0"/>
  </r>
  <r>
    <n v="627"/>
    <s v="627 | Capacity Building"/>
    <x v="28"/>
    <x v="9"/>
    <x v="44"/>
    <x v="8"/>
    <s v="Capacity Building-Extension Officer"/>
    <x v="1"/>
    <d v="2023-03-08T19:53:06"/>
    <x v="1190"/>
    <x v="338"/>
    <n v="7"/>
    <d v="2023-04-12T19:53:06"/>
    <s v="Yes"/>
    <d v="2023-03-26T19:53:06"/>
    <x v="0"/>
    <x v="0"/>
    <m/>
    <m/>
    <m/>
    <m/>
    <m/>
    <m/>
    <x v="0"/>
    <m/>
    <m/>
    <m/>
    <m/>
    <s v="Company"/>
    <m/>
    <s v="C3337"/>
    <s v="Candidate_2337"/>
    <s v="03-15-2023"/>
    <x v="1"/>
    <s v="Linkedin"/>
    <n v="3"/>
    <m/>
    <x v="0"/>
    <m/>
    <m/>
    <x v="0"/>
    <x v="0"/>
    <m/>
    <x v="1"/>
    <x v="0"/>
  </r>
  <r>
    <n v="621"/>
    <s v="621 | Capacity Building"/>
    <x v="28"/>
    <x v="9"/>
    <x v="44"/>
    <x v="8"/>
    <s v="Capacity Building-Extension Officer"/>
    <x v="1"/>
    <d v="2023-03-07T19:53:06"/>
    <x v="1270"/>
    <x v="338"/>
    <n v="8"/>
    <d v="2023-04-10T19:53:06"/>
    <s v="Yes"/>
    <d v="2023-03-20T19:53:06"/>
    <x v="3"/>
    <x v="1"/>
    <d v="2023-03-25T19:53:06"/>
    <s v="Accepted"/>
    <d v="2023-03-21T19:53:06"/>
    <d v="2023-03-24T19:53:06"/>
    <d v="2023-03-23T19:53:06"/>
    <d v="2023-03-27T19:53:06"/>
    <x v="1"/>
    <d v="2023-03-28T19:53:06"/>
    <d v="2023-03-31T19:53:06"/>
    <d v="2023-04-03T19:53:06"/>
    <m/>
    <m/>
    <d v="2023-04-21T19:53:06"/>
    <s v="C3338"/>
    <s v="Candidate_2338"/>
    <s v="Mar 07 2023"/>
    <x v="0"/>
    <s v="Referral"/>
    <n v="3"/>
    <m/>
    <x v="0"/>
    <m/>
    <m/>
    <x v="0"/>
    <x v="0"/>
    <m/>
    <x v="281"/>
    <x v="0"/>
  </r>
  <r>
    <n v="531"/>
    <s v="531 | Capacity Building"/>
    <x v="27"/>
    <x v="9"/>
    <x v="44"/>
    <x v="8"/>
    <s v="Capacity Building-Extension Officer"/>
    <x v="1"/>
    <d v="2022-01-15T06:30:30"/>
    <x v="1191"/>
    <x v="339"/>
    <n v="2"/>
    <d v="2022-01-23T06:30:30"/>
    <s v="Yes"/>
    <d v="2022-01-19T06:30:30"/>
    <x v="0"/>
    <x v="4"/>
    <m/>
    <m/>
    <m/>
    <m/>
    <d v="2022-01-20T06:30:30"/>
    <m/>
    <x v="0"/>
    <m/>
    <m/>
    <m/>
    <m/>
    <s v="Candidate"/>
    <m/>
    <s v="C3339"/>
    <s v="Candidate_2339"/>
    <s v="Dec 31 2021"/>
    <x v="0"/>
    <s v="Referral"/>
    <n v="6"/>
    <m/>
    <x v="0"/>
    <m/>
    <m/>
    <x v="0"/>
    <x v="0"/>
    <m/>
    <x v="1"/>
    <x v="0"/>
  </r>
  <r>
    <n v="510"/>
    <s v="510 | Capacity Building"/>
    <x v="29"/>
    <x v="9"/>
    <x v="44"/>
    <x v="0"/>
    <s v="Capacity Building-Analyst"/>
    <x v="1"/>
    <d v="2022-06-30T02:29:24"/>
    <x v="1164"/>
    <x v="324"/>
    <n v="7"/>
    <d v="2022-08-06T02:29:24"/>
    <s v="Yes"/>
    <d v="2022-07-22T02:29:24"/>
    <x v="0"/>
    <x v="4"/>
    <m/>
    <m/>
    <m/>
    <m/>
    <d v="2022-07-25T02:29:24"/>
    <m/>
    <x v="0"/>
    <m/>
    <m/>
    <m/>
    <m/>
    <s v="Company"/>
    <m/>
    <s v="C3340"/>
    <s v="Candidate_2340"/>
    <s v="Jul 13 2022"/>
    <x v="1"/>
    <s v="Linkedin"/>
    <n v="6"/>
    <m/>
    <x v="0"/>
    <m/>
    <m/>
    <x v="0"/>
    <x v="0"/>
    <m/>
    <x v="1"/>
    <x v="0"/>
  </r>
  <r>
    <n v="430"/>
    <s v="430 | Capacity Building"/>
    <x v="28"/>
    <x v="9"/>
    <x v="44"/>
    <x v="0"/>
    <s v="Capacity Building-Analyst"/>
    <x v="1"/>
    <d v="2023-02-22T13:03:58"/>
    <x v="0"/>
    <x v="340"/>
    <n v="8"/>
    <d v="2023-03-30T13:03:58"/>
    <s v="Yes"/>
    <d v="2023-03-10T13:03:58"/>
    <x v="3"/>
    <x v="1"/>
    <d v="2023-03-15T13:03:58"/>
    <s v="Accepted"/>
    <d v="2023-03-11T13:03:58"/>
    <d v="2023-03-13T13:03:58"/>
    <d v="2023-03-13T13:03:58"/>
    <d v="2023-03-22T13:03:58"/>
    <x v="1"/>
    <d v="2023-03-24T13:03:58"/>
    <d v="2023-03-27T13:03:58"/>
    <d v="2023-03-28T13:03:58"/>
    <m/>
    <m/>
    <d v="2023-04-09T13:03:58"/>
    <s v="C3341"/>
    <s v="Candidate_2341"/>
    <s v="Feb 21 2023"/>
    <x v="2"/>
    <s v="Job Board"/>
    <n v="6"/>
    <m/>
    <x v="0"/>
    <m/>
    <m/>
    <x v="0"/>
    <x v="0"/>
    <m/>
    <x v="0"/>
    <x v="0"/>
  </r>
  <r>
    <n v="425"/>
    <s v="425 | Capacity Building"/>
    <x v="27"/>
    <x v="9"/>
    <x v="44"/>
    <x v="0"/>
    <s v="Capacity Building-Analyst"/>
    <x v="1"/>
    <d v="2023-02-23T13:03:58"/>
    <x v="1271"/>
    <x v="340"/>
    <n v="7"/>
    <d v="2023-03-26T13:03:58"/>
    <s v="No"/>
    <m/>
    <x v="2"/>
    <x v="1"/>
    <m/>
    <m/>
    <m/>
    <m/>
    <m/>
    <m/>
    <x v="0"/>
    <m/>
    <m/>
    <m/>
    <m/>
    <m/>
    <m/>
    <s v="C3342"/>
    <s v="Candidate_2342"/>
    <m/>
    <x v="1"/>
    <s v="Linkedin"/>
    <n v="3"/>
    <m/>
    <x v="0"/>
    <m/>
    <m/>
    <x v="0"/>
    <x v="0"/>
    <m/>
    <x v="1"/>
    <x v="0"/>
  </r>
  <r>
    <n v="419"/>
    <s v="419 | Capacity Building"/>
    <x v="28"/>
    <x v="9"/>
    <x v="44"/>
    <x v="0"/>
    <s v="Capacity Building-Analyst"/>
    <x v="1"/>
    <d v="2023-06-17T15:18:23"/>
    <x v="1259"/>
    <x v="325"/>
    <n v="6"/>
    <d v="2023-07-11T15:18:23"/>
    <s v="Yes"/>
    <d v="2023-07-06T15:18:23"/>
    <x v="4"/>
    <x v="1"/>
    <d v="2023-07-09T15:18:23"/>
    <s v="Pending"/>
    <m/>
    <m/>
    <d v="2023-07-07T15:18:23"/>
    <m/>
    <x v="0"/>
    <m/>
    <m/>
    <m/>
    <m/>
    <m/>
    <m/>
    <s v="C3343"/>
    <s v="Candidate_2343"/>
    <s v="20/06/2023"/>
    <x v="1"/>
    <s v="Linkedin"/>
    <n v="3"/>
    <m/>
    <x v="0"/>
    <m/>
    <m/>
    <x v="0"/>
    <x v="0"/>
    <m/>
    <x v="1"/>
    <x v="0"/>
  </r>
  <r>
    <n v="418"/>
    <s v="418 | Capacity Building"/>
    <x v="27"/>
    <x v="9"/>
    <x v="44"/>
    <x v="0"/>
    <s v="Capacity Building-Analyst"/>
    <x v="1"/>
    <d v="2023-06-17T15:18:23"/>
    <x v="1168"/>
    <x v="325"/>
    <n v="6"/>
    <d v="2023-07-06T15:18:23"/>
    <s v="No"/>
    <m/>
    <x v="2"/>
    <x v="1"/>
    <m/>
    <m/>
    <m/>
    <m/>
    <m/>
    <m/>
    <x v="0"/>
    <m/>
    <m/>
    <m/>
    <m/>
    <m/>
    <m/>
    <s v="C3344"/>
    <s v="Candidate_2344"/>
    <m/>
    <x v="1"/>
    <s v="Linkedin"/>
    <n v="6"/>
    <m/>
    <x v="0"/>
    <m/>
    <m/>
    <x v="0"/>
    <x v="0"/>
    <m/>
    <x v="1"/>
    <x v="0"/>
  </r>
  <r>
    <n v="270"/>
    <s v="270 | Capacity Building"/>
    <x v="27"/>
    <x v="9"/>
    <x v="44"/>
    <x v="0"/>
    <s v="Capacity Building-Analyst"/>
    <x v="1"/>
    <d v="2022-07-23T06:46:55"/>
    <x v="1225"/>
    <x v="4"/>
    <n v="-44765.282581018517"/>
    <d v="2022-08-11T06:46:55"/>
    <s v="No"/>
    <m/>
    <x v="2"/>
    <x v="1"/>
    <m/>
    <m/>
    <m/>
    <m/>
    <m/>
    <m/>
    <x v="0"/>
    <m/>
    <m/>
    <m/>
    <m/>
    <m/>
    <m/>
    <s v="C3345"/>
    <s v="Candidate_2345"/>
    <m/>
    <x v="1"/>
    <s v="Linkedin"/>
    <n v="6"/>
    <m/>
    <x v="0"/>
    <m/>
    <m/>
    <x v="0"/>
    <x v="0"/>
    <m/>
    <x v="0"/>
    <x v="0"/>
  </r>
  <r>
    <n v="259"/>
    <s v="259 | Capacity Building"/>
    <x v="27"/>
    <x v="9"/>
    <x v="44"/>
    <x v="0"/>
    <s v="Capacity Building-Analyst"/>
    <x v="1"/>
    <d v="2022-05-23T15:11:28"/>
    <x v="1244"/>
    <x v="327"/>
    <n v="9"/>
    <d v="2022-06-09T15:11:28"/>
    <s v="No"/>
    <m/>
    <x v="2"/>
    <x v="1"/>
    <m/>
    <m/>
    <m/>
    <m/>
    <m/>
    <m/>
    <x v="0"/>
    <m/>
    <m/>
    <m/>
    <m/>
    <m/>
    <m/>
    <s v="C3346"/>
    <s v="Candidate_2346"/>
    <m/>
    <x v="1"/>
    <s v="Linkedin"/>
    <n v="6"/>
    <m/>
    <x v="0"/>
    <m/>
    <m/>
    <x v="0"/>
    <x v="0"/>
    <m/>
    <x v="1"/>
    <x v="0"/>
  </r>
  <r>
    <n v="253"/>
    <s v="253 | Capacity Building"/>
    <x v="27"/>
    <x v="9"/>
    <x v="44"/>
    <x v="0"/>
    <s v="Capacity Building-Analyst"/>
    <x v="1"/>
    <m/>
    <x v="1244"/>
    <x v="327"/>
    <n v="44713.632962962962"/>
    <d v="2022-06-09T15:11:28"/>
    <s v="Yes"/>
    <d v="2022-06-14T15:11:28"/>
    <x v="0"/>
    <x v="3"/>
    <m/>
    <m/>
    <m/>
    <m/>
    <m/>
    <m/>
    <x v="0"/>
    <m/>
    <m/>
    <m/>
    <m/>
    <s v="Candidate"/>
    <m/>
    <s v="C3347"/>
    <s v="Candidate_2347"/>
    <s v="05-29-2022"/>
    <x v="2"/>
    <s v="Job Board"/>
    <n v="3"/>
    <m/>
    <x v="0"/>
    <m/>
    <m/>
    <x v="0"/>
    <x v="0"/>
    <m/>
    <x v="0"/>
    <x v="0"/>
  </r>
  <r>
    <n v="238"/>
    <s v="238 | Capacity Building"/>
    <x v="27"/>
    <x v="9"/>
    <x v="44"/>
    <x v="0"/>
    <s v="Capacity Building-Analyst"/>
    <x v="1"/>
    <d v="2022-02-06T19:27:47"/>
    <x v="1227"/>
    <x v="328"/>
    <n v="5"/>
    <d v="2022-02-27T19:27:47"/>
    <s v="Yes"/>
    <d v="2022-02-17T19:27:47"/>
    <x v="0"/>
    <x v="0"/>
    <m/>
    <m/>
    <m/>
    <m/>
    <d v="2022-02-20T19:27:47"/>
    <m/>
    <x v="0"/>
    <m/>
    <m/>
    <m/>
    <m/>
    <s v="Candidate"/>
    <m/>
    <s v="C3348"/>
    <s v="Candidate_2348"/>
    <s v="Feb 06 2022"/>
    <x v="1"/>
    <s v="Linkedin"/>
    <n v="6"/>
    <m/>
    <x v="0"/>
    <m/>
    <m/>
    <x v="0"/>
    <x v="0"/>
    <m/>
    <x v="1"/>
    <x v="0"/>
  </r>
  <r>
    <n v="234"/>
    <s v="234 | Capacity Building"/>
    <x v="28"/>
    <x v="9"/>
    <x v="44"/>
    <x v="0"/>
    <s v="Capacity Building-Analyst"/>
    <x v="1"/>
    <d v="2022-02-06T19:27:47"/>
    <x v="1171"/>
    <x v="328"/>
    <n v="5"/>
    <d v="2022-03-08T19:27:47"/>
    <s v="Yes"/>
    <d v="2022-02-21T19:27:47"/>
    <x v="1"/>
    <x v="1"/>
    <d v="2022-02-27T19:27:47"/>
    <s v="Declined"/>
    <m/>
    <m/>
    <d v="2022-02-24T19:27:47"/>
    <m/>
    <x v="0"/>
    <m/>
    <m/>
    <m/>
    <m/>
    <m/>
    <m/>
    <s v="C3349"/>
    <s v="Candidate_2349"/>
    <s v="04/02/2022"/>
    <x v="0"/>
    <s v="Referral"/>
    <n v="6"/>
    <m/>
    <x v="0"/>
    <m/>
    <m/>
    <x v="0"/>
    <x v="0"/>
    <m/>
    <x v="1"/>
    <x v="0"/>
  </r>
  <r>
    <n v="227"/>
    <s v="227 | Capacity Building"/>
    <x v="27"/>
    <x v="9"/>
    <x v="44"/>
    <x v="0"/>
    <s v="Capacity Building-Analyst"/>
    <x v="1"/>
    <d v="2022-06-26T10:44:44"/>
    <x v="1261"/>
    <x v="341"/>
    <n v="6"/>
    <d v="2022-07-23T10:44:44"/>
    <s v="Yes"/>
    <d v="2022-07-17T10:44:44"/>
    <x v="3"/>
    <x v="1"/>
    <d v="2022-07-24T10:44:44"/>
    <s v="Accepted"/>
    <d v="2022-07-18T10:44:44"/>
    <d v="2022-07-22T10:44:44"/>
    <d v="2022-07-21T10:44:44"/>
    <d v="2022-07-27T10:44:44"/>
    <x v="1"/>
    <d v="2022-07-28T10:44:44"/>
    <d v="2022-07-31T10:44:44"/>
    <d v="2022-08-02T10:44:44"/>
    <m/>
    <m/>
    <d v="2022-08-20T10:44:44"/>
    <s v="C3350"/>
    <s v="Candidate_2350"/>
    <s v="Jul 08 2022"/>
    <x v="1"/>
    <s v="Linkedin"/>
    <n v="3"/>
    <m/>
    <x v="0"/>
    <m/>
    <m/>
    <x v="0"/>
    <x v="0"/>
    <m/>
    <x v="282"/>
    <x v="0"/>
  </r>
  <r>
    <n v="147"/>
    <s v="147 | Capacity Building"/>
    <x v="27"/>
    <x v="9"/>
    <x v="44"/>
    <x v="0"/>
    <s v="Capacity Building-Analyst"/>
    <x v="1"/>
    <m/>
    <x v="1205"/>
    <x v="330"/>
    <n v="44636.982245370367"/>
    <d v="2022-04-08T23:34:26"/>
    <s v="Yes"/>
    <d v="2022-03-26T23:34:26"/>
    <x v="0"/>
    <x v="2"/>
    <m/>
    <m/>
    <m/>
    <m/>
    <d v="2022-03-29T23:34:26"/>
    <m/>
    <x v="0"/>
    <m/>
    <m/>
    <m/>
    <m/>
    <s v="Company"/>
    <m/>
    <s v="C3351"/>
    <s v="Candidate_2351"/>
    <s v="09/03/2022"/>
    <x v="1"/>
    <s v="Linkedin"/>
    <n v="6"/>
    <m/>
    <x v="0"/>
    <m/>
    <m/>
    <x v="0"/>
    <x v="0"/>
    <m/>
    <x v="0"/>
    <x v="0"/>
  </r>
  <r>
    <n v="143"/>
    <s v="143 | Capacity Building"/>
    <x v="29"/>
    <x v="9"/>
    <x v="44"/>
    <x v="0"/>
    <s v="Capacity Building-Analyst"/>
    <x v="1"/>
    <d v="2022-03-07T23:34:26"/>
    <x v="1173"/>
    <x v="330"/>
    <n v="9"/>
    <d v="2022-03-24T23:34:26"/>
    <s v="Yes"/>
    <d v="2022-03-22T23:34:26"/>
    <x v="0"/>
    <x v="2"/>
    <m/>
    <m/>
    <m/>
    <m/>
    <m/>
    <m/>
    <x v="0"/>
    <m/>
    <m/>
    <m/>
    <m/>
    <s v="Candidate"/>
    <m/>
    <s v="C3352"/>
    <s v="Candidate_2352"/>
    <s v="03-03-2022"/>
    <x v="2"/>
    <s v="Job Board"/>
    <n v="6"/>
    <m/>
    <x v="0"/>
    <m/>
    <m/>
    <x v="0"/>
    <x v="0"/>
    <m/>
    <x v="1"/>
    <x v="0"/>
  </r>
  <r>
    <n v="118"/>
    <s v="118 | Capacity Building"/>
    <x v="27"/>
    <x v="9"/>
    <x v="44"/>
    <x v="0"/>
    <s v="Capacity Building-Analyst"/>
    <x v="1"/>
    <m/>
    <x v="1230"/>
    <x v="4"/>
    <n v="0"/>
    <d v="2022-07-30T04:45:15"/>
    <s v="Yes"/>
    <d v="2022-07-11T04:45:15"/>
    <x v="0"/>
    <x v="5"/>
    <m/>
    <m/>
    <m/>
    <m/>
    <m/>
    <m/>
    <x v="0"/>
    <m/>
    <m/>
    <m/>
    <m/>
    <s v="Candidate"/>
    <m/>
    <s v="C3353"/>
    <s v="Candidate_2353"/>
    <s v="03/07/2022"/>
    <x v="0"/>
    <s v="Referral"/>
    <n v="3"/>
    <m/>
    <x v="0"/>
    <m/>
    <m/>
    <x v="0"/>
    <x v="0"/>
    <m/>
    <x v="0"/>
    <x v="0"/>
  </r>
  <r>
    <n v="116"/>
    <s v="116 | Capacity Building"/>
    <x v="27"/>
    <x v="9"/>
    <x v="44"/>
    <x v="0"/>
    <s v="Capacity Building-Analyst"/>
    <x v="1"/>
    <m/>
    <x v="0"/>
    <x v="331"/>
    <n v="44746.19809027778"/>
    <d v="2022-07-28T04:45:15"/>
    <s v="Yes"/>
    <d v="2022-07-17T04:45:15"/>
    <x v="0"/>
    <x v="4"/>
    <m/>
    <m/>
    <m/>
    <m/>
    <d v="2022-07-21T04:45:15"/>
    <m/>
    <x v="0"/>
    <m/>
    <m/>
    <m/>
    <m/>
    <s v="Company"/>
    <m/>
    <s v="C3354"/>
    <s v="Candidate_2354"/>
    <s v="07-10-2022"/>
    <x v="1"/>
    <s v="Linkedin"/>
    <n v="3"/>
    <m/>
    <x v="0"/>
    <m/>
    <m/>
    <x v="0"/>
    <x v="0"/>
    <m/>
    <x v="0"/>
    <x v="0"/>
  </r>
  <r>
    <n v="56"/>
    <s v="56 | Capacity Building"/>
    <x v="28"/>
    <x v="9"/>
    <x v="44"/>
    <x v="0"/>
    <s v="Capacity Building-Analyst"/>
    <x v="1"/>
    <d v="2022-07-25T00:18:39"/>
    <x v="1248"/>
    <x v="4"/>
    <n v="-44767.01295138889"/>
    <d v="2022-08-14T00:18:39"/>
    <s v="Yes"/>
    <d v="2022-08-09T00:18:39"/>
    <x v="1"/>
    <x v="1"/>
    <d v="2022-08-13T00:18:39"/>
    <s v="Declined"/>
    <m/>
    <m/>
    <d v="2022-08-12T00:18:39"/>
    <m/>
    <x v="0"/>
    <m/>
    <m/>
    <m/>
    <m/>
    <m/>
    <m/>
    <s v="C3355"/>
    <s v="Candidate_2355"/>
    <s v="04/08/2022"/>
    <x v="2"/>
    <s v="Job Board"/>
    <n v="3"/>
    <m/>
    <x v="0"/>
    <m/>
    <m/>
    <x v="0"/>
    <x v="0"/>
    <m/>
    <x v="0"/>
    <x v="0"/>
  </r>
  <r>
    <n v="54"/>
    <s v="54 | Capacity Building"/>
    <x v="28"/>
    <x v="9"/>
    <x v="44"/>
    <x v="0"/>
    <s v="Capacity Building-Analyst"/>
    <x v="1"/>
    <d v="2022-07-27T00:18:39"/>
    <x v="1248"/>
    <x v="332"/>
    <n v="8"/>
    <d v="2022-08-15T00:18:39"/>
    <s v="Yes"/>
    <d v="2022-08-17T00:18:39"/>
    <x v="0"/>
    <x v="2"/>
    <m/>
    <m/>
    <m/>
    <m/>
    <d v="2022-08-19T00:18:39"/>
    <m/>
    <x v="0"/>
    <m/>
    <m/>
    <m/>
    <m/>
    <s v="Candidate"/>
    <m/>
    <s v="C3356"/>
    <s v="Candidate_2356"/>
    <s v="08-03-2022"/>
    <x v="0"/>
    <s v="Referral"/>
    <n v="6"/>
    <m/>
    <x v="0"/>
    <m/>
    <m/>
    <x v="0"/>
    <x v="0"/>
    <m/>
    <x v="1"/>
    <x v="0"/>
  </r>
  <r>
    <n v="448"/>
    <s v="448 | Administation"/>
    <x v="30"/>
    <x v="10"/>
    <x v="45"/>
    <x v="4"/>
    <s v="Administation-Senior Manager"/>
    <x v="3"/>
    <d v="2022-11-27T02:36:01"/>
    <x v="19"/>
    <x v="7"/>
    <n v="3"/>
    <d v="2022-12-22T02:36:01"/>
    <s v="Yes"/>
    <d v="2022-12-12T02:36:01"/>
    <x v="1"/>
    <x v="1"/>
    <d v="2022-12-16T02:36:01"/>
    <s v="Declined"/>
    <m/>
    <m/>
    <d v="2022-12-13T02:36:01"/>
    <m/>
    <x v="0"/>
    <m/>
    <m/>
    <m/>
    <m/>
    <m/>
    <m/>
    <s v="C3357"/>
    <s v="Candidate_2357"/>
    <s v="Nov 30 2022"/>
    <x v="2"/>
    <s v="Job Board"/>
    <n v="3"/>
    <m/>
    <x v="0"/>
    <m/>
    <m/>
    <x v="0"/>
    <x v="0"/>
    <m/>
    <x v="1"/>
    <x v="0"/>
  </r>
  <r>
    <n v="441"/>
    <s v="441 | Administation"/>
    <x v="31"/>
    <x v="10"/>
    <x v="45"/>
    <x v="4"/>
    <s v="Administation-Senior Manager"/>
    <x v="3"/>
    <d v="2022-11-26T02:36:01"/>
    <x v="1272"/>
    <x v="7"/>
    <n v="4"/>
    <d v="2022-12-25T02:36:01"/>
    <s v="Yes"/>
    <d v="2022-12-13T02:36:01"/>
    <x v="3"/>
    <x v="1"/>
    <d v="2022-12-17T02:36:01"/>
    <s v="Accepted"/>
    <d v="2022-12-14T02:36:01"/>
    <d v="2022-12-15T02:36:01"/>
    <d v="2022-12-16T02:36:01"/>
    <d v="2022-12-26T02:36:01"/>
    <x v="1"/>
    <d v="2022-12-28T02:36:01"/>
    <d v="2022-12-30T02:36:01"/>
    <d v="2023-01-02T02:36:01"/>
    <m/>
    <m/>
    <d v="2023-01-09T02:36:01"/>
    <s v="C3358"/>
    <s v="Candidate_2358"/>
    <s v="12-08-2022"/>
    <x v="2"/>
    <s v="Job Board"/>
    <n v="3"/>
    <m/>
    <x v="0"/>
    <m/>
    <m/>
    <x v="0"/>
    <x v="0"/>
    <m/>
    <x v="283"/>
    <x v="0"/>
  </r>
  <r>
    <n v="337"/>
    <s v="337 | Administation"/>
    <x v="31"/>
    <x v="10"/>
    <x v="45"/>
    <x v="4"/>
    <s v="Administation-Senior Manager"/>
    <x v="3"/>
    <d v="2022-06-10T19:43:59"/>
    <x v="11"/>
    <x v="3"/>
    <n v="3"/>
    <d v="2022-07-12T19:43:59"/>
    <s v="Yes"/>
    <d v="2022-06-25T19:43:59"/>
    <x v="0"/>
    <x v="0"/>
    <m/>
    <m/>
    <m/>
    <m/>
    <m/>
    <m/>
    <x v="0"/>
    <m/>
    <m/>
    <m/>
    <m/>
    <s v="Company"/>
    <m/>
    <s v="C3359"/>
    <s v="Candidate_2359"/>
    <s v="06-10-2022"/>
    <x v="1"/>
    <s v="Linkedin"/>
    <n v="6"/>
    <m/>
    <x v="0"/>
    <m/>
    <m/>
    <x v="0"/>
    <x v="0"/>
    <m/>
    <x v="1"/>
    <x v="0"/>
  </r>
  <r>
    <n v="336"/>
    <s v="336 | Administation"/>
    <x v="32"/>
    <x v="10"/>
    <x v="45"/>
    <x v="4"/>
    <s v="Administation-Senior Manager"/>
    <x v="3"/>
    <m/>
    <x v="0"/>
    <x v="4"/>
    <n v="0"/>
    <d v="2022-07-11T19:43:59"/>
    <s v="Yes"/>
    <d v="2022-06-23T19:43:59"/>
    <x v="1"/>
    <x v="1"/>
    <d v="2022-06-29T19:43:59"/>
    <s v="Declined"/>
    <m/>
    <m/>
    <d v="2022-06-27T19:43:59"/>
    <m/>
    <x v="0"/>
    <m/>
    <m/>
    <m/>
    <m/>
    <m/>
    <m/>
    <s v="C3360"/>
    <s v="Candidate_2360"/>
    <s v="08/06/2022"/>
    <x v="1"/>
    <s v="Linkedin"/>
    <n v="3"/>
    <m/>
    <x v="0"/>
    <m/>
    <m/>
    <x v="0"/>
    <x v="0"/>
    <m/>
    <x v="0"/>
    <x v="0"/>
  </r>
  <r>
    <n v="333"/>
    <s v="333 | Administation"/>
    <x v="31"/>
    <x v="10"/>
    <x v="45"/>
    <x v="4"/>
    <s v="Administation-Senior Manager"/>
    <x v="3"/>
    <d v="2022-06-07T19:43:59"/>
    <x v="10"/>
    <x v="3"/>
    <n v="6"/>
    <d v="2022-06-26T19:43:59"/>
    <s v="Yes"/>
    <d v="2022-06-29T19:43:59"/>
    <x v="3"/>
    <x v="1"/>
    <d v="2022-07-05T19:43:59"/>
    <s v="Accepted"/>
    <d v="2022-06-30T19:43:59"/>
    <d v="2022-07-03T19:43:59"/>
    <d v="2022-07-03T19:43:59"/>
    <d v="2022-07-07T19:43:59"/>
    <x v="1"/>
    <d v="2022-07-10T19:43:59"/>
    <d v="2022-07-11T19:43:59"/>
    <d v="2022-07-14T19:43:59"/>
    <m/>
    <m/>
    <d v="2022-08-01T19:43:59"/>
    <s v="C3361"/>
    <s v="Candidate_2361"/>
    <s v="17/06/2022"/>
    <x v="1"/>
    <s v="Linkedin"/>
    <n v="6"/>
    <m/>
    <x v="0"/>
    <m/>
    <m/>
    <x v="0"/>
    <x v="0"/>
    <m/>
    <x v="284"/>
    <x v="0"/>
  </r>
  <r>
    <n v="310"/>
    <s v="310 | Administation"/>
    <x v="32"/>
    <x v="10"/>
    <x v="45"/>
    <x v="4"/>
    <s v="Administation-Senior Manager"/>
    <x v="3"/>
    <d v="2023-04-13T21:25:25"/>
    <x v="1273"/>
    <x v="9"/>
    <n v="6"/>
    <d v="2023-05-07T21:25:25"/>
    <s v="Yes"/>
    <d v="2023-05-01T21:25:25"/>
    <x v="4"/>
    <x v="1"/>
    <d v="2023-05-08T21:25:25"/>
    <s v="Pending"/>
    <m/>
    <m/>
    <d v="2023-05-04T21:25:25"/>
    <m/>
    <x v="0"/>
    <m/>
    <m/>
    <m/>
    <m/>
    <m/>
    <m/>
    <s v="C3362"/>
    <s v="Candidate_2362"/>
    <s v="Apr 13 2023"/>
    <x v="2"/>
    <s v="Job Board"/>
    <n v="3"/>
    <m/>
    <x v="0"/>
    <m/>
    <m/>
    <x v="0"/>
    <x v="0"/>
    <m/>
    <x v="1"/>
    <x v="0"/>
  </r>
  <r>
    <n v="40"/>
    <s v="40 | Administation"/>
    <x v="31"/>
    <x v="10"/>
    <x v="45"/>
    <x v="4"/>
    <s v="Administation-Senior Manager"/>
    <x v="3"/>
    <d v="2022-08-01T12:40:37"/>
    <x v="1274"/>
    <x v="5"/>
    <n v="4"/>
    <d v="2022-08-28T12:40:37"/>
    <s v="No"/>
    <m/>
    <x v="2"/>
    <x v="1"/>
    <m/>
    <m/>
    <m/>
    <m/>
    <m/>
    <m/>
    <x v="0"/>
    <m/>
    <m/>
    <m/>
    <m/>
    <m/>
    <m/>
    <s v="C3363"/>
    <s v="Candidate_2363"/>
    <m/>
    <x v="2"/>
    <s v="Job Board"/>
    <n v="3"/>
    <m/>
    <x v="0"/>
    <m/>
    <m/>
    <x v="0"/>
    <x v="0"/>
    <m/>
    <x v="1"/>
    <x v="0"/>
  </r>
  <r>
    <n v="38"/>
    <s v="38 | Administation"/>
    <x v="31"/>
    <x v="10"/>
    <x v="45"/>
    <x v="4"/>
    <s v="Administation-Senior Manager"/>
    <x v="3"/>
    <d v="2022-07-26T12:40:37"/>
    <x v="1275"/>
    <x v="4"/>
    <n v="-44768.52820601852"/>
    <d v="2022-08-19T12:40:37"/>
    <s v="Yes"/>
    <d v="2022-08-10T12:40:37"/>
    <x v="0"/>
    <x v="3"/>
    <m/>
    <m/>
    <m/>
    <m/>
    <d v="2022-08-12T12:40:37"/>
    <m/>
    <x v="0"/>
    <m/>
    <m/>
    <m/>
    <m/>
    <s v="Candidate"/>
    <m/>
    <s v="C3364"/>
    <s v="Candidate_2364"/>
    <s v="Jul 27 2022"/>
    <x v="0"/>
    <s v="Referral"/>
    <n v="6"/>
    <m/>
    <x v="0"/>
    <m/>
    <m/>
    <x v="0"/>
    <x v="0"/>
    <m/>
    <x v="0"/>
    <x v="0"/>
  </r>
  <r>
    <n v="523"/>
    <s v="523 | Administation"/>
    <x v="30"/>
    <x v="10"/>
    <x v="46"/>
    <x v="21"/>
    <s v="Administation-Billing Officer"/>
    <x v="4"/>
    <d v="2022-02-11T20:00:49"/>
    <x v="527"/>
    <x v="0"/>
    <n v="8"/>
    <d v="2022-03-20T20:00:49"/>
    <s v="Yes"/>
    <d v="2022-03-05T20:00:49"/>
    <x v="0"/>
    <x v="0"/>
    <m/>
    <m/>
    <m/>
    <m/>
    <d v="2022-03-08T20:00:49"/>
    <m/>
    <x v="0"/>
    <m/>
    <m/>
    <m/>
    <m/>
    <s v="Company"/>
    <m/>
    <s v="C3365"/>
    <s v="Candidate_2365"/>
    <s v="Feb 25 2022"/>
    <x v="0"/>
    <s v="Referral"/>
    <n v="3"/>
    <m/>
    <x v="0"/>
    <m/>
    <m/>
    <x v="0"/>
    <x v="0"/>
    <m/>
    <x v="1"/>
    <x v="0"/>
  </r>
  <r>
    <n v="520"/>
    <s v="520 | Administation"/>
    <x v="31"/>
    <x v="10"/>
    <x v="46"/>
    <x v="21"/>
    <s v="Administation-Billing Officer"/>
    <x v="4"/>
    <d v="2022-10-14T22:12:48"/>
    <x v="15"/>
    <x v="6"/>
    <n v="8"/>
    <d v="2022-11-03T22:12:48"/>
    <s v="Yes"/>
    <d v="2022-11-01T22:12:48"/>
    <x v="0"/>
    <x v="5"/>
    <m/>
    <m/>
    <m/>
    <m/>
    <m/>
    <m/>
    <x v="0"/>
    <m/>
    <m/>
    <m/>
    <m/>
    <s v="Company"/>
    <m/>
    <s v="C3366"/>
    <s v="Candidate_2366"/>
    <s v="Oct 16 2022"/>
    <x v="1"/>
    <s v="Linkedin"/>
    <n v="3"/>
    <m/>
    <x v="0"/>
    <m/>
    <m/>
    <x v="0"/>
    <x v="0"/>
    <m/>
    <x v="1"/>
    <x v="0"/>
  </r>
  <r>
    <n v="514"/>
    <s v="514 | Administation"/>
    <x v="31"/>
    <x v="10"/>
    <x v="46"/>
    <x v="21"/>
    <s v="Administation-Billing Officer"/>
    <x v="4"/>
    <d v="2022-10-16T22:12:48"/>
    <x v="0"/>
    <x v="6"/>
    <n v="6"/>
    <d v="2022-11-08T22:12:48"/>
    <s v="Yes"/>
    <d v="2022-11-01T22:12:48"/>
    <x v="3"/>
    <x v="1"/>
    <d v="2022-11-06T22:12:48"/>
    <s v="Accepted"/>
    <d v="2022-11-03T22:12:48"/>
    <d v="2022-11-06T22:12:48"/>
    <d v="2022-11-05T22:12:48"/>
    <d v="2022-11-14T22:12:48"/>
    <x v="1"/>
    <d v="2022-11-16T22:12:48"/>
    <d v="2022-11-19T22:12:48"/>
    <d v="2022-11-20T22:12:48"/>
    <m/>
    <m/>
    <d v="2022-12-04T22:12:48"/>
    <s v="C3367"/>
    <s v="Candidate_2367"/>
    <s v="26/10/2022"/>
    <x v="0"/>
    <s v="Referral"/>
    <n v="6"/>
    <m/>
    <x v="0"/>
    <m/>
    <m/>
    <x v="0"/>
    <x v="0"/>
    <m/>
    <x v="0"/>
    <x v="0"/>
  </r>
  <r>
    <n v="468"/>
    <s v="468 | Administation"/>
    <x v="31"/>
    <x v="10"/>
    <x v="46"/>
    <x v="21"/>
    <s v="Administation-Billing Officer"/>
    <x v="4"/>
    <d v="2023-02-15T10:11:16"/>
    <x v="22"/>
    <x v="8"/>
    <n v="7"/>
    <d v="2023-02-28T10:11:16"/>
    <s v="Yes"/>
    <d v="2023-03-03T10:11:16"/>
    <x v="3"/>
    <x v="1"/>
    <d v="2023-03-08T10:11:16"/>
    <s v="Accepted"/>
    <d v="2023-03-05T10:11:16"/>
    <d v="2023-03-08T10:11:16"/>
    <d v="2023-03-06T10:11:16"/>
    <d v="2023-03-13T10:11:16"/>
    <x v="1"/>
    <d v="2023-03-16T10:11:16"/>
    <d v="2023-03-18T10:11:16"/>
    <d v="2023-03-21T10:11:16"/>
    <m/>
    <m/>
    <d v="2023-04-04T10:11:16"/>
    <s v="C3368"/>
    <s v="Candidate_2368"/>
    <s v="Feb 22 2023"/>
    <x v="1"/>
    <s v="Linkedin"/>
    <n v="3"/>
    <m/>
    <x v="0"/>
    <m/>
    <m/>
    <x v="0"/>
    <x v="0"/>
    <m/>
    <x v="285"/>
    <x v="0"/>
  </r>
  <r>
    <n v="464"/>
    <s v="464 | Administation"/>
    <x v="32"/>
    <x v="10"/>
    <x v="46"/>
    <x v="21"/>
    <s v="Administation-Billing Officer"/>
    <x v="4"/>
    <d v="2023-02-16T10:11:16"/>
    <x v="1276"/>
    <x v="4"/>
    <n v="-44973.424490740741"/>
    <d v="2023-03-09T10:11:16"/>
    <s v="Yes"/>
    <d v="2023-03-02T10:11:16"/>
    <x v="3"/>
    <x v="1"/>
    <d v="2023-03-06T10:11:16"/>
    <s v="Accepted"/>
    <d v="2023-03-03T10:11:16"/>
    <d v="2023-03-05T10:11:16"/>
    <d v="2023-03-03T10:11:16"/>
    <d v="2023-03-08T10:11:16"/>
    <x v="1"/>
    <d v="2023-03-12T10:11:16"/>
    <d v="2023-03-13T10:11:16"/>
    <d v="2023-03-14T10:11:16"/>
    <m/>
    <m/>
    <d v="2023-04-04T10:11:16"/>
    <s v="C3369"/>
    <s v="Candidate_2369"/>
    <s v="18/02/2023"/>
    <x v="0"/>
    <s v="Referral"/>
    <n v="6"/>
    <m/>
    <x v="0"/>
    <m/>
    <m/>
    <x v="0"/>
    <x v="0"/>
    <m/>
    <x v="0"/>
    <x v="0"/>
  </r>
  <r>
    <n v="463"/>
    <s v="463 | Administation"/>
    <x v="32"/>
    <x v="10"/>
    <x v="46"/>
    <x v="21"/>
    <s v="Administation-Billing Officer"/>
    <x v="4"/>
    <d v="2023-02-15T10:11:16"/>
    <x v="22"/>
    <x v="8"/>
    <n v="7"/>
    <d v="2023-02-27T10:11:16"/>
    <s v="Yes"/>
    <d v="2023-02-26T10:11:16"/>
    <x v="0"/>
    <x v="4"/>
    <m/>
    <m/>
    <m/>
    <m/>
    <m/>
    <m/>
    <x v="0"/>
    <m/>
    <m/>
    <m/>
    <m/>
    <s v="Candidate"/>
    <m/>
    <s v="C3370"/>
    <s v="Candidate_2370"/>
    <s v="Feb 16 2023"/>
    <x v="0"/>
    <s v="Referral"/>
    <n v="6"/>
    <m/>
    <x v="0"/>
    <m/>
    <m/>
    <x v="0"/>
    <x v="0"/>
    <m/>
    <x v="1"/>
    <x v="0"/>
  </r>
  <r>
    <n v="447"/>
    <s v="447 | Administation"/>
    <x v="31"/>
    <x v="10"/>
    <x v="46"/>
    <x v="21"/>
    <s v="Administation-Billing Officer"/>
    <x v="4"/>
    <d v="2022-11-23T02:36:01"/>
    <x v="0"/>
    <x v="7"/>
    <n v="7"/>
    <d v="2022-12-09T02:36:01"/>
    <s v="Yes"/>
    <d v="2022-12-11T02:36:01"/>
    <x v="3"/>
    <x v="1"/>
    <d v="2022-12-15T02:36:01"/>
    <s v="Accepted"/>
    <d v="2022-12-12T02:36:01"/>
    <d v="2022-12-15T02:36:01"/>
    <d v="2022-12-14T02:36:01"/>
    <d v="2022-12-17T02:36:01"/>
    <x v="1"/>
    <d v="2022-12-21T02:36:01"/>
    <d v="2022-12-24T02:36:01"/>
    <d v="2022-12-26T02:36:01"/>
    <m/>
    <m/>
    <d v="2023-01-15T02:36:01"/>
    <s v="C3371"/>
    <s v="Candidate_2371"/>
    <s v="11-24-2022"/>
    <x v="1"/>
    <s v="Linkedin"/>
    <n v="6"/>
    <m/>
    <x v="0"/>
    <m/>
    <m/>
    <x v="0"/>
    <x v="0"/>
    <m/>
    <x v="0"/>
    <x v="0"/>
  </r>
  <r>
    <n v="443"/>
    <s v="443 | Administation"/>
    <x v="31"/>
    <x v="10"/>
    <x v="46"/>
    <x v="21"/>
    <s v="Administation-Billing Officer"/>
    <x v="4"/>
    <d v="2022-11-26T02:36:01"/>
    <x v="1272"/>
    <x v="7"/>
    <n v="4"/>
    <d v="2022-12-14T02:36:01"/>
    <s v="Yes"/>
    <d v="2022-12-09T02:36:01"/>
    <x v="0"/>
    <x v="3"/>
    <m/>
    <m/>
    <m/>
    <m/>
    <m/>
    <m/>
    <x v="0"/>
    <m/>
    <m/>
    <m/>
    <m/>
    <s v="Candidate"/>
    <m/>
    <s v="C3372"/>
    <s v="Candidate_2372"/>
    <s v="26/11/2022"/>
    <x v="0"/>
    <s v="Referral"/>
    <n v="3"/>
    <m/>
    <x v="0"/>
    <m/>
    <m/>
    <x v="0"/>
    <x v="0"/>
    <m/>
    <x v="1"/>
    <x v="0"/>
  </r>
  <r>
    <n v="402"/>
    <s v="402 | Administation"/>
    <x v="31"/>
    <x v="10"/>
    <x v="46"/>
    <x v="21"/>
    <s v="Administation-Billing Officer"/>
    <x v="4"/>
    <d v="2022-02-23T05:03:33"/>
    <x v="1277"/>
    <x v="4"/>
    <n v="-44615.210798611108"/>
    <d v="2022-03-15T05:03:33"/>
    <s v="Yes"/>
    <d v="2022-03-19T05:03:33"/>
    <x v="0"/>
    <x v="4"/>
    <m/>
    <m/>
    <m/>
    <m/>
    <d v="2022-03-22T05:03:33"/>
    <m/>
    <x v="0"/>
    <m/>
    <m/>
    <m/>
    <m/>
    <s v="Company"/>
    <m/>
    <s v="C3373"/>
    <s v="Candidate_2373"/>
    <s v="12/03/2022"/>
    <x v="2"/>
    <s v="Job Board"/>
    <n v="3"/>
    <m/>
    <x v="0"/>
    <m/>
    <m/>
    <x v="0"/>
    <x v="0"/>
    <m/>
    <x v="0"/>
    <x v="0"/>
  </r>
  <r>
    <n v="332"/>
    <s v="332 | Administation"/>
    <x v="31"/>
    <x v="10"/>
    <x v="46"/>
    <x v="21"/>
    <s v="Administation-Billing Officer"/>
    <x v="4"/>
    <d v="2022-06-09T19:43:59"/>
    <x v="11"/>
    <x v="3"/>
    <n v="4"/>
    <d v="2022-06-29T19:43:59"/>
    <s v="Yes"/>
    <d v="2022-06-27T19:43:59"/>
    <x v="3"/>
    <x v="1"/>
    <d v="2022-07-01T19:43:59"/>
    <s v="Accepted"/>
    <d v="2022-06-29T19:43:59"/>
    <d v="2022-07-03T19:43:59"/>
    <d v="2022-06-28T19:43:59"/>
    <d v="2022-07-03T19:43:59"/>
    <x v="1"/>
    <d v="2022-07-06T19:43:59"/>
    <d v="2022-07-07T19:43:59"/>
    <d v="2022-07-10T19:43:59"/>
    <m/>
    <m/>
    <d v="2022-07-24T19:43:59"/>
    <s v="C3374"/>
    <s v="Candidate_2374"/>
    <s v="19/06/2022"/>
    <x v="0"/>
    <s v="Referral"/>
    <n v="6"/>
    <m/>
    <x v="0"/>
    <m/>
    <m/>
    <x v="0"/>
    <x v="0"/>
    <m/>
    <x v="286"/>
    <x v="0"/>
  </r>
  <r>
    <n v="331"/>
    <s v="331 | Administation"/>
    <x v="31"/>
    <x v="10"/>
    <x v="46"/>
    <x v="21"/>
    <s v="Administation-Billing Officer"/>
    <x v="4"/>
    <d v="2022-06-07T19:43:59"/>
    <x v="0"/>
    <x v="3"/>
    <n v="6"/>
    <d v="2022-06-24T19:43:59"/>
    <s v="Yes"/>
    <d v="2022-06-25T19:43:59"/>
    <x v="0"/>
    <x v="4"/>
    <m/>
    <m/>
    <m/>
    <m/>
    <d v="2022-06-28T19:43:59"/>
    <m/>
    <x v="0"/>
    <m/>
    <m/>
    <m/>
    <m/>
    <s v="Candidate"/>
    <m/>
    <s v="C3375"/>
    <s v="Candidate_2375"/>
    <s v="Jun 14 2022"/>
    <x v="0"/>
    <s v="Referral"/>
    <n v="6"/>
    <m/>
    <x v="0"/>
    <m/>
    <m/>
    <x v="0"/>
    <x v="0"/>
    <m/>
    <x v="0"/>
    <x v="0"/>
  </r>
  <r>
    <n v="308"/>
    <s v="308 | Administation"/>
    <x v="31"/>
    <x v="10"/>
    <x v="46"/>
    <x v="1"/>
    <s v="Administation-Supervisor"/>
    <x v="4"/>
    <d v="2023-04-14T21:25:25"/>
    <x v="1278"/>
    <x v="9"/>
    <n v="5"/>
    <d v="2023-05-05T21:25:25"/>
    <s v="Yes"/>
    <d v="2023-04-28T21:25:25"/>
    <x v="1"/>
    <x v="1"/>
    <d v="2023-05-04T21:25:25"/>
    <s v="Declined"/>
    <m/>
    <m/>
    <d v="2023-04-30T21:25:25"/>
    <m/>
    <x v="0"/>
    <m/>
    <m/>
    <m/>
    <m/>
    <m/>
    <m/>
    <s v="C3376"/>
    <s v="Candidate_2376"/>
    <s v="Apr 18 2023"/>
    <x v="2"/>
    <s v="Job Board"/>
    <n v="6"/>
    <m/>
    <x v="0"/>
    <m/>
    <m/>
    <x v="0"/>
    <x v="0"/>
    <m/>
    <x v="1"/>
    <x v="0"/>
  </r>
  <r>
    <n v="307"/>
    <s v="307 | Administation"/>
    <x v="31"/>
    <x v="10"/>
    <x v="46"/>
    <x v="1"/>
    <s v="Administation-Supervisor"/>
    <x v="4"/>
    <d v="2023-04-10T21:25:25"/>
    <x v="1279"/>
    <x v="9"/>
    <n v="9"/>
    <d v="2023-05-12T21:25:25"/>
    <s v="Yes"/>
    <d v="2023-04-25T21:25:25"/>
    <x v="0"/>
    <x v="5"/>
    <m/>
    <m/>
    <m/>
    <m/>
    <m/>
    <m/>
    <x v="0"/>
    <m/>
    <m/>
    <m/>
    <m/>
    <s v="Company"/>
    <m/>
    <s v="C3377"/>
    <s v="Candidate_2377"/>
    <s v="10/04/2023"/>
    <x v="2"/>
    <s v="Job Board"/>
    <n v="6"/>
    <m/>
    <x v="0"/>
    <m/>
    <m/>
    <x v="0"/>
    <x v="0"/>
    <m/>
    <x v="1"/>
    <x v="0"/>
  </r>
  <r>
    <n v="302"/>
    <s v="302 | Administation"/>
    <x v="32"/>
    <x v="10"/>
    <x v="46"/>
    <x v="1"/>
    <s v="Administation-Supervisor"/>
    <x v="4"/>
    <d v="2023-04-12T21:25:25"/>
    <x v="1280"/>
    <x v="9"/>
    <n v="7"/>
    <d v="2023-05-12T21:25:25"/>
    <s v="Yes"/>
    <d v="2023-04-26T21:25:25"/>
    <x v="0"/>
    <x v="0"/>
    <m/>
    <m/>
    <m/>
    <m/>
    <d v="2023-04-28T21:25:25"/>
    <m/>
    <x v="0"/>
    <m/>
    <m/>
    <m/>
    <m/>
    <s v="Candidate"/>
    <m/>
    <s v="C3378"/>
    <s v="Candidate_2378"/>
    <s v="08/04/2023"/>
    <x v="1"/>
    <s v="Linkedin"/>
    <n v="3"/>
    <m/>
    <x v="0"/>
    <m/>
    <m/>
    <x v="0"/>
    <x v="0"/>
    <m/>
    <x v="1"/>
    <x v="0"/>
  </r>
  <r>
    <n v="301"/>
    <s v="301 | Administation"/>
    <x v="32"/>
    <x v="10"/>
    <x v="46"/>
    <x v="1"/>
    <s v="Administation-Supervisor"/>
    <x v="4"/>
    <d v="2023-04-10T21:25:25"/>
    <x v="1279"/>
    <x v="9"/>
    <n v="9"/>
    <d v="2023-05-02T21:25:25"/>
    <s v="Yes"/>
    <d v="2023-04-27T21:25:25"/>
    <x v="0"/>
    <x v="5"/>
    <m/>
    <m/>
    <m/>
    <m/>
    <d v="2023-04-30T21:25:25"/>
    <m/>
    <x v="0"/>
    <m/>
    <m/>
    <m/>
    <m/>
    <s v="Company"/>
    <m/>
    <s v="C3379"/>
    <s v="Candidate_2379"/>
    <s v="19/04/2023"/>
    <x v="0"/>
    <s v="Referral"/>
    <n v="6"/>
    <m/>
    <x v="0"/>
    <m/>
    <m/>
    <x v="0"/>
    <x v="0"/>
    <m/>
    <x v="1"/>
    <x v="0"/>
  </r>
  <r>
    <n v="217"/>
    <s v="217 | Administation"/>
    <x v="32"/>
    <x v="10"/>
    <x v="46"/>
    <x v="1"/>
    <s v="Administation-Supervisor"/>
    <x v="4"/>
    <d v="2022-04-13T07:57:47"/>
    <x v="7"/>
    <x v="2"/>
    <n v="2"/>
    <d v="2022-04-22T07:57:47"/>
    <s v="Yes"/>
    <d v="2022-04-17T07:57:47"/>
    <x v="0"/>
    <x v="0"/>
    <m/>
    <m/>
    <m/>
    <m/>
    <d v="2022-04-19T07:57:47"/>
    <m/>
    <x v="0"/>
    <m/>
    <m/>
    <m/>
    <m/>
    <s v="Candidate"/>
    <m/>
    <s v="C3380"/>
    <s v="Candidate_2380"/>
    <s v="04-05-2022"/>
    <x v="2"/>
    <s v="Job Board"/>
    <n v="6"/>
    <m/>
    <x v="0"/>
    <m/>
    <m/>
    <x v="0"/>
    <x v="0"/>
    <m/>
    <x v="1"/>
    <x v="0"/>
  </r>
  <r>
    <n v="39"/>
    <s v="39 | Administation"/>
    <x v="32"/>
    <x v="10"/>
    <x v="46"/>
    <x v="1"/>
    <s v="Administation-Supervisor"/>
    <x v="4"/>
    <d v="2022-07-29T12:40:37"/>
    <x v="12"/>
    <x v="5"/>
    <n v="7"/>
    <d v="2022-08-13T12:40:37"/>
    <s v="No"/>
    <m/>
    <x v="2"/>
    <x v="1"/>
    <m/>
    <m/>
    <m/>
    <m/>
    <m/>
    <m/>
    <x v="0"/>
    <m/>
    <m/>
    <m/>
    <m/>
    <m/>
    <m/>
    <s v="C3381"/>
    <s v="Candidate_2381"/>
    <m/>
    <x v="1"/>
    <s v="Linkedin"/>
    <n v="3"/>
    <m/>
    <x v="0"/>
    <m/>
    <m/>
    <x v="0"/>
    <x v="0"/>
    <m/>
    <x v="1"/>
    <x v="0"/>
  </r>
  <r>
    <n v="31"/>
    <s v="31 | Administation"/>
    <x v="32"/>
    <x v="10"/>
    <x v="46"/>
    <x v="1"/>
    <s v="Administation-Supervisor"/>
    <x v="4"/>
    <d v="2022-07-30T12:40:37"/>
    <x v="1274"/>
    <x v="5"/>
    <n v="6"/>
    <d v="2022-08-23T12:40:37"/>
    <s v="Yes"/>
    <d v="2022-08-08T12:40:37"/>
    <x v="0"/>
    <x v="4"/>
    <m/>
    <m/>
    <m/>
    <m/>
    <m/>
    <m/>
    <x v="0"/>
    <m/>
    <m/>
    <m/>
    <m/>
    <s v="Candidate"/>
    <m/>
    <s v="C3382"/>
    <s v="Candidate_2382"/>
    <s v="08-01-2022"/>
    <x v="2"/>
    <s v="Job Board"/>
    <n v="3"/>
    <m/>
    <x v="0"/>
    <m/>
    <m/>
    <x v="0"/>
    <x v="0"/>
    <m/>
    <x v="1"/>
    <x v="0"/>
  </r>
  <r>
    <n v="521"/>
    <s v="521 | Administation"/>
    <x v="31"/>
    <x v="10"/>
    <x v="47"/>
    <x v="1"/>
    <s v="Administation-Supervisor"/>
    <x v="5"/>
    <d v="2022-02-09T20:00:49"/>
    <x v="527"/>
    <x v="0"/>
    <n v="10"/>
    <d v="2022-03-05T20:00:49"/>
    <s v="Yes"/>
    <d v="2022-02-28T20:00:49"/>
    <x v="1"/>
    <x v="1"/>
    <d v="2022-03-07T20:00:49"/>
    <s v="Declined"/>
    <m/>
    <m/>
    <d v="2022-03-04T20:00:49"/>
    <m/>
    <x v="0"/>
    <m/>
    <m/>
    <m/>
    <m/>
    <m/>
    <m/>
    <s v="C3383"/>
    <s v="Candidate_2383"/>
    <s v="11/02/2022"/>
    <x v="2"/>
    <s v="Job Board"/>
    <n v="3"/>
    <m/>
    <x v="0"/>
    <m/>
    <m/>
    <x v="0"/>
    <x v="0"/>
    <m/>
    <x v="1"/>
    <x v="0"/>
  </r>
  <r>
    <n v="516"/>
    <s v="516 | Administation"/>
    <x v="30"/>
    <x v="10"/>
    <x v="47"/>
    <x v="1"/>
    <s v="Administation-Supervisor"/>
    <x v="5"/>
    <d v="2022-10-17T22:12:48"/>
    <x v="1281"/>
    <x v="6"/>
    <n v="5"/>
    <d v="2022-10-27T22:12:48"/>
    <s v="Yes"/>
    <d v="2022-10-30T22:12:48"/>
    <x v="0"/>
    <x v="2"/>
    <m/>
    <m/>
    <m/>
    <m/>
    <m/>
    <m/>
    <x v="0"/>
    <m/>
    <m/>
    <m/>
    <m/>
    <s v="Company"/>
    <m/>
    <s v="C3384"/>
    <s v="Candidate_2384"/>
    <s v="10-13-2022"/>
    <x v="2"/>
    <s v="Job Board"/>
    <n v="6"/>
    <m/>
    <x v="0"/>
    <m/>
    <m/>
    <x v="0"/>
    <x v="0"/>
    <m/>
    <x v="1"/>
    <x v="0"/>
  </r>
  <r>
    <n v="513"/>
    <s v="513 | Administation"/>
    <x v="30"/>
    <x v="10"/>
    <x v="47"/>
    <x v="1"/>
    <s v="Administation-Supervisor"/>
    <x v="5"/>
    <m/>
    <x v="1282"/>
    <x v="6"/>
    <n v="44856.925555555557"/>
    <d v="2022-11-03T22:12:48"/>
    <s v="Yes"/>
    <d v="2022-11-02T22:12:48"/>
    <x v="1"/>
    <x v="1"/>
    <d v="2022-11-08T22:12:48"/>
    <s v="Declined"/>
    <m/>
    <m/>
    <d v="2022-11-05T22:12:48"/>
    <m/>
    <x v="0"/>
    <m/>
    <m/>
    <m/>
    <m/>
    <m/>
    <m/>
    <s v="C3385"/>
    <s v="Candidate_2385"/>
    <s v="10-22-2022"/>
    <x v="0"/>
    <s v="Referral"/>
    <n v="6"/>
    <m/>
    <x v="0"/>
    <m/>
    <m/>
    <x v="0"/>
    <x v="0"/>
    <m/>
    <x v="0"/>
    <x v="0"/>
  </r>
  <r>
    <n v="465"/>
    <s v="465 | Administation"/>
    <x v="32"/>
    <x v="10"/>
    <x v="47"/>
    <x v="1"/>
    <s v="Administation-Supervisor"/>
    <x v="5"/>
    <d v="2023-02-13T10:11:16"/>
    <x v="0"/>
    <x v="8"/>
    <n v="9"/>
    <d v="2023-03-03T10:11:16"/>
    <s v="Yes"/>
    <d v="2023-02-28T10:11:16"/>
    <x v="1"/>
    <x v="1"/>
    <d v="2023-03-05T10:11:16"/>
    <s v="Declined"/>
    <m/>
    <m/>
    <d v="2023-03-04T10:11:16"/>
    <m/>
    <x v="0"/>
    <m/>
    <m/>
    <m/>
    <m/>
    <m/>
    <m/>
    <s v="C3386"/>
    <s v="Candidate_2386"/>
    <s v="Feb 20 2023"/>
    <x v="1"/>
    <s v="Linkedin"/>
    <n v="3"/>
    <m/>
    <x v="0"/>
    <m/>
    <m/>
    <x v="0"/>
    <x v="0"/>
    <m/>
    <x v="0"/>
    <x v="0"/>
  </r>
  <r>
    <n v="450"/>
    <s v="450 | Administation"/>
    <x v="31"/>
    <x v="10"/>
    <x v="47"/>
    <x v="1"/>
    <s v="Administation-Supervisor"/>
    <x v="5"/>
    <d v="2022-11-24T02:36:01"/>
    <x v="19"/>
    <x v="7"/>
    <n v="6"/>
    <d v="2022-12-28T02:36:01"/>
    <s v="Yes"/>
    <d v="2022-12-05T02:36:01"/>
    <x v="1"/>
    <x v="1"/>
    <d v="2022-12-11T02:36:01"/>
    <s v="Declined"/>
    <m/>
    <m/>
    <d v="2022-12-09T02:36:01"/>
    <m/>
    <x v="0"/>
    <m/>
    <m/>
    <m/>
    <m/>
    <m/>
    <m/>
    <s v="C3387"/>
    <s v="Candidate_2387"/>
    <s v="11-26-2022"/>
    <x v="2"/>
    <s v="Job Board"/>
    <n v="6"/>
    <m/>
    <x v="0"/>
    <m/>
    <m/>
    <x v="0"/>
    <x v="0"/>
    <m/>
    <x v="1"/>
    <x v="0"/>
  </r>
  <r>
    <n v="446"/>
    <s v="446 | Administation"/>
    <x v="31"/>
    <x v="10"/>
    <x v="47"/>
    <x v="1"/>
    <s v="Administation-Supervisor"/>
    <x v="5"/>
    <d v="2022-11-24T02:36:01"/>
    <x v="18"/>
    <x v="7"/>
    <n v="6"/>
    <d v="2022-12-20T02:36:01"/>
    <s v="Yes"/>
    <d v="2022-12-11T02:36:01"/>
    <x v="0"/>
    <x v="3"/>
    <m/>
    <m/>
    <m/>
    <m/>
    <d v="2022-12-14T02:36:01"/>
    <m/>
    <x v="0"/>
    <m/>
    <m/>
    <m/>
    <m/>
    <s v="Company"/>
    <m/>
    <s v="C3388"/>
    <s v="Candidate_2388"/>
    <s v="27/11/2022"/>
    <x v="1"/>
    <s v="Linkedin"/>
    <n v="3"/>
    <m/>
    <x v="0"/>
    <m/>
    <m/>
    <x v="0"/>
    <x v="0"/>
    <m/>
    <x v="1"/>
    <x v="0"/>
  </r>
  <r>
    <n v="445"/>
    <s v="445 | Administation"/>
    <x v="31"/>
    <x v="10"/>
    <x v="47"/>
    <x v="1"/>
    <s v="Administation-Supervisor"/>
    <x v="5"/>
    <d v="2022-11-24T02:36:01"/>
    <x v="1272"/>
    <x v="7"/>
    <n v="6"/>
    <d v="2022-12-07T02:36:01"/>
    <s v="Yes"/>
    <d v="2022-12-11T02:36:01"/>
    <x v="3"/>
    <x v="1"/>
    <d v="2022-12-16T02:36:01"/>
    <s v="Accepted"/>
    <d v="2022-12-12T02:36:01"/>
    <d v="2022-12-16T02:36:01"/>
    <d v="2022-12-13T02:36:01"/>
    <d v="2022-12-23T02:36:01"/>
    <x v="1"/>
    <d v="2022-12-25T02:36:01"/>
    <d v="2022-12-26T02:36:01"/>
    <d v="2022-12-28T02:36:01"/>
    <m/>
    <m/>
    <d v="2023-01-15T02:36:01"/>
    <s v="C3389"/>
    <s v="Candidate_2389"/>
    <s v="06/12/2022"/>
    <x v="2"/>
    <s v="Job Board"/>
    <n v="3"/>
    <m/>
    <x v="0"/>
    <m/>
    <m/>
    <x v="0"/>
    <x v="0"/>
    <m/>
    <x v="5"/>
    <x v="0"/>
  </r>
  <r>
    <n v="406"/>
    <s v="406 | Administation"/>
    <x v="31"/>
    <x v="10"/>
    <x v="47"/>
    <x v="1"/>
    <s v="Administation-Supervisor"/>
    <x v="5"/>
    <d v="2022-02-25T05:03:33"/>
    <x v="1283"/>
    <x v="1"/>
    <n v="5"/>
    <d v="2022-03-27T05:03:33"/>
    <s v="No"/>
    <m/>
    <x v="2"/>
    <x v="1"/>
    <m/>
    <m/>
    <m/>
    <m/>
    <m/>
    <m/>
    <x v="0"/>
    <m/>
    <m/>
    <m/>
    <m/>
    <m/>
    <m/>
    <s v="C3390"/>
    <s v="Candidate_2390"/>
    <m/>
    <x v="0"/>
    <s v="Referral"/>
    <n v="6"/>
    <m/>
    <x v="0"/>
    <m/>
    <m/>
    <x v="0"/>
    <x v="0"/>
    <m/>
    <x v="1"/>
    <x v="0"/>
  </r>
  <r>
    <n v="340"/>
    <s v="340 | Administation"/>
    <x v="31"/>
    <x v="10"/>
    <x v="47"/>
    <x v="1"/>
    <s v="Administation-Supervisor"/>
    <x v="5"/>
    <d v="2022-06-11T19:43:59"/>
    <x v="0"/>
    <x v="3"/>
    <n v="2"/>
    <d v="2022-06-20T19:43:59"/>
    <s v="Yes"/>
    <d v="2022-06-20T19:43:59"/>
    <x v="3"/>
    <x v="1"/>
    <d v="2022-06-26T19:43:59"/>
    <s v="Accepted"/>
    <d v="2022-06-21T19:43:59"/>
    <d v="2022-06-23T19:43:59"/>
    <d v="2022-06-23T19:43:59"/>
    <d v="2022-06-28T19:43:59"/>
    <x v="1"/>
    <d v="2022-06-29T19:43:59"/>
    <d v="2022-06-30T19:43:59"/>
    <d v="2022-07-02T19:43:59"/>
    <m/>
    <m/>
    <d v="2022-07-20T19:43:59"/>
    <s v="C3391"/>
    <s v="Candidate_2391"/>
    <s v="06-15-2022"/>
    <x v="2"/>
    <s v="Job Board"/>
    <n v="6"/>
    <m/>
    <x v="0"/>
    <m/>
    <m/>
    <x v="0"/>
    <x v="0"/>
    <m/>
    <x v="0"/>
    <x v="0"/>
  </r>
  <r>
    <n v="334"/>
    <s v="334 | Administation"/>
    <x v="30"/>
    <x v="10"/>
    <x v="47"/>
    <x v="1"/>
    <s v="Administation-Supervisor"/>
    <x v="5"/>
    <m/>
    <x v="1284"/>
    <x v="3"/>
    <n v="44725.822210648148"/>
    <d v="2022-06-29T19:43:59"/>
    <s v="Yes"/>
    <d v="2022-06-29T19:43:59"/>
    <x v="0"/>
    <x v="5"/>
    <m/>
    <m/>
    <m/>
    <m/>
    <d v="2022-07-01T19:43:59"/>
    <m/>
    <x v="0"/>
    <m/>
    <m/>
    <m/>
    <m/>
    <s v="Candidate"/>
    <m/>
    <s v="C3392"/>
    <s v="Candidate_2392"/>
    <s v="06-23-2022"/>
    <x v="2"/>
    <s v="Job Board"/>
    <n v="6"/>
    <m/>
    <x v="0"/>
    <m/>
    <m/>
    <x v="0"/>
    <x v="0"/>
    <m/>
    <x v="0"/>
    <x v="0"/>
  </r>
  <r>
    <n v="309"/>
    <s v="309 | Administation"/>
    <x v="31"/>
    <x v="10"/>
    <x v="47"/>
    <x v="6"/>
    <s v="Administation-Manager"/>
    <x v="5"/>
    <d v="2023-04-13T21:25:25"/>
    <x v="1273"/>
    <x v="9"/>
    <n v="6"/>
    <d v="2023-05-08T21:25:25"/>
    <s v="No"/>
    <m/>
    <x v="2"/>
    <x v="1"/>
    <m/>
    <m/>
    <m/>
    <m/>
    <m/>
    <m/>
    <x v="0"/>
    <m/>
    <m/>
    <m/>
    <m/>
    <m/>
    <m/>
    <s v="C3393"/>
    <s v="Candidate_2393"/>
    <m/>
    <x v="2"/>
    <s v="Job Board"/>
    <n v="3"/>
    <m/>
    <x v="0"/>
    <m/>
    <m/>
    <x v="0"/>
    <x v="0"/>
    <m/>
    <x v="1"/>
    <x v="0"/>
  </r>
  <r>
    <n v="303"/>
    <s v="303 | Administation"/>
    <x v="30"/>
    <x v="10"/>
    <x v="47"/>
    <x v="6"/>
    <s v="Administation-Manager"/>
    <x v="5"/>
    <d v="2023-04-14T21:25:25"/>
    <x v="1280"/>
    <x v="9"/>
    <n v="5"/>
    <d v="2023-05-02T21:25:25"/>
    <s v="Yes"/>
    <d v="2023-04-23T21:25:25"/>
    <x v="3"/>
    <x v="1"/>
    <d v="2023-04-25T21:25:25"/>
    <s v="Accepted"/>
    <d v="2023-04-24T21:25:25"/>
    <d v="2023-04-28T21:25:25"/>
    <d v="2023-04-24T21:25:25"/>
    <d v="2023-04-27T21:25:25"/>
    <x v="1"/>
    <d v="2023-04-30T21:25:25"/>
    <d v="2023-05-02T21:25:25"/>
    <d v="2023-05-03T21:25:25"/>
    <m/>
    <m/>
    <d v="2023-05-26T21:25:25"/>
    <s v="C3394"/>
    <s v="Candidate_2394"/>
    <s v="04-05-2023"/>
    <x v="2"/>
    <s v="Job Board"/>
    <n v="6"/>
    <m/>
    <x v="0"/>
    <m/>
    <m/>
    <x v="0"/>
    <x v="0"/>
    <m/>
    <x v="287"/>
    <x v="0"/>
  </r>
  <r>
    <n v="218"/>
    <s v="218 | Administation"/>
    <x v="31"/>
    <x v="10"/>
    <x v="47"/>
    <x v="6"/>
    <s v="Administation-Manager"/>
    <x v="5"/>
    <d v="2022-04-11T07:57:47"/>
    <x v="8"/>
    <x v="2"/>
    <n v="4"/>
    <d v="2022-04-21T07:57:47"/>
    <s v="Yes"/>
    <d v="2022-04-22T07:57:47"/>
    <x v="0"/>
    <x v="4"/>
    <m/>
    <m/>
    <m/>
    <m/>
    <m/>
    <m/>
    <x v="0"/>
    <m/>
    <m/>
    <m/>
    <m/>
    <s v="Candidate"/>
    <m/>
    <s v="C3395"/>
    <s v="Candidate_2395"/>
    <s v="04-08-2022"/>
    <x v="1"/>
    <s v="Linkedin"/>
    <n v="6"/>
    <m/>
    <x v="0"/>
    <m/>
    <m/>
    <x v="0"/>
    <x v="0"/>
    <m/>
    <x v="1"/>
    <x v="0"/>
  </r>
  <r>
    <n v="214"/>
    <s v="214 | Administation"/>
    <x v="31"/>
    <x v="10"/>
    <x v="47"/>
    <x v="6"/>
    <s v="Administation-Manager"/>
    <x v="5"/>
    <d v="2022-04-08T07:57:47"/>
    <x v="6"/>
    <x v="2"/>
    <n v="7"/>
    <d v="2022-04-28T07:57:47"/>
    <s v="Yes"/>
    <d v="2022-04-22T07:57:47"/>
    <x v="1"/>
    <x v="1"/>
    <d v="2022-04-27T07:57:47"/>
    <s v="Declined"/>
    <m/>
    <m/>
    <d v="2022-04-24T07:57:47"/>
    <m/>
    <x v="0"/>
    <m/>
    <m/>
    <m/>
    <m/>
    <m/>
    <m/>
    <s v="C3396"/>
    <s v="Candidate_2396"/>
    <s v="Apr 13 2022"/>
    <x v="0"/>
    <s v="Referral"/>
    <n v="3"/>
    <m/>
    <x v="0"/>
    <m/>
    <m/>
    <x v="0"/>
    <x v="0"/>
    <m/>
    <x v="1"/>
    <x v="0"/>
  </r>
  <r>
    <n v="213"/>
    <s v="213 | Administation"/>
    <x v="30"/>
    <x v="10"/>
    <x v="47"/>
    <x v="6"/>
    <s v="Administation-Manager"/>
    <x v="5"/>
    <d v="2022-04-08T07:57:47"/>
    <x v="1285"/>
    <x v="2"/>
    <n v="7"/>
    <d v="2022-05-10T07:57:47"/>
    <s v="No"/>
    <m/>
    <x v="2"/>
    <x v="1"/>
    <m/>
    <m/>
    <m/>
    <m/>
    <m/>
    <m/>
    <x v="0"/>
    <m/>
    <m/>
    <m/>
    <m/>
    <m/>
    <m/>
    <s v="C3397"/>
    <s v="Candidate_2397"/>
    <m/>
    <x v="0"/>
    <s v="Referral"/>
    <n v="3"/>
    <m/>
    <x v="0"/>
    <m/>
    <m/>
    <x v="0"/>
    <x v="0"/>
    <m/>
    <x v="1"/>
    <x v="0"/>
  </r>
  <r>
    <n v="212"/>
    <s v="212 | Administation"/>
    <x v="32"/>
    <x v="10"/>
    <x v="47"/>
    <x v="6"/>
    <s v="Administation-Manager"/>
    <x v="5"/>
    <d v="2022-04-06T07:57:47"/>
    <x v="6"/>
    <x v="2"/>
    <n v="9"/>
    <d v="2022-04-21T07:57:47"/>
    <s v="Yes"/>
    <d v="2022-04-23T07:57:47"/>
    <x v="1"/>
    <x v="1"/>
    <d v="2022-04-28T07:57:47"/>
    <s v="Declined"/>
    <m/>
    <m/>
    <d v="2022-04-27T07:57:47"/>
    <m/>
    <x v="0"/>
    <m/>
    <m/>
    <m/>
    <m/>
    <m/>
    <m/>
    <s v="C3398"/>
    <s v="Candidate_2398"/>
    <s v="Apr 05 2022"/>
    <x v="1"/>
    <s v="Linkedin"/>
    <n v="3"/>
    <m/>
    <x v="0"/>
    <m/>
    <m/>
    <x v="0"/>
    <x v="0"/>
    <m/>
    <x v="1"/>
    <x v="0"/>
  </r>
  <r>
    <n v="36"/>
    <s v="36 | Administation"/>
    <x v="31"/>
    <x v="10"/>
    <x v="48"/>
    <x v="0"/>
    <s v="Administation-Analyst"/>
    <x v="0"/>
    <d v="2022-07-31T12:40:37"/>
    <x v="14"/>
    <x v="5"/>
    <n v="5"/>
    <d v="2022-08-16T12:40:37"/>
    <s v="Yes"/>
    <d v="2022-08-11T12:40:37"/>
    <x v="3"/>
    <x v="1"/>
    <d v="2022-08-14T12:40:37"/>
    <s v="Accepted"/>
    <d v="2022-08-13T12:40:37"/>
    <d v="2022-08-17T12:40:37"/>
    <d v="2022-08-13T12:40:37"/>
    <d v="2022-08-16T12:40:37"/>
    <x v="1"/>
    <d v="2022-08-18T12:40:37"/>
    <d v="2022-08-20T12:40:37"/>
    <d v="2022-08-23T12:40:37"/>
    <m/>
    <m/>
    <d v="2022-09-13T12:40:37"/>
    <s v="C3399"/>
    <s v="Candidate_2399"/>
    <s v="02/08/2022"/>
    <x v="1"/>
    <s v="Linkedin"/>
    <n v="3"/>
    <m/>
    <x v="0"/>
    <m/>
    <m/>
    <x v="0"/>
    <x v="0"/>
    <m/>
    <x v="28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ire Status">
  <location ref="A3:B8" firstHeaderRow="1" firstDataRow="1" firstDataCol="1"/>
  <pivotFields count="51">
    <pivotField showAll="0"/>
    <pivotField showAll="0"/>
    <pivotField showAll="0">
      <items count="34">
        <item x="32"/>
        <item x="28"/>
        <item h="1" x="24"/>
        <item x="21"/>
        <item x="19"/>
        <item x="17"/>
        <item x="12"/>
        <item x="10"/>
        <item x="6"/>
        <item x="3"/>
        <item x="1"/>
        <item x="31"/>
        <item x="30"/>
        <item x="27"/>
        <item x="29"/>
        <item x="26"/>
        <item x="25"/>
        <item x="22"/>
        <item x="23"/>
        <item x="20"/>
        <item x="18"/>
        <item x="16"/>
        <item x="15"/>
        <item x="13"/>
        <item x="14"/>
        <item h="1" x="9"/>
        <item h="1" x="11"/>
        <item x="7"/>
        <item x="8"/>
        <item x="4"/>
        <item x="5"/>
        <item x="0"/>
        <item x="2"/>
        <item t="default"/>
      </items>
    </pivotField>
    <pivotField showAll="0">
      <items count="12">
        <item x="10"/>
        <item x="9"/>
        <item x="8"/>
        <item x="7"/>
        <item x="6"/>
        <item x="5"/>
        <item x="4"/>
        <item x="3"/>
        <item x="2"/>
        <item x="1"/>
        <item x="0"/>
        <item t="default"/>
      </items>
    </pivotField>
    <pivotField showAll="0"/>
    <pivotField showAll="0"/>
    <pivotField showAll="0"/>
    <pivotField showAll="0">
      <items count="7">
        <item x="1"/>
        <item x="2"/>
        <item x="0"/>
        <item x="5"/>
        <item x="4"/>
        <item x="3"/>
        <item t="default"/>
      </items>
    </pivotField>
    <pivotField showAll="0"/>
    <pivotField showAll="0">
      <items count="1287">
        <item x="1100"/>
        <item x="753"/>
        <item x="912"/>
        <item x="510"/>
        <item x="811"/>
        <item x="910"/>
        <item x="548"/>
        <item x="784"/>
        <item x="911"/>
        <item x="509"/>
        <item x="795"/>
        <item x="754"/>
        <item x="797"/>
        <item x="708"/>
        <item x="796"/>
        <item x="1256"/>
        <item x="954"/>
        <item x="1188"/>
        <item x="1063"/>
        <item x="1014"/>
        <item x="1220"/>
        <item x="1243"/>
        <item x="952"/>
        <item x="1187"/>
        <item x="1192"/>
        <item x="953"/>
        <item x="653"/>
        <item x="1257"/>
        <item x="372"/>
        <item x="1191"/>
        <item x="810"/>
        <item x="600"/>
        <item x="715"/>
        <item x="697"/>
        <item x="409"/>
        <item x="783"/>
        <item x="1147"/>
        <item x="830"/>
        <item x="1157"/>
        <item x="371"/>
        <item x="801"/>
        <item x="1237"/>
        <item x="802"/>
        <item x="738"/>
        <item x="651"/>
        <item x="650"/>
        <item x="385"/>
        <item x="1137"/>
        <item x="572"/>
        <item x="534"/>
        <item x="442"/>
        <item x="328"/>
        <item x="443"/>
        <item x="88"/>
        <item x="390"/>
        <item x="936"/>
        <item x="90"/>
        <item x="1039"/>
        <item x="89"/>
        <item x="1226"/>
        <item x="843"/>
        <item x="870"/>
        <item x="1260"/>
        <item x="1037"/>
        <item x="937"/>
        <item x="310"/>
        <item x="441"/>
        <item x="794"/>
        <item x="1201"/>
        <item x="1038"/>
        <item x="1059"/>
        <item x="171"/>
        <item x="440"/>
        <item x="819"/>
        <item x="1171"/>
        <item x="1006"/>
        <item x="530"/>
        <item x="1264"/>
        <item x="1227"/>
        <item x="839"/>
        <item x="1029"/>
        <item x="1093"/>
        <item x="489"/>
        <item x="1090"/>
        <item x="1233"/>
        <item x="787"/>
        <item x="888"/>
        <item x="730"/>
        <item x="527"/>
        <item x="838"/>
        <item x="1030"/>
        <item x="200"/>
        <item x="889"/>
        <item x="125"/>
        <item x="199"/>
        <item x="593"/>
        <item x="907"/>
        <item x="124"/>
        <item x="1"/>
        <item x="851"/>
        <item x="988"/>
        <item x="252"/>
        <item x="908"/>
        <item x="251"/>
        <item x="2"/>
        <item x="101"/>
        <item x="486"/>
        <item x="43"/>
        <item x="1277"/>
        <item x="433"/>
        <item x="102"/>
        <item x="3"/>
        <item x="4"/>
        <item x="420"/>
        <item x="1283"/>
        <item x="421"/>
        <item x="384"/>
        <item x="1151"/>
        <item x="119"/>
        <item x="1135"/>
        <item x="195"/>
        <item x="1134"/>
        <item x="117"/>
        <item x="1150"/>
        <item x="258"/>
        <item x="126"/>
        <item x="118"/>
        <item x="127"/>
        <item x="277"/>
        <item x="201"/>
        <item x="1173"/>
        <item x="320"/>
        <item x="1263"/>
        <item x="1205"/>
        <item x="202"/>
        <item x="1246"/>
        <item x="393"/>
        <item x="1024"/>
        <item x="686"/>
        <item x="1122"/>
        <item x="635"/>
        <item x="186"/>
        <item x="881"/>
        <item x="584"/>
        <item x="995"/>
        <item x="316"/>
        <item x="969"/>
        <item x="463"/>
        <item x="906"/>
        <item x="918"/>
        <item x="774"/>
        <item x="994"/>
        <item x="744"/>
        <item x="185"/>
        <item x="882"/>
        <item x="919"/>
        <item x="805"/>
        <item x="184"/>
        <item x="508"/>
        <item x="1102"/>
        <item x="105"/>
        <item x="81"/>
        <item x="905"/>
        <item x="1178"/>
        <item x="1058"/>
        <item x="82"/>
        <item x="1047"/>
        <item x="861"/>
        <item x="1002"/>
        <item x="751"/>
        <item x="161"/>
        <item x="1003"/>
        <item x="1239"/>
        <item x="828"/>
        <item x="750"/>
        <item x="749"/>
        <item x="827"/>
        <item x="1025"/>
        <item x="883"/>
        <item x="884"/>
        <item x="429"/>
        <item x="628"/>
        <item x="314"/>
        <item x="6"/>
        <item x="455"/>
        <item x="149"/>
        <item x="644"/>
        <item x="5"/>
        <item x="456"/>
        <item x="627"/>
        <item x="1285"/>
        <item x="503"/>
        <item x="293"/>
        <item x="245"/>
        <item x="547"/>
        <item x="1048"/>
        <item x="295"/>
        <item x="8"/>
        <item x="546"/>
        <item x="137"/>
        <item x="989"/>
        <item x="150"/>
        <item x="333"/>
        <item x="42"/>
        <item x="7"/>
        <item x="214"/>
        <item x="990"/>
        <item x="294"/>
        <item x="53"/>
        <item x="991"/>
        <item x="269"/>
        <item x="286"/>
        <item x="213"/>
        <item x="1235"/>
        <item x="112"/>
        <item x="737"/>
        <item x="1143"/>
        <item x="78"/>
        <item x="318"/>
        <item x="113"/>
        <item x="736"/>
        <item x="343"/>
        <item x="246"/>
        <item x="79"/>
        <item x="111"/>
        <item x="396"/>
        <item x="34"/>
        <item x="317"/>
        <item x="800"/>
        <item x="342"/>
        <item x="179"/>
        <item x="232"/>
        <item x="397"/>
        <item x="178"/>
        <item x="728"/>
        <item x="158"/>
        <item x="51"/>
        <item x="376"/>
        <item x="770"/>
        <item x="212"/>
        <item x="1158"/>
        <item x="177"/>
        <item x="837"/>
        <item x="135"/>
        <item x="378"/>
        <item x="1180"/>
        <item x="284"/>
        <item x="377"/>
        <item x="729"/>
        <item x="1130"/>
        <item x="1215"/>
        <item x="299"/>
        <item x="352"/>
        <item x="1026"/>
        <item x="654"/>
        <item x="32"/>
        <item x="1067"/>
        <item x="1146"/>
        <item x="971"/>
        <item x="603"/>
        <item x="223"/>
        <item x="1017"/>
        <item x="406"/>
        <item x="970"/>
        <item x="675"/>
        <item x="808"/>
        <item x="224"/>
        <item x="1018"/>
        <item x="351"/>
        <item x="840"/>
        <item x="621"/>
        <item x="1267"/>
        <item x="222"/>
        <item x="961"/>
        <item x="1145"/>
        <item x="1152"/>
        <item x="780"/>
        <item x="960"/>
        <item x="405"/>
        <item x="620"/>
        <item x="1019"/>
        <item x="1214"/>
        <item x="652"/>
        <item x="387"/>
        <item x="662"/>
        <item x="325"/>
        <item x="62"/>
        <item x="663"/>
        <item x="61"/>
        <item x="680"/>
        <item x="962"/>
        <item x="290"/>
        <item x="963"/>
        <item x="147"/>
        <item x="26"/>
        <item x="1021"/>
        <item x="1068"/>
        <item x="1020"/>
        <item x="1244"/>
        <item x="1198"/>
        <item x="1170"/>
        <item x="1199"/>
        <item x="1200"/>
        <item x="647"/>
        <item x="852"/>
        <item x="623"/>
        <item x="606"/>
        <item x="909"/>
        <item x="641"/>
        <item x="632"/>
        <item x="683"/>
        <item x="1073"/>
        <item x="334"/>
        <item x="1099"/>
        <item x="329"/>
        <item x="992"/>
        <item x="1284"/>
        <item x="10"/>
        <item x="9"/>
        <item x="11"/>
        <item x="417"/>
        <item x="595"/>
        <item x="1148"/>
        <item x="1133"/>
        <item x="671"/>
        <item x="379"/>
        <item x="1163"/>
        <item x="670"/>
        <item x="122"/>
        <item x="413"/>
        <item x="1132"/>
        <item x="639"/>
        <item x="198"/>
        <item x="594"/>
        <item x="123"/>
        <item x="380"/>
        <item x="416"/>
        <item x="611"/>
        <item x="381"/>
        <item x="197"/>
        <item x="278"/>
        <item x="766"/>
        <item x="370"/>
        <item x="786"/>
        <item x="1124"/>
        <item x="815"/>
        <item x="816"/>
        <item x="932"/>
        <item x="404"/>
        <item x="834"/>
        <item x="764"/>
        <item x="930"/>
        <item x="1123"/>
        <item x="1092"/>
        <item x="723"/>
        <item x="765"/>
        <item x="1109"/>
        <item x="350"/>
        <item x="973"/>
        <item x="1240"/>
        <item x="931"/>
        <item x="1230"/>
        <item x="349"/>
        <item x="1228"/>
        <item x="1034"/>
        <item x="761"/>
        <item x="863"/>
        <item x="1174"/>
        <item x="1261"/>
        <item x="1033"/>
        <item x="1175"/>
        <item x="1203"/>
        <item x="575"/>
        <item x="1229"/>
        <item x="1202"/>
        <item x="1166"/>
        <item x="1206"/>
        <item x="1164"/>
        <item x="494"/>
        <item x="1193"/>
        <item x="574"/>
        <item x="1165"/>
        <item x="536"/>
        <item x="964"/>
        <item x="1088"/>
        <item x="389"/>
        <item x="308"/>
        <item x="1071"/>
        <item x="674"/>
        <item x="168"/>
        <item x="326"/>
        <item x="169"/>
        <item x="1069"/>
        <item x="309"/>
        <item x="871"/>
        <item x="968"/>
        <item x="218"/>
        <item x="1023"/>
        <item x="980"/>
        <item x="219"/>
        <item x="170"/>
        <item x="847"/>
        <item x="193"/>
        <item x="257"/>
        <item x="30"/>
        <item x="679"/>
        <item x="846"/>
        <item x="1008"/>
        <item x="194"/>
        <item x="426"/>
        <item x="940"/>
        <item x="116"/>
        <item x="332"/>
        <item x="1113"/>
        <item x="580"/>
        <item x="1141"/>
        <item x="60"/>
        <item x="1007"/>
        <item x="565"/>
        <item x="938"/>
        <item x="513"/>
        <item x="450"/>
        <item x="1042"/>
        <item x="289"/>
        <item x="939"/>
        <item x="288"/>
        <item x="479"/>
        <item x="767"/>
        <item x="1224"/>
        <item x="896"/>
        <item x="217"/>
        <item x="589"/>
        <item x="1041"/>
        <item x="25"/>
        <item x="141"/>
        <item x="1197"/>
        <item x="1072"/>
        <item x="512"/>
        <item x="726"/>
        <item x="814"/>
        <item x="725"/>
        <item x="1169"/>
        <item x="215"/>
        <item x="833"/>
        <item x="817"/>
        <item x="57"/>
        <item x="768"/>
        <item x="722"/>
        <item x="724"/>
        <item x="1225"/>
        <item x="1252"/>
        <item x="721"/>
        <item x="1248"/>
        <item x="1208"/>
        <item x="1275"/>
        <item x="1209"/>
        <item x="12"/>
        <item x="1247"/>
        <item x="778"/>
        <item x="1274"/>
        <item x="1207"/>
        <item x="779"/>
        <item x="13"/>
        <item x="14"/>
        <item x="366"/>
        <item x="365"/>
        <item x="395"/>
        <item x="1111"/>
        <item x="807"/>
        <item x="341"/>
        <item x="867"/>
        <item x="617"/>
        <item x="248"/>
        <item x="388"/>
        <item x="520"/>
        <item x="250"/>
        <item x="935"/>
        <item x="249"/>
        <item x="868"/>
        <item x="900"/>
        <item x="599"/>
        <item x="483"/>
        <item x="1098"/>
        <item x="618"/>
        <item x="519"/>
        <item x="100"/>
        <item x="597"/>
        <item x="482"/>
        <item x="613"/>
        <item x="984"/>
        <item x="518"/>
        <item x="614"/>
        <item x="985"/>
        <item x="924"/>
        <item x="998"/>
        <item x="581"/>
        <item x="999"/>
        <item x="544"/>
        <item x="1108"/>
        <item x="500"/>
        <item x="305"/>
        <item x="554"/>
        <item x="501"/>
        <item x="162"/>
        <item x="478"/>
        <item x="304"/>
        <item x="476"/>
        <item x="83"/>
        <item x="235"/>
        <item x="477"/>
        <item x="84"/>
        <item x="236"/>
        <item x="237"/>
        <item x="772"/>
        <item x="331"/>
        <item x="1212"/>
        <item x="711"/>
        <item x="643"/>
        <item x="1265"/>
        <item x="659"/>
        <item x="710"/>
        <item x="660"/>
        <item x="698"/>
        <item x="602"/>
        <item x="1138"/>
        <item x="619"/>
        <item x="275"/>
        <item x="601"/>
        <item x="173"/>
        <item x="241"/>
        <item x="944"/>
        <item x="242"/>
        <item x="1080"/>
        <item x="946"/>
        <item x="1131"/>
        <item x="40"/>
        <item x="1116"/>
        <item x="281"/>
        <item x="945"/>
        <item x="56"/>
        <item x="262"/>
        <item x="1162"/>
        <item x="1081"/>
        <item x="1149"/>
        <item x="287"/>
        <item x="205"/>
        <item x="1159"/>
        <item x="97"/>
        <item x="823"/>
        <item x="272"/>
        <item x="131"/>
        <item x="383"/>
        <item x="176"/>
        <item x="821"/>
        <item x="140"/>
        <item x="1236"/>
        <item x="55"/>
        <item x="313"/>
        <item x="822"/>
        <item x="745"/>
        <item x="244"/>
        <item x="899"/>
        <item x="407"/>
        <item x="824"/>
        <item x="1156"/>
        <item x="848"/>
        <item x="408"/>
        <item x="1266"/>
        <item x="983"/>
        <item x="1126"/>
        <item x="877"/>
        <item x="353"/>
        <item x="849"/>
        <item x="967"/>
        <item x="1125"/>
        <item x="878"/>
        <item x="986"/>
        <item x="1121"/>
        <item x="1079"/>
        <item x="987"/>
        <item x="1115"/>
        <item x="850"/>
        <item x="1128"/>
        <item x="1046"/>
        <item x="1077"/>
        <item x="1127"/>
        <item x="1078"/>
        <item x="1129"/>
        <item x="943"/>
        <item x="664"/>
        <item x="148"/>
        <item x="374"/>
        <item x="15"/>
        <item x="629"/>
        <item x="64"/>
        <item x="375"/>
        <item x="16"/>
        <item x="28"/>
        <item x="1281"/>
        <item x="642"/>
        <item x="630"/>
        <item x="29"/>
        <item x="1282"/>
        <item x="656"/>
        <item x="703"/>
        <item x="92"/>
        <item x="17"/>
        <item x="677"/>
        <item x="682"/>
        <item x="239"/>
        <item x="311"/>
        <item x="291"/>
        <item x="91"/>
        <item x="655"/>
        <item x="27"/>
        <item x="39"/>
        <item x="1250"/>
        <item x="1268"/>
        <item x="63"/>
        <item x="781"/>
        <item x="825"/>
        <item x="110"/>
        <item x="468"/>
        <item x="505"/>
        <item x="826"/>
        <item x="190"/>
        <item x="430"/>
        <item x="189"/>
        <item x="467"/>
        <item x="256"/>
        <item x="506"/>
        <item x="276"/>
        <item x="583"/>
        <item x="228"/>
        <item x="431"/>
        <item x="948"/>
        <item x="302"/>
        <item x="307"/>
        <item x="403"/>
        <item x="1062"/>
        <item x="516"/>
        <item x="155"/>
        <item x="86"/>
        <item x="369"/>
        <item x="1012"/>
        <item x="591"/>
        <item x="167"/>
        <item x="348"/>
        <item x="854"/>
        <item x="1013"/>
        <item x="517"/>
        <item x="914"/>
        <item x="268"/>
        <item x="229"/>
        <item x="87"/>
        <item x="1144"/>
        <item x="949"/>
        <item x="515"/>
        <item x="285"/>
        <item x="915"/>
        <item x="481"/>
        <item x="267"/>
        <item x="52"/>
        <item x="96"/>
        <item x="136"/>
        <item x="461"/>
        <item x="266"/>
        <item x="95"/>
        <item x="274"/>
        <item x="507"/>
        <item x="1087"/>
        <item x="172"/>
        <item x="462"/>
        <item x="1015"/>
        <item x="1064"/>
        <item x="955"/>
        <item x="637"/>
        <item x="648"/>
        <item x="220"/>
        <item x="638"/>
        <item x="70"/>
        <item x="609"/>
        <item x="71"/>
        <item x="339"/>
        <item x="18"/>
        <item x="221"/>
        <item x="525"/>
        <item x="152"/>
        <item x="522"/>
        <item x="1272"/>
        <item x="19"/>
        <item x="521"/>
        <item x="569"/>
        <item x="688"/>
        <item x="524"/>
        <item x="528"/>
        <item x="338"/>
        <item x="523"/>
        <item x="636"/>
        <item x="422"/>
        <item x="689"/>
        <item x="570"/>
        <item x="669"/>
        <item x="93"/>
        <item x="1142"/>
        <item x="240"/>
        <item x="694"/>
        <item x="94"/>
        <item x="355"/>
        <item x="312"/>
        <item x="832"/>
        <item x="695"/>
        <item x="757"/>
        <item x="756"/>
        <item x="717"/>
        <item x="1160"/>
        <item x="1161"/>
        <item x="259"/>
        <item x="415"/>
        <item x="121"/>
        <item x="382"/>
        <item x="260"/>
        <item x="263"/>
        <item x="414"/>
        <item x="196"/>
        <item x="264"/>
        <item x="120"/>
        <item x="208"/>
        <item x="132"/>
        <item x="209"/>
        <item x="893"/>
        <item x="330"/>
        <item x="1057"/>
        <item x="974"/>
        <item x="604"/>
        <item x="280"/>
        <item x="1035"/>
        <item x="497"/>
        <item x="475"/>
        <item x="130"/>
        <item x="926"/>
        <item x="892"/>
        <item x="541"/>
        <item x="1140"/>
        <item x="588"/>
        <item x="321"/>
        <item x="1056"/>
        <item x="449"/>
        <item x="700"/>
        <item x="553"/>
        <item x="261"/>
        <item x="579"/>
        <item x="129"/>
        <item x="1089"/>
        <item x="474"/>
        <item x="1053"/>
        <item x="498"/>
        <item x="473"/>
        <item x="859"/>
        <item x="35"/>
        <item x="1107"/>
        <item x="880"/>
        <item x="923"/>
        <item x="160"/>
        <item x="1074"/>
        <item x="879"/>
        <item x="36"/>
        <item x="419"/>
        <item x="922"/>
        <item x="418"/>
        <item x="234"/>
        <item x="1104"/>
        <item x="163"/>
        <item x="432"/>
        <item x="1106"/>
        <item x="37"/>
        <item x="485"/>
        <item x="858"/>
        <item x="804"/>
        <item x="164"/>
        <item x="1105"/>
        <item x="740"/>
        <item x="211"/>
        <item x="1172"/>
        <item x="1213"/>
        <item x="38"/>
        <item x="134"/>
        <item x="306"/>
        <item x="50"/>
        <item x="1204"/>
        <item x="741"/>
        <item x="210"/>
        <item x="1262"/>
        <item x="344"/>
        <item x="49"/>
        <item x="1245"/>
        <item x="1185"/>
        <item x="399"/>
        <item x="1253"/>
        <item x="398"/>
        <item x="1217"/>
        <item x="400"/>
        <item x="590"/>
        <item x="1184"/>
        <item x="480"/>
        <item x="1254"/>
        <item x="555"/>
        <item x="1216"/>
        <item x="557"/>
        <item x="514"/>
        <item x="1238"/>
        <item x="556"/>
        <item x="742"/>
        <item x="464"/>
        <item x="391"/>
        <item x="585"/>
        <item x="743"/>
        <item x="676"/>
        <item x="466"/>
        <item x="773"/>
        <item x="1153"/>
        <item x="465"/>
        <item x="394"/>
        <item x="1139"/>
        <item x="436"/>
        <item x="649"/>
        <item x="437"/>
        <item x="610"/>
        <item x="529"/>
        <item x="691"/>
        <item x="435"/>
        <item x="690"/>
        <item x="1084"/>
        <item x="566"/>
        <item x="1085"/>
        <item x="560"/>
        <item x="1117"/>
        <item x="561"/>
        <item x="1083"/>
        <item x="692"/>
        <item x="947"/>
        <item x="1061"/>
        <item x="526"/>
        <item x="354"/>
        <item x="612"/>
        <item x="323"/>
        <item x="596"/>
        <item x="634"/>
        <item x="1210"/>
        <item x="685"/>
        <item x="791"/>
        <item x="633"/>
        <item x="608"/>
        <item x="731"/>
        <item x="790"/>
        <item x="1016"/>
        <item x="684"/>
        <item x="20"/>
        <item x="1065"/>
        <item x="959"/>
        <item x="806"/>
        <item x="1066"/>
        <item x="1118"/>
        <item x="231"/>
        <item x="22"/>
        <item x="1119"/>
        <item x="713"/>
        <item x="33"/>
        <item x="1276"/>
        <item x="958"/>
        <item x="714"/>
        <item x="21"/>
        <item x="957"/>
        <item x="23"/>
        <item x="956"/>
        <item x="303"/>
        <item x="1223"/>
        <item x="763"/>
        <item x="1271"/>
        <item x="762"/>
        <item x="716"/>
        <item x="428"/>
        <item x="1258"/>
        <item x="1241"/>
        <item x="1179"/>
        <item x="1195"/>
        <item x="54"/>
        <item x="785"/>
        <item x="1194"/>
        <item x="270"/>
        <item x="453"/>
        <item x="139"/>
        <item x="831"/>
        <item x="1075"/>
        <item x="707"/>
        <item x="499"/>
        <item x="853"/>
        <item x="755"/>
        <item x="543"/>
        <item x="271"/>
        <item x="1005"/>
        <item x="1231"/>
        <item x="138"/>
        <item x="1101"/>
        <item x="869"/>
        <item x="771"/>
        <item x="1112"/>
        <item x="1176"/>
        <item x="913"/>
        <item x="1049"/>
        <item x="624"/>
        <item x="447"/>
        <item x="1190"/>
        <item x="1270"/>
        <item x="496"/>
        <item x="327"/>
        <item x="1222"/>
        <item x="657"/>
        <item x="540"/>
        <item x="699"/>
        <item x="1189"/>
        <item x="658"/>
        <item x="622"/>
        <item x="1221"/>
        <item x="448"/>
        <item x="929"/>
        <item x="356"/>
        <item x="364"/>
        <item x="927"/>
        <item x="340"/>
        <item x="928"/>
        <item x="362"/>
        <item x="862"/>
        <item x="363"/>
        <item x="759"/>
        <item x="361"/>
        <item x="720"/>
        <item x="760"/>
        <item x="813"/>
        <item x="1186"/>
        <item x="1242"/>
        <item x="1219"/>
        <item x="640"/>
        <item x="1255"/>
        <item x="615"/>
        <item x="1218"/>
        <item x="386"/>
        <item x="673"/>
        <item x="875"/>
        <item x="98"/>
        <item x="188"/>
        <item x="1022"/>
        <item x="1120"/>
        <item x="157"/>
        <item x="180"/>
        <item x="904"/>
        <item x="106"/>
        <item x="1070"/>
        <item x="156"/>
        <item x="247"/>
        <item x="818"/>
        <item x="903"/>
        <item x="492"/>
        <item x="876"/>
        <item x="99"/>
        <item x="789"/>
        <item x="901"/>
        <item x="187"/>
        <item x="874"/>
        <item x="75"/>
        <item x="902"/>
        <item x="493"/>
        <item x="107"/>
        <item x="438"/>
        <item x="1232"/>
        <item x="573"/>
        <item x="788"/>
        <item x="535"/>
        <item x="423"/>
        <item x="1004"/>
        <item x="439"/>
        <item x="865"/>
        <item x="605"/>
        <item x="626"/>
        <item x="702"/>
        <item x="866"/>
        <item x="975"/>
        <item x="894"/>
        <item x="681"/>
        <item x="776"/>
        <item x="358"/>
        <item x="886"/>
        <item x="1249"/>
        <item x="887"/>
        <item x="1279"/>
        <item x="1036"/>
        <item x="885"/>
        <item x="775"/>
        <item x="80"/>
        <item x="1043"/>
        <item x="895"/>
        <item x="230"/>
        <item x="24"/>
        <item x="696"/>
        <item x="233"/>
        <item x="238"/>
        <item x="1280"/>
        <item x="273"/>
        <item x="165"/>
        <item x="76"/>
        <item x="1273"/>
        <item x="598"/>
        <item x="1044"/>
        <item x="77"/>
        <item x="1278"/>
        <item x="85"/>
        <item x="582"/>
        <item x="66"/>
        <item x="616"/>
        <item x="159"/>
        <item x="897"/>
        <item x="166"/>
        <item x="292"/>
        <item x="545"/>
        <item x="454"/>
        <item x="65"/>
        <item x="502"/>
        <item x="587"/>
        <item x="67"/>
        <item x="571"/>
        <item x="533"/>
        <item x="103"/>
        <item x="551"/>
        <item x="346"/>
        <item x="531"/>
        <item x="253"/>
        <item x="345"/>
        <item x="491"/>
        <item x="44"/>
        <item x="367"/>
        <item x="490"/>
        <item x="470"/>
        <item x="532"/>
        <item x="181"/>
        <item x="401"/>
        <item x="537"/>
        <item x="357"/>
        <item x="562"/>
        <item x="678"/>
        <item x="424"/>
        <item x="701"/>
        <item x="495"/>
        <item x="625"/>
        <item x="444"/>
        <item x="661"/>
        <item x="836"/>
        <item x="727"/>
        <item x="1269"/>
        <item x="835"/>
        <item x="769"/>
        <item x="672"/>
        <item x="1136"/>
        <item x="693"/>
        <item x="324"/>
        <item x="921"/>
        <item x="1183"/>
        <item x="666"/>
        <item x="1103"/>
        <item x="1182"/>
        <item x="920"/>
        <item x="336"/>
        <item x="59"/>
        <item x="1052"/>
        <item x="145"/>
        <item x="1181"/>
        <item x="667"/>
        <item x="798"/>
        <item x="706"/>
        <item x="733"/>
        <item x="58"/>
        <item x="452"/>
        <item x="820"/>
        <item x="146"/>
        <item x="1211"/>
        <item x="451"/>
        <item x="542"/>
        <item x="709"/>
        <item x="427"/>
        <item x="558"/>
        <item x="996"/>
        <item x="484"/>
        <item x="1054"/>
        <item x="592"/>
        <item x="997"/>
        <item x="559"/>
        <item x="255"/>
        <item x="860"/>
        <item x="872"/>
        <item x="564"/>
        <item x="104"/>
        <item x="539"/>
        <item x="46"/>
        <item x="445"/>
        <item x="873"/>
        <item x="1196"/>
        <item x="315"/>
        <item x="469"/>
        <item x="446"/>
        <item x="966"/>
        <item x="183"/>
        <item x="578"/>
        <item x="965"/>
        <item x="360"/>
        <item x="1168"/>
        <item x="549"/>
        <item x="538"/>
        <item x="337"/>
        <item x="1259"/>
        <item x="586"/>
        <item x="359"/>
        <item x="1167"/>
        <item x="550"/>
        <item x="687"/>
        <item x="459"/>
        <item x="803"/>
        <item x="1040"/>
        <item x="1155"/>
        <item x="668"/>
        <item x="457"/>
        <item x="712"/>
        <item x="1094"/>
        <item x="458"/>
        <item x="739"/>
        <item x="976"/>
        <item x="347"/>
        <item x="402"/>
        <item x="504"/>
        <item x="368"/>
        <item x="460"/>
        <item x="1234"/>
        <item x="1154"/>
        <item x="297"/>
        <item x="735"/>
        <item x="972"/>
        <item x="151"/>
        <item x="890"/>
        <item x="68"/>
        <item x="734"/>
        <item x="1032"/>
        <item x="563"/>
        <item x="69"/>
        <item x="799"/>
        <item x="1091"/>
        <item x="577"/>
        <item x="296"/>
        <item x="891"/>
        <item x="576"/>
        <item x="1031"/>
        <item x="425"/>
        <item x="718"/>
        <item x="567"/>
        <item x="812"/>
        <item x="568"/>
        <item x="719"/>
        <item x="1086"/>
        <item x="434"/>
        <item x="758"/>
        <item x="487"/>
        <item x="950"/>
        <item x="488"/>
        <item x="951"/>
        <item x="942"/>
        <item x="174"/>
        <item x="941"/>
        <item x="41"/>
        <item x="1076"/>
        <item x="243"/>
        <item x="1011"/>
        <item x="747"/>
        <item x="175"/>
        <item x="1082"/>
        <item x="1114"/>
        <item x="746"/>
        <item x="1009"/>
        <item x="1060"/>
        <item x="777"/>
        <item x="748"/>
        <item x="1010"/>
        <item x="335"/>
        <item x="373"/>
        <item x="705"/>
        <item x="412"/>
        <item x="392"/>
        <item x="607"/>
        <item x="410"/>
        <item x="665"/>
        <item x="841"/>
        <item x="411"/>
        <item x="1027"/>
        <item x="1028"/>
        <item x="1097"/>
        <item x="842"/>
        <item x="1045"/>
        <item x="73"/>
        <item x="204"/>
        <item x="109"/>
        <item x="933"/>
        <item x="981"/>
        <item x="108"/>
        <item x="1110"/>
        <item x="298"/>
        <item x="279"/>
        <item x="934"/>
        <item x="72"/>
        <item x="128"/>
        <item x="864"/>
        <item x="982"/>
        <item x="153"/>
        <item x="203"/>
        <item x="31"/>
        <item x="631"/>
        <item x="645"/>
        <item x="704"/>
        <item x="646"/>
        <item x="1096"/>
        <item x="207"/>
        <item x="978"/>
        <item x="322"/>
        <item x="206"/>
        <item x="552"/>
        <item x="979"/>
        <item x="282"/>
        <item x="511"/>
        <item x="845"/>
        <item x="115"/>
        <item x="898"/>
        <item x="472"/>
        <item x="182"/>
        <item x="301"/>
        <item x="471"/>
        <item x="114"/>
        <item x="227"/>
        <item x="191"/>
        <item x="45"/>
        <item x="192"/>
        <item x="143"/>
        <item x="74"/>
        <item x="254"/>
        <item x="319"/>
        <item x="144"/>
        <item x="844"/>
        <item x="977"/>
        <item x="265"/>
        <item x="142"/>
        <item x="1095"/>
        <item x="283"/>
        <item x="925"/>
        <item x="216"/>
        <item x="48"/>
        <item x="1000"/>
        <item x="226"/>
        <item x="47"/>
        <item x="855"/>
        <item x="133"/>
        <item x="1055"/>
        <item x="225"/>
        <item x="1001"/>
        <item x="916"/>
        <item x="154"/>
        <item x="1050"/>
        <item x="300"/>
        <item x="917"/>
        <item x="1177"/>
        <item x="829"/>
        <item x="792"/>
        <item x="732"/>
        <item x="809"/>
        <item x="793"/>
        <item x="782"/>
        <item x="1251"/>
        <item x="1051"/>
        <item x="752"/>
        <item x="857"/>
        <item x="856"/>
        <item x="993"/>
        <item x="0"/>
        <item t="default"/>
      </items>
    </pivotField>
    <pivotField showAll="0">
      <items count="348">
        <item x="238"/>
        <item x="299"/>
        <item x="183"/>
        <item x="207"/>
        <item x="337"/>
        <item x="312"/>
        <item x="339"/>
        <item x="132"/>
        <item x="212"/>
        <item x="122"/>
        <item x="230"/>
        <item x="130"/>
        <item x="159"/>
        <item x="97"/>
        <item x="55"/>
        <item x="282"/>
        <item x="260"/>
        <item x="328"/>
        <item x="253"/>
        <item x="158"/>
        <item x="223"/>
        <item x="319"/>
        <item x="256"/>
        <item x="346"/>
        <item x="0"/>
        <item x="72"/>
        <item x="265"/>
        <item x="61"/>
        <item x="1"/>
        <item x="176"/>
        <item x="140"/>
        <item x="141"/>
        <item x="129"/>
        <item x="69"/>
        <item x="73"/>
        <item x="330"/>
        <item x="134"/>
        <item x="288"/>
        <item x="62"/>
        <item x="165"/>
        <item x="271"/>
        <item x="233"/>
        <item x="298"/>
        <item x="52"/>
        <item x="275"/>
        <item x="236"/>
        <item x="257"/>
        <item x="150"/>
        <item x="102"/>
        <item x="84"/>
        <item x="2"/>
        <item x="80"/>
        <item x="323"/>
        <item x="34"/>
        <item x="229"/>
        <item x="66"/>
        <item x="111"/>
        <item x="20"/>
        <item x="85"/>
        <item x="222"/>
        <item x="32"/>
        <item x="125"/>
        <item x="17"/>
        <item x="116"/>
        <item x="258"/>
        <item x="193"/>
        <item x="316"/>
        <item x="245"/>
        <item x="93"/>
        <item x="198"/>
        <item x="317"/>
        <item x="40"/>
        <item x="89"/>
        <item x="11"/>
        <item x="327"/>
        <item x="103"/>
        <item x="266"/>
        <item x="98"/>
        <item x="3"/>
        <item x="137"/>
        <item x="126"/>
        <item x="188"/>
        <item x="71"/>
        <item x="204"/>
        <item x="203"/>
        <item x="200"/>
        <item x="187"/>
        <item x="195"/>
        <item x="240"/>
        <item x="115"/>
        <item x="218"/>
        <item x="277"/>
        <item x="320"/>
        <item x="341"/>
        <item x="331"/>
        <item x="324"/>
        <item x="181"/>
        <item x="283"/>
        <item x="318"/>
        <item x="95"/>
        <item x="83"/>
        <item x="15"/>
        <item x="262"/>
        <item x="68"/>
        <item x="101"/>
        <item x="304"/>
        <item x="146"/>
        <item x="171"/>
        <item x="294"/>
        <item x="39"/>
        <item x="37"/>
        <item x="219"/>
        <item x="326"/>
        <item x="217"/>
        <item x="88"/>
        <item x="220"/>
        <item x="87"/>
        <item x="10"/>
        <item x="332"/>
        <item x="5"/>
        <item x="244"/>
        <item x="110"/>
        <item x="280"/>
        <item x="60"/>
        <item x="94"/>
        <item x="174"/>
        <item x="296"/>
        <item x="190"/>
        <item x="301"/>
        <item x="182"/>
        <item x="82"/>
        <item x="170"/>
        <item x="53"/>
        <item x="209"/>
        <item x="100"/>
        <item x="192"/>
        <item x="25"/>
        <item x="307"/>
        <item x="76"/>
        <item x="128"/>
        <item x="36"/>
        <item x="58"/>
        <item x="254"/>
        <item x="234"/>
        <item x="263"/>
        <item x="136"/>
        <item x="286"/>
        <item x="264"/>
        <item x="306"/>
        <item x="124"/>
        <item x="14"/>
        <item x="199"/>
        <item x="6"/>
        <item x="79"/>
        <item x="43"/>
        <item x="202"/>
        <item x="13"/>
        <item x="44"/>
        <item x="24"/>
        <item x="90"/>
        <item x="246"/>
        <item x="12"/>
        <item x="41"/>
        <item x="65"/>
        <item x="151"/>
        <item x="42"/>
        <item x="152"/>
        <item x="81"/>
        <item x="23"/>
        <item x="114"/>
        <item x="310"/>
        <item x="173"/>
        <item x="268"/>
        <item x="33"/>
        <item x="57"/>
        <item x="164"/>
        <item x="313"/>
        <item x="108"/>
        <item x="47"/>
        <item x="7"/>
        <item x="184"/>
        <item x="142"/>
        <item x="107"/>
        <item x="56"/>
        <item x="118"/>
        <item x="214"/>
        <item x="127"/>
        <item x="70"/>
        <item x="77"/>
        <item x="291"/>
        <item x="99"/>
        <item x="75"/>
        <item x="303"/>
        <item x="162"/>
        <item x="169"/>
        <item x="273"/>
        <item x="287"/>
        <item x="21"/>
        <item x="272"/>
        <item x="139"/>
        <item x="22"/>
        <item x="138"/>
        <item x="231"/>
        <item x="154"/>
        <item x="31"/>
        <item x="329"/>
        <item x="112"/>
        <item x="335"/>
        <item x="172"/>
        <item x="232"/>
        <item x="133"/>
        <item x="166"/>
        <item x="157"/>
        <item x="135"/>
        <item x="309"/>
        <item x="185"/>
        <item x="205"/>
        <item x="117"/>
        <item x="196"/>
        <item x="91"/>
        <item x="189"/>
        <item x="194"/>
        <item x="225"/>
        <item x="342"/>
        <item x="251"/>
        <item x="315"/>
        <item x="211"/>
        <item x="8"/>
        <item x="224"/>
        <item x="314"/>
        <item x="19"/>
        <item x="250"/>
        <item x="239"/>
        <item x="340"/>
        <item x="213"/>
        <item x="148"/>
        <item x="35"/>
        <item x="241"/>
        <item x="281"/>
        <item x="267"/>
        <item x="206"/>
        <item x="344"/>
        <item x="247"/>
        <item x="242"/>
        <item x="197"/>
        <item x="161"/>
        <item x="338"/>
        <item x="96"/>
        <item x="109"/>
        <item x="276"/>
        <item x="216"/>
        <item x="336"/>
        <item x="131"/>
        <item x="59"/>
        <item x="285"/>
        <item x="63"/>
        <item x="297"/>
        <item x="49"/>
        <item x="180"/>
        <item x="143"/>
        <item x="255"/>
        <item x="249"/>
        <item x="279"/>
        <item x="343"/>
        <item x="120"/>
        <item x="248"/>
        <item x="292"/>
        <item x="289"/>
        <item x="243"/>
        <item x="9"/>
        <item x="50"/>
        <item x="191"/>
        <item x="51"/>
        <item x="295"/>
        <item x="54"/>
        <item x="149"/>
        <item x="45"/>
        <item x="168"/>
        <item x="179"/>
        <item x="27"/>
        <item x="113"/>
        <item x="144"/>
        <item x="119"/>
        <item x="221"/>
        <item x="92"/>
        <item x="300"/>
        <item x="334"/>
        <item x="105"/>
        <item x="38"/>
        <item x="208"/>
        <item x="147"/>
        <item x="175"/>
        <item x="274"/>
        <item x="29"/>
        <item x="284"/>
        <item x="160"/>
        <item x="167"/>
        <item x="325"/>
        <item x="106"/>
        <item x="210"/>
        <item x="293"/>
        <item x="163"/>
        <item x="121"/>
        <item x="228"/>
        <item x="46"/>
        <item x="290"/>
        <item x="145"/>
        <item x="215"/>
        <item x="311"/>
        <item x="155"/>
        <item x="186"/>
        <item x="156"/>
        <item x="177"/>
        <item x="26"/>
        <item x="178"/>
        <item x="305"/>
        <item x="308"/>
        <item x="235"/>
        <item x="104"/>
        <item x="123"/>
        <item x="259"/>
        <item x="322"/>
        <item x="74"/>
        <item x="64"/>
        <item x="278"/>
        <item x="16"/>
        <item x="201"/>
        <item x="261"/>
        <item x="86"/>
        <item x="153"/>
        <item x="28"/>
        <item x="67"/>
        <item x="48"/>
        <item x="78"/>
        <item x="321"/>
        <item x="30"/>
        <item x="302"/>
        <item x="18"/>
        <item x="269"/>
        <item x="237"/>
        <item x="333"/>
        <item x="227"/>
        <item x="226"/>
        <item x="252"/>
        <item x="270"/>
        <item x="345"/>
        <item x="4"/>
        <item t="default"/>
      </items>
    </pivotField>
    <pivotField numFmtId="1" showAll="0"/>
    <pivotField showAll="0"/>
    <pivotField showAll="0"/>
    <pivotField showAll="0"/>
    <pivotField axis="axisRow" dataField="1" showAll="0">
      <items count="6">
        <item x="3"/>
        <item x="1"/>
        <item x="0"/>
        <item x="4"/>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x="0"/>
        <item x="1"/>
        <item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5">
    <i>
      <x/>
    </i>
    <i>
      <x v="1"/>
    </i>
    <i>
      <x v="2"/>
    </i>
    <i>
      <x v="3"/>
    </i>
    <i t="grand">
      <x/>
    </i>
  </rowItems>
  <colItems count="1">
    <i/>
  </colItems>
  <dataFields count="1">
    <dataField name="Count of Hire Status" fld="15"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 chart="3" format="9">
      <pivotArea type="data" outline="0" fieldPosition="0">
        <references count="2">
          <reference field="4294967294" count="1" selected="0">
            <x v="0"/>
          </reference>
          <reference field="15" count="1" selected="0">
            <x v="2"/>
          </reference>
        </references>
      </pivotArea>
    </chartFormat>
    <chartFormat chart="3" format="10">
      <pivotArea type="data" outline="0" fieldPosition="0">
        <references count="2">
          <reference field="4294967294" count="1" selected="0">
            <x v="0"/>
          </reference>
          <reference field="15" count="1" selected="0">
            <x v="3"/>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evel Band">
  <location ref="A4:C12" firstHeaderRow="1" firstDataRow="2" firstDataCol="1" rowPageCount="1" colPageCount="1"/>
  <pivotFields count="51">
    <pivotField showAll="0"/>
    <pivotField showAll="0"/>
    <pivotField axis="axisPage" multipleItemSelectionAllowed="1" showAll="0">
      <items count="34">
        <item x="32"/>
        <item x="28"/>
        <item h="1" x="24"/>
        <item x="21"/>
        <item x="19"/>
        <item x="17"/>
        <item x="12"/>
        <item x="10"/>
        <item x="6"/>
        <item x="3"/>
        <item x="1"/>
        <item x="31"/>
        <item x="30"/>
        <item x="27"/>
        <item x="29"/>
        <item x="26"/>
        <item x="25"/>
        <item x="22"/>
        <item x="23"/>
        <item x="20"/>
        <item x="18"/>
        <item x="16"/>
        <item x="15"/>
        <item x="13"/>
        <item x="14"/>
        <item h="1" x="9"/>
        <item h="1" x="11"/>
        <item x="7"/>
        <item x="8"/>
        <item x="4"/>
        <item x="5"/>
        <item x="0"/>
        <item x="2"/>
        <item t="default"/>
      </items>
    </pivotField>
    <pivotField showAll="0">
      <items count="12">
        <item x="10"/>
        <item x="9"/>
        <item x="8"/>
        <item x="7"/>
        <item x="6"/>
        <item x="5"/>
        <item x="4"/>
        <item x="3"/>
        <item x="2"/>
        <item x="1"/>
        <item x="0"/>
        <item t="default"/>
      </items>
    </pivotField>
    <pivotField showAll="0">
      <items count="50">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1"/>
        <item x="2"/>
        <item x="0"/>
        <item t="default"/>
      </items>
    </pivotField>
    <pivotField showAll="0">
      <items count="27">
        <item x="0"/>
        <item x="14"/>
        <item x="13"/>
        <item x="21"/>
        <item x="10"/>
        <item x="24"/>
        <item x="20"/>
        <item x="11"/>
        <item x="7"/>
        <item x="2"/>
        <item x="8"/>
        <item x="18"/>
        <item x="3"/>
        <item x="12"/>
        <item x="6"/>
        <item x="9"/>
        <item x="22"/>
        <item x="15"/>
        <item x="23"/>
        <item x="19"/>
        <item x="17"/>
        <item x="4"/>
        <item x="5"/>
        <item x="16"/>
        <item x="1"/>
        <item x="25"/>
        <item t="default"/>
      </items>
    </pivotField>
    <pivotField showAll="0"/>
    <pivotField axis="axisRow" showAll="0">
      <items count="7">
        <item x="1"/>
        <item x="2"/>
        <item x="0"/>
        <item x="5"/>
        <item x="4"/>
        <item x="3"/>
        <item t="default"/>
      </items>
    </pivotField>
    <pivotField showAll="0"/>
    <pivotField showAll="0">
      <items count="1287">
        <item x="1100"/>
        <item x="753"/>
        <item x="912"/>
        <item x="510"/>
        <item x="811"/>
        <item x="910"/>
        <item x="548"/>
        <item x="784"/>
        <item x="911"/>
        <item x="509"/>
        <item x="795"/>
        <item x="754"/>
        <item x="797"/>
        <item x="708"/>
        <item x="796"/>
        <item x="1256"/>
        <item x="954"/>
        <item x="1188"/>
        <item x="1063"/>
        <item x="1014"/>
        <item x="1220"/>
        <item x="1243"/>
        <item x="952"/>
        <item x="1187"/>
        <item x="1192"/>
        <item x="953"/>
        <item x="653"/>
        <item x="1257"/>
        <item x="372"/>
        <item x="1191"/>
        <item x="810"/>
        <item x="600"/>
        <item x="715"/>
        <item x="697"/>
        <item x="409"/>
        <item x="783"/>
        <item x="1147"/>
        <item x="830"/>
        <item x="1157"/>
        <item x="371"/>
        <item x="801"/>
        <item x="1237"/>
        <item x="802"/>
        <item x="738"/>
        <item x="651"/>
        <item x="650"/>
        <item x="385"/>
        <item x="1137"/>
        <item x="572"/>
        <item x="534"/>
        <item x="442"/>
        <item x="328"/>
        <item x="443"/>
        <item x="88"/>
        <item x="390"/>
        <item x="936"/>
        <item x="90"/>
        <item x="1039"/>
        <item x="89"/>
        <item x="1226"/>
        <item x="843"/>
        <item x="870"/>
        <item x="1260"/>
        <item x="1037"/>
        <item x="937"/>
        <item x="310"/>
        <item x="441"/>
        <item x="794"/>
        <item x="1201"/>
        <item x="1038"/>
        <item x="1059"/>
        <item x="171"/>
        <item x="440"/>
        <item x="819"/>
        <item x="1171"/>
        <item x="1006"/>
        <item x="530"/>
        <item x="1264"/>
        <item x="1227"/>
        <item x="839"/>
        <item x="1029"/>
        <item x="1093"/>
        <item x="489"/>
        <item x="1090"/>
        <item x="1233"/>
        <item x="787"/>
        <item x="888"/>
        <item x="730"/>
        <item x="527"/>
        <item x="838"/>
        <item x="1030"/>
        <item x="200"/>
        <item x="889"/>
        <item x="125"/>
        <item x="199"/>
        <item x="593"/>
        <item x="907"/>
        <item x="124"/>
        <item x="1"/>
        <item x="851"/>
        <item x="988"/>
        <item x="252"/>
        <item x="908"/>
        <item x="251"/>
        <item x="2"/>
        <item x="101"/>
        <item x="486"/>
        <item x="43"/>
        <item x="1277"/>
        <item x="433"/>
        <item x="102"/>
        <item x="3"/>
        <item x="4"/>
        <item x="420"/>
        <item x="1283"/>
        <item x="421"/>
        <item x="384"/>
        <item x="1151"/>
        <item x="119"/>
        <item x="1135"/>
        <item x="195"/>
        <item x="1134"/>
        <item x="117"/>
        <item x="1150"/>
        <item x="258"/>
        <item x="126"/>
        <item x="118"/>
        <item x="127"/>
        <item x="277"/>
        <item x="201"/>
        <item x="1173"/>
        <item x="320"/>
        <item x="1263"/>
        <item x="1205"/>
        <item x="202"/>
        <item x="1246"/>
        <item x="393"/>
        <item x="1024"/>
        <item x="686"/>
        <item x="1122"/>
        <item x="635"/>
        <item x="186"/>
        <item x="881"/>
        <item x="584"/>
        <item x="995"/>
        <item x="316"/>
        <item x="969"/>
        <item x="463"/>
        <item x="906"/>
        <item x="918"/>
        <item x="774"/>
        <item x="994"/>
        <item x="744"/>
        <item x="185"/>
        <item x="882"/>
        <item x="919"/>
        <item x="805"/>
        <item x="184"/>
        <item x="508"/>
        <item x="1102"/>
        <item x="105"/>
        <item x="81"/>
        <item x="905"/>
        <item x="1178"/>
        <item x="1058"/>
        <item x="82"/>
        <item x="1047"/>
        <item x="861"/>
        <item x="1002"/>
        <item x="751"/>
        <item x="161"/>
        <item x="1003"/>
        <item x="1239"/>
        <item x="828"/>
        <item x="750"/>
        <item x="749"/>
        <item x="827"/>
        <item x="1025"/>
        <item x="883"/>
        <item x="884"/>
        <item x="429"/>
        <item x="628"/>
        <item x="314"/>
        <item x="6"/>
        <item x="455"/>
        <item x="149"/>
        <item x="644"/>
        <item x="5"/>
        <item x="456"/>
        <item x="627"/>
        <item x="1285"/>
        <item x="503"/>
        <item x="293"/>
        <item x="245"/>
        <item x="547"/>
        <item x="1048"/>
        <item x="295"/>
        <item x="8"/>
        <item x="546"/>
        <item x="137"/>
        <item x="989"/>
        <item x="150"/>
        <item x="333"/>
        <item x="42"/>
        <item x="7"/>
        <item x="214"/>
        <item x="990"/>
        <item x="294"/>
        <item x="53"/>
        <item x="991"/>
        <item x="269"/>
        <item x="286"/>
        <item x="213"/>
        <item x="1235"/>
        <item x="112"/>
        <item x="737"/>
        <item x="1143"/>
        <item x="78"/>
        <item x="318"/>
        <item x="113"/>
        <item x="736"/>
        <item x="343"/>
        <item x="246"/>
        <item x="79"/>
        <item x="111"/>
        <item x="396"/>
        <item x="34"/>
        <item x="317"/>
        <item x="800"/>
        <item x="342"/>
        <item x="179"/>
        <item x="232"/>
        <item x="397"/>
        <item x="178"/>
        <item x="728"/>
        <item x="158"/>
        <item x="51"/>
        <item x="376"/>
        <item x="770"/>
        <item x="212"/>
        <item x="1158"/>
        <item x="177"/>
        <item x="837"/>
        <item x="135"/>
        <item x="378"/>
        <item x="1180"/>
        <item x="284"/>
        <item x="377"/>
        <item x="729"/>
        <item x="1130"/>
        <item x="1215"/>
        <item x="299"/>
        <item x="352"/>
        <item x="1026"/>
        <item x="654"/>
        <item x="32"/>
        <item x="1067"/>
        <item x="1146"/>
        <item x="971"/>
        <item x="603"/>
        <item x="223"/>
        <item x="1017"/>
        <item x="406"/>
        <item x="970"/>
        <item x="675"/>
        <item x="808"/>
        <item x="224"/>
        <item x="1018"/>
        <item x="351"/>
        <item x="840"/>
        <item x="621"/>
        <item x="1267"/>
        <item x="222"/>
        <item x="961"/>
        <item x="1145"/>
        <item x="1152"/>
        <item x="780"/>
        <item x="960"/>
        <item x="405"/>
        <item x="620"/>
        <item x="1019"/>
        <item x="1214"/>
        <item x="652"/>
        <item x="387"/>
        <item x="662"/>
        <item x="325"/>
        <item x="62"/>
        <item x="663"/>
        <item x="61"/>
        <item x="680"/>
        <item x="962"/>
        <item x="290"/>
        <item x="963"/>
        <item x="147"/>
        <item x="26"/>
        <item x="1021"/>
        <item x="1068"/>
        <item x="1020"/>
        <item x="1244"/>
        <item x="1198"/>
        <item x="1170"/>
        <item x="1199"/>
        <item x="1200"/>
        <item x="647"/>
        <item x="852"/>
        <item x="623"/>
        <item x="606"/>
        <item x="909"/>
        <item x="641"/>
        <item x="632"/>
        <item x="683"/>
        <item x="1073"/>
        <item x="334"/>
        <item x="1099"/>
        <item x="329"/>
        <item x="992"/>
        <item x="1284"/>
        <item x="10"/>
        <item x="9"/>
        <item x="11"/>
        <item x="417"/>
        <item x="595"/>
        <item x="1148"/>
        <item x="1133"/>
        <item x="671"/>
        <item x="379"/>
        <item x="1163"/>
        <item x="670"/>
        <item x="122"/>
        <item x="413"/>
        <item x="1132"/>
        <item x="639"/>
        <item x="198"/>
        <item x="594"/>
        <item x="123"/>
        <item x="380"/>
        <item x="416"/>
        <item x="611"/>
        <item x="381"/>
        <item x="197"/>
        <item x="278"/>
        <item x="766"/>
        <item x="370"/>
        <item x="786"/>
        <item x="1124"/>
        <item x="815"/>
        <item x="816"/>
        <item x="932"/>
        <item x="404"/>
        <item x="834"/>
        <item x="764"/>
        <item x="930"/>
        <item x="1123"/>
        <item x="1092"/>
        <item x="723"/>
        <item x="765"/>
        <item x="1109"/>
        <item x="350"/>
        <item x="973"/>
        <item x="1240"/>
        <item x="931"/>
        <item x="1230"/>
        <item x="349"/>
        <item x="1228"/>
        <item x="1034"/>
        <item x="761"/>
        <item x="863"/>
        <item x="1174"/>
        <item x="1261"/>
        <item x="1033"/>
        <item x="1175"/>
        <item x="1203"/>
        <item x="575"/>
        <item x="1229"/>
        <item x="1202"/>
        <item x="1166"/>
        <item x="1206"/>
        <item x="1164"/>
        <item x="494"/>
        <item x="1193"/>
        <item x="574"/>
        <item x="1165"/>
        <item x="536"/>
        <item x="964"/>
        <item x="1088"/>
        <item x="389"/>
        <item x="308"/>
        <item x="1071"/>
        <item x="674"/>
        <item x="168"/>
        <item x="326"/>
        <item x="169"/>
        <item x="1069"/>
        <item x="309"/>
        <item x="871"/>
        <item x="968"/>
        <item x="218"/>
        <item x="1023"/>
        <item x="980"/>
        <item x="219"/>
        <item x="170"/>
        <item x="847"/>
        <item x="193"/>
        <item x="257"/>
        <item x="30"/>
        <item x="679"/>
        <item x="846"/>
        <item x="1008"/>
        <item x="194"/>
        <item x="426"/>
        <item x="940"/>
        <item x="116"/>
        <item x="332"/>
        <item x="1113"/>
        <item x="580"/>
        <item x="1141"/>
        <item x="60"/>
        <item x="1007"/>
        <item x="565"/>
        <item x="938"/>
        <item x="513"/>
        <item x="450"/>
        <item x="1042"/>
        <item x="289"/>
        <item x="939"/>
        <item x="288"/>
        <item x="479"/>
        <item x="767"/>
        <item x="1224"/>
        <item x="896"/>
        <item x="217"/>
        <item x="589"/>
        <item x="1041"/>
        <item x="25"/>
        <item x="141"/>
        <item x="1197"/>
        <item x="1072"/>
        <item x="512"/>
        <item x="726"/>
        <item x="814"/>
        <item x="725"/>
        <item x="1169"/>
        <item x="215"/>
        <item x="833"/>
        <item x="817"/>
        <item x="57"/>
        <item x="768"/>
        <item x="722"/>
        <item x="724"/>
        <item x="1225"/>
        <item x="1252"/>
        <item x="721"/>
        <item x="1248"/>
        <item x="1208"/>
        <item x="1275"/>
        <item x="1209"/>
        <item x="12"/>
        <item x="1247"/>
        <item x="778"/>
        <item x="1274"/>
        <item x="1207"/>
        <item x="779"/>
        <item x="13"/>
        <item x="14"/>
        <item x="366"/>
        <item x="365"/>
        <item x="395"/>
        <item x="1111"/>
        <item x="807"/>
        <item x="341"/>
        <item x="867"/>
        <item x="617"/>
        <item x="248"/>
        <item x="388"/>
        <item x="520"/>
        <item x="250"/>
        <item x="935"/>
        <item x="249"/>
        <item x="868"/>
        <item x="900"/>
        <item x="599"/>
        <item x="483"/>
        <item x="1098"/>
        <item x="618"/>
        <item x="519"/>
        <item x="100"/>
        <item x="597"/>
        <item x="482"/>
        <item x="613"/>
        <item x="984"/>
        <item x="518"/>
        <item x="614"/>
        <item x="985"/>
        <item x="924"/>
        <item x="998"/>
        <item x="581"/>
        <item x="999"/>
        <item x="544"/>
        <item x="1108"/>
        <item x="500"/>
        <item x="305"/>
        <item x="554"/>
        <item x="501"/>
        <item x="162"/>
        <item x="478"/>
        <item x="304"/>
        <item x="476"/>
        <item x="83"/>
        <item x="235"/>
        <item x="477"/>
        <item x="84"/>
        <item x="236"/>
        <item x="237"/>
        <item x="772"/>
        <item x="331"/>
        <item x="1212"/>
        <item x="711"/>
        <item x="643"/>
        <item x="1265"/>
        <item x="659"/>
        <item x="710"/>
        <item x="660"/>
        <item x="698"/>
        <item x="602"/>
        <item x="1138"/>
        <item x="619"/>
        <item x="275"/>
        <item x="601"/>
        <item x="173"/>
        <item x="241"/>
        <item x="944"/>
        <item x="242"/>
        <item x="1080"/>
        <item x="946"/>
        <item x="1131"/>
        <item x="40"/>
        <item x="1116"/>
        <item x="281"/>
        <item x="945"/>
        <item x="56"/>
        <item x="262"/>
        <item x="1162"/>
        <item x="1081"/>
        <item x="1149"/>
        <item x="287"/>
        <item x="205"/>
        <item x="1159"/>
        <item x="97"/>
        <item x="823"/>
        <item x="272"/>
        <item x="131"/>
        <item x="383"/>
        <item x="176"/>
        <item x="821"/>
        <item x="140"/>
        <item x="1236"/>
        <item x="55"/>
        <item x="313"/>
        <item x="822"/>
        <item x="745"/>
        <item x="244"/>
        <item x="899"/>
        <item x="407"/>
        <item x="824"/>
        <item x="1156"/>
        <item x="848"/>
        <item x="408"/>
        <item x="1266"/>
        <item x="983"/>
        <item x="1126"/>
        <item x="877"/>
        <item x="353"/>
        <item x="849"/>
        <item x="967"/>
        <item x="1125"/>
        <item x="878"/>
        <item x="986"/>
        <item x="1121"/>
        <item x="1079"/>
        <item x="987"/>
        <item x="1115"/>
        <item x="850"/>
        <item x="1128"/>
        <item x="1046"/>
        <item x="1077"/>
        <item x="1127"/>
        <item x="1078"/>
        <item x="1129"/>
        <item x="943"/>
        <item x="664"/>
        <item x="148"/>
        <item x="374"/>
        <item x="15"/>
        <item x="629"/>
        <item x="64"/>
        <item x="375"/>
        <item x="16"/>
        <item x="28"/>
        <item x="1281"/>
        <item x="642"/>
        <item x="630"/>
        <item x="29"/>
        <item x="1282"/>
        <item x="656"/>
        <item x="703"/>
        <item x="92"/>
        <item x="17"/>
        <item x="677"/>
        <item x="682"/>
        <item x="239"/>
        <item x="311"/>
        <item x="291"/>
        <item x="91"/>
        <item x="655"/>
        <item x="27"/>
        <item x="39"/>
        <item x="1250"/>
        <item x="1268"/>
        <item x="63"/>
        <item x="781"/>
        <item x="825"/>
        <item x="110"/>
        <item x="468"/>
        <item x="505"/>
        <item x="826"/>
        <item x="190"/>
        <item x="430"/>
        <item x="189"/>
        <item x="467"/>
        <item x="256"/>
        <item x="506"/>
        <item x="276"/>
        <item x="583"/>
        <item x="228"/>
        <item x="431"/>
        <item x="948"/>
        <item x="302"/>
        <item x="307"/>
        <item x="403"/>
        <item x="1062"/>
        <item x="516"/>
        <item x="155"/>
        <item x="86"/>
        <item x="369"/>
        <item x="1012"/>
        <item x="591"/>
        <item x="167"/>
        <item x="348"/>
        <item x="854"/>
        <item x="1013"/>
        <item x="517"/>
        <item x="914"/>
        <item x="268"/>
        <item x="229"/>
        <item x="87"/>
        <item x="1144"/>
        <item x="949"/>
        <item x="515"/>
        <item x="285"/>
        <item x="915"/>
        <item x="481"/>
        <item x="267"/>
        <item x="52"/>
        <item x="96"/>
        <item x="136"/>
        <item x="461"/>
        <item x="266"/>
        <item x="95"/>
        <item x="274"/>
        <item x="507"/>
        <item x="1087"/>
        <item x="172"/>
        <item x="462"/>
        <item x="1015"/>
        <item x="1064"/>
        <item x="955"/>
        <item x="637"/>
        <item x="648"/>
        <item x="220"/>
        <item x="638"/>
        <item x="70"/>
        <item x="609"/>
        <item x="71"/>
        <item x="339"/>
        <item x="18"/>
        <item x="221"/>
        <item x="525"/>
        <item x="152"/>
        <item x="522"/>
        <item x="1272"/>
        <item x="19"/>
        <item x="521"/>
        <item x="569"/>
        <item x="688"/>
        <item x="524"/>
        <item x="528"/>
        <item x="338"/>
        <item x="523"/>
        <item x="636"/>
        <item x="422"/>
        <item x="689"/>
        <item x="570"/>
        <item x="669"/>
        <item x="93"/>
        <item x="1142"/>
        <item x="240"/>
        <item x="694"/>
        <item x="94"/>
        <item x="355"/>
        <item x="312"/>
        <item x="832"/>
        <item x="695"/>
        <item x="757"/>
        <item x="756"/>
        <item x="717"/>
        <item x="1160"/>
        <item x="1161"/>
        <item x="259"/>
        <item x="415"/>
        <item x="121"/>
        <item x="382"/>
        <item x="260"/>
        <item x="263"/>
        <item x="414"/>
        <item x="196"/>
        <item x="264"/>
        <item x="120"/>
        <item x="208"/>
        <item x="132"/>
        <item x="209"/>
        <item x="893"/>
        <item x="330"/>
        <item x="1057"/>
        <item x="974"/>
        <item x="604"/>
        <item x="280"/>
        <item x="1035"/>
        <item x="497"/>
        <item x="475"/>
        <item x="130"/>
        <item x="926"/>
        <item x="892"/>
        <item x="541"/>
        <item x="1140"/>
        <item x="588"/>
        <item x="321"/>
        <item x="1056"/>
        <item x="449"/>
        <item x="700"/>
        <item x="553"/>
        <item x="261"/>
        <item x="579"/>
        <item x="129"/>
        <item x="1089"/>
        <item x="474"/>
        <item x="1053"/>
        <item x="498"/>
        <item x="473"/>
        <item x="859"/>
        <item x="35"/>
        <item x="1107"/>
        <item x="880"/>
        <item x="923"/>
        <item x="160"/>
        <item x="1074"/>
        <item x="879"/>
        <item x="36"/>
        <item x="419"/>
        <item x="922"/>
        <item x="418"/>
        <item x="234"/>
        <item x="1104"/>
        <item x="163"/>
        <item x="432"/>
        <item x="1106"/>
        <item x="37"/>
        <item x="485"/>
        <item x="858"/>
        <item x="804"/>
        <item x="164"/>
        <item x="1105"/>
        <item x="740"/>
        <item x="211"/>
        <item x="1172"/>
        <item x="1213"/>
        <item x="38"/>
        <item x="134"/>
        <item x="306"/>
        <item x="50"/>
        <item x="1204"/>
        <item x="741"/>
        <item x="210"/>
        <item x="1262"/>
        <item x="344"/>
        <item x="49"/>
        <item x="1245"/>
        <item x="1185"/>
        <item x="399"/>
        <item x="1253"/>
        <item x="398"/>
        <item x="1217"/>
        <item x="400"/>
        <item x="590"/>
        <item x="1184"/>
        <item x="480"/>
        <item x="1254"/>
        <item x="555"/>
        <item x="1216"/>
        <item x="557"/>
        <item x="514"/>
        <item x="1238"/>
        <item x="556"/>
        <item x="742"/>
        <item x="464"/>
        <item x="391"/>
        <item x="585"/>
        <item x="743"/>
        <item x="676"/>
        <item x="466"/>
        <item x="773"/>
        <item x="1153"/>
        <item x="465"/>
        <item x="394"/>
        <item x="1139"/>
        <item x="436"/>
        <item x="649"/>
        <item x="437"/>
        <item x="610"/>
        <item x="529"/>
        <item x="691"/>
        <item x="435"/>
        <item x="690"/>
        <item x="1084"/>
        <item x="566"/>
        <item x="1085"/>
        <item x="560"/>
        <item x="1117"/>
        <item x="561"/>
        <item x="1083"/>
        <item x="692"/>
        <item x="947"/>
        <item x="1061"/>
        <item x="526"/>
        <item x="354"/>
        <item x="612"/>
        <item x="323"/>
        <item x="596"/>
        <item x="634"/>
        <item x="1210"/>
        <item x="685"/>
        <item x="791"/>
        <item x="633"/>
        <item x="608"/>
        <item x="731"/>
        <item x="790"/>
        <item x="1016"/>
        <item x="684"/>
        <item x="20"/>
        <item x="1065"/>
        <item x="959"/>
        <item x="806"/>
        <item x="1066"/>
        <item x="1118"/>
        <item x="231"/>
        <item x="22"/>
        <item x="1119"/>
        <item x="713"/>
        <item x="33"/>
        <item x="1276"/>
        <item x="958"/>
        <item x="714"/>
        <item x="21"/>
        <item x="957"/>
        <item x="23"/>
        <item x="956"/>
        <item x="303"/>
        <item x="1223"/>
        <item x="763"/>
        <item x="1271"/>
        <item x="762"/>
        <item x="716"/>
        <item x="428"/>
        <item x="1258"/>
        <item x="1241"/>
        <item x="1179"/>
        <item x="1195"/>
        <item x="54"/>
        <item x="785"/>
        <item x="1194"/>
        <item x="270"/>
        <item x="453"/>
        <item x="139"/>
        <item x="831"/>
        <item x="1075"/>
        <item x="707"/>
        <item x="499"/>
        <item x="853"/>
        <item x="755"/>
        <item x="543"/>
        <item x="271"/>
        <item x="1005"/>
        <item x="1231"/>
        <item x="138"/>
        <item x="1101"/>
        <item x="869"/>
        <item x="771"/>
        <item x="1112"/>
        <item x="1176"/>
        <item x="913"/>
        <item x="1049"/>
        <item x="624"/>
        <item x="447"/>
        <item x="1190"/>
        <item x="1270"/>
        <item x="496"/>
        <item x="327"/>
        <item x="1222"/>
        <item x="657"/>
        <item x="540"/>
        <item x="699"/>
        <item x="1189"/>
        <item x="658"/>
        <item x="622"/>
        <item x="1221"/>
        <item x="448"/>
        <item x="929"/>
        <item x="356"/>
        <item x="364"/>
        <item x="927"/>
        <item x="340"/>
        <item x="928"/>
        <item x="362"/>
        <item x="862"/>
        <item x="363"/>
        <item x="759"/>
        <item x="361"/>
        <item x="720"/>
        <item x="760"/>
        <item x="813"/>
        <item x="1186"/>
        <item x="1242"/>
        <item x="1219"/>
        <item x="640"/>
        <item x="1255"/>
        <item x="615"/>
        <item x="1218"/>
        <item x="386"/>
        <item x="673"/>
        <item x="875"/>
        <item x="98"/>
        <item x="188"/>
        <item x="1022"/>
        <item x="1120"/>
        <item x="157"/>
        <item x="180"/>
        <item x="904"/>
        <item x="106"/>
        <item x="1070"/>
        <item x="156"/>
        <item x="247"/>
        <item x="818"/>
        <item x="903"/>
        <item x="492"/>
        <item x="876"/>
        <item x="99"/>
        <item x="789"/>
        <item x="901"/>
        <item x="187"/>
        <item x="874"/>
        <item x="75"/>
        <item x="902"/>
        <item x="493"/>
        <item x="107"/>
        <item x="438"/>
        <item x="1232"/>
        <item x="573"/>
        <item x="788"/>
        <item x="535"/>
        <item x="423"/>
        <item x="1004"/>
        <item x="439"/>
        <item x="865"/>
        <item x="605"/>
        <item x="626"/>
        <item x="702"/>
        <item x="866"/>
        <item x="975"/>
        <item x="894"/>
        <item x="681"/>
        <item x="776"/>
        <item x="358"/>
        <item x="886"/>
        <item x="1249"/>
        <item x="887"/>
        <item x="1279"/>
        <item x="1036"/>
        <item x="885"/>
        <item x="775"/>
        <item x="80"/>
        <item x="1043"/>
        <item x="895"/>
        <item x="230"/>
        <item x="24"/>
        <item x="696"/>
        <item x="233"/>
        <item x="238"/>
        <item x="1280"/>
        <item x="273"/>
        <item x="165"/>
        <item x="76"/>
        <item x="1273"/>
        <item x="598"/>
        <item x="1044"/>
        <item x="77"/>
        <item x="1278"/>
        <item x="85"/>
        <item x="582"/>
        <item x="66"/>
        <item x="616"/>
        <item x="159"/>
        <item x="897"/>
        <item x="166"/>
        <item x="292"/>
        <item x="545"/>
        <item x="454"/>
        <item x="65"/>
        <item x="502"/>
        <item x="587"/>
        <item x="67"/>
        <item x="571"/>
        <item x="533"/>
        <item x="103"/>
        <item x="551"/>
        <item x="346"/>
        <item x="531"/>
        <item x="253"/>
        <item x="345"/>
        <item x="491"/>
        <item x="44"/>
        <item x="367"/>
        <item x="490"/>
        <item x="470"/>
        <item x="532"/>
        <item x="181"/>
        <item x="401"/>
        <item x="537"/>
        <item x="357"/>
        <item x="562"/>
        <item x="678"/>
        <item x="424"/>
        <item x="701"/>
        <item x="495"/>
        <item x="625"/>
        <item x="444"/>
        <item x="661"/>
        <item x="836"/>
        <item x="727"/>
        <item x="1269"/>
        <item x="835"/>
        <item x="769"/>
        <item x="672"/>
        <item x="1136"/>
        <item x="693"/>
        <item x="324"/>
        <item x="921"/>
        <item x="1183"/>
        <item x="666"/>
        <item x="1103"/>
        <item x="1182"/>
        <item x="920"/>
        <item x="336"/>
        <item x="59"/>
        <item x="1052"/>
        <item x="145"/>
        <item x="1181"/>
        <item x="667"/>
        <item x="798"/>
        <item x="706"/>
        <item x="733"/>
        <item x="58"/>
        <item x="452"/>
        <item x="820"/>
        <item x="146"/>
        <item x="1211"/>
        <item x="451"/>
        <item x="542"/>
        <item x="709"/>
        <item x="427"/>
        <item x="558"/>
        <item x="996"/>
        <item x="484"/>
        <item x="1054"/>
        <item x="592"/>
        <item x="997"/>
        <item x="559"/>
        <item x="255"/>
        <item x="860"/>
        <item x="872"/>
        <item x="564"/>
        <item x="104"/>
        <item x="539"/>
        <item x="46"/>
        <item x="445"/>
        <item x="873"/>
        <item x="1196"/>
        <item x="315"/>
        <item x="469"/>
        <item x="446"/>
        <item x="966"/>
        <item x="183"/>
        <item x="578"/>
        <item x="965"/>
        <item x="360"/>
        <item x="1168"/>
        <item x="549"/>
        <item x="538"/>
        <item x="337"/>
        <item x="1259"/>
        <item x="586"/>
        <item x="359"/>
        <item x="1167"/>
        <item x="550"/>
        <item x="687"/>
        <item x="459"/>
        <item x="803"/>
        <item x="1040"/>
        <item x="1155"/>
        <item x="668"/>
        <item x="457"/>
        <item x="712"/>
        <item x="1094"/>
        <item x="458"/>
        <item x="739"/>
        <item x="976"/>
        <item x="347"/>
        <item x="402"/>
        <item x="504"/>
        <item x="368"/>
        <item x="460"/>
        <item x="1234"/>
        <item x="1154"/>
        <item x="297"/>
        <item x="735"/>
        <item x="972"/>
        <item x="151"/>
        <item x="890"/>
        <item x="68"/>
        <item x="734"/>
        <item x="1032"/>
        <item x="563"/>
        <item x="69"/>
        <item x="799"/>
        <item x="1091"/>
        <item x="577"/>
        <item x="296"/>
        <item x="891"/>
        <item x="576"/>
        <item x="1031"/>
        <item x="425"/>
        <item x="718"/>
        <item x="567"/>
        <item x="812"/>
        <item x="568"/>
        <item x="719"/>
        <item x="1086"/>
        <item x="434"/>
        <item x="758"/>
        <item x="487"/>
        <item x="950"/>
        <item x="488"/>
        <item x="951"/>
        <item x="942"/>
        <item x="174"/>
        <item x="941"/>
        <item x="41"/>
        <item x="1076"/>
        <item x="243"/>
        <item x="1011"/>
        <item x="747"/>
        <item x="175"/>
        <item x="1082"/>
        <item x="1114"/>
        <item x="746"/>
        <item x="1009"/>
        <item x="1060"/>
        <item x="777"/>
        <item x="748"/>
        <item x="1010"/>
        <item x="335"/>
        <item x="373"/>
        <item x="705"/>
        <item x="412"/>
        <item x="392"/>
        <item x="607"/>
        <item x="410"/>
        <item x="665"/>
        <item x="841"/>
        <item x="411"/>
        <item x="1027"/>
        <item x="1028"/>
        <item x="1097"/>
        <item x="842"/>
        <item x="1045"/>
        <item x="73"/>
        <item x="204"/>
        <item x="109"/>
        <item x="933"/>
        <item x="981"/>
        <item x="108"/>
        <item x="1110"/>
        <item x="298"/>
        <item x="279"/>
        <item x="934"/>
        <item x="72"/>
        <item x="128"/>
        <item x="864"/>
        <item x="982"/>
        <item x="153"/>
        <item x="203"/>
        <item x="31"/>
        <item x="631"/>
        <item x="645"/>
        <item x="704"/>
        <item x="646"/>
        <item x="1096"/>
        <item x="207"/>
        <item x="978"/>
        <item x="322"/>
        <item x="206"/>
        <item x="552"/>
        <item x="979"/>
        <item x="282"/>
        <item x="511"/>
        <item x="845"/>
        <item x="115"/>
        <item x="898"/>
        <item x="472"/>
        <item x="182"/>
        <item x="301"/>
        <item x="471"/>
        <item x="114"/>
        <item x="227"/>
        <item x="191"/>
        <item x="45"/>
        <item x="192"/>
        <item x="143"/>
        <item x="74"/>
        <item x="254"/>
        <item x="319"/>
        <item x="144"/>
        <item x="844"/>
        <item x="977"/>
        <item x="265"/>
        <item x="142"/>
        <item x="1095"/>
        <item x="283"/>
        <item x="925"/>
        <item x="216"/>
        <item x="48"/>
        <item x="1000"/>
        <item x="226"/>
        <item x="47"/>
        <item x="855"/>
        <item x="133"/>
        <item x="1055"/>
        <item x="225"/>
        <item x="1001"/>
        <item x="916"/>
        <item x="154"/>
        <item x="1050"/>
        <item x="300"/>
        <item x="917"/>
        <item x="1177"/>
        <item x="829"/>
        <item x="792"/>
        <item x="732"/>
        <item x="809"/>
        <item x="793"/>
        <item x="782"/>
        <item x="1251"/>
        <item x="1051"/>
        <item x="752"/>
        <item x="857"/>
        <item x="856"/>
        <item x="993"/>
        <item x="0"/>
        <item t="default"/>
      </items>
    </pivotField>
    <pivotField showAll="0">
      <items count="348">
        <item x="238"/>
        <item x="299"/>
        <item x="183"/>
        <item x="207"/>
        <item x="337"/>
        <item x="312"/>
        <item x="339"/>
        <item x="132"/>
        <item x="212"/>
        <item x="122"/>
        <item x="230"/>
        <item x="130"/>
        <item x="159"/>
        <item x="97"/>
        <item x="55"/>
        <item x="282"/>
        <item x="260"/>
        <item x="328"/>
        <item x="253"/>
        <item x="158"/>
        <item x="223"/>
        <item x="319"/>
        <item x="256"/>
        <item x="346"/>
        <item x="0"/>
        <item x="72"/>
        <item x="265"/>
        <item x="61"/>
        <item x="1"/>
        <item x="176"/>
        <item x="140"/>
        <item x="141"/>
        <item x="129"/>
        <item x="69"/>
        <item x="73"/>
        <item x="330"/>
        <item x="134"/>
        <item x="288"/>
        <item x="62"/>
        <item x="165"/>
        <item x="271"/>
        <item x="233"/>
        <item x="298"/>
        <item x="52"/>
        <item x="275"/>
        <item x="236"/>
        <item x="257"/>
        <item x="150"/>
        <item x="102"/>
        <item x="84"/>
        <item x="2"/>
        <item x="80"/>
        <item x="323"/>
        <item x="34"/>
        <item x="229"/>
        <item x="66"/>
        <item x="111"/>
        <item x="20"/>
        <item x="85"/>
        <item x="222"/>
        <item x="32"/>
        <item x="125"/>
        <item x="17"/>
        <item x="116"/>
        <item x="258"/>
        <item x="193"/>
        <item x="316"/>
        <item x="245"/>
        <item x="93"/>
        <item x="198"/>
        <item x="317"/>
        <item x="40"/>
        <item x="89"/>
        <item x="11"/>
        <item x="327"/>
        <item x="103"/>
        <item x="266"/>
        <item x="98"/>
        <item x="3"/>
        <item x="137"/>
        <item x="126"/>
        <item x="188"/>
        <item x="71"/>
        <item x="204"/>
        <item x="203"/>
        <item x="200"/>
        <item x="187"/>
        <item x="195"/>
        <item x="240"/>
        <item x="115"/>
        <item x="218"/>
        <item x="277"/>
        <item x="320"/>
        <item x="341"/>
        <item x="331"/>
        <item x="324"/>
        <item x="181"/>
        <item x="283"/>
        <item x="318"/>
        <item x="95"/>
        <item x="83"/>
        <item x="15"/>
        <item x="262"/>
        <item x="68"/>
        <item x="101"/>
        <item x="304"/>
        <item x="146"/>
        <item x="171"/>
        <item x="294"/>
        <item x="39"/>
        <item x="37"/>
        <item x="219"/>
        <item x="326"/>
        <item x="217"/>
        <item x="88"/>
        <item x="220"/>
        <item x="87"/>
        <item x="10"/>
        <item x="332"/>
        <item x="5"/>
        <item x="244"/>
        <item x="110"/>
        <item x="280"/>
        <item x="60"/>
        <item x="94"/>
        <item x="174"/>
        <item x="296"/>
        <item x="190"/>
        <item x="301"/>
        <item x="182"/>
        <item x="82"/>
        <item x="170"/>
        <item x="53"/>
        <item x="209"/>
        <item x="100"/>
        <item x="192"/>
        <item x="25"/>
        <item x="307"/>
        <item x="76"/>
        <item x="128"/>
        <item x="36"/>
        <item x="58"/>
        <item x="254"/>
        <item x="234"/>
        <item x="263"/>
        <item x="136"/>
        <item x="286"/>
        <item x="264"/>
        <item x="306"/>
        <item x="124"/>
        <item x="14"/>
        <item x="199"/>
        <item x="6"/>
        <item x="79"/>
        <item x="43"/>
        <item x="202"/>
        <item x="13"/>
        <item x="44"/>
        <item x="24"/>
        <item x="90"/>
        <item x="246"/>
        <item x="12"/>
        <item x="41"/>
        <item x="65"/>
        <item x="151"/>
        <item x="42"/>
        <item x="152"/>
        <item x="81"/>
        <item x="23"/>
        <item x="114"/>
        <item x="310"/>
        <item x="173"/>
        <item x="268"/>
        <item x="33"/>
        <item x="57"/>
        <item x="164"/>
        <item x="313"/>
        <item x="108"/>
        <item x="47"/>
        <item x="7"/>
        <item x="184"/>
        <item x="142"/>
        <item x="107"/>
        <item x="56"/>
        <item x="118"/>
        <item x="214"/>
        <item x="127"/>
        <item x="70"/>
        <item x="77"/>
        <item x="291"/>
        <item x="99"/>
        <item x="75"/>
        <item x="303"/>
        <item x="162"/>
        <item x="169"/>
        <item x="273"/>
        <item x="287"/>
        <item x="21"/>
        <item x="272"/>
        <item x="139"/>
        <item x="22"/>
        <item x="138"/>
        <item x="231"/>
        <item x="154"/>
        <item x="31"/>
        <item x="329"/>
        <item x="112"/>
        <item x="335"/>
        <item x="172"/>
        <item x="232"/>
        <item x="133"/>
        <item x="166"/>
        <item x="157"/>
        <item x="135"/>
        <item x="309"/>
        <item x="185"/>
        <item x="205"/>
        <item x="117"/>
        <item x="196"/>
        <item x="91"/>
        <item x="189"/>
        <item x="194"/>
        <item x="225"/>
        <item x="342"/>
        <item x="251"/>
        <item x="315"/>
        <item x="211"/>
        <item x="8"/>
        <item x="224"/>
        <item x="314"/>
        <item x="19"/>
        <item x="250"/>
        <item x="239"/>
        <item x="340"/>
        <item x="213"/>
        <item x="148"/>
        <item x="35"/>
        <item x="241"/>
        <item x="281"/>
        <item x="267"/>
        <item x="206"/>
        <item x="344"/>
        <item x="247"/>
        <item x="242"/>
        <item x="197"/>
        <item x="161"/>
        <item x="338"/>
        <item x="96"/>
        <item x="109"/>
        <item x="276"/>
        <item x="216"/>
        <item x="336"/>
        <item x="131"/>
        <item x="59"/>
        <item x="285"/>
        <item x="63"/>
        <item x="297"/>
        <item x="49"/>
        <item x="180"/>
        <item x="143"/>
        <item x="255"/>
        <item x="249"/>
        <item x="279"/>
        <item x="343"/>
        <item x="120"/>
        <item x="248"/>
        <item x="292"/>
        <item x="289"/>
        <item x="243"/>
        <item x="9"/>
        <item x="50"/>
        <item x="191"/>
        <item x="51"/>
        <item x="295"/>
        <item x="54"/>
        <item x="149"/>
        <item x="45"/>
        <item x="168"/>
        <item x="179"/>
        <item x="27"/>
        <item x="113"/>
        <item x="144"/>
        <item x="119"/>
        <item x="221"/>
        <item x="92"/>
        <item x="300"/>
        <item x="334"/>
        <item x="105"/>
        <item x="38"/>
        <item x="208"/>
        <item x="147"/>
        <item x="175"/>
        <item x="274"/>
        <item x="29"/>
        <item x="284"/>
        <item x="160"/>
        <item x="167"/>
        <item x="325"/>
        <item x="106"/>
        <item x="210"/>
        <item x="293"/>
        <item x="163"/>
        <item x="121"/>
        <item x="228"/>
        <item x="46"/>
        <item x="290"/>
        <item x="145"/>
        <item x="215"/>
        <item x="311"/>
        <item x="155"/>
        <item x="186"/>
        <item x="156"/>
        <item x="177"/>
        <item x="26"/>
        <item x="178"/>
        <item x="305"/>
        <item x="308"/>
        <item x="235"/>
        <item x="104"/>
        <item x="123"/>
        <item x="259"/>
        <item x="322"/>
        <item x="74"/>
        <item x="64"/>
        <item x="278"/>
        <item x="16"/>
        <item x="201"/>
        <item x="261"/>
        <item x="86"/>
        <item x="153"/>
        <item x="28"/>
        <item x="67"/>
        <item x="48"/>
        <item x="78"/>
        <item x="321"/>
        <item x="30"/>
        <item x="302"/>
        <item x="18"/>
        <item x="269"/>
        <item x="237"/>
        <item x="333"/>
        <item x="227"/>
        <item x="226"/>
        <item x="252"/>
        <item x="270"/>
        <item x="345"/>
        <item x="4"/>
        <item t="default"/>
      </items>
    </pivotField>
    <pivotField numFmtId="1" showAll="0"/>
    <pivotField showAll="0"/>
    <pivotField dataField="1" showAll="0"/>
    <pivotField showAll="0"/>
    <pivotField showAll="0">
      <items count="6">
        <item x="3"/>
        <item x="1"/>
        <item x="0"/>
        <item x="4"/>
        <item h="1"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7"/>
  </rowFields>
  <rowItems count="7">
    <i>
      <x/>
    </i>
    <i>
      <x v="1"/>
    </i>
    <i>
      <x v="2"/>
    </i>
    <i>
      <x v="3"/>
    </i>
    <i>
      <x v="4"/>
    </i>
    <i>
      <x v="5"/>
    </i>
    <i t="grand">
      <x/>
    </i>
  </rowItems>
  <colFields count="1">
    <field x="-2"/>
  </colFields>
  <colItems count="2">
    <i>
      <x/>
    </i>
    <i i="1">
      <x v="1"/>
    </i>
  </colItems>
  <pageFields count="1">
    <pageField fld="2" hier="-1"/>
  </pageFields>
  <dataFields count="2">
    <dataField name="Application" fld="13" subtotal="count" baseField="0" baseItem="0"/>
    <dataField name="Hires"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1FFC0D-3DA9-44ED-881E-0FACBC5997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51">
    <pivotField showAll="0"/>
    <pivotField showAll="0"/>
    <pivotField showAll="0">
      <items count="34">
        <item x="32"/>
        <item x="28"/>
        <item h="1" x="24"/>
        <item x="21"/>
        <item x="19"/>
        <item x="17"/>
        <item x="12"/>
        <item x="10"/>
        <item x="6"/>
        <item x="3"/>
        <item x="1"/>
        <item x="31"/>
        <item x="30"/>
        <item x="27"/>
        <item x="29"/>
        <item x="26"/>
        <item x="25"/>
        <item x="22"/>
        <item x="23"/>
        <item x="20"/>
        <item x="18"/>
        <item x="16"/>
        <item x="15"/>
        <item x="13"/>
        <item x="14"/>
        <item h="1" x="9"/>
        <item h="1" x="11"/>
        <item x="7"/>
        <item x="8"/>
        <item x="4"/>
        <item x="5"/>
        <item x="0"/>
        <item x="2"/>
        <item t="default"/>
      </items>
    </pivotField>
    <pivotField showAll="0"/>
    <pivotField showAll="0"/>
    <pivotField showAll="0"/>
    <pivotField showAll="0"/>
    <pivotField showAll="0">
      <items count="7">
        <item h="1" x="1"/>
        <item h="1" x="2"/>
        <item h="1" x="0"/>
        <item h="1" x="5"/>
        <item x="4"/>
        <item h="1" x="3"/>
        <item t="default"/>
      </items>
    </pivotField>
    <pivotField showAll="0"/>
    <pivotField showAll="0">
      <items count="1287">
        <item x="1100"/>
        <item x="753"/>
        <item x="912"/>
        <item x="510"/>
        <item x="811"/>
        <item x="910"/>
        <item x="548"/>
        <item x="784"/>
        <item x="911"/>
        <item x="509"/>
        <item x="795"/>
        <item x="754"/>
        <item x="797"/>
        <item x="708"/>
        <item x="796"/>
        <item x="1256"/>
        <item x="954"/>
        <item x="1188"/>
        <item x="1063"/>
        <item x="1014"/>
        <item x="1220"/>
        <item x="1243"/>
        <item x="952"/>
        <item x="1187"/>
        <item x="1192"/>
        <item x="953"/>
        <item x="653"/>
        <item x="1257"/>
        <item x="372"/>
        <item x="1191"/>
        <item x="810"/>
        <item x="600"/>
        <item x="715"/>
        <item x="697"/>
        <item x="409"/>
        <item x="783"/>
        <item x="1147"/>
        <item x="830"/>
        <item x="1157"/>
        <item x="371"/>
        <item x="801"/>
        <item x="1237"/>
        <item x="802"/>
        <item x="738"/>
        <item x="651"/>
        <item x="650"/>
        <item x="385"/>
        <item x="1137"/>
        <item x="572"/>
        <item x="534"/>
        <item x="442"/>
        <item x="328"/>
        <item x="443"/>
        <item x="88"/>
        <item x="390"/>
        <item x="936"/>
        <item x="90"/>
        <item x="1039"/>
        <item x="89"/>
        <item x="1226"/>
        <item x="843"/>
        <item x="870"/>
        <item x="1260"/>
        <item x="1037"/>
        <item x="937"/>
        <item x="310"/>
        <item x="441"/>
        <item x="794"/>
        <item x="1201"/>
        <item x="1038"/>
        <item x="1059"/>
        <item x="171"/>
        <item x="440"/>
        <item x="819"/>
        <item x="1171"/>
        <item x="1006"/>
        <item x="530"/>
        <item x="1264"/>
        <item x="1227"/>
        <item x="839"/>
        <item x="1029"/>
        <item x="1093"/>
        <item x="489"/>
        <item x="1090"/>
        <item x="1233"/>
        <item x="787"/>
        <item x="888"/>
        <item x="730"/>
        <item x="527"/>
        <item x="838"/>
        <item x="1030"/>
        <item x="200"/>
        <item x="889"/>
        <item x="125"/>
        <item x="199"/>
        <item x="593"/>
        <item x="907"/>
        <item x="124"/>
        <item x="1"/>
        <item x="851"/>
        <item x="988"/>
        <item x="252"/>
        <item x="908"/>
        <item x="251"/>
        <item x="2"/>
        <item x="101"/>
        <item x="486"/>
        <item x="43"/>
        <item x="1277"/>
        <item x="433"/>
        <item x="102"/>
        <item x="3"/>
        <item x="4"/>
        <item x="420"/>
        <item x="1283"/>
        <item x="421"/>
        <item x="384"/>
        <item x="1151"/>
        <item x="119"/>
        <item x="1135"/>
        <item x="195"/>
        <item x="1134"/>
        <item x="117"/>
        <item x="1150"/>
        <item x="258"/>
        <item x="126"/>
        <item x="118"/>
        <item x="127"/>
        <item x="277"/>
        <item x="201"/>
        <item x="1173"/>
        <item x="320"/>
        <item x="1263"/>
        <item x="1205"/>
        <item x="202"/>
        <item x="1246"/>
        <item x="393"/>
        <item x="1024"/>
        <item x="686"/>
        <item x="1122"/>
        <item x="635"/>
        <item x="186"/>
        <item x="881"/>
        <item x="584"/>
        <item x="995"/>
        <item x="316"/>
        <item x="969"/>
        <item x="463"/>
        <item x="906"/>
        <item x="918"/>
        <item x="774"/>
        <item x="994"/>
        <item x="744"/>
        <item x="185"/>
        <item x="882"/>
        <item x="919"/>
        <item x="805"/>
        <item x="184"/>
        <item x="508"/>
        <item x="1102"/>
        <item x="105"/>
        <item x="81"/>
        <item x="905"/>
        <item x="1178"/>
        <item x="1058"/>
        <item x="82"/>
        <item x="1047"/>
        <item x="861"/>
        <item x="1002"/>
        <item x="751"/>
        <item x="161"/>
        <item x="1003"/>
        <item x="1239"/>
        <item x="828"/>
        <item x="750"/>
        <item x="749"/>
        <item x="827"/>
        <item x="1025"/>
        <item x="883"/>
        <item x="884"/>
        <item x="429"/>
        <item x="628"/>
        <item x="314"/>
        <item x="6"/>
        <item x="455"/>
        <item x="149"/>
        <item x="644"/>
        <item x="5"/>
        <item x="456"/>
        <item x="627"/>
        <item x="1285"/>
        <item x="503"/>
        <item x="293"/>
        <item x="245"/>
        <item x="547"/>
        <item x="1048"/>
        <item x="295"/>
        <item x="8"/>
        <item x="546"/>
        <item x="137"/>
        <item x="989"/>
        <item x="150"/>
        <item x="333"/>
        <item x="42"/>
        <item x="7"/>
        <item x="214"/>
        <item x="990"/>
        <item x="294"/>
        <item x="53"/>
        <item x="991"/>
        <item x="269"/>
        <item x="286"/>
        <item x="213"/>
        <item x="1235"/>
        <item x="112"/>
        <item x="737"/>
        <item x="1143"/>
        <item x="78"/>
        <item x="318"/>
        <item x="113"/>
        <item x="736"/>
        <item x="343"/>
        <item x="246"/>
        <item x="79"/>
        <item x="111"/>
        <item x="396"/>
        <item x="34"/>
        <item x="317"/>
        <item x="800"/>
        <item x="342"/>
        <item x="179"/>
        <item x="232"/>
        <item x="397"/>
        <item x="178"/>
        <item x="728"/>
        <item x="158"/>
        <item x="51"/>
        <item x="376"/>
        <item x="770"/>
        <item x="212"/>
        <item x="1158"/>
        <item x="177"/>
        <item x="837"/>
        <item x="135"/>
        <item x="378"/>
        <item x="1180"/>
        <item x="284"/>
        <item x="377"/>
        <item x="729"/>
        <item x="1130"/>
        <item x="1215"/>
        <item x="299"/>
        <item x="352"/>
        <item x="1026"/>
        <item x="654"/>
        <item x="32"/>
        <item x="1067"/>
        <item x="1146"/>
        <item x="971"/>
        <item x="603"/>
        <item x="223"/>
        <item x="1017"/>
        <item x="406"/>
        <item x="970"/>
        <item x="675"/>
        <item x="808"/>
        <item x="224"/>
        <item x="1018"/>
        <item x="351"/>
        <item x="840"/>
        <item x="621"/>
        <item x="1267"/>
        <item x="222"/>
        <item x="961"/>
        <item x="1145"/>
        <item x="1152"/>
        <item x="780"/>
        <item x="960"/>
        <item x="405"/>
        <item x="620"/>
        <item x="1019"/>
        <item x="1214"/>
        <item x="652"/>
        <item x="387"/>
        <item x="662"/>
        <item x="325"/>
        <item x="62"/>
        <item x="663"/>
        <item x="61"/>
        <item x="680"/>
        <item x="962"/>
        <item x="290"/>
        <item x="963"/>
        <item x="147"/>
        <item x="26"/>
        <item x="1021"/>
        <item x="1068"/>
        <item x="1020"/>
        <item x="1244"/>
        <item x="1198"/>
        <item x="1170"/>
        <item x="1199"/>
        <item x="1200"/>
        <item x="647"/>
        <item x="852"/>
        <item x="623"/>
        <item x="606"/>
        <item x="909"/>
        <item x="641"/>
        <item x="632"/>
        <item x="683"/>
        <item x="1073"/>
        <item x="334"/>
        <item x="1099"/>
        <item x="329"/>
        <item x="992"/>
        <item x="1284"/>
        <item x="10"/>
        <item x="9"/>
        <item x="11"/>
        <item x="417"/>
        <item x="595"/>
        <item x="1148"/>
        <item x="1133"/>
        <item x="671"/>
        <item x="379"/>
        <item x="1163"/>
        <item x="670"/>
        <item x="122"/>
        <item x="413"/>
        <item x="1132"/>
        <item x="639"/>
        <item x="198"/>
        <item x="594"/>
        <item x="123"/>
        <item x="380"/>
        <item x="416"/>
        <item x="611"/>
        <item x="381"/>
        <item x="197"/>
        <item x="278"/>
        <item x="766"/>
        <item x="370"/>
        <item x="786"/>
        <item x="1124"/>
        <item x="815"/>
        <item x="816"/>
        <item x="932"/>
        <item x="404"/>
        <item x="834"/>
        <item x="764"/>
        <item x="930"/>
        <item x="1123"/>
        <item x="1092"/>
        <item x="723"/>
        <item x="765"/>
        <item x="1109"/>
        <item x="350"/>
        <item x="973"/>
        <item x="1240"/>
        <item x="931"/>
        <item x="1230"/>
        <item x="349"/>
        <item x="1228"/>
        <item x="1034"/>
        <item x="761"/>
        <item x="863"/>
        <item x="1174"/>
        <item x="1261"/>
        <item x="1033"/>
        <item x="1175"/>
        <item x="1203"/>
        <item x="575"/>
        <item x="1229"/>
        <item x="1202"/>
        <item x="1166"/>
        <item x="1206"/>
        <item x="1164"/>
        <item x="494"/>
        <item x="1193"/>
        <item x="574"/>
        <item x="1165"/>
        <item x="536"/>
        <item x="964"/>
        <item x="1088"/>
        <item x="389"/>
        <item x="308"/>
        <item x="1071"/>
        <item x="674"/>
        <item x="168"/>
        <item x="326"/>
        <item x="169"/>
        <item x="1069"/>
        <item x="309"/>
        <item x="871"/>
        <item x="968"/>
        <item x="218"/>
        <item x="1023"/>
        <item x="980"/>
        <item x="219"/>
        <item x="170"/>
        <item x="847"/>
        <item x="193"/>
        <item x="257"/>
        <item x="30"/>
        <item x="679"/>
        <item x="846"/>
        <item x="1008"/>
        <item x="194"/>
        <item x="426"/>
        <item x="940"/>
        <item x="116"/>
        <item x="332"/>
        <item x="1113"/>
        <item x="580"/>
        <item x="1141"/>
        <item x="60"/>
        <item x="1007"/>
        <item x="565"/>
        <item x="938"/>
        <item x="513"/>
        <item x="450"/>
        <item x="1042"/>
        <item x="289"/>
        <item x="939"/>
        <item x="288"/>
        <item x="479"/>
        <item x="767"/>
        <item x="1224"/>
        <item x="896"/>
        <item x="217"/>
        <item x="589"/>
        <item x="1041"/>
        <item x="25"/>
        <item x="141"/>
        <item x="1197"/>
        <item x="1072"/>
        <item x="512"/>
        <item x="726"/>
        <item x="814"/>
        <item x="725"/>
        <item x="1169"/>
        <item x="215"/>
        <item x="833"/>
        <item x="817"/>
        <item x="57"/>
        <item x="768"/>
        <item x="722"/>
        <item x="724"/>
        <item x="1225"/>
        <item x="1252"/>
        <item x="721"/>
        <item x="1248"/>
        <item x="1208"/>
        <item x="1275"/>
        <item x="1209"/>
        <item x="12"/>
        <item x="1247"/>
        <item x="778"/>
        <item x="1274"/>
        <item x="1207"/>
        <item x="779"/>
        <item x="13"/>
        <item x="14"/>
        <item x="366"/>
        <item x="365"/>
        <item x="395"/>
        <item x="1111"/>
        <item x="807"/>
        <item x="341"/>
        <item x="867"/>
        <item x="617"/>
        <item x="248"/>
        <item x="388"/>
        <item x="520"/>
        <item x="250"/>
        <item x="935"/>
        <item x="249"/>
        <item x="868"/>
        <item x="900"/>
        <item x="599"/>
        <item x="483"/>
        <item x="1098"/>
        <item x="618"/>
        <item x="519"/>
        <item x="100"/>
        <item x="597"/>
        <item x="482"/>
        <item x="613"/>
        <item x="984"/>
        <item x="518"/>
        <item x="614"/>
        <item x="985"/>
        <item x="924"/>
        <item x="998"/>
        <item x="581"/>
        <item x="999"/>
        <item x="544"/>
        <item x="1108"/>
        <item x="500"/>
        <item x="305"/>
        <item x="554"/>
        <item x="501"/>
        <item x="162"/>
        <item x="478"/>
        <item x="304"/>
        <item x="476"/>
        <item x="83"/>
        <item x="235"/>
        <item x="477"/>
        <item x="84"/>
        <item x="236"/>
        <item x="237"/>
        <item x="772"/>
        <item x="331"/>
        <item x="1212"/>
        <item x="711"/>
        <item x="643"/>
        <item x="1265"/>
        <item x="659"/>
        <item x="710"/>
        <item x="660"/>
        <item x="698"/>
        <item x="602"/>
        <item x="1138"/>
        <item x="619"/>
        <item x="275"/>
        <item x="601"/>
        <item x="173"/>
        <item x="241"/>
        <item x="944"/>
        <item x="242"/>
        <item x="1080"/>
        <item x="946"/>
        <item x="1131"/>
        <item x="40"/>
        <item x="1116"/>
        <item x="281"/>
        <item x="945"/>
        <item x="56"/>
        <item x="262"/>
        <item x="1162"/>
        <item x="1081"/>
        <item x="1149"/>
        <item x="287"/>
        <item x="205"/>
        <item x="1159"/>
        <item x="97"/>
        <item x="823"/>
        <item x="272"/>
        <item x="131"/>
        <item x="383"/>
        <item x="176"/>
        <item x="821"/>
        <item x="140"/>
        <item x="1236"/>
        <item x="55"/>
        <item x="313"/>
        <item x="822"/>
        <item x="745"/>
        <item x="244"/>
        <item x="899"/>
        <item x="407"/>
        <item x="824"/>
        <item x="1156"/>
        <item x="848"/>
        <item x="408"/>
        <item x="1266"/>
        <item x="983"/>
        <item x="1126"/>
        <item x="877"/>
        <item x="353"/>
        <item x="849"/>
        <item x="967"/>
        <item x="1125"/>
        <item x="878"/>
        <item x="986"/>
        <item x="1121"/>
        <item x="1079"/>
        <item x="987"/>
        <item x="1115"/>
        <item x="850"/>
        <item x="1128"/>
        <item x="1046"/>
        <item x="1077"/>
        <item x="1127"/>
        <item x="1078"/>
        <item x="1129"/>
        <item x="943"/>
        <item x="664"/>
        <item x="148"/>
        <item x="374"/>
        <item x="15"/>
        <item x="629"/>
        <item x="64"/>
        <item x="375"/>
        <item x="16"/>
        <item x="28"/>
        <item x="1281"/>
        <item x="642"/>
        <item x="630"/>
        <item x="29"/>
        <item x="1282"/>
        <item x="656"/>
        <item x="703"/>
        <item x="92"/>
        <item x="17"/>
        <item x="677"/>
        <item x="682"/>
        <item x="239"/>
        <item x="311"/>
        <item x="291"/>
        <item x="91"/>
        <item x="655"/>
        <item x="27"/>
        <item x="39"/>
        <item x="1250"/>
        <item x="1268"/>
        <item x="63"/>
        <item x="781"/>
        <item x="825"/>
        <item x="110"/>
        <item x="468"/>
        <item x="505"/>
        <item x="826"/>
        <item x="190"/>
        <item x="430"/>
        <item x="189"/>
        <item x="467"/>
        <item x="256"/>
        <item x="506"/>
        <item x="276"/>
        <item x="583"/>
        <item x="228"/>
        <item x="431"/>
        <item x="948"/>
        <item x="302"/>
        <item x="307"/>
        <item x="403"/>
        <item x="1062"/>
        <item x="516"/>
        <item x="155"/>
        <item x="86"/>
        <item x="369"/>
        <item x="1012"/>
        <item x="591"/>
        <item x="167"/>
        <item x="348"/>
        <item x="854"/>
        <item x="1013"/>
        <item x="517"/>
        <item x="914"/>
        <item x="268"/>
        <item x="229"/>
        <item x="87"/>
        <item x="1144"/>
        <item x="949"/>
        <item x="515"/>
        <item x="285"/>
        <item x="915"/>
        <item x="481"/>
        <item x="267"/>
        <item x="52"/>
        <item x="96"/>
        <item x="136"/>
        <item x="461"/>
        <item x="266"/>
        <item x="95"/>
        <item x="274"/>
        <item x="507"/>
        <item x="1087"/>
        <item x="172"/>
        <item x="462"/>
        <item x="1015"/>
        <item x="1064"/>
        <item x="955"/>
        <item x="637"/>
        <item x="648"/>
        <item x="220"/>
        <item x="638"/>
        <item x="70"/>
        <item x="609"/>
        <item x="71"/>
        <item x="339"/>
        <item x="18"/>
        <item x="221"/>
        <item x="525"/>
        <item x="152"/>
        <item x="522"/>
        <item x="1272"/>
        <item x="19"/>
        <item x="521"/>
        <item x="569"/>
        <item x="688"/>
        <item x="524"/>
        <item x="528"/>
        <item x="338"/>
        <item x="523"/>
        <item x="636"/>
        <item x="422"/>
        <item x="689"/>
        <item x="570"/>
        <item x="669"/>
        <item x="93"/>
        <item x="1142"/>
        <item x="240"/>
        <item x="694"/>
        <item x="94"/>
        <item x="355"/>
        <item x="312"/>
        <item x="832"/>
        <item x="695"/>
        <item x="757"/>
        <item x="756"/>
        <item x="717"/>
        <item x="1160"/>
        <item x="1161"/>
        <item x="259"/>
        <item x="415"/>
        <item x="121"/>
        <item x="382"/>
        <item x="260"/>
        <item x="263"/>
        <item x="414"/>
        <item x="196"/>
        <item x="264"/>
        <item x="120"/>
        <item x="208"/>
        <item x="132"/>
        <item x="209"/>
        <item x="893"/>
        <item x="330"/>
        <item x="1057"/>
        <item x="974"/>
        <item x="604"/>
        <item x="280"/>
        <item x="1035"/>
        <item x="497"/>
        <item x="475"/>
        <item x="130"/>
        <item x="926"/>
        <item x="892"/>
        <item x="541"/>
        <item x="1140"/>
        <item x="588"/>
        <item x="321"/>
        <item x="1056"/>
        <item x="449"/>
        <item x="700"/>
        <item x="553"/>
        <item x="261"/>
        <item x="579"/>
        <item x="129"/>
        <item x="1089"/>
        <item x="474"/>
        <item x="1053"/>
        <item x="498"/>
        <item x="473"/>
        <item x="859"/>
        <item x="35"/>
        <item x="1107"/>
        <item x="880"/>
        <item x="923"/>
        <item x="160"/>
        <item x="1074"/>
        <item x="879"/>
        <item x="36"/>
        <item x="419"/>
        <item x="922"/>
        <item x="418"/>
        <item x="234"/>
        <item x="1104"/>
        <item x="163"/>
        <item x="432"/>
        <item x="1106"/>
        <item x="37"/>
        <item x="485"/>
        <item x="858"/>
        <item x="804"/>
        <item x="164"/>
        <item x="1105"/>
        <item x="740"/>
        <item x="211"/>
        <item x="1172"/>
        <item x="1213"/>
        <item x="38"/>
        <item x="134"/>
        <item x="306"/>
        <item x="50"/>
        <item x="1204"/>
        <item x="741"/>
        <item x="210"/>
        <item x="1262"/>
        <item x="344"/>
        <item x="49"/>
        <item x="1245"/>
        <item x="1185"/>
        <item x="399"/>
        <item x="1253"/>
        <item x="398"/>
        <item x="1217"/>
        <item x="400"/>
        <item x="590"/>
        <item x="1184"/>
        <item x="480"/>
        <item x="1254"/>
        <item x="555"/>
        <item x="1216"/>
        <item x="557"/>
        <item x="514"/>
        <item x="1238"/>
        <item x="556"/>
        <item x="742"/>
        <item x="464"/>
        <item x="391"/>
        <item x="585"/>
        <item x="743"/>
        <item x="676"/>
        <item x="466"/>
        <item x="773"/>
        <item x="1153"/>
        <item x="465"/>
        <item x="394"/>
        <item x="1139"/>
        <item x="436"/>
        <item x="649"/>
        <item x="437"/>
        <item x="610"/>
        <item x="529"/>
        <item x="691"/>
        <item x="435"/>
        <item x="690"/>
        <item x="1084"/>
        <item x="566"/>
        <item x="1085"/>
        <item x="560"/>
        <item x="1117"/>
        <item x="561"/>
        <item x="1083"/>
        <item x="692"/>
        <item x="947"/>
        <item x="1061"/>
        <item x="526"/>
        <item x="354"/>
        <item x="612"/>
        <item x="323"/>
        <item x="596"/>
        <item x="634"/>
        <item x="1210"/>
        <item x="685"/>
        <item x="791"/>
        <item x="633"/>
        <item x="608"/>
        <item x="731"/>
        <item x="790"/>
        <item x="1016"/>
        <item x="684"/>
        <item x="20"/>
        <item x="1065"/>
        <item x="959"/>
        <item x="806"/>
        <item x="1066"/>
        <item x="1118"/>
        <item x="231"/>
        <item x="22"/>
        <item x="1119"/>
        <item x="713"/>
        <item x="33"/>
        <item x="1276"/>
        <item x="958"/>
        <item x="714"/>
        <item x="21"/>
        <item x="957"/>
        <item x="23"/>
        <item x="956"/>
        <item x="303"/>
        <item x="1223"/>
        <item x="763"/>
        <item x="1271"/>
        <item x="762"/>
        <item x="716"/>
        <item x="428"/>
        <item x="1258"/>
        <item x="1241"/>
        <item x="1179"/>
        <item x="1195"/>
        <item x="54"/>
        <item x="785"/>
        <item x="1194"/>
        <item x="270"/>
        <item x="453"/>
        <item x="139"/>
        <item x="831"/>
        <item x="1075"/>
        <item x="707"/>
        <item x="499"/>
        <item x="853"/>
        <item x="755"/>
        <item x="543"/>
        <item x="271"/>
        <item x="1005"/>
        <item x="1231"/>
        <item x="138"/>
        <item x="1101"/>
        <item x="869"/>
        <item x="771"/>
        <item x="1112"/>
        <item x="1176"/>
        <item x="913"/>
        <item x="1049"/>
        <item x="624"/>
        <item x="447"/>
        <item x="1190"/>
        <item x="1270"/>
        <item x="496"/>
        <item x="327"/>
        <item x="1222"/>
        <item x="657"/>
        <item x="540"/>
        <item x="699"/>
        <item x="1189"/>
        <item x="658"/>
        <item x="622"/>
        <item x="1221"/>
        <item x="448"/>
        <item x="929"/>
        <item x="356"/>
        <item x="364"/>
        <item x="927"/>
        <item x="340"/>
        <item x="928"/>
        <item x="362"/>
        <item x="862"/>
        <item x="363"/>
        <item x="759"/>
        <item x="361"/>
        <item x="720"/>
        <item x="760"/>
        <item x="813"/>
        <item x="1186"/>
        <item x="1242"/>
        <item x="1219"/>
        <item x="640"/>
        <item x="1255"/>
        <item x="615"/>
        <item x="1218"/>
        <item x="386"/>
        <item x="673"/>
        <item x="875"/>
        <item x="98"/>
        <item x="188"/>
        <item x="1022"/>
        <item x="1120"/>
        <item x="157"/>
        <item x="180"/>
        <item x="904"/>
        <item x="106"/>
        <item x="1070"/>
        <item x="156"/>
        <item x="247"/>
        <item x="818"/>
        <item x="903"/>
        <item x="492"/>
        <item x="876"/>
        <item x="99"/>
        <item x="789"/>
        <item x="901"/>
        <item x="187"/>
        <item x="874"/>
        <item x="75"/>
        <item x="902"/>
        <item x="493"/>
        <item x="107"/>
        <item x="438"/>
        <item x="1232"/>
        <item x="573"/>
        <item x="788"/>
        <item x="535"/>
        <item x="423"/>
        <item x="1004"/>
        <item x="439"/>
        <item x="865"/>
        <item x="605"/>
        <item x="626"/>
        <item x="702"/>
        <item x="866"/>
        <item x="975"/>
        <item x="894"/>
        <item x="681"/>
        <item x="776"/>
        <item x="358"/>
        <item x="886"/>
        <item x="1249"/>
        <item x="887"/>
        <item x="1279"/>
        <item x="1036"/>
        <item x="885"/>
        <item x="775"/>
        <item x="80"/>
        <item x="1043"/>
        <item x="895"/>
        <item x="230"/>
        <item x="24"/>
        <item x="696"/>
        <item x="233"/>
        <item x="238"/>
        <item x="1280"/>
        <item x="273"/>
        <item x="165"/>
        <item x="76"/>
        <item x="1273"/>
        <item x="598"/>
        <item x="1044"/>
        <item x="77"/>
        <item x="1278"/>
        <item x="85"/>
        <item x="582"/>
        <item x="66"/>
        <item x="616"/>
        <item x="159"/>
        <item x="897"/>
        <item x="166"/>
        <item x="292"/>
        <item x="545"/>
        <item x="454"/>
        <item x="65"/>
        <item x="502"/>
        <item x="587"/>
        <item x="67"/>
        <item x="571"/>
        <item x="533"/>
        <item x="103"/>
        <item x="551"/>
        <item x="346"/>
        <item x="531"/>
        <item x="253"/>
        <item x="345"/>
        <item x="491"/>
        <item x="44"/>
        <item x="367"/>
        <item x="490"/>
        <item x="470"/>
        <item x="532"/>
        <item x="181"/>
        <item x="401"/>
        <item x="537"/>
        <item x="357"/>
        <item x="562"/>
        <item x="678"/>
        <item x="424"/>
        <item x="701"/>
        <item x="495"/>
        <item x="625"/>
        <item x="444"/>
        <item x="661"/>
        <item x="836"/>
        <item x="727"/>
        <item x="1269"/>
        <item x="835"/>
        <item x="769"/>
        <item x="672"/>
        <item x="1136"/>
        <item x="693"/>
        <item x="324"/>
        <item x="921"/>
        <item x="1183"/>
        <item x="666"/>
        <item x="1103"/>
        <item x="1182"/>
        <item x="920"/>
        <item x="336"/>
        <item x="59"/>
        <item x="1052"/>
        <item x="145"/>
        <item x="1181"/>
        <item x="667"/>
        <item x="798"/>
        <item x="706"/>
        <item x="733"/>
        <item x="58"/>
        <item x="452"/>
        <item x="820"/>
        <item x="146"/>
        <item x="1211"/>
        <item x="451"/>
        <item x="542"/>
        <item x="709"/>
        <item x="427"/>
        <item x="558"/>
        <item x="996"/>
        <item x="484"/>
        <item x="1054"/>
        <item x="592"/>
        <item x="997"/>
        <item x="559"/>
        <item x="255"/>
        <item x="860"/>
        <item x="872"/>
        <item x="564"/>
        <item x="104"/>
        <item x="539"/>
        <item x="46"/>
        <item x="445"/>
        <item x="873"/>
        <item x="1196"/>
        <item x="315"/>
        <item x="469"/>
        <item x="446"/>
        <item x="966"/>
        <item x="183"/>
        <item x="578"/>
        <item x="965"/>
        <item x="360"/>
        <item x="1168"/>
        <item x="549"/>
        <item x="538"/>
        <item x="337"/>
        <item x="1259"/>
        <item x="586"/>
        <item x="359"/>
        <item x="1167"/>
        <item x="550"/>
        <item x="687"/>
        <item x="459"/>
        <item x="803"/>
        <item x="1040"/>
        <item x="1155"/>
        <item x="668"/>
        <item x="457"/>
        <item x="712"/>
        <item x="1094"/>
        <item x="458"/>
        <item x="739"/>
        <item x="976"/>
        <item x="347"/>
        <item x="402"/>
        <item x="504"/>
        <item x="368"/>
        <item x="460"/>
        <item x="1234"/>
        <item x="1154"/>
        <item x="297"/>
        <item x="735"/>
        <item x="972"/>
        <item x="151"/>
        <item x="890"/>
        <item x="68"/>
        <item x="734"/>
        <item x="1032"/>
        <item x="563"/>
        <item x="69"/>
        <item x="799"/>
        <item x="1091"/>
        <item x="577"/>
        <item x="296"/>
        <item x="891"/>
        <item x="576"/>
        <item x="1031"/>
        <item x="425"/>
        <item x="718"/>
        <item x="567"/>
        <item x="812"/>
        <item x="568"/>
        <item x="719"/>
        <item x="1086"/>
        <item x="434"/>
        <item x="758"/>
        <item x="487"/>
        <item x="950"/>
        <item x="488"/>
        <item x="951"/>
        <item x="942"/>
        <item x="174"/>
        <item x="941"/>
        <item x="41"/>
        <item x="1076"/>
        <item x="243"/>
        <item x="1011"/>
        <item x="747"/>
        <item x="175"/>
        <item x="1082"/>
        <item x="1114"/>
        <item x="746"/>
        <item x="1009"/>
        <item x="1060"/>
        <item x="777"/>
        <item x="748"/>
        <item x="1010"/>
        <item x="335"/>
        <item x="373"/>
        <item x="705"/>
        <item x="412"/>
        <item x="392"/>
        <item x="607"/>
        <item x="410"/>
        <item x="665"/>
        <item x="841"/>
        <item x="411"/>
        <item x="1027"/>
        <item x="1028"/>
        <item x="1097"/>
        <item x="842"/>
        <item x="1045"/>
        <item x="73"/>
        <item x="204"/>
        <item x="109"/>
        <item x="933"/>
        <item x="981"/>
        <item x="108"/>
        <item x="1110"/>
        <item x="298"/>
        <item x="279"/>
        <item x="934"/>
        <item x="72"/>
        <item x="128"/>
        <item x="864"/>
        <item x="982"/>
        <item x="153"/>
        <item x="203"/>
        <item x="31"/>
        <item x="631"/>
        <item x="645"/>
        <item x="704"/>
        <item x="646"/>
        <item x="1096"/>
        <item x="207"/>
        <item x="978"/>
        <item x="322"/>
        <item x="206"/>
        <item x="552"/>
        <item x="979"/>
        <item x="282"/>
        <item x="511"/>
        <item x="845"/>
        <item x="115"/>
        <item x="898"/>
        <item x="472"/>
        <item x="182"/>
        <item x="301"/>
        <item x="471"/>
        <item x="114"/>
        <item x="227"/>
        <item x="191"/>
        <item x="45"/>
        <item x="192"/>
        <item x="143"/>
        <item x="74"/>
        <item x="254"/>
        <item x="319"/>
        <item x="144"/>
        <item x="844"/>
        <item x="977"/>
        <item x="265"/>
        <item x="142"/>
        <item x="1095"/>
        <item x="283"/>
        <item x="925"/>
        <item x="216"/>
        <item x="48"/>
        <item x="1000"/>
        <item x="226"/>
        <item x="47"/>
        <item x="855"/>
        <item x="133"/>
        <item x="1055"/>
        <item x="225"/>
        <item x="1001"/>
        <item x="916"/>
        <item x="154"/>
        <item x="1050"/>
        <item x="300"/>
        <item x="917"/>
        <item x="1177"/>
        <item x="829"/>
        <item x="792"/>
        <item x="732"/>
        <item x="809"/>
        <item x="793"/>
        <item x="782"/>
        <item x="1251"/>
        <item x="1051"/>
        <item x="752"/>
        <item x="857"/>
        <item x="856"/>
        <item x="993"/>
        <item x="0"/>
        <item t="default"/>
      </items>
    </pivotField>
    <pivotField showAll="0">
      <items count="348">
        <item x="238"/>
        <item x="299"/>
        <item x="183"/>
        <item x="207"/>
        <item x="337"/>
        <item x="312"/>
        <item x="339"/>
        <item x="132"/>
        <item x="212"/>
        <item x="122"/>
        <item x="230"/>
        <item x="130"/>
        <item x="159"/>
        <item x="97"/>
        <item x="55"/>
        <item x="282"/>
        <item x="260"/>
        <item x="328"/>
        <item x="253"/>
        <item x="158"/>
        <item x="223"/>
        <item x="319"/>
        <item x="256"/>
        <item x="346"/>
        <item x="0"/>
        <item x="72"/>
        <item x="265"/>
        <item x="61"/>
        <item x="1"/>
        <item x="176"/>
        <item x="140"/>
        <item x="141"/>
        <item x="129"/>
        <item x="69"/>
        <item x="73"/>
        <item x="330"/>
        <item x="134"/>
        <item x="288"/>
        <item x="62"/>
        <item x="165"/>
        <item x="271"/>
        <item x="233"/>
        <item x="298"/>
        <item x="52"/>
        <item x="275"/>
        <item x="236"/>
        <item x="257"/>
        <item x="150"/>
        <item x="102"/>
        <item x="84"/>
        <item x="2"/>
        <item x="80"/>
        <item x="323"/>
        <item x="34"/>
        <item x="229"/>
        <item x="66"/>
        <item x="111"/>
        <item x="20"/>
        <item x="85"/>
        <item x="222"/>
        <item x="32"/>
        <item x="125"/>
        <item x="17"/>
        <item x="116"/>
        <item x="258"/>
        <item x="193"/>
        <item x="316"/>
        <item x="245"/>
        <item x="93"/>
        <item x="198"/>
        <item x="317"/>
        <item x="40"/>
        <item x="89"/>
        <item x="11"/>
        <item x="327"/>
        <item x="103"/>
        <item x="266"/>
        <item x="98"/>
        <item x="3"/>
        <item x="137"/>
        <item x="126"/>
        <item x="188"/>
        <item x="71"/>
        <item x="204"/>
        <item x="203"/>
        <item x="200"/>
        <item x="187"/>
        <item x="195"/>
        <item x="240"/>
        <item x="115"/>
        <item x="218"/>
        <item x="277"/>
        <item x="320"/>
        <item x="341"/>
        <item x="331"/>
        <item x="324"/>
        <item x="181"/>
        <item x="283"/>
        <item x="318"/>
        <item x="95"/>
        <item x="83"/>
        <item x="15"/>
        <item x="262"/>
        <item x="68"/>
        <item x="101"/>
        <item x="304"/>
        <item x="146"/>
        <item x="171"/>
        <item x="294"/>
        <item x="39"/>
        <item x="37"/>
        <item x="219"/>
        <item x="326"/>
        <item x="217"/>
        <item x="88"/>
        <item x="220"/>
        <item x="87"/>
        <item x="10"/>
        <item x="332"/>
        <item x="5"/>
        <item x="244"/>
        <item x="110"/>
        <item x="280"/>
        <item x="60"/>
        <item x="94"/>
        <item x="174"/>
        <item x="296"/>
        <item x="190"/>
        <item x="301"/>
        <item x="182"/>
        <item x="82"/>
        <item x="170"/>
        <item x="53"/>
        <item x="209"/>
        <item x="100"/>
        <item x="192"/>
        <item x="25"/>
        <item x="307"/>
        <item x="76"/>
        <item x="128"/>
        <item x="36"/>
        <item x="58"/>
        <item x="254"/>
        <item x="234"/>
        <item x="263"/>
        <item x="136"/>
        <item x="286"/>
        <item x="264"/>
        <item x="306"/>
        <item x="124"/>
        <item x="14"/>
        <item x="199"/>
        <item x="6"/>
        <item x="79"/>
        <item x="43"/>
        <item x="202"/>
        <item x="13"/>
        <item x="44"/>
        <item x="24"/>
        <item x="90"/>
        <item x="246"/>
        <item x="12"/>
        <item x="41"/>
        <item x="65"/>
        <item x="151"/>
        <item x="42"/>
        <item x="152"/>
        <item x="81"/>
        <item x="23"/>
        <item x="114"/>
        <item x="310"/>
        <item x="173"/>
        <item x="268"/>
        <item x="33"/>
        <item x="57"/>
        <item x="164"/>
        <item x="313"/>
        <item x="108"/>
        <item x="47"/>
        <item x="7"/>
        <item x="184"/>
        <item x="142"/>
        <item x="107"/>
        <item x="56"/>
        <item x="118"/>
        <item x="214"/>
        <item x="127"/>
        <item x="70"/>
        <item x="77"/>
        <item x="291"/>
        <item x="99"/>
        <item x="75"/>
        <item x="303"/>
        <item x="162"/>
        <item x="169"/>
        <item x="273"/>
        <item x="287"/>
        <item x="21"/>
        <item x="272"/>
        <item x="139"/>
        <item x="22"/>
        <item x="138"/>
        <item x="231"/>
        <item x="154"/>
        <item x="31"/>
        <item x="329"/>
        <item x="112"/>
        <item x="335"/>
        <item x="172"/>
        <item x="232"/>
        <item x="133"/>
        <item x="166"/>
        <item x="157"/>
        <item x="135"/>
        <item x="309"/>
        <item x="185"/>
        <item x="205"/>
        <item x="117"/>
        <item x="196"/>
        <item x="91"/>
        <item x="189"/>
        <item x="194"/>
        <item x="225"/>
        <item x="342"/>
        <item x="251"/>
        <item x="315"/>
        <item x="211"/>
        <item x="8"/>
        <item x="224"/>
        <item x="314"/>
        <item x="19"/>
        <item x="250"/>
        <item x="239"/>
        <item x="340"/>
        <item x="213"/>
        <item x="148"/>
        <item x="35"/>
        <item x="241"/>
        <item x="281"/>
        <item x="267"/>
        <item x="206"/>
        <item x="344"/>
        <item x="247"/>
        <item x="242"/>
        <item x="197"/>
        <item x="161"/>
        <item x="338"/>
        <item x="96"/>
        <item x="109"/>
        <item x="276"/>
        <item x="216"/>
        <item x="336"/>
        <item x="131"/>
        <item x="59"/>
        <item x="285"/>
        <item x="63"/>
        <item x="297"/>
        <item x="49"/>
        <item x="180"/>
        <item x="143"/>
        <item x="255"/>
        <item x="249"/>
        <item x="279"/>
        <item x="343"/>
        <item x="120"/>
        <item x="248"/>
        <item x="292"/>
        <item x="289"/>
        <item x="243"/>
        <item x="9"/>
        <item x="50"/>
        <item x="191"/>
        <item x="51"/>
        <item x="295"/>
        <item x="54"/>
        <item x="149"/>
        <item x="45"/>
        <item x="168"/>
        <item x="179"/>
        <item x="27"/>
        <item x="113"/>
        <item x="144"/>
        <item x="119"/>
        <item x="221"/>
        <item x="92"/>
        <item x="300"/>
        <item x="334"/>
        <item x="105"/>
        <item x="38"/>
        <item x="208"/>
        <item x="147"/>
        <item x="175"/>
        <item x="274"/>
        <item x="29"/>
        <item x="284"/>
        <item x="160"/>
        <item x="167"/>
        <item x="325"/>
        <item x="106"/>
        <item x="210"/>
        <item x="293"/>
        <item x="163"/>
        <item x="121"/>
        <item x="228"/>
        <item x="46"/>
        <item x="290"/>
        <item x="145"/>
        <item x="215"/>
        <item x="311"/>
        <item x="155"/>
        <item x="186"/>
        <item x="156"/>
        <item x="177"/>
        <item x="26"/>
        <item x="178"/>
        <item x="305"/>
        <item x="308"/>
        <item x="235"/>
        <item x="104"/>
        <item x="123"/>
        <item x="259"/>
        <item x="322"/>
        <item x="74"/>
        <item x="64"/>
        <item x="278"/>
        <item x="16"/>
        <item x="201"/>
        <item x="261"/>
        <item x="86"/>
        <item x="153"/>
        <item x="28"/>
        <item x="67"/>
        <item x="48"/>
        <item x="78"/>
        <item x="321"/>
        <item x="30"/>
        <item x="302"/>
        <item x="18"/>
        <item x="269"/>
        <item x="237"/>
        <item x="333"/>
        <item x="227"/>
        <item x="226"/>
        <item x="252"/>
        <item x="270"/>
        <item x="345"/>
        <item x="4"/>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33"/>
  </rowFields>
  <rowItems count="4">
    <i>
      <x/>
    </i>
    <i>
      <x v="1"/>
    </i>
    <i>
      <x v="2"/>
    </i>
    <i t="grand">
      <x/>
    </i>
  </rowItems>
  <colItems count="1">
    <i/>
  </colItems>
  <dataFields count="1">
    <dataField name="Count of Candidate Source" fld="33"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D61056-63D7-4D18-A41D-EAFB2B276E9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51">
    <pivotField showAll="0"/>
    <pivotField showAll="0"/>
    <pivotField showAll="0">
      <items count="34">
        <item x="32"/>
        <item x="28"/>
        <item h="1" x="24"/>
        <item x="21"/>
        <item x="19"/>
        <item x="17"/>
        <item x="12"/>
        <item x="10"/>
        <item x="6"/>
        <item x="3"/>
        <item x="1"/>
        <item x="31"/>
        <item x="30"/>
        <item x="27"/>
        <item x="29"/>
        <item x="26"/>
        <item x="25"/>
        <item x="22"/>
        <item x="23"/>
        <item x="20"/>
        <item x="18"/>
        <item x="16"/>
        <item x="15"/>
        <item x="13"/>
        <item x="14"/>
        <item h="1" x="9"/>
        <item h="1" x="11"/>
        <item x="7"/>
        <item x="8"/>
        <item x="4"/>
        <item x="5"/>
        <item x="0"/>
        <item x="2"/>
        <item t="default"/>
      </items>
    </pivotField>
    <pivotField showAll="0"/>
    <pivotField showAll="0"/>
    <pivotField showAll="0"/>
    <pivotField showAll="0"/>
    <pivotField showAll="0"/>
    <pivotField showAll="0"/>
    <pivotField showAll="0">
      <items count="1287">
        <item x="1100"/>
        <item x="753"/>
        <item x="912"/>
        <item x="510"/>
        <item x="811"/>
        <item x="910"/>
        <item x="548"/>
        <item x="784"/>
        <item x="911"/>
        <item x="509"/>
        <item x="795"/>
        <item x="754"/>
        <item x="797"/>
        <item x="708"/>
        <item x="796"/>
        <item x="1256"/>
        <item x="954"/>
        <item x="1188"/>
        <item x="1063"/>
        <item x="1014"/>
        <item x="1220"/>
        <item x="1243"/>
        <item x="952"/>
        <item x="1187"/>
        <item x="1192"/>
        <item x="953"/>
        <item x="653"/>
        <item x="1257"/>
        <item x="372"/>
        <item x="1191"/>
        <item x="810"/>
        <item x="600"/>
        <item x="715"/>
        <item x="697"/>
        <item x="409"/>
        <item x="783"/>
        <item x="1147"/>
        <item x="830"/>
        <item x="1157"/>
        <item x="371"/>
        <item x="801"/>
        <item x="1237"/>
        <item x="802"/>
        <item x="738"/>
        <item x="651"/>
        <item x="650"/>
        <item x="385"/>
        <item x="1137"/>
        <item x="572"/>
        <item x="534"/>
        <item x="442"/>
        <item x="328"/>
        <item x="443"/>
        <item x="88"/>
        <item x="390"/>
        <item x="936"/>
        <item x="90"/>
        <item x="1039"/>
        <item x="89"/>
        <item x="1226"/>
        <item x="843"/>
        <item x="870"/>
        <item x="1260"/>
        <item x="1037"/>
        <item x="937"/>
        <item x="310"/>
        <item x="441"/>
        <item x="794"/>
        <item x="1201"/>
        <item x="1038"/>
        <item x="1059"/>
        <item x="171"/>
        <item x="440"/>
        <item x="819"/>
        <item x="1171"/>
        <item x="1006"/>
        <item x="530"/>
        <item x="1264"/>
        <item x="1227"/>
        <item x="839"/>
        <item x="1029"/>
        <item x="1093"/>
        <item x="489"/>
        <item x="1090"/>
        <item x="1233"/>
        <item x="787"/>
        <item x="888"/>
        <item x="730"/>
        <item x="527"/>
        <item x="838"/>
        <item x="1030"/>
        <item x="200"/>
        <item x="889"/>
        <item x="125"/>
        <item x="199"/>
        <item x="593"/>
        <item x="907"/>
        <item x="124"/>
        <item x="1"/>
        <item x="851"/>
        <item x="988"/>
        <item x="252"/>
        <item x="908"/>
        <item x="251"/>
        <item x="2"/>
        <item x="101"/>
        <item x="486"/>
        <item x="43"/>
        <item x="1277"/>
        <item x="433"/>
        <item x="102"/>
        <item x="3"/>
        <item x="4"/>
        <item x="420"/>
        <item x="1283"/>
        <item x="421"/>
        <item x="384"/>
        <item x="1151"/>
        <item x="119"/>
        <item x="1135"/>
        <item x="195"/>
        <item x="1134"/>
        <item x="117"/>
        <item x="1150"/>
        <item x="258"/>
        <item x="126"/>
        <item x="118"/>
        <item x="127"/>
        <item x="277"/>
        <item x="201"/>
        <item x="1173"/>
        <item x="320"/>
        <item x="1263"/>
        <item x="1205"/>
        <item x="202"/>
        <item x="1246"/>
        <item x="393"/>
        <item x="1024"/>
        <item x="686"/>
        <item x="1122"/>
        <item x="635"/>
        <item x="186"/>
        <item x="881"/>
        <item x="584"/>
        <item x="995"/>
        <item x="316"/>
        <item x="969"/>
        <item x="463"/>
        <item x="906"/>
        <item x="918"/>
        <item x="774"/>
        <item x="994"/>
        <item x="744"/>
        <item x="185"/>
        <item x="882"/>
        <item x="919"/>
        <item x="805"/>
        <item x="184"/>
        <item x="508"/>
        <item x="1102"/>
        <item x="105"/>
        <item x="81"/>
        <item x="905"/>
        <item x="1178"/>
        <item x="1058"/>
        <item x="82"/>
        <item x="1047"/>
        <item x="861"/>
        <item x="1002"/>
        <item x="751"/>
        <item x="161"/>
        <item x="1003"/>
        <item x="1239"/>
        <item x="828"/>
        <item x="750"/>
        <item x="749"/>
        <item x="827"/>
        <item x="1025"/>
        <item x="883"/>
        <item x="884"/>
        <item x="429"/>
        <item x="628"/>
        <item x="314"/>
        <item x="6"/>
        <item x="455"/>
        <item x="149"/>
        <item x="644"/>
        <item x="5"/>
        <item x="456"/>
        <item x="627"/>
        <item x="1285"/>
        <item x="503"/>
        <item x="293"/>
        <item x="245"/>
        <item x="547"/>
        <item x="1048"/>
        <item x="295"/>
        <item x="8"/>
        <item x="546"/>
        <item x="137"/>
        <item x="989"/>
        <item x="150"/>
        <item x="333"/>
        <item x="42"/>
        <item x="7"/>
        <item x="214"/>
        <item x="990"/>
        <item x="294"/>
        <item x="53"/>
        <item x="991"/>
        <item x="269"/>
        <item x="286"/>
        <item x="213"/>
        <item x="1235"/>
        <item x="112"/>
        <item x="737"/>
        <item x="1143"/>
        <item x="78"/>
        <item x="318"/>
        <item x="113"/>
        <item x="736"/>
        <item x="343"/>
        <item x="246"/>
        <item x="79"/>
        <item x="111"/>
        <item x="396"/>
        <item x="34"/>
        <item x="317"/>
        <item x="800"/>
        <item x="342"/>
        <item x="179"/>
        <item x="232"/>
        <item x="397"/>
        <item x="178"/>
        <item x="728"/>
        <item x="158"/>
        <item x="51"/>
        <item x="376"/>
        <item x="770"/>
        <item x="212"/>
        <item x="1158"/>
        <item x="177"/>
        <item x="837"/>
        <item x="135"/>
        <item x="378"/>
        <item x="1180"/>
        <item x="284"/>
        <item x="377"/>
        <item x="729"/>
        <item x="1130"/>
        <item x="1215"/>
        <item x="299"/>
        <item x="352"/>
        <item x="1026"/>
        <item x="654"/>
        <item x="32"/>
        <item x="1067"/>
        <item x="1146"/>
        <item x="971"/>
        <item x="603"/>
        <item x="223"/>
        <item x="1017"/>
        <item x="406"/>
        <item x="970"/>
        <item x="675"/>
        <item x="808"/>
        <item x="224"/>
        <item x="1018"/>
        <item x="351"/>
        <item x="840"/>
        <item x="621"/>
        <item x="1267"/>
        <item x="222"/>
        <item x="961"/>
        <item x="1145"/>
        <item x="1152"/>
        <item x="780"/>
        <item x="960"/>
        <item x="405"/>
        <item x="620"/>
        <item x="1019"/>
        <item x="1214"/>
        <item x="652"/>
        <item x="387"/>
        <item x="662"/>
        <item x="325"/>
        <item x="62"/>
        <item x="663"/>
        <item x="61"/>
        <item x="680"/>
        <item x="962"/>
        <item x="290"/>
        <item x="963"/>
        <item x="147"/>
        <item x="26"/>
        <item x="1021"/>
        <item x="1068"/>
        <item x="1020"/>
        <item x="1244"/>
        <item x="1198"/>
        <item x="1170"/>
        <item x="1199"/>
        <item x="1200"/>
        <item x="647"/>
        <item x="852"/>
        <item x="623"/>
        <item x="606"/>
        <item x="909"/>
        <item x="641"/>
        <item x="632"/>
        <item x="683"/>
        <item x="1073"/>
        <item x="334"/>
        <item x="1099"/>
        <item x="329"/>
        <item x="992"/>
        <item x="1284"/>
        <item x="10"/>
        <item x="9"/>
        <item x="11"/>
        <item x="417"/>
        <item x="595"/>
        <item x="1148"/>
        <item x="1133"/>
        <item x="671"/>
        <item x="379"/>
        <item x="1163"/>
        <item x="670"/>
        <item x="122"/>
        <item x="413"/>
        <item x="1132"/>
        <item x="639"/>
        <item x="198"/>
        <item x="594"/>
        <item x="123"/>
        <item x="380"/>
        <item x="416"/>
        <item x="611"/>
        <item x="381"/>
        <item x="197"/>
        <item x="278"/>
        <item x="766"/>
        <item x="370"/>
        <item x="786"/>
        <item x="1124"/>
        <item x="815"/>
        <item x="816"/>
        <item x="932"/>
        <item x="404"/>
        <item x="834"/>
        <item x="764"/>
        <item x="930"/>
        <item x="1123"/>
        <item x="1092"/>
        <item x="723"/>
        <item x="765"/>
        <item x="1109"/>
        <item x="350"/>
        <item x="973"/>
        <item x="1240"/>
        <item x="931"/>
        <item x="1230"/>
        <item x="349"/>
        <item x="1228"/>
        <item x="1034"/>
        <item x="761"/>
        <item x="863"/>
        <item x="1174"/>
        <item x="1261"/>
        <item x="1033"/>
        <item x="1175"/>
        <item x="1203"/>
        <item x="575"/>
        <item x="1229"/>
        <item x="1202"/>
        <item x="1166"/>
        <item x="1206"/>
        <item x="1164"/>
        <item x="494"/>
        <item x="1193"/>
        <item x="574"/>
        <item x="1165"/>
        <item x="536"/>
        <item x="964"/>
        <item x="1088"/>
        <item x="389"/>
        <item x="308"/>
        <item x="1071"/>
        <item x="674"/>
        <item x="168"/>
        <item x="326"/>
        <item x="169"/>
        <item x="1069"/>
        <item x="309"/>
        <item x="871"/>
        <item x="968"/>
        <item x="218"/>
        <item x="1023"/>
        <item x="980"/>
        <item x="219"/>
        <item x="170"/>
        <item x="847"/>
        <item x="193"/>
        <item x="257"/>
        <item x="30"/>
        <item x="679"/>
        <item x="846"/>
        <item x="1008"/>
        <item x="194"/>
        <item x="426"/>
        <item x="940"/>
        <item x="116"/>
        <item x="332"/>
        <item x="1113"/>
        <item x="580"/>
        <item x="1141"/>
        <item x="60"/>
        <item x="1007"/>
        <item x="565"/>
        <item x="938"/>
        <item x="513"/>
        <item x="450"/>
        <item x="1042"/>
        <item x="289"/>
        <item x="939"/>
        <item x="288"/>
        <item x="479"/>
        <item x="767"/>
        <item x="1224"/>
        <item x="896"/>
        <item x="217"/>
        <item x="589"/>
        <item x="1041"/>
        <item x="25"/>
        <item x="141"/>
        <item x="1197"/>
        <item x="1072"/>
        <item x="512"/>
        <item x="726"/>
        <item x="814"/>
        <item x="725"/>
        <item x="1169"/>
        <item x="215"/>
        <item x="833"/>
        <item x="817"/>
        <item x="57"/>
        <item x="768"/>
        <item x="722"/>
        <item x="724"/>
        <item x="1225"/>
        <item x="1252"/>
        <item x="721"/>
        <item x="1248"/>
        <item x="1208"/>
        <item x="1275"/>
        <item x="1209"/>
        <item x="12"/>
        <item x="1247"/>
        <item x="778"/>
        <item x="1274"/>
        <item x="1207"/>
        <item x="779"/>
        <item x="13"/>
        <item x="14"/>
        <item x="366"/>
        <item x="365"/>
        <item x="395"/>
        <item x="1111"/>
        <item x="807"/>
        <item x="341"/>
        <item x="867"/>
        <item x="617"/>
        <item x="248"/>
        <item x="388"/>
        <item x="520"/>
        <item x="250"/>
        <item x="935"/>
        <item x="249"/>
        <item x="868"/>
        <item x="900"/>
        <item x="599"/>
        <item x="483"/>
        <item x="1098"/>
        <item x="618"/>
        <item x="519"/>
        <item x="100"/>
        <item x="597"/>
        <item x="482"/>
        <item x="613"/>
        <item x="984"/>
        <item x="518"/>
        <item x="614"/>
        <item x="985"/>
        <item x="924"/>
        <item x="998"/>
        <item x="581"/>
        <item x="999"/>
        <item x="544"/>
        <item x="1108"/>
        <item x="500"/>
        <item x="305"/>
        <item x="554"/>
        <item x="501"/>
        <item x="162"/>
        <item x="478"/>
        <item x="304"/>
        <item x="476"/>
        <item x="83"/>
        <item x="235"/>
        <item x="477"/>
        <item x="84"/>
        <item x="236"/>
        <item x="237"/>
        <item x="772"/>
        <item x="331"/>
        <item x="1212"/>
        <item x="711"/>
        <item x="643"/>
        <item x="1265"/>
        <item x="659"/>
        <item x="710"/>
        <item x="660"/>
        <item x="698"/>
        <item x="602"/>
        <item x="1138"/>
        <item x="619"/>
        <item x="275"/>
        <item x="601"/>
        <item x="173"/>
        <item x="241"/>
        <item x="944"/>
        <item x="242"/>
        <item x="1080"/>
        <item x="946"/>
        <item x="1131"/>
        <item x="40"/>
        <item x="1116"/>
        <item x="281"/>
        <item x="945"/>
        <item x="56"/>
        <item x="262"/>
        <item x="1162"/>
        <item x="1081"/>
        <item x="1149"/>
        <item x="287"/>
        <item x="205"/>
        <item x="1159"/>
        <item x="97"/>
        <item x="823"/>
        <item x="272"/>
        <item x="131"/>
        <item x="383"/>
        <item x="176"/>
        <item x="821"/>
        <item x="140"/>
        <item x="1236"/>
        <item x="55"/>
        <item x="313"/>
        <item x="822"/>
        <item x="745"/>
        <item x="244"/>
        <item x="899"/>
        <item x="407"/>
        <item x="824"/>
        <item x="1156"/>
        <item x="848"/>
        <item x="408"/>
        <item x="1266"/>
        <item x="983"/>
        <item x="1126"/>
        <item x="877"/>
        <item x="353"/>
        <item x="849"/>
        <item x="967"/>
        <item x="1125"/>
        <item x="878"/>
        <item x="986"/>
        <item x="1121"/>
        <item x="1079"/>
        <item x="987"/>
        <item x="1115"/>
        <item x="850"/>
        <item x="1128"/>
        <item x="1046"/>
        <item x="1077"/>
        <item x="1127"/>
        <item x="1078"/>
        <item x="1129"/>
        <item x="943"/>
        <item x="664"/>
        <item x="148"/>
        <item x="374"/>
        <item x="15"/>
        <item x="629"/>
        <item x="64"/>
        <item x="375"/>
        <item x="16"/>
        <item x="28"/>
        <item x="1281"/>
        <item x="642"/>
        <item x="630"/>
        <item x="29"/>
        <item x="1282"/>
        <item x="656"/>
        <item x="703"/>
        <item x="92"/>
        <item x="17"/>
        <item x="677"/>
        <item x="682"/>
        <item x="239"/>
        <item x="311"/>
        <item x="291"/>
        <item x="91"/>
        <item x="655"/>
        <item x="27"/>
        <item x="39"/>
        <item x="1250"/>
        <item x="1268"/>
        <item x="63"/>
        <item x="781"/>
        <item x="825"/>
        <item x="110"/>
        <item x="468"/>
        <item x="505"/>
        <item x="826"/>
        <item x="190"/>
        <item x="430"/>
        <item x="189"/>
        <item x="467"/>
        <item x="256"/>
        <item x="506"/>
        <item x="276"/>
        <item x="583"/>
        <item x="228"/>
        <item x="431"/>
        <item x="948"/>
        <item x="302"/>
        <item x="307"/>
        <item x="403"/>
        <item x="1062"/>
        <item x="516"/>
        <item x="155"/>
        <item x="86"/>
        <item x="369"/>
        <item x="1012"/>
        <item x="591"/>
        <item x="167"/>
        <item x="348"/>
        <item x="854"/>
        <item x="1013"/>
        <item x="517"/>
        <item x="914"/>
        <item x="268"/>
        <item x="229"/>
        <item x="87"/>
        <item x="1144"/>
        <item x="949"/>
        <item x="515"/>
        <item x="285"/>
        <item x="915"/>
        <item x="481"/>
        <item x="267"/>
        <item x="52"/>
        <item x="96"/>
        <item x="136"/>
        <item x="461"/>
        <item x="266"/>
        <item x="95"/>
        <item x="274"/>
        <item x="507"/>
        <item x="1087"/>
        <item x="172"/>
        <item x="462"/>
        <item x="1015"/>
        <item x="1064"/>
        <item x="955"/>
        <item x="637"/>
        <item x="648"/>
        <item x="220"/>
        <item x="638"/>
        <item x="70"/>
        <item x="609"/>
        <item x="71"/>
        <item x="339"/>
        <item x="18"/>
        <item x="221"/>
        <item x="525"/>
        <item x="152"/>
        <item x="522"/>
        <item x="1272"/>
        <item x="19"/>
        <item x="521"/>
        <item x="569"/>
        <item x="688"/>
        <item x="524"/>
        <item x="528"/>
        <item x="338"/>
        <item x="523"/>
        <item x="636"/>
        <item x="422"/>
        <item x="689"/>
        <item x="570"/>
        <item x="669"/>
        <item x="93"/>
        <item x="1142"/>
        <item x="240"/>
        <item x="694"/>
        <item x="94"/>
        <item x="355"/>
        <item x="312"/>
        <item x="832"/>
        <item x="695"/>
        <item x="757"/>
        <item x="756"/>
        <item x="717"/>
        <item x="1160"/>
        <item x="1161"/>
        <item x="259"/>
        <item x="415"/>
        <item x="121"/>
        <item x="382"/>
        <item x="260"/>
        <item x="263"/>
        <item x="414"/>
        <item x="196"/>
        <item x="264"/>
        <item x="120"/>
        <item x="208"/>
        <item x="132"/>
        <item x="209"/>
        <item x="893"/>
        <item x="330"/>
        <item x="1057"/>
        <item x="974"/>
        <item x="604"/>
        <item x="280"/>
        <item x="1035"/>
        <item x="497"/>
        <item x="475"/>
        <item x="130"/>
        <item x="926"/>
        <item x="892"/>
        <item x="541"/>
        <item x="1140"/>
        <item x="588"/>
        <item x="321"/>
        <item x="1056"/>
        <item x="449"/>
        <item x="700"/>
        <item x="553"/>
        <item x="261"/>
        <item x="579"/>
        <item x="129"/>
        <item x="1089"/>
        <item x="474"/>
        <item x="1053"/>
        <item x="498"/>
        <item x="473"/>
        <item x="859"/>
        <item x="35"/>
        <item x="1107"/>
        <item x="880"/>
        <item x="923"/>
        <item x="160"/>
        <item x="1074"/>
        <item x="879"/>
        <item x="36"/>
        <item x="419"/>
        <item x="922"/>
        <item x="418"/>
        <item x="234"/>
        <item x="1104"/>
        <item x="163"/>
        <item x="432"/>
        <item x="1106"/>
        <item x="37"/>
        <item x="485"/>
        <item x="858"/>
        <item x="804"/>
        <item x="164"/>
        <item x="1105"/>
        <item x="740"/>
        <item x="211"/>
        <item x="1172"/>
        <item x="1213"/>
        <item x="38"/>
        <item x="134"/>
        <item x="306"/>
        <item x="50"/>
        <item x="1204"/>
        <item x="741"/>
        <item x="210"/>
        <item x="1262"/>
        <item x="344"/>
        <item x="49"/>
        <item x="1245"/>
        <item x="1185"/>
        <item x="399"/>
        <item x="1253"/>
        <item x="398"/>
        <item x="1217"/>
        <item x="400"/>
        <item x="590"/>
        <item x="1184"/>
        <item x="480"/>
        <item x="1254"/>
        <item x="555"/>
        <item x="1216"/>
        <item x="557"/>
        <item x="514"/>
        <item x="1238"/>
        <item x="556"/>
        <item x="742"/>
        <item x="464"/>
        <item x="391"/>
        <item x="585"/>
        <item x="743"/>
        <item x="676"/>
        <item x="466"/>
        <item x="773"/>
        <item x="1153"/>
        <item x="465"/>
        <item x="394"/>
        <item x="1139"/>
        <item x="436"/>
        <item x="649"/>
        <item x="437"/>
        <item x="610"/>
        <item x="529"/>
        <item x="691"/>
        <item x="435"/>
        <item x="690"/>
        <item x="1084"/>
        <item x="566"/>
        <item x="1085"/>
        <item x="560"/>
        <item x="1117"/>
        <item x="561"/>
        <item x="1083"/>
        <item x="692"/>
        <item x="947"/>
        <item x="1061"/>
        <item x="526"/>
        <item x="354"/>
        <item x="612"/>
        <item x="323"/>
        <item x="596"/>
        <item x="634"/>
        <item x="1210"/>
        <item x="685"/>
        <item x="791"/>
        <item x="633"/>
        <item x="608"/>
        <item x="731"/>
        <item x="790"/>
        <item x="1016"/>
        <item x="684"/>
        <item x="20"/>
        <item x="1065"/>
        <item x="959"/>
        <item x="806"/>
        <item x="1066"/>
        <item x="1118"/>
        <item x="231"/>
        <item x="22"/>
        <item x="1119"/>
        <item x="713"/>
        <item x="33"/>
        <item x="1276"/>
        <item x="958"/>
        <item x="714"/>
        <item x="21"/>
        <item x="957"/>
        <item x="23"/>
        <item x="956"/>
        <item x="303"/>
        <item x="1223"/>
        <item x="763"/>
        <item x="1271"/>
        <item x="762"/>
        <item x="716"/>
        <item x="428"/>
        <item x="1258"/>
        <item x="1241"/>
        <item x="1179"/>
        <item x="1195"/>
        <item x="54"/>
        <item x="785"/>
        <item x="1194"/>
        <item x="270"/>
        <item x="453"/>
        <item x="139"/>
        <item x="831"/>
        <item x="1075"/>
        <item x="707"/>
        <item x="499"/>
        <item x="853"/>
        <item x="755"/>
        <item x="543"/>
        <item x="271"/>
        <item x="1005"/>
        <item x="1231"/>
        <item x="138"/>
        <item x="1101"/>
        <item x="869"/>
        <item x="771"/>
        <item x="1112"/>
        <item x="1176"/>
        <item x="913"/>
        <item x="1049"/>
        <item x="624"/>
        <item x="447"/>
        <item x="1190"/>
        <item x="1270"/>
        <item x="496"/>
        <item x="327"/>
        <item x="1222"/>
        <item x="657"/>
        <item x="540"/>
        <item x="699"/>
        <item x="1189"/>
        <item x="658"/>
        <item x="622"/>
        <item x="1221"/>
        <item x="448"/>
        <item x="929"/>
        <item x="356"/>
        <item x="364"/>
        <item x="927"/>
        <item x="340"/>
        <item x="928"/>
        <item x="362"/>
        <item x="862"/>
        <item x="363"/>
        <item x="759"/>
        <item x="361"/>
        <item x="720"/>
        <item x="760"/>
        <item x="813"/>
        <item x="1186"/>
        <item x="1242"/>
        <item x="1219"/>
        <item x="640"/>
        <item x="1255"/>
        <item x="615"/>
        <item x="1218"/>
        <item x="386"/>
        <item x="673"/>
        <item x="875"/>
        <item x="98"/>
        <item x="188"/>
        <item x="1022"/>
        <item x="1120"/>
        <item x="157"/>
        <item x="180"/>
        <item x="904"/>
        <item x="106"/>
        <item x="1070"/>
        <item x="156"/>
        <item x="247"/>
        <item x="818"/>
        <item x="903"/>
        <item x="492"/>
        <item x="876"/>
        <item x="99"/>
        <item x="789"/>
        <item x="901"/>
        <item x="187"/>
        <item x="874"/>
        <item x="75"/>
        <item x="902"/>
        <item x="493"/>
        <item x="107"/>
        <item x="438"/>
        <item x="1232"/>
        <item x="573"/>
        <item x="788"/>
        <item x="535"/>
        <item x="423"/>
        <item x="1004"/>
        <item x="439"/>
        <item x="865"/>
        <item x="605"/>
        <item x="626"/>
        <item x="702"/>
        <item x="866"/>
        <item x="975"/>
        <item x="894"/>
        <item x="681"/>
        <item x="776"/>
        <item x="358"/>
        <item x="886"/>
        <item x="1249"/>
        <item x="887"/>
        <item x="1279"/>
        <item x="1036"/>
        <item x="885"/>
        <item x="775"/>
        <item x="80"/>
        <item x="1043"/>
        <item x="895"/>
        <item x="230"/>
        <item x="24"/>
        <item x="696"/>
        <item x="233"/>
        <item x="238"/>
        <item x="1280"/>
        <item x="273"/>
        <item x="165"/>
        <item x="76"/>
        <item x="1273"/>
        <item x="598"/>
        <item x="1044"/>
        <item x="77"/>
        <item x="1278"/>
        <item x="85"/>
        <item x="582"/>
        <item x="66"/>
        <item x="616"/>
        <item x="159"/>
        <item x="897"/>
        <item x="166"/>
        <item x="292"/>
        <item x="545"/>
        <item x="454"/>
        <item x="65"/>
        <item x="502"/>
        <item x="587"/>
        <item x="67"/>
        <item x="571"/>
        <item x="533"/>
        <item x="103"/>
        <item x="551"/>
        <item x="346"/>
        <item x="531"/>
        <item x="253"/>
        <item x="345"/>
        <item x="491"/>
        <item x="44"/>
        <item x="367"/>
        <item x="490"/>
        <item x="470"/>
        <item x="532"/>
        <item x="181"/>
        <item x="401"/>
        <item x="537"/>
        <item x="357"/>
        <item x="562"/>
        <item x="678"/>
        <item x="424"/>
        <item x="701"/>
        <item x="495"/>
        <item x="625"/>
        <item x="444"/>
        <item x="661"/>
        <item x="836"/>
        <item x="727"/>
        <item x="1269"/>
        <item x="835"/>
        <item x="769"/>
        <item x="672"/>
        <item x="1136"/>
        <item x="693"/>
        <item x="324"/>
        <item x="921"/>
        <item x="1183"/>
        <item x="666"/>
        <item x="1103"/>
        <item x="1182"/>
        <item x="920"/>
        <item x="336"/>
        <item x="59"/>
        <item x="1052"/>
        <item x="145"/>
        <item x="1181"/>
        <item x="667"/>
        <item x="798"/>
        <item x="706"/>
        <item x="733"/>
        <item x="58"/>
        <item x="452"/>
        <item x="820"/>
        <item x="146"/>
        <item x="1211"/>
        <item x="451"/>
        <item x="542"/>
        <item x="709"/>
        <item x="427"/>
        <item x="558"/>
        <item x="996"/>
        <item x="484"/>
        <item x="1054"/>
        <item x="592"/>
        <item x="997"/>
        <item x="559"/>
        <item x="255"/>
        <item x="860"/>
        <item x="872"/>
        <item x="564"/>
        <item x="104"/>
        <item x="539"/>
        <item x="46"/>
        <item x="445"/>
        <item x="873"/>
        <item x="1196"/>
        <item x="315"/>
        <item x="469"/>
        <item x="446"/>
        <item x="966"/>
        <item x="183"/>
        <item x="578"/>
        <item x="965"/>
        <item x="360"/>
        <item x="1168"/>
        <item x="549"/>
        <item x="538"/>
        <item x="337"/>
        <item x="1259"/>
        <item x="586"/>
        <item x="359"/>
        <item x="1167"/>
        <item x="550"/>
        <item x="687"/>
        <item x="459"/>
        <item x="803"/>
        <item x="1040"/>
        <item x="1155"/>
        <item x="668"/>
        <item x="457"/>
        <item x="712"/>
        <item x="1094"/>
        <item x="458"/>
        <item x="739"/>
        <item x="976"/>
        <item x="347"/>
        <item x="402"/>
        <item x="504"/>
        <item x="368"/>
        <item x="460"/>
        <item x="1234"/>
        <item x="1154"/>
        <item x="297"/>
        <item x="735"/>
        <item x="972"/>
        <item x="151"/>
        <item x="890"/>
        <item x="68"/>
        <item x="734"/>
        <item x="1032"/>
        <item x="563"/>
        <item x="69"/>
        <item x="799"/>
        <item x="1091"/>
        <item x="577"/>
        <item x="296"/>
        <item x="891"/>
        <item x="576"/>
        <item x="1031"/>
        <item x="425"/>
        <item x="718"/>
        <item x="567"/>
        <item x="812"/>
        <item x="568"/>
        <item x="719"/>
        <item x="1086"/>
        <item x="434"/>
        <item x="758"/>
        <item x="487"/>
        <item x="950"/>
        <item x="488"/>
        <item x="951"/>
        <item x="942"/>
        <item x="174"/>
        <item x="941"/>
        <item x="41"/>
        <item x="1076"/>
        <item x="243"/>
        <item x="1011"/>
        <item x="747"/>
        <item x="175"/>
        <item x="1082"/>
        <item x="1114"/>
        <item x="746"/>
        <item x="1009"/>
        <item x="1060"/>
        <item x="777"/>
        <item x="748"/>
        <item x="1010"/>
        <item x="335"/>
        <item x="373"/>
        <item x="705"/>
        <item x="412"/>
        <item x="392"/>
        <item x="607"/>
        <item x="410"/>
        <item x="665"/>
        <item x="841"/>
        <item x="411"/>
        <item x="1027"/>
        <item x="1028"/>
        <item x="1097"/>
        <item x="842"/>
        <item x="1045"/>
        <item x="73"/>
        <item x="204"/>
        <item x="109"/>
        <item x="933"/>
        <item x="981"/>
        <item x="108"/>
        <item x="1110"/>
        <item x="298"/>
        <item x="279"/>
        <item x="934"/>
        <item x="72"/>
        <item x="128"/>
        <item x="864"/>
        <item x="982"/>
        <item x="153"/>
        <item x="203"/>
        <item x="31"/>
        <item x="631"/>
        <item x="645"/>
        <item x="704"/>
        <item x="646"/>
        <item x="1096"/>
        <item x="207"/>
        <item x="978"/>
        <item x="322"/>
        <item x="206"/>
        <item x="552"/>
        <item x="979"/>
        <item x="282"/>
        <item x="511"/>
        <item x="845"/>
        <item x="115"/>
        <item x="898"/>
        <item x="472"/>
        <item x="182"/>
        <item x="301"/>
        <item x="471"/>
        <item x="114"/>
        <item x="227"/>
        <item x="191"/>
        <item x="45"/>
        <item x="192"/>
        <item x="143"/>
        <item x="74"/>
        <item x="254"/>
        <item x="319"/>
        <item x="144"/>
        <item x="844"/>
        <item x="977"/>
        <item x="265"/>
        <item x="142"/>
        <item x="1095"/>
        <item x="283"/>
        <item x="925"/>
        <item x="216"/>
        <item x="48"/>
        <item x="1000"/>
        <item x="226"/>
        <item x="47"/>
        <item x="855"/>
        <item x="133"/>
        <item x="1055"/>
        <item x="225"/>
        <item x="1001"/>
        <item x="916"/>
        <item x="154"/>
        <item x="1050"/>
        <item x="300"/>
        <item x="917"/>
        <item x="1177"/>
        <item x="829"/>
        <item x="792"/>
        <item x="732"/>
        <item x="809"/>
        <item x="793"/>
        <item x="782"/>
        <item x="1251"/>
        <item x="1051"/>
        <item x="752"/>
        <item x="857"/>
        <item x="856"/>
        <item x="993"/>
        <item x="0"/>
        <item t="default"/>
      </items>
    </pivotField>
    <pivotField showAll="0">
      <items count="348">
        <item x="238"/>
        <item x="299"/>
        <item x="183"/>
        <item x="207"/>
        <item x="337"/>
        <item x="312"/>
        <item x="339"/>
        <item x="132"/>
        <item x="212"/>
        <item x="122"/>
        <item x="230"/>
        <item x="130"/>
        <item x="159"/>
        <item x="97"/>
        <item x="55"/>
        <item x="282"/>
        <item x="260"/>
        <item x="328"/>
        <item x="253"/>
        <item x="158"/>
        <item x="223"/>
        <item x="319"/>
        <item x="256"/>
        <item x="346"/>
        <item x="0"/>
        <item x="72"/>
        <item x="265"/>
        <item x="61"/>
        <item x="1"/>
        <item x="176"/>
        <item x="140"/>
        <item x="141"/>
        <item x="129"/>
        <item x="69"/>
        <item x="73"/>
        <item x="330"/>
        <item x="134"/>
        <item x="288"/>
        <item x="62"/>
        <item x="165"/>
        <item x="271"/>
        <item x="233"/>
        <item x="298"/>
        <item x="52"/>
        <item x="275"/>
        <item x="236"/>
        <item x="257"/>
        <item x="150"/>
        <item x="102"/>
        <item x="84"/>
        <item x="2"/>
        <item x="80"/>
        <item x="323"/>
        <item x="34"/>
        <item x="229"/>
        <item x="66"/>
        <item x="111"/>
        <item x="20"/>
        <item x="85"/>
        <item x="222"/>
        <item x="32"/>
        <item x="125"/>
        <item x="17"/>
        <item x="116"/>
        <item x="258"/>
        <item x="193"/>
        <item x="316"/>
        <item x="245"/>
        <item x="93"/>
        <item x="198"/>
        <item x="317"/>
        <item x="40"/>
        <item x="89"/>
        <item x="11"/>
        <item x="327"/>
        <item x="103"/>
        <item x="266"/>
        <item x="98"/>
        <item x="3"/>
        <item x="137"/>
        <item x="126"/>
        <item x="188"/>
        <item x="71"/>
        <item x="204"/>
        <item x="203"/>
        <item x="200"/>
        <item x="187"/>
        <item x="195"/>
        <item x="240"/>
        <item x="115"/>
        <item x="218"/>
        <item x="277"/>
        <item x="320"/>
        <item x="341"/>
        <item x="331"/>
        <item x="324"/>
        <item x="181"/>
        <item x="283"/>
        <item x="318"/>
        <item x="95"/>
        <item x="83"/>
        <item x="15"/>
        <item x="262"/>
        <item x="68"/>
        <item x="101"/>
        <item x="304"/>
        <item x="146"/>
        <item x="171"/>
        <item x="294"/>
        <item x="39"/>
        <item x="37"/>
        <item x="219"/>
        <item x="326"/>
        <item x="217"/>
        <item x="88"/>
        <item x="220"/>
        <item x="87"/>
        <item x="10"/>
        <item x="332"/>
        <item x="5"/>
        <item x="244"/>
        <item x="110"/>
        <item x="280"/>
        <item x="60"/>
        <item x="94"/>
        <item x="174"/>
        <item x="296"/>
        <item x="190"/>
        <item x="301"/>
        <item x="182"/>
        <item x="82"/>
        <item x="170"/>
        <item x="53"/>
        <item x="209"/>
        <item x="100"/>
        <item x="192"/>
        <item x="25"/>
        <item x="307"/>
        <item x="76"/>
        <item x="128"/>
        <item x="36"/>
        <item x="58"/>
        <item x="254"/>
        <item x="234"/>
        <item x="263"/>
        <item x="136"/>
        <item x="286"/>
        <item x="264"/>
        <item x="306"/>
        <item x="124"/>
        <item x="14"/>
        <item x="199"/>
        <item x="6"/>
        <item x="79"/>
        <item x="43"/>
        <item x="202"/>
        <item x="13"/>
        <item x="44"/>
        <item x="24"/>
        <item x="90"/>
        <item x="246"/>
        <item x="12"/>
        <item x="41"/>
        <item x="65"/>
        <item x="151"/>
        <item x="42"/>
        <item x="152"/>
        <item x="81"/>
        <item x="23"/>
        <item x="114"/>
        <item x="310"/>
        <item x="173"/>
        <item x="268"/>
        <item x="33"/>
        <item x="57"/>
        <item x="164"/>
        <item x="313"/>
        <item x="108"/>
        <item x="47"/>
        <item x="7"/>
        <item x="184"/>
        <item x="142"/>
        <item x="107"/>
        <item x="56"/>
        <item x="118"/>
        <item x="214"/>
        <item x="127"/>
        <item x="70"/>
        <item x="77"/>
        <item x="291"/>
        <item x="99"/>
        <item x="75"/>
        <item x="303"/>
        <item x="162"/>
        <item x="169"/>
        <item x="273"/>
        <item x="287"/>
        <item x="21"/>
        <item x="272"/>
        <item x="139"/>
        <item x="22"/>
        <item x="138"/>
        <item x="231"/>
        <item x="154"/>
        <item x="31"/>
        <item x="329"/>
        <item x="112"/>
        <item x="335"/>
        <item x="172"/>
        <item x="232"/>
        <item x="133"/>
        <item x="166"/>
        <item x="157"/>
        <item x="135"/>
        <item x="309"/>
        <item x="185"/>
        <item x="205"/>
        <item x="117"/>
        <item x="196"/>
        <item x="91"/>
        <item x="189"/>
        <item x="194"/>
        <item x="225"/>
        <item x="342"/>
        <item x="251"/>
        <item x="315"/>
        <item x="211"/>
        <item x="8"/>
        <item x="224"/>
        <item x="314"/>
        <item x="19"/>
        <item x="250"/>
        <item x="239"/>
        <item x="340"/>
        <item x="213"/>
        <item x="148"/>
        <item x="35"/>
        <item x="241"/>
        <item x="281"/>
        <item x="267"/>
        <item x="206"/>
        <item x="344"/>
        <item x="247"/>
        <item x="242"/>
        <item x="197"/>
        <item x="161"/>
        <item x="338"/>
        <item x="96"/>
        <item x="109"/>
        <item x="276"/>
        <item x="216"/>
        <item x="336"/>
        <item x="131"/>
        <item x="59"/>
        <item x="285"/>
        <item x="63"/>
        <item x="297"/>
        <item x="49"/>
        <item x="180"/>
        <item x="143"/>
        <item x="255"/>
        <item x="249"/>
        <item x="279"/>
        <item x="343"/>
        <item x="120"/>
        <item x="248"/>
        <item x="292"/>
        <item x="289"/>
        <item x="243"/>
        <item x="9"/>
        <item x="50"/>
        <item x="191"/>
        <item x="51"/>
        <item x="295"/>
        <item x="54"/>
        <item x="149"/>
        <item x="45"/>
        <item x="168"/>
        <item x="179"/>
        <item x="27"/>
        <item x="113"/>
        <item x="144"/>
        <item x="119"/>
        <item x="221"/>
        <item x="92"/>
        <item x="300"/>
        <item x="334"/>
        <item x="105"/>
        <item x="38"/>
        <item x="208"/>
        <item x="147"/>
        <item x="175"/>
        <item x="274"/>
        <item x="29"/>
        <item x="284"/>
        <item x="160"/>
        <item x="167"/>
        <item x="325"/>
        <item x="106"/>
        <item x="210"/>
        <item x="293"/>
        <item x="163"/>
        <item x="121"/>
        <item x="228"/>
        <item x="46"/>
        <item x="290"/>
        <item x="145"/>
        <item x="215"/>
        <item x="311"/>
        <item x="155"/>
        <item x="186"/>
        <item x="156"/>
        <item x="177"/>
        <item x="26"/>
        <item x="178"/>
        <item x="305"/>
        <item x="308"/>
        <item x="235"/>
        <item x="104"/>
        <item x="123"/>
        <item x="259"/>
        <item x="322"/>
        <item x="74"/>
        <item x="64"/>
        <item x="278"/>
        <item x="16"/>
        <item x="201"/>
        <item x="261"/>
        <item x="86"/>
        <item x="153"/>
        <item x="28"/>
        <item x="67"/>
        <item x="48"/>
        <item x="78"/>
        <item x="321"/>
        <item x="30"/>
        <item x="302"/>
        <item x="18"/>
        <item x="269"/>
        <item x="237"/>
        <item x="333"/>
        <item x="227"/>
        <item x="226"/>
        <item x="252"/>
        <item x="270"/>
        <item x="345"/>
        <item x="4"/>
        <item t="default"/>
      </items>
    </pivotField>
    <pivotField numFmtId="1" showAll="0"/>
    <pivotField showAll="0"/>
    <pivotField showAll="0"/>
    <pivotField showAll="0"/>
    <pivotField showAll="0"/>
    <pivotField axis="axisRow" dataField="1" showAll="0" sortType="descending">
      <items count="7">
        <item x="5"/>
        <item x="2"/>
        <item x="0"/>
        <item x="4"/>
        <item x="3"/>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16"/>
  </rowFields>
  <rowItems count="6">
    <i>
      <x v="2"/>
    </i>
    <i>
      <x v="4"/>
    </i>
    <i>
      <x v="1"/>
    </i>
    <i>
      <x v="3"/>
    </i>
    <i>
      <x/>
    </i>
    <i t="grand">
      <x/>
    </i>
  </rowItems>
  <colItems count="1">
    <i/>
  </colItems>
  <dataFields count="1">
    <dataField name="Count of Rejection Reason"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4CCCC58-29AB-4AA8-905C-94629A5D9FC0}" sourceName="Department ">
  <pivotTables>
    <pivotTable tabId="1" name="PivotTable1"/>
    <pivotTable tabId="2" name="PivotTable2"/>
    <pivotTable tabId="6" name="PivotTable2"/>
    <pivotTable tabId="15" name="PivotTable10"/>
  </pivotTables>
  <data>
    <tabular pivotCacheId="1226231520">
      <items count="33">
        <i x="32" s="1"/>
        <i x="28" s="1"/>
        <i x="24"/>
        <i x="21" s="1"/>
        <i x="19" s="1"/>
        <i x="17" s="1"/>
        <i x="12" s="1"/>
        <i x="10" s="1"/>
        <i x="6" s="1"/>
        <i x="3" s="1"/>
        <i x="1" s="1"/>
        <i x="31" s="1"/>
        <i x="30" s="1"/>
        <i x="27" s="1"/>
        <i x="29" s="1"/>
        <i x="26" s="1"/>
        <i x="25" s="1"/>
        <i x="22" s="1"/>
        <i x="23" s="1"/>
        <i x="20" s="1"/>
        <i x="18" s="1"/>
        <i x="16" s="1"/>
        <i x="15" s="1"/>
        <i x="13" s="1"/>
        <i x="14" s="1"/>
        <i x="9"/>
        <i x="11"/>
        <i x="7" s="1"/>
        <i x="8" s="1"/>
        <i x="4"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Band" xr10:uid="{BDC2C492-036C-4FE0-ABD9-07D60EB9F7FA}" sourceName="Level/Band">
  <pivotTables>
    <pivotTable tabId="6" name="PivotTable2"/>
  </pivotTables>
  <data>
    <tabular pivotCacheId="1226231520">
      <items count="6">
        <i x="1"/>
        <i x="2"/>
        <i x="0"/>
        <i x="5"/>
        <i x="4"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d" xr10:uid="{3B0FEEB1-5471-4703-80C3-688627416068}" sourceName="Hired">
  <pivotTables>
    <pivotTable tabId="6" name="PivotTable2"/>
  </pivotTables>
  <data>
    <tabular pivotCacheId="122623152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8A4C3EDD-F6F3-41BD-BFAF-60F589A8A2F0}" cache="Slicer_Department" caption="Department " startItem="22" rowHeight="241300"/>
  <slicer name="Level/Band" xr10:uid="{2A41F697-F1D7-4E2D-A53A-E1880D5C3748}" cache="Slicer_Level_Band" caption="Level/Band" rowHeight="241300"/>
  <slicer name="Hired" xr10:uid="{291FBEAB-94B7-45AD-A9C5-7041CB4F52C5}" cache="Slicer_Hired" caption="Hired"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topLeftCell="C1" workbookViewId="0">
      <selection activeCell="E23" sqref="E23"/>
    </sheetView>
  </sheetViews>
  <sheetFormatPr defaultRowHeight="14.5" x14ac:dyDescent="0.35"/>
  <cols>
    <col min="1" max="1" width="12.26953125" bestFit="1" customWidth="1"/>
    <col min="2" max="2" width="17.90625" bestFit="1" customWidth="1"/>
    <col min="3" max="3" width="16.26953125" bestFit="1" customWidth="1"/>
    <col min="4" max="5" width="11.26953125" bestFit="1" customWidth="1"/>
    <col min="6" max="8" width="14.81640625" bestFit="1" customWidth="1"/>
    <col min="9" max="11" width="15.81640625" bestFit="1" customWidth="1"/>
    <col min="12" max="12" width="14.81640625" bestFit="1" customWidth="1"/>
    <col min="13" max="14" width="15.81640625" bestFit="1" customWidth="1"/>
    <col min="15" max="18" width="14.81640625" bestFit="1" customWidth="1"/>
    <col min="19" max="22" width="15.81640625" bestFit="1" customWidth="1"/>
    <col min="23" max="23" width="14.81640625" bestFit="1" customWidth="1"/>
    <col min="24" max="28" width="15.81640625" bestFit="1" customWidth="1"/>
    <col min="29" max="33" width="14.81640625" bestFit="1" customWidth="1"/>
    <col min="34" max="40" width="15.81640625" bestFit="1" customWidth="1"/>
    <col min="41" max="41" width="14.81640625" bestFit="1" customWidth="1"/>
    <col min="42" max="43" width="15.81640625" bestFit="1" customWidth="1"/>
    <col min="44" max="44" width="14.81640625" bestFit="1" customWidth="1"/>
    <col min="45" max="48" width="15.81640625" bestFit="1" customWidth="1"/>
    <col min="49" max="52" width="14.81640625" bestFit="1" customWidth="1"/>
    <col min="53" max="54" width="15.81640625" bestFit="1" customWidth="1"/>
    <col min="55" max="55" width="14.81640625" bestFit="1" customWidth="1"/>
    <col min="56" max="56" width="15.81640625" bestFit="1" customWidth="1"/>
    <col min="57" max="57" width="14.81640625" bestFit="1" customWidth="1"/>
    <col min="58" max="58" width="15.81640625" bestFit="1" customWidth="1"/>
    <col min="59" max="59" width="14.81640625" bestFit="1" customWidth="1"/>
    <col min="60" max="61" width="15.81640625" bestFit="1" customWidth="1"/>
    <col min="62" max="64" width="14.81640625" bestFit="1" customWidth="1"/>
    <col min="65" max="68" width="15.81640625" bestFit="1" customWidth="1"/>
    <col min="69" max="70" width="14.81640625" bestFit="1" customWidth="1"/>
    <col min="71" max="72" width="15.81640625" bestFit="1" customWidth="1"/>
    <col min="73" max="75" width="14.81640625" bestFit="1" customWidth="1"/>
    <col min="76" max="76" width="15.81640625" bestFit="1" customWidth="1"/>
    <col min="77" max="77" width="14.81640625" bestFit="1" customWidth="1"/>
    <col min="78" max="80" width="15.81640625" bestFit="1" customWidth="1"/>
    <col min="81" max="81" width="14.81640625" bestFit="1" customWidth="1"/>
    <col min="82" max="89" width="15.81640625" bestFit="1" customWidth="1"/>
    <col min="90" max="91" width="14.81640625" bestFit="1" customWidth="1"/>
    <col min="92" max="92" width="15.81640625" bestFit="1" customWidth="1"/>
    <col min="93" max="93" width="14.81640625" bestFit="1" customWidth="1"/>
    <col min="94" max="95" width="15.81640625" bestFit="1" customWidth="1"/>
    <col min="96" max="100" width="14.81640625" bestFit="1" customWidth="1"/>
    <col min="101" max="101" width="15.81640625" bestFit="1" customWidth="1"/>
    <col min="102" max="102" width="14.81640625" bestFit="1" customWidth="1"/>
    <col min="103" max="105" width="15.81640625" bestFit="1" customWidth="1"/>
    <col min="106" max="106" width="14.81640625" bestFit="1" customWidth="1"/>
    <col min="107" max="107" width="15.81640625" bestFit="1" customWidth="1"/>
    <col min="108" max="108" width="14.81640625" bestFit="1" customWidth="1"/>
    <col min="109" max="112" width="15.81640625" bestFit="1" customWidth="1"/>
    <col min="113" max="115" width="14.81640625" bestFit="1" customWidth="1"/>
    <col min="116" max="119" width="15.81640625" bestFit="1" customWidth="1"/>
    <col min="120" max="120" width="14.81640625" bestFit="1" customWidth="1"/>
    <col min="121" max="123" width="15.81640625" bestFit="1" customWidth="1"/>
    <col min="124" max="124" width="14.81640625" bestFit="1" customWidth="1"/>
    <col min="125" max="128" width="15.81640625" bestFit="1" customWidth="1"/>
    <col min="129" max="135" width="14.81640625" bestFit="1" customWidth="1"/>
    <col min="136" max="136" width="15.81640625" bestFit="1" customWidth="1"/>
    <col min="137" max="140" width="14.81640625" bestFit="1" customWidth="1"/>
    <col min="141" max="141" width="15.81640625" bestFit="1" customWidth="1"/>
    <col min="142" max="142" width="14.81640625" bestFit="1" customWidth="1"/>
    <col min="143" max="144" width="15.81640625" bestFit="1" customWidth="1"/>
    <col min="145" max="145" width="14.81640625" bestFit="1" customWidth="1"/>
    <col min="146" max="146" width="15.81640625" bestFit="1" customWidth="1"/>
    <col min="147" max="147" width="14.81640625" bestFit="1" customWidth="1"/>
    <col min="148" max="151" width="15.81640625" bestFit="1" customWidth="1"/>
    <col min="152" max="153" width="14.81640625" bestFit="1" customWidth="1"/>
    <col min="154" max="154" width="15.81640625" bestFit="1" customWidth="1"/>
    <col min="155" max="156" width="14.81640625" bestFit="1" customWidth="1"/>
    <col min="157" max="157" width="15.81640625" bestFit="1" customWidth="1"/>
    <col min="158" max="159" width="14.81640625" bestFit="1" customWidth="1"/>
    <col min="160" max="160" width="15.81640625" bestFit="1" customWidth="1"/>
    <col min="161" max="161" width="14.81640625" bestFit="1" customWidth="1"/>
    <col min="162" max="162" width="15.81640625" bestFit="1" customWidth="1"/>
    <col min="163" max="165" width="14.81640625" bestFit="1" customWidth="1"/>
    <col min="166" max="166" width="15.81640625" bestFit="1" customWidth="1"/>
    <col min="167" max="168" width="14.81640625" bestFit="1" customWidth="1"/>
    <col min="169" max="171" width="15.81640625" bestFit="1" customWidth="1"/>
    <col min="172" max="177" width="14.81640625" bestFit="1" customWidth="1"/>
    <col min="178" max="179" width="15.81640625" bestFit="1" customWidth="1"/>
    <col min="180" max="182" width="14.81640625" bestFit="1" customWidth="1"/>
    <col min="183" max="189" width="15.81640625" bestFit="1" customWidth="1"/>
    <col min="190" max="190" width="14.81640625" bestFit="1" customWidth="1"/>
    <col min="191" max="192" width="15.81640625" bestFit="1" customWidth="1"/>
    <col min="193" max="194" width="14.81640625" bestFit="1" customWidth="1"/>
    <col min="195" max="196" width="15.81640625" bestFit="1" customWidth="1"/>
    <col min="197" max="197" width="14.81640625" bestFit="1" customWidth="1"/>
    <col min="198" max="199" width="15.81640625" bestFit="1" customWidth="1"/>
    <col min="200" max="200" width="14.81640625" bestFit="1" customWidth="1"/>
    <col min="201" max="203" width="15.81640625" bestFit="1" customWidth="1"/>
    <col min="204" max="204" width="14.81640625" bestFit="1" customWidth="1"/>
    <col min="205" max="210" width="15.81640625" bestFit="1" customWidth="1"/>
    <col min="211" max="211" width="14.81640625" bestFit="1" customWidth="1"/>
    <col min="212" max="212" width="15.81640625" bestFit="1" customWidth="1"/>
    <col min="213" max="214" width="14.81640625" bestFit="1" customWidth="1"/>
    <col min="215" max="215" width="15.81640625" bestFit="1" customWidth="1"/>
    <col min="216" max="216" width="14.81640625" bestFit="1" customWidth="1"/>
    <col min="217" max="231" width="15.81640625" bestFit="1" customWidth="1"/>
    <col min="232" max="232" width="14.81640625" bestFit="1" customWidth="1"/>
    <col min="233" max="236" width="15.81640625" bestFit="1" customWidth="1"/>
    <col min="237" max="237" width="14.81640625" bestFit="1" customWidth="1"/>
    <col min="238" max="238" width="15.81640625" bestFit="1" customWidth="1"/>
    <col min="239" max="239" width="14.81640625" bestFit="1" customWidth="1"/>
    <col min="240" max="241" width="15.81640625" bestFit="1" customWidth="1"/>
    <col min="242" max="246" width="14.81640625" bestFit="1" customWidth="1"/>
    <col min="247" max="251" width="15.81640625" bestFit="1" customWidth="1"/>
    <col min="252" max="253" width="14.81640625" bestFit="1" customWidth="1"/>
    <col min="254" max="258" width="15.81640625" bestFit="1" customWidth="1"/>
    <col min="259" max="259" width="14.81640625" bestFit="1" customWidth="1"/>
    <col min="260" max="263" width="15.81640625" bestFit="1" customWidth="1"/>
    <col min="264" max="264" width="14.81640625" bestFit="1" customWidth="1"/>
    <col min="265" max="275" width="15.81640625" bestFit="1" customWidth="1"/>
    <col min="276" max="277" width="14.81640625" bestFit="1" customWidth="1"/>
    <col min="278" max="278" width="15.81640625" bestFit="1" customWidth="1"/>
    <col min="279" max="279" width="14.81640625" bestFit="1" customWidth="1"/>
    <col min="280" max="282" width="15.81640625" bestFit="1" customWidth="1"/>
    <col min="283" max="283" width="14.81640625" bestFit="1" customWidth="1"/>
    <col min="284" max="284" width="15.81640625" bestFit="1" customWidth="1"/>
    <col min="285" max="286" width="14.81640625" bestFit="1" customWidth="1"/>
    <col min="287" max="289" width="15.81640625" bestFit="1" customWidth="1"/>
    <col min="290" max="290" width="14.81640625" bestFit="1" customWidth="1"/>
    <col min="291" max="292" width="15.81640625" bestFit="1" customWidth="1"/>
    <col min="293" max="293" width="14.81640625" bestFit="1" customWidth="1"/>
    <col min="294" max="295" width="15.81640625" bestFit="1" customWidth="1"/>
    <col min="296" max="298" width="14.81640625" bestFit="1" customWidth="1"/>
    <col min="299" max="301" width="15.81640625" bestFit="1" customWidth="1"/>
    <col min="302" max="302" width="14.81640625" bestFit="1" customWidth="1"/>
    <col min="303" max="303" width="15.81640625" bestFit="1" customWidth="1"/>
    <col min="304" max="304" width="14.81640625" bestFit="1" customWidth="1"/>
    <col min="305" max="310" width="15.81640625" bestFit="1" customWidth="1"/>
    <col min="311" max="318" width="14.81640625" bestFit="1" customWidth="1"/>
    <col min="319" max="319" width="15.81640625" bestFit="1" customWidth="1"/>
    <col min="320" max="320" width="14.81640625" bestFit="1" customWidth="1"/>
    <col min="321" max="322" width="15.81640625" bestFit="1" customWidth="1"/>
    <col min="323" max="323" width="14.81640625" bestFit="1" customWidth="1"/>
    <col min="324" max="325" width="15.81640625" bestFit="1" customWidth="1"/>
    <col min="326" max="326" width="14.81640625" bestFit="1" customWidth="1"/>
    <col min="327" max="327" width="15.81640625" bestFit="1" customWidth="1"/>
    <col min="328" max="328" width="14.81640625" bestFit="1" customWidth="1"/>
    <col min="329" max="330" width="15.81640625" bestFit="1" customWidth="1"/>
    <col min="331" max="334" width="14.81640625" bestFit="1" customWidth="1"/>
    <col min="335" max="336" width="15.81640625" bestFit="1" customWidth="1"/>
    <col min="337" max="337" width="14.81640625" bestFit="1" customWidth="1"/>
    <col min="338" max="338" width="15.81640625" bestFit="1" customWidth="1"/>
    <col min="339" max="345" width="14.81640625" bestFit="1" customWidth="1"/>
    <col min="346" max="346" width="15.81640625" bestFit="1" customWidth="1"/>
    <col min="347" max="347" width="14.81640625" bestFit="1" customWidth="1"/>
    <col min="348" max="348" width="7.26953125" bestFit="1" customWidth="1"/>
    <col min="349" max="349" width="11.26953125" bestFit="1" customWidth="1"/>
  </cols>
  <sheetData>
    <row r="3" spans="1:2" x14ac:dyDescent="0.35">
      <c r="A3" s="14" t="s">
        <v>15</v>
      </c>
      <c r="B3" t="s">
        <v>7462</v>
      </c>
    </row>
    <row r="4" spans="1:2" x14ac:dyDescent="0.35">
      <c r="A4" s="15" t="s">
        <v>101</v>
      </c>
      <c r="B4" s="17">
        <v>0.19458544839255498</v>
      </c>
    </row>
    <row r="5" spans="1:2" x14ac:dyDescent="0.35">
      <c r="A5" s="15" t="s">
        <v>60</v>
      </c>
      <c r="B5" s="17">
        <v>0.19740552735476594</v>
      </c>
    </row>
    <row r="6" spans="1:2" x14ac:dyDescent="0.35">
      <c r="A6" s="15" t="s">
        <v>50</v>
      </c>
      <c r="B6" s="17">
        <v>0.54822335025380708</v>
      </c>
    </row>
    <row r="7" spans="1:2" x14ac:dyDescent="0.35">
      <c r="A7" s="15" t="s">
        <v>392</v>
      </c>
      <c r="B7" s="17">
        <v>5.9785673998871969E-2</v>
      </c>
    </row>
    <row r="8" spans="1:2" x14ac:dyDescent="0.35">
      <c r="A8" s="15" t="s">
        <v>7457</v>
      </c>
      <c r="B8" s="17">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12"/>
  <sheetViews>
    <sheetView workbookViewId="0">
      <selection activeCell="E23" sqref="E23"/>
    </sheetView>
  </sheetViews>
  <sheetFormatPr defaultRowHeight="14.5" x14ac:dyDescent="0.35"/>
  <cols>
    <col min="1" max="1" width="17.81640625" bestFit="1" customWidth="1"/>
    <col min="2" max="2" width="16.453125" bestFit="1" customWidth="1"/>
    <col min="3" max="3" width="5.08984375" bestFit="1" customWidth="1"/>
    <col min="4" max="4" width="15.26953125" bestFit="1" customWidth="1"/>
    <col min="5" max="6" width="10.7265625" bestFit="1" customWidth="1"/>
    <col min="7" max="7" width="11.26953125" bestFit="1" customWidth="1"/>
  </cols>
  <sheetData>
    <row r="2" spans="1:3" x14ac:dyDescent="0.35">
      <c r="A2" s="14" t="s">
        <v>2</v>
      </c>
      <c r="B2" t="s">
        <v>7470</v>
      </c>
    </row>
    <row r="4" spans="1:3" x14ac:dyDescent="0.35">
      <c r="B4" s="14" t="s">
        <v>7465</v>
      </c>
    </row>
    <row r="5" spans="1:3" x14ac:dyDescent="0.35">
      <c r="A5" s="14" t="s">
        <v>7463</v>
      </c>
      <c r="B5" t="s">
        <v>7466</v>
      </c>
      <c r="C5" t="s">
        <v>7464</v>
      </c>
    </row>
    <row r="6" spans="1:3" x14ac:dyDescent="0.35">
      <c r="A6" s="15" t="s">
        <v>59</v>
      </c>
      <c r="B6">
        <v>429</v>
      </c>
      <c r="C6">
        <v>79</v>
      </c>
    </row>
    <row r="7" spans="1:3" x14ac:dyDescent="0.35">
      <c r="A7" s="15" t="s">
        <v>80</v>
      </c>
      <c r="B7">
        <v>205</v>
      </c>
      <c r="C7">
        <v>31</v>
      </c>
    </row>
    <row r="8" spans="1:3" x14ac:dyDescent="0.35">
      <c r="A8" s="15" t="s">
        <v>48</v>
      </c>
      <c r="B8">
        <v>436</v>
      </c>
      <c r="C8">
        <v>72</v>
      </c>
    </row>
    <row r="9" spans="1:3" x14ac:dyDescent="0.35">
      <c r="A9" s="15" t="s">
        <v>697</v>
      </c>
      <c r="B9">
        <v>426</v>
      </c>
      <c r="C9">
        <v>71</v>
      </c>
    </row>
    <row r="10" spans="1:3" x14ac:dyDescent="0.35">
      <c r="A10" s="15" t="s">
        <v>334</v>
      </c>
      <c r="B10">
        <v>458</v>
      </c>
      <c r="C10">
        <v>77</v>
      </c>
    </row>
    <row r="11" spans="1:3" x14ac:dyDescent="0.35">
      <c r="A11" s="15" t="s">
        <v>206</v>
      </c>
      <c r="B11">
        <v>175</v>
      </c>
      <c r="C11">
        <v>15</v>
      </c>
    </row>
    <row r="12" spans="1:3" x14ac:dyDescent="0.35">
      <c r="A12" s="15" t="s">
        <v>7457</v>
      </c>
      <c r="B12">
        <v>2129</v>
      </c>
      <c r="C12">
        <v>345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92389-A562-4675-8710-CAE52A7AA3D6}">
  <dimension ref="A3:B7"/>
  <sheetViews>
    <sheetView workbookViewId="0">
      <selection activeCell="I2" sqref="I2"/>
    </sheetView>
  </sheetViews>
  <sheetFormatPr defaultRowHeight="14.5" x14ac:dyDescent="0.35"/>
  <cols>
    <col min="1" max="1" width="12.36328125" bestFit="1" customWidth="1"/>
    <col min="2" max="2" width="23.453125" bestFit="1" customWidth="1"/>
    <col min="3" max="3" width="7.90625" bestFit="1" customWidth="1"/>
    <col min="4" max="4" width="9" bestFit="1" customWidth="1"/>
    <col min="5" max="5" width="10.7265625" bestFit="1" customWidth="1"/>
  </cols>
  <sheetData>
    <row r="3" spans="1:2" x14ac:dyDescent="0.35">
      <c r="A3" s="14" t="s">
        <v>7456</v>
      </c>
      <c r="B3" t="s">
        <v>7468</v>
      </c>
    </row>
    <row r="4" spans="1:2" x14ac:dyDescent="0.35">
      <c r="A4" s="15" t="s">
        <v>68</v>
      </c>
      <c r="B4">
        <v>32</v>
      </c>
    </row>
    <row r="5" spans="1:2" x14ac:dyDescent="0.35">
      <c r="A5" s="15" t="s">
        <v>64</v>
      </c>
      <c r="B5">
        <v>27</v>
      </c>
    </row>
    <row r="6" spans="1:2" x14ac:dyDescent="0.35">
      <c r="A6" s="15" t="s">
        <v>55</v>
      </c>
      <c r="B6">
        <v>18</v>
      </c>
    </row>
    <row r="7" spans="1:2" x14ac:dyDescent="0.35">
      <c r="A7" s="15" t="s">
        <v>7457</v>
      </c>
      <c r="B7">
        <v>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3358-A53C-4CCA-8934-D92F8645B166}">
  <dimension ref="A3:B9"/>
  <sheetViews>
    <sheetView workbookViewId="0">
      <selection activeCell="A24" sqref="A24"/>
    </sheetView>
  </sheetViews>
  <sheetFormatPr defaultRowHeight="14.5" x14ac:dyDescent="0.35"/>
  <cols>
    <col min="1" max="1" width="23.54296875" bestFit="1" customWidth="1"/>
    <col min="2" max="2" width="23.1796875" bestFit="1" customWidth="1"/>
  </cols>
  <sheetData>
    <row r="3" spans="1:2" x14ac:dyDescent="0.35">
      <c r="A3" s="14" t="s">
        <v>7456</v>
      </c>
      <c r="B3" t="s">
        <v>7467</v>
      </c>
    </row>
    <row r="4" spans="1:2" x14ac:dyDescent="0.35">
      <c r="A4" s="15" t="s">
        <v>51</v>
      </c>
      <c r="B4">
        <v>216</v>
      </c>
    </row>
    <row r="5" spans="1:2" x14ac:dyDescent="0.35">
      <c r="A5" s="15" t="s">
        <v>125</v>
      </c>
      <c r="B5">
        <v>198</v>
      </c>
    </row>
    <row r="6" spans="1:2" x14ac:dyDescent="0.35">
      <c r="A6" s="15" t="s">
        <v>84</v>
      </c>
      <c r="B6">
        <v>196</v>
      </c>
    </row>
    <row r="7" spans="1:2" x14ac:dyDescent="0.35">
      <c r="A7" s="15" t="s">
        <v>198</v>
      </c>
      <c r="B7">
        <v>189</v>
      </c>
    </row>
    <row r="8" spans="1:2" x14ac:dyDescent="0.35">
      <c r="A8" s="15" t="s">
        <v>236</v>
      </c>
      <c r="B8">
        <v>173</v>
      </c>
    </row>
    <row r="9" spans="1:2" x14ac:dyDescent="0.35">
      <c r="A9" s="15" t="s">
        <v>7457</v>
      </c>
      <c r="B9">
        <v>972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401"/>
  <sheetViews>
    <sheetView tabSelected="1" topLeftCell="F1" workbookViewId="0">
      <pane ySplit="1" topLeftCell="A1620" activePane="bottomLeft" state="frozen"/>
      <selection activeCell="L1" sqref="L1"/>
      <selection pane="bottomLeft" activeCell="C1628" sqref="C1628"/>
    </sheetView>
  </sheetViews>
  <sheetFormatPr defaultRowHeight="14.5" x14ac:dyDescent="0.35"/>
  <cols>
    <col min="1" max="1" width="20.26953125" customWidth="1"/>
    <col min="2" max="2" width="24.453125" customWidth="1"/>
    <col min="3" max="4" width="20.81640625" customWidth="1"/>
    <col min="5" max="5" width="29.1796875" customWidth="1"/>
    <col min="6" max="6" width="15.81640625" customWidth="1"/>
    <col min="7" max="7" width="17.54296875" customWidth="1"/>
    <col min="8" max="8" width="17.1796875" customWidth="1"/>
    <col min="9" max="9" width="28.453125" style="32" customWidth="1"/>
    <col min="10" max="10" width="21.81640625" style="32" customWidth="1"/>
    <col min="11" max="11" width="28" style="32" customWidth="1"/>
    <col min="12" max="12" width="37.81640625" style="8" customWidth="1"/>
    <col min="13" max="13" width="21.81640625" style="7" customWidth="1"/>
    <col min="14" max="14" width="17.81640625" customWidth="1"/>
    <col min="15" max="15" width="20.81640625" style="34" customWidth="1"/>
    <col min="16" max="16" width="16.7265625" customWidth="1"/>
    <col min="17" max="17" width="34" customWidth="1"/>
    <col min="18" max="18" width="31.81640625" style="32" customWidth="1"/>
    <col min="19" max="19" width="12.81640625" customWidth="1"/>
    <col min="20" max="20" width="22.453125" style="34" customWidth="1"/>
    <col min="21" max="21" width="18.26953125" style="34" customWidth="1"/>
    <col min="22" max="22" width="18.81640625" style="32" customWidth="1"/>
    <col min="23" max="23" width="28.1796875" style="32" customWidth="1"/>
    <col min="24" max="24" width="17.81640625" customWidth="1"/>
    <col min="25" max="25" width="18.7265625" style="34" customWidth="1"/>
    <col min="26" max="26" width="20.26953125" style="34" customWidth="1"/>
    <col min="27" max="27" width="25.1796875" style="34" customWidth="1"/>
    <col min="28" max="28" width="21.54296875" style="36" customWidth="1"/>
    <col min="29" max="29" width="17.81640625" style="10" bestFit="1" customWidth="1"/>
    <col min="30" max="30" width="20.7265625" customWidth="1"/>
    <col min="31" max="31" width="21.54296875" customWidth="1"/>
    <col min="32" max="32" width="23.26953125" style="12" customWidth="1"/>
    <col min="33" max="33" width="23.1796875" customWidth="1"/>
    <col min="34" max="35" width="23.453125" customWidth="1"/>
    <col min="36" max="36" width="28.453125" customWidth="1"/>
    <col min="37" max="37" width="23.54296875" style="38" customWidth="1"/>
    <col min="38" max="38" width="29.26953125" customWidth="1"/>
    <col min="39" max="39" width="24.26953125" customWidth="1"/>
    <col min="40" max="40" width="42" customWidth="1"/>
    <col min="41" max="41" width="24.54296875" bestFit="1" customWidth="1"/>
    <col min="42" max="42" width="22.453125" customWidth="1"/>
    <col min="43" max="43" width="30.7265625" customWidth="1"/>
    <col min="44" max="44" width="15" customWidth="1"/>
  </cols>
  <sheetData>
    <row r="1" spans="1:43" x14ac:dyDescent="0.35">
      <c r="A1" s="1" t="s">
        <v>0</v>
      </c>
      <c r="B1" s="1" t="s">
        <v>1</v>
      </c>
      <c r="C1" s="1" t="s">
        <v>2</v>
      </c>
      <c r="D1" s="1" t="s">
        <v>3</v>
      </c>
      <c r="E1" s="1" t="s">
        <v>4</v>
      </c>
      <c r="F1" s="1" t="s">
        <v>5</v>
      </c>
      <c r="G1" s="1" t="s">
        <v>6</v>
      </c>
      <c r="H1" s="1" t="s">
        <v>7</v>
      </c>
      <c r="I1" s="31" t="s">
        <v>8</v>
      </c>
      <c r="J1" s="31" t="s">
        <v>9</v>
      </c>
      <c r="K1" s="31" t="s">
        <v>10</v>
      </c>
      <c r="L1" s="13" t="s">
        <v>11</v>
      </c>
      <c r="M1" s="6" t="s">
        <v>12</v>
      </c>
      <c r="N1" s="1" t="s">
        <v>13</v>
      </c>
      <c r="O1" s="33" t="s">
        <v>14</v>
      </c>
      <c r="P1" s="1" t="s">
        <v>15</v>
      </c>
      <c r="Q1" s="1" t="s">
        <v>16</v>
      </c>
      <c r="R1" s="31" t="s">
        <v>17</v>
      </c>
      <c r="S1" s="1" t="s">
        <v>18</v>
      </c>
      <c r="T1" s="33" t="s">
        <v>19</v>
      </c>
      <c r="U1" s="33" t="s">
        <v>20</v>
      </c>
      <c r="V1" s="31" t="s">
        <v>21</v>
      </c>
      <c r="W1" s="31" t="s">
        <v>22</v>
      </c>
      <c r="X1" s="1" t="s">
        <v>23</v>
      </c>
      <c r="Y1" s="33" t="s">
        <v>24</v>
      </c>
      <c r="Z1" s="33" t="s">
        <v>25</v>
      </c>
      <c r="AA1" s="33" t="s">
        <v>26</v>
      </c>
      <c r="AB1" s="35" t="s">
        <v>27</v>
      </c>
      <c r="AC1" s="9" t="s">
        <v>28</v>
      </c>
      <c r="AD1" s="1" t="s">
        <v>29</v>
      </c>
      <c r="AE1" s="1" t="s">
        <v>30</v>
      </c>
      <c r="AF1" s="11" t="s">
        <v>31</v>
      </c>
      <c r="AG1" s="1" t="s">
        <v>32</v>
      </c>
      <c r="AH1" s="1" t="s">
        <v>33</v>
      </c>
      <c r="AI1" s="2" t="s">
        <v>34</v>
      </c>
      <c r="AJ1" s="2" t="s">
        <v>35</v>
      </c>
      <c r="AK1" s="37" t="s">
        <v>36</v>
      </c>
      <c r="AL1" s="2" t="s">
        <v>37</v>
      </c>
      <c r="AM1" s="2" t="s">
        <v>38</v>
      </c>
      <c r="AN1" s="2" t="s">
        <v>39</v>
      </c>
      <c r="AO1" s="2" t="s">
        <v>40</v>
      </c>
      <c r="AP1" s="2" t="s">
        <v>41</v>
      </c>
      <c r="AQ1" s="2" t="s">
        <v>42</v>
      </c>
    </row>
    <row r="2" spans="1:43" x14ac:dyDescent="0.35">
      <c r="A2">
        <v>525</v>
      </c>
      <c r="B2" t="s">
        <v>43</v>
      </c>
      <c r="C2" t="s">
        <v>44</v>
      </c>
      <c r="D2" t="str">
        <f t="shared" ref="D2:D65" si="0">TRIM(C2)</f>
        <v>Risk Management</v>
      </c>
      <c r="E2" t="s">
        <v>45</v>
      </c>
      <c r="F2" t="s">
        <v>46</v>
      </c>
      <c r="G2" t="s">
        <v>47</v>
      </c>
      <c r="H2" t="s">
        <v>48</v>
      </c>
      <c r="I2" s="32">
        <v>44602.83390046296</v>
      </c>
      <c r="J2" s="32" t="s">
        <v>7471</v>
      </c>
      <c r="K2" s="32">
        <v>44611.83390046296</v>
      </c>
      <c r="L2" s="8">
        <f t="shared" ref="L2:L65" si="1">IFERROR(K2-I2,"")</f>
        <v>9</v>
      </c>
      <c r="M2" s="7">
        <v>44627.83390046296</v>
      </c>
      <c r="N2" t="s">
        <v>49</v>
      </c>
      <c r="O2" s="34">
        <v>44616.83390046296</v>
      </c>
      <c r="P2" t="s">
        <v>50</v>
      </c>
      <c r="Q2" t="s">
        <v>51</v>
      </c>
      <c r="R2" s="32" t="s">
        <v>7472</v>
      </c>
      <c r="S2" t="s">
        <v>7476</v>
      </c>
      <c r="T2" s="34" t="s">
        <v>7476</v>
      </c>
      <c r="U2" s="34" t="s">
        <v>7476</v>
      </c>
      <c r="V2" s="32" t="s">
        <v>7476</v>
      </c>
      <c r="W2" s="32" t="s">
        <v>7476</v>
      </c>
      <c r="X2">
        <v>0</v>
      </c>
      <c r="Y2" s="34" t="s">
        <v>7476</v>
      </c>
      <c r="Z2" s="34" t="s">
        <v>7476</v>
      </c>
      <c r="AA2" s="34" t="s">
        <v>7476</v>
      </c>
      <c r="AB2" s="36" t="s">
        <v>52</v>
      </c>
      <c r="AD2" t="s">
        <v>53</v>
      </c>
      <c r="AE2" t="s">
        <v>54</v>
      </c>
      <c r="AF2" s="16">
        <v>44683</v>
      </c>
      <c r="AG2" t="s">
        <v>55</v>
      </c>
      <c r="AH2">
        <v>6</v>
      </c>
      <c r="AK2" s="38" t="str">
        <f>IFERROR(V2+(AH2*30),"")</f>
        <v/>
      </c>
    </row>
    <row r="3" spans="1:43" x14ac:dyDescent="0.35">
      <c r="A3">
        <v>524</v>
      </c>
      <c r="B3" t="s">
        <v>56</v>
      </c>
      <c r="C3" t="s">
        <v>57</v>
      </c>
      <c r="D3" t="str">
        <f t="shared" si="0"/>
        <v>Risk Management</v>
      </c>
      <c r="E3" t="s">
        <v>58</v>
      </c>
      <c r="F3" t="s">
        <v>46</v>
      </c>
      <c r="G3" t="s">
        <v>47</v>
      </c>
      <c r="H3" t="s">
        <v>59</v>
      </c>
      <c r="I3" s="32">
        <v>44605.83390046296</v>
      </c>
      <c r="J3" s="32" t="s">
        <v>7471</v>
      </c>
      <c r="K3" s="32">
        <v>44611.83390046296</v>
      </c>
      <c r="L3" s="8">
        <f t="shared" si="1"/>
        <v>6</v>
      </c>
      <c r="M3" s="7">
        <v>44616.83390046296</v>
      </c>
      <c r="N3" t="s">
        <v>49</v>
      </c>
      <c r="O3" s="34">
        <v>44617.83390046296</v>
      </c>
      <c r="P3" t="s">
        <v>60</v>
      </c>
      <c r="R3" s="32">
        <v>44622.83390046296</v>
      </c>
      <c r="S3" t="s">
        <v>61</v>
      </c>
      <c r="T3" s="34" t="s">
        <v>7476</v>
      </c>
      <c r="U3" s="34" t="s">
        <v>7476</v>
      </c>
      <c r="V3" s="32">
        <v>44619.83390046296</v>
      </c>
      <c r="W3" s="32" t="s">
        <v>7476</v>
      </c>
      <c r="X3">
        <v>0</v>
      </c>
      <c r="Y3" s="34" t="s">
        <v>7476</v>
      </c>
      <c r="Z3" s="34" t="s">
        <v>7476</v>
      </c>
      <c r="AA3" s="34" t="s">
        <v>7476</v>
      </c>
      <c r="AB3" s="36" t="s">
        <v>7476</v>
      </c>
      <c r="AD3" t="s">
        <v>62</v>
      </c>
      <c r="AE3" t="s">
        <v>63</v>
      </c>
      <c r="AF3" s="16">
        <v>44867</v>
      </c>
      <c r="AG3" t="s">
        <v>64</v>
      </c>
      <c r="AH3">
        <v>3</v>
      </c>
      <c r="AK3" s="38">
        <f t="shared" ref="AK3:AK66" si="2">IFERROR(V3+(AH3*30),"")</f>
        <v>44709.83390046296</v>
      </c>
    </row>
    <row r="4" spans="1:43" x14ac:dyDescent="0.35">
      <c r="A4">
        <v>522</v>
      </c>
      <c r="B4" t="s">
        <v>65</v>
      </c>
      <c r="C4" t="s">
        <v>57</v>
      </c>
      <c r="D4" t="str">
        <f t="shared" si="0"/>
        <v>Risk Management</v>
      </c>
      <c r="E4" t="s">
        <v>58</v>
      </c>
      <c r="F4" t="s">
        <v>46</v>
      </c>
      <c r="G4" t="s">
        <v>47</v>
      </c>
      <c r="H4" t="s">
        <v>59</v>
      </c>
      <c r="I4" s="32">
        <v>44609.83390046296</v>
      </c>
      <c r="J4" s="32">
        <v>44610.83390046296</v>
      </c>
      <c r="K4" s="32">
        <v>44611.83390046296</v>
      </c>
      <c r="L4" s="8">
        <f t="shared" si="1"/>
        <v>2</v>
      </c>
      <c r="M4" s="7">
        <v>44620.83390046296</v>
      </c>
      <c r="N4" t="s">
        <v>49</v>
      </c>
      <c r="O4" s="34">
        <v>44613.83390046296</v>
      </c>
      <c r="P4" t="s">
        <v>60</v>
      </c>
      <c r="R4" s="32">
        <v>44618.83390046296</v>
      </c>
      <c r="S4" t="s">
        <v>61</v>
      </c>
      <c r="T4" s="34" t="s">
        <v>7476</v>
      </c>
      <c r="U4" s="34" t="s">
        <v>7476</v>
      </c>
      <c r="V4" s="32">
        <v>44614.83390046296</v>
      </c>
      <c r="W4" s="32" t="s">
        <v>7476</v>
      </c>
      <c r="X4">
        <v>0</v>
      </c>
      <c r="Y4" s="34" t="s">
        <v>7476</v>
      </c>
      <c r="Z4" s="34" t="s">
        <v>7476</v>
      </c>
      <c r="AA4" s="34" t="s">
        <v>7476</v>
      </c>
      <c r="AB4" s="36" t="s">
        <v>7476</v>
      </c>
      <c r="AD4" t="s">
        <v>66</v>
      </c>
      <c r="AE4" t="s">
        <v>67</v>
      </c>
      <c r="AF4" s="16">
        <v>44597</v>
      </c>
      <c r="AG4" t="s">
        <v>68</v>
      </c>
      <c r="AH4">
        <v>6</v>
      </c>
      <c r="AI4" s="8">
        <f t="shared" ref="AI4:AI10" si="3">IFERROR(R4-AF4,"")</f>
        <v>21.833900462959718</v>
      </c>
      <c r="AJ4" s="8">
        <f t="shared" ref="AJ4:AJ10" si="4">IFERROR(O4-AF4,"")</f>
        <v>16.833900462959718</v>
      </c>
      <c r="AK4" s="38">
        <f t="shared" si="2"/>
        <v>44794.83390046296</v>
      </c>
      <c r="AL4" t="str">
        <f t="shared" ref="AL4:AL10" si="5">IFERROR(Z4-W4,"")</f>
        <v/>
      </c>
      <c r="AM4">
        <f t="shared" ref="AM4:AM10" si="6">IFERROR(R4-J4,"")</f>
        <v>8</v>
      </c>
      <c r="AN4">
        <f t="shared" ref="AN4:AN10" si="7">IFERROR(V4-O4,"")</f>
        <v>1</v>
      </c>
      <c r="AO4">
        <f t="shared" ref="AO4:AO10" si="8">IFERROR(J4-I4,"")</f>
        <v>1</v>
      </c>
      <c r="AP4">
        <f t="shared" ref="AP4:AP10" si="9">IFERROR(AC4-X4,"")</f>
        <v>0</v>
      </c>
      <c r="AQ4" t="str">
        <f t="shared" ref="AQ4:AQ10" si="10">IFERROR(AA4-W4,"")</f>
        <v/>
      </c>
    </row>
    <row r="5" spans="1:43" x14ac:dyDescent="0.35">
      <c r="A5">
        <v>407</v>
      </c>
      <c r="B5" t="s">
        <v>69</v>
      </c>
      <c r="C5" t="s">
        <v>57</v>
      </c>
      <c r="D5" t="str">
        <f t="shared" si="0"/>
        <v>Risk Management</v>
      </c>
      <c r="E5" t="s">
        <v>58</v>
      </c>
      <c r="F5" t="s">
        <v>70</v>
      </c>
      <c r="G5" t="s">
        <v>71</v>
      </c>
      <c r="H5" t="s">
        <v>59</v>
      </c>
      <c r="I5" s="32">
        <v>44612.210798611108</v>
      </c>
      <c r="J5" s="32">
        <v>44616.210798611108</v>
      </c>
      <c r="K5" s="32">
        <v>44622.210798611108</v>
      </c>
      <c r="L5" s="8">
        <f t="shared" si="1"/>
        <v>10</v>
      </c>
      <c r="M5" s="7">
        <v>44633.210798611108</v>
      </c>
      <c r="N5" t="s">
        <v>72</v>
      </c>
      <c r="O5" s="34" t="s">
        <v>7474</v>
      </c>
      <c r="R5" s="32" t="s">
        <v>7472</v>
      </c>
      <c r="S5" t="s">
        <v>7476</v>
      </c>
      <c r="T5" s="34" t="s">
        <v>7475</v>
      </c>
      <c r="U5" s="34" t="s">
        <v>7476</v>
      </c>
      <c r="V5" s="32" t="s">
        <v>7476</v>
      </c>
      <c r="W5" s="32" t="s">
        <v>7476</v>
      </c>
      <c r="X5">
        <v>0</v>
      </c>
      <c r="Y5" s="34" t="s">
        <v>7476</v>
      </c>
      <c r="Z5" s="34" t="s">
        <v>7476</v>
      </c>
      <c r="AA5" s="34" t="s">
        <v>7476</v>
      </c>
      <c r="AB5" s="36" t="s">
        <v>7476</v>
      </c>
      <c r="AD5" t="s">
        <v>73</v>
      </c>
      <c r="AE5" t="s">
        <v>74</v>
      </c>
      <c r="AG5" t="s">
        <v>64</v>
      </c>
      <c r="AH5">
        <v>6</v>
      </c>
      <c r="AI5" s="8" t="str">
        <f t="shared" si="3"/>
        <v/>
      </c>
      <c r="AJ5" s="8" t="str">
        <f t="shared" si="4"/>
        <v/>
      </c>
      <c r="AK5" s="38" t="str">
        <f t="shared" si="2"/>
        <v/>
      </c>
      <c r="AL5" t="str">
        <f t="shared" si="5"/>
        <v/>
      </c>
      <c r="AM5" t="str">
        <f t="shared" si="6"/>
        <v/>
      </c>
      <c r="AN5" t="str">
        <f t="shared" si="7"/>
        <v/>
      </c>
      <c r="AO5">
        <f t="shared" si="8"/>
        <v>4</v>
      </c>
      <c r="AP5">
        <f t="shared" si="9"/>
        <v>0</v>
      </c>
      <c r="AQ5" t="str">
        <f t="shared" si="10"/>
        <v/>
      </c>
    </row>
    <row r="6" spans="1:43" x14ac:dyDescent="0.35">
      <c r="A6">
        <v>401</v>
      </c>
      <c r="B6" t="s">
        <v>76</v>
      </c>
      <c r="C6" t="s">
        <v>44</v>
      </c>
      <c r="D6" t="str">
        <f t="shared" si="0"/>
        <v>Risk Management</v>
      </c>
      <c r="E6" t="s">
        <v>77</v>
      </c>
      <c r="F6" t="s">
        <v>78</v>
      </c>
      <c r="G6" t="s">
        <v>79</v>
      </c>
      <c r="H6" t="s">
        <v>80</v>
      </c>
      <c r="I6" s="32">
        <v>44613.210798611108</v>
      </c>
      <c r="J6" s="32">
        <v>44616.210798611108</v>
      </c>
      <c r="K6" s="32">
        <v>44622.210798611108</v>
      </c>
      <c r="L6" s="8">
        <f t="shared" si="1"/>
        <v>9</v>
      </c>
      <c r="M6" s="7">
        <v>44645.210798611108</v>
      </c>
      <c r="N6" t="s">
        <v>49</v>
      </c>
      <c r="O6" s="34">
        <v>44626.210798611108</v>
      </c>
      <c r="P6" t="s">
        <v>60</v>
      </c>
      <c r="R6" s="32">
        <v>44630.210798611108</v>
      </c>
      <c r="S6" t="s">
        <v>61</v>
      </c>
      <c r="T6" s="34" t="s">
        <v>7476</v>
      </c>
      <c r="U6" s="34" t="s">
        <v>7476</v>
      </c>
      <c r="V6" s="32">
        <v>44627.210798611108</v>
      </c>
      <c r="W6" s="32" t="s">
        <v>7476</v>
      </c>
      <c r="X6">
        <v>0</v>
      </c>
      <c r="Y6" s="34" t="s">
        <v>7476</v>
      </c>
      <c r="Z6" s="34" t="s">
        <v>7476</v>
      </c>
      <c r="AA6" s="34" t="s">
        <v>7476</v>
      </c>
      <c r="AB6" s="36" t="s">
        <v>7476</v>
      </c>
      <c r="AD6" t="s">
        <v>81</v>
      </c>
      <c r="AE6" t="s">
        <v>82</v>
      </c>
      <c r="AF6" s="16">
        <v>44615</v>
      </c>
      <c r="AG6" t="s">
        <v>98</v>
      </c>
      <c r="AH6">
        <v>6</v>
      </c>
      <c r="AI6" s="8">
        <f t="shared" si="3"/>
        <v>15.210798611107748</v>
      </c>
      <c r="AJ6" s="8">
        <f t="shared" si="4"/>
        <v>11.210798611107748</v>
      </c>
      <c r="AK6" s="38">
        <f t="shared" si="2"/>
        <v>44807.210798611108</v>
      </c>
      <c r="AL6" t="str">
        <f t="shared" si="5"/>
        <v/>
      </c>
      <c r="AM6">
        <f t="shared" si="6"/>
        <v>14</v>
      </c>
      <c r="AN6">
        <f t="shared" si="7"/>
        <v>1</v>
      </c>
      <c r="AO6">
        <f t="shared" si="8"/>
        <v>3</v>
      </c>
      <c r="AP6">
        <f t="shared" si="9"/>
        <v>0</v>
      </c>
      <c r="AQ6" t="str">
        <f t="shared" si="10"/>
        <v/>
      </c>
    </row>
    <row r="7" spans="1:43" x14ac:dyDescent="0.35">
      <c r="A7">
        <v>404</v>
      </c>
      <c r="B7" t="s">
        <v>83</v>
      </c>
      <c r="C7" t="s">
        <v>57</v>
      </c>
      <c r="D7" t="str">
        <f t="shared" si="0"/>
        <v>Risk Management</v>
      </c>
      <c r="E7" t="s">
        <v>77</v>
      </c>
      <c r="F7" t="s">
        <v>78</v>
      </c>
      <c r="G7" t="s">
        <v>79</v>
      </c>
      <c r="H7" t="s">
        <v>80</v>
      </c>
      <c r="I7" s="32">
        <v>44614.210798611108</v>
      </c>
      <c r="J7" s="32">
        <v>44616.210798611108</v>
      </c>
      <c r="K7" s="32">
        <v>44622.210798611108</v>
      </c>
      <c r="L7" s="8">
        <f t="shared" si="1"/>
        <v>8</v>
      </c>
      <c r="M7" s="7">
        <v>44651.210798611108</v>
      </c>
      <c r="N7" t="s">
        <v>49</v>
      </c>
      <c r="O7" s="34">
        <v>44634.210798611108</v>
      </c>
      <c r="P7" t="s">
        <v>50</v>
      </c>
      <c r="Q7" t="s">
        <v>84</v>
      </c>
      <c r="R7" s="32" t="s">
        <v>7472</v>
      </c>
      <c r="S7" t="s">
        <v>7476</v>
      </c>
      <c r="T7" s="34" t="s">
        <v>7476</v>
      </c>
      <c r="U7" s="34" t="s">
        <v>7476</v>
      </c>
      <c r="V7" s="32">
        <v>44637.210798611108</v>
      </c>
      <c r="W7" s="32" t="s">
        <v>7476</v>
      </c>
      <c r="X7">
        <v>0</v>
      </c>
      <c r="Y7" s="34" t="s">
        <v>7476</v>
      </c>
      <c r="Z7" s="34" t="s">
        <v>7476</v>
      </c>
      <c r="AA7" s="34" t="s">
        <v>7476</v>
      </c>
      <c r="AB7" s="36" t="s">
        <v>52</v>
      </c>
      <c r="AD7" t="s">
        <v>85</v>
      </c>
      <c r="AE7" t="s">
        <v>86</v>
      </c>
      <c r="AF7" s="16">
        <v>44623</v>
      </c>
      <c r="AG7" t="s">
        <v>68</v>
      </c>
      <c r="AH7">
        <v>3</v>
      </c>
      <c r="AI7" s="8" t="str">
        <f t="shared" si="3"/>
        <v/>
      </c>
      <c r="AJ7" s="8">
        <f t="shared" si="4"/>
        <v>11.210798611107748</v>
      </c>
      <c r="AK7" s="38">
        <f t="shared" si="2"/>
        <v>44727.210798611108</v>
      </c>
      <c r="AL7" t="str">
        <f t="shared" si="5"/>
        <v/>
      </c>
      <c r="AM7" t="str">
        <f t="shared" si="6"/>
        <v/>
      </c>
      <c r="AN7">
        <f t="shared" si="7"/>
        <v>3</v>
      </c>
      <c r="AO7">
        <f t="shared" si="8"/>
        <v>2</v>
      </c>
      <c r="AP7">
        <f t="shared" si="9"/>
        <v>0</v>
      </c>
      <c r="AQ7" t="str">
        <f t="shared" si="10"/>
        <v/>
      </c>
    </row>
    <row r="8" spans="1:43" x14ac:dyDescent="0.35">
      <c r="A8">
        <v>403</v>
      </c>
      <c r="B8" t="s">
        <v>87</v>
      </c>
      <c r="C8" t="s">
        <v>57</v>
      </c>
      <c r="D8" t="str">
        <f t="shared" si="0"/>
        <v>Risk Management</v>
      </c>
      <c r="E8" t="s">
        <v>77</v>
      </c>
      <c r="F8" t="s">
        <v>78</v>
      </c>
      <c r="G8" t="s">
        <v>79</v>
      </c>
      <c r="H8" t="s">
        <v>80</v>
      </c>
      <c r="I8" s="32">
        <v>44616.210798611108</v>
      </c>
      <c r="J8" s="32">
        <v>44619.210798611108</v>
      </c>
      <c r="K8" s="32">
        <v>44622.210798611108</v>
      </c>
      <c r="L8" s="8">
        <f t="shared" si="1"/>
        <v>6</v>
      </c>
      <c r="M8" s="7">
        <v>44648.210798611108</v>
      </c>
      <c r="N8" t="s">
        <v>49</v>
      </c>
      <c r="O8" s="34">
        <v>44629.210798611108</v>
      </c>
      <c r="P8" t="s">
        <v>50</v>
      </c>
      <c r="Q8" t="s">
        <v>84</v>
      </c>
      <c r="R8" s="32" t="s">
        <v>7472</v>
      </c>
      <c r="S8" t="s">
        <v>7476</v>
      </c>
      <c r="T8" s="34" t="s">
        <v>7476</v>
      </c>
      <c r="U8" s="34" t="s">
        <v>7476</v>
      </c>
      <c r="V8" s="32" t="s">
        <v>7476</v>
      </c>
      <c r="W8" s="32" t="s">
        <v>7476</v>
      </c>
      <c r="X8">
        <v>0</v>
      </c>
      <c r="Y8" s="34" t="s">
        <v>7476</v>
      </c>
      <c r="Z8" s="34" t="s">
        <v>7476</v>
      </c>
      <c r="AA8" s="34" t="s">
        <v>7476</v>
      </c>
      <c r="AB8" s="36" t="s">
        <v>52</v>
      </c>
      <c r="AD8" t="s">
        <v>88</v>
      </c>
      <c r="AE8" t="s">
        <v>89</v>
      </c>
      <c r="AF8" s="16">
        <v>44612</v>
      </c>
      <c r="AG8" t="s">
        <v>68</v>
      </c>
      <c r="AH8">
        <v>3</v>
      </c>
      <c r="AI8" s="8" t="str">
        <f t="shared" si="3"/>
        <v/>
      </c>
      <c r="AJ8" s="8">
        <f t="shared" si="4"/>
        <v>17.210798611107748</v>
      </c>
      <c r="AK8" s="38" t="str">
        <f t="shared" si="2"/>
        <v/>
      </c>
      <c r="AL8" t="str">
        <f t="shared" si="5"/>
        <v/>
      </c>
      <c r="AM8" t="str">
        <f t="shared" si="6"/>
        <v/>
      </c>
      <c r="AN8" t="str">
        <f t="shared" si="7"/>
        <v/>
      </c>
      <c r="AO8">
        <f t="shared" si="8"/>
        <v>3</v>
      </c>
      <c r="AP8">
        <f t="shared" si="9"/>
        <v>0</v>
      </c>
      <c r="AQ8" t="str">
        <f t="shared" si="10"/>
        <v/>
      </c>
    </row>
    <row r="9" spans="1:43" x14ac:dyDescent="0.35">
      <c r="A9">
        <v>408</v>
      </c>
      <c r="B9" t="s">
        <v>90</v>
      </c>
      <c r="C9" t="s">
        <v>57</v>
      </c>
      <c r="D9" t="str">
        <f t="shared" si="0"/>
        <v>Risk Management</v>
      </c>
      <c r="E9" t="s">
        <v>45</v>
      </c>
      <c r="F9" t="s">
        <v>46</v>
      </c>
      <c r="G9" t="s">
        <v>47</v>
      </c>
      <c r="H9" t="s">
        <v>48</v>
      </c>
      <c r="I9" s="32">
        <v>44617.210798611108</v>
      </c>
      <c r="J9" s="32">
        <v>44620.210798611108</v>
      </c>
      <c r="K9" s="32">
        <v>44622.210798611108</v>
      </c>
      <c r="L9" s="8">
        <f t="shared" si="1"/>
        <v>5</v>
      </c>
      <c r="M9" s="7">
        <v>44634.210798611108</v>
      </c>
      <c r="N9" t="s">
        <v>49</v>
      </c>
      <c r="O9" s="34">
        <v>44627.210798611108</v>
      </c>
      <c r="P9" t="s">
        <v>60</v>
      </c>
      <c r="R9" s="32">
        <v>44634.210798611108</v>
      </c>
      <c r="S9" t="s">
        <v>61</v>
      </c>
      <c r="T9" s="34" t="s">
        <v>7476</v>
      </c>
      <c r="U9" s="34" t="s">
        <v>7476</v>
      </c>
      <c r="V9" s="32">
        <v>44631.210798611108</v>
      </c>
      <c r="W9" s="32" t="s">
        <v>7476</v>
      </c>
      <c r="X9">
        <v>0</v>
      </c>
      <c r="Y9" s="34" t="s">
        <v>7476</v>
      </c>
      <c r="Z9" s="34" t="s">
        <v>7476</v>
      </c>
      <c r="AA9" s="34" t="s">
        <v>7476</v>
      </c>
      <c r="AB9" s="36" t="s">
        <v>7476</v>
      </c>
      <c r="AD9" t="s">
        <v>91</v>
      </c>
      <c r="AE9" t="s">
        <v>92</v>
      </c>
      <c r="AF9" s="16">
        <v>44609</v>
      </c>
      <c r="AG9" t="s">
        <v>68</v>
      </c>
      <c r="AH9">
        <v>3</v>
      </c>
      <c r="AI9" s="8">
        <f t="shared" si="3"/>
        <v>25.210798611107748</v>
      </c>
      <c r="AJ9" s="8">
        <f t="shared" si="4"/>
        <v>18.210798611107748</v>
      </c>
      <c r="AK9" s="38">
        <f t="shared" si="2"/>
        <v>44721.210798611108</v>
      </c>
      <c r="AL9" t="str">
        <f t="shared" si="5"/>
        <v/>
      </c>
      <c r="AM9">
        <f t="shared" si="6"/>
        <v>14</v>
      </c>
      <c r="AN9">
        <f t="shared" si="7"/>
        <v>4</v>
      </c>
      <c r="AO9">
        <f t="shared" si="8"/>
        <v>3</v>
      </c>
      <c r="AP9">
        <f t="shared" si="9"/>
        <v>0</v>
      </c>
      <c r="AQ9" t="str">
        <f t="shared" si="10"/>
        <v/>
      </c>
    </row>
    <row r="10" spans="1:43" x14ac:dyDescent="0.35">
      <c r="A10">
        <v>409</v>
      </c>
      <c r="B10" t="s">
        <v>94</v>
      </c>
      <c r="C10" t="s">
        <v>57</v>
      </c>
      <c r="D10" t="str">
        <f t="shared" si="0"/>
        <v>Risk Management</v>
      </c>
      <c r="E10" t="s">
        <v>77</v>
      </c>
      <c r="F10" t="s">
        <v>78</v>
      </c>
      <c r="G10" t="s">
        <v>79</v>
      </c>
      <c r="H10" t="s">
        <v>80</v>
      </c>
      <c r="I10" s="32">
        <v>44617.210798611108</v>
      </c>
      <c r="J10" s="32">
        <v>44620.210798611108</v>
      </c>
      <c r="K10" s="32">
        <v>44622.210798611108</v>
      </c>
      <c r="L10" s="8">
        <f t="shared" si="1"/>
        <v>5</v>
      </c>
      <c r="M10" s="7">
        <v>44635.210798611108</v>
      </c>
      <c r="N10" t="s">
        <v>49</v>
      </c>
      <c r="O10" s="34">
        <v>44629.210798611108</v>
      </c>
      <c r="P10" t="s">
        <v>50</v>
      </c>
      <c r="Q10" t="s">
        <v>51</v>
      </c>
      <c r="R10" s="32" t="s">
        <v>7472</v>
      </c>
      <c r="S10" t="s">
        <v>7476</v>
      </c>
      <c r="T10" s="34" t="s">
        <v>7476</v>
      </c>
      <c r="U10" s="34" t="s">
        <v>7476</v>
      </c>
      <c r="V10" s="32" t="s">
        <v>7476</v>
      </c>
      <c r="W10" s="32" t="s">
        <v>7476</v>
      </c>
      <c r="X10">
        <v>0</v>
      </c>
      <c r="Y10" s="34" t="s">
        <v>7476</v>
      </c>
      <c r="Z10" s="34" t="s">
        <v>7476</v>
      </c>
      <c r="AA10" s="34" t="s">
        <v>7476</v>
      </c>
      <c r="AB10" s="36" t="s">
        <v>95</v>
      </c>
      <c r="AD10" t="s">
        <v>96</v>
      </c>
      <c r="AE10" t="s">
        <v>97</v>
      </c>
      <c r="AF10" s="16">
        <v>44623</v>
      </c>
      <c r="AG10" t="s">
        <v>98</v>
      </c>
      <c r="AH10">
        <v>3</v>
      </c>
      <c r="AI10" s="8" t="str">
        <f t="shared" si="3"/>
        <v/>
      </c>
      <c r="AJ10" s="8">
        <f t="shared" si="4"/>
        <v>6.210798611107748</v>
      </c>
      <c r="AK10" s="38" t="str">
        <f t="shared" si="2"/>
        <v/>
      </c>
      <c r="AL10" t="str">
        <f t="shared" si="5"/>
        <v/>
      </c>
      <c r="AM10" t="str">
        <f t="shared" si="6"/>
        <v/>
      </c>
      <c r="AN10" t="str">
        <f t="shared" si="7"/>
        <v/>
      </c>
      <c r="AO10">
        <f t="shared" si="8"/>
        <v>3</v>
      </c>
      <c r="AP10">
        <f t="shared" si="9"/>
        <v>0</v>
      </c>
      <c r="AQ10" t="str">
        <f t="shared" si="10"/>
        <v/>
      </c>
    </row>
    <row r="11" spans="1:43" x14ac:dyDescent="0.35">
      <c r="A11">
        <v>405</v>
      </c>
      <c r="B11" t="s">
        <v>99</v>
      </c>
      <c r="C11" t="s">
        <v>100</v>
      </c>
      <c r="D11" t="str">
        <f t="shared" si="0"/>
        <v>Risk Management</v>
      </c>
      <c r="E11" t="s">
        <v>77</v>
      </c>
      <c r="F11" t="s">
        <v>78</v>
      </c>
      <c r="G11" t="s">
        <v>79</v>
      </c>
      <c r="H11" t="s">
        <v>80</v>
      </c>
      <c r="I11" s="32">
        <v>44617.210798611108</v>
      </c>
      <c r="J11" s="32" t="s">
        <v>7471</v>
      </c>
      <c r="K11" s="32">
        <v>44622.210798611108</v>
      </c>
      <c r="L11" s="8">
        <f t="shared" si="1"/>
        <v>5</v>
      </c>
      <c r="M11" s="7">
        <v>44650.210798611108</v>
      </c>
      <c r="N11" t="s">
        <v>49</v>
      </c>
      <c r="O11" s="34">
        <v>44625.210798611108</v>
      </c>
      <c r="P11" t="s">
        <v>101</v>
      </c>
      <c r="R11" s="32">
        <v>44627.210798611108</v>
      </c>
      <c r="S11" t="s">
        <v>101</v>
      </c>
      <c r="T11" s="34">
        <v>44626.210798611108</v>
      </c>
      <c r="U11" s="34">
        <v>44629.210798611108</v>
      </c>
      <c r="V11" s="32">
        <v>44626.210798611108</v>
      </c>
      <c r="W11" s="32">
        <v>44628.210798611108</v>
      </c>
      <c r="X11">
        <v>1</v>
      </c>
      <c r="Y11" s="34">
        <v>44631.210798611108</v>
      </c>
      <c r="Z11" s="34">
        <v>44633.210798611108</v>
      </c>
      <c r="AA11" s="34">
        <v>44636.210798611108</v>
      </c>
      <c r="AB11" s="36" t="s">
        <v>7476</v>
      </c>
      <c r="AC11" s="10">
        <v>44648.210798611108</v>
      </c>
      <c r="AD11" t="s">
        <v>102</v>
      </c>
      <c r="AE11" t="s">
        <v>103</v>
      </c>
      <c r="AF11" s="16">
        <v>44607</v>
      </c>
      <c r="AG11" t="s">
        <v>75</v>
      </c>
      <c r="AH11">
        <v>6</v>
      </c>
      <c r="AK11" s="38">
        <f t="shared" si="2"/>
        <v>44806.210798611108</v>
      </c>
    </row>
    <row r="12" spans="1:43" x14ac:dyDescent="0.35">
      <c r="A12">
        <v>410</v>
      </c>
      <c r="B12" t="s">
        <v>104</v>
      </c>
      <c r="C12" t="s">
        <v>44</v>
      </c>
      <c r="D12" t="str">
        <f t="shared" si="0"/>
        <v>Risk Management</v>
      </c>
      <c r="E12" t="s">
        <v>58</v>
      </c>
      <c r="F12" t="s">
        <v>70</v>
      </c>
      <c r="G12" t="s">
        <v>71</v>
      </c>
      <c r="H12" t="s">
        <v>59</v>
      </c>
      <c r="I12" s="32">
        <v>44618.210798611108</v>
      </c>
      <c r="J12" s="32">
        <v>44620.210798611108</v>
      </c>
      <c r="K12" s="32">
        <v>44622.210798611108</v>
      </c>
      <c r="L12" s="8">
        <f t="shared" si="1"/>
        <v>4</v>
      </c>
      <c r="M12" s="7">
        <v>44651.210798611108</v>
      </c>
      <c r="N12" t="s">
        <v>49</v>
      </c>
      <c r="O12" s="34">
        <v>44624.210798611108</v>
      </c>
      <c r="P12" t="s">
        <v>60</v>
      </c>
      <c r="R12" s="32">
        <v>44628.210798611108</v>
      </c>
      <c r="S12" t="s">
        <v>61</v>
      </c>
      <c r="T12" s="34" t="s">
        <v>7476</v>
      </c>
      <c r="U12" s="34" t="s">
        <v>7476</v>
      </c>
      <c r="V12" s="32">
        <v>44625.210798611108</v>
      </c>
      <c r="W12" s="32" t="s">
        <v>7476</v>
      </c>
      <c r="X12">
        <v>0</v>
      </c>
      <c r="Y12" s="34" t="s">
        <v>7476</v>
      </c>
      <c r="Z12" s="34" t="s">
        <v>7476</v>
      </c>
      <c r="AA12" s="34" t="s">
        <v>7476</v>
      </c>
      <c r="AB12" s="36" t="s">
        <v>7476</v>
      </c>
      <c r="AD12" t="s">
        <v>105</v>
      </c>
      <c r="AE12" t="s">
        <v>106</v>
      </c>
      <c r="AF12" s="16">
        <v>44605</v>
      </c>
      <c r="AG12" t="s">
        <v>68</v>
      </c>
      <c r="AH12">
        <v>6</v>
      </c>
      <c r="AI12" s="8">
        <f>IFERROR(R12-AF12,"")</f>
        <v>23.210798611107748</v>
      </c>
      <c r="AJ12" s="8">
        <f>IFERROR(O12-AF12,"")</f>
        <v>19.210798611107748</v>
      </c>
      <c r="AK12" s="38">
        <f t="shared" si="2"/>
        <v>44805.210798611108</v>
      </c>
      <c r="AL12" t="str">
        <f>IFERROR(Z12-W12,"")</f>
        <v/>
      </c>
      <c r="AM12">
        <f>IFERROR(R12-J12,"")</f>
        <v>8</v>
      </c>
      <c r="AN12">
        <f>IFERROR(V12-O12,"")</f>
        <v>1</v>
      </c>
      <c r="AO12">
        <f>IFERROR(J12-I12,"")</f>
        <v>2</v>
      </c>
      <c r="AP12">
        <f>IFERROR(AC12-X12,"")</f>
        <v>0</v>
      </c>
      <c r="AQ12" t="str">
        <f>IFERROR(AA12-W12,"")</f>
        <v/>
      </c>
    </row>
    <row r="13" spans="1:43" x14ac:dyDescent="0.35">
      <c r="A13">
        <v>211</v>
      </c>
      <c r="B13" t="s">
        <v>107</v>
      </c>
      <c r="C13" t="s">
        <v>44</v>
      </c>
      <c r="D13" t="str">
        <f t="shared" si="0"/>
        <v>Risk Management</v>
      </c>
      <c r="E13" t="s">
        <v>45</v>
      </c>
      <c r="F13" t="s">
        <v>46</v>
      </c>
      <c r="G13" t="s">
        <v>47</v>
      </c>
      <c r="H13" t="s">
        <v>48</v>
      </c>
      <c r="I13" s="32">
        <v>44657.331793981481</v>
      </c>
      <c r="J13" s="32">
        <v>44661.331793981481</v>
      </c>
      <c r="K13" s="32">
        <v>44666.331793981481</v>
      </c>
      <c r="L13" s="8">
        <f t="shared" si="1"/>
        <v>9</v>
      </c>
      <c r="M13" s="7">
        <v>44682.331793981481</v>
      </c>
      <c r="N13" t="s">
        <v>49</v>
      </c>
      <c r="O13" s="34">
        <v>44682.331793981481</v>
      </c>
      <c r="P13" t="s">
        <v>101</v>
      </c>
      <c r="R13" s="32">
        <v>44688.331793981481</v>
      </c>
      <c r="S13" t="s">
        <v>101</v>
      </c>
      <c r="T13" s="34">
        <v>44683.331793981481</v>
      </c>
      <c r="U13" s="34">
        <v>44686.331793981481</v>
      </c>
      <c r="V13" s="32">
        <v>44685.331793981481</v>
      </c>
      <c r="W13" s="32">
        <v>44692.331793981481</v>
      </c>
      <c r="X13">
        <v>1</v>
      </c>
      <c r="Y13" s="34">
        <v>44694.331793981481</v>
      </c>
      <c r="Z13" s="34">
        <v>44696.331793981481</v>
      </c>
      <c r="AA13" s="34">
        <v>44698.331793981481</v>
      </c>
      <c r="AB13" s="36" t="s">
        <v>7476</v>
      </c>
      <c r="AC13" s="10">
        <v>44714.331793981481</v>
      </c>
      <c r="AD13" t="s">
        <v>108</v>
      </c>
      <c r="AE13" t="s">
        <v>109</v>
      </c>
      <c r="AF13" s="16">
        <v>44675</v>
      </c>
      <c r="AG13" t="s">
        <v>64</v>
      </c>
      <c r="AH13">
        <v>6</v>
      </c>
      <c r="AI13" s="8">
        <f>IFERROR(R13-AF13,"")</f>
        <v>13.331793981480587</v>
      </c>
      <c r="AJ13" s="8">
        <f>IFERROR(O13-AF13,"")</f>
        <v>7.3317939814805868</v>
      </c>
      <c r="AK13" s="38">
        <f t="shared" si="2"/>
        <v>44865.331793981481</v>
      </c>
      <c r="AL13">
        <f>IFERROR(Z13-W13,"")</f>
        <v>4</v>
      </c>
      <c r="AM13">
        <f>IFERROR(R13-J13,"")</f>
        <v>27</v>
      </c>
      <c r="AN13">
        <f>IFERROR(V13-O13,"")</f>
        <v>3</v>
      </c>
      <c r="AO13">
        <f>IFERROR(J13-I13,"")</f>
        <v>4</v>
      </c>
      <c r="AP13">
        <f>IFERROR(AC13-X13,"")</f>
        <v>44713.331793981481</v>
      </c>
      <c r="AQ13">
        <f>IFERROR(AA13-W13,"")</f>
        <v>6</v>
      </c>
    </row>
    <row r="14" spans="1:43" x14ac:dyDescent="0.35">
      <c r="A14">
        <v>219</v>
      </c>
      <c r="B14" t="s">
        <v>110</v>
      </c>
      <c r="C14" t="s">
        <v>44</v>
      </c>
      <c r="D14" t="str">
        <f t="shared" si="0"/>
        <v>Risk Management</v>
      </c>
      <c r="E14" t="s">
        <v>58</v>
      </c>
      <c r="F14" t="s">
        <v>70</v>
      </c>
      <c r="G14" t="s">
        <v>71</v>
      </c>
      <c r="H14" t="s">
        <v>59</v>
      </c>
      <c r="I14" s="32">
        <v>44657.331793981481</v>
      </c>
      <c r="J14" s="32">
        <v>44660.331793981481</v>
      </c>
      <c r="K14" s="32">
        <v>44666.331793981481</v>
      </c>
      <c r="L14" s="8">
        <f t="shared" si="1"/>
        <v>9</v>
      </c>
      <c r="M14" s="7">
        <v>44684.331793981481</v>
      </c>
      <c r="N14" t="s">
        <v>49</v>
      </c>
      <c r="O14" s="34">
        <v>44675.331793981481</v>
      </c>
      <c r="P14" t="s">
        <v>60</v>
      </c>
      <c r="R14" s="32">
        <v>44681.331793981481</v>
      </c>
      <c r="S14" t="s">
        <v>61</v>
      </c>
      <c r="T14" s="34" t="s">
        <v>7476</v>
      </c>
      <c r="U14" s="34" t="s">
        <v>7476</v>
      </c>
      <c r="V14" s="32">
        <v>44679.331793981481</v>
      </c>
      <c r="W14" s="32" t="s">
        <v>7476</v>
      </c>
      <c r="X14">
        <v>0</v>
      </c>
      <c r="Y14" s="34" t="s">
        <v>7476</v>
      </c>
      <c r="Z14" s="34" t="s">
        <v>7476</v>
      </c>
      <c r="AA14" s="34" t="s">
        <v>7476</v>
      </c>
      <c r="AB14" s="36" t="s">
        <v>7476</v>
      </c>
      <c r="AD14" t="s">
        <v>111</v>
      </c>
      <c r="AE14" t="s">
        <v>112</v>
      </c>
      <c r="AF14" s="16">
        <v>44669</v>
      </c>
      <c r="AG14" t="s">
        <v>68</v>
      </c>
      <c r="AH14">
        <v>3</v>
      </c>
      <c r="AI14" s="8">
        <f>IFERROR(R14-AF14,"")</f>
        <v>12.331793981480587</v>
      </c>
      <c r="AJ14" s="8">
        <f>IFERROR(O14-AF14,"")</f>
        <v>6.3317939814805868</v>
      </c>
      <c r="AK14" s="38">
        <f t="shared" si="2"/>
        <v>44769.331793981481</v>
      </c>
      <c r="AL14" t="str">
        <f>IFERROR(Z14-W14,"")</f>
        <v/>
      </c>
      <c r="AM14">
        <f>IFERROR(R14-J14,"")</f>
        <v>21</v>
      </c>
      <c r="AN14">
        <f>IFERROR(V14-O14,"")</f>
        <v>4</v>
      </c>
      <c r="AO14">
        <f>IFERROR(J14-I14,"")</f>
        <v>3</v>
      </c>
      <c r="AP14">
        <f>IFERROR(AC14-X14,"")</f>
        <v>0</v>
      </c>
      <c r="AQ14" t="str">
        <f>IFERROR(AA14-W14,"")</f>
        <v/>
      </c>
    </row>
    <row r="15" spans="1:43" x14ac:dyDescent="0.35">
      <c r="A15">
        <v>220</v>
      </c>
      <c r="B15" t="s">
        <v>113</v>
      </c>
      <c r="C15" t="s">
        <v>100</v>
      </c>
      <c r="D15" t="str">
        <f t="shared" si="0"/>
        <v>Risk Management</v>
      </c>
      <c r="E15" t="s">
        <v>77</v>
      </c>
      <c r="F15" t="s">
        <v>114</v>
      </c>
      <c r="G15" t="s">
        <v>115</v>
      </c>
      <c r="H15" t="s">
        <v>80</v>
      </c>
      <c r="I15" s="32">
        <v>44662.331793981481</v>
      </c>
      <c r="J15" s="32">
        <v>44665.331793981481</v>
      </c>
      <c r="K15" s="32">
        <v>44666.331793981481</v>
      </c>
      <c r="L15" s="8">
        <f t="shared" si="1"/>
        <v>4</v>
      </c>
      <c r="M15" s="7">
        <v>44856.331793981481</v>
      </c>
      <c r="N15" t="s">
        <v>72</v>
      </c>
      <c r="O15" s="34" t="s">
        <v>7474</v>
      </c>
      <c r="R15" s="32" t="s">
        <v>7472</v>
      </c>
      <c r="S15" t="s">
        <v>7476</v>
      </c>
      <c r="T15" s="34" t="s">
        <v>7476</v>
      </c>
      <c r="U15" s="34" t="s">
        <v>7476</v>
      </c>
      <c r="V15" s="32" t="s">
        <v>7476</v>
      </c>
      <c r="W15" s="32" t="s">
        <v>7476</v>
      </c>
      <c r="X15">
        <v>0</v>
      </c>
      <c r="Y15" s="34" t="s">
        <v>7476</v>
      </c>
      <c r="Z15" s="34" t="s">
        <v>7476</v>
      </c>
      <c r="AA15" s="34" t="s">
        <v>7476</v>
      </c>
      <c r="AB15" s="36" t="s">
        <v>7476</v>
      </c>
      <c r="AD15" t="s">
        <v>116</v>
      </c>
      <c r="AE15" t="s">
        <v>117</v>
      </c>
      <c r="AG15" t="s">
        <v>68</v>
      </c>
      <c r="AH15">
        <v>3</v>
      </c>
      <c r="AI15" s="8" t="str">
        <f>IFERROR(R15-AF15,"")</f>
        <v/>
      </c>
      <c r="AJ15" s="8" t="str">
        <f>IFERROR(O15-AF15,"")</f>
        <v/>
      </c>
      <c r="AK15" s="38" t="str">
        <f t="shared" si="2"/>
        <v/>
      </c>
      <c r="AL15" t="str">
        <f>IFERROR(Z15-W15,"")</f>
        <v/>
      </c>
      <c r="AM15" t="str">
        <f>IFERROR(R15-J15,"")</f>
        <v/>
      </c>
      <c r="AN15" t="str">
        <f>IFERROR(V15-O15,"")</f>
        <v/>
      </c>
      <c r="AO15">
        <f>IFERROR(J15-I15,"")</f>
        <v>3</v>
      </c>
      <c r="AP15">
        <f>IFERROR(AC15-X15,"")</f>
        <v>0</v>
      </c>
      <c r="AQ15" t="str">
        <f>IFERROR(AA15-W15,"")</f>
        <v/>
      </c>
    </row>
    <row r="16" spans="1:43" x14ac:dyDescent="0.35">
      <c r="A16">
        <v>216</v>
      </c>
      <c r="B16" t="s">
        <v>118</v>
      </c>
      <c r="C16" t="s">
        <v>57</v>
      </c>
      <c r="D16" t="str">
        <f t="shared" si="0"/>
        <v>Risk Management</v>
      </c>
      <c r="E16" t="s">
        <v>58</v>
      </c>
      <c r="F16" t="s">
        <v>70</v>
      </c>
      <c r="G16" t="s">
        <v>71</v>
      </c>
      <c r="H16" t="s">
        <v>59</v>
      </c>
      <c r="I16" s="32" t="s">
        <v>7471</v>
      </c>
      <c r="J16" s="32">
        <v>44664.331793981481</v>
      </c>
      <c r="K16" s="32">
        <v>44666.331793981481</v>
      </c>
      <c r="L16" s="8" t="str">
        <f t="shared" si="1"/>
        <v/>
      </c>
      <c r="M16" s="7">
        <v>44679.331793981481</v>
      </c>
      <c r="N16" t="s">
        <v>49</v>
      </c>
      <c r="O16" s="34">
        <v>44675.331793981481</v>
      </c>
      <c r="P16" t="s">
        <v>101</v>
      </c>
      <c r="R16" s="32">
        <v>44679.331793981481</v>
      </c>
      <c r="S16" t="s">
        <v>101</v>
      </c>
      <c r="T16" s="34">
        <v>44677.331793981481</v>
      </c>
      <c r="U16" s="34">
        <v>44680.331793981481</v>
      </c>
      <c r="V16" s="32">
        <v>44676.331793981481</v>
      </c>
      <c r="W16" s="32">
        <v>44677.331793981481</v>
      </c>
      <c r="X16">
        <v>1</v>
      </c>
      <c r="Y16" s="34">
        <v>44679.331793981481</v>
      </c>
      <c r="Z16" s="34">
        <v>44682.331793981481</v>
      </c>
      <c r="AA16" s="34">
        <v>44684.331793981481</v>
      </c>
      <c r="AB16" s="36" t="s">
        <v>7476</v>
      </c>
      <c r="AC16" s="10">
        <v>44702.331793981481</v>
      </c>
      <c r="AD16" t="s">
        <v>119</v>
      </c>
      <c r="AE16" t="s">
        <v>120</v>
      </c>
      <c r="AF16" s="16">
        <v>44669</v>
      </c>
      <c r="AG16" t="s">
        <v>68</v>
      </c>
      <c r="AH16">
        <v>3</v>
      </c>
      <c r="AK16" s="38">
        <f t="shared" si="2"/>
        <v>44766.331793981481</v>
      </c>
    </row>
    <row r="17" spans="1:43" x14ac:dyDescent="0.35">
      <c r="A17">
        <v>215</v>
      </c>
      <c r="B17" t="s">
        <v>121</v>
      </c>
      <c r="C17" t="s">
        <v>57</v>
      </c>
      <c r="D17" t="str">
        <f t="shared" si="0"/>
        <v>Risk Management</v>
      </c>
      <c r="E17" t="s">
        <v>77</v>
      </c>
      <c r="F17" t="s">
        <v>114</v>
      </c>
      <c r="G17" t="s">
        <v>115</v>
      </c>
      <c r="H17" t="s">
        <v>80</v>
      </c>
      <c r="I17" s="32" t="s">
        <v>7471</v>
      </c>
      <c r="J17" s="32">
        <v>44665.331793981481</v>
      </c>
      <c r="K17" s="32">
        <v>44666.331793981481</v>
      </c>
      <c r="L17" s="8" t="str">
        <f t="shared" si="1"/>
        <v/>
      </c>
      <c r="M17" s="7">
        <v>44856.331793981481</v>
      </c>
      <c r="N17" t="s">
        <v>49</v>
      </c>
      <c r="O17" s="34">
        <v>44679.331793981481</v>
      </c>
      <c r="P17" t="s">
        <v>50</v>
      </c>
      <c r="Q17" t="s">
        <v>51</v>
      </c>
      <c r="R17" s="32" t="s">
        <v>7472</v>
      </c>
      <c r="S17" t="s">
        <v>7476</v>
      </c>
      <c r="T17" s="34" t="s">
        <v>7476</v>
      </c>
      <c r="U17" s="34" t="s">
        <v>7476</v>
      </c>
      <c r="V17" s="32" t="s">
        <v>7476</v>
      </c>
      <c r="W17" s="32" t="s">
        <v>7476</v>
      </c>
      <c r="X17">
        <v>0</v>
      </c>
      <c r="Y17" s="34" t="s">
        <v>7476</v>
      </c>
      <c r="Z17" s="34" t="s">
        <v>7476</v>
      </c>
      <c r="AA17" s="34" t="s">
        <v>7476</v>
      </c>
      <c r="AB17" s="36" t="s">
        <v>52</v>
      </c>
      <c r="AD17" t="s">
        <v>122</v>
      </c>
      <c r="AE17" t="s">
        <v>123</v>
      </c>
      <c r="AF17" s="16">
        <v>44662</v>
      </c>
      <c r="AG17" t="s">
        <v>64</v>
      </c>
      <c r="AH17">
        <v>6</v>
      </c>
      <c r="AK17" s="38" t="str">
        <f t="shared" si="2"/>
        <v/>
      </c>
    </row>
    <row r="18" spans="1:43" x14ac:dyDescent="0.35">
      <c r="A18">
        <v>339</v>
      </c>
      <c r="B18" t="s">
        <v>124</v>
      </c>
      <c r="C18" t="s">
        <v>100</v>
      </c>
      <c r="D18" t="str">
        <f t="shared" si="0"/>
        <v>Risk Management</v>
      </c>
      <c r="E18" t="s">
        <v>45</v>
      </c>
      <c r="F18" t="s">
        <v>46</v>
      </c>
      <c r="G18" t="s">
        <v>47</v>
      </c>
      <c r="H18" t="s">
        <v>48</v>
      </c>
      <c r="I18" s="32" t="s">
        <v>7471</v>
      </c>
      <c r="J18" s="32">
        <v>44723.822210648148</v>
      </c>
      <c r="K18" s="32">
        <v>44725.822210648148</v>
      </c>
      <c r="L18" s="8" t="str">
        <f t="shared" si="1"/>
        <v/>
      </c>
      <c r="M18" s="7">
        <v>44731.822210648148</v>
      </c>
      <c r="N18" t="s">
        <v>49</v>
      </c>
      <c r="O18" s="34">
        <v>44737.822210648148</v>
      </c>
      <c r="P18" t="s">
        <v>50</v>
      </c>
      <c r="Q18" t="s">
        <v>125</v>
      </c>
      <c r="R18" s="32" t="s">
        <v>7472</v>
      </c>
      <c r="S18" t="s">
        <v>7476</v>
      </c>
      <c r="T18" s="34" t="s">
        <v>7476</v>
      </c>
      <c r="U18" s="34" t="s">
        <v>7476</v>
      </c>
      <c r="V18" s="32" t="s">
        <v>7476</v>
      </c>
      <c r="W18" s="32" t="s">
        <v>7476</v>
      </c>
      <c r="X18">
        <v>0</v>
      </c>
      <c r="Y18" s="34" t="s">
        <v>7476</v>
      </c>
      <c r="Z18" s="34" t="s">
        <v>7476</v>
      </c>
      <c r="AA18" s="34" t="s">
        <v>7476</v>
      </c>
      <c r="AB18" s="36" t="s">
        <v>52</v>
      </c>
      <c r="AD18" t="s">
        <v>126</v>
      </c>
      <c r="AE18" t="s">
        <v>127</v>
      </c>
      <c r="AF18" s="16">
        <v>44727</v>
      </c>
      <c r="AG18" t="s">
        <v>98</v>
      </c>
      <c r="AH18">
        <v>6</v>
      </c>
      <c r="AK18" s="38" t="str">
        <f t="shared" si="2"/>
        <v/>
      </c>
    </row>
    <row r="19" spans="1:43" x14ac:dyDescent="0.35">
      <c r="A19">
        <v>338</v>
      </c>
      <c r="B19" t="s">
        <v>128</v>
      </c>
      <c r="C19" t="s">
        <v>57</v>
      </c>
      <c r="D19" t="str">
        <f t="shared" si="0"/>
        <v>Risk Management</v>
      </c>
      <c r="E19" t="s">
        <v>58</v>
      </c>
      <c r="F19" t="s">
        <v>70</v>
      </c>
      <c r="G19" t="s">
        <v>71</v>
      </c>
      <c r="H19" t="s">
        <v>59</v>
      </c>
      <c r="I19" s="32">
        <v>44720.822210648148</v>
      </c>
      <c r="J19" s="32">
        <v>44722.822210648148</v>
      </c>
      <c r="K19" s="32" t="s">
        <v>7473</v>
      </c>
      <c r="L19" s="8" t="str">
        <f t="shared" si="1"/>
        <v/>
      </c>
      <c r="M19" s="7">
        <v>44739.822210648148</v>
      </c>
      <c r="N19" t="s">
        <v>49</v>
      </c>
      <c r="O19" s="34">
        <v>44729.822210648148</v>
      </c>
      <c r="P19" t="s">
        <v>60</v>
      </c>
      <c r="R19" s="32">
        <v>44732.822210648148</v>
      </c>
      <c r="S19" t="s">
        <v>61</v>
      </c>
      <c r="T19" s="34" t="s">
        <v>7476</v>
      </c>
      <c r="U19" s="34" t="s">
        <v>7476</v>
      </c>
      <c r="V19" s="32">
        <v>44731.822210648148</v>
      </c>
      <c r="W19" s="32" t="s">
        <v>7476</v>
      </c>
      <c r="X19">
        <v>0</v>
      </c>
      <c r="Y19" s="34" t="s">
        <v>7476</v>
      </c>
      <c r="Z19" s="34" t="s">
        <v>7476</v>
      </c>
      <c r="AA19" s="34" t="s">
        <v>7476</v>
      </c>
      <c r="AB19" s="36" t="s">
        <v>7476</v>
      </c>
      <c r="AD19" t="s">
        <v>129</v>
      </c>
      <c r="AE19" t="s">
        <v>130</v>
      </c>
      <c r="AF19" s="16">
        <v>44717</v>
      </c>
      <c r="AG19" t="s">
        <v>93</v>
      </c>
      <c r="AH19">
        <v>3</v>
      </c>
      <c r="AK19" s="38">
        <f>IFERROR(V19+(AH19*30),"")</f>
        <v>44821.822210648148</v>
      </c>
    </row>
    <row r="20" spans="1:43" x14ac:dyDescent="0.35">
      <c r="A20">
        <v>335</v>
      </c>
      <c r="B20" t="s">
        <v>131</v>
      </c>
      <c r="C20" t="s">
        <v>57</v>
      </c>
      <c r="D20" t="str">
        <f t="shared" si="0"/>
        <v>Risk Management</v>
      </c>
      <c r="E20" t="s">
        <v>77</v>
      </c>
      <c r="F20" t="s">
        <v>78</v>
      </c>
      <c r="G20" t="s">
        <v>79</v>
      </c>
      <c r="H20" t="s">
        <v>80</v>
      </c>
      <c r="I20" s="32">
        <v>44723.822210648148</v>
      </c>
      <c r="J20" s="32">
        <v>44724.822210648148</v>
      </c>
      <c r="K20" s="32">
        <v>44725.822210648148</v>
      </c>
      <c r="L20" s="8">
        <f t="shared" si="1"/>
        <v>2</v>
      </c>
      <c r="M20" s="7">
        <v>44748.822210648148</v>
      </c>
      <c r="N20" t="s">
        <v>49</v>
      </c>
      <c r="O20" s="34">
        <v>44729.822210648148</v>
      </c>
      <c r="P20" t="s">
        <v>60</v>
      </c>
      <c r="R20" s="32">
        <v>44734.822210648148</v>
      </c>
      <c r="S20" t="s">
        <v>61</v>
      </c>
      <c r="T20" s="34" t="s">
        <v>7476</v>
      </c>
      <c r="U20" s="34" t="s">
        <v>7476</v>
      </c>
      <c r="V20" s="32">
        <v>44731.822210648148</v>
      </c>
      <c r="W20" s="32" t="s">
        <v>7476</v>
      </c>
      <c r="X20">
        <v>0</v>
      </c>
      <c r="Y20" s="34" t="s">
        <v>7476</v>
      </c>
      <c r="Z20" s="34" t="s">
        <v>7476</v>
      </c>
      <c r="AA20" s="34" t="s">
        <v>7476</v>
      </c>
      <c r="AB20" s="36" t="s">
        <v>7476</v>
      </c>
      <c r="AD20" t="s">
        <v>132</v>
      </c>
      <c r="AE20" t="s">
        <v>133</v>
      </c>
      <c r="AF20" s="16">
        <v>44710</v>
      </c>
      <c r="AG20" t="s">
        <v>98</v>
      </c>
      <c r="AH20">
        <v>3</v>
      </c>
      <c r="AI20" s="8">
        <f>IFERROR(R20-AF20,"")</f>
        <v>24.82221064814803</v>
      </c>
      <c r="AJ20" s="8">
        <f>IFERROR(O20-AF20,"")</f>
        <v>19.82221064814803</v>
      </c>
      <c r="AK20" s="38">
        <f t="shared" si="2"/>
        <v>44821.822210648148</v>
      </c>
      <c r="AL20" t="str">
        <f>IFERROR(Z20-W20,"")</f>
        <v/>
      </c>
      <c r="AM20">
        <f>IFERROR(R20-J20,"")</f>
        <v>10</v>
      </c>
      <c r="AN20">
        <f>IFERROR(V20-O20,"")</f>
        <v>2</v>
      </c>
      <c r="AO20">
        <f>IFERROR(J20-I20,"")</f>
        <v>1</v>
      </c>
      <c r="AP20">
        <f>IFERROR(AC20-X20,"")</f>
        <v>0</v>
      </c>
      <c r="AQ20" t="str">
        <f>IFERROR(AA20-W20,"")</f>
        <v/>
      </c>
    </row>
    <row r="21" spans="1:43" x14ac:dyDescent="0.35">
      <c r="A21">
        <v>35</v>
      </c>
      <c r="B21" t="s">
        <v>134</v>
      </c>
      <c r="C21" t="s">
        <v>44</v>
      </c>
      <c r="D21" t="str">
        <f t="shared" si="0"/>
        <v>Risk Management</v>
      </c>
      <c r="E21" t="s">
        <v>77</v>
      </c>
      <c r="F21" t="s">
        <v>114</v>
      </c>
      <c r="G21" t="s">
        <v>115</v>
      </c>
      <c r="H21" t="s">
        <v>80</v>
      </c>
      <c r="I21" s="32">
        <v>44769.52820601852</v>
      </c>
      <c r="J21" s="32">
        <v>44773.52820601852</v>
      </c>
      <c r="K21" s="32">
        <v>44778.52820601852</v>
      </c>
      <c r="L21" s="8">
        <f t="shared" si="1"/>
        <v>9</v>
      </c>
      <c r="M21" s="7">
        <v>44803.52820601852</v>
      </c>
      <c r="N21" t="s">
        <v>49</v>
      </c>
      <c r="O21" s="34">
        <v>44792.52820601852</v>
      </c>
      <c r="P21" t="s">
        <v>50</v>
      </c>
      <c r="Q21" t="s">
        <v>84</v>
      </c>
      <c r="R21" s="32" t="s">
        <v>7472</v>
      </c>
      <c r="S21" t="s">
        <v>7476</v>
      </c>
      <c r="T21" s="34" t="s">
        <v>7476</v>
      </c>
      <c r="U21" s="34" t="s">
        <v>7476</v>
      </c>
      <c r="V21" s="32">
        <v>44794.52820601852</v>
      </c>
      <c r="W21" s="32" t="s">
        <v>7476</v>
      </c>
      <c r="X21">
        <v>0</v>
      </c>
      <c r="Y21" s="34" t="s">
        <v>7476</v>
      </c>
      <c r="Z21" s="34" t="s">
        <v>7476</v>
      </c>
      <c r="AA21" s="34" t="s">
        <v>7476</v>
      </c>
      <c r="AB21" s="36" t="s">
        <v>95</v>
      </c>
      <c r="AD21" t="s">
        <v>135</v>
      </c>
      <c r="AE21" t="s">
        <v>136</v>
      </c>
      <c r="AF21" s="16">
        <v>44903</v>
      </c>
      <c r="AG21" t="s">
        <v>98</v>
      </c>
      <c r="AH21">
        <v>3</v>
      </c>
      <c r="AI21" s="8" t="str">
        <f>IFERROR(R21-AF21,"")</f>
        <v/>
      </c>
      <c r="AJ21" s="8">
        <f>IFERROR(O21-AF21,"")</f>
        <v>-110.47179398148</v>
      </c>
      <c r="AK21" s="38">
        <f t="shared" si="2"/>
        <v>44884.52820601852</v>
      </c>
      <c r="AL21" t="str">
        <f>IFERROR(Z21-W21,"")</f>
        <v/>
      </c>
      <c r="AM21" t="str">
        <f>IFERROR(R21-J21,"")</f>
        <v/>
      </c>
      <c r="AN21">
        <f>IFERROR(V21-O21,"")</f>
        <v>2</v>
      </c>
      <c r="AO21">
        <f>IFERROR(J21-I21,"")</f>
        <v>4</v>
      </c>
      <c r="AP21">
        <f>IFERROR(AC21-X21,"")</f>
        <v>0</v>
      </c>
      <c r="AQ21" t="str">
        <f>IFERROR(AA21-W21,"")</f>
        <v/>
      </c>
    </row>
    <row r="22" spans="1:43" x14ac:dyDescent="0.35">
      <c r="A22">
        <v>33</v>
      </c>
      <c r="B22" t="s">
        <v>137</v>
      </c>
      <c r="C22" t="s">
        <v>44</v>
      </c>
      <c r="D22" t="str">
        <f t="shared" si="0"/>
        <v>Risk Management</v>
      </c>
      <c r="E22" t="s">
        <v>77</v>
      </c>
      <c r="F22" t="s">
        <v>114</v>
      </c>
      <c r="G22" t="s">
        <v>115</v>
      </c>
      <c r="H22" t="s">
        <v>80</v>
      </c>
      <c r="I22" s="32">
        <v>44773.52820601852</v>
      </c>
      <c r="J22" s="32">
        <v>44776.52820601852</v>
      </c>
      <c r="K22" s="32">
        <v>44778.52820601852</v>
      </c>
      <c r="L22" s="8">
        <f t="shared" si="1"/>
        <v>5</v>
      </c>
      <c r="M22" s="7">
        <v>44799.52820601852</v>
      </c>
      <c r="N22" t="s">
        <v>49</v>
      </c>
      <c r="O22" s="34">
        <v>44788.52820601852</v>
      </c>
      <c r="P22" t="s">
        <v>60</v>
      </c>
      <c r="R22" s="32">
        <v>44795.52820601852</v>
      </c>
      <c r="S22" t="s">
        <v>61</v>
      </c>
      <c r="T22" s="34" t="s">
        <v>7476</v>
      </c>
      <c r="U22" s="34" t="s">
        <v>7476</v>
      </c>
      <c r="V22" s="32">
        <v>44791.52820601852</v>
      </c>
      <c r="W22" s="32" t="s">
        <v>7476</v>
      </c>
      <c r="X22">
        <v>0</v>
      </c>
      <c r="Y22" s="34" t="s">
        <v>7476</v>
      </c>
      <c r="Z22" s="34" t="s">
        <v>7476</v>
      </c>
      <c r="AA22" s="34" t="s">
        <v>7476</v>
      </c>
      <c r="AB22" s="36" t="s">
        <v>7476</v>
      </c>
      <c r="AD22" t="s">
        <v>138</v>
      </c>
      <c r="AE22" t="s">
        <v>139</v>
      </c>
      <c r="AF22" s="16">
        <v>44778</v>
      </c>
      <c r="AG22" t="s">
        <v>98</v>
      </c>
      <c r="AH22">
        <v>3</v>
      </c>
      <c r="AI22" s="8">
        <f>IFERROR(R22-AF22,"")</f>
        <v>17.528206018519995</v>
      </c>
      <c r="AJ22" s="8">
        <f>IFERROR(O22-AF22,"")</f>
        <v>10.528206018519995</v>
      </c>
      <c r="AK22" s="38">
        <f t="shared" si="2"/>
        <v>44881.52820601852</v>
      </c>
      <c r="AL22" t="str">
        <f>IFERROR(Z22-W22,"")</f>
        <v/>
      </c>
      <c r="AM22">
        <f>IFERROR(R22-J22,"")</f>
        <v>19</v>
      </c>
      <c r="AN22">
        <f>IFERROR(V22-O22,"")</f>
        <v>3</v>
      </c>
      <c r="AO22">
        <f>IFERROR(J22-I22,"")</f>
        <v>3</v>
      </c>
      <c r="AP22">
        <f>IFERROR(AC22-X22,"")</f>
        <v>0</v>
      </c>
      <c r="AQ22" t="str">
        <f>IFERROR(AA22-W22,"")</f>
        <v/>
      </c>
    </row>
    <row r="23" spans="1:43" x14ac:dyDescent="0.35">
      <c r="A23">
        <v>34</v>
      </c>
      <c r="B23" t="s">
        <v>140</v>
      </c>
      <c r="C23" t="s">
        <v>57</v>
      </c>
      <c r="D23" t="str">
        <f t="shared" si="0"/>
        <v>Risk Management</v>
      </c>
      <c r="E23" t="s">
        <v>77</v>
      </c>
      <c r="F23" t="s">
        <v>114</v>
      </c>
      <c r="G23" t="s">
        <v>115</v>
      </c>
      <c r="H23" t="s">
        <v>80</v>
      </c>
      <c r="I23" s="32">
        <v>44774.52820601852</v>
      </c>
      <c r="J23" s="32">
        <v>44777.52820601852</v>
      </c>
      <c r="K23" s="32">
        <v>44778.52820601852</v>
      </c>
      <c r="L23" s="8">
        <f t="shared" si="1"/>
        <v>4</v>
      </c>
      <c r="M23" s="7">
        <v>44786.52820601852</v>
      </c>
      <c r="N23" t="s">
        <v>49</v>
      </c>
      <c r="O23" s="34">
        <v>44792.52820601852</v>
      </c>
      <c r="P23" t="s">
        <v>60</v>
      </c>
      <c r="R23" s="32">
        <v>44797.52820601852</v>
      </c>
      <c r="S23" t="s">
        <v>61</v>
      </c>
      <c r="T23" s="34" t="s">
        <v>7476</v>
      </c>
      <c r="U23" s="34" t="s">
        <v>7476</v>
      </c>
      <c r="V23" s="32">
        <v>44793.52820601852</v>
      </c>
      <c r="W23" s="32" t="s">
        <v>7476</v>
      </c>
      <c r="X23">
        <v>0</v>
      </c>
      <c r="Y23" s="34" t="s">
        <v>7476</v>
      </c>
      <c r="Z23" s="34" t="s">
        <v>7476</v>
      </c>
      <c r="AA23" s="34" t="s">
        <v>7476</v>
      </c>
      <c r="AB23" s="36" t="s">
        <v>7476</v>
      </c>
      <c r="AD23" t="s">
        <v>141</v>
      </c>
      <c r="AE23" t="s">
        <v>142</v>
      </c>
      <c r="AF23" s="16">
        <v>44873</v>
      </c>
      <c r="AG23" t="s">
        <v>98</v>
      </c>
      <c r="AH23">
        <v>6</v>
      </c>
      <c r="AI23" s="8">
        <f>IFERROR(R23-AF23,"")</f>
        <v>-75.471793981480005</v>
      </c>
      <c r="AJ23" s="8">
        <f>IFERROR(O23-AF23,"")</f>
        <v>-80.471793981480005</v>
      </c>
      <c r="AK23" s="38">
        <f t="shared" si="2"/>
        <v>44973.52820601852</v>
      </c>
      <c r="AL23" t="str">
        <f>IFERROR(Z23-W23,"")</f>
        <v/>
      </c>
      <c r="AM23">
        <f>IFERROR(R23-J23,"")</f>
        <v>20</v>
      </c>
      <c r="AN23">
        <f>IFERROR(V23-O23,"")</f>
        <v>1</v>
      </c>
      <c r="AO23">
        <f>IFERROR(J23-I23,"")</f>
        <v>3</v>
      </c>
      <c r="AP23">
        <f>IFERROR(AC23-X23,"")</f>
        <v>0</v>
      </c>
      <c r="AQ23" t="str">
        <f>IFERROR(AA23-W23,"")</f>
        <v/>
      </c>
    </row>
    <row r="24" spans="1:43" x14ac:dyDescent="0.35">
      <c r="A24">
        <v>32</v>
      </c>
      <c r="B24" t="s">
        <v>143</v>
      </c>
      <c r="C24" t="s">
        <v>44</v>
      </c>
      <c r="D24" t="str">
        <f t="shared" si="0"/>
        <v>Risk Management</v>
      </c>
      <c r="E24" t="s">
        <v>77</v>
      </c>
      <c r="F24" t="s">
        <v>114</v>
      </c>
      <c r="G24" t="s">
        <v>115</v>
      </c>
      <c r="H24" t="s">
        <v>80</v>
      </c>
      <c r="I24" s="32">
        <v>44774.52820601852</v>
      </c>
      <c r="J24" s="32">
        <v>44777.52820601852</v>
      </c>
      <c r="K24" s="32">
        <v>44778.52820601852</v>
      </c>
      <c r="L24" s="8">
        <f t="shared" si="1"/>
        <v>4</v>
      </c>
      <c r="M24" s="7">
        <v>44786.52820601852</v>
      </c>
      <c r="N24" t="s">
        <v>49</v>
      </c>
      <c r="O24" s="34">
        <v>44787.52820601852</v>
      </c>
      <c r="P24" t="s">
        <v>101</v>
      </c>
      <c r="R24" s="32">
        <v>44795.52820601852</v>
      </c>
      <c r="S24" t="s">
        <v>101</v>
      </c>
      <c r="T24" s="34">
        <v>44789.52820601852</v>
      </c>
      <c r="U24" s="34">
        <v>44793.52820601852</v>
      </c>
      <c r="V24" s="32">
        <v>44791.52820601852</v>
      </c>
      <c r="W24" s="32">
        <v>44800.52820601852</v>
      </c>
      <c r="X24">
        <v>1</v>
      </c>
      <c r="Y24" s="34">
        <v>44803.52820601852</v>
      </c>
      <c r="Z24" s="34">
        <v>44806.52820601852</v>
      </c>
      <c r="AA24" s="34">
        <v>44807.52820601852</v>
      </c>
      <c r="AB24" s="36" t="s">
        <v>7476</v>
      </c>
      <c r="AC24" s="10">
        <v>44825.52820601852</v>
      </c>
      <c r="AD24" t="s">
        <v>144</v>
      </c>
      <c r="AE24" t="s">
        <v>145</v>
      </c>
      <c r="AF24" s="16">
        <v>44775</v>
      </c>
      <c r="AG24" t="s">
        <v>98</v>
      </c>
      <c r="AH24">
        <v>3</v>
      </c>
      <c r="AI24" s="8">
        <f>IFERROR(R24-AF24,"")</f>
        <v>20.528206018519995</v>
      </c>
      <c r="AJ24" s="8">
        <f>IFERROR(O24-AF24,"")</f>
        <v>12.528206018519995</v>
      </c>
      <c r="AK24" s="38">
        <f t="shared" si="2"/>
        <v>44881.52820601852</v>
      </c>
      <c r="AL24">
        <f>IFERROR(Z24-W24,"")</f>
        <v>6</v>
      </c>
      <c r="AM24">
        <f>IFERROR(R24-J24,"")</f>
        <v>18</v>
      </c>
      <c r="AN24">
        <f>IFERROR(V24-O24,"")</f>
        <v>4</v>
      </c>
      <c r="AO24">
        <f>IFERROR(J24-I24,"")</f>
        <v>3</v>
      </c>
      <c r="AP24">
        <f>IFERROR(AC24-X24,"")</f>
        <v>44824.52820601852</v>
      </c>
      <c r="AQ24">
        <f>IFERROR(AA24-W24,"")</f>
        <v>7</v>
      </c>
    </row>
    <row r="25" spans="1:43" x14ac:dyDescent="0.35">
      <c r="A25">
        <v>37</v>
      </c>
      <c r="B25" t="s">
        <v>146</v>
      </c>
      <c r="C25" t="s">
        <v>44</v>
      </c>
      <c r="D25" t="str">
        <f t="shared" si="0"/>
        <v>Risk Management</v>
      </c>
      <c r="E25" t="s">
        <v>58</v>
      </c>
      <c r="F25" t="s">
        <v>70</v>
      </c>
      <c r="G25" t="s">
        <v>71</v>
      </c>
      <c r="H25" t="s">
        <v>59</v>
      </c>
      <c r="I25" s="32">
        <v>44774.52820601852</v>
      </c>
      <c r="J25" s="32" t="s">
        <v>7471</v>
      </c>
      <c r="K25" s="32">
        <v>44778.52820601852</v>
      </c>
      <c r="L25" s="8">
        <f t="shared" si="1"/>
        <v>4</v>
      </c>
      <c r="M25" s="7">
        <v>44801.52820601852</v>
      </c>
      <c r="N25" t="s">
        <v>49</v>
      </c>
      <c r="O25" s="34">
        <v>44784.52820601852</v>
      </c>
      <c r="P25" t="s">
        <v>50</v>
      </c>
      <c r="Q25" t="s">
        <v>125</v>
      </c>
      <c r="R25" s="32" t="s">
        <v>7472</v>
      </c>
      <c r="S25" t="s">
        <v>7476</v>
      </c>
      <c r="T25" s="34" t="s">
        <v>7476</v>
      </c>
      <c r="U25" s="34" t="s">
        <v>7476</v>
      </c>
      <c r="V25" s="32" t="s">
        <v>7476</v>
      </c>
      <c r="W25" s="32" t="s">
        <v>7476</v>
      </c>
      <c r="X25">
        <v>0</v>
      </c>
      <c r="Y25" s="34" t="s">
        <v>7476</v>
      </c>
      <c r="Z25" s="34" t="s">
        <v>7476</v>
      </c>
      <c r="AA25" s="34" t="s">
        <v>7476</v>
      </c>
      <c r="AB25" s="36" t="s">
        <v>52</v>
      </c>
      <c r="AD25" t="s">
        <v>147</v>
      </c>
      <c r="AE25" t="s">
        <v>148</v>
      </c>
      <c r="AF25" s="16">
        <v>44776</v>
      </c>
      <c r="AG25" t="s">
        <v>55</v>
      </c>
      <c r="AH25">
        <v>3</v>
      </c>
      <c r="AK25" s="38" t="str">
        <f t="shared" si="2"/>
        <v/>
      </c>
    </row>
    <row r="26" spans="1:43" x14ac:dyDescent="0.35">
      <c r="A26">
        <v>518</v>
      </c>
      <c r="B26" t="s">
        <v>149</v>
      </c>
      <c r="C26" t="s">
        <v>44</v>
      </c>
      <c r="D26" t="str">
        <f t="shared" si="0"/>
        <v>Risk Management</v>
      </c>
      <c r="E26" t="s">
        <v>58</v>
      </c>
      <c r="F26" t="s">
        <v>46</v>
      </c>
      <c r="G26" t="s">
        <v>47</v>
      </c>
      <c r="H26" t="s">
        <v>59</v>
      </c>
      <c r="I26" s="32">
        <v>44846.925555555557</v>
      </c>
      <c r="J26" s="32">
        <v>44850.925555555557</v>
      </c>
      <c r="K26" s="32">
        <v>44856.925555555557</v>
      </c>
      <c r="L26" s="8">
        <f t="shared" si="1"/>
        <v>10</v>
      </c>
      <c r="M26" s="7">
        <v>44875.925555555557</v>
      </c>
      <c r="N26" t="s">
        <v>49</v>
      </c>
      <c r="O26" s="34">
        <v>44871.925555555557</v>
      </c>
      <c r="P26" t="s">
        <v>60</v>
      </c>
      <c r="R26" s="32">
        <v>44875.925555555557</v>
      </c>
      <c r="S26" t="s">
        <v>61</v>
      </c>
      <c r="T26" s="34" t="s">
        <v>7476</v>
      </c>
      <c r="U26" s="34" t="s">
        <v>7476</v>
      </c>
      <c r="V26" s="32">
        <v>44874.925555555557</v>
      </c>
      <c r="W26" s="32" t="s">
        <v>7476</v>
      </c>
      <c r="X26">
        <v>0</v>
      </c>
      <c r="Y26" s="34" t="s">
        <v>7476</v>
      </c>
      <c r="Z26" s="34" t="s">
        <v>7476</v>
      </c>
      <c r="AA26" s="34" t="s">
        <v>7476</v>
      </c>
      <c r="AB26" s="36" t="s">
        <v>7476</v>
      </c>
      <c r="AD26" t="s">
        <v>150</v>
      </c>
      <c r="AE26" t="s">
        <v>151</v>
      </c>
      <c r="AF26" s="16">
        <v>44852</v>
      </c>
      <c r="AG26" t="s">
        <v>98</v>
      </c>
      <c r="AH26">
        <v>3</v>
      </c>
      <c r="AI26" s="8">
        <f t="shared" ref="AI26:AI34" si="11">IFERROR(R26-AF26,"")</f>
        <v>23.925555555557366</v>
      </c>
      <c r="AJ26" s="8">
        <f t="shared" ref="AJ26:AJ34" si="12">IFERROR(O26-AF26,"")</f>
        <v>19.925555555557366</v>
      </c>
      <c r="AK26" s="38">
        <f t="shared" si="2"/>
        <v>44964.925555555557</v>
      </c>
      <c r="AL26" t="str">
        <f t="shared" ref="AL26:AL34" si="13">IFERROR(Z26-W26,"")</f>
        <v/>
      </c>
      <c r="AM26">
        <f t="shared" ref="AM26:AM34" si="14">IFERROR(R26-J26,"")</f>
        <v>25</v>
      </c>
      <c r="AN26">
        <f t="shared" ref="AN26:AN34" si="15">IFERROR(V26-O26,"")</f>
        <v>3</v>
      </c>
      <c r="AO26">
        <f t="shared" ref="AO26:AO34" si="16">IFERROR(J26-I26,"")</f>
        <v>4</v>
      </c>
      <c r="AP26">
        <f t="shared" ref="AP26:AP34" si="17">IFERROR(AC26-X26,"")</f>
        <v>0</v>
      </c>
      <c r="AQ26" t="str">
        <f t="shared" ref="AQ26:AQ34" si="18">IFERROR(AA26-W26,"")</f>
        <v/>
      </c>
    </row>
    <row r="27" spans="1:43" x14ac:dyDescent="0.35">
      <c r="A27">
        <v>511</v>
      </c>
      <c r="B27" t="s">
        <v>152</v>
      </c>
      <c r="C27" t="s">
        <v>57</v>
      </c>
      <c r="D27" t="str">
        <f t="shared" si="0"/>
        <v>Risk Management</v>
      </c>
      <c r="E27" t="s">
        <v>58</v>
      </c>
      <c r="F27" t="s">
        <v>46</v>
      </c>
      <c r="G27" t="s">
        <v>47</v>
      </c>
      <c r="H27" t="s">
        <v>59</v>
      </c>
      <c r="I27" s="32">
        <v>44848.925555555557</v>
      </c>
      <c r="J27" s="32">
        <v>44851.925555555557</v>
      </c>
      <c r="K27" s="32">
        <v>44856.925555555557</v>
      </c>
      <c r="L27" s="8">
        <f t="shared" si="1"/>
        <v>8</v>
      </c>
      <c r="M27" s="7">
        <v>44878.925555555557</v>
      </c>
      <c r="N27" t="s">
        <v>49</v>
      </c>
      <c r="O27" s="34">
        <v>44860.925555555557</v>
      </c>
      <c r="P27" t="s">
        <v>50</v>
      </c>
      <c r="Q27" t="s">
        <v>125</v>
      </c>
      <c r="R27" s="32" t="s">
        <v>7472</v>
      </c>
      <c r="S27" t="s">
        <v>7476</v>
      </c>
      <c r="T27" s="34" t="s">
        <v>7476</v>
      </c>
      <c r="U27" s="34" t="s">
        <v>7476</v>
      </c>
      <c r="V27" s="32" t="s">
        <v>7476</v>
      </c>
      <c r="W27" s="32" t="s">
        <v>7476</v>
      </c>
      <c r="X27">
        <v>0</v>
      </c>
      <c r="Y27" s="34" t="s">
        <v>7476</v>
      </c>
      <c r="Z27" s="34" t="s">
        <v>7476</v>
      </c>
      <c r="AA27" s="34" t="s">
        <v>7476</v>
      </c>
      <c r="AB27" s="36" t="s">
        <v>52</v>
      </c>
      <c r="AD27" t="s">
        <v>153</v>
      </c>
      <c r="AE27" t="s">
        <v>154</v>
      </c>
      <c r="AF27" s="16">
        <v>44852</v>
      </c>
      <c r="AG27" t="s">
        <v>64</v>
      </c>
      <c r="AH27">
        <v>6</v>
      </c>
      <c r="AI27" s="8" t="str">
        <f t="shared" si="11"/>
        <v/>
      </c>
      <c r="AJ27" s="8">
        <f t="shared" si="12"/>
        <v>8.9255555555573665</v>
      </c>
      <c r="AK27" s="38" t="str">
        <f t="shared" si="2"/>
        <v/>
      </c>
      <c r="AL27" t="str">
        <f t="shared" si="13"/>
        <v/>
      </c>
      <c r="AM27" t="str">
        <f t="shared" si="14"/>
        <v/>
      </c>
      <c r="AN27" t="str">
        <f t="shared" si="15"/>
        <v/>
      </c>
      <c r="AO27">
        <f t="shared" si="16"/>
        <v>3</v>
      </c>
      <c r="AP27">
        <f t="shared" si="17"/>
        <v>0</v>
      </c>
      <c r="AQ27" t="str">
        <f t="shared" si="18"/>
        <v/>
      </c>
    </row>
    <row r="28" spans="1:43" x14ac:dyDescent="0.35">
      <c r="A28">
        <v>519</v>
      </c>
      <c r="B28" t="s">
        <v>155</v>
      </c>
      <c r="C28" t="s">
        <v>44</v>
      </c>
      <c r="D28" t="str">
        <f t="shared" si="0"/>
        <v>Risk Management</v>
      </c>
      <c r="E28" t="s">
        <v>45</v>
      </c>
      <c r="F28" t="s">
        <v>46</v>
      </c>
      <c r="G28" t="s">
        <v>47</v>
      </c>
      <c r="H28" t="s">
        <v>48</v>
      </c>
      <c r="I28" s="32">
        <v>44850.925555555557</v>
      </c>
      <c r="J28" s="32">
        <v>44854.925555555557</v>
      </c>
      <c r="K28" s="32">
        <v>44856.925555555557</v>
      </c>
      <c r="L28" s="8">
        <f t="shared" si="1"/>
        <v>6</v>
      </c>
      <c r="M28" s="7">
        <v>44870.925555555557</v>
      </c>
      <c r="N28" t="s">
        <v>49</v>
      </c>
      <c r="O28" s="34">
        <v>44866.925555555557</v>
      </c>
      <c r="P28" t="s">
        <v>60</v>
      </c>
      <c r="R28" s="32">
        <v>44871.925555555557</v>
      </c>
      <c r="S28" t="s">
        <v>61</v>
      </c>
      <c r="T28" s="34" t="s">
        <v>7476</v>
      </c>
      <c r="U28" s="34" t="s">
        <v>7476</v>
      </c>
      <c r="V28" s="32">
        <v>44870.925555555557</v>
      </c>
      <c r="W28" s="32" t="s">
        <v>7476</v>
      </c>
      <c r="X28">
        <v>0</v>
      </c>
      <c r="Y28" s="34" t="s">
        <v>7476</v>
      </c>
      <c r="Z28" s="34" t="s">
        <v>7476</v>
      </c>
      <c r="AA28" s="34" t="s">
        <v>7476</v>
      </c>
      <c r="AB28" s="36" t="s">
        <v>7476</v>
      </c>
      <c r="AD28" t="s">
        <v>156</v>
      </c>
      <c r="AE28" t="s">
        <v>157</v>
      </c>
      <c r="AF28" s="16">
        <v>44858</v>
      </c>
      <c r="AG28" t="s">
        <v>64</v>
      </c>
      <c r="AH28">
        <v>6</v>
      </c>
      <c r="AI28" s="8">
        <f t="shared" si="11"/>
        <v>13.925555555557366</v>
      </c>
      <c r="AJ28" s="8">
        <f t="shared" si="12"/>
        <v>8.9255555555573665</v>
      </c>
      <c r="AK28" s="38">
        <f t="shared" si="2"/>
        <v>45050.925555555557</v>
      </c>
      <c r="AL28" t="str">
        <f t="shared" si="13"/>
        <v/>
      </c>
      <c r="AM28">
        <f t="shared" si="14"/>
        <v>17</v>
      </c>
      <c r="AN28">
        <f t="shared" si="15"/>
        <v>4</v>
      </c>
      <c r="AO28">
        <f t="shared" si="16"/>
        <v>4</v>
      </c>
      <c r="AP28">
        <f t="shared" si="17"/>
        <v>0</v>
      </c>
      <c r="AQ28" t="str">
        <f t="shared" si="18"/>
        <v/>
      </c>
    </row>
    <row r="29" spans="1:43" x14ac:dyDescent="0.35">
      <c r="A29">
        <v>512</v>
      </c>
      <c r="B29" t="s">
        <v>158</v>
      </c>
      <c r="C29" t="s">
        <v>100</v>
      </c>
      <c r="D29" t="str">
        <f t="shared" si="0"/>
        <v>Risk Management</v>
      </c>
      <c r="E29" t="s">
        <v>45</v>
      </c>
      <c r="F29" t="s">
        <v>46</v>
      </c>
      <c r="G29" t="s">
        <v>47</v>
      </c>
      <c r="H29" t="s">
        <v>48</v>
      </c>
      <c r="I29" s="32">
        <v>44851.925555555557</v>
      </c>
      <c r="J29" s="32">
        <v>44854.925555555557</v>
      </c>
      <c r="K29" s="32">
        <v>44856.925555555557</v>
      </c>
      <c r="L29" s="8">
        <f t="shared" si="1"/>
        <v>5</v>
      </c>
      <c r="M29" s="7">
        <v>44876.925555555557</v>
      </c>
      <c r="N29" t="s">
        <v>49</v>
      </c>
      <c r="O29" s="34">
        <v>44869.925555555557</v>
      </c>
      <c r="P29" t="s">
        <v>60</v>
      </c>
      <c r="R29" s="32">
        <v>44874.925555555557</v>
      </c>
      <c r="S29" t="s">
        <v>61</v>
      </c>
      <c r="T29" s="34" t="s">
        <v>7476</v>
      </c>
      <c r="U29" s="34" t="s">
        <v>7476</v>
      </c>
      <c r="V29" s="32">
        <v>44870.925555555557</v>
      </c>
      <c r="W29" s="32" t="s">
        <v>7476</v>
      </c>
      <c r="X29">
        <v>0</v>
      </c>
      <c r="Y29" s="34" t="s">
        <v>7476</v>
      </c>
      <c r="Z29" s="34" t="s">
        <v>7476</v>
      </c>
      <c r="AA29" s="34" t="s">
        <v>7476</v>
      </c>
      <c r="AB29" s="36" t="s">
        <v>7476</v>
      </c>
      <c r="AD29" t="s">
        <v>159</v>
      </c>
      <c r="AE29" t="s">
        <v>160</v>
      </c>
      <c r="AF29" s="16">
        <v>44863</v>
      </c>
      <c r="AG29" t="s">
        <v>98</v>
      </c>
      <c r="AH29">
        <v>3</v>
      </c>
      <c r="AI29" s="8">
        <f t="shared" si="11"/>
        <v>11.925555555557366</v>
      </c>
      <c r="AJ29" s="8">
        <f t="shared" si="12"/>
        <v>6.9255555555573665</v>
      </c>
      <c r="AK29" s="38">
        <f t="shared" si="2"/>
        <v>44960.925555555557</v>
      </c>
      <c r="AL29" t="str">
        <f t="shared" si="13"/>
        <v/>
      </c>
      <c r="AM29">
        <f t="shared" si="14"/>
        <v>20</v>
      </c>
      <c r="AN29">
        <f t="shared" si="15"/>
        <v>1</v>
      </c>
      <c r="AO29">
        <f t="shared" si="16"/>
        <v>3</v>
      </c>
      <c r="AP29">
        <f t="shared" si="17"/>
        <v>0</v>
      </c>
      <c r="AQ29" t="str">
        <f t="shared" si="18"/>
        <v/>
      </c>
    </row>
    <row r="30" spans="1:43" x14ac:dyDescent="0.35">
      <c r="A30">
        <v>515</v>
      </c>
      <c r="B30" t="s">
        <v>161</v>
      </c>
      <c r="C30" t="s">
        <v>44</v>
      </c>
      <c r="D30" t="str">
        <f t="shared" si="0"/>
        <v>Risk Management</v>
      </c>
      <c r="E30" t="s">
        <v>58</v>
      </c>
      <c r="F30" t="s">
        <v>46</v>
      </c>
      <c r="G30" t="s">
        <v>47</v>
      </c>
      <c r="H30" t="s">
        <v>59</v>
      </c>
      <c r="I30" s="32">
        <v>44852.925555555557</v>
      </c>
      <c r="J30" s="32">
        <v>44854.925555555557</v>
      </c>
      <c r="K30" s="32">
        <v>44856.925555555557</v>
      </c>
      <c r="L30" s="8">
        <f t="shared" si="1"/>
        <v>4</v>
      </c>
      <c r="M30" s="7">
        <v>44876.925555555557</v>
      </c>
      <c r="N30" t="s">
        <v>49</v>
      </c>
      <c r="O30" s="34">
        <v>44871.925555555557</v>
      </c>
      <c r="P30" t="s">
        <v>101</v>
      </c>
      <c r="R30" s="32">
        <v>44877.925555555557</v>
      </c>
      <c r="S30" t="s">
        <v>101</v>
      </c>
      <c r="T30" s="34">
        <v>44873.925555555557</v>
      </c>
      <c r="U30" s="34">
        <v>44877.925555555557</v>
      </c>
      <c r="V30" s="32">
        <v>44874.925555555557</v>
      </c>
      <c r="W30" s="32">
        <v>44875.925555555557</v>
      </c>
      <c r="X30">
        <v>1</v>
      </c>
      <c r="Y30" s="34">
        <v>44878.925555555557</v>
      </c>
      <c r="Z30" s="34">
        <v>44881.925555555557</v>
      </c>
      <c r="AA30" s="34">
        <v>44883.925555555557</v>
      </c>
      <c r="AB30" s="36" t="s">
        <v>7476</v>
      </c>
      <c r="AC30" s="10">
        <v>44901.925555555557</v>
      </c>
      <c r="AD30" t="s">
        <v>162</v>
      </c>
      <c r="AE30" t="s">
        <v>163</v>
      </c>
      <c r="AF30" s="16">
        <v>44856</v>
      </c>
      <c r="AG30" t="s">
        <v>98</v>
      </c>
      <c r="AH30">
        <v>3</v>
      </c>
      <c r="AI30" s="8">
        <f t="shared" si="11"/>
        <v>21.925555555557366</v>
      </c>
      <c r="AJ30" s="8">
        <f t="shared" si="12"/>
        <v>15.925555555557366</v>
      </c>
      <c r="AK30" s="38">
        <f t="shared" si="2"/>
        <v>44964.925555555557</v>
      </c>
      <c r="AL30">
        <f t="shared" si="13"/>
        <v>6</v>
      </c>
      <c r="AM30">
        <f t="shared" si="14"/>
        <v>23</v>
      </c>
      <c r="AN30">
        <f t="shared" si="15"/>
        <v>3</v>
      </c>
      <c r="AO30">
        <f t="shared" si="16"/>
        <v>2</v>
      </c>
      <c r="AP30">
        <f t="shared" si="17"/>
        <v>44900.925555555557</v>
      </c>
      <c r="AQ30">
        <f t="shared" si="18"/>
        <v>8</v>
      </c>
    </row>
    <row r="31" spans="1:43" x14ac:dyDescent="0.35">
      <c r="A31">
        <v>442</v>
      </c>
      <c r="B31" t="s">
        <v>164</v>
      </c>
      <c r="C31" t="s">
        <v>44</v>
      </c>
      <c r="D31" t="str">
        <f t="shared" si="0"/>
        <v>Risk Management</v>
      </c>
      <c r="E31" t="s">
        <v>45</v>
      </c>
      <c r="F31" t="s">
        <v>46</v>
      </c>
      <c r="G31" t="s">
        <v>47</v>
      </c>
      <c r="H31" t="s">
        <v>48</v>
      </c>
      <c r="I31" s="32">
        <v>44887.108344907407</v>
      </c>
      <c r="J31" s="32">
        <v>44890.108344907407</v>
      </c>
      <c r="K31" s="32">
        <v>44895.108344907407</v>
      </c>
      <c r="L31" s="8">
        <f t="shared" si="1"/>
        <v>8</v>
      </c>
      <c r="M31" s="7">
        <v>44914.108344907407</v>
      </c>
      <c r="N31" t="s">
        <v>49</v>
      </c>
      <c r="O31" s="34">
        <v>44898.108344907407</v>
      </c>
      <c r="P31" t="s">
        <v>50</v>
      </c>
      <c r="Q31" t="s">
        <v>125</v>
      </c>
      <c r="R31" s="32" t="s">
        <v>7472</v>
      </c>
      <c r="S31" t="s">
        <v>7476</v>
      </c>
      <c r="T31" s="34" t="s">
        <v>7476</v>
      </c>
      <c r="U31" s="34" t="s">
        <v>7476</v>
      </c>
      <c r="V31" s="32">
        <v>44902.108344907407</v>
      </c>
      <c r="W31" s="32" t="s">
        <v>7476</v>
      </c>
      <c r="X31">
        <v>0</v>
      </c>
      <c r="Y31" s="34" t="s">
        <v>7476</v>
      </c>
      <c r="Z31" s="34" t="s">
        <v>7476</v>
      </c>
      <c r="AA31" s="34" t="s">
        <v>7476</v>
      </c>
      <c r="AB31" s="36" t="s">
        <v>95</v>
      </c>
      <c r="AD31" t="s">
        <v>165</v>
      </c>
      <c r="AE31" t="s">
        <v>166</v>
      </c>
      <c r="AF31" s="16">
        <v>44887</v>
      </c>
      <c r="AG31" t="s">
        <v>98</v>
      </c>
      <c r="AH31">
        <v>3</v>
      </c>
      <c r="AI31" s="8" t="str">
        <f t="shared" si="11"/>
        <v/>
      </c>
      <c r="AJ31" s="8">
        <f t="shared" si="12"/>
        <v>11.108344907406718</v>
      </c>
      <c r="AK31" s="38">
        <f t="shared" si="2"/>
        <v>44992.108344907407</v>
      </c>
      <c r="AL31" t="str">
        <f t="shared" si="13"/>
        <v/>
      </c>
      <c r="AM31" t="str">
        <f t="shared" si="14"/>
        <v/>
      </c>
      <c r="AN31">
        <f t="shared" si="15"/>
        <v>4</v>
      </c>
      <c r="AO31">
        <f t="shared" si="16"/>
        <v>3</v>
      </c>
      <c r="AP31">
        <f t="shared" si="17"/>
        <v>0</v>
      </c>
      <c r="AQ31" t="str">
        <f t="shared" si="18"/>
        <v/>
      </c>
    </row>
    <row r="32" spans="1:43" x14ac:dyDescent="0.35">
      <c r="A32">
        <v>449</v>
      </c>
      <c r="B32" t="s">
        <v>167</v>
      </c>
      <c r="C32" t="s">
        <v>57</v>
      </c>
      <c r="D32" t="str">
        <f t="shared" si="0"/>
        <v>Risk Management</v>
      </c>
      <c r="E32" t="s">
        <v>45</v>
      </c>
      <c r="F32" t="s">
        <v>46</v>
      </c>
      <c r="G32" t="s">
        <v>47</v>
      </c>
      <c r="H32" t="s">
        <v>48</v>
      </c>
      <c r="I32" s="32">
        <v>44889.108344907407</v>
      </c>
      <c r="J32" s="32">
        <v>44893.108344907407</v>
      </c>
      <c r="K32" s="32">
        <v>44895.108344907407</v>
      </c>
      <c r="L32" s="8">
        <f t="shared" si="1"/>
        <v>6</v>
      </c>
      <c r="M32" s="7">
        <v>44910.108344907407</v>
      </c>
      <c r="N32" t="s">
        <v>49</v>
      </c>
      <c r="O32" s="34">
        <v>44910.108344907407</v>
      </c>
      <c r="P32" t="s">
        <v>101</v>
      </c>
      <c r="R32" s="32">
        <v>44912.108344907407</v>
      </c>
      <c r="S32" t="s">
        <v>101</v>
      </c>
      <c r="T32" s="34">
        <v>44912.108344907407</v>
      </c>
      <c r="U32" s="34">
        <v>44915.108344907407</v>
      </c>
      <c r="V32" s="32">
        <v>44911.108344907407</v>
      </c>
      <c r="W32" s="32">
        <v>44920.108344907407</v>
      </c>
      <c r="X32">
        <v>1</v>
      </c>
      <c r="Y32" s="34">
        <v>44923.108344907407</v>
      </c>
      <c r="Z32" s="34">
        <v>44925.108344907407</v>
      </c>
      <c r="AA32" s="34">
        <v>44926.108344907407</v>
      </c>
      <c r="AB32" s="36" t="s">
        <v>7476</v>
      </c>
      <c r="AC32" s="10">
        <v>44941.108344907407</v>
      </c>
      <c r="AD32" t="s">
        <v>168</v>
      </c>
      <c r="AE32" t="s">
        <v>169</v>
      </c>
      <c r="AF32" s="16">
        <v>44903</v>
      </c>
      <c r="AG32" t="s">
        <v>68</v>
      </c>
      <c r="AH32">
        <v>6</v>
      </c>
      <c r="AI32" s="8">
        <f t="shared" si="11"/>
        <v>9.1083449074067175</v>
      </c>
      <c r="AJ32" s="8">
        <f t="shared" si="12"/>
        <v>7.1083449074067175</v>
      </c>
      <c r="AK32" s="38">
        <f t="shared" si="2"/>
        <v>45091.108344907407</v>
      </c>
      <c r="AL32">
        <f t="shared" si="13"/>
        <v>5</v>
      </c>
      <c r="AM32">
        <f t="shared" si="14"/>
        <v>19</v>
      </c>
      <c r="AN32">
        <f t="shared" si="15"/>
        <v>1</v>
      </c>
      <c r="AO32">
        <f t="shared" si="16"/>
        <v>4</v>
      </c>
      <c r="AP32">
        <f t="shared" si="17"/>
        <v>44940.108344907407</v>
      </c>
      <c r="AQ32">
        <f t="shared" si="18"/>
        <v>6</v>
      </c>
    </row>
    <row r="33" spans="1:43" x14ac:dyDescent="0.35">
      <c r="A33">
        <v>444</v>
      </c>
      <c r="B33" t="s">
        <v>170</v>
      </c>
      <c r="C33" t="s">
        <v>44</v>
      </c>
      <c r="D33" t="str">
        <f t="shared" si="0"/>
        <v>Risk Management</v>
      </c>
      <c r="E33" t="s">
        <v>45</v>
      </c>
      <c r="F33" t="s">
        <v>46</v>
      </c>
      <c r="G33" t="s">
        <v>47</v>
      </c>
      <c r="H33" t="s">
        <v>48</v>
      </c>
      <c r="I33" s="32">
        <v>44889.108344907407</v>
      </c>
      <c r="J33" s="32">
        <v>44893.108344907407</v>
      </c>
      <c r="K33" s="32">
        <v>44895.108344907407</v>
      </c>
      <c r="L33" s="8">
        <f t="shared" si="1"/>
        <v>6</v>
      </c>
      <c r="M33" s="7">
        <v>44908.108344907407</v>
      </c>
      <c r="N33" t="s">
        <v>49</v>
      </c>
      <c r="O33" s="34">
        <v>44906.108344907407</v>
      </c>
      <c r="P33" t="s">
        <v>50</v>
      </c>
      <c r="Q33" t="s">
        <v>84</v>
      </c>
      <c r="R33" s="32" t="s">
        <v>7472</v>
      </c>
      <c r="S33" t="s">
        <v>7476</v>
      </c>
      <c r="T33" s="34" t="s">
        <v>7476</v>
      </c>
      <c r="U33" s="34" t="s">
        <v>7476</v>
      </c>
      <c r="V33" s="32">
        <v>44908.108344907407</v>
      </c>
      <c r="W33" s="32" t="s">
        <v>7476</v>
      </c>
      <c r="X33">
        <v>0</v>
      </c>
      <c r="Y33" s="34" t="s">
        <v>7476</v>
      </c>
      <c r="Z33" s="34" t="s">
        <v>7476</v>
      </c>
      <c r="AA33" s="34" t="s">
        <v>7476</v>
      </c>
      <c r="AB33" s="36" t="s">
        <v>95</v>
      </c>
      <c r="AD33" t="s">
        <v>171</v>
      </c>
      <c r="AE33" t="s">
        <v>172</v>
      </c>
      <c r="AF33" s="16">
        <v>44632</v>
      </c>
      <c r="AG33" t="s">
        <v>64</v>
      </c>
      <c r="AH33">
        <v>3</v>
      </c>
      <c r="AI33" s="8" t="str">
        <f t="shared" si="11"/>
        <v/>
      </c>
      <c r="AJ33" s="8">
        <f t="shared" si="12"/>
        <v>274.10834490740672</v>
      </c>
      <c r="AK33" s="38">
        <f>IFERROR(V33+(AH33*30),"")</f>
        <v>44998.108344907407</v>
      </c>
      <c r="AL33" t="str">
        <f t="shared" si="13"/>
        <v/>
      </c>
      <c r="AM33" t="str">
        <f t="shared" si="14"/>
        <v/>
      </c>
      <c r="AN33">
        <f t="shared" si="15"/>
        <v>2</v>
      </c>
      <c r="AO33">
        <f t="shared" si="16"/>
        <v>4</v>
      </c>
      <c r="AP33">
        <f t="shared" si="17"/>
        <v>0</v>
      </c>
      <c r="AQ33" t="str">
        <f t="shared" si="18"/>
        <v/>
      </c>
    </row>
    <row r="34" spans="1:43" x14ac:dyDescent="0.35">
      <c r="A34">
        <v>462</v>
      </c>
      <c r="B34" t="s">
        <v>173</v>
      </c>
      <c r="C34" t="s">
        <v>44</v>
      </c>
      <c r="D34" t="str">
        <f t="shared" si="0"/>
        <v>Risk Management</v>
      </c>
      <c r="E34" t="s">
        <v>58</v>
      </c>
      <c r="F34" t="s">
        <v>46</v>
      </c>
      <c r="G34" t="s">
        <v>47</v>
      </c>
      <c r="H34" t="s">
        <v>59</v>
      </c>
      <c r="I34" s="32">
        <v>44969.424490740741</v>
      </c>
      <c r="J34" s="32">
        <v>44973.424490740741</v>
      </c>
      <c r="K34" s="32">
        <v>44979.424490740741</v>
      </c>
      <c r="L34" s="8">
        <f t="shared" si="1"/>
        <v>10</v>
      </c>
      <c r="M34" s="7">
        <v>44998.424490740741</v>
      </c>
      <c r="N34" t="s">
        <v>49</v>
      </c>
      <c r="O34" s="34">
        <v>44996.424490740741</v>
      </c>
      <c r="P34" t="s">
        <v>101</v>
      </c>
      <c r="R34" s="32">
        <v>45001.424490740741</v>
      </c>
      <c r="S34" t="s">
        <v>101</v>
      </c>
      <c r="T34" s="34">
        <v>44998.424490740741</v>
      </c>
      <c r="U34" s="34">
        <v>45001.424490740741</v>
      </c>
      <c r="V34" s="32">
        <v>45000.424490740741</v>
      </c>
      <c r="W34" s="32">
        <v>45004.424490740741</v>
      </c>
      <c r="X34">
        <v>1</v>
      </c>
      <c r="Y34" s="34">
        <v>45005.424490740741</v>
      </c>
      <c r="Z34" s="34">
        <v>45008.424490740741</v>
      </c>
      <c r="AA34" s="34">
        <v>45010.424490740741</v>
      </c>
      <c r="AB34" s="36" t="s">
        <v>7476</v>
      </c>
      <c r="AC34" s="10">
        <v>45028.424490740741</v>
      </c>
      <c r="AD34" t="s">
        <v>174</v>
      </c>
      <c r="AE34" t="s">
        <v>175</v>
      </c>
      <c r="AF34" s="16">
        <v>44981</v>
      </c>
      <c r="AG34" t="s">
        <v>98</v>
      </c>
      <c r="AH34">
        <v>3</v>
      </c>
      <c r="AI34" s="8">
        <f t="shared" si="11"/>
        <v>20.424490740741021</v>
      </c>
      <c r="AJ34" s="8">
        <f t="shared" si="12"/>
        <v>15.424490740741021</v>
      </c>
      <c r="AK34" s="38">
        <f t="shared" si="2"/>
        <v>45090.424490740741</v>
      </c>
      <c r="AL34">
        <f t="shared" si="13"/>
        <v>4</v>
      </c>
      <c r="AM34">
        <f t="shared" si="14"/>
        <v>28</v>
      </c>
      <c r="AN34">
        <f t="shared" si="15"/>
        <v>4</v>
      </c>
      <c r="AO34">
        <f t="shared" si="16"/>
        <v>4</v>
      </c>
      <c r="AP34">
        <f t="shared" si="17"/>
        <v>45027.424490740741</v>
      </c>
      <c r="AQ34">
        <f t="shared" si="18"/>
        <v>6</v>
      </c>
    </row>
    <row r="35" spans="1:43" x14ac:dyDescent="0.35">
      <c r="A35">
        <v>467</v>
      </c>
      <c r="B35" t="s">
        <v>176</v>
      </c>
      <c r="C35" t="s">
        <v>57</v>
      </c>
      <c r="D35" t="str">
        <f t="shared" si="0"/>
        <v>Risk Management</v>
      </c>
      <c r="E35" t="s">
        <v>77</v>
      </c>
      <c r="F35" t="s">
        <v>78</v>
      </c>
      <c r="G35" t="s">
        <v>79</v>
      </c>
      <c r="H35" t="s">
        <v>80</v>
      </c>
      <c r="I35" s="32" t="s">
        <v>7471</v>
      </c>
      <c r="J35" s="32">
        <v>44973.424490740741</v>
      </c>
      <c r="K35" s="32">
        <v>44979.424490740741</v>
      </c>
      <c r="L35" s="8" t="str">
        <f t="shared" si="1"/>
        <v/>
      </c>
      <c r="M35" s="7">
        <v>44989.424490740741</v>
      </c>
      <c r="N35" t="s">
        <v>49</v>
      </c>
      <c r="O35" s="34">
        <v>44987.424490740741</v>
      </c>
      <c r="P35" t="s">
        <v>50</v>
      </c>
      <c r="Q35" t="s">
        <v>84</v>
      </c>
      <c r="R35" s="32" t="s">
        <v>7472</v>
      </c>
      <c r="S35" t="s">
        <v>7476</v>
      </c>
      <c r="T35" s="34" t="s">
        <v>7476</v>
      </c>
      <c r="U35" s="34" t="s">
        <v>7476</v>
      </c>
      <c r="V35" s="32" t="s">
        <v>7476</v>
      </c>
      <c r="W35" s="32" t="s">
        <v>7476</v>
      </c>
      <c r="X35">
        <v>0</v>
      </c>
      <c r="Y35" s="34" t="s">
        <v>7476</v>
      </c>
      <c r="Z35" s="34" t="s">
        <v>7476</v>
      </c>
      <c r="AA35" s="34" t="s">
        <v>7476</v>
      </c>
      <c r="AB35" s="36" t="s">
        <v>52</v>
      </c>
      <c r="AD35" t="s">
        <v>177</v>
      </c>
      <c r="AE35" t="s">
        <v>178</v>
      </c>
      <c r="AF35" s="16">
        <v>44974</v>
      </c>
      <c r="AG35" t="s">
        <v>93</v>
      </c>
      <c r="AH35">
        <v>3</v>
      </c>
      <c r="AK35" s="38" t="str">
        <f>IFERROR(V35+(AH35*30),"")</f>
        <v/>
      </c>
    </row>
    <row r="36" spans="1:43" x14ac:dyDescent="0.35">
      <c r="A36">
        <v>466</v>
      </c>
      <c r="B36" t="s">
        <v>179</v>
      </c>
      <c r="C36" t="s">
        <v>44</v>
      </c>
      <c r="D36" t="str">
        <f t="shared" si="0"/>
        <v>Risk Management</v>
      </c>
      <c r="E36" t="s">
        <v>58</v>
      </c>
      <c r="F36" t="s">
        <v>46</v>
      </c>
      <c r="G36" t="s">
        <v>47</v>
      </c>
      <c r="H36" t="s">
        <v>59</v>
      </c>
      <c r="I36" s="32">
        <v>44971.424490740741</v>
      </c>
      <c r="J36" s="32">
        <v>44973.424490740741</v>
      </c>
      <c r="K36" s="32">
        <v>44979.424490740741</v>
      </c>
      <c r="L36" s="8">
        <f t="shared" si="1"/>
        <v>8</v>
      </c>
      <c r="M36" s="7">
        <v>44994.424490740741</v>
      </c>
      <c r="N36" t="s">
        <v>49</v>
      </c>
      <c r="O36" s="34">
        <v>44995.424490740741</v>
      </c>
      <c r="P36" t="s">
        <v>50</v>
      </c>
      <c r="Q36" t="s">
        <v>84</v>
      </c>
      <c r="R36" s="32" t="s">
        <v>7472</v>
      </c>
      <c r="S36" t="s">
        <v>7476</v>
      </c>
      <c r="T36" s="34" t="s">
        <v>7476</v>
      </c>
      <c r="U36" s="34" t="s">
        <v>7476</v>
      </c>
      <c r="V36" s="32" t="s">
        <v>7476</v>
      </c>
      <c r="W36" s="32" t="s">
        <v>7476</v>
      </c>
      <c r="X36">
        <v>0</v>
      </c>
      <c r="Y36" s="34" t="s">
        <v>7476</v>
      </c>
      <c r="Z36" s="34" t="s">
        <v>7476</v>
      </c>
      <c r="AA36" s="34" t="s">
        <v>7476</v>
      </c>
      <c r="AB36" s="36" t="s">
        <v>95</v>
      </c>
      <c r="AD36" t="s">
        <v>180</v>
      </c>
      <c r="AE36" t="s">
        <v>181</v>
      </c>
      <c r="AF36" s="16">
        <v>44984</v>
      </c>
      <c r="AG36" t="s">
        <v>98</v>
      </c>
      <c r="AH36">
        <v>6</v>
      </c>
      <c r="AI36" s="8" t="str">
        <f>IFERROR(R36-AF36,"")</f>
        <v/>
      </c>
      <c r="AJ36" s="8">
        <f>IFERROR(O36-AF36,"")</f>
        <v>11.424490740741021</v>
      </c>
      <c r="AK36" s="38" t="str">
        <f t="shared" si="2"/>
        <v/>
      </c>
      <c r="AL36" t="str">
        <f>IFERROR(Z36-W36,"")</f>
        <v/>
      </c>
      <c r="AM36" t="str">
        <f>IFERROR(R36-J36,"")</f>
        <v/>
      </c>
      <c r="AN36" t="str">
        <f>IFERROR(V36-O36,"")</f>
        <v/>
      </c>
      <c r="AO36">
        <f>IFERROR(J36-I36,"")</f>
        <v>2</v>
      </c>
      <c r="AP36">
        <f>IFERROR(AC36-X36,"")</f>
        <v>0</v>
      </c>
      <c r="AQ36" t="str">
        <f>IFERROR(AA36-W36,"")</f>
        <v/>
      </c>
    </row>
    <row r="37" spans="1:43" x14ac:dyDescent="0.35">
      <c r="A37">
        <v>461</v>
      </c>
      <c r="B37" t="s">
        <v>182</v>
      </c>
      <c r="C37" t="s">
        <v>57</v>
      </c>
      <c r="D37" t="str">
        <f t="shared" si="0"/>
        <v>Risk Management</v>
      </c>
      <c r="E37" t="s">
        <v>45</v>
      </c>
      <c r="F37" t="s">
        <v>46</v>
      </c>
      <c r="G37" t="s">
        <v>47</v>
      </c>
      <c r="H37" t="s">
        <v>48</v>
      </c>
      <c r="I37" s="32">
        <v>44974.424490740741</v>
      </c>
      <c r="J37" s="32">
        <v>44977.424490740741</v>
      </c>
      <c r="K37" s="32">
        <v>44979.424490740741</v>
      </c>
      <c r="L37" s="8">
        <f t="shared" si="1"/>
        <v>5</v>
      </c>
      <c r="M37" s="7">
        <v>45001.424490740741</v>
      </c>
      <c r="N37" t="s">
        <v>49</v>
      </c>
      <c r="O37" s="34">
        <v>44997.424490740741</v>
      </c>
      <c r="P37" t="s">
        <v>50</v>
      </c>
      <c r="Q37" t="s">
        <v>125</v>
      </c>
      <c r="R37" s="32" t="s">
        <v>7472</v>
      </c>
      <c r="S37" t="s">
        <v>7476</v>
      </c>
      <c r="T37" s="34" t="s">
        <v>7476</v>
      </c>
      <c r="U37" s="34" t="s">
        <v>7476</v>
      </c>
      <c r="V37" s="32">
        <v>45001.424490740741</v>
      </c>
      <c r="W37" s="32" t="s">
        <v>7476</v>
      </c>
      <c r="X37">
        <v>0</v>
      </c>
      <c r="Y37" s="34" t="s">
        <v>7476</v>
      </c>
      <c r="Z37" s="34" t="s">
        <v>7476</v>
      </c>
      <c r="AA37" s="34" t="s">
        <v>7476</v>
      </c>
      <c r="AB37" s="36" t="s">
        <v>95</v>
      </c>
      <c r="AD37" t="s">
        <v>183</v>
      </c>
      <c r="AE37" t="s">
        <v>184</v>
      </c>
      <c r="AF37" s="16">
        <v>44985</v>
      </c>
      <c r="AG37" t="s">
        <v>68</v>
      </c>
      <c r="AH37">
        <v>3</v>
      </c>
      <c r="AI37" s="8" t="str">
        <f>IFERROR(R37-AF37,"")</f>
        <v/>
      </c>
      <c r="AJ37" s="8">
        <f>IFERROR(O37-AF37,"")</f>
        <v>12.424490740741021</v>
      </c>
      <c r="AK37" s="38">
        <f t="shared" si="2"/>
        <v>45091.424490740741</v>
      </c>
      <c r="AL37" t="str">
        <f>IFERROR(Z37-W37,"")</f>
        <v/>
      </c>
      <c r="AM37" t="str">
        <f>IFERROR(R37-J37,"")</f>
        <v/>
      </c>
      <c r="AN37">
        <f>IFERROR(V37-O37,"")</f>
        <v>4</v>
      </c>
      <c r="AO37">
        <f>IFERROR(J37-I37,"")</f>
        <v>3</v>
      </c>
      <c r="AP37">
        <f>IFERROR(AC37-X37,"")</f>
        <v>0</v>
      </c>
      <c r="AQ37" t="str">
        <f>IFERROR(AA37-W37,"")</f>
        <v/>
      </c>
    </row>
    <row r="38" spans="1:43" x14ac:dyDescent="0.35">
      <c r="A38">
        <v>469</v>
      </c>
      <c r="B38" t="s">
        <v>185</v>
      </c>
      <c r="C38" t="s">
        <v>57</v>
      </c>
      <c r="D38" t="str">
        <f t="shared" si="0"/>
        <v>Risk Management</v>
      </c>
      <c r="E38" t="s">
        <v>58</v>
      </c>
      <c r="F38" t="s">
        <v>46</v>
      </c>
      <c r="G38" t="s">
        <v>47</v>
      </c>
      <c r="H38" t="s">
        <v>59</v>
      </c>
      <c r="I38" s="32">
        <v>44974.424490740741</v>
      </c>
      <c r="J38" s="32">
        <v>44975.424490740741</v>
      </c>
      <c r="K38" s="32">
        <v>44979.424490740741</v>
      </c>
      <c r="L38" s="8">
        <f t="shared" si="1"/>
        <v>5</v>
      </c>
      <c r="M38" s="7">
        <v>45000.424490740741</v>
      </c>
      <c r="N38" t="s">
        <v>49</v>
      </c>
      <c r="O38" s="34">
        <v>44987.424490740741</v>
      </c>
      <c r="P38" t="s">
        <v>50</v>
      </c>
      <c r="Q38" t="s">
        <v>51</v>
      </c>
      <c r="R38" s="32" t="s">
        <v>7472</v>
      </c>
      <c r="S38" t="s">
        <v>7476</v>
      </c>
      <c r="T38" s="34" t="s">
        <v>7476</v>
      </c>
      <c r="U38" s="34" t="s">
        <v>7476</v>
      </c>
      <c r="V38" s="32">
        <v>44991.424490740741</v>
      </c>
      <c r="W38" s="32" t="s">
        <v>7476</v>
      </c>
      <c r="X38">
        <v>0</v>
      </c>
      <c r="Y38" s="34" t="s">
        <v>7476</v>
      </c>
      <c r="Z38" s="34" t="s">
        <v>7476</v>
      </c>
      <c r="AA38" s="34" t="s">
        <v>7476</v>
      </c>
      <c r="AB38" s="36" t="s">
        <v>95</v>
      </c>
      <c r="AD38" t="s">
        <v>186</v>
      </c>
      <c r="AE38" t="s">
        <v>187</v>
      </c>
      <c r="AF38" s="16">
        <v>44971</v>
      </c>
      <c r="AG38" t="s">
        <v>64</v>
      </c>
      <c r="AH38">
        <v>6</v>
      </c>
      <c r="AI38" s="8" t="str">
        <f>IFERROR(R38-AF38,"")</f>
        <v/>
      </c>
      <c r="AJ38" s="8">
        <f>IFERROR(O38-AF38,"")</f>
        <v>16.424490740741021</v>
      </c>
      <c r="AK38" s="38">
        <f t="shared" si="2"/>
        <v>45171.424490740741</v>
      </c>
      <c r="AL38" t="str">
        <f>IFERROR(Z38-W38,"")</f>
        <v/>
      </c>
      <c r="AM38" t="str">
        <f>IFERROR(R38-J38,"")</f>
        <v/>
      </c>
      <c r="AN38">
        <f>IFERROR(V38-O38,"")</f>
        <v>4</v>
      </c>
      <c r="AO38">
        <f>IFERROR(J38-I38,"")</f>
        <v>1</v>
      </c>
      <c r="AP38">
        <f>IFERROR(AC38-X38,"")</f>
        <v>0</v>
      </c>
      <c r="AQ38" t="str">
        <f>IFERROR(AA38-W38,"")</f>
        <v/>
      </c>
    </row>
    <row r="39" spans="1:43" x14ac:dyDescent="0.35">
      <c r="A39">
        <v>470</v>
      </c>
      <c r="B39" t="s">
        <v>188</v>
      </c>
      <c r="C39" t="s">
        <v>57</v>
      </c>
      <c r="D39" t="str">
        <f t="shared" si="0"/>
        <v>Risk Management</v>
      </c>
      <c r="E39" t="s">
        <v>77</v>
      </c>
      <c r="F39" t="s">
        <v>78</v>
      </c>
      <c r="G39" t="s">
        <v>79</v>
      </c>
      <c r="H39" t="s">
        <v>80</v>
      </c>
      <c r="I39" s="32">
        <v>44975.424490740741</v>
      </c>
      <c r="J39" s="32">
        <v>44978.424490740741</v>
      </c>
      <c r="K39" s="32">
        <v>44979.424490740741</v>
      </c>
      <c r="L39" s="8">
        <f t="shared" si="1"/>
        <v>4</v>
      </c>
      <c r="M39" s="7">
        <v>44999.424490740741</v>
      </c>
      <c r="N39" t="s">
        <v>49</v>
      </c>
      <c r="O39" s="34">
        <v>44994.424490740741</v>
      </c>
      <c r="P39" t="s">
        <v>60</v>
      </c>
      <c r="R39" s="32">
        <v>45000.424490740741</v>
      </c>
      <c r="S39" t="s">
        <v>61</v>
      </c>
      <c r="T39" s="34" t="s">
        <v>7476</v>
      </c>
      <c r="U39" s="34" t="s">
        <v>7476</v>
      </c>
      <c r="V39" s="32">
        <v>44996.424490740741</v>
      </c>
      <c r="W39" s="32" t="s">
        <v>7476</v>
      </c>
      <c r="X39">
        <v>0</v>
      </c>
      <c r="Y39" s="34" t="s">
        <v>7476</v>
      </c>
      <c r="Z39" s="34" t="s">
        <v>7476</v>
      </c>
      <c r="AA39" s="34" t="s">
        <v>7476</v>
      </c>
      <c r="AB39" s="36" t="s">
        <v>7476</v>
      </c>
      <c r="AD39" t="s">
        <v>189</v>
      </c>
      <c r="AE39" t="s">
        <v>190</v>
      </c>
      <c r="AF39" s="16">
        <v>44978</v>
      </c>
      <c r="AG39" t="s">
        <v>98</v>
      </c>
      <c r="AH39">
        <v>3</v>
      </c>
      <c r="AI39" s="8">
        <f>IFERROR(R39-AF39,"")</f>
        <v>22.424490740741021</v>
      </c>
      <c r="AJ39" s="8">
        <f>IFERROR(O39-AF39,"")</f>
        <v>16.424490740741021</v>
      </c>
      <c r="AK39" s="38">
        <f t="shared" si="2"/>
        <v>45086.424490740741</v>
      </c>
      <c r="AL39" t="str">
        <f>IFERROR(Z39-W39,"")</f>
        <v/>
      </c>
      <c r="AM39">
        <f>IFERROR(R39-J39,"")</f>
        <v>22</v>
      </c>
      <c r="AN39">
        <f>IFERROR(V39-O39,"")</f>
        <v>2</v>
      </c>
      <c r="AO39">
        <f>IFERROR(J39-I39,"")</f>
        <v>3</v>
      </c>
      <c r="AP39">
        <f>IFERROR(AC39-X39,"")</f>
        <v>0</v>
      </c>
      <c r="AQ39" t="str">
        <f>IFERROR(AA39-W39,"")</f>
        <v/>
      </c>
    </row>
    <row r="40" spans="1:43" x14ac:dyDescent="0.35">
      <c r="A40">
        <v>306</v>
      </c>
      <c r="B40" t="s">
        <v>191</v>
      </c>
      <c r="C40" t="s">
        <v>100</v>
      </c>
      <c r="D40" t="str">
        <f t="shared" si="0"/>
        <v>Risk Management</v>
      </c>
      <c r="E40" t="s">
        <v>77</v>
      </c>
      <c r="F40" t="s">
        <v>78</v>
      </c>
      <c r="G40" t="s">
        <v>79</v>
      </c>
      <c r="H40" t="s">
        <v>80</v>
      </c>
      <c r="I40" s="32">
        <v>45026.892650462964</v>
      </c>
      <c r="J40" s="32" t="s">
        <v>7471</v>
      </c>
      <c r="K40" s="32">
        <v>45035.892650462964</v>
      </c>
      <c r="L40" s="8">
        <f t="shared" si="1"/>
        <v>9</v>
      </c>
      <c r="M40" s="7">
        <v>45049.892650462964</v>
      </c>
      <c r="N40" t="s">
        <v>49</v>
      </c>
      <c r="O40" s="34">
        <v>45041.892650462964</v>
      </c>
      <c r="P40" t="s">
        <v>50</v>
      </c>
      <c r="Q40" t="s">
        <v>84</v>
      </c>
      <c r="R40" s="32" t="s">
        <v>7472</v>
      </c>
      <c r="S40" t="s">
        <v>7476</v>
      </c>
      <c r="T40" s="34" t="s">
        <v>7476</v>
      </c>
      <c r="U40" s="34" t="s">
        <v>7476</v>
      </c>
      <c r="V40" s="32" t="s">
        <v>7476</v>
      </c>
      <c r="W40" s="32" t="s">
        <v>7476</v>
      </c>
      <c r="X40">
        <v>0</v>
      </c>
      <c r="Y40" s="34" t="s">
        <v>7476</v>
      </c>
      <c r="Z40" s="34" t="s">
        <v>7476</v>
      </c>
      <c r="AA40" s="34" t="s">
        <v>7476</v>
      </c>
      <c r="AB40" s="36" t="s">
        <v>95</v>
      </c>
      <c r="AD40" t="s">
        <v>192</v>
      </c>
      <c r="AE40" t="s">
        <v>193</v>
      </c>
      <c r="AF40" s="16">
        <v>45024</v>
      </c>
      <c r="AG40" t="s">
        <v>75</v>
      </c>
      <c r="AH40">
        <v>6</v>
      </c>
      <c r="AK40" s="38" t="str">
        <f t="shared" si="2"/>
        <v/>
      </c>
    </row>
    <row r="41" spans="1:43" x14ac:dyDescent="0.35">
      <c r="A41">
        <v>304</v>
      </c>
      <c r="B41" t="s">
        <v>194</v>
      </c>
      <c r="C41" t="s">
        <v>57</v>
      </c>
      <c r="D41" t="str">
        <f t="shared" si="0"/>
        <v>Risk Management</v>
      </c>
      <c r="E41" t="s">
        <v>77</v>
      </c>
      <c r="F41" t="s">
        <v>114</v>
      </c>
      <c r="G41" t="s">
        <v>115</v>
      </c>
      <c r="H41" t="s">
        <v>80</v>
      </c>
      <c r="I41" s="32">
        <v>45027.892650462964</v>
      </c>
      <c r="J41" s="32">
        <v>45031.892650462964</v>
      </c>
      <c r="K41" s="32">
        <v>45035.892650462964</v>
      </c>
      <c r="L41" s="8">
        <f t="shared" si="1"/>
        <v>8</v>
      </c>
      <c r="M41" s="7">
        <v>45055.892650462964</v>
      </c>
      <c r="N41" t="s">
        <v>49</v>
      </c>
      <c r="O41" s="34">
        <v>45040.892650462964</v>
      </c>
      <c r="P41" t="s">
        <v>50</v>
      </c>
      <c r="Q41" t="s">
        <v>84</v>
      </c>
      <c r="R41" s="32" t="s">
        <v>7472</v>
      </c>
      <c r="S41" t="s">
        <v>7476</v>
      </c>
      <c r="T41" s="34" t="s">
        <v>7476</v>
      </c>
      <c r="U41" s="34" t="s">
        <v>7476</v>
      </c>
      <c r="V41" s="32">
        <v>45042.892650462964</v>
      </c>
      <c r="W41" s="32" t="s">
        <v>7476</v>
      </c>
      <c r="X41">
        <v>0</v>
      </c>
      <c r="Y41" s="34" t="s">
        <v>7476</v>
      </c>
      <c r="Z41" s="34" t="s">
        <v>7476</v>
      </c>
      <c r="AA41" s="34" t="s">
        <v>7476</v>
      </c>
      <c r="AB41" s="36" t="s">
        <v>95</v>
      </c>
      <c r="AD41" t="s">
        <v>195</v>
      </c>
      <c r="AE41" t="s">
        <v>196</v>
      </c>
      <c r="AF41" s="16">
        <v>45033</v>
      </c>
      <c r="AG41" t="s">
        <v>98</v>
      </c>
      <c r="AH41">
        <v>3</v>
      </c>
      <c r="AI41" s="8" t="str">
        <f t="shared" ref="AI41:AI50" si="19">IFERROR(R41-AF41,"")</f>
        <v/>
      </c>
      <c r="AJ41" s="8">
        <f t="shared" ref="AJ41:AJ50" si="20">IFERROR(O41-AF41,"")</f>
        <v>7.8926504629635019</v>
      </c>
      <c r="AK41" s="38">
        <f t="shared" si="2"/>
        <v>45132.892650462964</v>
      </c>
      <c r="AL41" t="str">
        <f t="shared" ref="AL41:AL50" si="21">IFERROR(Z41-W41,"")</f>
        <v/>
      </c>
      <c r="AM41" t="str">
        <f t="shared" ref="AM41:AM50" si="22">IFERROR(R41-J41,"")</f>
        <v/>
      </c>
      <c r="AN41">
        <f t="shared" ref="AN41:AN50" si="23">IFERROR(V41-O41,"")</f>
        <v>2</v>
      </c>
      <c r="AO41">
        <f t="shared" ref="AO41:AO50" si="24">IFERROR(J41-I41,"")</f>
        <v>4</v>
      </c>
      <c r="AP41">
        <f t="shared" ref="AP41:AP50" si="25">IFERROR(AC41-X41,"")</f>
        <v>0</v>
      </c>
      <c r="AQ41" t="str">
        <f t="shared" ref="AQ41:AQ50" si="26">IFERROR(AA41-W41,"")</f>
        <v/>
      </c>
    </row>
    <row r="42" spans="1:43" x14ac:dyDescent="0.35">
      <c r="A42">
        <v>305</v>
      </c>
      <c r="B42" t="s">
        <v>197</v>
      </c>
      <c r="C42" t="s">
        <v>57</v>
      </c>
      <c r="D42" t="str">
        <f t="shared" si="0"/>
        <v>Risk Management</v>
      </c>
      <c r="E42" t="s">
        <v>45</v>
      </c>
      <c r="F42" t="s">
        <v>46</v>
      </c>
      <c r="G42" t="s">
        <v>47</v>
      </c>
      <c r="H42" t="s">
        <v>48</v>
      </c>
      <c r="I42" s="32">
        <v>45028.892650462964</v>
      </c>
      <c r="J42" s="32">
        <v>45031.892650462964</v>
      </c>
      <c r="K42" s="32">
        <v>45035.892650462964</v>
      </c>
      <c r="L42" s="8">
        <f t="shared" si="1"/>
        <v>7</v>
      </c>
      <c r="M42" s="7">
        <v>45050.892650462964</v>
      </c>
      <c r="N42" t="s">
        <v>49</v>
      </c>
      <c r="O42" s="34">
        <v>45049.892650462964</v>
      </c>
      <c r="P42" t="s">
        <v>50</v>
      </c>
      <c r="Q42" t="s">
        <v>198</v>
      </c>
      <c r="R42" s="32" t="s">
        <v>7472</v>
      </c>
      <c r="S42" t="s">
        <v>7476</v>
      </c>
      <c r="T42" s="34" t="s">
        <v>7476</v>
      </c>
      <c r="U42" s="34" t="s">
        <v>7476</v>
      </c>
      <c r="V42" s="32" t="s">
        <v>7476</v>
      </c>
      <c r="W42" s="32" t="s">
        <v>7476</v>
      </c>
      <c r="X42">
        <v>0</v>
      </c>
      <c r="Y42" s="34" t="s">
        <v>7476</v>
      </c>
      <c r="Z42" s="34" t="s">
        <v>7476</v>
      </c>
      <c r="AA42" s="34" t="s">
        <v>7476</v>
      </c>
      <c r="AB42" s="36" t="s">
        <v>95</v>
      </c>
      <c r="AD42" t="s">
        <v>199</v>
      </c>
      <c r="AE42" t="s">
        <v>200</v>
      </c>
      <c r="AF42" s="16">
        <v>45033</v>
      </c>
      <c r="AG42" t="s">
        <v>64</v>
      </c>
      <c r="AH42">
        <v>3</v>
      </c>
      <c r="AI42" s="8" t="str">
        <f t="shared" si="19"/>
        <v/>
      </c>
      <c r="AJ42" s="8">
        <f t="shared" si="20"/>
        <v>16.892650462963502</v>
      </c>
      <c r="AK42" s="38" t="str">
        <f t="shared" si="2"/>
        <v/>
      </c>
      <c r="AL42" t="str">
        <f t="shared" si="21"/>
        <v/>
      </c>
      <c r="AM42" t="str">
        <f t="shared" si="22"/>
        <v/>
      </c>
      <c r="AN42" t="str">
        <f t="shared" si="23"/>
        <v/>
      </c>
      <c r="AO42">
        <f t="shared" si="24"/>
        <v>3</v>
      </c>
      <c r="AP42">
        <f t="shared" si="25"/>
        <v>0</v>
      </c>
      <c r="AQ42" t="str">
        <f t="shared" si="26"/>
        <v/>
      </c>
    </row>
    <row r="43" spans="1:43" x14ac:dyDescent="0.35">
      <c r="A43">
        <v>2975</v>
      </c>
      <c r="B43" t="s">
        <v>201</v>
      </c>
      <c r="C43" t="s">
        <v>202</v>
      </c>
      <c r="D43" t="str">
        <f t="shared" si="0"/>
        <v>Program Office</v>
      </c>
      <c r="E43" t="s">
        <v>203</v>
      </c>
      <c r="F43" t="s">
        <v>204</v>
      </c>
      <c r="G43" t="s">
        <v>205</v>
      </c>
      <c r="H43" t="s">
        <v>206</v>
      </c>
      <c r="I43" s="32">
        <v>44762.636782407397</v>
      </c>
      <c r="J43" s="32">
        <v>44765.636782407397</v>
      </c>
      <c r="K43" s="32">
        <v>44773.636782407397</v>
      </c>
      <c r="L43" s="8">
        <f t="shared" si="1"/>
        <v>11</v>
      </c>
      <c r="M43" s="7">
        <v>44786.636782407397</v>
      </c>
      <c r="N43" t="s">
        <v>49</v>
      </c>
      <c r="O43" s="34">
        <v>44776.636782407397</v>
      </c>
      <c r="P43" t="s">
        <v>50</v>
      </c>
      <c r="Q43" t="s">
        <v>125</v>
      </c>
      <c r="R43" s="32" t="s">
        <v>7472</v>
      </c>
      <c r="S43" t="s">
        <v>7476</v>
      </c>
      <c r="T43" s="34" t="s">
        <v>7476</v>
      </c>
      <c r="U43" s="34" t="s">
        <v>7476</v>
      </c>
      <c r="V43" s="32">
        <v>44780.636782407397</v>
      </c>
      <c r="W43" s="32" t="s">
        <v>7476</v>
      </c>
      <c r="X43">
        <v>0</v>
      </c>
      <c r="Y43" s="34" t="s">
        <v>7476</v>
      </c>
      <c r="Z43" s="34" t="s">
        <v>7476</v>
      </c>
      <c r="AA43" s="34" t="s">
        <v>7476</v>
      </c>
      <c r="AB43" s="36" t="s">
        <v>52</v>
      </c>
      <c r="AD43" t="s">
        <v>207</v>
      </c>
      <c r="AE43" t="s">
        <v>208</v>
      </c>
      <c r="AF43" s="16">
        <v>44767</v>
      </c>
      <c r="AG43" t="s">
        <v>68</v>
      </c>
      <c r="AH43">
        <v>3</v>
      </c>
      <c r="AI43" s="8" t="str">
        <f t="shared" si="19"/>
        <v/>
      </c>
      <c r="AJ43" s="8">
        <f t="shared" si="20"/>
        <v>9.6367824073968222</v>
      </c>
      <c r="AK43" s="38">
        <f t="shared" si="2"/>
        <v>44870.636782407397</v>
      </c>
      <c r="AL43" t="str">
        <f t="shared" si="21"/>
        <v/>
      </c>
      <c r="AM43" t="str">
        <f t="shared" si="22"/>
        <v/>
      </c>
      <c r="AN43">
        <f t="shared" si="23"/>
        <v>4</v>
      </c>
      <c r="AO43">
        <f t="shared" si="24"/>
        <v>3</v>
      </c>
      <c r="AP43">
        <f t="shared" si="25"/>
        <v>0</v>
      </c>
      <c r="AQ43" t="str">
        <f t="shared" si="26"/>
        <v/>
      </c>
    </row>
    <row r="44" spans="1:43" x14ac:dyDescent="0.35">
      <c r="A44">
        <v>2970</v>
      </c>
      <c r="B44" t="s">
        <v>209</v>
      </c>
      <c r="C44" t="s">
        <v>202</v>
      </c>
      <c r="D44" t="str">
        <f t="shared" si="0"/>
        <v>Program Office</v>
      </c>
      <c r="E44" t="s">
        <v>203</v>
      </c>
      <c r="F44" t="s">
        <v>204</v>
      </c>
      <c r="G44" t="s">
        <v>205</v>
      </c>
      <c r="H44" t="s">
        <v>206</v>
      </c>
      <c r="I44" s="32">
        <v>44701.276689814818</v>
      </c>
      <c r="J44" s="32">
        <v>44703.276689814818</v>
      </c>
      <c r="K44" s="32">
        <v>44711.276689814818</v>
      </c>
      <c r="L44" s="8">
        <f t="shared" si="1"/>
        <v>10</v>
      </c>
      <c r="M44" s="7">
        <v>44733.276689814818</v>
      </c>
      <c r="N44" t="s">
        <v>49</v>
      </c>
      <c r="O44" s="34">
        <v>44712.276689814818</v>
      </c>
      <c r="P44" t="s">
        <v>50</v>
      </c>
      <c r="Q44" t="s">
        <v>51</v>
      </c>
      <c r="R44" s="32" t="s">
        <v>7472</v>
      </c>
      <c r="S44" t="s">
        <v>7476</v>
      </c>
      <c r="T44" s="34" t="s">
        <v>7476</v>
      </c>
      <c r="U44" s="34" t="s">
        <v>7476</v>
      </c>
      <c r="V44" s="32" t="s">
        <v>7476</v>
      </c>
      <c r="W44" s="32" t="s">
        <v>7476</v>
      </c>
      <c r="X44">
        <v>0</v>
      </c>
      <c r="Y44" s="34" t="s">
        <v>7476</v>
      </c>
      <c r="Z44" s="34" t="s">
        <v>7476</v>
      </c>
      <c r="AA44" s="34" t="s">
        <v>7476</v>
      </c>
      <c r="AB44" s="36" t="s">
        <v>95</v>
      </c>
      <c r="AD44" t="s">
        <v>210</v>
      </c>
      <c r="AE44" t="s">
        <v>211</v>
      </c>
      <c r="AF44" s="16">
        <v>44703</v>
      </c>
      <c r="AG44" t="s">
        <v>98</v>
      </c>
      <c r="AH44">
        <v>6</v>
      </c>
      <c r="AI44" s="8" t="str">
        <f t="shared" si="19"/>
        <v/>
      </c>
      <c r="AJ44" s="8">
        <f t="shared" si="20"/>
        <v>9.2766898148183827</v>
      </c>
      <c r="AK44" s="38" t="str">
        <f t="shared" si="2"/>
        <v/>
      </c>
      <c r="AL44" t="str">
        <f t="shared" si="21"/>
        <v/>
      </c>
      <c r="AM44" t="str">
        <f t="shared" si="22"/>
        <v/>
      </c>
      <c r="AN44" t="str">
        <f t="shared" si="23"/>
        <v/>
      </c>
      <c r="AO44">
        <f t="shared" si="24"/>
        <v>2</v>
      </c>
      <c r="AP44">
        <f t="shared" si="25"/>
        <v>0</v>
      </c>
      <c r="AQ44" t="str">
        <f t="shared" si="26"/>
        <v/>
      </c>
    </row>
    <row r="45" spans="1:43" x14ac:dyDescent="0.35">
      <c r="A45">
        <v>2888</v>
      </c>
      <c r="B45" t="s">
        <v>212</v>
      </c>
      <c r="C45" t="s">
        <v>213</v>
      </c>
      <c r="D45" t="str">
        <f t="shared" si="0"/>
        <v>Program Office</v>
      </c>
      <c r="E45" t="s">
        <v>203</v>
      </c>
      <c r="F45" t="s">
        <v>204</v>
      </c>
      <c r="G45" t="s">
        <v>205</v>
      </c>
      <c r="H45" t="s">
        <v>206</v>
      </c>
      <c r="I45" s="32">
        <v>44855.066979166673</v>
      </c>
      <c r="J45" s="32">
        <v>44858.066979166673</v>
      </c>
      <c r="K45" s="32">
        <v>44865.066979166673</v>
      </c>
      <c r="L45" s="8">
        <f t="shared" si="1"/>
        <v>10</v>
      </c>
      <c r="M45" s="7">
        <v>44910.066979166673</v>
      </c>
      <c r="N45" t="s">
        <v>49</v>
      </c>
      <c r="O45" s="34">
        <v>44871.066979166673</v>
      </c>
      <c r="P45" t="s">
        <v>50</v>
      </c>
      <c r="Q45" t="s">
        <v>51</v>
      </c>
      <c r="R45" s="32" t="s">
        <v>7472</v>
      </c>
      <c r="S45" t="s">
        <v>7476</v>
      </c>
      <c r="T45" s="34" t="s">
        <v>7476</v>
      </c>
      <c r="U45" s="34" t="s">
        <v>7476</v>
      </c>
      <c r="V45" s="32">
        <v>44872.066979166673</v>
      </c>
      <c r="W45" s="32" t="s">
        <v>7476</v>
      </c>
      <c r="X45">
        <v>0</v>
      </c>
      <c r="Y45" s="34" t="s">
        <v>7476</v>
      </c>
      <c r="Z45" s="34" t="s">
        <v>7476</v>
      </c>
      <c r="AA45" s="34" t="s">
        <v>7476</v>
      </c>
      <c r="AB45" s="36" t="s">
        <v>52</v>
      </c>
      <c r="AD45" t="s">
        <v>214</v>
      </c>
      <c r="AE45" t="s">
        <v>215</v>
      </c>
      <c r="AF45" s="16">
        <v>44855</v>
      </c>
      <c r="AG45" t="s">
        <v>98</v>
      </c>
      <c r="AH45">
        <v>3</v>
      </c>
      <c r="AI45" s="8" t="str">
        <f t="shared" si="19"/>
        <v/>
      </c>
      <c r="AJ45" s="8">
        <f t="shared" si="20"/>
        <v>16.066979166673264</v>
      </c>
      <c r="AK45" s="38">
        <f t="shared" si="2"/>
        <v>44962.066979166673</v>
      </c>
      <c r="AL45" t="str">
        <f t="shared" si="21"/>
        <v/>
      </c>
      <c r="AM45" t="str">
        <f t="shared" si="22"/>
        <v/>
      </c>
      <c r="AN45">
        <f t="shared" si="23"/>
        <v>1</v>
      </c>
      <c r="AO45">
        <f t="shared" si="24"/>
        <v>3</v>
      </c>
      <c r="AP45">
        <f t="shared" si="25"/>
        <v>0</v>
      </c>
      <c r="AQ45" t="str">
        <f t="shared" si="26"/>
        <v/>
      </c>
    </row>
    <row r="46" spans="1:43" x14ac:dyDescent="0.35">
      <c r="A46">
        <v>2869</v>
      </c>
      <c r="B46" t="s">
        <v>216</v>
      </c>
      <c r="C46" t="s">
        <v>217</v>
      </c>
      <c r="D46" t="str">
        <f t="shared" si="0"/>
        <v>Program Office</v>
      </c>
      <c r="E46" t="s">
        <v>203</v>
      </c>
      <c r="F46" t="s">
        <v>204</v>
      </c>
      <c r="G46" t="s">
        <v>205</v>
      </c>
      <c r="H46" t="s">
        <v>206</v>
      </c>
      <c r="I46" s="32">
        <v>44851.266331018523</v>
      </c>
      <c r="J46" s="32">
        <v>44852.266331018523</v>
      </c>
      <c r="K46" s="32">
        <v>44859.266331018523</v>
      </c>
      <c r="L46" s="8">
        <f t="shared" si="1"/>
        <v>8</v>
      </c>
      <c r="M46" s="7">
        <v>44929.266331018523</v>
      </c>
      <c r="N46" t="s">
        <v>49</v>
      </c>
      <c r="O46" s="34">
        <v>44859.266331018523</v>
      </c>
      <c r="P46" t="s">
        <v>50</v>
      </c>
      <c r="Q46" t="s">
        <v>51</v>
      </c>
      <c r="R46" s="32" t="s">
        <v>7472</v>
      </c>
      <c r="S46" t="s">
        <v>7476</v>
      </c>
      <c r="T46" s="34" t="s">
        <v>7476</v>
      </c>
      <c r="U46" s="34" t="s">
        <v>7476</v>
      </c>
      <c r="V46" s="32">
        <v>44860.266331018523</v>
      </c>
      <c r="W46" s="32" t="s">
        <v>7476</v>
      </c>
      <c r="X46">
        <v>0</v>
      </c>
      <c r="Y46" s="34" t="s">
        <v>7476</v>
      </c>
      <c r="Z46" s="34" t="s">
        <v>7476</v>
      </c>
      <c r="AA46" s="34" t="s">
        <v>7476</v>
      </c>
      <c r="AB46" s="36" t="s">
        <v>52</v>
      </c>
      <c r="AD46" t="s">
        <v>218</v>
      </c>
      <c r="AE46" t="s">
        <v>219</v>
      </c>
      <c r="AF46" s="16">
        <v>44853</v>
      </c>
      <c r="AG46" t="s">
        <v>98</v>
      </c>
      <c r="AH46">
        <v>3</v>
      </c>
      <c r="AI46" s="8" t="str">
        <f t="shared" si="19"/>
        <v/>
      </c>
      <c r="AJ46" s="8">
        <f t="shared" si="20"/>
        <v>6.2663310185234877</v>
      </c>
      <c r="AK46" s="38">
        <f t="shared" si="2"/>
        <v>44950.266331018523</v>
      </c>
      <c r="AL46" t="str">
        <f t="shared" si="21"/>
        <v/>
      </c>
      <c r="AM46" t="str">
        <f t="shared" si="22"/>
        <v/>
      </c>
      <c r="AN46">
        <f t="shared" si="23"/>
        <v>1</v>
      </c>
      <c r="AO46">
        <f t="shared" si="24"/>
        <v>1</v>
      </c>
      <c r="AP46">
        <f t="shared" si="25"/>
        <v>0</v>
      </c>
      <c r="AQ46" t="str">
        <f t="shared" si="26"/>
        <v/>
      </c>
    </row>
    <row r="47" spans="1:43" x14ac:dyDescent="0.35">
      <c r="A47">
        <v>2861</v>
      </c>
      <c r="B47" t="s">
        <v>220</v>
      </c>
      <c r="C47" t="s">
        <v>213</v>
      </c>
      <c r="D47" t="str">
        <f t="shared" si="0"/>
        <v>Program Office</v>
      </c>
      <c r="E47" t="s">
        <v>203</v>
      </c>
      <c r="F47" t="s">
        <v>204</v>
      </c>
      <c r="G47" t="s">
        <v>205</v>
      </c>
      <c r="H47" t="s">
        <v>206</v>
      </c>
      <c r="I47" s="32">
        <v>44849.266331018523</v>
      </c>
      <c r="J47" s="32">
        <v>44853.266331018523</v>
      </c>
      <c r="K47" s="32">
        <v>44855.266331018523</v>
      </c>
      <c r="L47" s="8">
        <f t="shared" si="1"/>
        <v>6</v>
      </c>
      <c r="M47" s="7">
        <v>44925.266331018523</v>
      </c>
      <c r="N47" t="s">
        <v>49</v>
      </c>
      <c r="O47" s="34">
        <v>44864.266331018523</v>
      </c>
      <c r="P47" t="s">
        <v>50</v>
      </c>
      <c r="Q47" t="s">
        <v>84</v>
      </c>
      <c r="R47" s="32" t="s">
        <v>7472</v>
      </c>
      <c r="S47" t="s">
        <v>7476</v>
      </c>
      <c r="T47" s="34" t="s">
        <v>7476</v>
      </c>
      <c r="U47" s="34" t="s">
        <v>7476</v>
      </c>
      <c r="V47" s="32" t="s">
        <v>7476</v>
      </c>
      <c r="W47" s="32" t="s">
        <v>7476</v>
      </c>
      <c r="X47">
        <v>0</v>
      </c>
      <c r="Y47" s="34" t="s">
        <v>7476</v>
      </c>
      <c r="Z47" s="34" t="s">
        <v>7476</v>
      </c>
      <c r="AA47" s="34" t="s">
        <v>7476</v>
      </c>
      <c r="AB47" s="36" t="s">
        <v>52</v>
      </c>
      <c r="AD47" t="s">
        <v>221</v>
      </c>
      <c r="AE47" t="s">
        <v>222</v>
      </c>
      <c r="AF47" s="16">
        <v>44854</v>
      </c>
      <c r="AG47" t="s">
        <v>64</v>
      </c>
      <c r="AH47">
        <v>6</v>
      </c>
      <c r="AI47" s="8" t="str">
        <f t="shared" si="19"/>
        <v/>
      </c>
      <c r="AJ47" s="8">
        <f t="shared" si="20"/>
        <v>10.266331018523488</v>
      </c>
      <c r="AK47" s="38" t="str">
        <f t="shared" si="2"/>
        <v/>
      </c>
      <c r="AL47" t="str">
        <f t="shared" si="21"/>
        <v/>
      </c>
      <c r="AM47" t="str">
        <f t="shared" si="22"/>
        <v/>
      </c>
      <c r="AN47" t="str">
        <f t="shared" si="23"/>
        <v/>
      </c>
      <c r="AO47">
        <f t="shared" si="24"/>
        <v>4</v>
      </c>
      <c r="AP47">
        <f t="shared" si="25"/>
        <v>0</v>
      </c>
      <c r="AQ47" t="str">
        <f t="shared" si="26"/>
        <v/>
      </c>
    </row>
    <row r="48" spans="1:43" x14ac:dyDescent="0.35">
      <c r="A48">
        <v>2731</v>
      </c>
      <c r="B48" t="s">
        <v>223</v>
      </c>
      <c r="C48" t="s">
        <v>217</v>
      </c>
      <c r="D48" t="str">
        <f t="shared" si="0"/>
        <v>Program Office</v>
      </c>
      <c r="E48" t="s">
        <v>203</v>
      </c>
      <c r="F48" t="s">
        <v>204</v>
      </c>
      <c r="G48" t="s">
        <v>205</v>
      </c>
      <c r="H48" t="s">
        <v>206</v>
      </c>
      <c r="I48" s="32">
        <v>44753.981076388889</v>
      </c>
      <c r="J48" s="32">
        <v>44756.981076388889</v>
      </c>
      <c r="K48" s="32">
        <v>44757.981076388889</v>
      </c>
      <c r="L48" s="8">
        <f t="shared" si="1"/>
        <v>4</v>
      </c>
      <c r="M48" s="7">
        <v>44770.981076388889</v>
      </c>
      <c r="N48" t="s">
        <v>49</v>
      </c>
      <c r="O48" s="34">
        <v>44770.981076388889</v>
      </c>
      <c r="P48" t="s">
        <v>50</v>
      </c>
      <c r="Q48" t="s">
        <v>84</v>
      </c>
      <c r="R48" s="32" t="s">
        <v>7472</v>
      </c>
      <c r="S48" t="s">
        <v>7476</v>
      </c>
      <c r="T48" s="34" t="s">
        <v>7476</v>
      </c>
      <c r="U48" s="34" t="s">
        <v>7476</v>
      </c>
      <c r="V48" s="32">
        <v>44772.981076388889</v>
      </c>
      <c r="W48" s="32" t="s">
        <v>7476</v>
      </c>
      <c r="X48">
        <v>0</v>
      </c>
      <c r="Y48" s="34" t="s">
        <v>7476</v>
      </c>
      <c r="Z48" s="34" t="s">
        <v>7476</v>
      </c>
      <c r="AA48" s="34" t="s">
        <v>7476</v>
      </c>
      <c r="AB48" s="36" t="s">
        <v>95</v>
      </c>
      <c r="AD48" t="s">
        <v>224</v>
      </c>
      <c r="AE48" t="s">
        <v>225</v>
      </c>
      <c r="AF48" s="16">
        <v>44761</v>
      </c>
      <c r="AG48" t="s">
        <v>98</v>
      </c>
      <c r="AH48">
        <v>6</v>
      </c>
      <c r="AI48" s="8" t="str">
        <f t="shared" si="19"/>
        <v/>
      </c>
      <c r="AJ48" s="8">
        <f t="shared" si="20"/>
        <v>9.9810763888890506</v>
      </c>
      <c r="AK48" s="38">
        <f t="shared" si="2"/>
        <v>44952.981076388889</v>
      </c>
      <c r="AL48" t="str">
        <f t="shared" si="21"/>
        <v/>
      </c>
      <c r="AM48" t="str">
        <f t="shared" si="22"/>
        <v/>
      </c>
      <c r="AN48">
        <f t="shared" si="23"/>
        <v>2</v>
      </c>
      <c r="AO48">
        <f t="shared" si="24"/>
        <v>3</v>
      </c>
      <c r="AP48">
        <f t="shared" si="25"/>
        <v>0</v>
      </c>
      <c r="AQ48" t="str">
        <f t="shared" si="26"/>
        <v/>
      </c>
    </row>
    <row r="49" spans="1:43" x14ac:dyDescent="0.35">
      <c r="A49">
        <v>2555</v>
      </c>
      <c r="B49" t="s">
        <v>226</v>
      </c>
      <c r="C49" t="s">
        <v>202</v>
      </c>
      <c r="D49" t="str">
        <f t="shared" si="0"/>
        <v>Program Office</v>
      </c>
      <c r="E49" t="s">
        <v>203</v>
      </c>
      <c r="F49" t="s">
        <v>204</v>
      </c>
      <c r="G49" t="s">
        <v>205</v>
      </c>
      <c r="H49" t="s">
        <v>206</v>
      </c>
      <c r="I49" s="32">
        <v>45145.715324074074</v>
      </c>
      <c r="J49" s="32">
        <v>45147.715324074074</v>
      </c>
      <c r="K49" s="32">
        <v>45148.715324074074</v>
      </c>
      <c r="L49" s="8">
        <f t="shared" si="1"/>
        <v>3</v>
      </c>
      <c r="M49" s="7">
        <v>45176.715324074074</v>
      </c>
      <c r="N49" t="s">
        <v>49</v>
      </c>
      <c r="O49" s="34">
        <v>45159.715324074074</v>
      </c>
      <c r="P49" t="s">
        <v>50</v>
      </c>
      <c r="Q49" t="s">
        <v>198</v>
      </c>
      <c r="R49" s="32" t="s">
        <v>7472</v>
      </c>
      <c r="S49" t="s">
        <v>7476</v>
      </c>
      <c r="T49" s="34" t="s">
        <v>7476</v>
      </c>
      <c r="U49" s="34" t="s">
        <v>7476</v>
      </c>
      <c r="V49" s="32" t="s">
        <v>7476</v>
      </c>
      <c r="W49" s="32" t="s">
        <v>7476</v>
      </c>
      <c r="X49">
        <v>0</v>
      </c>
      <c r="Y49" s="34" t="s">
        <v>7476</v>
      </c>
      <c r="Z49" s="34" t="s">
        <v>7476</v>
      </c>
      <c r="AA49" s="34" t="s">
        <v>7476</v>
      </c>
      <c r="AB49" s="36" t="s">
        <v>52</v>
      </c>
      <c r="AD49" t="s">
        <v>227</v>
      </c>
      <c r="AE49" t="s">
        <v>228</v>
      </c>
      <c r="AF49" s="16">
        <v>45146</v>
      </c>
      <c r="AG49" t="s">
        <v>64</v>
      </c>
      <c r="AH49">
        <v>3</v>
      </c>
      <c r="AI49" s="8" t="str">
        <f t="shared" si="19"/>
        <v/>
      </c>
      <c r="AJ49" s="8">
        <f t="shared" si="20"/>
        <v>13.715324074073578</v>
      </c>
      <c r="AK49" s="38" t="str">
        <f t="shared" si="2"/>
        <v/>
      </c>
      <c r="AL49" t="str">
        <f t="shared" si="21"/>
        <v/>
      </c>
      <c r="AM49" t="str">
        <f t="shared" si="22"/>
        <v/>
      </c>
      <c r="AN49" t="str">
        <f t="shared" si="23"/>
        <v/>
      </c>
      <c r="AO49">
        <f t="shared" si="24"/>
        <v>2</v>
      </c>
      <c r="AP49">
        <f t="shared" si="25"/>
        <v>0</v>
      </c>
      <c r="AQ49" t="str">
        <f t="shared" si="26"/>
        <v/>
      </c>
    </row>
    <row r="50" spans="1:43" x14ac:dyDescent="0.35">
      <c r="A50">
        <v>2536</v>
      </c>
      <c r="B50" t="s">
        <v>229</v>
      </c>
      <c r="C50" t="s">
        <v>202</v>
      </c>
      <c r="D50" t="str">
        <f t="shared" si="0"/>
        <v>Program Office</v>
      </c>
      <c r="E50" t="s">
        <v>203</v>
      </c>
      <c r="F50" t="s">
        <v>204</v>
      </c>
      <c r="G50" t="s">
        <v>205</v>
      </c>
      <c r="H50" t="s">
        <v>206</v>
      </c>
      <c r="I50" s="32">
        <v>44681.058252314811</v>
      </c>
      <c r="J50" s="32">
        <v>44684.058252314811</v>
      </c>
      <c r="K50" s="32">
        <v>44688.058252314811</v>
      </c>
      <c r="L50" s="8">
        <f t="shared" si="1"/>
        <v>7</v>
      </c>
      <c r="M50" s="7">
        <v>44703.058252314811</v>
      </c>
      <c r="N50" t="s">
        <v>49</v>
      </c>
      <c r="O50" s="34">
        <v>44695.058252314811</v>
      </c>
      <c r="P50" t="s">
        <v>50</v>
      </c>
      <c r="Q50" t="s">
        <v>84</v>
      </c>
      <c r="R50" s="32" t="s">
        <v>7472</v>
      </c>
      <c r="S50" t="s">
        <v>7476</v>
      </c>
      <c r="T50" s="34" t="s">
        <v>7476</v>
      </c>
      <c r="U50" s="34" t="s">
        <v>7476</v>
      </c>
      <c r="V50" s="32">
        <v>44696.058252314811</v>
      </c>
      <c r="W50" s="32" t="s">
        <v>7476</v>
      </c>
      <c r="X50">
        <v>0</v>
      </c>
      <c r="Y50" s="34" t="s">
        <v>7476</v>
      </c>
      <c r="Z50" s="34" t="s">
        <v>7476</v>
      </c>
      <c r="AA50" s="34" t="s">
        <v>7476</v>
      </c>
      <c r="AB50" s="36" t="s">
        <v>52</v>
      </c>
      <c r="AD50" t="s">
        <v>230</v>
      </c>
      <c r="AE50" t="s">
        <v>231</v>
      </c>
      <c r="AF50" s="16">
        <v>44680</v>
      </c>
      <c r="AG50" t="s">
        <v>64</v>
      </c>
      <c r="AH50">
        <v>6</v>
      </c>
      <c r="AI50" s="8" t="str">
        <f t="shared" si="19"/>
        <v/>
      </c>
      <c r="AJ50" s="8">
        <f t="shared" si="20"/>
        <v>15.058252314811398</v>
      </c>
      <c r="AK50" s="38">
        <f t="shared" si="2"/>
        <v>44876.058252314811</v>
      </c>
      <c r="AL50" t="str">
        <f t="shared" si="21"/>
        <v/>
      </c>
      <c r="AM50" t="str">
        <f t="shared" si="22"/>
        <v/>
      </c>
      <c r="AN50">
        <f t="shared" si="23"/>
        <v>1</v>
      </c>
      <c r="AO50">
        <f t="shared" si="24"/>
        <v>3</v>
      </c>
      <c r="AP50">
        <f t="shared" si="25"/>
        <v>0</v>
      </c>
      <c r="AQ50" t="str">
        <f t="shared" si="26"/>
        <v/>
      </c>
    </row>
    <row r="51" spans="1:43" x14ac:dyDescent="0.35">
      <c r="A51">
        <v>2519</v>
      </c>
      <c r="B51" t="s">
        <v>232</v>
      </c>
      <c r="C51" t="s">
        <v>202</v>
      </c>
      <c r="D51" t="str">
        <f t="shared" si="0"/>
        <v>Program Office</v>
      </c>
      <c r="E51" t="s">
        <v>203</v>
      </c>
      <c r="F51" t="s">
        <v>204</v>
      </c>
      <c r="G51" t="s">
        <v>205</v>
      </c>
      <c r="H51" t="s">
        <v>206</v>
      </c>
      <c r="I51" s="32">
        <v>45172.133263888893</v>
      </c>
      <c r="J51" s="32" t="s">
        <v>7471</v>
      </c>
      <c r="K51" s="32">
        <v>45177.133263888893</v>
      </c>
      <c r="L51" s="8">
        <f t="shared" si="1"/>
        <v>5</v>
      </c>
      <c r="M51" s="7">
        <v>45193.133263888893</v>
      </c>
      <c r="N51" t="s">
        <v>49</v>
      </c>
      <c r="O51" s="34">
        <v>45188.133263888893</v>
      </c>
      <c r="P51" t="s">
        <v>50</v>
      </c>
      <c r="Q51" t="s">
        <v>125</v>
      </c>
      <c r="R51" s="32" t="s">
        <v>7472</v>
      </c>
      <c r="S51" t="s">
        <v>7476</v>
      </c>
      <c r="T51" s="34" t="s">
        <v>7476</v>
      </c>
      <c r="U51" s="34" t="s">
        <v>7476</v>
      </c>
      <c r="V51" s="32">
        <v>45189.133263888893</v>
      </c>
      <c r="W51" s="32" t="s">
        <v>7476</v>
      </c>
      <c r="X51">
        <v>0</v>
      </c>
      <c r="Y51" s="34" t="s">
        <v>7476</v>
      </c>
      <c r="Z51" s="34" t="s">
        <v>7476</v>
      </c>
      <c r="AA51" s="34" t="s">
        <v>7476</v>
      </c>
      <c r="AB51" s="36" t="s">
        <v>52</v>
      </c>
      <c r="AD51" t="s">
        <v>233</v>
      </c>
      <c r="AE51" t="s">
        <v>234</v>
      </c>
      <c r="AF51" s="16">
        <v>45055</v>
      </c>
      <c r="AG51" t="s">
        <v>93</v>
      </c>
      <c r="AH51">
        <v>3</v>
      </c>
      <c r="AK51" s="38">
        <f t="shared" si="2"/>
        <v>45279.133263888893</v>
      </c>
    </row>
    <row r="52" spans="1:43" x14ac:dyDescent="0.35">
      <c r="A52">
        <v>2366</v>
      </c>
      <c r="B52" t="s">
        <v>235</v>
      </c>
      <c r="C52" t="s">
        <v>213</v>
      </c>
      <c r="D52" t="str">
        <f t="shared" si="0"/>
        <v>Program Office</v>
      </c>
      <c r="E52" t="s">
        <v>203</v>
      </c>
      <c r="F52" t="s">
        <v>204</v>
      </c>
      <c r="G52" t="s">
        <v>205</v>
      </c>
      <c r="H52" t="s">
        <v>206</v>
      </c>
      <c r="I52" s="32">
        <v>44974.268252314818</v>
      </c>
      <c r="J52" s="32">
        <v>44976.268252314818</v>
      </c>
      <c r="K52" s="32">
        <v>44980.268252314818</v>
      </c>
      <c r="L52" s="8">
        <f t="shared" si="1"/>
        <v>6</v>
      </c>
      <c r="M52" s="7">
        <v>44992.268252314818</v>
      </c>
      <c r="N52" t="s">
        <v>49</v>
      </c>
      <c r="O52" s="34">
        <v>44986.268252314818</v>
      </c>
      <c r="P52" t="s">
        <v>50</v>
      </c>
      <c r="Q52" t="s">
        <v>236</v>
      </c>
      <c r="R52" s="32" t="s">
        <v>7472</v>
      </c>
      <c r="S52" t="s">
        <v>7476</v>
      </c>
      <c r="T52" s="34" t="s">
        <v>7476</v>
      </c>
      <c r="U52" s="34" t="s">
        <v>7476</v>
      </c>
      <c r="V52" s="32">
        <v>44989.268252314818</v>
      </c>
      <c r="W52" s="32" t="s">
        <v>7476</v>
      </c>
      <c r="X52">
        <v>0</v>
      </c>
      <c r="Y52" s="34" t="s">
        <v>7476</v>
      </c>
      <c r="Z52" s="34" t="s">
        <v>7476</v>
      </c>
      <c r="AA52" s="34" t="s">
        <v>7476</v>
      </c>
      <c r="AB52" s="36" t="s">
        <v>52</v>
      </c>
      <c r="AD52" t="s">
        <v>237</v>
      </c>
      <c r="AE52" t="s">
        <v>238</v>
      </c>
      <c r="AF52" s="16">
        <v>44979</v>
      </c>
      <c r="AG52" t="s">
        <v>68</v>
      </c>
      <c r="AH52">
        <v>6</v>
      </c>
      <c r="AI52" s="8" t="str">
        <f>IFERROR(R52-AF52,"")</f>
        <v/>
      </c>
      <c r="AJ52" s="8">
        <f>IFERROR(O52-AF52,"")</f>
        <v>7.2682523148178007</v>
      </c>
      <c r="AK52" s="38">
        <f>IFERROR(V52+(AH52*30),"")</f>
        <v>45169.268252314818</v>
      </c>
      <c r="AL52" t="str">
        <f>IFERROR(Z52-W52,"")</f>
        <v/>
      </c>
      <c r="AM52" t="str">
        <f>IFERROR(R52-J52,"")</f>
        <v/>
      </c>
      <c r="AN52">
        <f>IFERROR(V52-O52,"")</f>
        <v>3</v>
      </c>
      <c r="AO52">
        <f>IFERROR(J52-I52,"")</f>
        <v>2</v>
      </c>
      <c r="AP52">
        <f>IFERROR(AC52-X52,"")</f>
        <v>0</v>
      </c>
      <c r="AQ52" t="str">
        <f>IFERROR(AA52-W52,"")</f>
        <v/>
      </c>
    </row>
    <row r="53" spans="1:43" x14ac:dyDescent="0.35">
      <c r="A53">
        <v>2315</v>
      </c>
      <c r="B53" t="s">
        <v>239</v>
      </c>
      <c r="C53" t="s">
        <v>213</v>
      </c>
      <c r="D53" t="str">
        <f t="shared" si="0"/>
        <v>Program Office</v>
      </c>
      <c r="E53" t="s">
        <v>203</v>
      </c>
      <c r="F53" t="s">
        <v>204</v>
      </c>
      <c r="G53" t="s">
        <v>205</v>
      </c>
      <c r="H53" t="s">
        <v>206</v>
      </c>
      <c r="I53" s="32">
        <v>44672.037303240737</v>
      </c>
      <c r="J53" s="32">
        <v>44674.037303240737</v>
      </c>
      <c r="K53" s="32">
        <v>44677.037303240737</v>
      </c>
      <c r="L53" s="8">
        <f t="shared" si="1"/>
        <v>5</v>
      </c>
      <c r="M53" s="7">
        <v>44695.037303240737</v>
      </c>
      <c r="N53" t="s">
        <v>49</v>
      </c>
      <c r="O53" s="34">
        <v>44686.037303240737</v>
      </c>
      <c r="P53" t="s">
        <v>50</v>
      </c>
      <c r="Q53" t="s">
        <v>84</v>
      </c>
      <c r="R53" s="32" t="s">
        <v>7472</v>
      </c>
      <c r="S53" t="s">
        <v>7476</v>
      </c>
      <c r="T53" s="34" t="s">
        <v>7476</v>
      </c>
      <c r="U53" s="34" t="s">
        <v>7476</v>
      </c>
      <c r="V53" s="32" t="s">
        <v>7476</v>
      </c>
      <c r="W53" s="32" t="s">
        <v>7476</v>
      </c>
      <c r="X53">
        <v>0</v>
      </c>
      <c r="Y53" s="34" t="s">
        <v>7476</v>
      </c>
      <c r="Z53" s="34" t="s">
        <v>7476</v>
      </c>
      <c r="AA53" s="34" t="s">
        <v>7476</v>
      </c>
      <c r="AB53" s="36" t="s">
        <v>52</v>
      </c>
      <c r="AD53" t="s">
        <v>240</v>
      </c>
      <c r="AE53" t="s">
        <v>241</v>
      </c>
      <c r="AF53" s="16">
        <v>44676</v>
      </c>
      <c r="AG53" t="s">
        <v>68</v>
      </c>
      <c r="AH53">
        <v>6</v>
      </c>
      <c r="AI53" s="8" t="str">
        <f>IFERROR(R53-AF53,"")</f>
        <v/>
      </c>
      <c r="AJ53" s="8">
        <f>IFERROR(O53-AF53,"")</f>
        <v>10.037303240736946</v>
      </c>
      <c r="AK53" s="38" t="str">
        <f t="shared" si="2"/>
        <v/>
      </c>
      <c r="AL53" t="str">
        <f>IFERROR(Z53-W53,"")</f>
        <v/>
      </c>
      <c r="AM53" t="str">
        <f>IFERROR(R53-J53,"")</f>
        <v/>
      </c>
      <c r="AN53" t="str">
        <f>IFERROR(V53-O53,"")</f>
        <v/>
      </c>
      <c r="AO53">
        <f>IFERROR(J53-I53,"")</f>
        <v>2</v>
      </c>
      <c r="AP53">
        <f>IFERROR(AC53-X53,"")</f>
        <v>0</v>
      </c>
      <c r="AQ53" t="str">
        <f>IFERROR(AA53-W53,"")</f>
        <v/>
      </c>
    </row>
    <row r="54" spans="1:43" x14ac:dyDescent="0.35">
      <c r="A54">
        <v>2250</v>
      </c>
      <c r="B54" t="s">
        <v>242</v>
      </c>
      <c r="C54" t="s">
        <v>217</v>
      </c>
      <c r="D54" t="str">
        <f t="shared" si="0"/>
        <v>Program Office</v>
      </c>
      <c r="E54" t="s">
        <v>203</v>
      </c>
      <c r="F54" t="s">
        <v>204</v>
      </c>
      <c r="G54" t="s">
        <v>205</v>
      </c>
      <c r="H54" t="s">
        <v>206</v>
      </c>
      <c r="I54" s="32">
        <v>44920.601747685178</v>
      </c>
      <c r="J54" s="32">
        <v>44923.601747685178</v>
      </c>
      <c r="K54" s="32" t="s">
        <v>7473</v>
      </c>
      <c r="L54" s="8" t="str">
        <f t="shared" si="1"/>
        <v/>
      </c>
      <c r="M54" s="7">
        <v>44949.601747685178</v>
      </c>
      <c r="N54" t="s">
        <v>49</v>
      </c>
      <c r="O54" s="34">
        <v>44932.601747685178</v>
      </c>
      <c r="P54" t="s">
        <v>50</v>
      </c>
      <c r="Q54" t="s">
        <v>51</v>
      </c>
      <c r="R54" s="32" t="s">
        <v>7472</v>
      </c>
      <c r="S54" t="s">
        <v>7476</v>
      </c>
      <c r="T54" s="34" t="s">
        <v>7476</v>
      </c>
      <c r="U54" s="34" t="s">
        <v>7476</v>
      </c>
      <c r="V54" s="32">
        <v>44933.601747685178</v>
      </c>
      <c r="W54" s="32" t="s">
        <v>7476</v>
      </c>
      <c r="X54">
        <v>0</v>
      </c>
      <c r="Y54" s="34" t="s">
        <v>7476</v>
      </c>
      <c r="Z54" s="34" t="s">
        <v>7476</v>
      </c>
      <c r="AA54" s="34" t="s">
        <v>7476</v>
      </c>
      <c r="AB54" s="36" t="s">
        <v>52</v>
      </c>
      <c r="AD54" t="s">
        <v>243</v>
      </c>
      <c r="AE54" t="s">
        <v>244</v>
      </c>
      <c r="AF54" s="16">
        <v>44925</v>
      </c>
      <c r="AG54" t="s">
        <v>75</v>
      </c>
      <c r="AH54">
        <v>3</v>
      </c>
      <c r="AK54" s="38">
        <f>IFERROR(V54+(AH54*30),"")</f>
        <v>45023.601747685178</v>
      </c>
    </row>
    <row r="55" spans="1:43" x14ac:dyDescent="0.35">
      <c r="A55">
        <v>2241</v>
      </c>
      <c r="B55" t="s">
        <v>245</v>
      </c>
      <c r="C55" t="s">
        <v>213</v>
      </c>
      <c r="D55" t="str">
        <f t="shared" si="0"/>
        <v>Program Office</v>
      </c>
      <c r="E55" t="s">
        <v>203</v>
      </c>
      <c r="F55" t="s">
        <v>204</v>
      </c>
      <c r="G55" t="s">
        <v>205</v>
      </c>
      <c r="H55" t="s">
        <v>206</v>
      </c>
      <c r="I55" s="32">
        <v>44924.601747685178</v>
      </c>
      <c r="J55" s="32">
        <v>44926.601747685178</v>
      </c>
      <c r="K55" s="32">
        <v>44929.601747685178</v>
      </c>
      <c r="L55" s="8">
        <f t="shared" si="1"/>
        <v>5</v>
      </c>
      <c r="M55" s="7">
        <v>44941.601747685178</v>
      </c>
      <c r="N55" t="s">
        <v>49</v>
      </c>
      <c r="O55" s="34">
        <v>44938.601747685178</v>
      </c>
      <c r="P55" t="s">
        <v>50</v>
      </c>
      <c r="Q55" t="s">
        <v>84</v>
      </c>
      <c r="R55" s="32" t="s">
        <v>7472</v>
      </c>
      <c r="S55" t="s">
        <v>7476</v>
      </c>
      <c r="T55" s="34" t="s">
        <v>7476</v>
      </c>
      <c r="U55" s="34" t="s">
        <v>7476</v>
      </c>
      <c r="V55" s="32">
        <v>44940.601747685178</v>
      </c>
      <c r="W55" s="32" t="s">
        <v>7476</v>
      </c>
      <c r="X55">
        <v>0</v>
      </c>
      <c r="Y55" s="34" t="s">
        <v>7476</v>
      </c>
      <c r="Z55" s="34" t="s">
        <v>7476</v>
      </c>
      <c r="AA55" s="34" t="s">
        <v>7476</v>
      </c>
      <c r="AB55" s="36" t="s">
        <v>95</v>
      </c>
      <c r="AD55" t="s">
        <v>246</v>
      </c>
      <c r="AE55" t="s">
        <v>247</v>
      </c>
      <c r="AF55" s="16">
        <v>45047</v>
      </c>
      <c r="AG55" t="s">
        <v>98</v>
      </c>
      <c r="AH55">
        <v>3</v>
      </c>
      <c r="AI55" s="8" t="str">
        <f>IFERROR(R55-AF55,"")</f>
        <v/>
      </c>
      <c r="AJ55" s="8">
        <f>IFERROR(O55-AF55,"")</f>
        <v>-108.39825231482246</v>
      </c>
      <c r="AK55" s="38">
        <f t="shared" si="2"/>
        <v>45030.601747685178</v>
      </c>
      <c r="AL55" t="str">
        <f>IFERROR(Z55-W55,"")</f>
        <v/>
      </c>
      <c r="AM55" t="str">
        <f>IFERROR(R55-J55,"")</f>
        <v/>
      </c>
      <c r="AN55">
        <f>IFERROR(V55-O55,"")</f>
        <v>2</v>
      </c>
      <c r="AO55">
        <f>IFERROR(J55-I55,"")</f>
        <v>2</v>
      </c>
      <c r="AP55">
        <f>IFERROR(AC55-X55,"")</f>
        <v>0</v>
      </c>
      <c r="AQ55" t="str">
        <f>IFERROR(AA55-W55,"")</f>
        <v/>
      </c>
    </row>
    <row r="56" spans="1:43" x14ac:dyDescent="0.35">
      <c r="A56">
        <v>2125</v>
      </c>
      <c r="B56" t="s">
        <v>248</v>
      </c>
      <c r="C56" t="s">
        <v>213</v>
      </c>
      <c r="D56" t="str">
        <f t="shared" si="0"/>
        <v>Program Office</v>
      </c>
      <c r="E56" t="s">
        <v>203</v>
      </c>
      <c r="F56" t="s">
        <v>204</v>
      </c>
      <c r="G56" t="s">
        <v>205</v>
      </c>
      <c r="H56" t="s">
        <v>206</v>
      </c>
      <c r="I56" s="32">
        <v>44927.473356481481</v>
      </c>
      <c r="J56" s="32">
        <v>44930.473356481481</v>
      </c>
      <c r="K56" s="32">
        <v>44935.473356481481</v>
      </c>
      <c r="L56" s="8">
        <f t="shared" si="1"/>
        <v>8</v>
      </c>
      <c r="M56" s="7">
        <v>44958.473356481481</v>
      </c>
      <c r="N56" t="s">
        <v>49</v>
      </c>
      <c r="O56" s="34">
        <v>44946.473356481481</v>
      </c>
      <c r="P56" t="s">
        <v>50</v>
      </c>
      <c r="Q56" t="s">
        <v>198</v>
      </c>
      <c r="R56" s="32" t="s">
        <v>7472</v>
      </c>
      <c r="S56" t="s">
        <v>7476</v>
      </c>
      <c r="T56" s="34" t="s">
        <v>7476</v>
      </c>
      <c r="U56" s="34" t="s">
        <v>7476</v>
      </c>
      <c r="V56" s="32" t="s">
        <v>7476</v>
      </c>
      <c r="W56" s="32" t="s">
        <v>7476</v>
      </c>
      <c r="X56">
        <v>0</v>
      </c>
      <c r="Y56" s="34" t="s">
        <v>7476</v>
      </c>
      <c r="Z56" s="34" t="s">
        <v>7476</v>
      </c>
      <c r="AA56" s="34" t="s">
        <v>7476</v>
      </c>
      <c r="AB56" s="36" t="s">
        <v>52</v>
      </c>
      <c r="AD56" t="s">
        <v>249</v>
      </c>
      <c r="AE56" t="s">
        <v>250</v>
      </c>
      <c r="AF56" s="16">
        <v>44928</v>
      </c>
      <c r="AG56" t="s">
        <v>64</v>
      </c>
      <c r="AH56">
        <v>3</v>
      </c>
      <c r="AI56" s="8" t="str">
        <f>IFERROR(R56-AF56,"")</f>
        <v/>
      </c>
      <c r="AJ56" s="8">
        <f>IFERROR(O56-AF56,"")</f>
        <v>18.47335648148146</v>
      </c>
      <c r="AK56" s="38" t="str">
        <f t="shared" si="2"/>
        <v/>
      </c>
      <c r="AL56" t="str">
        <f>IFERROR(Z56-W56,"")</f>
        <v/>
      </c>
      <c r="AM56" t="str">
        <f>IFERROR(R56-J56,"")</f>
        <v/>
      </c>
      <c r="AN56" t="str">
        <f>IFERROR(V56-O56,"")</f>
        <v/>
      </c>
      <c r="AO56">
        <f>IFERROR(J56-I56,"")</f>
        <v>3</v>
      </c>
      <c r="AP56">
        <f>IFERROR(AC56-X56,"")</f>
        <v>0</v>
      </c>
      <c r="AQ56" t="str">
        <f>IFERROR(AA56-W56,"")</f>
        <v/>
      </c>
    </row>
    <row r="57" spans="1:43" x14ac:dyDescent="0.35">
      <c r="A57">
        <v>2122</v>
      </c>
      <c r="B57" t="s">
        <v>251</v>
      </c>
      <c r="C57" t="s">
        <v>213</v>
      </c>
      <c r="D57" t="str">
        <f t="shared" si="0"/>
        <v>Program Office</v>
      </c>
      <c r="E57" t="s">
        <v>203</v>
      </c>
      <c r="F57" t="s">
        <v>204</v>
      </c>
      <c r="G57" t="s">
        <v>205</v>
      </c>
      <c r="H57" t="s">
        <v>206</v>
      </c>
      <c r="I57" s="32">
        <v>44929.473356481481</v>
      </c>
      <c r="J57" s="32">
        <v>44933.473356481481</v>
      </c>
      <c r="K57" s="32">
        <v>44935.473356481481</v>
      </c>
      <c r="L57" s="8">
        <f t="shared" si="1"/>
        <v>6</v>
      </c>
      <c r="M57" s="7">
        <v>44941.473356481481</v>
      </c>
      <c r="N57" t="s">
        <v>49</v>
      </c>
      <c r="O57" s="34">
        <v>44941.473356481481</v>
      </c>
      <c r="P57" t="s">
        <v>50</v>
      </c>
      <c r="Q57" t="s">
        <v>125</v>
      </c>
      <c r="R57" s="32" t="s">
        <v>7472</v>
      </c>
      <c r="S57" t="s">
        <v>7476</v>
      </c>
      <c r="T57" s="34" t="s">
        <v>7476</v>
      </c>
      <c r="U57" s="34" t="s">
        <v>7476</v>
      </c>
      <c r="V57" s="32" t="s">
        <v>7476</v>
      </c>
      <c r="W57" s="32" t="s">
        <v>7476</v>
      </c>
      <c r="X57">
        <v>0</v>
      </c>
      <c r="Y57" s="34" t="s">
        <v>7476</v>
      </c>
      <c r="Z57" s="34" t="s">
        <v>7476</v>
      </c>
      <c r="AA57" s="34" t="s">
        <v>7476</v>
      </c>
      <c r="AB57" s="36" t="s">
        <v>52</v>
      </c>
      <c r="AD57" t="s">
        <v>252</v>
      </c>
      <c r="AE57" t="s">
        <v>253</v>
      </c>
      <c r="AF57" s="16">
        <v>44933</v>
      </c>
      <c r="AG57" t="s">
        <v>68</v>
      </c>
      <c r="AH57">
        <v>3</v>
      </c>
      <c r="AI57" s="8" t="str">
        <f>IFERROR(R57-AF57,"")</f>
        <v/>
      </c>
      <c r="AJ57" s="8">
        <f>IFERROR(O57-AF57,"")</f>
        <v>8.4733564814814599</v>
      </c>
      <c r="AK57" s="38" t="str">
        <f t="shared" si="2"/>
        <v/>
      </c>
      <c r="AL57" t="str">
        <f>IFERROR(Z57-W57,"")</f>
        <v/>
      </c>
      <c r="AM57" t="str">
        <f>IFERROR(R57-J57,"")</f>
        <v/>
      </c>
      <c r="AN57" t="str">
        <f>IFERROR(V57-O57,"")</f>
        <v/>
      </c>
      <c r="AO57">
        <f>IFERROR(J57-I57,"")</f>
        <v>4</v>
      </c>
      <c r="AP57">
        <f>IFERROR(AC57-X57,"")</f>
        <v>0</v>
      </c>
      <c r="AQ57" t="str">
        <f>IFERROR(AA57-W57,"")</f>
        <v/>
      </c>
    </row>
    <row r="58" spans="1:43" x14ac:dyDescent="0.35">
      <c r="A58">
        <v>2070</v>
      </c>
      <c r="B58" t="s">
        <v>254</v>
      </c>
      <c r="C58" t="s">
        <v>217</v>
      </c>
      <c r="D58" t="str">
        <f t="shared" si="0"/>
        <v>Program Office</v>
      </c>
      <c r="E58" t="s">
        <v>203</v>
      </c>
      <c r="F58" t="s">
        <v>204</v>
      </c>
      <c r="G58" t="s">
        <v>205</v>
      </c>
      <c r="H58" t="s">
        <v>206</v>
      </c>
      <c r="I58" s="32">
        <v>44867.782581018517</v>
      </c>
      <c r="J58" s="32" t="s">
        <v>7471</v>
      </c>
      <c r="K58" s="32">
        <v>44873.782581018517</v>
      </c>
      <c r="L58" s="8">
        <f t="shared" si="1"/>
        <v>6</v>
      </c>
      <c r="M58" s="7">
        <v>44889.782581018517</v>
      </c>
      <c r="N58" t="s">
        <v>49</v>
      </c>
      <c r="O58" s="34">
        <v>44887.782581018517</v>
      </c>
      <c r="P58" t="s">
        <v>50</v>
      </c>
      <c r="Q58" t="s">
        <v>125</v>
      </c>
      <c r="R58" s="32" t="s">
        <v>7472</v>
      </c>
      <c r="S58" t="s">
        <v>7476</v>
      </c>
      <c r="T58" s="34" t="s">
        <v>7476</v>
      </c>
      <c r="U58" s="34" t="s">
        <v>7476</v>
      </c>
      <c r="V58" s="32">
        <v>44891.782581018517</v>
      </c>
      <c r="W58" s="32" t="s">
        <v>7476</v>
      </c>
      <c r="X58">
        <v>0</v>
      </c>
      <c r="Y58" s="34" t="s">
        <v>7476</v>
      </c>
      <c r="Z58" s="34" t="s">
        <v>7476</v>
      </c>
      <c r="AA58" s="34" t="s">
        <v>7476</v>
      </c>
      <c r="AB58" s="36" t="s">
        <v>95</v>
      </c>
      <c r="AD58" t="s">
        <v>255</v>
      </c>
      <c r="AE58" t="s">
        <v>256</v>
      </c>
      <c r="AF58" s="16">
        <v>44878</v>
      </c>
      <c r="AG58" t="s">
        <v>55</v>
      </c>
      <c r="AH58">
        <v>3</v>
      </c>
      <c r="AK58" s="38">
        <f t="shared" si="2"/>
        <v>44981.782581018517</v>
      </c>
    </row>
    <row r="59" spans="1:43" x14ac:dyDescent="0.35">
      <c r="A59">
        <v>1980</v>
      </c>
      <c r="B59" t="s">
        <v>257</v>
      </c>
      <c r="C59" t="s">
        <v>213</v>
      </c>
      <c r="D59" t="str">
        <f t="shared" si="0"/>
        <v>Program Office</v>
      </c>
      <c r="E59" t="s">
        <v>203</v>
      </c>
      <c r="F59" t="s">
        <v>204</v>
      </c>
      <c r="G59" t="s">
        <v>205</v>
      </c>
      <c r="H59" t="s">
        <v>206</v>
      </c>
      <c r="I59" s="32">
        <v>44857.498391203713</v>
      </c>
      <c r="J59" s="32">
        <v>44858.498391203713</v>
      </c>
      <c r="K59" s="32">
        <v>44860.498391203713</v>
      </c>
      <c r="L59" s="8">
        <f t="shared" si="1"/>
        <v>3</v>
      </c>
      <c r="M59" s="7">
        <v>44883.498391203713</v>
      </c>
      <c r="N59" t="s">
        <v>49</v>
      </c>
      <c r="O59" s="34">
        <v>44861.498391203713</v>
      </c>
      <c r="P59" t="s">
        <v>50</v>
      </c>
      <c r="Q59" t="s">
        <v>198</v>
      </c>
      <c r="R59" s="32" t="s">
        <v>7472</v>
      </c>
      <c r="S59" t="s">
        <v>7476</v>
      </c>
      <c r="T59" s="34" t="s">
        <v>7476</v>
      </c>
      <c r="U59" s="34" t="s">
        <v>7476</v>
      </c>
      <c r="V59" s="32">
        <v>44864.498391203713</v>
      </c>
      <c r="W59" s="32" t="s">
        <v>7476</v>
      </c>
      <c r="X59">
        <v>0</v>
      </c>
      <c r="Y59" s="34" t="s">
        <v>7476</v>
      </c>
      <c r="Z59" s="34" t="s">
        <v>7476</v>
      </c>
      <c r="AA59" s="34" t="s">
        <v>7476</v>
      </c>
      <c r="AB59" s="36" t="s">
        <v>52</v>
      </c>
      <c r="AD59" t="s">
        <v>258</v>
      </c>
      <c r="AE59" t="s">
        <v>259</v>
      </c>
      <c r="AF59" s="16">
        <v>44852</v>
      </c>
      <c r="AG59" t="s">
        <v>64</v>
      </c>
      <c r="AH59">
        <v>6</v>
      </c>
      <c r="AI59" s="8" t="str">
        <f>IFERROR(R59-AF59,"")</f>
        <v/>
      </c>
      <c r="AJ59" s="8">
        <f>IFERROR(O59-AF59,"")</f>
        <v>9.4983912037132541</v>
      </c>
      <c r="AK59" s="38">
        <f t="shared" si="2"/>
        <v>45044.498391203713</v>
      </c>
      <c r="AL59" t="str">
        <f>IFERROR(Z59-W59,"")</f>
        <v/>
      </c>
      <c r="AM59" t="str">
        <f>IFERROR(R59-J59,"")</f>
        <v/>
      </c>
      <c r="AN59">
        <f>IFERROR(V59-O59,"")</f>
        <v>3</v>
      </c>
      <c r="AO59">
        <f>IFERROR(J59-I59,"")</f>
        <v>1</v>
      </c>
      <c r="AP59">
        <f>IFERROR(AC59-X59,"")</f>
        <v>0</v>
      </c>
      <c r="AQ59" t="str">
        <f>IFERROR(AA59-W59,"")</f>
        <v/>
      </c>
    </row>
    <row r="60" spans="1:43" x14ac:dyDescent="0.35">
      <c r="A60">
        <v>1815</v>
      </c>
      <c r="B60" t="s">
        <v>260</v>
      </c>
      <c r="C60" t="s">
        <v>213</v>
      </c>
      <c r="D60" t="str">
        <f t="shared" si="0"/>
        <v>Program Office</v>
      </c>
      <c r="E60" t="s">
        <v>203</v>
      </c>
      <c r="F60" t="s">
        <v>204</v>
      </c>
      <c r="G60" t="s">
        <v>205</v>
      </c>
      <c r="H60" t="s">
        <v>206</v>
      </c>
      <c r="I60" s="32">
        <v>44824.186388888891</v>
      </c>
      <c r="J60" s="32">
        <v>44828.186388888891</v>
      </c>
      <c r="K60" s="32">
        <v>44829.186388888891</v>
      </c>
      <c r="L60" s="8">
        <f t="shared" si="1"/>
        <v>5</v>
      </c>
      <c r="M60" s="7">
        <v>44837.186388888891</v>
      </c>
      <c r="N60" t="s">
        <v>49</v>
      </c>
      <c r="O60" s="34">
        <v>44843.186388888891</v>
      </c>
      <c r="P60" t="s">
        <v>50</v>
      </c>
      <c r="Q60" t="s">
        <v>125</v>
      </c>
      <c r="R60" s="32" t="s">
        <v>7472</v>
      </c>
      <c r="S60" t="s">
        <v>7476</v>
      </c>
      <c r="T60" s="34" t="s">
        <v>7476</v>
      </c>
      <c r="U60" s="34" t="s">
        <v>7476</v>
      </c>
      <c r="V60" s="32" t="s">
        <v>7476</v>
      </c>
      <c r="W60" s="32" t="s">
        <v>7476</v>
      </c>
      <c r="X60">
        <v>0</v>
      </c>
      <c r="Y60" s="34" t="s">
        <v>7476</v>
      </c>
      <c r="Z60" s="34" t="s">
        <v>7476</v>
      </c>
      <c r="AA60" s="34" t="s">
        <v>7476</v>
      </c>
      <c r="AB60" s="36" t="s">
        <v>95</v>
      </c>
      <c r="AD60" t="s">
        <v>261</v>
      </c>
      <c r="AE60" t="s">
        <v>262</v>
      </c>
      <c r="AF60" s="16">
        <v>44836</v>
      </c>
      <c r="AG60" t="s">
        <v>98</v>
      </c>
      <c r="AH60">
        <v>3</v>
      </c>
      <c r="AI60" s="8" t="str">
        <f>IFERROR(R60-AF60,"")</f>
        <v/>
      </c>
      <c r="AJ60" s="8">
        <f>IFERROR(O60-AF60,"")</f>
        <v>7.1863888888910878</v>
      </c>
      <c r="AK60" s="38" t="str">
        <f t="shared" si="2"/>
        <v/>
      </c>
      <c r="AL60" t="str">
        <f>IFERROR(Z60-W60,"")</f>
        <v/>
      </c>
      <c r="AM60" t="str">
        <f>IFERROR(R60-J60,"")</f>
        <v/>
      </c>
      <c r="AN60" t="str">
        <f>IFERROR(V60-O60,"")</f>
        <v/>
      </c>
      <c r="AO60">
        <f>IFERROR(J60-I60,"")</f>
        <v>4</v>
      </c>
      <c r="AP60">
        <f>IFERROR(AC60-X60,"")</f>
        <v>0</v>
      </c>
      <c r="AQ60" t="str">
        <f>IFERROR(AA60-W60,"")</f>
        <v/>
      </c>
    </row>
    <row r="61" spans="1:43" x14ac:dyDescent="0.35">
      <c r="A61">
        <v>1807</v>
      </c>
      <c r="B61" t="s">
        <v>263</v>
      </c>
      <c r="C61" t="s">
        <v>213</v>
      </c>
      <c r="D61" t="str">
        <f t="shared" si="0"/>
        <v>Program Office</v>
      </c>
      <c r="E61" t="s">
        <v>203</v>
      </c>
      <c r="F61" t="s">
        <v>204</v>
      </c>
      <c r="G61" t="s">
        <v>205</v>
      </c>
      <c r="H61" t="s">
        <v>206</v>
      </c>
      <c r="I61" s="32" t="s">
        <v>7471</v>
      </c>
      <c r="J61" s="32" t="s">
        <v>7471</v>
      </c>
      <c r="K61" s="32">
        <v>45127.017708333333</v>
      </c>
      <c r="L61" s="8" t="str">
        <f t="shared" si="1"/>
        <v/>
      </c>
      <c r="M61" s="7">
        <v>45143.017708333333</v>
      </c>
      <c r="N61" t="s">
        <v>49</v>
      </c>
      <c r="O61" s="34">
        <v>45136.017708333333</v>
      </c>
      <c r="P61" t="s">
        <v>50</v>
      </c>
      <c r="Q61" t="s">
        <v>84</v>
      </c>
      <c r="R61" s="32" t="s">
        <v>7472</v>
      </c>
      <c r="S61" t="s">
        <v>7476</v>
      </c>
      <c r="T61" s="34" t="s">
        <v>7476</v>
      </c>
      <c r="U61" s="34" t="s">
        <v>7476</v>
      </c>
      <c r="V61" s="32">
        <v>45139.017708333333</v>
      </c>
      <c r="W61" s="32" t="s">
        <v>7476</v>
      </c>
      <c r="X61">
        <v>0</v>
      </c>
      <c r="Y61" s="34" t="s">
        <v>7476</v>
      </c>
      <c r="Z61" s="34" t="s">
        <v>7476</v>
      </c>
      <c r="AA61" s="34" t="s">
        <v>7476</v>
      </c>
      <c r="AB61" s="36" t="s">
        <v>52</v>
      </c>
      <c r="AD61" t="s">
        <v>264</v>
      </c>
      <c r="AE61" t="s">
        <v>265</v>
      </c>
      <c r="AF61" s="16">
        <v>45127</v>
      </c>
      <c r="AG61" t="s">
        <v>93</v>
      </c>
      <c r="AH61">
        <v>3</v>
      </c>
      <c r="AK61" s="38">
        <f t="shared" si="2"/>
        <v>45229.017708333333</v>
      </c>
    </row>
    <row r="62" spans="1:43" x14ac:dyDescent="0.35">
      <c r="A62">
        <v>1801</v>
      </c>
      <c r="B62" t="s">
        <v>266</v>
      </c>
      <c r="C62" t="s">
        <v>213</v>
      </c>
      <c r="D62" t="str">
        <f t="shared" si="0"/>
        <v>Program Office</v>
      </c>
      <c r="E62" t="s">
        <v>203</v>
      </c>
      <c r="F62" t="s">
        <v>204</v>
      </c>
      <c r="G62" t="s">
        <v>205</v>
      </c>
      <c r="H62" t="s">
        <v>206</v>
      </c>
      <c r="I62" s="32">
        <v>45122.017708333333</v>
      </c>
      <c r="J62" s="32">
        <v>45124.017708333333</v>
      </c>
      <c r="K62" s="32">
        <v>45127.017708333333</v>
      </c>
      <c r="L62" s="8">
        <f t="shared" si="1"/>
        <v>5</v>
      </c>
      <c r="M62" s="7">
        <v>45145.017708333333</v>
      </c>
      <c r="N62" t="s">
        <v>49</v>
      </c>
      <c r="O62" s="34">
        <v>45145.017708333333</v>
      </c>
      <c r="P62" t="s">
        <v>50</v>
      </c>
      <c r="Q62" t="s">
        <v>236</v>
      </c>
      <c r="R62" s="32" t="s">
        <v>7472</v>
      </c>
      <c r="S62" t="s">
        <v>7476</v>
      </c>
      <c r="T62" s="34" t="s">
        <v>7476</v>
      </c>
      <c r="U62" s="34" t="s">
        <v>7476</v>
      </c>
      <c r="V62" s="32">
        <v>45149.017708333333</v>
      </c>
      <c r="W62" s="32" t="s">
        <v>7476</v>
      </c>
      <c r="X62">
        <v>0</v>
      </c>
      <c r="Y62" s="34" t="s">
        <v>7476</v>
      </c>
      <c r="Z62" s="34" t="s">
        <v>7476</v>
      </c>
      <c r="AA62" s="34" t="s">
        <v>7476</v>
      </c>
      <c r="AB62" s="36" t="s">
        <v>95</v>
      </c>
      <c r="AD62" t="s">
        <v>267</v>
      </c>
      <c r="AE62" t="s">
        <v>268</v>
      </c>
      <c r="AF62" s="16">
        <v>45138</v>
      </c>
      <c r="AG62" t="s">
        <v>68</v>
      </c>
      <c r="AH62">
        <v>6</v>
      </c>
      <c r="AI62" s="8" t="str">
        <f>IFERROR(R62-AF62,"")</f>
        <v/>
      </c>
      <c r="AJ62" s="8">
        <f>IFERROR(O62-AF62,"")</f>
        <v>7.0177083333328483</v>
      </c>
      <c r="AK62" s="38">
        <f t="shared" si="2"/>
        <v>45329.017708333333</v>
      </c>
      <c r="AL62" t="str">
        <f>IFERROR(Z62-W62,"")</f>
        <v/>
      </c>
      <c r="AM62" t="str">
        <f>IFERROR(R62-J62,"")</f>
        <v/>
      </c>
      <c r="AN62">
        <f>IFERROR(V62-O62,"")</f>
        <v>4</v>
      </c>
      <c r="AO62">
        <f>IFERROR(J62-I62,"")</f>
        <v>2</v>
      </c>
      <c r="AP62">
        <f>IFERROR(AC62-X62,"")</f>
        <v>0</v>
      </c>
      <c r="AQ62" t="str">
        <f>IFERROR(AA62-W62,"")</f>
        <v/>
      </c>
    </row>
    <row r="63" spans="1:43" x14ac:dyDescent="0.35">
      <c r="A63">
        <v>1687</v>
      </c>
      <c r="B63" t="s">
        <v>269</v>
      </c>
      <c r="C63" t="s">
        <v>217</v>
      </c>
      <c r="D63" t="str">
        <f t="shared" si="0"/>
        <v>Program Office</v>
      </c>
      <c r="E63" t="s">
        <v>203</v>
      </c>
      <c r="F63" t="s">
        <v>204</v>
      </c>
      <c r="G63" t="s">
        <v>205</v>
      </c>
      <c r="H63" t="s">
        <v>206</v>
      </c>
      <c r="I63" s="32">
        <v>44663.28056712963</v>
      </c>
      <c r="J63" s="32">
        <v>44665.28056712963</v>
      </c>
      <c r="K63" s="32" t="s">
        <v>7473</v>
      </c>
      <c r="L63" s="8" t="str">
        <f t="shared" si="1"/>
        <v/>
      </c>
      <c r="M63" s="7">
        <v>44675.28056712963</v>
      </c>
      <c r="N63" t="s">
        <v>49</v>
      </c>
      <c r="O63" s="34">
        <v>44673.28056712963</v>
      </c>
      <c r="P63" t="s">
        <v>50</v>
      </c>
      <c r="Q63" t="s">
        <v>125</v>
      </c>
      <c r="R63" s="32" t="s">
        <v>7472</v>
      </c>
      <c r="S63" t="s">
        <v>7476</v>
      </c>
      <c r="T63" s="34" t="s">
        <v>7476</v>
      </c>
      <c r="U63" s="34" t="s">
        <v>7476</v>
      </c>
      <c r="V63" s="32" t="s">
        <v>7476</v>
      </c>
      <c r="W63" s="32" t="s">
        <v>7476</v>
      </c>
      <c r="X63">
        <v>0</v>
      </c>
      <c r="Y63" s="34" t="s">
        <v>7476</v>
      </c>
      <c r="Z63" s="34" t="s">
        <v>7476</v>
      </c>
      <c r="AA63" s="34" t="s">
        <v>7476</v>
      </c>
      <c r="AB63" s="36" t="s">
        <v>52</v>
      </c>
      <c r="AD63" t="s">
        <v>270</v>
      </c>
      <c r="AE63" t="s">
        <v>271</v>
      </c>
      <c r="AF63" s="16">
        <v>44899</v>
      </c>
      <c r="AG63" t="s">
        <v>93</v>
      </c>
      <c r="AH63">
        <v>6</v>
      </c>
      <c r="AK63" s="38" t="str">
        <f t="shared" si="2"/>
        <v/>
      </c>
    </row>
    <row r="64" spans="1:43" x14ac:dyDescent="0.35">
      <c r="A64">
        <v>1405</v>
      </c>
      <c r="B64" t="s">
        <v>272</v>
      </c>
      <c r="C64" t="s">
        <v>213</v>
      </c>
      <c r="D64" t="str">
        <f t="shared" si="0"/>
        <v>Program Office</v>
      </c>
      <c r="E64" t="s">
        <v>203</v>
      </c>
      <c r="F64" t="s">
        <v>204</v>
      </c>
      <c r="G64" t="s">
        <v>205</v>
      </c>
      <c r="H64" t="s">
        <v>206</v>
      </c>
      <c r="I64" s="32">
        <v>44616.306493055563</v>
      </c>
      <c r="J64" s="32">
        <v>44617.306493055563</v>
      </c>
      <c r="K64" s="32" t="s">
        <v>7473</v>
      </c>
      <c r="L64" s="8" t="str">
        <f t="shared" si="1"/>
        <v/>
      </c>
      <c r="M64" s="7">
        <v>44632.306493055563</v>
      </c>
      <c r="N64" t="s">
        <v>49</v>
      </c>
      <c r="O64" s="34">
        <v>44623.306493055563</v>
      </c>
      <c r="P64" t="s">
        <v>50</v>
      </c>
      <c r="Q64" t="s">
        <v>51</v>
      </c>
      <c r="R64" s="32" t="s">
        <v>7472</v>
      </c>
      <c r="S64" t="s">
        <v>7476</v>
      </c>
      <c r="T64" s="34" t="s">
        <v>7476</v>
      </c>
      <c r="U64" s="34" t="s">
        <v>7476</v>
      </c>
      <c r="V64" s="32">
        <v>44626.306493055563</v>
      </c>
      <c r="W64" s="32" t="s">
        <v>7476</v>
      </c>
      <c r="X64">
        <v>0</v>
      </c>
      <c r="Y64" s="34" t="s">
        <v>7476</v>
      </c>
      <c r="Z64" s="34" t="s">
        <v>7476</v>
      </c>
      <c r="AA64" s="34" t="s">
        <v>7476</v>
      </c>
      <c r="AB64" s="36" t="s">
        <v>52</v>
      </c>
      <c r="AD64" t="s">
        <v>273</v>
      </c>
      <c r="AE64" t="s">
        <v>274</v>
      </c>
      <c r="AF64" s="16">
        <v>44612</v>
      </c>
      <c r="AG64" t="s">
        <v>68</v>
      </c>
      <c r="AH64">
        <v>3</v>
      </c>
      <c r="AK64" s="38">
        <f t="shared" si="2"/>
        <v>44716.306493055563</v>
      </c>
    </row>
    <row r="65" spans="1:43" x14ac:dyDescent="0.35">
      <c r="A65">
        <v>1385</v>
      </c>
      <c r="B65" t="s">
        <v>275</v>
      </c>
      <c r="C65" t="s">
        <v>213</v>
      </c>
      <c r="D65" t="str">
        <f t="shared" si="0"/>
        <v>Program Office</v>
      </c>
      <c r="E65" t="s">
        <v>203</v>
      </c>
      <c r="F65" t="s">
        <v>204</v>
      </c>
      <c r="G65" t="s">
        <v>205</v>
      </c>
      <c r="H65" t="s">
        <v>206</v>
      </c>
      <c r="I65" s="32">
        <v>45042.733506944453</v>
      </c>
      <c r="J65" s="32">
        <v>45043.733506944453</v>
      </c>
      <c r="K65" s="32">
        <v>45046.733506944453</v>
      </c>
      <c r="L65" s="8">
        <f t="shared" si="1"/>
        <v>4</v>
      </c>
      <c r="M65" s="7">
        <v>45074.733506944453</v>
      </c>
      <c r="N65" t="s">
        <v>49</v>
      </c>
      <c r="O65" s="34">
        <v>45055.733506944453</v>
      </c>
      <c r="P65" t="s">
        <v>50</v>
      </c>
      <c r="Q65" t="s">
        <v>236</v>
      </c>
      <c r="R65" s="32" t="s">
        <v>7472</v>
      </c>
      <c r="S65" t="s">
        <v>7476</v>
      </c>
      <c r="T65" s="34" t="s">
        <v>7476</v>
      </c>
      <c r="U65" s="34" t="s">
        <v>7476</v>
      </c>
      <c r="V65" s="32">
        <v>45059.733506944453</v>
      </c>
      <c r="W65" s="32" t="s">
        <v>7476</v>
      </c>
      <c r="X65">
        <v>0</v>
      </c>
      <c r="Y65" s="34" t="s">
        <v>7476</v>
      </c>
      <c r="Z65" s="34" t="s">
        <v>7476</v>
      </c>
      <c r="AA65" s="34" t="s">
        <v>7476</v>
      </c>
      <c r="AB65" s="36" t="s">
        <v>52</v>
      </c>
      <c r="AD65" t="s">
        <v>276</v>
      </c>
      <c r="AE65" t="s">
        <v>277</v>
      </c>
      <c r="AF65" s="16">
        <v>45046</v>
      </c>
      <c r="AG65" t="s">
        <v>64</v>
      </c>
      <c r="AH65">
        <v>6</v>
      </c>
      <c r="AI65" s="8" t="str">
        <f>IFERROR(R65-AF65,"")</f>
        <v/>
      </c>
      <c r="AJ65" s="8">
        <f>IFERROR(O65-AF65,"")</f>
        <v>9.7335069444525288</v>
      </c>
      <c r="AK65" s="38">
        <f t="shared" si="2"/>
        <v>45239.733506944453</v>
      </c>
      <c r="AL65" t="str">
        <f>IFERROR(Z65-W65,"")</f>
        <v/>
      </c>
      <c r="AM65" t="str">
        <f>IFERROR(R65-J65,"")</f>
        <v/>
      </c>
      <c r="AN65">
        <f>IFERROR(V65-O65,"")</f>
        <v>4</v>
      </c>
      <c r="AO65">
        <f>IFERROR(J65-I65,"")</f>
        <v>1</v>
      </c>
      <c r="AP65">
        <f>IFERROR(AC65-X65,"")</f>
        <v>0</v>
      </c>
      <c r="AQ65" t="str">
        <f>IFERROR(AA65-W65,"")</f>
        <v/>
      </c>
    </row>
    <row r="66" spans="1:43" x14ac:dyDescent="0.35">
      <c r="A66">
        <v>1381</v>
      </c>
      <c r="B66" t="s">
        <v>278</v>
      </c>
      <c r="C66" t="s">
        <v>213</v>
      </c>
      <c r="D66" t="str">
        <f t="shared" ref="D66:D129" si="27">TRIM(C66)</f>
        <v>Program Office</v>
      </c>
      <c r="E66" t="s">
        <v>203</v>
      </c>
      <c r="F66" t="s">
        <v>204</v>
      </c>
      <c r="G66" t="s">
        <v>205</v>
      </c>
      <c r="H66" t="s">
        <v>206</v>
      </c>
      <c r="I66" s="32">
        <v>45043.733506944453</v>
      </c>
      <c r="J66" s="32" t="s">
        <v>7471</v>
      </c>
      <c r="K66" s="32">
        <v>45046.733506944453</v>
      </c>
      <c r="L66" s="8">
        <f t="shared" ref="L66:L129" si="28">IFERROR(K66-I66,"")</f>
        <v>3</v>
      </c>
      <c r="M66" s="7">
        <v>45066.733506944453</v>
      </c>
      <c r="N66" t="s">
        <v>49</v>
      </c>
      <c r="O66" s="34">
        <v>45050.733506944453</v>
      </c>
      <c r="P66" t="s">
        <v>50</v>
      </c>
      <c r="Q66" t="s">
        <v>51</v>
      </c>
      <c r="R66" s="32" t="s">
        <v>7472</v>
      </c>
      <c r="S66" t="s">
        <v>7476</v>
      </c>
      <c r="T66" s="34" t="s">
        <v>7476</v>
      </c>
      <c r="U66" s="34" t="s">
        <v>7476</v>
      </c>
      <c r="V66" s="32">
        <v>45053.733506944453</v>
      </c>
      <c r="W66" s="32" t="s">
        <v>7476</v>
      </c>
      <c r="X66">
        <v>0</v>
      </c>
      <c r="Y66" s="34" t="s">
        <v>7476</v>
      </c>
      <c r="Z66" s="34" t="s">
        <v>7476</v>
      </c>
      <c r="AA66" s="34" t="s">
        <v>7476</v>
      </c>
      <c r="AB66" s="36" t="s">
        <v>52</v>
      </c>
      <c r="AD66" t="s">
        <v>279</v>
      </c>
      <c r="AE66" t="s">
        <v>280</v>
      </c>
      <c r="AF66" s="16">
        <v>45033</v>
      </c>
      <c r="AG66" t="s">
        <v>68</v>
      </c>
      <c r="AH66">
        <v>6</v>
      </c>
      <c r="AK66" s="38">
        <f t="shared" si="2"/>
        <v>45233.733506944453</v>
      </c>
    </row>
    <row r="67" spans="1:43" x14ac:dyDescent="0.35">
      <c r="A67">
        <v>1322</v>
      </c>
      <c r="B67" t="s">
        <v>281</v>
      </c>
      <c r="C67" t="s">
        <v>217</v>
      </c>
      <c r="D67" t="str">
        <f t="shared" si="27"/>
        <v>Program Office</v>
      </c>
      <c r="E67" t="s">
        <v>203</v>
      </c>
      <c r="F67" t="s">
        <v>204</v>
      </c>
      <c r="G67" t="s">
        <v>205</v>
      </c>
      <c r="H67" t="s">
        <v>206</v>
      </c>
      <c r="I67" s="32">
        <v>45160.187118055554</v>
      </c>
      <c r="J67" s="32">
        <v>45164.187118055554</v>
      </c>
      <c r="K67" s="32">
        <v>45166.187118055554</v>
      </c>
      <c r="L67" s="8">
        <f t="shared" si="28"/>
        <v>6</v>
      </c>
      <c r="M67" s="7">
        <v>45174.187118055554</v>
      </c>
      <c r="N67" t="s">
        <v>49</v>
      </c>
      <c r="O67" s="34">
        <v>45179.187118055554</v>
      </c>
      <c r="P67" t="s">
        <v>50</v>
      </c>
      <c r="Q67" t="s">
        <v>51</v>
      </c>
      <c r="R67" s="32" t="s">
        <v>7472</v>
      </c>
      <c r="S67" t="s">
        <v>7476</v>
      </c>
      <c r="T67" s="34" t="s">
        <v>7476</v>
      </c>
      <c r="U67" s="34" t="s">
        <v>7476</v>
      </c>
      <c r="V67" s="32">
        <v>45180.187118055554</v>
      </c>
      <c r="W67" s="32" t="s">
        <v>7476</v>
      </c>
      <c r="X67">
        <v>0</v>
      </c>
      <c r="Y67" s="34" t="s">
        <v>7476</v>
      </c>
      <c r="Z67" s="34" t="s">
        <v>7476</v>
      </c>
      <c r="AA67" s="34" t="s">
        <v>7476</v>
      </c>
      <c r="AB67" s="36" t="s">
        <v>52</v>
      </c>
      <c r="AD67" t="s">
        <v>282</v>
      </c>
      <c r="AE67" t="s">
        <v>283</v>
      </c>
      <c r="AF67" s="16">
        <v>45025</v>
      </c>
      <c r="AG67" t="s">
        <v>68</v>
      </c>
      <c r="AH67">
        <v>6</v>
      </c>
      <c r="AI67" s="8" t="str">
        <f>IFERROR(R67-AF67,"")</f>
        <v/>
      </c>
      <c r="AJ67" s="8">
        <f>IFERROR(O67-AF67,"")</f>
        <v>154.18711805555358</v>
      </c>
      <c r="AK67" s="38">
        <f t="shared" ref="AK67:AK130" si="29">IFERROR(V67+(AH67*30),"")</f>
        <v>45360.187118055554</v>
      </c>
      <c r="AL67" t="str">
        <f>IFERROR(Z67-W67,"")</f>
        <v/>
      </c>
      <c r="AM67" t="str">
        <f>IFERROR(R67-J67,"")</f>
        <v/>
      </c>
      <c r="AN67">
        <f>IFERROR(V67-O67,"")</f>
        <v>1</v>
      </c>
      <c r="AO67">
        <f>IFERROR(J67-I67,"")</f>
        <v>4</v>
      </c>
      <c r="AP67">
        <f>IFERROR(AC67-X67,"")</f>
        <v>0</v>
      </c>
      <c r="AQ67" t="str">
        <f>IFERROR(AA67-W67,"")</f>
        <v/>
      </c>
    </row>
    <row r="68" spans="1:43" x14ac:dyDescent="0.35">
      <c r="A68">
        <v>1294</v>
      </c>
      <c r="B68" t="s">
        <v>284</v>
      </c>
      <c r="C68" t="s">
        <v>217</v>
      </c>
      <c r="D68" t="str">
        <f t="shared" si="27"/>
        <v>Program Office</v>
      </c>
      <c r="E68" t="s">
        <v>203</v>
      </c>
      <c r="F68" t="s">
        <v>204</v>
      </c>
      <c r="G68" t="s">
        <v>205</v>
      </c>
      <c r="H68" t="s">
        <v>206</v>
      </c>
      <c r="I68" s="32">
        <v>45091.672731481478</v>
      </c>
      <c r="J68" s="32">
        <v>45093.672731481478</v>
      </c>
      <c r="K68" s="32">
        <v>45096.672731481478</v>
      </c>
      <c r="L68" s="8">
        <f t="shared" si="28"/>
        <v>5</v>
      </c>
      <c r="M68" s="7">
        <v>45115.672731481478</v>
      </c>
      <c r="N68" t="s">
        <v>49</v>
      </c>
      <c r="O68" s="34">
        <v>45105.672731481478</v>
      </c>
      <c r="P68" t="s">
        <v>50</v>
      </c>
      <c r="Q68" t="s">
        <v>125</v>
      </c>
      <c r="R68" s="32" t="s">
        <v>7472</v>
      </c>
      <c r="S68" t="s">
        <v>7476</v>
      </c>
      <c r="T68" s="34" t="s">
        <v>7476</v>
      </c>
      <c r="U68" s="34" t="s">
        <v>7476</v>
      </c>
      <c r="V68" s="32" t="s">
        <v>7476</v>
      </c>
      <c r="W68" s="32" t="s">
        <v>7476</v>
      </c>
      <c r="X68">
        <v>0</v>
      </c>
      <c r="Y68" s="34" t="s">
        <v>7476</v>
      </c>
      <c r="Z68" s="34" t="s">
        <v>7476</v>
      </c>
      <c r="AA68" s="34" t="s">
        <v>7476</v>
      </c>
      <c r="AB68" s="36" t="s">
        <v>95</v>
      </c>
      <c r="AD68" t="s">
        <v>285</v>
      </c>
      <c r="AE68" t="s">
        <v>286</v>
      </c>
      <c r="AF68" s="16">
        <v>45175</v>
      </c>
      <c r="AG68" t="s">
        <v>68</v>
      </c>
      <c r="AH68">
        <v>6</v>
      </c>
      <c r="AI68" s="8" t="str">
        <f>IFERROR(R68-AF68,"")</f>
        <v/>
      </c>
      <c r="AJ68" s="8">
        <f>IFERROR(O68-AF68,"")</f>
        <v>-69.327268518522033</v>
      </c>
      <c r="AK68" s="38" t="str">
        <f t="shared" si="29"/>
        <v/>
      </c>
      <c r="AL68" t="str">
        <f>IFERROR(Z68-W68,"")</f>
        <v/>
      </c>
      <c r="AM68" t="str">
        <f>IFERROR(R68-J68,"")</f>
        <v/>
      </c>
      <c r="AN68" t="str">
        <f>IFERROR(V68-O68,"")</f>
        <v/>
      </c>
      <c r="AO68">
        <f>IFERROR(J68-I68,"")</f>
        <v>2</v>
      </c>
      <c r="AP68">
        <f>IFERROR(AC68-X68,"")</f>
        <v>0</v>
      </c>
      <c r="AQ68" t="str">
        <f>IFERROR(AA68-W68,"")</f>
        <v/>
      </c>
    </row>
    <row r="69" spans="1:43" x14ac:dyDescent="0.35">
      <c r="A69">
        <v>498</v>
      </c>
      <c r="B69" t="s">
        <v>287</v>
      </c>
      <c r="C69" t="s">
        <v>217</v>
      </c>
      <c r="D69" t="str">
        <f t="shared" si="27"/>
        <v>Program Office</v>
      </c>
      <c r="E69" t="s">
        <v>203</v>
      </c>
      <c r="F69" t="s">
        <v>204</v>
      </c>
      <c r="G69" t="s">
        <v>205</v>
      </c>
      <c r="H69" t="s">
        <v>206</v>
      </c>
      <c r="I69" s="32">
        <v>45170.411724537043</v>
      </c>
      <c r="J69" s="32">
        <v>45171.411724537043</v>
      </c>
      <c r="K69" s="32">
        <v>45174.411724537043</v>
      </c>
      <c r="L69" s="8">
        <f t="shared" si="28"/>
        <v>4</v>
      </c>
      <c r="M69" s="7">
        <v>45199.411724537043</v>
      </c>
      <c r="N69" t="s">
        <v>49</v>
      </c>
      <c r="O69" s="34">
        <v>45182.411724537043</v>
      </c>
      <c r="P69" t="s">
        <v>50</v>
      </c>
      <c r="Q69" t="s">
        <v>198</v>
      </c>
      <c r="R69" s="32" t="s">
        <v>7472</v>
      </c>
      <c r="S69" t="s">
        <v>7476</v>
      </c>
      <c r="T69" s="34" t="s">
        <v>7476</v>
      </c>
      <c r="U69" s="34" t="s">
        <v>7476</v>
      </c>
      <c r="V69" s="32" t="s">
        <v>7476</v>
      </c>
      <c r="W69" s="32" t="s">
        <v>7476</v>
      </c>
      <c r="X69">
        <v>0</v>
      </c>
      <c r="Y69" s="34" t="s">
        <v>7476</v>
      </c>
      <c r="Z69" s="34" t="s">
        <v>7476</v>
      </c>
      <c r="AA69" s="34" t="s">
        <v>7476</v>
      </c>
      <c r="AB69" s="36" t="s">
        <v>52</v>
      </c>
      <c r="AD69" t="s">
        <v>288</v>
      </c>
      <c r="AE69" t="s">
        <v>289</v>
      </c>
      <c r="AF69" s="16">
        <v>45171</v>
      </c>
      <c r="AG69" t="s">
        <v>98</v>
      </c>
      <c r="AH69">
        <v>6</v>
      </c>
      <c r="AI69" s="8" t="str">
        <f>IFERROR(R69-AF69,"")</f>
        <v/>
      </c>
      <c r="AJ69" s="8">
        <f>IFERROR(O69-AF69,"")</f>
        <v>11.411724537043483</v>
      </c>
      <c r="AK69" s="38" t="str">
        <f t="shared" si="29"/>
        <v/>
      </c>
      <c r="AL69" t="str">
        <f>IFERROR(Z69-W69,"")</f>
        <v/>
      </c>
      <c r="AM69" t="str">
        <f>IFERROR(R69-J69,"")</f>
        <v/>
      </c>
      <c r="AN69" t="str">
        <f>IFERROR(V69-O69,"")</f>
        <v/>
      </c>
      <c r="AO69">
        <f>IFERROR(J69-I69,"")</f>
        <v>1</v>
      </c>
      <c r="AP69">
        <f>IFERROR(AC69-X69,"")</f>
        <v>0</v>
      </c>
      <c r="AQ69" t="str">
        <f>IFERROR(AA69-W69,"")</f>
        <v/>
      </c>
    </row>
    <row r="70" spans="1:43" x14ac:dyDescent="0.35">
      <c r="A70">
        <v>496</v>
      </c>
      <c r="B70" t="s">
        <v>290</v>
      </c>
      <c r="C70" t="s">
        <v>202</v>
      </c>
      <c r="D70" t="str">
        <f t="shared" si="27"/>
        <v>Program Office</v>
      </c>
      <c r="E70" t="s">
        <v>203</v>
      </c>
      <c r="F70" t="s">
        <v>291</v>
      </c>
      <c r="G70" t="s">
        <v>292</v>
      </c>
      <c r="H70" t="s">
        <v>206</v>
      </c>
      <c r="I70" s="32">
        <v>45167.411724537043</v>
      </c>
      <c r="J70" s="32">
        <v>45170.411724537043</v>
      </c>
      <c r="K70" s="32" t="s">
        <v>7473</v>
      </c>
      <c r="L70" s="8" t="str">
        <f t="shared" si="28"/>
        <v/>
      </c>
      <c r="M70" s="7">
        <v>45180.411724537043</v>
      </c>
      <c r="N70" t="s">
        <v>49</v>
      </c>
      <c r="O70" s="34">
        <v>45188.411724537043</v>
      </c>
      <c r="P70" t="s">
        <v>60</v>
      </c>
      <c r="R70" s="32">
        <v>45196.411724537043</v>
      </c>
      <c r="S70" t="s">
        <v>61</v>
      </c>
      <c r="T70" s="34" t="s">
        <v>7476</v>
      </c>
      <c r="U70" s="34" t="s">
        <v>7476</v>
      </c>
      <c r="V70" s="32">
        <v>45192.411724537043</v>
      </c>
      <c r="W70" s="32" t="s">
        <v>7476</v>
      </c>
      <c r="X70">
        <v>0</v>
      </c>
      <c r="Y70" s="34" t="s">
        <v>7476</v>
      </c>
      <c r="Z70" s="34" t="s">
        <v>7476</v>
      </c>
      <c r="AA70" s="34" t="s">
        <v>7476</v>
      </c>
      <c r="AB70" s="36" t="s">
        <v>7476</v>
      </c>
      <c r="AD70" t="s">
        <v>293</v>
      </c>
      <c r="AE70" t="s">
        <v>294</v>
      </c>
      <c r="AF70" s="16">
        <v>45182</v>
      </c>
      <c r="AG70" t="s">
        <v>98</v>
      </c>
      <c r="AH70">
        <v>6</v>
      </c>
      <c r="AK70" s="38">
        <f t="shared" si="29"/>
        <v>45372.411724537043</v>
      </c>
    </row>
    <row r="71" spans="1:43" x14ac:dyDescent="0.35">
      <c r="A71">
        <v>486</v>
      </c>
      <c r="B71" t="s">
        <v>295</v>
      </c>
      <c r="C71" t="s">
        <v>202</v>
      </c>
      <c r="D71" t="str">
        <f t="shared" si="27"/>
        <v>Program Office</v>
      </c>
      <c r="E71" t="s">
        <v>203</v>
      </c>
      <c r="F71" t="s">
        <v>291</v>
      </c>
      <c r="G71" t="s">
        <v>292</v>
      </c>
      <c r="H71" t="s">
        <v>206</v>
      </c>
      <c r="I71" s="32">
        <v>44936.566712962973</v>
      </c>
      <c r="J71" s="32">
        <v>44937.566712962973</v>
      </c>
      <c r="K71" s="32">
        <v>44938.566712962973</v>
      </c>
      <c r="L71" s="8">
        <f t="shared" si="28"/>
        <v>2</v>
      </c>
      <c r="M71" s="7">
        <v>44944.566712962973</v>
      </c>
      <c r="N71" t="s">
        <v>49</v>
      </c>
      <c r="O71" s="34">
        <v>44956.566712962973</v>
      </c>
      <c r="P71" t="s">
        <v>60</v>
      </c>
      <c r="R71" s="32">
        <v>44960.566712962973</v>
      </c>
      <c r="S71" t="s">
        <v>61</v>
      </c>
      <c r="T71" s="34" t="s">
        <v>7476</v>
      </c>
      <c r="U71" s="34" t="s">
        <v>7476</v>
      </c>
      <c r="V71" s="32">
        <v>44959.566712962973</v>
      </c>
      <c r="W71" s="32" t="s">
        <v>7476</v>
      </c>
      <c r="X71">
        <v>0</v>
      </c>
      <c r="Y71" s="34" t="s">
        <v>7476</v>
      </c>
      <c r="Z71" s="34" t="s">
        <v>7476</v>
      </c>
      <c r="AA71" s="34" t="s">
        <v>7476</v>
      </c>
      <c r="AB71" s="36" t="s">
        <v>7476</v>
      </c>
      <c r="AD71" t="s">
        <v>296</v>
      </c>
      <c r="AE71" t="s">
        <v>297</v>
      </c>
      <c r="AF71" s="16">
        <v>44942</v>
      </c>
      <c r="AG71" t="s">
        <v>64</v>
      </c>
      <c r="AH71">
        <v>6</v>
      </c>
      <c r="AI71" s="8">
        <f>IFERROR(R71-AF71,"")</f>
        <v>18.566712962972815</v>
      </c>
      <c r="AJ71" s="8">
        <f>IFERROR(O71-AF71,"")</f>
        <v>14.566712962972815</v>
      </c>
      <c r="AK71" s="38">
        <f>IFERROR(V71+(AH71*30),"")</f>
        <v>45139.566712962973</v>
      </c>
      <c r="AL71" t="str">
        <f>IFERROR(Z71-W71,"")</f>
        <v/>
      </c>
      <c r="AM71">
        <f>IFERROR(R71-J71,"")</f>
        <v>23</v>
      </c>
      <c r="AN71">
        <f>IFERROR(V71-O71,"")</f>
        <v>3</v>
      </c>
      <c r="AO71">
        <f>IFERROR(J71-I71,"")</f>
        <v>1</v>
      </c>
      <c r="AP71">
        <f>IFERROR(AC71-X71,"")</f>
        <v>0</v>
      </c>
      <c r="AQ71" t="str">
        <f>IFERROR(AA71-W71,"")</f>
        <v/>
      </c>
    </row>
    <row r="72" spans="1:43" x14ac:dyDescent="0.35">
      <c r="A72">
        <v>481</v>
      </c>
      <c r="B72" t="s">
        <v>298</v>
      </c>
      <c r="C72" t="s">
        <v>217</v>
      </c>
      <c r="D72" t="str">
        <f t="shared" si="27"/>
        <v>Program Office</v>
      </c>
      <c r="E72" t="s">
        <v>203</v>
      </c>
      <c r="F72" t="s">
        <v>291</v>
      </c>
      <c r="G72" t="s">
        <v>292</v>
      </c>
      <c r="H72" t="s">
        <v>206</v>
      </c>
      <c r="I72" s="32">
        <v>44930.566712962973</v>
      </c>
      <c r="J72" s="32">
        <v>44934.566712962973</v>
      </c>
      <c r="K72" s="32">
        <v>44938.566712962973</v>
      </c>
      <c r="L72" s="8">
        <f t="shared" si="28"/>
        <v>8</v>
      </c>
      <c r="M72" s="7">
        <v>44951.566712962973</v>
      </c>
      <c r="N72" t="s">
        <v>49</v>
      </c>
      <c r="O72" s="34">
        <v>44945.566712962973</v>
      </c>
      <c r="P72" t="s">
        <v>101</v>
      </c>
      <c r="R72" s="32">
        <v>44951.566712962973</v>
      </c>
      <c r="S72" t="s">
        <v>101</v>
      </c>
      <c r="T72" s="34">
        <v>44946.566712962973</v>
      </c>
      <c r="U72" s="34">
        <v>44948.566712962973</v>
      </c>
      <c r="V72" s="32">
        <v>44949.566712962973</v>
      </c>
      <c r="W72" s="32">
        <v>44957.566712962973</v>
      </c>
      <c r="X72">
        <v>1</v>
      </c>
      <c r="Y72" s="34">
        <v>44958.566712962973</v>
      </c>
      <c r="Z72" s="34">
        <v>44959.566712962973</v>
      </c>
      <c r="AA72" s="34">
        <v>44961.566712962973</v>
      </c>
      <c r="AB72" s="36" t="s">
        <v>7476</v>
      </c>
      <c r="AC72" s="10">
        <v>44970.566712962973</v>
      </c>
      <c r="AD72" t="s">
        <v>299</v>
      </c>
      <c r="AE72" t="s">
        <v>300</v>
      </c>
      <c r="AF72" s="16">
        <v>45108</v>
      </c>
      <c r="AG72" t="s">
        <v>98</v>
      </c>
      <c r="AH72">
        <v>6</v>
      </c>
      <c r="AI72" s="8">
        <f>IFERROR(R72-AF72,"")</f>
        <v>-156.43328703702718</v>
      </c>
      <c r="AJ72" s="8">
        <f>IFERROR(O72-AF72,"")</f>
        <v>-162.43328703702718</v>
      </c>
      <c r="AK72" s="38">
        <f t="shared" si="29"/>
        <v>45129.566712962973</v>
      </c>
      <c r="AL72">
        <f>IFERROR(Z72-W72,"")</f>
        <v>2</v>
      </c>
      <c r="AM72">
        <f>IFERROR(R72-J72,"")</f>
        <v>17</v>
      </c>
      <c r="AN72">
        <f>IFERROR(V72-O72,"")</f>
        <v>4</v>
      </c>
      <c r="AO72">
        <f>IFERROR(J72-I72,"")</f>
        <v>4</v>
      </c>
      <c r="AP72">
        <f>IFERROR(AC72-X72,"")</f>
        <v>44969.566712962973</v>
      </c>
      <c r="AQ72">
        <f>IFERROR(AA72-W72,"")</f>
        <v>4</v>
      </c>
    </row>
    <row r="73" spans="1:43" x14ac:dyDescent="0.35">
      <c r="A73">
        <v>478</v>
      </c>
      <c r="B73" t="s">
        <v>301</v>
      </c>
      <c r="C73" t="s">
        <v>217</v>
      </c>
      <c r="D73" t="str">
        <f t="shared" si="27"/>
        <v>Program Office</v>
      </c>
      <c r="E73" t="s">
        <v>203</v>
      </c>
      <c r="F73" t="s">
        <v>291</v>
      </c>
      <c r="G73" t="s">
        <v>292</v>
      </c>
      <c r="H73" t="s">
        <v>206</v>
      </c>
      <c r="I73" s="32">
        <v>44673.075752314813</v>
      </c>
      <c r="J73" s="32">
        <v>44676.075752314813</v>
      </c>
      <c r="K73" s="32">
        <v>44682.075752314813</v>
      </c>
      <c r="L73" s="8">
        <f t="shared" si="28"/>
        <v>9</v>
      </c>
      <c r="M73" s="7">
        <v>44705.075752314813</v>
      </c>
      <c r="N73" t="s">
        <v>49</v>
      </c>
      <c r="O73" s="34">
        <v>44693.075752314813</v>
      </c>
      <c r="P73" t="s">
        <v>50</v>
      </c>
      <c r="Q73" t="s">
        <v>84</v>
      </c>
      <c r="R73" s="32" t="s">
        <v>7472</v>
      </c>
      <c r="S73" t="s">
        <v>7476</v>
      </c>
      <c r="T73" s="34" t="s">
        <v>7476</v>
      </c>
      <c r="U73" s="34" t="s">
        <v>7476</v>
      </c>
      <c r="V73" s="32" t="s">
        <v>7476</v>
      </c>
      <c r="W73" s="32" t="s">
        <v>7476</v>
      </c>
      <c r="X73">
        <v>0</v>
      </c>
      <c r="Y73" s="34" t="s">
        <v>7476</v>
      </c>
      <c r="Z73" s="34" t="s">
        <v>7476</v>
      </c>
      <c r="AA73" s="34" t="s">
        <v>7476</v>
      </c>
      <c r="AB73" s="36" t="s">
        <v>95</v>
      </c>
      <c r="AD73" t="s">
        <v>302</v>
      </c>
      <c r="AE73" t="s">
        <v>303</v>
      </c>
      <c r="AF73" s="16">
        <v>44674</v>
      </c>
      <c r="AG73" t="s">
        <v>98</v>
      </c>
      <c r="AH73">
        <v>6</v>
      </c>
      <c r="AI73" s="8" t="str">
        <f>IFERROR(R73-AF73,"")</f>
        <v/>
      </c>
      <c r="AJ73" s="8">
        <f>IFERROR(O73-AF73,"")</f>
        <v>19.075752314813144</v>
      </c>
      <c r="AK73" s="38" t="str">
        <f t="shared" si="29"/>
        <v/>
      </c>
      <c r="AL73" t="str">
        <f>IFERROR(Z73-W73,"")</f>
        <v/>
      </c>
      <c r="AM73" t="str">
        <f>IFERROR(R73-J73,"")</f>
        <v/>
      </c>
      <c r="AN73" t="str">
        <f>IFERROR(V73-O73,"")</f>
        <v/>
      </c>
      <c r="AO73">
        <f>IFERROR(J73-I73,"")</f>
        <v>3</v>
      </c>
      <c r="AP73">
        <f>IFERROR(AC73-X73,"")</f>
        <v>0</v>
      </c>
      <c r="AQ73" t="str">
        <f>IFERROR(AA73-W73,"")</f>
        <v/>
      </c>
    </row>
    <row r="74" spans="1:43" x14ac:dyDescent="0.35">
      <c r="A74">
        <v>384</v>
      </c>
      <c r="B74" t="s">
        <v>304</v>
      </c>
      <c r="C74" t="s">
        <v>202</v>
      </c>
      <c r="D74" t="str">
        <f t="shared" si="27"/>
        <v>Program Office</v>
      </c>
      <c r="E74" t="s">
        <v>203</v>
      </c>
      <c r="F74" t="s">
        <v>291</v>
      </c>
      <c r="G74" t="s">
        <v>292</v>
      </c>
      <c r="H74" t="s">
        <v>206</v>
      </c>
      <c r="I74" s="32">
        <v>44872.3830787037</v>
      </c>
      <c r="J74" s="32">
        <v>44875.3830787037</v>
      </c>
      <c r="K74" s="32">
        <v>44878.3830787037</v>
      </c>
      <c r="L74" s="8">
        <f t="shared" si="28"/>
        <v>6</v>
      </c>
      <c r="M74" s="7">
        <v>44895.3830787037</v>
      </c>
      <c r="N74" t="s">
        <v>49</v>
      </c>
      <c r="O74" s="34">
        <v>44885.3830787037</v>
      </c>
      <c r="P74" t="s">
        <v>50</v>
      </c>
      <c r="Q74" t="s">
        <v>84</v>
      </c>
      <c r="R74" s="32" t="s">
        <v>7472</v>
      </c>
      <c r="S74" t="s">
        <v>7476</v>
      </c>
      <c r="T74" s="34" t="s">
        <v>7476</v>
      </c>
      <c r="U74" s="34" t="s">
        <v>7476</v>
      </c>
      <c r="V74" s="32" t="s">
        <v>7476</v>
      </c>
      <c r="W74" s="32" t="s">
        <v>7476</v>
      </c>
      <c r="X74">
        <v>0</v>
      </c>
      <c r="Y74" s="34" t="s">
        <v>7476</v>
      </c>
      <c r="Z74" s="34" t="s">
        <v>7476</v>
      </c>
      <c r="AA74" s="34" t="s">
        <v>7476</v>
      </c>
      <c r="AB74" s="36" t="s">
        <v>52</v>
      </c>
      <c r="AD74" t="s">
        <v>305</v>
      </c>
      <c r="AE74" t="s">
        <v>306</v>
      </c>
      <c r="AF74" s="16">
        <v>44868</v>
      </c>
      <c r="AG74" t="s">
        <v>98</v>
      </c>
      <c r="AH74">
        <v>3</v>
      </c>
      <c r="AI74" s="8" t="str">
        <f>IFERROR(R74-AF74,"")</f>
        <v/>
      </c>
      <c r="AJ74" s="8">
        <f>IFERROR(O74-AF74,"")</f>
        <v>17.383078703700448</v>
      </c>
      <c r="AK74" s="38" t="str">
        <f t="shared" si="29"/>
        <v/>
      </c>
      <c r="AL74" t="str">
        <f>IFERROR(Z74-W74,"")</f>
        <v/>
      </c>
      <c r="AM74" t="str">
        <f>IFERROR(R74-J74,"")</f>
        <v/>
      </c>
      <c r="AN74" t="str">
        <f>IFERROR(V74-O74,"")</f>
        <v/>
      </c>
      <c r="AO74">
        <f>IFERROR(J74-I74,"")</f>
        <v>3</v>
      </c>
      <c r="AP74">
        <f>IFERROR(AC74-X74,"")</f>
        <v>0</v>
      </c>
      <c r="AQ74" t="str">
        <f>IFERROR(AA74-W74,"")</f>
        <v/>
      </c>
    </row>
    <row r="75" spans="1:43" x14ac:dyDescent="0.35">
      <c r="A75">
        <v>377</v>
      </c>
      <c r="B75" t="s">
        <v>307</v>
      </c>
      <c r="C75" t="s">
        <v>202</v>
      </c>
      <c r="D75" t="str">
        <f t="shared" si="27"/>
        <v>Program Office</v>
      </c>
      <c r="E75" t="s">
        <v>203</v>
      </c>
      <c r="F75" t="s">
        <v>291</v>
      </c>
      <c r="G75" t="s">
        <v>292</v>
      </c>
      <c r="H75" t="s">
        <v>206</v>
      </c>
      <c r="I75" s="32">
        <v>44663.356712962966</v>
      </c>
      <c r="J75" s="32">
        <v>44666.356712962966</v>
      </c>
      <c r="K75" s="32">
        <v>44670.356712962966</v>
      </c>
      <c r="L75" s="8">
        <f t="shared" si="28"/>
        <v>7</v>
      </c>
      <c r="M75" s="7">
        <v>44692.356712962966</v>
      </c>
      <c r="N75" t="s">
        <v>49</v>
      </c>
      <c r="O75" s="34">
        <v>44680.356712962966</v>
      </c>
      <c r="P75" t="s">
        <v>50</v>
      </c>
      <c r="Q75" t="s">
        <v>51</v>
      </c>
      <c r="R75" s="32" t="s">
        <v>7472</v>
      </c>
      <c r="S75" t="s">
        <v>7476</v>
      </c>
      <c r="T75" s="34" t="s">
        <v>7476</v>
      </c>
      <c r="U75" s="34" t="s">
        <v>7476</v>
      </c>
      <c r="V75" s="32">
        <v>44682.356712962966</v>
      </c>
      <c r="W75" s="32" t="s">
        <v>7476</v>
      </c>
      <c r="X75">
        <v>0</v>
      </c>
      <c r="Y75" s="34" t="s">
        <v>7476</v>
      </c>
      <c r="Z75" s="34" t="s">
        <v>7476</v>
      </c>
      <c r="AA75" s="34" t="s">
        <v>7476</v>
      </c>
      <c r="AB75" s="36" t="s">
        <v>52</v>
      </c>
      <c r="AD75" t="s">
        <v>308</v>
      </c>
      <c r="AE75" t="s">
        <v>309</v>
      </c>
      <c r="AF75" s="16">
        <v>44665</v>
      </c>
      <c r="AG75" t="s">
        <v>98</v>
      </c>
      <c r="AH75">
        <v>3</v>
      </c>
      <c r="AI75" s="8" t="str">
        <f>IFERROR(R75-AF75,"")</f>
        <v/>
      </c>
      <c r="AJ75" s="8">
        <f>IFERROR(O75-AF75,"")</f>
        <v>15.356712962966412</v>
      </c>
      <c r="AK75" s="38">
        <f t="shared" si="29"/>
        <v>44772.356712962966</v>
      </c>
      <c r="AL75" t="str">
        <f>IFERROR(Z75-W75,"")</f>
        <v/>
      </c>
      <c r="AM75" t="str">
        <f>IFERROR(R75-J75,"")</f>
        <v/>
      </c>
      <c r="AN75">
        <f>IFERROR(V75-O75,"")</f>
        <v>2</v>
      </c>
      <c r="AO75">
        <f>IFERROR(J75-I75,"")</f>
        <v>3</v>
      </c>
      <c r="AP75">
        <f>IFERROR(AC75-X75,"")</f>
        <v>0</v>
      </c>
      <c r="AQ75" t="str">
        <f>IFERROR(AA75-W75,"")</f>
        <v/>
      </c>
    </row>
    <row r="76" spans="1:43" x14ac:dyDescent="0.35">
      <c r="A76">
        <v>311</v>
      </c>
      <c r="B76" t="s">
        <v>310</v>
      </c>
      <c r="C76" t="s">
        <v>202</v>
      </c>
      <c r="D76" t="str">
        <f t="shared" si="27"/>
        <v>Program Office</v>
      </c>
      <c r="E76" t="s">
        <v>203</v>
      </c>
      <c r="F76" t="s">
        <v>291</v>
      </c>
      <c r="G76" t="s">
        <v>292</v>
      </c>
      <c r="H76" t="s">
        <v>206</v>
      </c>
      <c r="I76" s="32" t="s">
        <v>7471</v>
      </c>
      <c r="J76" s="32">
        <v>44985.608946759261</v>
      </c>
      <c r="K76" s="32">
        <v>44991.608946759261</v>
      </c>
      <c r="L76" s="8" t="str">
        <f t="shared" si="28"/>
        <v/>
      </c>
      <c r="M76" s="7">
        <v>45016.608946759261</v>
      </c>
      <c r="N76" t="s">
        <v>49</v>
      </c>
      <c r="O76" s="34">
        <v>45007.608946759261</v>
      </c>
      <c r="P76" t="s">
        <v>101</v>
      </c>
      <c r="R76" s="32">
        <v>45014.608946759261</v>
      </c>
      <c r="S76" t="s">
        <v>101</v>
      </c>
      <c r="T76" s="34">
        <v>45009.608946759261</v>
      </c>
      <c r="U76" s="34">
        <v>45013.608946759261</v>
      </c>
      <c r="V76" s="32">
        <v>45010.608946759261</v>
      </c>
      <c r="W76" s="32">
        <v>45013.608946759261</v>
      </c>
      <c r="X76">
        <v>1</v>
      </c>
      <c r="Y76" s="34">
        <v>45015.608946759261</v>
      </c>
      <c r="Z76" s="34">
        <v>45018.608946759261</v>
      </c>
      <c r="AA76" s="34">
        <v>45021.608946759261</v>
      </c>
      <c r="AB76" s="36" t="s">
        <v>7476</v>
      </c>
      <c r="AC76" s="10">
        <v>45028.608946759261</v>
      </c>
      <c r="AD76" t="s">
        <v>311</v>
      </c>
      <c r="AE76" t="s">
        <v>312</v>
      </c>
      <c r="AF76" s="16">
        <v>44992</v>
      </c>
      <c r="AG76" t="s">
        <v>98</v>
      </c>
      <c r="AH76">
        <v>6</v>
      </c>
      <c r="AK76" s="38">
        <f t="shared" si="29"/>
        <v>45190.608946759261</v>
      </c>
    </row>
    <row r="77" spans="1:43" x14ac:dyDescent="0.35">
      <c r="A77">
        <v>185</v>
      </c>
      <c r="B77" t="s">
        <v>313</v>
      </c>
      <c r="C77" t="s">
        <v>202</v>
      </c>
      <c r="D77" t="str">
        <f t="shared" si="27"/>
        <v>Program Office</v>
      </c>
      <c r="E77" t="s">
        <v>203</v>
      </c>
      <c r="F77" t="s">
        <v>291</v>
      </c>
      <c r="G77" t="s">
        <v>292</v>
      </c>
      <c r="H77" t="s">
        <v>206</v>
      </c>
      <c r="I77" s="32">
        <v>44830.301365740743</v>
      </c>
      <c r="J77" s="32">
        <v>44834.301365740743</v>
      </c>
      <c r="K77" s="32">
        <v>44835.301365740743</v>
      </c>
      <c r="L77" s="8">
        <f t="shared" si="28"/>
        <v>5</v>
      </c>
      <c r="M77" s="7">
        <v>44851.301365740743</v>
      </c>
      <c r="N77" t="s">
        <v>49</v>
      </c>
      <c r="O77" s="34">
        <v>44850.301365740743</v>
      </c>
      <c r="P77" t="s">
        <v>50</v>
      </c>
      <c r="Q77" t="s">
        <v>236</v>
      </c>
      <c r="R77" s="32" t="s">
        <v>7472</v>
      </c>
      <c r="S77" t="s">
        <v>7476</v>
      </c>
      <c r="T77" s="34" t="s">
        <v>7476</v>
      </c>
      <c r="U77" s="34" t="s">
        <v>7476</v>
      </c>
      <c r="V77" s="32">
        <v>44853.301365740743</v>
      </c>
      <c r="W77" s="32" t="s">
        <v>7476</v>
      </c>
      <c r="X77">
        <v>0</v>
      </c>
      <c r="Y77" s="34" t="s">
        <v>7476</v>
      </c>
      <c r="Z77" s="34" t="s">
        <v>7476</v>
      </c>
      <c r="AA77" s="34" t="s">
        <v>7476</v>
      </c>
      <c r="AB77" s="36" t="s">
        <v>52</v>
      </c>
      <c r="AD77" t="s">
        <v>314</v>
      </c>
      <c r="AE77" t="s">
        <v>315</v>
      </c>
      <c r="AF77" s="16">
        <v>44835</v>
      </c>
      <c r="AG77" t="s">
        <v>98</v>
      </c>
      <c r="AH77">
        <v>3</v>
      </c>
      <c r="AI77" s="8" t="str">
        <f t="shared" ref="AI77:AI84" si="30">IFERROR(R77-AF77,"")</f>
        <v/>
      </c>
      <c r="AJ77" s="8">
        <f t="shared" ref="AJ77:AJ84" si="31">IFERROR(O77-AF77,"")</f>
        <v>15.301365740742767</v>
      </c>
      <c r="AK77" s="38">
        <f t="shared" si="29"/>
        <v>44943.301365740743</v>
      </c>
      <c r="AL77" t="str">
        <f t="shared" ref="AL77:AL84" si="32">IFERROR(Z77-W77,"")</f>
        <v/>
      </c>
      <c r="AM77" t="str">
        <f t="shared" ref="AM77:AM84" si="33">IFERROR(R77-J77,"")</f>
        <v/>
      </c>
      <c r="AN77">
        <f t="shared" ref="AN77:AN84" si="34">IFERROR(V77-O77,"")</f>
        <v>3</v>
      </c>
      <c r="AO77">
        <f t="shared" ref="AO77:AO84" si="35">IFERROR(J77-I77,"")</f>
        <v>4</v>
      </c>
      <c r="AP77">
        <f t="shared" ref="AP77:AP84" si="36">IFERROR(AC77-X77,"")</f>
        <v>0</v>
      </c>
      <c r="AQ77" t="str">
        <f t="shared" ref="AQ77:AQ84" si="37">IFERROR(AA77-W77,"")</f>
        <v/>
      </c>
    </row>
    <row r="78" spans="1:43" x14ac:dyDescent="0.35">
      <c r="A78">
        <v>184</v>
      </c>
      <c r="B78" t="s">
        <v>316</v>
      </c>
      <c r="C78" t="s">
        <v>202</v>
      </c>
      <c r="D78" t="str">
        <f t="shared" si="27"/>
        <v>Program Office</v>
      </c>
      <c r="E78" t="s">
        <v>203</v>
      </c>
      <c r="F78" t="s">
        <v>291</v>
      </c>
      <c r="G78" t="s">
        <v>292</v>
      </c>
      <c r="H78" t="s">
        <v>206</v>
      </c>
      <c r="I78" s="32">
        <v>44825.301365740743</v>
      </c>
      <c r="J78" s="32">
        <v>44829.301365740743</v>
      </c>
      <c r="K78" s="32">
        <v>44835.301365740743</v>
      </c>
      <c r="L78" s="8">
        <f t="shared" si="28"/>
        <v>10</v>
      </c>
      <c r="M78" s="7">
        <v>44842.301365740743</v>
      </c>
      <c r="N78" t="s">
        <v>49</v>
      </c>
      <c r="O78" s="34">
        <v>44847.301365740743</v>
      </c>
      <c r="P78" t="s">
        <v>50</v>
      </c>
      <c r="Q78" t="s">
        <v>125</v>
      </c>
      <c r="R78" s="32" t="s">
        <v>7472</v>
      </c>
      <c r="S78" t="s">
        <v>7476</v>
      </c>
      <c r="T78" s="34" t="s">
        <v>7476</v>
      </c>
      <c r="U78" s="34" t="s">
        <v>7476</v>
      </c>
      <c r="V78" s="32" t="s">
        <v>7476</v>
      </c>
      <c r="W78" s="32" t="s">
        <v>7476</v>
      </c>
      <c r="X78">
        <v>0</v>
      </c>
      <c r="Y78" s="34" t="s">
        <v>7476</v>
      </c>
      <c r="Z78" s="34" t="s">
        <v>7476</v>
      </c>
      <c r="AA78" s="34" t="s">
        <v>7476</v>
      </c>
      <c r="AB78" s="36" t="s">
        <v>52</v>
      </c>
      <c r="AD78" t="s">
        <v>317</v>
      </c>
      <c r="AE78" t="s">
        <v>318</v>
      </c>
      <c r="AF78" s="16">
        <v>44840</v>
      </c>
      <c r="AG78" t="s">
        <v>68</v>
      </c>
      <c r="AH78">
        <v>3</v>
      </c>
      <c r="AI78" s="8" t="str">
        <f t="shared" si="30"/>
        <v/>
      </c>
      <c r="AJ78" s="8">
        <f t="shared" si="31"/>
        <v>7.3013657407427672</v>
      </c>
      <c r="AK78" s="38" t="str">
        <f t="shared" si="29"/>
        <v/>
      </c>
      <c r="AL78" t="str">
        <f t="shared" si="32"/>
        <v/>
      </c>
      <c r="AM78" t="str">
        <f t="shared" si="33"/>
        <v/>
      </c>
      <c r="AN78" t="str">
        <f t="shared" si="34"/>
        <v/>
      </c>
      <c r="AO78">
        <f t="shared" si="35"/>
        <v>4</v>
      </c>
      <c r="AP78">
        <f t="shared" si="36"/>
        <v>0</v>
      </c>
      <c r="AQ78" t="str">
        <f t="shared" si="37"/>
        <v/>
      </c>
    </row>
    <row r="79" spans="1:43" x14ac:dyDescent="0.35">
      <c r="A79">
        <v>182</v>
      </c>
      <c r="B79" t="s">
        <v>319</v>
      </c>
      <c r="C79" t="s">
        <v>217</v>
      </c>
      <c r="D79" t="str">
        <f t="shared" si="27"/>
        <v>Program Office</v>
      </c>
      <c r="E79" t="s">
        <v>203</v>
      </c>
      <c r="F79" t="s">
        <v>291</v>
      </c>
      <c r="G79" t="s">
        <v>292</v>
      </c>
      <c r="H79" t="s">
        <v>206</v>
      </c>
      <c r="I79" s="32">
        <v>44830.301365740743</v>
      </c>
      <c r="J79" s="32">
        <v>44834.301365740743</v>
      </c>
      <c r="K79" s="32">
        <v>44835.301365740743</v>
      </c>
      <c r="L79" s="8">
        <f t="shared" si="28"/>
        <v>5</v>
      </c>
      <c r="M79" s="7">
        <v>44855.301365740743</v>
      </c>
      <c r="N79" t="s">
        <v>49</v>
      </c>
      <c r="O79" s="34">
        <v>44839.301365740743</v>
      </c>
      <c r="P79" t="s">
        <v>50</v>
      </c>
      <c r="Q79" t="s">
        <v>236</v>
      </c>
      <c r="R79" s="32" t="s">
        <v>7472</v>
      </c>
      <c r="S79" t="s">
        <v>7476</v>
      </c>
      <c r="T79" s="34" t="s">
        <v>7476</v>
      </c>
      <c r="U79" s="34" t="s">
        <v>7476</v>
      </c>
      <c r="V79" s="32">
        <v>44841.301365740743</v>
      </c>
      <c r="W79" s="32" t="s">
        <v>7476</v>
      </c>
      <c r="X79">
        <v>0</v>
      </c>
      <c r="Y79" s="34" t="s">
        <v>7476</v>
      </c>
      <c r="Z79" s="34" t="s">
        <v>7476</v>
      </c>
      <c r="AA79" s="34" t="s">
        <v>7476</v>
      </c>
      <c r="AB79" s="36" t="s">
        <v>95</v>
      </c>
      <c r="AD79" t="s">
        <v>320</v>
      </c>
      <c r="AE79" t="s">
        <v>321</v>
      </c>
      <c r="AF79" s="16">
        <v>44820</v>
      </c>
      <c r="AG79" t="s">
        <v>98</v>
      </c>
      <c r="AH79">
        <v>3</v>
      </c>
      <c r="AI79" s="8" t="str">
        <f t="shared" si="30"/>
        <v/>
      </c>
      <c r="AJ79" s="8">
        <f t="shared" si="31"/>
        <v>19.301365740742767</v>
      </c>
      <c r="AK79" s="38">
        <f t="shared" si="29"/>
        <v>44931.301365740743</v>
      </c>
      <c r="AL79" t="str">
        <f t="shared" si="32"/>
        <v/>
      </c>
      <c r="AM79" t="str">
        <f t="shared" si="33"/>
        <v/>
      </c>
      <c r="AN79">
        <f t="shared" si="34"/>
        <v>2</v>
      </c>
      <c r="AO79">
        <f t="shared" si="35"/>
        <v>4</v>
      </c>
      <c r="AP79">
        <f t="shared" si="36"/>
        <v>0</v>
      </c>
      <c r="AQ79" t="str">
        <f t="shared" si="37"/>
        <v/>
      </c>
    </row>
    <row r="80" spans="1:43" x14ac:dyDescent="0.35">
      <c r="A80">
        <v>138</v>
      </c>
      <c r="B80" t="s">
        <v>322</v>
      </c>
      <c r="C80" t="s">
        <v>213</v>
      </c>
      <c r="D80" t="str">
        <f t="shared" si="27"/>
        <v>Program Office</v>
      </c>
      <c r="E80" t="s">
        <v>203</v>
      </c>
      <c r="F80" t="s">
        <v>291</v>
      </c>
      <c r="G80" t="s">
        <v>292</v>
      </c>
      <c r="H80" t="s">
        <v>206</v>
      </c>
      <c r="I80" s="32">
        <v>44764.802951388891</v>
      </c>
      <c r="J80" s="32">
        <v>44768.802951388891</v>
      </c>
      <c r="K80" s="32">
        <v>44769.802951388891</v>
      </c>
      <c r="L80" s="8">
        <f t="shared" si="28"/>
        <v>5</v>
      </c>
      <c r="M80" s="7">
        <v>44791.802951388891</v>
      </c>
      <c r="N80" t="s">
        <v>49</v>
      </c>
      <c r="O80" s="34">
        <v>44774.802951388891</v>
      </c>
      <c r="P80" t="s">
        <v>101</v>
      </c>
      <c r="R80" s="32">
        <v>44778.802951388891</v>
      </c>
      <c r="S80" t="s">
        <v>101</v>
      </c>
      <c r="T80" s="34">
        <v>44775.802951388891</v>
      </c>
      <c r="U80" s="34">
        <v>44777.802951388891</v>
      </c>
      <c r="V80" s="32">
        <v>44775.802951388891</v>
      </c>
      <c r="W80" s="32">
        <v>44777.802951388891</v>
      </c>
      <c r="X80">
        <v>1</v>
      </c>
      <c r="Y80" s="34">
        <v>44778.802951388891</v>
      </c>
      <c r="Z80" s="34">
        <v>44781.802951388891</v>
      </c>
      <c r="AA80" s="34">
        <v>44782.802951388891</v>
      </c>
      <c r="AB80" s="36" t="s">
        <v>7476</v>
      </c>
      <c r="AC80" s="10">
        <v>44801.802951388891</v>
      </c>
      <c r="AD80" t="s">
        <v>323</v>
      </c>
      <c r="AE80" t="s">
        <v>324</v>
      </c>
      <c r="AF80" s="16">
        <v>44758</v>
      </c>
      <c r="AG80" t="s">
        <v>98</v>
      </c>
      <c r="AH80">
        <v>6</v>
      </c>
      <c r="AI80" s="8">
        <f t="shared" si="30"/>
        <v>20.802951388890506</v>
      </c>
      <c r="AJ80" s="8">
        <f t="shared" si="31"/>
        <v>16.802951388890506</v>
      </c>
      <c r="AK80" s="38">
        <f t="shared" si="29"/>
        <v>44955.802951388891</v>
      </c>
      <c r="AL80">
        <f t="shared" si="32"/>
        <v>4</v>
      </c>
      <c r="AM80">
        <f t="shared" si="33"/>
        <v>10</v>
      </c>
      <c r="AN80">
        <f t="shared" si="34"/>
        <v>1</v>
      </c>
      <c r="AO80">
        <f t="shared" si="35"/>
        <v>4</v>
      </c>
      <c r="AP80">
        <f t="shared" si="36"/>
        <v>44800.802951388891</v>
      </c>
      <c r="AQ80">
        <f t="shared" si="37"/>
        <v>5</v>
      </c>
    </row>
    <row r="81" spans="1:43" x14ac:dyDescent="0.35">
      <c r="A81">
        <v>9</v>
      </c>
      <c r="B81" t="s">
        <v>325</v>
      </c>
      <c r="C81" t="s">
        <v>213</v>
      </c>
      <c r="D81" t="str">
        <f t="shared" si="27"/>
        <v>Program Office</v>
      </c>
      <c r="E81" t="s">
        <v>203</v>
      </c>
      <c r="F81" t="s">
        <v>291</v>
      </c>
      <c r="G81" t="s">
        <v>292</v>
      </c>
      <c r="H81" t="s">
        <v>206</v>
      </c>
      <c r="I81" s="32">
        <v>45079.372060185182</v>
      </c>
      <c r="J81" s="32">
        <v>45081.372060185182</v>
      </c>
      <c r="K81" s="32">
        <v>45083.372060185182</v>
      </c>
      <c r="L81" s="8">
        <f t="shared" si="28"/>
        <v>4</v>
      </c>
      <c r="M81" s="7">
        <v>45099.372060185182</v>
      </c>
      <c r="N81" t="s">
        <v>49</v>
      </c>
      <c r="O81" s="34">
        <v>45089.372060185182</v>
      </c>
      <c r="P81" t="s">
        <v>50</v>
      </c>
      <c r="Q81" t="s">
        <v>198</v>
      </c>
      <c r="R81" s="32" t="s">
        <v>7472</v>
      </c>
      <c r="S81" t="s">
        <v>7476</v>
      </c>
      <c r="T81" s="34" t="s">
        <v>7476</v>
      </c>
      <c r="U81" s="34" t="s">
        <v>7476</v>
      </c>
      <c r="V81" s="32" t="s">
        <v>7476</v>
      </c>
      <c r="W81" s="32" t="s">
        <v>7476</v>
      </c>
      <c r="X81">
        <v>0</v>
      </c>
      <c r="Y81" s="34" t="s">
        <v>7476</v>
      </c>
      <c r="Z81" s="34" t="s">
        <v>7476</v>
      </c>
      <c r="AA81" s="34" t="s">
        <v>7476</v>
      </c>
      <c r="AB81" s="36" t="s">
        <v>95</v>
      </c>
      <c r="AD81" t="s">
        <v>326</v>
      </c>
      <c r="AE81" t="s">
        <v>327</v>
      </c>
      <c r="AF81" s="16">
        <v>45075</v>
      </c>
      <c r="AG81" t="s">
        <v>68</v>
      </c>
      <c r="AH81">
        <v>6</v>
      </c>
      <c r="AI81" s="8" t="str">
        <f t="shared" si="30"/>
        <v/>
      </c>
      <c r="AJ81" s="8">
        <f t="shared" si="31"/>
        <v>14.372060185181908</v>
      </c>
      <c r="AK81" s="38" t="str">
        <f t="shared" si="29"/>
        <v/>
      </c>
      <c r="AL81" t="str">
        <f t="shared" si="32"/>
        <v/>
      </c>
      <c r="AM81" t="str">
        <f t="shared" si="33"/>
        <v/>
      </c>
      <c r="AN81" t="str">
        <f t="shared" si="34"/>
        <v/>
      </c>
      <c r="AO81">
        <f t="shared" si="35"/>
        <v>2</v>
      </c>
      <c r="AP81">
        <f t="shared" si="36"/>
        <v>0</v>
      </c>
      <c r="AQ81" t="str">
        <f t="shared" si="37"/>
        <v/>
      </c>
    </row>
    <row r="82" spans="1:43" x14ac:dyDescent="0.35">
      <c r="A82">
        <v>7</v>
      </c>
      <c r="B82" t="s">
        <v>328</v>
      </c>
      <c r="C82" t="s">
        <v>217</v>
      </c>
      <c r="D82" t="str">
        <f t="shared" si="27"/>
        <v>Program Office</v>
      </c>
      <c r="E82" t="s">
        <v>203</v>
      </c>
      <c r="F82" t="s">
        <v>291</v>
      </c>
      <c r="G82" t="s">
        <v>292</v>
      </c>
      <c r="H82" t="s">
        <v>206</v>
      </c>
      <c r="I82" s="32">
        <v>45074.372060185182</v>
      </c>
      <c r="J82" s="32">
        <v>45077.372060185182</v>
      </c>
      <c r="K82" s="32">
        <v>45083.372060185182</v>
      </c>
      <c r="L82" s="8">
        <f t="shared" si="28"/>
        <v>9</v>
      </c>
      <c r="M82" s="7">
        <v>45089.372060185182</v>
      </c>
      <c r="N82" t="s">
        <v>49</v>
      </c>
      <c r="O82" s="34">
        <v>45092.372060185182</v>
      </c>
      <c r="P82" t="s">
        <v>50</v>
      </c>
      <c r="Q82" t="s">
        <v>125</v>
      </c>
      <c r="R82" s="32" t="s">
        <v>7472</v>
      </c>
      <c r="S82" t="s">
        <v>7476</v>
      </c>
      <c r="T82" s="34" t="s">
        <v>7476</v>
      </c>
      <c r="U82" s="34" t="s">
        <v>7476</v>
      </c>
      <c r="V82" s="32">
        <v>45093.372060185182</v>
      </c>
      <c r="W82" s="32" t="s">
        <v>7476</v>
      </c>
      <c r="X82">
        <v>0</v>
      </c>
      <c r="Y82" s="34" t="s">
        <v>7476</v>
      </c>
      <c r="Z82" s="34" t="s">
        <v>7476</v>
      </c>
      <c r="AA82" s="34" t="s">
        <v>7476</v>
      </c>
      <c r="AB82" s="36" t="s">
        <v>95</v>
      </c>
      <c r="AD82" t="s">
        <v>329</v>
      </c>
      <c r="AE82" t="s">
        <v>330</v>
      </c>
      <c r="AF82" s="16">
        <v>44932</v>
      </c>
      <c r="AG82" t="s">
        <v>68</v>
      </c>
      <c r="AH82">
        <v>3</v>
      </c>
      <c r="AI82" s="8" t="str">
        <f t="shared" si="30"/>
        <v/>
      </c>
      <c r="AJ82" s="8">
        <f t="shared" si="31"/>
        <v>160.37206018518191</v>
      </c>
      <c r="AK82" s="38">
        <f t="shared" si="29"/>
        <v>45183.372060185182</v>
      </c>
      <c r="AL82" t="str">
        <f t="shared" si="32"/>
        <v/>
      </c>
      <c r="AM82" t="str">
        <f t="shared" si="33"/>
        <v/>
      </c>
      <c r="AN82">
        <f t="shared" si="34"/>
        <v>1</v>
      </c>
      <c r="AO82">
        <f t="shared" si="35"/>
        <v>3</v>
      </c>
      <c r="AP82">
        <f t="shared" si="36"/>
        <v>0</v>
      </c>
      <c r="AQ82" t="str">
        <f t="shared" si="37"/>
        <v/>
      </c>
    </row>
    <row r="83" spans="1:43" x14ac:dyDescent="0.35">
      <c r="A83">
        <v>2973</v>
      </c>
      <c r="B83" t="s">
        <v>331</v>
      </c>
      <c r="C83" t="s">
        <v>217</v>
      </c>
      <c r="D83" t="str">
        <f t="shared" si="27"/>
        <v>Program Office</v>
      </c>
      <c r="E83" t="s">
        <v>332</v>
      </c>
      <c r="F83" t="s">
        <v>46</v>
      </c>
      <c r="G83" t="s">
        <v>333</v>
      </c>
      <c r="H83" t="s">
        <v>334</v>
      </c>
      <c r="I83" s="32">
        <v>44757.636782407397</v>
      </c>
      <c r="J83" s="32">
        <v>44761.636782407397</v>
      </c>
      <c r="K83" s="32">
        <v>44769.636782407397</v>
      </c>
      <c r="L83" s="8">
        <f t="shared" si="28"/>
        <v>12</v>
      </c>
      <c r="M83" s="7">
        <v>44776.636782407397</v>
      </c>
      <c r="N83" t="s">
        <v>49</v>
      </c>
      <c r="O83" s="34">
        <v>44773.636782407397</v>
      </c>
      <c r="P83" t="s">
        <v>101</v>
      </c>
      <c r="R83" s="32">
        <v>44776.636782407397</v>
      </c>
      <c r="S83" t="s">
        <v>101</v>
      </c>
      <c r="T83" s="34">
        <v>44774.636782407397</v>
      </c>
      <c r="U83" s="34">
        <v>44775.636782407397</v>
      </c>
      <c r="V83" s="32">
        <v>44774.636782407397</v>
      </c>
      <c r="W83" s="32">
        <v>44781.636782407397</v>
      </c>
      <c r="X83">
        <v>1</v>
      </c>
      <c r="Y83" s="34">
        <v>44782.636782407397</v>
      </c>
      <c r="Z83" s="34">
        <v>44784.636782407397</v>
      </c>
      <c r="AA83" s="34">
        <v>44787.636782407397</v>
      </c>
      <c r="AB83" s="36" t="s">
        <v>7476</v>
      </c>
      <c r="AC83" s="10">
        <v>44801.636782407397</v>
      </c>
      <c r="AD83" t="s">
        <v>335</v>
      </c>
      <c r="AE83" t="s">
        <v>336</v>
      </c>
      <c r="AF83" s="16">
        <v>44762</v>
      </c>
      <c r="AG83" t="s">
        <v>68</v>
      </c>
      <c r="AH83">
        <v>6</v>
      </c>
      <c r="AI83" s="8">
        <f t="shared" si="30"/>
        <v>14.636782407396822</v>
      </c>
      <c r="AJ83" s="8">
        <f t="shared" si="31"/>
        <v>11.636782407396822</v>
      </c>
      <c r="AK83" s="38">
        <f t="shared" si="29"/>
        <v>44954.636782407397</v>
      </c>
      <c r="AL83">
        <f t="shared" si="32"/>
        <v>3</v>
      </c>
      <c r="AM83">
        <f t="shared" si="33"/>
        <v>15</v>
      </c>
      <c r="AN83">
        <f t="shared" si="34"/>
        <v>1</v>
      </c>
      <c r="AO83">
        <f t="shared" si="35"/>
        <v>4</v>
      </c>
      <c r="AP83">
        <f t="shared" si="36"/>
        <v>44800.636782407397</v>
      </c>
      <c r="AQ83">
        <f t="shared" si="37"/>
        <v>6</v>
      </c>
    </row>
    <row r="84" spans="1:43" x14ac:dyDescent="0.35">
      <c r="A84">
        <v>2966</v>
      </c>
      <c r="B84" t="s">
        <v>337</v>
      </c>
      <c r="C84" t="s">
        <v>213</v>
      </c>
      <c r="D84" t="str">
        <f t="shared" si="27"/>
        <v>Program Office</v>
      </c>
      <c r="E84" t="s">
        <v>332</v>
      </c>
      <c r="F84" t="s">
        <v>46</v>
      </c>
      <c r="G84" t="s">
        <v>333</v>
      </c>
      <c r="H84" t="s">
        <v>334</v>
      </c>
      <c r="I84" s="32">
        <v>44697.276689814818</v>
      </c>
      <c r="J84" s="32">
        <v>44700.276689814818</v>
      </c>
      <c r="K84" s="32">
        <v>44708.276689814818</v>
      </c>
      <c r="L84" s="8">
        <f t="shared" si="28"/>
        <v>11</v>
      </c>
      <c r="M84" s="7">
        <v>44753.276689814818</v>
      </c>
      <c r="N84" t="s">
        <v>49</v>
      </c>
      <c r="O84" s="34">
        <v>44711.276689814818</v>
      </c>
      <c r="P84" t="s">
        <v>50</v>
      </c>
      <c r="Q84" t="s">
        <v>51</v>
      </c>
      <c r="R84" s="32" t="s">
        <v>7472</v>
      </c>
      <c r="S84" t="s">
        <v>7476</v>
      </c>
      <c r="T84" s="34" t="s">
        <v>7476</v>
      </c>
      <c r="U84" s="34" t="s">
        <v>7476</v>
      </c>
      <c r="V84" s="32" t="s">
        <v>7476</v>
      </c>
      <c r="W84" s="32" t="s">
        <v>7476</v>
      </c>
      <c r="X84">
        <v>0</v>
      </c>
      <c r="Y84" s="34" t="s">
        <v>7476</v>
      </c>
      <c r="Z84" s="34" t="s">
        <v>7476</v>
      </c>
      <c r="AA84" s="34" t="s">
        <v>7476</v>
      </c>
      <c r="AB84" s="36" t="s">
        <v>95</v>
      </c>
      <c r="AD84" t="s">
        <v>338</v>
      </c>
      <c r="AE84" t="s">
        <v>339</v>
      </c>
      <c r="AF84" s="16">
        <v>44700</v>
      </c>
      <c r="AG84" t="s">
        <v>64</v>
      </c>
      <c r="AH84">
        <v>3</v>
      </c>
      <c r="AI84" s="8" t="str">
        <f t="shared" si="30"/>
        <v/>
      </c>
      <c r="AJ84" s="8">
        <f t="shared" si="31"/>
        <v>11.276689814818383</v>
      </c>
      <c r="AK84" s="38" t="str">
        <f t="shared" si="29"/>
        <v/>
      </c>
      <c r="AL84" t="str">
        <f t="shared" si="32"/>
        <v/>
      </c>
      <c r="AM84" t="str">
        <f t="shared" si="33"/>
        <v/>
      </c>
      <c r="AN84" t="str">
        <f t="shared" si="34"/>
        <v/>
      </c>
      <c r="AO84">
        <f t="shared" si="35"/>
        <v>3</v>
      </c>
      <c r="AP84">
        <f t="shared" si="36"/>
        <v>0</v>
      </c>
      <c r="AQ84" t="str">
        <f t="shared" si="37"/>
        <v/>
      </c>
    </row>
    <row r="85" spans="1:43" x14ac:dyDescent="0.35">
      <c r="A85">
        <v>2964</v>
      </c>
      <c r="B85" t="s">
        <v>340</v>
      </c>
      <c r="C85" t="s">
        <v>202</v>
      </c>
      <c r="D85" t="str">
        <f t="shared" si="27"/>
        <v>Program Office</v>
      </c>
      <c r="E85" t="s">
        <v>332</v>
      </c>
      <c r="F85" t="s">
        <v>46</v>
      </c>
      <c r="G85" t="s">
        <v>333</v>
      </c>
      <c r="H85" t="s">
        <v>334</v>
      </c>
      <c r="I85" s="32">
        <v>44697.276689814818</v>
      </c>
      <c r="J85" s="32">
        <v>44699.276689814818</v>
      </c>
      <c r="K85" s="32" t="s">
        <v>7473</v>
      </c>
      <c r="L85" s="8" t="str">
        <f t="shared" si="28"/>
        <v/>
      </c>
      <c r="M85" s="7">
        <v>44752.276689814818</v>
      </c>
      <c r="N85" t="s">
        <v>49</v>
      </c>
      <c r="O85" s="34">
        <v>44719.276689814818</v>
      </c>
      <c r="P85" t="s">
        <v>50</v>
      </c>
      <c r="Q85" t="s">
        <v>84</v>
      </c>
      <c r="R85" s="32" t="s">
        <v>7472</v>
      </c>
      <c r="S85" t="s">
        <v>7476</v>
      </c>
      <c r="T85" s="34" t="s">
        <v>7476</v>
      </c>
      <c r="U85" s="34" t="s">
        <v>7476</v>
      </c>
      <c r="V85" s="32">
        <v>44720.276689814818</v>
      </c>
      <c r="W85" s="32" t="s">
        <v>7476</v>
      </c>
      <c r="X85">
        <v>0</v>
      </c>
      <c r="Y85" s="34" t="s">
        <v>7476</v>
      </c>
      <c r="Z85" s="34" t="s">
        <v>7476</v>
      </c>
      <c r="AA85" s="34" t="s">
        <v>7476</v>
      </c>
      <c r="AB85" s="36" t="s">
        <v>52</v>
      </c>
      <c r="AD85" t="s">
        <v>341</v>
      </c>
      <c r="AE85" t="s">
        <v>342</v>
      </c>
      <c r="AF85" s="16">
        <v>44708</v>
      </c>
      <c r="AG85" t="s">
        <v>93</v>
      </c>
      <c r="AH85">
        <v>3</v>
      </c>
      <c r="AK85" s="38">
        <f t="shared" si="29"/>
        <v>44810.276689814818</v>
      </c>
    </row>
    <row r="86" spans="1:43" x14ac:dyDescent="0.35">
      <c r="A86">
        <v>2961</v>
      </c>
      <c r="B86" t="s">
        <v>343</v>
      </c>
      <c r="C86" t="s">
        <v>213</v>
      </c>
      <c r="D86" t="str">
        <f t="shared" si="27"/>
        <v>Program Office</v>
      </c>
      <c r="E86" t="s">
        <v>332</v>
      </c>
      <c r="F86" t="s">
        <v>46</v>
      </c>
      <c r="G86" t="s">
        <v>333</v>
      </c>
      <c r="H86" t="s">
        <v>334</v>
      </c>
      <c r="I86" s="32">
        <v>44699.276689814818</v>
      </c>
      <c r="J86" s="32">
        <v>44700.276689814818</v>
      </c>
      <c r="K86" s="32">
        <v>44708.276689814818</v>
      </c>
      <c r="L86" s="8">
        <f t="shared" si="28"/>
        <v>9</v>
      </c>
      <c r="M86" s="7">
        <v>44753.276689814818</v>
      </c>
      <c r="N86" t="s">
        <v>49</v>
      </c>
      <c r="O86" s="34">
        <v>44711.276689814818</v>
      </c>
      <c r="P86" t="s">
        <v>50</v>
      </c>
      <c r="Q86" t="s">
        <v>84</v>
      </c>
      <c r="R86" s="32" t="s">
        <v>7472</v>
      </c>
      <c r="S86" t="s">
        <v>7476</v>
      </c>
      <c r="T86" s="34" t="s">
        <v>7476</v>
      </c>
      <c r="U86" s="34" t="s">
        <v>7476</v>
      </c>
      <c r="V86" s="32">
        <v>44713.276689814818</v>
      </c>
      <c r="W86" s="32" t="s">
        <v>7476</v>
      </c>
      <c r="X86">
        <v>0</v>
      </c>
      <c r="Y86" s="34" t="s">
        <v>7476</v>
      </c>
      <c r="Z86" s="34" t="s">
        <v>7476</v>
      </c>
      <c r="AA86" s="34" t="s">
        <v>7476</v>
      </c>
      <c r="AB86" s="36" t="s">
        <v>95</v>
      </c>
      <c r="AD86" t="s">
        <v>344</v>
      </c>
      <c r="AE86" t="s">
        <v>345</v>
      </c>
      <c r="AF86" s="16">
        <v>44698</v>
      </c>
      <c r="AG86" t="s">
        <v>98</v>
      </c>
      <c r="AH86">
        <v>3</v>
      </c>
      <c r="AI86" s="8" t="str">
        <f>IFERROR(R86-AF86,"")</f>
        <v/>
      </c>
      <c r="AJ86" s="8">
        <f>IFERROR(O86-AF86,"")</f>
        <v>13.276689814818383</v>
      </c>
      <c r="AK86" s="38">
        <f t="shared" si="29"/>
        <v>44803.276689814818</v>
      </c>
      <c r="AL86" t="str">
        <f>IFERROR(Z86-W86,"")</f>
        <v/>
      </c>
      <c r="AM86" t="str">
        <f>IFERROR(R86-J86,"")</f>
        <v/>
      </c>
      <c r="AN86">
        <f>IFERROR(V86-O86,"")</f>
        <v>2</v>
      </c>
      <c r="AO86">
        <f>IFERROR(J86-I86,"")</f>
        <v>1</v>
      </c>
      <c r="AP86">
        <f>IFERROR(AC86-X86,"")</f>
        <v>0</v>
      </c>
      <c r="AQ86" t="str">
        <f>IFERROR(AA86-W86,"")</f>
        <v/>
      </c>
    </row>
    <row r="87" spans="1:43" x14ac:dyDescent="0.35">
      <c r="A87">
        <v>2886</v>
      </c>
      <c r="B87" t="s">
        <v>346</v>
      </c>
      <c r="C87" t="s">
        <v>217</v>
      </c>
      <c r="D87" t="str">
        <f t="shared" si="27"/>
        <v>Program Office</v>
      </c>
      <c r="E87" t="s">
        <v>332</v>
      </c>
      <c r="F87" t="s">
        <v>46</v>
      </c>
      <c r="G87" t="s">
        <v>333</v>
      </c>
      <c r="H87" t="s">
        <v>334</v>
      </c>
      <c r="I87" s="32">
        <v>44857.066979166673</v>
      </c>
      <c r="J87" s="32">
        <v>44860.066979166673</v>
      </c>
      <c r="K87" s="32">
        <v>44867.066979166673</v>
      </c>
      <c r="L87" s="8">
        <f t="shared" si="28"/>
        <v>10</v>
      </c>
      <c r="M87" s="7">
        <v>44912.066979166673</v>
      </c>
      <c r="N87" t="s">
        <v>72</v>
      </c>
      <c r="O87" s="34" t="s">
        <v>7474</v>
      </c>
      <c r="R87" s="32" t="s">
        <v>7472</v>
      </c>
      <c r="S87" t="s">
        <v>7476</v>
      </c>
      <c r="T87" s="34" t="s">
        <v>7476</v>
      </c>
      <c r="U87" s="34" t="s">
        <v>7476</v>
      </c>
      <c r="V87" s="32" t="s">
        <v>7476</v>
      </c>
      <c r="W87" s="32" t="s">
        <v>7476</v>
      </c>
      <c r="X87">
        <v>0</v>
      </c>
      <c r="Y87" s="34" t="s">
        <v>7476</v>
      </c>
      <c r="Z87" s="34" t="s">
        <v>7476</v>
      </c>
      <c r="AA87" s="34" t="s">
        <v>7476</v>
      </c>
      <c r="AB87" s="36" t="s">
        <v>7476</v>
      </c>
      <c r="AD87" t="s">
        <v>347</v>
      </c>
      <c r="AE87" t="s">
        <v>348</v>
      </c>
      <c r="AG87" t="s">
        <v>64</v>
      </c>
      <c r="AH87">
        <v>6</v>
      </c>
      <c r="AI87" s="8" t="str">
        <f>IFERROR(R87-AF87,"")</f>
        <v/>
      </c>
      <c r="AJ87" s="8" t="str">
        <f>IFERROR(O87-AF87,"")</f>
        <v/>
      </c>
      <c r="AK87" s="38" t="str">
        <f t="shared" si="29"/>
        <v/>
      </c>
      <c r="AL87" t="str">
        <f>IFERROR(Z87-W87,"")</f>
        <v/>
      </c>
      <c r="AM87" t="str">
        <f>IFERROR(R87-J87,"")</f>
        <v/>
      </c>
      <c r="AN87" t="str">
        <f>IFERROR(V87-O87,"")</f>
        <v/>
      </c>
      <c r="AO87">
        <f>IFERROR(J87-I87,"")</f>
        <v>3</v>
      </c>
      <c r="AP87">
        <f>IFERROR(AC87-X87,"")</f>
        <v>0</v>
      </c>
      <c r="AQ87" t="str">
        <f>IFERROR(AA87-W87,"")</f>
        <v/>
      </c>
    </row>
    <row r="88" spans="1:43" x14ac:dyDescent="0.35">
      <c r="A88">
        <v>2882</v>
      </c>
      <c r="B88" t="s">
        <v>349</v>
      </c>
      <c r="C88" t="s">
        <v>202</v>
      </c>
      <c r="D88" t="str">
        <f t="shared" si="27"/>
        <v>Program Office</v>
      </c>
      <c r="E88" t="s">
        <v>332</v>
      </c>
      <c r="F88" t="s">
        <v>46</v>
      </c>
      <c r="G88" t="s">
        <v>333</v>
      </c>
      <c r="H88" t="s">
        <v>334</v>
      </c>
      <c r="I88" s="32">
        <v>44861.066979166673</v>
      </c>
      <c r="J88" s="32" t="s">
        <v>7471</v>
      </c>
      <c r="K88" s="32">
        <v>44869.066979166673</v>
      </c>
      <c r="L88" s="8">
        <f t="shared" si="28"/>
        <v>8</v>
      </c>
      <c r="M88" s="7">
        <v>44879.066979166673</v>
      </c>
      <c r="N88" t="s">
        <v>49</v>
      </c>
      <c r="O88" s="34">
        <v>44870.066979166673</v>
      </c>
      <c r="P88" t="s">
        <v>50</v>
      </c>
      <c r="Q88" t="s">
        <v>125</v>
      </c>
      <c r="R88" s="32" t="s">
        <v>7472</v>
      </c>
      <c r="S88" t="s">
        <v>7476</v>
      </c>
      <c r="T88" s="34" t="s">
        <v>7476</v>
      </c>
      <c r="U88" s="34" t="s">
        <v>7476</v>
      </c>
      <c r="V88" s="32" t="s">
        <v>7476</v>
      </c>
      <c r="W88" s="32" t="s">
        <v>7476</v>
      </c>
      <c r="X88">
        <v>0</v>
      </c>
      <c r="Y88" s="34" t="s">
        <v>7476</v>
      </c>
      <c r="Z88" s="34" t="s">
        <v>7476</v>
      </c>
      <c r="AA88" s="34" t="s">
        <v>7476</v>
      </c>
      <c r="AB88" s="36" t="s">
        <v>95</v>
      </c>
      <c r="AD88" t="s">
        <v>350</v>
      </c>
      <c r="AE88" t="s">
        <v>351</v>
      </c>
      <c r="AF88" s="16">
        <v>44865</v>
      </c>
      <c r="AG88" t="s">
        <v>93</v>
      </c>
      <c r="AH88">
        <v>6</v>
      </c>
      <c r="AK88" s="38" t="str">
        <f t="shared" si="29"/>
        <v/>
      </c>
    </row>
    <row r="89" spans="1:43" x14ac:dyDescent="0.35">
      <c r="A89">
        <v>2868</v>
      </c>
      <c r="B89" t="s">
        <v>352</v>
      </c>
      <c r="C89" t="s">
        <v>213</v>
      </c>
      <c r="D89" t="str">
        <f t="shared" si="27"/>
        <v>Program Office</v>
      </c>
      <c r="E89" t="s">
        <v>332</v>
      </c>
      <c r="F89" t="s">
        <v>46</v>
      </c>
      <c r="G89" t="s">
        <v>333</v>
      </c>
      <c r="H89" t="s">
        <v>334</v>
      </c>
      <c r="I89" s="32">
        <v>44847.266331018523</v>
      </c>
      <c r="J89" s="32">
        <v>44851.266331018523</v>
      </c>
      <c r="K89" s="32">
        <v>44858.266331018523</v>
      </c>
      <c r="L89" s="8">
        <f t="shared" si="28"/>
        <v>11</v>
      </c>
      <c r="M89" s="7">
        <v>44928.266331018523</v>
      </c>
      <c r="N89" t="s">
        <v>72</v>
      </c>
      <c r="O89" s="34" t="s">
        <v>7474</v>
      </c>
      <c r="R89" s="32" t="s">
        <v>7472</v>
      </c>
      <c r="S89" t="s">
        <v>7476</v>
      </c>
      <c r="T89" s="34" t="s">
        <v>7476</v>
      </c>
      <c r="U89" s="34" t="s">
        <v>7476</v>
      </c>
      <c r="V89" s="32" t="s">
        <v>7476</v>
      </c>
      <c r="W89" s="32" t="s">
        <v>7476</v>
      </c>
      <c r="X89">
        <v>0</v>
      </c>
      <c r="Y89" s="34" t="s">
        <v>7476</v>
      </c>
      <c r="Z89" s="34" t="s">
        <v>7476</v>
      </c>
      <c r="AA89" s="34" t="s">
        <v>7476</v>
      </c>
      <c r="AB89" s="36" t="s">
        <v>7476</v>
      </c>
      <c r="AD89" t="s">
        <v>353</v>
      </c>
      <c r="AE89" t="s">
        <v>354</v>
      </c>
      <c r="AG89" t="s">
        <v>68</v>
      </c>
      <c r="AH89">
        <v>3</v>
      </c>
      <c r="AI89" s="8" t="str">
        <f>IFERROR(R89-AF89,"")</f>
        <v/>
      </c>
      <c r="AJ89" s="8" t="str">
        <f>IFERROR(O89-AF89,"")</f>
        <v/>
      </c>
      <c r="AK89" s="38" t="str">
        <f t="shared" si="29"/>
        <v/>
      </c>
      <c r="AL89" t="str">
        <f>IFERROR(Z89-W89,"")</f>
        <v/>
      </c>
      <c r="AM89" t="str">
        <f>IFERROR(R89-J89,"")</f>
        <v/>
      </c>
      <c r="AN89" t="str">
        <f>IFERROR(V89-O89,"")</f>
        <v/>
      </c>
      <c r="AO89">
        <f>IFERROR(J89-I89,"")</f>
        <v>4</v>
      </c>
      <c r="AP89">
        <f>IFERROR(AC89-X89,"")</f>
        <v>0</v>
      </c>
      <c r="AQ89" t="str">
        <f>IFERROR(AA89-W89,"")</f>
        <v/>
      </c>
    </row>
    <row r="90" spans="1:43" x14ac:dyDescent="0.35">
      <c r="A90">
        <v>2867</v>
      </c>
      <c r="B90" t="s">
        <v>355</v>
      </c>
      <c r="C90" t="s">
        <v>217</v>
      </c>
      <c r="D90" t="str">
        <f t="shared" si="27"/>
        <v>Program Office</v>
      </c>
      <c r="E90" t="s">
        <v>332</v>
      </c>
      <c r="F90" t="s">
        <v>46</v>
      </c>
      <c r="G90" t="s">
        <v>333</v>
      </c>
      <c r="H90" t="s">
        <v>334</v>
      </c>
      <c r="I90" s="32">
        <v>44849.266331018523</v>
      </c>
      <c r="J90" s="32">
        <v>44853.266331018523</v>
      </c>
      <c r="K90" s="32">
        <v>44860.266331018523</v>
      </c>
      <c r="L90" s="8">
        <f t="shared" si="28"/>
        <v>11</v>
      </c>
      <c r="M90" s="7">
        <v>44930.266331018523</v>
      </c>
      <c r="N90" t="s">
        <v>49</v>
      </c>
      <c r="O90" s="34">
        <v>44868.266331018523</v>
      </c>
      <c r="P90" t="s">
        <v>101</v>
      </c>
      <c r="R90" s="32">
        <v>44873.266331018523</v>
      </c>
      <c r="S90" t="s">
        <v>101</v>
      </c>
      <c r="T90" s="34">
        <v>44870.266331018523</v>
      </c>
      <c r="U90" s="34">
        <v>44874.266331018523</v>
      </c>
      <c r="V90" s="32">
        <v>44869.266331018523</v>
      </c>
      <c r="W90" s="32">
        <v>44879.266331018523</v>
      </c>
      <c r="X90">
        <v>1</v>
      </c>
      <c r="Y90" s="34">
        <v>44883.266331018523</v>
      </c>
      <c r="Z90" s="34">
        <v>44884.266331018523</v>
      </c>
      <c r="AA90" s="34">
        <v>44885.266331018523</v>
      </c>
      <c r="AB90" s="36" t="s">
        <v>7476</v>
      </c>
      <c r="AC90" s="10">
        <v>44901.266331018523</v>
      </c>
      <c r="AD90" t="s">
        <v>356</v>
      </c>
      <c r="AE90" t="s">
        <v>357</v>
      </c>
      <c r="AF90" s="16">
        <v>44855</v>
      </c>
      <c r="AG90" t="s">
        <v>64</v>
      </c>
      <c r="AH90">
        <v>6</v>
      </c>
      <c r="AI90" s="8">
        <f>IFERROR(R90-AF90,"")</f>
        <v>18.266331018523488</v>
      </c>
      <c r="AJ90" s="8">
        <f>IFERROR(O90-AF90,"")</f>
        <v>13.266331018523488</v>
      </c>
      <c r="AK90" s="38">
        <f t="shared" si="29"/>
        <v>45049.266331018523</v>
      </c>
      <c r="AL90">
        <f>IFERROR(Z90-W90,"")</f>
        <v>5</v>
      </c>
      <c r="AM90">
        <f>IFERROR(R90-J90,"")</f>
        <v>20</v>
      </c>
      <c r="AN90">
        <f>IFERROR(V90-O90,"")</f>
        <v>1</v>
      </c>
      <c r="AO90">
        <f>IFERROR(J90-I90,"")</f>
        <v>4</v>
      </c>
      <c r="AP90">
        <f>IFERROR(AC90-X90,"")</f>
        <v>44900.266331018523</v>
      </c>
      <c r="AQ90">
        <f>IFERROR(AA90-W90,"")</f>
        <v>6</v>
      </c>
    </row>
    <row r="91" spans="1:43" x14ac:dyDescent="0.35">
      <c r="A91">
        <v>2862</v>
      </c>
      <c r="B91" t="s">
        <v>358</v>
      </c>
      <c r="C91" t="s">
        <v>213</v>
      </c>
      <c r="D91" t="str">
        <f t="shared" si="27"/>
        <v>Program Office</v>
      </c>
      <c r="E91" t="s">
        <v>332</v>
      </c>
      <c r="F91" t="s">
        <v>46</v>
      </c>
      <c r="G91" t="s">
        <v>333</v>
      </c>
      <c r="H91" t="s">
        <v>334</v>
      </c>
      <c r="I91" s="32">
        <v>44848.266331018523</v>
      </c>
      <c r="J91" s="32">
        <v>44852.266331018523</v>
      </c>
      <c r="K91" s="32">
        <v>44859.266331018523</v>
      </c>
      <c r="L91" s="8">
        <f t="shared" si="28"/>
        <v>11</v>
      </c>
      <c r="M91" s="7">
        <v>44929.266331018523</v>
      </c>
      <c r="N91" t="s">
        <v>72</v>
      </c>
      <c r="O91" s="34" t="s">
        <v>7474</v>
      </c>
      <c r="R91" s="32" t="s">
        <v>7472</v>
      </c>
      <c r="S91" t="s">
        <v>7476</v>
      </c>
      <c r="T91" s="34" t="s">
        <v>7476</v>
      </c>
      <c r="U91" s="34" t="s">
        <v>7476</v>
      </c>
      <c r="V91" s="32" t="s">
        <v>7476</v>
      </c>
      <c r="W91" s="32" t="s">
        <v>7476</v>
      </c>
      <c r="X91">
        <v>0</v>
      </c>
      <c r="Y91" s="34" t="s">
        <v>7476</v>
      </c>
      <c r="Z91" s="34" t="s">
        <v>7476</v>
      </c>
      <c r="AA91" s="34" t="s">
        <v>7476</v>
      </c>
      <c r="AB91" s="36" t="s">
        <v>7476</v>
      </c>
      <c r="AD91" t="s">
        <v>359</v>
      </c>
      <c r="AE91" t="s">
        <v>360</v>
      </c>
      <c r="AG91" t="s">
        <v>68</v>
      </c>
      <c r="AH91">
        <v>3</v>
      </c>
      <c r="AI91" s="8" t="str">
        <f>IFERROR(R91-AF91,"")</f>
        <v/>
      </c>
      <c r="AJ91" s="8" t="str">
        <f>IFERROR(O91-AF91,"")</f>
        <v/>
      </c>
      <c r="AK91" s="38" t="str">
        <f t="shared" si="29"/>
        <v/>
      </c>
      <c r="AL91" t="str">
        <f>IFERROR(Z91-W91,"")</f>
        <v/>
      </c>
      <c r="AM91" t="str">
        <f>IFERROR(R91-J91,"")</f>
        <v/>
      </c>
      <c r="AN91" t="str">
        <f>IFERROR(V91-O91,"")</f>
        <v/>
      </c>
      <c r="AO91">
        <f>IFERROR(J91-I91,"")</f>
        <v>4</v>
      </c>
      <c r="AP91">
        <f>IFERROR(AC91-X91,"")</f>
        <v>0</v>
      </c>
      <c r="AQ91" t="str">
        <f>IFERROR(AA91-W91,"")</f>
        <v/>
      </c>
    </row>
    <row r="92" spans="1:43" x14ac:dyDescent="0.35">
      <c r="A92">
        <v>2859</v>
      </c>
      <c r="B92" t="s">
        <v>361</v>
      </c>
      <c r="C92" t="s">
        <v>213</v>
      </c>
      <c r="D92" t="str">
        <f t="shared" si="27"/>
        <v>Program Office</v>
      </c>
      <c r="E92" t="s">
        <v>332</v>
      </c>
      <c r="F92" t="s">
        <v>46</v>
      </c>
      <c r="G92" t="s">
        <v>333</v>
      </c>
      <c r="H92" t="s">
        <v>334</v>
      </c>
      <c r="I92" s="32">
        <v>45035.4996875</v>
      </c>
      <c r="J92" s="32">
        <v>45038.4996875</v>
      </c>
      <c r="K92" s="32">
        <v>45041.4996875</v>
      </c>
      <c r="L92" s="8">
        <f t="shared" si="28"/>
        <v>6</v>
      </c>
      <c r="M92" s="7">
        <v>45111.4996875</v>
      </c>
      <c r="N92" t="s">
        <v>49</v>
      </c>
      <c r="O92" s="34">
        <v>45045.4996875</v>
      </c>
      <c r="P92" t="s">
        <v>50</v>
      </c>
      <c r="Q92" t="s">
        <v>236</v>
      </c>
      <c r="R92" s="32" t="s">
        <v>7472</v>
      </c>
      <c r="S92" t="s">
        <v>7476</v>
      </c>
      <c r="T92" s="34" t="s">
        <v>7476</v>
      </c>
      <c r="U92" s="34" t="s">
        <v>7476</v>
      </c>
      <c r="V92" s="32">
        <v>45047.4996875</v>
      </c>
      <c r="W92" s="32" t="s">
        <v>7476</v>
      </c>
      <c r="X92">
        <v>0</v>
      </c>
      <c r="Y92" s="34" t="s">
        <v>7476</v>
      </c>
      <c r="Z92" s="34" t="s">
        <v>7476</v>
      </c>
      <c r="AA92" s="34" t="s">
        <v>7476</v>
      </c>
      <c r="AB92" s="36" t="s">
        <v>52</v>
      </c>
      <c r="AD92" t="s">
        <v>362</v>
      </c>
      <c r="AE92" t="s">
        <v>363</v>
      </c>
      <c r="AF92" s="16">
        <v>45029</v>
      </c>
      <c r="AG92" t="s">
        <v>64</v>
      </c>
      <c r="AH92">
        <v>3</v>
      </c>
      <c r="AI92" s="8" t="str">
        <f>IFERROR(R92-AF92,"")</f>
        <v/>
      </c>
      <c r="AJ92" s="8">
        <f>IFERROR(O92-AF92,"")</f>
        <v>16.499687499999709</v>
      </c>
      <c r="AK92" s="38">
        <f t="shared" si="29"/>
        <v>45137.4996875</v>
      </c>
      <c r="AL92" t="str">
        <f>IFERROR(Z92-W92,"")</f>
        <v/>
      </c>
      <c r="AM92" t="str">
        <f>IFERROR(R92-J92,"")</f>
        <v/>
      </c>
      <c r="AN92">
        <f>IFERROR(V92-O92,"")</f>
        <v>2</v>
      </c>
      <c r="AO92">
        <f>IFERROR(J92-I92,"")</f>
        <v>3</v>
      </c>
      <c r="AP92">
        <f>IFERROR(AC92-X92,"")</f>
        <v>0</v>
      </c>
      <c r="AQ92" t="str">
        <f>IFERROR(AA92-W92,"")</f>
        <v/>
      </c>
    </row>
    <row r="93" spans="1:43" x14ac:dyDescent="0.35">
      <c r="A93">
        <v>2855</v>
      </c>
      <c r="B93" t="s">
        <v>364</v>
      </c>
      <c r="C93" t="s">
        <v>217</v>
      </c>
      <c r="D93" t="str">
        <f t="shared" si="27"/>
        <v>Program Office</v>
      </c>
      <c r="E93" t="s">
        <v>332</v>
      </c>
      <c r="F93" t="s">
        <v>46</v>
      </c>
      <c r="G93" t="s">
        <v>333</v>
      </c>
      <c r="H93" t="s">
        <v>334</v>
      </c>
      <c r="I93" s="32" t="s">
        <v>7471</v>
      </c>
      <c r="J93" s="32">
        <v>45035.4996875</v>
      </c>
      <c r="K93" s="32">
        <v>45041.4996875</v>
      </c>
      <c r="L93" s="8" t="str">
        <f t="shared" si="28"/>
        <v/>
      </c>
      <c r="M93" s="7">
        <v>45111.4996875</v>
      </c>
      <c r="N93" t="s">
        <v>49</v>
      </c>
      <c r="O93" s="34">
        <v>45045.4996875</v>
      </c>
      <c r="P93" t="s">
        <v>101</v>
      </c>
      <c r="R93" s="32">
        <v>45050.4996875</v>
      </c>
      <c r="S93" t="s">
        <v>101</v>
      </c>
      <c r="T93" s="34">
        <v>45047.4996875</v>
      </c>
      <c r="U93" s="34">
        <v>45048.4996875</v>
      </c>
      <c r="V93" s="32">
        <v>45048.4996875</v>
      </c>
      <c r="W93" s="32">
        <v>45057.4996875</v>
      </c>
      <c r="X93">
        <v>1</v>
      </c>
      <c r="Y93" s="34">
        <v>45059.4996875</v>
      </c>
      <c r="Z93" s="34">
        <v>45061.4996875</v>
      </c>
      <c r="AA93" s="34">
        <v>45063.4996875</v>
      </c>
      <c r="AB93" s="36" t="s">
        <v>7476</v>
      </c>
      <c r="AC93" s="10">
        <v>45083.4996875</v>
      </c>
      <c r="AD93" t="s">
        <v>365</v>
      </c>
      <c r="AE93" t="s">
        <v>366</v>
      </c>
      <c r="AF93" s="16">
        <v>45040</v>
      </c>
      <c r="AG93" t="s">
        <v>64</v>
      </c>
      <c r="AH93">
        <v>6</v>
      </c>
      <c r="AK93" s="38">
        <f t="shared" si="29"/>
        <v>45228.4996875</v>
      </c>
    </row>
    <row r="94" spans="1:43" x14ac:dyDescent="0.35">
      <c r="A94">
        <v>2851</v>
      </c>
      <c r="B94" t="s">
        <v>367</v>
      </c>
      <c r="C94" t="s">
        <v>213</v>
      </c>
      <c r="D94" t="str">
        <f t="shared" si="27"/>
        <v>Program Office</v>
      </c>
      <c r="E94" t="s">
        <v>332</v>
      </c>
      <c r="F94" t="s">
        <v>46</v>
      </c>
      <c r="G94" t="s">
        <v>333</v>
      </c>
      <c r="H94" t="s">
        <v>334</v>
      </c>
      <c r="I94" s="32">
        <v>45038.4996875</v>
      </c>
      <c r="J94" s="32">
        <v>45040.4996875</v>
      </c>
      <c r="K94" s="32">
        <v>45041.4996875</v>
      </c>
      <c r="L94" s="8">
        <f t="shared" si="28"/>
        <v>3</v>
      </c>
      <c r="M94" s="7">
        <v>45111.4996875</v>
      </c>
      <c r="N94" t="s">
        <v>49</v>
      </c>
      <c r="O94" s="34">
        <v>45056.4996875</v>
      </c>
      <c r="P94" t="s">
        <v>101</v>
      </c>
      <c r="R94" s="32">
        <v>45058.4996875</v>
      </c>
      <c r="S94" t="s">
        <v>101</v>
      </c>
      <c r="T94" s="34">
        <v>45057.4996875</v>
      </c>
      <c r="U94" s="34">
        <v>45061.4996875</v>
      </c>
      <c r="V94" s="32">
        <v>45057.4996875</v>
      </c>
      <c r="W94" s="32">
        <v>45067.4996875</v>
      </c>
      <c r="X94">
        <v>1</v>
      </c>
      <c r="Y94" s="34">
        <v>45071.4996875</v>
      </c>
      <c r="Z94" s="34">
        <v>45072.4996875</v>
      </c>
      <c r="AA94" s="34">
        <v>45073.4996875</v>
      </c>
      <c r="AB94" s="36" t="s">
        <v>7476</v>
      </c>
      <c r="AC94" s="10">
        <v>45091.4996875</v>
      </c>
      <c r="AD94" t="s">
        <v>368</v>
      </c>
      <c r="AE94" t="s">
        <v>369</v>
      </c>
      <c r="AF94" s="16">
        <v>45046</v>
      </c>
      <c r="AG94" t="s">
        <v>64</v>
      </c>
      <c r="AH94">
        <v>6</v>
      </c>
      <c r="AI94" s="8">
        <f>IFERROR(R94-AF94,"")</f>
        <v>12.499687499999709</v>
      </c>
      <c r="AJ94" s="8">
        <f>IFERROR(O94-AF94,"")</f>
        <v>10.499687499999709</v>
      </c>
      <c r="AK94" s="38">
        <f t="shared" si="29"/>
        <v>45237.4996875</v>
      </c>
      <c r="AL94">
        <f>IFERROR(Z94-W94,"")</f>
        <v>5</v>
      </c>
      <c r="AM94">
        <f>IFERROR(R94-J94,"")</f>
        <v>18</v>
      </c>
      <c r="AN94">
        <f>IFERROR(V94-O94,"")</f>
        <v>1</v>
      </c>
      <c r="AO94">
        <f>IFERROR(J94-I94,"")</f>
        <v>2</v>
      </c>
      <c r="AP94">
        <f>IFERROR(AC94-X94,"")</f>
        <v>45090.4996875</v>
      </c>
      <c r="AQ94">
        <f>IFERROR(AA94-W94,"")</f>
        <v>6</v>
      </c>
    </row>
    <row r="95" spans="1:43" x14ac:dyDescent="0.35">
      <c r="A95">
        <v>2790</v>
      </c>
      <c r="B95" t="s">
        <v>370</v>
      </c>
      <c r="C95" t="s">
        <v>202</v>
      </c>
      <c r="D95" t="str">
        <f t="shared" si="27"/>
        <v>Program Office</v>
      </c>
      <c r="E95" t="s">
        <v>332</v>
      </c>
      <c r="F95" t="s">
        <v>46</v>
      </c>
      <c r="G95" t="s">
        <v>333</v>
      </c>
      <c r="H95" t="s">
        <v>334</v>
      </c>
      <c r="I95" s="32">
        <v>45106.816620370373</v>
      </c>
      <c r="J95" s="32">
        <v>45107.816620370373</v>
      </c>
      <c r="K95" s="32">
        <v>45110.816620370373</v>
      </c>
      <c r="L95" s="8">
        <f t="shared" si="28"/>
        <v>4</v>
      </c>
      <c r="M95" s="7">
        <v>45122.816620370373</v>
      </c>
      <c r="N95" t="s">
        <v>72</v>
      </c>
      <c r="O95" s="34" t="s">
        <v>7474</v>
      </c>
      <c r="R95" s="32" t="s">
        <v>7472</v>
      </c>
      <c r="S95" t="s">
        <v>7476</v>
      </c>
      <c r="T95" s="34" t="s">
        <v>7476</v>
      </c>
      <c r="U95" s="34" t="s">
        <v>7476</v>
      </c>
      <c r="V95" s="32" t="s">
        <v>7476</v>
      </c>
      <c r="W95" s="32" t="s">
        <v>7476</v>
      </c>
      <c r="X95">
        <v>0</v>
      </c>
      <c r="Y95" s="34" t="s">
        <v>7476</v>
      </c>
      <c r="Z95" s="34" t="s">
        <v>7476</v>
      </c>
      <c r="AA95" s="34" t="s">
        <v>7476</v>
      </c>
      <c r="AB95" s="36" t="s">
        <v>7476</v>
      </c>
      <c r="AD95" t="s">
        <v>371</v>
      </c>
      <c r="AE95" t="s">
        <v>372</v>
      </c>
      <c r="AG95" t="s">
        <v>64</v>
      </c>
      <c r="AH95">
        <v>3</v>
      </c>
      <c r="AI95" s="8" t="str">
        <f>IFERROR(R95-AF95,"")</f>
        <v/>
      </c>
      <c r="AJ95" s="8" t="str">
        <f>IFERROR(O95-AF95,"")</f>
        <v/>
      </c>
      <c r="AK95" s="38" t="str">
        <f t="shared" si="29"/>
        <v/>
      </c>
      <c r="AL95" t="str">
        <f>IFERROR(Z95-W95,"")</f>
        <v/>
      </c>
      <c r="AM95" t="str">
        <f>IFERROR(R95-J95,"")</f>
        <v/>
      </c>
      <c r="AN95" t="str">
        <f>IFERROR(V95-O95,"")</f>
        <v/>
      </c>
      <c r="AO95">
        <f>IFERROR(J95-I95,"")</f>
        <v>1</v>
      </c>
      <c r="AP95">
        <f>IFERROR(AC95-X95,"")</f>
        <v>0</v>
      </c>
      <c r="AQ95" t="str">
        <f>IFERROR(AA95-W95,"")</f>
        <v/>
      </c>
    </row>
    <row r="96" spans="1:43" x14ac:dyDescent="0.35">
      <c r="A96">
        <v>2789</v>
      </c>
      <c r="B96" t="s">
        <v>373</v>
      </c>
      <c r="C96" t="s">
        <v>217</v>
      </c>
      <c r="D96" t="str">
        <f t="shared" si="27"/>
        <v>Program Office</v>
      </c>
      <c r="E96" t="s">
        <v>332</v>
      </c>
      <c r="F96" t="s">
        <v>46</v>
      </c>
      <c r="G96" t="s">
        <v>333</v>
      </c>
      <c r="H96" t="s">
        <v>334</v>
      </c>
      <c r="I96" s="32">
        <v>45107.816620370373</v>
      </c>
      <c r="J96" s="32">
        <v>45108.816620370373</v>
      </c>
      <c r="K96" s="32">
        <v>45110.816620370373</v>
      </c>
      <c r="L96" s="8">
        <f t="shared" si="28"/>
        <v>3</v>
      </c>
      <c r="M96" s="7">
        <v>45135.816620370373</v>
      </c>
      <c r="N96" t="s">
        <v>49</v>
      </c>
      <c r="O96" s="34">
        <v>45116.816620370373</v>
      </c>
      <c r="P96" t="s">
        <v>50</v>
      </c>
      <c r="Q96" t="s">
        <v>51</v>
      </c>
      <c r="R96" s="32" t="s">
        <v>7472</v>
      </c>
      <c r="S96" t="s">
        <v>7476</v>
      </c>
      <c r="T96" s="34" t="s">
        <v>7476</v>
      </c>
      <c r="U96" s="34" t="s">
        <v>7476</v>
      </c>
      <c r="V96" s="32">
        <v>45117.816620370373</v>
      </c>
      <c r="W96" s="32" t="s">
        <v>7476</v>
      </c>
      <c r="X96">
        <v>0</v>
      </c>
      <c r="Y96" s="34" t="s">
        <v>7476</v>
      </c>
      <c r="Z96" s="34" t="s">
        <v>7476</v>
      </c>
      <c r="AA96" s="34" t="s">
        <v>7476</v>
      </c>
      <c r="AB96" s="36" t="s">
        <v>52</v>
      </c>
      <c r="AD96" t="s">
        <v>374</v>
      </c>
      <c r="AE96" t="s">
        <v>375</v>
      </c>
      <c r="AF96" s="16">
        <v>45110</v>
      </c>
      <c r="AG96" t="s">
        <v>68</v>
      </c>
      <c r="AH96">
        <v>3</v>
      </c>
      <c r="AI96" s="8" t="str">
        <f>IFERROR(R96-AF96,"")</f>
        <v/>
      </c>
      <c r="AJ96" s="8">
        <f>IFERROR(O96-AF96,"")</f>
        <v>6.8166203703731298</v>
      </c>
      <c r="AK96" s="38">
        <f t="shared" si="29"/>
        <v>45207.816620370373</v>
      </c>
      <c r="AL96" t="str">
        <f>IFERROR(Z96-W96,"")</f>
        <v/>
      </c>
      <c r="AM96" t="str">
        <f>IFERROR(R96-J96,"")</f>
        <v/>
      </c>
      <c r="AN96">
        <f>IFERROR(V96-O96,"")</f>
        <v>1</v>
      </c>
      <c r="AO96">
        <f>IFERROR(J96-I96,"")</f>
        <v>1</v>
      </c>
      <c r="AP96">
        <f>IFERROR(AC96-X96,"")</f>
        <v>0</v>
      </c>
      <c r="AQ96" t="str">
        <f>IFERROR(AA96-W96,"")</f>
        <v/>
      </c>
    </row>
    <row r="97" spans="1:43" x14ac:dyDescent="0.35">
      <c r="A97">
        <v>2788</v>
      </c>
      <c r="B97" t="s">
        <v>376</v>
      </c>
      <c r="C97" t="s">
        <v>213</v>
      </c>
      <c r="D97" t="str">
        <f t="shared" si="27"/>
        <v>Program Office</v>
      </c>
      <c r="E97" t="s">
        <v>332</v>
      </c>
      <c r="F97" t="s">
        <v>46</v>
      </c>
      <c r="G97" t="s">
        <v>333</v>
      </c>
      <c r="H97" t="s">
        <v>334</v>
      </c>
      <c r="I97" s="32">
        <v>45104.816620370373</v>
      </c>
      <c r="J97" s="32" t="s">
        <v>7471</v>
      </c>
      <c r="K97" s="32">
        <v>45110.816620370373</v>
      </c>
      <c r="L97" s="8">
        <f t="shared" si="28"/>
        <v>6</v>
      </c>
      <c r="M97" s="7">
        <v>45126.816620370373</v>
      </c>
      <c r="N97" t="s">
        <v>49</v>
      </c>
      <c r="O97" s="34">
        <v>45116.816620370373</v>
      </c>
      <c r="P97" t="s">
        <v>60</v>
      </c>
      <c r="R97" s="32">
        <v>45123.816620370373</v>
      </c>
      <c r="S97" t="s">
        <v>61</v>
      </c>
      <c r="T97" s="34" t="s">
        <v>7476</v>
      </c>
      <c r="U97" s="34" t="s">
        <v>7476</v>
      </c>
      <c r="V97" s="32">
        <v>45119.816620370373</v>
      </c>
      <c r="W97" s="32" t="s">
        <v>7476</v>
      </c>
      <c r="X97">
        <v>0</v>
      </c>
      <c r="Y97" s="34" t="s">
        <v>7476</v>
      </c>
      <c r="Z97" s="34" t="s">
        <v>7476</v>
      </c>
      <c r="AA97" s="34" t="s">
        <v>7476</v>
      </c>
      <c r="AB97" s="36" t="s">
        <v>7476</v>
      </c>
      <c r="AD97" t="s">
        <v>377</v>
      </c>
      <c r="AE97" t="s">
        <v>378</v>
      </c>
      <c r="AF97" s="16">
        <v>45105</v>
      </c>
      <c r="AG97" t="s">
        <v>64</v>
      </c>
      <c r="AH97">
        <v>3</v>
      </c>
      <c r="AK97" s="38">
        <f t="shared" si="29"/>
        <v>45209.816620370373</v>
      </c>
    </row>
    <row r="98" spans="1:43" x14ac:dyDescent="0.35">
      <c r="A98">
        <v>2740</v>
      </c>
      <c r="B98" t="s">
        <v>379</v>
      </c>
      <c r="C98" t="s">
        <v>202</v>
      </c>
      <c r="D98" t="str">
        <f t="shared" si="27"/>
        <v>Program Office</v>
      </c>
      <c r="E98" t="s">
        <v>332</v>
      </c>
      <c r="F98" t="s">
        <v>46</v>
      </c>
      <c r="G98" t="s">
        <v>333</v>
      </c>
      <c r="H98" t="s">
        <v>334</v>
      </c>
      <c r="I98" s="32" t="s">
        <v>7471</v>
      </c>
      <c r="J98" s="32" t="s">
        <v>7471</v>
      </c>
      <c r="K98" s="32">
        <v>44757.981076388889</v>
      </c>
      <c r="L98" s="8" t="str">
        <f t="shared" si="28"/>
        <v/>
      </c>
      <c r="M98" s="7">
        <v>44766.981076388889</v>
      </c>
      <c r="N98" t="s">
        <v>72</v>
      </c>
      <c r="O98" s="34" t="s">
        <v>7474</v>
      </c>
      <c r="R98" s="32" t="s">
        <v>7472</v>
      </c>
      <c r="S98" t="s">
        <v>7476</v>
      </c>
      <c r="T98" s="34" t="s">
        <v>7476</v>
      </c>
      <c r="U98" s="34" t="s">
        <v>7476</v>
      </c>
      <c r="V98" s="32" t="s">
        <v>7476</v>
      </c>
      <c r="W98" s="32" t="s">
        <v>7476</v>
      </c>
      <c r="X98">
        <v>0</v>
      </c>
      <c r="Y98" s="34" t="s">
        <v>7476</v>
      </c>
      <c r="Z98" s="34" t="s">
        <v>7476</v>
      </c>
      <c r="AA98" s="34" t="s">
        <v>7476</v>
      </c>
      <c r="AB98" s="36" t="s">
        <v>7476</v>
      </c>
      <c r="AD98" t="s">
        <v>380</v>
      </c>
      <c r="AE98" t="s">
        <v>381</v>
      </c>
      <c r="AG98" t="s">
        <v>98</v>
      </c>
      <c r="AH98">
        <v>3</v>
      </c>
      <c r="AK98" s="38" t="str">
        <f t="shared" si="29"/>
        <v/>
      </c>
    </row>
    <row r="99" spans="1:43" x14ac:dyDescent="0.35">
      <c r="A99">
        <v>2569</v>
      </c>
      <c r="B99" t="s">
        <v>382</v>
      </c>
      <c r="C99" t="s">
        <v>213</v>
      </c>
      <c r="D99" t="str">
        <f t="shared" si="27"/>
        <v>Program Office</v>
      </c>
      <c r="E99" t="s">
        <v>332</v>
      </c>
      <c r="F99" t="s">
        <v>46</v>
      </c>
      <c r="G99" t="s">
        <v>333</v>
      </c>
      <c r="H99" t="s">
        <v>334</v>
      </c>
      <c r="I99" s="32">
        <v>44885.290763888886</v>
      </c>
      <c r="J99" s="32">
        <v>44888.290763888886</v>
      </c>
      <c r="K99" s="32">
        <v>44893.290763888886</v>
      </c>
      <c r="L99" s="8">
        <f t="shared" si="28"/>
        <v>8</v>
      </c>
      <c r="M99" s="7">
        <v>44900.290763888886</v>
      </c>
      <c r="N99" t="s">
        <v>49</v>
      </c>
      <c r="O99" s="34">
        <v>44898.290763888886</v>
      </c>
      <c r="P99" t="s">
        <v>50</v>
      </c>
      <c r="Q99" t="s">
        <v>236</v>
      </c>
      <c r="R99" s="32" t="s">
        <v>7472</v>
      </c>
      <c r="S99" t="s">
        <v>7476</v>
      </c>
      <c r="T99" s="34" t="s">
        <v>7476</v>
      </c>
      <c r="U99" s="34" t="s">
        <v>7476</v>
      </c>
      <c r="V99" s="32" t="s">
        <v>7476</v>
      </c>
      <c r="W99" s="32" t="s">
        <v>7476</v>
      </c>
      <c r="X99">
        <v>0</v>
      </c>
      <c r="Y99" s="34" t="s">
        <v>7476</v>
      </c>
      <c r="Z99" s="34" t="s">
        <v>7476</v>
      </c>
      <c r="AA99" s="34" t="s">
        <v>7476</v>
      </c>
      <c r="AB99" s="36" t="s">
        <v>52</v>
      </c>
      <c r="AD99" t="s">
        <v>383</v>
      </c>
      <c r="AE99" t="s">
        <v>384</v>
      </c>
      <c r="AF99" s="16">
        <v>44880</v>
      </c>
      <c r="AG99" t="s">
        <v>68</v>
      </c>
      <c r="AH99">
        <v>3</v>
      </c>
      <c r="AI99" s="8" t="str">
        <f>IFERROR(R99-AF99,"")</f>
        <v/>
      </c>
      <c r="AJ99" s="8">
        <f>IFERROR(O99-AF99,"")</f>
        <v>18.290763888886431</v>
      </c>
      <c r="AK99" s="38" t="str">
        <f t="shared" si="29"/>
        <v/>
      </c>
      <c r="AL99" t="str">
        <f>IFERROR(Z99-W99,"")</f>
        <v/>
      </c>
      <c r="AM99" t="str">
        <f>IFERROR(R99-J99,"")</f>
        <v/>
      </c>
      <c r="AN99" t="str">
        <f>IFERROR(V99-O99,"")</f>
        <v/>
      </c>
      <c r="AO99">
        <f>IFERROR(J99-I99,"")</f>
        <v>3</v>
      </c>
      <c r="AP99">
        <f>IFERROR(AC99-X99,"")</f>
        <v>0</v>
      </c>
      <c r="AQ99" t="str">
        <f>IFERROR(AA99-W99,"")</f>
        <v/>
      </c>
    </row>
    <row r="100" spans="1:43" x14ac:dyDescent="0.35">
      <c r="A100">
        <v>2567</v>
      </c>
      <c r="B100" t="s">
        <v>385</v>
      </c>
      <c r="C100" t="s">
        <v>213</v>
      </c>
      <c r="D100" t="str">
        <f t="shared" si="27"/>
        <v>Program Office</v>
      </c>
      <c r="E100" t="s">
        <v>332</v>
      </c>
      <c r="F100" t="s">
        <v>46</v>
      </c>
      <c r="G100" t="s">
        <v>333</v>
      </c>
      <c r="H100" t="s">
        <v>334</v>
      </c>
      <c r="I100" s="32">
        <v>44887.290763888886</v>
      </c>
      <c r="J100" s="32">
        <v>44889.290763888886</v>
      </c>
      <c r="K100" s="32">
        <v>44893.290763888886</v>
      </c>
      <c r="L100" s="8">
        <f t="shared" si="28"/>
        <v>6</v>
      </c>
      <c r="M100" s="7">
        <v>44913.290763888886</v>
      </c>
      <c r="N100" t="s">
        <v>72</v>
      </c>
      <c r="O100" s="34" t="s">
        <v>7474</v>
      </c>
      <c r="R100" s="32" t="s">
        <v>7472</v>
      </c>
      <c r="S100" t="s">
        <v>7476</v>
      </c>
      <c r="T100" s="34" t="s">
        <v>7476</v>
      </c>
      <c r="U100" s="34" t="s">
        <v>7476</v>
      </c>
      <c r="V100" s="32" t="s">
        <v>7476</v>
      </c>
      <c r="W100" s="32" t="s">
        <v>7476</v>
      </c>
      <c r="X100">
        <v>0</v>
      </c>
      <c r="Y100" s="34" t="s">
        <v>7476</v>
      </c>
      <c r="Z100" s="34" t="s">
        <v>7476</v>
      </c>
      <c r="AA100" s="34" t="s">
        <v>7476</v>
      </c>
      <c r="AB100" s="36" t="s">
        <v>7476</v>
      </c>
      <c r="AD100" t="s">
        <v>386</v>
      </c>
      <c r="AE100" t="s">
        <v>387</v>
      </c>
      <c r="AG100" t="s">
        <v>64</v>
      </c>
      <c r="AH100">
        <v>6</v>
      </c>
      <c r="AI100" s="8" t="str">
        <f>IFERROR(R100-AF100,"")</f>
        <v/>
      </c>
      <c r="AJ100" s="8" t="str">
        <f>IFERROR(O100-AF100,"")</f>
        <v/>
      </c>
      <c r="AK100" s="38" t="str">
        <f t="shared" si="29"/>
        <v/>
      </c>
      <c r="AL100" t="str">
        <f>IFERROR(Z100-W100,"")</f>
        <v/>
      </c>
      <c r="AM100" t="str">
        <f>IFERROR(R100-J100,"")</f>
        <v/>
      </c>
      <c r="AN100" t="str">
        <f>IFERROR(V100-O100,"")</f>
        <v/>
      </c>
      <c r="AO100">
        <f>IFERROR(J100-I100,"")</f>
        <v>2</v>
      </c>
      <c r="AP100">
        <f>IFERROR(AC100-X100,"")</f>
        <v>0</v>
      </c>
      <c r="AQ100" t="str">
        <f>IFERROR(AA100-W100,"")</f>
        <v/>
      </c>
    </row>
    <row r="101" spans="1:43" x14ac:dyDescent="0.35">
      <c r="A101">
        <v>2557</v>
      </c>
      <c r="B101" t="s">
        <v>388</v>
      </c>
      <c r="C101" t="s">
        <v>202</v>
      </c>
      <c r="D101" t="str">
        <f t="shared" si="27"/>
        <v>Program Office</v>
      </c>
      <c r="E101" t="s">
        <v>332</v>
      </c>
      <c r="F101" t="s">
        <v>46</v>
      </c>
      <c r="G101" t="s">
        <v>333</v>
      </c>
      <c r="H101" t="s">
        <v>334</v>
      </c>
      <c r="I101" s="32">
        <v>45144.715324074074</v>
      </c>
      <c r="J101" s="32">
        <v>45145.715324074074</v>
      </c>
      <c r="K101" s="32">
        <v>45148.715324074074</v>
      </c>
      <c r="L101" s="8">
        <f t="shared" si="28"/>
        <v>4</v>
      </c>
      <c r="M101" s="7">
        <v>45167.715324074074</v>
      </c>
      <c r="N101" t="s">
        <v>49</v>
      </c>
      <c r="O101" s="34">
        <v>45152.715324074074</v>
      </c>
      <c r="P101" t="s">
        <v>101</v>
      </c>
      <c r="R101" s="32">
        <v>45157.715324074074</v>
      </c>
      <c r="S101" t="s">
        <v>101</v>
      </c>
      <c r="T101" s="34">
        <v>45153.715324074074</v>
      </c>
      <c r="U101" s="34">
        <v>45154.715324074074</v>
      </c>
      <c r="V101" s="32">
        <v>45153.715324074074</v>
      </c>
      <c r="W101" s="32">
        <v>45158.715324074074</v>
      </c>
      <c r="X101">
        <v>1</v>
      </c>
      <c r="Y101" s="34">
        <v>45159.715324074074</v>
      </c>
      <c r="Z101" s="34">
        <v>45160.715324074074</v>
      </c>
      <c r="AA101" s="34">
        <v>45162.715324074074</v>
      </c>
      <c r="AB101" s="36" t="s">
        <v>7476</v>
      </c>
      <c r="AC101" s="10">
        <v>45181.715324074074</v>
      </c>
      <c r="AD101" t="s">
        <v>389</v>
      </c>
      <c r="AE101" t="s">
        <v>390</v>
      </c>
      <c r="AF101" s="16">
        <v>45143</v>
      </c>
      <c r="AG101" t="s">
        <v>68</v>
      </c>
      <c r="AH101">
        <v>3</v>
      </c>
      <c r="AI101" s="8">
        <f>IFERROR(R101-AF101,"")</f>
        <v>14.715324074073578</v>
      </c>
      <c r="AJ101" s="8">
        <f>IFERROR(O101-AF101,"")</f>
        <v>9.7153240740735782</v>
      </c>
      <c r="AK101" s="38">
        <f t="shared" si="29"/>
        <v>45243.715324074074</v>
      </c>
      <c r="AL101">
        <f>IFERROR(Z101-W101,"")</f>
        <v>2</v>
      </c>
      <c r="AM101">
        <f>IFERROR(R101-J101,"")</f>
        <v>12</v>
      </c>
      <c r="AN101">
        <f>IFERROR(V101-O101,"")</f>
        <v>1</v>
      </c>
      <c r="AO101">
        <f>IFERROR(J101-I101,"")</f>
        <v>1</v>
      </c>
      <c r="AP101">
        <f>IFERROR(AC101-X101,"")</f>
        <v>45180.715324074074</v>
      </c>
      <c r="AQ101">
        <f>IFERROR(AA101-W101,"")</f>
        <v>4</v>
      </c>
    </row>
    <row r="102" spans="1:43" x14ac:dyDescent="0.35">
      <c r="A102">
        <v>2551</v>
      </c>
      <c r="B102" t="s">
        <v>391</v>
      </c>
      <c r="C102" t="s">
        <v>202</v>
      </c>
      <c r="D102" t="str">
        <f t="shared" si="27"/>
        <v>Program Office</v>
      </c>
      <c r="E102" t="s">
        <v>332</v>
      </c>
      <c r="F102" t="s">
        <v>46</v>
      </c>
      <c r="G102" t="s">
        <v>333</v>
      </c>
      <c r="H102" t="s">
        <v>334</v>
      </c>
      <c r="I102" s="32" t="s">
        <v>7471</v>
      </c>
      <c r="J102" s="32">
        <v>45142.715324074074</v>
      </c>
      <c r="K102" s="32">
        <v>45148.715324074074</v>
      </c>
      <c r="L102" s="8" t="str">
        <f t="shared" si="28"/>
        <v/>
      </c>
      <c r="M102" s="7">
        <v>45174.715324074074</v>
      </c>
      <c r="N102" t="s">
        <v>49</v>
      </c>
      <c r="O102" s="34">
        <v>45152.715324074074</v>
      </c>
      <c r="P102" t="s">
        <v>392</v>
      </c>
      <c r="R102" s="32">
        <v>45157.715324074074</v>
      </c>
      <c r="S102" t="s">
        <v>392</v>
      </c>
      <c r="T102" s="34" t="s">
        <v>7476</v>
      </c>
      <c r="U102" s="34" t="s">
        <v>7476</v>
      </c>
      <c r="V102" s="32">
        <v>45155.715324074074</v>
      </c>
      <c r="W102" s="32" t="s">
        <v>7476</v>
      </c>
      <c r="X102">
        <v>0</v>
      </c>
      <c r="Y102" s="34" t="s">
        <v>7476</v>
      </c>
      <c r="Z102" s="34" t="s">
        <v>7476</v>
      </c>
      <c r="AA102" s="34" t="s">
        <v>7476</v>
      </c>
      <c r="AB102" s="36" t="s">
        <v>7476</v>
      </c>
      <c r="AD102" t="s">
        <v>393</v>
      </c>
      <c r="AE102" t="s">
        <v>394</v>
      </c>
      <c r="AF102" s="16">
        <v>45140</v>
      </c>
      <c r="AG102" t="s">
        <v>64</v>
      </c>
      <c r="AH102">
        <v>3</v>
      </c>
      <c r="AK102" s="38">
        <f t="shared" si="29"/>
        <v>45245.715324074074</v>
      </c>
    </row>
    <row r="103" spans="1:43" x14ac:dyDescent="0.35">
      <c r="A103">
        <v>2457</v>
      </c>
      <c r="B103" t="s">
        <v>395</v>
      </c>
      <c r="C103" t="s">
        <v>202</v>
      </c>
      <c r="D103" t="str">
        <f t="shared" si="27"/>
        <v>Program Office</v>
      </c>
      <c r="E103" t="s">
        <v>332</v>
      </c>
      <c r="F103" t="s">
        <v>46</v>
      </c>
      <c r="G103" t="s">
        <v>333</v>
      </c>
      <c r="H103" t="s">
        <v>334</v>
      </c>
      <c r="I103" s="32">
        <v>45162.069826388892</v>
      </c>
      <c r="J103" s="32">
        <v>45165.069826388892</v>
      </c>
      <c r="K103" s="32">
        <v>45167.069826388892</v>
      </c>
      <c r="L103" s="8">
        <f t="shared" si="28"/>
        <v>5</v>
      </c>
      <c r="M103" s="7">
        <v>45197.069826388892</v>
      </c>
      <c r="N103" t="s">
        <v>49</v>
      </c>
      <c r="O103" s="34">
        <v>45180.069826388892</v>
      </c>
      <c r="P103" t="s">
        <v>50</v>
      </c>
      <c r="Q103" t="s">
        <v>84</v>
      </c>
      <c r="R103" s="32" t="s">
        <v>7472</v>
      </c>
      <c r="S103" t="s">
        <v>7476</v>
      </c>
      <c r="T103" s="34" t="s">
        <v>7476</v>
      </c>
      <c r="U103" s="34" t="s">
        <v>7476</v>
      </c>
      <c r="V103" s="32">
        <v>45181.069826388892</v>
      </c>
      <c r="W103" s="32" t="s">
        <v>7476</v>
      </c>
      <c r="X103">
        <v>0</v>
      </c>
      <c r="Y103" s="34" t="s">
        <v>7476</v>
      </c>
      <c r="Z103" s="34" t="s">
        <v>7476</v>
      </c>
      <c r="AA103" s="34" t="s">
        <v>7476</v>
      </c>
      <c r="AB103" s="36" t="s">
        <v>95</v>
      </c>
      <c r="AD103" t="s">
        <v>396</v>
      </c>
      <c r="AE103" t="s">
        <v>397</v>
      </c>
      <c r="AF103" s="16">
        <v>45168</v>
      </c>
      <c r="AG103" t="s">
        <v>98</v>
      </c>
      <c r="AH103">
        <v>6</v>
      </c>
      <c r="AI103" s="8" t="str">
        <f>IFERROR(R103-AF103,"")</f>
        <v/>
      </c>
      <c r="AJ103" s="8">
        <f>IFERROR(O103-AF103,"")</f>
        <v>12.06982638889167</v>
      </c>
      <c r="AK103" s="38">
        <f t="shared" si="29"/>
        <v>45361.069826388892</v>
      </c>
      <c r="AL103" t="str">
        <f>IFERROR(Z103-W103,"")</f>
        <v/>
      </c>
      <c r="AM103" t="str">
        <f>IFERROR(R103-J103,"")</f>
        <v/>
      </c>
      <c r="AN103">
        <f>IFERROR(V103-O103,"")</f>
        <v>1</v>
      </c>
      <c r="AO103">
        <f>IFERROR(J103-I103,"")</f>
        <v>3</v>
      </c>
      <c r="AP103">
        <f>IFERROR(AC103-X103,"")</f>
        <v>0</v>
      </c>
      <c r="AQ103" t="str">
        <f>IFERROR(AA103-W103,"")</f>
        <v/>
      </c>
    </row>
    <row r="104" spans="1:43" x14ac:dyDescent="0.35">
      <c r="A104">
        <v>2406</v>
      </c>
      <c r="B104" t="s">
        <v>398</v>
      </c>
      <c r="C104" t="s">
        <v>217</v>
      </c>
      <c r="D104" t="str">
        <f t="shared" si="27"/>
        <v>Program Office</v>
      </c>
      <c r="E104" t="s">
        <v>332</v>
      </c>
      <c r="F104" t="s">
        <v>46</v>
      </c>
      <c r="G104" t="s">
        <v>333</v>
      </c>
      <c r="H104" t="s">
        <v>334</v>
      </c>
      <c r="I104" s="32">
        <v>45014.0859837963</v>
      </c>
      <c r="J104" s="32" t="s">
        <v>7471</v>
      </c>
      <c r="K104" s="32">
        <v>45022.0859837963</v>
      </c>
      <c r="L104" s="8">
        <f t="shared" si="28"/>
        <v>8</v>
      </c>
      <c r="M104" s="7">
        <v>45048.0859837963</v>
      </c>
      <c r="N104" t="s">
        <v>49</v>
      </c>
      <c r="O104" s="34">
        <v>45033.0859837963</v>
      </c>
      <c r="P104" t="s">
        <v>60</v>
      </c>
      <c r="R104" s="32">
        <v>45037.0859837963</v>
      </c>
      <c r="S104" t="s">
        <v>61</v>
      </c>
      <c r="T104" s="34" t="s">
        <v>7476</v>
      </c>
      <c r="U104" s="34" t="s">
        <v>7476</v>
      </c>
      <c r="V104" s="32">
        <v>45034.0859837963</v>
      </c>
      <c r="W104" s="32" t="s">
        <v>7476</v>
      </c>
      <c r="X104">
        <v>0</v>
      </c>
      <c r="Y104" s="34" t="s">
        <v>7476</v>
      </c>
      <c r="Z104" s="34" t="s">
        <v>7476</v>
      </c>
      <c r="AA104" s="34" t="s">
        <v>7476</v>
      </c>
      <c r="AB104" s="36" t="s">
        <v>7476</v>
      </c>
      <c r="AD104" t="s">
        <v>399</v>
      </c>
      <c r="AE104" t="s">
        <v>400</v>
      </c>
      <c r="AF104" s="16">
        <v>45014</v>
      </c>
      <c r="AG104" t="s">
        <v>64</v>
      </c>
      <c r="AH104">
        <v>6</v>
      </c>
      <c r="AK104" s="38">
        <f t="shared" si="29"/>
        <v>45214.0859837963</v>
      </c>
    </row>
    <row r="105" spans="1:43" x14ac:dyDescent="0.35">
      <c r="A105">
        <v>2401</v>
      </c>
      <c r="B105" t="s">
        <v>401</v>
      </c>
      <c r="C105" t="s">
        <v>213</v>
      </c>
      <c r="D105" t="str">
        <f t="shared" si="27"/>
        <v>Program Office</v>
      </c>
      <c r="E105" t="s">
        <v>332</v>
      </c>
      <c r="F105" t="s">
        <v>46</v>
      </c>
      <c r="G105" t="s">
        <v>333</v>
      </c>
      <c r="H105" t="s">
        <v>334</v>
      </c>
      <c r="I105" s="32">
        <v>45016.0859837963</v>
      </c>
      <c r="J105" s="32">
        <v>45019.0859837963</v>
      </c>
      <c r="K105" s="32" t="s">
        <v>7473</v>
      </c>
      <c r="L105" s="8" t="str">
        <f t="shared" si="28"/>
        <v/>
      </c>
      <c r="M105" s="7">
        <v>45050.0859837963</v>
      </c>
      <c r="N105" t="s">
        <v>49</v>
      </c>
      <c r="O105" s="34">
        <v>45027.0859837963</v>
      </c>
      <c r="P105" t="s">
        <v>60</v>
      </c>
      <c r="R105" s="32">
        <v>45034.0859837963</v>
      </c>
      <c r="S105" t="s">
        <v>61</v>
      </c>
      <c r="T105" s="34" t="s">
        <v>7476</v>
      </c>
      <c r="U105" s="34" t="s">
        <v>7476</v>
      </c>
      <c r="V105" s="32">
        <v>45031.0859837963</v>
      </c>
      <c r="W105" s="32" t="s">
        <v>7476</v>
      </c>
      <c r="X105">
        <v>0</v>
      </c>
      <c r="Y105" s="34" t="s">
        <v>7476</v>
      </c>
      <c r="Z105" s="34" t="s">
        <v>7476</v>
      </c>
      <c r="AA105" s="34" t="s">
        <v>7476</v>
      </c>
      <c r="AB105" s="36" t="s">
        <v>7476</v>
      </c>
      <c r="AD105" t="s">
        <v>402</v>
      </c>
      <c r="AE105" t="s">
        <v>403</v>
      </c>
      <c r="AF105" s="16">
        <v>45011</v>
      </c>
      <c r="AG105" t="s">
        <v>64</v>
      </c>
      <c r="AH105">
        <v>3</v>
      </c>
      <c r="AK105" s="38">
        <f t="shared" si="29"/>
        <v>45121.0859837963</v>
      </c>
    </row>
    <row r="106" spans="1:43" x14ac:dyDescent="0.35">
      <c r="A106">
        <v>2384</v>
      </c>
      <c r="B106" t="s">
        <v>404</v>
      </c>
      <c r="C106" t="s">
        <v>202</v>
      </c>
      <c r="D106" t="str">
        <f t="shared" si="27"/>
        <v>Program Office</v>
      </c>
      <c r="E106" t="s">
        <v>332</v>
      </c>
      <c r="F106" t="s">
        <v>46</v>
      </c>
      <c r="G106" t="s">
        <v>333</v>
      </c>
      <c r="H106" t="s">
        <v>334</v>
      </c>
      <c r="I106" s="32">
        <v>45029.529537037037</v>
      </c>
      <c r="J106" s="32">
        <v>45033.529537037037</v>
      </c>
      <c r="K106" s="32">
        <v>45036.529537037037</v>
      </c>
      <c r="L106" s="8">
        <f t="shared" si="28"/>
        <v>7</v>
      </c>
      <c r="M106" s="7">
        <v>45050.529537037037</v>
      </c>
      <c r="N106" t="s">
        <v>49</v>
      </c>
      <c r="O106" s="34">
        <v>45050.529537037037</v>
      </c>
      <c r="P106" t="s">
        <v>50</v>
      </c>
      <c r="Q106" t="s">
        <v>236</v>
      </c>
      <c r="R106" s="32" t="s">
        <v>7472</v>
      </c>
      <c r="S106" t="s">
        <v>7476</v>
      </c>
      <c r="T106" s="34" t="s">
        <v>7476</v>
      </c>
      <c r="U106" s="34" t="s">
        <v>7476</v>
      </c>
      <c r="V106" s="32">
        <v>45053.529537037037</v>
      </c>
      <c r="W106" s="32" t="s">
        <v>7476</v>
      </c>
      <c r="X106">
        <v>0</v>
      </c>
      <c r="Y106" s="34" t="s">
        <v>7476</v>
      </c>
      <c r="Z106" s="34" t="s">
        <v>7476</v>
      </c>
      <c r="AA106" s="34" t="s">
        <v>7476</v>
      </c>
      <c r="AB106" s="36" t="s">
        <v>95</v>
      </c>
      <c r="AD106" t="s">
        <v>405</v>
      </c>
      <c r="AE106" t="s">
        <v>406</v>
      </c>
      <c r="AF106" s="16">
        <v>45045</v>
      </c>
      <c r="AG106" t="s">
        <v>98</v>
      </c>
      <c r="AH106">
        <v>3</v>
      </c>
      <c r="AI106" s="8" t="str">
        <f>IFERROR(R106-AF106,"")</f>
        <v/>
      </c>
      <c r="AJ106" s="8">
        <f>IFERROR(O106-AF106,"")</f>
        <v>5.5295370370367891</v>
      </c>
      <c r="AK106" s="38">
        <f t="shared" si="29"/>
        <v>45143.529537037037</v>
      </c>
      <c r="AL106" t="str">
        <f>IFERROR(Z106-W106,"")</f>
        <v/>
      </c>
      <c r="AM106" t="str">
        <f>IFERROR(R106-J106,"")</f>
        <v/>
      </c>
      <c r="AN106">
        <f>IFERROR(V106-O106,"")</f>
        <v>3</v>
      </c>
      <c r="AO106">
        <f>IFERROR(J106-I106,"")</f>
        <v>4</v>
      </c>
      <c r="AP106">
        <f>IFERROR(AC106-X106,"")</f>
        <v>0</v>
      </c>
      <c r="AQ106" t="str">
        <f>IFERROR(AA106-W106,"")</f>
        <v/>
      </c>
    </row>
    <row r="107" spans="1:43" x14ac:dyDescent="0.35">
      <c r="A107">
        <v>2383</v>
      </c>
      <c r="B107" t="s">
        <v>407</v>
      </c>
      <c r="C107" t="s">
        <v>202</v>
      </c>
      <c r="D107" t="str">
        <f t="shared" si="27"/>
        <v>Program Office</v>
      </c>
      <c r="E107" t="s">
        <v>332</v>
      </c>
      <c r="F107" t="s">
        <v>46</v>
      </c>
      <c r="G107" t="s">
        <v>333</v>
      </c>
      <c r="H107" t="s">
        <v>334</v>
      </c>
      <c r="I107" s="32">
        <v>45031.529537037037</v>
      </c>
      <c r="J107" s="32">
        <v>45034.529537037037</v>
      </c>
      <c r="K107" s="32">
        <v>45036.529537037037</v>
      </c>
      <c r="L107" s="8">
        <f t="shared" si="28"/>
        <v>5</v>
      </c>
      <c r="M107" s="7">
        <v>45055.529537037037</v>
      </c>
      <c r="N107" t="s">
        <v>49</v>
      </c>
      <c r="O107" s="34">
        <v>45050.529537037037</v>
      </c>
      <c r="P107" t="s">
        <v>101</v>
      </c>
      <c r="R107" s="32">
        <v>45054.529537037037</v>
      </c>
      <c r="S107" t="s">
        <v>101</v>
      </c>
      <c r="T107" s="34">
        <v>45051.529537037037</v>
      </c>
      <c r="U107" s="34">
        <v>45055.529537037037</v>
      </c>
      <c r="V107" s="32">
        <v>45051.529537037037</v>
      </c>
      <c r="W107" s="32">
        <v>45056.529537037037</v>
      </c>
      <c r="X107">
        <v>1</v>
      </c>
      <c r="Y107" s="34">
        <v>45059.529537037037</v>
      </c>
      <c r="Z107" s="34">
        <v>45061.529537037037</v>
      </c>
      <c r="AA107" s="34">
        <v>45062.529537037037</v>
      </c>
      <c r="AB107" s="36" t="s">
        <v>7476</v>
      </c>
      <c r="AC107" s="10">
        <v>45081.529537037037</v>
      </c>
      <c r="AD107" t="s">
        <v>408</v>
      </c>
      <c r="AE107" t="s">
        <v>409</v>
      </c>
      <c r="AF107" s="16">
        <v>45034</v>
      </c>
      <c r="AG107" t="s">
        <v>64</v>
      </c>
      <c r="AH107">
        <v>3</v>
      </c>
      <c r="AI107" s="8">
        <f>IFERROR(R107-AF107,"")</f>
        <v>20.529537037036789</v>
      </c>
      <c r="AJ107" s="8">
        <f>IFERROR(O107-AF107,"")</f>
        <v>16.529537037036789</v>
      </c>
      <c r="AK107" s="38">
        <f t="shared" si="29"/>
        <v>45141.529537037037</v>
      </c>
      <c r="AL107">
        <f>IFERROR(Z107-W107,"")</f>
        <v>5</v>
      </c>
      <c r="AM107">
        <f>IFERROR(R107-J107,"")</f>
        <v>20</v>
      </c>
      <c r="AN107">
        <f>IFERROR(V107-O107,"")</f>
        <v>1</v>
      </c>
      <c r="AO107">
        <f>IFERROR(J107-I107,"")</f>
        <v>3</v>
      </c>
      <c r="AP107">
        <f>IFERROR(AC107-X107,"")</f>
        <v>45080.529537037037</v>
      </c>
      <c r="AQ107">
        <f>IFERROR(AA107-W107,"")</f>
        <v>6</v>
      </c>
    </row>
    <row r="108" spans="1:43" x14ac:dyDescent="0.35">
      <c r="A108">
        <v>2370</v>
      </c>
      <c r="B108" t="s">
        <v>410</v>
      </c>
      <c r="C108" t="s">
        <v>213</v>
      </c>
      <c r="D108" t="str">
        <f t="shared" si="27"/>
        <v>Program Office</v>
      </c>
      <c r="E108" t="s">
        <v>332</v>
      </c>
      <c r="F108" t="s">
        <v>46</v>
      </c>
      <c r="G108" t="s">
        <v>333</v>
      </c>
      <c r="H108" t="s">
        <v>334</v>
      </c>
      <c r="I108" s="32">
        <v>44973.268252314818</v>
      </c>
      <c r="J108" s="32">
        <v>44976.268252314818</v>
      </c>
      <c r="K108" s="32" t="s">
        <v>7473</v>
      </c>
      <c r="L108" s="8" t="str">
        <f t="shared" si="28"/>
        <v/>
      </c>
      <c r="M108" s="7">
        <v>44986.268252314818</v>
      </c>
      <c r="N108" t="s">
        <v>72</v>
      </c>
      <c r="O108" s="34" t="s">
        <v>7474</v>
      </c>
      <c r="R108" s="32" t="s">
        <v>7472</v>
      </c>
      <c r="S108" t="s">
        <v>7476</v>
      </c>
      <c r="T108" s="34" t="s">
        <v>7476</v>
      </c>
      <c r="U108" s="34" t="s">
        <v>7476</v>
      </c>
      <c r="V108" s="32" t="s">
        <v>7476</v>
      </c>
      <c r="W108" s="32" t="s">
        <v>7476</v>
      </c>
      <c r="X108">
        <v>0</v>
      </c>
      <c r="Y108" s="34" t="s">
        <v>7476</v>
      </c>
      <c r="Z108" s="34" t="s">
        <v>7476</v>
      </c>
      <c r="AA108" s="34" t="s">
        <v>7476</v>
      </c>
      <c r="AB108" s="36" t="s">
        <v>7476</v>
      </c>
      <c r="AD108" t="s">
        <v>411</v>
      </c>
      <c r="AE108" t="s">
        <v>412</v>
      </c>
      <c r="AG108" t="s">
        <v>75</v>
      </c>
      <c r="AH108">
        <v>6</v>
      </c>
      <c r="AK108" s="38" t="str">
        <f t="shared" si="29"/>
        <v/>
      </c>
    </row>
    <row r="109" spans="1:43" x14ac:dyDescent="0.35">
      <c r="A109">
        <v>2314</v>
      </c>
      <c r="B109" t="s">
        <v>413</v>
      </c>
      <c r="C109" t="s">
        <v>202</v>
      </c>
      <c r="D109" t="str">
        <f t="shared" si="27"/>
        <v>Program Office</v>
      </c>
      <c r="E109" t="s">
        <v>332</v>
      </c>
      <c r="F109" t="s">
        <v>46</v>
      </c>
      <c r="G109" t="s">
        <v>333</v>
      </c>
      <c r="H109" t="s">
        <v>334</v>
      </c>
      <c r="I109" s="32">
        <v>44670.037303240737</v>
      </c>
      <c r="J109" s="32">
        <v>44671.037303240737</v>
      </c>
      <c r="K109" s="32">
        <v>44677.037303240737</v>
      </c>
      <c r="L109" s="8">
        <f t="shared" si="28"/>
        <v>7</v>
      </c>
      <c r="M109" s="7">
        <v>44697.037303240737</v>
      </c>
      <c r="N109" t="s">
        <v>49</v>
      </c>
      <c r="O109" s="34">
        <v>44691.037303240737</v>
      </c>
      <c r="P109" t="s">
        <v>50</v>
      </c>
      <c r="Q109" t="s">
        <v>236</v>
      </c>
      <c r="R109" s="32" t="s">
        <v>7472</v>
      </c>
      <c r="S109" t="s">
        <v>7476</v>
      </c>
      <c r="T109" s="34" t="s">
        <v>7476</v>
      </c>
      <c r="U109" s="34" t="s">
        <v>7476</v>
      </c>
      <c r="V109" s="32">
        <v>44694.037303240737</v>
      </c>
      <c r="W109" s="32" t="s">
        <v>7476</v>
      </c>
      <c r="X109">
        <v>0</v>
      </c>
      <c r="Y109" s="34" t="s">
        <v>7476</v>
      </c>
      <c r="Z109" s="34" t="s">
        <v>7476</v>
      </c>
      <c r="AA109" s="34" t="s">
        <v>7476</v>
      </c>
      <c r="AB109" s="36" t="s">
        <v>52</v>
      </c>
      <c r="AD109" t="s">
        <v>414</v>
      </c>
      <c r="AE109" t="s">
        <v>415</v>
      </c>
      <c r="AF109" s="16">
        <v>44656</v>
      </c>
      <c r="AG109" t="s">
        <v>64</v>
      </c>
      <c r="AH109">
        <v>6</v>
      </c>
      <c r="AI109" s="8" t="str">
        <f>IFERROR(R109-AF109,"")</f>
        <v/>
      </c>
      <c r="AJ109" s="8">
        <f>IFERROR(O109-AF109,"")</f>
        <v>35.037303240736946</v>
      </c>
      <c r="AK109" s="38">
        <f t="shared" si="29"/>
        <v>44874.037303240737</v>
      </c>
      <c r="AL109" t="str">
        <f>IFERROR(Z109-W109,"")</f>
        <v/>
      </c>
      <c r="AM109" t="str">
        <f>IFERROR(R109-J109,"")</f>
        <v/>
      </c>
      <c r="AN109">
        <f>IFERROR(V109-O109,"")</f>
        <v>3</v>
      </c>
      <c r="AO109">
        <f>IFERROR(J109-I109,"")</f>
        <v>1</v>
      </c>
      <c r="AP109">
        <f>IFERROR(AC109-X109,"")</f>
        <v>0</v>
      </c>
      <c r="AQ109" t="str">
        <f>IFERROR(AA109-W109,"")</f>
        <v/>
      </c>
    </row>
    <row r="110" spans="1:43" x14ac:dyDescent="0.35">
      <c r="A110">
        <v>2313</v>
      </c>
      <c r="B110" t="s">
        <v>416</v>
      </c>
      <c r="C110" t="s">
        <v>217</v>
      </c>
      <c r="D110" t="str">
        <f t="shared" si="27"/>
        <v>Program Office</v>
      </c>
      <c r="E110" t="s">
        <v>332</v>
      </c>
      <c r="F110" t="s">
        <v>46</v>
      </c>
      <c r="G110" t="s">
        <v>333</v>
      </c>
      <c r="H110" t="s">
        <v>334</v>
      </c>
      <c r="I110" s="32">
        <v>44670.037303240737</v>
      </c>
      <c r="J110" s="32">
        <v>44673.037303240737</v>
      </c>
      <c r="K110" s="32">
        <v>44677.037303240737</v>
      </c>
      <c r="L110" s="8">
        <f t="shared" si="28"/>
        <v>7</v>
      </c>
      <c r="M110" s="7">
        <v>44703.037303240737</v>
      </c>
      <c r="N110" t="s">
        <v>49</v>
      </c>
      <c r="O110" s="34">
        <v>44688.037303240737</v>
      </c>
      <c r="P110" t="s">
        <v>392</v>
      </c>
      <c r="R110" s="32">
        <v>44691.037303240737</v>
      </c>
      <c r="S110" t="s">
        <v>392</v>
      </c>
      <c r="T110" s="34" t="s">
        <v>7476</v>
      </c>
      <c r="U110" s="34" t="s">
        <v>7476</v>
      </c>
      <c r="V110" s="32">
        <v>44689.037303240737</v>
      </c>
      <c r="W110" s="32" t="s">
        <v>7476</v>
      </c>
      <c r="X110">
        <v>0</v>
      </c>
      <c r="Y110" s="34" t="s">
        <v>7476</v>
      </c>
      <c r="Z110" s="34" t="s">
        <v>7476</v>
      </c>
      <c r="AA110" s="34" t="s">
        <v>7476</v>
      </c>
      <c r="AB110" s="36" t="s">
        <v>7476</v>
      </c>
      <c r="AD110" t="s">
        <v>417</v>
      </c>
      <c r="AE110" t="s">
        <v>418</v>
      </c>
      <c r="AF110" s="16">
        <v>44678</v>
      </c>
      <c r="AG110" t="s">
        <v>98</v>
      </c>
      <c r="AH110">
        <v>3</v>
      </c>
      <c r="AI110" s="8">
        <f>IFERROR(R110-AF110,"")</f>
        <v>13.037303240736946</v>
      </c>
      <c r="AJ110" s="8">
        <f>IFERROR(O110-AF110,"")</f>
        <v>10.037303240736946</v>
      </c>
      <c r="AK110" s="38">
        <f t="shared" si="29"/>
        <v>44779.037303240737</v>
      </c>
      <c r="AL110" t="str">
        <f>IFERROR(Z110-W110,"")</f>
        <v/>
      </c>
      <c r="AM110">
        <f>IFERROR(R110-J110,"")</f>
        <v>18</v>
      </c>
      <c r="AN110">
        <f>IFERROR(V110-O110,"")</f>
        <v>1</v>
      </c>
      <c r="AO110">
        <f>IFERROR(J110-I110,"")</f>
        <v>3</v>
      </c>
      <c r="AP110">
        <f>IFERROR(AC110-X110,"")</f>
        <v>0</v>
      </c>
      <c r="AQ110" t="str">
        <f>IFERROR(AA110-W110,"")</f>
        <v/>
      </c>
    </row>
    <row r="111" spans="1:43" x14ac:dyDescent="0.35">
      <c r="A111">
        <v>2267</v>
      </c>
      <c r="B111" t="s">
        <v>419</v>
      </c>
      <c r="C111" t="s">
        <v>217</v>
      </c>
      <c r="D111" t="str">
        <f t="shared" si="27"/>
        <v>Program Office</v>
      </c>
      <c r="E111" t="s">
        <v>332</v>
      </c>
      <c r="F111" t="s">
        <v>46</v>
      </c>
      <c r="G111" t="s">
        <v>333</v>
      </c>
      <c r="H111" t="s">
        <v>334</v>
      </c>
      <c r="I111" s="32" t="s">
        <v>7471</v>
      </c>
      <c r="J111" s="32">
        <v>45030.937696759262</v>
      </c>
      <c r="K111" s="32">
        <v>45036.937696759262</v>
      </c>
      <c r="L111" s="8" t="str">
        <f t="shared" si="28"/>
        <v/>
      </c>
      <c r="M111" s="7">
        <v>45048.937696759262</v>
      </c>
      <c r="N111" t="s">
        <v>49</v>
      </c>
      <c r="O111" s="34">
        <v>45038.937696759262</v>
      </c>
      <c r="P111" t="s">
        <v>50</v>
      </c>
      <c r="Q111" t="s">
        <v>125</v>
      </c>
      <c r="R111" s="32" t="s">
        <v>7472</v>
      </c>
      <c r="S111" t="s">
        <v>7476</v>
      </c>
      <c r="T111" s="34" t="s">
        <v>7476</v>
      </c>
      <c r="U111" s="34" t="s">
        <v>7476</v>
      </c>
      <c r="V111" s="32" t="s">
        <v>7476</v>
      </c>
      <c r="W111" s="32" t="s">
        <v>7476</v>
      </c>
      <c r="X111">
        <v>0</v>
      </c>
      <c r="Y111" s="34" t="s">
        <v>7476</v>
      </c>
      <c r="Z111" s="34" t="s">
        <v>7476</v>
      </c>
      <c r="AA111" s="34" t="s">
        <v>7476</v>
      </c>
      <c r="AB111" s="36" t="s">
        <v>95</v>
      </c>
      <c r="AD111" t="s">
        <v>420</v>
      </c>
      <c r="AE111" t="s">
        <v>421</v>
      </c>
      <c r="AF111" s="16">
        <v>45031</v>
      </c>
      <c r="AG111" t="s">
        <v>75</v>
      </c>
      <c r="AH111">
        <v>3</v>
      </c>
      <c r="AK111" s="38" t="str">
        <f t="shared" si="29"/>
        <v/>
      </c>
    </row>
    <row r="112" spans="1:43" x14ac:dyDescent="0.35">
      <c r="A112">
        <v>2263</v>
      </c>
      <c r="B112" t="s">
        <v>422</v>
      </c>
      <c r="C112" t="s">
        <v>202</v>
      </c>
      <c r="D112" t="str">
        <f t="shared" si="27"/>
        <v>Program Office</v>
      </c>
      <c r="E112" t="s">
        <v>332</v>
      </c>
      <c r="F112" t="s">
        <v>46</v>
      </c>
      <c r="G112" t="s">
        <v>333</v>
      </c>
      <c r="H112" t="s">
        <v>334</v>
      </c>
      <c r="I112" s="32">
        <v>45030.937696759262</v>
      </c>
      <c r="J112" s="32" t="s">
        <v>7471</v>
      </c>
      <c r="K112" s="32">
        <v>45036.937696759262</v>
      </c>
      <c r="L112" s="8">
        <f t="shared" si="28"/>
        <v>6</v>
      </c>
      <c r="M112" s="7">
        <v>45061.937696759262</v>
      </c>
      <c r="N112" t="s">
        <v>49</v>
      </c>
      <c r="O112" s="34">
        <v>45053.937696759262</v>
      </c>
      <c r="P112" t="s">
        <v>60</v>
      </c>
      <c r="R112" s="32">
        <v>45059.937696759262</v>
      </c>
      <c r="S112" t="s">
        <v>61</v>
      </c>
      <c r="T112" s="34" t="s">
        <v>7476</v>
      </c>
      <c r="U112" s="34" t="s">
        <v>7476</v>
      </c>
      <c r="V112" s="32">
        <v>45056.937696759262</v>
      </c>
      <c r="W112" s="32" t="s">
        <v>7476</v>
      </c>
      <c r="X112">
        <v>0</v>
      </c>
      <c r="Y112" s="34" t="s">
        <v>7476</v>
      </c>
      <c r="Z112" s="34" t="s">
        <v>7476</v>
      </c>
      <c r="AA112" s="34" t="s">
        <v>7476</v>
      </c>
      <c r="AB112" s="36" t="s">
        <v>7476</v>
      </c>
      <c r="AD112" t="s">
        <v>423</v>
      </c>
      <c r="AE112" t="s">
        <v>424</v>
      </c>
      <c r="AF112" s="16">
        <v>45040</v>
      </c>
      <c r="AG112" t="s">
        <v>75</v>
      </c>
      <c r="AH112">
        <v>3</v>
      </c>
      <c r="AK112" s="38">
        <f t="shared" si="29"/>
        <v>45146.937696759262</v>
      </c>
    </row>
    <row r="113" spans="1:43" x14ac:dyDescent="0.35">
      <c r="A113">
        <v>2216</v>
      </c>
      <c r="B113" t="s">
        <v>425</v>
      </c>
      <c r="C113" t="s">
        <v>217</v>
      </c>
      <c r="D113" t="str">
        <f t="shared" si="27"/>
        <v>Program Office</v>
      </c>
      <c r="E113" t="s">
        <v>332</v>
      </c>
      <c r="F113" t="s">
        <v>46</v>
      </c>
      <c r="G113" t="s">
        <v>333</v>
      </c>
      <c r="H113" t="s">
        <v>334</v>
      </c>
      <c r="I113" s="32" t="s">
        <v>7471</v>
      </c>
      <c r="J113" s="32">
        <v>44643.873194444437</v>
      </c>
      <c r="K113" s="32">
        <v>44648.873194444437</v>
      </c>
      <c r="L113" s="8" t="str">
        <f t="shared" si="28"/>
        <v/>
      </c>
      <c r="M113" s="7">
        <v>44671.873194444437</v>
      </c>
      <c r="N113" t="s">
        <v>49</v>
      </c>
      <c r="O113" s="34">
        <v>44657.873194444437</v>
      </c>
      <c r="P113" t="s">
        <v>50</v>
      </c>
      <c r="Q113" t="s">
        <v>84</v>
      </c>
      <c r="R113" s="32" t="s">
        <v>7472</v>
      </c>
      <c r="S113" t="s">
        <v>7476</v>
      </c>
      <c r="T113" s="34" t="s">
        <v>7476</v>
      </c>
      <c r="U113" s="34" t="s">
        <v>7476</v>
      </c>
      <c r="V113" s="32" t="s">
        <v>7476</v>
      </c>
      <c r="W113" s="32" t="s">
        <v>7476</v>
      </c>
      <c r="X113">
        <v>0</v>
      </c>
      <c r="Y113" s="34" t="s">
        <v>7476</v>
      </c>
      <c r="Z113" s="34" t="s">
        <v>7476</v>
      </c>
      <c r="AA113" s="34" t="s">
        <v>7476</v>
      </c>
      <c r="AB113" s="36" t="s">
        <v>52</v>
      </c>
      <c r="AD113" t="s">
        <v>426</v>
      </c>
      <c r="AE113" t="s">
        <v>427</v>
      </c>
      <c r="AF113" s="16">
        <v>44638</v>
      </c>
      <c r="AG113" t="s">
        <v>98</v>
      </c>
      <c r="AH113">
        <v>3</v>
      </c>
      <c r="AK113" s="38" t="str">
        <f t="shared" si="29"/>
        <v/>
      </c>
    </row>
    <row r="114" spans="1:43" x14ac:dyDescent="0.35">
      <c r="A114">
        <v>2215</v>
      </c>
      <c r="B114" t="s">
        <v>428</v>
      </c>
      <c r="C114" t="s">
        <v>217</v>
      </c>
      <c r="D114" t="str">
        <f t="shared" si="27"/>
        <v>Program Office</v>
      </c>
      <c r="E114" t="s">
        <v>332</v>
      </c>
      <c r="F114" t="s">
        <v>46</v>
      </c>
      <c r="G114" t="s">
        <v>333</v>
      </c>
      <c r="H114" t="s">
        <v>334</v>
      </c>
      <c r="I114" s="32">
        <v>44642.873194444437</v>
      </c>
      <c r="J114" s="32">
        <v>44644.873194444437</v>
      </c>
      <c r="K114" s="32">
        <v>44648.873194444437</v>
      </c>
      <c r="L114" s="8">
        <f t="shared" si="28"/>
        <v>6</v>
      </c>
      <c r="M114" s="7">
        <v>44668.873194444437</v>
      </c>
      <c r="N114" t="s">
        <v>49</v>
      </c>
      <c r="O114" s="34">
        <v>44658.873194444437</v>
      </c>
      <c r="P114" t="s">
        <v>50</v>
      </c>
      <c r="Q114" t="s">
        <v>236</v>
      </c>
      <c r="R114" s="32" t="s">
        <v>7472</v>
      </c>
      <c r="S114" t="s">
        <v>7476</v>
      </c>
      <c r="T114" s="34" t="s">
        <v>7476</v>
      </c>
      <c r="U114" s="34" t="s">
        <v>7476</v>
      </c>
      <c r="V114" s="32">
        <v>44662.873194444437</v>
      </c>
      <c r="W114" s="32" t="s">
        <v>7476</v>
      </c>
      <c r="X114">
        <v>0</v>
      </c>
      <c r="Y114" s="34" t="s">
        <v>7476</v>
      </c>
      <c r="Z114" s="34" t="s">
        <v>7476</v>
      </c>
      <c r="AA114" s="34" t="s">
        <v>7476</v>
      </c>
      <c r="AB114" s="36" t="s">
        <v>52</v>
      </c>
      <c r="AD114" t="s">
        <v>429</v>
      </c>
      <c r="AE114" t="s">
        <v>430</v>
      </c>
      <c r="AF114" s="16">
        <v>44648</v>
      </c>
      <c r="AG114" t="s">
        <v>68</v>
      </c>
      <c r="AH114">
        <v>3</v>
      </c>
      <c r="AI114" s="8" t="str">
        <f>IFERROR(R114-AF114,"")</f>
        <v/>
      </c>
      <c r="AJ114" s="8">
        <f>IFERROR(O114-AF114,"")</f>
        <v>10.873194444437104</v>
      </c>
      <c r="AK114" s="38">
        <f t="shared" si="29"/>
        <v>44752.873194444437</v>
      </c>
      <c r="AL114" t="str">
        <f>IFERROR(Z114-W114,"")</f>
        <v/>
      </c>
      <c r="AM114" t="str">
        <f>IFERROR(R114-J114,"")</f>
        <v/>
      </c>
      <c r="AN114">
        <f>IFERROR(V114-O114,"")</f>
        <v>4</v>
      </c>
      <c r="AO114">
        <f>IFERROR(J114-I114,"")</f>
        <v>2</v>
      </c>
      <c r="AP114">
        <f>IFERROR(AC114-X114,"")</f>
        <v>0</v>
      </c>
      <c r="AQ114" t="str">
        <f>IFERROR(AA114-W114,"")</f>
        <v/>
      </c>
    </row>
    <row r="115" spans="1:43" x14ac:dyDescent="0.35">
      <c r="A115">
        <v>2213</v>
      </c>
      <c r="B115" t="s">
        <v>431</v>
      </c>
      <c r="C115" t="s">
        <v>213</v>
      </c>
      <c r="D115" t="str">
        <f t="shared" si="27"/>
        <v>Program Office</v>
      </c>
      <c r="E115" t="s">
        <v>332</v>
      </c>
      <c r="F115" t="s">
        <v>46</v>
      </c>
      <c r="G115" t="s">
        <v>333</v>
      </c>
      <c r="H115" t="s">
        <v>334</v>
      </c>
      <c r="I115" s="32" t="s">
        <v>7471</v>
      </c>
      <c r="J115" s="32">
        <v>44643.873194444437</v>
      </c>
      <c r="K115" s="32">
        <v>44648.873194444437</v>
      </c>
      <c r="L115" s="8" t="str">
        <f t="shared" si="28"/>
        <v/>
      </c>
      <c r="M115" s="7">
        <v>44672.873194444437</v>
      </c>
      <c r="N115" t="s">
        <v>49</v>
      </c>
      <c r="O115" s="34">
        <v>44662.873194444437</v>
      </c>
      <c r="P115" t="s">
        <v>392</v>
      </c>
      <c r="R115" s="32">
        <v>44667.873194444437</v>
      </c>
      <c r="S115" t="s">
        <v>392</v>
      </c>
      <c r="T115" s="34" t="s">
        <v>7476</v>
      </c>
      <c r="U115" s="34" t="s">
        <v>7476</v>
      </c>
      <c r="V115" s="32">
        <v>44666.873194444437</v>
      </c>
      <c r="W115" s="32" t="s">
        <v>7476</v>
      </c>
      <c r="X115">
        <v>0</v>
      </c>
      <c r="Y115" s="34" t="s">
        <v>7476</v>
      </c>
      <c r="Z115" s="34" t="s">
        <v>7476</v>
      </c>
      <c r="AA115" s="34" t="s">
        <v>7476</v>
      </c>
      <c r="AB115" s="36" t="s">
        <v>7476</v>
      </c>
      <c r="AD115" t="s">
        <v>432</v>
      </c>
      <c r="AE115" t="s">
        <v>433</v>
      </c>
      <c r="AF115" s="16">
        <v>44649</v>
      </c>
      <c r="AG115" t="s">
        <v>64</v>
      </c>
      <c r="AH115">
        <v>3</v>
      </c>
      <c r="AK115" s="38">
        <f t="shared" si="29"/>
        <v>44756.873194444437</v>
      </c>
    </row>
    <row r="116" spans="1:43" x14ac:dyDescent="0.35">
      <c r="A116">
        <v>2200</v>
      </c>
      <c r="B116" t="s">
        <v>434</v>
      </c>
      <c r="C116" t="s">
        <v>213</v>
      </c>
      <c r="D116" t="str">
        <f t="shared" si="27"/>
        <v>Program Office</v>
      </c>
      <c r="E116" t="s">
        <v>332</v>
      </c>
      <c r="F116" t="s">
        <v>46</v>
      </c>
      <c r="G116" t="s">
        <v>333</v>
      </c>
      <c r="H116" t="s">
        <v>334</v>
      </c>
      <c r="I116" s="32">
        <v>44803.166006944448</v>
      </c>
      <c r="J116" s="32" t="s">
        <v>7471</v>
      </c>
      <c r="K116" s="32">
        <v>44807.166006944448</v>
      </c>
      <c r="L116" s="8">
        <f t="shared" si="28"/>
        <v>4</v>
      </c>
      <c r="M116" s="7">
        <v>44812.166006944448</v>
      </c>
      <c r="N116" t="s">
        <v>49</v>
      </c>
      <c r="O116" s="34">
        <v>44822.166006944448</v>
      </c>
      <c r="P116" t="s">
        <v>392</v>
      </c>
      <c r="R116" s="32">
        <v>44830.166006944448</v>
      </c>
      <c r="S116" t="s">
        <v>392</v>
      </c>
      <c r="T116" s="34" t="s">
        <v>7476</v>
      </c>
      <c r="U116" s="34" t="s">
        <v>7476</v>
      </c>
      <c r="V116" s="32">
        <v>44826.166006944448</v>
      </c>
      <c r="W116" s="32" t="s">
        <v>7476</v>
      </c>
      <c r="X116">
        <v>0</v>
      </c>
      <c r="Y116" s="34" t="s">
        <v>7476</v>
      </c>
      <c r="Z116" s="34" t="s">
        <v>7476</v>
      </c>
      <c r="AA116" s="34" t="s">
        <v>7476</v>
      </c>
      <c r="AB116" s="36" t="s">
        <v>7476</v>
      </c>
      <c r="AD116" t="s">
        <v>435</v>
      </c>
      <c r="AE116" t="s">
        <v>436</v>
      </c>
      <c r="AF116" s="16">
        <v>44805</v>
      </c>
      <c r="AG116" t="s">
        <v>64</v>
      </c>
      <c r="AH116">
        <v>3</v>
      </c>
      <c r="AK116" s="38">
        <f t="shared" si="29"/>
        <v>44916.166006944448</v>
      </c>
    </row>
    <row r="117" spans="1:43" x14ac:dyDescent="0.35">
      <c r="A117">
        <v>2197</v>
      </c>
      <c r="B117" t="s">
        <v>437</v>
      </c>
      <c r="C117" t="s">
        <v>213</v>
      </c>
      <c r="D117" t="str">
        <f t="shared" si="27"/>
        <v>Program Office</v>
      </c>
      <c r="E117" t="s">
        <v>332</v>
      </c>
      <c r="F117" t="s">
        <v>46</v>
      </c>
      <c r="G117" t="s">
        <v>333</v>
      </c>
      <c r="H117" t="s">
        <v>334</v>
      </c>
      <c r="I117" s="32">
        <v>44800.166006944448</v>
      </c>
      <c r="J117" s="32">
        <v>44801.166006944448</v>
      </c>
      <c r="K117" s="32">
        <v>44807.166006944448</v>
      </c>
      <c r="L117" s="8">
        <f t="shared" si="28"/>
        <v>7</v>
      </c>
      <c r="M117" s="7">
        <v>44816.166006944448</v>
      </c>
      <c r="N117" t="s">
        <v>49</v>
      </c>
      <c r="O117" s="34">
        <v>44822.166006944448</v>
      </c>
      <c r="P117" t="s">
        <v>101</v>
      </c>
      <c r="R117" s="32">
        <v>44827.166006944448</v>
      </c>
      <c r="S117" t="s">
        <v>101</v>
      </c>
      <c r="T117" s="34">
        <v>44823.166006944448</v>
      </c>
      <c r="U117" s="34">
        <v>44824.166006944448</v>
      </c>
      <c r="V117" s="32">
        <v>44826.166006944448</v>
      </c>
      <c r="W117" s="32">
        <v>44828.166006944448</v>
      </c>
      <c r="X117">
        <v>1</v>
      </c>
      <c r="Y117" s="34">
        <v>44829.166006944448</v>
      </c>
      <c r="Z117" s="34">
        <v>44832.166006944448</v>
      </c>
      <c r="AA117" s="34">
        <v>44835.166006944448</v>
      </c>
      <c r="AB117" s="36" t="s">
        <v>7476</v>
      </c>
      <c r="AC117" s="10">
        <v>44854.166006944448</v>
      </c>
      <c r="AD117" t="s">
        <v>438</v>
      </c>
      <c r="AE117" t="s">
        <v>439</v>
      </c>
      <c r="AF117" s="16">
        <v>44815</v>
      </c>
      <c r="AG117" t="s">
        <v>98</v>
      </c>
      <c r="AH117">
        <v>3</v>
      </c>
      <c r="AI117" s="8">
        <f t="shared" ref="AI117:AI122" si="38">IFERROR(R117-AF117,"")</f>
        <v>12.166006944447872</v>
      </c>
      <c r="AJ117" s="8">
        <f t="shared" ref="AJ117:AJ122" si="39">IFERROR(O117-AF117,"")</f>
        <v>7.1660069444478722</v>
      </c>
      <c r="AK117" s="38">
        <f t="shared" si="29"/>
        <v>44916.166006944448</v>
      </c>
      <c r="AL117">
        <f t="shared" ref="AL117:AL122" si="40">IFERROR(Z117-W117,"")</f>
        <v>4</v>
      </c>
      <c r="AM117">
        <f t="shared" ref="AM117:AM122" si="41">IFERROR(R117-J117,"")</f>
        <v>26</v>
      </c>
      <c r="AN117">
        <f t="shared" ref="AN117:AN122" si="42">IFERROR(V117-O117,"")</f>
        <v>4</v>
      </c>
      <c r="AO117">
        <f t="shared" ref="AO117:AO122" si="43">IFERROR(J117-I117,"")</f>
        <v>1</v>
      </c>
      <c r="AP117">
        <f t="shared" ref="AP117:AP122" si="44">IFERROR(AC117-X117,"")</f>
        <v>44853.166006944448</v>
      </c>
      <c r="AQ117">
        <f t="shared" ref="AQ117:AQ122" si="45">IFERROR(AA117-W117,"")</f>
        <v>7</v>
      </c>
    </row>
    <row r="118" spans="1:43" x14ac:dyDescent="0.35">
      <c r="A118">
        <v>2191</v>
      </c>
      <c r="B118" t="s">
        <v>440</v>
      </c>
      <c r="C118" t="s">
        <v>213</v>
      </c>
      <c r="D118" t="str">
        <f t="shared" si="27"/>
        <v>Program Office</v>
      </c>
      <c r="E118" t="s">
        <v>332</v>
      </c>
      <c r="F118" t="s">
        <v>46</v>
      </c>
      <c r="G118" t="s">
        <v>333</v>
      </c>
      <c r="H118" t="s">
        <v>334</v>
      </c>
      <c r="I118" s="32">
        <v>44800.166006944448</v>
      </c>
      <c r="J118" s="32">
        <v>44803.166006944448</v>
      </c>
      <c r="K118" s="32">
        <v>44807.166006944448</v>
      </c>
      <c r="L118" s="8">
        <f t="shared" si="28"/>
        <v>7</v>
      </c>
      <c r="M118" s="7">
        <v>44821.166006944448</v>
      </c>
      <c r="N118" t="s">
        <v>49</v>
      </c>
      <c r="O118" s="34">
        <v>44821.166006944448</v>
      </c>
      <c r="P118" t="s">
        <v>392</v>
      </c>
      <c r="R118" s="32">
        <v>44825.166006944448</v>
      </c>
      <c r="S118" t="s">
        <v>392</v>
      </c>
      <c r="T118" s="34" t="s">
        <v>7476</v>
      </c>
      <c r="U118" s="34" t="s">
        <v>7476</v>
      </c>
      <c r="V118" s="32">
        <v>44824.166006944448</v>
      </c>
      <c r="W118" s="32" t="s">
        <v>7476</v>
      </c>
      <c r="X118">
        <v>0</v>
      </c>
      <c r="Y118" s="34" t="s">
        <v>7476</v>
      </c>
      <c r="Z118" s="34" t="s">
        <v>7476</v>
      </c>
      <c r="AA118" s="34" t="s">
        <v>7476</v>
      </c>
      <c r="AB118" s="36" t="s">
        <v>7476</v>
      </c>
      <c r="AD118" t="s">
        <v>441</v>
      </c>
      <c r="AE118" t="s">
        <v>442</v>
      </c>
      <c r="AF118" s="16">
        <v>44690</v>
      </c>
      <c r="AG118" t="s">
        <v>98</v>
      </c>
      <c r="AH118">
        <v>6</v>
      </c>
      <c r="AI118" s="8">
        <f t="shared" si="38"/>
        <v>135.16600694444787</v>
      </c>
      <c r="AJ118" s="8">
        <f t="shared" si="39"/>
        <v>131.16600694444787</v>
      </c>
      <c r="AK118" s="38">
        <f t="shared" si="29"/>
        <v>45004.166006944448</v>
      </c>
      <c r="AL118" t="str">
        <f t="shared" si="40"/>
        <v/>
      </c>
      <c r="AM118">
        <f t="shared" si="41"/>
        <v>22</v>
      </c>
      <c r="AN118">
        <f t="shared" si="42"/>
        <v>3</v>
      </c>
      <c r="AO118">
        <f t="shared" si="43"/>
        <v>3</v>
      </c>
      <c r="AP118">
        <f t="shared" si="44"/>
        <v>0</v>
      </c>
      <c r="AQ118" t="str">
        <f t="shared" si="45"/>
        <v/>
      </c>
    </row>
    <row r="119" spans="1:43" x14ac:dyDescent="0.35">
      <c r="A119">
        <v>2129</v>
      </c>
      <c r="B119" t="s">
        <v>443</v>
      </c>
      <c r="C119" t="s">
        <v>213</v>
      </c>
      <c r="D119" t="str">
        <f t="shared" si="27"/>
        <v>Program Office</v>
      </c>
      <c r="E119" t="s">
        <v>332</v>
      </c>
      <c r="F119" t="s">
        <v>46</v>
      </c>
      <c r="G119" t="s">
        <v>333</v>
      </c>
      <c r="H119" t="s">
        <v>334</v>
      </c>
      <c r="I119" s="32">
        <v>44930.473356481481</v>
      </c>
      <c r="J119" s="32">
        <v>44933.473356481481</v>
      </c>
      <c r="K119" s="32">
        <v>44935.473356481481</v>
      </c>
      <c r="L119" s="8">
        <f t="shared" si="28"/>
        <v>5</v>
      </c>
      <c r="M119" s="7">
        <v>44956.473356481481</v>
      </c>
      <c r="N119" t="s">
        <v>49</v>
      </c>
      <c r="O119" s="34">
        <v>44940.473356481481</v>
      </c>
      <c r="P119" t="s">
        <v>50</v>
      </c>
      <c r="Q119" t="s">
        <v>125</v>
      </c>
      <c r="R119" s="32" t="s">
        <v>7472</v>
      </c>
      <c r="S119" t="s">
        <v>7476</v>
      </c>
      <c r="T119" s="34" t="s">
        <v>7476</v>
      </c>
      <c r="U119" s="34" t="s">
        <v>7476</v>
      </c>
      <c r="V119" s="32">
        <v>44944.473356481481</v>
      </c>
      <c r="W119" s="32" t="s">
        <v>7476</v>
      </c>
      <c r="X119">
        <v>0</v>
      </c>
      <c r="Y119" s="34" t="s">
        <v>7476</v>
      </c>
      <c r="Z119" s="34" t="s">
        <v>7476</v>
      </c>
      <c r="AA119" s="34" t="s">
        <v>7476</v>
      </c>
      <c r="AB119" s="36" t="s">
        <v>52</v>
      </c>
      <c r="AD119" t="s">
        <v>444</v>
      </c>
      <c r="AE119" t="s">
        <v>445</v>
      </c>
      <c r="AF119" s="16">
        <v>44928</v>
      </c>
      <c r="AG119" t="s">
        <v>98</v>
      </c>
      <c r="AH119">
        <v>6</v>
      </c>
      <c r="AI119" s="8" t="str">
        <f t="shared" si="38"/>
        <v/>
      </c>
      <c r="AJ119" s="8">
        <f t="shared" si="39"/>
        <v>12.47335648148146</v>
      </c>
      <c r="AK119" s="38">
        <f t="shared" si="29"/>
        <v>45124.473356481481</v>
      </c>
      <c r="AL119" t="str">
        <f t="shared" si="40"/>
        <v/>
      </c>
      <c r="AM119" t="str">
        <f t="shared" si="41"/>
        <v/>
      </c>
      <c r="AN119">
        <f t="shared" si="42"/>
        <v>4</v>
      </c>
      <c r="AO119">
        <f t="shared" si="43"/>
        <v>3</v>
      </c>
      <c r="AP119">
        <f t="shared" si="44"/>
        <v>0</v>
      </c>
      <c r="AQ119" t="str">
        <f t="shared" si="45"/>
        <v/>
      </c>
    </row>
    <row r="120" spans="1:43" x14ac:dyDescent="0.35">
      <c r="A120">
        <v>2114</v>
      </c>
      <c r="B120" t="s">
        <v>446</v>
      </c>
      <c r="C120" t="s">
        <v>202</v>
      </c>
      <c r="D120" t="str">
        <f t="shared" si="27"/>
        <v>Program Office</v>
      </c>
      <c r="E120" t="s">
        <v>332</v>
      </c>
      <c r="F120" t="s">
        <v>46</v>
      </c>
      <c r="G120" t="s">
        <v>333</v>
      </c>
      <c r="H120" t="s">
        <v>334</v>
      </c>
      <c r="I120" s="32">
        <v>45034.055439814823</v>
      </c>
      <c r="J120" s="32">
        <v>45035.055439814823</v>
      </c>
      <c r="K120" s="32">
        <v>45038.055439814823</v>
      </c>
      <c r="L120" s="8">
        <f t="shared" si="28"/>
        <v>4</v>
      </c>
      <c r="M120" s="7">
        <v>45045.055439814823</v>
      </c>
      <c r="N120" t="s">
        <v>72</v>
      </c>
      <c r="O120" s="34" t="s">
        <v>7474</v>
      </c>
      <c r="R120" s="32" t="s">
        <v>7472</v>
      </c>
      <c r="S120" t="s">
        <v>7476</v>
      </c>
      <c r="T120" s="34" t="s">
        <v>7476</v>
      </c>
      <c r="U120" s="34" t="s">
        <v>7476</v>
      </c>
      <c r="V120" s="32" t="s">
        <v>7476</v>
      </c>
      <c r="W120" s="32" t="s">
        <v>7476</v>
      </c>
      <c r="X120">
        <v>0</v>
      </c>
      <c r="Y120" s="34" t="s">
        <v>7476</v>
      </c>
      <c r="Z120" s="34" t="s">
        <v>7476</v>
      </c>
      <c r="AA120" s="34" t="s">
        <v>7476</v>
      </c>
      <c r="AB120" s="36" t="s">
        <v>7476</v>
      </c>
      <c r="AD120" t="s">
        <v>447</v>
      </c>
      <c r="AE120" t="s">
        <v>448</v>
      </c>
      <c r="AG120" t="s">
        <v>68</v>
      </c>
      <c r="AH120">
        <v>3</v>
      </c>
      <c r="AI120" s="8" t="str">
        <f t="shared" si="38"/>
        <v/>
      </c>
      <c r="AJ120" s="8" t="str">
        <f t="shared" si="39"/>
        <v/>
      </c>
      <c r="AK120" s="38" t="str">
        <f t="shared" si="29"/>
        <v/>
      </c>
      <c r="AL120" t="str">
        <f t="shared" si="40"/>
        <v/>
      </c>
      <c r="AM120" t="str">
        <f t="shared" si="41"/>
        <v/>
      </c>
      <c r="AN120" t="str">
        <f t="shared" si="42"/>
        <v/>
      </c>
      <c r="AO120">
        <f t="shared" si="43"/>
        <v>1</v>
      </c>
      <c r="AP120">
        <f t="shared" si="44"/>
        <v>0</v>
      </c>
      <c r="AQ120" t="str">
        <f t="shared" si="45"/>
        <v/>
      </c>
    </row>
    <row r="121" spans="1:43" x14ac:dyDescent="0.35">
      <c r="A121">
        <v>2069</v>
      </c>
      <c r="B121" t="s">
        <v>449</v>
      </c>
      <c r="C121" t="s">
        <v>213</v>
      </c>
      <c r="D121" t="str">
        <f t="shared" si="27"/>
        <v>Program Office</v>
      </c>
      <c r="E121" t="s">
        <v>332</v>
      </c>
      <c r="F121" t="s">
        <v>46</v>
      </c>
      <c r="G121" t="s">
        <v>333</v>
      </c>
      <c r="H121" t="s">
        <v>334</v>
      </c>
      <c r="I121" s="32">
        <v>44867.782581018517</v>
      </c>
      <c r="J121" s="32">
        <v>44869.782581018517</v>
      </c>
      <c r="K121" s="32">
        <v>44873.782581018517</v>
      </c>
      <c r="L121" s="8">
        <f t="shared" si="28"/>
        <v>6</v>
      </c>
      <c r="M121" s="7">
        <v>44903.782581018517</v>
      </c>
      <c r="N121" t="s">
        <v>49</v>
      </c>
      <c r="O121" s="34">
        <v>44887.782581018517</v>
      </c>
      <c r="P121" t="s">
        <v>101</v>
      </c>
      <c r="R121" s="32">
        <v>44892.782581018517</v>
      </c>
      <c r="S121" t="s">
        <v>101</v>
      </c>
      <c r="T121" s="34">
        <v>44888.782581018517</v>
      </c>
      <c r="U121" s="34">
        <v>44891.782581018517</v>
      </c>
      <c r="V121" s="32">
        <v>44890.782581018517</v>
      </c>
      <c r="W121" s="32">
        <v>44895.782581018517</v>
      </c>
      <c r="X121">
        <v>1</v>
      </c>
      <c r="Y121" s="34">
        <v>44899.782581018517</v>
      </c>
      <c r="Z121" s="34">
        <v>44900.782581018517</v>
      </c>
      <c r="AA121" s="34">
        <v>44902.782581018517</v>
      </c>
      <c r="AB121" s="36" t="s">
        <v>7476</v>
      </c>
      <c r="AC121" s="10">
        <v>44917.782581018517</v>
      </c>
      <c r="AD121" t="s">
        <v>450</v>
      </c>
      <c r="AE121" t="s">
        <v>451</v>
      </c>
      <c r="AF121" s="16">
        <v>44878</v>
      </c>
      <c r="AG121" t="s">
        <v>68</v>
      </c>
      <c r="AH121">
        <v>6</v>
      </c>
      <c r="AI121" s="8">
        <f t="shared" si="38"/>
        <v>14.782581018516794</v>
      </c>
      <c r="AJ121" s="8">
        <f t="shared" si="39"/>
        <v>9.7825810185167938</v>
      </c>
      <c r="AK121" s="38">
        <f t="shared" si="29"/>
        <v>45070.782581018517</v>
      </c>
      <c r="AL121">
        <f t="shared" si="40"/>
        <v>5</v>
      </c>
      <c r="AM121">
        <f t="shared" si="41"/>
        <v>23</v>
      </c>
      <c r="AN121">
        <f t="shared" si="42"/>
        <v>3</v>
      </c>
      <c r="AO121">
        <f t="shared" si="43"/>
        <v>2</v>
      </c>
      <c r="AP121">
        <f t="shared" si="44"/>
        <v>44916.782581018517</v>
      </c>
      <c r="AQ121">
        <f t="shared" si="45"/>
        <v>7</v>
      </c>
    </row>
    <row r="122" spans="1:43" x14ac:dyDescent="0.35">
      <c r="A122">
        <v>2068</v>
      </c>
      <c r="B122" t="s">
        <v>452</v>
      </c>
      <c r="C122" t="s">
        <v>213</v>
      </c>
      <c r="D122" t="str">
        <f t="shared" si="27"/>
        <v>Program Office</v>
      </c>
      <c r="E122" t="s">
        <v>332</v>
      </c>
      <c r="F122" t="s">
        <v>46</v>
      </c>
      <c r="G122" t="s">
        <v>333</v>
      </c>
      <c r="H122" t="s">
        <v>334</v>
      </c>
      <c r="I122" s="32">
        <v>44870.782581018517</v>
      </c>
      <c r="J122" s="32">
        <v>44872.782581018517</v>
      </c>
      <c r="K122" s="32">
        <v>44873.782581018517</v>
      </c>
      <c r="L122" s="8">
        <f t="shared" si="28"/>
        <v>3</v>
      </c>
      <c r="M122" s="7">
        <v>44902.782581018517</v>
      </c>
      <c r="N122" t="s">
        <v>49</v>
      </c>
      <c r="O122" s="34">
        <v>44877.782581018517</v>
      </c>
      <c r="P122" t="s">
        <v>101</v>
      </c>
      <c r="R122" s="32">
        <v>44882.782581018517</v>
      </c>
      <c r="S122" t="s">
        <v>101</v>
      </c>
      <c r="T122" s="34">
        <v>44879.782581018517</v>
      </c>
      <c r="U122" s="34">
        <v>44880.782581018517</v>
      </c>
      <c r="V122" s="32">
        <v>44880.782581018517</v>
      </c>
      <c r="W122" s="32">
        <v>44886.782581018517</v>
      </c>
      <c r="X122">
        <v>1</v>
      </c>
      <c r="Y122" s="34">
        <v>44889.782581018517</v>
      </c>
      <c r="Z122" s="34">
        <v>44891.782581018517</v>
      </c>
      <c r="AA122" s="34">
        <v>44894.782581018517</v>
      </c>
      <c r="AB122" s="36" t="s">
        <v>7476</v>
      </c>
      <c r="AC122" s="10">
        <v>44904.782581018517</v>
      </c>
      <c r="AD122" t="s">
        <v>453</v>
      </c>
      <c r="AE122" t="s">
        <v>454</v>
      </c>
      <c r="AF122" s="16">
        <v>44872</v>
      </c>
      <c r="AG122" t="s">
        <v>64</v>
      </c>
      <c r="AH122">
        <v>6</v>
      </c>
      <c r="AI122" s="8">
        <f t="shared" si="38"/>
        <v>10.782581018516794</v>
      </c>
      <c r="AJ122" s="8">
        <f t="shared" si="39"/>
        <v>5.7825810185167938</v>
      </c>
      <c r="AK122" s="38">
        <f t="shared" si="29"/>
        <v>45060.782581018517</v>
      </c>
      <c r="AL122">
        <f t="shared" si="40"/>
        <v>5</v>
      </c>
      <c r="AM122">
        <f t="shared" si="41"/>
        <v>10</v>
      </c>
      <c r="AN122">
        <f t="shared" si="42"/>
        <v>3</v>
      </c>
      <c r="AO122">
        <f t="shared" si="43"/>
        <v>2</v>
      </c>
      <c r="AP122">
        <f t="shared" si="44"/>
        <v>44903.782581018517</v>
      </c>
      <c r="AQ122">
        <f t="shared" si="45"/>
        <v>8</v>
      </c>
    </row>
    <row r="123" spans="1:43" x14ac:dyDescent="0.35">
      <c r="A123">
        <v>2063</v>
      </c>
      <c r="B123" t="s">
        <v>455</v>
      </c>
      <c r="C123" t="s">
        <v>202</v>
      </c>
      <c r="D123" t="str">
        <f t="shared" si="27"/>
        <v>Program Office</v>
      </c>
      <c r="E123" t="s">
        <v>332</v>
      </c>
      <c r="F123" t="s">
        <v>46</v>
      </c>
      <c r="G123" t="s">
        <v>333</v>
      </c>
      <c r="H123" t="s">
        <v>334</v>
      </c>
      <c r="I123" s="32">
        <v>44867.782581018517</v>
      </c>
      <c r="J123" s="32" t="s">
        <v>7471</v>
      </c>
      <c r="K123" s="32">
        <v>44873.782581018517</v>
      </c>
      <c r="L123" s="8">
        <f t="shared" si="28"/>
        <v>6</v>
      </c>
      <c r="M123" s="7">
        <v>44888.782581018517</v>
      </c>
      <c r="N123" t="s">
        <v>49</v>
      </c>
      <c r="O123" s="34">
        <v>44884.782581018517</v>
      </c>
      <c r="P123" t="s">
        <v>50</v>
      </c>
      <c r="Q123" t="s">
        <v>125</v>
      </c>
      <c r="R123" s="32" t="s">
        <v>7472</v>
      </c>
      <c r="S123" t="s">
        <v>7476</v>
      </c>
      <c r="T123" s="34" t="s">
        <v>7476</v>
      </c>
      <c r="U123" s="34" t="s">
        <v>7476</v>
      </c>
      <c r="V123" s="32" t="s">
        <v>7476</v>
      </c>
      <c r="W123" s="32" t="s">
        <v>7476</v>
      </c>
      <c r="X123">
        <v>0</v>
      </c>
      <c r="Y123" s="34" t="s">
        <v>7476</v>
      </c>
      <c r="Z123" s="34" t="s">
        <v>7476</v>
      </c>
      <c r="AA123" s="34" t="s">
        <v>7476</v>
      </c>
      <c r="AB123" s="36" t="s">
        <v>95</v>
      </c>
      <c r="AD123" t="s">
        <v>456</v>
      </c>
      <c r="AE123" t="s">
        <v>457</v>
      </c>
      <c r="AF123" s="16">
        <v>44868</v>
      </c>
      <c r="AG123" t="s">
        <v>68</v>
      </c>
      <c r="AH123">
        <v>6</v>
      </c>
      <c r="AK123" s="38" t="str">
        <f t="shared" si="29"/>
        <v/>
      </c>
    </row>
    <row r="124" spans="1:43" x14ac:dyDescent="0.35">
      <c r="A124">
        <v>1988</v>
      </c>
      <c r="B124" t="s">
        <v>458</v>
      </c>
      <c r="C124" t="s">
        <v>217</v>
      </c>
      <c r="D124" t="str">
        <f t="shared" si="27"/>
        <v>Program Office</v>
      </c>
      <c r="E124" t="s">
        <v>332</v>
      </c>
      <c r="F124" t="s">
        <v>46</v>
      </c>
      <c r="G124" t="s">
        <v>333</v>
      </c>
      <c r="H124" t="s">
        <v>334</v>
      </c>
      <c r="I124" s="32">
        <v>44594.370439814818</v>
      </c>
      <c r="J124" s="32">
        <v>44595.370439814818</v>
      </c>
      <c r="K124" s="32">
        <v>44601.370439814818</v>
      </c>
      <c r="L124" s="8">
        <f t="shared" si="28"/>
        <v>7</v>
      </c>
      <c r="M124" s="7">
        <v>44612.370439814818</v>
      </c>
      <c r="N124" t="s">
        <v>49</v>
      </c>
      <c r="O124" s="34">
        <v>44603.370439814818</v>
      </c>
      <c r="P124" t="s">
        <v>50</v>
      </c>
      <c r="Q124" t="s">
        <v>84</v>
      </c>
      <c r="R124" s="32" t="s">
        <v>7472</v>
      </c>
      <c r="S124" t="s">
        <v>7476</v>
      </c>
      <c r="T124" s="34" t="s">
        <v>7476</v>
      </c>
      <c r="U124" s="34" t="s">
        <v>7476</v>
      </c>
      <c r="V124" s="32">
        <v>44605.370439814818</v>
      </c>
      <c r="W124" s="32" t="s">
        <v>7476</v>
      </c>
      <c r="X124">
        <v>0</v>
      </c>
      <c r="Y124" s="34" t="s">
        <v>7476</v>
      </c>
      <c r="Z124" s="34" t="s">
        <v>7476</v>
      </c>
      <c r="AA124" s="34" t="s">
        <v>7476</v>
      </c>
      <c r="AB124" s="36" t="s">
        <v>52</v>
      </c>
      <c r="AD124" t="s">
        <v>459</v>
      </c>
      <c r="AE124" t="s">
        <v>460</v>
      </c>
      <c r="AF124" s="16">
        <v>44587</v>
      </c>
      <c r="AG124" t="s">
        <v>64</v>
      </c>
      <c r="AH124">
        <v>6</v>
      </c>
      <c r="AI124" s="8" t="str">
        <f>IFERROR(R124-AF124,"")</f>
        <v/>
      </c>
      <c r="AJ124" s="8">
        <f>IFERROR(O124-AF124,"")</f>
        <v>16.370439814818383</v>
      </c>
      <c r="AK124" s="38">
        <f t="shared" si="29"/>
        <v>44785.370439814818</v>
      </c>
      <c r="AL124" t="str">
        <f>IFERROR(Z124-W124,"")</f>
        <v/>
      </c>
      <c r="AM124" t="str">
        <f>IFERROR(R124-J124,"")</f>
        <v/>
      </c>
      <c r="AN124">
        <f>IFERROR(V124-O124,"")</f>
        <v>2</v>
      </c>
      <c r="AO124">
        <f>IFERROR(J124-I124,"")</f>
        <v>1</v>
      </c>
      <c r="AP124">
        <f>IFERROR(AC124-X124,"")</f>
        <v>0</v>
      </c>
      <c r="AQ124" t="str">
        <f>IFERROR(AA124-W124,"")</f>
        <v/>
      </c>
    </row>
    <row r="125" spans="1:43" x14ac:dyDescent="0.35">
      <c r="A125">
        <v>1986</v>
      </c>
      <c r="B125" t="s">
        <v>461</v>
      </c>
      <c r="C125" t="s">
        <v>213</v>
      </c>
      <c r="D125" t="str">
        <f t="shared" si="27"/>
        <v>Program Office</v>
      </c>
      <c r="E125" t="s">
        <v>332</v>
      </c>
      <c r="F125" t="s">
        <v>46</v>
      </c>
      <c r="G125" t="s">
        <v>333</v>
      </c>
      <c r="H125" t="s">
        <v>334</v>
      </c>
      <c r="I125" s="32">
        <v>44595.370439814818</v>
      </c>
      <c r="J125" s="32">
        <v>44597.370439814818</v>
      </c>
      <c r="K125" s="32">
        <v>44601.370439814818</v>
      </c>
      <c r="L125" s="8">
        <f t="shared" si="28"/>
        <v>6</v>
      </c>
      <c r="M125" s="7">
        <v>44622.370439814818</v>
      </c>
      <c r="N125" t="s">
        <v>49</v>
      </c>
      <c r="O125" s="34">
        <v>44614.370439814818</v>
      </c>
      <c r="P125" t="s">
        <v>60</v>
      </c>
      <c r="R125" s="32">
        <v>44621.370439814818</v>
      </c>
      <c r="S125" t="s">
        <v>61</v>
      </c>
      <c r="T125" s="34" t="s">
        <v>7476</v>
      </c>
      <c r="U125" s="34" t="s">
        <v>7476</v>
      </c>
      <c r="V125" s="32">
        <v>44617.370439814818</v>
      </c>
      <c r="W125" s="32" t="s">
        <v>7476</v>
      </c>
      <c r="X125">
        <v>0</v>
      </c>
      <c r="Y125" s="34" t="s">
        <v>7476</v>
      </c>
      <c r="Z125" s="34" t="s">
        <v>7476</v>
      </c>
      <c r="AA125" s="34" t="s">
        <v>7476</v>
      </c>
      <c r="AB125" s="36" t="s">
        <v>7476</v>
      </c>
      <c r="AD125" t="s">
        <v>462</v>
      </c>
      <c r="AE125" t="s">
        <v>463</v>
      </c>
      <c r="AF125" s="16">
        <v>44607</v>
      </c>
      <c r="AG125" t="s">
        <v>68</v>
      </c>
      <c r="AH125">
        <v>6</v>
      </c>
      <c r="AI125" s="8">
        <f>IFERROR(R125-AF125,"")</f>
        <v>14.370439814818383</v>
      </c>
      <c r="AJ125" s="8">
        <f>IFERROR(O125-AF125,"")</f>
        <v>7.3704398148183827</v>
      </c>
      <c r="AK125" s="38">
        <f t="shared" si="29"/>
        <v>44797.370439814818</v>
      </c>
      <c r="AL125" t="str">
        <f>IFERROR(Z125-W125,"")</f>
        <v/>
      </c>
      <c r="AM125">
        <f>IFERROR(R125-J125,"")</f>
        <v>24</v>
      </c>
      <c r="AN125">
        <f>IFERROR(V125-O125,"")</f>
        <v>3</v>
      </c>
      <c r="AO125">
        <f>IFERROR(J125-I125,"")</f>
        <v>2</v>
      </c>
      <c r="AP125">
        <f>IFERROR(AC125-X125,"")</f>
        <v>0</v>
      </c>
      <c r="AQ125" t="str">
        <f>IFERROR(AA125-W125,"")</f>
        <v/>
      </c>
    </row>
    <row r="126" spans="1:43" x14ac:dyDescent="0.35">
      <c r="A126">
        <v>1984</v>
      </c>
      <c r="B126" t="s">
        <v>464</v>
      </c>
      <c r="C126" t="s">
        <v>213</v>
      </c>
      <c r="D126" t="str">
        <f t="shared" si="27"/>
        <v>Program Office</v>
      </c>
      <c r="E126" t="s">
        <v>332</v>
      </c>
      <c r="F126" t="s">
        <v>46</v>
      </c>
      <c r="G126" t="s">
        <v>333</v>
      </c>
      <c r="H126" t="s">
        <v>334</v>
      </c>
      <c r="I126" s="32">
        <v>44594.370439814818</v>
      </c>
      <c r="J126" s="32">
        <v>44596.370439814818</v>
      </c>
      <c r="K126" s="32" t="s">
        <v>7473</v>
      </c>
      <c r="L126" s="8" t="str">
        <f t="shared" si="28"/>
        <v/>
      </c>
      <c r="M126" s="7">
        <v>44619.370439814818</v>
      </c>
      <c r="N126" t="s">
        <v>49</v>
      </c>
      <c r="O126" s="34">
        <v>44609.370439814818</v>
      </c>
      <c r="P126" t="s">
        <v>60</v>
      </c>
      <c r="R126" s="32">
        <v>44614.370439814818</v>
      </c>
      <c r="S126" t="s">
        <v>61</v>
      </c>
      <c r="T126" s="34" t="s">
        <v>7476</v>
      </c>
      <c r="U126" s="34" t="s">
        <v>7476</v>
      </c>
      <c r="V126" s="32">
        <v>44612.370439814818</v>
      </c>
      <c r="W126" s="32" t="s">
        <v>7476</v>
      </c>
      <c r="X126">
        <v>0</v>
      </c>
      <c r="Y126" s="34" t="s">
        <v>7476</v>
      </c>
      <c r="Z126" s="34" t="s">
        <v>7476</v>
      </c>
      <c r="AA126" s="34" t="s">
        <v>7476</v>
      </c>
      <c r="AB126" s="36" t="s">
        <v>7476</v>
      </c>
      <c r="AD126" t="s">
        <v>465</v>
      </c>
      <c r="AE126" t="s">
        <v>466</v>
      </c>
      <c r="AF126" s="16">
        <v>44592</v>
      </c>
      <c r="AG126" t="s">
        <v>98</v>
      </c>
      <c r="AH126">
        <v>3</v>
      </c>
      <c r="AK126" s="38">
        <f t="shared" si="29"/>
        <v>44702.370439814818</v>
      </c>
    </row>
    <row r="127" spans="1:43" x14ac:dyDescent="0.35">
      <c r="A127">
        <v>1982</v>
      </c>
      <c r="B127" t="s">
        <v>467</v>
      </c>
      <c r="C127" t="s">
        <v>202</v>
      </c>
      <c r="D127" t="str">
        <f t="shared" si="27"/>
        <v>Program Office</v>
      </c>
      <c r="E127" t="s">
        <v>332</v>
      </c>
      <c r="F127" t="s">
        <v>46</v>
      </c>
      <c r="G127" t="s">
        <v>333</v>
      </c>
      <c r="H127" t="s">
        <v>334</v>
      </c>
      <c r="I127" s="32">
        <v>44592.370439814818</v>
      </c>
      <c r="J127" s="32">
        <v>44595.370439814818</v>
      </c>
      <c r="K127" s="32">
        <v>44601.370439814818</v>
      </c>
      <c r="L127" s="8">
        <f t="shared" si="28"/>
        <v>9</v>
      </c>
      <c r="M127" s="7">
        <v>44619.370439814818</v>
      </c>
      <c r="N127" t="s">
        <v>72</v>
      </c>
      <c r="O127" s="34" t="s">
        <v>7474</v>
      </c>
      <c r="R127" s="32" t="s">
        <v>7472</v>
      </c>
      <c r="S127" t="s">
        <v>7476</v>
      </c>
      <c r="T127" s="34" t="s">
        <v>7476</v>
      </c>
      <c r="U127" s="34" t="s">
        <v>7476</v>
      </c>
      <c r="V127" s="32" t="s">
        <v>7476</v>
      </c>
      <c r="W127" s="32" t="s">
        <v>7476</v>
      </c>
      <c r="X127">
        <v>0</v>
      </c>
      <c r="Y127" s="34" t="s">
        <v>7476</v>
      </c>
      <c r="Z127" s="34" t="s">
        <v>7476</v>
      </c>
      <c r="AA127" s="34" t="s">
        <v>7476</v>
      </c>
      <c r="AB127" s="36" t="s">
        <v>7476</v>
      </c>
      <c r="AD127" t="s">
        <v>468</v>
      </c>
      <c r="AE127" t="s">
        <v>469</v>
      </c>
      <c r="AG127" t="s">
        <v>64</v>
      </c>
      <c r="AH127">
        <v>6</v>
      </c>
      <c r="AI127" s="8" t="str">
        <f>IFERROR(R127-AF127,"")</f>
        <v/>
      </c>
      <c r="AJ127" s="8" t="str">
        <f>IFERROR(O127-AF127,"")</f>
        <v/>
      </c>
      <c r="AK127" s="38" t="str">
        <f t="shared" si="29"/>
        <v/>
      </c>
      <c r="AL127" t="str">
        <f>IFERROR(Z127-W127,"")</f>
        <v/>
      </c>
      <c r="AM127" t="str">
        <f>IFERROR(R127-J127,"")</f>
        <v/>
      </c>
      <c r="AN127" t="str">
        <f>IFERROR(V127-O127,"")</f>
        <v/>
      </c>
      <c r="AO127">
        <f>IFERROR(J127-I127,"")</f>
        <v>3</v>
      </c>
      <c r="AP127">
        <f>IFERROR(AC127-X127,"")</f>
        <v>0</v>
      </c>
      <c r="AQ127" t="str">
        <f>IFERROR(AA127-W127,"")</f>
        <v/>
      </c>
    </row>
    <row r="128" spans="1:43" x14ac:dyDescent="0.35">
      <c r="A128">
        <v>1977</v>
      </c>
      <c r="B128" t="s">
        <v>470</v>
      </c>
      <c r="C128" t="s">
        <v>213</v>
      </c>
      <c r="D128" t="str">
        <f t="shared" si="27"/>
        <v>Program Office</v>
      </c>
      <c r="E128" t="s">
        <v>332</v>
      </c>
      <c r="F128" t="s">
        <v>46</v>
      </c>
      <c r="G128" t="s">
        <v>333</v>
      </c>
      <c r="H128" t="s">
        <v>334</v>
      </c>
      <c r="I128" s="32">
        <v>44854.498391203713</v>
      </c>
      <c r="J128" s="32">
        <v>44857.498391203713</v>
      </c>
      <c r="K128" s="32">
        <v>44860.498391203713</v>
      </c>
      <c r="L128" s="8">
        <f t="shared" si="28"/>
        <v>6</v>
      </c>
      <c r="M128" s="7">
        <v>44869.498391203713</v>
      </c>
      <c r="N128" t="s">
        <v>49</v>
      </c>
      <c r="O128" s="34">
        <v>44866.498391203713</v>
      </c>
      <c r="P128" t="s">
        <v>60</v>
      </c>
      <c r="R128" s="32">
        <v>44872.498391203713</v>
      </c>
      <c r="S128" t="s">
        <v>61</v>
      </c>
      <c r="T128" s="34" t="s">
        <v>7476</v>
      </c>
      <c r="U128" s="34" t="s">
        <v>7476</v>
      </c>
      <c r="V128" s="32">
        <v>44868.498391203713</v>
      </c>
      <c r="W128" s="32" t="s">
        <v>7476</v>
      </c>
      <c r="X128">
        <v>0</v>
      </c>
      <c r="Y128" s="34" t="s">
        <v>7476</v>
      </c>
      <c r="Z128" s="34" t="s">
        <v>7476</v>
      </c>
      <c r="AA128" s="34" t="s">
        <v>7476</v>
      </c>
      <c r="AB128" s="36" t="s">
        <v>7476</v>
      </c>
      <c r="AD128" t="s">
        <v>471</v>
      </c>
      <c r="AE128" t="s">
        <v>472</v>
      </c>
      <c r="AF128" s="16">
        <v>44859</v>
      </c>
      <c r="AG128" t="s">
        <v>64</v>
      </c>
      <c r="AH128">
        <v>3</v>
      </c>
      <c r="AI128" s="8">
        <f>IFERROR(R128-AF128,"")</f>
        <v>13.498391203713254</v>
      </c>
      <c r="AJ128" s="8">
        <f>IFERROR(O128-AF128,"")</f>
        <v>7.4983912037132541</v>
      </c>
      <c r="AK128" s="38">
        <f t="shared" si="29"/>
        <v>44958.498391203713</v>
      </c>
      <c r="AL128" t="str">
        <f>IFERROR(Z128-W128,"")</f>
        <v/>
      </c>
      <c r="AM128">
        <f>IFERROR(R128-J128,"")</f>
        <v>15</v>
      </c>
      <c r="AN128">
        <f>IFERROR(V128-O128,"")</f>
        <v>2</v>
      </c>
      <c r="AO128">
        <f>IFERROR(J128-I128,"")</f>
        <v>3</v>
      </c>
      <c r="AP128">
        <f>IFERROR(AC128-X128,"")</f>
        <v>0</v>
      </c>
      <c r="AQ128" t="str">
        <f>IFERROR(AA128-W128,"")</f>
        <v/>
      </c>
    </row>
    <row r="129" spans="1:43" x14ac:dyDescent="0.35">
      <c r="A129">
        <v>1975</v>
      </c>
      <c r="B129" t="s">
        <v>473</v>
      </c>
      <c r="C129" t="s">
        <v>217</v>
      </c>
      <c r="D129" t="str">
        <f t="shared" si="27"/>
        <v>Program Office</v>
      </c>
      <c r="E129" t="s">
        <v>332</v>
      </c>
      <c r="F129" t="s">
        <v>46</v>
      </c>
      <c r="G129" t="s">
        <v>333</v>
      </c>
      <c r="H129" t="s">
        <v>334</v>
      </c>
      <c r="I129" s="32">
        <v>44851.498391203713</v>
      </c>
      <c r="J129" s="32">
        <v>44854.498391203713</v>
      </c>
      <c r="K129" s="32" t="s">
        <v>7473</v>
      </c>
      <c r="L129" s="8" t="str">
        <f t="shared" si="28"/>
        <v/>
      </c>
      <c r="M129" s="7">
        <v>44890.498391203713</v>
      </c>
      <c r="N129" t="s">
        <v>49</v>
      </c>
      <c r="O129" s="34">
        <v>44866.498391203713</v>
      </c>
      <c r="P129" t="s">
        <v>392</v>
      </c>
      <c r="R129" s="32">
        <v>44871.498391203713</v>
      </c>
      <c r="S129" t="s">
        <v>392</v>
      </c>
      <c r="T129" s="34" t="s">
        <v>7476</v>
      </c>
      <c r="U129" s="34" t="s">
        <v>7476</v>
      </c>
      <c r="V129" s="32">
        <v>44869.498391203713</v>
      </c>
      <c r="W129" s="32" t="s">
        <v>7476</v>
      </c>
      <c r="X129">
        <v>0</v>
      </c>
      <c r="Y129" s="34" t="s">
        <v>7476</v>
      </c>
      <c r="Z129" s="34" t="s">
        <v>7476</v>
      </c>
      <c r="AA129" s="34" t="s">
        <v>7476</v>
      </c>
      <c r="AB129" s="36" t="s">
        <v>7476</v>
      </c>
      <c r="AD129" t="s">
        <v>474</v>
      </c>
      <c r="AE129" t="s">
        <v>475</v>
      </c>
      <c r="AF129" s="16">
        <v>44848</v>
      </c>
      <c r="AG129" t="s">
        <v>93</v>
      </c>
      <c r="AH129">
        <v>3</v>
      </c>
      <c r="AK129" s="38">
        <f t="shared" si="29"/>
        <v>44959.498391203713</v>
      </c>
    </row>
    <row r="130" spans="1:43" x14ac:dyDescent="0.35">
      <c r="A130">
        <v>1970</v>
      </c>
      <c r="B130" t="s">
        <v>476</v>
      </c>
      <c r="C130" t="s">
        <v>202</v>
      </c>
      <c r="D130" t="str">
        <f t="shared" ref="D130:D193" si="46">TRIM(C130)</f>
        <v>Program Office</v>
      </c>
      <c r="E130" t="s">
        <v>332</v>
      </c>
      <c r="F130" t="s">
        <v>46</v>
      </c>
      <c r="G130" t="s">
        <v>333</v>
      </c>
      <c r="H130" t="s">
        <v>334</v>
      </c>
      <c r="I130" s="32">
        <v>44895.432847222219</v>
      </c>
      <c r="J130" s="32">
        <v>44898.432847222219</v>
      </c>
      <c r="K130" s="32" t="s">
        <v>7473</v>
      </c>
      <c r="L130" s="8" t="str">
        <f t="shared" ref="L130:L193" si="47">IFERROR(K130-I130,"")</f>
        <v/>
      </c>
      <c r="M130" s="7">
        <v>44915.432847222219</v>
      </c>
      <c r="N130" t="s">
        <v>49</v>
      </c>
      <c r="O130" s="34">
        <v>44906.432847222219</v>
      </c>
      <c r="P130" t="s">
        <v>60</v>
      </c>
      <c r="R130" s="32">
        <v>44912.432847222219</v>
      </c>
      <c r="S130" t="s">
        <v>61</v>
      </c>
      <c r="T130" s="34" t="s">
        <v>7476</v>
      </c>
      <c r="U130" s="34" t="s">
        <v>7476</v>
      </c>
      <c r="V130" s="32">
        <v>44910.432847222219</v>
      </c>
      <c r="W130" s="32" t="s">
        <v>7476</v>
      </c>
      <c r="X130">
        <v>0</v>
      </c>
      <c r="Y130" s="34" t="s">
        <v>7476</v>
      </c>
      <c r="Z130" s="34" t="s">
        <v>7476</v>
      </c>
      <c r="AA130" s="34" t="s">
        <v>7476</v>
      </c>
      <c r="AB130" s="36" t="s">
        <v>7476</v>
      </c>
      <c r="AD130" t="s">
        <v>477</v>
      </c>
      <c r="AE130" t="s">
        <v>478</v>
      </c>
      <c r="AF130" s="16">
        <v>44891</v>
      </c>
      <c r="AG130" t="s">
        <v>98</v>
      </c>
      <c r="AH130">
        <v>3</v>
      </c>
      <c r="AK130" s="38">
        <f t="shared" si="29"/>
        <v>45000.432847222219</v>
      </c>
    </row>
    <row r="131" spans="1:43" x14ac:dyDescent="0.35">
      <c r="A131">
        <v>1968</v>
      </c>
      <c r="B131" t="s">
        <v>479</v>
      </c>
      <c r="C131" t="s">
        <v>213</v>
      </c>
      <c r="D131" t="str">
        <f t="shared" si="46"/>
        <v>Program Office</v>
      </c>
      <c r="E131" t="s">
        <v>332</v>
      </c>
      <c r="F131" t="s">
        <v>46</v>
      </c>
      <c r="G131" t="s">
        <v>333</v>
      </c>
      <c r="H131" t="s">
        <v>334</v>
      </c>
      <c r="I131" s="32">
        <v>44896.432847222219</v>
      </c>
      <c r="J131" s="32">
        <v>44900.432847222219</v>
      </c>
      <c r="K131" s="32">
        <v>44902.432847222219</v>
      </c>
      <c r="L131" s="8">
        <f t="shared" si="47"/>
        <v>6</v>
      </c>
      <c r="M131" s="7">
        <v>44927.432847222219</v>
      </c>
      <c r="N131" t="s">
        <v>49</v>
      </c>
      <c r="O131" s="34">
        <v>44912.432847222219</v>
      </c>
      <c r="P131" t="s">
        <v>50</v>
      </c>
      <c r="Q131" t="s">
        <v>198</v>
      </c>
      <c r="R131" s="32" t="s">
        <v>7472</v>
      </c>
      <c r="S131" t="s">
        <v>7476</v>
      </c>
      <c r="T131" s="34" t="s">
        <v>7476</v>
      </c>
      <c r="U131" s="34" t="s">
        <v>7476</v>
      </c>
      <c r="V131" s="32" t="s">
        <v>7476</v>
      </c>
      <c r="W131" s="32" t="s">
        <v>7476</v>
      </c>
      <c r="X131">
        <v>0</v>
      </c>
      <c r="Y131" s="34" t="s">
        <v>7476</v>
      </c>
      <c r="Z131" s="34" t="s">
        <v>7476</v>
      </c>
      <c r="AA131" s="34" t="s">
        <v>7476</v>
      </c>
      <c r="AB131" s="36" t="s">
        <v>95</v>
      </c>
      <c r="AD131" t="s">
        <v>480</v>
      </c>
      <c r="AE131" t="s">
        <v>481</v>
      </c>
      <c r="AF131" s="16">
        <v>44905</v>
      </c>
      <c r="AG131" t="s">
        <v>98</v>
      </c>
      <c r="AH131">
        <v>3</v>
      </c>
      <c r="AI131" s="8" t="str">
        <f>IFERROR(R131-AF131,"")</f>
        <v/>
      </c>
      <c r="AJ131" s="8">
        <f>IFERROR(O131-AF131,"")</f>
        <v>7.4328472222186974</v>
      </c>
      <c r="AK131" s="38" t="str">
        <f t="shared" ref="AK131:AK194" si="48">IFERROR(V131+(AH131*30),"")</f>
        <v/>
      </c>
      <c r="AL131" t="str">
        <f>IFERROR(Z131-W131,"")</f>
        <v/>
      </c>
      <c r="AM131" t="str">
        <f>IFERROR(R131-J131,"")</f>
        <v/>
      </c>
      <c r="AN131" t="str">
        <f>IFERROR(V131-O131,"")</f>
        <v/>
      </c>
      <c r="AO131">
        <f>IFERROR(J131-I131,"")</f>
        <v>4</v>
      </c>
      <c r="AP131">
        <f>IFERROR(AC131-X131,"")</f>
        <v>0</v>
      </c>
      <c r="AQ131" t="str">
        <f>IFERROR(AA131-W131,"")</f>
        <v/>
      </c>
    </row>
    <row r="132" spans="1:43" x14ac:dyDescent="0.35">
      <c r="A132">
        <v>1860</v>
      </c>
      <c r="B132" t="s">
        <v>482</v>
      </c>
      <c r="C132" t="s">
        <v>213</v>
      </c>
      <c r="D132" t="str">
        <f t="shared" si="46"/>
        <v>Program Office</v>
      </c>
      <c r="E132" t="s">
        <v>332</v>
      </c>
      <c r="F132" t="s">
        <v>46</v>
      </c>
      <c r="G132" t="s">
        <v>333</v>
      </c>
      <c r="H132" t="s">
        <v>334</v>
      </c>
      <c r="I132" s="32">
        <v>44874.077060185176</v>
      </c>
      <c r="J132" s="32">
        <v>44878.077060185176</v>
      </c>
      <c r="K132" s="32">
        <v>44882.077060185176</v>
      </c>
      <c r="L132" s="8">
        <f t="shared" si="47"/>
        <v>8</v>
      </c>
      <c r="M132" s="7">
        <v>44888.077060185176</v>
      </c>
      <c r="N132" t="s">
        <v>49</v>
      </c>
      <c r="O132" s="34">
        <v>44894.077060185176</v>
      </c>
      <c r="P132" t="s">
        <v>50</v>
      </c>
      <c r="Q132" t="s">
        <v>125</v>
      </c>
      <c r="R132" s="32" t="s">
        <v>7472</v>
      </c>
      <c r="S132" t="s">
        <v>7476</v>
      </c>
      <c r="T132" s="34" t="s">
        <v>7476</v>
      </c>
      <c r="U132" s="34" t="s">
        <v>7476</v>
      </c>
      <c r="V132" s="32" t="s">
        <v>7476</v>
      </c>
      <c r="W132" s="32" t="s">
        <v>7476</v>
      </c>
      <c r="X132">
        <v>0</v>
      </c>
      <c r="Y132" s="34" t="s">
        <v>7476</v>
      </c>
      <c r="Z132" s="34" t="s">
        <v>7476</v>
      </c>
      <c r="AA132" s="34" t="s">
        <v>7476</v>
      </c>
      <c r="AB132" s="36" t="s">
        <v>52</v>
      </c>
      <c r="AD132" t="s">
        <v>483</v>
      </c>
      <c r="AE132" t="s">
        <v>484</v>
      </c>
      <c r="AF132" s="16">
        <v>44877</v>
      </c>
      <c r="AG132" t="s">
        <v>64</v>
      </c>
      <c r="AH132">
        <v>3</v>
      </c>
      <c r="AI132" s="8" t="str">
        <f>IFERROR(R132-AF132,"")</f>
        <v/>
      </c>
      <c r="AJ132" s="8">
        <f>IFERROR(O132-AF132,"")</f>
        <v>17.077060185176379</v>
      </c>
      <c r="AK132" s="38" t="str">
        <f t="shared" si="48"/>
        <v/>
      </c>
      <c r="AL132" t="str">
        <f>IFERROR(Z132-W132,"")</f>
        <v/>
      </c>
      <c r="AM132" t="str">
        <f>IFERROR(R132-J132,"")</f>
        <v/>
      </c>
      <c r="AN132" t="str">
        <f>IFERROR(V132-O132,"")</f>
        <v/>
      </c>
      <c r="AO132">
        <f>IFERROR(J132-I132,"")</f>
        <v>4</v>
      </c>
      <c r="AP132">
        <f>IFERROR(AC132-X132,"")</f>
        <v>0</v>
      </c>
      <c r="AQ132" t="str">
        <f>IFERROR(AA132-W132,"")</f>
        <v/>
      </c>
    </row>
    <row r="133" spans="1:43" x14ac:dyDescent="0.35">
      <c r="A133">
        <v>1858</v>
      </c>
      <c r="B133" t="s">
        <v>485</v>
      </c>
      <c r="C133" t="s">
        <v>213</v>
      </c>
      <c r="D133" t="str">
        <f t="shared" si="46"/>
        <v>Program Office</v>
      </c>
      <c r="E133" t="s">
        <v>332</v>
      </c>
      <c r="F133" t="s">
        <v>46</v>
      </c>
      <c r="G133" t="s">
        <v>333</v>
      </c>
      <c r="H133" t="s">
        <v>334</v>
      </c>
      <c r="I133" s="32">
        <v>44874.077060185176</v>
      </c>
      <c r="J133" s="32">
        <v>44876.077060185176</v>
      </c>
      <c r="K133" s="32">
        <v>44882.077060185176</v>
      </c>
      <c r="L133" s="8">
        <f t="shared" si="47"/>
        <v>8</v>
      </c>
      <c r="M133" s="7">
        <v>44898.077060185176</v>
      </c>
      <c r="N133" t="s">
        <v>49</v>
      </c>
      <c r="O133" s="34">
        <v>44894.077060185176</v>
      </c>
      <c r="P133" t="s">
        <v>60</v>
      </c>
      <c r="R133" s="32">
        <v>44901.077060185176</v>
      </c>
      <c r="S133" t="s">
        <v>61</v>
      </c>
      <c r="T133" s="34" t="s">
        <v>7476</v>
      </c>
      <c r="U133" s="34" t="s">
        <v>7476</v>
      </c>
      <c r="V133" s="32">
        <v>44898.077060185176</v>
      </c>
      <c r="W133" s="32" t="s">
        <v>7476</v>
      </c>
      <c r="X133">
        <v>0</v>
      </c>
      <c r="Y133" s="34" t="s">
        <v>7476</v>
      </c>
      <c r="Z133" s="34" t="s">
        <v>7476</v>
      </c>
      <c r="AA133" s="34" t="s">
        <v>7476</v>
      </c>
      <c r="AB133" s="36" t="s">
        <v>7476</v>
      </c>
      <c r="AD133" t="s">
        <v>486</v>
      </c>
      <c r="AE133" t="s">
        <v>487</v>
      </c>
      <c r="AF133" s="16">
        <v>44887</v>
      </c>
      <c r="AG133" t="s">
        <v>68</v>
      </c>
      <c r="AH133">
        <v>6</v>
      </c>
      <c r="AI133" s="8">
        <f>IFERROR(R133-AF133,"")</f>
        <v>14.077060185176379</v>
      </c>
      <c r="AJ133" s="8">
        <f>IFERROR(O133-AF133,"")</f>
        <v>7.0770601851763786</v>
      </c>
      <c r="AK133" s="38">
        <f t="shared" si="48"/>
        <v>45078.077060185176</v>
      </c>
      <c r="AL133" t="str">
        <f>IFERROR(Z133-W133,"")</f>
        <v/>
      </c>
      <c r="AM133">
        <f>IFERROR(R133-J133,"")</f>
        <v>25</v>
      </c>
      <c r="AN133">
        <f>IFERROR(V133-O133,"")</f>
        <v>4</v>
      </c>
      <c r="AO133">
        <f>IFERROR(J133-I133,"")</f>
        <v>2</v>
      </c>
      <c r="AP133">
        <f>IFERROR(AC133-X133,"")</f>
        <v>0</v>
      </c>
      <c r="AQ133" t="str">
        <f>IFERROR(AA133-W133,"")</f>
        <v/>
      </c>
    </row>
    <row r="134" spans="1:43" x14ac:dyDescent="0.35">
      <c r="A134">
        <v>1853</v>
      </c>
      <c r="B134" t="s">
        <v>488</v>
      </c>
      <c r="C134" t="s">
        <v>213</v>
      </c>
      <c r="D134" t="str">
        <f t="shared" si="46"/>
        <v>Program Office</v>
      </c>
      <c r="E134" t="s">
        <v>332</v>
      </c>
      <c r="F134" t="s">
        <v>46</v>
      </c>
      <c r="G134" t="s">
        <v>333</v>
      </c>
      <c r="H134" t="s">
        <v>334</v>
      </c>
      <c r="I134" s="32">
        <v>44874.077060185176</v>
      </c>
      <c r="J134" s="32" t="s">
        <v>7471</v>
      </c>
      <c r="K134" s="32">
        <v>44882.077060185176</v>
      </c>
      <c r="L134" s="8">
        <f t="shared" si="47"/>
        <v>8</v>
      </c>
      <c r="M134" s="7">
        <v>44904.077060185176</v>
      </c>
      <c r="N134" t="s">
        <v>49</v>
      </c>
      <c r="O134" s="34">
        <v>44885.077060185176</v>
      </c>
      <c r="P134" t="s">
        <v>50</v>
      </c>
      <c r="Q134" t="s">
        <v>236</v>
      </c>
      <c r="R134" s="32" t="s">
        <v>7472</v>
      </c>
      <c r="S134" t="s">
        <v>7476</v>
      </c>
      <c r="T134" s="34" t="s">
        <v>7476</v>
      </c>
      <c r="U134" s="34" t="s">
        <v>7476</v>
      </c>
      <c r="V134" s="32">
        <v>44886.077060185176</v>
      </c>
      <c r="W134" s="32" t="s">
        <v>7476</v>
      </c>
      <c r="X134">
        <v>0</v>
      </c>
      <c r="Y134" s="34" t="s">
        <v>7476</v>
      </c>
      <c r="Z134" s="34" t="s">
        <v>7476</v>
      </c>
      <c r="AA134" s="34" t="s">
        <v>7476</v>
      </c>
      <c r="AB134" s="36" t="s">
        <v>52</v>
      </c>
      <c r="AD134" t="s">
        <v>489</v>
      </c>
      <c r="AE134" t="s">
        <v>490</v>
      </c>
      <c r="AF134" s="16">
        <v>44868</v>
      </c>
      <c r="AG134" t="s">
        <v>55</v>
      </c>
      <c r="AH134">
        <v>6</v>
      </c>
      <c r="AK134" s="38">
        <f t="shared" si="48"/>
        <v>45066.077060185176</v>
      </c>
    </row>
    <row r="135" spans="1:43" x14ac:dyDescent="0.35">
      <c r="A135">
        <v>1796</v>
      </c>
      <c r="B135" t="s">
        <v>491</v>
      </c>
      <c r="C135" t="s">
        <v>217</v>
      </c>
      <c r="D135" t="str">
        <f t="shared" si="46"/>
        <v>Program Office</v>
      </c>
      <c r="E135" t="s">
        <v>332</v>
      </c>
      <c r="F135" t="s">
        <v>46</v>
      </c>
      <c r="G135" t="s">
        <v>333</v>
      </c>
      <c r="H135" t="s">
        <v>334</v>
      </c>
      <c r="I135" s="32" t="s">
        <v>7471</v>
      </c>
      <c r="J135" s="32">
        <v>44831.47960648148</v>
      </c>
      <c r="K135" s="32">
        <v>44837.47960648148</v>
      </c>
      <c r="L135" s="8" t="str">
        <f t="shared" si="47"/>
        <v/>
      </c>
      <c r="M135" s="7">
        <v>44849.47960648148</v>
      </c>
      <c r="N135" t="s">
        <v>72</v>
      </c>
      <c r="O135" s="34" t="s">
        <v>7474</v>
      </c>
      <c r="R135" s="32" t="s">
        <v>7472</v>
      </c>
      <c r="S135" t="s">
        <v>7476</v>
      </c>
      <c r="T135" s="34" t="s">
        <v>7476</v>
      </c>
      <c r="U135" s="34" t="s">
        <v>7476</v>
      </c>
      <c r="V135" s="32" t="s">
        <v>7476</v>
      </c>
      <c r="W135" s="32" t="s">
        <v>7476</v>
      </c>
      <c r="X135">
        <v>0</v>
      </c>
      <c r="Y135" s="34" t="s">
        <v>7476</v>
      </c>
      <c r="Z135" s="34" t="s">
        <v>7476</v>
      </c>
      <c r="AA135" s="34" t="s">
        <v>7476</v>
      </c>
      <c r="AB135" s="36" t="s">
        <v>7476</v>
      </c>
      <c r="AD135" t="s">
        <v>492</v>
      </c>
      <c r="AE135" t="s">
        <v>493</v>
      </c>
      <c r="AG135" t="s">
        <v>75</v>
      </c>
      <c r="AH135">
        <v>3</v>
      </c>
      <c r="AK135" s="38" t="str">
        <f t="shared" si="48"/>
        <v/>
      </c>
    </row>
    <row r="136" spans="1:43" x14ac:dyDescent="0.35">
      <c r="A136">
        <v>1442</v>
      </c>
      <c r="B136" t="s">
        <v>494</v>
      </c>
      <c r="C136" t="s">
        <v>217</v>
      </c>
      <c r="D136" t="str">
        <f t="shared" si="46"/>
        <v>Program Office</v>
      </c>
      <c r="E136" t="s">
        <v>332</v>
      </c>
      <c r="F136" t="s">
        <v>46</v>
      </c>
      <c r="G136" t="s">
        <v>333</v>
      </c>
      <c r="H136" t="s">
        <v>334</v>
      </c>
      <c r="I136" s="32">
        <v>45013.427199074067</v>
      </c>
      <c r="J136" s="32">
        <v>45014.427199074067</v>
      </c>
      <c r="K136" s="32">
        <v>45019.427199074067</v>
      </c>
      <c r="L136" s="8">
        <f t="shared" si="47"/>
        <v>6</v>
      </c>
      <c r="M136" s="7">
        <v>45027.427199074067</v>
      </c>
      <c r="N136" t="s">
        <v>49</v>
      </c>
      <c r="O136" s="34">
        <v>45029.427199074067</v>
      </c>
      <c r="P136" t="s">
        <v>101</v>
      </c>
      <c r="R136" s="32">
        <v>45033.427199074067</v>
      </c>
      <c r="S136" t="s">
        <v>101</v>
      </c>
      <c r="T136" s="34">
        <v>45031.427199074067</v>
      </c>
      <c r="U136" s="34">
        <v>45032.427199074067</v>
      </c>
      <c r="V136" s="32">
        <v>45032.427199074067</v>
      </c>
      <c r="W136" s="32">
        <v>45039.427199074067</v>
      </c>
      <c r="X136">
        <v>1</v>
      </c>
      <c r="Y136" s="34">
        <v>45043.427199074067</v>
      </c>
      <c r="Z136" s="34">
        <v>45046.427199074067</v>
      </c>
      <c r="AA136" s="34">
        <v>45048.427199074067</v>
      </c>
      <c r="AB136" s="36" t="s">
        <v>7476</v>
      </c>
      <c r="AC136" s="10">
        <v>45061.427199074067</v>
      </c>
      <c r="AD136" t="s">
        <v>495</v>
      </c>
      <c r="AE136" t="s">
        <v>496</v>
      </c>
      <c r="AF136" s="16">
        <v>45012</v>
      </c>
      <c r="AG136" t="s">
        <v>68</v>
      </c>
      <c r="AH136">
        <v>3</v>
      </c>
      <c r="AI136" s="8">
        <f>IFERROR(R136-AF136,"")</f>
        <v>21.427199074067175</v>
      </c>
      <c r="AJ136" s="8">
        <f>IFERROR(O136-AF136,"")</f>
        <v>17.427199074067175</v>
      </c>
      <c r="AK136" s="38">
        <f t="shared" si="48"/>
        <v>45122.427199074067</v>
      </c>
      <c r="AL136">
        <f>IFERROR(Z136-W136,"")</f>
        <v>7</v>
      </c>
      <c r="AM136">
        <f>IFERROR(R136-J136,"")</f>
        <v>19</v>
      </c>
      <c r="AN136">
        <f>IFERROR(V136-O136,"")</f>
        <v>3</v>
      </c>
      <c r="AO136">
        <f>IFERROR(J136-I136,"")</f>
        <v>1</v>
      </c>
      <c r="AP136">
        <f>IFERROR(AC136-X136,"")</f>
        <v>45060.427199074067</v>
      </c>
      <c r="AQ136">
        <f>IFERROR(AA136-W136,"")</f>
        <v>9</v>
      </c>
    </row>
    <row r="137" spans="1:43" x14ac:dyDescent="0.35">
      <c r="A137">
        <v>1441</v>
      </c>
      <c r="B137" t="s">
        <v>497</v>
      </c>
      <c r="C137" t="s">
        <v>213</v>
      </c>
      <c r="D137" t="str">
        <f t="shared" si="46"/>
        <v>Program Office</v>
      </c>
      <c r="E137" t="s">
        <v>332</v>
      </c>
      <c r="F137" t="s">
        <v>46</v>
      </c>
      <c r="G137" t="s">
        <v>333</v>
      </c>
      <c r="H137" t="s">
        <v>334</v>
      </c>
      <c r="I137" s="32">
        <v>45015.427199074067</v>
      </c>
      <c r="J137" s="32">
        <v>45018.427199074067</v>
      </c>
      <c r="K137" s="32">
        <v>45019.427199074067</v>
      </c>
      <c r="L137" s="8">
        <f t="shared" si="47"/>
        <v>4</v>
      </c>
      <c r="M137" s="7">
        <v>45049.427199074067</v>
      </c>
      <c r="N137" t="s">
        <v>49</v>
      </c>
      <c r="O137" s="34">
        <v>45035.427199074067</v>
      </c>
      <c r="P137" t="s">
        <v>101</v>
      </c>
      <c r="R137" s="32">
        <v>45040.427199074067</v>
      </c>
      <c r="S137" t="s">
        <v>101</v>
      </c>
      <c r="T137" s="34">
        <v>45037.427199074067</v>
      </c>
      <c r="U137" s="34">
        <v>45038.427199074067</v>
      </c>
      <c r="V137" s="32">
        <v>45038.427199074067</v>
      </c>
      <c r="W137" s="32">
        <v>45044.427199074067</v>
      </c>
      <c r="X137">
        <v>1</v>
      </c>
      <c r="Y137" s="34">
        <v>45047.427199074067</v>
      </c>
      <c r="Z137" s="34">
        <v>45050.427199074067</v>
      </c>
      <c r="AA137" s="34">
        <v>45052.427199074067</v>
      </c>
      <c r="AB137" s="36" t="s">
        <v>7476</v>
      </c>
      <c r="AC137" s="10">
        <v>45067.427199074067</v>
      </c>
      <c r="AD137" t="s">
        <v>498</v>
      </c>
      <c r="AE137" t="s">
        <v>499</v>
      </c>
      <c r="AF137" s="16">
        <v>45017</v>
      </c>
      <c r="AG137" t="s">
        <v>64</v>
      </c>
      <c r="AH137">
        <v>6</v>
      </c>
      <c r="AI137" s="8">
        <f>IFERROR(R137-AF137,"")</f>
        <v>23.427199074067175</v>
      </c>
      <c r="AJ137" s="8">
        <f>IFERROR(O137-AF137,"")</f>
        <v>18.427199074067175</v>
      </c>
      <c r="AK137" s="38">
        <f t="shared" si="48"/>
        <v>45218.427199074067</v>
      </c>
      <c r="AL137">
        <f>IFERROR(Z137-W137,"")</f>
        <v>6</v>
      </c>
      <c r="AM137">
        <f>IFERROR(R137-J137,"")</f>
        <v>22</v>
      </c>
      <c r="AN137">
        <f>IFERROR(V137-O137,"")</f>
        <v>3</v>
      </c>
      <c r="AO137">
        <f>IFERROR(J137-I137,"")</f>
        <v>3</v>
      </c>
      <c r="AP137">
        <f>IFERROR(AC137-X137,"")</f>
        <v>45066.427199074067</v>
      </c>
      <c r="AQ137">
        <f>IFERROR(AA137-W137,"")</f>
        <v>8</v>
      </c>
    </row>
    <row r="138" spans="1:43" x14ac:dyDescent="0.35">
      <c r="A138">
        <v>1419</v>
      </c>
      <c r="B138" t="s">
        <v>500</v>
      </c>
      <c r="C138" t="s">
        <v>217</v>
      </c>
      <c r="D138" t="str">
        <f t="shared" si="46"/>
        <v>Program Office</v>
      </c>
      <c r="E138" t="s">
        <v>332</v>
      </c>
      <c r="F138" t="s">
        <v>46</v>
      </c>
      <c r="G138" t="s">
        <v>333</v>
      </c>
      <c r="H138" t="s">
        <v>334</v>
      </c>
      <c r="I138" s="32">
        <v>44783.789305555547</v>
      </c>
      <c r="J138" s="32">
        <v>44785.789305555547</v>
      </c>
      <c r="K138" s="32">
        <v>44786.789305555547</v>
      </c>
      <c r="L138" s="8">
        <f t="shared" si="47"/>
        <v>3</v>
      </c>
      <c r="M138" s="7">
        <v>44816.789305555547</v>
      </c>
      <c r="N138" t="s">
        <v>72</v>
      </c>
      <c r="O138" s="34" t="s">
        <v>7474</v>
      </c>
      <c r="R138" s="32" t="s">
        <v>7472</v>
      </c>
      <c r="S138" t="s">
        <v>7476</v>
      </c>
      <c r="T138" s="34" t="s">
        <v>7476</v>
      </c>
      <c r="U138" s="34" t="s">
        <v>7476</v>
      </c>
      <c r="V138" s="32" t="s">
        <v>7476</v>
      </c>
      <c r="W138" s="32" t="s">
        <v>7476</v>
      </c>
      <c r="X138">
        <v>0</v>
      </c>
      <c r="Y138" s="34" t="s">
        <v>7476</v>
      </c>
      <c r="Z138" s="34" t="s">
        <v>7476</v>
      </c>
      <c r="AA138" s="34" t="s">
        <v>7476</v>
      </c>
      <c r="AB138" s="36" t="s">
        <v>7476</v>
      </c>
      <c r="AD138" t="s">
        <v>501</v>
      </c>
      <c r="AE138" t="s">
        <v>502</v>
      </c>
      <c r="AG138" t="s">
        <v>64</v>
      </c>
      <c r="AH138">
        <v>3</v>
      </c>
      <c r="AI138" s="8" t="str">
        <f>IFERROR(R138-AF138,"")</f>
        <v/>
      </c>
      <c r="AJ138" s="8" t="str">
        <f>IFERROR(O138-AF138,"")</f>
        <v/>
      </c>
      <c r="AK138" s="38" t="str">
        <f t="shared" si="48"/>
        <v/>
      </c>
      <c r="AL138" t="str">
        <f>IFERROR(Z138-W138,"")</f>
        <v/>
      </c>
      <c r="AM138" t="str">
        <f>IFERROR(R138-J138,"")</f>
        <v/>
      </c>
      <c r="AN138" t="str">
        <f>IFERROR(V138-O138,"")</f>
        <v/>
      </c>
      <c r="AO138">
        <f>IFERROR(J138-I138,"")</f>
        <v>2</v>
      </c>
      <c r="AP138">
        <f>IFERROR(AC138-X138,"")</f>
        <v>0</v>
      </c>
      <c r="AQ138" t="str">
        <f>IFERROR(AA138-W138,"")</f>
        <v/>
      </c>
    </row>
    <row r="139" spans="1:43" x14ac:dyDescent="0.35">
      <c r="A139">
        <v>1414</v>
      </c>
      <c r="B139" t="s">
        <v>503</v>
      </c>
      <c r="C139" t="s">
        <v>217</v>
      </c>
      <c r="D139" t="str">
        <f t="shared" si="46"/>
        <v>Program Office</v>
      </c>
      <c r="E139" t="s">
        <v>332</v>
      </c>
      <c r="F139" t="s">
        <v>46</v>
      </c>
      <c r="G139" t="s">
        <v>333</v>
      </c>
      <c r="H139" t="s">
        <v>334</v>
      </c>
      <c r="I139" s="32">
        <v>44777.789305555547</v>
      </c>
      <c r="J139" s="32" t="s">
        <v>7471</v>
      </c>
      <c r="K139" s="32">
        <v>44786.789305555547</v>
      </c>
      <c r="L139" s="8">
        <f t="shared" si="47"/>
        <v>9</v>
      </c>
      <c r="M139" s="7">
        <v>44791.789305555547</v>
      </c>
      <c r="N139" t="s">
        <v>49</v>
      </c>
      <c r="O139" s="34">
        <v>44799.789305555547</v>
      </c>
      <c r="P139" t="s">
        <v>50</v>
      </c>
      <c r="Q139" t="s">
        <v>84</v>
      </c>
      <c r="R139" s="32" t="s">
        <v>7472</v>
      </c>
      <c r="S139" t="s">
        <v>7476</v>
      </c>
      <c r="T139" s="34" t="s">
        <v>7476</v>
      </c>
      <c r="U139" s="34" t="s">
        <v>7476</v>
      </c>
      <c r="V139" s="32">
        <v>44802.789305555547</v>
      </c>
      <c r="W139" s="32" t="s">
        <v>7476</v>
      </c>
      <c r="X139">
        <v>0</v>
      </c>
      <c r="Y139" s="34" t="s">
        <v>7476</v>
      </c>
      <c r="Z139" s="34" t="s">
        <v>7476</v>
      </c>
      <c r="AA139" s="34" t="s">
        <v>7476</v>
      </c>
      <c r="AB139" s="36" t="s">
        <v>95</v>
      </c>
      <c r="AD139" t="s">
        <v>504</v>
      </c>
      <c r="AE139" t="s">
        <v>505</v>
      </c>
      <c r="AF139" s="16">
        <v>44788</v>
      </c>
      <c r="AG139" t="s">
        <v>75</v>
      </c>
      <c r="AH139">
        <v>6</v>
      </c>
      <c r="AK139" s="38">
        <f t="shared" si="48"/>
        <v>44982.789305555547</v>
      </c>
    </row>
    <row r="140" spans="1:43" x14ac:dyDescent="0.35">
      <c r="A140">
        <v>1406</v>
      </c>
      <c r="B140" t="s">
        <v>506</v>
      </c>
      <c r="C140" t="s">
        <v>213</v>
      </c>
      <c r="D140" t="str">
        <f t="shared" si="46"/>
        <v>Program Office</v>
      </c>
      <c r="E140" t="s">
        <v>332</v>
      </c>
      <c r="F140" t="s">
        <v>46</v>
      </c>
      <c r="G140" t="s">
        <v>333</v>
      </c>
      <c r="H140" t="s">
        <v>334</v>
      </c>
      <c r="I140" s="32">
        <v>44613.306493055563</v>
      </c>
      <c r="J140" s="32">
        <v>44616.306493055563</v>
      </c>
      <c r="K140" s="32">
        <v>44619.306493055563</v>
      </c>
      <c r="L140" s="8">
        <f t="shared" si="47"/>
        <v>6</v>
      </c>
      <c r="M140" s="7">
        <v>44642.306493055563</v>
      </c>
      <c r="N140" t="s">
        <v>49</v>
      </c>
      <c r="O140" s="34">
        <v>44622.306493055563</v>
      </c>
      <c r="P140" t="s">
        <v>50</v>
      </c>
      <c r="Q140" t="s">
        <v>51</v>
      </c>
      <c r="R140" s="32" t="s">
        <v>7472</v>
      </c>
      <c r="S140" t="s">
        <v>7476</v>
      </c>
      <c r="T140" s="34" t="s">
        <v>7476</v>
      </c>
      <c r="U140" s="34" t="s">
        <v>7476</v>
      </c>
      <c r="V140" s="32">
        <v>44624.306493055563</v>
      </c>
      <c r="W140" s="32" t="s">
        <v>7476</v>
      </c>
      <c r="X140">
        <v>0</v>
      </c>
      <c r="Y140" s="34" t="s">
        <v>7476</v>
      </c>
      <c r="Z140" s="34" t="s">
        <v>7476</v>
      </c>
      <c r="AA140" s="34" t="s">
        <v>7476</v>
      </c>
      <c r="AB140" s="36" t="s">
        <v>52</v>
      </c>
      <c r="AD140" t="s">
        <v>507</v>
      </c>
      <c r="AE140" t="s">
        <v>508</v>
      </c>
      <c r="AF140" s="16">
        <v>44608</v>
      </c>
      <c r="AG140" t="s">
        <v>64</v>
      </c>
      <c r="AH140">
        <v>3</v>
      </c>
      <c r="AI140" s="8" t="str">
        <f>IFERROR(R140-AF140,"")</f>
        <v/>
      </c>
      <c r="AJ140" s="8">
        <f>IFERROR(O140-AF140,"")</f>
        <v>14.306493055562896</v>
      </c>
      <c r="AK140" s="38">
        <f t="shared" si="48"/>
        <v>44714.306493055563</v>
      </c>
      <c r="AL140" t="str">
        <f>IFERROR(Z140-W140,"")</f>
        <v/>
      </c>
      <c r="AM140" t="str">
        <f>IFERROR(R140-J140,"")</f>
        <v/>
      </c>
      <c r="AN140">
        <f>IFERROR(V140-O140,"")</f>
        <v>2</v>
      </c>
      <c r="AO140">
        <f>IFERROR(J140-I140,"")</f>
        <v>3</v>
      </c>
      <c r="AP140">
        <f>IFERROR(AC140-X140,"")</f>
        <v>0</v>
      </c>
      <c r="AQ140" t="str">
        <f>IFERROR(AA140-W140,"")</f>
        <v/>
      </c>
    </row>
    <row r="141" spans="1:43" x14ac:dyDescent="0.35">
      <c r="A141">
        <v>1403</v>
      </c>
      <c r="B141" t="s">
        <v>509</v>
      </c>
      <c r="C141" t="s">
        <v>213</v>
      </c>
      <c r="D141" t="str">
        <f t="shared" si="46"/>
        <v>Program Office</v>
      </c>
      <c r="E141" t="s">
        <v>332</v>
      </c>
      <c r="F141" t="s">
        <v>46</v>
      </c>
      <c r="G141" t="s">
        <v>333</v>
      </c>
      <c r="H141" t="s">
        <v>334</v>
      </c>
      <c r="I141" s="32">
        <v>44615.306493055563</v>
      </c>
      <c r="J141" s="32" t="s">
        <v>7471</v>
      </c>
      <c r="K141" s="32">
        <v>44619.306493055563</v>
      </c>
      <c r="L141" s="8">
        <f t="shared" si="47"/>
        <v>4</v>
      </c>
      <c r="M141" s="7">
        <v>44630.306493055563</v>
      </c>
      <c r="N141" t="s">
        <v>49</v>
      </c>
      <c r="O141" s="34">
        <v>44635.306493055563</v>
      </c>
      <c r="P141" t="s">
        <v>50</v>
      </c>
      <c r="Q141" t="s">
        <v>51</v>
      </c>
      <c r="R141" s="32" t="s">
        <v>7472</v>
      </c>
      <c r="S141" t="s">
        <v>7476</v>
      </c>
      <c r="T141" s="34" t="s">
        <v>7476</v>
      </c>
      <c r="U141" s="34" t="s">
        <v>7476</v>
      </c>
      <c r="V141" s="32" t="s">
        <v>7476</v>
      </c>
      <c r="W141" s="32" t="s">
        <v>7476</v>
      </c>
      <c r="X141">
        <v>0</v>
      </c>
      <c r="Y141" s="34" t="s">
        <v>7476</v>
      </c>
      <c r="Z141" s="34" t="s">
        <v>7476</v>
      </c>
      <c r="AA141" s="34" t="s">
        <v>7476</v>
      </c>
      <c r="AB141" s="36" t="s">
        <v>52</v>
      </c>
      <c r="AD141" t="s">
        <v>510</v>
      </c>
      <c r="AE141" t="s">
        <v>511</v>
      </c>
      <c r="AF141" s="16">
        <v>44616</v>
      </c>
      <c r="AG141" t="s">
        <v>75</v>
      </c>
      <c r="AH141">
        <v>6</v>
      </c>
      <c r="AK141" s="38" t="str">
        <f t="shared" si="48"/>
        <v/>
      </c>
    </row>
    <row r="142" spans="1:43" x14ac:dyDescent="0.35">
      <c r="A142">
        <v>1402</v>
      </c>
      <c r="B142" t="s">
        <v>512</v>
      </c>
      <c r="C142" t="s">
        <v>213</v>
      </c>
      <c r="D142" t="str">
        <f t="shared" si="46"/>
        <v>Program Office</v>
      </c>
      <c r="E142" t="s">
        <v>332</v>
      </c>
      <c r="F142" t="s">
        <v>46</v>
      </c>
      <c r="G142" t="s">
        <v>333</v>
      </c>
      <c r="H142" t="s">
        <v>334</v>
      </c>
      <c r="I142" s="32">
        <v>44616.306493055563</v>
      </c>
      <c r="J142" s="32">
        <v>44618.306493055563</v>
      </c>
      <c r="K142" s="32">
        <v>44619.306493055563</v>
      </c>
      <c r="L142" s="8">
        <f t="shared" si="47"/>
        <v>3</v>
      </c>
      <c r="M142" s="7">
        <v>44643.306493055563</v>
      </c>
      <c r="N142" t="s">
        <v>49</v>
      </c>
      <c r="O142" s="34">
        <v>44629.306493055563</v>
      </c>
      <c r="P142" t="s">
        <v>101</v>
      </c>
      <c r="R142" s="32">
        <v>44633.306493055563</v>
      </c>
      <c r="S142" t="s">
        <v>101</v>
      </c>
      <c r="T142" s="34">
        <v>44631.306493055563</v>
      </c>
      <c r="U142" s="34">
        <v>44634.306493055563</v>
      </c>
      <c r="V142" s="32">
        <v>44632.306493055563</v>
      </c>
      <c r="W142" s="32">
        <v>44634.306493055563</v>
      </c>
      <c r="X142">
        <v>1</v>
      </c>
      <c r="Y142" s="34">
        <v>44636.306493055563</v>
      </c>
      <c r="Z142" s="34">
        <v>44639.306493055563</v>
      </c>
      <c r="AA142" s="34">
        <v>44641.306493055563</v>
      </c>
      <c r="AB142" s="36" t="s">
        <v>7476</v>
      </c>
      <c r="AC142" s="10">
        <v>44660.306493055563</v>
      </c>
      <c r="AD142" t="s">
        <v>513</v>
      </c>
      <c r="AE142" t="s">
        <v>514</v>
      </c>
      <c r="AF142" s="16">
        <v>44619</v>
      </c>
      <c r="AG142" t="s">
        <v>98</v>
      </c>
      <c r="AH142">
        <v>6</v>
      </c>
      <c r="AI142" s="8">
        <f>IFERROR(R142-AF142,"")</f>
        <v>14.306493055562896</v>
      </c>
      <c r="AJ142" s="8">
        <f>IFERROR(O142-AF142,"")</f>
        <v>10.306493055562896</v>
      </c>
      <c r="AK142" s="38">
        <f t="shared" si="48"/>
        <v>44812.306493055563</v>
      </c>
      <c r="AL142">
        <f>IFERROR(Z142-W142,"")</f>
        <v>5</v>
      </c>
      <c r="AM142">
        <f>IFERROR(R142-J142,"")</f>
        <v>15</v>
      </c>
      <c r="AN142">
        <f>IFERROR(V142-O142,"")</f>
        <v>3</v>
      </c>
      <c r="AO142">
        <f>IFERROR(J142-I142,"")</f>
        <v>2</v>
      </c>
      <c r="AP142">
        <f>IFERROR(AC142-X142,"")</f>
        <v>44659.306493055563</v>
      </c>
      <c r="AQ142">
        <f>IFERROR(AA142-W142,"")</f>
        <v>7</v>
      </c>
    </row>
    <row r="143" spans="1:43" x14ac:dyDescent="0.35">
      <c r="A143">
        <v>1383</v>
      </c>
      <c r="B143" t="s">
        <v>515</v>
      </c>
      <c r="C143" t="s">
        <v>217</v>
      </c>
      <c r="D143" t="str">
        <f t="shared" si="46"/>
        <v>Program Office</v>
      </c>
      <c r="E143" t="s">
        <v>332</v>
      </c>
      <c r="F143" t="s">
        <v>46</v>
      </c>
      <c r="G143" t="s">
        <v>333</v>
      </c>
      <c r="H143" t="s">
        <v>334</v>
      </c>
      <c r="I143" s="32">
        <v>45040.733506944453</v>
      </c>
      <c r="J143" s="32">
        <v>45041.733506944453</v>
      </c>
      <c r="K143" s="32">
        <v>45046.733506944453</v>
      </c>
      <c r="L143" s="8">
        <f t="shared" si="47"/>
        <v>6</v>
      </c>
      <c r="M143" s="7">
        <v>45069.733506944453</v>
      </c>
      <c r="N143" t="s">
        <v>49</v>
      </c>
      <c r="O143" s="34">
        <v>45060.733506944453</v>
      </c>
      <c r="P143" t="s">
        <v>101</v>
      </c>
      <c r="R143" s="32">
        <v>45064.733506944453</v>
      </c>
      <c r="S143" t="s">
        <v>101</v>
      </c>
      <c r="T143" s="34">
        <v>45061.733506944453</v>
      </c>
      <c r="U143" s="34">
        <v>45064.733506944453</v>
      </c>
      <c r="V143" s="32">
        <v>45063.733506944453</v>
      </c>
      <c r="W143" s="32">
        <v>45065.733506944453</v>
      </c>
      <c r="X143">
        <v>1</v>
      </c>
      <c r="Y143" s="34">
        <v>45067.733506944453</v>
      </c>
      <c r="Z143" s="34">
        <v>45069.733506944453</v>
      </c>
      <c r="AA143" s="34">
        <v>45072.733506944453</v>
      </c>
      <c r="AB143" s="36" t="s">
        <v>7476</v>
      </c>
      <c r="AC143" s="10">
        <v>45089.733506944453</v>
      </c>
      <c r="AD143" t="s">
        <v>516</v>
      </c>
      <c r="AE143" t="s">
        <v>517</v>
      </c>
      <c r="AF143" s="16">
        <v>45052</v>
      </c>
      <c r="AG143" t="s">
        <v>68</v>
      </c>
      <c r="AH143">
        <v>6</v>
      </c>
      <c r="AI143" s="8">
        <f>IFERROR(R143-AF143,"")</f>
        <v>12.733506944452529</v>
      </c>
      <c r="AJ143" s="8">
        <f>IFERROR(O143-AF143,"")</f>
        <v>8.7335069444525288</v>
      </c>
      <c r="AK143" s="38">
        <f t="shared" si="48"/>
        <v>45243.733506944453</v>
      </c>
      <c r="AL143">
        <f>IFERROR(Z143-W143,"")</f>
        <v>4</v>
      </c>
      <c r="AM143">
        <f>IFERROR(R143-J143,"")</f>
        <v>23</v>
      </c>
      <c r="AN143">
        <f>IFERROR(V143-O143,"")</f>
        <v>3</v>
      </c>
      <c r="AO143">
        <f>IFERROR(J143-I143,"")</f>
        <v>1</v>
      </c>
      <c r="AP143">
        <f>IFERROR(AC143-X143,"")</f>
        <v>45088.733506944453</v>
      </c>
      <c r="AQ143">
        <f>IFERROR(AA143-W143,"")</f>
        <v>7</v>
      </c>
    </row>
    <row r="144" spans="1:43" x14ac:dyDescent="0.35">
      <c r="A144">
        <v>1330</v>
      </c>
      <c r="B144" t="s">
        <v>518</v>
      </c>
      <c r="C144" t="s">
        <v>202</v>
      </c>
      <c r="D144" t="str">
        <f t="shared" si="46"/>
        <v>Program Office</v>
      </c>
      <c r="E144" t="s">
        <v>332</v>
      </c>
      <c r="F144" t="s">
        <v>46</v>
      </c>
      <c r="G144" t="s">
        <v>333</v>
      </c>
      <c r="H144" t="s">
        <v>334</v>
      </c>
      <c r="I144" s="32">
        <v>45157.187118055554</v>
      </c>
      <c r="J144" s="32" t="s">
        <v>7471</v>
      </c>
      <c r="K144" s="32">
        <v>45166.187118055554</v>
      </c>
      <c r="L144" s="8">
        <f t="shared" si="47"/>
        <v>9</v>
      </c>
      <c r="M144" s="7">
        <v>45196.187118055554</v>
      </c>
      <c r="N144" t="s">
        <v>49</v>
      </c>
      <c r="O144" s="34">
        <v>45179.187118055554</v>
      </c>
      <c r="P144" t="s">
        <v>392</v>
      </c>
      <c r="R144" s="32">
        <v>45181.187118055554</v>
      </c>
      <c r="S144" t="s">
        <v>392</v>
      </c>
      <c r="T144" s="34" t="s">
        <v>7476</v>
      </c>
      <c r="U144" s="34" t="s">
        <v>7476</v>
      </c>
      <c r="V144" s="32">
        <v>45180.187118055554</v>
      </c>
      <c r="W144" s="32" t="s">
        <v>7476</v>
      </c>
      <c r="X144">
        <v>0</v>
      </c>
      <c r="Y144" s="34" t="s">
        <v>7476</v>
      </c>
      <c r="Z144" s="34" t="s">
        <v>7476</v>
      </c>
      <c r="AA144" s="34" t="s">
        <v>7476</v>
      </c>
      <c r="AB144" s="36" t="s">
        <v>7476</v>
      </c>
      <c r="AD144" t="s">
        <v>519</v>
      </c>
      <c r="AE144" t="s">
        <v>520</v>
      </c>
      <c r="AF144" s="16">
        <v>45163</v>
      </c>
      <c r="AG144" t="s">
        <v>75</v>
      </c>
      <c r="AH144">
        <v>6</v>
      </c>
      <c r="AK144" s="38">
        <f t="shared" si="48"/>
        <v>45360.187118055554</v>
      </c>
    </row>
    <row r="145" spans="1:43" x14ac:dyDescent="0.35">
      <c r="A145">
        <v>1324</v>
      </c>
      <c r="B145" t="s">
        <v>521</v>
      </c>
      <c r="C145" t="s">
        <v>202</v>
      </c>
      <c r="D145" t="str">
        <f t="shared" si="46"/>
        <v>Program Office</v>
      </c>
      <c r="E145" t="s">
        <v>332</v>
      </c>
      <c r="F145" t="s">
        <v>46</v>
      </c>
      <c r="G145" t="s">
        <v>333</v>
      </c>
      <c r="H145" t="s">
        <v>334</v>
      </c>
      <c r="I145" s="32">
        <v>45162.187118055554</v>
      </c>
      <c r="J145" s="32" t="s">
        <v>7471</v>
      </c>
      <c r="K145" s="32">
        <v>45166.187118055554</v>
      </c>
      <c r="L145" s="8">
        <f t="shared" si="47"/>
        <v>4</v>
      </c>
      <c r="M145" s="7">
        <v>45185.187118055554</v>
      </c>
      <c r="N145" t="s">
        <v>49</v>
      </c>
      <c r="O145" s="34">
        <v>45169.187118055554</v>
      </c>
      <c r="P145" t="s">
        <v>50</v>
      </c>
      <c r="Q145" t="s">
        <v>236</v>
      </c>
      <c r="R145" s="32" t="s">
        <v>7472</v>
      </c>
      <c r="S145" t="s">
        <v>7476</v>
      </c>
      <c r="T145" s="34" t="s">
        <v>7476</v>
      </c>
      <c r="U145" s="34" t="s">
        <v>7476</v>
      </c>
      <c r="V145" s="32" t="s">
        <v>7476</v>
      </c>
      <c r="W145" s="32" t="s">
        <v>7476</v>
      </c>
      <c r="X145">
        <v>0</v>
      </c>
      <c r="Y145" s="34" t="s">
        <v>7476</v>
      </c>
      <c r="Z145" s="34" t="s">
        <v>7476</v>
      </c>
      <c r="AA145" s="34" t="s">
        <v>7476</v>
      </c>
      <c r="AB145" s="36" t="s">
        <v>52</v>
      </c>
      <c r="AD145" t="s">
        <v>522</v>
      </c>
      <c r="AE145" t="s">
        <v>523</v>
      </c>
      <c r="AF145" s="16">
        <v>45154</v>
      </c>
      <c r="AG145" t="s">
        <v>98</v>
      </c>
      <c r="AH145">
        <v>6</v>
      </c>
      <c r="AK145" s="38" t="str">
        <f t="shared" si="48"/>
        <v/>
      </c>
    </row>
    <row r="146" spans="1:43" x14ac:dyDescent="0.35">
      <c r="A146">
        <v>1297</v>
      </c>
      <c r="B146" t="s">
        <v>524</v>
      </c>
      <c r="C146" t="s">
        <v>217</v>
      </c>
      <c r="D146" t="str">
        <f t="shared" si="46"/>
        <v>Program Office</v>
      </c>
      <c r="E146" t="s">
        <v>332</v>
      </c>
      <c r="F146" t="s">
        <v>46</v>
      </c>
      <c r="G146" t="s">
        <v>333</v>
      </c>
      <c r="H146" t="s">
        <v>334</v>
      </c>
      <c r="I146" s="32">
        <v>45088.672731481478</v>
      </c>
      <c r="J146" s="32">
        <v>45092.672731481478</v>
      </c>
      <c r="K146" s="32" t="s">
        <v>7473</v>
      </c>
      <c r="L146" s="8" t="str">
        <f t="shared" si="47"/>
        <v/>
      </c>
      <c r="M146" s="7">
        <v>45104.672731481478</v>
      </c>
      <c r="N146" t="s">
        <v>49</v>
      </c>
      <c r="O146" s="34">
        <v>45099.672731481478</v>
      </c>
      <c r="P146" t="s">
        <v>50</v>
      </c>
      <c r="Q146" t="s">
        <v>125</v>
      </c>
      <c r="R146" s="32" t="s">
        <v>7472</v>
      </c>
      <c r="S146" t="s">
        <v>7476</v>
      </c>
      <c r="T146" s="34" t="s">
        <v>7476</v>
      </c>
      <c r="U146" s="34" t="s">
        <v>7476</v>
      </c>
      <c r="V146" s="32">
        <v>45101.672731481478</v>
      </c>
      <c r="W146" s="32" t="s">
        <v>7476</v>
      </c>
      <c r="X146">
        <v>0</v>
      </c>
      <c r="Y146" s="34" t="s">
        <v>7476</v>
      </c>
      <c r="Z146" s="34" t="s">
        <v>7476</v>
      </c>
      <c r="AA146" s="34" t="s">
        <v>7476</v>
      </c>
      <c r="AB146" s="36" t="s">
        <v>52</v>
      </c>
      <c r="AD146" t="s">
        <v>525</v>
      </c>
      <c r="AE146" t="s">
        <v>526</v>
      </c>
      <c r="AF146" s="16">
        <v>45092</v>
      </c>
      <c r="AG146" t="s">
        <v>68</v>
      </c>
      <c r="AH146">
        <v>3</v>
      </c>
      <c r="AK146" s="38">
        <f t="shared" si="48"/>
        <v>45191.672731481478</v>
      </c>
    </row>
    <row r="147" spans="1:43" x14ac:dyDescent="0.35">
      <c r="A147">
        <v>1153</v>
      </c>
      <c r="B147" t="s">
        <v>527</v>
      </c>
      <c r="C147" t="s">
        <v>202</v>
      </c>
      <c r="D147" t="str">
        <f t="shared" si="46"/>
        <v>Program Office</v>
      </c>
      <c r="E147" t="s">
        <v>332</v>
      </c>
      <c r="F147" t="s">
        <v>46</v>
      </c>
      <c r="G147" t="s">
        <v>333</v>
      </c>
      <c r="H147" t="s">
        <v>334</v>
      </c>
      <c r="I147" s="32">
        <v>44642.808749999997</v>
      </c>
      <c r="J147" s="32">
        <v>44643.808749999997</v>
      </c>
      <c r="K147" s="32">
        <v>44644.808749999997</v>
      </c>
      <c r="L147" s="8">
        <f t="shared" si="47"/>
        <v>2</v>
      </c>
      <c r="M147" s="7">
        <v>44664.808749999997</v>
      </c>
      <c r="N147" t="s">
        <v>49</v>
      </c>
      <c r="O147" s="34">
        <v>44652.808749999997</v>
      </c>
      <c r="P147" t="s">
        <v>50</v>
      </c>
      <c r="Q147" t="s">
        <v>236</v>
      </c>
      <c r="R147" s="32" t="s">
        <v>7472</v>
      </c>
      <c r="S147" t="s">
        <v>7476</v>
      </c>
      <c r="T147" s="34" t="s">
        <v>7476</v>
      </c>
      <c r="U147" s="34" t="s">
        <v>7476</v>
      </c>
      <c r="V147" s="32" t="s">
        <v>7476</v>
      </c>
      <c r="W147" s="32" t="s">
        <v>7476</v>
      </c>
      <c r="X147">
        <v>0</v>
      </c>
      <c r="Y147" s="34" t="s">
        <v>7476</v>
      </c>
      <c r="Z147" s="34" t="s">
        <v>7476</v>
      </c>
      <c r="AA147" s="34" t="s">
        <v>7476</v>
      </c>
      <c r="AB147" s="36" t="s">
        <v>95</v>
      </c>
      <c r="AD147" t="s">
        <v>528</v>
      </c>
      <c r="AE147" t="s">
        <v>529</v>
      </c>
      <c r="AF147" s="16">
        <v>44633</v>
      </c>
      <c r="AG147" t="s">
        <v>68</v>
      </c>
      <c r="AH147">
        <v>6</v>
      </c>
      <c r="AI147" s="8" t="str">
        <f>IFERROR(R147-AF147,"")</f>
        <v/>
      </c>
      <c r="AJ147" s="8">
        <f>IFERROR(O147-AF147,"")</f>
        <v>19.808749999996508</v>
      </c>
      <c r="AK147" s="38" t="str">
        <f t="shared" si="48"/>
        <v/>
      </c>
      <c r="AL147" t="str">
        <f>IFERROR(Z147-W147,"")</f>
        <v/>
      </c>
      <c r="AM147" t="str">
        <f>IFERROR(R147-J147,"")</f>
        <v/>
      </c>
      <c r="AN147" t="str">
        <f>IFERROR(V147-O147,"")</f>
        <v/>
      </c>
      <c r="AO147">
        <f>IFERROR(J147-I147,"")</f>
        <v>1</v>
      </c>
      <c r="AP147">
        <f>IFERROR(AC147-X147,"")</f>
        <v>0</v>
      </c>
      <c r="AQ147" t="str">
        <f>IFERROR(AA147-W147,"")</f>
        <v/>
      </c>
    </row>
    <row r="148" spans="1:43" x14ac:dyDescent="0.35">
      <c r="A148">
        <v>998</v>
      </c>
      <c r="B148" t="s">
        <v>530</v>
      </c>
      <c r="C148" t="s">
        <v>202</v>
      </c>
      <c r="D148" t="str">
        <f t="shared" si="46"/>
        <v>Program Office</v>
      </c>
      <c r="E148" t="s">
        <v>332</v>
      </c>
      <c r="F148" t="s">
        <v>46</v>
      </c>
      <c r="G148" t="s">
        <v>333</v>
      </c>
      <c r="H148" t="s">
        <v>334</v>
      </c>
      <c r="I148" s="32">
        <v>45012.858425925922</v>
      </c>
      <c r="J148" s="32">
        <v>45016.858425925922</v>
      </c>
      <c r="K148" s="32">
        <v>45020.858425925922</v>
      </c>
      <c r="L148" s="8">
        <f t="shared" si="47"/>
        <v>8</v>
      </c>
      <c r="M148" s="7">
        <v>45045.858425925922</v>
      </c>
      <c r="N148" t="s">
        <v>49</v>
      </c>
      <c r="O148" s="34">
        <v>45028.858425925922</v>
      </c>
      <c r="P148" t="s">
        <v>50</v>
      </c>
      <c r="Q148" t="s">
        <v>51</v>
      </c>
      <c r="R148" s="32" t="s">
        <v>7472</v>
      </c>
      <c r="S148" t="s">
        <v>7476</v>
      </c>
      <c r="T148" s="34" t="s">
        <v>7476</v>
      </c>
      <c r="U148" s="34" t="s">
        <v>7476</v>
      </c>
      <c r="V148" s="32" t="s">
        <v>7476</v>
      </c>
      <c r="W148" s="32" t="s">
        <v>7476</v>
      </c>
      <c r="X148">
        <v>0</v>
      </c>
      <c r="Y148" s="34" t="s">
        <v>7476</v>
      </c>
      <c r="Z148" s="34" t="s">
        <v>7476</v>
      </c>
      <c r="AA148" s="34" t="s">
        <v>7476</v>
      </c>
      <c r="AB148" s="36" t="s">
        <v>95</v>
      </c>
      <c r="AD148" t="s">
        <v>531</v>
      </c>
      <c r="AE148" t="s">
        <v>532</v>
      </c>
      <c r="AF148" s="16">
        <v>45019</v>
      </c>
      <c r="AG148" t="s">
        <v>98</v>
      </c>
      <c r="AH148">
        <v>3</v>
      </c>
      <c r="AI148" s="8" t="str">
        <f>IFERROR(R148-AF148,"")</f>
        <v/>
      </c>
      <c r="AJ148" s="8">
        <f>IFERROR(O148-AF148,"")</f>
        <v>9.8584259259223472</v>
      </c>
      <c r="AK148" s="38" t="str">
        <f t="shared" si="48"/>
        <v/>
      </c>
      <c r="AL148" t="str">
        <f>IFERROR(Z148-W148,"")</f>
        <v/>
      </c>
      <c r="AM148" t="str">
        <f>IFERROR(R148-J148,"")</f>
        <v/>
      </c>
      <c r="AN148" t="str">
        <f>IFERROR(V148-O148,"")</f>
        <v/>
      </c>
      <c r="AO148">
        <f>IFERROR(J148-I148,"")</f>
        <v>4</v>
      </c>
      <c r="AP148">
        <f>IFERROR(AC148-X148,"")</f>
        <v>0</v>
      </c>
      <c r="AQ148" t="str">
        <f>IFERROR(AA148-W148,"")</f>
        <v/>
      </c>
    </row>
    <row r="149" spans="1:43" x14ac:dyDescent="0.35">
      <c r="A149">
        <v>997</v>
      </c>
      <c r="B149" t="s">
        <v>533</v>
      </c>
      <c r="C149" t="s">
        <v>202</v>
      </c>
      <c r="D149" t="str">
        <f t="shared" si="46"/>
        <v>Program Office</v>
      </c>
      <c r="E149" t="s">
        <v>332</v>
      </c>
      <c r="F149" t="s">
        <v>46</v>
      </c>
      <c r="G149" t="s">
        <v>333</v>
      </c>
      <c r="H149" t="s">
        <v>334</v>
      </c>
      <c r="I149" s="32">
        <v>45015.858425925922</v>
      </c>
      <c r="J149" s="32">
        <v>45019.858425925922</v>
      </c>
      <c r="K149" s="32">
        <v>45020.858425925922</v>
      </c>
      <c r="L149" s="8">
        <f t="shared" si="47"/>
        <v>5</v>
      </c>
      <c r="M149" s="7">
        <v>45027.858425925922</v>
      </c>
      <c r="N149" t="s">
        <v>49</v>
      </c>
      <c r="O149" s="34">
        <v>45024.858425925922</v>
      </c>
      <c r="P149" t="s">
        <v>101</v>
      </c>
      <c r="R149" s="32">
        <v>45030.858425925922</v>
      </c>
      <c r="S149" t="s">
        <v>101</v>
      </c>
      <c r="T149" s="34">
        <v>45025.858425925922</v>
      </c>
      <c r="U149" s="34">
        <v>45027.858425925922</v>
      </c>
      <c r="V149" s="32">
        <v>45026.858425925922</v>
      </c>
      <c r="W149" s="32">
        <v>45035.858425925922</v>
      </c>
      <c r="X149">
        <v>1</v>
      </c>
      <c r="Y149" s="34">
        <v>45039.858425925922</v>
      </c>
      <c r="Z149" s="34">
        <v>45042.858425925922</v>
      </c>
      <c r="AA149" s="34">
        <v>45044.858425925922</v>
      </c>
      <c r="AB149" s="36" t="s">
        <v>7476</v>
      </c>
      <c r="AC149" s="10">
        <v>45063.858425925922</v>
      </c>
      <c r="AD149" t="s">
        <v>534</v>
      </c>
      <c r="AE149" t="s">
        <v>535</v>
      </c>
      <c r="AF149" s="16">
        <v>45011</v>
      </c>
      <c r="AG149" t="s">
        <v>68</v>
      </c>
      <c r="AH149">
        <v>3</v>
      </c>
      <c r="AI149" s="8">
        <f>IFERROR(R149-AF149,"")</f>
        <v>19.858425925922347</v>
      </c>
      <c r="AJ149" s="8">
        <f>IFERROR(O149-AF149,"")</f>
        <v>13.858425925922347</v>
      </c>
      <c r="AK149" s="38">
        <f t="shared" si="48"/>
        <v>45116.858425925922</v>
      </c>
      <c r="AL149">
        <f>IFERROR(Z149-W149,"")</f>
        <v>7</v>
      </c>
      <c r="AM149">
        <f>IFERROR(R149-J149,"")</f>
        <v>11</v>
      </c>
      <c r="AN149">
        <f>IFERROR(V149-O149,"")</f>
        <v>2</v>
      </c>
      <c r="AO149">
        <f>IFERROR(J149-I149,"")</f>
        <v>4</v>
      </c>
      <c r="AP149">
        <f>IFERROR(AC149-X149,"")</f>
        <v>45062.858425925922</v>
      </c>
      <c r="AQ149">
        <f>IFERROR(AA149-W149,"")</f>
        <v>9</v>
      </c>
    </row>
    <row r="150" spans="1:43" x14ac:dyDescent="0.35">
      <c r="A150">
        <v>958</v>
      </c>
      <c r="B150" t="s">
        <v>536</v>
      </c>
      <c r="C150" t="s">
        <v>213</v>
      </c>
      <c r="D150" t="str">
        <f t="shared" si="46"/>
        <v>Program Office</v>
      </c>
      <c r="E150" t="s">
        <v>332</v>
      </c>
      <c r="F150" t="s">
        <v>46</v>
      </c>
      <c r="G150" t="s">
        <v>333</v>
      </c>
      <c r="H150" t="s">
        <v>334</v>
      </c>
      <c r="I150" s="32" t="s">
        <v>7471</v>
      </c>
      <c r="J150" s="32">
        <v>45143.997118055559</v>
      </c>
      <c r="K150" s="32">
        <v>45147.997118055559</v>
      </c>
      <c r="L150" s="8" t="str">
        <f t="shared" si="47"/>
        <v/>
      </c>
      <c r="M150" s="7">
        <v>45177.997118055559</v>
      </c>
      <c r="N150" t="s">
        <v>49</v>
      </c>
      <c r="O150" s="34">
        <v>45161.997118055559</v>
      </c>
      <c r="P150" t="s">
        <v>50</v>
      </c>
      <c r="Q150" t="s">
        <v>125</v>
      </c>
      <c r="R150" s="32" t="s">
        <v>7472</v>
      </c>
      <c r="S150" t="s">
        <v>7476</v>
      </c>
      <c r="T150" s="34" t="s">
        <v>7476</v>
      </c>
      <c r="U150" s="34" t="s">
        <v>7476</v>
      </c>
      <c r="V150" s="32">
        <v>45163.997118055559</v>
      </c>
      <c r="W150" s="32" t="s">
        <v>7476</v>
      </c>
      <c r="X150">
        <v>0</v>
      </c>
      <c r="Y150" s="34" t="s">
        <v>7476</v>
      </c>
      <c r="Z150" s="34" t="s">
        <v>7476</v>
      </c>
      <c r="AA150" s="34" t="s">
        <v>7476</v>
      </c>
      <c r="AB150" s="36" t="s">
        <v>95</v>
      </c>
      <c r="AD150" t="s">
        <v>537</v>
      </c>
      <c r="AE150" t="s">
        <v>538</v>
      </c>
      <c r="AF150" s="16">
        <v>45150</v>
      </c>
      <c r="AG150" t="s">
        <v>93</v>
      </c>
      <c r="AH150">
        <v>6</v>
      </c>
      <c r="AK150" s="38">
        <f t="shared" si="48"/>
        <v>45343.997118055559</v>
      </c>
    </row>
    <row r="151" spans="1:43" x14ac:dyDescent="0.35">
      <c r="A151">
        <v>953</v>
      </c>
      <c r="B151" t="s">
        <v>539</v>
      </c>
      <c r="C151" t="s">
        <v>202</v>
      </c>
      <c r="D151" t="str">
        <f t="shared" si="46"/>
        <v>Program Office</v>
      </c>
      <c r="E151" t="s">
        <v>332</v>
      </c>
      <c r="F151" t="s">
        <v>46</v>
      </c>
      <c r="G151" t="s">
        <v>333</v>
      </c>
      <c r="H151" t="s">
        <v>334</v>
      </c>
      <c r="I151" s="32">
        <v>45140.997118055559</v>
      </c>
      <c r="J151" s="32">
        <v>45142.997118055559</v>
      </c>
      <c r="K151" s="32">
        <v>45147.997118055559</v>
      </c>
      <c r="L151" s="8">
        <f t="shared" si="47"/>
        <v>7</v>
      </c>
      <c r="M151" s="7">
        <v>45169.997118055559</v>
      </c>
      <c r="N151" t="s">
        <v>49</v>
      </c>
      <c r="O151" s="34">
        <v>45150.997118055559</v>
      </c>
      <c r="P151" t="s">
        <v>50</v>
      </c>
      <c r="Q151" t="s">
        <v>84</v>
      </c>
      <c r="R151" s="32" t="s">
        <v>7472</v>
      </c>
      <c r="S151" t="s">
        <v>7476</v>
      </c>
      <c r="T151" s="34" t="s">
        <v>7476</v>
      </c>
      <c r="U151" s="34" t="s">
        <v>7476</v>
      </c>
      <c r="V151" s="32" t="s">
        <v>7476</v>
      </c>
      <c r="W151" s="32" t="s">
        <v>7476</v>
      </c>
      <c r="X151">
        <v>0</v>
      </c>
      <c r="Y151" s="34" t="s">
        <v>7476</v>
      </c>
      <c r="Z151" s="34" t="s">
        <v>7476</v>
      </c>
      <c r="AA151" s="34" t="s">
        <v>7476</v>
      </c>
      <c r="AB151" s="36" t="s">
        <v>52</v>
      </c>
      <c r="AD151" t="s">
        <v>540</v>
      </c>
      <c r="AE151" t="s">
        <v>541</v>
      </c>
      <c r="AF151" s="16">
        <v>45144</v>
      </c>
      <c r="AG151" t="s">
        <v>98</v>
      </c>
      <c r="AH151">
        <v>6</v>
      </c>
      <c r="AI151" s="8" t="str">
        <f t="shared" ref="AI151:AI156" si="49">IFERROR(R151-AF151,"")</f>
        <v/>
      </c>
      <c r="AJ151" s="8">
        <f t="shared" ref="AJ151:AJ156" si="50">IFERROR(O151-AF151,"")</f>
        <v>6.9971180555585306</v>
      </c>
      <c r="AK151" s="38" t="str">
        <f t="shared" si="48"/>
        <v/>
      </c>
      <c r="AL151" t="str">
        <f t="shared" ref="AL151:AL156" si="51">IFERROR(Z151-W151,"")</f>
        <v/>
      </c>
      <c r="AM151" t="str">
        <f t="shared" ref="AM151:AM156" si="52">IFERROR(R151-J151,"")</f>
        <v/>
      </c>
      <c r="AN151" t="str">
        <f t="shared" ref="AN151:AN156" si="53">IFERROR(V151-O151,"")</f>
        <v/>
      </c>
      <c r="AO151">
        <f t="shared" ref="AO151:AO156" si="54">IFERROR(J151-I151,"")</f>
        <v>2</v>
      </c>
      <c r="AP151">
        <f t="shared" ref="AP151:AP156" si="55">IFERROR(AC151-X151,"")</f>
        <v>0</v>
      </c>
      <c r="AQ151" t="str">
        <f t="shared" ref="AQ151:AQ156" si="56">IFERROR(AA151-W151,"")</f>
        <v/>
      </c>
    </row>
    <row r="152" spans="1:43" x14ac:dyDescent="0.35">
      <c r="A152">
        <v>944</v>
      </c>
      <c r="B152" t="s">
        <v>542</v>
      </c>
      <c r="C152" t="s">
        <v>217</v>
      </c>
      <c r="D152" t="str">
        <f t="shared" si="46"/>
        <v>Program Office</v>
      </c>
      <c r="E152" t="s">
        <v>332</v>
      </c>
      <c r="F152" t="s">
        <v>46</v>
      </c>
      <c r="G152" t="s">
        <v>333</v>
      </c>
      <c r="H152" t="s">
        <v>334</v>
      </c>
      <c r="I152" s="32">
        <v>44859.043067129627</v>
      </c>
      <c r="J152" s="32">
        <v>44863.043067129627</v>
      </c>
      <c r="K152" s="32">
        <v>44868.043067129627</v>
      </c>
      <c r="L152" s="8">
        <f t="shared" si="47"/>
        <v>9</v>
      </c>
      <c r="M152" s="7">
        <v>44883.043067129627</v>
      </c>
      <c r="N152" t="s">
        <v>49</v>
      </c>
      <c r="O152" s="34">
        <v>44884.043067129627</v>
      </c>
      <c r="P152" t="s">
        <v>50</v>
      </c>
      <c r="Q152" t="s">
        <v>84</v>
      </c>
      <c r="R152" s="32" t="s">
        <v>7472</v>
      </c>
      <c r="S152" t="s">
        <v>7476</v>
      </c>
      <c r="T152" s="34" t="s">
        <v>7476</v>
      </c>
      <c r="U152" s="34" t="s">
        <v>7476</v>
      </c>
      <c r="V152" s="32" t="s">
        <v>7476</v>
      </c>
      <c r="W152" s="32" t="s">
        <v>7476</v>
      </c>
      <c r="X152">
        <v>0</v>
      </c>
      <c r="Y152" s="34" t="s">
        <v>7476</v>
      </c>
      <c r="Z152" s="34" t="s">
        <v>7476</v>
      </c>
      <c r="AA152" s="34" t="s">
        <v>7476</v>
      </c>
      <c r="AB152" s="36" t="s">
        <v>52</v>
      </c>
      <c r="AD152" t="s">
        <v>543</v>
      </c>
      <c r="AE152" t="s">
        <v>544</v>
      </c>
      <c r="AF152" s="16">
        <v>44603</v>
      </c>
      <c r="AG152" t="s">
        <v>68</v>
      </c>
      <c r="AH152">
        <v>6</v>
      </c>
      <c r="AI152" s="8" t="str">
        <f t="shared" si="49"/>
        <v/>
      </c>
      <c r="AJ152" s="8">
        <f t="shared" si="50"/>
        <v>281.04306712962716</v>
      </c>
      <c r="AK152" s="38" t="str">
        <f t="shared" si="48"/>
        <v/>
      </c>
      <c r="AL152" t="str">
        <f t="shared" si="51"/>
        <v/>
      </c>
      <c r="AM152" t="str">
        <f t="shared" si="52"/>
        <v/>
      </c>
      <c r="AN152" t="str">
        <f t="shared" si="53"/>
        <v/>
      </c>
      <c r="AO152">
        <f t="shared" si="54"/>
        <v>4</v>
      </c>
      <c r="AP152">
        <f t="shared" si="55"/>
        <v>0</v>
      </c>
      <c r="AQ152" t="str">
        <f t="shared" si="56"/>
        <v/>
      </c>
    </row>
    <row r="153" spans="1:43" x14ac:dyDescent="0.35">
      <c r="A153">
        <v>919</v>
      </c>
      <c r="B153" t="s">
        <v>545</v>
      </c>
      <c r="C153" t="s">
        <v>202</v>
      </c>
      <c r="D153" t="str">
        <f t="shared" si="46"/>
        <v>Program Office</v>
      </c>
      <c r="E153" t="s">
        <v>332</v>
      </c>
      <c r="F153" t="s">
        <v>46</v>
      </c>
      <c r="G153" t="s">
        <v>333</v>
      </c>
      <c r="H153" t="s">
        <v>334</v>
      </c>
      <c r="I153" s="32">
        <v>44670.256099537037</v>
      </c>
      <c r="J153" s="32">
        <v>44673.256099537037</v>
      </c>
      <c r="K153" s="32">
        <v>44676.256099537037</v>
      </c>
      <c r="L153" s="8">
        <f t="shared" si="47"/>
        <v>6</v>
      </c>
      <c r="M153" s="7">
        <v>44697.256099537037</v>
      </c>
      <c r="N153" t="s">
        <v>49</v>
      </c>
      <c r="O153" s="34">
        <v>44682.256099537037</v>
      </c>
      <c r="P153" t="s">
        <v>101</v>
      </c>
      <c r="R153" s="32">
        <v>44689.256099537037</v>
      </c>
      <c r="S153" t="s">
        <v>101</v>
      </c>
      <c r="T153" s="34">
        <v>44683.256099537037</v>
      </c>
      <c r="U153" s="34">
        <v>44684.256099537037</v>
      </c>
      <c r="V153" s="32">
        <v>44686.256099537037</v>
      </c>
      <c r="W153" s="32">
        <v>44687.256099537037</v>
      </c>
      <c r="X153">
        <v>1</v>
      </c>
      <c r="Y153" s="34">
        <v>44690.256099537037</v>
      </c>
      <c r="Z153" s="34">
        <v>44693.256099537037</v>
      </c>
      <c r="AA153" s="34">
        <v>44694.256099537037</v>
      </c>
      <c r="AB153" s="36" t="s">
        <v>7476</v>
      </c>
      <c r="AC153" s="10">
        <v>44710.256099537037</v>
      </c>
      <c r="AD153" t="s">
        <v>546</v>
      </c>
      <c r="AE153" t="s">
        <v>547</v>
      </c>
      <c r="AF153" s="16">
        <v>44666</v>
      </c>
      <c r="AG153" t="s">
        <v>98</v>
      </c>
      <c r="AH153">
        <v>6</v>
      </c>
      <c r="AI153" s="8">
        <f t="shared" si="49"/>
        <v>23.256099537036789</v>
      </c>
      <c r="AJ153" s="8">
        <f t="shared" si="50"/>
        <v>16.256099537036789</v>
      </c>
      <c r="AK153" s="38">
        <f t="shared" si="48"/>
        <v>44866.256099537037</v>
      </c>
      <c r="AL153">
        <f t="shared" si="51"/>
        <v>6</v>
      </c>
      <c r="AM153">
        <f t="shared" si="52"/>
        <v>16</v>
      </c>
      <c r="AN153">
        <f t="shared" si="53"/>
        <v>4</v>
      </c>
      <c r="AO153">
        <f t="shared" si="54"/>
        <v>3</v>
      </c>
      <c r="AP153">
        <f t="shared" si="55"/>
        <v>44709.256099537037</v>
      </c>
      <c r="AQ153">
        <f t="shared" si="56"/>
        <v>7</v>
      </c>
    </row>
    <row r="154" spans="1:43" x14ac:dyDescent="0.35">
      <c r="A154">
        <v>916</v>
      </c>
      <c r="B154" t="s">
        <v>548</v>
      </c>
      <c r="C154" t="s">
        <v>213</v>
      </c>
      <c r="D154" t="str">
        <f t="shared" si="46"/>
        <v>Program Office</v>
      </c>
      <c r="E154" t="s">
        <v>332</v>
      </c>
      <c r="F154" t="s">
        <v>46</v>
      </c>
      <c r="G154" t="s">
        <v>333</v>
      </c>
      <c r="H154" t="s">
        <v>334</v>
      </c>
      <c r="I154" s="32">
        <v>44666.256099537037</v>
      </c>
      <c r="J154" s="32">
        <v>44670.256099537037</v>
      </c>
      <c r="K154" s="32">
        <v>44676.256099537037</v>
      </c>
      <c r="L154" s="8">
        <f t="shared" si="47"/>
        <v>10</v>
      </c>
      <c r="M154" s="7">
        <v>44706.256099537037</v>
      </c>
      <c r="N154" t="s">
        <v>49</v>
      </c>
      <c r="O154" s="34">
        <v>44691.256099537037</v>
      </c>
      <c r="P154" t="s">
        <v>50</v>
      </c>
      <c r="Q154" t="s">
        <v>236</v>
      </c>
      <c r="R154" s="32" t="s">
        <v>7472</v>
      </c>
      <c r="S154" t="s">
        <v>7476</v>
      </c>
      <c r="T154" s="34" t="s">
        <v>7476</v>
      </c>
      <c r="U154" s="34" t="s">
        <v>7476</v>
      </c>
      <c r="V154" s="32" t="s">
        <v>7476</v>
      </c>
      <c r="W154" s="32" t="s">
        <v>7476</v>
      </c>
      <c r="X154">
        <v>0</v>
      </c>
      <c r="Y154" s="34" t="s">
        <v>7476</v>
      </c>
      <c r="Z154" s="34" t="s">
        <v>7476</v>
      </c>
      <c r="AA154" s="34" t="s">
        <v>7476</v>
      </c>
      <c r="AB154" s="36" t="s">
        <v>52</v>
      </c>
      <c r="AD154" t="s">
        <v>549</v>
      </c>
      <c r="AE154" t="s">
        <v>550</v>
      </c>
      <c r="AF154" s="16">
        <v>44679</v>
      </c>
      <c r="AG154" t="s">
        <v>64</v>
      </c>
      <c r="AH154">
        <v>3</v>
      </c>
      <c r="AI154" s="8" t="str">
        <f t="shared" si="49"/>
        <v/>
      </c>
      <c r="AJ154" s="8">
        <f t="shared" si="50"/>
        <v>12.256099537036789</v>
      </c>
      <c r="AK154" s="38" t="str">
        <f t="shared" si="48"/>
        <v/>
      </c>
      <c r="AL154" t="str">
        <f t="shared" si="51"/>
        <v/>
      </c>
      <c r="AM154" t="str">
        <f t="shared" si="52"/>
        <v/>
      </c>
      <c r="AN154" t="str">
        <f t="shared" si="53"/>
        <v/>
      </c>
      <c r="AO154">
        <f t="shared" si="54"/>
        <v>4</v>
      </c>
      <c r="AP154">
        <f t="shared" si="55"/>
        <v>0</v>
      </c>
      <c r="AQ154" t="str">
        <f t="shared" si="56"/>
        <v/>
      </c>
    </row>
    <row r="155" spans="1:43" x14ac:dyDescent="0.35">
      <c r="A155">
        <v>912</v>
      </c>
      <c r="B155" t="s">
        <v>551</v>
      </c>
      <c r="C155" t="s">
        <v>213</v>
      </c>
      <c r="D155" t="str">
        <f t="shared" si="46"/>
        <v>Program Office</v>
      </c>
      <c r="E155" t="s">
        <v>332</v>
      </c>
      <c r="F155" t="s">
        <v>46</v>
      </c>
      <c r="G155" t="s">
        <v>333</v>
      </c>
      <c r="H155" t="s">
        <v>334</v>
      </c>
      <c r="I155" s="32">
        <v>44669.256099537037</v>
      </c>
      <c r="J155" s="32">
        <v>44672.256099537037</v>
      </c>
      <c r="K155" s="32">
        <v>44676.256099537037</v>
      </c>
      <c r="L155" s="8">
        <f t="shared" si="47"/>
        <v>7</v>
      </c>
      <c r="M155" s="7">
        <v>44706.256099537037</v>
      </c>
      <c r="N155" t="s">
        <v>72</v>
      </c>
      <c r="O155" s="34" t="s">
        <v>7474</v>
      </c>
      <c r="R155" s="32" t="s">
        <v>7472</v>
      </c>
      <c r="S155" t="s">
        <v>7476</v>
      </c>
      <c r="T155" s="34" t="s">
        <v>7476</v>
      </c>
      <c r="U155" s="34" t="s">
        <v>7476</v>
      </c>
      <c r="V155" s="32" t="s">
        <v>7476</v>
      </c>
      <c r="W155" s="32" t="s">
        <v>7476</v>
      </c>
      <c r="X155">
        <v>0</v>
      </c>
      <c r="Y155" s="34" t="s">
        <v>7476</v>
      </c>
      <c r="Z155" s="34" t="s">
        <v>7476</v>
      </c>
      <c r="AA155" s="34" t="s">
        <v>7476</v>
      </c>
      <c r="AB155" s="36" t="s">
        <v>7476</v>
      </c>
      <c r="AD155" t="s">
        <v>552</v>
      </c>
      <c r="AE155" t="s">
        <v>553</v>
      </c>
      <c r="AG155" t="s">
        <v>68</v>
      </c>
      <c r="AH155">
        <v>6</v>
      </c>
      <c r="AI155" s="8" t="str">
        <f t="shared" si="49"/>
        <v/>
      </c>
      <c r="AJ155" s="8" t="str">
        <f t="shared" si="50"/>
        <v/>
      </c>
      <c r="AK155" s="38" t="str">
        <f t="shared" si="48"/>
        <v/>
      </c>
      <c r="AL155" t="str">
        <f t="shared" si="51"/>
        <v/>
      </c>
      <c r="AM155" t="str">
        <f t="shared" si="52"/>
        <v/>
      </c>
      <c r="AN155" t="str">
        <f t="shared" si="53"/>
        <v/>
      </c>
      <c r="AO155">
        <f t="shared" si="54"/>
        <v>3</v>
      </c>
      <c r="AP155">
        <f t="shared" si="55"/>
        <v>0</v>
      </c>
      <c r="AQ155" t="str">
        <f t="shared" si="56"/>
        <v/>
      </c>
    </row>
    <row r="156" spans="1:43" x14ac:dyDescent="0.35">
      <c r="A156">
        <v>911</v>
      </c>
      <c r="B156" t="s">
        <v>554</v>
      </c>
      <c r="C156" t="s">
        <v>217</v>
      </c>
      <c r="D156" t="str">
        <f t="shared" si="46"/>
        <v>Program Office</v>
      </c>
      <c r="E156" t="s">
        <v>332</v>
      </c>
      <c r="F156" t="s">
        <v>46</v>
      </c>
      <c r="G156" t="s">
        <v>333</v>
      </c>
      <c r="H156" t="s">
        <v>334</v>
      </c>
      <c r="I156" s="32">
        <v>44671.256099537037</v>
      </c>
      <c r="J156" s="32">
        <v>44672.256099537037</v>
      </c>
      <c r="K156" s="32">
        <v>44676.256099537037</v>
      </c>
      <c r="L156" s="8">
        <f t="shared" si="47"/>
        <v>5</v>
      </c>
      <c r="M156" s="7">
        <v>44686.256099537037</v>
      </c>
      <c r="N156" t="s">
        <v>49</v>
      </c>
      <c r="O156" s="34">
        <v>44687.256099537037</v>
      </c>
      <c r="P156" t="s">
        <v>50</v>
      </c>
      <c r="Q156" t="s">
        <v>125</v>
      </c>
      <c r="R156" s="32" t="s">
        <v>7472</v>
      </c>
      <c r="S156" t="s">
        <v>7476</v>
      </c>
      <c r="T156" s="34" t="s">
        <v>7476</v>
      </c>
      <c r="U156" s="34" t="s">
        <v>7476</v>
      </c>
      <c r="V156" s="32">
        <v>44690.256099537037</v>
      </c>
      <c r="W156" s="32" t="s">
        <v>7476</v>
      </c>
      <c r="X156">
        <v>0</v>
      </c>
      <c r="Y156" s="34" t="s">
        <v>7476</v>
      </c>
      <c r="Z156" s="34" t="s">
        <v>7476</v>
      </c>
      <c r="AA156" s="34" t="s">
        <v>7476</v>
      </c>
      <c r="AB156" s="36" t="s">
        <v>95</v>
      </c>
      <c r="AD156" t="s">
        <v>555</v>
      </c>
      <c r="AE156" t="s">
        <v>556</v>
      </c>
      <c r="AF156" s="16">
        <v>44669</v>
      </c>
      <c r="AG156" t="s">
        <v>68</v>
      </c>
      <c r="AH156">
        <v>3</v>
      </c>
      <c r="AI156" s="8" t="str">
        <f t="shared" si="49"/>
        <v/>
      </c>
      <c r="AJ156" s="8">
        <f t="shared" si="50"/>
        <v>18.256099537036789</v>
      </c>
      <c r="AK156" s="38">
        <f t="shared" si="48"/>
        <v>44780.256099537037</v>
      </c>
      <c r="AL156" t="str">
        <f t="shared" si="51"/>
        <v/>
      </c>
      <c r="AM156" t="str">
        <f t="shared" si="52"/>
        <v/>
      </c>
      <c r="AN156">
        <f t="shared" si="53"/>
        <v>3</v>
      </c>
      <c r="AO156">
        <f t="shared" si="54"/>
        <v>1</v>
      </c>
      <c r="AP156">
        <f t="shared" si="55"/>
        <v>0</v>
      </c>
      <c r="AQ156" t="str">
        <f t="shared" si="56"/>
        <v/>
      </c>
    </row>
    <row r="157" spans="1:43" x14ac:dyDescent="0.35">
      <c r="A157">
        <v>910</v>
      </c>
      <c r="B157" t="s">
        <v>557</v>
      </c>
      <c r="C157" t="s">
        <v>213</v>
      </c>
      <c r="D157" t="str">
        <f t="shared" si="46"/>
        <v>Program Office</v>
      </c>
      <c r="E157" t="s">
        <v>332</v>
      </c>
      <c r="F157" t="s">
        <v>46</v>
      </c>
      <c r="G157" t="s">
        <v>333</v>
      </c>
      <c r="H157" t="s">
        <v>334</v>
      </c>
      <c r="I157" s="32" t="s">
        <v>7471</v>
      </c>
      <c r="J157" s="32">
        <v>45162.249560185177</v>
      </c>
      <c r="K157" s="32">
        <v>45166.249560185177</v>
      </c>
      <c r="L157" s="8" t="str">
        <f t="shared" si="47"/>
        <v/>
      </c>
      <c r="M157" s="7">
        <v>45172.249560185177</v>
      </c>
      <c r="N157" t="s">
        <v>49</v>
      </c>
      <c r="O157" s="34">
        <v>45175.249560185177</v>
      </c>
      <c r="P157" t="s">
        <v>60</v>
      </c>
      <c r="R157" s="32">
        <v>45177.249560185177</v>
      </c>
      <c r="S157" t="s">
        <v>61</v>
      </c>
      <c r="T157" s="34" t="s">
        <v>7476</v>
      </c>
      <c r="U157" s="34" t="s">
        <v>7476</v>
      </c>
      <c r="V157" s="32">
        <v>45176.249560185177</v>
      </c>
      <c r="W157" s="32" t="s">
        <v>7476</v>
      </c>
      <c r="X157">
        <v>0</v>
      </c>
      <c r="Y157" s="34" t="s">
        <v>7476</v>
      </c>
      <c r="Z157" s="34" t="s">
        <v>7476</v>
      </c>
      <c r="AA157" s="34" t="s">
        <v>7476</v>
      </c>
      <c r="AB157" s="36" t="s">
        <v>7476</v>
      </c>
      <c r="AD157" t="s">
        <v>558</v>
      </c>
      <c r="AE157" t="s">
        <v>559</v>
      </c>
      <c r="AF157" s="16">
        <v>45161</v>
      </c>
      <c r="AG157" t="s">
        <v>68</v>
      </c>
      <c r="AH157">
        <v>6</v>
      </c>
      <c r="AK157" s="38">
        <f t="shared" si="48"/>
        <v>45356.249560185177</v>
      </c>
    </row>
    <row r="158" spans="1:43" x14ac:dyDescent="0.35">
      <c r="A158">
        <v>907</v>
      </c>
      <c r="B158" t="s">
        <v>560</v>
      </c>
      <c r="C158" t="s">
        <v>217</v>
      </c>
      <c r="D158" t="str">
        <f t="shared" si="46"/>
        <v>Program Office</v>
      </c>
      <c r="E158" t="s">
        <v>332</v>
      </c>
      <c r="F158" t="s">
        <v>46</v>
      </c>
      <c r="G158" t="s">
        <v>333</v>
      </c>
      <c r="H158" t="s">
        <v>334</v>
      </c>
      <c r="I158" s="32">
        <v>45157.249560185177</v>
      </c>
      <c r="J158" s="32">
        <v>45160.249560185177</v>
      </c>
      <c r="K158" s="32">
        <v>45166.249560185177</v>
      </c>
      <c r="L158" s="8">
        <f t="shared" si="47"/>
        <v>9</v>
      </c>
      <c r="M158" s="7">
        <v>45196.249560185177</v>
      </c>
      <c r="N158" t="s">
        <v>72</v>
      </c>
      <c r="O158" s="34" t="s">
        <v>7474</v>
      </c>
      <c r="R158" s="32" t="s">
        <v>7472</v>
      </c>
      <c r="S158" t="s">
        <v>7476</v>
      </c>
      <c r="T158" s="34" t="s">
        <v>7476</v>
      </c>
      <c r="U158" s="34" t="s">
        <v>7476</v>
      </c>
      <c r="V158" s="32" t="s">
        <v>7476</v>
      </c>
      <c r="W158" s="32" t="s">
        <v>7476</v>
      </c>
      <c r="X158">
        <v>0</v>
      </c>
      <c r="Y158" s="34" t="s">
        <v>7476</v>
      </c>
      <c r="Z158" s="34" t="s">
        <v>7476</v>
      </c>
      <c r="AA158" s="34" t="s">
        <v>7476</v>
      </c>
      <c r="AB158" s="36" t="s">
        <v>7476</v>
      </c>
      <c r="AD158" t="s">
        <v>561</v>
      </c>
      <c r="AE158" t="s">
        <v>562</v>
      </c>
      <c r="AG158" t="s">
        <v>98</v>
      </c>
      <c r="AH158">
        <v>3</v>
      </c>
      <c r="AI158" s="8" t="str">
        <f>IFERROR(R158-AF158,"")</f>
        <v/>
      </c>
      <c r="AJ158" s="8" t="str">
        <f>IFERROR(O158-AF158,"")</f>
        <v/>
      </c>
      <c r="AK158" s="38" t="str">
        <f t="shared" si="48"/>
        <v/>
      </c>
      <c r="AL158" t="str">
        <f>IFERROR(Z158-W158,"")</f>
        <v/>
      </c>
      <c r="AM158" t="str">
        <f>IFERROR(R158-J158,"")</f>
        <v/>
      </c>
      <c r="AN158" t="str">
        <f>IFERROR(V158-O158,"")</f>
        <v/>
      </c>
      <c r="AO158">
        <f>IFERROR(J158-I158,"")</f>
        <v>3</v>
      </c>
      <c r="AP158">
        <f>IFERROR(AC158-X158,"")</f>
        <v>0</v>
      </c>
      <c r="AQ158" t="str">
        <f>IFERROR(AA158-W158,"")</f>
        <v/>
      </c>
    </row>
    <row r="159" spans="1:43" x14ac:dyDescent="0.35">
      <c r="A159">
        <v>836</v>
      </c>
      <c r="B159" t="s">
        <v>563</v>
      </c>
      <c r="C159" t="s">
        <v>202</v>
      </c>
      <c r="D159" t="str">
        <f t="shared" si="46"/>
        <v>Program Office</v>
      </c>
      <c r="E159" t="s">
        <v>332</v>
      </c>
      <c r="F159" t="s">
        <v>46</v>
      </c>
      <c r="G159" t="s">
        <v>333</v>
      </c>
      <c r="H159" t="s">
        <v>334</v>
      </c>
      <c r="I159" s="32">
        <v>44755.707071759258</v>
      </c>
      <c r="J159" s="32">
        <v>44759.707071759258</v>
      </c>
      <c r="K159" s="32">
        <v>44760.707071759258</v>
      </c>
      <c r="L159" s="8">
        <f t="shared" si="47"/>
        <v>5</v>
      </c>
      <c r="M159" s="7">
        <v>44777.707071759258</v>
      </c>
      <c r="N159" t="s">
        <v>49</v>
      </c>
      <c r="O159" s="34">
        <v>44766.707071759258</v>
      </c>
      <c r="P159" t="s">
        <v>392</v>
      </c>
      <c r="R159" s="32">
        <v>44769.707071759258</v>
      </c>
      <c r="S159" t="s">
        <v>392</v>
      </c>
      <c r="T159" s="34" t="s">
        <v>7476</v>
      </c>
      <c r="U159" s="34" t="s">
        <v>7476</v>
      </c>
      <c r="V159" s="32">
        <v>44768.707071759258</v>
      </c>
      <c r="W159" s="32" t="s">
        <v>7476</v>
      </c>
      <c r="X159">
        <v>0</v>
      </c>
      <c r="Y159" s="34" t="s">
        <v>7476</v>
      </c>
      <c r="Z159" s="34" t="s">
        <v>7476</v>
      </c>
      <c r="AA159" s="34" t="s">
        <v>7476</v>
      </c>
      <c r="AB159" s="36" t="s">
        <v>7476</v>
      </c>
      <c r="AD159" t="s">
        <v>564</v>
      </c>
      <c r="AE159" t="s">
        <v>565</v>
      </c>
      <c r="AF159" s="16">
        <v>44759</v>
      </c>
      <c r="AG159" t="s">
        <v>98</v>
      </c>
      <c r="AH159">
        <v>6</v>
      </c>
      <c r="AI159" s="8">
        <f>IFERROR(R159-AF159,"")</f>
        <v>10.707071759257815</v>
      </c>
      <c r="AJ159" s="8">
        <f>IFERROR(O159-AF159,"")</f>
        <v>7.7070717592578148</v>
      </c>
      <c r="AK159" s="38">
        <f t="shared" si="48"/>
        <v>44948.707071759258</v>
      </c>
      <c r="AL159" t="str">
        <f>IFERROR(Z159-W159,"")</f>
        <v/>
      </c>
      <c r="AM159">
        <f>IFERROR(R159-J159,"")</f>
        <v>10</v>
      </c>
      <c r="AN159">
        <f>IFERROR(V159-O159,"")</f>
        <v>2</v>
      </c>
      <c r="AO159">
        <f>IFERROR(J159-I159,"")</f>
        <v>4</v>
      </c>
      <c r="AP159">
        <f>IFERROR(AC159-X159,"")</f>
        <v>0</v>
      </c>
      <c r="AQ159" t="str">
        <f>IFERROR(AA159-W159,"")</f>
        <v/>
      </c>
    </row>
    <row r="160" spans="1:43" x14ac:dyDescent="0.35">
      <c r="A160">
        <v>827</v>
      </c>
      <c r="B160" t="s">
        <v>566</v>
      </c>
      <c r="C160" t="s">
        <v>202</v>
      </c>
      <c r="D160" t="str">
        <f t="shared" si="46"/>
        <v>Program Office</v>
      </c>
      <c r="E160" t="s">
        <v>332</v>
      </c>
      <c r="F160" t="s">
        <v>46</v>
      </c>
      <c r="G160" t="s">
        <v>333</v>
      </c>
      <c r="H160" t="s">
        <v>334</v>
      </c>
      <c r="I160" s="32" t="s">
        <v>7471</v>
      </c>
      <c r="J160" s="32">
        <v>44627.625335648147</v>
      </c>
      <c r="K160" s="32" t="s">
        <v>7473</v>
      </c>
      <c r="L160" s="8" t="str">
        <f t="shared" si="47"/>
        <v/>
      </c>
      <c r="M160" s="7">
        <v>44638.625335648147</v>
      </c>
      <c r="N160" t="s">
        <v>72</v>
      </c>
      <c r="O160" s="34" t="s">
        <v>7474</v>
      </c>
      <c r="R160" s="32" t="s">
        <v>7472</v>
      </c>
      <c r="S160" t="s">
        <v>7476</v>
      </c>
      <c r="T160" s="34" t="s">
        <v>7476</v>
      </c>
      <c r="U160" s="34" t="s">
        <v>7476</v>
      </c>
      <c r="V160" s="32" t="s">
        <v>7476</v>
      </c>
      <c r="W160" s="32" t="s">
        <v>7476</v>
      </c>
      <c r="X160">
        <v>0</v>
      </c>
      <c r="Y160" s="34" t="s">
        <v>7476</v>
      </c>
      <c r="Z160" s="34" t="s">
        <v>7476</v>
      </c>
      <c r="AA160" s="34" t="s">
        <v>7476</v>
      </c>
      <c r="AB160" s="36" t="s">
        <v>7476</v>
      </c>
      <c r="AD160" t="s">
        <v>567</v>
      </c>
      <c r="AE160" t="s">
        <v>568</v>
      </c>
      <c r="AG160" t="s">
        <v>64</v>
      </c>
      <c r="AH160">
        <v>6</v>
      </c>
      <c r="AK160" s="38" t="str">
        <f t="shared" si="48"/>
        <v/>
      </c>
    </row>
    <row r="161" spans="1:43" x14ac:dyDescent="0.35">
      <c r="A161">
        <v>825</v>
      </c>
      <c r="B161" t="s">
        <v>569</v>
      </c>
      <c r="C161" t="s">
        <v>213</v>
      </c>
      <c r="D161" t="str">
        <f t="shared" si="46"/>
        <v>Program Office</v>
      </c>
      <c r="E161" t="s">
        <v>332</v>
      </c>
      <c r="F161" t="s">
        <v>46</v>
      </c>
      <c r="G161" t="s">
        <v>333</v>
      </c>
      <c r="H161" t="s">
        <v>334</v>
      </c>
      <c r="I161" s="32">
        <v>44628.625335648147</v>
      </c>
      <c r="J161" s="32">
        <v>44629.625335648147</v>
      </c>
      <c r="K161" s="32">
        <v>44631.625335648147</v>
      </c>
      <c r="L161" s="8">
        <f t="shared" si="47"/>
        <v>3</v>
      </c>
      <c r="M161" s="7">
        <v>44639.625335648147</v>
      </c>
      <c r="N161" t="s">
        <v>49</v>
      </c>
      <c r="O161" s="34">
        <v>44647.625335648147</v>
      </c>
      <c r="P161" t="s">
        <v>101</v>
      </c>
      <c r="R161" s="32">
        <v>44652.625335648147</v>
      </c>
      <c r="S161" t="s">
        <v>101</v>
      </c>
      <c r="T161" s="34">
        <v>44649.625335648147</v>
      </c>
      <c r="U161" s="34">
        <v>44651.625335648147</v>
      </c>
      <c r="V161" s="32">
        <v>44650.625335648147</v>
      </c>
      <c r="W161" s="32">
        <v>44659.625335648147</v>
      </c>
      <c r="X161">
        <v>1</v>
      </c>
      <c r="Y161" s="34">
        <v>44662.625335648147</v>
      </c>
      <c r="Z161" s="34">
        <v>44664.625335648147</v>
      </c>
      <c r="AA161" s="34">
        <v>44665.625335648147</v>
      </c>
      <c r="AB161" s="36" t="s">
        <v>7476</v>
      </c>
      <c r="AC161" s="10">
        <v>44679.625335648147</v>
      </c>
      <c r="AD161" t="s">
        <v>570</v>
      </c>
      <c r="AE161" t="s">
        <v>571</v>
      </c>
      <c r="AF161" s="16">
        <v>44636</v>
      </c>
      <c r="AG161" t="s">
        <v>64</v>
      </c>
      <c r="AH161">
        <v>3</v>
      </c>
      <c r="AI161" s="8">
        <f>IFERROR(R161-AF161,"")</f>
        <v>16.625335648146574</v>
      </c>
      <c r="AJ161" s="8">
        <f>IFERROR(O161-AF161,"")</f>
        <v>11.625335648146574</v>
      </c>
      <c r="AK161" s="38">
        <f t="shared" si="48"/>
        <v>44740.625335648147</v>
      </c>
      <c r="AL161">
        <f>IFERROR(Z161-W161,"")</f>
        <v>5</v>
      </c>
      <c r="AM161">
        <f>IFERROR(R161-J161,"")</f>
        <v>23</v>
      </c>
      <c r="AN161">
        <f>IFERROR(V161-O161,"")</f>
        <v>3</v>
      </c>
      <c r="AO161">
        <f>IFERROR(J161-I161,"")</f>
        <v>1</v>
      </c>
      <c r="AP161">
        <f>IFERROR(AC161-X161,"")</f>
        <v>44678.625335648147</v>
      </c>
      <c r="AQ161">
        <f>IFERROR(AA161-W161,"")</f>
        <v>6</v>
      </c>
    </row>
    <row r="162" spans="1:43" x14ac:dyDescent="0.35">
      <c r="A162">
        <v>824</v>
      </c>
      <c r="B162" t="s">
        <v>572</v>
      </c>
      <c r="C162" t="s">
        <v>202</v>
      </c>
      <c r="D162" t="str">
        <f t="shared" si="46"/>
        <v>Program Office</v>
      </c>
      <c r="E162" t="s">
        <v>332</v>
      </c>
      <c r="F162" t="s">
        <v>46</v>
      </c>
      <c r="G162" t="s">
        <v>333</v>
      </c>
      <c r="H162" t="s">
        <v>334</v>
      </c>
      <c r="I162" s="32">
        <v>44621.625335648147</v>
      </c>
      <c r="J162" s="32">
        <v>44625.625335648147</v>
      </c>
      <c r="K162" s="32">
        <v>44631.625335648147</v>
      </c>
      <c r="L162" s="8">
        <f t="shared" si="47"/>
        <v>10</v>
      </c>
      <c r="M162" s="7">
        <v>44639.625335648147</v>
      </c>
      <c r="N162" t="s">
        <v>49</v>
      </c>
      <c r="O162" s="34">
        <v>44641.625335648147</v>
      </c>
      <c r="P162" t="s">
        <v>50</v>
      </c>
      <c r="Q162" t="s">
        <v>125</v>
      </c>
      <c r="R162" s="32" t="s">
        <v>7472</v>
      </c>
      <c r="S162" t="s">
        <v>7476</v>
      </c>
      <c r="T162" s="34" t="s">
        <v>7476</v>
      </c>
      <c r="U162" s="34" t="s">
        <v>7476</v>
      </c>
      <c r="V162" s="32" t="s">
        <v>7476</v>
      </c>
      <c r="W162" s="32" t="s">
        <v>7476</v>
      </c>
      <c r="X162">
        <v>0</v>
      </c>
      <c r="Y162" s="34" t="s">
        <v>7476</v>
      </c>
      <c r="Z162" s="34" t="s">
        <v>7476</v>
      </c>
      <c r="AA162" s="34" t="s">
        <v>7476</v>
      </c>
      <c r="AB162" s="36" t="s">
        <v>95</v>
      </c>
      <c r="AD162" t="s">
        <v>573</v>
      </c>
      <c r="AE162" t="s">
        <v>574</v>
      </c>
      <c r="AF162" s="16">
        <v>44622</v>
      </c>
      <c r="AG162" t="s">
        <v>64</v>
      </c>
      <c r="AH162">
        <v>3</v>
      </c>
      <c r="AI162" s="8" t="str">
        <f>IFERROR(R162-AF162,"")</f>
        <v/>
      </c>
      <c r="AJ162" s="8">
        <f>IFERROR(O162-AF162,"")</f>
        <v>19.625335648146574</v>
      </c>
      <c r="AK162" s="38" t="str">
        <f t="shared" si="48"/>
        <v/>
      </c>
      <c r="AL162" t="str">
        <f>IFERROR(Z162-W162,"")</f>
        <v/>
      </c>
      <c r="AM162" t="str">
        <f>IFERROR(R162-J162,"")</f>
        <v/>
      </c>
      <c r="AN162" t="str">
        <f>IFERROR(V162-O162,"")</f>
        <v/>
      </c>
      <c r="AO162">
        <f>IFERROR(J162-I162,"")</f>
        <v>4</v>
      </c>
      <c r="AP162">
        <f>IFERROR(AC162-X162,"")</f>
        <v>0</v>
      </c>
      <c r="AQ162" t="str">
        <f>IFERROR(AA162-W162,"")</f>
        <v/>
      </c>
    </row>
    <row r="163" spans="1:43" x14ac:dyDescent="0.35">
      <c r="A163">
        <v>821</v>
      </c>
      <c r="B163" t="s">
        <v>575</v>
      </c>
      <c r="C163" t="s">
        <v>213</v>
      </c>
      <c r="D163" t="str">
        <f t="shared" si="46"/>
        <v>Program Office</v>
      </c>
      <c r="E163" t="s">
        <v>332</v>
      </c>
      <c r="F163" t="s">
        <v>46</v>
      </c>
      <c r="G163" t="s">
        <v>333</v>
      </c>
      <c r="H163" t="s">
        <v>334</v>
      </c>
      <c r="I163" s="32">
        <v>44624.625335648147</v>
      </c>
      <c r="J163" s="32" t="s">
        <v>7471</v>
      </c>
      <c r="K163" s="32">
        <v>44631.625335648147</v>
      </c>
      <c r="L163" s="8">
        <f t="shared" si="47"/>
        <v>7</v>
      </c>
      <c r="M163" s="7">
        <v>44660.625335648147</v>
      </c>
      <c r="N163" t="s">
        <v>49</v>
      </c>
      <c r="O163" s="34">
        <v>44643.625335648147</v>
      </c>
      <c r="P163" t="s">
        <v>50</v>
      </c>
      <c r="Q163" t="s">
        <v>198</v>
      </c>
      <c r="R163" s="32" t="s">
        <v>7472</v>
      </c>
      <c r="S163" t="s">
        <v>7476</v>
      </c>
      <c r="T163" s="34" t="s">
        <v>7476</v>
      </c>
      <c r="U163" s="34" t="s">
        <v>7476</v>
      </c>
      <c r="V163" s="32">
        <v>44647.625335648147</v>
      </c>
      <c r="W163" s="32" t="s">
        <v>7476</v>
      </c>
      <c r="X163">
        <v>0</v>
      </c>
      <c r="Y163" s="34" t="s">
        <v>7476</v>
      </c>
      <c r="Z163" s="34" t="s">
        <v>7476</v>
      </c>
      <c r="AA163" s="34" t="s">
        <v>7476</v>
      </c>
      <c r="AB163" s="36" t="s">
        <v>52</v>
      </c>
      <c r="AD163" t="s">
        <v>576</v>
      </c>
      <c r="AE163" t="s">
        <v>577</v>
      </c>
      <c r="AF163" s="16">
        <v>44634</v>
      </c>
      <c r="AG163" t="s">
        <v>98</v>
      </c>
      <c r="AH163">
        <v>3</v>
      </c>
      <c r="AK163" s="38">
        <f t="shared" si="48"/>
        <v>44737.625335648147</v>
      </c>
    </row>
    <row r="164" spans="1:43" x14ac:dyDescent="0.35">
      <c r="A164">
        <v>798</v>
      </c>
      <c r="B164" t="s">
        <v>578</v>
      </c>
      <c r="C164" t="s">
        <v>202</v>
      </c>
      <c r="D164" t="str">
        <f t="shared" si="46"/>
        <v>Program Office</v>
      </c>
      <c r="E164" t="s">
        <v>332</v>
      </c>
      <c r="F164" t="s">
        <v>46</v>
      </c>
      <c r="G164" t="s">
        <v>333</v>
      </c>
      <c r="H164" t="s">
        <v>334</v>
      </c>
      <c r="I164" s="32" t="s">
        <v>7471</v>
      </c>
      <c r="J164" s="32" t="s">
        <v>7471</v>
      </c>
      <c r="K164" s="32">
        <v>44912.674583333333</v>
      </c>
      <c r="L164" s="8" t="str">
        <f t="shared" si="47"/>
        <v/>
      </c>
      <c r="M164" s="7">
        <v>44924.674583333333</v>
      </c>
      <c r="N164" t="s">
        <v>49</v>
      </c>
      <c r="O164" s="34">
        <v>44918.674583333333</v>
      </c>
      <c r="P164" t="s">
        <v>50</v>
      </c>
      <c r="Q164" t="s">
        <v>84</v>
      </c>
      <c r="R164" s="32" t="s">
        <v>7472</v>
      </c>
      <c r="S164" t="s">
        <v>7476</v>
      </c>
      <c r="T164" s="34" t="s">
        <v>7476</v>
      </c>
      <c r="U164" s="34" t="s">
        <v>7476</v>
      </c>
      <c r="V164" s="32">
        <v>44920.674583333333</v>
      </c>
      <c r="W164" s="32" t="s">
        <v>7476</v>
      </c>
      <c r="X164">
        <v>0</v>
      </c>
      <c r="Y164" s="34" t="s">
        <v>7476</v>
      </c>
      <c r="Z164" s="34" t="s">
        <v>7476</v>
      </c>
      <c r="AA164" s="34" t="s">
        <v>7476</v>
      </c>
      <c r="AB164" s="36" t="s">
        <v>52</v>
      </c>
      <c r="AD164" t="s">
        <v>579</v>
      </c>
      <c r="AE164" t="s">
        <v>580</v>
      </c>
      <c r="AF164" s="16">
        <v>44900</v>
      </c>
      <c r="AG164" t="s">
        <v>98</v>
      </c>
      <c r="AH164">
        <v>6</v>
      </c>
      <c r="AK164" s="38">
        <f t="shared" si="48"/>
        <v>45100.674583333333</v>
      </c>
    </row>
    <row r="165" spans="1:43" x14ac:dyDescent="0.35">
      <c r="A165">
        <v>797</v>
      </c>
      <c r="B165" t="s">
        <v>581</v>
      </c>
      <c r="C165" t="s">
        <v>217</v>
      </c>
      <c r="D165" t="str">
        <f t="shared" si="46"/>
        <v>Program Office</v>
      </c>
      <c r="E165" t="s">
        <v>332</v>
      </c>
      <c r="F165" t="s">
        <v>46</v>
      </c>
      <c r="G165" t="s">
        <v>333</v>
      </c>
      <c r="H165" t="s">
        <v>334</v>
      </c>
      <c r="I165" s="32">
        <v>44909.674583333333</v>
      </c>
      <c r="J165" s="32">
        <v>44910.674583333333</v>
      </c>
      <c r="K165" s="32">
        <v>44912.674583333333</v>
      </c>
      <c r="L165" s="8">
        <f t="shared" si="47"/>
        <v>3</v>
      </c>
      <c r="M165" s="7">
        <v>44925.674583333333</v>
      </c>
      <c r="N165" t="s">
        <v>72</v>
      </c>
      <c r="O165" s="34" t="s">
        <v>7474</v>
      </c>
      <c r="R165" s="32" t="s">
        <v>7472</v>
      </c>
      <c r="S165" t="s">
        <v>7476</v>
      </c>
      <c r="T165" s="34" t="s">
        <v>7476</v>
      </c>
      <c r="U165" s="34" t="s">
        <v>7476</v>
      </c>
      <c r="V165" s="32" t="s">
        <v>7476</v>
      </c>
      <c r="W165" s="32" t="s">
        <v>7476</v>
      </c>
      <c r="X165">
        <v>0</v>
      </c>
      <c r="Y165" s="34" t="s">
        <v>7476</v>
      </c>
      <c r="Z165" s="34" t="s">
        <v>7476</v>
      </c>
      <c r="AA165" s="34" t="s">
        <v>7476</v>
      </c>
      <c r="AB165" s="36" t="s">
        <v>7476</v>
      </c>
      <c r="AD165" t="s">
        <v>582</v>
      </c>
      <c r="AE165" t="s">
        <v>583</v>
      </c>
      <c r="AG165" t="s">
        <v>68</v>
      </c>
      <c r="AH165">
        <v>6</v>
      </c>
      <c r="AI165" s="8" t="str">
        <f>IFERROR(R165-AF165,"")</f>
        <v/>
      </c>
      <c r="AJ165" s="8" t="str">
        <f>IFERROR(O165-AF165,"")</f>
        <v/>
      </c>
      <c r="AK165" s="38" t="str">
        <f t="shared" si="48"/>
        <v/>
      </c>
      <c r="AL165" t="str">
        <f>IFERROR(Z165-W165,"")</f>
        <v/>
      </c>
      <c r="AM165" t="str">
        <f>IFERROR(R165-J165,"")</f>
        <v/>
      </c>
      <c r="AN165" t="str">
        <f>IFERROR(V165-O165,"")</f>
        <v/>
      </c>
      <c r="AO165">
        <f>IFERROR(J165-I165,"")</f>
        <v>1</v>
      </c>
      <c r="AP165">
        <f>IFERROR(AC165-X165,"")</f>
        <v>0</v>
      </c>
      <c r="AQ165" t="str">
        <f>IFERROR(AA165-W165,"")</f>
        <v/>
      </c>
    </row>
    <row r="166" spans="1:43" x14ac:dyDescent="0.35">
      <c r="A166">
        <v>795</v>
      </c>
      <c r="B166" t="s">
        <v>584</v>
      </c>
      <c r="C166" t="s">
        <v>213</v>
      </c>
      <c r="D166" t="str">
        <f t="shared" si="46"/>
        <v>Program Office</v>
      </c>
      <c r="E166" t="s">
        <v>332</v>
      </c>
      <c r="F166" t="s">
        <v>46</v>
      </c>
      <c r="G166" t="s">
        <v>333</v>
      </c>
      <c r="H166" t="s">
        <v>334</v>
      </c>
      <c r="I166" s="32">
        <v>44906.674583333333</v>
      </c>
      <c r="J166" s="32">
        <v>44907.674583333333</v>
      </c>
      <c r="K166" s="32">
        <v>44912.674583333333</v>
      </c>
      <c r="L166" s="8">
        <f t="shared" si="47"/>
        <v>6</v>
      </c>
      <c r="M166" s="7">
        <v>44939.674583333333</v>
      </c>
      <c r="N166" t="s">
        <v>49</v>
      </c>
      <c r="O166" s="34">
        <v>44927.674583333333</v>
      </c>
      <c r="P166" t="s">
        <v>50</v>
      </c>
      <c r="Q166" t="s">
        <v>125</v>
      </c>
      <c r="R166" s="32" t="s">
        <v>7472</v>
      </c>
      <c r="S166" t="s">
        <v>7476</v>
      </c>
      <c r="T166" s="34" t="s">
        <v>7476</v>
      </c>
      <c r="U166" s="34" t="s">
        <v>7476</v>
      </c>
      <c r="V166" s="32">
        <v>44929.674583333333</v>
      </c>
      <c r="W166" s="32" t="s">
        <v>7476</v>
      </c>
      <c r="X166">
        <v>0</v>
      </c>
      <c r="Y166" s="34" t="s">
        <v>7476</v>
      </c>
      <c r="Z166" s="34" t="s">
        <v>7476</v>
      </c>
      <c r="AA166" s="34" t="s">
        <v>7476</v>
      </c>
      <c r="AB166" s="36" t="s">
        <v>95</v>
      </c>
      <c r="AD166" t="s">
        <v>585</v>
      </c>
      <c r="AE166" t="s">
        <v>586</v>
      </c>
      <c r="AF166" s="16">
        <v>44920</v>
      </c>
      <c r="AG166" t="s">
        <v>64</v>
      </c>
      <c r="AH166">
        <v>6</v>
      </c>
      <c r="AI166" s="8" t="str">
        <f>IFERROR(R166-AF166,"")</f>
        <v/>
      </c>
      <c r="AJ166" s="8">
        <f>IFERROR(O166-AF166,"")</f>
        <v>7.6745833333334303</v>
      </c>
      <c r="AK166" s="38">
        <f t="shared" si="48"/>
        <v>45109.674583333333</v>
      </c>
      <c r="AL166" t="str">
        <f>IFERROR(Z166-W166,"")</f>
        <v/>
      </c>
      <c r="AM166" t="str">
        <f>IFERROR(R166-J166,"")</f>
        <v/>
      </c>
      <c r="AN166">
        <f>IFERROR(V166-O166,"")</f>
        <v>2</v>
      </c>
      <c r="AO166">
        <f>IFERROR(J166-I166,"")</f>
        <v>1</v>
      </c>
      <c r="AP166">
        <f>IFERROR(AC166-X166,"")</f>
        <v>0</v>
      </c>
      <c r="AQ166" t="str">
        <f>IFERROR(AA166-W166,"")</f>
        <v/>
      </c>
    </row>
    <row r="167" spans="1:43" x14ac:dyDescent="0.35">
      <c r="A167">
        <v>793</v>
      </c>
      <c r="B167" t="s">
        <v>587</v>
      </c>
      <c r="C167" t="s">
        <v>217</v>
      </c>
      <c r="D167" t="str">
        <f t="shared" si="46"/>
        <v>Program Office</v>
      </c>
      <c r="E167" t="s">
        <v>332</v>
      </c>
      <c r="F167" t="s">
        <v>46</v>
      </c>
      <c r="G167" t="s">
        <v>333</v>
      </c>
      <c r="H167" t="s">
        <v>334</v>
      </c>
      <c r="I167" s="32">
        <v>44907.674583333333</v>
      </c>
      <c r="J167" s="32" t="s">
        <v>7471</v>
      </c>
      <c r="K167" s="32">
        <v>44912.674583333333</v>
      </c>
      <c r="L167" s="8">
        <f t="shared" si="47"/>
        <v>5</v>
      </c>
      <c r="M167" s="7">
        <v>44918.674583333333</v>
      </c>
      <c r="N167" t="s">
        <v>49</v>
      </c>
      <c r="O167" s="34">
        <v>44923.674583333333</v>
      </c>
      <c r="P167" t="s">
        <v>392</v>
      </c>
      <c r="R167" s="32">
        <v>44928.674583333333</v>
      </c>
      <c r="S167" t="s">
        <v>392</v>
      </c>
      <c r="T167" s="34" t="s">
        <v>7476</v>
      </c>
      <c r="U167" s="34" t="s">
        <v>7476</v>
      </c>
      <c r="V167" s="32">
        <v>44926.674583333333</v>
      </c>
      <c r="W167" s="32" t="s">
        <v>7476</v>
      </c>
      <c r="X167">
        <v>0</v>
      </c>
      <c r="Y167" s="34" t="s">
        <v>7476</v>
      </c>
      <c r="Z167" s="34" t="s">
        <v>7476</v>
      </c>
      <c r="AA167" s="34" t="s">
        <v>7476</v>
      </c>
      <c r="AB167" s="36" t="s">
        <v>7476</v>
      </c>
      <c r="AD167" t="s">
        <v>588</v>
      </c>
      <c r="AE167" t="s">
        <v>589</v>
      </c>
      <c r="AF167" s="16">
        <v>44910</v>
      </c>
      <c r="AG167" t="s">
        <v>98</v>
      </c>
      <c r="AH167">
        <v>3</v>
      </c>
      <c r="AK167" s="38">
        <f t="shared" si="48"/>
        <v>45016.674583333333</v>
      </c>
    </row>
    <row r="168" spans="1:43" x14ac:dyDescent="0.35">
      <c r="A168">
        <v>767</v>
      </c>
      <c r="B168" t="s">
        <v>590</v>
      </c>
      <c r="C168" t="s">
        <v>213</v>
      </c>
      <c r="D168" t="str">
        <f t="shared" si="46"/>
        <v>Program Office</v>
      </c>
      <c r="E168" t="s">
        <v>332</v>
      </c>
      <c r="F168" t="s">
        <v>46</v>
      </c>
      <c r="G168" t="s">
        <v>333</v>
      </c>
      <c r="H168" t="s">
        <v>334</v>
      </c>
      <c r="I168" s="32">
        <v>44726.736145833333</v>
      </c>
      <c r="J168" s="32">
        <v>44727.736145833333</v>
      </c>
      <c r="K168" s="32">
        <v>44733.736145833333</v>
      </c>
      <c r="L168" s="8">
        <f t="shared" si="47"/>
        <v>7</v>
      </c>
      <c r="M168" s="7">
        <v>44744.736145833333</v>
      </c>
      <c r="N168" t="s">
        <v>49</v>
      </c>
      <c r="O168" s="34">
        <v>44746.736145833333</v>
      </c>
      <c r="P168" t="s">
        <v>50</v>
      </c>
      <c r="Q168" t="s">
        <v>125</v>
      </c>
      <c r="R168" s="32" t="s">
        <v>7472</v>
      </c>
      <c r="S168" t="s">
        <v>7476</v>
      </c>
      <c r="T168" s="34" t="s">
        <v>7476</v>
      </c>
      <c r="U168" s="34" t="s">
        <v>7476</v>
      </c>
      <c r="V168" s="32">
        <v>44747.736145833333</v>
      </c>
      <c r="W168" s="32" t="s">
        <v>7476</v>
      </c>
      <c r="X168">
        <v>0</v>
      </c>
      <c r="Y168" s="34" t="s">
        <v>7476</v>
      </c>
      <c r="Z168" s="34" t="s">
        <v>7476</v>
      </c>
      <c r="AA168" s="34" t="s">
        <v>7476</v>
      </c>
      <c r="AB168" s="36" t="s">
        <v>95</v>
      </c>
      <c r="AD168" t="s">
        <v>591</v>
      </c>
      <c r="AE168" t="s">
        <v>592</v>
      </c>
      <c r="AF168" s="16">
        <v>44737</v>
      </c>
      <c r="AG168" t="s">
        <v>68</v>
      </c>
      <c r="AH168">
        <v>6</v>
      </c>
      <c r="AI168" s="8" t="str">
        <f t="shared" ref="AI168:AI173" si="57">IFERROR(R168-AF168,"")</f>
        <v/>
      </c>
      <c r="AJ168" s="8">
        <f t="shared" ref="AJ168:AJ173" si="58">IFERROR(O168-AF168,"")</f>
        <v>9.7361458333325572</v>
      </c>
      <c r="AK168" s="38">
        <f t="shared" si="48"/>
        <v>44927.736145833333</v>
      </c>
      <c r="AL168" t="str">
        <f t="shared" ref="AL168:AL173" si="59">IFERROR(Z168-W168,"")</f>
        <v/>
      </c>
      <c r="AM168" t="str">
        <f t="shared" ref="AM168:AM173" si="60">IFERROR(R168-J168,"")</f>
        <v/>
      </c>
      <c r="AN168">
        <f t="shared" ref="AN168:AN173" si="61">IFERROR(V168-O168,"")</f>
        <v>1</v>
      </c>
      <c r="AO168">
        <f t="shared" ref="AO168:AO173" si="62">IFERROR(J168-I168,"")</f>
        <v>1</v>
      </c>
      <c r="AP168">
        <f t="shared" ref="AP168:AP173" si="63">IFERROR(AC168-X168,"")</f>
        <v>0</v>
      </c>
      <c r="AQ168" t="str">
        <f t="shared" ref="AQ168:AQ173" si="64">IFERROR(AA168-W168,"")</f>
        <v/>
      </c>
    </row>
    <row r="169" spans="1:43" x14ac:dyDescent="0.35">
      <c r="A169">
        <v>762</v>
      </c>
      <c r="B169" t="s">
        <v>593</v>
      </c>
      <c r="C169" t="s">
        <v>213</v>
      </c>
      <c r="D169" t="str">
        <f t="shared" si="46"/>
        <v>Program Office</v>
      </c>
      <c r="E169" t="s">
        <v>332</v>
      </c>
      <c r="F169" t="s">
        <v>46</v>
      </c>
      <c r="G169" t="s">
        <v>333</v>
      </c>
      <c r="H169" t="s">
        <v>334</v>
      </c>
      <c r="I169" s="32">
        <v>44728.736145833333</v>
      </c>
      <c r="J169" s="32">
        <v>44729.736145833333</v>
      </c>
      <c r="K169" s="32">
        <v>44733.736145833333</v>
      </c>
      <c r="L169" s="8">
        <f t="shared" si="47"/>
        <v>5</v>
      </c>
      <c r="M169" s="7">
        <v>44758.736145833333</v>
      </c>
      <c r="N169" t="s">
        <v>49</v>
      </c>
      <c r="O169" s="34">
        <v>44744.736145833333</v>
      </c>
      <c r="P169" t="s">
        <v>101</v>
      </c>
      <c r="R169" s="32">
        <v>44749.736145833333</v>
      </c>
      <c r="S169" t="s">
        <v>101</v>
      </c>
      <c r="T169" s="34">
        <v>44746.736145833333</v>
      </c>
      <c r="U169" s="34">
        <v>44750.736145833333</v>
      </c>
      <c r="V169" s="32">
        <v>44745.736145833333</v>
      </c>
      <c r="W169" s="32">
        <v>44751.736145833333</v>
      </c>
      <c r="X169">
        <v>1</v>
      </c>
      <c r="Y169" s="34">
        <v>44755.736145833333</v>
      </c>
      <c r="Z169" s="34">
        <v>44756.736145833333</v>
      </c>
      <c r="AA169" s="34">
        <v>44759.736145833333</v>
      </c>
      <c r="AB169" s="36" t="s">
        <v>7476</v>
      </c>
      <c r="AC169" s="10">
        <v>44778.736145833333</v>
      </c>
      <c r="AD169" t="s">
        <v>594</v>
      </c>
      <c r="AE169" t="s">
        <v>595</v>
      </c>
      <c r="AF169" s="16">
        <v>44737</v>
      </c>
      <c r="AG169" t="s">
        <v>64</v>
      </c>
      <c r="AH169">
        <v>3</v>
      </c>
      <c r="AI169" s="8">
        <f t="shared" si="57"/>
        <v>12.736145833332557</v>
      </c>
      <c r="AJ169" s="8">
        <f t="shared" si="58"/>
        <v>7.7361458333325572</v>
      </c>
      <c r="AK169" s="38">
        <f t="shared" si="48"/>
        <v>44835.736145833333</v>
      </c>
      <c r="AL169">
        <f t="shared" si="59"/>
        <v>5</v>
      </c>
      <c r="AM169">
        <f t="shared" si="60"/>
        <v>20</v>
      </c>
      <c r="AN169">
        <f t="shared" si="61"/>
        <v>1</v>
      </c>
      <c r="AO169">
        <f t="shared" si="62"/>
        <v>1</v>
      </c>
      <c r="AP169">
        <f t="shared" si="63"/>
        <v>44777.736145833333</v>
      </c>
      <c r="AQ169">
        <f t="shared" si="64"/>
        <v>8</v>
      </c>
    </row>
    <row r="170" spans="1:43" x14ac:dyDescent="0.35">
      <c r="A170">
        <v>729</v>
      </c>
      <c r="B170" t="s">
        <v>596</v>
      </c>
      <c r="C170" t="s">
        <v>202</v>
      </c>
      <c r="D170" t="str">
        <f t="shared" si="46"/>
        <v>Program Office</v>
      </c>
      <c r="E170" t="s">
        <v>332</v>
      </c>
      <c r="F170" t="s">
        <v>46</v>
      </c>
      <c r="G170" t="s">
        <v>333</v>
      </c>
      <c r="H170" t="s">
        <v>334</v>
      </c>
      <c r="I170" s="32">
        <v>44608.660578703697</v>
      </c>
      <c r="J170" s="32">
        <v>44610.660578703697</v>
      </c>
      <c r="K170" s="32">
        <v>44612.660578703697</v>
      </c>
      <c r="L170" s="8">
        <f t="shared" si="47"/>
        <v>4</v>
      </c>
      <c r="M170" s="7">
        <v>44640.660578703697</v>
      </c>
      <c r="N170" t="s">
        <v>49</v>
      </c>
      <c r="O170" s="34">
        <v>44619.660578703697</v>
      </c>
      <c r="P170" t="s">
        <v>101</v>
      </c>
      <c r="R170" s="32">
        <v>44624.660578703697</v>
      </c>
      <c r="S170" t="s">
        <v>101</v>
      </c>
      <c r="T170" s="34">
        <v>44620.660578703697</v>
      </c>
      <c r="U170" s="34">
        <v>44623.660578703697</v>
      </c>
      <c r="V170" s="32">
        <v>44621.660578703697</v>
      </c>
      <c r="W170" s="32">
        <v>44623.660578703697</v>
      </c>
      <c r="X170">
        <v>1</v>
      </c>
      <c r="Y170" s="34">
        <v>44624.660578703697</v>
      </c>
      <c r="Z170" s="34">
        <v>44627.660578703697</v>
      </c>
      <c r="AA170" s="34">
        <v>44629.660578703697</v>
      </c>
      <c r="AB170" s="36" t="s">
        <v>7476</v>
      </c>
      <c r="AC170" s="10">
        <v>44639.660578703697</v>
      </c>
      <c r="AD170" t="s">
        <v>597</v>
      </c>
      <c r="AE170" t="s">
        <v>598</v>
      </c>
      <c r="AF170" s="16">
        <v>44611</v>
      </c>
      <c r="AG170" t="s">
        <v>98</v>
      </c>
      <c r="AH170">
        <v>6</v>
      </c>
      <c r="AI170" s="8">
        <f t="shared" si="57"/>
        <v>13.660578703696956</v>
      </c>
      <c r="AJ170" s="8">
        <f t="shared" si="58"/>
        <v>8.6605787036969559</v>
      </c>
      <c r="AK170" s="38">
        <f t="shared" si="48"/>
        <v>44801.660578703697</v>
      </c>
      <c r="AL170">
        <f t="shared" si="59"/>
        <v>4</v>
      </c>
      <c r="AM170">
        <f t="shared" si="60"/>
        <v>14</v>
      </c>
      <c r="AN170">
        <f t="shared" si="61"/>
        <v>2</v>
      </c>
      <c r="AO170">
        <f t="shared" si="62"/>
        <v>2</v>
      </c>
      <c r="AP170">
        <f t="shared" si="63"/>
        <v>44638.660578703697</v>
      </c>
      <c r="AQ170">
        <f t="shared" si="64"/>
        <v>6</v>
      </c>
    </row>
    <row r="171" spans="1:43" x14ac:dyDescent="0.35">
      <c r="A171">
        <v>726</v>
      </c>
      <c r="B171" t="s">
        <v>599</v>
      </c>
      <c r="C171" t="s">
        <v>202</v>
      </c>
      <c r="D171" t="str">
        <f t="shared" si="46"/>
        <v>Program Office</v>
      </c>
      <c r="E171" t="s">
        <v>332</v>
      </c>
      <c r="F171" t="s">
        <v>46</v>
      </c>
      <c r="G171" t="s">
        <v>333</v>
      </c>
      <c r="H171" t="s">
        <v>334</v>
      </c>
      <c r="I171" s="32">
        <v>44603.660578703697</v>
      </c>
      <c r="J171" s="32">
        <v>44607.660578703697</v>
      </c>
      <c r="K171" s="32">
        <v>44612.660578703697</v>
      </c>
      <c r="L171" s="8">
        <f t="shared" si="47"/>
        <v>9</v>
      </c>
      <c r="M171" s="7">
        <v>44631.660578703697</v>
      </c>
      <c r="N171" t="s">
        <v>49</v>
      </c>
      <c r="O171" s="34">
        <v>44616.660578703697</v>
      </c>
      <c r="P171" t="s">
        <v>60</v>
      </c>
      <c r="R171" s="32">
        <v>44620.660578703697</v>
      </c>
      <c r="S171" t="s">
        <v>61</v>
      </c>
      <c r="T171" s="34" t="s">
        <v>7476</v>
      </c>
      <c r="U171" s="34" t="s">
        <v>7476</v>
      </c>
      <c r="V171" s="32">
        <v>44618.660578703697</v>
      </c>
      <c r="W171" s="32" t="s">
        <v>7476</v>
      </c>
      <c r="X171">
        <v>0</v>
      </c>
      <c r="Y171" s="34" t="s">
        <v>7476</v>
      </c>
      <c r="Z171" s="34" t="s">
        <v>7476</v>
      </c>
      <c r="AA171" s="34" t="s">
        <v>7476</v>
      </c>
      <c r="AB171" s="36" t="s">
        <v>7476</v>
      </c>
      <c r="AD171" t="s">
        <v>600</v>
      </c>
      <c r="AE171" t="s">
        <v>601</v>
      </c>
      <c r="AF171" s="16">
        <v>44602</v>
      </c>
      <c r="AG171" t="s">
        <v>68</v>
      </c>
      <c r="AH171">
        <v>6</v>
      </c>
      <c r="AI171" s="8">
        <f t="shared" si="57"/>
        <v>18.660578703696956</v>
      </c>
      <c r="AJ171" s="8">
        <f t="shared" si="58"/>
        <v>14.660578703696956</v>
      </c>
      <c r="AK171" s="38">
        <f t="shared" si="48"/>
        <v>44798.660578703697</v>
      </c>
      <c r="AL171" t="str">
        <f t="shared" si="59"/>
        <v/>
      </c>
      <c r="AM171">
        <f t="shared" si="60"/>
        <v>13</v>
      </c>
      <c r="AN171">
        <f t="shared" si="61"/>
        <v>2</v>
      </c>
      <c r="AO171">
        <f t="shared" si="62"/>
        <v>4</v>
      </c>
      <c r="AP171">
        <f t="shared" si="63"/>
        <v>0</v>
      </c>
      <c r="AQ171" t="str">
        <f t="shared" si="64"/>
        <v/>
      </c>
    </row>
    <row r="172" spans="1:43" x14ac:dyDescent="0.35">
      <c r="A172">
        <v>715</v>
      </c>
      <c r="B172" t="s">
        <v>602</v>
      </c>
      <c r="C172" t="s">
        <v>217</v>
      </c>
      <c r="D172" t="str">
        <f t="shared" si="46"/>
        <v>Program Office</v>
      </c>
      <c r="E172" t="s">
        <v>332</v>
      </c>
      <c r="F172" t="s">
        <v>46</v>
      </c>
      <c r="G172" t="s">
        <v>333</v>
      </c>
      <c r="H172" t="s">
        <v>334</v>
      </c>
      <c r="I172" s="32">
        <v>44626.686331018522</v>
      </c>
      <c r="J172" s="32">
        <v>44628.686331018522</v>
      </c>
      <c r="K172" s="32">
        <v>44634.686331018522</v>
      </c>
      <c r="L172" s="8">
        <f t="shared" si="47"/>
        <v>8</v>
      </c>
      <c r="M172" s="7">
        <v>44660.686331018522</v>
      </c>
      <c r="N172" t="s">
        <v>49</v>
      </c>
      <c r="O172" s="34">
        <v>44640.686331018522</v>
      </c>
      <c r="P172" t="s">
        <v>50</v>
      </c>
      <c r="Q172" t="s">
        <v>51</v>
      </c>
      <c r="R172" s="32" t="s">
        <v>7472</v>
      </c>
      <c r="S172" t="s">
        <v>7476</v>
      </c>
      <c r="T172" s="34" t="s">
        <v>7476</v>
      </c>
      <c r="U172" s="34" t="s">
        <v>7476</v>
      </c>
      <c r="V172" s="32" t="s">
        <v>7476</v>
      </c>
      <c r="W172" s="32" t="s">
        <v>7476</v>
      </c>
      <c r="X172">
        <v>0</v>
      </c>
      <c r="Y172" s="34" t="s">
        <v>7476</v>
      </c>
      <c r="Z172" s="34" t="s">
        <v>7476</v>
      </c>
      <c r="AA172" s="34" t="s">
        <v>7476</v>
      </c>
      <c r="AB172" s="36" t="s">
        <v>95</v>
      </c>
      <c r="AD172" t="s">
        <v>603</v>
      </c>
      <c r="AE172" t="s">
        <v>604</v>
      </c>
      <c r="AF172" s="16">
        <v>44595</v>
      </c>
      <c r="AG172" t="s">
        <v>68</v>
      </c>
      <c r="AH172">
        <v>3</v>
      </c>
      <c r="AI172" s="8" t="str">
        <f t="shared" si="57"/>
        <v/>
      </c>
      <c r="AJ172" s="8">
        <f t="shared" si="58"/>
        <v>45.686331018521741</v>
      </c>
      <c r="AK172" s="38" t="str">
        <f t="shared" si="48"/>
        <v/>
      </c>
      <c r="AL172" t="str">
        <f t="shared" si="59"/>
        <v/>
      </c>
      <c r="AM172" t="str">
        <f t="shared" si="60"/>
        <v/>
      </c>
      <c r="AN172" t="str">
        <f t="shared" si="61"/>
        <v/>
      </c>
      <c r="AO172">
        <f t="shared" si="62"/>
        <v>2</v>
      </c>
      <c r="AP172">
        <f t="shared" si="63"/>
        <v>0</v>
      </c>
      <c r="AQ172" t="str">
        <f t="shared" si="64"/>
        <v/>
      </c>
    </row>
    <row r="173" spans="1:43" x14ac:dyDescent="0.35">
      <c r="A173">
        <v>711</v>
      </c>
      <c r="B173" t="s">
        <v>605</v>
      </c>
      <c r="C173" t="s">
        <v>202</v>
      </c>
      <c r="D173" t="str">
        <f t="shared" si="46"/>
        <v>Program Office</v>
      </c>
      <c r="E173" t="s">
        <v>332</v>
      </c>
      <c r="F173" t="s">
        <v>46</v>
      </c>
      <c r="G173" t="s">
        <v>333</v>
      </c>
      <c r="H173" t="s">
        <v>334</v>
      </c>
      <c r="I173" s="32">
        <v>44625.686331018522</v>
      </c>
      <c r="J173" s="32">
        <v>44629.686331018522</v>
      </c>
      <c r="K173" s="32">
        <v>44634.686331018522</v>
      </c>
      <c r="L173" s="8">
        <f t="shared" si="47"/>
        <v>9</v>
      </c>
      <c r="M173" s="7">
        <v>44642.686331018522</v>
      </c>
      <c r="N173" t="s">
        <v>49</v>
      </c>
      <c r="O173" s="34">
        <v>44645.686331018522</v>
      </c>
      <c r="P173" t="s">
        <v>101</v>
      </c>
      <c r="R173" s="32">
        <v>44648.686331018522</v>
      </c>
      <c r="S173" t="s">
        <v>101</v>
      </c>
      <c r="T173" s="34">
        <v>44647.686331018522</v>
      </c>
      <c r="U173" s="34">
        <v>44650.686331018522</v>
      </c>
      <c r="V173" s="32">
        <v>44646.686331018522</v>
      </c>
      <c r="W173" s="32">
        <v>44652.686331018522</v>
      </c>
      <c r="X173">
        <v>1</v>
      </c>
      <c r="Y173" s="34">
        <v>44653.686331018522</v>
      </c>
      <c r="Z173" s="34">
        <v>44656.686331018522</v>
      </c>
      <c r="AA173" s="34">
        <v>44659.686331018522</v>
      </c>
      <c r="AB173" s="36" t="s">
        <v>7476</v>
      </c>
      <c r="AC173" s="10">
        <v>44667.686331018522</v>
      </c>
      <c r="AD173" t="s">
        <v>606</v>
      </c>
      <c r="AE173" t="s">
        <v>607</v>
      </c>
      <c r="AF173" s="16">
        <v>44635</v>
      </c>
      <c r="AG173" t="s">
        <v>68</v>
      </c>
      <c r="AH173">
        <v>6</v>
      </c>
      <c r="AI173" s="8">
        <f t="shared" si="57"/>
        <v>13.686331018521741</v>
      </c>
      <c r="AJ173" s="8">
        <f t="shared" si="58"/>
        <v>10.686331018521741</v>
      </c>
      <c r="AK173" s="38">
        <f t="shared" si="48"/>
        <v>44826.686331018522</v>
      </c>
      <c r="AL173">
        <f t="shared" si="59"/>
        <v>4</v>
      </c>
      <c r="AM173">
        <f t="shared" si="60"/>
        <v>19</v>
      </c>
      <c r="AN173">
        <f t="shared" si="61"/>
        <v>1</v>
      </c>
      <c r="AO173">
        <f t="shared" si="62"/>
        <v>4</v>
      </c>
      <c r="AP173">
        <f t="shared" si="63"/>
        <v>44666.686331018522</v>
      </c>
      <c r="AQ173">
        <f t="shared" si="64"/>
        <v>7</v>
      </c>
    </row>
    <row r="174" spans="1:43" x14ac:dyDescent="0.35">
      <c r="A174">
        <v>678</v>
      </c>
      <c r="B174" t="s">
        <v>608</v>
      </c>
      <c r="C174" t="s">
        <v>213</v>
      </c>
      <c r="D174" t="str">
        <f t="shared" si="46"/>
        <v>Program Office</v>
      </c>
      <c r="E174" t="s">
        <v>332</v>
      </c>
      <c r="F174" t="s">
        <v>46</v>
      </c>
      <c r="G174" t="s">
        <v>333</v>
      </c>
      <c r="H174" t="s">
        <v>334</v>
      </c>
      <c r="I174" s="32">
        <v>45143.885671296302</v>
      </c>
      <c r="J174" s="32">
        <v>45145.885671296302</v>
      </c>
      <c r="K174" s="32" t="s">
        <v>7473</v>
      </c>
      <c r="L174" s="8" t="str">
        <f t="shared" si="47"/>
        <v/>
      </c>
      <c r="M174" s="7">
        <v>45158.885671296302</v>
      </c>
      <c r="N174" t="s">
        <v>72</v>
      </c>
      <c r="O174" s="34" t="s">
        <v>7474</v>
      </c>
      <c r="R174" s="32" t="s">
        <v>7472</v>
      </c>
      <c r="S174" t="s">
        <v>7476</v>
      </c>
      <c r="T174" s="34" t="s">
        <v>7476</v>
      </c>
      <c r="U174" s="34" t="s">
        <v>7476</v>
      </c>
      <c r="V174" s="32" t="s">
        <v>7476</v>
      </c>
      <c r="W174" s="32" t="s">
        <v>7476</v>
      </c>
      <c r="X174">
        <v>0</v>
      </c>
      <c r="Y174" s="34" t="s">
        <v>7476</v>
      </c>
      <c r="Z174" s="34" t="s">
        <v>7476</v>
      </c>
      <c r="AA174" s="34" t="s">
        <v>7476</v>
      </c>
      <c r="AB174" s="36" t="s">
        <v>7476</v>
      </c>
      <c r="AD174" t="s">
        <v>609</v>
      </c>
      <c r="AE174" t="s">
        <v>610</v>
      </c>
      <c r="AG174" t="s">
        <v>98</v>
      </c>
      <c r="AH174">
        <v>3</v>
      </c>
      <c r="AK174" s="38" t="str">
        <f t="shared" si="48"/>
        <v/>
      </c>
    </row>
    <row r="175" spans="1:43" x14ac:dyDescent="0.35">
      <c r="A175">
        <v>677</v>
      </c>
      <c r="B175" t="s">
        <v>611</v>
      </c>
      <c r="C175" t="s">
        <v>213</v>
      </c>
      <c r="D175" t="str">
        <f t="shared" si="46"/>
        <v>Program Office</v>
      </c>
      <c r="E175" t="s">
        <v>332</v>
      </c>
      <c r="F175" t="s">
        <v>46</v>
      </c>
      <c r="G175" t="s">
        <v>333</v>
      </c>
      <c r="H175" t="s">
        <v>334</v>
      </c>
      <c r="I175" s="32">
        <v>45141.885671296302</v>
      </c>
      <c r="J175" s="32" t="s">
        <v>7471</v>
      </c>
      <c r="K175" s="32">
        <v>45147.885671296302</v>
      </c>
      <c r="L175" s="8">
        <f t="shared" si="47"/>
        <v>6</v>
      </c>
      <c r="M175" s="7">
        <v>45160.885671296302</v>
      </c>
      <c r="N175" t="s">
        <v>49</v>
      </c>
      <c r="O175" s="34">
        <v>45161.885671296302</v>
      </c>
      <c r="P175" t="s">
        <v>60</v>
      </c>
      <c r="R175" s="32">
        <v>45164.885671296302</v>
      </c>
      <c r="S175" t="s">
        <v>61</v>
      </c>
      <c r="T175" s="34" t="s">
        <v>7476</v>
      </c>
      <c r="U175" s="34" t="s">
        <v>7476</v>
      </c>
      <c r="V175" s="32">
        <v>45163.885671296302</v>
      </c>
      <c r="W175" s="32" t="s">
        <v>7476</v>
      </c>
      <c r="X175">
        <v>0</v>
      </c>
      <c r="Y175" s="34" t="s">
        <v>7476</v>
      </c>
      <c r="Z175" s="34" t="s">
        <v>7476</v>
      </c>
      <c r="AA175" s="34" t="s">
        <v>7476</v>
      </c>
      <c r="AB175" s="36" t="s">
        <v>7476</v>
      </c>
      <c r="AD175" t="s">
        <v>612</v>
      </c>
      <c r="AE175" t="s">
        <v>613</v>
      </c>
      <c r="AF175" s="16">
        <v>45153</v>
      </c>
      <c r="AG175" t="s">
        <v>98</v>
      </c>
      <c r="AH175">
        <v>3</v>
      </c>
      <c r="AK175" s="38">
        <f t="shared" si="48"/>
        <v>45253.885671296302</v>
      </c>
    </row>
    <row r="176" spans="1:43" x14ac:dyDescent="0.35">
      <c r="A176">
        <v>657</v>
      </c>
      <c r="B176" t="s">
        <v>614</v>
      </c>
      <c r="C176" t="s">
        <v>202</v>
      </c>
      <c r="D176" t="str">
        <f t="shared" si="46"/>
        <v>Program Office</v>
      </c>
      <c r="E176" t="s">
        <v>332</v>
      </c>
      <c r="F176" t="s">
        <v>46</v>
      </c>
      <c r="G176" t="s">
        <v>333</v>
      </c>
      <c r="H176" t="s">
        <v>334</v>
      </c>
      <c r="I176" s="32">
        <v>44918.016504629632</v>
      </c>
      <c r="J176" s="32">
        <v>44921.016504629632</v>
      </c>
      <c r="K176" s="32">
        <v>44922.016504629632</v>
      </c>
      <c r="L176" s="8">
        <f t="shared" si="47"/>
        <v>4</v>
      </c>
      <c r="M176" s="7">
        <v>44947.016504629632</v>
      </c>
      <c r="N176" t="s">
        <v>72</v>
      </c>
      <c r="O176" s="34" t="s">
        <v>7474</v>
      </c>
      <c r="R176" s="32" t="s">
        <v>7472</v>
      </c>
      <c r="S176" t="s">
        <v>7476</v>
      </c>
      <c r="T176" s="34" t="s">
        <v>7476</v>
      </c>
      <c r="U176" s="34" t="s">
        <v>7476</v>
      </c>
      <c r="V176" s="32" t="s">
        <v>7476</v>
      </c>
      <c r="W176" s="32" t="s">
        <v>7476</v>
      </c>
      <c r="X176">
        <v>0</v>
      </c>
      <c r="Y176" s="34" t="s">
        <v>7476</v>
      </c>
      <c r="Z176" s="34" t="s">
        <v>7476</v>
      </c>
      <c r="AA176" s="34" t="s">
        <v>7476</v>
      </c>
      <c r="AB176" s="36" t="s">
        <v>7476</v>
      </c>
      <c r="AD176" t="s">
        <v>615</v>
      </c>
      <c r="AE176" t="s">
        <v>616</v>
      </c>
      <c r="AG176" t="s">
        <v>64</v>
      </c>
      <c r="AH176">
        <v>6</v>
      </c>
      <c r="AI176" s="8" t="str">
        <f>IFERROR(R176-AF176,"")</f>
        <v/>
      </c>
      <c r="AJ176" s="8" t="str">
        <f>IFERROR(O176-AF176,"")</f>
        <v/>
      </c>
      <c r="AK176" s="38" t="str">
        <f t="shared" si="48"/>
        <v/>
      </c>
      <c r="AL176" t="str">
        <f>IFERROR(Z176-W176,"")</f>
        <v/>
      </c>
      <c r="AM176" t="str">
        <f>IFERROR(R176-J176,"")</f>
        <v/>
      </c>
      <c r="AN176" t="str">
        <f>IFERROR(V176-O176,"")</f>
        <v/>
      </c>
      <c r="AO176">
        <f>IFERROR(J176-I176,"")</f>
        <v>3</v>
      </c>
      <c r="AP176">
        <f>IFERROR(AC176-X176,"")</f>
        <v>0</v>
      </c>
      <c r="AQ176" t="str">
        <f>IFERROR(AA176-W176,"")</f>
        <v/>
      </c>
    </row>
    <row r="177" spans="1:43" x14ac:dyDescent="0.35">
      <c r="A177">
        <v>654</v>
      </c>
      <c r="B177" t="s">
        <v>617</v>
      </c>
      <c r="C177" t="s">
        <v>213</v>
      </c>
      <c r="D177" t="str">
        <f t="shared" si="46"/>
        <v>Program Office</v>
      </c>
      <c r="E177" t="s">
        <v>332</v>
      </c>
      <c r="F177" t="s">
        <v>46</v>
      </c>
      <c r="G177" t="s">
        <v>333</v>
      </c>
      <c r="H177" t="s">
        <v>334</v>
      </c>
      <c r="I177" s="32">
        <v>44917.016504629632</v>
      </c>
      <c r="J177" s="32">
        <v>44918.016504629632</v>
      </c>
      <c r="K177" s="32">
        <v>44922.016504629632</v>
      </c>
      <c r="L177" s="8">
        <f t="shared" si="47"/>
        <v>5</v>
      </c>
      <c r="M177" s="7">
        <v>44947.016504629632</v>
      </c>
      <c r="N177" t="s">
        <v>49</v>
      </c>
      <c r="O177" s="34">
        <v>44936.016504629632</v>
      </c>
      <c r="P177" t="s">
        <v>50</v>
      </c>
      <c r="Q177" t="s">
        <v>84</v>
      </c>
      <c r="R177" s="32" t="s">
        <v>7472</v>
      </c>
      <c r="S177" t="s">
        <v>7476</v>
      </c>
      <c r="T177" s="34" t="s">
        <v>7476</v>
      </c>
      <c r="U177" s="34" t="s">
        <v>7476</v>
      </c>
      <c r="V177" s="32" t="s">
        <v>7476</v>
      </c>
      <c r="W177" s="32" t="s">
        <v>7476</v>
      </c>
      <c r="X177">
        <v>0</v>
      </c>
      <c r="Y177" s="34" t="s">
        <v>7476</v>
      </c>
      <c r="Z177" s="34" t="s">
        <v>7476</v>
      </c>
      <c r="AA177" s="34" t="s">
        <v>7476</v>
      </c>
      <c r="AB177" s="36" t="s">
        <v>52</v>
      </c>
      <c r="AD177" t="s">
        <v>618</v>
      </c>
      <c r="AE177" t="s">
        <v>619</v>
      </c>
      <c r="AF177" s="16">
        <v>44921</v>
      </c>
      <c r="AG177" t="s">
        <v>98</v>
      </c>
      <c r="AH177">
        <v>6</v>
      </c>
      <c r="AI177" s="8" t="str">
        <f>IFERROR(R177-AF177,"")</f>
        <v/>
      </c>
      <c r="AJ177" s="8">
        <f>IFERROR(O177-AF177,"")</f>
        <v>15.016504629631527</v>
      </c>
      <c r="AK177" s="38" t="str">
        <f t="shared" si="48"/>
        <v/>
      </c>
      <c r="AL177" t="str">
        <f>IFERROR(Z177-W177,"")</f>
        <v/>
      </c>
      <c r="AM177" t="str">
        <f>IFERROR(R177-J177,"")</f>
        <v/>
      </c>
      <c r="AN177" t="str">
        <f>IFERROR(V177-O177,"")</f>
        <v/>
      </c>
      <c r="AO177">
        <f>IFERROR(J177-I177,"")</f>
        <v>1</v>
      </c>
      <c r="AP177">
        <f>IFERROR(AC177-X177,"")</f>
        <v>0</v>
      </c>
      <c r="AQ177" t="str">
        <f>IFERROR(AA177-W177,"")</f>
        <v/>
      </c>
    </row>
    <row r="178" spans="1:43" x14ac:dyDescent="0.35">
      <c r="A178">
        <v>651</v>
      </c>
      <c r="B178" t="s">
        <v>620</v>
      </c>
      <c r="C178" t="s">
        <v>213</v>
      </c>
      <c r="D178" t="str">
        <f t="shared" si="46"/>
        <v>Program Office</v>
      </c>
      <c r="E178" t="s">
        <v>332</v>
      </c>
      <c r="F178" t="s">
        <v>46</v>
      </c>
      <c r="G178" t="s">
        <v>333</v>
      </c>
      <c r="H178" t="s">
        <v>334</v>
      </c>
      <c r="I178" s="32">
        <v>44917.016504629632</v>
      </c>
      <c r="J178" s="32" t="s">
        <v>7471</v>
      </c>
      <c r="K178" s="32">
        <v>44922.016504629632</v>
      </c>
      <c r="L178" s="8">
        <f t="shared" si="47"/>
        <v>5</v>
      </c>
      <c r="M178" s="7">
        <v>44932.016504629632</v>
      </c>
      <c r="N178" t="s">
        <v>49</v>
      </c>
      <c r="O178" s="34">
        <v>44931.016504629632</v>
      </c>
      <c r="P178" t="s">
        <v>50</v>
      </c>
      <c r="Q178" t="s">
        <v>51</v>
      </c>
      <c r="R178" s="32" t="s">
        <v>7472</v>
      </c>
      <c r="S178" t="s">
        <v>7476</v>
      </c>
      <c r="T178" s="34" t="s">
        <v>7476</v>
      </c>
      <c r="U178" s="34" t="s">
        <v>7476</v>
      </c>
      <c r="V178" s="32" t="s">
        <v>7476</v>
      </c>
      <c r="W178" s="32" t="s">
        <v>7476</v>
      </c>
      <c r="X178">
        <v>0</v>
      </c>
      <c r="Y178" s="34" t="s">
        <v>7476</v>
      </c>
      <c r="Z178" s="34" t="s">
        <v>7476</v>
      </c>
      <c r="AA178" s="34" t="s">
        <v>7476</v>
      </c>
      <c r="AB178" s="36" t="s">
        <v>95</v>
      </c>
      <c r="AD178" t="s">
        <v>621</v>
      </c>
      <c r="AE178" t="s">
        <v>622</v>
      </c>
      <c r="AF178" s="16">
        <v>44926</v>
      </c>
      <c r="AG178" t="s">
        <v>98</v>
      </c>
      <c r="AH178">
        <v>3</v>
      </c>
      <c r="AK178" s="38" t="str">
        <f t="shared" si="48"/>
        <v/>
      </c>
    </row>
    <row r="179" spans="1:43" x14ac:dyDescent="0.35">
      <c r="A179">
        <v>640</v>
      </c>
      <c r="B179" t="s">
        <v>623</v>
      </c>
      <c r="C179" t="s">
        <v>202</v>
      </c>
      <c r="D179" t="str">
        <f t="shared" si="46"/>
        <v>Program Office</v>
      </c>
      <c r="E179" t="s">
        <v>332</v>
      </c>
      <c r="F179" t="s">
        <v>46</v>
      </c>
      <c r="G179" t="s">
        <v>333</v>
      </c>
      <c r="H179" t="s">
        <v>334</v>
      </c>
      <c r="I179" s="32" t="s">
        <v>7471</v>
      </c>
      <c r="J179" s="32">
        <v>44832.302743055552</v>
      </c>
      <c r="K179" s="32">
        <v>44833.302743055552</v>
      </c>
      <c r="L179" s="8" t="str">
        <f t="shared" si="47"/>
        <v/>
      </c>
      <c r="M179" s="7">
        <v>44847.302743055552</v>
      </c>
      <c r="N179" t="s">
        <v>49</v>
      </c>
      <c r="O179" s="34">
        <v>44841.302743055552</v>
      </c>
      <c r="P179" t="s">
        <v>50</v>
      </c>
      <c r="Q179" t="s">
        <v>84</v>
      </c>
      <c r="R179" s="32" t="s">
        <v>7472</v>
      </c>
      <c r="S179" t="s">
        <v>7476</v>
      </c>
      <c r="T179" s="34" t="s">
        <v>7476</v>
      </c>
      <c r="U179" s="34" t="s">
        <v>7476</v>
      </c>
      <c r="V179" s="32">
        <v>44845.302743055552</v>
      </c>
      <c r="W179" s="32" t="s">
        <v>7476</v>
      </c>
      <c r="X179">
        <v>0</v>
      </c>
      <c r="Y179" s="34" t="s">
        <v>7476</v>
      </c>
      <c r="Z179" s="34" t="s">
        <v>7476</v>
      </c>
      <c r="AA179" s="34" t="s">
        <v>7476</v>
      </c>
      <c r="AB179" s="36" t="s">
        <v>95</v>
      </c>
      <c r="AD179" t="s">
        <v>624</v>
      </c>
      <c r="AE179" t="s">
        <v>625</v>
      </c>
      <c r="AF179" s="16">
        <v>44831</v>
      </c>
      <c r="AG179" t="s">
        <v>98</v>
      </c>
      <c r="AH179">
        <v>6</v>
      </c>
      <c r="AK179" s="38">
        <f t="shared" si="48"/>
        <v>45025.302743055552</v>
      </c>
    </row>
    <row r="180" spans="1:43" x14ac:dyDescent="0.35">
      <c r="A180">
        <v>633</v>
      </c>
      <c r="B180" t="s">
        <v>626</v>
      </c>
      <c r="C180" t="s">
        <v>217</v>
      </c>
      <c r="D180" t="str">
        <f t="shared" si="46"/>
        <v>Program Office</v>
      </c>
      <c r="E180" t="s">
        <v>332</v>
      </c>
      <c r="F180" t="s">
        <v>46</v>
      </c>
      <c r="G180" t="s">
        <v>333</v>
      </c>
      <c r="H180" t="s">
        <v>334</v>
      </c>
      <c r="I180" s="32">
        <v>44828.302743055552</v>
      </c>
      <c r="J180" s="32" t="s">
        <v>7471</v>
      </c>
      <c r="K180" s="32">
        <v>44833.302743055552</v>
      </c>
      <c r="L180" s="8">
        <f t="shared" si="47"/>
        <v>5</v>
      </c>
      <c r="M180" s="7">
        <v>44863.302743055552</v>
      </c>
      <c r="N180" t="s">
        <v>72</v>
      </c>
      <c r="O180" s="34" t="s">
        <v>7474</v>
      </c>
      <c r="R180" s="32" t="s">
        <v>7472</v>
      </c>
      <c r="S180" t="s">
        <v>7476</v>
      </c>
      <c r="T180" s="34" t="s">
        <v>7476</v>
      </c>
      <c r="U180" s="34" t="s">
        <v>7476</v>
      </c>
      <c r="V180" s="32" t="s">
        <v>7476</v>
      </c>
      <c r="W180" s="32" t="s">
        <v>7476</v>
      </c>
      <c r="X180">
        <v>0</v>
      </c>
      <c r="Y180" s="34" t="s">
        <v>7476</v>
      </c>
      <c r="Z180" s="34" t="s">
        <v>7476</v>
      </c>
      <c r="AA180" s="34" t="s">
        <v>7476</v>
      </c>
      <c r="AB180" s="36" t="s">
        <v>7476</v>
      </c>
      <c r="AD180" t="s">
        <v>627</v>
      </c>
      <c r="AE180" t="s">
        <v>628</v>
      </c>
      <c r="AG180" t="s">
        <v>55</v>
      </c>
      <c r="AH180">
        <v>6</v>
      </c>
      <c r="AK180" s="38" t="str">
        <f t="shared" si="48"/>
        <v/>
      </c>
    </row>
    <row r="181" spans="1:43" x14ac:dyDescent="0.35">
      <c r="A181">
        <v>580</v>
      </c>
      <c r="B181" t="s">
        <v>629</v>
      </c>
      <c r="C181" t="s">
        <v>202</v>
      </c>
      <c r="D181" t="str">
        <f t="shared" si="46"/>
        <v>Program Office</v>
      </c>
      <c r="E181" t="s">
        <v>332</v>
      </c>
      <c r="F181" t="s">
        <v>46</v>
      </c>
      <c r="G181" t="s">
        <v>333</v>
      </c>
      <c r="H181" t="s">
        <v>334</v>
      </c>
      <c r="I181" s="32">
        <v>44909.089930555558</v>
      </c>
      <c r="J181" s="32">
        <v>44912.089930555558</v>
      </c>
      <c r="K181" s="32">
        <v>44915.089930555558</v>
      </c>
      <c r="L181" s="8">
        <f t="shared" si="47"/>
        <v>6</v>
      </c>
      <c r="M181" s="7">
        <v>44944.089930555558</v>
      </c>
      <c r="N181" t="s">
        <v>49</v>
      </c>
      <c r="O181" s="34">
        <v>44922.089930555558</v>
      </c>
      <c r="P181" t="s">
        <v>392</v>
      </c>
      <c r="R181" s="32">
        <v>44926.089930555558</v>
      </c>
      <c r="S181" t="s">
        <v>392</v>
      </c>
      <c r="T181" s="34" t="s">
        <v>7476</v>
      </c>
      <c r="U181" s="34" t="s">
        <v>7476</v>
      </c>
      <c r="V181" s="32">
        <v>44923.089930555558</v>
      </c>
      <c r="W181" s="32" t="s">
        <v>7476</v>
      </c>
      <c r="X181">
        <v>0</v>
      </c>
      <c r="Y181" s="34" t="s">
        <v>7476</v>
      </c>
      <c r="Z181" s="34" t="s">
        <v>7476</v>
      </c>
      <c r="AA181" s="34" t="s">
        <v>7476</v>
      </c>
      <c r="AB181" s="36" t="s">
        <v>7476</v>
      </c>
      <c r="AD181" t="s">
        <v>630</v>
      </c>
      <c r="AE181" t="s">
        <v>631</v>
      </c>
      <c r="AF181" s="16">
        <v>44904</v>
      </c>
      <c r="AG181" t="s">
        <v>98</v>
      </c>
      <c r="AH181">
        <v>3</v>
      </c>
      <c r="AI181" s="8">
        <f>IFERROR(R181-AF181,"")</f>
        <v>22.089930555557657</v>
      </c>
      <c r="AJ181" s="8">
        <f>IFERROR(O181-AF181,"")</f>
        <v>18.089930555557657</v>
      </c>
      <c r="AK181" s="38">
        <f t="shared" si="48"/>
        <v>45013.089930555558</v>
      </c>
      <c r="AL181" t="str">
        <f>IFERROR(Z181-W181,"")</f>
        <v/>
      </c>
      <c r="AM181">
        <f>IFERROR(R181-J181,"")</f>
        <v>14</v>
      </c>
      <c r="AN181">
        <f>IFERROR(V181-O181,"")</f>
        <v>1</v>
      </c>
      <c r="AO181">
        <f>IFERROR(J181-I181,"")</f>
        <v>3</v>
      </c>
      <c r="AP181">
        <f>IFERROR(AC181-X181,"")</f>
        <v>0</v>
      </c>
      <c r="AQ181" t="str">
        <f>IFERROR(AA181-W181,"")</f>
        <v/>
      </c>
    </row>
    <row r="182" spans="1:43" x14ac:dyDescent="0.35">
      <c r="A182">
        <v>574</v>
      </c>
      <c r="B182" t="s">
        <v>632</v>
      </c>
      <c r="C182" t="s">
        <v>217</v>
      </c>
      <c r="D182" t="str">
        <f t="shared" si="46"/>
        <v>Program Office</v>
      </c>
      <c r="E182" t="s">
        <v>332</v>
      </c>
      <c r="F182" t="s">
        <v>46</v>
      </c>
      <c r="G182" t="s">
        <v>333</v>
      </c>
      <c r="H182" t="s">
        <v>334</v>
      </c>
      <c r="I182" s="32">
        <v>44908.089930555558</v>
      </c>
      <c r="J182" s="32">
        <v>44912.089930555558</v>
      </c>
      <c r="K182" s="32">
        <v>44915.089930555558</v>
      </c>
      <c r="L182" s="8">
        <f t="shared" si="47"/>
        <v>7</v>
      </c>
      <c r="M182" s="7">
        <v>44920.089930555558</v>
      </c>
      <c r="N182" t="s">
        <v>72</v>
      </c>
      <c r="O182" s="34" t="s">
        <v>7474</v>
      </c>
      <c r="R182" s="32" t="s">
        <v>7472</v>
      </c>
      <c r="S182" t="s">
        <v>7476</v>
      </c>
      <c r="T182" s="34" t="s">
        <v>7476</v>
      </c>
      <c r="U182" s="34" t="s">
        <v>7476</v>
      </c>
      <c r="V182" s="32" t="s">
        <v>7476</v>
      </c>
      <c r="W182" s="32" t="s">
        <v>7476</v>
      </c>
      <c r="X182">
        <v>0</v>
      </c>
      <c r="Y182" s="34" t="s">
        <v>7476</v>
      </c>
      <c r="Z182" s="34" t="s">
        <v>7476</v>
      </c>
      <c r="AA182" s="34" t="s">
        <v>7476</v>
      </c>
      <c r="AB182" s="36" t="s">
        <v>7476</v>
      </c>
      <c r="AD182" t="s">
        <v>633</v>
      </c>
      <c r="AE182" t="s">
        <v>634</v>
      </c>
      <c r="AG182" t="s">
        <v>64</v>
      </c>
      <c r="AH182">
        <v>6</v>
      </c>
      <c r="AI182" s="8" t="str">
        <f>IFERROR(R182-AF182,"")</f>
        <v/>
      </c>
      <c r="AJ182" s="8" t="str">
        <f>IFERROR(O182-AF182,"")</f>
        <v/>
      </c>
      <c r="AK182" s="38" t="str">
        <f t="shared" si="48"/>
        <v/>
      </c>
      <c r="AL182" t="str">
        <f>IFERROR(Z182-W182,"")</f>
        <v/>
      </c>
      <c r="AM182" t="str">
        <f>IFERROR(R182-J182,"")</f>
        <v/>
      </c>
      <c r="AN182" t="str">
        <f>IFERROR(V182-O182,"")</f>
        <v/>
      </c>
      <c r="AO182">
        <f>IFERROR(J182-I182,"")</f>
        <v>4</v>
      </c>
      <c r="AP182">
        <f>IFERROR(AC182-X182,"")</f>
        <v>0</v>
      </c>
      <c r="AQ182" t="str">
        <f>IFERROR(AA182-W182,"")</f>
        <v/>
      </c>
    </row>
    <row r="183" spans="1:43" x14ac:dyDescent="0.35">
      <c r="A183">
        <v>500</v>
      </c>
      <c r="B183" t="s">
        <v>635</v>
      </c>
      <c r="C183" t="s">
        <v>202</v>
      </c>
      <c r="D183" t="str">
        <f t="shared" si="46"/>
        <v>Program Office</v>
      </c>
      <c r="E183" t="s">
        <v>332</v>
      </c>
      <c r="F183" t="s">
        <v>46</v>
      </c>
      <c r="G183" t="s">
        <v>333</v>
      </c>
      <c r="H183" t="s">
        <v>334</v>
      </c>
      <c r="I183" s="32">
        <v>45170.411724537043</v>
      </c>
      <c r="J183" s="32">
        <v>45172.411724537043</v>
      </c>
      <c r="K183" s="32">
        <v>45174.411724537043</v>
      </c>
      <c r="L183" s="8">
        <f t="shared" si="47"/>
        <v>4</v>
      </c>
      <c r="M183" s="7">
        <v>45203.411724537043</v>
      </c>
      <c r="N183" t="s">
        <v>49</v>
      </c>
      <c r="O183" s="34">
        <v>45185.411724537043</v>
      </c>
      <c r="P183" t="s">
        <v>50</v>
      </c>
      <c r="Q183" t="s">
        <v>125</v>
      </c>
      <c r="R183" s="32" t="s">
        <v>7472</v>
      </c>
      <c r="S183" t="s">
        <v>7476</v>
      </c>
      <c r="T183" s="34" t="s">
        <v>7476</v>
      </c>
      <c r="U183" s="34" t="s">
        <v>7476</v>
      </c>
      <c r="V183" s="32" t="s">
        <v>7476</v>
      </c>
      <c r="W183" s="32" t="s">
        <v>7476</v>
      </c>
      <c r="X183">
        <v>0</v>
      </c>
      <c r="Y183" s="34" t="s">
        <v>7476</v>
      </c>
      <c r="Z183" s="34" t="s">
        <v>7476</v>
      </c>
      <c r="AA183" s="34" t="s">
        <v>7476</v>
      </c>
      <c r="AB183" s="36" t="s">
        <v>52</v>
      </c>
      <c r="AD183" t="s">
        <v>636</v>
      </c>
      <c r="AE183" t="s">
        <v>637</v>
      </c>
      <c r="AF183" s="16">
        <v>45169</v>
      </c>
      <c r="AG183" t="s">
        <v>68</v>
      </c>
      <c r="AH183">
        <v>3</v>
      </c>
      <c r="AI183" s="8" t="str">
        <f>IFERROR(R183-AF183,"")</f>
        <v/>
      </c>
      <c r="AJ183" s="8">
        <f>IFERROR(O183-AF183,"")</f>
        <v>16.411724537043483</v>
      </c>
      <c r="AK183" s="38" t="str">
        <f t="shared" si="48"/>
        <v/>
      </c>
      <c r="AL183" t="str">
        <f>IFERROR(Z183-W183,"")</f>
        <v/>
      </c>
      <c r="AM183" t="str">
        <f>IFERROR(R183-J183,"")</f>
        <v/>
      </c>
      <c r="AN183" t="str">
        <f>IFERROR(V183-O183,"")</f>
        <v/>
      </c>
      <c r="AO183">
        <f>IFERROR(J183-I183,"")</f>
        <v>2</v>
      </c>
      <c r="AP183">
        <f>IFERROR(AC183-X183,"")</f>
        <v>0</v>
      </c>
      <c r="AQ183" t="str">
        <f>IFERROR(AA183-W183,"")</f>
        <v/>
      </c>
    </row>
    <row r="184" spans="1:43" x14ac:dyDescent="0.35">
      <c r="A184">
        <v>497</v>
      </c>
      <c r="B184" t="s">
        <v>638</v>
      </c>
      <c r="C184" t="s">
        <v>213</v>
      </c>
      <c r="D184" t="str">
        <f t="shared" si="46"/>
        <v>Program Office</v>
      </c>
      <c r="E184" t="s">
        <v>332</v>
      </c>
      <c r="F184" t="s">
        <v>46</v>
      </c>
      <c r="G184" t="s">
        <v>333</v>
      </c>
      <c r="H184" t="s">
        <v>334</v>
      </c>
      <c r="I184" s="32">
        <v>45170.411724537043</v>
      </c>
      <c r="J184" s="32">
        <v>45172.411724537043</v>
      </c>
      <c r="K184" s="32">
        <v>45174.411724537043</v>
      </c>
      <c r="L184" s="8">
        <f t="shared" si="47"/>
        <v>4</v>
      </c>
      <c r="M184" s="7">
        <v>45185.411724537043</v>
      </c>
      <c r="N184" t="s">
        <v>49</v>
      </c>
      <c r="O184" s="34">
        <v>45180.411724537043</v>
      </c>
      <c r="P184" t="s">
        <v>50</v>
      </c>
      <c r="Q184" t="s">
        <v>84</v>
      </c>
      <c r="R184" s="32" t="s">
        <v>7472</v>
      </c>
      <c r="S184" t="s">
        <v>7476</v>
      </c>
      <c r="T184" s="34" t="s">
        <v>7476</v>
      </c>
      <c r="U184" s="34" t="s">
        <v>7476</v>
      </c>
      <c r="V184" s="32">
        <v>45182.411724537043</v>
      </c>
      <c r="W184" s="32" t="s">
        <v>7476</v>
      </c>
      <c r="X184">
        <v>0</v>
      </c>
      <c r="Y184" s="34" t="s">
        <v>7476</v>
      </c>
      <c r="Z184" s="34" t="s">
        <v>7476</v>
      </c>
      <c r="AA184" s="34" t="s">
        <v>7476</v>
      </c>
      <c r="AB184" s="36" t="s">
        <v>52</v>
      </c>
      <c r="AD184" t="s">
        <v>639</v>
      </c>
      <c r="AE184" t="s">
        <v>640</v>
      </c>
      <c r="AF184" s="16">
        <v>45174</v>
      </c>
      <c r="AG184" t="s">
        <v>98</v>
      </c>
      <c r="AH184">
        <v>3</v>
      </c>
      <c r="AI184" s="8" t="str">
        <f>IFERROR(R184-AF184,"")</f>
        <v/>
      </c>
      <c r="AJ184" s="8">
        <f>IFERROR(O184-AF184,"")</f>
        <v>6.411724537043483</v>
      </c>
      <c r="AK184" s="38">
        <f t="shared" si="48"/>
        <v>45272.411724537043</v>
      </c>
      <c r="AL184" t="str">
        <f>IFERROR(Z184-W184,"")</f>
        <v/>
      </c>
      <c r="AM184" t="str">
        <f>IFERROR(R184-J184,"")</f>
        <v/>
      </c>
      <c r="AN184">
        <f>IFERROR(V184-O184,"")</f>
        <v>2</v>
      </c>
      <c r="AO184">
        <f>IFERROR(J184-I184,"")</f>
        <v>2</v>
      </c>
      <c r="AP184">
        <f>IFERROR(AC184-X184,"")</f>
        <v>0</v>
      </c>
      <c r="AQ184" t="str">
        <f>IFERROR(AA184-W184,"")</f>
        <v/>
      </c>
    </row>
    <row r="185" spans="1:43" x14ac:dyDescent="0.35">
      <c r="A185">
        <v>490</v>
      </c>
      <c r="B185" t="s">
        <v>641</v>
      </c>
      <c r="C185" t="s">
        <v>202</v>
      </c>
      <c r="D185" t="str">
        <f t="shared" si="46"/>
        <v>Program Office</v>
      </c>
      <c r="E185" t="s">
        <v>332</v>
      </c>
      <c r="F185" t="s">
        <v>46</v>
      </c>
      <c r="G185" t="s">
        <v>333</v>
      </c>
      <c r="H185" t="s">
        <v>334</v>
      </c>
      <c r="I185" s="32">
        <v>44936.566712962973</v>
      </c>
      <c r="J185" s="32" t="s">
        <v>7471</v>
      </c>
      <c r="K185" s="32">
        <v>44938.566712962973</v>
      </c>
      <c r="L185" s="8">
        <f t="shared" si="47"/>
        <v>2</v>
      </c>
      <c r="M185" s="7">
        <v>44965.566712962973</v>
      </c>
      <c r="N185" t="s">
        <v>72</v>
      </c>
      <c r="O185" s="34" t="s">
        <v>7474</v>
      </c>
      <c r="R185" s="32" t="s">
        <v>7472</v>
      </c>
      <c r="S185" t="s">
        <v>7476</v>
      </c>
      <c r="T185" s="34" t="s">
        <v>7476</v>
      </c>
      <c r="U185" s="34" t="s">
        <v>7476</v>
      </c>
      <c r="V185" s="32" t="s">
        <v>7476</v>
      </c>
      <c r="W185" s="32" t="s">
        <v>7476</v>
      </c>
      <c r="X185">
        <v>0</v>
      </c>
      <c r="Y185" s="34" t="s">
        <v>7476</v>
      </c>
      <c r="Z185" s="34" t="s">
        <v>7476</v>
      </c>
      <c r="AA185" s="34" t="s">
        <v>7476</v>
      </c>
      <c r="AB185" s="36" t="s">
        <v>7476</v>
      </c>
      <c r="AD185" t="s">
        <v>642</v>
      </c>
      <c r="AE185" t="s">
        <v>643</v>
      </c>
      <c r="AG185" t="s">
        <v>55</v>
      </c>
      <c r="AH185">
        <v>6</v>
      </c>
      <c r="AK185" s="38" t="str">
        <f t="shared" si="48"/>
        <v/>
      </c>
    </row>
    <row r="186" spans="1:43" x14ac:dyDescent="0.35">
      <c r="A186">
        <v>487</v>
      </c>
      <c r="B186" t="s">
        <v>644</v>
      </c>
      <c r="C186" t="s">
        <v>213</v>
      </c>
      <c r="D186" t="str">
        <f t="shared" si="46"/>
        <v>Program Office</v>
      </c>
      <c r="E186" t="s">
        <v>332</v>
      </c>
      <c r="F186" t="s">
        <v>46</v>
      </c>
      <c r="G186" t="s">
        <v>333</v>
      </c>
      <c r="H186" t="s">
        <v>334</v>
      </c>
      <c r="I186" s="32">
        <v>44930.566712962973</v>
      </c>
      <c r="J186" s="32">
        <v>44933.566712962973</v>
      </c>
      <c r="K186" s="32">
        <v>44938.566712962973</v>
      </c>
      <c r="L186" s="8">
        <f t="shared" si="47"/>
        <v>8</v>
      </c>
      <c r="M186" s="7">
        <v>44956.566712962973</v>
      </c>
      <c r="N186" t="s">
        <v>49</v>
      </c>
      <c r="O186" s="34">
        <v>44951.566712962973</v>
      </c>
      <c r="P186" t="s">
        <v>60</v>
      </c>
      <c r="R186" s="32">
        <v>44956.566712962973</v>
      </c>
      <c r="S186" t="s">
        <v>61</v>
      </c>
      <c r="T186" s="34" t="s">
        <v>7476</v>
      </c>
      <c r="U186" s="34" t="s">
        <v>7476</v>
      </c>
      <c r="V186" s="32">
        <v>44954.566712962973</v>
      </c>
      <c r="W186" s="32" t="s">
        <v>7476</v>
      </c>
      <c r="X186">
        <v>0</v>
      </c>
      <c r="Y186" s="34" t="s">
        <v>7476</v>
      </c>
      <c r="Z186" s="34" t="s">
        <v>7476</v>
      </c>
      <c r="AA186" s="34" t="s">
        <v>7476</v>
      </c>
      <c r="AB186" s="36" t="s">
        <v>7476</v>
      </c>
      <c r="AD186" t="s">
        <v>645</v>
      </c>
      <c r="AE186" t="s">
        <v>646</v>
      </c>
      <c r="AF186" s="16">
        <v>44935</v>
      </c>
      <c r="AG186" t="s">
        <v>68</v>
      </c>
      <c r="AH186">
        <v>6</v>
      </c>
      <c r="AI186" s="8">
        <f>IFERROR(R186-AF186,"")</f>
        <v>21.566712962972815</v>
      </c>
      <c r="AJ186" s="8">
        <f>IFERROR(O186-AF186,"")</f>
        <v>16.566712962972815</v>
      </c>
      <c r="AK186" s="38">
        <f t="shared" si="48"/>
        <v>45134.566712962973</v>
      </c>
      <c r="AL186" t="str">
        <f>IFERROR(Z186-W186,"")</f>
        <v/>
      </c>
      <c r="AM186">
        <f>IFERROR(R186-J186,"")</f>
        <v>23</v>
      </c>
      <c r="AN186">
        <f>IFERROR(V186-O186,"")</f>
        <v>3</v>
      </c>
      <c r="AO186">
        <f>IFERROR(J186-I186,"")</f>
        <v>3</v>
      </c>
      <c r="AP186">
        <f>IFERROR(AC186-X186,"")</f>
        <v>0</v>
      </c>
      <c r="AQ186" t="str">
        <f>IFERROR(AA186-W186,"")</f>
        <v/>
      </c>
    </row>
    <row r="187" spans="1:43" x14ac:dyDescent="0.35">
      <c r="A187">
        <v>479</v>
      </c>
      <c r="B187" t="s">
        <v>647</v>
      </c>
      <c r="C187" t="s">
        <v>202</v>
      </c>
      <c r="D187" t="str">
        <f t="shared" si="46"/>
        <v>Program Office</v>
      </c>
      <c r="E187" t="s">
        <v>332</v>
      </c>
      <c r="F187" t="s">
        <v>46</v>
      </c>
      <c r="G187" t="s">
        <v>333</v>
      </c>
      <c r="H187" t="s">
        <v>334</v>
      </c>
      <c r="I187" s="32">
        <v>44677.075752314813</v>
      </c>
      <c r="J187" s="32">
        <v>44678.075752314813</v>
      </c>
      <c r="K187" s="32">
        <v>44682.075752314813</v>
      </c>
      <c r="L187" s="8">
        <f t="shared" si="47"/>
        <v>5</v>
      </c>
      <c r="M187" s="7">
        <v>44694.075752314813</v>
      </c>
      <c r="N187" t="s">
        <v>49</v>
      </c>
      <c r="O187" s="34">
        <v>44694.075752314813</v>
      </c>
      <c r="P187" t="s">
        <v>50</v>
      </c>
      <c r="Q187" t="s">
        <v>51</v>
      </c>
      <c r="R187" s="32" t="s">
        <v>7472</v>
      </c>
      <c r="S187" t="s">
        <v>7476</v>
      </c>
      <c r="T187" s="34" t="s">
        <v>7476</v>
      </c>
      <c r="U187" s="34" t="s">
        <v>7476</v>
      </c>
      <c r="V187" s="32">
        <v>44696.075752314813</v>
      </c>
      <c r="W187" s="32" t="s">
        <v>7476</v>
      </c>
      <c r="X187">
        <v>0</v>
      </c>
      <c r="Y187" s="34" t="s">
        <v>7476</v>
      </c>
      <c r="Z187" s="34" t="s">
        <v>7476</v>
      </c>
      <c r="AA187" s="34" t="s">
        <v>7476</v>
      </c>
      <c r="AB187" s="36" t="s">
        <v>52</v>
      </c>
      <c r="AD187" t="s">
        <v>648</v>
      </c>
      <c r="AE187" t="s">
        <v>649</v>
      </c>
      <c r="AF187" s="16">
        <v>44676</v>
      </c>
      <c r="AG187" t="s">
        <v>64</v>
      </c>
      <c r="AH187">
        <v>6</v>
      </c>
      <c r="AI187" s="8" t="str">
        <f>IFERROR(R187-AF187,"")</f>
        <v/>
      </c>
      <c r="AJ187" s="8">
        <f>IFERROR(O187-AF187,"")</f>
        <v>18.075752314813144</v>
      </c>
      <c r="AK187" s="38">
        <f t="shared" si="48"/>
        <v>44876.075752314813</v>
      </c>
      <c r="AL187" t="str">
        <f>IFERROR(Z187-W187,"")</f>
        <v/>
      </c>
      <c r="AM187" t="str">
        <f>IFERROR(R187-J187,"")</f>
        <v/>
      </c>
      <c r="AN187">
        <f>IFERROR(V187-O187,"")</f>
        <v>2</v>
      </c>
      <c r="AO187">
        <f>IFERROR(J187-I187,"")</f>
        <v>1</v>
      </c>
      <c r="AP187">
        <f>IFERROR(AC187-X187,"")</f>
        <v>0</v>
      </c>
      <c r="AQ187" t="str">
        <f>IFERROR(AA187-W187,"")</f>
        <v/>
      </c>
    </row>
    <row r="188" spans="1:43" x14ac:dyDescent="0.35">
      <c r="A188">
        <v>389</v>
      </c>
      <c r="B188" t="s">
        <v>650</v>
      </c>
      <c r="C188" t="s">
        <v>202</v>
      </c>
      <c r="D188" t="str">
        <f t="shared" si="46"/>
        <v>Program Office</v>
      </c>
      <c r="E188" t="s">
        <v>332</v>
      </c>
      <c r="F188" t="s">
        <v>46</v>
      </c>
      <c r="G188" t="s">
        <v>333</v>
      </c>
      <c r="H188" t="s">
        <v>334</v>
      </c>
      <c r="I188" s="32">
        <v>44873.3830787037</v>
      </c>
      <c r="J188" s="32">
        <v>44876.3830787037</v>
      </c>
      <c r="K188" s="32">
        <v>44878.3830787037</v>
      </c>
      <c r="L188" s="8">
        <f t="shared" si="47"/>
        <v>5</v>
      </c>
      <c r="M188" s="7">
        <v>44891.3830787037</v>
      </c>
      <c r="N188" t="s">
        <v>49</v>
      </c>
      <c r="O188" s="34">
        <v>44882.3830787037</v>
      </c>
      <c r="P188" t="s">
        <v>101</v>
      </c>
      <c r="R188" s="32">
        <v>44884.3830787037</v>
      </c>
      <c r="S188" t="s">
        <v>101</v>
      </c>
      <c r="T188" s="34">
        <v>44884.3830787037</v>
      </c>
      <c r="U188" s="34">
        <v>44885.3830787037</v>
      </c>
      <c r="V188" s="32">
        <v>44883.3830787037</v>
      </c>
      <c r="W188" s="32">
        <v>44888.3830787037</v>
      </c>
      <c r="X188">
        <v>1</v>
      </c>
      <c r="Y188" s="34">
        <v>44891.3830787037</v>
      </c>
      <c r="Z188" s="34">
        <v>44893.3830787037</v>
      </c>
      <c r="AA188" s="34">
        <v>44895.3830787037</v>
      </c>
      <c r="AB188" s="36" t="s">
        <v>7476</v>
      </c>
      <c r="AC188" s="10">
        <v>44906.3830787037</v>
      </c>
      <c r="AD188" t="s">
        <v>651</v>
      </c>
      <c r="AE188" t="s">
        <v>652</v>
      </c>
      <c r="AF188" s="16">
        <v>44906</v>
      </c>
      <c r="AG188" t="s">
        <v>68</v>
      </c>
      <c r="AH188">
        <v>6</v>
      </c>
      <c r="AI188" s="8">
        <f>IFERROR(R188-AF188,"")</f>
        <v>-21.616921296299552</v>
      </c>
      <c r="AJ188" s="8">
        <f>IFERROR(O188-AF188,"")</f>
        <v>-23.616921296299552</v>
      </c>
      <c r="AK188" s="38">
        <f t="shared" si="48"/>
        <v>45063.3830787037</v>
      </c>
      <c r="AL188">
        <f>IFERROR(Z188-W188,"")</f>
        <v>5</v>
      </c>
      <c r="AM188">
        <f>IFERROR(R188-J188,"")</f>
        <v>8</v>
      </c>
      <c r="AN188">
        <f>IFERROR(V188-O188,"")</f>
        <v>1</v>
      </c>
      <c r="AO188">
        <f>IFERROR(J188-I188,"")</f>
        <v>3</v>
      </c>
      <c r="AP188">
        <f>IFERROR(AC188-X188,"")</f>
        <v>44905.3830787037</v>
      </c>
      <c r="AQ188">
        <f>IFERROR(AA188-W188,"")</f>
        <v>7</v>
      </c>
    </row>
    <row r="189" spans="1:43" x14ac:dyDescent="0.35">
      <c r="A189">
        <v>380</v>
      </c>
      <c r="B189" t="s">
        <v>653</v>
      </c>
      <c r="C189" t="s">
        <v>202</v>
      </c>
      <c r="D189" t="str">
        <f t="shared" si="46"/>
        <v>Program Office</v>
      </c>
      <c r="E189" t="s">
        <v>332</v>
      </c>
      <c r="F189" t="s">
        <v>46</v>
      </c>
      <c r="G189" t="s">
        <v>333</v>
      </c>
      <c r="H189" t="s">
        <v>334</v>
      </c>
      <c r="I189" s="32">
        <v>44664.356712962966</v>
      </c>
      <c r="J189" s="32" t="s">
        <v>7471</v>
      </c>
      <c r="K189" s="32">
        <v>44670.356712962966</v>
      </c>
      <c r="L189" s="8">
        <f t="shared" si="47"/>
        <v>6</v>
      </c>
      <c r="M189" s="7">
        <v>44700.356712962966</v>
      </c>
      <c r="N189" t="s">
        <v>49</v>
      </c>
      <c r="O189" s="34">
        <v>44678.356712962966</v>
      </c>
      <c r="P189" t="s">
        <v>50</v>
      </c>
      <c r="Q189" t="s">
        <v>84</v>
      </c>
      <c r="R189" s="32" t="s">
        <v>7472</v>
      </c>
      <c r="S189" t="s">
        <v>7476</v>
      </c>
      <c r="T189" s="34" t="s">
        <v>7476</v>
      </c>
      <c r="U189" s="34" t="s">
        <v>7476</v>
      </c>
      <c r="V189" s="32" t="s">
        <v>7476</v>
      </c>
      <c r="W189" s="32" t="s">
        <v>7476</v>
      </c>
      <c r="X189">
        <v>0</v>
      </c>
      <c r="Y189" s="34" t="s">
        <v>7476</v>
      </c>
      <c r="Z189" s="34" t="s">
        <v>7476</v>
      </c>
      <c r="AA189" s="34" t="s">
        <v>7476</v>
      </c>
      <c r="AB189" s="36" t="s">
        <v>52</v>
      </c>
      <c r="AD189" t="s">
        <v>654</v>
      </c>
      <c r="AE189" t="s">
        <v>655</v>
      </c>
      <c r="AF189" s="16">
        <v>44665</v>
      </c>
      <c r="AG189" t="s">
        <v>75</v>
      </c>
      <c r="AH189">
        <v>3</v>
      </c>
      <c r="AK189" s="38" t="str">
        <f t="shared" si="48"/>
        <v/>
      </c>
    </row>
    <row r="190" spans="1:43" x14ac:dyDescent="0.35">
      <c r="A190">
        <v>376</v>
      </c>
      <c r="B190" t="s">
        <v>656</v>
      </c>
      <c r="C190" t="s">
        <v>202</v>
      </c>
      <c r="D190" t="str">
        <f t="shared" si="46"/>
        <v>Program Office</v>
      </c>
      <c r="E190" t="s">
        <v>332</v>
      </c>
      <c r="F190" t="s">
        <v>70</v>
      </c>
      <c r="G190" t="s">
        <v>657</v>
      </c>
      <c r="H190" t="s">
        <v>334</v>
      </c>
      <c r="I190" s="32">
        <v>44661.356712962966</v>
      </c>
      <c r="J190" s="32">
        <v>44664.356712962966</v>
      </c>
      <c r="K190" s="32">
        <v>44670.356712962966</v>
      </c>
      <c r="L190" s="8">
        <f t="shared" si="47"/>
        <v>9</v>
      </c>
      <c r="M190" s="7">
        <v>44691.356712962966</v>
      </c>
      <c r="N190" t="s">
        <v>72</v>
      </c>
      <c r="O190" s="34" t="s">
        <v>7474</v>
      </c>
      <c r="R190" s="32" t="s">
        <v>7472</v>
      </c>
      <c r="S190" t="s">
        <v>7476</v>
      </c>
      <c r="T190" s="34" t="s">
        <v>7476</v>
      </c>
      <c r="U190" s="34" t="s">
        <v>7476</v>
      </c>
      <c r="V190" s="32" t="s">
        <v>7476</v>
      </c>
      <c r="W190" s="32" t="s">
        <v>7476</v>
      </c>
      <c r="X190">
        <v>0</v>
      </c>
      <c r="Y190" s="34" t="s">
        <v>7476</v>
      </c>
      <c r="Z190" s="34" t="s">
        <v>7476</v>
      </c>
      <c r="AA190" s="34" t="s">
        <v>7476</v>
      </c>
      <c r="AB190" s="36" t="s">
        <v>7476</v>
      </c>
      <c r="AD190" t="s">
        <v>658</v>
      </c>
      <c r="AE190" t="s">
        <v>659</v>
      </c>
      <c r="AG190" t="s">
        <v>68</v>
      </c>
      <c r="AH190">
        <v>6</v>
      </c>
      <c r="AI190" s="8" t="str">
        <f t="shared" ref="AI190:AI195" si="65">IFERROR(R190-AF190,"")</f>
        <v/>
      </c>
      <c r="AJ190" s="8" t="str">
        <f t="shared" ref="AJ190:AJ195" si="66">IFERROR(O190-AF190,"")</f>
        <v/>
      </c>
      <c r="AK190" s="38" t="str">
        <f t="shared" si="48"/>
        <v/>
      </c>
      <c r="AL190" t="str">
        <f t="shared" ref="AL190:AL195" si="67">IFERROR(Z190-W190,"")</f>
        <v/>
      </c>
      <c r="AM190" t="str">
        <f t="shared" ref="AM190:AM195" si="68">IFERROR(R190-J190,"")</f>
        <v/>
      </c>
      <c r="AN190" t="str">
        <f t="shared" ref="AN190:AN195" si="69">IFERROR(V190-O190,"")</f>
        <v/>
      </c>
      <c r="AO190">
        <f t="shared" ref="AO190:AO195" si="70">IFERROR(J190-I190,"")</f>
        <v>3</v>
      </c>
      <c r="AP190">
        <f t="shared" ref="AP190:AP195" si="71">IFERROR(AC190-X190,"")</f>
        <v>0</v>
      </c>
      <c r="AQ190" t="str">
        <f t="shared" ref="AQ190:AQ195" si="72">IFERROR(AA190-W190,"")</f>
        <v/>
      </c>
    </row>
    <row r="191" spans="1:43" x14ac:dyDescent="0.35">
      <c r="A191">
        <v>320</v>
      </c>
      <c r="B191" t="s">
        <v>660</v>
      </c>
      <c r="C191" t="s">
        <v>213</v>
      </c>
      <c r="D191" t="str">
        <f t="shared" si="46"/>
        <v>Program Office</v>
      </c>
      <c r="E191" t="s">
        <v>332</v>
      </c>
      <c r="F191" t="s">
        <v>70</v>
      </c>
      <c r="G191" t="s">
        <v>657</v>
      </c>
      <c r="H191" t="s">
        <v>334</v>
      </c>
      <c r="I191" s="32">
        <v>44987.608946759261</v>
      </c>
      <c r="J191" s="32">
        <v>44990.608946759261</v>
      </c>
      <c r="K191" s="32">
        <v>44991.608946759261</v>
      </c>
      <c r="L191" s="8">
        <f t="shared" si="47"/>
        <v>4</v>
      </c>
      <c r="M191" s="7">
        <v>45000.608946759261</v>
      </c>
      <c r="N191" t="s">
        <v>72</v>
      </c>
      <c r="O191" s="34" t="s">
        <v>7474</v>
      </c>
      <c r="R191" s="32" t="s">
        <v>7472</v>
      </c>
      <c r="S191" t="s">
        <v>7476</v>
      </c>
      <c r="T191" s="34" t="s">
        <v>7476</v>
      </c>
      <c r="U191" s="34" t="s">
        <v>7476</v>
      </c>
      <c r="V191" s="32" t="s">
        <v>7476</v>
      </c>
      <c r="W191" s="32" t="s">
        <v>7476</v>
      </c>
      <c r="X191">
        <v>0</v>
      </c>
      <c r="Y191" s="34" t="s">
        <v>7476</v>
      </c>
      <c r="Z191" s="34" t="s">
        <v>7476</v>
      </c>
      <c r="AA191" s="34" t="s">
        <v>7476</v>
      </c>
      <c r="AB191" s="36" t="s">
        <v>7476</v>
      </c>
      <c r="AD191" t="s">
        <v>661</v>
      </c>
      <c r="AE191" t="s">
        <v>662</v>
      </c>
      <c r="AG191" t="s">
        <v>68</v>
      </c>
      <c r="AH191">
        <v>6</v>
      </c>
      <c r="AI191" s="8" t="str">
        <f t="shared" si="65"/>
        <v/>
      </c>
      <c r="AJ191" s="8" t="str">
        <f t="shared" si="66"/>
        <v/>
      </c>
      <c r="AK191" s="38" t="str">
        <f t="shared" si="48"/>
        <v/>
      </c>
      <c r="AL191" t="str">
        <f t="shared" si="67"/>
        <v/>
      </c>
      <c r="AM191" t="str">
        <f t="shared" si="68"/>
        <v/>
      </c>
      <c r="AN191" t="str">
        <f t="shared" si="69"/>
        <v/>
      </c>
      <c r="AO191">
        <f t="shared" si="70"/>
        <v>3</v>
      </c>
      <c r="AP191">
        <f t="shared" si="71"/>
        <v>0</v>
      </c>
      <c r="AQ191" t="str">
        <f t="shared" si="72"/>
        <v/>
      </c>
    </row>
    <row r="192" spans="1:43" x14ac:dyDescent="0.35">
      <c r="A192">
        <v>319</v>
      </c>
      <c r="B192" t="s">
        <v>663</v>
      </c>
      <c r="C192" t="s">
        <v>202</v>
      </c>
      <c r="D192" t="str">
        <f t="shared" si="46"/>
        <v>Program Office</v>
      </c>
      <c r="E192" t="s">
        <v>332</v>
      </c>
      <c r="F192" t="s">
        <v>70</v>
      </c>
      <c r="G192" t="s">
        <v>657</v>
      </c>
      <c r="H192" t="s">
        <v>334</v>
      </c>
      <c r="I192" s="32">
        <v>44986.608946759261</v>
      </c>
      <c r="J192" s="32">
        <v>44990.608946759261</v>
      </c>
      <c r="K192" s="32">
        <v>44991.608946759261</v>
      </c>
      <c r="L192" s="8">
        <f t="shared" si="47"/>
        <v>5</v>
      </c>
      <c r="M192" s="7">
        <v>44999.608946759261</v>
      </c>
      <c r="N192" t="s">
        <v>49</v>
      </c>
      <c r="O192" s="34">
        <v>45005.608946759261</v>
      </c>
      <c r="P192" t="s">
        <v>50</v>
      </c>
      <c r="Q192" t="s">
        <v>51</v>
      </c>
      <c r="R192" s="32" t="s">
        <v>7472</v>
      </c>
      <c r="S192" t="s">
        <v>7476</v>
      </c>
      <c r="T192" s="34" t="s">
        <v>7476</v>
      </c>
      <c r="U192" s="34" t="s">
        <v>7476</v>
      </c>
      <c r="V192" s="32" t="s">
        <v>7476</v>
      </c>
      <c r="W192" s="32" t="s">
        <v>7476</v>
      </c>
      <c r="X192">
        <v>0</v>
      </c>
      <c r="Y192" s="34" t="s">
        <v>7476</v>
      </c>
      <c r="Z192" s="34" t="s">
        <v>7476</v>
      </c>
      <c r="AA192" s="34" t="s">
        <v>7476</v>
      </c>
      <c r="AB192" s="36" t="s">
        <v>52</v>
      </c>
      <c r="AD192" t="s">
        <v>664</v>
      </c>
      <c r="AE192" t="s">
        <v>665</v>
      </c>
      <c r="AF192" s="16">
        <v>45233</v>
      </c>
      <c r="AG192" t="s">
        <v>98</v>
      </c>
      <c r="AH192">
        <v>3</v>
      </c>
      <c r="AI192" s="8" t="str">
        <f t="shared" si="65"/>
        <v/>
      </c>
      <c r="AJ192" s="8">
        <f t="shared" si="66"/>
        <v>-227.39105324073898</v>
      </c>
      <c r="AK192" s="38" t="str">
        <f t="shared" si="48"/>
        <v/>
      </c>
      <c r="AL192" t="str">
        <f t="shared" si="67"/>
        <v/>
      </c>
      <c r="AM192" t="str">
        <f t="shared" si="68"/>
        <v/>
      </c>
      <c r="AN192" t="str">
        <f t="shared" si="69"/>
        <v/>
      </c>
      <c r="AO192">
        <f t="shared" si="70"/>
        <v>4</v>
      </c>
      <c r="AP192">
        <f t="shared" si="71"/>
        <v>0</v>
      </c>
      <c r="AQ192" t="str">
        <f t="shared" si="72"/>
        <v/>
      </c>
    </row>
    <row r="193" spans="1:43" x14ac:dyDescent="0.35">
      <c r="A193">
        <v>317</v>
      </c>
      <c r="B193" t="s">
        <v>666</v>
      </c>
      <c r="C193" t="s">
        <v>213</v>
      </c>
      <c r="D193" t="str">
        <f t="shared" si="46"/>
        <v>Program Office</v>
      </c>
      <c r="E193" t="s">
        <v>332</v>
      </c>
      <c r="F193" t="s">
        <v>70</v>
      </c>
      <c r="G193" t="s">
        <v>657</v>
      </c>
      <c r="H193" t="s">
        <v>334</v>
      </c>
      <c r="I193" s="32">
        <v>44984.608946759261</v>
      </c>
      <c r="J193" s="32">
        <v>44987.608946759261</v>
      </c>
      <c r="K193" s="32">
        <v>44991.608946759261</v>
      </c>
      <c r="L193" s="8">
        <f t="shared" si="47"/>
        <v>7</v>
      </c>
      <c r="M193" s="7">
        <v>45019.608946759261</v>
      </c>
      <c r="N193" t="s">
        <v>49</v>
      </c>
      <c r="O193" s="34">
        <v>45000.608946759261</v>
      </c>
      <c r="P193" t="s">
        <v>60</v>
      </c>
      <c r="R193" s="32">
        <v>45005.608946759261</v>
      </c>
      <c r="S193" t="s">
        <v>61</v>
      </c>
      <c r="T193" s="34" t="s">
        <v>7476</v>
      </c>
      <c r="U193" s="34" t="s">
        <v>7476</v>
      </c>
      <c r="V193" s="32">
        <v>45004.608946759261</v>
      </c>
      <c r="W193" s="32" t="s">
        <v>7476</v>
      </c>
      <c r="X193">
        <v>0</v>
      </c>
      <c r="Y193" s="34" t="s">
        <v>7476</v>
      </c>
      <c r="Z193" s="34" t="s">
        <v>7476</v>
      </c>
      <c r="AA193" s="34" t="s">
        <v>7476</v>
      </c>
      <c r="AB193" s="36" t="s">
        <v>7476</v>
      </c>
      <c r="AD193" t="s">
        <v>667</v>
      </c>
      <c r="AE193" t="s">
        <v>668</v>
      </c>
      <c r="AF193" s="16">
        <v>44994</v>
      </c>
      <c r="AG193" t="s">
        <v>68</v>
      </c>
      <c r="AH193">
        <v>6</v>
      </c>
      <c r="AI193" s="8">
        <f t="shared" si="65"/>
        <v>11.608946759261016</v>
      </c>
      <c r="AJ193" s="8">
        <f t="shared" si="66"/>
        <v>6.6089467592610163</v>
      </c>
      <c r="AK193" s="38">
        <f t="shared" si="48"/>
        <v>45184.608946759261</v>
      </c>
      <c r="AL193" t="str">
        <f t="shared" si="67"/>
        <v/>
      </c>
      <c r="AM193">
        <f t="shared" si="68"/>
        <v>18</v>
      </c>
      <c r="AN193">
        <f t="shared" si="69"/>
        <v>4</v>
      </c>
      <c r="AO193">
        <f t="shared" si="70"/>
        <v>3</v>
      </c>
      <c r="AP193">
        <f t="shared" si="71"/>
        <v>0</v>
      </c>
      <c r="AQ193" t="str">
        <f t="shared" si="72"/>
        <v/>
      </c>
    </row>
    <row r="194" spans="1:43" x14ac:dyDescent="0.35">
      <c r="A194">
        <v>188</v>
      </c>
      <c r="B194" t="s">
        <v>669</v>
      </c>
      <c r="C194" t="s">
        <v>213</v>
      </c>
      <c r="D194" t="str">
        <f t="shared" ref="D194:D257" si="73">TRIM(C194)</f>
        <v>Program Office</v>
      </c>
      <c r="E194" t="s">
        <v>332</v>
      </c>
      <c r="F194" t="s">
        <v>70</v>
      </c>
      <c r="G194" t="s">
        <v>657</v>
      </c>
      <c r="H194" t="s">
        <v>334</v>
      </c>
      <c r="I194" s="32">
        <v>44832.301365740743</v>
      </c>
      <c r="J194" s="32">
        <v>44833.301365740743</v>
      </c>
      <c r="K194" s="32">
        <v>44835.301365740743</v>
      </c>
      <c r="L194" s="8">
        <f t="shared" ref="L194:L257" si="74">IFERROR(K194-I194,"")</f>
        <v>3</v>
      </c>
      <c r="M194" s="7">
        <v>44862.301365740743</v>
      </c>
      <c r="N194" t="s">
        <v>49</v>
      </c>
      <c r="O194" s="34">
        <v>44837.301365740743</v>
      </c>
      <c r="P194" t="s">
        <v>60</v>
      </c>
      <c r="R194" s="32">
        <v>44841.301365740743</v>
      </c>
      <c r="S194" t="s">
        <v>61</v>
      </c>
      <c r="T194" s="34" t="s">
        <v>7476</v>
      </c>
      <c r="U194" s="34" t="s">
        <v>7476</v>
      </c>
      <c r="V194" s="32">
        <v>44840.301365740743</v>
      </c>
      <c r="W194" s="32" t="s">
        <v>7476</v>
      </c>
      <c r="X194">
        <v>0</v>
      </c>
      <c r="Y194" s="34" t="s">
        <v>7476</v>
      </c>
      <c r="Z194" s="34" t="s">
        <v>7476</v>
      </c>
      <c r="AA194" s="34" t="s">
        <v>7476</v>
      </c>
      <c r="AB194" s="36" t="s">
        <v>7476</v>
      </c>
      <c r="AD194" t="s">
        <v>670</v>
      </c>
      <c r="AE194" t="s">
        <v>671</v>
      </c>
      <c r="AF194" s="16">
        <v>44818</v>
      </c>
      <c r="AG194" t="s">
        <v>68</v>
      </c>
      <c r="AH194">
        <v>6</v>
      </c>
      <c r="AI194" s="8">
        <f t="shared" si="65"/>
        <v>23.301365740742767</v>
      </c>
      <c r="AJ194" s="8">
        <f t="shared" si="66"/>
        <v>19.301365740742767</v>
      </c>
      <c r="AK194" s="38">
        <f t="shared" si="48"/>
        <v>45020.301365740743</v>
      </c>
      <c r="AL194" t="str">
        <f t="shared" si="67"/>
        <v/>
      </c>
      <c r="AM194">
        <f t="shared" si="68"/>
        <v>8</v>
      </c>
      <c r="AN194">
        <f t="shared" si="69"/>
        <v>3</v>
      </c>
      <c r="AO194">
        <f t="shared" si="70"/>
        <v>1</v>
      </c>
      <c r="AP194">
        <f t="shared" si="71"/>
        <v>0</v>
      </c>
      <c r="AQ194" t="str">
        <f t="shared" si="72"/>
        <v/>
      </c>
    </row>
    <row r="195" spans="1:43" x14ac:dyDescent="0.35">
      <c r="A195">
        <v>135</v>
      </c>
      <c r="B195" t="s">
        <v>672</v>
      </c>
      <c r="C195" t="s">
        <v>202</v>
      </c>
      <c r="D195" t="str">
        <f t="shared" si="73"/>
        <v>Program Office</v>
      </c>
      <c r="E195" t="s">
        <v>332</v>
      </c>
      <c r="F195" t="s">
        <v>70</v>
      </c>
      <c r="G195" t="s">
        <v>657</v>
      </c>
      <c r="H195" t="s">
        <v>334</v>
      </c>
      <c r="I195" s="32">
        <v>44764.802951388891</v>
      </c>
      <c r="J195" s="32">
        <v>44765.802951388891</v>
      </c>
      <c r="K195" s="32">
        <v>44769.802951388891</v>
      </c>
      <c r="L195" s="8">
        <f t="shared" si="74"/>
        <v>5</v>
      </c>
      <c r="M195" s="7">
        <v>44775.802951388891</v>
      </c>
      <c r="N195" t="s">
        <v>49</v>
      </c>
      <c r="O195" s="34">
        <v>44775.802951388891</v>
      </c>
      <c r="P195" t="s">
        <v>50</v>
      </c>
      <c r="Q195" t="s">
        <v>51</v>
      </c>
      <c r="R195" s="32" t="s">
        <v>7472</v>
      </c>
      <c r="S195" t="s">
        <v>7476</v>
      </c>
      <c r="T195" s="34" t="s">
        <v>7476</v>
      </c>
      <c r="U195" s="34" t="s">
        <v>7476</v>
      </c>
      <c r="V195" s="32" t="s">
        <v>7476</v>
      </c>
      <c r="W195" s="32" t="s">
        <v>7476</v>
      </c>
      <c r="X195">
        <v>0</v>
      </c>
      <c r="Y195" s="34" t="s">
        <v>7476</v>
      </c>
      <c r="Z195" s="34" t="s">
        <v>7476</v>
      </c>
      <c r="AA195" s="34" t="s">
        <v>7476</v>
      </c>
      <c r="AB195" s="36" t="s">
        <v>95</v>
      </c>
      <c r="AD195" t="s">
        <v>673</v>
      </c>
      <c r="AE195" t="s">
        <v>674</v>
      </c>
      <c r="AF195" s="16">
        <v>44770</v>
      </c>
      <c r="AG195" t="s">
        <v>64</v>
      </c>
      <c r="AH195">
        <v>6</v>
      </c>
      <c r="AI195" s="8" t="str">
        <f t="shared" si="65"/>
        <v/>
      </c>
      <c r="AJ195" s="8">
        <f t="shared" si="66"/>
        <v>5.8029513888905058</v>
      </c>
      <c r="AK195" s="38" t="str">
        <f t="shared" ref="AK195:AK258" si="75">IFERROR(V195+(AH195*30),"")</f>
        <v/>
      </c>
      <c r="AL195" t="str">
        <f t="shared" si="67"/>
        <v/>
      </c>
      <c r="AM195" t="str">
        <f t="shared" si="68"/>
        <v/>
      </c>
      <c r="AN195" t="str">
        <f t="shared" si="69"/>
        <v/>
      </c>
      <c r="AO195">
        <f t="shared" si="70"/>
        <v>1</v>
      </c>
      <c r="AP195">
        <f t="shared" si="71"/>
        <v>0</v>
      </c>
      <c r="AQ195" t="str">
        <f t="shared" si="72"/>
        <v/>
      </c>
    </row>
    <row r="196" spans="1:43" x14ac:dyDescent="0.35">
      <c r="A196">
        <v>65</v>
      </c>
      <c r="B196" t="s">
        <v>675</v>
      </c>
      <c r="C196" t="s">
        <v>213</v>
      </c>
      <c r="D196" t="str">
        <f t="shared" si="73"/>
        <v>Program Office</v>
      </c>
      <c r="E196" t="s">
        <v>332</v>
      </c>
      <c r="F196" t="s">
        <v>70</v>
      </c>
      <c r="G196" t="s">
        <v>657</v>
      </c>
      <c r="H196" t="s">
        <v>334</v>
      </c>
      <c r="I196" s="32">
        <v>45167.755949074082</v>
      </c>
      <c r="J196" s="32">
        <v>45168.755949074082</v>
      </c>
      <c r="K196" s="32" t="s">
        <v>7473</v>
      </c>
      <c r="L196" s="8" t="str">
        <f t="shared" si="74"/>
        <v/>
      </c>
      <c r="M196" s="7">
        <v>45182.755949074082</v>
      </c>
      <c r="N196" t="s">
        <v>49</v>
      </c>
      <c r="O196" s="34">
        <v>45175.755949074082</v>
      </c>
      <c r="P196" t="s">
        <v>392</v>
      </c>
      <c r="R196" s="32">
        <v>45182.755949074082</v>
      </c>
      <c r="S196" t="s">
        <v>392</v>
      </c>
      <c r="T196" s="34" t="s">
        <v>7476</v>
      </c>
      <c r="U196" s="34" t="s">
        <v>7476</v>
      </c>
      <c r="V196" s="32">
        <v>45179.755949074082</v>
      </c>
      <c r="W196" s="32" t="s">
        <v>7476</v>
      </c>
      <c r="X196">
        <v>0</v>
      </c>
      <c r="Y196" s="34" t="s">
        <v>7476</v>
      </c>
      <c r="Z196" s="34" t="s">
        <v>7476</v>
      </c>
      <c r="AA196" s="34" t="s">
        <v>7476</v>
      </c>
      <c r="AB196" s="36" t="s">
        <v>7476</v>
      </c>
      <c r="AD196" t="s">
        <v>676</v>
      </c>
      <c r="AE196" t="s">
        <v>677</v>
      </c>
      <c r="AF196" s="16">
        <v>45157</v>
      </c>
      <c r="AG196" t="s">
        <v>93</v>
      </c>
      <c r="AH196">
        <v>6</v>
      </c>
      <c r="AK196" s="38">
        <f t="shared" si="75"/>
        <v>45359.755949074082</v>
      </c>
    </row>
    <row r="197" spans="1:43" x14ac:dyDescent="0.35">
      <c r="A197">
        <v>64</v>
      </c>
      <c r="B197" t="s">
        <v>678</v>
      </c>
      <c r="C197" t="s">
        <v>213</v>
      </c>
      <c r="D197" t="str">
        <f t="shared" si="73"/>
        <v>Program Office</v>
      </c>
      <c r="E197" t="s">
        <v>332</v>
      </c>
      <c r="F197" t="s">
        <v>70</v>
      </c>
      <c r="G197" t="s">
        <v>657</v>
      </c>
      <c r="H197" t="s">
        <v>334</v>
      </c>
      <c r="I197" s="32">
        <v>45163.755949074082</v>
      </c>
      <c r="J197" s="32">
        <v>45164.755949074082</v>
      </c>
      <c r="K197" s="32">
        <v>45170.755949074082</v>
      </c>
      <c r="L197" s="8">
        <f t="shared" si="74"/>
        <v>7</v>
      </c>
      <c r="M197" s="7">
        <v>45190.755949074082</v>
      </c>
      <c r="N197" t="s">
        <v>72</v>
      </c>
      <c r="O197" s="34" t="s">
        <v>7474</v>
      </c>
      <c r="R197" s="32" t="s">
        <v>7472</v>
      </c>
      <c r="S197" t="s">
        <v>7476</v>
      </c>
      <c r="T197" s="34" t="s">
        <v>7476</v>
      </c>
      <c r="U197" s="34" t="s">
        <v>7476</v>
      </c>
      <c r="V197" s="32" t="s">
        <v>7476</v>
      </c>
      <c r="W197" s="32" t="s">
        <v>7476</v>
      </c>
      <c r="X197">
        <v>0</v>
      </c>
      <c r="Y197" s="34" t="s">
        <v>7476</v>
      </c>
      <c r="Z197" s="34" t="s">
        <v>7476</v>
      </c>
      <c r="AA197" s="34" t="s">
        <v>7476</v>
      </c>
      <c r="AB197" s="36" t="s">
        <v>7476</v>
      </c>
      <c r="AD197" t="s">
        <v>679</v>
      </c>
      <c r="AE197" t="s">
        <v>680</v>
      </c>
      <c r="AG197" t="s">
        <v>98</v>
      </c>
      <c r="AH197">
        <v>3</v>
      </c>
      <c r="AI197" s="8" t="str">
        <f>IFERROR(R197-AF197,"")</f>
        <v/>
      </c>
      <c r="AJ197" s="8" t="str">
        <f>IFERROR(O197-AF197,"")</f>
        <v/>
      </c>
      <c r="AK197" s="38" t="str">
        <f t="shared" si="75"/>
        <v/>
      </c>
      <c r="AL197" t="str">
        <f>IFERROR(Z197-W197,"")</f>
        <v/>
      </c>
      <c r="AM197" t="str">
        <f>IFERROR(R197-J197,"")</f>
        <v/>
      </c>
      <c r="AN197" t="str">
        <f>IFERROR(V197-O197,"")</f>
        <v/>
      </c>
      <c r="AO197">
        <f>IFERROR(J197-I197,"")</f>
        <v>1</v>
      </c>
      <c r="AP197">
        <f>IFERROR(AC197-X197,"")</f>
        <v>0</v>
      </c>
      <c r="AQ197" t="str">
        <f>IFERROR(AA197-W197,"")</f>
        <v/>
      </c>
    </row>
    <row r="198" spans="1:43" x14ac:dyDescent="0.35">
      <c r="A198">
        <v>61</v>
      </c>
      <c r="B198" t="s">
        <v>681</v>
      </c>
      <c r="C198" t="s">
        <v>213</v>
      </c>
      <c r="D198" t="str">
        <f t="shared" si="73"/>
        <v>Program Office</v>
      </c>
      <c r="E198" t="s">
        <v>332</v>
      </c>
      <c r="F198" t="s">
        <v>70</v>
      </c>
      <c r="G198" t="s">
        <v>657</v>
      </c>
      <c r="H198" t="s">
        <v>334</v>
      </c>
      <c r="I198" s="32">
        <v>45162.755949074082</v>
      </c>
      <c r="J198" s="32">
        <v>45165.755949074082</v>
      </c>
      <c r="K198" s="32">
        <v>45170.755949074082</v>
      </c>
      <c r="L198" s="8">
        <f t="shared" si="74"/>
        <v>8</v>
      </c>
      <c r="M198" s="7">
        <v>45176.755949074082</v>
      </c>
      <c r="N198" t="s">
        <v>49</v>
      </c>
      <c r="O198" s="34">
        <v>45181.755949074082</v>
      </c>
      <c r="P198" t="s">
        <v>50</v>
      </c>
      <c r="Q198" t="s">
        <v>125</v>
      </c>
      <c r="R198" s="32" t="s">
        <v>7472</v>
      </c>
      <c r="S198" t="s">
        <v>7476</v>
      </c>
      <c r="T198" s="34" t="s">
        <v>7476</v>
      </c>
      <c r="U198" s="34" t="s">
        <v>7476</v>
      </c>
      <c r="V198" s="32" t="s">
        <v>7476</v>
      </c>
      <c r="W198" s="32" t="s">
        <v>7476</v>
      </c>
      <c r="X198">
        <v>0</v>
      </c>
      <c r="Y198" s="34" t="s">
        <v>7476</v>
      </c>
      <c r="Z198" s="34" t="s">
        <v>7476</v>
      </c>
      <c r="AA198" s="34" t="s">
        <v>7476</v>
      </c>
      <c r="AB198" s="36" t="s">
        <v>52</v>
      </c>
      <c r="AD198" t="s">
        <v>682</v>
      </c>
      <c r="AE198" t="s">
        <v>683</v>
      </c>
      <c r="AF198" s="16">
        <v>45167</v>
      </c>
      <c r="AG198" t="s">
        <v>64</v>
      </c>
      <c r="AH198">
        <v>3</v>
      </c>
      <c r="AI198" s="8" t="str">
        <f>IFERROR(R198-AF198,"")</f>
        <v/>
      </c>
      <c r="AJ198" s="8">
        <f>IFERROR(O198-AF198,"")</f>
        <v>14.755949074082309</v>
      </c>
      <c r="AK198" s="38" t="str">
        <f t="shared" si="75"/>
        <v/>
      </c>
      <c r="AL198" t="str">
        <f>IFERROR(Z198-W198,"")</f>
        <v/>
      </c>
      <c r="AM198" t="str">
        <f>IFERROR(R198-J198,"")</f>
        <v/>
      </c>
      <c r="AN198" t="str">
        <f>IFERROR(V198-O198,"")</f>
        <v/>
      </c>
      <c r="AO198">
        <f>IFERROR(J198-I198,"")</f>
        <v>3</v>
      </c>
      <c r="AP198">
        <f>IFERROR(AC198-X198,"")</f>
        <v>0</v>
      </c>
      <c r="AQ198" t="str">
        <f>IFERROR(AA198-W198,"")</f>
        <v/>
      </c>
    </row>
    <row r="199" spans="1:43" x14ac:dyDescent="0.35">
      <c r="A199">
        <v>5</v>
      </c>
      <c r="B199" t="s">
        <v>684</v>
      </c>
      <c r="C199" t="s">
        <v>213</v>
      </c>
      <c r="D199" t="str">
        <f t="shared" si="73"/>
        <v>Program Office</v>
      </c>
      <c r="E199" t="s">
        <v>332</v>
      </c>
      <c r="F199" t="s">
        <v>70</v>
      </c>
      <c r="G199" t="s">
        <v>657</v>
      </c>
      <c r="H199" t="s">
        <v>334</v>
      </c>
      <c r="I199" s="32">
        <v>45075.372060185182</v>
      </c>
      <c r="J199" s="32">
        <v>45078.372060185182</v>
      </c>
      <c r="K199" s="32">
        <v>45083.372060185182</v>
      </c>
      <c r="L199" s="8">
        <f t="shared" si="74"/>
        <v>8</v>
      </c>
      <c r="M199" s="7">
        <v>45092.372060185182</v>
      </c>
      <c r="N199" t="s">
        <v>49</v>
      </c>
      <c r="O199" s="34">
        <v>45095.372060185182</v>
      </c>
      <c r="P199" t="s">
        <v>60</v>
      </c>
      <c r="R199" s="32">
        <v>45100.372060185182</v>
      </c>
      <c r="S199" t="s">
        <v>61</v>
      </c>
      <c r="T199" s="34" t="s">
        <v>7476</v>
      </c>
      <c r="U199" s="34" t="s">
        <v>7476</v>
      </c>
      <c r="V199" s="32">
        <v>45099.372060185182</v>
      </c>
      <c r="W199" s="32" t="s">
        <v>7476</v>
      </c>
      <c r="X199">
        <v>0</v>
      </c>
      <c r="Y199" s="34" t="s">
        <v>7476</v>
      </c>
      <c r="Z199" s="34" t="s">
        <v>7476</v>
      </c>
      <c r="AA199" s="34" t="s">
        <v>7476</v>
      </c>
      <c r="AB199" s="36" t="s">
        <v>7476</v>
      </c>
      <c r="AD199" t="s">
        <v>685</v>
      </c>
      <c r="AE199" t="s">
        <v>686</v>
      </c>
      <c r="AF199" s="16">
        <v>45079</v>
      </c>
      <c r="AG199" t="s">
        <v>98</v>
      </c>
      <c r="AH199">
        <v>6</v>
      </c>
      <c r="AI199" s="8">
        <f>IFERROR(R199-AF199,"")</f>
        <v>21.372060185181908</v>
      </c>
      <c r="AJ199" s="8">
        <f>IFERROR(O199-AF199,"")</f>
        <v>16.372060185181908</v>
      </c>
      <c r="AK199" s="38">
        <f t="shared" si="75"/>
        <v>45279.372060185182</v>
      </c>
      <c r="AL199" t="str">
        <f>IFERROR(Z199-W199,"")</f>
        <v/>
      </c>
      <c r="AM199">
        <f>IFERROR(R199-J199,"")</f>
        <v>22</v>
      </c>
      <c r="AN199">
        <f>IFERROR(V199-O199,"")</f>
        <v>4</v>
      </c>
      <c r="AO199">
        <f>IFERROR(J199-I199,"")</f>
        <v>3</v>
      </c>
      <c r="AP199">
        <f>IFERROR(AC199-X199,"")</f>
        <v>0</v>
      </c>
      <c r="AQ199" t="str">
        <f>IFERROR(AA199-W199,"")</f>
        <v/>
      </c>
    </row>
    <row r="200" spans="1:43" x14ac:dyDescent="0.35">
      <c r="A200">
        <v>4</v>
      </c>
      <c r="B200" t="s">
        <v>687</v>
      </c>
      <c r="C200" t="s">
        <v>213</v>
      </c>
      <c r="D200" t="str">
        <f t="shared" si="73"/>
        <v>Program Office</v>
      </c>
      <c r="E200" t="s">
        <v>332</v>
      </c>
      <c r="F200" t="s">
        <v>70</v>
      </c>
      <c r="G200" t="s">
        <v>657</v>
      </c>
      <c r="H200" t="s">
        <v>334</v>
      </c>
      <c r="I200" s="32">
        <v>45075.372060185182</v>
      </c>
      <c r="J200" s="32">
        <v>45078.372060185182</v>
      </c>
      <c r="K200" s="32">
        <v>45083.372060185182</v>
      </c>
      <c r="L200" s="8">
        <f t="shared" si="74"/>
        <v>8</v>
      </c>
      <c r="M200" s="7">
        <v>45100.372060185182</v>
      </c>
      <c r="N200" t="s">
        <v>49</v>
      </c>
      <c r="O200" s="34">
        <v>45092.372060185182</v>
      </c>
      <c r="P200" t="s">
        <v>101</v>
      </c>
      <c r="R200" s="32">
        <v>45097.372060185182</v>
      </c>
      <c r="S200" t="s">
        <v>101</v>
      </c>
      <c r="T200" s="34">
        <v>45094.372060185182</v>
      </c>
      <c r="U200" s="34">
        <v>45095.372060185182</v>
      </c>
      <c r="V200" s="32">
        <v>45095.372060185182</v>
      </c>
      <c r="W200" s="32">
        <v>45102.372060185182</v>
      </c>
      <c r="X200">
        <v>1</v>
      </c>
      <c r="Y200" s="34">
        <v>45103.372060185182</v>
      </c>
      <c r="Z200" s="34">
        <v>45104.372060185182</v>
      </c>
      <c r="AA200" s="34">
        <v>45105.372060185182</v>
      </c>
      <c r="AB200" s="36" t="s">
        <v>7476</v>
      </c>
      <c r="AC200" s="10">
        <v>45118.372060185182</v>
      </c>
      <c r="AD200" t="s">
        <v>688</v>
      </c>
      <c r="AE200" t="s">
        <v>689</v>
      </c>
      <c r="AF200" s="16">
        <v>45077</v>
      </c>
      <c r="AG200" t="s">
        <v>98</v>
      </c>
      <c r="AH200">
        <v>6</v>
      </c>
      <c r="AI200" s="8">
        <f>IFERROR(R200-AF200,"")</f>
        <v>20.372060185181908</v>
      </c>
      <c r="AJ200" s="8">
        <f>IFERROR(O200-AF200,"")</f>
        <v>15.372060185181908</v>
      </c>
      <c r="AK200" s="38">
        <f t="shared" si="75"/>
        <v>45275.372060185182</v>
      </c>
      <c r="AL200">
        <f>IFERROR(Z200-W200,"")</f>
        <v>2</v>
      </c>
      <c r="AM200">
        <f>IFERROR(R200-J200,"")</f>
        <v>19</v>
      </c>
      <c r="AN200">
        <f>IFERROR(V200-O200,"")</f>
        <v>3</v>
      </c>
      <c r="AO200">
        <f>IFERROR(J200-I200,"")</f>
        <v>3</v>
      </c>
      <c r="AP200">
        <f>IFERROR(AC200-X200,"")</f>
        <v>45117.372060185182</v>
      </c>
      <c r="AQ200">
        <f>IFERROR(AA200-W200,"")</f>
        <v>3</v>
      </c>
    </row>
    <row r="201" spans="1:43" x14ac:dyDescent="0.35">
      <c r="A201">
        <v>2</v>
      </c>
      <c r="B201" t="s">
        <v>690</v>
      </c>
      <c r="C201" t="s">
        <v>217</v>
      </c>
      <c r="D201" t="str">
        <f t="shared" si="73"/>
        <v>Program Office</v>
      </c>
      <c r="E201" t="s">
        <v>332</v>
      </c>
      <c r="F201" t="s">
        <v>70</v>
      </c>
      <c r="G201" t="s">
        <v>657</v>
      </c>
      <c r="H201" t="s">
        <v>334</v>
      </c>
      <c r="I201" s="32">
        <v>45080.372060185182</v>
      </c>
      <c r="J201" s="32">
        <v>45082.372060185182</v>
      </c>
      <c r="K201" s="32">
        <v>45083.372060185182</v>
      </c>
      <c r="L201" s="8">
        <f t="shared" si="74"/>
        <v>3</v>
      </c>
      <c r="M201" s="7">
        <v>45107.372060185182</v>
      </c>
      <c r="N201" t="s">
        <v>49</v>
      </c>
      <c r="O201" s="34">
        <v>45093.372060185182</v>
      </c>
      <c r="P201" t="s">
        <v>101</v>
      </c>
      <c r="R201" s="32">
        <v>45097.372060185182</v>
      </c>
      <c r="S201" t="s">
        <v>101</v>
      </c>
      <c r="T201" s="34">
        <v>45095.372060185182</v>
      </c>
      <c r="U201" s="34">
        <v>45099.372060185182</v>
      </c>
      <c r="V201" s="32">
        <v>45096.372060185182</v>
      </c>
      <c r="W201" s="32">
        <v>45102.372060185182</v>
      </c>
      <c r="X201">
        <v>1</v>
      </c>
      <c r="Y201" s="34">
        <v>45104.372060185182</v>
      </c>
      <c r="Z201" s="34">
        <v>45106.372060185182</v>
      </c>
      <c r="AA201" s="34">
        <v>45108.372060185182</v>
      </c>
      <c r="AB201" s="36" t="s">
        <v>7476</v>
      </c>
      <c r="AC201" s="10">
        <v>45122.372060185182</v>
      </c>
      <c r="AD201" t="s">
        <v>691</v>
      </c>
      <c r="AE201" t="s">
        <v>692</v>
      </c>
      <c r="AF201" s="16">
        <v>45087</v>
      </c>
      <c r="AG201" t="s">
        <v>64</v>
      </c>
      <c r="AH201">
        <v>3</v>
      </c>
      <c r="AI201" s="8">
        <f>IFERROR(R201-AF201,"")</f>
        <v>10.372060185181908</v>
      </c>
      <c r="AJ201" s="8">
        <f>IFERROR(O201-AF201,"")</f>
        <v>6.3720601851819083</v>
      </c>
      <c r="AK201" s="38">
        <f t="shared" si="75"/>
        <v>45186.372060185182</v>
      </c>
      <c r="AL201">
        <f>IFERROR(Z201-W201,"")</f>
        <v>4</v>
      </c>
      <c r="AM201">
        <f>IFERROR(R201-J201,"")</f>
        <v>15</v>
      </c>
      <c r="AN201">
        <f>IFERROR(V201-O201,"")</f>
        <v>3</v>
      </c>
      <c r="AO201">
        <f>IFERROR(J201-I201,"")</f>
        <v>2</v>
      </c>
      <c r="AP201">
        <f>IFERROR(AC201-X201,"")</f>
        <v>45121.372060185182</v>
      </c>
      <c r="AQ201">
        <f>IFERROR(AA201-W201,"")</f>
        <v>6</v>
      </c>
    </row>
    <row r="202" spans="1:43" x14ac:dyDescent="0.35">
      <c r="A202">
        <v>2965</v>
      </c>
      <c r="B202" t="s">
        <v>693</v>
      </c>
      <c r="C202" t="s">
        <v>213</v>
      </c>
      <c r="D202" t="str">
        <f t="shared" si="73"/>
        <v>Program Office</v>
      </c>
      <c r="E202" t="s">
        <v>694</v>
      </c>
      <c r="F202" t="s">
        <v>695</v>
      </c>
      <c r="G202" t="s">
        <v>696</v>
      </c>
      <c r="H202" t="s">
        <v>697</v>
      </c>
      <c r="I202" s="32">
        <v>44700.276689814818</v>
      </c>
      <c r="J202" s="32">
        <v>44702.276689814818</v>
      </c>
      <c r="K202" s="32" t="s">
        <v>7473</v>
      </c>
      <c r="L202" s="8" t="str">
        <f t="shared" si="74"/>
        <v/>
      </c>
      <c r="M202" s="7">
        <v>44755.276689814818</v>
      </c>
      <c r="N202" t="s">
        <v>49</v>
      </c>
      <c r="O202" s="34">
        <v>44709.276689814818</v>
      </c>
      <c r="P202" t="s">
        <v>50</v>
      </c>
      <c r="Q202" t="s">
        <v>51</v>
      </c>
      <c r="R202" s="32" t="s">
        <v>7472</v>
      </c>
      <c r="S202" t="s">
        <v>7476</v>
      </c>
      <c r="T202" s="34" t="s">
        <v>7476</v>
      </c>
      <c r="U202" s="34" t="s">
        <v>7476</v>
      </c>
      <c r="V202" s="32" t="s">
        <v>7476</v>
      </c>
      <c r="W202" s="32" t="s">
        <v>7476</v>
      </c>
      <c r="X202">
        <v>0</v>
      </c>
      <c r="Y202" s="34" t="s">
        <v>7476</v>
      </c>
      <c r="Z202" s="34" t="s">
        <v>7476</v>
      </c>
      <c r="AA202" s="34" t="s">
        <v>7476</v>
      </c>
      <c r="AB202" s="36" t="s">
        <v>52</v>
      </c>
      <c r="AD202" t="s">
        <v>698</v>
      </c>
      <c r="AE202" t="s">
        <v>699</v>
      </c>
      <c r="AF202" s="16">
        <v>44695</v>
      </c>
      <c r="AG202" t="s">
        <v>93</v>
      </c>
      <c r="AH202">
        <v>6</v>
      </c>
      <c r="AK202" s="38" t="str">
        <f t="shared" si="75"/>
        <v/>
      </c>
    </row>
    <row r="203" spans="1:43" x14ac:dyDescent="0.35">
      <c r="A203">
        <v>2866</v>
      </c>
      <c r="B203" t="s">
        <v>700</v>
      </c>
      <c r="C203" t="s">
        <v>217</v>
      </c>
      <c r="D203" t="str">
        <f t="shared" si="73"/>
        <v>Program Office</v>
      </c>
      <c r="E203" t="s">
        <v>694</v>
      </c>
      <c r="F203" t="s">
        <v>695</v>
      </c>
      <c r="G203" t="s">
        <v>696</v>
      </c>
      <c r="H203" t="s">
        <v>697</v>
      </c>
      <c r="I203" s="32">
        <v>44849.266331018523</v>
      </c>
      <c r="J203" s="32">
        <v>44851.266331018523</v>
      </c>
      <c r="K203" s="32">
        <v>44858.266331018523</v>
      </c>
      <c r="L203" s="8">
        <f t="shared" si="74"/>
        <v>9</v>
      </c>
      <c r="M203" s="7">
        <v>44928.266331018523</v>
      </c>
      <c r="N203" t="s">
        <v>49</v>
      </c>
      <c r="O203" s="34">
        <v>44861.266331018523</v>
      </c>
      <c r="P203" t="s">
        <v>60</v>
      </c>
      <c r="R203" s="32">
        <v>44866.266331018523</v>
      </c>
      <c r="S203" t="s">
        <v>61</v>
      </c>
      <c r="T203" s="34" t="s">
        <v>7476</v>
      </c>
      <c r="U203" s="34" t="s">
        <v>7476</v>
      </c>
      <c r="V203" s="32">
        <v>44865.266331018523</v>
      </c>
      <c r="W203" s="32" t="s">
        <v>7476</v>
      </c>
      <c r="X203">
        <v>0</v>
      </c>
      <c r="Y203" s="34" t="s">
        <v>7476</v>
      </c>
      <c r="Z203" s="34" t="s">
        <v>7476</v>
      </c>
      <c r="AA203" s="34" t="s">
        <v>7476</v>
      </c>
      <c r="AB203" s="36" t="s">
        <v>7476</v>
      </c>
      <c r="AD203" t="s">
        <v>701</v>
      </c>
      <c r="AE203" t="s">
        <v>702</v>
      </c>
      <c r="AF203" s="16">
        <v>44852</v>
      </c>
      <c r="AG203" t="s">
        <v>64</v>
      </c>
      <c r="AH203">
        <v>6</v>
      </c>
      <c r="AI203" s="8">
        <f>IFERROR(R203-AF203,"")</f>
        <v>14.266331018523488</v>
      </c>
      <c r="AJ203" s="8">
        <f>IFERROR(O203-AF203,"")</f>
        <v>9.2663310185234877</v>
      </c>
      <c r="AK203" s="38">
        <f t="shared" si="75"/>
        <v>45045.266331018523</v>
      </c>
      <c r="AL203" t="str">
        <f>IFERROR(Z203-W203,"")</f>
        <v/>
      </c>
      <c r="AM203">
        <f>IFERROR(R203-J203,"")</f>
        <v>15</v>
      </c>
      <c r="AN203">
        <f>IFERROR(V203-O203,"")</f>
        <v>4</v>
      </c>
      <c r="AO203">
        <f>IFERROR(J203-I203,"")</f>
        <v>2</v>
      </c>
      <c r="AP203">
        <f>IFERROR(AC203-X203,"")</f>
        <v>0</v>
      </c>
      <c r="AQ203" t="str">
        <f>IFERROR(AA203-W203,"")</f>
        <v/>
      </c>
    </row>
    <row r="204" spans="1:43" x14ac:dyDescent="0.35">
      <c r="A204">
        <v>2865</v>
      </c>
      <c r="B204" t="s">
        <v>703</v>
      </c>
      <c r="C204" t="s">
        <v>213</v>
      </c>
      <c r="D204" t="str">
        <f t="shared" si="73"/>
        <v>Program Office</v>
      </c>
      <c r="E204" t="s">
        <v>694</v>
      </c>
      <c r="F204" t="s">
        <v>695</v>
      </c>
      <c r="G204" t="s">
        <v>696</v>
      </c>
      <c r="H204" t="s">
        <v>697</v>
      </c>
      <c r="I204" s="32">
        <v>44849.266331018523</v>
      </c>
      <c r="J204" s="32">
        <v>44850.266331018523</v>
      </c>
      <c r="K204" s="32">
        <v>44857.266331018523</v>
      </c>
      <c r="L204" s="8">
        <f t="shared" si="74"/>
        <v>8</v>
      </c>
      <c r="M204" s="7">
        <v>44927.266331018523</v>
      </c>
      <c r="N204" t="s">
        <v>49</v>
      </c>
      <c r="O204" s="34">
        <v>44867.266331018523</v>
      </c>
      <c r="P204" t="s">
        <v>60</v>
      </c>
      <c r="R204" s="32">
        <v>44872.266331018523</v>
      </c>
      <c r="S204" t="s">
        <v>61</v>
      </c>
      <c r="T204" s="34" t="s">
        <v>7476</v>
      </c>
      <c r="U204" s="34" t="s">
        <v>7476</v>
      </c>
      <c r="V204" s="32">
        <v>44868.266331018523</v>
      </c>
      <c r="W204" s="32" t="s">
        <v>7476</v>
      </c>
      <c r="X204">
        <v>0</v>
      </c>
      <c r="Y204" s="34" t="s">
        <v>7476</v>
      </c>
      <c r="Z204" s="34" t="s">
        <v>7476</v>
      </c>
      <c r="AA204" s="34" t="s">
        <v>7476</v>
      </c>
      <c r="AB204" s="36" t="s">
        <v>7476</v>
      </c>
      <c r="AD204" t="s">
        <v>704</v>
      </c>
      <c r="AE204" t="s">
        <v>705</v>
      </c>
      <c r="AF204" s="16">
        <v>44857</v>
      </c>
      <c r="AG204" t="s">
        <v>68</v>
      </c>
      <c r="AH204">
        <v>3</v>
      </c>
      <c r="AI204" s="8">
        <f>IFERROR(R204-AF204,"")</f>
        <v>15.266331018523488</v>
      </c>
      <c r="AJ204" s="8">
        <f>IFERROR(O204-AF204,"")</f>
        <v>10.266331018523488</v>
      </c>
      <c r="AK204" s="38">
        <f t="shared" si="75"/>
        <v>44958.266331018523</v>
      </c>
      <c r="AL204" t="str">
        <f>IFERROR(Z204-W204,"")</f>
        <v/>
      </c>
      <c r="AM204">
        <f>IFERROR(R204-J204,"")</f>
        <v>22</v>
      </c>
      <c r="AN204">
        <f>IFERROR(V204-O204,"")</f>
        <v>1</v>
      </c>
      <c r="AO204">
        <f>IFERROR(J204-I204,"")</f>
        <v>1</v>
      </c>
      <c r="AP204">
        <f>IFERROR(AC204-X204,"")</f>
        <v>0</v>
      </c>
      <c r="AQ204" t="str">
        <f>IFERROR(AA204-W204,"")</f>
        <v/>
      </c>
    </row>
    <row r="205" spans="1:43" x14ac:dyDescent="0.35">
      <c r="A205">
        <v>2856</v>
      </c>
      <c r="B205" t="s">
        <v>706</v>
      </c>
      <c r="C205" t="s">
        <v>217</v>
      </c>
      <c r="D205" t="str">
        <f t="shared" si="73"/>
        <v>Program Office</v>
      </c>
      <c r="E205" t="s">
        <v>694</v>
      </c>
      <c r="F205" t="s">
        <v>695</v>
      </c>
      <c r="G205" t="s">
        <v>696</v>
      </c>
      <c r="H205" t="s">
        <v>697</v>
      </c>
      <c r="I205" s="32" t="s">
        <v>7471</v>
      </c>
      <c r="J205" s="32">
        <v>45035.4996875</v>
      </c>
      <c r="K205" s="32">
        <v>45041.4996875</v>
      </c>
      <c r="L205" s="8" t="str">
        <f t="shared" si="74"/>
        <v/>
      </c>
      <c r="M205" s="7">
        <v>45111.4996875</v>
      </c>
      <c r="N205" t="s">
        <v>49</v>
      </c>
      <c r="O205" s="34">
        <v>45046.4996875</v>
      </c>
      <c r="P205" t="s">
        <v>50</v>
      </c>
      <c r="Q205" t="s">
        <v>236</v>
      </c>
      <c r="R205" s="32" t="s">
        <v>7472</v>
      </c>
      <c r="S205" t="s">
        <v>7476</v>
      </c>
      <c r="T205" s="34" t="s">
        <v>7476</v>
      </c>
      <c r="U205" s="34" t="s">
        <v>7476</v>
      </c>
      <c r="V205" s="32" t="s">
        <v>7476</v>
      </c>
      <c r="W205" s="32" t="s">
        <v>7476</v>
      </c>
      <c r="X205">
        <v>0</v>
      </c>
      <c r="Y205" s="34" t="s">
        <v>7476</v>
      </c>
      <c r="Z205" s="34" t="s">
        <v>7476</v>
      </c>
      <c r="AA205" s="34" t="s">
        <v>7476</v>
      </c>
      <c r="AB205" s="36" t="s">
        <v>95</v>
      </c>
      <c r="AD205" t="s">
        <v>707</v>
      </c>
      <c r="AE205" t="s">
        <v>708</v>
      </c>
      <c r="AF205" s="16">
        <v>45030</v>
      </c>
      <c r="AG205" t="s">
        <v>64</v>
      </c>
      <c r="AH205">
        <v>6</v>
      </c>
      <c r="AK205" s="38" t="str">
        <f t="shared" si="75"/>
        <v/>
      </c>
    </row>
    <row r="206" spans="1:43" x14ac:dyDescent="0.35">
      <c r="A206">
        <v>2838</v>
      </c>
      <c r="B206" t="s">
        <v>709</v>
      </c>
      <c r="C206" t="s">
        <v>213</v>
      </c>
      <c r="D206" t="str">
        <f t="shared" si="73"/>
        <v>Program Office</v>
      </c>
      <c r="E206" t="s">
        <v>694</v>
      </c>
      <c r="F206" t="s">
        <v>695</v>
      </c>
      <c r="G206" t="s">
        <v>696</v>
      </c>
      <c r="H206" t="s">
        <v>697</v>
      </c>
      <c r="I206" s="32">
        <v>44659.843564814822</v>
      </c>
      <c r="J206" s="32">
        <v>44660.843564814822</v>
      </c>
      <c r="K206" s="32">
        <v>44666.843564814822</v>
      </c>
      <c r="L206" s="8">
        <f t="shared" si="74"/>
        <v>7</v>
      </c>
      <c r="M206" s="7">
        <v>44674.843564814822</v>
      </c>
      <c r="N206" t="s">
        <v>49</v>
      </c>
      <c r="O206" s="34">
        <v>44682.843564814822</v>
      </c>
      <c r="P206" t="s">
        <v>50</v>
      </c>
      <c r="Q206" t="s">
        <v>84</v>
      </c>
      <c r="R206" s="32" t="s">
        <v>7472</v>
      </c>
      <c r="S206" t="s">
        <v>7476</v>
      </c>
      <c r="T206" s="34" t="s">
        <v>7476</v>
      </c>
      <c r="U206" s="34" t="s">
        <v>7476</v>
      </c>
      <c r="V206" s="32">
        <v>44683.843564814822</v>
      </c>
      <c r="W206" s="32" t="s">
        <v>7476</v>
      </c>
      <c r="X206">
        <v>0</v>
      </c>
      <c r="Y206" s="34" t="s">
        <v>7476</v>
      </c>
      <c r="Z206" s="34" t="s">
        <v>7476</v>
      </c>
      <c r="AA206" s="34" t="s">
        <v>7476</v>
      </c>
      <c r="AB206" s="36" t="s">
        <v>52</v>
      </c>
      <c r="AD206" t="s">
        <v>710</v>
      </c>
      <c r="AE206" t="s">
        <v>711</v>
      </c>
      <c r="AF206" s="16">
        <v>44665</v>
      </c>
      <c r="AG206" t="s">
        <v>98</v>
      </c>
      <c r="AH206">
        <v>3</v>
      </c>
      <c r="AI206" s="8" t="str">
        <f>IFERROR(R206-AF206,"")</f>
        <v/>
      </c>
      <c r="AJ206" s="8">
        <f>IFERROR(O206-AF206,"")</f>
        <v>17.843564814822457</v>
      </c>
      <c r="AK206" s="38">
        <f t="shared" si="75"/>
        <v>44773.843564814822</v>
      </c>
      <c r="AL206" t="str">
        <f>IFERROR(Z206-W206,"")</f>
        <v/>
      </c>
      <c r="AM206" t="str">
        <f>IFERROR(R206-J206,"")</f>
        <v/>
      </c>
      <c r="AN206">
        <f>IFERROR(V206-O206,"")</f>
        <v>1</v>
      </c>
      <c r="AO206">
        <f>IFERROR(J206-I206,"")</f>
        <v>1</v>
      </c>
      <c r="AP206">
        <f>IFERROR(AC206-X206,"")</f>
        <v>0</v>
      </c>
      <c r="AQ206" t="str">
        <f>IFERROR(AA206-W206,"")</f>
        <v/>
      </c>
    </row>
    <row r="207" spans="1:43" x14ac:dyDescent="0.35">
      <c r="A207">
        <v>2832</v>
      </c>
      <c r="B207" t="s">
        <v>712</v>
      </c>
      <c r="C207" t="s">
        <v>217</v>
      </c>
      <c r="D207" t="str">
        <f t="shared" si="73"/>
        <v>Program Office</v>
      </c>
      <c r="E207" t="s">
        <v>694</v>
      </c>
      <c r="F207" t="s">
        <v>695</v>
      </c>
      <c r="G207" t="s">
        <v>696</v>
      </c>
      <c r="H207" t="s">
        <v>697</v>
      </c>
      <c r="I207" s="32">
        <v>44663.843564814822</v>
      </c>
      <c r="J207" s="32">
        <v>44664.843564814822</v>
      </c>
      <c r="K207" s="32" t="s">
        <v>7473</v>
      </c>
      <c r="L207" s="8" t="str">
        <f t="shared" si="74"/>
        <v/>
      </c>
      <c r="M207" s="7">
        <v>44680.843564814822</v>
      </c>
      <c r="N207" t="s">
        <v>49</v>
      </c>
      <c r="O207" s="34">
        <v>44683.843564814822</v>
      </c>
      <c r="P207" t="s">
        <v>60</v>
      </c>
      <c r="R207" s="32">
        <v>44687.843564814822</v>
      </c>
      <c r="S207" t="s">
        <v>61</v>
      </c>
      <c r="T207" s="34" t="s">
        <v>7476</v>
      </c>
      <c r="U207" s="34" t="s">
        <v>7476</v>
      </c>
      <c r="V207" s="32">
        <v>44685.843564814822</v>
      </c>
      <c r="W207" s="32" t="s">
        <v>7476</v>
      </c>
      <c r="X207">
        <v>0</v>
      </c>
      <c r="Y207" s="34" t="s">
        <v>7476</v>
      </c>
      <c r="Z207" s="34" t="s">
        <v>7476</v>
      </c>
      <c r="AA207" s="34" t="s">
        <v>7476</v>
      </c>
      <c r="AB207" s="36" t="s">
        <v>7476</v>
      </c>
      <c r="AD207" t="s">
        <v>713</v>
      </c>
      <c r="AE207" t="s">
        <v>714</v>
      </c>
      <c r="AF207" s="16">
        <v>44678</v>
      </c>
      <c r="AG207" t="s">
        <v>98</v>
      </c>
      <c r="AH207">
        <v>6</v>
      </c>
      <c r="AK207" s="38">
        <f t="shared" si="75"/>
        <v>44865.843564814822</v>
      </c>
    </row>
    <row r="208" spans="1:43" x14ac:dyDescent="0.35">
      <c r="A208">
        <v>2787</v>
      </c>
      <c r="B208" t="s">
        <v>715</v>
      </c>
      <c r="C208" t="s">
        <v>213</v>
      </c>
      <c r="D208" t="str">
        <f t="shared" si="73"/>
        <v>Program Office</v>
      </c>
      <c r="E208" t="s">
        <v>694</v>
      </c>
      <c r="F208" t="s">
        <v>695</v>
      </c>
      <c r="G208" t="s">
        <v>696</v>
      </c>
      <c r="H208" t="s">
        <v>697</v>
      </c>
      <c r="I208" s="32">
        <v>45103.816620370373</v>
      </c>
      <c r="J208" s="32">
        <v>45106.816620370373</v>
      </c>
      <c r="K208" s="32">
        <v>45110.816620370373</v>
      </c>
      <c r="L208" s="8">
        <f t="shared" si="74"/>
        <v>7</v>
      </c>
      <c r="M208" s="7">
        <v>45133.816620370373</v>
      </c>
      <c r="N208" t="s">
        <v>49</v>
      </c>
      <c r="O208" s="34">
        <v>45124.816620370373</v>
      </c>
      <c r="P208" t="s">
        <v>50</v>
      </c>
      <c r="Q208" t="s">
        <v>125</v>
      </c>
      <c r="R208" s="32" t="s">
        <v>7472</v>
      </c>
      <c r="S208" t="s">
        <v>7476</v>
      </c>
      <c r="T208" s="34" t="s">
        <v>7476</v>
      </c>
      <c r="U208" s="34" t="s">
        <v>7476</v>
      </c>
      <c r="V208" s="32" t="s">
        <v>7476</v>
      </c>
      <c r="W208" s="32" t="s">
        <v>7476</v>
      </c>
      <c r="X208">
        <v>0</v>
      </c>
      <c r="Y208" s="34" t="s">
        <v>7476</v>
      </c>
      <c r="Z208" s="34" t="s">
        <v>7476</v>
      </c>
      <c r="AA208" s="34" t="s">
        <v>7476</v>
      </c>
      <c r="AB208" s="36" t="s">
        <v>95</v>
      </c>
      <c r="AD208" t="s">
        <v>716</v>
      </c>
      <c r="AE208" t="s">
        <v>717</v>
      </c>
      <c r="AF208" s="16">
        <v>44992</v>
      </c>
      <c r="AG208" t="s">
        <v>68</v>
      </c>
      <c r="AH208">
        <v>6</v>
      </c>
      <c r="AI208" s="8" t="str">
        <f>IFERROR(R208-AF208,"")</f>
        <v/>
      </c>
      <c r="AJ208" s="8">
        <f>IFERROR(O208-AF208,"")</f>
        <v>132.81662037037313</v>
      </c>
      <c r="AK208" s="38" t="str">
        <f t="shared" si="75"/>
        <v/>
      </c>
      <c r="AL208" t="str">
        <f>IFERROR(Z208-W208,"")</f>
        <v/>
      </c>
      <c r="AM208" t="str">
        <f>IFERROR(R208-J208,"")</f>
        <v/>
      </c>
      <c r="AN208" t="str">
        <f>IFERROR(V208-O208,"")</f>
        <v/>
      </c>
      <c r="AO208">
        <f>IFERROR(J208-I208,"")</f>
        <v>3</v>
      </c>
      <c r="AP208">
        <f>IFERROR(AC208-X208,"")</f>
        <v>0</v>
      </c>
      <c r="AQ208" t="str">
        <f>IFERROR(AA208-W208,"")</f>
        <v/>
      </c>
    </row>
    <row r="209" spans="1:43" x14ac:dyDescent="0.35">
      <c r="A209">
        <v>2785</v>
      </c>
      <c r="B209" t="s">
        <v>718</v>
      </c>
      <c r="C209" t="s">
        <v>213</v>
      </c>
      <c r="D209" t="str">
        <f t="shared" si="73"/>
        <v>Program Office</v>
      </c>
      <c r="E209" t="s">
        <v>694</v>
      </c>
      <c r="F209" t="s">
        <v>695</v>
      </c>
      <c r="G209" t="s">
        <v>696</v>
      </c>
      <c r="H209" t="s">
        <v>697</v>
      </c>
      <c r="I209" s="32">
        <v>45105.816620370373</v>
      </c>
      <c r="J209" s="32">
        <v>45108.816620370373</v>
      </c>
      <c r="K209" s="32" t="s">
        <v>7473</v>
      </c>
      <c r="L209" s="8" t="str">
        <f t="shared" si="74"/>
        <v/>
      </c>
      <c r="M209" s="7">
        <v>45137.816620370373</v>
      </c>
      <c r="N209" t="s">
        <v>49</v>
      </c>
      <c r="O209" s="34">
        <v>45118.816620370373</v>
      </c>
      <c r="P209" t="s">
        <v>50</v>
      </c>
      <c r="Q209" t="s">
        <v>125</v>
      </c>
      <c r="R209" s="32" t="s">
        <v>7472</v>
      </c>
      <c r="S209" t="s">
        <v>7476</v>
      </c>
      <c r="T209" s="34" t="s">
        <v>7476</v>
      </c>
      <c r="U209" s="34" t="s">
        <v>7476</v>
      </c>
      <c r="V209" s="32" t="s">
        <v>7476</v>
      </c>
      <c r="W209" s="32" t="s">
        <v>7476</v>
      </c>
      <c r="X209">
        <v>0</v>
      </c>
      <c r="Y209" s="34" t="s">
        <v>7476</v>
      </c>
      <c r="Z209" s="34" t="s">
        <v>7476</v>
      </c>
      <c r="AA209" s="34" t="s">
        <v>7476</v>
      </c>
      <c r="AB209" s="36" t="s">
        <v>95</v>
      </c>
      <c r="AD209" t="s">
        <v>719</v>
      </c>
      <c r="AE209" t="s">
        <v>720</v>
      </c>
      <c r="AF209" s="16">
        <v>45107</v>
      </c>
      <c r="AG209" t="s">
        <v>55</v>
      </c>
      <c r="AH209">
        <v>3</v>
      </c>
      <c r="AK209" s="38" t="str">
        <f t="shared" si="75"/>
        <v/>
      </c>
    </row>
    <row r="210" spans="1:43" x14ac:dyDescent="0.35">
      <c r="A210">
        <v>2562</v>
      </c>
      <c r="B210" t="s">
        <v>721</v>
      </c>
      <c r="C210" t="s">
        <v>213</v>
      </c>
      <c r="D210" t="str">
        <f t="shared" si="73"/>
        <v>Program Office</v>
      </c>
      <c r="E210" t="s">
        <v>694</v>
      </c>
      <c r="F210" t="s">
        <v>695</v>
      </c>
      <c r="G210" t="s">
        <v>696</v>
      </c>
      <c r="H210" t="s">
        <v>697</v>
      </c>
      <c r="I210" s="32">
        <v>44887.290763888886</v>
      </c>
      <c r="J210" s="32">
        <v>44891.290763888886</v>
      </c>
      <c r="K210" s="32">
        <v>44893.290763888886</v>
      </c>
      <c r="L210" s="8">
        <f t="shared" si="74"/>
        <v>6</v>
      </c>
      <c r="M210" s="7">
        <v>44898.290763888886</v>
      </c>
      <c r="N210" t="s">
        <v>49</v>
      </c>
      <c r="O210" s="34">
        <v>44903.290763888886</v>
      </c>
      <c r="P210" t="s">
        <v>60</v>
      </c>
      <c r="R210" s="32">
        <v>44911.290763888886</v>
      </c>
      <c r="S210" t="s">
        <v>61</v>
      </c>
      <c r="T210" s="34" t="s">
        <v>7476</v>
      </c>
      <c r="U210" s="34" t="s">
        <v>7476</v>
      </c>
      <c r="V210" s="32">
        <v>44907.290763888886</v>
      </c>
      <c r="W210" s="32" t="s">
        <v>7476</v>
      </c>
      <c r="X210">
        <v>0</v>
      </c>
      <c r="Y210" s="34" t="s">
        <v>7476</v>
      </c>
      <c r="Z210" s="34" t="s">
        <v>7476</v>
      </c>
      <c r="AA210" s="34" t="s">
        <v>7476</v>
      </c>
      <c r="AB210" s="36" t="s">
        <v>7476</v>
      </c>
      <c r="AD210" t="s">
        <v>722</v>
      </c>
      <c r="AE210" t="s">
        <v>723</v>
      </c>
      <c r="AF210" s="16">
        <v>44888</v>
      </c>
      <c r="AG210" t="s">
        <v>68</v>
      </c>
      <c r="AH210">
        <v>3</v>
      </c>
      <c r="AI210" s="8">
        <f>IFERROR(R210-AF210,"")</f>
        <v>23.290763888886431</v>
      </c>
      <c r="AJ210" s="8">
        <f>IFERROR(O210-AF210,"")</f>
        <v>15.290763888886431</v>
      </c>
      <c r="AK210" s="38">
        <f t="shared" si="75"/>
        <v>44997.290763888886</v>
      </c>
      <c r="AL210" t="str">
        <f>IFERROR(Z210-W210,"")</f>
        <v/>
      </c>
      <c r="AM210">
        <f>IFERROR(R210-J210,"")</f>
        <v>20</v>
      </c>
      <c r="AN210">
        <f>IFERROR(V210-O210,"")</f>
        <v>4</v>
      </c>
      <c r="AO210">
        <f>IFERROR(J210-I210,"")</f>
        <v>4</v>
      </c>
      <c r="AP210">
        <f>IFERROR(AC210-X210,"")</f>
        <v>0</v>
      </c>
      <c r="AQ210" t="str">
        <f>IFERROR(AA210-W210,"")</f>
        <v/>
      </c>
    </row>
    <row r="211" spans="1:43" x14ac:dyDescent="0.35">
      <c r="A211">
        <v>2561</v>
      </c>
      <c r="B211" t="s">
        <v>724</v>
      </c>
      <c r="C211" t="s">
        <v>213</v>
      </c>
      <c r="D211" t="str">
        <f t="shared" si="73"/>
        <v>Program Office</v>
      </c>
      <c r="E211" t="s">
        <v>694</v>
      </c>
      <c r="F211" t="s">
        <v>695</v>
      </c>
      <c r="G211" t="s">
        <v>696</v>
      </c>
      <c r="H211" t="s">
        <v>697</v>
      </c>
      <c r="I211" s="32">
        <v>44886.290763888886</v>
      </c>
      <c r="J211" s="32" t="s">
        <v>7471</v>
      </c>
      <c r="K211" s="32">
        <v>44893.290763888886</v>
      </c>
      <c r="L211" s="8">
        <f t="shared" si="74"/>
        <v>7</v>
      </c>
      <c r="M211" s="7">
        <v>44906.290763888886</v>
      </c>
      <c r="N211" t="s">
        <v>72</v>
      </c>
      <c r="O211" s="34" t="s">
        <v>7474</v>
      </c>
      <c r="R211" s="32" t="s">
        <v>7472</v>
      </c>
      <c r="S211" t="s">
        <v>7476</v>
      </c>
      <c r="T211" s="34" t="s">
        <v>7476</v>
      </c>
      <c r="U211" s="34" t="s">
        <v>7476</v>
      </c>
      <c r="V211" s="32" t="s">
        <v>7476</v>
      </c>
      <c r="W211" s="32" t="s">
        <v>7476</v>
      </c>
      <c r="X211">
        <v>0</v>
      </c>
      <c r="Y211" s="34" t="s">
        <v>7476</v>
      </c>
      <c r="Z211" s="34" t="s">
        <v>7476</v>
      </c>
      <c r="AA211" s="34" t="s">
        <v>7476</v>
      </c>
      <c r="AB211" s="36" t="s">
        <v>7476</v>
      </c>
      <c r="AD211" t="s">
        <v>725</v>
      </c>
      <c r="AE211" t="s">
        <v>726</v>
      </c>
      <c r="AG211" t="s">
        <v>98</v>
      </c>
      <c r="AH211">
        <v>6</v>
      </c>
      <c r="AK211" s="38" t="str">
        <f t="shared" si="75"/>
        <v/>
      </c>
    </row>
    <row r="212" spans="1:43" x14ac:dyDescent="0.35">
      <c r="A212">
        <v>2558</v>
      </c>
      <c r="B212" t="s">
        <v>727</v>
      </c>
      <c r="C212" t="s">
        <v>213</v>
      </c>
      <c r="D212" t="str">
        <f t="shared" si="73"/>
        <v>Program Office</v>
      </c>
      <c r="E212" t="s">
        <v>694</v>
      </c>
      <c r="F212" t="s">
        <v>695</v>
      </c>
      <c r="G212" t="s">
        <v>696</v>
      </c>
      <c r="H212" t="s">
        <v>697</v>
      </c>
      <c r="I212" s="32">
        <v>45145.715324074074</v>
      </c>
      <c r="J212" s="32">
        <v>45146.715324074074</v>
      </c>
      <c r="K212" s="32">
        <v>45148.715324074074</v>
      </c>
      <c r="L212" s="8">
        <f t="shared" si="74"/>
        <v>3</v>
      </c>
      <c r="M212" s="7">
        <v>45178.715324074074</v>
      </c>
      <c r="N212" t="s">
        <v>49</v>
      </c>
      <c r="O212" s="34">
        <v>45158.715324074074</v>
      </c>
      <c r="P212" t="s">
        <v>50</v>
      </c>
      <c r="Q212" t="s">
        <v>198</v>
      </c>
      <c r="R212" s="32" t="s">
        <v>7472</v>
      </c>
      <c r="S212" t="s">
        <v>7476</v>
      </c>
      <c r="T212" s="34" t="s">
        <v>7476</v>
      </c>
      <c r="U212" s="34" t="s">
        <v>7476</v>
      </c>
      <c r="V212" s="32" t="s">
        <v>7476</v>
      </c>
      <c r="W212" s="32" t="s">
        <v>7476</v>
      </c>
      <c r="X212">
        <v>0</v>
      </c>
      <c r="Y212" s="34" t="s">
        <v>7476</v>
      </c>
      <c r="Z212" s="34" t="s">
        <v>7476</v>
      </c>
      <c r="AA212" s="34" t="s">
        <v>7476</v>
      </c>
      <c r="AB212" s="36" t="s">
        <v>95</v>
      </c>
      <c r="AD212" t="s">
        <v>728</v>
      </c>
      <c r="AE212" t="s">
        <v>729</v>
      </c>
      <c r="AF212" s="16">
        <v>45085</v>
      </c>
      <c r="AG212" t="s">
        <v>64</v>
      </c>
      <c r="AH212">
        <v>3</v>
      </c>
      <c r="AI212" s="8" t="str">
        <f>IFERROR(R212-AF212,"")</f>
        <v/>
      </c>
      <c r="AJ212" s="8">
        <f>IFERROR(O212-AF212,"")</f>
        <v>73.715324074073578</v>
      </c>
      <c r="AK212" s="38" t="str">
        <f t="shared" si="75"/>
        <v/>
      </c>
      <c r="AL212" t="str">
        <f>IFERROR(Z212-W212,"")</f>
        <v/>
      </c>
      <c r="AM212" t="str">
        <f>IFERROR(R212-J212,"")</f>
        <v/>
      </c>
      <c r="AN212" t="str">
        <f>IFERROR(V212-O212,"")</f>
        <v/>
      </c>
      <c r="AO212">
        <f>IFERROR(J212-I212,"")</f>
        <v>1</v>
      </c>
      <c r="AP212">
        <f>IFERROR(AC212-X212,"")</f>
        <v>0</v>
      </c>
      <c r="AQ212" t="str">
        <f>IFERROR(AA212-W212,"")</f>
        <v/>
      </c>
    </row>
    <row r="213" spans="1:43" x14ac:dyDescent="0.35">
      <c r="A213">
        <v>2552</v>
      </c>
      <c r="B213" t="s">
        <v>730</v>
      </c>
      <c r="C213" t="s">
        <v>213</v>
      </c>
      <c r="D213" t="str">
        <f t="shared" si="73"/>
        <v>Program Office</v>
      </c>
      <c r="E213" t="s">
        <v>694</v>
      </c>
      <c r="F213" t="s">
        <v>695</v>
      </c>
      <c r="G213" t="s">
        <v>696</v>
      </c>
      <c r="H213" t="s">
        <v>697</v>
      </c>
      <c r="I213" s="32">
        <v>45142.715324074074</v>
      </c>
      <c r="J213" s="32">
        <v>45146.715324074074</v>
      </c>
      <c r="K213" s="32">
        <v>45148.715324074074</v>
      </c>
      <c r="L213" s="8">
        <f t="shared" si="74"/>
        <v>6</v>
      </c>
      <c r="M213" s="7">
        <v>45161.715324074074</v>
      </c>
      <c r="N213" t="s">
        <v>49</v>
      </c>
      <c r="O213" s="34">
        <v>45158.715324074074</v>
      </c>
      <c r="P213" t="s">
        <v>101</v>
      </c>
      <c r="R213" s="32">
        <v>45160.715324074074</v>
      </c>
      <c r="S213" t="s">
        <v>101</v>
      </c>
      <c r="T213" s="34">
        <v>45160.715324074074</v>
      </c>
      <c r="U213" s="34">
        <v>45162.715324074074</v>
      </c>
      <c r="V213" s="32">
        <v>45159.715324074074</v>
      </c>
      <c r="W213" s="32">
        <v>45162.715324074074</v>
      </c>
      <c r="X213">
        <v>1</v>
      </c>
      <c r="Y213" s="34">
        <v>45165.715324074074</v>
      </c>
      <c r="Z213" s="34">
        <v>45167.715324074074</v>
      </c>
      <c r="AA213" s="34">
        <v>45170.715324074074</v>
      </c>
      <c r="AB213" s="36" t="s">
        <v>7476</v>
      </c>
      <c r="AC213" s="10">
        <v>45184.715324074074</v>
      </c>
      <c r="AD213" t="s">
        <v>731</v>
      </c>
      <c r="AE213" t="s">
        <v>732</v>
      </c>
      <c r="AF213" s="16">
        <v>45141</v>
      </c>
      <c r="AG213" t="s">
        <v>68</v>
      </c>
      <c r="AH213">
        <v>6</v>
      </c>
      <c r="AI213" s="8">
        <f>IFERROR(R213-AF213,"")</f>
        <v>19.715324074073578</v>
      </c>
      <c r="AJ213" s="8">
        <f>IFERROR(O213-AF213,"")</f>
        <v>17.715324074073578</v>
      </c>
      <c r="AK213" s="38">
        <f t="shared" si="75"/>
        <v>45339.715324074074</v>
      </c>
      <c r="AL213">
        <f>IFERROR(Z213-W213,"")</f>
        <v>5</v>
      </c>
      <c r="AM213">
        <f>IFERROR(R213-J213,"")</f>
        <v>14</v>
      </c>
      <c r="AN213">
        <f>IFERROR(V213-O213,"")</f>
        <v>1</v>
      </c>
      <c r="AO213">
        <f>IFERROR(J213-I213,"")</f>
        <v>4</v>
      </c>
      <c r="AP213">
        <f>IFERROR(AC213-X213,"")</f>
        <v>45183.715324074074</v>
      </c>
      <c r="AQ213">
        <f>IFERROR(AA213-W213,"")</f>
        <v>8</v>
      </c>
    </row>
    <row r="214" spans="1:43" x14ac:dyDescent="0.35">
      <c r="A214">
        <v>2511</v>
      </c>
      <c r="B214" t="s">
        <v>733</v>
      </c>
      <c r="C214" t="s">
        <v>217</v>
      </c>
      <c r="D214" t="str">
        <f t="shared" si="73"/>
        <v>Program Office</v>
      </c>
      <c r="E214" t="s">
        <v>694</v>
      </c>
      <c r="F214" t="s">
        <v>695</v>
      </c>
      <c r="G214" t="s">
        <v>696</v>
      </c>
      <c r="H214" t="s">
        <v>697</v>
      </c>
      <c r="I214" s="32">
        <v>45174.133263888893</v>
      </c>
      <c r="J214" s="32">
        <v>45175.133263888893</v>
      </c>
      <c r="K214" s="32">
        <v>45177.133263888893</v>
      </c>
      <c r="L214" s="8">
        <f t="shared" si="74"/>
        <v>3</v>
      </c>
      <c r="M214" s="7">
        <v>45195.133263888893</v>
      </c>
      <c r="N214" t="s">
        <v>49</v>
      </c>
      <c r="O214" s="34">
        <v>45182.133263888893</v>
      </c>
      <c r="P214" t="s">
        <v>60</v>
      </c>
      <c r="R214" s="32">
        <v>45184.133263888893</v>
      </c>
      <c r="S214" t="s">
        <v>61</v>
      </c>
      <c r="T214" s="34" t="s">
        <v>7476</v>
      </c>
      <c r="U214" s="34" t="s">
        <v>7476</v>
      </c>
      <c r="V214" s="32">
        <v>45183.133263888893</v>
      </c>
      <c r="W214" s="32" t="s">
        <v>7476</v>
      </c>
      <c r="X214">
        <v>0</v>
      </c>
      <c r="Y214" s="34" t="s">
        <v>7476</v>
      </c>
      <c r="Z214" s="34" t="s">
        <v>7476</v>
      </c>
      <c r="AA214" s="34" t="s">
        <v>7476</v>
      </c>
      <c r="AB214" s="36" t="s">
        <v>7476</v>
      </c>
      <c r="AD214" t="s">
        <v>734</v>
      </c>
      <c r="AE214" t="s">
        <v>735</v>
      </c>
      <c r="AF214" s="16">
        <v>45164</v>
      </c>
      <c r="AG214" t="s">
        <v>68</v>
      </c>
      <c r="AH214">
        <v>6</v>
      </c>
      <c r="AI214" s="8">
        <f>IFERROR(R214-AF214,"")</f>
        <v>20.133263888892543</v>
      </c>
      <c r="AJ214" s="8">
        <f>IFERROR(O214-AF214,"")</f>
        <v>18.133263888892543</v>
      </c>
      <c r="AK214" s="38">
        <f t="shared" si="75"/>
        <v>45363.133263888893</v>
      </c>
      <c r="AL214" t="str">
        <f>IFERROR(Z214-W214,"")</f>
        <v/>
      </c>
      <c r="AM214">
        <f>IFERROR(R214-J214,"")</f>
        <v>9</v>
      </c>
      <c r="AN214">
        <f>IFERROR(V214-O214,"")</f>
        <v>1</v>
      </c>
      <c r="AO214">
        <f>IFERROR(J214-I214,"")</f>
        <v>1</v>
      </c>
      <c r="AP214">
        <f>IFERROR(AC214-X214,"")</f>
        <v>0</v>
      </c>
      <c r="AQ214" t="str">
        <f>IFERROR(AA214-W214,"")</f>
        <v/>
      </c>
    </row>
    <row r="215" spans="1:43" x14ac:dyDescent="0.35">
      <c r="A215">
        <v>2460</v>
      </c>
      <c r="B215" t="s">
        <v>736</v>
      </c>
      <c r="C215" t="s">
        <v>202</v>
      </c>
      <c r="D215" t="str">
        <f t="shared" si="73"/>
        <v>Program Office</v>
      </c>
      <c r="E215" t="s">
        <v>694</v>
      </c>
      <c r="F215" t="s">
        <v>695</v>
      </c>
      <c r="G215" t="s">
        <v>696</v>
      </c>
      <c r="H215" t="s">
        <v>697</v>
      </c>
      <c r="I215" s="32">
        <v>45163.069826388892</v>
      </c>
      <c r="J215" s="32" t="s">
        <v>7471</v>
      </c>
      <c r="K215" s="32">
        <v>45167.069826388892</v>
      </c>
      <c r="L215" s="8">
        <f t="shared" si="74"/>
        <v>4</v>
      </c>
      <c r="M215" s="7">
        <v>45177.069826388892</v>
      </c>
      <c r="N215" t="s">
        <v>49</v>
      </c>
      <c r="O215" s="34">
        <v>45183.069826388892</v>
      </c>
      <c r="P215" t="s">
        <v>60</v>
      </c>
      <c r="R215" s="32">
        <v>45187.069826388892</v>
      </c>
      <c r="S215" t="s">
        <v>61</v>
      </c>
      <c r="T215" s="34" t="s">
        <v>7476</v>
      </c>
      <c r="U215" s="34" t="s">
        <v>7476</v>
      </c>
      <c r="V215" s="32">
        <v>45186.069826388892</v>
      </c>
      <c r="W215" s="32" t="s">
        <v>7476</v>
      </c>
      <c r="X215">
        <v>0</v>
      </c>
      <c r="Y215" s="34" t="s">
        <v>7476</v>
      </c>
      <c r="Z215" s="34" t="s">
        <v>7476</v>
      </c>
      <c r="AA215" s="34" t="s">
        <v>7476</v>
      </c>
      <c r="AB215" s="36" t="s">
        <v>7476</v>
      </c>
      <c r="AD215" t="s">
        <v>737</v>
      </c>
      <c r="AE215" t="s">
        <v>738</v>
      </c>
      <c r="AF215" s="16">
        <v>45116</v>
      </c>
      <c r="AG215" t="s">
        <v>75</v>
      </c>
      <c r="AH215">
        <v>3</v>
      </c>
      <c r="AK215" s="38">
        <f t="shared" si="75"/>
        <v>45276.069826388892</v>
      </c>
    </row>
    <row r="216" spans="1:43" x14ac:dyDescent="0.35">
      <c r="A216">
        <v>2444</v>
      </c>
      <c r="B216" t="s">
        <v>739</v>
      </c>
      <c r="C216" t="s">
        <v>202</v>
      </c>
      <c r="D216" t="str">
        <f t="shared" si="73"/>
        <v>Program Office</v>
      </c>
      <c r="E216" t="s">
        <v>694</v>
      </c>
      <c r="F216" t="s">
        <v>695</v>
      </c>
      <c r="G216" t="s">
        <v>696</v>
      </c>
      <c r="H216" t="s">
        <v>697</v>
      </c>
      <c r="I216" s="32">
        <v>44868.772222222222</v>
      </c>
      <c r="J216" s="32">
        <v>44869.772222222222</v>
      </c>
      <c r="K216" s="32">
        <v>44873.772222222222</v>
      </c>
      <c r="L216" s="8">
        <f t="shared" si="74"/>
        <v>5</v>
      </c>
      <c r="M216" s="7">
        <v>44886.772222222222</v>
      </c>
      <c r="N216" t="s">
        <v>49</v>
      </c>
      <c r="O216" s="34">
        <v>44888.772222222222</v>
      </c>
      <c r="P216" t="s">
        <v>50</v>
      </c>
      <c r="Q216" t="s">
        <v>198</v>
      </c>
      <c r="R216" s="32" t="s">
        <v>7472</v>
      </c>
      <c r="S216" t="s">
        <v>7476</v>
      </c>
      <c r="T216" s="34" t="s">
        <v>7476</v>
      </c>
      <c r="U216" s="34" t="s">
        <v>7476</v>
      </c>
      <c r="V216" s="32" t="s">
        <v>7476</v>
      </c>
      <c r="W216" s="32" t="s">
        <v>7476</v>
      </c>
      <c r="X216">
        <v>0</v>
      </c>
      <c r="Y216" s="34" t="s">
        <v>7476</v>
      </c>
      <c r="Z216" s="34" t="s">
        <v>7476</v>
      </c>
      <c r="AA216" s="34" t="s">
        <v>7476</v>
      </c>
      <c r="AB216" s="36" t="s">
        <v>52</v>
      </c>
      <c r="AD216" t="s">
        <v>740</v>
      </c>
      <c r="AE216" t="s">
        <v>741</v>
      </c>
      <c r="AF216" s="16">
        <v>44906</v>
      </c>
      <c r="AG216" t="s">
        <v>68</v>
      </c>
      <c r="AH216">
        <v>6</v>
      </c>
      <c r="AI216" s="8" t="str">
        <f>IFERROR(R216-AF216,"")</f>
        <v/>
      </c>
      <c r="AJ216" s="8">
        <f>IFERROR(O216-AF216,"")</f>
        <v>-17.227777777778101</v>
      </c>
      <c r="AK216" s="38" t="str">
        <f t="shared" si="75"/>
        <v/>
      </c>
      <c r="AL216" t="str">
        <f>IFERROR(Z216-W216,"")</f>
        <v/>
      </c>
      <c r="AM216" t="str">
        <f>IFERROR(R216-J216,"")</f>
        <v/>
      </c>
      <c r="AN216" t="str">
        <f>IFERROR(V216-O216,"")</f>
        <v/>
      </c>
      <c r="AO216">
        <f>IFERROR(J216-I216,"")</f>
        <v>1</v>
      </c>
      <c r="AP216">
        <f>IFERROR(AC216-X216,"")</f>
        <v>0</v>
      </c>
      <c r="AQ216" t="str">
        <f>IFERROR(AA216-W216,"")</f>
        <v/>
      </c>
    </row>
    <row r="217" spans="1:43" x14ac:dyDescent="0.35">
      <c r="A217">
        <v>2410</v>
      </c>
      <c r="B217" t="s">
        <v>742</v>
      </c>
      <c r="C217" t="s">
        <v>202</v>
      </c>
      <c r="D217" t="str">
        <f t="shared" si="73"/>
        <v>Program Office</v>
      </c>
      <c r="E217" t="s">
        <v>694</v>
      </c>
      <c r="F217" t="s">
        <v>695</v>
      </c>
      <c r="G217" t="s">
        <v>696</v>
      </c>
      <c r="H217" t="s">
        <v>697</v>
      </c>
      <c r="I217" s="32">
        <v>45013.0859837963</v>
      </c>
      <c r="J217" s="32">
        <v>45017.0859837963</v>
      </c>
      <c r="K217" s="32">
        <v>45022.0859837963</v>
      </c>
      <c r="L217" s="8">
        <f t="shared" si="74"/>
        <v>9</v>
      </c>
      <c r="M217" s="7">
        <v>45032.0859837963</v>
      </c>
      <c r="N217" t="s">
        <v>49</v>
      </c>
      <c r="O217" s="34">
        <v>45023.0859837963</v>
      </c>
      <c r="P217" t="s">
        <v>50</v>
      </c>
      <c r="Q217" t="s">
        <v>125</v>
      </c>
      <c r="R217" s="32" t="s">
        <v>7472</v>
      </c>
      <c r="S217" t="s">
        <v>7476</v>
      </c>
      <c r="T217" s="34" t="s">
        <v>7476</v>
      </c>
      <c r="U217" s="34" t="s">
        <v>7476</v>
      </c>
      <c r="V217" s="32" t="s">
        <v>7476</v>
      </c>
      <c r="W217" s="32" t="s">
        <v>7476</v>
      </c>
      <c r="X217">
        <v>0</v>
      </c>
      <c r="Y217" s="34" t="s">
        <v>7476</v>
      </c>
      <c r="Z217" s="34" t="s">
        <v>7476</v>
      </c>
      <c r="AA217" s="34" t="s">
        <v>7476</v>
      </c>
      <c r="AB217" s="36" t="s">
        <v>95</v>
      </c>
      <c r="AD217" t="s">
        <v>743</v>
      </c>
      <c r="AE217" t="s">
        <v>744</v>
      </c>
      <c r="AF217" s="16">
        <v>45006</v>
      </c>
      <c r="AG217" t="s">
        <v>98</v>
      </c>
      <c r="AH217">
        <v>6</v>
      </c>
      <c r="AI217" s="8" t="str">
        <f>IFERROR(R217-AF217,"")</f>
        <v/>
      </c>
      <c r="AJ217" s="8">
        <f>IFERROR(O217-AF217,"")</f>
        <v>17.085983796299843</v>
      </c>
      <c r="AK217" s="38" t="str">
        <f t="shared" si="75"/>
        <v/>
      </c>
      <c r="AL217" t="str">
        <f>IFERROR(Z217-W217,"")</f>
        <v/>
      </c>
      <c r="AM217" t="str">
        <f>IFERROR(R217-J217,"")</f>
        <v/>
      </c>
      <c r="AN217" t="str">
        <f>IFERROR(V217-O217,"")</f>
        <v/>
      </c>
      <c r="AO217">
        <f>IFERROR(J217-I217,"")</f>
        <v>4</v>
      </c>
      <c r="AP217">
        <f>IFERROR(AC217-X217,"")</f>
        <v>0</v>
      </c>
      <c r="AQ217" t="str">
        <f>IFERROR(AA217-W217,"")</f>
        <v/>
      </c>
    </row>
    <row r="218" spans="1:43" x14ac:dyDescent="0.35">
      <c r="A218">
        <v>2405</v>
      </c>
      <c r="B218" t="s">
        <v>745</v>
      </c>
      <c r="C218" t="s">
        <v>202</v>
      </c>
      <c r="D218" t="str">
        <f t="shared" si="73"/>
        <v>Program Office</v>
      </c>
      <c r="E218" t="s">
        <v>694</v>
      </c>
      <c r="F218" t="s">
        <v>695</v>
      </c>
      <c r="G218" t="s">
        <v>696</v>
      </c>
      <c r="H218" t="s">
        <v>697</v>
      </c>
      <c r="I218" s="32">
        <v>45015.0859837963</v>
      </c>
      <c r="J218" s="32">
        <v>45016.0859837963</v>
      </c>
      <c r="K218" s="32">
        <v>45022.0859837963</v>
      </c>
      <c r="L218" s="8">
        <f t="shared" si="74"/>
        <v>7</v>
      </c>
      <c r="M218" s="7">
        <v>45036.0859837963</v>
      </c>
      <c r="N218" t="s">
        <v>49</v>
      </c>
      <c r="O218" s="34">
        <v>45029.0859837963</v>
      </c>
      <c r="P218" t="s">
        <v>50</v>
      </c>
      <c r="Q218" t="s">
        <v>125</v>
      </c>
      <c r="R218" s="32" t="s">
        <v>7472</v>
      </c>
      <c r="S218" t="s">
        <v>7476</v>
      </c>
      <c r="T218" s="34" t="s">
        <v>7476</v>
      </c>
      <c r="U218" s="34" t="s">
        <v>7476</v>
      </c>
      <c r="V218" s="32" t="s">
        <v>7476</v>
      </c>
      <c r="W218" s="32" t="s">
        <v>7476</v>
      </c>
      <c r="X218">
        <v>0</v>
      </c>
      <c r="Y218" s="34" t="s">
        <v>7476</v>
      </c>
      <c r="Z218" s="34" t="s">
        <v>7476</v>
      </c>
      <c r="AA218" s="34" t="s">
        <v>7476</v>
      </c>
      <c r="AB218" s="36" t="s">
        <v>95</v>
      </c>
      <c r="AD218" t="s">
        <v>746</v>
      </c>
      <c r="AE218" t="s">
        <v>747</v>
      </c>
      <c r="AF218" s="16">
        <v>45111</v>
      </c>
      <c r="AG218" t="s">
        <v>98</v>
      </c>
      <c r="AH218">
        <v>3</v>
      </c>
      <c r="AI218" s="8" t="str">
        <f>IFERROR(R218-AF218,"")</f>
        <v/>
      </c>
      <c r="AJ218" s="8">
        <f>IFERROR(O218-AF218,"")</f>
        <v>-81.914016203700157</v>
      </c>
      <c r="AK218" s="38" t="str">
        <f t="shared" si="75"/>
        <v/>
      </c>
      <c r="AL218" t="str">
        <f>IFERROR(Z218-W218,"")</f>
        <v/>
      </c>
      <c r="AM218" t="str">
        <f>IFERROR(R218-J218,"")</f>
        <v/>
      </c>
      <c r="AN218" t="str">
        <f>IFERROR(V218-O218,"")</f>
        <v/>
      </c>
      <c r="AO218">
        <f>IFERROR(J218-I218,"")</f>
        <v>1</v>
      </c>
      <c r="AP218">
        <f>IFERROR(AC218-X218,"")</f>
        <v>0</v>
      </c>
      <c r="AQ218" t="str">
        <f>IFERROR(AA218-W218,"")</f>
        <v/>
      </c>
    </row>
    <row r="219" spans="1:43" x14ac:dyDescent="0.35">
      <c r="A219">
        <v>2388</v>
      </c>
      <c r="B219" t="s">
        <v>748</v>
      </c>
      <c r="C219" t="s">
        <v>217</v>
      </c>
      <c r="D219" t="str">
        <f t="shared" si="73"/>
        <v>Program Office</v>
      </c>
      <c r="E219" t="s">
        <v>694</v>
      </c>
      <c r="F219" t="s">
        <v>695</v>
      </c>
      <c r="G219" t="s">
        <v>696</v>
      </c>
      <c r="H219" t="s">
        <v>697</v>
      </c>
      <c r="I219" s="32">
        <v>45029.529537037037</v>
      </c>
      <c r="J219" s="32">
        <v>45033.529537037037</v>
      </c>
      <c r="K219" s="32" t="s">
        <v>7473</v>
      </c>
      <c r="L219" s="8" t="str">
        <f t="shared" si="74"/>
        <v/>
      </c>
      <c r="M219" s="7">
        <v>45053.529537037037</v>
      </c>
      <c r="N219" t="s">
        <v>49</v>
      </c>
      <c r="O219" s="34">
        <v>45046.529537037037</v>
      </c>
      <c r="P219" t="s">
        <v>50</v>
      </c>
      <c r="Q219" t="s">
        <v>198</v>
      </c>
      <c r="R219" s="32" t="s">
        <v>7472</v>
      </c>
      <c r="S219" t="s">
        <v>7476</v>
      </c>
      <c r="T219" s="34" t="s">
        <v>7476</v>
      </c>
      <c r="U219" s="34" t="s">
        <v>7476</v>
      </c>
      <c r="V219" s="32">
        <v>45050.529537037037</v>
      </c>
      <c r="W219" s="32" t="s">
        <v>7476</v>
      </c>
      <c r="X219">
        <v>0</v>
      </c>
      <c r="Y219" s="34" t="s">
        <v>7476</v>
      </c>
      <c r="Z219" s="34" t="s">
        <v>7476</v>
      </c>
      <c r="AA219" s="34" t="s">
        <v>7476</v>
      </c>
      <c r="AB219" s="36" t="s">
        <v>95</v>
      </c>
      <c r="AD219" t="s">
        <v>749</v>
      </c>
      <c r="AE219" t="s">
        <v>750</v>
      </c>
      <c r="AF219" s="16">
        <v>45034</v>
      </c>
      <c r="AG219" t="s">
        <v>98</v>
      </c>
      <c r="AH219">
        <v>6</v>
      </c>
      <c r="AK219" s="38">
        <f t="shared" si="75"/>
        <v>45230.529537037037</v>
      </c>
    </row>
    <row r="220" spans="1:43" x14ac:dyDescent="0.35">
      <c r="A220">
        <v>2320</v>
      </c>
      <c r="B220" t="s">
        <v>751</v>
      </c>
      <c r="C220" t="s">
        <v>213</v>
      </c>
      <c r="D220" t="str">
        <f t="shared" si="73"/>
        <v>Program Office</v>
      </c>
      <c r="E220" t="s">
        <v>694</v>
      </c>
      <c r="F220" t="s">
        <v>695</v>
      </c>
      <c r="G220" t="s">
        <v>696</v>
      </c>
      <c r="H220" t="s">
        <v>697</v>
      </c>
      <c r="I220" s="32">
        <v>44672.037303240737</v>
      </c>
      <c r="J220" s="32">
        <v>44676.037303240737</v>
      </c>
      <c r="K220" s="32">
        <v>44677.037303240737</v>
      </c>
      <c r="L220" s="8">
        <f t="shared" si="74"/>
        <v>5</v>
      </c>
      <c r="M220" s="7">
        <v>44692.037303240737</v>
      </c>
      <c r="N220" t="s">
        <v>49</v>
      </c>
      <c r="O220" s="34">
        <v>44692.037303240737</v>
      </c>
      <c r="P220" t="s">
        <v>50</v>
      </c>
      <c r="Q220" t="s">
        <v>84</v>
      </c>
      <c r="R220" s="32" t="s">
        <v>7472</v>
      </c>
      <c r="S220" t="s">
        <v>7476</v>
      </c>
      <c r="T220" s="34" t="s">
        <v>7476</v>
      </c>
      <c r="U220" s="34" t="s">
        <v>7476</v>
      </c>
      <c r="V220" s="32" t="s">
        <v>7476</v>
      </c>
      <c r="W220" s="32" t="s">
        <v>7476</v>
      </c>
      <c r="X220">
        <v>0</v>
      </c>
      <c r="Y220" s="34" t="s">
        <v>7476</v>
      </c>
      <c r="Z220" s="34" t="s">
        <v>7476</v>
      </c>
      <c r="AA220" s="34" t="s">
        <v>7476</v>
      </c>
      <c r="AB220" s="36" t="s">
        <v>95</v>
      </c>
      <c r="AD220" t="s">
        <v>752</v>
      </c>
      <c r="AE220" t="s">
        <v>753</v>
      </c>
      <c r="AF220" s="16">
        <v>44683</v>
      </c>
      <c r="AG220" t="s">
        <v>98</v>
      </c>
      <c r="AH220">
        <v>6</v>
      </c>
      <c r="AI220" s="8" t="str">
        <f>IFERROR(R220-AF220,"")</f>
        <v/>
      </c>
      <c r="AJ220" s="8">
        <f>IFERROR(O220-AF220,"")</f>
        <v>9.0373032407369465</v>
      </c>
      <c r="AK220" s="38" t="str">
        <f t="shared" si="75"/>
        <v/>
      </c>
      <c r="AL220" t="str">
        <f>IFERROR(Z220-W220,"")</f>
        <v/>
      </c>
      <c r="AM220" t="str">
        <f>IFERROR(R220-J220,"")</f>
        <v/>
      </c>
      <c r="AN220" t="str">
        <f>IFERROR(V220-O220,"")</f>
        <v/>
      </c>
      <c r="AO220">
        <f>IFERROR(J220-I220,"")</f>
        <v>4</v>
      </c>
      <c r="AP220">
        <f>IFERROR(AC220-X220,"")</f>
        <v>0</v>
      </c>
      <c r="AQ220" t="str">
        <f>IFERROR(AA220-W220,"")</f>
        <v/>
      </c>
    </row>
    <row r="221" spans="1:43" x14ac:dyDescent="0.35">
      <c r="A221">
        <v>2262</v>
      </c>
      <c r="B221" t="s">
        <v>754</v>
      </c>
      <c r="C221" t="s">
        <v>213</v>
      </c>
      <c r="D221" t="str">
        <f t="shared" si="73"/>
        <v>Program Office</v>
      </c>
      <c r="E221" t="s">
        <v>694</v>
      </c>
      <c r="F221" t="s">
        <v>695</v>
      </c>
      <c r="G221" t="s">
        <v>696</v>
      </c>
      <c r="H221" t="s">
        <v>697</v>
      </c>
      <c r="I221" s="32">
        <v>45031.937696759262</v>
      </c>
      <c r="J221" s="32">
        <v>45035.937696759262</v>
      </c>
      <c r="K221" s="32">
        <v>45036.937696759262</v>
      </c>
      <c r="L221" s="8">
        <f t="shared" si="74"/>
        <v>5</v>
      </c>
      <c r="M221" s="7">
        <v>45050.937696759262</v>
      </c>
      <c r="N221" t="s">
        <v>72</v>
      </c>
      <c r="O221" s="34" t="s">
        <v>7474</v>
      </c>
      <c r="R221" s="32" t="s">
        <v>7472</v>
      </c>
      <c r="S221" t="s">
        <v>7476</v>
      </c>
      <c r="T221" s="34" t="s">
        <v>7476</v>
      </c>
      <c r="U221" s="34" t="s">
        <v>7476</v>
      </c>
      <c r="V221" s="32" t="s">
        <v>7476</v>
      </c>
      <c r="W221" s="32" t="s">
        <v>7476</v>
      </c>
      <c r="X221">
        <v>0</v>
      </c>
      <c r="Y221" s="34" t="s">
        <v>7476</v>
      </c>
      <c r="Z221" s="34" t="s">
        <v>7476</v>
      </c>
      <c r="AA221" s="34" t="s">
        <v>7476</v>
      </c>
      <c r="AB221" s="36" t="s">
        <v>7476</v>
      </c>
      <c r="AD221" t="s">
        <v>755</v>
      </c>
      <c r="AE221" t="s">
        <v>756</v>
      </c>
      <c r="AG221" t="s">
        <v>64</v>
      </c>
      <c r="AH221">
        <v>6</v>
      </c>
      <c r="AI221" s="8" t="str">
        <f>IFERROR(R221-AF221,"")</f>
        <v/>
      </c>
      <c r="AJ221" s="8" t="str">
        <f>IFERROR(O221-AF221,"")</f>
        <v/>
      </c>
      <c r="AK221" s="38" t="str">
        <f t="shared" si="75"/>
        <v/>
      </c>
      <c r="AL221" t="str">
        <f>IFERROR(Z221-W221,"")</f>
        <v/>
      </c>
      <c r="AM221" t="str">
        <f>IFERROR(R221-J221,"")</f>
        <v/>
      </c>
      <c r="AN221" t="str">
        <f>IFERROR(V221-O221,"")</f>
        <v/>
      </c>
      <c r="AO221">
        <f>IFERROR(J221-I221,"")</f>
        <v>4</v>
      </c>
      <c r="AP221">
        <f>IFERROR(AC221-X221,"")</f>
        <v>0</v>
      </c>
      <c r="AQ221" t="str">
        <f>IFERROR(AA221-W221,"")</f>
        <v/>
      </c>
    </row>
    <row r="222" spans="1:43" x14ac:dyDescent="0.35">
      <c r="A222">
        <v>2249</v>
      </c>
      <c r="B222" t="s">
        <v>757</v>
      </c>
      <c r="C222" t="s">
        <v>202</v>
      </c>
      <c r="D222" t="str">
        <f t="shared" si="73"/>
        <v>Program Office</v>
      </c>
      <c r="E222" t="s">
        <v>694</v>
      </c>
      <c r="F222" t="s">
        <v>758</v>
      </c>
      <c r="G222" t="s">
        <v>759</v>
      </c>
      <c r="H222" t="s">
        <v>697</v>
      </c>
      <c r="I222" s="32">
        <v>44919.601747685178</v>
      </c>
      <c r="J222" s="32">
        <v>44923.601747685178</v>
      </c>
      <c r="K222" s="32">
        <v>44929.601747685178</v>
      </c>
      <c r="L222" s="8">
        <f t="shared" si="74"/>
        <v>10</v>
      </c>
      <c r="M222" s="7">
        <v>44952.601747685178</v>
      </c>
      <c r="N222" t="s">
        <v>49</v>
      </c>
      <c r="O222" s="34">
        <v>44939.601747685178</v>
      </c>
      <c r="P222" t="s">
        <v>50</v>
      </c>
      <c r="Q222" t="s">
        <v>198</v>
      </c>
      <c r="R222" s="32" t="s">
        <v>7472</v>
      </c>
      <c r="S222" t="s">
        <v>7476</v>
      </c>
      <c r="T222" s="34" t="s">
        <v>7476</v>
      </c>
      <c r="U222" s="34" t="s">
        <v>7476</v>
      </c>
      <c r="V222" s="32">
        <v>44941.601747685178</v>
      </c>
      <c r="W222" s="32" t="s">
        <v>7476</v>
      </c>
      <c r="X222">
        <v>0</v>
      </c>
      <c r="Y222" s="34" t="s">
        <v>7476</v>
      </c>
      <c r="Z222" s="34" t="s">
        <v>7476</v>
      </c>
      <c r="AA222" s="34" t="s">
        <v>7476</v>
      </c>
      <c r="AB222" s="36" t="s">
        <v>95</v>
      </c>
      <c r="AD222" t="s">
        <v>760</v>
      </c>
      <c r="AE222" t="s">
        <v>761</v>
      </c>
      <c r="AF222" s="16">
        <v>45017</v>
      </c>
      <c r="AG222" t="s">
        <v>68</v>
      </c>
      <c r="AH222">
        <v>6</v>
      </c>
      <c r="AI222" s="8" t="str">
        <f>IFERROR(R222-AF222,"")</f>
        <v/>
      </c>
      <c r="AJ222" s="8">
        <f>IFERROR(O222-AF222,"")</f>
        <v>-77.398252314822457</v>
      </c>
      <c r="AK222" s="38">
        <f t="shared" si="75"/>
        <v>45121.601747685178</v>
      </c>
      <c r="AL222" t="str">
        <f>IFERROR(Z222-W222,"")</f>
        <v/>
      </c>
      <c r="AM222" t="str">
        <f>IFERROR(R222-J222,"")</f>
        <v/>
      </c>
      <c r="AN222">
        <f>IFERROR(V222-O222,"")</f>
        <v>2</v>
      </c>
      <c r="AO222">
        <f>IFERROR(J222-I222,"")</f>
        <v>4</v>
      </c>
      <c r="AP222">
        <f>IFERROR(AC222-X222,"")</f>
        <v>0</v>
      </c>
      <c r="AQ222" t="str">
        <f>IFERROR(AA222-W222,"")</f>
        <v/>
      </c>
    </row>
    <row r="223" spans="1:43" x14ac:dyDescent="0.35">
      <c r="A223">
        <v>2248</v>
      </c>
      <c r="B223" t="s">
        <v>762</v>
      </c>
      <c r="C223" t="s">
        <v>213</v>
      </c>
      <c r="D223" t="str">
        <f t="shared" si="73"/>
        <v>Program Office</v>
      </c>
      <c r="E223" t="s">
        <v>694</v>
      </c>
      <c r="F223" t="s">
        <v>758</v>
      </c>
      <c r="G223" t="s">
        <v>759</v>
      </c>
      <c r="H223" t="s">
        <v>697</v>
      </c>
      <c r="I223" s="32" t="s">
        <v>7471</v>
      </c>
      <c r="J223" s="32">
        <v>44923.601747685178</v>
      </c>
      <c r="K223" s="32">
        <v>44929.601747685178</v>
      </c>
      <c r="L223" s="8" t="str">
        <f t="shared" si="74"/>
        <v/>
      </c>
      <c r="M223" s="7">
        <v>44959.601747685178</v>
      </c>
      <c r="N223" t="s">
        <v>49</v>
      </c>
      <c r="O223" s="34">
        <v>44937.601747685178</v>
      </c>
      <c r="P223" t="s">
        <v>50</v>
      </c>
      <c r="Q223" t="s">
        <v>198</v>
      </c>
      <c r="R223" s="32" t="s">
        <v>7472</v>
      </c>
      <c r="S223" t="s">
        <v>7476</v>
      </c>
      <c r="T223" s="34" t="s">
        <v>7476</v>
      </c>
      <c r="U223" s="34" t="s">
        <v>7476</v>
      </c>
      <c r="V223" s="32">
        <v>44938.601747685178</v>
      </c>
      <c r="W223" s="32" t="s">
        <v>7476</v>
      </c>
      <c r="X223">
        <v>0</v>
      </c>
      <c r="Y223" s="34" t="s">
        <v>7476</v>
      </c>
      <c r="Z223" s="34" t="s">
        <v>7476</v>
      </c>
      <c r="AA223" s="34" t="s">
        <v>7476</v>
      </c>
      <c r="AB223" s="36" t="s">
        <v>95</v>
      </c>
      <c r="AD223" t="s">
        <v>763</v>
      </c>
      <c r="AE223" t="s">
        <v>764</v>
      </c>
      <c r="AF223" s="16">
        <v>44923</v>
      </c>
      <c r="AG223" t="s">
        <v>98</v>
      </c>
      <c r="AH223">
        <v>6</v>
      </c>
      <c r="AK223" s="38">
        <f t="shared" si="75"/>
        <v>45118.601747685178</v>
      </c>
    </row>
    <row r="224" spans="1:43" x14ac:dyDescent="0.35">
      <c r="A224">
        <v>2244</v>
      </c>
      <c r="B224" t="s">
        <v>765</v>
      </c>
      <c r="C224" t="s">
        <v>202</v>
      </c>
      <c r="D224" t="str">
        <f t="shared" si="73"/>
        <v>Program Office</v>
      </c>
      <c r="E224" t="s">
        <v>694</v>
      </c>
      <c r="F224" t="s">
        <v>758</v>
      </c>
      <c r="G224" t="s">
        <v>759</v>
      </c>
      <c r="H224" t="s">
        <v>697</v>
      </c>
      <c r="I224" s="32">
        <v>44924.601747685178</v>
      </c>
      <c r="J224" s="32">
        <v>44925.601747685178</v>
      </c>
      <c r="K224" s="32">
        <v>44929.601747685178</v>
      </c>
      <c r="L224" s="8">
        <f t="shared" si="74"/>
        <v>5</v>
      </c>
      <c r="M224" s="7">
        <v>44952.601747685178</v>
      </c>
      <c r="N224" t="s">
        <v>49</v>
      </c>
      <c r="O224" s="34">
        <v>44941.601747685178</v>
      </c>
      <c r="P224" t="s">
        <v>101</v>
      </c>
      <c r="R224" s="32">
        <v>44949.601747685178</v>
      </c>
      <c r="S224" t="s">
        <v>101</v>
      </c>
      <c r="T224" s="34">
        <v>44942.601747685178</v>
      </c>
      <c r="U224" s="34">
        <v>44945.601747685178</v>
      </c>
      <c r="V224" s="32">
        <v>44945.601747685178</v>
      </c>
      <c r="W224" s="32">
        <v>44946.601747685178</v>
      </c>
      <c r="X224">
        <v>1</v>
      </c>
      <c r="Y224" s="34">
        <v>44950.601747685178</v>
      </c>
      <c r="Z224" s="34">
        <v>44951.601747685178</v>
      </c>
      <c r="AA224" s="34">
        <v>44954.601747685178</v>
      </c>
      <c r="AB224" s="36" t="s">
        <v>7476</v>
      </c>
      <c r="AC224" s="10">
        <v>44962.601747685178</v>
      </c>
      <c r="AD224" t="s">
        <v>766</v>
      </c>
      <c r="AE224" t="s">
        <v>767</v>
      </c>
      <c r="AF224" s="16">
        <v>44925</v>
      </c>
      <c r="AG224" t="s">
        <v>64</v>
      </c>
      <c r="AH224">
        <v>3</v>
      </c>
      <c r="AI224" s="8">
        <f>IFERROR(R224-AF224,"")</f>
        <v>24.601747685177543</v>
      </c>
      <c r="AJ224" s="8">
        <f>IFERROR(O224-AF224,"")</f>
        <v>16.601747685177543</v>
      </c>
      <c r="AK224" s="38">
        <f t="shared" si="75"/>
        <v>45035.601747685178</v>
      </c>
      <c r="AL224">
        <f>IFERROR(Z224-W224,"")</f>
        <v>5</v>
      </c>
      <c r="AM224">
        <f>IFERROR(R224-J224,"")</f>
        <v>24</v>
      </c>
      <c r="AN224">
        <f>IFERROR(V224-O224,"")</f>
        <v>4</v>
      </c>
      <c r="AO224">
        <f>IFERROR(J224-I224,"")</f>
        <v>1</v>
      </c>
      <c r="AP224">
        <f>IFERROR(AC224-X224,"")</f>
        <v>44961.601747685178</v>
      </c>
      <c r="AQ224">
        <f>IFERROR(AA224-W224,"")</f>
        <v>8</v>
      </c>
    </row>
    <row r="225" spans="1:43" x14ac:dyDescent="0.35">
      <c r="A225">
        <v>2219</v>
      </c>
      <c r="B225" t="s">
        <v>768</v>
      </c>
      <c r="C225" t="s">
        <v>213</v>
      </c>
      <c r="D225" t="str">
        <f t="shared" si="73"/>
        <v>Program Office</v>
      </c>
      <c r="E225" t="s">
        <v>694</v>
      </c>
      <c r="F225" t="s">
        <v>758</v>
      </c>
      <c r="G225" t="s">
        <v>759</v>
      </c>
      <c r="H225" t="s">
        <v>697</v>
      </c>
      <c r="I225" s="32" t="s">
        <v>7471</v>
      </c>
      <c r="J225" s="32">
        <v>44644.873194444437</v>
      </c>
      <c r="K225" s="32">
        <v>44648.873194444437</v>
      </c>
      <c r="L225" s="8" t="str">
        <f t="shared" si="74"/>
        <v/>
      </c>
      <c r="M225" s="7">
        <v>44669.873194444437</v>
      </c>
      <c r="N225" t="s">
        <v>49</v>
      </c>
      <c r="O225" s="34">
        <v>44652.873194444437</v>
      </c>
      <c r="P225" t="s">
        <v>101</v>
      </c>
      <c r="R225" s="32">
        <v>44659.873194444437</v>
      </c>
      <c r="S225" t="s">
        <v>101</v>
      </c>
      <c r="T225" s="34">
        <v>44653.873194444437</v>
      </c>
      <c r="U225" s="34">
        <v>44654.873194444437</v>
      </c>
      <c r="V225" s="32">
        <v>44656.873194444437</v>
      </c>
      <c r="W225" s="32">
        <v>44661.873194444437</v>
      </c>
      <c r="X225">
        <v>1</v>
      </c>
      <c r="Y225" s="34">
        <v>44663.873194444437</v>
      </c>
      <c r="Z225" s="34">
        <v>44664.873194444437</v>
      </c>
      <c r="AA225" s="34">
        <v>44667.873194444437</v>
      </c>
      <c r="AB225" s="36" t="s">
        <v>7476</v>
      </c>
      <c r="AC225" s="10">
        <v>44676.873194444437</v>
      </c>
      <c r="AD225" t="s">
        <v>769</v>
      </c>
      <c r="AE225" t="s">
        <v>770</v>
      </c>
      <c r="AF225" s="16">
        <v>44638</v>
      </c>
      <c r="AG225" t="s">
        <v>93</v>
      </c>
      <c r="AH225">
        <v>3</v>
      </c>
      <c r="AK225" s="38">
        <f t="shared" si="75"/>
        <v>44746.873194444437</v>
      </c>
    </row>
    <row r="226" spans="1:43" x14ac:dyDescent="0.35">
      <c r="A226">
        <v>2218</v>
      </c>
      <c r="B226" t="s">
        <v>771</v>
      </c>
      <c r="C226" t="s">
        <v>202</v>
      </c>
      <c r="D226" t="str">
        <f t="shared" si="73"/>
        <v>Program Office</v>
      </c>
      <c r="E226" t="s">
        <v>694</v>
      </c>
      <c r="F226" t="s">
        <v>758</v>
      </c>
      <c r="G226" t="s">
        <v>759</v>
      </c>
      <c r="H226" t="s">
        <v>697</v>
      </c>
      <c r="I226" s="32">
        <v>44644.873194444437</v>
      </c>
      <c r="J226" s="32">
        <v>44646.873194444437</v>
      </c>
      <c r="K226" s="32">
        <v>44648.873194444437</v>
      </c>
      <c r="L226" s="8">
        <f t="shared" si="74"/>
        <v>4</v>
      </c>
      <c r="M226" s="7">
        <v>44659.873194444437</v>
      </c>
      <c r="N226" t="s">
        <v>49</v>
      </c>
      <c r="O226" s="34">
        <v>44651.873194444437</v>
      </c>
      <c r="P226" t="s">
        <v>50</v>
      </c>
      <c r="Q226" t="s">
        <v>51</v>
      </c>
      <c r="R226" s="32" t="s">
        <v>7472</v>
      </c>
      <c r="S226" t="s">
        <v>7476</v>
      </c>
      <c r="T226" s="34" t="s">
        <v>7476</v>
      </c>
      <c r="U226" s="34" t="s">
        <v>7476</v>
      </c>
      <c r="V226" s="32">
        <v>44655.873194444437</v>
      </c>
      <c r="W226" s="32" t="s">
        <v>7476</v>
      </c>
      <c r="X226">
        <v>0</v>
      </c>
      <c r="Y226" s="34" t="s">
        <v>7476</v>
      </c>
      <c r="Z226" s="34" t="s">
        <v>7476</v>
      </c>
      <c r="AA226" s="34" t="s">
        <v>7476</v>
      </c>
      <c r="AB226" s="36" t="s">
        <v>52</v>
      </c>
      <c r="AD226" t="s">
        <v>772</v>
      </c>
      <c r="AE226" t="s">
        <v>773</v>
      </c>
      <c r="AF226" s="16">
        <v>44645</v>
      </c>
      <c r="AG226" t="s">
        <v>64</v>
      </c>
      <c r="AH226">
        <v>3</v>
      </c>
      <c r="AI226" s="8" t="str">
        <f>IFERROR(R226-AF226,"")</f>
        <v/>
      </c>
      <c r="AJ226" s="8">
        <f>IFERROR(O226-AF226,"")</f>
        <v>6.8731944444371038</v>
      </c>
      <c r="AK226" s="38">
        <f t="shared" si="75"/>
        <v>44745.873194444437</v>
      </c>
      <c r="AL226" t="str">
        <f>IFERROR(Z226-W226,"")</f>
        <v/>
      </c>
      <c r="AM226" t="str">
        <f>IFERROR(R226-J226,"")</f>
        <v/>
      </c>
      <c r="AN226">
        <f>IFERROR(V226-O226,"")</f>
        <v>4</v>
      </c>
      <c r="AO226">
        <f>IFERROR(J226-I226,"")</f>
        <v>2</v>
      </c>
      <c r="AP226">
        <f>IFERROR(AC226-X226,"")</f>
        <v>0</v>
      </c>
      <c r="AQ226" t="str">
        <f>IFERROR(AA226-W226,"")</f>
        <v/>
      </c>
    </row>
    <row r="227" spans="1:43" x14ac:dyDescent="0.35">
      <c r="A227">
        <v>2212</v>
      </c>
      <c r="B227" t="s">
        <v>774</v>
      </c>
      <c r="C227" t="s">
        <v>213</v>
      </c>
      <c r="D227" t="str">
        <f t="shared" si="73"/>
        <v>Program Office</v>
      </c>
      <c r="E227" t="s">
        <v>694</v>
      </c>
      <c r="F227" t="s">
        <v>758</v>
      </c>
      <c r="G227" t="s">
        <v>759</v>
      </c>
      <c r="H227" t="s">
        <v>697</v>
      </c>
      <c r="I227" s="32">
        <v>44645.873194444437</v>
      </c>
      <c r="J227" s="32">
        <v>44646.873194444437</v>
      </c>
      <c r="K227" s="32">
        <v>44648.873194444437</v>
      </c>
      <c r="L227" s="8">
        <f t="shared" si="74"/>
        <v>3</v>
      </c>
      <c r="M227" s="7">
        <v>44671.873194444437</v>
      </c>
      <c r="N227" t="s">
        <v>72</v>
      </c>
      <c r="O227" s="34" t="s">
        <v>7474</v>
      </c>
      <c r="R227" s="32" t="s">
        <v>7472</v>
      </c>
      <c r="S227" t="s">
        <v>7476</v>
      </c>
      <c r="T227" s="34" t="s">
        <v>7476</v>
      </c>
      <c r="U227" s="34" t="s">
        <v>7476</v>
      </c>
      <c r="V227" s="32" t="s">
        <v>7476</v>
      </c>
      <c r="W227" s="32" t="s">
        <v>7476</v>
      </c>
      <c r="X227">
        <v>0</v>
      </c>
      <c r="Y227" s="34" t="s">
        <v>7476</v>
      </c>
      <c r="Z227" s="34" t="s">
        <v>7476</v>
      </c>
      <c r="AA227" s="34" t="s">
        <v>7476</v>
      </c>
      <c r="AB227" s="36" t="s">
        <v>7476</v>
      </c>
      <c r="AD227" t="s">
        <v>775</v>
      </c>
      <c r="AE227" t="s">
        <v>776</v>
      </c>
      <c r="AG227" t="s">
        <v>64</v>
      </c>
      <c r="AH227">
        <v>6</v>
      </c>
      <c r="AI227" s="8" t="str">
        <f>IFERROR(R227-AF227,"")</f>
        <v/>
      </c>
      <c r="AJ227" s="8" t="str">
        <f>IFERROR(O227-AF227,"")</f>
        <v/>
      </c>
      <c r="AK227" s="38" t="str">
        <f t="shared" si="75"/>
        <v/>
      </c>
      <c r="AL227" t="str">
        <f>IFERROR(Z227-W227,"")</f>
        <v/>
      </c>
      <c r="AM227" t="str">
        <f>IFERROR(R227-J227,"")</f>
        <v/>
      </c>
      <c r="AN227" t="str">
        <f>IFERROR(V227-O227,"")</f>
        <v/>
      </c>
      <c r="AO227">
        <f>IFERROR(J227-I227,"")</f>
        <v>1</v>
      </c>
      <c r="AP227">
        <f>IFERROR(AC227-X227,"")</f>
        <v>0</v>
      </c>
      <c r="AQ227" t="str">
        <f>IFERROR(AA227-W227,"")</f>
        <v/>
      </c>
    </row>
    <row r="228" spans="1:43" x14ac:dyDescent="0.35">
      <c r="A228">
        <v>2170</v>
      </c>
      <c r="B228" t="s">
        <v>777</v>
      </c>
      <c r="C228" t="s">
        <v>213</v>
      </c>
      <c r="D228" t="str">
        <f t="shared" si="73"/>
        <v>Program Office</v>
      </c>
      <c r="E228" t="s">
        <v>694</v>
      </c>
      <c r="F228" t="s">
        <v>758</v>
      </c>
      <c r="G228" t="s">
        <v>759</v>
      </c>
      <c r="H228" t="s">
        <v>697</v>
      </c>
      <c r="I228" s="32">
        <v>44796.082037037027</v>
      </c>
      <c r="J228" s="32" t="s">
        <v>7471</v>
      </c>
      <c r="K228" s="32">
        <v>44802.082037037027</v>
      </c>
      <c r="L228" s="8">
        <f t="shared" si="74"/>
        <v>6</v>
      </c>
      <c r="M228" s="7">
        <v>44821.082037037027</v>
      </c>
      <c r="N228" t="s">
        <v>49</v>
      </c>
      <c r="O228" s="34">
        <v>44815.082037037027</v>
      </c>
      <c r="P228" t="s">
        <v>392</v>
      </c>
      <c r="R228" s="32">
        <v>44821.082037037027</v>
      </c>
      <c r="S228" t="s">
        <v>392</v>
      </c>
      <c r="T228" s="34" t="s">
        <v>7476</v>
      </c>
      <c r="U228" s="34" t="s">
        <v>7476</v>
      </c>
      <c r="V228" s="32">
        <v>44817.082037037027</v>
      </c>
      <c r="W228" s="32" t="s">
        <v>7476</v>
      </c>
      <c r="X228">
        <v>0</v>
      </c>
      <c r="Y228" s="34" t="s">
        <v>7476</v>
      </c>
      <c r="Z228" s="34" t="s">
        <v>7476</v>
      </c>
      <c r="AA228" s="34" t="s">
        <v>7476</v>
      </c>
      <c r="AB228" s="36" t="s">
        <v>7476</v>
      </c>
      <c r="AD228" t="s">
        <v>778</v>
      </c>
      <c r="AE228" t="s">
        <v>779</v>
      </c>
      <c r="AF228" s="16">
        <v>44802</v>
      </c>
      <c r="AG228" t="s">
        <v>68</v>
      </c>
      <c r="AH228">
        <v>3</v>
      </c>
      <c r="AK228" s="38">
        <f t="shared" si="75"/>
        <v>44907.082037037027</v>
      </c>
    </row>
    <row r="229" spans="1:43" x14ac:dyDescent="0.35">
      <c r="A229">
        <v>2168</v>
      </c>
      <c r="B229" t="s">
        <v>780</v>
      </c>
      <c r="C229" t="s">
        <v>213</v>
      </c>
      <c r="D229" t="str">
        <f t="shared" si="73"/>
        <v>Program Office</v>
      </c>
      <c r="E229" t="s">
        <v>694</v>
      </c>
      <c r="F229" t="s">
        <v>758</v>
      </c>
      <c r="G229" t="s">
        <v>759</v>
      </c>
      <c r="H229" t="s">
        <v>697</v>
      </c>
      <c r="I229" s="32">
        <v>44794.082037037027</v>
      </c>
      <c r="J229" s="32">
        <v>44798.082037037027</v>
      </c>
      <c r="K229" s="32" t="s">
        <v>7473</v>
      </c>
      <c r="L229" s="8" t="str">
        <f t="shared" si="74"/>
        <v/>
      </c>
      <c r="M229" s="7">
        <v>44818.082037037027</v>
      </c>
      <c r="N229" t="s">
        <v>72</v>
      </c>
      <c r="O229" s="34" t="s">
        <v>7474</v>
      </c>
      <c r="R229" s="32" t="s">
        <v>7472</v>
      </c>
      <c r="S229" t="s">
        <v>7476</v>
      </c>
      <c r="T229" s="34" t="s">
        <v>7476</v>
      </c>
      <c r="U229" s="34" t="s">
        <v>7476</v>
      </c>
      <c r="V229" s="32" t="s">
        <v>7476</v>
      </c>
      <c r="W229" s="32" t="s">
        <v>7476</v>
      </c>
      <c r="X229">
        <v>0</v>
      </c>
      <c r="Y229" s="34" t="s">
        <v>7476</v>
      </c>
      <c r="Z229" s="34" t="s">
        <v>7476</v>
      </c>
      <c r="AA229" s="34" t="s">
        <v>7476</v>
      </c>
      <c r="AB229" s="36" t="s">
        <v>7476</v>
      </c>
      <c r="AD229" t="s">
        <v>781</v>
      </c>
      <c r="AE229" t="s">
        <v>782</v>
      </c>
      <c r="AG229" t="s">
        <v>93</v>
      </c>
      <c r="AH229">
        <v>6</v>
      </c>
      <c r="AK229" s="38" t="str">
        <f t="shared" si="75"/>
        <v/>
      </c>
    </row>
    <row r="230" spans="1:43" x14ac:dyDescent="0.35">
      <c r="A230">
        <v>2162</v>
      </c>
      <c r="B230" t="s">
        <v>783</v>
      </c>
      <c r="C230" t="s">
        <v>213</v>
      </c>
      <c r="D230" t="str">
        <f t="shared" si="73"/>
        <v>Program Office</v>
      </c>
      <c r="E230" t="s">
        <v>694</v>
      </c>
      <c r="F230" t="s">
        <v>758</v>
      </c>
      <c r="G230" t="s">
        <v>759</v>
      </c>
      <c r="H230" t="s">
        <v>697</v>
      </c>
      <c r="I230" s="32">
        <v>44796.082037037027</v>
      </c>
      <c r="J230" s="32">
        <v>44798.082037037027</v>
      </c>
      <c r="K230" s="32" t="s">
        <v>7473</v>
      </c>
      <c r="L230" s="8" t="str">
        <f t="shared" si="74"/>
        <v/>
      </c>
      <c r="M230" s="7">
        <v>44832.082037037027</v>
      </c>
      <c r="N230" t="s">
        <v>49</v>
      </c>
      <c r="O230" s="34">
        <v>44805.082037037027</v>
      </c>
      <c r="P230" t="s">
        <v>60</v>
      </c>
      <c r="R230" s="32">
        <v>44813.082037037027</v>
      </c>
      <c r="S230" t="s">
        <v>61</v>
      </c>
      <c r="T230" s="34" t="s">
        <v>7476</v>
      </c>
      <c r="U230" s="34" t="s">
        <v>7476</v>
      </c>
      <c r="V230" s="32">
        <v>44809.082037037027</v>
      </c>
      <c r="W230" s="32" t="s">
        <v>7476</v>
      </c>
      <c r="X230">
        <v>0</v>
      </c>
      <c r="Y230" s="34" t="s">
        <v>7476</v>
      </c>
      <c r="Z230" s="34" t="s">
        <v>7476</v>
      </c>
      <c r="AA230" s="34" t="s">
        <v>7476</v>
      </c>
      <c r="AB230" s="36" t="s">
        <v>7476</v>
      </c>
      <c r="AD230" t="s">
        <v>784</v>
      </c>
      <c r="AE230" t="s">
        <v>785</v>
      </c>
      <c r="AF230" s="16">
        <v>44798</v>
      </c>
      <c r="AG230" t="s">
        <v>64</v>
      </c>
      <c r="AH230">
        <v>6</v>
      </c>
      <c r="AK230" s="38">
        <f t="shared" si="75"/>
        <v>44989.082037037027</v>
      </c>
    </row>
    <row r="231" spans="1:43" x14ac:dyDescent="0.35">
      <c r="A231">
        <v>2124</v>
      </c>
      <c r="B231" t="s">
        <v>786</v>
      </c>
      <c r="C231" t="s">
        <v>202</v>
      </c>
      <c r="D231" t="str">
        <f t="shared" si="73"/>
        <v>Program Office</v>
      </c>
      <c r="E231" t="s">
        <v>694</v>
      </c>
      <c r="F231" t="s">
        <v>758</v>
      </c>
      <c r="G231" t="s">
        <v>759</v>
      </c>
      <c r="H231" t="s">
        <v>697</v>
      </c>
      <c r="I231" s="32">
        <v>44927.473356481481</v>
      </c>
      <c r="J231" s="32">
        <v>44929.473356481481</v>
      </c>
      <c r="K231" s="32" t="s">
        <v>7473</v>
      </c>
      <c r="L231" s="8" t="str">
        <f t="shared" si="74"/>
        <v/>
      </c>
      <c r="M231" s="7">
        <v>44965.473356481481</v>
      </c>
      <c r="N231" t="s">
        <v>72</v>
      </c>
      <c r="O231" s="34" t="s">
        <v>7474</v>
      </c>
      <c r="R231" s="32" t="s">
        <v>7472</v>
      </c>
      <c r="S231" t="s">
        <v>7476</v>
      </c>
      <c r="T231" s="34" t="s">
        <v>7476</v>
      </c>
      <c r="U231" s="34" t="s">
        <v>7476</v>
      </c>
      <c r="V231" s="32" t="s">
        <v>7476</v>
      </c>
      <c r="W231" s="32" t="s">
        <v>7476</v>
      </c>
      <c r="X231">
        <v>0</v>
      </c>
      <c r="Y231" s="34" t="s">
        <v>7476</v>
      </c>
      <c r="Z231" s="34" t="s">
        <v>7476</v>
      </c>
      <c r="AA231" s="34" t="s">
        <v>7476</v>
      </c>
      <c r="AB231" s="36" t="s">
        <v>7476</v>
      </c>
      <c r="AD231" t="s">
        <v>787</v>
      </c>
      <c r="AE231" t="s">
        <v>788</v>
      </c>
      <c r="AG231" t="s">
        <v>75</v>
      </c>
      <c r="AH231">
        <v>6</v>
      </c>
      <c r="AK231" s="38" t="str">
        <f t="shared" si="75"/>
        <v/>
      </c>
    </row>
    <row r="232" spans="1:43" x14ac:dyDescent="0.35">
      <c r="A232">
        <v>2123</v>
      </c>
      <c r="B232" t="s">
        <v>789</v>
      </c>
      <c r="C232" t="s">
        <v>202</v>
      </c>
      <c r="D232" t="str">
        <f t="shared" si="73"/>
        <v>Program Office</v>
      </c>
      <c r="E232" t="s">
        <v>694</v>
      </c>
      <c r="F232" t="s">
        <v>758</v>
      </c>
      <c r="G232" t="s">
        <v>759</v>
      </c>
      <c r="H232" t="s">
        <v>697</v>
      </c>
      <c r="I232" s="32">
        <v>44929.473356481481</v>
      </c>
      <c r="J232" s="32">
        <v>44931.473356481481</v>
      </c>
      <c r="K232" s="32">
        <v>44935.473356481481</v>
      </c>
      <c r="L232" s="8">
        <f t="shared" si="74"/>
        <v>6</v>
      </c>
      <c r="M232" s="7">
        <v>44949.473356481481</v>
      </c>
      <c r="N232" t="s">
        <v>49</v>
      </c>
      <c r="O232" s="34">
        <v>44938.473356481481</v>
      </c>
      <c r="P232" t="s">
        <v>60</v>
      </c>
      <c r="R232" s="32">
        <v>44945.473356481481</v>
      </c>
      <c r="S232" t="s">
        <v>61</v>
      </c>
      <c r="T232" s="34" t="s">
        <v>7476</v>
      </c>
      <c r="U232" s="34" t="s">
        <v>7476</v>
      </c>
      <c r="V232" s="32">
        <v>44941.473356481481</v>
      </c>
      <c r="W232" s="32" t="s">
        <v>7476</v>
      </c>
      <c r="X232">
        <v>0</v>
      </c>
      <c r="Y232" s="34" t="s">
        <v>7476</v>
      </c>
      <c r="Z232" s="34" t="s">
        <v>7476</v>
      </c>
      <c r="AA232" s="34" t="s">
        <v>7476</v>
      </c>
      <c r="AB232" s="36" t="s">
        <v>7476</v>
      </c>
      <c r="AD232" t="s">
        <v>790</v>
      </c>
      <c r="AE232" t="s">
        <v>791</v>
      </c>
      <c r="AF232" s="16">
        <v>44926</v>
      </c>
      <c r="AG232" t="s">
        <v>68</v>
      </c>
      <c r="AH232">
        <v>3</v>
      </c>
      <c r="AI232" s="8">
        <f>IFERROR(R232-AF232,"")</f>
        <v>19.47335648148146</v>
      </c>
      <c r="AJ232" s="8">
        <f>IFERROR(O232-AF232,"")</f>
        <v>12.47335648148146</v>
      </c>
      <c r="AK232" s="38">
        <f t="shared" si="75"/>
        <v>45031.473356481481</v>
      </c>
      <c r="AL232" t="str">
        <f>IFERROR(Z232-W232,"")</f>
        <v/>
      </c>
      <c r="AM232">
        <f>IFERROR(R232-J232,"")</f>
        <v>14</v>
      </c>
      <c r="AN232">
        <f>IFERROR(V232-O232,"")</f>
        <v>3</v>
      </c>
      <c r="AO232">
        <f>IFERROR(J232-I232,"")</f>
        <v>2</v>
      </c>
      <c r="AP232">
        <f>IFERROR(AC232-X232,"")</f>
        <v>0</v>
      </c>
      <c r="AQ232" t="str">
        <f>IFERROR(AA232-W232,"")</f>
        <v/>
      </c>
    </row>
    <row r="233" spans="1:43" x14ac:dyDescent="0.35">
      <c r="A233">
        <v>2121</v>
      </c>
      <c r="B233" t="s">
        <v>792</v>
      </c>
      <c r="C233" t="s">
        <v>217</v>
      </c>
      <c r="D233" t="str">
        <f t="shared" si="73"/>
        <v>Program Office</v>
      </c>
      <c r="E233" t="s">
        <v>694</v>
      </c>
      <c r="F233" t="s">
        <v>758</v>
      </c>
      <c r="G233" t="s">
        <v>759</v>
      </c>
      <c r="H233" t="s">
        <v>697</v>
      </c>
      <c r="I233" s="32">
        <v>44926.473356481481</v>
      </c>
      <c r="J233" s="32">
        <v>44930.473356481481</v>
      </c>
      <c r="K233" s="32">
        <v>44935.473356481481</v>
      </c>
      <c r="L233" s="8">
        <f t="shared" si="74"/>
        <v>9</v>
      </c>
      <c r="M233" s="7">
        <v>44961.473356481481</v>
      </c>
      <c r="N233" t="s">
        <v>72</v>
      </c>
      <c r="O233" s="34" t="s">
        <v>7474</v>
      </c>
      <c r="R233" s="32" t="s">
        <v>7472</v>
      </c>
      <c r="S233" t="s">
        <v>7476</v>
      </c>
      <c r="T233" s="34" t="s">
        <v>7476</v>
      </c>
      <c r="U233" s="34" t="s">
        <v>7476</v>
      </c>
      <c r="V233" s="32" t="s">
        <v>7476</v>
      </c>
      <c r="W233" s="32" t="s">
        <v>7476</v>
      </c>
      <c r="X233">
        <v>0</v>
      </c>
      <c r="Y233" s="34" t="s">
        <v>7476</v>
      </c>
      <c r="Z233" s="34" t="s">
        <v>7476</v>
      </c>
      <c r="AA233" s="34" t="s">
        <v>7476</v>
      </c>
      <c r="AB233" s="36" t="s">
        <v>7476</v>
      </c>
      <c r="AD233" t="s">
        <v>793</v>
      </c>
      <c r="AE233" t="s">
        <v>794</v>
      </c>
      <c r="AG233" t="s">
        <v>68</v>
      </c>
      <c r="AH233">
        <v>6</v>
      </c>
      <c r="AI233" s="8" t="str">
        <f>IFERROR(R233-AF233,"")</f>
        <v/>
      </c>
      <c r="AJ233" s="8" t="str">
        <f>IFERROR(O233-AF233,"")</f>
        <v/>
      </c>
      <c r="AK233" s="38" t="str">
        <f t="shared" si="75"/>
        <v/>
      </c>
      <c r="AL233" t="str">
        <f>IFERROR(Z233-W233,"")</f>
        <v/>
      </c>
      <c r="AM233" t="str">
        <f>IFERROR(R233-J233,"")</f>
        <v/>
      </c>
      <c r="AN233" t="str">
        <f>IFERROR(V233-O233,"")</f>
        <v/>
      </c>
      <c r="AO233">
        <f>IFERROR(J233-I233,"")</f>
        <v>4</v>
      </c>
      <c r="AP233">
        <f>IFERROR(AC233-X233,"")</f>
        <v>0</v>
      </c>
      <c r="AQ233" t="str">
        <f>IFERROR(AA233-W233,"")</f>
        <v/>
      </c>
    </row>
    <row r="234" spans="1:43" x14ac:dyDescent="0.35">
      <c r="A234">
        <v>2118</v>
      </c>
      <c r="B234" t="s">
        <v>795</v>
      </c>
      <c r="C234" t="s">
        <v>217</v>
      </c>
      <c r="D234" t="str">
        <f t="shared" si="73"/>
        <v>Program Office</v>
      </c>
      <c r="E234" t="s">
        <v>694</v>
      </c>
      <c r="F234" t="s">
        <v>758</v>
      </c>
      <c r="G234" t="s">
        <v>759</v>
      </c>
      <c r="H234" t="s">
        <v>697</v>
      </c>
      <c r="I234" s="32">
        <v>45029.055439814823</v>
      </c>
      <c r="J234" s="32">
        <v>45033.055439814823</v>
      </c>
      <c r="K234" s="32">
        <v>45038.055439814823</v>
      </c>
      <c r="L234" s="8">
        <f t="shared" si="74"/>
        <v>9</v>
      </c>
      <c r="M234" s="7">
        <v>45048.055439814823</v>
      </c>
      <c r="N234" t="s">
        <v>49</v>
      </c>
      <c r="O234" s="34">
        <v>45042.055439814823</v>
      </c>
      <c r="P234" t="s">
        <v>50</v>
      </c>
      <c r="Q234" t="s">
        <v>125</v>
      </c>
      <c r="R234" s="32" t="s">
        <v>7472</v>
      </c>
      <c r="S234" t="s">
        <v>7476</v>
      </c>
      <c r="T234" s="34" t="s">
        <v>7476</v>
      </c>
      <c r="U234" s="34" t="s">
        <v>7476</v>
      </c>
      <c r="V234" s="32">
        <v>45043.055439814823</v>
      </c>
      <c r="W234" s="32" t="s">
        <v>7476</v>
      </c>
      <c r="X234">
        <v>0</v>
      </c>
      <c r="Y234" s="34" t="s">
        <v>7476</v>
      </c>
      <c r="Z234" s="34" t="s">
        <v>7476</v>
      </c>
      <c r="AA234" s="34" t="s">
        <v>7476</v>
      </c>
      <c r="AB234" s="36" t="s">
        <v>52</v>
      </c>
      <c r="AD234" t="s">
        <v>796</v>
      </c>
      <c r="AE234" t="s">
        <v>797</v>
      </c>
      <c r="AF234" s="16">
        <v>45025</v>
      </c>
      <c r="AG234" t="s">
        <v>98</v>
      </c>
      <c r="AH234">
        <v>6</v>
      </c>
      <c r="AI234" s="8" t="str">
        <f>IFERROR(R234-AF234,"")</f>
        <v/>
      </c>
      <c r="AJ234" s="8">
        <f>IFERROR(O234-AF234,"")</f>
        <v>17.05543981482333</v>
      </c>
      <c r="AK234" s="38">
        <f t="shared" si="75"/>
        <v>45223.055439814823</v>
      </c>
      <c r="AL234" t="str">
        <f>IFERROR(Z234-W234,"")</f>
        <v/>
      </c>
      <c r="AM234" t="str">
        <f>IFERROR(R234-J234,"")</f>
        <v/>
      </c>
      <c r="AN234">
        <f>IFERROR(V234-O234,"")</f>
        <v>1</v>
      </c>
      <c r="AO234">
        <f>IFERROR(J234-I234,"")</f>
        <v>4</v>
      </c>
      <c r="AP234">
        <f>IFERROR(AC234-X234,"")</f>
        <v>0</v>
      </c>
      <c r="AQ234" t="str">
        <f>IFERROR(AA234-W234,"")</f>
        <v/>
      </c>
    </row>
    <row r="235" spans="1:43" x14ac:dyDescent="0.35">
      <c r="A235">
        <v>2112</v>
      </c>
      <c r="B235" t="s">
        <v>798</v>
      </c>
      <c r="C235" t="s">
        <v>213</v>
      </c>
      <c r="D235" t="str">
        <f t="shared" si="73"/>
        <v>Program Office</v>
      </c>
      <c r="E235" t="s">
        <v>694</v>
      </c>
      <c r="F235" t="s">
        <v>758</v>
      </c>
      <c r="G235" t="s">
        <v>759</v>
      </c>
      <c r="H235" t="s">
        <v>697</v>
      </c>
      <c r="I235" s="32">
        <v>45033.055439814823</v>
      </c>
      <c r="J235" s="32">
        <v>45036.055439814823</v>
      </c>
      <c r="K235" s="32">
        <v>45038.055439814823</v>
      </c>
      <c r="L235" s="8">
        <f t="shared" si="74"/>
        <v>5</v>
      </c>
      <c r="M235" s="7">
        <v>45046.055439814823</v>
      </c>
      <c r="N235" t="s">
        <v>49</v>
      </c>
      <c r="O235" s="34">
        <v>45047.055439814823</v>
      </c>
      <c r="P235" t="s">
        <v>50</v>
      </c>
      <c r="Q235" t="s">
        <v>84</v>
      </c>
      <c r="R235" s="32" t="s">
        <v>7472</v>
      </c>
      <c r="S235" t="s">
        <v>7476</v>
      </c>
      <c r="T235" s="34" t="s">
        <v>7476</v>
      </c>
      <c r="U235" s="34" t="s">
        <v>7476</v>
      </c>
      <c r="V235" s="32" t="s">
        <v>7476</v>
      </c>
      <c r="W235" s="32" t="s">
        <v>7476</v>
      </c>
      <c r="X235">
        <v>0</v>
      </c>
      <c r="Y235" s="34" t="s">
        <v>7476</v>
      </c>
      <c r="Z235" s="34" t="s">
        <v>7476</v>
      </c>
      <c r="AA235" s="34" t="s">
        <v>7476</v>
      </c>
      <c r="AB235" s="36" t="s">
        <v>52</v>
      </c>
      <c r="AD235" t="s">
        <v>799</v>
      </c>
      <c r="AE235" t="s">
        <v>800</v>
      </c>
      <c r="AF235" s="16">
        <v>45035</v>
      </c>
      <c r="AG235" t="s">
        <v>98</v>
      </c>
      <c r="AH235">
        <v>6</v>
      </c>
      <c r="AI235" s="8" t="str">
        <f>IFERROR(R235-AF235,"")</f>
        <v/>
      </c>
      <c r="AJ235" s="8">
        <f>IFERROR(O235-AF235,"")</f>
        <v>12.05543981482333</v>
      </c>
      <c r="AK235" s="38" t="str">
        <f t="shared" si="75"/>
        <v/>
      </c>
      <c r="AL235" t="str">
        <f>IFERROR(Z235-W235,"")</f>
        <v/>
      </c>
      <c r="AM235" t="str">
        <f>IFERROR(R235-J235,"")</f>
        <v/>
      </c>
      <c r="AN235" t="str">
        <f>IFERROR(V235-O235,"")</f>
        <v/>
      </c>
      <c r="AO235">
        <f>IFERROR(J235-I235,"")</f>
        <v>3</v>
      </c>
      <c r="AP235">
        <f>IFERROR(AC235-X235,"")</f>
        <v>0</v>
      </c>
      <c r="AQ235" t="str">
        <f>IFERROR(AA235-W235,"")</f>
        <v/>
      </c>
    </row>
    <row r="236" spans="1:43" x14ac:dyDescent="0.35">
      <c r="A236">
        <v>2061</v>
      </c>
      <c r="B236" t="s">
        <v>801</v>
      </c>
      <c r="C236" t="s">
        <v>202</v>
      </c>
      <c r="D236" t="str">
        <f t="shared" si="73"/>
        <v>Program Office</v>
      </c>
      <c r="E236" t="s">
        <v>694</v>
      </c>
      <c r="F236" t="s">
        <v>758</v>
      </c>
      <c r="G236" t="s">
        <v>759</v>
      </c>
      <c r="H236" t="s">
        <v>697</v>
      </c>
      <c r="I236" s="32">
        <v>44866.782581018517</v>
      </c>
      <c r="J236" s="32">
        <v>44870.782581018517</v>
      </c>
      <c r="K236" s="32">
        <v>44873.782581018517</v>
      </c>
      <c r="L236" s="8">
        <f t="shared" si="74"/>
        <v>7</v>
      </c>
      <c r="M236" s="7">
        <v>44899.782581018517</v>
      </c>
      <c r="N236" t="s">
        <v>49</v>
      </c>
      <c r="O236" s="34">
        <v>44878.782581018517</v>
      </c>
      <c r="P236" t="s">
        <v>50</v>
      </c>
      <c r="Q236" t="s">
        <v>198</v>
      </c>
      <c r="R236" s="32" t="s">
        <v>7472</v>
      </c>
      <c r="S236" t="s">
        <v>7476</v>
      </c>
      <c r="T236" s="34" t="s">
        <v>7476</v>
      </c>
      <c r="U236" s="34" t="s">
        <v>7476</v>
      </c>
      <c r="V236" s="32" t="s">
        <v>7476</v>
      </c>
      <c r="W236" s="32" t="s">
        <v>7476</v>
      </c>
      <c r="X236">
        <v>0</v>
      </c>
      <c r="Y236" s="34" t="s">
        <v>7476</v>
      </c>
      <c r="Z236" s="34" t="s">
        <v>7476</v>
      </c>
      <c r="AA236" s="34" t="s">
        <v>7476</v>
      </c>
      <c r="AB236" s="36" t="s">
        <v>52</v>
      </c>
      <c r="AD236" t="s">
        <v>802</v>
      </c>
      <c r="AE236" t="s">
        <v>803</v>
      </c>
      <c r="AF236" s="16">
        <v>44869</v>
      </c>
      <c r="AG236" t="s">
        <v>64</v>
      </c>
      <c r="AH236">
        <v>3</v>
      </c>
      <c r="AI236" s="8" t="str">
        <f>IFERROR(R236-AF236,"")</f>
        <v/>
      </c>
      <c r="AJ236" s="8">
        <f>IFERROR(O236-AF236,"")</f>
        <v>9.7825810185167938</v>
      </c>
      <c r="AK236" s="38" t="str">
        <f t="shared" si="75"/>
        <v/>
      </c>
      <c r="AL236" t="str">
        <f>IFERROR(Z236-W236,"")</f>
        <v/>
      </c>
      <c r="AM236" t="str">
        <f>IFERROR(R236-J236,"")</f>
        <v/>
      </c>
      <c r="AN236" t="str">
        <f>IFERROR(V236-O236,"")</f>
        <v/>
      </c>
      <c r="AO236">
        <f>IFERROR(J236-I236,"")</f>
        <v>4</v>
      </c>
      <c r="AP236">
        <f>IFERROR(AC236-X236,"")</f>
        <v>0</v>
      </c>
      <c r="AQ236" t="str">
        <f>IFERROR(AA236-W236,"")</f>
        <v/>
      </c>
    </row>
    <row r="237" spans="1:43" x14ac:dyDescent="0.35">
      <c r="A237">
        <v>2009</v>
      </c>
      <c r="B237" t="s">
        <v>804</v>
      </c>
      <c r="C237" t="s">
        <v>202</v>
      </c>
      <c r="D237" t="str">
        <f t="shared" si="73"/>
        <v>Program Office</v>
      </c>
      <c r="E237" t="s">
        <v>694</v>
      </c>
      <c r="F237" t="s">
        <v>758</v>
      </c>
      <c r="G237" t="s">
        <v>759</v>
      </c>
      <c r="H237" t="s">
        <v>697</v>
      </c>
      <c r="I237" s="32">
        <v>44748.13113425926</v>
      </c>
      <c r="J237" s="32">
        <v>44750.13113425926</v>
      </c>
      <c r="K237" s="32" t="s">
        <v>7473</v>
      </c>
      <c r="L237" s="8" t="str">
        <f t="shared" si="74"/>
        <v/>
      </c>
      <c r="M237" s="7">
        <v>44769.13113425926</v>
      </c>
      <c r="N237" t="s">
        <v>49</v>
      </c>
      <c r="O237" s="34">
        <v>44769.13113425926</v>
      </c>
      <c r="P237" t="s">
        <v>60</v>
      </c>
      <c r="R237" s="32">
        <v>44775.13113425926</v>
      </c>
      <c r="S237" t="s">
        <v>61</v>
      </c>
      <c r="T237" s="34" t="s">
        <v>7476</v>
      </c>
      <c r="U237" s="34" t="s">
        <v>7476</v>
      </c>
      <c r="V237" s="32">
        <v>44772.13113425926</v>
      </c>
      <c r="W237" s="32" t="s">
        <v>7476</v>
      </c>
      <c r="X237">
        <v>0</v>
      </c>
      <c r="Y237" s="34" t="s">
        <v>7476</v>
      </c>
      <c r="Z237" s="34" t="s">
        <v>7476</v>
      </c>
      <c r="AA237" s="34" t="s">
        <v>7476</v>
      </c>
      <c r="AB237" s="36" t="s">
        <v>7476</v>
      </c>
      <c r="AD237" t="s">
        <v>805</v>
      </c>
      <c r="AE237" t="s">
        <v>806</v>
      </c>
      <c r="AF237" s="16">
        <v>44763</v>
      </c>
      <c r="AG237" t="s">
        <v>64</v>
      </c>
      <c r="AH237">
        <v>3</v>
      </c>
      <c r="AK237" s="38">
        <f t="shared" si="75"/>
        <v>44862.13113425926</v>
      </c>
    </row>
    <row r="238" spans="1:43" x14ac:dyDescent="0.35">
      <c r="A238">
        <v>2007</v>
      </c>
      <c r="B238" t="s">
        <v>807</v>
      </c>
      <c r="C238" t="s">
        <v>213</v>
      </c>
      <c r="D238" t="str">
        <f t="shared" si="73"/>
        <v>Program Office</v>
      </c>
      <c r="E238" t="s">
        <v>694</v>
      </c>
      <c r="F238" t="s">
        <v>758</v>
      </c>
      <c r="G238" t="s">
        <v>759</v>
      </c>
      <c r="H238" t="s">
        <v>697</v>
      </c>
      <c r="I238" s="32">
        <v>44749.13113425926</v>
      </c>
      <c r="J238" s="32">
        <v>44750.13113425926</v>
      </c>
      <c r="K238" s="32">
        <v>44755.13113425926</v>
      </c>
      <c r="L238" s="8">
        <f t="shared" si="74"/>
        <v>6</v>
      </c>
      <c r="M238" s="7">
        <v>44770.13113425926</v>
      </c>
      <c r="N238" t="s">
        <v>49</v>
      </c>
      <c r="O238" s="34">
        <v>44764.13113425926</v>
      </c>
      <c r="P238" t="s">
        <v>101</v>
      </c>
      <c r="R238" s="32">
        <v>44769.13113425926</v>
      </c>
      <c r="S238" t="s">
        <v>101</v>
      </c>
      <c r="T238" s="34">
        <v>44766.13113425926</v>
      </c>
      <c r="U238" s="34">
        <v>44768.13113425926</v>
      </c>
      <c r="V238" s="32">
        <v>44765.13113425926</v>
      </c>
      <c r="W238" s="32">
        <v>44774.13113425926</v>
      </c>
      <c r="X238">
        <v>1</v>
      </c>
      <c r="Y238" s="34">
        <v>44778.13113425926</v>
      </c>
      <c r="Z238" s="34">
        <v>44780.13113425926</v>
      </c>
      <c r="AA238" s="34">
        <v>44782.13113425926</v>
      </c>
      <c r="AB238" s="36" t="s">
        <v>7476</v>
      </c>
      <c r="AC238" s="10">
        <v>44802.13113425926</v>
      </c>
      <c r="AD238" t="s">
        <v>808</v>
      </c>
      <c r="AE238" t="s">
        <v>809</v>
      </c>
      <c r="AF238" s="16">
        <v>44745</v>
      </c>
      <c r="AG238" t="s">
        <v>68</v>
      </c>
      <c r="AH238">
        <v>3</v>
      </c>
      <c r="AI238" s="8">
        <f>IFERROR(R238-AF238,"")</f>
        <v>24.131134259259852</v>
      </c>
      <c r="AJ238" s="8">
        <f>IFERROR(O238-AF238,"")</f>
        <v>19.131134259259852</v>
      </c>
      <c r="AK238" s="38">
        <f t="shared" si="75"/>
        <v>44855.13113425926</v>
      </c>
      <c r="AL238">
        <f>IFERROR(Z238-W238,"")</f>
        <v>6</v>
      </c>
      <c r="AM238">
        <f>IFERROR(R238-J238,"")</f>
        <v>19</v>
      </c>
      <c r="AN238">
        <f>IFERROR(V238-O238,"")</f>
        <v>1</v>
      </c>
      <c r="AO238">
        <f>IFERROR(J238-I238,"")</f>
        <v>1</v>
      </c>
      <c r="AP238">
        <f>IFERROR(AC238-X238,"")</f>
        <v>44801.13113425926</v>
      </c>
      <c r="AQ238">
        <f>IFERROR(AA238-W238,"")</f>
        <v>8</v>
      </c>
    </row>
    <row r="239" spans="1:43" x14ac:dyDescent="0.35">
      <c r="A239">
        <v>2003</v>
      </c>
      <c r="B239" t="s">
        <v>810</v>
      </c>
      <c r="C239" t="s">
        <v>217</v>
      </c>
      <c r="D239" t="str">
        <f t="shared" si="73"/>
        <v>Program Office</v>
      </c>
      <c r="E239" t="s">
        <v>694</v>
      </c>
      <c r="F239" t="s">
        <v>758</v>
      </c>
      <c r="G239" t="s">
        <v>759</v>
      </c>
      <c r="H239" t="s">
        <v>697</v>
      </c>
      <c r="I239" s="32">
        <v>44750.13113425926</v>
      </c>
      <c r="J239" s="32">
        <v>44751.13113425926</v>
      </c>
      <c r="K239" s="32">
        <v>44755.13113425926</v>
      </c>
      <c r="L239" s="8">
        <f t="shared" si="74"/>
        <v>5</v>
      </c>
      <c r="M239" s="7">
        <v>44769.13113425926</v>
      </c>
      <c r="N239" t="s">
        <v>49</v>
      </c>
      <c r="O239" s="34">
        <v>44762.13113425926</v>
      </c>
      <c r="P239" t="s">
        <v>50</v>
      </c>
      <c r="Q239" t="s">
        <v>51</v>
      </c>
      <c r="R239" s="32" t="s">
        <v>7472</v>
      </c>
      <c r="S239" t="s">
        <v>7476</v>
      </c>
      <c r="T239" s="34" t="s">
        <v>7476</v>
      </c>
      <c r="U239" s="34" t="s">
        <v>7476</v>
      </c>
      <c r="V239" s="32">
        <v>44766.13113425926</v>
      </c>
      <c r="W239" s="32" t="s">
        <v>7476</v>
      </c>
      <c r="X239">
        <v>0</v>
      </c>
      <c r="Y239" s="34" t="s">
        <v>7476</v>
      </c>
      <c r="Z239" s="34" t="s">
        <v>7476</v>
      </c>
      <c r="AA239" s="34" t="s">
        <v>7476</v>
      </c>
      <c r="AB239" s="36" t="s">
        <v>52</v>
      </c>
      <c r="AD239" t="s">
        <v>811</v>
      </c>
      <c r="AE239" t="s">
        <v>812</v>
      </c>
      <c r="AF239" s="16">
        <v>44753</v>
      </c>
      <c r="AG239" t="s">
        <v>68</v>
      </c>
      <c r="AH239">
        <v>6</v>
      </c>
      <c r="AI239" s="8" t="str">
        <f>IFERROR(R239-AF239,"")</f>
        <v/>
      </c>
      <c r="AJ239" s="8">
        <f>IFERROR(O239-AF239,"")</f>
        <v>9.1311342592598521</v>
      </c>
      <c r="AK239" s="38">
        <f t="shared" si="75"/>
        <v>44946.13113425926</v>
      </c>
      <c r="AL239" t="str">
        <f>IFERROR(Z239-W239,"")</f>
        <v/>
      </c>
      <c r="AM239" t="str">
        <f>IFERROR(R239-J239,"")</f>
        <v/>
      </c>
      <c r="AN239">
        <f>IFERROR(V239-O239,"")</f>
        <v>4</v>
      </c>
      <c r="AO239">
        <f>IFERROR(J239-I239,"")</f>
        <v>1</v>
      </c>
      <c r="AP239">
        <f>IFERROR(AC239-X239,"")</f>
        <v>0</v>
      </c>
      <c r="AQ239" t="str">
        <f>IFERROR(AA239-W239,"")</f>
        <v/>
      </c>
    </row>
    <row r="240" spans="1:43" x14ac:dyDescent="0.35">
      <c r="A240">
        <v>2002</v>
      </c>
      <c r="B240" t="s">
        <v>813</v>
      </c>
      <c r="C240" t="s">
        <v>213</v>
      </c>
      <c r="D240" t="str">
        <f t="shared" si="73"/>
        <v>Program Office</v>
      </c>
      <c r="E240" t="s">
        <v>694</v>
      </c>
      <c r="F240" t="s">
        <v>758</v>
      </c>
      <c r="G240" t="s">
        <v>759</v>
      </c>
      <c r="H240" t="s">
        <v>697</v>
      </c>
      <c r="I240" s="32">
        <v>44751.13113425926</v>
      </c>
      <c r="J240" s="32">
        <v>44754.13113425926</v>
      </c>
      <c r="K240" s="32">
        <v>44755.13113425926</v>
      </c>
      <c r="L240" s="8">
        <f t="shared" si="74"/>
        <v>4</v>
      </c>
      <c r="M240" s="7">
        <v>44770.13113425926</v>
      </c>
      <c r="N240" t="s">
        <v>49</v>
      </c>
      <c r="O240" s="34">
        <v>44765.13113425926</v>
      </c>
      <c r="P240" t="s">
        <v>50</v>
      </c>
      <c r="Q240" t="s">
        <v>236</v>
      </c>
      <c r="R240" s="32" t="s">
        <v>7472</v>
      </c>
      <c r="S240" t="s">
        <v>7476</v>
      </c>
      <c r="T240" s="34" t="s">
        <v>7476</v>
      </c>
      <c r="U240" s="34" t="s">
        <v>7476</v>
      </c>
      <c r="V240" s="32">
        <v>44769.13113425926</v>
      </c>
      <c r="W240" s="32" t="s">
        <v>7476</v>
      </c>
      <c r="X240">
        <v>0</v>
      </c>
      <c r="Y240" s="34" t="s">
        <v>7476</v>
      </c>
      <c r="Z240" s="34" t="s">
        <v>7476</v>
      </c>
      <c r="AA240" s="34" t="s">
        <v>7476</v>
      </c>
      <c r="AB240" s="36" t="s">
        <v>95</v>
      </c>
      <c r="AD240" t="s">
        <v>814</v>
      </c>
      <c r="AE240" t="s">
        <v>815</v>
      </c>
      <c r="AF240" s="16">
        <v>44749</v>
      </c>
      <c r="AG240" t="s">
        <v>98</v>
      </c>
      <c r="AH240">
        <v>6</v>
      </c>
      <c r="AI240" s="8" t="str">
        <f>IFERROR(R240-AF240,"")</f>
        <v/>
      </c>
      <c r="AJ240" s="8">
        <f>IFERROR(O240-AF240,"")</f>
        <v>16.131134259259852</v>
      </c>
      <c r="AK240" s="38">
        <f t="shared" si="75"/>
        <v>44949.13113425926</v>
      </c>
      <c r="AL240" t="str">
        <f>IFERROR(Z240-W240,"")</f>
        <v/>
      </c>
      <c r="AM240" t="str">
        <f>IFERROR(R240-J240,"")</f>
        <v/>
      </c>
      <c r="AN240">
        <f>IFERROR(V240-O240,"")</f>
        <v>4</v>
      </c>
      <c r="AO240">
        <f>IFERROR(J240-I240,"")</f>
        <v>3</v>
      </c>
      <c r="AP240">
        <f>IFERROR(AC240-X240,"")</f>
        <v>0</v>
      </c>
      <c r="AQ240" t="str">
        <f>IFERROR(AA240-W240,"")</f>
        <v/>
      </c>
    </row>
    <row r="241" spans="1:43" x14ac:dyDescent="0.35">
      <c r="A241">
        <v>1990</v>
      </c>
      <c r="B241" t="s">
        <v>816</v>
      </c>
      <c r="C241" t="s">
        <v>202</v>
      </c>
      <c r="D241" t="str">
        <f t="shared" si="73"/>
        <v>Program Office</v>
      </c>
      <c r="E241" t="s">
        <v>694</v>
      </c>
      <c r="F241" t="s">
        <v>758</v>
      </c>
      <c r="G241" t="s">
        <v>759</v>
      </c>
      <c r="H241" t="s">
        <v>697</v>
      </c>
      <c r="I241" s="32">
        <v>44598.370439814818</v>
      </c>
      <c r="J241" s="32">
        <v>44600.370439814818</v>
      </c>
      <c r="K241" s="32">
        <v>44601.370439814818</v>
      </c>
      <c r="L241" s="8">
        <f t="shared" si="74"/>
        <v>3</v>
      </c>
      <c r="M241" s="7">
        <v>44607.370439814818</v>
      </c>
      <c r="N241" t="s">
        <v>49</v>
      </c>
      <c r="O241" s="34">
        <v>44613.370439814818</v>
      </c>
      <c r="P241" t="s">
        <v>50</v>
      </c>
      <c r="Q241" t="s">
        <v>125</v>
      </c>
      <c r="R241" s="32" t="s">
        <v>7472</v>
      </c>
      <c r="S241" t="s">
        <v>7476</v>
      </c>
      <c r="T241" s="34" t="s">
        <v>7476</v>
      </c>
      <c r="U241" s="34" t="s">
        <v>7476</v>
      </c>
      <c r="V241" s="32">
        <v>44614.370439814818</v>
      </c>
      <c r="W241" s="32" t="s">
        <v>7476</v>
      </c>
      <c r="X241">
        <v>0</v>
      </c>
      <c r="Y241" s="34" t="s">
        <v>7476</v>
      </c>
      <c r="Z241" s="34" t="s">
        <v>7476</v>
      </c>
      <c r="AA241" s="34" t="s">
        <v>7476</v>
      </c>
      <c r="AB241" s="36" t="s">
        <v>52</v>
      </c>
      <c r="AD241" t="s">
        <v>817</v>
      </c>
      <c r="AE241" t="s">
        <v>818</v>
      </c>
      <c r="AF241" s="16">
        <v>44600</v>
      </c>
      <c r="AG241" t="s">
        <v>68</v>
      </c>
      <c r="AH241">
        <v>3</v>
      </c>
      <c r="AI241" s="8" t="str">
        <f>IFERROR(R241-AF241,"")</f>
        <v/>
      </c>
      <c r="AJ241" s="8">
        <f>IFERROR(O241-AF241,"")</f>
        <v>13.370439814818383</v>
      </c>
      <c r="AK241" s="38">
        <f t="shared" si="75"/>
        <v>44704.370439814818</v>
      </c>
      <c r="AL241" t="str">
        <f>IFERROR(Z241-W241,"")</f>
        <v/>
      </c>
      <c r="AM241" t="str">
        <f>IFERROR(R241-J241,"")</f>
        <v/>
      </c>
      <c r="AN241">
        <f>IFERROR(V241-O241,"")</f>
        <v>1</v>
      </c>
      <c r="AO241">
        <f>IFERROR(J241-I241,"")</f>
        <v>2</v>
      </c>
      <c r="AP241">
        <f>IFERROR(AC241-X241,"")</f>
        <v>0</v>
      </c>
      <c r="AQ241" t="str">
        <f>IFERROR(AA241-W241,"")</f>
        <v/>
      </c>
    </row>
    <row r="242" spans="1:43" x14ac:dyDescent="0.35">
      <c r="A242">
        <v>1971</v>
      </c>
      <c r="B242" t="s">
        <v>819</v>
      </c>
      <c r="C242" t="s">
        <v>213</v>
      </c>
      <c r="D242" t="str">
        <f t="shared" si="73"/>
        <v>Program Office</v>
      </c>
      <c r="E242" t="s">
        <v>694</v>
      </c>
      <c r="F242" t="s">
        <v>758</v>
      </c>
      <c r="G242" t="s">
        <v>759</v>
      </c>
      <c r="H242" t="s">
        <v>697</v>
      </c>
      <c r="I242" s="32">
        <v>44856.498391203713</v>
      </c>
      <c r="J242" s="32">
        <v>44857.498391203713</v>
      </c>
      <c r="K242" s="32">
        <v>44860.498391203713</v>
      </c>
      <c r="L242" s="8">
        <f t="shared" si="74"/>
        <v>4</v>
      </c>
      <c r="M242" s="7">
        <v>44879.498391203713</v>
      </c>
      <c r="N242" t="s">
        <v>49</v>
      </c>
      <c r="O242" s="34">
        <v>44871.498391203713</v>
      </c>
      <c r="P242" t="s">
        <v>50</v>
      </c>
      <c r="Q242" t="s">
        <v>125</v>
      </c>
      <c r="R242" s="32" t="s">
        <v>7472</v>
      </c>
      <c r="S242" t="s">
        <v>7476</v>
      </c>
      <c r="T242" s="34" t="s">
        <v>7476</v>
      </c>
      <c r="U242" s="34" t="s">
        <v>7476</v>
      </c>
      <c r="V242" s="32" t="s">
        <v>7476</v>
      </c>
      <c r="W242" s="32" t="s">
        <v>7476</v>
      </c>
      <c r="X242">
        <v>0</v>
      </c>
      <c r="Y242" s="34" t="s">
        <v>7476</v>
      </c>
      <c r="Z242" s="34" t="s">
        <v>7476</v>
      </c>
      <c r="AA242" s="34" t="s">
        <v>7476</v>
      </c>
      <c r="AB242" s="36" t="s">
        <v>95</v>
      </c>
      <c r="AD242" t="s">
        <v>820</v>
      </c>
      <c r="AE242" t="s">
        <v>821</v>
      </c>
      <c r="AF242" s="16">
        <v>44852</v>
      </c>
      <c r="AG242" t="s">
        <v>68</v>
      </c>
      <c r="AH242">
        <v>6</v>
      </c>
      <c r="AI242" s="8" t="str">
        <f>IFERROR(R242-AF242,"")</f>
        <v/>
      </c>
      <c r="AJ242" s="8">
        <f>IFERROR(O242-AF242,"")</f>
        <v>19.498391203713254</v>
      </c>
      <c r="AK242" s="38" t="str">
        <f t="shared" si="75"/>
        <v/>
      </c>
      <c r="AL242" t="str">
        <f>IFERROR(Z242-W242,"")</f>
        <v/>
      </c>
      <c r="AM242" t="str">
        <f>IFERROR(R242-J242,"")</f>
        <v/>
      </c>
      <c r="AN242" t="str">
        <f>IFERROR(V242-O242,"")</f>
        <v/>
      </c>
      <c r="AO242">
        <f>IFERROR(J242-I242,"")</f>
        <v>1</v>
      </c>
      <c r="AP242">
        <f>IFERROR(AC242-X242,"")</f>
        <v>0</v>
      </c>
      <c r="AQ242" t="str">
        <f>IFERROR(AA242-W242,"")</f>
        <v/>
      </c>
    </row>
    <row r="243" spans="1:43" x14ac:dyDescent="0.35">
      <c r="A243">
        <v>1859</v>
      </c>
      <c r="B243" t="s">
        <v>822</v>
      </c>
      <c r="C243" t="s">
        <v>217</v>
      </c>
      <c r="D243" t="str">
        <f t="shared" si="73"/>
        <v>Program Office</v>
      </c>
      <c r="E243" t="s">
        <v>694</v>
      </c>
      <c r="F243" t="s">
        <v>758</v>
      </c>
      <c r="G243" t="s">
        <v>759</v>
      </c>
      <c r="H243" t="s">
        <v>697</v>
      </c>
      <c r="I243" s="32">
        <v>44878.077060185176</v>
      </c>
      <c r="J243" s="32" t="s">
        <v>7471</v>
      </c>
      <c r="K243" s="32">
        <v>44882.077060185176</v>
      </c>
      <c r="L243" s="8">
        <f t="shared" si="74"/>
        <v>4</v>
      </c>
      <c r="M243" s="7">
        <v>44908.077060185176</v>
      </c>
      <c r="N243" t="s">
        <v>49</v>
      </c>
      <c r="O243" s="34">
        <v>44892.077060185176</v>
      </c>
      <c r="P243" t="s">
        <v>50</v>
      </c>
      <c r="Q243" t="s">
        <v>198</v>
      </c>
      <c r="R243" s="32" t="s">
        <v>7472</v>
      </c>
      <c r="S243" t="s">
        <v>7476</v>
      </c>
      <c r="T243" s="34" t="s">
        <v>7476</v>
      </c>
      <c r="U243" s="34" t="s">
        <v>7476</v>
      </c>
      <c r="V243" s="32" t="s">
        <v>7476</v>
      </c>
      <c r="W243" s="32" t="s">
        <v>7476</v>
      </c>
      <c r="X243">
        <v>0</v>
      </c>
      <c r="Y243" s="34" t="s">
        <v>7476</v>
      </c>
      <c r="Z243" s="34" t="s">
        <v>7476</v>
      </c>
      <c r="AA243" s="34" t="s">
        <v>7476</v>
      </c>
      <c r="AB243" s="36" t="s">
        <v>95</v>
      </c>
      <c r="AD243" t="s">
        <v>823</v>
      </c>
      <c r="AE243" t="s">
        <v>824</v>
      </c>
      <c r="AF243" s="16">
        <v>44876</v>
      </c>
      <c r="AG243" t="s">
        <v>93</v>
      </c>
      <c r="AH243">
        <v>6</v>
      </c>
      <c r="AK243" s="38" t="str">
        <f t="shared" si="75"/>
        <v/>
      </c>
    </row>
    <row r="244" spans="1:43" x14ac:dyDescent="0.35">
      <c r="A244">
        <v>1856</v>
      </c>
      <c r="B244" t="s">
        <v>825</v>
      </c>
      <c r="C244" t="s">
        <v>202</v>
      </c>
      <c r="D244" t="str">
        <f t="shared" si="73"/>
        <v>Program Office</v>
      </c>
      <c r="E244" t="s">
        <v>694</v>
      </c>
      <c r="F244" t="s">
        <v>758</v>
      </c>
      <c r="G244" t="s">
        <v>759</v>
      </c>
      <c r="H244" t="s">
        <v>697</v>
      </c>
      <c r="I244" s="32">
        <v>44878.077060185176</v>
      </c>
      <c r="J244" s="32">
        <v>44881.077060185176</v>
      </c>
      <c r="K244" s="32">
        <v>44882.077060185176</v>
      </c>
      <c r="L244" s="8">
        <f t="shared" si="74"/>
        <v>4</v>
      </c>
      <c r="M244" s="7">
        <v>44900.077060185176</v>
      </c>
      <c r="N244" t="s">
        <v>49</v>
      </c>
      <c r="O244" s="34">
        <v>44896.077060185176</v>
      </c>
      <c r="P244" t="s">
        <v>101</v>
      </c>
      <c r="R244" s="32">
        <v>44900.077060185176</v>
      </c>
      <c r="S244" t="s">
        <v>101</v>
      </c>
      <c r="T244" s="34">
        <v>44897.077060185176</v>
      </c>
      <c r="U244" s="34">
        <v>44898.077060185176</v>
      </c>
      <c r="V244" s="32">
        <v>44898.077060185176</v>
      </c>
      <c r="W244" s="32">
        <v>44903.077060185176</v>
      </c>
      <c r="X244">
        <v>1</v>
      </c>
      <c r="Y244" s="34">
        <v>44907.077060185176</v>
      </c>
      <c r="Z244" s="34">
        <v>44908.077060185176</v>
      </c>
      <c r="AA244" s="34">
        <v>44911.077060185176</v>
      </c>
      <c r="AB244" s="36" t="s">
        <v>7476</v>
      </c>
      <c r="AC244" s="10">
        <v>44918.077060185176</v>
      </c>
      <c r="AD244" t="s">
        <v>826</v>
      </c>
      <c r="AE244" t="s">
        <v>827</v>
      </c>
      <c r="AF244" s="16">
        <v>44887</v>
      </c>
      <c r="AG244" t="s">
        <v>98</v>
      </c>
      <c r="AH244">
        <v>6</v>
      </c>
      <c r="AI244" s="8">
        <f>IFERROR(R244-AF244,"")</f>
        <v>13.077060185176379</v>
      </c>
      <c r="AJ244" s="8">
        <f>IFERROR(O244-AF244,"")</f>
        <v>9.0770601851763786</v>
      </c>
      <c r="AK244" s="38">
        <f t="shared" si="75"/>
        <v>45078.077060185176</v>
      </c>
      <c r="AL244">
        <f>IFERROR(Z244-W244,"")</f>
        <v>5</v>
      </c>
      <c r="AM244">
        <f>IFERROR(R244-J244,"")</f>
        <v>19</v>
      </c>
      <c r="AN244">
        <f>IFERROR(V244-O244,"")</f>
        <v>2</v>
      </c>
      <c r="AO244">
        <f>IFERROR(J244-I244,"")</f>
        <v>3</v>
      </c>
      <c r="AP244">
        <f>IFERROR(AC244-X244,"")</f>
        <v>44917.077060185176</v>
      </c>
      <c r="AQ244">
        <f>IFERROR(AA244-W244,"")</f>
        <v>8</v>
      </c>
    </row>
    <row r="245" spans="1:43" x14ac:dyDescent="0.35">
      <c r="A245">
        <v>1812</v>
      </c>
      <c r="B245" t="s">
        <v>828</v>
      </c>
      <c r="C245" t="s">
        <v>213</v>
      </c>
      <c r="D245" t="str">
        <f t="shared" si="73"/>
        <v>Program Office</v>
      </c>
      <c r="E245" t="s">
        <v>694</v>
      </c>
      <c r="F245" t="s">
        <v>758</v>
      </c>
      <c r="G245" t="s">
        <v>759</v>
      </c>
      <c r="H245" t="s">
        <v>697</v>
      </c>
      <c r="I245" s="32">
        <v>44822.186388888891</v>
      </c>
      <c r="J245" s="32" t="s">
        <v>7471</v>
      </c>
      <c r="K245" s="32">
        <v>44829.186388888891</v>
      </c>
      <c r="L245" s="8">
        <f t="shared" si="74"/>
        <v>7</v>
      </c>
      <c r="M245" s="7">
        <v>44839.186388888891</v>
      </c>
      <c r="N245" t="s">
        <v>49</v>
      </c>
      <c r="O245" s="34">
        <v>44838.186388888891</v>
      </c>
      <c r="P245" t="s">
        <v>392</v>
      </c>
      <c r="R245" s="32">
        <v>44840.186388888891</v>
      </c>
      <c r="S245" t="s">
        <v>392</v>
      </c>
      <c r="T245" s="34" t="s">
        <v>7476</v>
      </c>
      <c r="U245" s="34" t="s">
        <v>7476</v>
      </c>
      <c r="V245" s="32">
        <v>44839.186388888891</v>
      </c>
      <c r="W245" s="32" t="s">
        <v>7476</v>
      </c>
      <c r="X245">
        <v>0</v>
      </c>
      <c r="Y245" s="34" t="s">
        <v>7476</v>
      </c>
      <c r="Z245" s="34" t="s">
        <v>7476</v>
      </c>
      <c r="AA245" s="34" t="s">
        <v>7476</v>
      </c>
      <c r="AB245" s="36" t="s">
        <v>7476</v>
      </c>
      <c r="AD245" t="s">
        <v>829</v>
      </c>
      <c r="AE245" t="s">
        <v>830</v>
      </c>
      <c r="AF245" s="16">
        <v>44827</v>
      </c>
      <c r="AG245" t="s">
        <v>68</v>
      </c>
      <c r="AH245">
        <v>6</v>
      </c>
      <c r="AK245" s="38">
        <f t="shared" si="75"/>
        <v>45019.186388888891</v>
      </c>
    </row>
    <row r="246" spans="1:43" x14ac:dyDescent="0.35">
      <c r="A246">
        <v>1811</v>
      </c>
      <c r="B246" t="s">
        <v>831</v>
      </c>
      <c r="C246" t="s">
        <v>213</v>
      </c>
      <c r="D246" t="str">
        <f t="shared" si="73"/>
        <v>Program Office</v>
      </c>
      <c r="E246" t="s">
        <v>694</v>
      </c>
      <c r="F246" t="s">
        <v>758</v>
      </c>
      <c r="G246" t="s">
        <v>759</v>
      </c>
      <c r="H246" t="s">
        <v>697</v>
      </c>
      <c r="I246" s="32">
        <v>44821.186388888891</v>
      </c>
      <c r="J246" s="32">
        <v>44824.186388888891</v>
      </c>
      <c r="K246" s="32">
        <v>44829.186388888891</v>
      </c>
      <c r="L246" s="8">
        <f t="shared" si="74"/>
        <v>8</v>
      </c>
      <c r="M246" s="7">
        <v>44844.186388888891</v>
      </c>
      <c r="N246" t="s">
        <v>49</v>
      </c>
      <c r="O246" s="34">
        <v>44835.186388888891</v>
      </c>
      <c r="P246" t="s">
        <v>50</v>
      </c>
      <c r="Q246" t="s">
        <v>198</v>
      </c>
      <c r="R246" s="32" t="s">
        <v>7472</v>
      </c>
      <c r="S246" t="s">
        <v>7476</v>
      </c>
      <c r="T246" s="34" t="s">
        <v>7476</v>
      </c>
      <c r="U246" s="34" t="s">
        <v>7476</v>
      </c>
      <c r="V246" s="32" t="s">
        <v>7476</v>
      </c>
      <c r="W246" s="32" t="s">
        <v>7476</v>
      </c>
      <c r="X246">
        <v>0</v>
      </c>
      <c r="Y246" s="34" t="s">
        <v>7476</v>
      </c>
      <c r="Z246" s="34" t="s">
        <v>7476</v>
      </c>
      <c r="AA246" s="34" t="s">
        <v>7476</v>
      </c>
      <c r="AB246" s="36" t="s">
        <v>95</v>
      </c>
      <c r="AD246" t="s">
        <v>832</v>
      </c>
      <c r="AE246" t="s">
        <v>833</v>
      </c>
      <c r="AF246" s="16">
        <v>44829</v>
      </c>
      <c r="AG246" t="s">
        <v>68</v>
      </c>
      <c r="AH246">
        <v>3</v>
      </c>
      <c r="AI246" s="8" t="str">
        <f t="shared" ref="AI246:AI251" si="76">IFERROR(R246-AF246,"")</f>
        <v/>
      </c>
      <c r="AJ246" s="8">
        <f t="shared" ref="AJ246:AJ251" si="77">IFERROR(O246-AF246,"")</f>
        <v>6.1863888888910878</v>
      </c>
      <c r="AK246" s="38" t="str">
        <f t="shared" si="75"/>
        <v/>
      </c>
      <c r="AL246" t="str">
        <f t="shared" ref="AL246:AL251" si="78">IFERROR(Z246-W246,"")</f>
        <v/>
      </c>
      <c r="AM246" t="str">
        <f t="shared" ref="AM246:AM251" si="79">IFERROR(R246-J246,"")</f>
        <v/>
      </c>
      <c r="AN246" t="str">
        <f t="shared" ref="AN246:AN251" si="80">IFERROR(V246-O246,"")</f>
        <v/>
      </c>
      <c r="AO246">
        <f t="shared" ref="AO246:AO251" si="81">IFERROR(J246-I246,"")</f>
        <v>3</v>
      </c>
      <c r="AP246">
        <f t="shared" ref="AP246:AP251" si="82">IFERROR(AC246-X246,"")</f>
        <v>0</v>
      </c>
      <c r="AQ246" t="str">
        <f t="shared" ref="AQ246:AQ251" si="83">IFERROR(AA246-W246,"")</f>
        <v/>
      </c>
    </row>
    <row r="247" spans="1:43" x14ac:dyDescent="0.35">
      <c r="A247">
        <v>1808</v>
      </c>
      <c r="B247" t="s">
        <v>834</v>
      </c>
      <c r="C247" t="s">
        <v>213</v>
      </c>
      <c r="D247" t="str">
        <f t="shared" si="73"/>
        <v>Program Office</v>
      </c>
      <c r="E247" t="s">
        <v>694</v>
      </c>
      <c r="F247" t="s">
        <v>758</v>
      </c>
      <c r="G247" t="s">
        <v>759</v>
      </c>
      <c r="H247" t="s">
        <v>697</v>
      </c>
      <c r="I247" s="32">
        <v>45118.017708333333</v>
      </c>
      <c r="J247" s="32">
        <v>45122.017708333333</v>
      </c>
      <c r="K247" s="32">
        <v>45127.017708333333</v>
      </c>
      <c r="L247" s="8">
        <f t="shared" si="74"/>
        <v>9</v>
      </c>
      <c r="M247" s="7">
        <v>45140.017708333333</v>
      </c>
      <c r="N247" t="s">
        <v>49</v>
      </c>
      <c r="O247" s="34">
        <v>45129.017708333333</v>
      </c>
      <c r="P247" t="s">
        <v>50</v>
      </c>
      <c r="Q247" t="s">
        <v>51</v>
      </c>
      <c r="R247" s="32" t="s">
        <v>7472</v>
      </c>
      <c r="S247" t="s">
        <v>7476</v>
      </c>
      <c r="T247" s="34" t="s">
        <v>7476</v>
      </c>
      <c r="U247" s="34" t="s">
        <v>7476</v>
      </c>
      <c r="V247" s="32" t="s">
        <v>7476</v>
      </c>
      <c r="W247" s="32" t="s">
        <v>7476</v>
      </c>
      <c r="X247">
        <v>0</v>
      </c>
      <c r="Y247" s="34" t="s">
        <v>7476</v>
      </c>
      <c r="Z247" s="34" t="s">
        <v>7476</v>
      </c>
      <c r="AA247" s="34" t="s">
        <v>7476</v>
      </c>
      <c r="AB247" s="36" t="s">
        <v>95</v>
      </c>
      <c r="AD247" t="s">
        <v>835</v>
      </c>
      <c r="AE247" t="s">
        <v>836</v>
      </c>
      <c r="AF247" s="16">
        <v>45120</v>
      </c>
      <c r="AG247" t="s">
        <v>68</v>
      </c>
      <c r="AH247">
        <v>6</v>
      </c>
      <c r="AI247" s="8" t="str">
        <f t="shared" si="76"/>
        <v/>
      </c>
      <c r="AJ247" s="8">
        <f t="shared" si="77"/>
        <v>9.0177083333328483</v>
      </c>
      <c r="AK247" s="38" t="str">
        <f t="shared" si="75"/>
        <v/>
      </c>
      <c r="AL247" t="str">
        <f t="shared" si="78"/>
        <v/>
      </c>
      <c r="AM247" t="str">
        <f t="shared" si="79"/>
        <v/>
      </c>
      <c r="AN247" t="str">
        <f t="shared" si="80"/>
        <v/>
      </c>
      <c r="AO247">
        <f t="shared" si="81"/>
        <v>4</v>
      </c>
      <c r="AP247">
        <f t="shared" si="82"/>
        <v>0</v>
      </c>
      <c r="AQ247" t="str">
        <f t="shared" si="83"/>
        <v/>
      </c>
    </row>
    <row r="248" spans="1:43" x14ac:dyDescent="0.35">
      <c r="A248">
        <v>1802</v>
      </c>
      <c r="B248" t="s">
        <v>837</v>
      </c>
      <c r="C248" t="s">
        <v>217</v>
      </c>
      <c r="D248" t="str">
        <f t="shared" si="73"/>
        <v>Program Office</v>
      </c>
      <c r="E248" t="s">
        <v>694</v>
      </c>
      <c r="F248" t="s">
        <v>758</v>
      </c>
      <c r="G248" t="s">
        <v>759</v>
      </c>
      <c r="H248" t="s">
        <v>697</v>
      </c>
      <c r="I248" s="32">
        <v>45125.017708333333</v>
      </c>
      <c r="J248" s="32">
        <v>45126.017708333333</v>
      </c>
      <c r="K248" s="32">
        <v>45127.017708333333</v>
      </c>
      <c r="L248" s="8">
        <f t="shared" si="74"/>
        <v>2</v>
      </c>
      <c r="M248" s="7">
        <v>45147.017708333333</v>
      </c>
      <c r="N248" t="s">
        <v>49</v>
      </c>
      <c r="O248" s="34">
        <v>45131.017708333333</v>
      </c>
      <c r="P248" t="s">
        <v>101</v>
      </c>
      <c r="R248" s="32">
        <v>45137.017708333333</v>
      </c>
      <c r="S248" t="s">
        <v>101</v>
      </c>
      <c r="T248" s="34">
        <v>45132.017708333333</v>
      </c>
      <c r="U248" s="34">
        <v>45134.017708333333</v>
      </c>
      <c r="V248" s="32">
        <v>45135.017708333333</v>
      </c>
      <c r="W248" s="32">
        <v>45136.017708333333</v>
      </c>
      <c r="X248">
        <v>1</v>
      </c>
      <c r="Y248" s="34">
        <v>45139.017708333333</v>
      </c>
      <c r="Z248" s="34">
        <v>45140.017708333333</v>
      </c>
      <c r="AA248" s="34">
        <v>45143.017708333333</v>
      </c>
      <c r="AB248" s="36" t="s">
        <v>7476</v>
      </c>
      <c r="AC248" s="10">
        <v>45155.017708333333</v>
      </c>
      <c r="AD248" t="s">
        <v>838</v>
      </c>
      <c r="AE248" t="s">
        <v>839</v>
      </c>
      <c r="AF248" s="16">
        <v>45115</v>
      </c>
      <c r="AG248" t="s">
        <v>68</v>
      </c>
      <c r="AH248">
        <v>6</v>
      </c>
      <c r="AI248" s="8">
        <f t="shared" si="76"/>
        <v>22.017708333332848</v>
      </c>
      <c r="AJ248" s="8">
        <f t="shared" si="77"/>
        <v>16.017708333332848</v>
      </c>
      <c r="AK248" s="38">
        <f t="shared" si="75"/>
        <v>45315.017708333333</v>
      </c>
      <c r="AL248">
        <f t="shared" si="78"/>
        <v>4</v>
      </c>
      <c r="AM248">
        <f t="shared" si="79"/>
        <v>11</v>
      </c>
      <c r="AN248">
        <f t="shared" si="80"/>
        <v>4</v>
      </c>
      <c r="AO248">
        <f t="shared" si="81"/>
        <v>1</v>
      </c>
      <c r="AP248">
        <f t="shared" si="82"/>
        <v>45154.017708333333</v>
      </c>
      <c r="AQ248">
        <f t="shared" si="83"/>
        <v>7</v>
      </c>
    </row>
    <row r="249" spans="1:43" x14ac:dyDescent="0.35">
      <c r="A249">
        <v>1794</v>
      </c>
      <c r="B249" t="s">
        <v>840</v>
      </c>
      <c r="C249" t="s">
        <v>217</v>
      </c>
      <c r="D249" t="str">
        <f t="shared" si="73"/>
        <v>Program Office</v>
      </c>
      <c r="E249" t="s">
        <v>694</v>
      </c>
      <c r="F249" t="s">
        <v>758</v>
      </c>
      <c r="G249" t="s">
        <v>759</v>
      </c>
      <c r="H249" t="s">
        <v>697</v>
      </c>
      <c r="I249" s="32">
        <v>44830.47960648148</v>
      </c>
      <c r="J249" s="32">
        <v>44832.47960648148</v>
      </c>
      <c r="K249" s="32">
        <v>44837.47960648148</v>
      </c>
      <c r="L249" s="8">
        <f t="shared" si="74"/>
        <v>7</v>
      </c>
      <c r="M249" s="7">
        <v>44858.47960648148</v>
      </c>
      <c r="N249" t="s">
        <v>49</v>
      </c>
      <c r="O249" s="34">
        <v>44846.47960648148</v>
      </c>
      <c r="P249" t="s">
        <v>50</v>
      </c>
      <c r="Q249" t="s">
        <v>198</v>
      </c>
      <c r="R249" s="32" t="s">
        <v>7472</v>
      </c>
      <c r="S249" t="s">
        <v>7476</v>
      </c>
      <c r="T249" s="34" t="s">
        <v>7476</v>
      </c>
      <c r="U249" s="34" t="s">
        <v>7476</v>
      </c>
      <c r="V249" s="32">
        <v>44850.47960648148</v>
      </c>
      <c r="W249" s="32" t="s">
        <v>7476</v>
      </c>
      <c r="X249">
        <v>0</v>
      </c>
      <c r="Y249" s="34" t="s">
        <v>7476</v>
      </c>
      <c r="Z249" s="34" t="s">
        <v>7476</v>
      </c>
      <c r="AA249" s="34" t="s">
        <v>7476</v>
      </c>
      <c r="AB249" s="36" t="s">
        <v>95</v>
      </c>
      <c r="AD249" t="s">
        <v>841</v>
      </c>
      <c r="AE249" t="s">
        <v>842</v>
      </c>
      <c r="AF249" s="16">
        <v>44827</v>
      </c>
      <c r="AG249" t="s">
        <v>64</v>
      </c>
      <c r="AH249">
        <v>3</v>
      </c>
      <c r="AI249" s="8" t="str">
        <f t="shared" si="76"/>
        <v/>
      </c>
      <c r="AJ249" s="8">
        <f t="shared" si="77"/>
        <v>19.479606481480005</v>
      </c>
      <c r="AK249" s="38">
        <f t="shared" si="75"/>
        <v>44940.47960648148</v>
      </c>
      <c r="AL249" t="str">
        <f t="shared" si="78"/>
        <v/>
      </c>
      <c r="AM249" t="str">
        <f t="shared" si="79"/>
        <v/>
      </c>
      <c r="AN249">
        <f t="shared" si="80"/>
        <v>4</v>
      </c>
      <c r="AO249">
        <f t="shared" si="81"/>
        <v>2</v>
      </c>
      <c r="AP249">
        <f t="shared" si="82"/>
        <v>0</v>
      </c>
      <c r="AQ249" t="str">
        <f t="shared" si="83"/>
        <v/>
      </c>
    </row>
    <row r="250" spans="1:43" x14ac:dyDescent="0.35">
      <c r="A250">
        <v>1792</v>
      </c>
      <c r="B250" t="s">
        <v>843</v>
      </c>
      <c r="C250" t="s">
        <v>202</v>
      </c>
      <c r="D250" t="str">
        <f t="shared" si="73"/>
        <v>Program Office</v>
      </c>
      <c r="E250" t="s">
        <v>694</v>
      </c>
      <c r="F250" t="s">
        <v>758</v>
      </c>
      <c r="G250" t="s">
        <v>759</v>
      </c>
      <c r="H250" t="s">
        <v>697</v>
      </c>
      <c r="I250" s="32">
        <v>44828.47960648148</v>
      </c>
      <c r="J250" s="32">
        <v>44831.47960648148</v>
      </c>
      <c r="K250" s="32">
        <v>44837.47960648148</v>
      </c>
      <c r="L250" s="8">
        <f t="shared" si="74"/>
        <v>9</v>
      </c>
      <c r="M250" s="7">
        <v>44860.47960648148</v>
      </c>
      <c r="N250" t="s">
        <v>72</v>
      </c>
      <c r="O250" s="34" t="s">
        <v>7474</v>
      </c>
      <c r="R250" s="32" t="s">
        <v>7472</v>
      </c>
      <c r="S250" t="s">
        <v>7476</v>
      </c>
      <c r="T250" s="34" t="s">
        <v>7476</v>
      </c>
      <c r="U250" s="34" t="s">
        <v>7476</v>
      </c>
      <c r="V250" s="32" t="s">
        <v>7476</v>
      </c>
      <c r="W250" s="32" t="s">
        <v>7476</v>
      </c>
      <c r="X250">
        <v>0</v>
      </c>
      <c r="Y250" s="34" t="s">
        <v>7476</v>
      </c>
      <c r="Z250" s="34" t="s">
        <v>7476</v>
      </c>
      <c r="AA250" s="34" t="s">
        <v>7476</v>
      </c>
      <c r="AB250" s="36" t="s">
        <v>7476</v>
      </c>
      <c r="AD250" t="s">
        <v>844</v>
      </c>
      <c r="AE250" t="s">
        <v>845</v>
      </c>
      <c r="AG250" t="s">
        <v>64</v>
      </c>
      <c r="AH250">
        <v>3</v>
      </c>
      <c r="AI250" s="8" t="str">
        <f t="shared" si="76"/>
        <v/>
      </c>
      <c r="AJ250" s="8" t="str">
        <f t="shared" si="77"/>
        <v/>
      </c>
      <c r="AK250" s="38" t="str">
        <f t="shared" si="75"/>
        <v/>
      </c>
      <c r="AL250" t="str">
        <f t="shared" si="78"/>
        <v/>
      </c>
      <c r="AM250" t="str">
        <f t="shared" si="79"/>
        <v/>
      </c>
      <c r="AN250" t="str">
        <f t="shared" si="80"/>
        <v/>
      </c>
      <c r="AO250">
        <f t="shared" si="81"/>
        <v>3</v>
      </c>
      <c r="AP250">
        <f t="shared" si="82"/>
        <v>0</v>
      </c>
      <c r="AQ250" t="str">
        <f t="shared" si="83"/>
        <v/>
      </c>
    </row>
    <row r="251" spans="1:43" x14ac:dyDescent="0.35">
      <c r="A251">
        <v>1681</v>
      </c>
      <c r="B251" t="s">
        <v>846</v>
      </c>
      <c r="C251" t="s">
        <v>202</v>
      </c>
      <c r="D251" t="str">
        <f t="shared" si="73"/>
        <v>Program Office</v>
      </c>
      <c r="E251" t="s">
        <v>694</v>
      </c>
      <c r="F251" t="s">
        <v>758</v>
      </c>
      <c r="G251" t="s">
        <v>759</v>
      </c>
      <c r="H251" t="s">
        <v>697</v>
      </c>
      <c r="I251" s="32">
        <v>44664.28056712963</v>
      </c>
      <c r="J251" s="32">
        <v>44665.28056712963</v>
      </c>
      <c r="K251" s="32">
        <v>44666.28056712963</v>
      </c>
      <c r="L251" s="8">
        <f t="shared" si="74"/>
        <v>2</v>
      </c>
      <c r="M251" s="7">
        <v>44686.28056712963</v>
      </c>
      <c r="N251" t="s">
        <v>49</v>
      </c>
      <c r="O251" s="34">
        <v>44677.28056712963</v>
      </c>
      <c r="P251" t="s">
        <v>50</v>
      </c>
      <c r="Q251" t="s">
        <v>125</v>
      </c>
      <c r="R251" s="32" t="s">
        <v>7472</v>
      </c>
      <c r="S251" t="s">
        <v>7476</v>
      </c>
      <c r="T251" s="34" t="s">
        <v>7476</v>
      </c>
      <c r="U251" s="34" t="s">
        <v>7476</v>
      </c>
      <c r="V251" s="32">
        <v>44678.28056712963</v>
      </c>
      <c r="W251" s="32" t="s">
        <v>7476</v>
      </c>
      <c r="X251">
        <v>0</v>
      </c>
      <c r="Y251" s="34" t="s">
        <v>7476</v>
      </c>
      <c r="Z251" s="34" t="s">
        <v>7476</v>
      </c>
      <c r="AA251" s="34" t="s">
        <v>7476</v>
      </c>
      <c r="AB251" s="36" t="s">
        <v>95</v>
      </c>
      <c r="AD251" t="s">
        <v>847</v>
      </c>
      <c r="AE251" t="s">
        <v>848</v>
      </c>
      <c r="AF251" s="16">
        <v>44668</v>
      </c>
      <c r="AG251" t="s">
        <v>98</v>
      </c>
      <c r="AH251">
        <v>3</v>
      </c>
      <c r="AI251" s="8" t="str">
        <f t="shared" si="76"/>
        <v/>
      </c>
      <c r="AJ251" s="8">
        <f t="shared" si="77"/>
        <v>9.2805671296300716</v>
      </c>
      <c r="AK251" s="38">
        <f t="shared" si="75"/>
        <v>44768.28056712963</v>
      </c>
      <c r="AL251" t="str">
        <f t="shared" si="78"/>
        <v/>
      </c>
      <c r="AM251" t="str">
        <f t="shared" si="79"/>
        <v/>
      </c>
      <c r="AN251">
        <f t="shared" si="80"/>
        <v>1</v>
      </c>
      <c r="AO251">
        <f t="shared" si="81"/>
        <v>1</v>
      </c>
      <c r="AP251">
        <f t="shared" si="82"/>
        <v>0</v>
      </c>
      <c r="AQ251" t="str">
        <f t="shared" si="83"/>
        <v/>
      </c>
    </row>
    <row r="252" spans="1:43" x14ac:dyDescent="0.35">
      <c r="A252">
        <v>1670</v>
      </c>
      <c r="B252" t="s">
        <v>849</v>
      </c>
      <c r="C252" t="s">
        <v>202</v>
      </c>
      <c r="D252" t="str">
        <f t="shared" si="73"/>
        <v>Program Office</v>
      </c>
      <c r="E252" t="s">
        <v>694</v>
      </c>
      <c r="F252" t="s">
        <v>758</v>
      </c>
      <c r="G252" t="s">
        <v>759</v>
      </c>
      <c r="H252" t="s">
        <v>697</v>
      </c>
      <c r="I252" s="32">
        <v>44674.935347222221</v>
      </c>
      <c r="J252" s="32" t="s">
        <v>7471</v>
      </c>
      <c r="K252" s="32">
        <v>44678.935347222221</v>
      </c>
      <c r="L252" s="8">
        <f t="shared" si="74"/>
        <v>4</v>
      </c>
      <c r="M252" s="7">
        <v>44688.935347222221</v>
      </c>
      <c r="N252" t="s">
        <v>72</v>
      </c>
      <c r="O252" s="34" t="s">
        <v>7474</v>
      </c>
      <c r="R252" s="32" t="s">
        <v>7472</v>
      </c>
      <c r="S252" t="s">
        <v>7476</v>
      </c>
      <c r="T252" s="34" t="s">
        <v>7476</v>
      </c>
      <c r="U252" s="34" t="s">
        <v>7476</v>
      </c>
      <c r="V252" s="32" t="s">
        <v>7476</v>
      </c>
      <c r="W252" s="32" t="s">
        <v>7476</v>
      </c>
      <c r="X252">
        <v>0</v>
      </c>
      <c r="Y252" s="34" t="s">
        <v>7476</v>
      </c>
      <c r="Z252" s="34" t="s">
        <v>7476</v>
      </c>
      <c r="AA252" s="34" t="s">
        <v>7476</v>
      </c>
      <c r="AB252" s="36" t="s">
        <v>7476</v>
      </c>
      <c r="AD252" t="s">
        <v>850</v>
      </c>
      <c r="AE252" t="s">
        <v>851</v>
      </c>
      <c r="AG252" t="s">
        <v>55</v>
      </c>
      <c r="AH252">
        <v>3</v>
      </c>
      <c r="AK252" s="38" t="str">
        <f t="shared" si="75"/>
        <v/>
      </c>
    </row>
    <row r="253" spans="1:43" x14ac:dyDescent="0.35">
      <c r="A253">
        <v>1666</v>
      </c>
      <c r="B253" t="s">
        <v>852</v>
      </c>
      <c r="C253" t="s">
        <v>202</v>
      </c>
      <c r="D253" t="str">
        <f t="shared" si="73"/>
        <v>Program Office</v>
      </c>
      <c r="E253" t="s">
        <v>694</v>
      </c>
      <c r="F253" t="s">
        <v>758</v>
      </c>
      <c r="G253" t="s">
        <v>759</v>
      </c>
      <c r="H253" t="s">
        <v>697</v>
      </c>
      <c r="I253" s="32">
        <v>44673.935347222221</v>
      </c>
      <c r="J253" s="32">
        <v>44677.935347222221</v>
      </c>
      <c r="K253" s="32">
        <v>44678.935347222221</v>
      </c>
      <c r="L253" s="8">
        <f t="shared" si="74"/>
        <v>5</v>
      </c>
      <c r="M253" s="7">
        <v>44701.935347222221</v>
      </c>
      <c r="N253" t="s">
        <v>49</v>
      </c>
      <c r="O253" s="34">
        <v>44696.935347222221</v>
      </c>
      <c r="P253" t="s">
        <v>60</v>
      </c>
      <c r="R253" s="32">
        <v>44701.935347222221</v>
      </c>
      <c r="S253" t="s">
        <v>61</v>
      </c>
      <c r="T253" s="34" t="s">
        <v>7476</v>
      </c>
      <c r="U253" s="34" t="s">
        <v>7476</v>
      </c>
      <c r="V253" s="32">
        <v>44699.935347222221</v>
      </c>
      <c r="W253" s="32" t="s">
        <v>7476</v>
      </c>
      <c r="X253">
        <v>0</v>
      </c>
      <c r="Y253" s="34" t="s">
        <v>7476</v>
      </c>
      <c r="Z253" s="34" t="s">
        <v>7476</v>
      </c>
      <c r="AA253" s="34" t="s">
        <v>7476</v>
      </c>
      <c r="AB253" s="36" t="s">
        <v>7476</v>
      </c>
      <c r="AD253" t="s">
        <v>853</v>
      </c>
      <c r="AE253" t="s">
        <v>854</v>
      </c>
      <c r="AF253" s="16">
        <v>44625</v>
      </c>
      <c r="AG253" t="s">
        <v>64</v>
      </c>
      <c r="AH253">
        <v>6</v>
      </c>
      <c r="AI253" s="8">
        <f>IFERROR(R253-AF253,"")</f>
        <v>76.935347222221026</v>
      </c>
      <c r="AJ253" s="8">
        <f>IFERROR(O253-AF253,"")</f>
        <v>71.935347222221026</v>
      </c>
      <c r="AK253" s="38">
        <f t="shared" si="75"/>
        <v>44879.935347222221</v>
      </c>
      <c r="AL253" t="str">
        <f>IFERROR(Z253-W253,"")</f>
        <v/>
      </c>
      <c r="AM253">
        <f>IFERROR(R253-J253,"")</f>
        <v>24</v>
      </c>
      <c r="AN253">
        <f>IFERROR(V253-O253,"")</f>
        <v>3</v>
      </c>
      <c r="AO253">
        <f>IFERROR(J253-I253,"")</f>
        <v>4</v>
      </c>
      <c r="AP253">
        <f>IFERROR(AC253-X253,"")</f>
        <v>0</v>
      </c>
      <c r="AQ253" t="str">
        <f>IFERROR(AA253-W253,"")</f>
        <v/>
      </c>
    </row>
    <row r="254" spans="1:43" x14ac:dyDescent="0.35">
      <c r="A254">
        <v>1663</v>
      </c>
      <c r="B254" t="s">
        <v>855</v>
      </c>
      <c r="C254" t="s">
        <v>213</v>
      </c>
      <c r="D254" t="str">
        <f t="shared" si="73"/>
        <v>Program Office</v>
      </c>
      <c r="E254" t="s">
        <v>694</v>
      </c>
      <c r="F254" t="s">
        <v>758</v>
      </c>
      <c r="G254" t="s">
        <v>759</v>
      </c>
      <c r="H254" t="s">
        <v>697</v>
      </c>
      <c r="I254" s="32">
        <v>44673.935347222221</v>
      </c>
      <c r="J254" s="32">
        <v>44675.935347222221</v>
      </c>
      <c r="K254" s="32">
        <v>44678.935347222221</v>
      </c>
      <c r="L254" s="8">
        <f t="shared" si="74"/>
        <v>5</v>
      </c>
      <c r="M254" s="7">
        <v>44706.935347222221</v>
      </c>
      <c r="N254" t="s">
        <v>49</v>
      </c>
      <c r="O254" s="34">
        <v>44690.935347222221</v>
      </c>
      <c r="P254" t="s">
        <v>50</v>
      </c>
      <c r="Q254" t="s">
        <v>51</v>
      </c>
      <c r="R254" s="32" t="s">
        <v>7472</v>
      </c>
      <c r="S254" t="s">
        <v>7476</v>
      </c>
      <c r="T254" s="34" t="s">
        <v>7476</v>
      </c>
      <c r="U254" s="34" t="s">
        <v>7476</v>
      </c>
      <c r="V254" s="32" t="s">
        <v>7476</v>
      </c>
      <c r="W254" s="32" t="s">
        <v>7476</v>
      </c>
      <c r="X254">
        <v>0</v>
      </c>
      <c r="Y254" s="34" t="s">
        <v>7476</v>
      </c>
      <c r="Z254" s="34" t="s">
        <v>7476</v>
      </c>
      <c r="AA254" s="34" t="s">
        <v>7476</v>
      </c>
      <c r="AB254" s="36" t="s">
        <v>52</v>
      </c>
      <c r="AD254" t="s">
        <v>856</v>
      </c>
      <c r="AE254" t="s">
        <v>857</v>
      </c>
      <c r="AF254" s="16">
        <v>44673</v>
      </c>
      <c r="AG254" t="s">
        <v>64</v>
      </c>
      <c r="AH254">
        <v>3</v>
      </c>
      <c r="AI254" s="8" t="str">
        <f>IFERROR(R254-AF254,"")</f>
        <v/>
      </c>
      <c r="AJ254" s="8">
        <f>IFERROR(O254-AF254,"")</f>
        <v>17.935347222221026</v>
      </c>
      <c r="AK254" s="38" t="str">
        <f t="shared" si="75"/>
        <v/>
      </c>
      <c r="AL254" t="str">
        <f>IFERROR(Z254-W254,"")</f>
        <v/>
      </c>
      <c r="AM254" t="str">
        <f>IFERROR(R254-J254,"")</f>
        <v/>
      </c>
      <c r="AN254" t="str">
        <f>IFERROR(V254-O254,"")</f>
        <v/>
      </c>
      <c r="AO254">
        <f>IFERROR(J254-I254,"")</f>
        <v>2</v>
      </c>
      <c r="AP254">
        <f>IFERROR(AC254-X254,"")</f>
        <v>0</v>
      </c>
      <c r="AQ254" t="str">
        <f>IFERROR(AA254-W254,"")</f>
        <v/>
      </c>
    </row>
    <row r="255" spans="1:43" x14ac:dyDescent="0.35">
      <c r="A255">
        <v>1662</v>
      </c>
      <c r="B255" t="s">
        <v>858</v>
      </c>
      <c r="C255" t="s">
        <v>202</v>
      </c>
      <c r="D255" t="str">
        <f t="shared" si="73"/>
        <v>Program Office</v>
      </c>
      <c r="E255" t="s">
        <v>694</v>
      </c>
      <c r="F255" t="s">
        <v>758</v>
      </c>
      <c r="G255" t="s">
        <v>759</v>
      </c>
      <c r="H255" t="s">
        <v>697</v>
      </c>
      <c r="I255" s="32">
        <v>44671.935347222221</v>
      </c>
      <c r="J255" s="32">
        <v>44674.935347222221</v>
      </c>
      <c r="K255" s="32">
        <v>44678.935347222221</v>
      </c>
      <c r="L255" s="8">
        <f t="shared" si="74"/>
        <v>7</v>
      </c>
      <c r="M255" s="7">
        <v>44693.935347222221</v>
      </c>
      <c r="N255" t="s">
        <v>49</v>
      </c>
      <c r="O255" s="34">
        <v>44692.935347222221</v>
      </c>
      <c r="P255" t="s">
        <v>50</v>
      </c>
      <c r="Q255" t="s">
        <v>84</v>
      </c>
      <c r="R255" s="32" t="s">
        <v>7472</v>
      </c>
      <c r="S255" t="s">
        <v>7476</v>
      </c>
      <c r="T255" s="34" t="s">
        <v>7476</v>
      </c>
      <c r="U255" s="34" t="s">
        <v>7476</v>
      </c>
      <c r="V255" s="32">
        <v>44694.935347222221</v>
      </c>
      <c r="W255" s="32" t="s">
        <v>7476</v>
      </c>
      <c r="X255">
        <v>0</v>
      </c>
      <c r="Y255" s="34" t="s">
        <v>7476</v>
      </c>
      <c r="Z255" s="34" t="s">
        <v>7476</v>
      </c>
      <c r="AA255" s="34" t="s">
        <v>7476</v>
      </c>
      <c r="AB255" s="36" t="s">
        <v>95</v>
      </c>
      <c r="AD255" t="s">
        <v>859</v>
      </c>
      <c r="AE255" t="s">
        <v>860</v>
      </c>
      <c r="AF255" s="16">
        <v>44679</v>
      </c>
      <c r="AG255" t="s">
        <v>98</v>
      </c>
      <c r="AH255">
        <v>3</v>
      </c>
      <c r="AI255" s="8" t="str">
        <f>IFERROR(R255-AF255,"")</f>
        <v/>
      </c>
      <c r="AJ255" s="8">
        <f>IFERROR(O255-AF255,"")</f>
        <v>13.935347222221026</v>
      </c>
      <c r="AK255" s="38">
        <f t="shared" si="75"/>
        <v>44784.935347222221</v>
      </c>
      <c r="AL255" t="str">
        <f>IFERROR(Z255-W255,"")</f>
        <v/>
      </c>
      <c r="AM255" t="str">
        <f>IFERROR(R255-J255,"")</f>
        <v/>
      </c>
      <c r="AN255">
        <f>IFERROR(V255-O255,"")</f>
        <v>2</v>
      </c>
      <c r="AO255">
        <f>IFERROR(J255-I255,"")</f>
        <v>3</v>
      </c>
      <c r="AP255">
        <f>IFERROR(AC255-X255,"")</f>
        <v>0</v>
      </c>
      <c r="AQ255" t="str">
        <f>IFERROR(AA255-W255,"")</f>
        <v/>
      </c>
    </row>
    <row r="256" spans="1:43" x14ac:dyDescent="0.35">
      <c r="A256">
        <v>1447</v>
      </c>
      <c r="B256" t="s">
        <v>861</v>
      </c>
      <c r="C256" t="s">
        <v>213</v>
      </c>
      <c r="D256" t="str">
        <f t="shared" si="73"/>
        <v>Program Office</v>
      </c>
      <c r="E256" t="s">
        <v>694</v>
      </c>
      <c r="F256" t="s">
        <v>758</v>
      </c>
      <c r="G256" t="s">
        <v>759</v>
      </c>
      <c r="H256" t="s">
        <v>697</v>
      </c>
      <c r="I256" s="32">
        <v>45014.427199074067</v>
      </c>
      <c r="J256" s="32" t="s">
        <v>7471</v>
      </c>
      <c r="K256" s="32">
        <v>45019.427199074067</v>
      </c>
      <c r="L256" s="8">
        <f t="shared" si="74"/>
        <v>5</v>
      </c>
      <c r="M256" s="7">
        <v>45045.427199074067</v>
      </c>
      <c r="N256" t="s">
        <v>49</v>
      </c>
      <c r="O256" s="34">
        <v>45032.427199074067</v>
      </c>
      <c r="P256" t="s">
        <v>101</v>
      </c>
      <c r="R256" s="32">
        <v>45039.427199074067</v>
      </c>
      <c r="S256" t="s">
        <v>101</v>
      </c>
      <c r="T256" s="34">
        <v>45034.427199074067</v>
      </c>
      <c r="U256" s="34">
        <v>45037.427199074067</v>
      </c>
      <c r="V256" s="32">
        <v>45036.427199074067</v>
      </c>
      <c r="W256" s="32">
        <v>45038.427199074067</v>
      </c>
      <c r="X256">
        <v>1</v>
      </c>
      <c r="Y256" s="34">
        <v>45039.427199074067</v>
      </c>
      <c r="Z256" s="34">
        <v>45041.427199074067</v>
      </c>
      <c r="AA256" s="34">
        <v>45044.427199074067</v>
      </c>
      <c r="AB256" s="36" t="s">
        <v>7476</v>
      </c>
      <c r="AC256" s="10">
        <v>45061.427199074067</v>
      </c>
      <c r="AD256" t="s">
        <v>862</v>
      </c>
      <c r="AE256" t="s">
        <v>863</v>
      </c>
      <c r="AF256" s="16">
        <v>45014</v>
      </c>
      <c r="AG256" t="s">
        <v>98</v>
      </c>
      <c r="AH256">
        <v>6</v>
      </c>
      <c r="AK256" s="38">
        <f t="shared" si="75"/>
        <v>45216.427199074067</v>
      </c>
    </row>
    <row r="257" spans="1:43" x14ac:dyDescent="0.35">
      <c r="A257">
        <v>1446</v>
      </c>
      <c r="B257" t="s">
        <v>864</v>
      </c>
      <c r="C257" t="s">
        <v>217</v>
      </c>
      <c r="D257" t="str">
        <f t="shared" si="73"/>
        <v>Program Office</v>
      </c>
      <c r="E257" t="s">
        <v>694</v>
      </c>
      <c r="F257" t="s">
        <v>758</v>
      </c>
      <c r="G257" t="s">
        <v>759</v>
      </c>
      <c r="H257" t="s">
        <v>697</v>
      </c>
      <c r="I257" s="32">
        <v>45015.427199074067</v>
      </c>
      <c r="J257" s="32">
        <v>45016.427199074067</v>
      </c>
      <c r="K257" s="32" t="s">
        <v>7473</v>
      </c>
      <c r="L257" s="8" t="str">
        <f t="shared" si="74"/>
        <v/>
      </c>
      <c r="M257" s="7">
        <v>45048.427199074067</v>
      </c>
      <c r="N257" t="s">
        <v>72</v>
      </c>
      <c r="O257" s="34" t="s">
        <v>7474</v>
      </c>
      <c r="R257" s="32" t="s">
        <v>7472</v>
      </c>
      <c r="S257" t="s">
        <v>7476</v>
      </c>
      <c r="T257" s="34" t="s">
        <v>7476</v>
      </c>
      <c r="U257" s="34" t="s">
        <v>7476</v>
      </c>
      <c r="V257" s="32" t="s">
        <v>7476</v>
      </c>
      <c r="W257" s="32" t="s">
        <v>7476</v>
      </c>
      <c r="X257">
        <v>0</v>
      </c>
      <c r="Y257" s="34" t="s">
        <v>7476</v>
      </c>
      <c r="Z257" s="34" t="s">
        <v>7476</v>
      </c>
      <c r="AA257" s="34" t="s">
        <v>7476</v>
      </c>
      <c r="AB257" s="36" t="s">
        <v>7476</v>
      </c>
      <c r="AD257" t="s">
        <v>865</v>
      </c>
      <c r="AE257" t="s">
        <v>866</v>
      </c>
      <c r="AG257" t="s">
        <v>64</v>
      </c>
      <c r="AH257">
        <v>6</v>
      </c>
      <c r="AK257" s="38" t="str">
        <f t="shared" si="75"/>
        <v/>
      </c>
    </row>
    <row r="258" spans="1:43" x14ac:dyDescent="0.35">
      <c r="A258">
        <v>1410</v>
      </c>
      <c r="B258" t="s">
        <v>867</v>
      </c>
      <c r="C258" t="s">
        <v>213</v>
      </c>
      <c r="D258" t="str">
        <f t="shared" ref="D258:D321" si="84">TRIM(C258)</f>
        <v>Program Office</v>
      </c>
      <c r="E258" t="s">
        <v>694</v>
      </c>
      <c r="F258" t="s">
        <v>758</v>
      </c>
      <c r="G258" t="s">
        <v>759</v>
      </c>
      <c r="H258" t="s">
        <v>697</v>
      </c>
      <c r="I258" s="32">
        <v>44614.306493055563</v>
      </c>
      <c r="J258" s="32">
        <v>44617.306493055563</v>
      </c>
      <c r="K258" s="32">
        <v>44619.306493055563</v>
      </c>
      <c r="L258" s="8">
        <f t="shared" ref="L258:L321" si="85">IFERROR(K258-I258,"")</f>
        <v>5</v>
      </c>
      <c r="M258" s="7">
        <v>44625.306493055563</v>
      </c>
      <c r="N258" t="s">
        <v>49</v>
      </c>
      <c r="O258" s="34">
        <v>44627.306493055563</v>
      </c>
      <c r="P258" t="s">
        <v>50</v>
      </c>
      <c r="Q258" t="s">
        <v>84</v>
      </c>
      <c r="R258" s="32" t="s">
        <v>7472</v>
      </c>
      <c r="S258" t="s">
        <v>7476</v>
      </c>
      <c r="T258" s="34" t="s">
        <v>7476</v>
      </c>
      <c r="U258" s="34" t="s">
        <v>7476</v>
      </c>
      <c r="V258" s="32" t="s">
        <v>7476</v>
      </c>
      <c r="W258" s="32" t="s">
        <v>7476</v>
      </c>
      <c r="X258">
        <v>0</v>
      </c>
      <c r="Y258" s="34" t="s">
        <v>7476</v>
      </c>
      <c r="Z258" s="34" t="s">
        <v>7476</v>
      </c>
      <c r="AA258" s="34" t="s">
        <v>7476</v>
      </c>
      <c r="AB258" s="36" t="s">
        <v>95</v>
      </c>
      <c r="AD258" t="s">
        <v>868</v>
      </c>
      <c r="AE258" t="s">
        <v>869</v>
      </c>
      <c r="AF258" s="16">
        <v>44616</v>
      </c>
      <c r="AG258" t="s">
        <v>64</v>
      </c>
      <c r="AH258">
        <v>3</v>
      </c>
      <c r="AI258" s="8" t="str">
        <f>IFERROR(R258-AF258,"")</f>
        <v/>
      </c>
      <c r="AJ258" s="8">
        <f>IFERROR(O258-AF258,"")</f>
        <v>11.306493055562896</v>
      </c>
      <c r="AK258" s="38" t="str">
        <f t="shared" si="75"/>
        <v/>
      </c>
      <c r="AL258" t="str">
        <f>IFERROR(Z258-W258,"")</f>
        <v/>
      </c>
      <c r="AM258" t="str">
        <f>IFERROR(R258-J258,"")</f>
        <v/>
      </c>
      <c r="AN258" t="str">
        <f>IFERROR(V258-O258,"")</f>
        <v/>
      </c>
      <c r="AO258">
        <f>IFERROR(J258-I258,"")</f>
        <v>3</v>
      </c>
      <c r="AP258">
        <f>IFERROR(AC258-X258,"")</f>
        <v>0</v>
      </c>
      <c r="AQ258" t="str">
        <f>IFERROR(AA258-W258,"")</f>
        <v/>
      </c>
    </row>
    <row r="259" spans="1:43" x14ac:dyDescent="0.35">
      <c r="A259">
        <v>1382</v>
      </c>
      <c r="B259" t="s">
        <v>870</v>
      </c>
      <c r="C259" t="s">
        <v>202</v>
      </c>
      <c r="D259" t="str">
        <f t="shared" si="84"/>
        <v>Program Office</v>
      </c>
      <c r="E259" t="s">
        <v>694</v>
      </c>
      <c r="F259" t="s">
        <v>758</v>
      </c>
      <c r="G259" t="s">
        <v>759</v>
      </c>
      <c r="H259" t="s">
        <v>697</v>
      </c>
      <c r="I259" s="32">
        <v>45042.733506944453</v>
      </c>
      <c r="J259" s="32">
        <v>45045.733506944453</v>
      </c>
      <c r="K259" s="32">
        <v>45046.733506944453</v>
      </c>
      <c r="L259" s="8">
        <f t="shared" si="85"/>
        <v>4</v>
      </c>
      <c r="M259" s="7">
        <v>45075.733506944453</v>
      </c>
      <c r="N259" t="s">
        <v>49</v>
      </c>
      <c r="O259" s="34">
        <v>45053.733506944453</v>
      </c>
      <c r="P259" t="s">
        <v>50</v>
      </c>
      <c r="Q259" t="s">
        <v>198</v>
      </c>
      <c r="R259" s="32" t="s">
        <v>7472</v>
      </c>
      <c r="S259" t="s">
        <v>7476</v>
      </c>
      <c r="T259" s="34" t="s">
        <v>7476</v>
      </c>
      <c r="U259" s="34" t="s">
        <v>7476</v>
      </c>
      <c r="V259" s="32">
        <v>45057.733506944453</v>
      </c>
      <c r="W259" s="32" t="s">
        <v>7476</v>
      </c>
      <c r="X259">
        <v>0</v>
      </c>
      <c r="Y259" s="34" t="s">
        <v>7476</v>
      </c>
      <c r="Z259" s="34" t="s">
        <v>7476</v>
      </c>
      <c r="AA259" s="34" t="s">
        <v>7476</v>
      </c>
      <c r="AB259" s="36" t="s">
        <v>95</v>
      </c>
      <c r="AD259" t="s">
        <v>871</v>
      </c>
      <c r="AE259" t="s">
        <v>872</v>
      </c>
      <c r="AF259" s="16">
        <v>45044</v>
      </c>
      <c r="AG259" t="s">
        <v>68</v>
      </c>
      <c r="AH259">
        <v>3</v>
      </c>
      <c r="AI259" s="8" t="str">
        <f>IFERROR(R259-AF259,"")</f>
        <v/>
      </c>
      <c r="AJ259" s="8">
        <f>IFERROR(O259-AF259,"")</f>
        <v>9.7335069444525288</v>
      </c>
      <c r="AK259" s="38">
        <f t="shared" ref="AK259:AK322" si="86">IFERROR(V259+(AH259*30),"")</f>
        <v>45147.733506944453</v>
      </c>
      <c r="AL259" t="str">
        <f>IFERROR(Z259-W259,"")</f>
        <v/>
      </c>
      <c r="AM259" t="str">
        <f>IFERROR(R259-J259,"")</f>
        <v/>
      </c>
      <c r="AN259">
        <f>IFERROR(V259-O259,"")</f>
        <v>4</v>
      </c>
      <c r="AO259">
        <f>IFERROR(J259-I259,"")</f>
        <v>3</v>
      </c>
      <c r="AP259">
        <f>IFERROR(AC259-X259,"")</f>
        <v>0</v>
      </c>
      <c r="AQ259" t="str">
        <f>IFERROR(AA259-W259,"")</f>
        <v/>
      </c>
    </row>
    <row r="260" spans="1:43" x14ac:dyDescent="0.35">
      <c r="A260">
        <v>1328</v>
      </c>
      <c r="B260" t="s">
        <v>873</v>
      </c>
      <c r="C260" t="s">
        <v>217</v>
      </c>
      <c r="D260" t="str">
        <f t="shared" si="84"/>
        <v>Program Office</v>
      </c>
      <c r="E260" t="s">
        <v>694</v>
      </c>
      <c r="F260" t="s">
        <v>758</v>
      </c>
      <c r="G260" t="s">
        <v>759</v>
      </c>
      <c r="H260" t="s">
        <v>697</v>
      </c>
      <c r="I260" s="32" t="s">
        <v>7471</v>
      </c>
      <c r="J260" s="32">
        <v>45161.187118055554</v>
      </c>
      <c r="K260" s="32">
        <v>45166.187118055554</v>
      </c>
      <c r="L260" s="8" t="str">
        <f t="shared" si="85"/>
        <v/>
      </c>
      <c r="M260" s="7">
        <v>45180.187118055554</v>
      </c>
      <c r="N260" t="s">
        <v>49</v>
      </c>
      <c r="O260" s="34">
        <v>45169.187118055554</v>
      </c>
      <c r="P260" t="s">
        <v>50</v>
      </c>
      <c r="Q260" t="s">
        <v>198</v>
      </c>
      <c r="R260" s="32" t="s">
        <v>7472</v>
      </c>
      <c r="S260" t="s">
        <v>7476</v>
      </c>
      <c r="T260" s="34" t="s">
        <v>7476</v>
      </c>
      <c r="U260" s="34" t="s">
        <v>7476</v>
      </c>
      <c r="V260" s="32">
        <v>45171.187118055554</v>
      </c>
      <c r="W260" s="32" t="s">
        <v>7476</v>
      </c>
      <c r="X260">
        <v>0</v>
      </c>
      <c r="Y260" s="34" t="s">
        <v>7476</v>
      </c>
      <c r="Z260" s="34" t="s">
        <v>7476</v>
      </c>
      <c r="AA260" s="34" t="s">
        <v>7476</v>
      </c>
      <c r="AB260" s="36" t="s">
        <v>95</v>
      </c>
      <c r="AD260" t="s">
        <v>874</v>
      </c>
      <c r="AE260" t="s">
        <v>875</v>
      </c>
      <c r="AF260" s="16">
        <v>45154</v>
      </c>
      <c r="AG260" t="s">
        <v>75</v>
      </c>
      <c r="AH260">
        <v>6</v>
      </c>
      <c r="AK260" s="38">
        <f t="shared" si="86"/>
        <v>45351.187118055554</v>
      </c>
    </row>
    <row r="261" spans="1:43" x14ac:dyDescent="0.35">
      <c r="A261">
        <v>1327</v>
      </c>
      <c r="B261" t="s">
        <v>876</v>
      </c>
      <c r="C261" t="s">
        <v>213</v>
      </c>
      <c r="D261" t="str">
        <f t="shared" si="84"/>
        <v>Program Office</v>
      </c>
      <c r="E261" t="s">
        <v>694</v>
      </c>
      <c r="F261" t="s">
        <v>758</v>
      </c>
      <c r="G261" t="s">
        <v>759</v>
      </c>
      <c r="H261" t="s">
        <v>697</v>
      </c>
      <c r="I261" s="32" t="s">
        <v>7471</v>
      </c>
      <c r="J261" s="32" t="s">
        <v>7471</v>
      </c>
      <c r="K261" s="32">
        <v>45166.187118055554</v>
      </c>
      <c r="L261" s="8" t="str">
        <f t="shared" si="85"/>
        <v/>
      </c>
      <c r="M261" s="7">
        <v>45188.187118055554</v>
      </c>
      <c r="N261" t="s">
        <v>72</v>
      </c>
      <c r="O261" s="34" t="s">
        <v>7474</v>
      </c>
      <c r="R261" s="32" t="s">
        <v>7472</v>
      </c>
      <c r="S261" t="s">
        <v>7476</v>
      </c>
      <c r="T261" s="34" t="s">
        <v>7476</v>
      </c>
      <c r="U261" s="34" t="s">
        <v>7476</v>
      </c>
      <c r="V261" s="32" t="s">
        <v>7476</v>
      </c>
      <c r="W261" s="32" t="s">
        <v>7476</v>
      </c>
      <c r="X261">
        <v>0</v>
      </c>
      <c r="Y261" s="34" t="s">
        <v>7476</v>
      </c>
      <c r="Z261" s="34" t="s">
        <v>7476</v>
      </c>
      <c r="AA261" s="34" t="s">
        <v>7476</v>
      </c>
      <c r="AB261" s="36" t="s">
        <v>7476</v>
      </c>
      <c r="AD261" t="s">
        <v>877</v>
      </c>
      <c r="AE261" t="s">
        <v>878</v>
      </c>
      <c r="AG261" t="s">
        <v>55</v>
      </c>
      <c r="AH261">
        <v>3</v>
      </c>
      <c r="AK261" s="38" t="str">
        <f t="shared" si="86"/>
        <v/>
      </c>
    </row>
    <row r="262" spans="1:43" x14ac:dyDescent="0.35">
      <c r="A262">
        <v>1298</v>
      </c>
      <c r="B262" t="s">
        <v>879</v>
      </c>
      <c r="C262" t="s">
        <v>202</v>
      </c>
      <c r="D262" t="str">
        <f t="shared" si="84"/>
        <v>Program Office</v>
      </c>
      <c r="E262" t="s">
        <v>694</v>
      </c>
      <c r="F262" t="s">
        <v>758</v>
      </c>
      <c r="G262" t="s">
        <v>759</v>
      </c>
      <c r="H262" t="s">
        <v>697</v>
      </c>
      <c r="I262" s="32">
        <v>45091.672731481478</v>
      </c>
      <c r="J262" s="32">
        <v>45093.672731481478</v>
      </c>
      <c r="K262" s="32">
        <v>45096.672731481478</v>
      </c>
      <c r="L262" s="8">
        <f t="shared" si="85"/>
        <v>5</v>
      </c>
      <c r="M262" s="7">
        <v>45109.672731481478</v>
      </c>
      <c r="N262" t="s">
        <v>49</v>
      </c>
      <c r="O262" s="34">
        <v>45108.672731481478</v>
      </c>
      <c r="P262" t="s">
        <v>50</v>
      </c>
      <c r="Q262" t="s">
        <v>236</v>
      </c>
      <c r="R262" s="32" t="s">
        <v>7472</v>
      </c>
      <c r="S262" t="s">
        <v>7476</v>
      </c>
      <c r="T262" s="34" t="s">
        <v>7476</v>
      </c>
      <c r="U262" s="34" t="s">
        <v>7476</v>
      </c>
      <c r="V262" s="32" t="s">
        <v>7476</v>
      </c>
      <c r="W262" s="32" t="s">
        <v>7476</v>
      </c>
      <c r="X262">
        <v>0</v>
      </c>
      <c r="Y262" s="34" t="s">
        <v>7476</v>
      </c>
      <c r="Z262" s="34" t="s">
        <v>7476</v>
      </c>
      <c r="AA262" s="34" t="s">
        <v>7476</v>
      </c>
      <c r="AB262" s="36" t="s">
        <v>52</v>
      </c>
      <c r="AD262" t="s">
        <v>880</v>
      </c>
      <c r="AE262" t="s">
        <v>881</v>
      </c>
      <c r="AF262" s="16">
        <v>45266</v>
      </c>
      <c r="AG262" t="s">
        <v>98</v>
      </c>
      <c r="AH262">
        <v>3</v>
      </c>
      <c r="AI262" s="8" t="str">
        <f>IFERROR(R262-AF262,"")</f>
        <v/>
      </c>
      <c r="AJ262" s="8">
        <f>IFERROR(O262-AF262,"")</f>
        <v>-157.32726851852203</v>
      </c>
      <c r="AK262" s="38" t="str">
        <f t="shared" si="86"/>
        <v/>
      </c>
      <c r="AL262" t="str">
        <f>IFERROR(Z262-W262,"")</f>
        <v/>
      </c>
      <c r="AM262" t="str">
        <f>IFERROR(R262-J262,"")</f>
        <v/>
      </c>
      <c r="AN262" t="str">
        <f>IFERROR(V262-O262,"")</f>
        <v/>
      </c>
      <c r="AO262">
        <f>IFERROR(J262-I262,"")</f>
        <v>2</v>
      </c>
      <c r="AP262">
        <f>IFERROR(AC262-X262,"")</f>
        <v>0</v>
      </c>
      <c r="AQ262" t="str">
        <f>IFERROR(AA262-W262,"")</f>
        <v/>
      </c>
    </row>
    <row r="263" spans="1:43" x14ac:dyDescent="0.35">
      <c r="A263">
        <v>1291</v>
      </c>
      <c r="B263" t="s">
        <v>882</v>
      </c>
      <c r="C263" t="s">
        <v>213</v>
      </c>
      <c r="D263" t="str">
        <f t="shared" si="84"/>
        <v>Program Office</v>
      </c>
      <c r="E263" t="s">
        <v>694</v>
      </c>
      <c r="F263" t="s">
        <v>758</v>
      </c>
      <c r="G263" t="s">
        <v>759</v>
      </c>
      <c r="H263" t="s">
        <v>697</v>
      </c>
      <c r="I263" s="32">
        <v>45092.672731481478</v>
      </c>
      <c r="J263" s="32">
        <v>45095.672731481478</v>
      </c>
      <c r="K263" s="32">
        <v>45096.672731481478</v>
      </c>
      <c r="L263" s="8">
        <f t="shared" si="85"/>
        <v>4</v>
      </c>
      <c r="M263" s="7">
        <v>45101.672731481478</v>
      </c>
      <c r="N263" t="s">
        <v>49</v>
      </c>
      <c r="O263" s="34">
        <v>45104.672731481478</v>
      </c>
      <c r="P263" t="s">
        <v>50</v>
      </c>
      <c r="Q263" t="s">
        <v>236</v>
      </c>
      <c r="R263" s="32" t="s">
        <v>7472</v>
      </c>
      <c r="S263" t="s">
        <v>7476</v>
      </c>
      <c r="T263" s="34" t="s">
        <v>7476</v>
      </c>
      <c r="U263" s="34" t="s">
        <v>7476</v>
      </c>
      <c r="V263" s="32">
        <v>45105.672731481478</v>
      </c>
      <c r="W263" s="32" t="s">
        <v>7476</v>
      </c>
      <c r="X263">
        <v>0</v>
      </c>
      <c r="Y263" s="34" t="s">
        <v>7476</v>
      </c>
      <c r="Z263" s="34" t="s">
        <v>7476</v>
      </c>
      <c r="AA263" s="34" t="s">
        <v>7476</v>
      </c>
      <c r="AB263" s="36" t="s">
        <v>95</v>
      </c>
      <c r="AD263" t="s">
        <v>883</v>
      </c>
      <c r="AE263" t="s">
        <v>884</v>
      </c>
      <c r="AF263" s="16">
        <v>45097</v>
      </c>
      <c r="AG263" t="s">
        <v>64</v>
      </c>
      <c r="AH263">
        <v>3</v>
      </c>
      <c r="AI263" s="8" t="str">
        <f>IFERROR(R263-AF263,"")</f>
        <v/>
      </c>
      <c r="AJ263" s="8">
        <f>IFERROR(O263-AF263,"")</f>
        <v>7.6727314814779675</v>
      </c>
      <c r="AK263" s="38">
        <f t="shared" si="86"/>
        <v>45195.672731481478</v>
      </c>
      <c r="AL263" t="str">
        <f>IFERROR(Z263-W263,"")</f>
        <v/>
      </c>
      <c r="AM263" t="str">
        <f>IFERROR(R263-J263,"")</f>
        <v/>
      </c>
      <c r="AN263">
        <f>IFERROR(V263-O263,"")</f>
        <v>1</v>
      </c>
      <c r="AO263">
        <f>IFERROR(J263-I263,"")</f>
        <v>3</v>
      </c>
      <c r="AP263">
        <f>IFERROR(AC263-X263,"")</f>
        <v>0</v>
      </c>
      <c r="AQ263" t="str">
        <f>IFERROR(AA263-W263,"")</f>
        <v/>
      </c>
    </row>
    <row r="264" spans="1:43" x14ac:dyDescent="0.35">
      <c r="A264">
        <v>1157</v>
      </c>
      <c r="B264" t="s">
        <v>885</v>
      </c>
      <c r="C264" t="s">
        <v>217</v>
      </c>
      <c r="D264" t="str">
        <f t="shared" si="84"/>
        <v>Program Office</v>
      </c>
      <c r="E264" t="s">
        <v>694</v>
      </c>
      <c r="F264" t="s">
        <v>758</v>
      </c>
      <c r="G264" t="s">
        <v>759</v>
      </c>
      <c r="H264" t="s">
        <v>697</v>
      </c>
      <c r="I264" s="32">
        <v>44638.808749999997</v>
      </c>
      <c r="J264" s="32">
        <v>44642.808749999997</v>
      </c>
      <c r="K264" s="32">
        <v>44644.808749999997</v>
      </c>
      <c r="L264" s="8">
        <f t="shared" si="85"/>
        <v>6</v>
      </c>
      <c r="M264" s="7">
        <v>44664.808749999997</v>
      </c>
      <c r="N264" t="s">
        <v>49</v>
      </c>
      <c r="O264" s="34">
        <v>44656.808749999997</v>
      </c>
      <c r="P264" t="s">
        <v>50</v>
      </c>
      <c r="Q264" t="s">
        <v>125</v>
      </c>
      <c r="R264" s="32" t="s">
        <v>7472</v>
      </c>
      <c r="S264" t="s">
        <v>7476</v>
      </c>
      <c r="T264" s="34" t="s">
        <v>7476</v>
      </c>
      <c r="U264" s="34" t="s">
        <v>7476</v>
      </c>
      <c r="V264" s="32">
        <v>44659.808749999997</v>
      </c>
      <c r="W264" s="32" t="s">
        <v>7476</v>
      </c>
      <c r="X264">
        <v>0</v>
      </c>
      <c r="Y264" s="34" t="s">
        <v>7476</v>
      </c>
      <c r="Z264" s="34" t="s">
        <v>7476</v>
      </c>
      <c r="AA264" s="34" t="s">
        <v>7476</v>
      </c>
      <c r="AB264" s="36" t="s">
        <v>52</v>
      </c>
      <c r="AD264" t="s">
        <v>886</v>
      </c>
      <c r="AE264" t="s">
        <v>887</v>
      </c>
      <c r="AF264" s="16">
        <v>44646</v>
      </c>
      <c r="AG264" t="s">
        <v>68</v>
      </c>
      <c r="AH264">
        <v>6</v>
      </c>
      <c r="AI264" s="8" t="str">
        <f>IFERROR(R264-AF264,"")</f>
        <v/>
      </c>
      <c r="AJ264" s="8">
        <f>IFERROR(O264-AF264,"")</f>
        <v>10.808749999996508</v>
      </c>
      <c r="AK264" s="38">
        <f t="shared" si="86"/>
        <v>44839.808749999997</v>
      </c>
      <c r="AL264" t="str">
        <f>IFERROR(Z264-W264,"")</f>
        <v/>
      </c>
      <c r="AM264" t="str">
        <f>IFERROR(R264-J264,"")</f>
        <v/>
      </c>
      <c r="AN264">
        <f>IFERROR(V264-O264,"")</f>
        <v>3</v>
      </c>
      <c r="AO264">
        <f>IFERROR(J264-I264,"")</f>
        <v>4</v>
      </c>
      <c r="AP264">
        <f>IFERROR(AC264-X264,"")</f>
        <v>0</v>
      </c>
      <c r="AQ264" t="str">
        <f>IFERROR(AA264-W264,"")</f>
        <v/>
      </c>
    </row>
    <row r="265" spans="1:43" x14ac:dyDescent="0.35">
      <c r="A265">
        <v>1155</v>
      </c>
      <c r="B265" t="s">
        <v>888</v>
      </c>
      <c r="C265" t="s">
        <v>217</v>
      </c>
      <c r="D265" t="str">
        <f t="shared" si="84"/>
        <v>Program Office</v>
      </c>
      <c r="E265" t="s">
        <v>694</v>
      </c>
      <c r="F265" t="s">
        <v>758</v>
      </c>
      <c r="G265" t="s">
        <v>759</v>
      </c>
      <c r="H265" t="s">
        <v>697</v>
      </c>
      <c r="I265" s="32" t="s">
        <v>7471</v>
      </c>
      <c r="J265" s="32">
        <v>44641.808749999997</v>
      </c>
      <c r="K265" s="32">
        <v>44644.808749999997</v>
      </c>
      <c r="L265" s="8" t="str">
        <f t="shared" si="85"/>
        <v/>
      </c>
      <c r="M265" s="7">
        <v>44659.808749999997</v>
      </c>
      <c r="N265" t="s">
        <v>49</v>
      </c>
      <c r="O265" s="34">
        <v>44649.808749999997</v>
      </c>
      <c r="P265" t="s">
        <v>60</v>
      </c>
      <c r="R265" s="32">
        <v>44655.808749999997</v>
      </c>
      <c r="S265" t="s">
        <v>61</v>
      </c>
      <c r="T265" s="34" t="s">
        <v>7476</v>
      </c>
      <c r="U265" s="34" t="s">
        <v>7476</v>
      </c>
      <c r="V265" s="32">
        <v>44652.808749999997</v>
      </c>
      <c r="W265" s="32" t="s">
        <v>7476</v>
      </c>
      <c r="X265">
        <v>0</v>
      </c>
      <c r="Y265" s="34" t="s">
        <v>7476</v>
      </c>
      <c r="Z265" s="34" t="s">
        <v>7476</v>
      </c>
      <c r="AA265" s="34" t="s">
        <v>7476</v>
      </c>
      <c r="AB265" s="36" t="s">
        <v>7476</v>
      </c>
      <c r="AD265" t="s">
        <v>889</v>
      </c>
      <c r="AE265" t="s">
        <v>890</v>
      </c>
      <c r="AF265" s="16">
        <v>44636</v>
      </c>
      <c r="AG265" t="s">
        <v>64</v>
      </c>
      <c r="AH265">
        <v>6</v>
      </c>
      <c r="AK265" s="38">
        <f t="shared" si="86"/>
        <v>44832.808749999997</v>
      </c>
    </row>
    <row r="266" spans="1:43" x14ac:dyDescent="0.35">
      <c r="A266">
        <v>1154</v>
      </c>
      <c r="B266" t="s">
        <v>891</v>
      </c>
      <c r="C266" t="s">
        <v>213</v>
      </c>
      <c r="D266" t="str">
        <f t="shared" si="84"/>
        <v>Program Office</v>
      </c>
      <c r="E266" t="s">
        <v>694</v>
      </c>
      <c r="F266" t="s">
        <v>758</v>
      </c>
      <c r="G266" t="s">
        <v>759</v>
      </c>
      <c r="H266" t="s">
        <v>697</v>
      </c>
      <c r="I266" s="32">
        <v>44638.808749999997</v>
      </c>
      <c r="J266" s="32" t="s">
        <v>7471</v>
      </c>
      <c r="K266" s="32">
        <v>44644.808749999997</v>
      </c>
      <c r="L266" s="8">
        <f t="shared" si="85"/>
        <v>6</v>
      </c>
      <c r="M266" s="7">
        <v>44672.808749999997</v>
      </c>
      <c r="N266" t="s">
        <v>49</v>
      </c>
      <c r="O266" s="34">
        <v>44653.808749999997</v>
      </c>
      <c r="P266" t="s">
        <v>60</v>
      </c>
      <c r="R266" s="32">
        <v>44661.808749999997</v>
      </c>
      <c r="S266" t="s">
        <v>61</v>
      </c>
      <c r="T266" s="34" t="s">
        <v>7476</v>
      </c>
      <c r="U266" s="34" t="s">
        <v>7476</v>
      </c>
      <c r="V266" s="32">
        <v>44657.808749999997</v>
      </c>
      <c r="W266" s="32" t="s">
        <v>7476</v>
      </c>
      <c r="X266">
        <v>0</v>
      </c>
      <c r="Y266" s="34" t="s">
        <v>7476</v>
      </c>
      <c r="Z266" s="34" t="s">
        <v>7476</v>
      </c>
      <c r="AA266" s="34" t="s">
        <v>7476</v>
      </c>
      <c r="AB266" s="36" t="s">
        <v>7476</v>
      </c>
      <c r="AD266" t="s">
        <v>892</v>
      </c>
      <c r="AE266" t="s">
        <v>893</v>
      </c>
      <c r="AF266" s="16">
        <v>44639</v>
      </c>
      <c r="AG266" t="s">
        <v>68</v>
      </c>
      <c r="AH266">
        <v>3</v>
      </c>
      <c r="AK266" s="38">
        <f t="shared" si="86"/>
        <v>44747.808749999997</v>
      </c>
    </row>
    <row r="267" spans="1:43" x14ac:dyDescent="0.35">
      <c r="A267">
        <v>1152</v>
      </c>
      <c r="B267" t="s">
        <v>894</v>
      </c>
      <c r="C267" t="s">
        <v>202</v>
      </c>
      <c r="D267" t="str">
        <f t="shared" si="84"/>
        <v>Program Office</v>
      </c>
      <c r="E267" t="s">
        <v>694</v>
      </c>
      <c r="F267" t="s">
        <v>758</v>
      </c>
      <c r="G267" t="s">
        <v>759</v>
      </c>
      <c r="H267" t="s">
        <v>697</v>
      </c>
      <c r="I267" s="32">
        <v>44635.808749999997</v>
      </c>
      <c r="J267" s="32">
        <v>44638.808749999997</v>
      </c>
      <c r="K267" s="32">
        <v>44644.808749999997</v>
      </c>
      <c r="L267" s="8">
        <f t="shared" si="85"/>
        <v>9</v>
      </c>
      <c r="M267" s="7">
        <v>44661.808749999997</v>
      </c>
      <c r="N267" t="s">
        <v>49</v>
      </c>
      <c r="O267" s="34">
        <v>44658.808749999997</v>
      </c>
      <c r="P267" t="s">
        <v>392</v>
      </c>
      <c r="R267" s="32">
        <v>44665.808749999997</v>
      </c>
      <c r="S267" t="s">
        <v>392</v>
      </c>
      <c r="T267" s="34" t="s">
        <v>7476</v>
      </c>
      <c r="U267" s="34" t="s">
        <v>7476</v>
      </c>
      <c r="V267" s="32">
        <v>44662.808749999997</v>
      </c>
      <c r="W267" s="32" t="s">
        <v>7476</v>
      </c>
      <c r="X267">
        <v>0</v>
      </c>
      <c r="Y267" s="34" t="s">
        <v>7476</v>
      </c>
      <c r="Z267" s="34" t="s">
        <v>7476</v>
      </c>
      <c r="AA267" s="34" t="s">
        <v>7476</v>
      </c>
      <c r="AB267" s="36" t="s">
        <v>7476</v>
      </c>
      <c r="AD267" t="s">
        <v>895</v>
      </c>
      <c r="AE267" t="s">
        <v>896</v>
      </c>
      <c r="AF267" s="16">
        <v>44639</v>
      </c>
      <c r="AG267" t="s">
        <v>64</v>
      </c>
      <c r="AH267">
        <v>3</v>
      </c>
      <c r="AI267" s="8">
        <f>IFERROR(R267-AF267,"")</f>
        <v>26.808749999996508</v>
      </c>
      <c r="AJ267" s="8">
        <f>IFERROR(O267-AF267,"")</f>
        <v>19.808749999996508</v>
      </c>
      <c r="AK267" s="38">
        <f t="shared" si="86"/>
        <v>44752.808749999997</v>
      </c>
      <c r="AL267" t="str">
        <f>IFERROR(Z267-W267,"")</f>
        <v/>
      </c>
      <c r="AM267">
        <f>IFERROR(R267-J267,"")</f>
        <v>27</v>
      </c>
      <c r="AN267">
        <f>IFERROR(V267-O267,"")</f>
        <v>4</v>
      </c>
      <c r="AO267">
        <f>IFERROR(J267-I267,"")</f>
        <v>3</v>
      </c>
      <c r="AP267">
        <f>IFERROR(AC267-X267,"")</f>
        <v>0</v>
      </c>
      <c r="AQ267" t="str">
        <f>IFERROR(AA267-W267,"")</f>
        <v/>
      </c>
    </row>
    <row r="268" spans="1:43" x14ac:dyDescent="0.35">
      <c r="A268">
        <v>1151</v>
      </c>
      <c r="B268" t="s">
        <v>897</v>
      </c>
      <c r="C268" t="s">
        <v>217</v>
      </c>
      <c r="D268" t="str">
        <f t="shared" si="84"/>
        <v>Program Office</v>
      </c>
      <c r="E268" t="s">
        <v>694</v>
      </c>
      <c r="F268" t="s">
        <v>758</v>
      </c>
      <c r="G268" t="s">
        <v>759</v>
      </c>
      <c r="H268" t="s">
        <v>697</v>
      </c>
      <c r="I268" s="32">
        <v>44637.808749999997</v>
      </c>
      <c r="J268" s="32">
        <v>44641.808749999997</v>
      </c>
      <c r="K268" s="32">
        <v>44644.808749999997</v>
      </c>
      <c r="L268" s="8">
        <f t="shared" si="85"/>
        <v>7</v>
      </c>
      <c r="M268" s="7">
        <v>44666.808749999997</v>
      </c>
      <c r="N268" t="s">
        <v>49</v>
      </c>
      <c r="O268" s="34">
        <v>44659.808749999997</v>
      </c>
      <c r="P268" t="s">
        <v>60</v>
      </c>
      <c r="R268" s="32">
        <v>44664.808749999997</v>
      </c>
      <c r="S268" t="s">
        <v>61</v>
      </c>
      <c r="T268" s="34" t="s">
        <v>7476</v>
      </c>
      <c r="U268" s="34" t="s">
        <v>7476</v>
      </c>
      <c r="V268" s="32">
        <v>44663.808749999997</v>
      </c>
      <c r="W268" s="32" t="s">
        <v>7476</v>
      </c>
      <c r="X268">
        <v>0</v>
      </c>
      <c r="Y268" s="34" t="s">
        <v>7476</v>
      </c>
      <c r="Z268" s="34" t="s">
        <v>7476</v>
      </c>
      <c r="AA268" s="34" t="s">
        <v>7476</v>
      </c>
      <c r="AB268" s="36" t="s">
        <v>7476</v>
      </c>
      <c r="AD268" t="s">
        <v>898</v>
      </c>
      <c r="AE268" t="s">
        <v>899</v>
      </c>
      <c r="AF268" s="16">
        <v>44565</v>
      </c>
      <c r="AG268" t="s">
        <v>64</v>
      </c>
      <c r="AH268">
        <v>6</v>
      </c>
      <c r="AI268" s="8">
        <f>IFERROR(R268-AF268,"")</f>
        <v>99.808749999996508</v>
      </c>
      <c r="AJ268" s="8">
        <f>IFERROR(O268-AF268,"")</f>
        <v>94.808749999996508</v>
      </c>
      <c r="AK268" s="38">
        <f t="shared" si="86"/>
        <v>44843.808749999997</v>
      </c>
      <c r="AL268" t="str">
        <f>IFERROR(Z268-W268,"")</f>
        <v/>
      </c>
      <c r="AM268">
        <f>IFERROR(R268-J268,"")</f>
        <v>23</v>
      </c>
      <c r="AN268">
        <f>IFERROR(V268-O268,"")</f>
        <v>4</v>
      </c>
      <c r="AO268">
        <f>IFERROR(J268-I268,"")</f>
        <v>4</v>
      </c>
      <c r="AP268">
        <f>IFERROR(AC268-X268,"")</f>
        <v>0</v>
      </c>
      <c r="AQ268" t="str">
        <f>IFERROR(AA268-W268,"")</f>
        <v/>
      </c>
    </row>
    <row r="269" spans="1:43" x14ac:dyDescent="0.35">
      <c r="A269">
        <v>1000</v>
      </c>
      <c r="B269" t="s">
        <v>900</v>
      </c>
      <c r="C269" t="s">
        <v>202</v>
      </c>
      <c r="D269" t="str">
        <f t="shared" si="84"/>
        <v>Program Office</v>
      </c>
      <c r="E269" t="s">
        <v>694</v>
      </c>
      <c r="F269" t="s">
        <v>758</v>
      </c>
      <c r="G269" t="s">
        <v>759</v>
      </c>
      <c r="H269" t="s">
        <v>697</v>
      </c>
      <c r="I269" s="32">
        <v>45015.858425925922</v>
      </c>
      <c r="J269" s="32">
        <v>45018.858425925922</v>
      </c>
      <c r="K269" s="32">
        <v>45020.858425925922</v>
      </c>
      <c r="L269" s="8">
        <f t="shared" si="85"/>
        <v>5</v>
      </c>
      <c r="M269" s="7">
        <v>45048.858425925922</v>
      </c>
      <c r="N269" t="s">
        <v>49</v>
      </c>
      <c r="O269" s="34">
        <v>45033.858425925922</v>
      </c>
      <c r="P269" t="s">
        <v>60</v>
      </c>
      <c r="R269" s="32">
        <v>45039.858425925922</v>
      </c>
      <c r="S269" t="s">
        <v>61</v>
      </c>
      <c r="T269" s="34" t="s">
        <v>7476</v>
      </c>
      <c r="U269" s="34" t="s">
        <v>7476</v>
      </c>
      <c r="V269" s="32">
        <v>45037.858425925922</v>
      </c>
      <c r="W269" s="32" t="s">
        <v>7476</v>
      </c>
      <c r="X269">
        <v>0</v>
      </c>
      <c r="Y269" s="34" t="s">
        <v>7476</v>
      </c>
      <c r="Z269" s="34" t="s">
        <v>7476</v>
      </c>
      <c r="AA269" s="34" t="s">
        <v>7476</v>
      </c>
      <c r="AB269" s="36" t="s">
        <v>7476</v>
      </c>
      <c r="AD269" t="s">
        <v>901</v>
      </c>
      <c r="AE269" t="s">
        <v>902</v>
      </c>
      <c r="AF269" s="16">
        <v>45014</v>
      </c>
      <c r="AG269" t="s">
        <v>98</v>
      </c>
      <c r="AH269">
        <v>3</v>
      </c>
      <c r="AI269" s="8">
        <f>IFERROR(R269-AF269,"")</f>
        <v>25.858425925922347</v>
      </c>
      <c r="AJ269" s="8">
        <f>IFERROR(O269-AF269,"")</f>
        <v>19.858425925922347</v>
      </c>
      <c r="AK269" s="38">
        <f t="shared" si="86"/>
        <v>45127.858425925922</v>
      </c>
      <c r="AL269" t="str">
        <f>IFERROR(Z269-W269,"")</f>
        <v/>
      </c>
      <c r="AM269">
        <f>IFERROR(R269-J269,"")</f>
        <v>21</v>
      </c>
      <c r="AN269">
        <f>IFERROR(V269-O269,"")</f>
        <v>4</v>
      </c>
      <c r="AO269">
        <f>IFERROR(J269-I269,"")</f>
        <v>3</v>
      </c>
      <c r="AP269">
        <f>IFERROR(AC269-X269,"")</f>
        <v>0</v>
      </c>
      <c r="AQ269" t="str">
        <f>IFERROR(AA269-W269,"")</f>
        <v/>
      </c>
    </row>
    <row r="270" spans="1:43" x14ac:dyDescent="0.35">
      <c r="A270">
        <v>992</v>
      </c>
      <c r="B270" t="s">
        <v>903</v>
      </c>
      <c r="C270" t="s">
        <v>217</v>
      </c>
      <c r="D270" t="str">
        <f t="shared" si="84"/>
        <v>Program Office</v>
      </c>
      <c r="E270" t="s">
        <v>694</v>
      </c>
      <c r="F270" t="s">
        <v>758</v>
      </c>
      <c r="G270" t="s">
        <v>759</v>
      </c>
      <c r="H270" t="s">
        <v>697</v>
      </c>
      <c r="I270" s="32" t="s">
        <v>7471</v>
      </c>
      <c r="J270" s="32">
        <v>45018.858425925922</v>
      </c>
      <c r="K270" s="32">
        <v>45020.858425925922</v>
      </c>
      <c r="L270" s="8" t="str">
        <f t="shared" si="85"/>
        <v/>
      </c>
      <c r="M270" s="7">
        <v>45029.858425925922</v>
      </c>
      <c r="N270" t="s">
        <v>49</v>
      </c>
      <c r="O270" s="34">
        <v>45024.858425925922</v>
      </c>
      <c r="P270" t="s">
        <v>50</v>
      </c>
      <c r="Q270" t="s">
        <v>198</v>
      </c>
      <c r="R270" s="32" t="s">
        <v>7472</v>
      </c>
      <c r="S270" t="s">
        <v>7476</v>
      </c>
      <c r="T270" s="34" t="s">
        <v>7476</v>
      </c>
      <c r="U270" s="34" t="s">
        <v>7476</v>
      </c>
      <c r="V270" s="32" t="s">
        <v>7476</v>
      </c>
      <c r="W270" s="32" t="s">
        <v>7476</v>
      </c>
      <c r="X270">
        <v>0</v>
      </c>
      <c r="Y270" s="34" t="s">
        <v>7476</v>
      </c>
      <c r="Z270" s="34" t="s">
        <v>7476</v>
      </c>
      <c r="AA270" s="34" t="s">
        <v>7476</v>
      </c>
      <c r="AB270" s="36" t="s">
        <v>52</v>
      </c>
      <c r="AD270" t="s">
        <v>904</v>
      </c>
      <c r="AE270" t="s">
        <v>905</v>
      </c>
      <c r="AF270" s="16">
        <v>45010</v>
      </c>
      <c r="AG270" t="s">
        <v>68</v>
      </c>
      <c r="AH270">
        <v>3</v>
      </c>
      <c r="AK270" s="38" t="str">
        <f t="shared" si="86"/>
        <v/>
      </c>
    </row>
    <row r="271" spans="1:43" x14ac:dyDescent="0.35">
      <c r="A271">
        <v>991</v>
      </c>
      <c r="B271" t="s">
        <v>906</v>
      </c>
      <c r="C271" t="s">
        <v>213</v>
      </c>
      <c r="D271" t="str">
        <f t="shared" si="84"/>
        <v>Program Office</v>
      </c>
      <c r="E271" t="s">
        <v>694</v>
      </c>
      <c r="F271" t="s">
        <v>758</v>
      </c>
      <c r="G271" t="s">
        <v>759</v>
      </c>
      <c r="H271" t="s">
        <v>697</v>
      </c>
      <c r="I271" s="32">
        <v>45010.858425925922</v>
      </c>
      <c r="J271" s="32">
        <v>45014.858425925922</v>
      </c>
      <c r="K271" s="32">
        <v>45020.858425925922</v>
      </c>
      <c r="L271" s="8">
        <f t="shared" si="85"/>
        <v>10</v>
      </c>
      <c r="M271" s="7">
        <v>45026.858425925922</v>
      </c>
      <c r="N271" t="s">
        <v>49</v>
      </c>
      <c r="O271" s="34">
        <v>45031.858425925922</v>
      </c>
      <c r="P271" t="s">
        <v>101</v>
      </c>
      <c r="R271" s="32">
        <v>45034.858425925922</v>
      </c>
      <c r="S271" t="s">
        <v>101</v>
      </c>
      <c r="T271" s="34">
        <v>45033.858425925922</v>
      </c>
      <c r="U271" s="34">
        <v>45037.858425925922</v>
      </c>
      <c r="V271" s="32">
        <v>45033.858425925922</v>
      </c>
      <c r="W271" s="32">
        <v>45040.858425925922</v>
      </c>
      <c r="X271">
        <v>1</v>
      </c>
      <c r="Y271" s="34">
        <v>45042.858425925922</v>
      </c>
      <c r="Z271" s="34">
        <v>45044.858425925922</v>
      </c>
      <c r="AA271" s="34">
        <v>45045.858425925922</v>
      </c>
      <c r="AB271" s="36" t="s">
        <v>7476</v>
      </c>
      <c r="AC271" s="10">
        <v>45060.858425925922</v>
      </c>
      <c r="AD271" t="s">
        <v>907</v>
      </c>
      <c r="AE271" t="s">
        <v>908</v>
      </c>
      <c r="AF271" s="16">
        <v>45203</v>
      </c>
      <c r="AG271" t="s">
        <v>64</v>
      </c>
      <c r="AH271">
        <v>6</v>
      </c>
      <c r="AI271" s="8">
        <f t="shared" ref="AI271:AI276" si="87">IFERROR(R271-AF271,"")</f>
        <v>-168.14157407407765</v>
      </c>
      <c r="AJ271" s="8">
        <f t="shared" ref="AJ271:AJ276" si="88">IFERROR(O271-AF271,"")</f>
        <v>-171.14157407407765</v>
      </c>
      <c r="AK271" s="38">
        <f t="shared" si="86"/>
        <v>45213.858425925922</v>
      </c>
      <c r="AL271">
        <f t="shared" ref="AL271:AL276" si="89">IFERROR(Z271-W271,"")</f>
        <v>4</v>
      </c>
      <c r="AM271">
        <f t="shared" ref="AM271:AM276" si="90">IFERROR(R271-J271,"")</f>
        <v>20</v>
      </c>
      <c r="AN271">
        <f t="shared" ref="AN271:AN276" si="91">IFERROR(V271-O271,"")</f>
        <v>2</v>
      </c>
      <c r="AO271">
        <f t="shared" ref="AO271:AO276" si="92">IFERROR(J271-I271,"")</f>
        <v>4</v>
      </c>
      <c r="AP271">
        <f t="shared" ref="AP271:AP276" si="93">IFERROR(AC271-X271,"")</f>
        <v>45059.858425925922</v>
      </c>
      <c r="AQ271">
        <f t="shared" ref="AQ271:AQ276" si="94">IFERROR(AA271-W271,"")</f>
        <v>5</v>
      </c>
    </row>
    <row r="272" spans="1:43" x14ac:dyDescent="0.35">
      <c r="A272">
        <v>957</v>
      </c>
      <c r="B272" t="s">
        <v>909</v>
      </c>
      <c r="C272" t="s">
        <v>213</v>
      </c>
      <c r="D272" t="str">
        <f t="shared" si="84"/>
        <v>Program Office</v>
      </c>
      <c r="E272" t="s">
        <v>694</v>
      </c>
      <c r="F272" t="s">
        <v>758</v>
      </c>
      <c r="G272" t="s">
        <v>759</v>
      </c>
      <c r="H272" t="s">
        <v>697</v>
      </c>
      <c r="I272" s="32">
        <v>45141.997118055559</v>
      </c>
      <c r="J272" s="32">
        <v>45142.997118055559</v>
      </c>
      <c r="K272" s="32">
        <v>45147.997118055559</v>
      </c>
      <c r="L272" s="8">
        <f t="shared" si="85"/>
        <v>6</v>
      </c>
      <c r="M272" s="7">
        <v>45161.997118055559</v>
      </c>
      <c r="N272" t="s">
        <v>49</v>
      </c>
      <c r="O272" s="34">
        <v>45161.997118055559</v>
      </c>
      <c r="P272" t="s">
        <v>101</v>
      </c>
      <c r="R272" s="32">
        <v>45168.997118055559</v>
      </c>
      <c r="S272" t="s">
        <v>101</v>
      </c>
      <c r="T272" s="34">
        <v>45163.997118055559</v>
      </c>
      <c r="U272" s="34">
        <v>45166.997118055559</v>
      </c>
      <c r="V272" s="32">
        <v>45164.997118055559</v>
      </c>
      <c r="W272" s="32">
        <v>45170.997118055559</v>
      </c>
      <c r="X272">
        <v>1</v>
      </c>
      <c r="Y272" s="34">
        <v>45174.997118055559</v>
      </c>
      <c r="Z272" s="34">
        <v>45177.997118055559</v>
      </c>
      <c r="AA272" s="34">
        <v>45178.997118055559</v>
      </c>
      <c r="AB272" s="36" t="s">
        <v>7476</v>
      </c>
      <c r="AC272" s="10">
        <v>45190.997118055559</v>
      </c>
      <c r="AD272" t="s">
        <v>910</v>
      </c>
      <c r="AE272" t="s">
        <v>911</v>
      </c>
      <c r="AF272" s="16">
        <v>45207</v>
      </c>
      <c r="AG272" t="s">
        <v>98</v>
      </c>
      <c r="AH272">
        <v>3</v>
      </c>
      <c r="AI272" s="8">
        <f t="shared" si="87"/>
        <v>-38.002881944441469</v>
      </c>
      <c r="AJ272" s="8">
        <f t="shared" si="88"/>
        <v>-45.002881944441469</v>
      </c>
      <c r="AK272" s="38">
        <f t="shared" si="86"/>
        <v>45254.997118055559</v>
      </c>
      <c r="AL272">
        <f t="shared" si="89"/>
        <v>7</v>
      </c>
      <c r="AM272">
        <f t="shared" si="90"/>
        <v>26</v>
      </c>
      <c r="AN272">
        <f t="shared" si="91"/>
        <v>3</v>
      </c>
      <c r="AO272">
        <f t="shared" si="92"/>
        <v>1</v>
      </c>
      <c r="AP272">
        <f t="shared" si="93"/>
        <v>45189.997118055559</v>
      </c>
      <c r="AQ272">
        <f t="shared" si="94"/>
        <v>8</v>
      </c>
    </row>
    <row r="273" spans="1:43" x14ac:dyDescent="0.35">
      <c r="A273">
        <v>956</v>
      </c>
      <c r="B273" t="s">
        <v>912</v>
      </c>
      <c r="C273" t="s">
        <v>217</v>
      </c>
      <c r="D273" t="str">
        <f t="shared" si="84"/>
        <v>Program Office</v>
      </c>
      <c r="E273" t="s">
        <v>694</v>
      </c>
      <c r="F273" t="s">
        <v>758</v>
      </c>
      <c r="G273" t="s">
        <v>759</v>
      </c>
      <c r="H273" t="s">
        <v>697</v>
      </c>
      <c r="I273" s="32">
        <v>45141.997118055559</v>
      </c>
      <c r="J273" s="32">
        <v>45143.997118055559</v>
      </c>
      <c r="K273" s="32">
        <v>45147.997118055559</v>
      </c>
      <c r="L273" s="8">
        <f t="shared" si="85"/>
        <v>6</v>
      </c>
      <c r="M273" s="7">
        <v>45175.997118055559</v>
      </c>
      <c r="N273" t="s">
        <v>49</v>
      </c>
      <c r="O273" s="34">
        <v>45152.997118055559</v>
      </c>
      <c r="P273" t="s">
        <v>50</v>
      </c>
      <c r="Q273" t="s">
        <v>198</v>
      </c>
      <c r="R273" s="32" t="s">
        <v>7472</v>
      </c>
      <c r="S273" t="s">
        <v>7476</v>
      </c>
      <c r="T273" s="34" t="s">
        <v>7476</v>
      </c>
      <c r="U273" s="34" t="s">
        <v>7476</v>
      </c>
      <c r="V273" s="32">
        <v>45153.997118055559</v>
      </c>
      <c r="W273" s="32" t="s">
        <v>7476</v>
      </c>
      <c r="X273">
        <v>0</v>
      </c>
      <c r="Y273" s="34" t="s">
        <v>7476</v>
      </c>
      <c r="Z273" s="34" t="s">
        <v>7476</v>
      </c>
      <c r="AA273" s="34" t="s">
        <v>7476</v>
      </c>
      <c r="AB273" s="36" t="s">
        <v>52</v>
      </c>
      <c r="AD273" t="s">
        <v>913</v>
      </c>
      <c r="AE273" t="s">
        <v>914</v>
      </c>
      <c r="AF273" s="16">
        <v>45147</v>
      </c>
      <c r="AG273" t="s">
        <v>64</v>
      </c>
      <c r="AH273">
        <v>3</v>
      </c>
      <c r="AI273" s="8" t="str">
        <f t="shared" si="87"/>
        <v/>
      </c>
      <c r="AJ273" s="8">
        <f t="shared" si="88"/>
        <v>5.9971180555585306</v>
      </c>
      <c r="AK273" s="38">
        <f t="shared" si="86"/>
        <v>45243.997118055559</v>
      </c>
      <c r="AL273" t="str">
        <f t="shared" si="89"/>
        <v/>
      </c>
      <c r="AM273" t="str">
        <f t="shared" si="90"/>
        <v/>
      </c>
      <c r="AN273">
        <f t="shared" si="91"/>
        <v>1</v>
      </c>
      <c r="AO273">
        <f t="shared" si="92"/>
        <v>2</v>
      </c>
      <c r="AP273">
        <f t="shared" si="93"/>
        <v>0</v>
      </c>
      <c r="AQ273" t="str">
        <f t="shared" si="94"/>
        <v/>
      </c>
    </row>
    <row r="274" spans="1:43" x14ac:dyDescent="0.35">
      <c r="A274">
        <v>948</v>
      </c>
      <c r="B274" t="s">
        <v>915</v>
      </c>
      <c r="C274" t="s">
        <v>213</v>
      </c>
      <c r="D274" t="str">
        <f t="shared" si="84"/>
        <v>Program Office</v>
      </c>
      <c r="E274" t="s">
        <v>694</v>
      </c>
      <c r="F274" t="s">
        <v>758</v>
      </c>
      <c r="G274" t="s">
        <v>759</v>
      </c>
      <c r="H274" t="s">
        <v>697</v>
      </c>
      <c r="I274" s="32">
        <v>44864.043067129627</v>
      </c>
      <c r="J274" s="32">
        <v>44865.043067129627</v>
      </c>
      <c r="K274" s="32">
        <v>44868.043067129627</v>
      </c>
      <c r="L274" s="8">
        <f t="shared" si="85"/>
        <v>4</v>
      </c>
      <c r="M274" s="7">
        <v>44877.043067129627</v>
      </c>
      <c r="N274" t="s">
        <v>72</v>
      </c>
      <c r="O274" s="34" t="s">
        <v>7474</v>
      </c>
      <c r="R274" s="32" t="s">
        <v>7472</v>
      </c>
      <c r="S274" t="s">
        <v>7476</v>
      </c>
      <c r="T274" s="34" t="s">
        <v>7476</v>
      </c>
      <c r="U274" s="34" t="s">
        <v>7476</v>
      </c>
      <c r="V274" s="32" t="s">
        <v>7476</v>
      </c>
      <c r="W274" s="32" t="s">
        <v>7476</v>
      </c>
      <c r="X274">
        <v>0</v>
      </c>
      <c r="Y274" s="34" t="s">
        <v>7476</v>
      </c>
      <c r="Z274" s="34" t="s">
        <v>7476</v>
      </c>
      <c r="AA274" s="34" t="s">
        <v>7476</v>
      </c>
      <c r="AB274" s="36" t="s">
        <v>7476</v>
      </c>
      <c r="AD274" t="s">
        <v>916</v>
      </c>
      <c r="AE274" t="s">
        <v>917</v>
      </c>
      <c r="AG274" t="s">
        <v>98</v>
      </c>
      <c r="AH274">
        <v>3</v>
      </c>
      <c r="AI274" s="8" t="str">
        <f t="shared" si="87"/>
        <v/>
      </c>
      <c r="AJ274" s="8" t="str">
        <f t="shared" si="88"/>
        <v/>
      </c>
      <c r="AK274" s="38" t="str">
        <f t="shared" si="86"/>
        <v/>
      </c>
      <c r="AL274" t="str">
        <f t="shared" si="89"/>
        <v/>
      </c>
      <c r="AM274" t="str">
        <f t="shared" si="90"/>
        <v/>
      </c>
      <c r="AN274" t="str">
        <f t="shared" si="91"/>
        <v/>
      </c>
      <c r="AO274">
        <f t="shared" si="92"/>
        <v>1</v>
      </c>
      <c r="AP274">
        <f t="shared" si="93"/>
        <v>0</v>
      </c>
      <c r="AQ274" t="str">
        <f t="shared" si="94"/>
        <v/>
      </c>
    </row>
    <row r="275" spans="1:43" x14ac:dyDescent="0.35">
      <c r="A275">
        <v>947</v>
      </c>
      <c r="B275" t="s">
        <v>918</v>
      </c>
      <c r="C275" t="s">
        <v>202</v>
      </c>
      <c r="D275" t="str">
        <f t="shared" si="84"/>
        <v>Program Office</v>
      </c>
      <c r="E275" t="s">
        <v>694</v>
      </c>
      <c r="F275" t="s">
        <v>758</v>
      </c>
      <c r="G275" t="s">
        <v>759</v>
      </c>
      <c r="H275" t="s">
        <v>697</v>
      </c>
      <c r="I275" s="32">
        <v>44862.043067129627</v>
      </c>
      <c r="J275" s="32">
        <v>44864.043067129627</v>
      </c>
      <c r="K275" s="32">
        <v>44868.043067129627</v>
      </c>
      <c r="L275" s="8">
        <f t="shared" si="85"/>
        <v>6</v>
      </c>
      <c r="M275" s="7">
        <v>44895.043067129627</v>
      </c>
      <c r="N275" t="s">
        <v>49</v>
      </c>
      <c r="O275" s="34">
        <v>44875.043067129627</v>
      </c>
      <c r="P275" t="s">
        <v>50</v>
      </c>
      <c r="Q275" t="s">
        <v>84</v>
      </c>
      <c r="R275" s="32" t="s">
        <v>7472</v>
      </c>
      <c r="S275" t="s">
        <v>7476</v>
      </c>
      <c r="T275" s="34" t="s">
        <v>7476</v>
      </c>
      <c r="U275" s="34" t="s">
        <v>7476</v>
      </c>
      <c r="V275" s="32">
        <v>44876.043067129627</v>
      </c>
      <c r="W275" s="32" t="s">
        <v>7476</v>
      </c>
      <c r="X275">
        <v>0</v>
      </c>
      <c r="Y275" s="34" t="s">
        <v>7476</v>
      </c>
      <c r="Z275" s="34" t="s">
        <v>7476</v>
      </c>
      <c r="AA275" s="34" t="s">
        <v>7476</v>
      </c>
      <c r="AB275" s="36" t="s">
        <v>52</v>
      </c>
      <c r="AD275" t="s">
        <v>919</v>
      </c>
      <c r="AE275" t="s">
        <v>920</v>
      </c>
      <c r="AF275" s="16">
        <v>44868</v>
      </c>
      <c r="AG275" t="s">
        <v>64</v>
      </c>
      <c r="AH275">
        <v>3</v>
      </c>
      <c r="AI275" s="8" t="str">
        <f t="shared" si="87"/>
        <v/>
      </c>
      <c r="AJ275" s="8">
        <f t="shared" si="88"/>
        <v>7.0430671296271612</v>
      </c>
      <c r="AK275" s="38">
        <f t="shared" si="86"/>
        <v>44966.043067129627</v>
      </c>
      <c r="AL275" t="str">
        <f t="shared" si="89"/>
        <v/>
      </c>
      <c r="AM275" t="str">
        <f t="shared" si="90"/>
        <v/>
      </c>
      <c r="AN275">
        <f t="shared" si="91"/>
        <v>1</v>
      </c>
      <c r="AO275">
        <f t="shared" si="92"/>
        <v>2</v>
      </c>
      <c r="AP275">
        <f t="shared" si="93"/>
        <v>0</v>
      </c>
      <c r="AQ275" t="str">
        <f t="shared" si="94"/>
        <v/>
      </c>
    </row>
    <row r="276" spans="1:43" x14ac:dyDescent="0.35">
      <c r="A276">
        <v>908</v>
      </c>
      <c r="B276" t="s">
        <v>921</v>
      </c>
      <c r="C276" t="s">
        <v>213</v>
      </c>
      <c r="D276" t="str">
        <f t="shared" si="84"/>
        <v>Program Office</v>
      </c>
      <c r="E276" t="s">
        <v>694</v>
      </c>
      <c r="F276" t="s">
        <v>758</v>
      </c>
      <c r="G276" t="s">
        <v>759</v>
      </c>
      <c r="H276" t="s">
        <v>697</v>
      </c>
      <c r="I276" s="32">
        <v>45162.249560185177</v>
      </c>
      <c r="J276" s="32">
        <v>45163.249560185177</v>
      </c>
      <c r="K276" s="32">
        <v>45166.249560185177</v>
      </c>
      <c r="L276" s="8">
        <f t="shared" si="85"/>
        <v>4</v>
      </c>
      <c r="M276" s="7">
        <v>45176.249560185177</v>
      </c>
      <c r="N276" t="s">
        <v>49</v>
      </c>
      <c r="O276" s="34">
        <v>45170.249560185177</v>
      </c>
      <c r="P276" t="s">
        <v>50</v>
      </c>
      <c r="Q276" t="s">
        <v>236</v>
      </c>
      <c r="R276" s="32" t="s">
        <v>7472</v>
      </c>
      <c r="S276" t="s">
        <v>7476</v>
      </c>
      <c r="T276" s="34" t="s">
        <v>7476</v>
      </c>
      <c r="U276" s="34" t="s">
        <v>7476</v>
      </c>
      <c r="V276" s="32">
        <v>45171.249560185177</v>
      </c>
      <c r="W276" s="32" t="s">
        <v>7476</v>
      </c>
      <c r="X276">
        <v>0</v>
      </c>
      <c r="Y276" s="34" t="s">
        <v>7476</v>
      </c>
      <c r="Z276" s="34" t="s">
        <v>7476</v>
      </c>
      <c r="AA276" s="34" t="s">
        <v>7476</v>
      </c>
      <c r="AB276" s="36" t="s">
        <v>52</v>
      </c>
      <c r="AD276" t="s">
        <v>922</v>
      </c>
      <c r="AE276" t="s">
        <v>923</v>
      </c>
      <c r="AF276" s="16">
        <v>45156</v>
      </c>
      <c r="AG276" t="s">
        <v>68</v>
      </c>
      <c r="AH276">
        <v>3</v>
      </c>
      <c r="AI276" s="8" t="str">
        <f t="shared" si="87"/>
        <v/>
      </c>
      <c r="AJ276" s="8">
        <f t="shared" si="88"/>
        <v>14.249560185176961</v>
      </c>
      <c r="AK276" s="38">
        <f t="shared" si="86"/>
        <v>45261.249560185177</v>
      </c>
      <c r="AL276" t="str">
        <f t="shared" si="89"/>
        <v/>
      </c>
      <c r="AM276" t="str">
        <f t="shared" si="90"/>
        <v/>
      </c>
      <c r="AN276">
        <f t="shared" si="91"/>
        <v>1</v>
      </c>
      <c r="AO276">
        <f t="shared" si="92"/>
        <v>1</v>
      </c>
      <c r="AP276">
        <f t="shared" si="93"/>
        <v>0</v>
      </c>
      <c r="AQ276" t="str">
        <f t="shared" si="94"/>
        <v/>
      </c>
    </row>
    <row r="277" spans="1:43" x14ac:dyDescent="0.35">
      <c r="A277">
        <v>903</v>
      </c>
      <c r="B277" t="s">
        <v>924</v>
      </c>
      <c r="C277" t="s">
        <v>217</v>
      </c>
      <c r="D277" t="str">
        <f t="shared" si="84"/>
        <v>Program Office</v>
      </c>
      <c r="E277" t="s">
        <v>694</v>
      </c>
      <c r="F277" t="s">
        <v>758</v>
      </c>
      <c r="G277" t="s">
        <v>759</v>
      </c>
      <c r="H277" t="s">
        <v>697</v>
      </c>
      <c r="I277" s="32">
        <v>45160.249560185177</v>
      </c>
      <c r="J277" s="32">
        <v>45164.249560185177</v>
      </c>
      <c r="K277" s="32" t="s">
        <v>7473</v>
      </c>
      <c r="L277" s="8" t="str">
        <f t="shared" si="85"/>
        <v/>
      </c>
      <c r="M277" s="7">
        <v>45179.249560185177</v>
      </c>
      <c r="N277" t="s">
        <v>72</v>
      </c>
      <c r="O277" s="34" t="s">
        <v>7474</v>
      </c>
      <c r="R277" s="32" t="s">
        <v>7472</v>
      </c>
      <c r="S277" t="s">
        <v>7476</v>
      </c>
      <c r="T277" s="34" t="s">
        <v>7476</v>
      </c>
      <c r="U277" s="34" t="s">
        <v>7476</v>
      </c>
      <c r="V277" s="32" t="s">
        <v>7476</v>
      </c>
      <c r="W277" s="32" t="s">
        <v>7476</v>
      </c>
      <c r="X277">
        <v>0</v>
      </c>
      <c r="Y277" s="34" t="s">
        <v>7476</v>
      </c>
      <c r="Z277" s="34" t="s">
        <v>7476</v>
      </c>
      <c r="AA277" s="34" t="s">
        <v>7476</v>
      </c>
      <c r="AB277" s="36" t="s">
        <v>7476</v>
      </c>
      <c r="AD277" t="s">
        <v>925</v>
      </c>
      <c r="AE277" t="s">
        <v>926</v>
      </c>
      <c r="AG277" t="s">
        <v>68</v>
      </c>
      <c r="AH277">
        <v>3</v>
      </c>
      <c r="AK277" s="38" t="str">
        <f t="shared" si="86"/>
        <v/>
      </c>
    </row>
    <row r="278" spans="1:43" x14ac:dyDescent="0.35">
      <c r="A278">
        <v>838</v>
      </c>
      <c r="B278" t="s">
        <v>927</v>
      </c>
      <c r="C278" t="s">
        <v>217</v>
      </c>
      <c r="D278" t="str">
        <f t="shared" si="84"/>
        <v>Program Office</v>
      </c>
      <c r="E278" t="s">
        <v>694</v>
      </c>
      <c r="F278" t="s">
        <v>758</v>
      </c>
      <c r="G278" t="s">
        <v>759</v>
      </c>
      <c r="H278" t="s">
        <v>697</v>
      </c>
      <c r="I278" s="32">
        <v>44753.707071759258</v>
      </c>
      <c r="J278" s="32">
        <v>44754.707071759258</v>
      </c>
      <c r="K278" s="32">
        <v>44760.707071759258</v>
      </c>
      <c r="L278" s="8">
        <f t="shared" si="85"/>
        <v>7</v>
      </c>
      <c r="M278" s="7">
        <v>44777.707071759258</v>
      </c>
      <c r="N278" t="s">
        <v>49</v>
      </c>
      <c r="O278" s="34">
        <v>44778.707071759258</v>
      </c>
      <c r="P278" t="s">
        <v>60</v>
      </c>
      <c r="R278" s="32">
        <v>44782.707071759258</v>
      </c>
      <c r="S278" t="s">
        <v>61</v>
      </c>
      <c r="T278" s="34" t="s">
        <v>7476</v>
      </c>
      <c r="U278" s="34" t="s">
        <v>7476</v>
      </c>
      <c r="V278" s="32">
        <v>44780.707071759258</v>
      </c>
      <c r="W278" s="32" t="s">
        <v>7476</v>
      </c>
      <c r="X278">
        <v>0</v>
      </c>
      <c r="Y278" s="34" t="s">
        <v>7476</v>
      </c>
      <c r="Z278" s="34" t="s">
        <v>7476</v>
      </c>
      <c r="AA278" s="34" t="s">
        <v>7476</v>
      </c>
      <c r="AB278" s="36" t="s">
        <v>7476</v>
      </c>
      <c r="AD278" t="s">
        <v>928</v>
      </c>
      <c r="AE278" t="s">
        <v>929</v>
      </c>
      <c r="AF278" s="16">
        <v>44759</v>
      </c>
      <c r="AG278" t="s">
        <v>68</v>
      </c>
      <c r="AH278">
        <v>6</v>
      </c>
      <c r="AI278" s="8">
        <f>IFERROR(R278-AF278,"")</f>
        <v>23.707071759257815</v>
      </c>
      <c r="AJ278" s="8">
        <f>IFERROR(O278-AF278,"")</f>
        <v>19.707071759257815</v>
      </c>
      <c r="AK278" s="38">
        <f t="shared" si="86"/>
        <v>44960.707071759258</v>
      </c>
      <c r="AL278" t="str">
        <f>IFERROR(Z278-W278,"")</f>
        <v/>
      </c>
      <c r="AM278">
        <f>IFERROR(R278-J278,"")</f>
        <v>28</v>
      </c>
      <c r="AN278">
        <f>IFERROR(V278-O278,"")</f>
        <v>2</v>
      </c>
      <c r="AO278">
        <f>IFERROR(J278-I278,"")</f>
        <v>1</v>
      </c>
      <c r="AP278">
        <f>IFERROR(AC278-X278,"")</f>
        <v>0</v>
      </c>
      <c r="AQ278" t="str">
        <f>IFERROR(AA278-W278,"")</f>
        <v/>
      </c>
    </row>
    <row r="279" spans="1:43" x14ac:dyDescent="0.35">
      <c r="A279">
        <v>833</v>
      </c>
      <c r="B279" t="s">
        <v>930</v>
      </c>
      <c r="C279" t="s">
        <v>217</v>
      </c>
      <c r="D279" t="str">
        <f t="shared" si="84"/>
        <v>Program Office</v>
      </c>
      <c r="E279" t="s">
        <v>694</v>
      </c>
      <c r="F279" t="s">
        <v>758</v>
      </c>
      <c r="G279" t="s">
        <v>759</v>
      </c>
      <c r="H279" t="s">
        <v>697</v>
      </c>
      <c r="I279" s="32" t="s">
        <v>7471</v>
      </c>
      <c r="J279" s="32">
        <v>44758.707071759258</v>
      </c>
      <c r="K279" s="32">
        <v>44760.707071759258</v>
      </c>
      <c r="L279" s="8" t="str">
        <f t="shared" si="85"/>
        <v/>
      </c>
      <c r="M279" s="7">
        <v>44766.707071759258</v>
      </c>
      <c r="N279" t="s">
        <v>72</v>
      </c>
      <c r="O279" s="34" t="s">
        <v>7474</v>
      </c>
      <c r="R279" s="32" t="s">
        <v>7472</v>
      </c>
      <c r="S279" t="s">
        <v>7476</v>
      </c>
      <c r="T279" s="34" t="s">
        <v>7476</v>
      </c>
      <c r="U279" s="34" t="s">
        <v>7476</v>
      </c>
      <c r="V279" s="32" t="s">
        <v>7476</v>
      </c>
      <c r="W279" s="32" t="s">
        <v>7476</v>
      </c>
      <c r="X279">
        <v>0</v>
      </c>
      <c r="Y279" s="34" t="s">
        <v>7476</v>
      </c>
      <c r="Z279" s="34" t="s">
        <v>7476</v>
      </c>
      <c r="AA279" s="34" t="s">
        <v>7476</v>
      </c>
      <c r="AB279" s="36" t="s">
        <v>7476</v>
      </c>
      <c r="AD279" t="s">
        <v>931</v>
      </c>
      <c r="AE279" t="s">
        <v>932</v>
      </c>
      <c r="AG279" t="s">
        <v>68</v>
      </c>
      <c r="AH279">
        <v>6</v>
      </c>
      <c r="AK279" s="38" t="str">
        <f t="shared" si="86"/>
        <v/>
      </c>
    </row>
    <row r="280" spans="1:43" x14ac:dyDescent="0.35">
      <c r="A280">
        <v>829</v>
      </c>
      <c r="B280" t="s">
        <v>933</v>
      </c>
      <c r="C280" t="s">
        <v>217</v>
      </c>
      <c r="D280" t="str">
        <f t="shared" si="84"/>
        <v>Program Office</v>
      </c>
      <c r="E280" t="s">
        <v>694</v>
      </c>
      <c r="F280" t="s">
        <v>758</v>
      </c>
      <c r="G280" t="s">
        <v>759</v>
      </c>
      <c r="H280" t="s">
        <v>697</v>
      </c>
      <c r="I280" s="32">
        <v>44624.625335648147</v>
      </c>
      <c r="J280" s="32">
        <v>44626.625335648147</v>
      </c>
      <c r="K280" s="32">
        <v>44631.625335648147</v>
      </c>
      <c r="L280" s="8">
        <f t="shared" si="85"/>
        <v>7</v>
      </c>
      <c r="M280" s="7">
        <v>44643.625335648147</v>
      </c>
      <c r="N280" t="s">
        <v>49</v>
      </c>
      <c r="O280" s="34">
        <v>44647.625335648147</v>
      </c>
      <c r="P280" t="s">
        <v>101</v>
      </c>
      <c r="R280" s="32">
        <v>44651.625335648147</v>
      </c>
      <c r="S280" t="s">
        <v>101</v>
      </c>
      <c r="T280" s="34">
        <v>44648.625335648147</v>
      </c>
      <c r="U280" s="34">
        <v>44652.625335648147</v>
      </c>
      <c r="V280" s="32">
        <v>44649.625335648147</v>
      </c>
      <c r="W280" s="32">
        <v>44654.625335648147</v>
      </c>
      <c r="X280">
        <v>1</v>
      </c>
      <c r="Y280" s="34">
        <v>44657.625335648147</v>
      </c>
      <c r="Z280" s="34">
        <v>44659.625335648147</v>
      </c>
      <c r="AA280" s="34">
        <v>44662.625335648147</v>
      </c>
      <c r="AB280" s="36" t="s">
        <v>7476</v>
      </c>
      <c r="AC280" s="10">
        <v>44675.625335648147</v>
      </c>
      <c r="AD280" t="s">
        <v>934</v>
      </c>
      <c r="AE280" t="s">
        <v>935</v>
      </c>
      <c r="AF280" s="16">
        <v>44637</v>
      </c>
      <c r="AG280" t="s">
        <v>68</v>
      </c>
      <c r="AH280">
        <v>6</v>
      </c>
      <c r="AI280" s="8">
        <f>IFERROR(R280-AF280,"")</f>
        <v>14.625335648146574</v>
      </c>
      <c r="AJ280" s="8">
        <f>IFERROR(O280-AF280,"")</f>
        <v>10.625335648146574</v>
      </c>
      <c r="AK280" s="38">
        <f t="shared" si="86"/>
        <v>44829.625335648147</v>
      </c>
      <c r="AL280">
        <f>IFERROR(Z280-W280,"")</f>
        <v>5</v>
      </c>
      <c r="AM280">
        <f>IFERROR(R280-J280,"")</f>
        <v>25</v>
      </c>
      <c r="AN280">
        <f>IFERROR(V280-O280,"")</f>
        <v>2</v>
      </c>
      <c r="AO280">
        <f>IFERROR(J280-I280,"")</f>
        <v>2</v>
      </c>
      <c r="AP280">
        <f>IFERROR(AC280-X280,"")</f>
        <v>44674.625335648147</v>
      </c>
      <c r="AQ280">
        <f>IFERROR(AA280-W280,"")</f>
        <v>8</v>
      </c>
    </row>
    <row r="281" spans="1:43" x14ac:dyDescent="0.35">
      <c r="A281">
        <v>828</v>
      </c>
      <c r="B281" t="s">
        <v>936</v>
      </c>
      <c r="C281" t="s">
        <v>202</v>
      </c>
      <c r="D281" t="str">
        <f t="shared" si="84"/>
        <v>Program Office</v>
      </c>
      <c r="E281" t="s">
        <v>694</v>
      </c>
      <c r="F281" t="s">
        <v>758</v>
      </c>
      <c r="G281" t="s">
        <v>759</v>
      </c>
      <c r="H281" t="s">
        <v>697</v>
      </c>
      <c r="I281" s="32">
        <v>44626.625335648147</v>
      </c>
      <c r="J281" s="32">
        <v>44629.625335648147</v>
      </c>
      <c r="K281" s="32">
        <v>44631.625335648147</v>
      </c>
      <c r="L281" s="8">
        <f t="shared" si="85"/>
        <v>5</v>
      </c>
      <c r="M281" s="7">
        <v>44649.625335648147</v>
      </c>
      <c r="N281" t="s">
        <v>49</v>
      </c>
      <c r="O281" s="34">
        <v>44640.625335648147</v>
      </c>
      <c r="P281" t="s">
        <v>392</v>
      </c>
      <c r="R281" s="32">
        <v>44644.625335648147</v>
      </c>
      <c r="S281" t="s">
        <v>392</v>
      </c>
      <c r="T281" s="34" t="s">
        <v>7476</v>
      </c>
      <c r="U281" s="34" t="s">
        <v>7476</v>
      </c>
      <c r="V281" s="32">
        <v>44641.625335648147</v>
      </c>
      <c r="W281" s="32" t="s">
        <v>7476</v>
      </c>
      <c r="X281">
        <v>0</v>
      </c>
      <c r="Y281" s="34" t="s">
        <v>7476</v>
      </c>
      <c r="Z281" s="34" t="s">
        <v>7476</v>
      </c>
      <c r="AA281" s="34" t="s">
        <v>7476</v>
      </c>
      <c r="AB281" s="36" t="s">
        <v>7476</v>
      </c>
      <c r="AD281" t="s">
        <v>937</v>
      </c>
      <c r="AE281" t="s">
        <v>938</v>
      </c>
      <c r="AF281" s="16">
        <v>44630</v>
      </c>
      <c r="AG281" t="s">
        <v>68</v>
      </c>
      <c r="AH281">
        <v>6</v>
      </c>
      <c r="AI281" s="8">
        <f>IFERROR(R281-AF281,"")</f>
        <v>14.625335648146574</v>
      </c>
      <c r="AJ281" s="8">
        <f>IFERROR(O281-AF281,"")</f>
        <v>10.625335648146574</v>
      </c>
      <c r="AK281" s="38">
        <f t="shared" si="86"/>
        <v>44821.625335648147</v>
      </c>
      <c r="AL281" t="str">
        <f>IFERROR(Z281-W281,"")</f>
        <v/>
      </c>
      <c r="AM281">
        <f>IFERROR(R281-J281,"")</f>
        <v>15</v>
      </c>
      <c r="AN281">
        <f>IFERROR(V281-O281,"")</f>
        <v>1</v>
      </c>
      <c r="AO281">
        <f>IFERROR(J281-I281,"")</f>
        <v>3</v>
      </c>
      <c r="AP281">
        <f>IFERROR(AC281-X281,"")</f>
        <v>0</v>
      </c>
      <c r="AQ281" t="str">
        <f>IFERROR(AA281-W281,"")</f>
        <v/>
      </c>
    </row>
    <row r="282" spans="1:43" x14ac:dyDescent="0.35">
      <c r="A282">
        <v>826</v>
      </c>
      <c r="B282" t="s">
        <v>939</v>
      </c>
      <c r="C282" t="s">
        <v>217</v>
      </c>
      <c r="D282" t="str">
        <f t="shared" si="84"/>
        <v>Program Office</v>
      </c>
      <c r="E282" t="s">
        <v>694</v>
      </c>
      <c r="F282" t="s">
        <v>758</v>
      </c>
      <c r="G282" t="s">
        <v>759</v>
      </c>
      <c r="H282" t="s">
        <v>697</v>
      </c>
      <c r="I282" s="32">
        <v>44626.625335648147</v>
      </c>
      <c r="J282" s="32">
        <v>44629.625335648147</v>
      </c>
      <c r="K282" s="32">
        <v>44631.625335648147</v>
      </c>
      <c r="L282" s="8">
        <f t="shared" si="85"/>
        <v>5</v>
      </c>
      <c r="M282" s="7">
        <v>44661.625335648147</v>
      </c>
      <c r="N282" t="s">
        <v>49</v>
      </c>
      <c r="O282" s="34">
        <v>44646.625335648147</v>
      </c>
      <c r="P282" t="s">
        <v>101</v>
      </c>
      <c r="R282" s="32">
        <v>44651.625335648147</v>
      </c>
      <c r="S282" t="s">
        <v>101</v>
      </c>
      <c r="T282" s="34">
        <v>44648.625335648147</v>
      </c>
      <c r="U282" s="34">
        <v>44652.625335648147</v>
      </c>
      <c r="V282" s="32">
        <v>44650.625335648147</v>
      </c>
      <c r="W282" s="32">
        <v>44654.625335648147</v>
      </c>
      <c r="X282">
        <v>1</v>
      </c>
      <c r="Y282" s="34">
        <v>44655.625335648147</v>
      </c>
      <c r="Z282" s="34">
        <v>44657.625335648147</v>
      </c>
      <c r="AA282" s="34">
        <v>44660.625335648147</v>
      </c>
      <c r="AB282" s="36" t="s">
        <v>7476</v>
      </c>
      <c r="AC282" s="10">
        <v>44671.625335648147</v>
      </c>
      <c r="AD282" t="s">
        <v>940</v>
      </c>
      <c r="AE282" t="s">
        <v>941</v>
      </c>
      <c r="AF282" s="16">
        <v>44641</v>
      </c>
      <c r="AG282" t="s">
        <v>64</v>
      </c>
      <c r="AH282">
        <v>3</v>
      </c>
      <c r="AI282" s="8">
        <f>IFERROR(R282-AF282,"")</f>
        <v>10.625335648146574</v>
      </c>
      <c r="AJ282" s="8">
        <f>IFERROR(O282-AF282,"")</f>
        <v>5.6253356481465744</v>
      </c>
      <c r="AK282" s="38">
        <f t="shared" si="86"/>
        <v>44740.625335648147</v>
      </c>
      <c r="AL282">
        <f>IFERROR(Z282-W282,"")</f>
        <v>3</v>
      </c>
      <c r="AM282">
        <f>IFERROR(R282-J282,"")</f>
        <v>22</v>
      </c>
      <c r="AN282">
        <f>IFERROR(V282-O282,"")</f>
        <v>4</v>
      </c>
      <c r="AO282">
        <f>IFERROR(J282-I282,"")</f>
        <v>3</v>
      </c>
      <c r="AP282">
        <f>IFERROR(AC282-X282,"")</f>
        <v>44670.625335648147</v>
      </c>
      <c r="AQ282">
        <f>IFERROR(AA282-W282,"")</f>
        <v>6</v>
      </c>
    </row>
    <row r="283" spans="1:43" x14ac:dyDescent="0.35">
      <c r="A283">
        <v>799</v>
      </c>
      <c r="B283" t="s">
        <v>942</v>
      </c>
      <c r="C283" t="s">
        <v>202</v>
      </c>
      <c r="D283" t="str">
        <f t="shared" si="84"/>
        <v>Program Office</v>
      </c>
      <c r="E283" t="s">
        <v>694</v>
      </c>
      <c r="F283" t="s">
        <v>758</v>
      </c>
      <c r="G283" t="s">
        <v>759</v>
      </c>
      <c r="H283" t="s">
        <v>697</v>
      </c>
      <c r="I283" s="32">
        <v>44905.674583333333</v>
      </c>
      <c r="J283" s="32">
        <v>44909.674583333333</v>
      </c>
      <c r="K283" s="32" t="s">
        <v>7473</v>
      </c>
      <c r="L283" s="8" t="str">
        <f t="shared" si="85"/>
        <v/>
      </c>
      <c r="M283" s="7">
        <v>44924.674583333333</v>
      </c>
      <c r="N283" t="s">
        <v>49</v>
      </c>
      <c r="O283" s="34">
        <v>44926.674583333333</v>
      </c>
      <c r="P283" t="s">
        <v>50</v>
      </c>
      <c r="Q283" t="s">
        <v>84</v>
      </c>
      <c r="R283" s="32" t="s">
        <v>7472</v>
      </c>
      <c r="S283" t="s">
        <v>7476</v>
      </c>
      <c r="T283" s="34" t="s">
        <v>7476</v>
      </c>
      <c r="U283" s="34" t="s">
        <v>7476</v>
      </c>
      <c r="V283" s="32" t="s">
        <v>7476</v>
      </c>
      <c r="W283" s="32" t="s">
        <v>7476</v>
      </c>
      <c r="X283">
        <v>0</v>
      </c>
      <c r="Y283" s="34" t="s">
        <v>7476</v>
      </c>
      <c r="Z283" s="34" t="s">
        <v>7476</v>
      </c>
      <c r="AA283" s="34" t="s">
        <v>7476</v>
      </c>
      <c r="AB283" s="36" t="s">
        <v>52</v>
      </c>
      <c r="AD283" t="s">
        <v>943</v>
      </c>
      <c r="AE283" t="s">
        <v>944</v>
      </c>
      <c r="AF283" s="16">
        <v>44911</v>
      </c>
      <c r="AG283" t="s">
        <v>98</v>
      </c>
      <c r="AH283">
        <v>6</v>
      </c>
      <c r="AK283" s="38" t="str">
        <f t="shared" si="86"/>
        <v/>
      </c>
    </row>
    <row r="284" spans="1:43" x14ac:dyDescent="0.35">
      <c r="A284">
        <v>769</v>
      </c>
      <c r="B284" t="s">
        <v>945</v>
      </c>
      <c r="C284" t="s">
        <v>217</v>
      </c>
      <c r="D284" t="str">
        <f t="shared" si="84"/>
        <v>Program Office</v>
      </c>
      <c r="E284" t="s">
        <v>694</v>
      </c>
      <c r="F284" t="s">
        <v>758</v>
      </c>
      <c r="G284" t="s">
        <v>759</v>
      </c>
      <c r="H284" t="s">
        <v>697</v>
      </c>
      <c r="I284" s="32">
        <v>44726.736145833333</v>
      </c>
      <c r="J284" s="32">
        <v>44729.736145833333</v>
      </c>
      <c r="K284" s="32">
        <v>44733.736145833333</v>
      </c>
      <c r="L284" s="8">
        <f t="shared" si="85"/>
        <v>7</v>
      </c>
      <c r="M284" s="7">
        <v>44751.736145833333</v>
      </c>
      <c r="N284" t="s">
        <v>49</v>
      </c>
      <c r="O284" s="34">
        <v>44746.736145833333</v>
      </c>
      <c r="P284" t="s">
        <v>392</v>
      </c>
      <c r="R284" s="32">
        <v>44748.736145833333</v>
      </c>
      <c r="S284" t="s">
        <v>392</v>
      </c>
      <c r="T284" s="34" t="s">
        <v>7476</v>
      </c>
      <c r="U284" s="34" t="s">
        <v>7476</v>
      </c>
      <c r="V284" s="32">
        <v>44747.736145833333</v>
      </c>
      <c r="W284" s="32" t="s">
        <v>7476</v>
      </c>
      <c r="X284">
        <v>0</v>
      </c>
      <c r="Y284" s="34" t="s">
        <v>7476</v>
      </c>
      <c r="Z284" s="34" t="s">
        <v>7476</v>
      </c>
      <c r="AA284" s="34" t="s">
        <v>7476</v>
      </c>
      <c r="AB284" s="36" t="s">
        <v>7476</v>
      </c>
      <c r="AD284" t="s">
        <v>946</v>
      </c>
      <c r="AE284" t="s">
        <v>947</v>
      </c>
      <c r="AF284" s="16">
        <v>44740</v>
      </c>
      <c r="AG284" t="s">
        <v>98</v>
      </c>
      <c r="AH284">
        <v>3</v>
      </c>
      <c r="AI284" s="8">
        <f>IFERROR(R284-AF284,"")</f>
        <v>8.7361458333325572</v>
      </c>
      <c r="AJ284" s="8">
        <f>IFERROR(O284-AF284,"")</f>
        <v>6.7361458333325572</v>
      </c>
      <c r="AK284" s="38">
        <f t="shared" si="86"/>
        <v>44837.736145833333</v>
      </c>
      <c r="AL284" t="str">
        <f>IFERROR(Z284-W284,"")</f>
        <v/>
      </c>
      <c r="AM284">
        <f>IFERROR(R284-J284,"")</f>
        <v>19</v>
      </c>
      <c r="AN284">
        <f>IFERROR(V284-O284,"")</f>
        <v>1</v>
      </c>
      <c r="AO284">
        <f>IFERROR(J284-I284,"")</f>
        <v>3</v>
      </c>
      <c r="AP284">
        <f>IFERROR(AC284-X284,"")</f>
        <v>0</v>
      </c>
      <c r="AQ284" t="str">
        <f>IFERROR(AA284-W284,"")</f>
        <v/>
      </c>
    </row>
    <row r="285" spans="1:43" x14ac:dyDescent="0.35">
      <c r="A285">
        <v>768</v>
      </c>
      <c r="B285" t="s">
        <v>948</v>
      </c>
      <c r="C285" t="s">
        <v>213</v>
      </c>
      <c r="D285" t="str">
        <f t="shared" si="84"/>
        <v>Program Office</v>
      </c>
      <c r="E285" t="s">
        <v>694</v>
      </c>
      <c r="F285" t="s">
        <v>758</v>
      </c>
      <c r="G285" t="s">
        <v>759</v>
      </c>
      <c r="H285" t="s">
        <v>697</v>
      </c>
      <c r="I285" s="32">
        <v>44729.736145833333</v>
      </c>
      <c r="J285" s="32">
        <v>44731.736145833333</v>
      </c>
      <c r="K285" s="32" t="s">
        <v>7473</v>
      </c>
      <c r="L285" s="8" t="str">
        <f t="shared" si="85"/>
        <v/>
      </c>
      <c r="M285" s="7">
        <v>44763.736145833333</v>
      </c>
      <c r="N285" t="s">
        <v>49</v>
      </c>
      <c r="O285" s="34">
        <v>44742.736145833333</v>
      </c>
      <c r="P285" t="s">
        <v>50</v>
      </c>
      <c r="Q285" t="s">
        <v>84</v>
      </c>
      <c r="R285" s="32" t="s">
        <v>7472</v>
      </c>
      <c r="S285" t="s">
        <v>7476</v>
      </c>
      <c r="T285" s="34" t="s">
        <v>7476</v>
      </c>
      <c r="U285" s="34" t="s">
        <v>7476</v>
      </c>
      <c r="V285" s="32">
        <v>44745.736145833333</v>
      </c>
      <c r="W285" s="32" t="s">
        <v>7476</v>
      </c>
      <c r="X285">
        <v>0</v>
      </c>
      <c r="Y285" s="34" t="s">
        <v>7476</v>
      </c>
      <c r="Z285" s="34" t="s">
        <v>7476</v>
      </c>
      <c r="AA285" s="34" t="s">
        <v>7476</v>
      </c>
      <c r="AB285" s="36" t="s">
        <v>52</v>
      </c>
      <c r="AD285" t="s">
        <v>949</v>
      </c>
      <c r="AE285" t="s">
        <v>950</v>
      </c>
      <c r="AF285" s="16">
        <v>44733</v>
      </c>
      <c r="AG285" t="s">
        <v>68</v>
      </c>
      <c r="AH285">
        <v>3</v>
      </c>
      <c r="AK285" s="38">
        <f t="shared" si="86"/>
        <v>44835.736145833333</v>
      </c>
    </row>
    <row r="286" spans="1:43" x14ac:dyDescent="0.35">
      <c r="A286">
        <v>764</v>
      </c>
      <c r="B286" t="s">
        <v>951</v>
      </c>
      <c r="C286" t="s">
        <v>202</v>
      </c>
      <c r="D286" t="str">
        <f t="shared" si="84"/>
        <v>Program Office</v>
      </c>
      <c r="E286" t="s">
        <v>694</v>
      </c>
      <c r="F286" t="s">
        <v>758</v>
      </c>
      <c r="G286" t="s">
        <v>759</v>
      </c>
      <c r="H286" t="s">
        <v>697</v>
      </c>
      <c r="I286" s="32">
        <v>44724.736145833333</v>
      </c>
      <c r="J286" s="32">
        <v>44728.736145833333</v>
      </c>
      <c r="K286" s="32">
        <v>44733.736145833333</v>
      </c>
      <c r="L286" s="8">
        <f t="shared" si="85"/>
        <v>9</v>
      </c>
      <c r="M286" s="7">
        <v>44763.736145833333</v>
      </c>
      <c r="N286" t="s">
        <v>49</v>
      </c>
      <c r="O286" s="34">
        <v>44737.736145833333</v>
      </c>
      <c r="P286" t="s">
        <v>50</v>
      </c>
      <c r="Q286" t="s">
        <v>198</v>
      </c>
      <c r="R286" s="32" t="s">
        <v>7472</v>
      </c>
      <c r="S286" t="s">
        <v>7476</v>
      </c>
      <c r="T286" s="34" t="s">
        <v>7476</v>
      </c>
      <c r="U286" s="34" t="s">
        <v>7476</v>
      </c>
      <c r="V286" s="32" t="s">
        <v>7476</v>
      </c>
      <c r="W286" s="32" t="s">
        <v>7476</v>
      </c>
      <c r="X286">
        <v>0</v>
      </c>
      <c r="Y286" s="34" t="s">
        <v>7476</v>
      </c>
      <c r="Z286" s="34" t="s">
        <v>7476</v>
      </c>
      <c r="AA286" s="34" t="s">
        <v>7476</v>
      </c>
      <c r="AB286" s="36" t="s">
        <v>95</v>
      </c>
      <c r="AD286" t="s">
        <v>952</v>
      </c>
      <c r="AE286" t="s">
        <v>953</v>
      </c>
      <c r="AF286" s="16">
        <v>44722</v>
      </c>
      <c r="AG286" t="s">
        <v>64</v>
      </c>
      <c r="AH286">
        <v>3</v>
      </c>
      <c r="AI286" s="8" t="str">
        <f t="shared" ref="AI286:AI307" si="95">IFERROR(R286-AF286,"")</f>
        <v/>
      </c>
      <c r="AJ286" s="8">
        <f t="shared" ref="AJ286:AJ307" si="96">IFERROR(O286-AF286,"")</f>
        <v>15.736145833332557</v>
      </c>
      <c r="AK286" s="38" t="str">
        <f t="shared" si="86"/>
        <v/>
      </c>
      <c r="AL286" t="str">
        <f t="shared" ref="AL286:AL307" si="97">IFERROR(Z286-W286,"")</f>
        <v/>
      </c>
      <c r="AM286" t="str">
        <f t="shared" ref="AM286:AM307" si="98">IFERROR(R286-J286,"")</f>
        <v/>
      </c>
      <c r="AN286" t="str">
        <f t="shared" ref="AN286:AN307" si="99">IFERROR(V286-O286,"")</f>
        <v/>
      </c>
      <c r="AO286">
        <f t="shared" ref="AO286:AO307" si="100">IFERROR(J286-I286,"")</f>
        <v>4</v>
      </c>
      <c r="AP286">
        <f t="shared" ref="AP286:AP307" si="101">IFERROR(AC286-X286,"")</f>
        <v>0</v>
      </c>
      <c r="AQ286" t="str">
        <f t="shared" ref="AQ286:AQ307" si="102">IFERROR(AA286-W286,"")</f>
        <v/>
      </c>
    </row>
    <row r="287" spans="1:43" x14ac:dyDescent="0.35">
      <c r="A287">
        <v>725</v>
      </c>
      <c r="B287" t="s">
        <v>954</v>
      </c>
      <c r="C287" t="s">
        <v>202</v>
      </c>
      <c r="D287" t="str">
        <f t="shared" si="84"/>
        <v>Program Office</v>
      </c>
      <c r="E287" t="s">
        <v>694</v>
      </c>
      <c r="F287" t="s">
        <v>758</v>
      </c>
      <c r="G287" t="s">
        <v>759</v>
      </c>
      <c r="H287" t="s">
        <v>697</v>
      </c>
      <c r="I287" s="32">
        <v>44607.660578703697</v>
      </c>
      <c r="J287" s="32">
        <v>44608.660578703697</v>
      </c>
      <c r="K287" s="32">
        <v>44612.660578703697</v>
      </c>
      <c r="L287" s="8">
        <f t="shared" si="85"/>
        <v>5</v>
      </c>
      <c r="M287" s="7">
        <v>44626.660578703697</v>
      </c>
      <c r="N287" t="s">
        <v>49</v>
      </c>
      <c r="O287" s="34">
        <v>44614.660578703697</v>
      </c>
      <c r="P287" t="s">
        <v>50</v>
      </c>
      <c r="Q287" t="s">
        <v>236</v>
      </c>
      <c r="R287" s="32" t="s">
        <v>7472</v>
      </c>
      <c r="S287" t="s">
        <v>7476</v>
      </c>
      <c r="T287" s="34" t="s">
        <v>7476</v>
      </c>
      <c r="U287" s="34" t="s">
        <v>7476</v>
      </c>
      <c r="V287" s="32">
        <v>44618.660578703697</v>
      </c>
      <c r="W287" s="32" t="s">
        <v>7476</v>
      </c>
      <c r="X287">
        <v>0</v>
      </c>
      <c r="Y287" s="34" t="s">
        <v>7476</v>
      </c>
      <c r="Z287" s="34" t="s">
        <v>7476</v>
      </c>
      <c r="AA287" s="34" t="s">
        <v>7476</v>
      </c>
      <c r="AB287" s="36" t="s">
        <v>52</v>
      </c>
      <c r="AD287" t="s">
        <v>955</v>
      </c>
      <c r="AE287" t="s">
        <v>956</v>
      </c>
      <c r="AF287" s="16">
        <v>44607</v>
      </c>
      <c r="AG287" t="s">
        <v>64</v>
      </c>
      <c r="AH287">
        <v>6</v>
      </c>
      <c r="AI287" s="8" t="str">
        <f t="shared" si="95"/>
        <v/>
      </c>
      <c r="AJ287" s="8">
        <f t="shared" si="96"/>
        <v>7.6605787036969559</v>
      </c>
      <c r="AK287" s="38">
        <f t="shared" si="86"/>
        <v>44798.660578703697</v>
      </c>
      <c r="AL287" t="str">
        <f t="shared" si="97"/>
        <v/>
      </c>
      <c r="AM287" t="str">
        <f t="shared" si="98"/>
        <v/>
      </c>
      <c r="AN287">
        <f t="shared" si="99"/>
        <v>4</v>
      </c>
      <c r="AO287">
        <f t="shared" si="100"/>
        <v>1</v>
      </c>
      <c r="AP287">
        <f t="shared" si="101"/>
        <v>0</v>
      </c>
      <c r="AQ287" t="str">
        <f t="shared" si="102"/>
        <v/>
      </c>
    </row>
    <row r="288" spans="1:43" x14ac:dyDescent="0.35">
      <c r="A288">
        <v>724</v>
      </c>
      <c r="B288" t="s">
        <v>957</v>
      </c>
      <c r="C288" t="s">
        <v>202</v>
      </c>
      <c r="D288" t="str">
        <f t="shared" si="84"/>
        <v>Program Office</v>
      </c>
      <c r="E288" t="s">
        <v>694</v>
      </c>
      <c r="F288" t="s">
        <v>758</v>
      </c>
      <c r="G288" t="s">
        <v>759</v>
      </c>
      <c r="H288" t="s">
        <v>697</v>
      </c>
      <c r="I288" s="32">
        <v>44604.660578703697</v>
      </c>
      <c r="J288" s="32">
        <v>44606.660578703697</v>
      </c>
      <c r="K288" s="32">
        <v>44612.660578703697</v>
      </c>
      <c r="L288" s="8">
        <f t="shared" si="85"/>
        <v>8</v>
      </c>
      <c r="M288" s="7">
        <v>44631.660578703697</v>
      </c>
      <c r="N288" t="s">
        <v>49</v>
      </c>
      <c r="O288" s="34">
        <v>44622.660578703697</v>
      </c>
      <c r="P288" t="s">
        <v>50</v>
      </c>
      <c r="Q288" t="s">
        <v>236</v>
      </c>
      <c r="R288" s="32" t="s">
        <v>7472</v>
      </c>
      <c r="S288" t="s">
        <v>7476</v>
      </c>
      <c r="T288" s="34" t="s">
        <v>7476</v>
      </c>
      <c r="U288" s="34" t="s">
        <v>7476</v>
      </c>
      <c r="V288" s="32" t="s">
        <v>7476</v>
      </c>
      <c r="W288" s="32" t="s">
        <v>7476</v>
      </c>
      <c r="X288">
        <v>0</v>
      </c>
      <c r="Y288" s="34" t="s">
        <v>7476</v>
      </c>
      <c r="Z288" s="34" t="s">
        <v>7476</v>
      </c>
      <c r="AA288" s="34" t="s">
        <v>7476</v>
      </c>
      <c r="AB288" s="36" t="s">
        <v>95</v>
      </c>
      <c r="AD288" t="s">
        <v>958</v>
      </c>
      <c r="AE288" t="s">
        <v>959</v>
      </c>
      <c r="AF288" s="16">
        <v>44606</v>
      </c>
      <c r="AG288" t="s">
        <v>68</v>
      </c>
      <c r="AH288">
        <v>3</v>
      </c>
      <c r="AI288" s="8" t="str">
        <f t="shared" si="95"/>
        <v/>
      </c>
      <c r="AJ288" s="8">
        <f t="shared" si="96"/>
        <v>16.660578703696956</v>
      </c>
      <c r="AK288" s="38" t="str">
        <f t="shared" si="86"/>
        <v/>
      </c>
      <c r="AL288" t="str">
        <f t="shared" si="97"/>
        <v/>
      </c>
      <c r="AM288" t="str">
        <f t="shared" si="98"/>
        <v/>
      </c>
      <c r="AN288" t="str">
        <f t="shared" si="99"/>
        <v/>
      </c>
      <c r="AO288">
        <f t="shared" si="100"/>
        <v>2</v>
      </c>
      <c r="AP288">
        <f t="shared" si="101"/>
        <v>0</v>
      </c>
      <c r="AQ288" t="str">
        <f t="shared" si="102"/>
        <v/>
      </c>
    </row>
    <row r="289" spans="1:43" x14ac:dyDescent="0.35">
      <c r="A289">
        <v>723</v>
      </c>
      <c r="B289" t="s">
        <v>960</v>
      </c>
      <c r="C289" t="s">
        <v>202</v>
      </c>
      <c r="D289" t="str">
        <f t="shared" si="84"/>
        <v>Program Office</v>
      </c>
      <c r="E289" t="s">
        <v>694</v>
      </c>
      <c r="F289" t="s">
        <v>758</v>
      </c>
      <c r="G289" t="s">
        <v>759</v>
      </c>
      <c r="H289" t="s">
        <v>697</v>
      </c>
      <c r="I289" s="32">
        <v>44602.660578703697</v>
      </c>
      <c r="J289" s="32">
        <v>44606.660578703697</v>
      </c>
      <c r="K289" s="32">
        <v>44612.660578703697</v>
      </c>
      <c r="L289" s="8">
        <f t="shared" si="85"/>
        <v>10</v>
      </c>
      <c r="M289" s="7">
        <v>44636.660578703697</v>
      </c>
      <c r="N289" t="s">
        <v>49</v>
      </c>
      <c r="O289" s="34">
        <v>44619.660578703697</v>
      </c>
      <c r="P289" t="s">
        <v>50</v>
      </c>
      <c r="Q289" t="s">
        <v>236</v>
      </c>
      <c r="R289" s="32" t="s">
        <v>7472</v>
      </c>
      <c r="S289" t="s">
        <v>7476</v>
      </c>
      <c r="T289" s="34" t="s">
        <v>7476</v>
      </c>
      <c r="U289" s="34" t="s">
        <v>7476</v>
      </c>
      <c r="V289" s="32" t="s">
        <v>7476</v>
      </c>
      <c r="W289" s="32" t="s">
        <v>7476</v>
      </c>
      <c r="X289">
        <v>0</v>
      </c>
      <c r="Y289" s="34" t="s">
        <v>7476</v>
      </c>
      <c r="Z289" s="34" t="s">
        <v>7476</v>
      </c>
      <c r="AA289" s="34" t="s">
        <v>7476</v>
      </c>
      <c r="AB289" s="36" t="s">
        <v>52</v>
      </c>
      <c r="AD289" t="s">
        <v>961</v>
      </c>
      <c r="AE289" t="s">
        <v>962</v>
      </c>
      <c r="AF289" s="16">
        <v>44605</v>
      </c>
      <c r="AG289" t="s">
        <v>64</v>
      </c>
      <c r="AH289">
        <v>3</v>
      </c>
      <c r="AI289" s="8" t="str">
        <f t="shared" si="95"/>
        <v/>
      </c>
      <c r="AJ289" s="8">
        <f t="shared" si="96"/>
        <v>14.660578703696956</v>
      </c>
      <c r="AK289" s="38" t="str">
        <f t="shared" si="86"/>
        <v/>
      </c>
      <c r="AL289" t="str">
        <f t="shared" si="97"/>
        <v/>
      </c>
      <c r="AM289" t="str">
        <f t="shared" si="98"/>
        <v/>
      </c>
      <c r="AN289" t="str">
        <f t="shared" si="99"/>
        <v/>
      </c>
      <c r="AO289">
        <f t="shared" si="100"/>
        <v>4</v>
      </c>
      <c r="AP289">
        <f t="shared" si="101"/>
        <v>0</v>
      </c>
      <c r="AQ289" t="str">
        <f t="shared" si="102"/>
        <v/>
      </c>
    </row>
    <row r="290" spans="1:43" x14ac:dyDescent="0.35">
      <c r="A290">
        <v>722</v>
      </c>
      <c r="B290" t="s">
        <v>963</v>
      </c>
      <c r="C290" t="s">
        <v>213</v>
      </c>
      <c r="D290" t="str">
        <f t="shared" si="84"/>
        <v>Program Office</v>
      </c>
      <c r="E290" t="s">
        <v>694</v>
      </c>
      <c r="F290" t="s">
        <v>758</v>
      </c>
      <c r="G290" t="s">
        <v>759</v>
      </c>
      <c r="H290" t="s">
        <v>697</v>
      </c>
      <c r="I290" s="32">
        <v>44602.660578703697</v>
      </c>
      <c r="J290" s="32">
        <v>44606.660578703697</v>
      </c>
      <c r="K290" s="32">
        <v>44612.660578703697</v>
      </c>
      <c r="L290" s="8">
        <f t="shared" si="85"/>
        <v>10</v>
      </c>
      <c r="M290" s="7">
        <v>44635.660578703697</v>
      </c>
      <c r="N290" t="s">
        <v>49</v>
      </c>
      <c r="O290" s="34">
        <v>44624.660578703697</v>
      </c>
      <c r="P290" t="s">
        <v>50</v>
      </c>
      <c r="Q290" t="s">
        <v>51</v>
      </c>
      <c r="R290" s="32" t="s">
        <v>7472</v>
      </c>
      <c r="S290" t="s">
        <v>7476</v>
      </c>
      <c r="T290" s="34" t="s">
        <v>7476</v>
      </c>
      <c r="U290" s="34" t="s">
        <v>7476</v>
      </c>
      <c r="V290" s="32" t="s">
        <v>7476</v>
      </c>
      <c r="W290" s="32" t="s">
        <v>7476</v>
      </c>
      <c r="X290">
        <v>0</v>
      </c>
      <c r="Y290" s="34" t="s">
        <v>7476</v>
      </c>
      <c r="Z290" s="34" t="s">
        <v>7476</v>
      </c>
      <c r="AA290" s="34" t="s">
        <v>7476</v>
      </c>
      <c r="AB290" s="36" t="s">
        <v>52</v>
      </c>
      <c r="AD290" t="s">
        <v>964</v>
      </c>
      <c r="AE290" t="s">
        <v>965</v>
      </c>
      <c r="AF290" s="16">
        <v>44614</v>
      </c>
      <c r="AG290" t="s">
        <v>68</v>
      </c>
      <c r="AH290">
        <v>3</v>
      </c>
      <c r="AI290" s="8" t="str">
        <f t="shared" si="95"/>
        <v/>
      </c>
      <c r="AJ290" s="8">
        <f t="shared" si="96"/>
        <v>10.660578703696956</v>
      </c>
      <c r="AK290" s="38" t="str">
        <f t="shared" si="86"/>
        <v/>
      </c>
      <c r="AL290" t="str">
        <f t="shared" si="97"/>
        <v/>
      </c>
      <c r="AM290" t="str">
        <f t="shared" si="98"/>
        <v/>
      </c>
      <c r="AN290" t="str">
        <f t="shared" si="99"/>
        <v/>
      </c>
      <c r="AO290">
        <f t="shared" si="100"/>
        <v>4</v>
      </c>
      <c r="AP290">
        <f t="shared" si="101"/>
        <v>0</v>
      </c>
      <c r="AQ290" t="str">
        <f t="shared" si="102"/>
        <v/>
      </c>
    </row>
    <row r="291" spans="1:43" x14ac:dyDescent="0.35">
      <c r="A291">
        <v>721</v>
      </c>
      <c r="B291" t="s">
        <v>966</v>
      </c>
      <c r="C291" t="s">
        <v>202</v>
      </c>
      <c r="D291" t="str">
        <f t="shared" si="84"/>
        <v>Program Office</v>
      </c>
      <c r="E291" t="s">
        <v>694</v>
      </c>
      <c r="F291" t="s">
        <v>758</v>
      </c>
      <c r="G291" t="s">
        <v>759</v>
      </c>
      <c r="H291" t="s">
        <v>697</v>
      </c>
      <c r="I291" s="32">
        <v>44603.660578703697</v>
      </c>
      <c r="J291" s="32">
        <v>44607.660578703697</v>
      </c>
      <c r="K291" s="32">
        <v>44612.660578703697</v>
      </c>
      <c r="L291" s="8">
        <f t="shared" si="85"/>
        <v>9</v>
      </c>
      <c r="M291" s="7">
        <v>44634.660578703697</v>
      </c>
      <c r="N291" t="s">
        <v>49</v>
      </c>
      <c r="O291" s="34">
        <v>44619.660578703697</v>
      </c>
      <c r="P291" t="s">
        <v>392</v>
      </c>
      <c r="R291" s="32">
        <v>44624.660578703697</v>
      </c>
      <c r="S291" t="s">
        <v>392</v>
      </c>
      <c r="T291" s="34" t="s">
        <v>7476</v>
      </c>
      <c r="U291" s="34" t="s">
        <v>7476</v>
      </c>
      <c r="V291" s="32">
        <v>44620.660578703697</v>
      </c>
      <c r="W291" s="32" t="s">
        <v>7476</v>
      </c>
      <c r="X291">
        <v>0</v>
      </c>
      <c r="Y291" s="34" t="s">
        <v>7476</v>
      </c>
      <c r="Z291" s="34" t="s">
        <v>7476</v>
      </c>
      <c r="AA291" s="34" t="s">
        <v>7476</v>
      </c>
      <c r="AB291" s="36" t="s">
        <v>7476</v>
      </c>
      <c r="AD291" t="s">
        <v>967</v>
      </c>
      <c r="AE291" t="s">
        <v>968</v>
      </c>
      <c r="AF291" s="16">
        <v>44806</v>
      </c>
      <c r="AG291" t="s">
        <v>64</v>
      </c>
      <c r="AH291">
        <v>6</v>
      </c>
      <c r="AI291" s="8">
        <f t="shared" si="95"/>
        <v>-181.33942129630304</v>
      </c>
      <c r="AJ291" s="8">
        <f t="shared" si="96"/>
        <v>-186.33942129630304</v>
      </c>
      <c r="AK291" s="38">
        <f t="shared" si="86"/>
        <v>44800.660578703697</v>
      </c>
      <c r="AL291" t="str">
        <f t="shared" si="97"/>
        <v/>
      </c>
      <c r="AM291">
        <f t="shared" si="98"/>
        <v>17</v>
      </c>
      <c r="AN291">
        <f t="shared" si="99"/>
        <v>1</v>
      </c>
      <c r="AO291">
        <f t="shared" si="100"/>
        <v>4</v>
      </c>
      <c r="AP291">
        <f t="shared" si="101"/>
        <v>0</v>
      </c>
      <c r="AQ291" t="str">
        <f t="shared" si="102"/>
        <v/>
      </c>
    </row>
    <row r="292" spans="1:43" x14ac:dyDescent="0.35">
      <c r="A292">
        <v>718</v>
      </c>
      <c r="B292" t="s">
        <v>969</v>
      </c>
      <c r="C292" t="s">
        <v>213</v>
      </c>
      <c r="D292" t="str">
        <f t="shared" si="84"/>
        <v>Program Office</v>
      </c>
      <c r="E292" t="s">
        <v>694</v>
      </c>
      <c r="F292" t="s">
        <v>758</v>
      </c>
      <c r="G292" t="s">
        <v>759</v>
      </c>
      <c r="H292" t="s">
        <v>697</v>
      </c>
      <c r="I292" s="32">
        <v>44629.686331018522</v>
      </c>
      <c r="J292" s="32">
        <v>44630.686331018522</v>
      </c>
      <c r="K292" s="32">
        <v>44634.686331018522</v>
      </c>
      <c r="L292" s="8">
        <f t="shared" si="85"/>
        <v>5</v>
      </c>
      <c r="M292" s="7">
        <v>44641.686331018522</v>
      </c>
      <c r="N292" t="s">
        <v>49</v>
      </c>
      <c r="O292" s="34">
        <v>44643.686331018522</v>
      </c>
      <c r="P292" t="s">
        <v>60</v>
      </c>
      <c r="R292" s="32">
        <v>44645.686331018522</v>
      </c>
      <c r="S292" t="s">
        <v>61</v>
      </c>
      <c r="T292" s="34" t="s">
        <v>7476</v>
      </c>
      <c r="U292" s="34" t="s">
        <v>7476</v>
      </c>
      <c r="V292" s="32">
        <v>44644.686331018522</v>
      </c>
      <c r="W292" s="32" t="s">
        <v>7476</v>
      </c>
      <c r="X292">
        <v>0</v>
      </c>
      <c r="Y292" s="34" t="s">
        <v>7476</v>
      </c>
      <c r="Z292" s="34" t="s">
        <v>7476</v>
      </c>
      <c r="AA292" s="34" t="s">
        <v>7476</v>
      </c>
      <c r="AB292" s="36" t="s">
        <v>7476</v>
      </c>
      <c r="AD292" t="s">
        <v>970</v>
      </c>
      <c r="AE292" t="s">
        <v>971</v>
      </c>
      <c r="AF292" s="16">
        <v>44632</v>
      </c>
      <c r="AG292" t="s">
        <v>98</v>
      </c>
      <c r="AH292">
        <v>3</v>
      </c>
      <c r="AI292" s="8">
        <f t="shared" si="95"/>
        <v>13.686331018521741</v>
      </c>
      <c r="AJ292" s="8">
        <f t="shared" si="96"/>
        <v>11.686331018521741</v>
      </c>
      <c r="AK292" s="38">
        <f t="shared" si="86"/>
        <v>44734.686331018522</v>
      </c>
      <c r="AL292" t="str">
        <f t="shared" si="97"/>
        <v/>
      </c>
      <c r="AM292">
        <f t="shared" si="98"/>
        <v>15</v>
      </c>
      <c r="AN292">
        <f t="shared" si="99"/>
        <v>1</v>
      </c>
      <c r="AO292">
        <f t="shared" si="100"/>
        <v>1</v>
      </c>
      <c r="AP292">
        <f t="shared" si="101"/>
        <v>0</v>
      </c>
      <c r="AQ292" t="str">
        <f t="shared" si="102"/>
        <v/>
      </c>
    </row>
    <row r="293" spans="1:43" x14ac:dyDescent="0.35">
      <c r="A293">
        <v>712</v>
      </c>
      <c r="B293" t="s">
        <v>972</v>
      </c>
      <c r="C293" t="s">
        <v>202</v>
      </c>
      <c r="D293" t="str">
        <f t="shared" si="84"/>
        <v>Program Office</v>
      </c>
      <c r="E293" t="s">
        <v>694</v>
      </c>
      <c r="F293" t="s">
        <v>758</v>
      </c>
      <c r="G293" t="s">
        <v>759</v>
      </c>
      <c r="H293" t="s">
        <v>697</v>
      </c>
      <c r="I293" s="32">
        <v>44629.686331018522</v>
      </c>
      <c r="J293" s="32">
        <v>44633.686331018522</v>
      </c>
      <c r="K293" s="32">
        <v>44634.686331018522</v>
      </c>
      <c r="L293" s="8">
        <f t="shared" si="85"/>
        <v>5</v>
      </c>
      <c r="M293" s="7">
        <v>44644.686331018522</v>
      </c>
      <c r="N293" t="s">
        <v>49</v>
      </c>
      <c r="O293" s="34">
        <v>44648.686331018522</v>
      </c>
      <c r="P293" t="s">
        <v>50</v>
      </c>
      <c r="Q293" t="s">
        <v>51</v>
      </c>
      <c r="R293" s="32" t="s">
        <v>7472</v>
      </c>
      <c r="S293" t="s">
        <v>7476</v>
      </c>
      <c r="T293" s="34" t="s">
        <v>7476</v>
      </c>
      <c r="U293" s="34" t="s">
        <v>7476</v>
      </c>
      <c r="V293" s="32">
        <v>44651.686331018522</v>
      </c>
      <c r="W293" s="32" t="s">
        <v>7476</v>
      </c>
      <c r="X293">
        <v>0</v>
      </c>
      <c r="Y293" s="34" t="s">
        <v>7476</v>
      </c>
      <c r="Z293" s="34" t="s">
        <v>7476</v>
      </c>
      <c r="AA293" s="34" t="s">
        <v>7476</v>
      </c>
      <c r="AB293" s="36" t="s">
        <v>95</v>
      </c>
      <c r="AD293" t="s">
        <v>973</v>
      </c>
      <c r="AE293" t="s">
        <v>974</v>
      </c>
      <c r="AF293" s="16">
        <v>44638</v>
      </c>
      <c r="AG293" t="s">
        <v>98</v>
      </c>
      <c r="AH293">
        <v>6</v>
      </c>
      <c r="AI293" s="8" t="str">
        <f t="shared" si="95"/>
        <v/>
      </c>
      <c r="AJ293" s="8">
        <f t="shared" si="96"/>
        <v>10.686331018521741</v>
      </c>
      <c r="AK293" s="38">
        <f t="shared" si="86"/>
        <v>44831.686331018522</v>
      </c>
      <c r="AL293" t="str">
        <f t="shared" si="97"/>
        <v/>
      </c>
      <c r="AM293" t="str">
        <f t="shared" si="98"/>
        <v/>
      </c>
      <c r="AN293">
        <f t="shared" si="99"/>
        <v>3</v>
      </c>
      <c r="AO293">
        <f t="shared" si="100"/>
        <v>4</v>
      </c>
      <c r="AP293">
        <f t="shared" si="101"/>
        <v>0</v>
      </c>
      <c r="AQ293" t="str">
        <f t="shared" si="102"/>
        <v/>
      </c>
    </row>
    <row r="294" spans="1:43" x14ac:dyDescent="0.35">
      <c r="A294">
        <v>676</v>
      </c>
      <c r="B294" t="s">
        <v>975</v>
      </c>
      <c r="C294" t="s">
        <v>217</v>
      </c>
      <c r="D294" t="str">
        <f t="shared" si="84"/>
        <v>Program Office</v>
      </c>
      <c r="E294" t="s">
        <v>694</v>
      </c>
      <c r="F294" t="s">
        <v>758</v>
      </c>
      <c r="G294" t="s">
        <v>759</v>
      </c>
      <c r="H294" t="s">
        <v>697</v>
      </c>
      <c r="I294" s="32">
        <v>45142.885671296302</v>
      </c>
      <c r="J294" s="32">
        <v>45146.885671296302</v>
      </c>
      <c r="K294" s="32">
        <v>45147.885671296302</v>
      </c>
      <c r="L294" s="8">
        <f t="shared" si="85"/>
        <v>5</v>
      </c>
      <c r="M294" s="7">
        <v>45169.885671296302</v>
      </c>
      <c r="N294" t="s">
        <v>49</v>
      </c>
      <c r="O294" s="34">
        <v>45162.885671296302</v>
      </c>
      <c r="P294" t="s">
        <v>392</v>
      </c>
      <c r="R294" s="32">
        <v>45167.885671296302</v>
      </c>
      <c r="S294" t="s">
        <v>392</v>
      </c>
      <c r="T294" s="34" t="s">
        <v>7476</v>
      </c>
      <c r="U294" s="34" t="s">
        <v>7476</v>
      </c>
      <c r="V294" s="32">
        <v>45165.885671296302</v>
      </c>
      <c r="W294" s="32" t="s">
        <v>7476</v>
      </c>
      <c r="X294">
        <v>0</v>
      </c>
      <c r="Y294" s="34" t="s">
        <v>7476</v>
      </c>
      <c r="Z294" s="34" t="s">
        <v>7476</v>
      </c>
      <c r="AA294" s="34" t="s">
        <v>7476</v>
      </c>
      <c r="AB294" s="36" t="s">
        <v>7476</v>
      </c>
      <c r="AD294" t="s">
        <v>976</v>
      </c>
      <c r="AE294" t="s">
        <v>977</v>
      </c>
      <c r="AF294" s="16">
        <v>45153</v>
      </c>
      <c r="AG294" t="s">
        <v>68</v>
      </c>
      <c r="AH294">
        <v>6</v>
      </c>
      <c r="AI294" s="8">
        <f t="shared" si="95"/>
        <v>14.885671296302462</v>
      </c>
      <c r="AJ294" s="8">
        <f t="shared" si="96"/>
        <v>9.885671296302462</v>
      </c>
      <c r="AK294" s="38">
        <f t="shared" si="86"/>
        <v>45345.885671296302</v>
      </c>
      <c r="AL294" t="str">
        <f t="shared" si="97"/>
        <v/>
      </c>
      <c r="AM294">
        <f t="shared" si="98"/>
        <v>21</v>
      </c>
      <c r="AN294">
        <f t="shared" si="99"/>
        <v>3</v>
      </c>
      <c r="AO294">
        <f t="shared" si="100"/>
        <v>4</v>
      </c>
      <c r="AP294">
        <f t="shared" si="101"/>
        <v>0</v>
      </c>
      <c r="AQ294" t="str">
        <f t="shared" si="102"/>
        <v/>
      </c>
    </row>
    <row r="295" spans="1:43" x14ac:dyDescent="0.35">
      <c r="A295">
        <v>674</v>
      </c>
      <c r="B295" t="s">
        <v>978</v>
      </c>
      <c r="C295" t="s">
        <v>202</v>
      </c>
      <c r="D295" t="str">
        <f t="shared" si="84"/>
        <v>Program Office</v>
      </c>
      <c r="E295" t="s">
        <v>694</v>
      </c>
      <c r="F295" t="s">
        <v>758</v>
      </c>
      <c r="G295" t="s">
        <v>759</v>
      </c>
      <c r="H295" t="s">
        <v>697</v>
      </c>
      <c r="I295" s="32">
        <v>45139.885671296302</v>
      </c>
      <c r="J295" s="32">
        <v>45142.885671296302</v>
      </c>
      <c r="K295" s="32">
        <v>45147.885671296302</v>
      </c>
      <c r="L295" s="8">
        <f t="shared" si="85"/>
        <v>8</v>
      </c>
      <c r="M295" s="7">
        <v>45170.885671296302</v>
      </c>
      <c r="N295" t="s">
        <v>49</v>
      </c>
      <c r="O295" s="34">
        <v>45159.885671296302</v>
      </c>
      <c r="P295" t="s">
        <v>50</v>
      </c>
      <c r="Q295" t="s">
        <v>236</v>
      </c>
      <c r="R295" s="32" t="s">
        <v>7472</v>
      </c>
      <c r="S295" t="s">
        <v>7476</v>
      </c>
      <c r="T295" s="34" t="s">
        <v>7476</v>
      </c>
      <c r="U295" s="34" t="s">
        <v>7476</v>
      </c>
      <c r="V295" s="32">
        <v>45161.885671296302</v>
      </c>
      <c r="W295" s="32" t="s">
        <v>7476</v>
      </c>
      <c r="X295">
        <v>0</v>
      </c>
      <c r="Y295" s="34" t="s">
        <v>7476</v>
      </c>
      <c r="Z295" s="34" t="s">
        <v>7476</v>
      </c>
      <c r="AA295" s="34" t="s">
        <v>7476</v>
      </c>
      <c r="AB295" s="36" t="s">
        <v>52</v>
      </c>
      <c r="AD295" t="s">
        <v>979</v>
      </c>
      <c r="AE295" t="s">
        <v>980</v>
      </c>
      <c r="AF295" s="16">
        <v>45146</v>
      </c>
      <c r="AG295" t="s">
        <v>64</v>
      </c>
      <c r="AH295">
        <v>6</v>
      </c>
      <c r="AI295" s="8" t="str">
        <f t="shared" si="95"/>
        <v/>
      </c>
      <c r="AJ295" s="8">
        <f t="shared" si="96"/>
        <v>13.885671296302462</v>
      </c>
      <c r="AK295" s="38">
        <f t="shared" si="86"/>
        <v>45341.885671296302</v>
      </c>
      <c r="AL295" t="str">
        <f t="shared" si="97"/>
        <v/>
      </c>
      <c r="AM295" t="str">
        <f t="shared" si="98"/>
        <v/>
      </c>
      <c r="AN295">
        <f t="shared" si="99"/>
        <v>2</v>
      </c>
      <c r="AO295">
        <f t="shared" si="100"/>
        <v>3</v>
      </c>
      <c r="AP295">
        <f t="shared" si="101"/>
        <v>0</v>
      </c>
      <c r="AQ295" t="str">
        <f t="shared" si="102"/>
        <v/>
      </c>
    </row>
    <row r="296" spans="1:43" x14ac:dyDescent="0.35">
      <c r="A296">
        <v>632</v>
      </c>
      <c r="B296" t="s">
        <v>981</v>
      </c>
      <c r="C296" t="s">
        <v>202</v>
      </c>
      <c r="D296" t="str">
        <f t="shared" si="84"/>
        <v>Program Office</v>
      </c>
      <c r="E296" t="s">
        <v>694</v>
      </c>
      <c r="F296" t="s">
        <v>758</v>
      </c>
      <c r="G296" t="s">
        <v>759</v>
      </c>
      <c r="H296" t="s">
        <v>697</v>
      </c>
      <c r="I296" s="32">
        <v>44827.302743055552</v>
      </c>
      <c r="J296" s="32">
        <v>44831.302743055552</v>
      </c>
      <c r="K296" s="32">
        <v>44833.302743055552</v>
      </c>
      <c r="L296" s="8">
        <f t="shared" si="85"/>
        <v>6</v>
      </c>
      <c r="M296" s="7">
        <v>44861.302743055552</v>
      </c>
      <c r="N296" t="s">
        <v>49</v>
      </c>
      <c r="O296" s="34">
        <v>44842.302743055552</v>
      </c>
      <c r="P296" t="s">
        <v>50</v>
      </c>
      <c r="Q296" t="s">
        <v>125</v>
      </c>
      <c r="R296" s="32" t="s">
        <v>7472</v>
      </c>
      <c r="S296" t="s">
        <v>7476</v>
      </c>
      <c r="T296" s="34" t="s">
        <v>7476</v>
      </c>
      <c r="U296" s="34" t="s">
        <v>7476</v>
      </c>
      <c r="V296" s="32" t="s">
        <v>7476</v>
      </c>
      <c r="W296" s="32" t="s">
        <v>7476</v>
      </c>
      <c r="X296">
        <v>0</v>
      </c>
      <c r="Y296" s="34" t="s">
        <v>7476</v>
      </c>
      <c r="Z296" s="34" t="s">
        <v>7476</v>
      </c>
      <c r="AA296" s="34" t="s">
        <v>7476</v>
      </c>
      <c r="AB296" s="36" t="s">
        <v>95</v>
      </c>
      <c r="AD296" t="s">
        <v>982</v>
      </c>
      <c r="AE296" t="s">
        <v>983</v>
      </c>
      <c r="AF296" s="16">
        <v>44823</v>
      </c>
      <c r="AG296" t="s">
        <v>68</v>
      </c>
      <c r="AH296">
        <v>6</v>
      </c>
      <c r="AI296" s="8" t="str">
        <f t="shared" si="95"/>
        <v/>
      </c>
      <c r="AJ296" s="8">
        <f t="shared" si="96"/>
        <v>19.302743055552128</v>
      </c>
      <c r="AK296" s="38" t="str">
        <f t="shared" si="86"/>
        <v/>
      </c>
      <c r="AL296" t="str">
        <f t="shared" si="97"/>
        <v/>
      </c>
      <c r="AM296" t="str">
        <f t="shared" si="98"/>
        <v/>
      </c>
      <c r="AN296" t="str">
        <f t="shared" si="99"/>
        <v/>
      </c>
      <c r="AO296">
        <f t="shared" si="100"/>
        <v>4</v>
      </c>
      <c r="AP296">
        <f t="shared" si="101"/>
        <v>0</v>
      </c>
      <c r="AQ296" t="str">
        <f t="shared" si="102"/>
        <v/>
      </c>
    </row>
    <row r="297" spans="1:43" x14ac:dyDescent="0.35">
      <c r="A297">
        <v>617</v>
      </c>
      <c r="B297" t="s">
        <v>984</v>
      </c>
      <c r="C297" t="s">
        <v>213</v>
      </c>
      <c r="D297" t="str">
        <f t="shared" si="84"/>
        <v>Program Office</v>
      </c>
      <c r="E297" t="s">
        <v>694</v>
      </c>
      <c r="F297" t="s">
        <v>758</v>
      </c>
      <c r="G297" t="s">
        <v>759</v>
      </c>
      <c r="H297" t="s">
        <v>697</v>
      </c>
      <c r="I297" s="32">
        <v>45154.885648148149</v>
      </c>
      <c r="J297" s="32">
        <v>45157.885648148149</v>
      </c>
      <c r="K297" s="32">
        <v>45161.885648148149</v>
      </c>
      <c r="L297" s="8">
        <f t="shared" si="85"/>
        <v>7</v>
      </c>
      <c r="M297" s="7">
        <v>45178.885648148149</v>
      </c>
      <c r="N297" t="s">
        <v>49</v>
      </c>
      <c r="O297" s="34">
        <v>45178.885648148149</v>
      </c>
      <c r="P297" t="s">
        <v>101</v>
      </c>
      <c r="R297" s="32">
        <v>45184.885648148149</v>
      </c>
      <c r="S297" t="s">
        <v>101</v>
      </c>
      <c r="T297" s="34">
        <v>45179.885648148149</v>
      </c>
      <c r="U297" s="34">
        <v>45180.885648148149</v>
      </c>
      <c r="V297" s="32">
        <v>45180.885648148149</v>
      </c>
      <c r="W297" s="32">
        <v>45182.885648148149</v>
      </c>
      <c r="X297">
        <v>1</v>
      </c>
      <c r="Y297" s="34">
        <v>45185.885648148149</v>
      </c>
      <c r="Z297" s="34">
        <v>45186.885648148149</v>
      </c>
      <c r="AA297" s="34">
        <v>45188.885648148149</v>
      </c>
      <c r="AB297" s="36" t="s">
        <v>7476</v>
      </c>
      <c r="AC297" s="10">
        <v>45205.885648148149</v>
      </c>
      <c r="AD297" t="s">
        <v>985</v>
      </c>
      <c r="AE297" t="s">
        <v>986</v>
      </c>
      <c r="AF297" s="16">
        <v>45170</v>
      </c>
      <c r="AG297" t="s">
        <v>98</v>
      </c>
      <c r="AH297">
        <v>3</v>
      </c>
      <c r="AI297" s="8">
        <f t="shared" si="95"/>
        <v>14.885648148148903</v>
      </c>
      <c r="AJ297" s="8">
        <f t="shared" si="96"/>
        <v>8.8856481481489027</v>
      </c>
      <c r="AK297" s="38">
        <f t="shared" si="86"/>
        <v>45270.885648148149</v>
      </c>
      <c r="AL297">
        <f t="shared" si="97"/>
        <v>4</v>
      </c>
      <c r="AM297">
        <f t="shared" si="98"/>
        <v>27</v>
      </c>
      <c r="AN297">
        <f t="shared" si="99"/>
        <v>2</v>
      </c>
      <c r="AO297">
        <f t="shared" si="100"/>
        <v>3</v>
      </c>
      <c r="AP297">
        <f t="shared" si="101"/>
        <v>45204.885648148149</v>
      </c>
      <c r="AQ297">
        <f t="shared" si="102"/>
        <v>6</v>
      </c>
    </row>
    <row r="298" spans="1:43" x14ac:dyDescent="0.35">
      <c r="A298">
        <v>614</v>
      </c>
      <c r="B298" t="s">
        <v>987</v>
      </c>
      <c r="C298" t="s">
        <v>213</v>
      </c>
      <c r="D298" t="str">
        <f t="shared" si="84"/>
        <v>Program Office</v>
      </c>
      <c r="E298" t="s">
        <v>694</v>
      </c>
      <c r="F298" t="s">
        <v>758</v>
      </c>
      <c r="G298" t="s">
        <v>759</v>
      </c>
      <c r="H298" t="s">
        <v>697</v>
      </c>
      <c r="I298" s="32">
        <v>45156.885648148149</v>
      </c>
      <c r="J298" s="32">
        <v>45157.885648148149</v>
      </c>
      <c r="K298" s="32">
        <v>45161.885648148149</v>
      </c>
      <c r="L298" s="8">
        <f t="shared" si="85"/>
        <v>5</v>
      </c>
      <c r="M298" s="7">
        <v>45182.885648148149</v>
      </c>
      <c r="N298" t="s">
        <v>49</v>
      </c>
      <c r="O298" s="34">
        <v>45165.885648148149</v>
      </c>
      <c r="P298" t="s">
        <v>101</v>
      </c>
      <c r="R298" s="32">
        <v>45170.885648148149</v>
      </c>
      <c r="S298" t="s">
        <v>101</v>
      </c>
      <c r="T298" s="34">
        <v>45167.885648148149</v>
      </c>
      <c r="U298" s="34">
        <v>45170.885648148149</v>
      </c>
      <c r="V298" s="32">
        <v>45168.885648148149</v>
      </c>
      <c r="W298" s="32">
        <v>45173.885648148149</v>
      </c>
      <c r="X298">
        <v>1</v>
      </c>
      <c r="Y298" s="34">
        <v>45177.885648148149</v>
      </c>
      <c r="Z298" s="34">
        <v>45179.885648148149</v>
      </c>
      <c r="AA298" s="34">
        <v>45180.885648148149</v>
      </c>
      <c r="AB298" s="36" t="s">
        <v>7476</v>
      </c>
      <c r="AC298" s="10">
        <v>45195.885648148149</v>
      </c>
      <c r="AD298" t="s">
        <v>988</v>
      </c>
      <c r="AE298" t="s">
        <v>989</v>
      </c>
      <c r="AF298" s="16">
        <v>45268</v>
      </c>
      <c r="AG298" t="s">
        <v>68</v>
      </c>
      <c r="AH298">
        <v>3</v>
      </c>
      <c r="AI298" s="8">
        <f t="shared" si="95"/>
        <v>-97.114351851851097</v>
      </c>
      <c r="AJ298" s="8">
        <f t="shared" si="96"/>
        <v>-102.1143518518511</v>
      </c>
      <c r="AK298" s="38">
        <f t="shared" si="86"/>
        <v>45258.885648148149</v>
      </c>
      <c r="AL298">
        <f t="shared" si="97"/>
        <v>6</v>
      </c>
      <c r="AM298">
        <f t="shared" si="98"/>
        <v>13</v>
      </c>
      <c r="AN298">
        <f t="shared" si="99"/>
        <v>3</v>
      </c>
      <c r="AO298">
        <f t="shared" si="100"/>
        <v>1</v>
      </c>
      <c r="AP298">
        <f t="shared" si="101"/>
        <v>45194.885648148149</v>
      </c>
      <c r="AQ298">
        <f t="shared" si="102"/>
        <v>7</v>
      </c>
    </row>
    <row r="299" spans="1:43" x14ac:dyDescent="0.35">
      <c r="A299">
        <v>613</v>
      </c>
      <c r="B299" t="s">
        <v>990</v>
      </c>
      <c r="C299" t="s">
        <v>213</v>
      </c>
      <c r="D299" t="str">
        <f t="shared" si="84"/>
        <v>Program Office</v>
      </c>
      <c r="E299" t="s">
        <v>694</v>
      </c>
      <c r="F299" t="s">
        <v>758</v>
      </c>
      <c r="G299" t="s">
        <v>759</v>
      </c>
      <c r="H299" t="s">
        <v>697</v>
      </c>
      <c r="I299" s="32">
        <v>45152.885648148149</v>
      </c>
      <c r="J299" s="32">
        <v>45155.885648148149</v>
      </c>
      <c r="K299" s="32">
        <v>45161.885648148149</v>
      </c>
      <c r="L299" s="8">
        <f t="shared" si="85"/>
        <v>9</v>
      </c>
      <c r="M299" s="7">
        <v>45189.885648148149</v>
      </c>
      <c r="N299" t="s">
        <v>49</v>
      </c>
      <c r="O299" s="34">
        <v>45177.885648148149</v>
      </c>
      <c r="P299" t="s">
        <v>101</v>
      </c>
      <c r="R299" s="32">
        <v>45182.885648148149</v>
      </c>
      <c r="S299" t="s">
        <v>101</v>
      </c>
      <c r="T299" s="34">
        <v>45178.885648148149</v>
      </c>
      <c r="U299" s="34">
        <v>45181.885648148149</v>
      </c>
      <c r="V299" s="32">
        <v>45180.885648148149</v>
      </c>
      <c r="W299" s="32">
        <v>45190.885648148149</v>
      </c>
      <c r="X299">
        <v>1</v>
      </c>
      <c r="Y299" s="34">
        <v>45194.885648148149</v>
      </c>
      <c r="Z299" s="34">
        <v>45195.885648148149</v>
      </c>
      <c r="AA299" s="34">
        <v>45197.885648148149</v>
      </c>
      <c r="AB299" s="36" t="s">
        <v>7476</v>
      </c>
      <c r="AC299" s="10">
        <v>45210.885648148149</v>
      </c>
      <c r="AD299" t="s">
        <v>991</v>
      </c>
      <c r="AE299" t="s">
        <v>992</v>
      </c>
      <c r="AF299" s="16">
        <v>45167</v>
      </c>
      <c r="AG299" t="s">
        <v>68</v>
      </c>
      <c r="AH299">
        <v>6</v>
      </c>
      <c r="AI299" s="8">
        <f t="shared" si="95"/>
        <v>15.885648148148903</v>
      </c>
      <c r="AJ299" s="8">
        <f t="shared" si="96"/>
        <v>10.885648148148903</v>
      </c>
      <c r="AK299" s="38">
        <f t="shared" si="86"/>
        <v>45360.885648148149</v>
      </c>
      <c r="AL299">
        <f t="shared" si="97"/>
        <v>5</v>
      </c>
      <c r="AM299">
        <f t="shared" si="98"/>
        <v>27</v>
      </c>
      <c r="AN299">
        <f t="shared" si="99"/>
        <v>3</v>
      </c>
      <c r="AO299">
        <f t="shared" si="100"/>
        <v>3</v>
      </c>
      <c r="AP299">
        <f t="shared" si="101"/>
        <v>45209.885648148149</v>
      </c>
      <c r="AQ299">
        <f t="shared" si="102"/>
        <v>7</v>
      </c>
    </row>
    <row r="300" spans="1:43" x14ac:dyDescent="0.35">
      <c r="A300">
        <v>578</v>
      </c>
      <c r="B300" t="s">
        <v>993</v>
      </c>
      <c r="C300" t="s">
        <v>213</v>
      </c>
      <c r="D300" t="str">
        <f t="shared" si="84"/>
        <v>Program Office</v>
      </c>
      <c r="E300" t="s">
        <v>694</v>
      </c>
      <c r="F300" t="s">
        <v>758</v>
      </c>
      <c r="G300" t="s">
        <v>759</v>
      </c>
      <c r="H300" t="s">
        <v>697</v>
      </c>
      <c r="I300" s="32">
        <v>44908.089930555558</v>
      </c>
      <c r="J300" s="32">
        <v>44911.089930555558</v>
      </c>
      <c r="K300" s="32">
        <v>44915.089930555558</v>
      </c>
      <c r="L300" s="8">
        <f t="shared" si="85"/>
        <v>7</v>
      </c>
      <c r="M300" s="7">
        <v>44934.089930555558</v>
      </c>
      <c r="N300" t="s">
        <v>49</v>
      </c>
      <c r="O300" s="34">
        <v>44931.089930555558</v>
      </c>
      <c r="P300" t="s">
        <v>101</v>
      </c>
      <c r="R300" s="32">
        <v>44935.089930555558</v>
      </c>
      <c r="S300" t="s">
        <v>101</v>
      </c>
      <c r="T300" s="34">
        <v>44933.089930555558</v>
      </c>
      <c r="U300" s="34">
        <v>44935.089930555558</v>
      </c>
      <c r="V300" s="32">
        <v>44932.089930555558</v>
      </c>
      <c r="W300" s="32">
        <v>44936.089930555558</v>
      </c>
      <c r="X300">
        <v>1</v>
      </c>
      <c r="Y300" s="34">
        <v>44938.089930555558</v>
      </c>
      <c r="Z300" s="34">
        <v>44941.089930555558</v>
      </c>
      <c r="AA300" s="34">
        <v>44943.089930555558</v>
      </c>
      <c r="AB300" s="36" t="s">
        <v>7476</v>
      </c>
      <c r="AC300" s="10">
        <v>44951.089930555558</v>
      </c>
      <c r="AD300" t="s">
        <v>994</v>
      </c>
      <c r="AE300" t="s">
        <v>995</v>
      </c>
      <c r="AF300" s="16">
        <v>44916</v>
      </c>
      <c r="AG300" t="s">
        <v>64</v>
      </c>
      <c r="AH300">
        <v>3</v>
      </c>
      <c r="AI300" s="8">
        <f t="shared" si="95"/>
        <v>19.089930555557657</v>
      </c>
      <c r="AJ300" s="8">
        <f t="shared" si="96"/>
        <v>15.089930555557657</v>
      </c>
      <c r="AK300" s="38">
        <f t="shared" si="86"/>
        <v>45022.089930555558</v>
      </c>
      <c r="AL300">
        <f t="shared" si="97"/>
        <v>5</v>
      </c>
      <c r="AM300">
        <f t="shared" si="98"/>
        <v>24</v>
      </c>
      <c r="AN300">
        <f t="shared" si="99"/>
        <v>1</v>
      </c>
      <c r="AO300">
        <f t="shared" si="100"/>
        <v>3</v>
      </c>
      <c r="AP300">
        <f t="shared" si="101"/>
        <v>44950.089930555558</v>
      </c>
      <c r="AQ300">
        <f t="shared" si="102"/>
        <v>7</v>
      </c>
    </row>
    <row r="301" spans="1:43" x14ac:dyDescent="0.35">
      <c r="A301">
        <v>572</v>
      </c>
      <c r="B301" t="s">
        <v>996</v>
      </c>
      <c r="C301" t="s">
        <v>213</v>
      </c>
      <c r="D301" t="str">
        <f t="shared" si="84"/>
        <v>Program Office</v>
      </c>
      <c r="E301" t="s">
        <v>694</v>
      </c>
      <c r="F301" t="s">
        <v>758</v>
      </c>
      <c r="G301" t="s">
        <v>759</v>
      </c>
      <c r="H301" t="s">
        <v>697</v>
      </c>
      <c r="I301" s="32">
        <v>44913.089930555558</v>
      </c>
      <c r="J301" s="32">
        <v>44914.089930555558</v>
      </c>
      <c r="K301" s="32">
        <v>44915.089930555558</v>
      </c>
      <c r="L301" s="8">
        <f t="shared" si="85"/>
        <v>2</v>
      </c>
      <c r="M301" s="7">
        <v>44939.089930555558</v>
      </c>
      <c r="N301" t="s">
        <v>49</v>
      </c>
      <c r="O301" s="34">
        <v>44921.089930555558</v>
      </c>
      <c r="P301" t="s">
        <v>50</v>
      </c>
      <c r="Q301" t="s">
        <v>84</v>
      </c>
      <c r="R301" s="32" t="s">
        <v>7472</v>
      </c>
      <c r="S301" t="s">
        <v>7476</v>
      </c>
      <c r="T301" s="34" t="s">
        <v>7476</v>
      </c>
      <c r="U301" s="34" t="s">
        <v>7476</v>
      </c>
      <c r="V301" s="32">
        <v>44923.089930555558</v>
      </c>
      <c r="W301" s="32" t="s">
        <v>7476</v>
      </c>
      <c r="X301">
        <v>0</v>
      </c>
      <c r="Y301" s="34" t="s">
        <v>7476</v>
      </c>
      <c r="Z301" s="34" t="s">
        <v>7476</v>
      </c>
      <c r="AA301" s="34" t="s">
        <v>7476</v>
      </c>
      <c r="AB301" s="36" t="s">
        <v>95</v>
      </c>
      <c r="AD301" t="s">
        <v>997</v>
      </c>
      <c r="AE301" t="s">
        <v>998</v>
      </c>
      <c r="AF301" s="16">
        <v>44914</v>
      </c>
      <c r="AG301" t="s">
        <v>98</v>
      </c>
      <c r="AH301">
        <v>3</v>
      </c>
      <c r="AI301" s="8" t="str">
        <f t="shared" si="95"/>
        <v/>
      </c>
      <c r="AJ301" s="8">
        <f t="shared" si="96"/>
        <v>7.0899305555576575</v>
      </c>
      <c r="AK301" s="38">
        <f t="shared" si="86"/>
        <v>45013.089930555558</v>
      </c>
      <c r="AL301" t="str">
        <f t="shared" si="97"/>
        <v/>
      </c>
      <c r="AM301" t="str">
        <f t="shared" si="98"/>
        <v/>
      </c>
      <c r="AN301">
        <f t="shared" si="99"/>
        <v>2</v>
      </c>
      <c r="AO301">
        <f t="shared" si="100"/>
        <v>1</v>
      </c>
      <c r="AP301">
        <f t="shared" si="101"/>
        <v>0</v>
      </c>
      <c r="AQ301" t="str">
        <f t="shared" si="102"/>
        <v/>
      </c>
    </row>
    <row r="302" spans="1:43" x14ac:dyDescent="0.35">
      <c r="A302">
        <v>499</v>
      </c>
      <c r="B302" t="s">
        <v>999</v>
      </c>
      <c r="C302" t="s">
        <v>213</v>
      </c>
      <c r="D302" t="str">
        <f t="shared" si="84"/>
        <v>Program Office</v>
      </c>
      <c r="E302" t="s">
        <v>694</v>
      </c>
      <c r="F302" t="s">
        <v>758</v>
      </c>
      <c r="G302" t="s">
        <v>759</v>
      </c>
      <c r="H302" t="s">
        <v>697</v>
      </c>
      <c r="I302" s="32">
        <v>45166.411724537043</v>
      </c>
      <c r="J302" s="32">
        <v>45170.411724537043</v>
      </c>
      <c r="K302" s="32">
        <v>45174.411724537043</v>
      </c>
      <c r="L302" s="8">
        <f t="shared" si="85"/>
        <v>8</v>
      </c>
      <c r="M302" s="7">
        <v>45202.411724537043</v>
      </c>
      <c r="N302" t="s">
        <v>49</v>
      </c>
      <c r="O302" s="34">
        <v>45182.411724537043</v>
      </c>
      <c r="P302" t="s">
        <v>60</v>
      </c>
      <c r="R302" s="32">
        <v>45188.411724537043</v>
      </c>
      <c r="S302" t="s">
        <v>61</v>
      </c>
      <c r="T302" s="34" t="s">
        <v>7476</v>
      </c>
      <c r="U302" s="34" t="s">
        <v>7476</v>
      </c>
      <c r="V302" s="32">
        <v>45186.411724537043</v>
      </c>
      <c r="W302" s="32" t="s">
        <v>7476</v>
      </c>
      <c r="X302">
        <v>0</v>
      </c>
      <c r="Y302" s="34" t="s">
        <v>7476</v>
      </c>
      <c r="Z302" s="34" t="s">
        <v>7476</v>
      </c>
      <c r="AA302" s="34" t="s">
        <v>7476</v>
      </c>
      <c r="AB302" s="36" t="s">
        <v>7476</v>
      </c>
      <c r="AD302" t="s">
        <v>1000</v>
      </c>
      <c r="AE302" t="s">
        <v>1001</v>
      </c>
      <c r="AF302" s="16">
        <v>45169</v>
      </c>
      <c r="AG302" t="s">
        <v>68</v>
      </c>
      <c r="AH302">
        <v>3</v>
      </c>
      <c r="AI302" s="8">
        <f t="shared" si="95"/>
        <v>19.411724537043483</v>
      </c>
      <c r="AJ302" s="8">
        <f t="shared" si="96"/>
        <v>13.411724537043483</v>
      </c>
      <c r="AK302" s="38">
        <f t="shared" si="86"/>
        <v>45276.411724537043</v>
      </c>
      <c r="AL302" t="str">
        <f t="shared" si="97"/>
        <v/>
      </c>
      <c r="AM302">
        <f t="shared" si="98"/>
        <v>18</v>
      </c>
      <c r="AN302">
        <f t="shared" si="99"/>
        <v>4</v>
      </c>
      <c r="AO302">
        <f t="shared" si="100"/>
        <v>4</v>
      </c>
      <c r="AP302">
        <f t="shared" si="101"/>
        <v>0</v>
      </c>
      <c r="AQ302" t="str">
        <f t="shared" si="102"/>
        <v/>
      </c>
    </row>
    <row r="303" spans="1:43" x14ac:dyDescent="0.35">
      <c r="A303">
        <v>489</v>
      </c>
      <c r="B303" t="s">
        <v>1002</v>
      </c>
      <c r="C303" t="s">
        <v>213</v>
      </c>
      <c r="D303" t="str">
        <f t="shared" si="84"/>
        <v>Program Office</v>
      </c>
      <c r="E303" t="s">
        <v>694</v>
      </c>
      <c r="F303" t="s">
        <v>758</v>
      </c>
      <c r="G303" t="s">
        <v>759</v>
      </c>
      <c r="H303" t="s">
        <v>697</v>
      </c>
      <c r="I303" s="32">
        <v>44933.566712962973</v>
      </c>
      <c r="J303" s="32">
        <v>44935.566712962973</v>
      </c>
      <c r="K303" s="32">
        <v>44938.566712962973</v>
      </c>
      <c r="L303" s="8">
        <f t="shared" si="85"/>
        <v>5</v>
      </c>
      <c r="M303" s="7">
        <v>44944.566712962973</v>
      </c>
      <c r="N303" t="s">
        <v>49</v>
      </c>
      <c r="O303" s="34">
        <v>44940.566712962973</v>
      </c>
      <c r="P303" t="s">
        <v>50</v>
      </c>
      <c r="Q303" t="s">
        <v>236</v>
      </c>
      <c r="R303" s="32" t="s">
        <v>7472</v>
      </c>
      <c r="S303" t="s">
        <v>7476</v>
      </c>
      <c r="T303" s="34" t="s">
        <v>7476</v>
      </c>
      <c r="U303" s="34" t="s">
        <v>7476</v>
      </c>
      <c r="V303" s="32">
        <v>44943.566712962973</v>
      </c>
      <c r="W303" s="32" t="s">
        <v>7476</v>
      </c>
      <c r="X303">
        <v>0</v>
      </c>
      <c r="Y303" s="34" t="s">
        <v>7476</v>
      </c>
      <c r="Z303" s="34" t="s">
        <v>7476</v>
      </c>
      <c r="AA303" s="34" t="s">
        <v>7476</v>
      </c>
      <c r="AB303" s="36" t="s">
        <v>95</v>
      </c>
      <c r="AD303" t="s">
        <v>1003</v>
      </c>
      <c r="AE303" t="s">
        <v>1004</v>
      </c>
      <c r="AF303" s="16">
        <v>44934</v>
      </c>
      <c r="AG303" t="s">
        <v>64</v>
      </c>
      <c r="AH303">
        <v>6</v>
      </c>
      <c r="AI303" s="8" t="str">
        <f t="shared" si="95"/>
        <v/>
      </c>
      <c r="AJ303" s="8">
        <f t="shared" si="96"/>
        <v>6.5667129629728151</v>
      </c>
      <c r="AK303" s="38">
        <f t="shared" si="86"/>
        <v>45123.566712962973</v>
      </c>
      <c r="AL303" t="str">
        <f t="shared" si="97"/>
        <v/>
      </c>
      <c r="AM303" t="str">
        <f t="shared" si="98"/>
        <v/>
      </c>
      <c r="AN303">
        <f t="shared" si="99"/>
        <v>3</v>
      </c>
      <c r="AO303">
        <f t="shared" si="100"/>
        <v>2</v>
      </c>
      <c r="AP303">
        <f t="shared" si="101"/>
        <v>0</v>
      </c>
      <c r="AQ303" t="str">
        <f t="shared" si="102"/>
        <v/>
      </c>
    </row>
    <row r="304" spans="1:43" x14ac:dyDescent="0.35">
      <c r="A304">
        <v>482</v>
      </c>
      <c r="B304" t="s">
        <v>1005</v>
      </c>
      <c r="C304" t="s">
        <v>202</v>
      </c>
      <c r="D304" t="str">
        <f t="shared" si="84"/>
        <v>Program Office</v>
      </c>
      <c r="E304" t="s">
        <v>694</v>
      </c>
      <c r="F304" t="s">
        <v>758</v>
      </c>
      <c r="G304" t="s">
        <v>759</v>
      </c>
      <c r="H304" t="s">
        <v>697</v>
      </c>
      <c r="I304" s="32">
        <v>44928.566712962973</v>
      </c>
      <c r="J304" s="32">
        <v>44932.566712962973</v>
      </c>
      <c r="K304" s="32">
        <v>44938.566712962973</v>
      </c>
      <c r="L304" s="8">
        <f t="shared" si="85"/>
        <v>10</v>
      </c>
      <c r="M304" s="7">
        <v>44952.566712962973</v>
      </c>
      <c r="N304" t="s">
        <v>49</v>
      </c>
      <c r="O304" s="34">
        <v>44946.566712962973</v>
      </c>
      <c r="P304" t="s">
        <v>60</v>
      </c>
      <c r="R304" s="32">
        <v>44949.566712962973</v>
      </c>
      <c r="S304" t="s">
        <v>61</v>
      </c>
      <c r="T304" s="34" t="s">
        <v>7476</v>
      </c>
      <c r="U304" s="34" t="s">
        <v>7476</v>
      </c>
      <c r="V304" s="32">
        <v>44948.566712962973</v>
      </c>
      <c r="W304" s="32" t="s">
        <v>7476</v>
      </c>
      <c r="X304">
        <v>0</v>
      </c>
      <c r="Y304" s="34" t="s">
        <v>7476</v>
      </c>
      <c r="Z304" s="34" t="s">
        <v>7476</v>
      </c>
      <c r="AA304" s="34" t="s">
        <v>7476</v>
      </c>
      <c r="AB304" s="36" t="s">
        <v>7476</v>
      </c>
      <c r="AD304" t="s">
        <v>1006</v>
      </c>
      <c r="AE304" t="s">
        <v>1007</v>
      </c>
      <c r="AF304" s="16">
        <v>44941</v>
      </c>
      <c r="AG304" t="s">
        <v>64</v>
      </c>
      <c r="AH304">
        <v>3</v>
      </c>
      <c r="AI304" s="8">
        <f t="shared" si="95"/>
        <v>8.5667129629728151</v>
      </c>
      <c r="AJ304" s="8">
        <f t="shared" si="96"/>
        <v>5.5667129629728151</v>
      </c>
      <c r="AK304" s="38">
        <f t="shared" si="86"/>
        <v>45038.566712962973</v>
      </c>
      <c r="AL304" t="str">
        <f t="shared" si="97"/>
        <v/>
      </c>
      <c r="AM304">
        <f t="shared" si="98"/>
        <v>17</v>
      </c>
      <c r="AN304">
        <f t="shared" si="99"/>
        <v>2</v>
      </c>
      <c r="AO304">
        <f t="shared" si="100"/>
        <v>4</v>
      </c>
      <c r="AP304">
        <f t="shared" si="101"/>
        <v>0</v>
      </c>
      <c r="AQ304" t="str">
        <f t="shared" si="102"/>
        <v/>
      </c>
    </row>
    <row r="305" spans="1:43" x14ac:dyDescent="0.35">
      <c r="A305">
        <v>474</v>
      </c>
      <c r="B305" t="s">
        <v>1008</v>
      </c>
      <c r="C305" t="s">
        <v>202</v>
      </c>
      <c r="D305" t="str">
        <f t="shared" si="84"/>
        <v>Program Office</v>
      </c>
      <c r="E305" t="s">
        <v>694</v>
      </c>
      <c r="F305" t="s">
        <v>758</v>
      </c>
      <c r="G305" t="s">
        <v>759</v>
      </c>
      <c r="H305" t="s">
        <v>697</v>
      </c>
      <c r="I305" s="32">
        <v>44672.075752314813</v>
      </c>
      <c r="J305" s="32">
        <v>44676.075752314813</v>
      </c>
      <c r="K305" s="32">
        <v>44682.075752314813</v>
      </c>
      <c r="L305" s="8">
        <f t="shared" si="85"/>
        <v>10</v>
      </c>
      <c r="M305" s="7">
        <v>44703.075752314813</v>
      </c>
      <c r="N305" t="s">
        <v>49</v>
      </c>
      <c r="O305" s="34">
        <v>44690.075752314813</v>
      </c>
      <c r="P305" t="s">
        <v>50</v>
      </c>
      <c r="Q305" t="s">
        <v>84</v>
      </c>
      <c r="R305" s="32" t="s">
        <v>7472</v>
      </c>
      <c r="S305" t="s">
        <v>7476</v>
      </c>
      <c r="T305" s="34" t="s">
        <v>7476</v>
      </c>
      <c r="U305" s="34" t="s">
        <v>7476</v>
      </c>
      <c r="V305" s="32" t="s">
        <v>7476</v>
      </c>
      <c r="W305" s="32" t="s">
        <v>7476</v>
      </c>
      <c r="X305">
        <v>0</v>
      </c>
      <c r="Y305" s="34" t="s">
        <v>7476</v>
      </c>
      <c r="Z305" s="34" t="s">
        <v>7476</v>
      </c>
      <c r="AA305" s="34" t="s">
        <v>7476</v>
      </c>
      <c r="AB305" s="36" t="s">
        <v>52</v>
      </c>
      <c r="AD305" t="s">
        <v>1009</v>
      </c>
      <c r="AE305" t="s">
        <v>1010</v>
      </c>
      <c r="AF305" s="16">
        <v>44678</v>
      </c>
      <c r="AG305" t="s">
        <v>98</v>
      </c>
      <c r="AH305">
        <v>6</v>
      </c>
      <c r="AI305" s="8" t="str">
        <f t="shared" si="95"/>
        <v/>
      </c>
      <c r="AJ305" s="8">
        <f t="shared" si="96"/>
        <v>12.075752314813144</v>
      </c>
      <c r="AK305" s="38" t="str">
        <f t="shared" si="86"/>
        <v/>
      </c>
      <c r="AL305" t="str">
        <f t="shared" si="97"/>
        <v/>
      </c>
      <c r="AM305" t="str">
        <f t="shared" si="98"/>
        <v/>
      </c>
      <c r="AN305" t="str">
        <f t="shared" si="99"/>
        <v/>
      </c>
      <c r="AO305">
        <f t="shared" si="100"/>
        <v>4</v>
      </c>
      <c r="AP305">
        <f t="shared" si="101"/>
        <v>0</v>
      </c>
      <c r="AQ305" t="str">
        <f t="shared" si="102"/>
        <v/>
      </c>
    </row>
    <row r="306" spans="1:43" x14ac:dyDescent="0.35">
      <c r="A306">
        <v>472</v>
      </c>
      <c r="B306" t="s">
        <v>1011</v>
      </c>
      <c r="C306" t="s">
        <v>217</v>
      </c>
      <c r="D306" t="str">
        <f t="shared" si="84"/>
        <v>Program Office</v>
      </c>
      <c r="E306" t="s">
        <v>694</v>
      </c>
      <c r="F306" t="s">
        <v>758</v>
      </c>
      <c r="G306" t="s">
        <v>759</v>
      </c>
      <c r="H306" t="s">
        <v>697</v>
      </c>
      <c r="I306" s="32">
        <v>44673.075752314813</v>
      </c>
      <c r="J306" s="32">
        <v>44677.075752314813</v>
      </c>
      <c r="K306" s="32">
        <v>44682.075752314813</v>
      </c>
      <c r="L306" s="8">
        <f t="shared" si="85"/>
        <v>9</v>
      </c>
      <c r="M306" s="7">
        <v>44699.075752314813</v>
      </c>
      <c r="N306" t="s">
        <v>49</v>
      </c>
      <c r="O306" s="34">
        <v>44693.075752314813</v>
      </c>
      <c r="P306" t="s">
        <v>60</v>
      </c>
      <c r="R306" s="32">
        <v>44699.075752314813</v>
      </c>
      <c r="S306" t="s">
        <v>61</v>
      </c>
      <c r="T306" s="34" t="s">
        <v>7476</v>
      </c>
      <c r="U306" s="34" t="s">
        <v>7476</v>
      </c>
      <c r="V306" s="32">
        <v>44695.075752314813</v>
      </c>
      <c r="W306" s="32" t="s">
        <v>7476</v>
      </c>
      <c r="X306">
        <v>0</v>
      </c>
      <c r="Y306" s="34" t="s">
        <v>7476</v>
      </c>
      <c r="Z306" s="34" t="s">
        <v>7476</v>
      </c>
      <c r="AA306" s="34" t="s">
        <v>7476</v>
      </c>
      <c r="AB306" s="36" t="s">
        <v>7476</v>
      </c>
      <c r="AD306" t="s">
        <v>1012</v>
      </c>
      <c r="AE306" t="s">
        <v>1013</v>
      </c>
      <c r="AF306" s="16">
        <v>44688</v>
      </c>
      <c r="AG306" t="s">
        <v>64</v>
      </c>
      <c r="AH306">
        <v>6</v>
      </c>
      <c r="AI306" s="8">
        <f t="shared" si="95"/>
        <v>11.075752314813144</v>
      </c>
      <c r="AJ306" s="8">
        <f t="shared" si="96"/>
        <v>5.075752314813144</v>
      </c>
      <c r="AK306" s="38">
        <f t="shared" si="86"/>
        <v>44875.075752314813</v>
      </c>
      <c r="AL306" t="str">
        <f t="shared" si="97"/>
        <v/>
      </c>
      <c r="AM306">
        <f t="shared" si="98"/>
        <v>22</v>
      </c>
      <c r="AN306">
        <f t="shared" si="99"/>
        <v>2</v>
      </c>
      <c r="AO306">
        <f t="shared" si="100"/>
        <v>4</v>
      </c>
      <c r="AP306">
        <f t="shared" si="101"/>
        <v>0</v>
      </c>
      <c r="AQ306" t="str">
        <f t="shared" si="102"/>
        <v/>
      </c>
    </row>
    <row r="307" spans="1:43" x14ac:dyDescent="0.35">
      <c r="A307">
        <v>471</v>
      </c>
      <c r="B307" t="s">
        <v>1014</v>
      </c>
      <c r="C307" t="s">
        <v>213</v>
      </c>
      <c r="D307" t="str">
        <f t="shared" si="84"/>
        <v>Program Office</v>
      </c>
      <c r="E307" t="s">
        <v>694</v>
      </c>
      <c r="F307" t="s">
        <v>758</v>
      </c>
      <c r="G307" t="s">
        <v>759</v>
      </c>
      <c r="H307" t="s">
        <v>697</v>
      </c>
      <c r="I307" s="32">
        <v>44676.075752314813</v>
      </c>
      <c r="J307" s="32">
        <v>44677.075752314813</v>
      </c>
      <c r="K307" s="32">
        <v>44682.075752314813</v>
      </c>
      <c r="L307" s="8">
        <f t="shared" si="85"/>
        <v>6</v>
      </c>
      <c r="M307" s="7">
        <v>44703.075752314813</v>
      </c>
      <c r="N307" t="s">
        <v>49</v>
      </c>
      <c r="O307" s="34">
        <v>44688.075752314813</v>
      </c>
      <c r="P307" t="s">
        <v>50</v>
      </c>
      <c r="Q307" t="s">
        <v>125</v>
      </c>
      <c r="R307" s="32" t="s">
        <v>7472</v>
      </c>
      <c r="S307" t="s">
        <v>7476</v>
      </c>
      <c r="T307" s="34" t="s">
        <v>7476</v>
      </c>
      <c r="U307" s="34" t="s">
        <v>7476</v>
      </c>
      <c r="V307" s="32">
        <v>44689.075752314813</v>
      </c>
      <c r="W307" s="32" t="s">
        <v>7476</v>
      </c>
      <c r="X307">
        <v>0</v>
      </c>
      <c r="Y307" s="34" t="s">
        <v>7476</v>
      </c>
      <c r="Z307" s="34" t="s">
        <v>7476</v>
      </c>
      <c r="AA307" s="34" t="s">
        <v>7476</v>
      </c>
      <c r="AB307" s="36" t="s">
        <v>52</v>
      </c>
      <c r="AD307" t="s">
        <v>1015</v>
      </c>
      <c r="AE307" t="s">
        <v>1016</v>
      </c>
      <c r="AF307" s="16">
        <v>44679</v>
      </c>
      <c r="AG307" t="s">
        <v>64</v>
      </c>
      <c r="AH307">
        <v>3</v>
      </c>
      <c r="AI307" s="8" t="str">
        <f t="shared" si="95"/>
        <v/>
      </c>
      <c r="AJ307" s="8">
        <f t="shared" si="96"/>
        <v>9.075752314813144</v>
      </c>
      <c r="AK307" s="38">
        <f t="shared" si="86"/>
        <v>44779.075752314813</v>
      </c>
      <c r="AL307" t="str">
        <f t="shared" si="97"/>
        <v/>
      </c>
      <c r="AM307" t="str">
        <f t="shared" si="98"/>
        <v/>
      </c>
      <c r="AN307">
        <f t="shared" si="99"/>
        <v>1</v>
      </c>
      <c r="AO307">
        <f t="shared" si="100"/>
        <v>1</v>
      </c>
      <c r="AP307">
        <f t="shared" si="101"/>
        <v>0</v>
      </c>
      <c r="AQ307" t="str">
        <f t="shared" si="102"/>
        <v/>
      </c>
    </row>
    <row r="308" spans="1:43" x14ac:dyDescent="0.35">
      <c r="A308">
        <v>387</v>
      </c>
      <c r="B308" t="s">
        <v>1017</v>
      </c>
      <c r="C308" t="s">
        <v>202</v>
      </c>
      <c r="D308" t="str">
        <f t="shared" si="84"/>
        <v>Program Office</v>
      </c>
      <c r="E308" t="s">
        <v>694</v>
      </c>
      <c r="F308" t="s">
        <v>758</v>
      </c>
      <c r="G308" t="s">
        <v>759</v>
      </c>
      <c r="H308" t="s">
        <v>697</v>
      </c>
      <c r="I308" s="32">
        <v>44874.3830787037</v>
      </c>
      <c r="J308" s="32">
        <v>44875.3830787037</v>
      </c>
      <c r="K308" s="32" t="s">
        <v>7473</v>
      </c>
      <c r="L308" s="8" t="str">
        <f t="shared" si="85"/>
        <v/>
      </c>
      <c r="M308" s="7">
        <v>44908.3830787037</v>
      </c>
      <c r="N308" t="s">
        <v>49</v>
      </c>
      <c r="O308" s="34">
        <v>44888.3830787037</v>
      </c>
      <c r="P308" t="s">
        <v>50</v>
      </c>
      <c r="Q308" t="s">
        <v>236</v>
      </c>
      <c r="R308" s="32" t="s">
        <v>7472</v>
      </c>
      <c r="S308" t="s">
        <v>7476</v>
      </c>
      <c r="T308" s="34" t="s">
        <v>7476</v>
      </c>
      <c r="U308" s="34" t="s">
        <v>7476</v>
      </c>
      <c r="V308" s="32">
        <v>44890.3830787037</v>
      </c>
      <c r="W308" s="32" t="s">
        <v>7476</v>
      </c>
      <c r="X308">
        <v>0</v>
      </c>
      <c r="Y308" s="34" t="s">
        <v>7476</v>
      </c>
      <c r="Z308" s="34" t="s">
        <v>7476</v>
      </c>
      <c r="AA308" s="34" t="s">
        <v>7476</v>
      </c>
      <c r="AB308" s="36" t="s">
        <v>95</v>
      </c>
      <c r="AD308" t="s">
        <v>1018</v>
      </c>
      <c r="AE308" t="s">
        <v>1019</v>
      </c>
      <c r="AF308" s="16">
        <v>44869</v>
      </c>
      <c r="AG308" t="s">
        <v>75</v>
      </c>
      <c r="AH308">
        <v>3</v>
      </c>
      <c r="AK308" s="38">
        <f t="shared" si="86"/>
        <v>44980.3830787037</v>
      </c>
    </row>
    <row r="309" spans="1:43" x14ac:dyDescent="0.35">
      <c r="A309">
        <v>382</v>
      </c>
      <c r="B309" t="s">
        <v>1020</v>
      </c>
      <c r="C309" t="s">
        <v>202</v>
      </c>
      <c r="D309" t="str">
        <f t="shared" si="84"/>
        <v>Program Office</v>
      </c>
      <c r="E309" t="s">
        <v>694</v>
      </c>
      <c r="F309" t="s">
        <v>758</v>
      </c>
      <c r="G309" t="s">
        <v>759</v>
      </c>
      <c r="H309" t="s">
        <v>697</v>
      </c>
      <c r="I309" s="32">
        <v>44872.3830787037</v>
      </c>
      <c r="J309" s="32">
        <v>44875.3830787037</v>
      </c>
      <c r="K309" s="32">
        <v>44878.3830787037</v>
      </c>
      <c r="L309" s="8">
        <f t="shared" si="85"/>
        <v>6</v>
      </c>
      <c r="M309" s="7">
        <v>44897.3830787037</v>
      </c>
      <c r="N309" t="s">
        <v>49</v>
      </c>
      <c r="O309" s="34">
        <v>44894.3830787037</v>
      </c>
      <c r="P309" t="s">
        <v>392</v>
      </c>
      <c r="R309" s="32">
        <v>44900.3830787037</v>
      </c>
      <c r="S309" t="s">
        <v>392</v>
      </c>
      <c r="T309" s="34" t="s">
        <v>7476</v>
      </c>
      <c r="U309" s="34" t="s">
        <v>7476</v>
      </c>
      <c r="V309" s="32">
        <v>44896.3830787037</v>
      </c>
      <c r="W309" s="32" t="s">
        <v>7476</v>
      </c>
      <c r="X309">
        <v>0</v>
      </c>
      <c r="Y309" s="34" t="s">
        <v>7476</v>
      </c>
      <c r="Z309" s="34" t="s">
        <v>7476</v>
      </c>
      <c r="AA309" s="34" t="s">
        <v>7476</v>
      </c>
      <c r="AB309" s="36" t="s">
        <v>7476</v>
      </c>
      <c r="AD309" t="s">
        <v>1021</v>
      </c>
      <c r="AE309" t="s">
        <v>1022</v>
      </c>
      <c r="AF309" s="16">
        <v>44906</v>
      </c>
      <c r="AG309" t="s">
        <v>64</v>
      </c>
      <c r="AH309">
        <v>6</v>
      </c>
      <c r="AI309" s="8">
        <f>IFERROR(R309-AF309,"")</f>
        <v>-5.6169212962995516</v>
      </c>
      <c r="AJ309" s="8">
        <f>IFERROR(O309-AF309,"")</f>
        <v>-11.616921296299552</v>
      </c>
      <c r="AK309" s="38">
        <f t="shared" si="86"/>
        <v>45076.3830787037</v>
      </c>
      <c r="AL309" t="str">
        <f>IFERROR(Z309-W309,"")</f>
        <v/>
      </c>
      <c r="AM309">
        <f>IFERROR(R309-J309,"")</f>
        <v>25</v>
      </c>
      <c r="AN309">
        <f>IFERROR(V309-O309,"")</f>
        <v>2</v>
      </c>
      <c r="AO309">
        <f>IFERROR(J309-I309,"")</f>
        <v>3</v>
      </c>
      <c r="AP309">
        <f>IFERROR(AC309-X309,"")</f>
        <v>0</v>
      </c>
      <c r="AQ309" t="str">
        <f>IFERROR(AA309-W309,"")</f>
        <v/>
      </c>
    </row>
    <row r="310" spans="1:43" x14ac:dyDescent="0.35">
      <c r="A310">
        <v>374</v>
      </c>
      <c r="B310" t="s">
        <v>1023</v>
      </c>
      <c r="C310" t="s">
        <v>217</v>
      </c>
      <c r="D310" t="str">
        <f t="shared" si="84"/>
        <v>Program Office</v>
      </c>
      <c r="E310" t="s">
        <v>694</v>
      </c>
      <c r="F310" t="s">
        <v>758</v>
      </c>
      <c r="G310" t="s">
        <v>759</v>
      </c>
      <c r="H310" t="s">
        <v>697</v>
      </c>
      <c r="I310" s="32">
        <v>44665.356712962966</v>
      </c>
      <c r="J310" s="32">
        <v>44669.356712962966</v>
      </c>
      <c r="K310" s="32">
        <v>44670.356712962966</v>
      </c>
      <c r="L310" s="8">
        <f t="shared" si="85"/>
        <v>5</v>
      </c>
      <c r="M310" s="7">
        <v>44685.356712962966</v>
      </c>
      <c r="N310" t="s">
        <v>49</v>
      </c>
      <c r="O310" s="34">
        <v>44682.356712962966</v>
      </c>
      <c r="P310" t="s">
        <v>101</v>
      </c>
      <c r="R310" s="32">
        <v>44688.356712962966</v>
      </c>
      <c r="S310" t="s">
        <v>101</v>
      </c>
      <c r="T310" s="34">
        <v>44683.356712962966</v>
      </c>
      <c r="U310" s="34">
        <v>44686.356712962966</v>
      </c>
      <c r="V310" s="32">
        <v>44684.356712962966</v>
      </c>
      <c r="W310" s="32">
        <v>44688.356712962966</v>
      </c>
      <c r="X310">
        <v>1</v>
      </c>
      <c r="Y310" s="34">
        <v>44689.356712962966</v>
      </c>
      <c r="Z310" s="34">
        <v>44690.356712962966</v>
      </c>
      <c r="AA310" s="34">
        <v>44692.356712962966</v>
      </c>
      <c r="AB310" s="36" t="s">
        <v>7476</v>
      </c>
      <c r="AC310" s="10">
        <v>44702.356712962966</v>
      </c>
      <c r="AD310" t="s">
        <v>1024</v>
      </c>
      <c r="AE310" t="s">
        <v>1025</v>
      </c>
      <c r="AF310" s="16">
        <v>44675</v>
      </c>
      <c r="AG310" t="s">
        <v>68</v>
      </c>
      <c r="AH310">
        <v>3</v>
      </c>
      <c r="AI310" s="8">
        <f>IFERROR(R310-AF310,"")</f>
        <v>13.356712962966412</v>
      </c>
      <c r="AJ310" s="8">
        <f>IFERROR(O310-AF310,"")</f>
        <v>7.3567129629664123</v>
      </c>
      <c r="AK310" s="38">
        <f t="shared" si="86"/>
        <v>44774.356712962966</v>
      </c>
      <c r="AL310">
        <f>IFERROR(Z310-W310,"")</f>
        <v>2</v>
      </c>
      <c r="AM310">
        <f>IFERROR(R310-J310,"")</f>
        <v>19</v>
      </c>
      <c r="AN310">
        <f>IFERROR(V310-O310,"")</f>
        <v>2</v>
      </c>
      <c r="AO310">
        <f>IFERROR(J310-I310,"")</f>
        <v>4</v>
      </c>
      <c r="AP310">
        <f>IFERROR(AC310-X310,"")</f>
        <v>44701.356712962966</v>
      </c>
      <c r="AQ310">
        <f>IFERROR(AA310-W310,"")</f>
        <v>4</v>
      </c>
    </row>
    <row r="311" spans="1:43" x14ac:dyDescent="0.35">
      <c r="A311">
        <v>371</v>
      </c>
      <c r="B311" t="s">
        <v>1026</v>
      </c>
      <c r="C311" t="s">
        <v>217</v>
      </c>
      <c r="D311" t="str">
        <f t="shared" si="84"/>
        <v>Program Office</v>
      </c>
      <c r="E311" t="s">
        <v>694</v>
      </c>
      <c r="F311" t="s">
        <v>758</v>
      </c>
      <c r="G311" t="s">
        <v>759</v>
      </c>
      <c r="H311" t="s">
        <v>697</v>
      </c>
      <c r="I311" s="32">
        <v>44663.356712962966</v>
      </c>
      <c r="J311" s="32">
        <v>44665.356712962966</v>
      </c>
      <c r="K311" s="32">
        <v>44670.356712962966</v>
      </c>
      <c r="L311" s="8">
        <f t="shared" si="85"/>
        <v>7</v>
      </c>
      <c r="M311" s="7">
        <v>44686.356712962966</v>
      </c>
      <c r="N311" t="s">
        <v>49</v>
      </c>
      <c r="O311" s="34">
        <v>44685.356712962966</v>
      </c>
      <c r="P311" t="s">
        <v>60</v>
      </c>
      <c r="R311" s="32">
        <v>44690.356712962966</v>
      </c>
      <c r="S311" t="s">
        <v>61</v>
      </c>
      <c r="T311" s="34" t="s">
        <v>7476</v>
      </c>
      <c r="U311" s="34" t="s">
        <v>7476</v>
      </c>
      <c r="V311" s="32">
        <v>44689.356712962966</v>
      </c>
      <c r="W311" s="32" t="s">
        <v>7476</v>
      </c>
      <c r="X311">
        <v>0</v>
      </c>
      <c r="Y311" s="34" t="s">
        <v>7476</v>
      </c>
      <c r="Z311" s="34" t="s">
        <v>7476</v>
      </c>
      <c r="AA311" s="34" t="s">
        <v>7476</v>
      </c>
      <c r="AB311" s="36" t="s">
        <v>7476</v>
      </c>
      <c r="AD311" t="s">
        <v>1027</v>
      </c>
      <c r="AE311" t="s">
        <v>1028</v>
      </c>
      <c r="AF311" s="16">
        <v>44673</v>
      </c>
      <c r="AG311" t="s">
        <v>64</v>
      </c>
      <c r="AH311">
        <v>6</v>
      </c>
      <c r="AI311" s="8">
        <f>IFERROR(R311-AF311,"")</f>
        <v>17.356712962966412</v>
      </c>
      <c r="AJ311" s="8">
        <f>IFERROR(O311-AF311,"")</f>
        <v>12.356712962966412</v>
      </c>
      <c r="AK311" s="38">
        <f t="shared" si="86"/>
        <v>44869.356712962966</v>
      </c>
      <c r="AL311" t="str">
        <f>IFERROR(Z311-W311,"")</f>
        <v/>
      </c>
      <c r="AM311">
        <f>IFERROR(R311-J311,"")</f>
        <v>25</v>
      </c>
      <c r="AN311">
        <f>IFERROR(V311-O311,"")</f>
        <v>4</v>
      </c>
      <c r="AO311">
        <f>IFERROR(J311-I311,"")</f>
        <v>2</v>
      </c>
      <c r="AP311">
        <f>IFERROR(AC311-X311,"")</f>
        <v>0</v>
      </c>
      <c r="AQ311" t="str">
        <f>IFERROR(AA311-W311,"")</f>
        <v/>
      </c>
    </row>
    <row r="312" spans="1:43" x14ac:dyDescent="0.35">
      <c r="A312">
        <v>137</v>
      </c>
      <c r="B312" t="s">
        <v>1029</v>
      </c>
      <c r="C312" t="s">
        <v>217</v>
      </c>
      <c r="D312" t="str">
        <f t="shared" si="84"/>
        <v>Program Office</v>
      </c>
      <c r="E312" t="s">
        <v>694</v>
      </c>
      <c r="F312" t="s">
        <v>758</v>
      </c>
      <c r="G312" t="s">
        <v>759</v>
      </c>
      <c r="H312" t="s">
        <v>697</v>
      </c>
      <c r="I312" s="32">
        <v>44764.802951388891</v>
      </c>
      <c r="J312" s="32" t="s">
        <v>7471</v>
      </c>
      <c r="K312" s="32" t="s">
        <v>7473</v>
      </c>
      <c r="L312" s="8" t="str">
        <f t="shared" si="85"/>
        <v/>
      </c>
      <c r="M312" s="7">
        <v>44794.802951388891</v>
      </c>
      <c r="N312" t="s">
        <v>72</v>
      </c>
      <c r="O312" s="34" t="s">
        <v>7474</v>
      </c>
      <c r="R312" s="32" t="s">
        <v>7472</v>
      </c>
      <c r="S312" t="s">
        <v>7476</v>
      </c>
      <c r="T312" s="34" t="s">
        <v>7476</v>
      </c>
      <c r="U312" s="34" t="s">
        <v>7476</v>
      </c>
      <c r="V312" s="32" t="s">
        <v>7476</v>
      </c>
      <c r="W312" s="32" t="s">
        <v>7476</v>
      </c>
      <c r="X312">
        <v>0</v>
      </c>
      <c r="Y312" s="34" t="s">
        <v>7476</v>
      </c>
      <c r="Z312" s="34" t="s">
        <v>7476</v>
      </c>
      <c r="AA312" s="34" t="s">
        <v>7476</v>
      </c>
      <c r="AB312" s="36" t="s">
        <v>7476</v>
      </c>
      <c r="AD312" t="s">
        <v>1030</v>
      </c>
      <c r="AE312" t="s">
        <v>1031</v>
      </c>
      <c r="AG312" t="s">
        <v>98</v>
      </c>
      <c r="AH312">
        <v>3</v>
      </c>
      <c r="AK312" s="38" t="str">
        <f t="shared" si="86"/>
        <v/>
      </c>
    </row>
    <row r="313" spans="1:43" x14ac:dyDescent="0.35">
      <c r="A313">
        <v>133</v>
      </c>
      <c r="B313" t="s">
        <v>1032</v>
      </c>
      <c r="C313" t="s">
        <v>213</v>
      </c>
      <c r="D313" t="str">
        <f t="shared" si="84"/>
        <v>Program Office</v>
      </c>
      <c r="E313" t="s">
        <v>694</v>
      </c>
      <c r="F313" t="s">
        <v>758</v>
      </c>
      <c r="G313" t="s">
        <v>759</v>
      </c>
      <c r="H313" t="s">
        <v>697</v>
      </c>
      <c r="I313" s="32">
        <v>44765.802951388891</v>
      </c>
      <c r="J313" s="32">
        <v>44767.802951388891</v>
      </c>
      <c r="K313" s="32">
        <v>44769.802951388891</v>
      </c>
      <c r="L313" s="8">
        <f t="shared" si="85"/>
        <v>4</v>
      </c>
      <c r="M313" s="7">
        <v>44779.802951388891</v>
      </c>
      <c r="N313" t="s">
        <v>49</v>
      </c>
      <c r="O313" s="34">
        <v>44774.802951388891</v>
      </c>
      <c r="P313" t="s">
        <v>50</v>
      </c>
      <c r="Q313" t="s">
        <v>84</v>
      </c>
      <c r="R313" s="32" t="s">
        <v>7472</v>
      </c>
      <c r="S313" t="s">
        <v>7476</v>
      </c>
      <c r="T313" s="34" t="s">
        <v>7476</v>
      </c>
      <c r="U313" s="34" t="s">
        <v>7476</v>
      </c>
      <c r="V313" s="32">
        <v>44777.802951388891</v>
      </c>
      <c r="W313" s="32" t="s">
        <v>7476</v>
      </c>
      <c r="X313">
        <v>0</v>
      </c>
      <c r="Y313" s="34" t="s">
        <v>7476</v>
      </c>
      <c r="Z313" s="34" t="s">
        <v>7476</v>
      </c>
      <c r="AA313" s="34" t="s">
        <v>7476</v>
      </c>
      <c r="AB313" s="36" t="s">
        <v>52</v>
      </c>
      <c r="AD313" t="s">
        <v>1033</v>
      </c>
      <c r="AE313" t="s">
        <v>1034</v>
      </c>
      <c r="AF313" s="16">
        <v>44761</v>
      </c>
      <c r="AG313" t="s">
        <v>98</v>
      </c>
      <c r="AH313">
        <v>3</v>
      </c>
      <c r="AI313" s="8" t="str">
        <f t="shared" ref="AI313:AI318" si="103">IFERROR(R313-AF313,"")</f>
        <v/>
      </c>
      <c r="AJ313" s="8">
        <f t="shared" ref="AJ313:AJ318" si="104">IFERROR(O313-AF313,"")</f>
        <v>13.802951388890506</v>
      </c>
      <c r="AK313" s="38">
        <f t="shared" si="86"/>
        <v>44867.802951388891</v>
      </c>
      <c r="AL313" t="str">
        <f t="shared" ref="AL313:AL318" si="105">IFERROR(Z313-W313,"")</f>
        <v/>
      </c>
      <c r="AM313" t="str">
        <f t="shared" ref="AM313:AM318" si="106">IFERROR(R313-J313,"")</f>
        <v/>
      </c>
      <c r="AN313">
        <f t="shared" ref="AN313:AN318" si="107">IFERROR(V313-O313,"")</f>
        <v>3</v>
      </c>
      <c r="AO313">
        <f t="shared" ref="AO313:AO318" si="108">IFERROR(J313-I313,"")</f>
        <v>2</v>
      </c>
      <c r="AP313">
        <f t="shared" ref="AP313:AP318" si="109">IFERROR(AC313-X313,"")</f>
        <v>0</v>
      </c>
      <c r="AQ313" t="str">
        <f t="shared" ref="AQ313:AQ318" si="110">IFERROR(AA313-W313,"")</f>
        <v/>
      </c>
    </row>
    <row r="314" spans="1:43" x14ac:dyDescent="0.35">
      <c r="A314">
        <v>68</v>
      </c>
      <c r="B314" t="s">
        <v>1035</v>
      </c>
      <c r="C314" t="s">
        <v>202</v>
      </c>
      <c r="D314" t="str">
        <f t="shared" si="84"/>
        <v>Program Office</v>
      </c>
      <c r="E314" t="s">
        <v>694</v>
      </c>
      <c r="F314" t="s">
        <v>758</v>
      </c>
      <c r="G314" t="s">
        <v>759</v>
      </c>
      <c r="H314" t="s">
        <v>697</v>
      </c>
      <c r="I314" s="32">
        <v>45165.755949074082</v>
      </c>
      <c r="J314" s="32">
        <v>45169.755949074082</v>
      </c>
      <c r="K314" s="32">
        <v>45170.755949074082</v>
      </c>
      <c r="L314" s="8">
        <f t="shared" si="85"/>
        <v>5</v>
      </c>
      <c r="M314" s="7">
        <v>45193.755949074082</v>
      </c>
      <c r="N314" t="s">
        <v>49</v>
      </c>
      <c r="O314" s="34">
        <v>45177.755949074082</v>
      </c>
      <c r="P314" t="s">
        <v>101</v>
      </c>
      <c r="R314" s="32">
        <v>45180.755949074082</v>
      </c>
      <c r="S314" t="s">
        <v>101</v>
      </c>
      <c r="T314" s="34">
        <v>45178.755949074082</v>
      </c>
      <c r="U314" s="34">
        <v>45182.755949074082</v>
      </c>
      <c r="V314" s="32">
        <v>45179.755949074082</v>
      </c>
      <c r="W314" s="32">
        <v>45180.755949074082</v>
      </c>
      <c r="X314">
        <v>1</v>
      </c>
      <c r="Y314" s="34">
        <v>45181.755949074082</v>
      </c>
      <c r="Z314" s="34">
        <v>45182.755949074082</v>
      </c>
      <c r="AA314" s="34">
        <v>45183.755949074082</v>
      </c>
      <c r="AB314" s="36" t="s">
        <v>7476</v>
      </c>
      <c r="AC314" s="10">
        <v>45199.755949074082</v>
      </c>
      <c r="AD314" t="s">
        <v>1036</v>
      </c>
      <c r="AE314" t="s">
        <v>1037</v>
      </c>
      <c r="AF314" s="16">
        <v>45168</v>
      </c>
      <c r="AG314" t="s">
        <v>68</v>
      </c>
      <c r="AH314">
        <v>6</v>
      </c>
      <c r="AI314" s="8">
        <f t="shared" si="103"/>
        <v>12.755949074082309</v>
      </c>
      <c r="AJ314" s="8">
        <f t="shared" si="104"/>
        <v>9.7559490740823094</v>
      </c>
      <c r="AK314" s="38">
        <f t="shared" si="86"/>
        <v>45359.755949074082</v>
      </c>
      <c r="AL314">
        <f t="shared" si="105"/>
        <v>2</v>
      </c>
      <c r="AM314">
        <f t="shared" si="106"/>
        <v>11</v>
      </c>
      <c r="AN314">
        <f t="shared" si="107"/>
        <v>2</v>
      </c>
      <c r="AO314">
        <f t="shared" si="108"/>
        <v>4</v>
      </c>
      <c r="AP314">
        <f t="shared" si="109"/>
        <v>45198.755949074082</v>
      </c>
      <c r="AQ314">
        <f t="shared" si="110"/>
        <v>3</v>
      </c>
    </row>
    <row r="315" spans="1:43" x14ac:dyDescent="0.35">
      <c r="A315">
        <v>67</v>
      </c>
      <c r="B315" t="s">
        <v>1038</v>
      </c>
      <c r="C315" t="s">
        <v>213</v>
      </c>
      <c r="D315" t="str">
        <f t="shared" si="84"/>
        <v>Program Office</v>
      </c>
      <c r="E315" t="s">
        <v>694</v>
      </c>
      <c r="F315" t="s">
        <v>758</v>
      </c>
      <c r="G315" t="s">
        <v>759</v>
      </c>
      <c r="H315" t="s">
        <v>697</v>
      </c>
      <c r="I315" s="32">
        <v>45168.755949074082</v>
      </c>
      <c r="J315" s="32">
        <v>45169.755949074082</v>
      </c>
      <c r="K315" s="32">
        <v>45170.755949074082</v>
      </c>
      <c r="L315" s="8">
        <f t="shared" si="85"/>
        <v>2</v>
      </c>
      <c r="M315" s="7">
        <v>45200.755949074082</v>
      </c>
      <c r="N315" t="s">
        <v>49</v>
      </c>
      <c r="O315" s="34">
        <v>45187.755949074082</v>
      </c>
      <c r="P315" t="s">
        <v>60</v>
      </c>
      <c r="R315" s="32">
        <v>45195.755949074082</v>
      </c>
      <c r="S315" t="s">
        <v>61</v>
      </c>
      <c r="T315" s="34" t="s">
        <v>7476</v>
      </c>
      <c r="U315" s="34" t="s">
        <v>7476</v>
      </c>
      <c r="V315" s="32">
        <v>45191.755949074082</v>
      </c>
      <c r="W315" s="32" t="s">
        <v>7476</v>
      </c>
      <c r="X315">
        <v>0</v>
      </c>
      <c r="Y315" s="34" t="s">
        <v>7476</v>
      </c>
      <c r="Z315" s="34" t="s">
        <v>7476</v>
      </c>
      <c r="AA315" s="34" t="s">
        <v>7476</v>
      </c>
      <c r="AB315" s="36" t="s">
        <v>7476</v>
      </c>
      <c r="AD315" t="s">
        <v>1039</v>
      </c>
      <c r="AE315" t="s">
        <v>1040</v>
      </c>
      <c r="AF315" s="16">
        <v>45178</v>
      </c>
      <c r="AG315" t="s">
        <v>64</v>
      </c>
      <c r="AH315">
        <v>3</v>
      </c>
      <c r="AI315" s="8">
        <f t="shared" si="103"/>
        <v>17.755949074082309</v>
      </c>
      <c r="AJ315" s="8">
        <f t="shared" si="104"/>
        <v>9.7559490740823094</v>
      </c>
      <c r="AK315" s="38">
        <f t="shared" si="86"/>
        <v>45281.755949074082</v>
      </c>
      <c r="AL315" t="str">
        <f t="shared" si="105"/>
        <v/>
      </c>
      <c r="AM315">
        <f t="shared" si="106"/>
        <v>26</v>
      </c>
      <c r="AN315">
        <f t="shared" si="107"/>
        <v>4</v>
      </c>
      <c r="AO315">
        <f t="shared" si="108"/>
        <v>1</v>
      </c>
      <c r="AP315">
        <f t="shared" si="109"/>
        <v>0</v>
      </c>
      <c r="AQ315" t="str">
        <f t="shared" si="110"/>
        <v/>
      </c>
    </row>
    <row r="316" spans="1:43" x14ac:dyDescent="0.35">
      <c r="A316">
        <v>3</v>
      </c>
      <c r="B316" t="s">
        <v>1041</v>
      </c>
      <c r="C316" t="s">
        <v>217</v>
      </c>
      <c r="D316" t="str">
        <f t="shared" si="84"/>
        <v>Program Office</v>
      </c>
      <c r="E316" t="s">
        <v>694</v>
      </c>
      <c r="F316" t="s">
        <v>758</v>
      </c>
      <c r="G316" t="s">
        <v>759</v>
      </c>
      <c r="H316" t="s">
        <v>697</v>
      </c>
      <c r="I316" s="32">
        <v>45073.372060185182</v>
      </c>
      <c r="J316" s="32">
        <v>45077.372060185182</v>
      </c>
      <c r="K316" s="32">
        <v>45083.372060185182</v>
      </c>
      <c r="L316" s="8">
        <f t="shared" si="85"/>
        <v>10</v>
      </c>
      <c r="M316" s="7">
        <v>45105.372060185182</v>
      </c>
      <c r="N316" t="s">
        <v>49</v>
      </c>
      <c r="O316" s="34">
        <v>45098.372060185182</v>
      </c>
      <c r="P316" t="s">
        <v>50</v>
      </c>
      <c r="Q316" t="s">
        <v>198</v>
      </c>
      <c r="R316" s="32" t="s">
        <v>7472</v>
      </c>
      <c r="S316" t="s">
        <v>7476</v>
      </c>
      <c r="T316" s="34" t="s">
        <v>7476</v>
      </c>
      <c r="U316" s="34" t="s">
        <v>7476</v>
      </c>
      <c r="V316" s="32" t="s">
        <v>7476</v>
      </c>
      <c r="W316" s="32" t="s">
        <v>7476</v>
      </c>
      <c r="X316">
        <v>0</v>
      </c>
      <c r="Y316" s="34" t="s">
        <v>7476</v>
      </c>
      <c r="Z316" s="34" t="s">
        <v>7476</v>
      </c>
      <c r="AA316" s="34" t="s">
        <v>7476</v>
      </c>
      <c r="AB316" s="36" t="s">
        <v>52</v>
      </c>
      <c r="AD316" t="s">
        <v>1042</v>
      </c>
      <c r="AE316" t="s">
        <v>1043</v>
      </c>
      <c r="AF316" s="16">
        <v>45093</v>
      </c>
      <c r="AG316" t="s">
        <v>98</v>
      </c>
      <c r="AH316">
        <v>6</v>
      </c>
      <c r="AI316" s="8" t="str">
        <f t="shared" si="103"/>
        <v/>
      </c>
      <c r="AJ316" s="8">
        <f t="shared" si="104"/>
        <v>5.3720601851819083</v>
      </c>
      <c r="AK316" s="38" t="str">
        <f t="shared" si="86"/>
        <v/>
      </c>
      <c r="AL316" t="str">
        <f t="shared" si="105"/>
        <v/>
      </c>
      <c r="AM316" t="str">
        <f t="shared" si="106"/>
        <v/>
      </c>
      <c r="AN316" t="str">
        <f t="shared" si="107"/>
        <v/>
      </c>
      <c r="AO316">
        <f t="shared" si="108"/>
        <v>4</v>
      </c>
      <c r="AP316">
        <f t="shared" si="109"/>
        <v>0</v>
      </c>
      <c r="AQ316" t="str">
        <f t="shared" si="110"/>
        <v/>
      </c>
    </row>
    <row r="317" spans="1:43" x14ac:dyDescent="0.35">
      <c r="A317">
        <v>2976</v>
      </c>
      <c r="B317" t="s">
        <v>1044</v>
      </c>
      <c r="C317" t="s">
        <v>213</v>
      </c>
      <c r="D317" t="str">
        <f t="shared" si="84"/>
        <v>Program Office</v>
      </c>
      <c r="E317" t="s">
        <v>1045</v>
      </c>
      <c r="F317" t="s">
        <v>1046</v>
      </c>
      <c r="G317" t="s">
        <v>1047</v>
      </c>
      <c r="H317" t="s">
        <v>48</v>
      </c>
      <c r="I317" s="32">
        <v>44761.636782407397</v>
      </c>
      <c r="J317" s="32">
        <v>44764.636782407397</v>
      </c>
      <c r="K317" s="32">
        <v>44772.636782407397</v>
      </c>
      <c r="L317" s="8">
        <f t="shared" si="85"/>
        <v>11</v>
      </c>
      <c r="M317" s="7">
        <v>44777.636782407397</v>
      </c>
      <c r="N317" t="s">
        <v>49</v>
      </c>
      <c r="O317" s="34">
        <v>44769.636782407397</v>
      </c>
      <c r="P317" t="s">
        <v>50</v>
      </c>
      <c r="Q317" t="s">
        <v>236</v>
      </c>
      <c r="R317" s="32" t="s">
        <v>7472</v>
      </c>
      <c r="S317" t="s">
        <v>7476</v>
      </c>
      <c r="T317" s="34" t="s">
        <v>7476</v>
      </c>
      <c r="U317" s="34" t="s">
        <v>7476</v>
      </c>
      <c r="V317" s="32">
        <v>44770.636782407397</v>
      </c>
      <c r="W317" s="32" t="s">
        <v>7476</v>
      </c>
      <c r="X317">
        <v>0</v>
      </c>
      <c r="Y317" s="34" t="s">
        <v>7476</v>
      </c>
      <c r="Z317" s="34" t="s">
        <v>7476</v>
      </c>
      <c r="AA317" s="34" t="s">
        <v>7476</v>
      </c>
      <c r="AB317" s="36" t="s">
        <v>52</v>
      </c>
      <c r="AD317" t="s">
        <v>1048</v>
      </c>
      <c r="AE317" t="s">
        <v>1049</v>
      </c>
      <c r="AF317" s="16">
        <v>44763</v>
      </c>
      <c r="AG317" t="s">
        <v>98</v>
      </c>
      <c r="AH317">
        <v>3</v>
      </c>
      <c r="AI317" s="8" t="str">
        <f t="shared" si="103"/>
        <v/>
      </c>
      <c r="AJ317" s="8">
        <f t="shared" si="104"/>
        <v>6.6367824073968222</v>
      </c>
      <c r="AK317" s="38">
        <f t="shared" si="86"/>
        <v>44860.636782407397</v>
      </c>
      <c r="AL317" t="str">
        <f t="shared" si="105"/>
        <v/>
      </c>
      <c r="AM317" t="str">
        <f t="shared" si="106"/>
        <v/>
      </c>
      <c r="AN317">
        <f t="shared" si="107"/>
        <v>1</v>
      </c>
      <c r="AO317">
        <f t="shared" si="108"/>
        <v>3</v>
      </c>
      <c r="AP317">
        <f t="shared" si="109"/>
        <v>0</v>
      </c>
      <c r="AQ317" t="str">
        <f t="shared" si="110"/>
        <v/>
      </c>
    </row>
    <row r="318" spans="1:43" x14ac:dyDescent="0.35">
      <c r="A318">
        <v>2858</v>
      </c>
      <c r="B318" t="s">
        <v>1050</v>
      </c>
      <c r="C318" t="s">
        <v>217</v>
      </c>
      <c r="D318" t="str">
        <f t="shared" si="84"/>
        <v>Program Office</v>
      </c>
      <c r="E318" t="s">
        <v>1045</v>
      </c>
      <c r="F318" t="s">
        <v>1046</v>
      </c>
      <c r="G318" t="s">
        <v>1047</v>
      </c>
      <c r="H318" t="s">
        <v>48</v>
      </c>
      <c r="I318" s="32">
        <v>45035.4996875</v>
      </c>
      <c r="J318" s="32">
        <v>45038.4996875</v>
      </c>
      <c r="K318" s="32">
        <v>45041.4996875</v>
      </c>
      <c r="L318" s="8">
        <f t="shared" si="85"/>
        <v>6</v>
      </c>
      <c r="M318" s="7">
        <v>45111.4996875</v>
      </c>
      <c r="N318" t="s">
        <v>49</v>
      </c>
      <c r="O318" s="34">
        <v>45057.4996875</v>
      </c>
      <c r="P318" t="s">
        <v>50</v>
      </c>
      <c r="Q318" t="s">
        <v>198</v>
      </c>
      <c r="R318" s="32" t="s">
        <v>7472</v>
      </c>
      <c r="S318" t="s">
        <v>7476</v>
      </c>
      <c r="T318" s="34" t="s">
        <v>7476</v>
      </c>
      <c r="U318" s="34" t="s">
        <v>7476</v>
      </c>
      <c r="V318" s="32">
        <v>45058.4996875</v>
      </c>
      <c r="W318" s="32" t="s">
        <v>7476</v>
      </c>
      <c r="X318">
        <v>0</v>
      </c>
      <c r="Y318" s="34" t="s">
        <v>7476</v>
      </c>
      <c r="Z318" s="34" t="s">
        <v>7476</v>
      </c>
      <c r="AA318" s="34" t="s">
        <v>7476</v>
      </c>
      <c r="AB318" s="36" t="s">
        <v>52</v>
      </c>
      <c r="AD318" t="s">
        <v>1051</v>
      </c>
      <c r="AE318" t="s">
        <v>1052</v>
      </c>
      <c r="AF318" s="16">
        <v>45040</v>
      </c>
      <c r="AG318" t="s">
        <v>98</v>
      </c>
      <c r="AH318">
        <v>3</v>
      </c>
      <c r="AI318" s="8" t="str">
        <f t="shared" si="103"/>
        <v/>
      </c>
      <c r="AJ318" s="8">
        <f t="shared" si="104"/>
        <v>17.499687499999709</v>
      </c>
      <c r="AK318" s="38">
        <f t="shared" si="86"/>
        <v>45148.4996875</v>
      </c>
      <c r="AL318" t="str">
        <f t="shared" si="105"/>
        <v/>
      </c>
      <c r="AM318" t="str">
        <f t="shared" si="106"/>
        <v/>
      </c>
      <c r="AN318">
        <f t="shared" si="107"/>
        <v>1</v>
      </c>
      <c r="AO318">
        <f t="shared" si="108"/>
        <v>3</v>
      </c>
      <c r="AP318">
        <f t="shared" si="109"/>
        <v>0</v>
      </c>
      <c r="AQ318" t="str">
        <f t="shared" si="110"/>
        <v/>
      </c>
    </row>
    <row r="319" spans="1:43" x14ac:dyDescent="0.35">
      <c r="A319">
        <v>2852</v>
      </c>
      <c r="B319" t="s">
        <v>1053</v>
      </c>
      <c r="C319" t="s">
        <v>213</v>
      </c>
      <c r="D319" t="str">
        <f t="shared" si="84"/>
        <v>Program Office</v>
      </c>
      <c r="E319" t="s">
        <v>1045</v>
      </c>
      <c r="F319" t="s">
        <v>1046</v>
      </c>
      <c r="G319" t="s">
        <v>1047</v>
      </c>
      <c r="H319" t="s">
        <v>48</v>
      </c>
      <c r="I319" s="32">
        <v>45036.4996875</v>
      </c>
      <c r="J319" s="32" t="s">
        <v>7471</v>
      </c>
      <c r="K319" s="32">
        <v>45041.4996875</v>
      </c>
      <c r="L319" s="8">
        <f t="shared" si="85"/>
        <v>5</v>
      </c>
      <c r="M319" s="7">
        <v>45111.4996875</v>
      </c>
      <c r="N319" t="s">
        <v>72</v>
      </c>
      <c r="O319" s="34" t="s">
        <v>7474</v>
      </c>
      <c r="R319" s="32" t="s">
        <v>7472</v>
      </c>
      <c r="S319" t="s">
        <v>7476</v>
      </c>
      <c r="T319" s="34" t="s">
        <v>7476</v>
      </c>
      <c r="U319" s="34" t="s">
        <v>7476</v>
      </c>
      <c r="V319" s="32" t="s">
        <v>7476</v>
      </c>
      <c r="W319" s="32" t="s">
        <v>7476</v>
      </c>
      <c r="X319">
        <v>0</v>
      </c>
      <c r="Y319" s="34" t="s">
        <v>7476</v>
      </c>
      <c r="Z319" s="34" t="s">
        <v>7476</v>
      </c>
      <c r="AA319" s="34" t="s">
        <v>7476</v>
      </c>
      <c r="AB319" s="36" t="s">
        <v>7476</v>
      </c>
      <c r="AD319" t="s">
        <v>1054</v>
      </c>
      <c r="AE319" t="s">
        <v>1055</v>
      </c>
      <c r="AG319" t="s">
        <v>93</v>
      </c>
      <c r="AH319">
        <v>6</v>
      </c>
      <c r="AK319" s="38" t="str">
        <f t="shared" si="86"/>
        <v/>
      </c>
    </row>
    <row r="320" spans="1:43" x14ac:dyDescent="0.35">
      <c r="A320">
        <v>2839</v>
      </c>
      <c r="B320" t="s">
        <v>1056</v>
      </c>
      <c r="C320" t="s">
        <v>213</v>
      </c>
      <c r="D320" t="str">
        <f t="shared" si="84"/>
        <v>Program Office</v>
      </c>
      <c r="E320" t="s">
        <v>1045</v>
      </c>
      <c r="F320" t="s">
        <v>1046</v>
      </c>
      <c r="G320" t="s">
        <v>1047</v>
      </c>
      <c r="H320" t="s">
        <v>48</v>
      </c>
      <c r="I320" s="32">
        <v>44659.843564814822</v>
      </c>
      <c r="J320" s="32">
        <v>44660.843564814822</v>
      </c>
      <c r="K320" s="32">
        <v>44666.843564814822</v>
      </c>
      <c r="L320" s="8">
        <f t="shared" si="85"/>
        <v>7</v>
      </c>
      <c r="M320" s="7">
        <v>44691.843564814822</v>
      </c>
      <c r="N320" t="s">
        <v>49</v>
      </c>
      <c r="O320" s="34">
        <v>44670.843564814822</v>
      </c>
      <c r="P320" t="s">
        <v>50</v>
      </c>
      <c r="Q320" t="s">
        <v>84</v>
      </c>
      <c r="R320" s="32" t="s">
        <v>7472</v>
      </c>
      <c r="S320" t="s">
        <v>7476</v>
      </c>
      <c r="T320" s="34" t="s">
        <v>7476</v>
      </c>
      <c r="U320" s="34" t="s">
        <v>7476</v>
      </c>
      <c r="V320" s="32" t="s">
        <v>7476</v>
      </c>
      <c r="W320" s="32" t="s">
        <v>7476</v>
      </c>
      <c r="X320">
        <v>0</v>
      </c>
      <c r="Y320" s="34" t="s">
        <v>7476</v>
      </c>
      <c r="Z320" s="34" t="s">
        <v>7476</v>
      </c>
      <c r="AA320" s="34" t="s">
        <v>7476</v>
      </c>
      <c r="AB320" s="36" t="s">
        <v>52</v>
      </c>
      <c r="AD320" t="s">
        <v>1057</v>
      </c>
      <c r="AE320" t="s">
        <v>1058</v>
      </c>
      <c r="AF320" s="16">
        <v>44658</v>
      </c>
      <c r="AG320" t="s">
        <v>64</v>
      </c>
      <c r="AH320">
        <v>6</v>
      </c>
      <c r="AI320" s="8" t="str">
        <f>IFERROR(R320-AF320,"")</f>
        <v/>
      </c>
      <c r="AJ320" s="8">
        <f>IFERROR(O320-AF320,"")</f>
        <v>12.843564814822457</v>
      </c>
      <c r="AK320" s="38" t="str">
        <f t="shared" si="86"/>
        <v/>
      </c>
      <c r="AL320" t="str">
        <f>IFERROR(Z320-W320,"")</f>
        <v/>
      </c>
      <c r="AM320" t="str">
        <f>IFERROR(R320-J320,"")</f>
        <v/>
      </c>
      <c r="AN320" t="str">
        <f>IFERROR(V320-O320,"")</f>
        <v/>
      </c>
      <c r="AO320">
        <f>IFERROR(J320-I320,"")</f>
        <v>1</v>
      </c>
      <c r="AP320">
        <f>IFERROR(AC320-X320,"")</f>
        <v>0</v>
      </c>
      <c r="AQ320" t="str">
        <f>IFERROR(AA320-W320,"")</f>
        <v/>
      </c>
    </row>
    <row r="321" spans="1:43" x14ac:dyDescent="0.35">
      <c r="A321">
        <v>2834</v>
      </c>
      <c r="B321" t="s">
        <v>1059</v>
      </c>
      <c r="C321" t="s">
        <v>202</v>
      </c>
      <c r="D321" t="str">
        <f t="shared" si="84"/>
        <v>Program Office</v>
      </c>
      <c r="E321" t="s">
        <v>1045</v>
      </c>
      <c r="F321" t="s">
        <v>1046</v>
      </c>
      <c r="G321" t="s">
        <v>1047</v>
      </c>
      <c r="H321" t="s">
        <v>48</v>
      </c>
      <c r="I321" s="32">
        <v>44659.843564814822</v>
      </c>
      <c r="J321" s="32">
        <v>44660.843564814822</v>
      </c>
      <c r="K321" s="32">
        <v>44666.843564814822</v>
      </c>
      <c r="L321" s="8">
        <f t="shared" si="85"/>
        <v>7</v>
      </c>
      <c r="M321" s="7">
        <v>44682.843564814822</v>
      </c>
      <c r="N321" t="s">
        <v>49</v>
      </c>
      <c r="O321" s="34">
        <v>44678.843564814822</v>
      </c>
      <c r="P321" t="s">
        <v>50</v>
      </c>
      <c r="Q321" t="s">
        <v>84</v>
      </c>
      <c r="R321" s="32" t="s">
        <v>7472</v>
      </c>
      <c r="S321" t="s">
        <v>7476</v>
      </c>
      <c r="T321" s="34" t="s">
        <v>7476</v>
      </c>
      <c r="U321" s="34" t="s">
        <v>7476</v>
      </c>
      <c r="V321" s="32" t="s">
        <v>7476</v>
      </c>
      <c r="W321" s="32" t="s">
        <v>7476</v>
      </c>
      <c r="X321">
        <v>0</v>
      </c>
      <c r="Y321" s="34" t="s">
        <v>7476</v>
      </c>
      <c r="Z321" s="34" t="s">
        <v>7476</v>
      </c>
      <c r="AA321" s="34" t="s">
        <v>7476</v>
      </c>
      <c r="AB321" s="36" t="s">
        <v>52</v>
      </c>
      <c r="AD321" t="s">
        <v>1060</v>
      </c>
      <c r="AE321" t="s">
        <v>1061</v>
      </c>
      <c r="AF321" s="16">
        <v>44662</v>
      </c>
      <c r="AG321" t="s">
        <v>98</v>
      </c>
      <c r="AH321">
        <v>6</v>
      </c>
      <c r="AI321" s="8" t="str">
        <f>IFERROR(R321-AF321,"")</f>
        <v/>
      </c>
      <c r="AJ321" s="8">
        <f>IFERROR(O321-AF321,"")</f>
        <v>16.843564814822457</v>
      </c>
      <c r="AK321" s="38" t="str">
        <f t="shared" si="86"/>
        <v/>
      </c>
      <c r="AL321" t="str">
        <f>IFERROR(Z321-W321,"")</f>
        <v/>
      </c>
      <c r="AM321" t="str">
        <f>IFERROR(R321-J321,"")</f>
        <v/>
      </c>
      <c r="AN321" t="str">
        <f>IFERROR(V321-O321,"")</f>
        <v/>
      </c>
      <c r="AO321">
        <f>IFERROR(J321-I321,"")</f>
        <v>1</v>
      </c>
      <c r="AP321">
        <f>IFERROR(AC321-X321,"")</f>
        <v>0</v>
      </c>
      <c r="AQ321" t="str">
        <f>IFERROR(AA321-W321,"")</f>
        <v/>
      </c>
    </row>
    <row r="322" spans="1:43" x14ac:dyDescent="0.35">
      <c r="A322">
        <v>2831</v>
      </c>
      <c r="B322" t="s">
        <v>1062</v>
      </c>
      <c r="C322" t="s">
        <v>202</v>
      </c>
      <c r="D322" t="str">
        <f t="shared" ref="D322:D385" si="111">TRIM(C322)</f>
        <v>Program Office</v>
      </c>
      <c r="E322" t="s">
        <v>1045</v>
      </c>
      <c r="F322" t="s">
        <v>1046</v>
      </c>
      <c r="G322" t="s">
        <v>1047</v>
      </c>
      <c r="H322" t="s">
        <v>48</v>
      </c>
      <c r="I322" s="32" t="s">
        <v>7471</v>
      </c>
      <c r="J322" s="32">
        <v>44660.843564814822</v>
      </c>
      <c r="K322" s="32">
        <v>44666.843564814822</v>
      </c>
      <c r="L322" s="8" t="str">
        <f t="shared" ref="L322:L385" si="112">IFERROR(K322-I322,"")</f>
        <v/>
      </c>
      <c r="M322" s="7">
        <v>44688.843564814822</v>
      </c>
      <c r="N322" t="s">
        <v>49</v>
      </c>
      <c r="O322" s="34">
        <v>44679.843564814822</v>
      </c>
      <c r="P322" t="s">
        <v>50</v>
      </c>
      <c r="Q322" t="s">
        <v>84</v>
      </c>
      <c r="R322" s="32" t="s">
        <v>7472</v>
      </c>
      <c r="S322" t="s">
        <v>7476</v>
      </c>
      <c r="T322" s="34" t="s">
        <v>7476</v>
      </c>
      <c r="U322" s="34" t="s">
        <v>7476</v>
      </c>
      <c r="V322" s="32">
        <v>44681.843564814822</v>
      </c>
      <c r="W322" s="32" t="s">
        <v>7476</v>
      </c>
      <c r="X322">
        <v>0</v>
      </c>
      <c r="Y322" s="34" t="s">
        <v>7476</v>
      </c>
      <c r="Z322" s="34" t="s">
        <v>7476</v>
      </c>
      <c r="AA322" s="34" t="s">
        <v>7476</v>
      </c>
      <c r="AB322" s="36" t="s">
        <v>95</v>
      </c>
      <c r="AD322" t="s">
        <v>1063</v>
      </c>
      <c r="AE322" t="s">
        <v>1064</v>
      </c>
      <c r="AF322" s="16">
        <v>44672</v>
      </c>
      <c r="AG322" t="s">
        <v>98</v>
      </c>
      <c r="AH322">
        <v>6</v>
      </c>
      <c r="AK322" s="38">
        <f t="shared" si="86"/>
        <v>44861.843564814822</v>
      </c>
    </row>
    <row r="323" spans="1:43" x14ac:dyDescent="0.35">
      <c r="A323">
        <v>2734</v>
      </c>
      <c r="B323" t="s">
        <v>1065</v>
      </c>
      <c r="C323" t="s">
        <v>213</v>
      </c>
      <c r="D323" t="str">
        <f t="shared" si="111"/>
        <v>Program Office</v>
      </c>
      <c r="E323" t="s">
        <v>1045</v>
      </c>
      <c r="F323" t="s">
        <v>1046</v>
      </c>
      <c r="G323" t="s">
        <v>1047</v>
      </c>
      <c r="H323" t="s">
        <v>48</v>
      </c>
      <c r="I323" s="32">
        <v>44749.981076388889</v>
      </c>
      <c r="J323" s="32">
        <v>44752.981076388889</v>
      </c>
      <c r="K323" s="32">
        <v>44757.981076388889</v>
      </c>
      <c r="L323" s="8">
        <f t="shared" si="112"/>
        <v>8</v>
      </c>
      <c r="M323" s="7">
        <v>44783.981076388889</v>
      </c>
      <c r="N323" t="s">
        <v>72</v>
      </c>
      <c r="O323" s="34" t="s">
        <v>7474</v>
      </c>
      <c r="R323" s="32" t="s">
        <v>7472</v>
      </c>
      <c r="S323" t="s">
        <v>7476</v>
      </c>
      <c r="T323" s="34" t="s">
        <v>7476</v>
      </c>
      <c r="U323" s="34" t="s">
        <v>7476</v>
      </c>
      <c r="V323" s="32" t="s">
        <v>7476</v>
      </c>
      <c r="W323" s="32" t="s">
        <v>7476</v>
      </c>
      <c r="X323">
        <v>0</v>
      </c>
      <c r="Y323" s="34" t="s">
        <v>7476</v>
      </c>
      <c r="Z323" s="34" t="s">
        <v>7476</v>
      </c>
      <c r="AA323" s="34" t="s">
        <v>7476</v>
      </c>
      <c r="AB323" s="36" t="s">
        <v>7476</v>
      </c>
      <c r="AD323" t="s">
        <v>1066</v>
      </c>
      <c r="AE323" t="s">
        <v>1067</v>
      </c>
      <c r="AG323" t="s">
        <v>98</v>
      </c>
      <c r="AH323">
        <v>6</v>
      </c>
      <c r="AI323" s="8" t="str">
        <f>IFERROR(R323-AF323,"")</f>
        <v/>
      </c>
      <c r="AJ323" s="8" t="str">
        <f>IFERROR(O323-AF323,"")</f>
        <v/>
      </c>
      <c r="AK323" s="38" t="str">
        <f t="shared" ref="AK323:AK386" si="113">IFERROR(V323+(AH323*30),"")</f>
        <v/>
      </c>
      <c r="AL323" t="str">
        <f>IFERROR(Z323-W323,"")</f>
        <v/>
      </c>
      <c r="AM323" t="str">
        <f>IFERROR(R323-J323,"")</f>
        <v/>
      </c>
      <c r="AN323" t="str">
        <f>IFERROR(V323-O323,"")</f>
        <v/>
      </c>
      <c r="AO323">
        <f>IFERROR(J323-I323,"")</f>
        <v>3</v>
      </c>
      <c r="AP323">
        <f>IFERROR(AC323-X323,"")</f>
        <v>0</v>
      </c>
      <c r="AQ323" t="str">
        <f>IFERROR(AA323-W323,"")</f>
        <v/>
      </c>
    </row>
    <row r="324" spans="1:43" x14ac:dyDescent="0.35">
      <c r="A324">
        <v>2732</v>
      </c>
      <c r="B324" t="s">
        <v>1068</v>
      </c>
      <c r="C324" t="s">
        <v>217</v>
      </c>
      <c r="D324" t="str">
        <f t="shared" si="111"/>
        <v>Program Office</v>
      </c>
      <c r="E324" t="s">
        <v>1045</v>
      </c>
      <c r="F324" t="s">
        <v>1046</v>
      </c>
      <c r="G324" t="s">
        <v>1047</v>
      </c>
      <c r="H324" t="s">
        <v>48</v>
      </c>
      <c r="I324" s="32">
        <v>44750.981076388889</v>
      </c>
      <c r="J324" s="32">
        <v>44753.981076388889</v>
      </c>
      <c r="K324" s="32">
        <v>44757.981076388889</v>
      </c>
      <c r="L324" s="8">
        <f t="shared" si="112"/>
        <v>7</v>
      </c>
      <c r="M324" s="7">
        <v>44778.981076388889</v>
      </c>
      <c r="N324" t="s">
        <v>49</v>
      </c>
      <c r="O324" s="34">
        <v>44762.981076388889</v>
      </c>
      <c r="P324" t="s">
        <v>50</v>
      </c>
      <c r="Q324" t="s">
        <v>125</v>
      </c>
      <c r="R324" s="32" t="s">
        <v>7472</v>
      </c>
      <c r="S324" t="s">
        <v>7476</v>
      </c>
      <c r="T324" s="34" t="s">
        <v>7476</v>
      </c>
      <c r="U324" s="34" t="s">
        <v>7476</v>
      </c>
      <c r="V324" s="32">
        <v>44764.981076388889</v>
      </c>
      <c r="W324" s="32" t="s">
        <v>7476</v>
      </c>
      <c r="X324">
        <v>0</v>
      </c>
      <c r="Y324" s="34" t="s">
        <v>7476</v>
      </c>
      <c r="Z324" s="34" t="s">
        <v>7476</v>
      </c>
      <c r="AA324" s="34" t="s">
        <v>7476</v>
      </c>
      <c r="AB324" s="36" t="s">
        <v>52</v>
      </c>
      <c r="AD324" t="s">
        <v>1069</v>
      </c>
      <c r="AE324" t="s">
        <v>1070</v>
      </c>
      <c r="AF324" s="16">
        <v>44872</v>
      </c>
      <c r="AG324" t="s">
        <v>64</v>
      </c>
      <c r="AH324">
        <v>6</v>
      </c>
      <c r="AI324" s="8" t="str">
        <f>IFERROR(R324-AF324,"")</f>
        <v/>
      </c>
      <c r="AJ324" s="8">
        <f>IFERROR(O324-AF324,"")</f>
        <v>-109.01892361111095</v>
      </c>
      <c r="AK324" s="38">
        <f t="shared" si="113"/>
        <v>44944.981076388889</v>
      </c>
      <c r="AL324" t="str">
        <f>IFERROR(Z324-W324,"")</f>
        <v/>
      </c>
      <c r="AM324" t="str">
        <f>IFERROR(R324-J324,"")</f>
        <v/>
      </c>
      <c r="AN324">
        <f>IFERROR(V324-O324,"")</f>
        <v>2</v>
      </c>
      <c r="AO324">
        <f>IFERROR(J324-I324,"")</f>
        <v>3</v>
      </c>
      <c r="AP324">
        <f>IFERROR(AC324-X324,"")</f>
        <v>0</v>
      </c>
      <c r="AQ324" t="str">
        <f>IFERROR(AA324-W324,"")</f>
        <v/>
      </c>
    </row>
    <row r="325" spans="1:43" x14ac:dyDescent="0.35">
      <c r="A325">
        <v>2570</v>
      </c>
      <c r="B325" t="s">
        <v>1071</v>
      </c>
      <c r="C325" t="s">
        <v>213</v>
      </c>
      <c r="D325" t="str">
        <f t="shared" si="111"/>
        <v>Program Office</v>
      </c>
      <c r="E325" t="s">
        <v>1045</v>
      </c>
      <c r="F325" t="s">
        <v>1046</v>
      </c>
      <c r="G325" t="s">
        <v>1047</v>
      </c>
      <c r="H325" t="s">
        <v>48</v>
      </c>
      <c r="I325" s="32">
        <v>44883.290763888886</v>
      </c>
      <c r="J325" s="32">
        <v>44887.290763888886</v>
      </c>
      <c r="K325" s="32">
        <v>44893.290763888886</v>
      </c>
      <c r="L325" s="8">
        <f t="shared" si="112"/>
        <v>10</v>
      </c>
      <c r="M325" s="7">
        <v>44923.290763888886</v>
      </c>
      <c r="N325" t="s">
        <v>49</v>
      </c>
      <c r="O325" s="34">
        <v>44896.290763888886</v>
      </c>
      <c r="P325" t="s">
        <v>50</v>
      </c>
      <c r="Q325" t="s">
        <v>84</v>
      </c>
      <c r="R325" s="32" t="s">
        <v>7472</v>
      </c>
      <c r="S325" t="s">
        <v>7476</v>
      </c>
      <c r="T325" s="34" t="s">
        <v>7476</v>
      </c>
      <c r="U325" s="34" t="s">
        <v>7476</v>
      </c>
      <c r="V325" s="32">
        <v>44897.290763888886</v>
      </c>
      <c r="W325" s="32" t="s">
        <v>7476</v>
      </c>
      <c r="X325">
        <v>0</v>
      </c>
      <c r="Y325" s="34" t="s">
        <v>7476</v>
      </c>
      <c r="Z325" s="34" t="s">
        <v>7476</v>
      </c>
      <c r="AA325" s="34" t="s">
        <v>7476</v>
      </c>
      <c r="AB325" s="36" t="s">
        <v>52</v>
      </c>
      <c r="AD325" t="s">
        <v>1072</v>
      </c>
      <c r="AE325" t="s">
        <v>1073</v>
      </c>
      <c r="AF325" s="16">
        <v>44878</v>
      </c>
      <c r="AG325" t="s">
        <v>68</v>
      </c>
      <c r="AH325">
        <v>6</v>
      </c>
      <c r="AI325" s="8" t="str">
        <f>IFERROR(R325-AF325,"")</f>
        <v/>
      </c>
      <c r="AJ325" s="8">
        <f>IFERROR(O325-AF325,"")</f>
        <v>18.290763888886431</v>
      </c>
      <c r="AK325" s="38">
        <f t="shared" si="113"/>
        <v>45077.290763888886</v>
      </c>
      <c r="AL325" t="str">
        <f>IFERROR(Z325-W325,"")</f>
        <v/>
      </c>
      <c r="AM325" t="str">
        <f>IFERROR(R325-J325,"")</f>
        <v/>
      </c>
      <c r="AN325">
        <f>IFERROR(V325-O325,"")</f>
        <v>1</v>
      </c>
      <c r="AO325">
        <f>IFERROR(J325-I325,"")</f>
        <v>4</v>
      </c>
      <c r="AP325">
        <f>IFERROR(AC325-X325,"")</f>
        <v>0</v>
      </c>
      <c r="AQ325" t="str">
        <f>IFERROR(AA325-W325,"")</f>
        <v/>
      </c>
    </row>
    <row r="326" spans="1:43" x14ac:dyDescent="0.35">
      <c r="A326">
        <v>2564</v>
      </c>
      <c r="B326" t="s">
        <v>1074</v>
      </c>
      <c r="C326" t="s">
        <v>217</v>
      </c>
      <c r="D326" t="str">
        <f t="shared" si="111"/>
        <v>Program Office</v>
      </c>
      <c r="E326" t="s">
        <v>1045</v>
      </c>
      <c r="F326" t="s">
        <v>1046</v>
      </c>
      <c r="G326" t="s">
        <v>1047</v>
      </c>
      <c r="H326" t="s">
        <v>48</v>
      </c>
      <c r="I326" s="32">
        <v>44888.290763888886</v>
      </c>
      <c r="J326" s="32">
        <v>44890.290763888886</v>
      </c>
      <c r="K326" s="32">
        <v>44893.290763888886</v>
      </c>
      <c r="L326" s="8">
        <f t="shared" si="112"/>
        <v>5</v>
      </c>
      <c r="M326" s="7">
        <v>44912.290763888886</v>
      </c>
      <c r="N326" t="s">
        <v>49</v>
      </c>
      <c r="O326" s="34">
        <v>44906.290763888886</v>
      </c>
      <c r="P326" t="s">
        <v>60</v>
      </c>
      <c r="R326" s="32">
        <v>44911.290763888886</v>
      </c>
      <c r="S326" t="s">
        <v>61</v>
      </c>
      <c r="T326" s="34" t="s">
        <v>7476</v>
      </c>
      <c r="U326" s="34" t="s">
        <v>7476</v>
      </c>
      <c r="V326" s="32">
        <v>44909.290763888886</v>
      </c>
      <c r="W326" s="32" t="s">
        <v>7476</v>
      </c>
      <c r="X326">
        <v>0</v>
      </c>
      <c r="Y326" s="34" t="s">
        <v>7476</v>
      </c>
      <c r="Z326" s="34" t="s">
        <v>7476</v>
      </c>
      <c r="AA326" s="34" t="s">
        <v>7476</v>
      </c>
      <c r="AB326" s="36" t="s">
        <v>7476</v>
      </c>
      <c r="AD326" t="s">
        <v>1075</v>
      </c>
      <c r="AE326" t="s">
        <v>1076</v>
      </c>
      <c r="AF326" s="16">
        <v>44889</v>
      </c>
      <c r="AG326" t="s">
        <v>98</v>
      </c>
      <c r="AH326">
        <v>6</v>
      </c>
      <c r="AI326" s="8">
        <f>IFERROR(R326-AF326,"")</f>
        <v>22.290763888886431</v>
      </c>
      <c r="AJ326" s="8">
        <f>IFERROR(O326-AF326,"")</f>
        <v>17.290763888886431</v>
      </c>
      <c r="AK326" s="38">
        <f t="shared" si="113"/>
        <v>45089.290763888886</v>
      </c>
      <c r="AL326" t="str">
        <f>IFERROR(Z326-W326,"")</f>
        <v/>
      </c>
      <c r="AM326">
        <f>IFERROR(R326-J326,"")</f>
        <v>21</v>
      </c>
      <c r="AN326">
        <f>IFERROR(V326-O326,"")</f>
        <v>3</v>
      </c>
      <c r="AO326">
        <f>IFERROR(J326-I326,"")</f>
        <v>2</v>
      </c>
      <c r="AP326">
        <f>IFERROR(AC326-X326,"")</f>
        <v>0</v>
      </c>
      <c r="AQ326" t="str">
        <f>IFERROR(AA326-W326,"")</f>
        <v/>
      </c>
    </row>
    <row r="327" spans="1:43" x14ac:dyDescent="0.35">
      <c r="A327">
        <v>2539</v>
      </c>
      <c r="B327" t="s">
        <v>1077</v>
      </c>
      <c r="C327" t="s">
        <v>217</v>
      </c>
      <c r="D327" t="str">
        <f t="shared" si="111"/>
        <v>Program Office</v>
      </c>
      <c r="E327" t="s">
        <v>1045</v>
      </c>
      <c r="F327" t="s">
        <v>1046</v>
      </c>
      <c r="G327" t="s">
        <v>1047</v>
      </c>
      <c r="H327" t="s">
        <v>48</v>
      </c>
      <c r="I327" s="32" t="s">
        <v>7471</v>
      </c>
      <c r="J327" s="32">
        <v>44687.058252314811</v>
      </c>
      <c r="K327" s="32">
        <v>44688.058252314811</v>
      </c>
      <c r="L327" s="8" t="str">
        <f t="shared" si="112"/>
        <v/>
      </c>
      <c r="M327" s="7">
        <v>44700.058252314811</v>
      </c>
      <c r="N327" t="s">
        <v>49</v>
      </c>
      <c r="O327" s="34">
        <v>44693.058252314811</v>
      </c>
      <c r="P327" t="s">
        <v>101</v>
      </c>
      <c r="R327" s="32">
        <v>44697.058252314811</v>
      </c>
      <c r="S327" t="s">
        <v>101</v>
      </c>
      <c r="T327" s="34">
        <v>44694.058252314811</v>
      </c>
      <c r="U327" s="34">
        <v>44695.058252314811</v>
      </c>
      <c r="V327" s="32">
        <v>44695.058252314811</v>
      </c>
      <c r="W327" s="32">
        <v>44699.058252314811</v>
      </c>
      <c r="X327">
        <v>1</v>
      </c>
      <c r="Y327" s="34">
        <v>44702.058252314811</v>
      </c>
      <c r="Z327" s="34">
        <v>44703.058252314811</v>
      </c>
      <c r="AA327" s="34">
        <v>44706.058252314811</v>
      </c>
      <c r="AB327" s="36" t="s">
        <v>7476</v>
      </c>
      <c r="AC327" s="10">
        <v>44713.058252314811</v>
      </c>
      <c r="AD327" t="s">
        <v>1078</v>
      </c>
      <c r="AE327" t="s">
        <v>1079</v>
      </c>
      <c r="AF327" s="16">
        <v>44747</v>
      </c>
      <c r="AG327" t="s">
        <v>64</v>
      </c>
      <c r="AH327">
        <v>6</v>
      </c>
      <c r="AK327" s="38">
        <f t="shared" si="113"/>
        <v>44875.058252314811</v>
      </c>
    </row>
    <row r="328" spans="1:43" x14ac:dyDescent="0.35">
      <c r="A328">
        <v>2537</v>
      </c>
      <c r="B328" t="s">
        <v>1080</v>
      </c>
      <c r="C328" t="s">
        <v>217</v>
      </c>
      <c r="D328" t="str">
        <f t="shared" si="111"/>
        <v>Program Office</v>
      </c>
      <c r="E328" t="s">
        <v>1045</v>
      </c>
      <c r="F328" t="s">
        <v>1046</v>
      </c>
      <c r="G328" t="s">
        <v>1047</v>
      </c>
      <c r="H328" t="s">
        <v>48</v>
      </c>
      <c r="I328" s="32">
        <v>44682.058252314811</v>
      </c>
      <c r="J328" s="32">
        <v>44685.058252314811</v>
      </c>
      <c r="K328" s="32">
        <v>44688.058252314811</v>
      </c>
      <c r="L328" s="8">
        <f t="shared" si="112"/>
        <v>6</v>
      </c>
      <c r="M328" s="7">
        <v>44694.058252314811</v>
      </c>
      <c r="N328" t="s">
        <v>49</v>
      </c>
      <c r="O328" s="34">
        <v>44698.058252314811</v>
      </c>
      <c r="P328" t="s">
        <v>60</v>
      </c>
      <c r="R328" s="32">
        <v>44701.058252314811</v>
      </c>
      <c r="S328" t="s">
        <v>61</v>
      </c>
      <c r="T328" s="34" t="s">
        <v>7476</v>
      </c>
      <c r="U328" s="34" t="s">
        <v>7476</v>
      </c>
      <c r="V328" s="32">
        <v>44699.058252314811</v>
      </c>
      <c r="W328" s="32" t="s">
        <v>7476</v>
      </c>
      <c r="X328">
        <v>0</v>
      </c>
      <c r="Y328" s="34" t="s">
        <v>7476</v>
      </c>
      <c r="Z328" s="34" t="s">
        <v>7476</v>
      </c>
      <c r="AA328" s="34" t="s">
        <v>7476</v>
      </c>
      <c r="AB328" s="36" t="s">
        <v>7476</v>
      </c>
      <c r="AD328" t="s">
        <v>1081</v>
      </c>
      <c r="AE328" t="s">
        <v>1082</v>
      </c>
      <c r="AF328" s="16">
        <v>44683</v>
      </c>
      <c r="AG328" t="s">
        <v>98</v>
      </c>
      <c r="AH328">
        <v>3</v>
      </c>
      <c r="AI328" s="8">
        <f t="shared" ref="AI328:AI333" si="114">IFERROR(R328-AF328,"")</f>
        <v>18.058252314811398</v>
      </c>
      <c r="AJ328" s="8">
        <f t="shared" ref="AJ328:AJ333" si="115">IFERROR(O328-AF328,"")</f>
        <v>15.058252314811398</v>
      </c>
      <c r="AK328" s="38">
        <f t="shared" si="113"/>
        <v>44789.058252314811</v>
      </c>
      <c r="AL328" t="str">
        <f t="shared" ref="AL328:AL333" si="116">IFERROR(Z328-W328,"")</f>
        <v/>
      </c>
      <c r="AM328">
        <f t="shared" ref="AM328:AM333" si="117">IFERROR(R328-J328,"")</f>
        <v>16</v>
      </c>
      <c r="AN328">
        <f t="shared" ref="AN328:AN333" si="118">IFERROR(V328-O328,"")</f>
        <v>1</v>
      </c>
      <c r="AO328">
        <f t="shared" ref="AO328:AO333" si="119">IFERROR(J328-I328,"")</f>
        <v>3</v>
      </c>
      <c r="AP328">
        <f t="shared" ref="AP328:AP333" si="120">IFERROR(AC328-X328,"")</f>
        <v>0</v>
      </c>
      <c r="AQ328" t="str">
        <f t="shared" ref="AQ328:AQ333" si="121">IFERROR(AA328-W328,"")</f>
        <v/>
      </c>
    </row>
    <row r="329" spans="1:43" x14ac:dyDescent="0.35">
      <c r="A329">
        <v>2534</v>
      </c>
      <c r="B329" t="s">
        <v>1083</v>
      </c>
      <c r="C329" t="s">
        <v>213</v>
      </c>
      <c r="D329" t="str">
        <f t="shared" si="111"/>
        <v>Program Office</v>
      </c>
      <c r="E329" t="s">
        <v>1045</v>
      </c>
      <c r="F329" t="s">
        <v>1046</v>
      </c>
      <c r="G329" t="s">
        <v>1047</v>
      </c>
      <c r="H329" t="s">
        <v>48</v>
      </c>
      <c r="I329" s="32">
        <v>44682.058252314811</v>
      </c>
      <c r="J329" s="32">
        <v>44686.058252314811</v>
      </c>
      <c r="K329" s="32">
        <v>44688.058252314811</v>
      </c>
      <c r="L329" s="8">
        <f t="shared" si="112"/>
        <v>6</v>
      </c>
      <c r="M329" s="7">
        <v>44695.058252314811</v>
      </c>
      <c r="N329" t="s">
        <v>49</v>
      </c>
      <c r="O329" s="34">
        <v>44695.058252314811</v>
      </c>
      <c r="P329" t="s">
        <v>50</v>
      </c>
      <c r="Q329" t="s">
        <v>84</v>
      </c>
      <c r="R329" s="32" t="s">
        <v>7472</v>
      </c>
      <c r="S329" t="s">
        <v>7476</v>
      </c>
      <c r="T329" s="34" t="s">
        <v>7476</v>
      </c>
      <c r="U329" s="34" t="s">
        <v>7476</v>
      </c>
      <c r="V329" s="32" t="s">
        <v>7476</v>
      </c>
      <c r="W329" s="32" t="s">
        <v>7476</v>
      </c>
      <c r="X329">
        <v>0</v>
      </c>
      <c r="Y329" s="34" t="s">
        <v>7476</v>
      </c>
      <c r="Z329" s="34" t="s">
        <v>7476</v>
      </c>
      <c r="AA329" s="34" t="s">
        <v>7476</v>
      </c>
      <c r="AB329" s="36" t="s">
        <v>52</v>
      </c>
      <c r="AD329" t="s">
        <v>1084</v>
      </c>
      <c r="AE329" t="s">
        <v>1085</v>
      </c>
      <c r="AF329" s="16">
        <v>44686</v>
      </c>
      <c r="AG329" t="s">
        <v>64</v>
      </c>
      <c r="AH329">
        <v>6</v>
      </c>
      <c r="AI329" s="8" t="str">
        <f t="shared" si="114"/>
        <v/>
      </c>
      <c r="AJ329" s="8">
        <f t="shared" si="115"/>
        <v>9.0582523148113978</v>
      </c>
      <c r="AK329" s="38" t="str">
        <f t="shared" si="113"/>
        <v/>
      </c>
      <c r="AL329" t="str">
        <f t="shared" si="116"/>
        <v/>
      </c>
      <c r="AM329" t="str">
        <f t="shared" si="117"/>
        <v/>
      </c>
      <c r="AN329" t="str">
        <f t="shared" si="118"/>
        <v/>
      </c>
      <c r="AO329">
        <f t="shared" si="119"/>
        <v>4</v>
      </c>
      <c r="AP329">
        <f t="shared" si="120"/>
        <v>0</v>
      </c>
      <c r="AQ329" t="str">
        <f t="shared" si="121"/>
        <v/>
      </c>
    </row>
    <row r="330" spans="1:43" x14ac:dyDescent="0.35">
      <c r="A330">
        <v>2532</v>
      </c>
      <c r="B330" t="s">
        <v>1086</v>
      </c>
      <c r="C330" t="s">
        <v>202</v>
      </c>
      <c r="D330" t="str">
        <f t="shared" si="111"/>
        <v>Program Office</v>
      </c>
      <c r="E330" t="s">
        <v>1045</v>
      </c>
      <c r="F330" t="s">
        <v>1046</v>
      </c>
      <c r="G330" t="s">
        <v>1047</v>
      </c>
      <c r="H330" t="s">
        <v>48</v>
      </c>
      <c r="I330" s="32">
        <v>44682.058252314811</v>
      </c>
      <c r="J330" s="32">
        <v>44686.058252314811</v>
      </c>
      <c r="K330" s="32">
        <v>44688.058252314811</v>
      </c>
      <c r="L330" s="8">
        <f t="shared" si="112"/>
        <v>6</v>
      </c>
      <c r="M330" s="7">
        <v>44697.058252314811</v>
      </c>
      <c r="N330" t="s">
        <v>72</v>
      </c>
      <c r="O330" s="34" t="s">
        <v>7474</v>
      </c>
      <c r="R330" s="32" t="s">
        <v>7472</v>
      </c>
      <c r="S330" t="s">
        <v>7476</v>
      </c>
      <c r="T330" s="34" t="s">
        <v>7476</v>
      </c>
      <c r="U330" s="34" t="s">
        <v>7476</v>
      </c>
      <c r="V330" s="32" t="s">
        <v>7476</v>
      </c>
      <c r="W330" s="32" t="s">
        <v>7476</v>
      </c>
      <c r="X330">
        <v>0</v>
      </c>
      <c r="Y330" s="34" t="s">
        <v>7476</v>
      </c>
      <c r="Z330" s="34" t="s">
        <v>7476</v>
      </c>
      <c r="AA330" s="34" t="s">
        <v>7476</v>
      </c>
      <c r="AB330" s="36" t="s">
        <v>7476</v>
      </c>
      <c r="AD330" t="s">
        <v>1087</v>
      </c>
      <c r="AE330" t="s">
        <v>1088</v>
      </c>
      <c r="AG330" t="s">
        <v>98</v>
      </c>
      <c r="AH330">
        <v>6</v>
      </c>
      <c r="AI330" s="8" t="str">
        <f t="shared" si="114"/>
        <v/>
      </c>
      <c r="AJ330" s="8" t="str">
        <f t="shared" si="115"/>
        <v/>
      </c>
      <c r="AK330" s="38" t="str">
        <f t="shared" si="113"/>
        <v/>
      </c>
      <c r="AL330" t="str">
        <f t="shared" si="116"/>
        <v/>
      </c>
      <c r="AM330" t="str">
        <f t="shared" si="117"/>
        <v/>
      </c>
      <c r="AN330" t="str">
        <f t="shared" si="118"/>
        <v/>
      </c>
      <c r="AO330">
        <f t="shared" si="119"/>
        <v>4</v>
      </c>
      <c r="AP330">
        <f t="shared" si="120"/>
        <v>0</v>
      </c>
      <c r="AQ330" t="str">
        <f t="shared" si="121"/>
        <v/>
      </c>
    </row>
    <row r="331" spans="1:43" x14ac:dyDescent="0.35">
      <c r="A331">
        <v>2520</v>
      </c>
      <c r="B331" t="s">
        <v>1089</v>
      </c>
      <c r="C331" t="s">
        <v>213</v>
      </c>
      <c r="D331" t="str">
        <f t="shared" si="111"/>
        <v>Program Office</v>
      </c>
      <c r="E331" t="s">
        <v>1045</v>
      </c>
      <c r="F331" t="s">
        <v>1046</v>
      </c>
      <c r="G331" t="s">
        <v>1047</v>
      </c>
      <c r="H331" t="s">
        <v>48</v>
      </c>
      <c r="I331" s="32">
        <v>45171.133263888893</v>
      </c>
      <c r="J331" s="32">
        <v>45173.133263888893</v>
      </c>
      <c r="K331" s="32">
        <v>45177.133263888893</v>
      </c>
      <c r="L331" s="8">
        <f t="shared" si="112"/>
        <v>6</v>
      </c>
      <c r="M331" s="7">
        <v>45198.133263888893</v>
      </c>
      <c r="N331" t="s">
        <v>49</v>
      </c>
      <c r="O331" s="34">
        <v>45182.133263888893</v>
      </c>
      <c r="P331" t="s">
        <v>101</v>
      </c>
      <c r="R331" s="32">
        <v>45187.133263888893</v>
      </c>
      <c r="S331" t="s">
        <v>101</v>
      </c>
      <c r="T331" s="34">
        <v>45183.133263888893</v>
      </c>
      <c r="U331" s="34">
        <v>45186.133263888893</v>
      </c>
      <c r="V331" s="32">
        <v>45185.133263888893</v>
      </c>
      <c r="W331" s="32">
        <v>45189.133263888893</v>
      </c>
      <c r="X331">
        <v>1</v>
      </c>
      <c r="Y331" s="34">
        <v>45190.133263888893</v>
      </c>
      <c r="Z331" s="34">
        <v>45192.133263888893</v>
      </c>
      <c r="AA331" s="34">
        <v>45194.133263888893</v>
      </c>
      <c r="AB331" s="36" t="s">
        <v>7476</v>
      </c>
      <c r="AC331" s="10">
        <v>45212.133263888893</v>
      </c>
      <c r="AD331" t="s">
        <v>1090</v>
      </c>
      <c r="AE331" t="s">
        <v>1091</v>
      </c>
      <c r="AF331" s="16">
        <v>45172</v>
      </c>
      <c r="AG331" t="s">
        <v>64</v>
      </c>
      <c r="AH331">
        <v>3</v>
      </c>
      <c r="AI331" s="8">
        <f t="shared" si="114"/>
        <v>15.133263888892543</v>
      </c>
      <c r="AJ331" s="8">
        <f t="shared" si="115"/>
        <v>10.133263888892543</v>
      </c>
      <c r="AK331" s="38">
        <f t="shared" si="113"/>
        <v>45275.133263888893</v>
      </c>
      <c r="AL331">
        <f t="shared" si="116"/>
        <v>3</v>
      </c>
      <c r="AM331">
        <f t="shared" si="117"/>
        <v>14</v>
      </c>
      <c r="AN331">
        <f t="shared" si="118"/>
        <v>3</v>
      </c>
      <c r="AO331">
        <f t="shared" si="119"/>
        <v>2</v>
      </c>
      <c r="AP331">
        <f t="shared" si="120"/>
        <v>45211.133263888893</v>
      </c>
      <c r="AQ331">
        <f t="shared" si="121"/>
        <v>5</v>
      </c>
    </row>
    <row r="332" spans="1:43" x14ac:dyDescent="0.35">
      <c r="A332">
        <v>2516</v>
      </c>
      <c r="B332" t="s">
        <v>1092</v>
      </c>
      <c r="C332" t="s">
        <v>213</v>
      </c>
      <c r="D332" t="str">
        <f t="shared" si="111"/>
        <v>Program Office</v>
      </c>
      <c r="E332" t="s">
        <v>1045</v>
      </c>
      <c r="F332" t="s">
        <v>1046</v>
      </c>
      <c r="G332" t="s">
        <v>1047</v>
      </c>
      <c r="H332" t="s">
        <v>48</v>
      </c>
      <c r="I332" s="32">
        <v>45167.133263888893</v>
      </c>
      <c r="J332" s="32">
        <v>45171.133263888893</v>
      </c>
      <c r="K332" s="32">
        <v>45177.133263888893</v>
      </c>
      <c r="L332" s="8">
        <f t="shared" si="112"/>
        <v>10</v>
      </c>
      <c r="M332" s="7">
        <v>45185.133263888893</v>
      </c>
      <c r="N332" t="s">
        <v>49</v>
      </c>
      <c r="O332" s="34">
        <v>45191.133263888893</v>
      </c>
      <c r="P332" t="s">
        <v>50</v>
      </c>
      <c r="Q332" t="s">
        <v>198</v>
      </c>
      <c r="R332" s="32" t="s">
        <v>7472</v>
      </c>
      <c r="S332" t="s">
        <v>7476</v>
      </c>
      <c r="T332" s="34" t="s">
        <v>7476</v>
      </c>
      <c r="U332" s="34" t="s">
        <v>7476</v>
      </c>
      <c r="V332" s="32">
        <v>45193.133263888893</v>
      </c>
      <c r="W332" s="32" t="s">
        <v>7476</v>
      </c>
      <c r="X332">
        <v>0</v>
      </c>
      <c r="Y332" s="34" t="s">
        <v>7476</v>
      </c>
      <c r="Z332" s="34" t="s">
        <v>7476</v>
      </c>
      <c r="AA332" s="34" t="s">
        <v>7476</v>
      </c>
      <c r="AB332" s="36" t="s">
        <v>95</v>
      </c>
      <c r="AD332" t="s">
        <v>1093</v>
      </c>
      <c r="AE332" t="s">
        <v>1094</v>
      </c>
      <c r="AF332" s="16">
        <v>45174</v>
      </c>
      <c r="AG332" t="s">
        <v>98</v>
      </c>
      <c r="AH332">
        <v>6</v>
      </c>
      <c r="AI332" s="8" t="str">
        <f t="shared" si="114"/>
        <v/>
      </c>
      <c r="AJ332" s="8">
        <f t="shared" si="115"/>
        <v>17.133263888892543</v>
      </c>
      <c r="AK332" s="38">
        <f t="shared" si="113"/>
        <v>45373.133263888893</v>
      </c>
      <c r="AL332" t="str">
        <f t="shared" si="116"/>
        <v/>
      </c>
      <c r="AM332" t="str">
        <f t="shared" si="117"/>
        <v/>
      </c>
      <c r="AN332">
        <f t="shared" si="118"/>
        <v>2</v>
      </c>
      <c r="AO332">
        <f t="shared" si="119"/>
        <v>4</v>
      </c>
      <c r="AP332">
        <f t="shared" si="120"/>
        <v>0</v>
      </c>
      <c r="AQ332" t="str">
        <f t="shared" si="121"/>
        <v/>
      </c>
    </row>
    <row r="333" spans="1:43" x14ac:dyDescent="0.35">
      <c r="A333">
        <v>2515</v>
      </c>
      <c r="B333" t="s">
        <v>1095</v>
      </c>
      <c r="C333" t="s">
        <v>202</v>
      </c>
      <c r="D333" t="str">
        <f t="shared" si="111"/>
        <v>Program Office</v>
      </c>
      <c r="E333" t="s">
        <v>1045</v>
      </c>
      <c r="F333" t="s">
        <v>1046</v>
      </c>
      <c r="G333" t="s">
        <v>1047</v>
      </c>
      <c r="H333" t="s">
        <v>48</v>
      </c>
      <c r="I333" s="32">
        <v>45169.133263888893</v>
      </c>
      <c r="J333" s="32">
        <v>45171.133263888893</v>
      </c>
      <c r="K333" s="32">
        <v>45177.133263888893</v>
      </c>
      <c r="L333" s="8">
        <f t="shared" si="112"/>
        <v>8</v>
      </c>
      <c r="M333" s="7">
        <v>45201.133263888893</v>
      </c>
      <c r="N333" t="s">
        <v>72</v>
      </c>
      <c r="O333" s="34" t="s">
        <v>7474</v>
      </c>
      <c r="R333" s="32" t="s">
        <v>7472</v>
      </c>
      <c r="S333" t="s">
        <v>7476</v>
      </c>
      <c r="T333" s="34" t="s">
        <v>7476</v>
      </c>
      <c r="U333" s="34" t="s">
        <v>7476</v>
      </c>
      <c r="V333" s="32" t="s">
        <v>7476</v>
      </c>
      <c r="W333" s="32" t="s">
        <v>7476</v>
      </c>
      <c r="X333">
        <v>0</v>
      </c>
      <c r="Y333" s="34" t="s">
        <v>7476</v>
      </c>
      <c r="Z333" s="34" t="s">
        <v>7476</v>
      </c>
      <c r="AA333" s="34" t="s">
        <v>7476</v>
      </c>
      <c r="AB333" s="36" t="s">
        <v>7476</v>
      </c>
      <c r="AD333" t="s">
        <v>1096</v>
      </c>
      <c r="AE333" t="s">
        <v>1097</v>
      </c>
      <c r="AG333" t="s">
        <v>64</v>
      </c>
      <c r="AH333">
        <v>6</v>
      </c>
      <c r="AI333" s="8" t="str">
        <f t="shared" si="114"/>
        <v/>
      </c>
      <c r="AJ333" s="8" t="str">
        <f t="shared" si="115"/>
        <v/>
      </c>
      <c r="AK333" s="38" t="str">
        <f t="shared" si="113"/>
        <v/>
      </c>
      <c r="AL333" t="str">
        <f t="shared" si="116"/>
        <v/>
      </c>
      <c r="AM333" t="str">
        <f t="shared" si="117"/>
        <v/>
      </c>
      <c r="AN333" t="str">
        <f t="shared" si="118"/>
        <v/>
      </c>
      <c r="AO333">
        <f t="shared" si="119"/>
        <v>2</v>
      </c>
      <c r="AP333">
        <f t="shared" si="120"/>
        <v>0</v>
      </c>
      <c r="AQ333" t="str">
        <f t="shared" si="121"/>
        <v/>
      </c>
    </row>
    <row r="334" spans="1:43" x14ac:dyDescent="0.35">
      <c r="A334">
        <v>2456</v>
      </c>
      <c r="B334" t="s">
        <v>1098</v>
      </c>
      <c r="C334" t="s">
        <v>202</v>
      </c>
      <c r="D334" t="str">
        <f t="shared" si="111"/>
        <v>Program Office</v>
      </c>
      <c r="E334" t="s">
        <v>1045</v>
      </c>
      <c r="F334" t="s">
        <v>1046</v>
      </c>
      <c r="G334" t="s">
        <v>1047</v>
      </c>
      <c r="H334" t="s">
        <v>48</v>
      </c>
      <c r="I334" s="32" t="s">
        <v>7471</v>
      </c>
      <c r="J334" s="32">
        <v>45163.069826388892</v>
      </c>
      <c r="K334" s="32">
        <v>45167.069826388892</v>
      </c>
      <c r="L334" s="8" t="str">
        <f t="shared" si="112"/>
        <v/>
      </c>
      <c r="M334" s="7">
        <v>45197.069826388892</v>
      </c>
      <c r="N334" t="s">
        <v>49</v>
      </c>
      <c r="O334" s="34">
        <v>45171.069826388892</v>
      </c>
      <c r="P334" t="s">
        <v>101</v>
      </c>
      <c r="R334" s="32">
        <v>45178.069826388892</v>
      </c>
      <c r="S334" t="s">
        <v>101</v>
      </c>
      <c r="T334" s="34">
        <v>45173.069826388892</v>
      </c>
      <c r="U334" s="34">
        <v>45175.069826388892</v>
      </c>
      <c r="V334" s="32">
        <v>45175.069826388892</v>
      </c>
      <c r="W334" s="32">
        <v>45179.069826388892</v>
      </c>
      <c r="X334">
        <v>1</v>
      </c>
      <c r="Y334" s="34">
        <v>45180.069826388892</v>
      </c>
      <c r="Z334" s="34">
        <v>45183.069826388892</v>
      </c>
      <c r="AA334" s="34">
        <v>45186.069826388892</v>
      </c>
      <c r="AB334" s="36" t="s">
        <v>7476</v>
      </c>
      <c r="AC334" s="10">
        <v>45205.069826388892</v>
      </c>
      <c r="AD334" t="s">
        <v>1099</v>
      </c>
      <c r="AE334" t="s">
        <v>1100</v>
      </c>
      <c r="AF334" s="16">
        <v>45164</v>
      </c>
      <c r="AG334" t="s">
        <v>68</v>
      </c>
      <c r="AH334">
        <v>6</v>
      </c>
      <c r="AK334" s="38">
        <f t="shared" si="113"/>
        <v>45355.069826388892</v>
      </c>
    </row>
    <row r="335" spans="1:43" x14ac:dyDescent="0.35">
      <c r="A335">
        <v>2450</v>
      </c>
      <c r="B335" t="s">
        <v>1101</v>
      </c>
      <c r="C335" t="s">
        <v>213</v>
      </c>
      <c r="D335" t="str">
        <f t="shared" si="111"/>
        <v>Program Office</v>
      </c>
      <c r="E335" t="s">
        <v>1045</v>
      </c>
      <c r="F335" t="s">
        <v>1046</v>
      </c>
      <c r="G335" t="s">
        <v>1047</v>
      </c>
      <c r="H335" t="s">
        <v>48</v>
      </c>
      <c r="I335" s="32">
        <v>44863.772222222222</v>
      </c>
      <c r="J335" s="32">
        <v>44867.772222222222</v>
      </c>
      <c r="K335" s="32" t="s">
        <v>7473</v>
      </c>
      <c r="L335" s="8" t="str">
        <f t="shared" si="112"/>
        <v/>
      </c>
      <c r="M335" s="7">
        <v>44896.772222222222</v>
      </c>
      <c r="N335" t="s">
        <v>49</v>
      </c>
      <c r="O335" s="34">
        <v>44880.772222222222</v>
      </c>
      <c r="P335" t="s">
        <v>60</v>
      </c>
      <c r="R335" s="32">
        <v>44885.772222222222</v>
      </c>
      <c r="S335" t="s">
        <v>61</v>
      </c>
      <c r="T335" s="34" t="s">
        <v>7476</v>
      </c>
      <c r="U335" s="34" t="s">
        <v>7476</v>
      </c>
      <c r="V335" s="32">
        <v>44884.772222222222</v>
      </c>
      <c r="W335" s="32" t="s">
        <v>7476</v>
      </c>
      <c r="X335">
        <v>0</v>
      </c>
      <c r="Y335" s="34" t="s">
        <v>7476</v>
      </c>
      <c r="Z335" s="34" t="s">
        <v>7476</v>
      </c>
      <c r="AA335" s="34" t="s">
        <v>7476</v>
      </c>
      <c r="AB335" s="36" t="s">
        <v>7476</v>
      </c>
      <c r="AD335" t="s">
        <v>1102</v>
      </c>
      <c r="AE335" t="s">
        <v>1103</v>
      </c>
      <c r="AF335" s="16">
        <v>44753</v>
      </c>
      <c r="AG335" t="s">
        <v>75</v>
      </c>
      <c r="AH335">
        <v>6</v>
      </c>
      <c r="AK335" s="38">
        <f t="shared" si="113"/>
        <v>45064.772222222222</v>
      </c>
    </row>
    <row r="336" spans="1:43" x14ac:dyDescent="0.35">
      <c r="A336">
        <v>2446</v>
      </c>
      <c r="B336" t="s">
        <v>1104</v>
      </c>
      <c r="C336" t="s">
        <v>217</v>
      </c>
      <c r="D336" t="str">
        <f t="shared" si="111"/>
        <v>Program Office</v>
      </c>
      <c r="E336" t="s">
        <v>1045</v>
      </c>
      <c r="F336" t="s">
        <v>1046</v>
      </c>
      <c r="G336" t="s">
        <v>1047</v>
      </c>
      <c r="H336" t="s">
        <v>48</v>
      </c>
      <c r="I336" s="32" t="s">
        <v>7471</v>
      </c>
      <c r="J336" s="32">
        <v>44867.772222222222</v>
      </c>
      <c r="K336" s="32">
        <v>44873.772222222222</v>
      </c>
      <c r="L336" s="8" t="str">
        <f t="shared" si="112"/>
        <v/>
      </c>
      <c r="M336" s="7">
        <v>44884.772222222222</v>
      </c>
      <c r="N336" t="s">
        <v>49</v>
      </c>
      <c r="O336" s="34">
        <v>44880.772222222222</v>
      </c>
      <c r="P336" t="s">
        <v>50</v>
      </c>
      <c r="Q336" t="s">
        <v>51</v>
      </c>
      <c r="R336" s="32" t="s">
        <v>7472</v>
      </c>
      <c r="S336" t="s">
        <v>7476</v>
      </c>
      <c r="T336" s="34" t="s">
        <v>7476</v>
      </c>
      <c r="U336" s="34" t="s">
        <v>7476</v>
      </c>
      <c r="V336" s="32" t="s">
        <v>7476</v>
      </c>
      <c r="W336" s="32" t="s">
        <v>7476</v>
      </c>
      <c r="X336">
        <v>0</v>
      </c>
      <c r="Y336" s="34" t="s">
        <v>7476</v>
      </c>
      <c r="Z336" s="34" t="s">
        <v>7476</v>
      </c>
      <c r="AA336" s="34" t="s">
        <v>7476</v>
      </c>
      <c r="AB336" s="36" t="s">
        <v>95</v>
      </c>
      <c r="AD336" t="s">
        <v>1105</v>
      </c>
      <c r="AE336" t="s">
        <v>1106</v>
      </c>
      <c r="AF336" s="16">
        <v>44873</v>
      </c>
      <c r="AG336" t="s">
        <v>68</v>
      </c>
      <c r="AH336">
        <v>6</v>
      </c>
      <c r="AK336" s="38" t="str">
        <f t="shared" si="113"/>
        <v/>
      </c>
    </row>
    <row r="337" spans="1:43" x14ac:dyDescent="0.35">
      <c r="A337">
        <v>2445</v>
      </c>
      <c r="B337" t="s">
        <v>1107</v>
      </c>
      <c r="C337" t="s">
        <v>202</v>
      </c>
      <c r="D337" t="str">
        <f t="shared" si="111"/>
        <v>Program Office</v>
      </c>
      <c r="E337" t="s">
        <v>1045</v>
      </c>
      <c r="F337" t="s">
        <v>1046</v>
      </c>
      <c r="G337" t="s">
        <v>1047</v>
      </c>
      <c r="H337" t="s">
        <v>48</v>
      </c>
      <c r="I337" s="32">
        <v>44868.772222222222</v>
      </c>
      <c r="J337" s="32" t="s">
        <v>7471</v>
      </c>
      <c r="K337" s="32">
        <v>44873.772222222222</v>
      </c>
      <c r="L337" s="8">
        <f t="shared" si="112"/>
        <v>5</v>
      </c>
      <c r="M337" s="7">
        <v>44886.772222222222</v>
      </c>
      <c r="N337" t="s">
        <v>72</v>
      </c>
      <c r="O337" s="34" t="s">
        <v>7474</v>
      </c>
      <c r="R337" s="32" t="s">
        <v>7472</v>
      </c>
      <c r="S337" t="s">
        <v>7476</v>
      </c>
      <c r="T337" s="34" t="s">
        <v>7476</v>
      </c>
      <c r="U337" s="34" t="s">
        <v>7476</v>
      </c>
      <c r="V337" s="32" t="s">
        <v>7476</v>
      </c>
      <c r="W337" s="32" t="s">
        <v>7476</v>
      </c>
      <c r="X337">
        <v>0</v>
      </c>
      <c r="Y337" s="34" t="s">
        <v>7476</v>
      </c>
      <c r="Z337" s="34" t="s">
        <v>7476</v>
      </c>
      <c r="AA337" s="34" t="s">
        <v>7476</v>
      </c>
      <c r="AB337" s="36" t="s">
        <v>7476</v>
      </c>
      <c r="AD337" t="s">
        <v>1108</v>
      </c>
      <c r="AE337" t="s">
        <v>1109</v>
      </c>
      <c r="AG337" t="s">
        <v>75</v>
      </c>
      <c r="AH337">
        <v>6</v>
      </c>
      <c r="AK337" s="38" t="str">
        <f t="shared" si="113"/>
        <v/>
      </c>
    </row>
    <row r="338" spans="1:43" x14ac:dyDescent="0.35">
      <c r="A338">
        <v>2443</v>
      </c>
      <c r="B338" t="s">
        <v>1110</v>
      </c>
      <c r="C338" t="s">
        <v>202</v>
      </c>
      <c r="D338" t="str">
        <f t="shared" si="111"/>
        <v>Program Office</v>
      </c>
      <c r="E338" t="s">
        <v>1045</v>
      </c>
      <c r="F338" t="s">
        <v>1046</v>
      </c>
      <c r="G338" t="s">
        <v>1047</v>
      </c>
      <c r="H338" t="s">
        <v>48</v>
      </c>
      <c r="I338" s="32">
        <v>44865.772222222222</v>
      </c>
      <c r="J338" s="32">
        <v>44869.772222222222</v>
      </c>
      <c r="K338" s="32">
        <v>44873.772222222222</v>
      </c>
      <c r="L338" s="8">
        <f t="shared" si="112"/>
        <v>8</v>
      </c>
      <c r="M338" s="7">
        <v>44892.772222222222</v>
      </c>
      <c r="N338" t="s">
        <v>49</v>
      </c>
      <c r="O338" s="34">
        <v>44879.772222222222</v>
      </c>
      <c r="P338" t="s">
        <v>50</v>
      </c>
      <c r="Q338" t="s">
        <v>51</v>
      </c>
      <c r="R338" s="32" t="s">
        <v>7472</v>
      </c>
      <c r="S338" t="s">
        <v>7476</v>
      </c>
      <c r="T338" s="34" t="s">
        <v>7476</v>
      </c>
      <c r="U338" s="34" t="s">
        <v>7476</v>
      </c>
      <c r="V338" s="32">
        <v>44882.772222222222</v>
      </c>
      <c r="W338" s="32" t="s">
        <v>7476</v>
      </c>
      <c r="X338">
        <v>0</v>
      </c>
      <c r="Y338" s="34" t="s">
        <v>7476</v>
      </c>
      <c r="Z338" s="34" t="s">
        <v>7476</v>
      </c>
      <c r="AA338" s="34" t="s">
        <v>7476</v>
      </c>
      <c r="AB338" s="36" t="s">
        <v>95</v>
      </c>
      <c r="AD338" t="s">
        <v>1111</v>
      </c>
      <c r="AE338" t="s">
        <v>1112</v>
      </c>
      <c r="AF338" s="16">
        <v>44873</v>
      </c>
      <c r="AG338" t="s">
        <v>64</v>
      </c>
      <c r="AH338">
        <v>6</v>
      </c>
      <c r="AI338" s="8" t="str">
        <f>IFERROR(R338-AF338,"")</f>
        <v/>
      </c>
      <c r="AJ338" s="8">
        <f>IFERROR(O338-AF338,"")</f>
        <v>6.7722222222218988</v>
      </c>
      <c r="AK338" s="38">
        <f t="shared" si="113"/>
        <v>45062.772222222222</v>
      </c>
      <c r="AL338" t="str">
        <f>IFERROR(Z338-W338,"")</f>
        <v/>
      </c>
      <c r="AM338" t="str">
        <f>IFERROR(R338-J338,"")</f>
        <v/>
      </c>
      <c r="AN338">
        <f>IFERROR(V338-O338,"")</f>
        <v>3</v>
      </c>
      <c r="AO338">
        <f>IFERROR(J338-I338,"")</f>
        <v>4</v>
      </c>
      <c r="AP338">
        <f>IFERROR(AC338-X338,"")</f>
        <v>0</v>
      </c>
      <c r="AQ338" t="str">
        <f>IFERROR(AA338-W338,"")</f>
        <v/>
      </c>
    </row>
    <row r="339" spans="1:43" x14ac:dyDescent="0.35">
      <c r="A339">
        <v>2441</v>
      </c>
      <c r="B339" t="s">
        <v>1113</v>
      </c>
      <c r="C339" t="s">
        <v>213</v>
      </c>
      <c r="D339" t="str">
        <f t="shared" si="111"/>
        <v>Program Office</v>
      </c>
      <c r="E339" t="s">
        <v>1045</v>
      </c>
      <c r="F339" t="s">
        <v>1046</v>
      </c>
      <c r="G339" t="s">
        <v>1047</v>
      </c>
      <c r="H339" t="s">
        <v>48</v>
      </c>
      <c r="I339" s="32">
        <v>44868.772222222222</v>
      </c>
      <c r="J339" s="32">
        <v>44872.772222222222</v>
      </c>
      <c r="K339" s="32" t="s">
        <v>7473</v>
      </c>
      <c r="L339" s="8" t="str">
        <f t="shared" si="112"/>
        <v/>
      </c>
      <c r="M339" s="7">
        <v>44903.772222222222</v>
      </c>
      <c r="N339" t="s">
        <v>49</v>
      </c>
      <c r="O339" s="34">
        <v>44880.772222222222</v>
      </c>
      <c r="P339" t="s">
        <v>50</v>
      </c>
      <c r="Q339" t="s">
        <v>236</v>
      </c>
      <c r="R339" s="32" t="s">
        <v>7472</v>
      </c>
      <c r="S339" t="s">
        <v>7476</v>
      </c>
      <c r="T339" s="34" t="s">
        <v>7476</v>
      </c>
      <c r="U339" s="34" t="s">
        <v>7476</v>
      </c>
      <c r="V339" s="32">
        <v>44883.772222222222</v>
      </c>
      <c r="W339" s="32" t="s">
        <v>7476</v>
      </c>
      <c r="X339">
        <v>0</v>
      </c>
      <c r="Y339" s="34" t="s">
        <v>7476</v>
      </c>
      <c r="Z339" s="34" t="s">
        <v>7476</v>
      </c>
      <c r="AA339" s="34" t="s">
        <v>7476</v>
      </c>
      <c r="AB339" s="36" t="s">
        <v>95</v>
      </c>
      <c r="AD339" t="s">
        <v>1114</v>
      </c>
      <c r="AE339" t="s">
        <v>1115</v>
      </c>
      <c r="AF339" s="16">
        <v>44862</v>
      </c>
      <c r="AG339" t="s">
        <v>93</v>
      </c>
      <c r="AH339">
        <v>3</v>
      </c>
      <c r="AK339" s="38">
        <f t="shared" si="113"/>
        <v>44973.772222222222</v>
      </c>
    </row>
    <row r="340" spans="1:43" x14ac:dyDescent="0.35">
      <c r="A340">
        <v>2409</v>
      </c>
      <c r="B340" t="s">
        <v>1116</v>
      </c>
      <c r="C340" t="s">
        <v>213</v>
      </c>
      <c r="D340" t="str">
        <f t="shared" si="111"/>
        <v>Program Office</v>
      </c>
      <c r="E340" t="s">
        <v>1045</v>
      </c>
      <c r="F340" t="s">
        <v>1046</v>
      </c>
      <c r="G340" t="s">
        <v>1047</v>
      </c>
      <c r="H340" t="s">
        <v>48</v>
      </c>
      <c r="I340" s="32" t="s">
        <v>7471</v>
      </c>
      <c r="J340" s="32">
        <v>45019.0859837963</v>
      </c>
      <c r="K340" s="32">
        <v>45022.0859837963</v>
      </c>
      <c r="L340" s="8" t="str">
        <f t="shared" si="112"/>
        <v/>
      </c>
      <c r="M340" s="7">
        <v>45040.0859837963</v>
      </c>
      <c r="N340" t="s">
        <v>49</v>
      </c>
      <c r="O340" s="34">
        <v>45036.0859837963</v>
      </c>
      <c r="P340" t="s">
        <v>60</v>
      </c>
      <c r="R340" s="32">
        <v>45041.0859837963</v>
      </c>
      <c r="S340" t="s">
        <v>61</v>
      </c>
      <c r="T340" s="34" t="s">
        <v>7476</v>
      </c>
      <c r="U340" s="34" t="s">
        <v>7476</v>
      </c>
      <c r="V340" s="32">
        <v>45038.0859837963</v>
      </c>
      <c r="W340" s="32" t="s">
        <v>7476</v>
      </c>
      <c r="X340">
        <v>0</v>
      </c>
      <c r="Y340" s="34" t="s">
        <v>7476</v>
      </c>
      <c r="Z340" s="34" t="s">
        <v>7476</v>
      </c>
      <c r="AA340" s="34" t="s">
        <v>7476</v>
      </c>
      <c r="AB340" s="36" t="s">
        <v>7476</v>
      </c>
      <c r="AD340" t="s">
        <v>1117</v>
      </c>
      <c r="AE340" t="s">
        <v>1118</v>
      </c>
      <c r="AF340" s="16">
        <v>45203</v>
      </c>
      <c r="AG340" t="s">
        <v>68</v>
      </c>
      <c r="AH340">
        <v>6</v>
      </c>
      <c r="AK340" s="38">
        <f t="shared" si="113"/>
        <v>45218.0859837963</v>
      </c>
    </row>
    <row r="341" spans="1:43" x14ac:dyDescent="0.35">
      <c r="A341">
        <v>2407</v>
      </c>
      <c r="B341" t="s">
        <v>1119</v>
      </c>
      <c r="C341" t="s">
        <v>217</v>
      </c>
      <c r="D341" t="str">
        <f t="shared" si="111"/>
        <v>Program Office</v>
      </c>
      <c r="E341" t="s">
        <v>1045</v>
      </c>
      <c r="F341" t="s">
        <v>1046</v>
      </c>
      <c r="G341" t="s">
        <v>1047</v>
      </c>
      <c r="H341" t="s">
        <v>48</v>
      </c>
      <c r="I341" s="32">
        <v>45013.0859837963</v>
      </c>
      <c r="J341" s="32">
        <v>45016.0859837963</v>
      </c>
      <c r="K341" s="32">
        <v>45022.0859837963</v>
      </c>
      <c r="L341" s="8">
        <f t="shared" si="112"/>
        <v>9</v>
      </c>
      <c r="M341" s="7">
        <v>45051.0859837963</v>
      </c>
      <c r="N341" t="s">
        <v>49</v>
      </c>
      <c r="O341" s="34">
        <v>45034.0859837963</v>
      </c>
      <c r="P341" t="s">
        <v>50</v>
      </c>
      <c r="Q341" t="s">
        <v>84</v>
      </c>
      <c r="R341" s="32" t="s">
        <v>7472</v>
      </c>
      <c r="S341" t="s">
        <v>7476</v>
      </c>
      <c r="T341" s="34" t="s">
        <v>7476</v>
      </c>
      <c r="U341" s="34" t="s">
        <v>7476</v>
      </c>
      <c r="V341" s="32">
        <v>45035.0859837963</v>
      </c>
      <c r="W341" s="32" t="s">
        <v>7476</v>
      </c>
      <c r="X341">
        <v>0</v>
      </c>
      <c r="Y341" s="34" t="s">
        <v>7476</v>
      </c>
      <c r="Z341" s="34" t="s">
        <v>7476</v>
      </c>
      <c r="AA341" s="34" t="s">
        <v>7476</v>
      </c>
      <c r="AB341" s="36" t="s">
        <v>95</v>
      </c>
      <c r="AD341" t="s">
        <v>1120</v>
      </c>
      <c r="AE341" t="s">
        <v>1121</v>
      </c>
      <c r="AF341" s="16">
        <v>45016</v>
      </c>
      <c r="AG341" t="s">
        <v>98</v>
      </c>
      <c r="AH341">
        <v>3</v>
      </c>
      <c r="AI341" s="8" t="str">
        <f>IFERROR(R341-AF341,"")</f>
        <v/>
      </c>
      <c r="AJ341" s="8">
        <f>IFERROR(O341-AF341,"")</f>
        <v>18.085983796299843</v>
      </c>
      <c r="AK341" s="38">
        <f t="shared" si="113"/>
        <v>45125.0859837963</v>
      </c>
      <c r="AL341" t="str">
        <f>IFERROR(Z341-W341,"")</f>
        <v/>
      </c>
      <c r="AM341" t="str">
        <f>IFERROR(R341-J341,"")</f>
        <v/>
      </c>
      <c r="AN341">
        <f>IFERROR(V341-O341,"")</f>
        <v>1</v>
      </c>
      <c r="AO341">
        <f>IFERROR(J341-I341,"")</f>
        <v>3</v>
      </c>
      <c r="AP341">
        <f>IFERROR(AC341-X341,"")</f>
        <v>0</v>
      </c>
      <c r="AQ341" t="str">
        <f>IFERROR(AA341-W341,"")</f>
        <v/>
      </c>
    </row>
    <row r="342" spans="1:43" x14ac:dyDescent="0.35">
      <c r="A342">
        <v>2402</v>
      </c>
      <c r="B342" t="s">
        <v>1122</v>
      </c>
      <c r="C342" t="s">
        <v>213</v>
      </c>
      <c r="D342" t="str">
        <f t="shared" si="111"/>
        <v>Program Office</v>
      </c>
      <c r="E342" t="s">
        <v>1045</v>
      </c>
      <c r="F342" t="s">
        <v>1046</v>
      </c>
      <c r="G342" t="s">
        <v>1047</v>
      </c>
      <c r="H342" t="s">
        <v>48</v>
      </c>
      <c r="I342" s="32">
        <v>45015.0859837963</v>
      </c>
      <c r="J342" s="32" t="s">
        <v>7471</v>
      </c>
      <c r="K342" s="32">
        <v>45022.0859837963</v>
      </c>
      <c r="L342" s="8">
        <f t="shared" si="112"/>
        <v>7</v>
      </c>
      <c r="M342" s="7">
        <v>45046.0859837963</v>
      </c>
      <c r="N342" t="s">
        <v>49</v>
      </c>
      <c r="O342" s="34">
        <v>45036.0859837963</v>
      </c>
      <c r="P342" t="s">
        <v>50</v>
      </c>
      <c r="Q342" t="s">
        <v>125</v>
      </c>
      <c r="R342" s="32" t="s">
        <v>7472</v>
      </c>
      <c r="S342" t="s">
        <v>7476</v>
      </c>
      <c r="T342" s="34" t="s">
        <v>7476</v>
      </c>
      <c r="U342" s="34" t="s">
        <v>7476</v>
      </c>
      <c r="V342" s="32">
        <v>45038.0859837963</v>
      </c>
      <c r="W342" s="32" t="s">
        <v>7476</v>
      </c>
      <c r="X342">
        <v>0</v>
      </c>
      <c r="Y342" s="34" t="s">
        <v>7476</v>
      </c>
      <c r="Z342" s="34" t="s">
        <v>7476</v>
      </c>
      <c r="AA342" s="34" t="s">
        <v>7476</v>
      </c>
      <c r="AB342" s="36" t="s">
        <v>52</v>
      </c>
      <c r="AD342" t="s">
        <v>1123</v>
      </c>
      <c r="AE342" t="s">
        <v>1124</v>
      </c>
      <c r="AF342" s="16">
        <v>45050</v>
      </c>
      <c r="AG342" t="s">
        <v>75</v>
      </c>
      <c r="AH342">
        <v>6</v>
      </c>
      <c r="AK342" s="38">
        <f t="shared" si="113"/>
        <v>45218.0859837963</v>
      </c>
    </row>
    <row r="343" spans="1:43" x14ac:dyDescent="0.35">
      <c r="A343">
        <v>2389</v>
      </c>
      <c r="B343" t="s">
        <v>1125</v>
      </c>
      <c r="C343" t="s">
        <v>217</v>
      </c>
      <c r="D343" t="str">
        <f t="shared" si="111"/>
        <v>Program Office</v>
      </c>
      <c r="E343" t="s">
        <v>1045</v>
      </c>
      <c r="F343" t="s">
        <v>1046</v>
      </c>
      <c r="G343" t="s">
        <v>1047</v>
      </c>
      <c r="H343" t="s">
        <v>48</v>
      </c>
      <c r="I343" s="32" t="s">
        <v>7471</v>
      </c>
      <c r="J343" s="32">
        <v>45033.529537037037</v>
      </c>
      <c r="K343" s="32">
        <v>45036.529537037037</v>
      </c>
      <c r="L343" s="8" t="str">
        <f t="shared" si="112"/>
        <v/>
      </c>
      <c r="M343" s="7">
        <v>45043.529537037037</v>
      </c>
      <c r="N343" t="s">
        <v>49</v>
      </c>
      <c r="O343" s="34">
        <v>45044.529537037037</v>
      </c>
      <c r="P343" t="s">
        <v>60</v>
      </c>
      <c r="R343" s="32">
        <v>45050.529537037037</v>
      </c>
      <c r="S343" t="s">
        <v>61</v>
      </c>
      <c r="T343" s="34" t="s">
        <v>7476</v>
      </c>
      <c r="U343" s="34" t="s">
        <v>7476</v>
      </c>
      <c r="V343" s="32">
        <v>45048.529537037037</v>
      </c>
      <c r="W343" s="32" t="s">
        <v>7476</v>
      </c>
      <c r="X343">
        <v>0</v>
      </c>
      <c r="Y343" s="34" t="s">
        <v>7476</v>
      </c>
      <c r="Z343" s="34" t="s">
        <v>7476</v>
      </c>
      <c r="AA343" s="34" t="s">
        <v>7476</v>
      </c>
      <c r="AB343" s="36" t="s">
        <v>7476</v>
      </c>
      <c r="AD343" t="s">
        <v>1126</v>
      </c>
      <c r="AE343" t="s">
        <v>1127</v>
      </c>
      <c r="AF343" s="16">
        <v>45033</v>
      </c>
      <c r="AG343" t="s">
        <v>68</v>
      </c>
      <c r="AH343">
        <v>6</v>
      </c>
      <c r="AK343" s="38">
        <f t="shared" si="113"/>
        <v>45228.529537037037</v>
      </c>
    </row>
    <row r="344" spans="1:43" x14ac:dyDescent="0.35">
      <c r="A344">
        <v>2385</v>
      </c>
      <c r="B344" t="s">
        <v>1128</v>
      </c>
      <c r="C344" t="s">
        <v>217</v>
      </c>
      <c r="D344" t="str">
        <f t="shared" si="111"/>
        <v>Program Office</v>
      </c>
      <c r="E344" t="s">
        <v>1045</v>
      </c>
      <c r="F344" t="s">
        <v>1046</v>
      </c>
      <c r="G344" t="s">
        <v>1047</v>
      </c>
      <c r="H344" t="s">
        <v>48</v>
      </c>
      <c r="I344" s="32">
        <v>45032.529537037037</v>
      </c>
      <c r="J344" s="32" t="s">
        <v>7471</v>
      </c>
      <c r="K344" s="32">
        <v>45036.529537037037</v>
      </c>
      <c r="L344" s="8">
        <f t="shared" si="112"/>
        <v>4</v>
      </c>
      <c r="M344" s="7">
        <v>45049.529537037037</v>
      </c>
      <c r="N344" t="s">
        <v>49</v>
      </c>
      <c r="O344" s="34">
        <v>45039.529537037037</v>
      </c>
      <c r="P344" t="s">
        <v>50</v>
      </c>
      <c r="Q344" t="s">
        <v>125</v>
      </c>
      <c r="R344" s="32" t="s">
        <v>7472</v>
      </c>
      <c r="S344" t="s">
        <v>7476</v>
      </c>
      <c r="T344" s="34" t="s">
        <v>7476</v>
      </c>
      <c r="U344" s="34" t="s">
        <v>7476</v>
      </c>
      <c r="V344" s="32" t="s">
        <v>7476</v>
      </c>
      <c r="W344" s="32" t="s">
        <v>7476</v>
      </c>
      <c r="X344">
        <v>0</v>
      </c>
      <c r="Y344" s="34" t="s">
        <v>7476</v>
      </c>
      <c r="Z344" s="34" t="s">
        <v>7476</v>
      </c>
      <c r="AA344" s="34" t="s">
        <v>7476</v>
      </c>
      <c r="AB344" s="36" t="s">
        <v>95</v>
      </c>
      <c r="AD344" t="s">
        <v>1129</v>
      </c>
      <c r="AE344" t="s">
        <v>1130</v>
      </c>
      <c r="AF344" s="16">
        <v>45028</v>
      </c>
      <c r="AG344" t="s">
        <v>93</v>
      </c>
      <c r="AH344">
        <v>3</v>
      </c>
      <c r="AK344" s="38" t="str">
        <f t="shared" si="113"/>
        <v/>
      </c>
    </row>
    <row r="345" spans="1:43" x14ac:dyDescent="0.35">
      <c r="A345">
        <v>2381</v>
      </c>
      <c r="B345" t="s">
        <v>1131</v>
      </c>
      <c r="C345" t="s">
        <v>202</v>
      </c>
      <c r="D345" t="str">
        <f t="shared" si="111"/>
        <v>Program Office</v>
      </c>
      <c r="E345" t="s">
        <v>1045</v>
      </c>
      <c r="F345" t="s">
        <v>1046</v>
      </c>
      <c r="G345" t="s">
        <v>1047</v>
      </c>
      <c r="H345" t="s">
        <v>48</v>
      </c>
      <c r="I345" s="32">
        <v>45030.529537037037</v>
      </c>
      <c r="J345" s="32">
        <v>45031.529537037037</v>
      </c>
      <c r="K345" s="32">
        <v>45036.529537037037</v>
      </c>
      <c r="L345" s="8">
        <f t="shared" si="112"/>
        <v>6</v>
      </c>
      <c r="M345" s="7">
        <v>45053.529537037037</v>
      </c>
      <c r="N345" t="s">
        <v>49</v>
      </c>
      <c r="O345" s="34">
        <v>45049.529537037037</v>
      </c>
      <c r="P345" t="s">
        <v>101</v>
      </c>
      <c r="R345" s="32">
        <v>45054.529537037037</v>
      </c>
      <c r="S345" t="s">
        <v>101</v>
      </c>
      <c r="T345" s="34">
        <v>45050.529537037037</v>
      </c>
      <c r="U345" s="34">
        <v>45054.529537037037</v>
      </c>
      <c r="V345" s="32">
        <v>45050.529537037037</v>
      </c>
      <c r="W345" s="32">
        <v>45060.529537037037</v>
      </c>
      <c r="X345">
        <v>1</v>
      </c>
      <c r="Y345" s="34">
        <v>45062.529537037037</v>
      </c>
      <c r="Z345" s="34">
        <v>45065.529537037037</v>
      </c>
      <c r="AA345" s="34">
        <v>45068.529537037037</v>
      </c>
      <c r="AB345" s="36" t="s">
        <v>7476</v>
      </c>
      <c r="AC345" s="10">
        <v>45076.529537037037</v>
      </c>
      <c r="AD345" t="s">
        <v>1132</v>
      </c>
      <c r="AE345" t="s">
        <v>1133</v>
      </c>
      <c r="AF345" s="16">
        <v>45036</v>
      </c>
      <c r="AG345" t="s">
        <v>98</v>
      </c>
      <c r="AH345">
        <v>3</v>
      </c>
      <c r="AI345" s="8">
        <f>IFERROR(R345-AF345,"")</f>
        <v>18.529537037036789</v>
      </c>
      <c r="AJ345" s="8">
        <f>IFERROR(O345-AF345,"")</f>
        <v>13.529537037036789</v>
      </c>
      <c r="AK345" s="38">
        <f t="shared" si="113"/>
        <v>45140.529537037037</v>
      </c>
      <c r="AL345">
        <f>IFERROR(Z345-W345,"")</f>
        <v>5</v>
      </c>
      <c r="AM345">
        <f>IFERROR(R345-J345,"")</f>
        <v>23</v>
      </c>
      <c r="AN345">
        <f>IFERROR(V345-O345,"")</f>
        <v>1</v>
      </c>
      <c r="AO345">
        <f>IFERROR(J345-I345,"")</f>
        <v>1</v>
      </c>
      <c r="AP345">
        <f>IFERROR(AC345-X345,"")</f>
        <v>45075.529537037037</v>
      </c>
      <c r="AQ345">
        <f>IFERROR(AA345-W345,"")</f>
        <v>8</v>
      </c>
    </row>
    <row r="346" spans="1:43" x14ac:dyDescent="0.35">
      <c r="A346">
        <v>2367</v>
      </c>
      <c r="B346" t="s">
        <v>1134</v>
      </c>
      <c r="C346" t="s">
        <v>213</v>
      </c>
      <c r="D346" t="str">
        <f t="shared" si="111"/>
        <v>Program Office</v>
      </c>
      <c r="E346" t="s">
        <v>1045</v>
      </c>
      <c r="F346" t="s">
        <v>1046</v>
      </c>
      <c r="G346" t="s">
        <v>1047</v>
      </c>
      <c r="H346" t="s">
        <v>48</v>
      </c>
      <c r="I346" s="32" t="s">
        <v>7471</v>
      </c>
      <c r="J346" s="32">
        <v>44975.268252314818</v>
      </c>
      <c r="K346" s="32" t="s">
        <v>7473</v>
      </c>
      <c r="L346" s="8" t="str">
        <f t="shared" si="112"/>
        <v/>
      </c>
      <c r="M346" s="7">
        <v>44997.268252314818</v>
      </c>
      <c r="N346" t="s">
        <v>49</v>
      </c>
      <c r="O346" s="34">
        <v>44987.268252314818</v>
      </c>
      <c r="P346" t="s">
        <v>50</v>
      </c>
      <c r="Q346" t="s">
        <v>84</v>
      </c>
      <c r="R346" s="32" t="s">
        <v>7472</v>
      </c>
      <c r="S346" t="s">
        <v>7476</v>
      </c>
      <c r="T346" s="34" t="s">
        <v>7476</v>
      </c>
      <c r="U346" s="34" t="s">
        <v>7476</v>
      </c>
      <c r="V346" s="32" t="s">
        <v>7476</v>
      </c>
      <c r="W346" s="32" t="s">
        <v>7476</v>
      </c>
      <c r="X346">
        <v>0</v>
      </c>
      <c r="Y346" s="34" t="s">
        <v>7476</v>
      </c>
      <c r="Z346" s="34" t="s">
        <v>7476</v>
      </c>
      <c r="AA346" s="34" t="s">
        <v>7476</v>
      </c>
      <c r="AB346" s="36" t="s">
        <v>95</v>
      </c>
      <c r="AD346" t="s">
        <v>1135</v>
      </c>
      <c r="AE346" t="s">
        <v>1136</v>
      </c>
      <c r="AF346" s="16">
        <v>44976</v>
      </c>
      <c r="AG346" t="s">
        <v>64</v>
      </c>
      <c r="AH346">
        <v>3</v>
      </c>
      <c r="AK346" s="38" t="str">
        <f t="shared" si="113"/>
        <v/>
      </c>
    </row>
    <row r="347" spans="1:43" x14ac:dyDescent="0.35">
      <c r="A347">
        <v>2362</v>
      </c>
      <c r="B347" t="s">
        <v>1137</v>
      </c>
      <c r="C347" t="s">
        <v>213</v>
      </c>
      <c r="D347" t="str">
        <f t="shared" si="111"/>
        <v>Program Office</v>
      </c>
      <c r="E347" t="s">
        <v>1045</v>
      </c>
      <c r="F347" t="s">
        <v>1046</v>
      </c>
      <c r="G347" t="s">
        <v>1047</v>
      </c>
      <c r="H347" t="s">
        <v>48</v>
      </c>
      <c r="I347" s="32">
        <v>44973.268252314818</v>
      </c>
      <c r="J347" s="32" t="s">
        <v>7471</v>
      </c>
      <c r="K347" s="32">
        <v>44980.268252314818</v>
      </c>
      <c r="L347" s="8">
        <f t="shared" si="112"/>
        <v>7</v>
      </c>
      <c r="M347" s="7">
        <v>44992.268252314818</v>
      </c>
      <c r="N347" t="s">
        <v>49</v>
      </c>
      <c r="O347" s="34">
        <v>44992.268252314818</v>
      </c>
      <c r="P347" t="s">
        <v>50</v>
      </c>
      <c r="Q347" t="s">
        <v>84</v>
      </c>
      <c r="R347" s="32" t="s">
        <v>7472</v>
      </c>
      <c r="S347" t="s">
        <v>7476</v>
      </c>
      <c r="T347" s="34" t="s">
        <v>7476</v>
      </c>
      <c r="U347" s="34" t="s">
        <v>7476</v>
      </c>
      <c r="V347" s="32">
        <v>44995.268252314818</v>
      </c>
      <c r="W347" s="32" t="s">
        <v>7476</v>
      </c>
      <c r="X347">
        <v>0</v>
      </c>
      <c r="Y347" s="34" t="s">
        <v>7476</v>
      </c>
      <c r="Z347" s="34" t="s">
        <v>7476</v>
      </c>
      <c r="AA347" s="34" t="s">
        <v>7476</v>
      </c>
      <c r="AB347" s="36" t="s">
        <v>52</v>
      </c>
      <c r="AD347" t="s">
        <v>1138</v>
      </c>
      <c r="AE347" t="s">
        <v>1139</v>
      </c>
      <c r="AF347" s="16">
        <v>44978</v>
      </c>
      <c r="AG347" t="s">
        <v>98</v>
      </c>
      <c r="AH347">
        <v>3</v>
      </c>
      <c r="AK347" s="38">
        <f t="shared" si="113"/>
        <v>45085.268252314818</v>
      </c>
    </row>
    <row r="348" spans="1:43" x14ac:dyDescent="0.35">
      <c r="A348">
        <v>2319</v>
      </c>
      <c r="B348" t="s">
        <v>1140</v>
      </c>
      <c r="C348" t="s">
        <v>213</v>
      </c>
      <c r="D348" t="str">
        <f t="shared" si="111"/>
        <v>Program Office</v>
      </c>
      <c r="E348" t="s">
        <v>1045</v>
      </c>
      <c r="F348" t="s">
        <v>1046</v>
      </c>
      <c r="G348" t="s">
        <v>1047</v>
      </c>
      <c r="H348" t="s">
        <v>48</v>
      </c>
      <c r="I348" s="32">
        <v>44674.037303240737</v>
      </c>
      <c r="J348" s="32">
        <v>44675.037303240737</v>
      </c>
      <c r="K348" s="32">
        <v>44677.037303240737</v>
      </c>
      <c r="L348" s="8">
        <f t="shared" si="112"/>
        <v>3</v>
      </c>
      <c r="M348" s="7">
        <v>44699.037303240737</v>
      </c>
      <c r="N348" t="s">
        <v>49</v>
      </c>
      <c r="O348" s="34">
        <v>44692.037303240737</v>
      </c>
      <c r="P348" t="s">
        <v>50</v>
      </c>
      <c r="Q348" t="s">
        <v>236</v>
      </c>
      <c r="R348" s="32" t="s">
        <v>7472</v>
      </c>
      <c r="S348" t="s">
        <v>7476</v>
      </c>
      <c r="T348" s="34" t="s">
        <v>7476</v>
      </c>
      <c r="U348" s="34" t="s">
        <v>7476</v>
      </c>
      <c r="V348" s="32">
        <v>44694.037303240737</v>
      </c>
      <c r="W348" s="32" t="s">
        <v>7476</v>
      </c>
      <c r="X348">
        <v>0</v>
      </c>
      <c r="Y348" s="34" t="s">
        <v>7476</v>
      </c>
      <c r="Z348" s="34" t="s">
        <v>7476</v>
      </c>
      <c r="AA348" s="34" t="s">
        <v>7476</v>
      </c>
      <c r="AB348" s="36" t="s">
        <v>95</v>
      </c>
      <c r="AD348" t="s">
        <v>1141</v>
      </c>
      <c r="AE348" t="s">
        <v>1142</v>
      </c>
      <c r="AF348" s="16">
        <v>44676</v>
      </c>
      <c r="AG348" t="s">
        <v>68</v>
      </c>
      <c r="AH348">
        <v>6</v>
      </c>
      <c r="AI348" s="8" t="str">
        <f>IFERROR(R348-AF348,"")</f>
        <v/>
      </c>
      <c r="AJ348" s="8">
        <f>IFERROR(O348-AF348,"")</f>
        <v>16.037303240736946</v>
      </c>
      <c r="AK348" s="38">
        <f t="shared" si="113"/>
        <v>44874.037303240737</v>
      </c>
      <c r="AL348" t="str">
        <f>IFERROR(Z348-W348,"")</f>
        <v/>
      </c>
      <c r="AM348" t="str">
        <f>IFERROR(R348-J348,"")</f>
        <v/>
      </c>
      <c r="AN348">
        <f>IFERROR(V348-O348,"")</f>
        <v>2</v>
      </c>
      <c r="AO348">
        <f>IFERROR(J348-I348,"")</f>
        <v>1</v>
      </c>
      <c r="AP348">
        <f>IFERROR(AC348-X348,"")</f>
        <v>0</v>
      </c>
      <c r="AQ348" t="str">
        <f>IFERROR(AA348-W348,"")</f>
        <v/>
      </c>
    </row>
    <row r="349" spans="1:43" x14ac:dyDescent="0.35">
      <c r="A349">
        <v>2268</v>
      </c>
      <c r="B349" t="s">
        <v>1143</v>
      </c>
      <c r="C349" t="s">
        <v>202</v>
      </c>
      <c r="D349" t="str">
        <f t="shared" si="111"/>
        <v>Program Office</v>
      </c>
      <c r="E349" t="s">
        <v>1045</v>
      </c>
      <c r="F349" t="s">
        <v>1046</v>
      </c>
      <c r="G349" t="s">
        <v>1047</v>
      </c>
      <c r="H349" t="s">
        <v>48</v>
      </c>
      <c r="I349" s="32">
        <v>45026.937696759262</v>
      </c>
      <c r="J349" s="32">
        <v>45030.937696759262</v>
      </c>
      <c r="K349" s="32">
        <v>45036.937696759262</v>
      </c>
      <c r="L349" s="8">
        <f t="shared" si="112"/>
        <v>10</v>
      </c>
      <c r="M349" s="7">
        <v>45066.937696759262</v>
      </c>
      <c r="N349" t="s">
        <v>49</v>
      </c>
      <c r="O349" s="34">
        <v>45052.937696759262</v>
      </c>
      <c r="P349" t="s">
        <v>50</v>
      </c>
      <c r="Q349" t="s">
        <v>236</v>
      </c>
      <c r="R349" s="32" t="s">
        <v>7472</v>
      </c>
      <c r="S349" t="s">
        <v>7476</v>
      </c>
      <c r="T349" s="34" t="s">
        <v>7476</v>
      </c>
      <c r="U349" s="34" t="s">
        <v>7476</v>
      </c>
      <c r="V349" s="32">
        <v>45056.937696759262</v>
      </c>
      <c r="W349" s="32" t="s">
        <v>7476</v>
      </c>
      <c r="X349">
        <v>0</v>
      </c>
      <c r="Y349" s="34" t="s">
        <v>7476</v>
      </c>
      <c r="Z349" s="34" t="s">
        <v>7476</v>
      </c>
      <c r="AA349" s="34" t="s">
        <v>7476</v>
      </c>
      <c r="AB349" s="36" t="s">
        <v>95</v>
      </c>
      <c r="AD349" t="s">
        <v>1144</v>
      </c>
      <c r="AE349" t="s">
        <v>1145</v>
      </c>
      <c r="AF349" s="16">
        <v>45042</v>
      </c>
      <c r="AG349" t="s">
        <v>64</v>
      </c>
      <c r="AH349">
        <v>3</v>
      </c>
      <c r="AI349" s="8" t="str">
        <f>IFERROR(R349-AF349,"")</f>
        <v/>
      </c>
      <c r="AJ349" s="8">
        <f>IFERROR(O349-AF349,"")</f>
        <v>10.937696759261598</v>
      </c>
      <c r="AK349" s="38">
        <f t="shared" si="113"/>
        <v>45146.937696759262</v>
      </c>
      <c r="AL349" t="str">
        <f>IFERROR(Z349-W349,"")</f>
        <v/>
      </c>
      <c r="AM349" t="str">
        <f>IFERROR(R349-J349,"")</f>
        <v/>
      </c>
      <c r="AN349">
        <f>IFERROR(V349-O349,"")</f>
        <v>4</v>
      </c>
      <c r="AO349">
        <f>IFERROR(J349-I349,"")</f>
        <v>4</v>
      </c>
      <c r="AP349">
        <f>IFERROR(AC349-X349,"")</f>
        <v>0</v>
      </c>
      <c r="AQ349" t="str">
        <f>IFERROR(AA349-W349,"")</f>
        <v/>
      </c>
    </row>
    <row r="350" spans="1:43" x14ac:dyDescent="0.35">
      <c r="A350">
        <v>2266</v>
      </c>
      <c r="B350" t="s">
        <v>1146</v>
      </c>
      <c r="C350" t="s">
        <v>202</v>
      </c>
      <c r="D350" t="str">
        <f t="shared" si="111"/>
        <v>Program Office</v>
      </c>
      <c r="E350" t="s">
        <v>1045</v>
      </c>
      <c r="F350" t="s">
        <v>1046</v>
      </c>
      <c r="G350" t="s">
        <v>1047</v>
      </c>
      <c r="H350" t="s">
        <v>48</v>
      </c>
      <c r="I350" s="32">
        <v>45030.937696759262</v>
      </c>
      <c r="J350" s="32" t="s">
        <v>7471</v>
      </c>
      <c r="K350" s="32" t="s">
        <v>7473</v>
      </c>
      <c r="L350" s="8" t="str">
        <f t="shared" si="112"/>
        <v/>
      </c>
      <c r="M350" s="7">
        <v>45058.937696759262</v>
      </c>
      <c r="N350" t="s">
        <v>72</v>
      </c>
      <c r="O350" s="34" t="s">
        <v>7474</v>
      </c>
      <c r="R350" s="32" t="s">
        <v>7472</v>
      </c>
      <c r="S350" t="s">
        <v>7476</v>
      </c>
      <c r="T350" s="34" t="s">
        <v>7476</v>
      </c>
      <c r="U350" s="34" t="s">
        <v>7476</v>
      </c>
      <c r="V350" s="32" t="s">
        <v>7476</v>
      </c>
      <c r="W350" s="32" t="s">
        <v>7476</v>
      </c>
      <c r="X350">
        <v>0</v>
      </c>
      <c r="Y350" s="34" t="s">
        <v>7476</v>
      </c>
      <c r="Z350" s="34" t="s">
        <v>7476</v>
      </c>
      <c r="AA350" s="34" t="s">
        <v>7476</v>
      </c>
      <c r="AB350" s="36" t="s">
        <v>7476</v>
      </c>
      <c r="AD350" t="s">
        <v>1147</v>
      </c>
      <c r="AE350" t="s">
        <v>1148</v>
      </c>
      <c r="AG350" t="s">
        <v>98</v>
      </c>
      <c r="AH350">
        <v>3</v>
      </c>
      <c r="AK350" s="38" t="str">
        <f t="shared" si="113"/>
        <v/>
      </c>
    </row>
    <row r="351" spans="1:43" x14ac:dyDescent="0.35">
      <c r="A351">
        <v>2261</v>
      </c>
      <c r="B351" t="s">
        <v>1149</v>
      </c>
      <c r="C351" t="s">
        <v>213</v>
      </c>
      <c r="D351" t="str">
        <f t="shared" si="111"/>
        <v>Program Office</v>
      </c>
      <c r="E351" t="s">
        <v>1045</v>
      </c>
      <c r="F351" t="s">
        <v>1046</v>
      </c>
      <c r="G351" t="s">
        <v>1047</v>
      </c>
      <c r="H351" t="s">
        <v>48</v>
      </c>
      <c r="I351" s="32">
        <v>45027.937696759262</v>
      </c>
      <c r="J351" s="32">
        <v>45031.937696759262</v>
      </c>
      <c r="K351" s="32">
        <v>45036.937696759262</v>
      </c>
      <c r="L351" s="8">
        <f t="shared" si="112"/>
        <v>9</v>
      </c>
      <c r="M351" s="7">
        <v>45053.937696759262</v>
      </c>
      <c r="N351" t="s">
        <v>49</v>
      </c>
      <c r="O351" s="34">
        <v>45041.937696759262</v>
      </c>
      <c r="P351" t="s">
        <v>50</v>
      </c>
      <c r="Q351" t="s">
        <v>51</v>
      </c>
      <c r="R351" s="32" t="s">
        <v>7472</v>
      </c>
      <c r="S351" t="s">
        <v>7476</v>
      </c>
      <c r="T351" s="34" t="s">
        <v>7476</v>
      </c>
      <c r="U351" s="34" t="s">
        <v>7476</v>
      </c>
      <c r="V351" s="32">
        <v>45045.937696759262</v>
      </c>
      <c r="W351" s="32" t="s">
        <v>7476</v>
      </c>
      <c r="X351">
        <v>0</v>
      </c>
      <c r="Y351" s="34" t="s">
        <v>7476</v>
      </c>
      <c r="Z351" s="34" t="s">
        <v>7476</v>
      </c>
      <c r="AA351" s="34" t="s">
        <v>7476</v>
      </c>
      <c r="AB351" s="36" t="s">
        <v>52</v>
      </c>
      <c r="AD351" t="s">
        <v>1150</v>
      </c>
      <c r="AE351" t="s">
        <v>1151</v>
      </c>
      <c r="AF351" s="16">
        <v>45031</v>
      </c>
      <c r="AG351" t="s">
        <v>64</v>
      </c>
      <c r="AH351">
        <v>6</v>
      </c>
      <c r="AI351" s="8" t="str">
        <f>IFERROR(R351-AF351,"")</f>
        <v/>
      </c>
      <c r="AJ351" s="8">
        <f>IFERROR(O351-AF351,"")</f>
        <v>10.937696759261598</v>
      </c>
      <c r="AK351" s="38">
        <f t="shared" si="113"/>
        <v>45225.937696759262</v>
      </c>
      <c r="AL351" t="str">
        <f>IFERROR(Z351-W351,"")</f>
        <v/>
      </c>
      <c r="AM351" t="str">
        <f>IFERROR(R351-J351,"")</f>
        <v/>
      </c>
      <c r="AN351">
        <f>IFERROR(V351-O351,"")</f>
        <v>4</v>
      </c>
      <c r="AO351">
        <f>IFERROR(J351-I351,"")</f>
        <v>4</v>
      </c>
      <c r="AP351">
        <f>IFERROR(AC351-X351,"")</f>
        <v>0</v>
      </c>
      <c r="AQ351" t="str">
        <f>IFERROR(AA351-W351,"")</f>
        <v/>
      </c>
    </row>
    <row r="352" spans="1:43" x14ac:dyDescent="0.35">
      <c r="A352">
        <v>2242</v>
      </c>
      <c r="B352" t="s">
        <v>1152</v>
      </c>
      <c r="C352" t="s">
        <v>217</v>
      </c>
      <c r="D352" t="str">
        <f t="shared" si="111"/>
        <v>Program Office</v>
      </c>
      <c r="E352" t="s">
        <v>1045</v>
      </c>
      <c r="F352" t="s">
        <v>1046</v>
      </c>
      <c r="G352" t="s">
        <v>1047</v>
      </c>
      <c r="H352" t="s">
        <v>48</v>
      </c>
      <c r="I352" s="32">
        <v>44926.601747685178</v>
      </c>
      <c r="J352" s="32">
        <v>44928.601747685178</v>
      </c>
      <c r="K352" s="32">
        <v>44929.601747685178</v>
      </c>
      <c r="L352" s="8">
        <f t="shared" si="112"/>
        <v>3</v>
      </c>
      <c r="M352" s="7">
        <v>44952.601747685178</v>
      </c>
      <c r="N352" t="s">
        <v>49</v>
      </c>
      <c r="O352" s="34">
        <v>44942.601747685178</v>
      </c>
      <c r="P352" t="s">
        <v>50</v>
      </c>
      <c r="Q352" t="s">
        <v>51</v>
      </c>
      <c r="R352" s="32" t="s">
        <v>7472</v>
      </c>
      <c r="S352" t="s">
        <v>7476</v>
      </c>
      <c r="T352" s="34" t="s">
        <v>7476</v>
      </c>
      <c r="U352" s="34" t="s">
        <v>7476</v>
      </c>
      <c r="V352" s="32" t="s">
        <v>7476</v>
      </c>
      <c r="W352" s="32" t="s">
        <v>7476</v>
      </c>
      <c r="X352">
        <v>0</v>
      </c>
      <c r="Y352" s="34" t="s">
        <v>7476</v>
      </c>
      <c r="Z352" s="34" t="s">
        <v>7476</v>
      </c>
      <c r="AA352" s="34" t="s">
        <v>7476</v>
      </c>
      <c r="AB352" s="36" t="s">
        <v>52</v>
      </c>
      <c r="AD352" t="s">
        <v>1153</v>
      </c>
      <c r="AE352" t="s">
        <v>1154</v>
      </c>
      <c r="AF352" s="16">
        <v>44958</v>
      </c>
      <c r="AG352" t="s">
        <v>98</v>
      </c>
      <c r="AH352">
        <v>6</v>
      </c>
      <c r="AI352" s="8" t="str">
        <f>IFERROR(R352-AF352,"")</f>
        <v/>
      </c>
      <c r="AJ352" s="8">
        <f>IFERROR(O352-AF352,"")</f>
        <v>-15.398252314822457</v>
      </c>
      <c r="AK352" s="38" t="str">
        <f t="shared" si="113"/>
        <v/>
      </c>
      <c r="AL352" t="str">
        <f>IFERROR(Z352-W352,"")</f>
        <v/>
      </c>
      <c r="AM352" t="str">
        <f>IFERROR(R352-J352,"")</f>
        <v/>
      </c>
      <c r="AN352" t="str">
        <f>IFERROR(V352-O352,"")</f>
        <v/>
      </c>
      <c r="AO352">
        <f>IFERROR(J352-I352,"")</f>
        <v>2</v>
      </c>
      <c r="AP352">
        <f>IFERROR(AC352-X352,"")</f>
        <v>0</v>
      </c>
      <c r="AQ352" t="str">
        <f>IFERROR(AA352-W352,"")</f>
        <v/>
      </c>
    </row>
    <row r="353" spans="1:43" x14ac:dyDescent="0.35">
      <c r="A353">
        <v>2199</v>
      </c>
      <c r="B353" t="s">
        <v>1155</v>
      </c>
      <c r="C353" t="s">
        <v>213</v>
      </c>
      <c r="D353" t="str">
        <f t="shared" si="111"/>
        <v>Program Office</v>
      </c>
      <c r="E353" t="s">
        <v>1045</v>
      </c>
      <c r="F353" t="s">
        <v>1046</v>
      </c>
      <c r="G353" t="s">
        <v>1047</v>
      </c>
      <c r="H353" t="s">
        <v>48</v>
      </c>
      <c r="I353" s="32">
        <v>44801.166006944448</v>
      </c>
      <c r="J353" s="32">
        <v>44802.166006944448</v>
      </c>
      <c r="K353" s="32">
        <v>44807.166006944448</v>
      </c>
      <c r="L353" s="8">
        <f t="shared" si="112"/>
        <v>6</v>
      </c>
      <c r="M353" s="7">
        <v>44820.166006944448</v>
      </c>
      <c r="N353" t="s">
        <v>49</v>
      </c>
      <c r="O353" s="34">
        <v>44824.166006944448</v>
      </c>
      <c r="P353" t="s">
        <v>60</v>
      </c>
      <c r="R353" s="32">
        <v>44827.166006944448</v>
      </c>
      <c r="S353" t="s">
        <v>61</v>
      </c>
      <c r="T353" s="34" t="s">
        <v>7476</v>
      </c>
      <c r="U353" s="34" t="s">
        <v>7476</v>
      </c>
      <c r="V353" s="32">
        <v>44825.166006944448</v>
      </c>
      <c r="W353" s="32" t="s">
        <v>7476</v>
      </c>
      <c r="X353">
        <v>0</v>
      </c>
      <c r="Y353" s="34" t="s">
        <v>7476</v>
      </c>
      <c r="Z353" s="34" t="s">
        <v>7476</v>
      </c>
      <c r="AA353" s="34" t="s">
        <v>7476</v>
      </c>
      <c r="AB353" s="36" t="s">
        <v>7476</v>
      </c>
      <c r="AD353" t="s">
        <v>1156</v>
      </c>
      <c r="AE353" t="s">
        <v>1157</v>
      </c>
      <c r="AF353" s="16">
        <v>44816</v>
      </c>
      <c r="AG353" t="s">
        <v>64</v>
      </c>
      <c r="AH353">
        <v>6</v>
      </c>
      <c r="AI353" s="8">
        <f>IFERROR(R353-AF353,"")</f>
        <v>11.166006944447872</v>
      </c>
      <c r="AJ353" s="8">
        <f>IFERROR(O353-AF353,"")</f>
        <v>8.1660069444478722</v>
      </c>
      <c r="AK353" s="38">
        <f t="shared" si="113"/>
        <v>45005.166006944448</v>
      </c>
      <c r="AL353" t="str">
        <f>IFERROR(Z353-W353,"")</f>
        <v/>
      </c>
      <c r="AM353">
        <f>IFERROR(R353-J353,"")</f>
        <v>25</v>
      </c>
      <c r="AN353">
        <f>IFERROR(V353-O353,"")</f>
        <v>1</v>
      </c>
      <c r="AO353">
        <f>IFERROR(J353-I353,"")</f>
        <v>1</v>
      </c>
      <c r="AP353">
        <f>IFERROR(AC353-X353,"")</f>
        <v>0</v>
      </c>
      <c r="AQ353" t="str">
        <f>IFERROR(AA353-W353,"")</f>
        <v/>
      </c>
    </row>
    <row r="354" spans="1:43" x14ac:dyDescent="0.35">
      <c r="A354">
        <v>2198</v>
      </c>
      <c r="B354" t="s">
        <v>1158</v>
      </c>
      <c r="C354" t="s">
        <v>217</v>
      </c>
      <c r="D354" t="str">
        <f t="shared" si="111"/>
        <v>Program Office</v>
      </c>
      <c r="E354" t="s">
        <v>1045</v>
      </c>
      <c r="F354" t="s">
        <v>1046</v>
      </c>
      <c r="G354" t="s">
        <v>1047</v>
      </c>
      <c r="H354" t="s">
        <v>48</v>
      </c>
      <c r="I354" s="32">
        <v>44798.166006944448</v>
      </c>
      <c r="J354" s="32" t="s">
        <v>7471</v>
      </c>
      <c r="K354" s="32">
        <v>44807.166006944448</v>
      </c>
      <c r="L354" s="8">
        <f t="shared" si="112"/>
        <v>9</v>
      </c>
      <c r="M354" s="7">
        <v>44818.166006944448</v>
      </c>
      <c r="N354" t="s">
        <v>72</v>
      </c>
      <c r="O354" s="34" t="s">
        <v>7474</v>
      </c>
      <c r="R354" s="32" t="s">
        <v>7472</v>
      </c>
      <c r="S354" t="s">
        <v>7476</v>
      </c>
      <c r="T354" s="34" t="s">
        <v>7476</v>
      </c>
      <c r="U354" s="34" t="s">
        <v>7476</v>
      </c>
      <c r="V354" s="32" t="s">
        <v>7476</v>
      </c>
      <c r="W354" s="32" t="s">
        <v>7476</v>
      </c>
      <c r="X354">
        <v>0</v>
      </c>
      <c r="Y354" s="34" t="s">
        <v>7476</v>
      </c>
      <c r="Z354" s="34" t="s">
        <v>7476</v>
      </c>
      <c r="AA354" s="34" t="s">
        <v>7476</v>
      </c>
      <c r="AB354" s="36" t="s">
        <v>7476</v>
      </c>
      <c r="AD354" t="s">
        <v>1159</v>
      </c>
      <c r="AE354" t="s">
        <v>1160</v>
      </c>
      <c r="AG354" t="s">
        <v>64</v>
      </c>
      <c r="AH354">
        <v>6</v>
      </c>
      <c r="AK354" s="38" t="str">
        <f t="shared" si="113"/>
        <v/>
      </c>
    </row>
    <row r="355" spans="1:43" x14ac:dyDescent="0.35">
      <c r="A355">
        <v>2196</v>
      </c>
      <c r="B355" t="s">
        <v>1161</v>
      </c>
      <c r="C355" t="s">
        <v>213</v>
      </c>
      <c r="D355" t="str">
        <f t="shared" si="111"/>
        <v>Program Office</v>
      </c>
      <c r="E355" t="s">
        <v>1045</v>
      </c>
      <c r="F355" t="s">
        <v>1046</v>
      </c>
      <c r="G355" t="s">
        <v>1047</v>
      </c>
      <c r="H355" t="s">
        <v>48</v>
      </c>
      <c r="I355" s="32" t="s">
        <v>7471</v>
      </c>
      <c r="J355" s="32">
        <v>44804.166006944448</v>
      </c>
      <c r="K355" s="32">
        <v>44807.166006944448</v>
      </c>
      <c r="L355" s="8" t="str">
        <f t="shared" si="112"/>
        <v/>
      </c>
      <c r="M355" s="7">
        <v>44814.166006944448</v>
      </c>
      <c r="N355" t="s">
        <v>49</v>
      </c>
      <c r="O355" s="34">
        <v>44814.166006944448</v>
      </c>
      <c r="P355" t="s">
        <v>101</v>
      </c>
      <c r="R355" s="32">
        <v>44820.166006944448</v>
      </c>
      <c r="S355" t="s">
        <v>101</v>
      </c>
      <c r="T355" s="34">
        <v>44816.166006944448</v>
      </c>
      <c r="U355" s="34">
        <v>44818.166006944448</v>
      </c>
      <c r="V355" s="32">
        <v>44816.166006944448</v>
      </c>
      <c r="W355" s="32">
        <v>44822.166006944448</v>
      </c>
      <c r="X355">
        <v>1</v>
      </c>
      <c r="Y355" s="34">
        <v>44825.166006944448</v>
      </c>
      <c r="Z355" s="34">
        <v>44827.166006944448</v>
      </c>
      <c r="AA355" s="34">
        <v>44830.166006944448</v>
      </c>
      <c r="AB355" s="36" t="s">
        <v>7476</v>
      </c>
      <c r="AC355" s="10">
        <v>44837.166006944448</v>
      </c>
      <c r="AD355" t="s">
        <v>1162</v>
      </c>
      <c r="AE355" t="s">
        <v>1163</v>
      </c>
      <c r="AF355" s="16">
        <v>44799</v>
      </c>
      <c r="AG355" t="s">
        <v>64</v>
      </c>
      <c r="AH355">
        <v>3</v>
      </c>
      <c r="AK355" s="38">
        <f t="shared" si="113"/>
        <v>44906.166006944448</v>
      </c>
    </row>
    <row r="356" spans="1:43" x14ac:dyDescent="0.35">
      <c r="A356">
        <v>2194</v>
      </c>
      <c r="B356" t="s">
        <v>1164</v>
      </c>
      <c r="C356" t="s">
        <v>213</v>
      </c>
      <c r="D356" t="str">
        <f t="shared" si="111"/>
        <v>Program Office</v>
      </c>
      <c r="E356" t="s">
        <v>1045</v>
      </c>
      <c r="F356" t="s">
        <v>1046</v>
      </c>
      <c r="G356" t="s">
        <v>1047</v>
      </c>
      <c r="H356" t="s">
        <v>48</v>
      </c>
      <c r="I356" s="32">
        <v>44801.166006944448</v>
      </c>
      <c r="J356" s="32">
        <v>44805.166006944448</v>
      </c>
      <c r="K356" s="32">
        <v>44807.166006944448</v>
      </c>
      <c r="L356" s="8">
        <f t="shared" si="112"/>
        <v>6</v>
      </c>
      <c r="M356" s="7">
        <v>44823.166006944448</v>
      </c>
      <c r="N356" t="s">
        <v>49</v>
      </c>
      <c r="O356" s="34">
        <v>44818.166006944448</v>
      </c>
      <c r="P356" t="s">
        <v>101</v>
      </c>
      <c r="R356" s="32">
        <v>44826.166006944448</v>
      </c>
      <c r="S356" t="s">
        <v>101</v>
      </c>
      <c r="T356" s="34">
        <v>44820.166006944448</v>
      </c>
      <c r="U356" s="34">
        <v>44824.166006944448</v>
      </c>
      <c r="V356" s="32">
        <v>44822.166006944448</v>
      </c>
      <c r="W356" s="32">
        <v>44825.166006944448</v>
      </c>
      <c r="X356">
        <v>1</v>
      </c>
      <c r="Y356" s="34">
        <v>44829.166006944448</v>
      </c>
      <c r="Z356" s="34">
        <v>44831.166006944448</v>
      </c>
      <c r="AA356" s="34">
        <v>44833.166006944448</v>
      </c>
      <c r="AB356" s="36" t="s">
        <v>7476</v>
      </c>
      <c r="AC356" s="10">
        <v>44855.166006944448</v>
      </c>
      <c r="AD356" t="s">
        <v>1165</v>
      </c>
      <c r="AE356" t="s">
        <v>1166</v>
      </c>
      <c r="AF356" s="16">
        <v>44802</v>
      </c>
      <c r="AG356" t="s">
        <v>64</v>
      </c>
      <c r="AH356">
        <v>6</v>
      </c>
      <c r="AI356" s="8">
        <f>IFERROR(R356-AF356,"")</f>
        <v>24.166006944447872</v>
      </c>
      <c r="AJ356" s="8">
        <f>IFERROR(O356-AF356,"")</f>
        <v>16.166006944447872</v>
      </c>
      <c r="AK356" s="38">
        <f t="shared" si="113"/>
        <v>45002.166006944448</v>
      </c>
      <c r="AL356">
        <f>IFERROR(Z356-W356,"")</f>
        <v>6</v>
      </c>
      <c r="AM356">
        <f>IFERROR(R356-J356,"")</f>
        <v>21</v>
      </c>
      <c r="AN356">
        <f>IFERROR(V356-O356,"")</f>
        <v>4</v>
      </c>
      <c r="AO356">
        <f>IFERROR(J356-I356,"")</f>
        <v>4</v>
      </c>
      <c r="AP356">
        <f>IFERROR(AC356-X356,"")</f>
        <v>44854.166006944448</v>
      </c>
      <c r="AQ356">
        <f>IFERROR(AA356-W356,"")</f>
        <v>8</v>
      </c>
    </row>
    <row r="357" spans="1:43" x14ac:dyDescent="0.35">
      <c r="A357">
        <v>2193</v>
      </c>
      <c r="B357" t="s">
        <v>1167</v>
      </c>
      <c r="C357" t="s">
        <v>213</v>
      </c>
      <c r="D357" t="str">
        <f t="shared" si="111"/>
        <v>Program Office</v>
      </c>
      <c r="E357" t="s">
        <v>1045</v>
      </c>
      <c r="F357" t="s">
        <v>1046</v>
      </c>
      <c r="G357" t="s">
        <v>1047</v>
      </c>
      <c r="H357" t="s">
        <v>48</v>
      </c>
      <c r="I357" s="32">
        <v>44801.166006944448</v>
      </c>
      <c r="J357" s="32">
        <v>44804.166006944448</v>
      </c>
      <c r="K357" s="32">
        <v>44807.166006944448</v>
      </c>
      <c r="L357" s="8">
        <f t="shared" si="112"/>
        <v>6</v>
      </c>
      <c r="M357" s="7">
        <v>44820.166006944448</v>
      </c>
      <c r="N357" t="s">
        <v>49</v>
      </c>
      <c r="O357" s="34">
        <v>44817.166006944448</v>
      </c>
      <c r="P357" t="s">
        <v>50</v>
      </c>
      <c r="Q357" t="s">
        <v>84</v>
      </c>
      <c r="R357" s="32" t="s">
        <v>7472</v>
      </c>
      <c r="S357" t="s">
        <v>7476</v>
      </c>
      <c r="T357" s="34" t="s">
        <v>7476</v>
      </c>
      <c r="U357" s="34" t="s">
        <v>7476</v>
      </c>
      <c r="V357" s="32">
        <v>44820.166006944448</v>
      </c>
      <c r="W357" s="32" t="s">
        <v>7476</v>
      </c>
      <c r="X357">
        <v>0</v>
      </c>
      <c r="Y357" s="34" t="s">
        <v>7476</v>
      </c>
      <c r="Z357" s="34" t="s">
        <v>7476</v>
      </c>
      <c r="AA357" s="34" t="s">
        <v>7476</v>
      </c>
      <c r="AB357" s="36" t="s">
        <v>95</v>
      </c>
      <c r="AD357" t="s">
        <v>1168</v>
      </c>
      <c r="AE357" t="s">
        <v>1169</v>
      </c>
      <c r="AF357" s="16">
        <v>44801</v>
      </c>
      <c r="AG357" t="s">
        <v>64</v>
      </c>
      <c r="AH357">
        <v>6</v>
      </c>
      <c r="AI357" s="8" t="str">
        <f>IFERROR(R357-AF357,"")</f>
        <v/>
      </c>
      <c r="AJ357" s="8">
        <f>IFERROR(O357-AF357,"")</f>
        <v>16.166006944447872</v>
      </c>
      <c r="AK357" s="38">
        <f t="shared" si="113"/>
        <v>45000.166006944448</v>
      </c>
      <c r="AL357" t="str">
        <f>IFERROR(Z357-W357,"")</f>
        <v/>
      </c>
      <c r="AM357" t="str">
        <f>IFERROR(R357-J357,"")</f>
        <v/>
      </c>
      <c r="AN357">
        <f>IFERROR(V357-O357,"")</f>
        <v>3</v>
      </c>
      <c r="AO357">
        <f>IFERROR(J357-I357,"")</f>
        <v>3</v>
      </c>
      <c r="AP357">
        <f>IFERROR(AC357-X357,"")</f>
        <v>0</v>
      </c>
      <c r="AQ357" t="str">
        <f>IFERROR(AA357-W357,"")</f>
        <v/>
      </c>
    </row>
    <row r="358" spans="1:43" x14ac:dyDescent="0.35">
      <c r="A358">
        <v>2117</v>
      </c>
      <c r="B358" t="s">
        <v>1170</v>
      </c>
      <c r="C358" t="s">
        <v>202</v>
      </c>
      <c r="D358" t="str">
        <f t="shared" si="111"/>
        <v>Program Office</v>
      </c>
      <c r="E358" t="s">
        <v>1045</v>
      </c>
      <c r="F358" t="s">
        <v>1046</v>
      </c>
      <c r="G358" t="s">
        <v>1047</v>
      </c>
      <c r="H358" t="s">
        <v>48</v>
      </c>
      <c r="I358" s="32">
        <v>45031.055439814823</v>
      </c>
      <c r="J358" s="32">
        <v>45032.055439814823</v>
      </c>
      <c r="K358" s="32">
        <v>45038.055439814823</v>
      </c>
      <c r="L358" s="8">
        <f t="shared" si="112"/>
        <v>7</v>
      </c>
      <c r="M358" s="7">
        <v>45064.055439814823</v>
      </c>
      <c r="N358" t="s">
        <v>49</v>
      </c>
      <c r="O358" s="34">
        <v>45045.055439814823</v>
      </c>
      <c r="P358" t="s">
        <v>50</v>
      </c>
      <c r="Q358" t="s">
        <v>51</v>
      </c>
      <c r="R358" s="32" t="s">
        <v>7472</v>
      </c>
      <c r="S358" t="s">
        <v>7476</v>
      </c>
      <c r="T358" s="34" t="s">
        <v>7476</v>
      </c>
      <c r="U358" s="34" t="s">
        <v>7476</v>
      </c>
      <c r="V358" s="32" t="s">
        <v>7476</v>
      </c>
      <c r="W358" s="32" t="s">
        <v>7476</v>
      </c>
      <c r="X358">
        <v>0</v>
      </c>
      <c r="Y358" s="34" t="s">
        <v>7476</v>
      </c>
      <c r="Z358" s="34" t="s">
        <v>7476</v>
      </c>
      <c r="AA358" s="34" t="s">
        <v>7476</v>
      </c>
      <c r="AB358" s="36" t="s">
        <v>95</v>
      </c>
      <c r="AD358" t="s">
        <v>1171</v>
      </c>
      <c r="AE358" t="s">
        <v>1172</v>
      </c>
      <c r="AF358" s="16">
        <v>45028</v>
      </c>
      <c r="AG358" t="s">
        <v>98</v>
      </c>
      <c r="AH358">
        <v>3</v>
      </c>
      <c r="AI358" s="8" t="str">
        <f>IFERROR(R358-AF358,"")</f>
        <v/>
      </c>
      <c r="AJ358" s="8">
        <f>IFERROR(O358-AF358,"")</f>
        <v>17.05543981482333</v>
      </c>
      <c r="AK358" s="38" t="str">
        <f t="shared" si="113"/>
        <v/>
      </c>
      <c r="AL358" t="str">
        <f>IFERROR(Z358-W358,"")</f>
        <v/>
      </c>
      <c r="AM358" t="str">
        <f>IFERROR(R358-J358,"")</f>
        <v/>
      </c>
      <c r="AN358" t="str">
        <f>IFERROR(V358-O358,"")</f>
        <v/>
      </c>
      <c r="AO358">
        <f>IFERROR(J358-I358,"")</f>
        <v>1</v>
      </c>
      <c r="AP358">
        <f>IFERROR(AC358-X358,"")</f>
        <v>0</v>
      </c>
      <c r="AQ358" t="str">
        <f>IFERROR(AA358-W358,"")</f>
        <v/>
      </c>
    </row>
    <row r="359" spans="1:43" x14ac:dyDescent="0.35">
      <c r="A359">
        <v>1983</v>
      </c>
      <c r="B359" t="s">
        <v>1173</v>
      </c>
      <c r="C359" t="s">
        <v>213</v>
      </c>
      <c r="D359" t="str">
        <f t="shared" si="111"/>
        <v>Program Office</v>
      </c>
      <c r="E359" t="s">
        <v>1045</v>
      </c>
      <c r="F359" t="s">
        <v>1046</v>
      </c>
      <c r="G359" t="s">
        <v>1047</v>
      </c>
      <c r="H359" t="s">
        <v>48</v>
      </c>
      <c r="I359" s="32">
        <v>44593.370439814818</v>
      </c>
      <c r="J359" s="32" t="s">
        <v>7471</v>
      </c>
      <c r="K359" s="32">
        <v>44601.370439814818</v>
      </c>
      <c r="L359" s="8">
        <f t="shared" si="112"/>
        <v>8</v>
      </c>
      <c r="M359" s="7">
        <v>44618.370439814818</v>
      </c>
      <c r="N359" t="s">
        <v>72</v>
      </c>
      <c r="O359" s="34" t="s">
        <v>7474</v>
      </c>
      <c r="R359" s="32" t="s">
        <v>7472</v>
      </c>
      <c r="S359" t="s">
        <v>7476</v>
      </c>
      <c r="T359" s="34" t="s">
        <v>7476</v>
      </c>
      <c r="U359" s="34" t="s">
        <v>7476</v>
      </c>
      <c r="V359" s="32" t="s">
        <v>7476</v>
      </c>
      <c r="W359" s="32" t="s">
        <v>7476</v>
      </c>
      <c r="X359">
        <v>0</v>
      </c>
      <c r="Y359" s="34" t="s">
        <v>7476</v>
      </c>
      <c r="Z359" s="34" t="s">
        <v>7476</v>
      </c>
      <c r="AA359" s="34" t="s">
        <v>7476</v>
      </c>
      <c r="AB359" s="36" t="s">
        <v>7476</v>
      </c>
      <c r="AD359" t="s">
        <v>1174</v>
      </c>
      <c r="AE359" t="s">
        <v>1175</v>
      </c>
      <c r="AG359" t="s">
        <v>64</v>
      </c>
      <c r="AH359">
        <v>6</v>
      </c>
      <c r="AK359" s="38" t="str">
        <f t="shared" si="113"/>
        <v/>
      </c>
    </row>
    <row r="360" spans="1:43" x14ac:dyDescent="0.35">
      <c r="A360">
        <v>1974</v>
      </c>
      <c r="B360" t="s">
        <v>1176</v>
      </c>
      <c r="C360" t="s">
        <v>213</v>
      </c>
      <c r="D360" t="str">
        <f t="shared" si="111"/>
        <v>Program Office</v>
      </c>
      <c r="E360" t="s">
        <v>1045</v>
      </c>
      <c r="F360" t="s">
        <v>1046</v>
      </c>
      <c r="G360" t="s">
        <v>1047</v>
      </c>
      <c r="H360" t="s">
        <v>48</v>
      </c>
      <c r="I360" s="32">
        <v>44854.498391203713</v>
      </c>
      <c r="J360" s="32">
        <v>44855.498391203713</v>
      </c>
      <c r="K360" s="32">
        <v>44860.498391203713</v>
      </c>
      <c r="L360" s="8">
        <f t="shared" si="112"/>
        <v>6</v>
      </c>
      <c r="M360" s="7">
        <v>44889.498391203713</v>
      </c>
      <c r="N360" t="s">
        <v>49</v>
      </c>
      <c r="O360" s="34">
        <v>44876.498391203713</v>
      </c>
      <c r="P360" t="s">
        <v>50</v>
      </c>
      <c r="Q360" t="s">
        <v>125</v>
      </c>
      <c r="R360" s="32" t="s">
        <v>7472</v>
      </c>
      <c r="S360" t="s">
        <v>7476</v>
      </c>
      <c r="T360" s="34" t="s">
        <v>7476</v>
      </c>
      <c r="U360" s="34" t="s">
        <v>7476</v>
      </c>
      <c r="V360" s="32">
        <v>44878.498391203713</v>
      </c>
      <c r="W360" s="32" t="s">
        <v>7476</v>
      </c>
      <c r="X360">
        <v>0</v>
      </c>
      <c r="Y360" s="34" t="s">
        <v>7476</v>
      </c>
      <c r="Z360" s="34" t="s">
        <v>7476</v>
      </c>
      <c r="AA360" s="34" t="s">
        <v>7476</v>
      </c>
      <c r="AB360" s="36" t="s">
        <v>52</v>
      </c>
      <c r="AD360" t="s">
        <v>1177</v>
      </c>
      <c r="AE360" t="s">
        <v>1178</v>
      </c>
      <c r="AF360" s="16">
        <v>44858</v>
      </c>
      <c r="AG360" t="s">
        <v>98</v>
      </c>
      <c r="AH360">
        <v>6</v>
      </c>
      <c r="AI360" s="8" t="str">
        <f>IFERROR(R360-AF360,"")</f>
        <v/>
      </c>
      <c r="AJ360" s="8">
        <f>IFERROR(O360-AF360,"")</f>
        <v>18.498391203713254</v>
      </c>
      <c r="AK360" s="38">
        <f t="shared" si="113"/>
        <v>45058.498391203713</v>
      </c>
      <c r="AL360" t="str">
        <f>IFERROR(Z360-W360,"")</f>
        <v/>
      </c>
      <c r="AM360" t="str">
        <f>IFERROR(R360-J360,"")</f>
        <v/>
      </c>
      <c r="AN360">
        <f>IFERROR(V360-O360,"")</f>
        <v>2</v>
      </c>
      <c r="AO360">
        <f>IFERROR(J360-I360,"")</f>
        <v>1</v>
      </c>
      <c r="AP360">
        <f>IFERROR(AC360-X360,"")</f>
        <v>0</v>
      </c>
      <c r="AQ360" t="str">
        <f>IFERROR(AA360-W360,"")</f>
        <v/>
      </c>
    </row>
    <row r="361" spans="1:43" x14ac:dyDescent="0.35">
      <c r="A361">
        <v>1965</v>
      </c>
      <c r="B361" t="s">
        <v>1179</v>
      </c>
      <c r="C361" t="s">
        <v>202</v>
      </c>
      <c r="D361" t="str">
        <f t="shared" si="111"/>
        <v>Program Office</v>
      </c>
      <c r="E361" t="s">
        <v>1045</v>
      </c>
      <c r="F361" t="s">
        <v>1046</v>
      </c>
      <c r="G361" t="s">
        <v>1047</v>
      </c>
      <c r="H361" t="s">
        <v>48</v>
      </c>
      <c r="I361" s="32">
        <v>44897.432847222219</v>
      </c>
      <c r="J361" s="32" t="s">
        <v>7471</v>
      </c>
      <c r="K361" s="32">
        <v>44902.432847222219</v>
      </c>
      <c r="L361" s="8">
        <f t="shared" si="112"/>
        <v>5</v>
      </c>
      <c r="M361" s="7">
        <v>44917.432847222219</v>
      </c>
      <c r="N361" t="s">
        <v>49</v>
      </c>
      <c r="O361" s="34">
        <v>44914.432847222219</v>
      </c>
      <c r="P361" t="s">
        <v>101</v>
      </c>
      <c r="R361" s="32">
        <v>44921.432847222219</v>
      </c>
      <c r="S361" t="s">
        <v>101</v>
      </c>
      <c r="T361" s="34">
        <v>44916.432847222219</v>
      </c>
      <c r="U361" s="34">
        <v>44918.432847222219</v>
      </c>
      <c r="V361" s="32">
        <v>44917.432847222219</v>
      </c>
      <c r="W361" s="32">
        <v>44918.432847222219</v>
      </c>
      <c r="X361">
        <v>1</v>
      </c>
      <c r="Y361" s="34">
        <v>44922.432847222219</v>
      </c>
      <c r="Z361" s="34">
        <v>44925.432847222219</v>
      </c>
      <c r="AA361" s="34">
        <v>44927.432847222219</v>
      </c>
      <c r="AB361" s="36" t="s">
        <v>7476</v>
      </c>
      <c r="AC361" s="10">
        <v>44947.432847222219</v>
      </c>
      <c r="AD361" t="s">
        <v>1180</v>
      </c>
      <c r="AE361" t="s">
        <v>1181</v>
      </c>
      <c r="AF361" s="16">
        <v>44877</v>
      </c>
      <c r="AG361" t="s">
        <v>93</v>
      </c>
      <c r="AH361">
        <v>6</v>
      </c>
      <c r="AK361" s="38">
        <f t="shared" si="113"/>
        <v>45097.432847222219</v>
      </c>
    </row>
    <row r="362" spans="1:43" x14ac:dyDescent="0.35">
      <c r="A362">
        <v>1963</v>
      </c>
      <c r="B362" t="s">
        <v>1182</v>
      </c>
      <c r="C362" t="s">
        <v>202</v>
      </c>
      <c r="D362" t="str">
        <f t="shared" si="111"/>
        <v>Program Office</v>
      </c>
      <c r="E362" t="s">
        <v>1045</v>
      </c>
      <c r="F362" t="s">
        <v>1046</v>
      </c>
      <c r="G362" t="s">
        <v>1047</v>
      </c>
      <c r="H362" t="s">
        <v>48</v>
      </c>
      <c r="I362" s="32">
        <v>44897.432847222219</v>
      </c>
      <c r="J362" s="32">
        <v>44899.432847222219</v>
      </c>
      <c r="K362" s="32">
        <v>44902.432847222219</v>
      </c>
      <c r="L362" s="8">
        <f t="shared" si="112"/>
        <v>5</v>
      </c>
      <c r="M362" s="7">
        <v>44914.432847222219</v>
      </c>
      <c r="N362" t="s">
        <v>49</v>
      </c>
      <c r="O362" s="34">
        <v>44912.432847222219</v>
      </c>
      <c r="P362" t="s">
        <v>50</v>
      </c>
      <c r="Q362" t="s">
        <v>51</v>
      </c>
      <c r="R362" s="32" t="s">
        <v>7472</v>
      </c>
      <c r="S362" t="s">
        <v>7476</v>
      </c>
      <c r="T362" s="34" t="s">
        <v>7476</v>
      </c>
      <c r="U362" s="34" t="s">
        <v>7476</v>
      </c>
      <c r="V362" s="32">
        <v>44913.432847222219</v>
      </c>
      <c r="W362" s="32" t="s">
        <v>7476</v>
      </c>
      <c r="X362">
        <v>0</v>
      </c>
      <c r="Y362" s="34" t="s">
        <v>7476</v>
      </c>
      <c r="Z362" s="34" t="s">
        <v>7476</v>
      </c>
      <c r="AA362" s="34" t="s">
        <v>7476</v>
      </c>
      <c r="AB362" s="36" t="s">
        <v>52</v>
      </c>
      <c r="AD362" t="s">
        <v>1183</v>
      </c>
      <c r="AE362" t="s">
        <v>1184</v>
      </c>
      <c r="AF362" s="16">
        <v>44846</v>
      </c>
      <c r="AG362" t="s">
        <v>68</v>
      </c>
      <c r="AH362">
        <v>3</v>
      </c>
      <c r="AI362" s="8" t="str">
        <f t="shared" ref="AI362:AI382" si="122">IFERROR(R362-AF362,"")</f>
        <v/>
      </c>
      <c r="AJ362" s="8">
        <f t="shared" ref="AJ362:AJ382" si="123">IFERROR(O362-AF362,"")</f>
        <v>66.432847222218697</v>
      </c>
      <c r="AK362" s="38">
        <f t="shared" si="113"/>
        <v>45003.432847222219</v>
      </c>
      <c r="AL362" t="str">
        <f t="shared" ref="AL362:AL382" si="124">IFERROR(Z362-W362,"")</f>
        <v/>
      </c>
      <c r="AM362" t="str">
        <f t="shared" ref="AM362:AM382" si="125">IFERROR(R362-J362,"")</f>
        <v/>
      </c>
      <c r="AN362">
        <f t="shared" ref="AN362:AN382" si="126">IFERROR(V362-O362,"")</f>
        <v>1</v>
      </c>
      <c r="AO362">
        <f t="shared" ref="AO362:AO382" si="127">IFERROR(J362-I362,"")</f>
        <v>2</v>
      </c>
      <c r="AP362">
        <f t="shared" ref="AP362:AP382" si="128">IFERROR(AC362-X362,"")</f>
        <v>0</v>
      </c>
      <c r="AQ362" t="str">
        <f t="shared" ref="AQ362:AQ382" si="129">IFERROR(AA362-W362,"")</f>
        <v/>
      </c>
    </row>
    <row r="363" spans="1:43" x14ac:dyDescent="0.35">
      <c r="A363">
        <v>1962</v>
      </c>
      <c r="B363" t="s">
        <v>1185</v>
      </c>
      <c r="C363" t="s">
        <v>217</v>
      </c>
      <c r="D363" t="str">
        <f t="shared" si="111"/>
        <v>Program Office</v>
      </c>
      <c r="E363" t="s">
        <v>1045</v>
      </c>
      <c r="F363" t="s">
        <v>1046</v>
      </c>
      <c r="G363" t="s">
        <v>1047</v>
      </c>
      <c r="H363" t="s">
        <v>48</v>
      </c>
      <c r="I363" s="32">
        <v>44897.432847222219</v>
      </c>
      <c r="J363" s="32">
        <v>44900.432847222219</v>
      </c>
      <c r="K363" s="32">
        <v>44902.432847222219</v>
      </c>
      <c r="L363" s="8">
        <f t="shared" si="112"/>
        <v>5</v>
      </c>
      <c r="M363" s="7">
        <v>44915.432847222219</v>
      </c>
      <c r="N363" t="s">
        <v>49</v>
      </c>
      <c r="O363" s="34">
        <v>44904.432847222219</v>
      </c>
      <c r="P363" t="s">
        <v>50</v>
      </c>
      <c r="Q363" t="s">
        <v>236</v>
      </c>
      <c r="R363" s="32" t="s">
        <v>7472</v>
      </c>
      <c r="S363" t="s">
        <v>7476</v>
      </c>
      <c r="T363" s="34" t="s">
        <v>7476</v>
      </c>
      <c r="U363" s="34" t="s">
        <v>7476</v>
      </c>
      <c r="V363" s="32">
        <v>44908.432847222219</v>
      </c>
      <c r="W363" s="32" t="s">
        <v>7476</v>
      </c>
      <c r="X363">
        <v>0</v>
      </c>
      <c r="Y363" s="34" t="s">
        <v>7476</v>
      </c>
      <c r="Z363" s="34" t="s">
        <v>7476</v>
      </c>
      <c r="AA363" s="34" t="s">
        <v>7476</v>
      </c>
      <c r="AB363" s="36" t="s">
        <v>95</v>
      </c>
      <c r="AD363" t="s">
        <v>1186</v>
      </c>
      <c r="AE363" t="s">
        <v>1187</v>
      </c>
      <c r="AF363" s="16">
        <v>44892</v>
      </c>
      <c r="AG363" t="s">
        <v>68</v>
      </c>
      <c r="AH363">
        <v>6</v>
      </c>
      <c r="AI363" s="8" t="str">
        <f t="shared" si="122"/>
        <v/>
      </c>
      <c r="AJ363" s="8">
        <f t="shared" si="123"/>
        <v>12.432847222218697</v>
      </c>
      <c r="AK363" s="38">
        <f t="shared" si="113"/>
        <v>45088.432847222219</v>
      </c>
      <c r="AL363" t="str">
        <f t="shared" si="124"/>
        <v/>
      </c>
      <c r="AM363" t="str">
        <f t="shared" si="125"/>
        <v/>
      </c>
      <c r="AN363">
        <f t="shared" si="126"/>
        <v>4</v>
      </c>
      <c r="AO363">
        <f t="shared" si="127"/>
        <v>3</v>
      </c>
      <c r="AP363">
        <f t="shared" si="128"/>
        <v>0</v>
      </c>
      <c r="AQ363" t="str">
        <f t="shared" si="129"/>
        <v/>
      </c>
    </row>
    <row r="364" spans="1:43" x14ac:dyDescent="0.35">
      <c r="A364">
        <v>1852</v>
      </c>
      <c r="B364" t="s">
        <v>1188</v>
      </c>
      <c r="C364" t="s">
        <v>213</v>
      </c>
      <c r="D364" t="str">
        <f t="shared" si="111"/>
        <v>Program Office</v>
      </c>
      <c r="E364" t="s">
        <v>1045</v>
      </c>
      <c r="F364" t="s">
        <v>1046</v>
      </c>
      <c r="G364" t="s">
        <v>1047</v>
      </c>
      <c r="H364" t="s">
        <v>48</v>
      </c>
      <c r="I364" s="32">
        <v>44875.077060185176</v>
      </c>
      <c r="J364" s="32">
        <v>44876.077060185176</v>
      </c>
      <c r="K364" s="32">
        <v>44882.077060185176</v>
      </c>
      <c r="L364" s="8">
        <f t="shared" si="112"/>
        <v>7</v>
      </c>
      <c r="M364" s="7">
        <v>44899.077060185176</v>
      </c>
      <c r="N364" t="s">
        <v>72</v>
      </c>
      <c r="O364" s="34" t="s">
        <v>7474</v>
      </c>
      <c r="R364" s="32" t="s">
        <v>7472</v>
      </c>
      <c r="S364" t="s">
        <v>7476</v>
      </c>
      <c r="T364" s="34" t="s">
        <v>7476</v>
      </c>
      <c r="U364" s="34" t="s">
        <v>7476</v>
      </c>
      <c r="V364" s="32" t="s">
        <v>7476</v>
      </c>
      <c r="W364" s="32" t="s">
        <v>7476</v>
      </c>
      <c r="X364">
        <v>0</v>
      </c>
      <c r="Y364" s="34" t="s">
        <v>7476</v>
      </c>
      <c r="Z364" s="34" t="s">
        <v>7476</v>
      </c>
      <c r="AA364" s="34" t="s">
        <v>7476</v>
      </c>
      <c r="AB364" s="36" t="s">
        <v>7476</v>
      </c>
      <c r="AD364" t="s">
        <v>1189</v>
      </c>
      <c r="AE364" t="s">
        <v>1190</v>
      </c>
      <c r="AG364" t="s">
        <v>64</v>
      </c>
      <c r="AH364">
        <v>6</v>
      </c>
      <c r="AI364" s="8" t="str">
        <f t="shared" si="122"/>
        <v/>
      </c>
      <c r="AJ364" s="8" t="str">
        <f t="shared" si="123"/>
        <v/>
      </c>
      <c r="AK364" s="38" t="str">
        <f t="shared" si="113"/>
        <v/>
      </c>
      <c r="AL364" t="str">
        <f t="shared" si="124"/>
        <v/>
      </c>
      <c r="AM364" t="str">
        <f t="shared" si="125"/>
        <v/>
      </c>
      <c r="AN364" t="str">
        <f t="shared" si="126"/>
        <v/>
      </c>
      <c r="AO364">
        <f t="shared" si="127"/>
        <v>1</v>
      </c>
      <c r="AP364">
        <f t="shared" si="128"/>
        <v>0</v>
      </c>
      <c r="AQ364" t="str">
        <f t="shared" si="129"/>
        <v/>
      </c>
    </row>
    <row r="365" spans="1:43" x14ac:dyDescent="0.35">
      <c r="A365">
        <v>1818</v>
      </c>
      <c r="B365" t="s">
        <v>1191</v>
      </c>
      <c r="C365" t="s">
        <v>213</v>
      </c>
      <c r="D365" t="str">
        <f t="shared" si="111"/>
        <v>Program Office</v>
      </c>
      <c r="E365" t="s">
        <v>1045</v>
      </c>
      <c r="F365" t="s">
        <v>1046</v>
      </c>
      <c r="G365" t="s">
        <v>1047</v>
      </c>
      <c r="H365" t="s">
        <v>48</v>
      </c>
      <c r="I365" s="32">
        <v>44824.186388888891</v>
      </c>
      <c r="J365" s="32">
        <v>44825.186388888891</v>
      </c>
      <c r="K365" s="32">
        <v>44829.186388888891</v>
      </c>
      <c r="L365" s="8">
        <f t="shared" si="112"/>
        <v>5</v>
      </c>
      <c r="M365" s="7">
        <v>44841.186388888891</v>
      </c>
      <c r="N365" t="s">
        <v>49</v>
      </c>
      <c r="O365" s="34">
        <v>44845.186388888891</v>
      </c>
      <c r="P365" t="s">
        <v>50</v>
      </c>
      <c r="Q365" t="s">
        <v>51</v>
      </c>
      <c r="R365" s="32" t="s">
        <v>7472</v>
      </c>
      <c r="S365" t="s">
        <v>7476</v>
      </c>
      <c r="T365" s="34" t="s">
        <v>7476</v>
      </c>
      <c r="U365" s="34" t="s">
        <v>7476</v>
      </c>
      <c r="V365" s="32" t="s">
        <v>7476</v>
      </c>
      <c r="W365" s="32" t="s">
        <v>7476</v>
      </c>
      <c r="X365">
        <v>0</v>
      </c>
      <c r="Y365" s="34" t="s">
        <v>7476</v>
      </c>
      <c r="Z365" s="34" t="s">
        <v>7476</v>
      </c>
      <c r="AA365" s="34" t="s">
        <v>7476</v>
      </c>
      <c r="AB365" s="36" t="s">
        <v>52</v>
      </c>
      <c r="AD365" t="s">
        <v>1192</v>
      </c>
      <c r="AE365" t="s">
        <v>1193</v>
      </c>
      <c r="AF365" s="16">
        <v>44722</v>
      </c>
      <c r="AG365" t="s">
        <v>64</v>
      </c>
      <c r="AH365">
        <v>6</v>
      </c>
      <c r="AI365" s="8" t="str">
        <f t="shared" si="122"/>
        <v/>
      </c>
      <c r="AJ365" s="8">
        <f t="shared" si="123"/>
        <v>123.18638888889109</v>
      </c>
      <c r="AK365" s="38" t="str">
        <f t="shared" si="113"/>
        <v/>
      </c>
      <c r="AL365" t="str">
        <f t="shared" si="124"/>
        <v/>
      </c>
      <c r="AM365" t="str">
        <f t="shared" si="125"/>
        <v/>
      </c>
      <c r="AN365" t="str">
        <f t="shared" si="126"/>
        <v/>
      </c>
      <c r="AO365">
        <f t="shared" si="127"/>
        <v>1</v>
      </c>
      <c r="AP365">
        <f t="shared" si="128"/>
        <v>0</v>
      </c>
      <c r="AQ365" t="str">
        <f t="shared" si="129"/>
        <v/>
      </c>
    </row>
    <row r="366" spans="1:43" x14ac:dyDescent="0.35">
      <c r="A366">
        <v>1814</v>
      </c>
      <c r="B366" t="s">
        <v>1194</v>
      </c>
      <c r="C366" t="s">
        <v>213</v>
      </c>
      <c r="D366" t="str">
        <f t="shared" si="111"/>
        <v>Program Office</v>
      </c>
      <c r="E366" t="s">
        <v>1045</v>
      </c>
      <c r="F366" t="s">
        <v>1046</v>
      </c>
      <c r="G366" t="s">
        <v>1047</v>
      </c>
      <c r="H366" t="s">
        <v>48</v>
      </c>
      <c r="I366" s="32">
        <v>44822.186388888891</v>
      </c>
      <c r="J366" s="32">
        <v>44826.186388888891</v>
      </c>
      <c r="K366" s="32">
        <v>44829.186388888891</v>
      </c>
      <c r="L366" s="8">
        <f t="shared" si="112"/>
        <v>7</v>
      </c>
      <c r="M366" s="7">
        <v>44843.186388888891</v>
      </c>
      <c r="N366" t="s">
        <v>49</v>
      </c>
      <c r="O366" s="34">
        <v>44837.186388888891</v>
      </c>
      <c r="P366" t="s">
        <v>50</v>
      </c>
      <c r="Q366" t="s">
        <v>236</v>
      </c>
      <c r="R366" s="32" t="s">
        <v>7472</v>
      </c>
      <c r="S366" t="s">
        <v>7476</v>
      </c>
      <c r="T366" s="34" t="s">
        <v>7476</v>
      </c>
      <c r="U366" s="34" t="s">
        <v>7476</v>
      </c>
      <c r="V366" s="32" t="s">
        <v>7476</v>
      </c>
      <c r="W366" s="32" t="s">
        <v>7476</v>
      </c>
      <c r="X366">
        <v>0</v>
      </c>
      <c r="Y366" s="34" t="s">
        <v>7476</v>
      </c>
      <c r="Z366" s="34" t="s">
        <v>7476</v>
      </c>
      <c r="AA366" s="34" t="s">
        <v>7476</v>
      </c>
      <c r="AB366" s="36" t="s">
        <v>52</v>
      </c>
      <c r="AD366" t="s">
        <v>1195</v>
      </c>
      <c r="AE366" t="s">
        <v>1196</v>
      </c>
      <c r="AF366" s="16">
        <v>44820</v>
      </c>
      <c r="AG366" t="s">
        <v>98</v>
      </c>
      <c r="AH366">
        <v>3</v>
      </c>
      <c r="AI366" s="8" t="str">
        <f t="shared" si="122"/>
        <v/>
      </c>
      <c r="AJ366" s="8">
        <f t="shared" si="123"/>
        <v>17.186388888891088</v>
      </c>
      <c r="AK366" s="38" t="str">
        <f t="shared" si="113"/>
        <v/>
      </c>
      <c r="AL366" t="str">
        <f t="shared" si="124"/>
        <v/>
      </c>
      <c r="AM366" t="str">
        <f t="shared" si="125"/>
        <v/>
      </c>
      <c r="AN366" t="str">
        <f t="shared" si="126"/>
        <v/>
      </c>
      <c r="AO366">
        <f t="shared" si="127"/>
        <v>4</v>
      </c>
      <c r="AP366">
        <f t="shared" si="128"/>
        <v>0</v>
      </c>
      <c r="AQ366" t="str">
        <f t="shared" si="129"/>
        <v/>
      </c>
    </row>
    <row r="367" spans="1:43" x14ac:dyDescent="0.35">
      <c r="A367">
        <v>1810</v>
      </c>
      <c r="B367" t="s">
        <v>1197</v>
      </c>
      <c r="C367" t="s">
        <v>202</v>
      </c>
      <c r="D367" t="str">
        <f t="shared" si="111"/>
        <v>Program Office</v>
      </c>
      <c r="E367" t="s">
        <v>1045</v>
      </c>
      <c r="F367" t="s">
        <v>1046</v>
      </c>
      <c r="G367" t="s">
        <v>1047</v>
      </c>
      <c r="H367" t="s">
        <v>48</v>
      </c>
      <c r="I367" s="32">
        <v>45122.017708333333</v>
      </c>
      <c r="J367" s="32">
        <v>45124.017708333333</v>
      </c>
      <c r="K367" s="32">
        <v>45127.017708333333</v>
      </c>
      <c r="L367" s="8">
        <f t="shared" si="112"/>
        <v>5</v>
      </c>
      <c r="M367" s="7">
        <v>45143.017708333333</v>
      </c>
      <c r="N367" t="s">
        <v>49</v>
      </c>
      <c r="O367" s="34">
        <v>45143.017708333333</v>
      </c>
      <c r="P367" t="s">
        <v>50</v>
      </c>
      <c r="Q367" t="s">
        <v>198</v>
      </c>
      <c r="R367" s="32" t="s">
        <v>7472</v>
      </c>
      <c r="S367" t="s">
        <v>7476</v>
      </c>
      <c r="T367" s="34" t="s">
        <v>7476</v>
      </c>
      <c r="U367" s="34" t="s">
        <v>7476</v>
      </c>
      <c r="V367" s="32">
        <v>45146.017708333333</v>
      </c>
      <c r="W367" s="32" t="s">
        <v>7476</v>
      </c>
      <c r="X367">
        <v>0</v>
      </c>
      <c r="Y367" s="34" t="s">
        <v>7476</v>
      </c>
      <c r="Z367" s="34" t="s">
        <v>7476</v>
      </c>
      <c r="AA367" s="34" t="s">
        <v>7476</v>
      </c>
      <c r="AB367" s="36" t="s">
        <v>95</v>
      </c>
      <c r="AD367" t="s">
        <v>1198</v>
      </c>
      <c r="AE367" t="s">
        <v>1199</v>
      </c>
      <c r="AF367" s="16">
        <v>45128</v>
      </c>
      <c r="AG367" t="s">
        <v>64</v>
      </c>
      <c r="AH367">
        <v>3</v>
      </c>
      <c r="AI367" s="8" t="str">
        <f t="shared" si="122"/>
        <v/>
      </c>
      <c r="AJ367" s="8">
        <f t="shared" si="123"/>
        <v>15.017708333332848</v>
      </c>
      <c r="AK367" s="38">
        <f t="shared" si="113"/>
        <v>45236.017708333333</v>
      </c>
      <c r="AL367" t="str">
        <f t="shared" si="124"/>
        <v/>
      </c>
      <c r="AM367" t="str">
        <f t="shared" si="125"/>
        <v/>
      </c>
      <c r="AN367">
        <f t="shared" si="126"/>
        <v>3</v>
      </c>
      <c r="AO367">
        <f t="shared" si="127"/>
        <v>2</v>
      </c>
      <c r="AP367">
        <f t="shared" si="128"/>
        <v>0</v>
      </c>
      <c r="AQ367" t="str">
        <f t="shared" si="129"/>
        <v/>
      </c>
    </row>
    <row r="368" spans="1:43" x14ac:dyDescent="0.35">
      <c r="A368">
        <v>1804</v>
      </c>
      <c r="B368" t="s">
        <v>1200</v>
      </c>
      <c r="C368" t="s">
        <v>217</v>
      </c>
      <c r="D368" t="str">
        <f t="shared" si="111"/>
        <v>Program Office</v>
      </c>
      <c r="E368" t="s">
        <v>1045</v>
      </c>
      <c r="F368" t="s">
        <v>1046</v>
      </c>
      <c r="G368" t="s">
        <v>1047</v>
      </c>
      <c r="H368" t="s">
        <v>48</v>
      </c>
      <c r="I368" s="32">
        <v>45123.017708333333</v>
      </c>
      <c r="J368" s="32">
        <v>45125.017708333333</v>
      </c>
      <c r="K368" s="32">
        <v>45127.017708333333</v>
      </c>
      <c r="L368" s="8">
        <f t="shared" si="112"/>
        <v>4</v>
      </c>
      <c r="M368" s="7">
        <v>45145.017708333333</v>
      </c>
      <c r="N368" t="s">
        <v>49</v>
      </c>
      <c r="O368" s="34">
        <v>45142.017708333333</v>
      </c>
      <c r="P368" t="s">
        <v>50</v>
      </c>
      <c r="Q368" t="s">
        <v>125</v>
      </c>
      <c r="R368" s="32" t="s">
        <v>7472</v>
      </c>
      <c r="S368" t="s">
        <v>7476</v>
      </c>
      <c r="T368" s="34" t="s">
        <v>7476</v>
      </c>
      <c r="U368" s="34" t="s">
        <v>7476</v>
      </c>
      <c r="V368" s="32" t="s">
        <v>7476</v>
      </c>
      <c r="W368" s="32" t="s">
        <v>7476</v>
      </c>
      <c r="X368">
        <v>0</v>
      </c>
      <c r="Y368" s="34" t="s">
        <v>7476</v>
      </c>
      <c r="Z368" s="34" t="s">
        <v>7476</v>
      </c>
      <c r="AA368" s="34" t="s">
        <v>7476</v>
      </c>
      <c r="AB368" s="36" t="s">
        <v>52</v>
      </c>
      <c r="AD368" t="s">
        <v>1201</v>
      </c>
      <c r="AE368" t="s">
        <v>1202</v>
      </c>
      <c r="AF368" s="16">
        <v>45133</v>
      </c>
      <c r="AG368" t="s">
        <v>64</v>
      </c>
      <c r="AH368">
        <v>6</v>
      </c>
      <c r="AI368" s="8" t="str">
        <f t="shared" si="122"/>
        <v/>
      </c>
      <c r="AJ368" s="8">
        <f t="shared" si="123"/>
        <v>9.0177083333328483</v>
      </c>
      <c r="AK368" s="38" t="str">
        <f t="shared" si="113"/>
        <v/>
      </c>
      <c r="AL368" t="str">
        <f t="shared" si="124"/>
        <v/>
      </c>
      <c r="AM368" t="str">
        <f t="shared" si="125"/>
        <v/>
      </c>
      <c r="AN368" t="str">
        <f t="shared" si="126"/>
        <v/>
      </c>
      <c r="AO368">
        <f t="shared" si="127"/>
        <v>2</v>
      </c>
      <c r="AP368">
        <f t="shared" si="128"/>
        <v>0</v>
      </c>
      <c r="AQ368" t="str">
        <f t="shared" si="129"/>
        <v/>
      </c>
    </row>
    <row r="369" spans="1:43" x14ac:dyDescent="0.35">
      <c r="A369">
        <v>1799</v>
      </c>
      <c r="B369" t="s">
        <v>1203</v>
      </c>
      <c r="C369" t="s">
        <v>213</v>
      </c>
      <c r="D369" t="str">
        <f t="shared" si="111"/>
        <v>Program Office</v>
      </c>
      <c r="E369" t="s">
        <v>1045</v>
      </c>
      <c r="F369" t="s">
        <v>1046</v>
      </c>
      <c r="G369" t="s">
        <v>1047</v>
      </c>
      <c r="H369" t="s">
        <v>48</v>
      </c>
      <c r="I369" s="32">
        <v>44832.47960648148</v>
      </c>
      <c r="J369" s="32">
        <v>44835.47960648148</v>
      </c>
      <c r="K369" s="32">
        <v>44837.47960648148</v>
      </c>
      <c r="L369" s="8">
        <f t="shared" si="112"/>
        <v>5</v>
      </c>
      <c r="M369" s="7">
        <v>44848.47960648148</v>
      </c>
      <c r="N369" t="s">
        <v>72</v>
      </c>
      <c r="O369" s="34" t="s">
        <v>7474</v>
      </c>
      <c r="R369" s="32" t="s">
        <v>7472</v>
      </c>
      <c r="S369" t="s">
        <v>7476</v>
      </c>
      <c r="T369" s="34" t="s">
        <v>7476</v>
      </c>
      <c r="U369" s="34" t="s">
        <v>7476</v>
      </c>
      <c r="V369" s="32" t="s">
        <v>7476</v>
      </c>
      <c r="W369" s="32" t="s">
        <v>7476</v>
      </c>
      <c r="X369">
        <v>0</v>
      </c>
      <c r="Y369" s="34" t="s">
        <v>7476</v>
      </c>
      <c r="Z369" s="34" t="s">
        <v>7476</v>
      </c>
      <c r="AA369" s="34" t="s">
        <v>7476</v>
      </c>
      <c r="AB369" s="36" t="s">
        <v>7476</v>
      </c>
      <c r="AD369" t="s">
        <v>1204</v>
      </c>
      <c r="AE369" t="s">
        <v>1205</v>
      </c>
      <c r="AG369" t="s">
        <v>98</v>
      </c>
      <c r="AH369">
        <v>6</v>
      </c>
      <c r="AI369" s="8" t="str">
        <f t="shared" si="122"/>
        <v/>
      </c>
      <c r="AJ369" s="8" t="str">
        <f t="shared" si="123"/>
        <v/>
      </c>
      <c r="AK369" s="38" t="str">
        <f t="shared" si="113"/>
        <v/>
      </c>
      <c r="AL369" t="str">
        <f t="shared" si="124"/>
        <v/>
      </c>
      <c r="AM369" t="str">
        <f t="shared" si="125"/>
        <v/>
      </c>
      <c r="AN369" t="str">
        <f t="shared" si="126"/>
        <v/>
      </c>
      <c r="AO369">
        <f t="shared" si="127"/>
        <v>3</v>
      </c>
      <c r="AP369">
        <f t="shared" si="128"/>
        <v>0</v>
      </c>
      <c r="AQ369" t="str">
        <f t="shared" si="129"/>
        <v/>
      </c>
    </row>
    <row r="370" spans="1:43" x14ac:dyDescent="0.35">
      <c r="A370">
        <v>1688</v>
      </c>
      <c r="B370" t="s">
        <v>1206</v>
      </c>
      <c r="C370" t="s">
        <v>213</v>
      </c>
      <c r="D370" t="str">
        <f t="shared" si="111"/>
        <v>Program Office</v>
      </c>
      <c r="E370" t="s">
        <v>1045</v>
      </c>
      <c r="F370" t="s">
        <v>1046</v>
      </c>
      <c r="G370" t="s">
        <v>1047</v>
      </c>
      <c r="H370" t="s">
        <v>48</v>
      </c>
      <c r="I370" s="32">
        <v>44660.28056712963</v>
      </c>
      <c r="J370" s="32">
        <v>44663.28056712963</v>
      </c>
      <c r="K370" s="32">
        <v>44666.28056712963</v>
      </c>
      <c r="L370" s="8">
        <f t="shared" si="112"/>
        <v>6</v>
      </c>
      <c r="M370" s="7">
        <v>44681.28056712963</v>
      </c>
      <c r="N370" t="s">
        <v>49</v>
      </c>
      <c r="O370" s="34">
        <v>44670.28056712963</v>
      </c>
      <c r="P370" t="s">
        <v>50</v>
      </c>
      <c r="Q370" t="s">
        <v>125</v>
      </c>
      <c r="R370" s="32" t="s">
        <v>7472</v>
      </c>
      <c r="S370" t="s">
        <v>7476</v>
      </c>
      <c r="T370" s="34" t="s">
        <v>7476</v>
      </c>
      <c r="U370" s="34" t="s">
        <v>7476</v>
      </c>
      <c r="V370" s="32">
        <v>44672.28056712963</v>
      </c>
      <c r="W370" s="32" t="s">
        <v>7476</v>
      </c>
      <c r="X370">
        <v>0</v>
      </c>
      <c r="Y370" s="34" t="s">
        <v>7476</v>
      </c>
      <c r="Z370" s="34" t="s">
        <v>7476</v>
      </c>
      <c r="AA370" s="34" t="s">
        <v>7476</v>
      </c>
      <c r="AB370" s="36" t="s">
        <v>52</v>
      </c>
      <c r="AD370" t="s">
        <v>1207</v>
      </c>
      <c r="AE370" t="s">
        <v>1208</v>
      </c>
      <c r="AF370" s="16">
        <v>44661</v>
      </c>
      <c r="AG370" t="s">
        <v>64</v>
      </c>
      <c r="AH370">
        <v>3</v>
      </c>
      <c r="AI370" s="8" t="str">
        <f t="shared" si="122"/>
        <v/>
      </c>
      <c r="AJ370" s="8">
        <f t="shared" si="123"/>
        <v>9.2805671296300716</v>
      </c>
      <c r="AK370" s="38">
        <f t="shared" si="113"/>
        <v>44762.28056712963</v>
      </c>
      <c r="AL370" t="str">
        <f t="shared" si="124"/>
        <v/>
      </c>
      <c r="AM370" t="str">
        <f t="shared" si="125"/>
        <v/>
      </c>
      <c r="AN370">
        <f t="shared" si="126"/>
        <v>2</v>
      </c>
      <c r="AO370">
        <f t="shared" si="127"/>
        <v>3</v>
      </c>
      <c r="AP370">
        <f t="shared" si="128"/>
        <v>0</v>
      </c>
      <c r="AQ370" t="str">
        <f t="shared" si="129"/>
        <v/>
      </c>
    </row>
    <row r="371" spans="1:43" x14ac:dyDescent="0.35">
      <c r="A371">
        <v>1669</v>
      </c>
      <c r="B371" t="s">
        <v>1209</v>
      </c>
      <c r="C371" t="s">
        <v>213</v>
      </c>
      <c r="D371" t="str">
        <f t="shared" si="111"/>
        <v>Program Office</v>
      </c>
      <c r="E371" t="s">
        <v>1045</v>
      </c>
      <c r="F371" t="s">
        <v>1046</v>
      </c>
      <c r="G371" t="s">
        <v>1047</v>
      </c>
      <c r="H371" t="s">
        <v>48</v>
      </c>
      <c r="I371" s="32">
        <v>44674.935347222221</v>
      </c>
      <c r="J371" s="32">
        <v>44675.935347222221</v>
      </c>
      <c r="K371" s="32">
        <v>44678.935347222221</v>
      </c>
      <c r="L371" s="8">
        <f t="shared" si="112"/>
        <v>4</v>
      </c>
      <c r="M371" s="7">
        <v>44692.935347222221</v>
      </c>
      <c r="N371" t="s">
        <v>49</v>
      </c>
      <c r="O371" s="34">
        <v>44695.935347222221</v>
      </c>
      <c r="P371" t="s">
        <v>50</v>
      </c>
      <c r="Q371" t="s">
        <v>125</v>
      </c>
      <c r="R371" s="32" t="s">
        <v>7472</v>
      </c>
      <c r="S371" t="s">
        <v>7476</v>
      </c>
      <c r="T371" s="34" t="s">
        <v>7476</v>
      </c>
      <c r="U371" s="34" t="s">
        <v>7476</v>
      </c>
      <c r="V371" s="32">
        <v>44697.935347222221</v>
      </c>
      <c r="W371" s="32" t="s">
        <v>7476</v>
      </c>
      <c r="X371">
        <v>0</v>
      </c>
      <c r="Y371" s="34" t="s">
        <v>7476</v>
      </c>
      <c r="Z371" s="34" t="s">
        <v>7476</v>
      </c>
      <c r="AA371" s="34" t="s">
        <v>7476</v>
      </c>
      <c r="AB371" s="36" t="s">
        <v>52</v>
      </c>
      <c r="AD371" t="s">
        <v>1210</v>
      </c>
      <c r="AE371" t="s">
        <v>1211</v>
      </c>
      <c r="AF371" s="16">
        <v>44681</v>
      </c>
      <c r="AG371" t="s">
        <v>68</v>
      </c>
      <c r="AH371">
        <v>6</v>
      </c>
      <c r="AI371" s="8" t="str">
        <f t="shared" si="122"/>
        <v/>
      </c>
      <c r="AJ371" s="8">
        <f t="shared" si="123"/>
        <v>14.935347222221026</v>
      </c>
      <c r="AK371" s="38">
        <f t="shared" si="113"/>
        <v>44877.935347222221</v>
      </c>
      <c r="AL371" t="str">
        <f t="shared" si="124"/>
        <v/>
      </c>
      <c r="AM371" t="str">
        <f t="shared" si="125"/>
        <v/>
      </c>
      <c r="AN371">
        <f t="shared" si="126"/>
        <v>2</v>
      </c>
      <c r="AO371">
        <f t="shared" si="127"/>
        <v>1</v>
      </c>
      <c r="AP371">
        <f t="shared" si="128"/>
        <v>0</v>
      </c>
      <c r="AQ371" t="str">
        <f t="shared" si="129"/>
        <v/>
      </c>
    </row>
    <row r="372" spans="1:43" x14ac:dyDescent="0.35">
      <c r="A372">
        <v>1664</v>
      </c>
      <c r="B372" t="s">
        <v>1212</v>
      </c>
      <c r="C372" t="s">
        <v>202</v>
      </c>
      <c r="D372" t="str">
        <f t="shared" si="111"/>
        <v>Program Office</v>
      </c>
      <c r="E372" t="s">
        <v>1045</v>
      </c>
      <c r="F372" t="s">
        <v>1046</v>
      </c>
      <c r="G372" t="s">
        <v>1047</v>
      </c>
      <c r="H372" t="s">
        <v>48</v>
      </c>
      <c r="I372" s="32">
        <v>44672.935347222221</v>
      </c>
      <c r="J372" s="32">
        <v>44674.935347222221</v>
      </c>
      <c r="K372" s="32">
        <v>44678.935347222221</v>
      </c>
      <c r="L372" s="8">
        <f t="shared" si="112"/>
        <v>6</v>
      </c>
      <c r="M372" s="7">
        <v>44707.935347222221</v>
      </c>
      <c r="N372" t="s">
        <v>49</v>
      </c>
      <c r="O372" s="34">
        <v>44692.935347222221</v>
      </c>
      <c r="P372" t="s">
        <v>101</v>
      </c>
      <c r="R372" s="32">
        <v>44699.935347222221</v>
      </c>
      <c r="S372" t="s">
        <v>101</v>
      </c>
      <c r="T372" s="34">
        <v>44694.935347222221</v>
      </c>
      <c r="U372" s="34">
        <v>44698.935347222221</v>
      </c>
      <c r="V372" s="32">
        <v>44696.935347222221</v>
      </c>
      <c r="W372" s="32">
        <v>44700.935347222221</v>
      </c>
      <c r="X372">
        <v>1</v>
      </c>
      <c r="Y372" s="34">
        <v>44703.935347222221</v>
      </c>
      <c r="Z372" s="34">
        <v>44706.935347222221</v>
      </c>
      <c r="AA372" s="34">
        <v>44708.935347222221</v>
      </c>
      <c r="AB372" s="36" t="s">
        <v>7476</v>
      </c>
      <c r="AC372" s="10">
        <v>44721.935347222221</v>
      </c>
      <c r="AD372" t="s">
        <v>1213</v>
      </c>
      <c r="AE372" t="s">
        <v>1214</v>
      </c>
      <c r="AF372" s="16">
        <v>44687</v>
      </c>
      <c r="AG372" t="s">
        <v>98</v>
      </c>
      <c r="AH372">
        <v>3</v>
      </c>
      <c r="AI372" s="8">
        <f t="shared" si="122"/>
        <v>12.935347222221026</v>
      </c>
      <c r="AJ372" s="8">
        <f t="shared" si="123"/>
        <v>5.9353472222210257</v>
      </c>
      <c r="AK372" s="38">
        <f t="shared" si="113"/>
        <v>44786.935347222221</v>
      </c>
      <c r="AL372">
        <f t="shared" si="124"/>
        <v>6</v>
      </c>
      <c r="AM372">
        <f t="shared" si="125"/>
        <v>25</v>
      </c>
      <c r="AN372">
        <f t="shared" si="126"/>
        <v>4</v>
      </c>
      <c r="AO372">
        <f t="shared" si="127"/>
        <v>2</v>
      </c>
      <c r="AP372">
        <f t="shared" si="128"/>
        <v>44720.935347222221</v>
      </c>
      <c r="AQ372">
        <f t="shared" si="129"/>
        <v>8</v>
      </c>
    </row>
    <row r="373" spans="1:43" x14ac:dyDescent="0.35">
      <c r="A373">
        <v>1661</v>
      </c>
      <c r="B373" t="s">
        <v>1215</v>
      </c>
      <c r="C373" t="s">
        <v>213</v>
      </c>
      <c r="D373" t="str">
        <f t="shared" si="111"/>
        <v>Program Office</v>
      </c>
      <c r="E373" t="s">
        <v>1045</v>
      </c>
      <c r="F373" t="s">
        <v>1046</v>
      </c>
      <c r="G373" t="s">
        <v>1047</v>
      </c>
      <c r="H373" t="s">
        <v>48</v>
      </c>
      <c r="I373" s="32">
        <v>44669.935347222221</v>
      </c>
      <c r="J373" s="32">
        <v>44672.935347222221</v>
      </c>
      <c r="K373" s="32">
        <v>44678.935347222221</v>
      </c>
      <c r="L373" s="8">
        <f t="shared" si="112"/>
        <v>9</v>
      </c>
      <c r="M373" s="7">
        <v>44698.935347222221</v>
      </c>
      <c r="N373" t="s">
        <v>72</v>
      </c>
      <c r="O373" s="34" t="s">
        <v>7474</v>
      </c>
      <c r="R373" s="32" t="s">
        <v>7472</v>
      </c>
      <c r="S373" t="s">
        <v>7476</v>
      </c>
      <c r="T373" s="34" t="s">
        <v>7476</v>
      </c>
      <c r="U373" s="34" t="s">
        <v>7476</v>
      </c>
      <c r="V373" s="32" t="s">
        <v>7476</v>
      </c>
      <c r="W373" s="32" t="s">
        <v>7476</v>
      </c>
      <c r="X373">
        <v>0</v>
      </c>
      <c r="Y373" s="34" t="s">
        <v>7476</v>
      </c>
      <c r="Z373" s="34" t="s">
        <v>7476</v>
      </c>
      <c r="AA373" s="34" t="s">
        <v>7476</v>
      </c>
      <c r="AB373" s="36" t="s">
        <v>7476</v>
      </c>
      <c r="AD373" t="s">
        <v>1216</v>
      </c>
      <c r="AE373" t="s">
        <v>1217</v>
      </c>
      <c r="AG373" t="s">
        <v>98</v>
      </c>
      <c r="AH373">
        <v>6</v>
      </c>
      <c r="AI373" s="8" t="str">
        <f t="shared" si="122"/>
        <v/>
      </c>
      <c r="AJ373" s="8" t="str">
        <f t="shared" si="123"/>
        <v/>
      </c>
      <c r="AK373" s="38" t="str">
        <f t="shared" si="113"/>
        <v/>
      </c>
      <c r="AL373" t="str">
        <f t="shared" si="124"/>
        <v/>
      </c>
      <c r="AM373" t="str">
        <f t="shared" si="125"/>
        <v/>
      </c>
      <c r="AN373" t="str">
        <f t="shared" si="126"/>
        <v/>
      </c>
      <c r="AO373">
        <f t="shared" si="127"/>
        <v>3</v>
      </c>
      <c r="AP373">
        <f t="shared" si="128"/>
        <v>0</v>
      </c>
      <c r="AQ373" t="str">
        <f t="shared" si="129"/>
        <v/>
      </c>
    </row>
    <row r="374" spans="1:43" x14ac:dyDescent="0.35">
      <c r="A374">
        <v>1449</v>
      </c>
      <c r="B374" t="s">
        <v>1218</v>
      </c>
      <c r="C374" t="s">
        <v>202</v>
      </c>
      <c r="D374" t="str">
        <f t="shared" si="111"/>
        <v>Program Office</v>
      </c>
      <c r="E374" t="s">
        <v>1045</v>
      </c>
      <c r="F374" t="s">
        <v>1046</v>
      </c>
      <c r="G374" t="s">
        <v>1047</v>
      </c>
      <c r="H374" t="s">
        <v>48</v>
      </c>
      <c r="I374" s="32">
        <v>45014.427199074067</v>
      </c>
      <c r="J374" s="32">
        <v>45017.427199074067</v>
      </c>
      <c r="K374" s="32">
        <v>45019.427199074067</v>
      </c>
      <c r="L374" s="8">
        <f t="shared" si="112"/>
        <v>5</v>
      </c>
      <c r="M374" s="7">
        <v>45034.427199074067</v>
      </c>
      <c r="N374" t="s">
        <v>49</v>
      </c>
      <c r="O374" s="34">
        <v>45028.427199074067</v>
      </c>
      <c r="P374" t="s">
        <v>60</v>
      </c>
      <c r="R374" s="32">
        <v>45031.427199074067</v>
      </c>
      <c r="S374" t="s">
        <v>61</v>
      </c>
      <c r="T374" s="34" t="s">
        <v>7476</v>
      </c>
      <c r="U374" s="34" t="s">
        <v>7476</v>
      </c>
      <c r="V374" s="32">
        <v>45029.427199074067</v>
      </c>
      <c r="W374" s="32" t="s">
        <v>7476</v>
      </c>
      <c r="X374">
        <v>0</v>
      </c>
      <c r="Y374" s="34" t="s">
        <v>7476</v>
      </c>
      <c r="Z374" s="34" t="s">
        <v>7476</v>
      </c>
      <c r="AA374" s="34" t="s">
        <v>7476</v>
      </c>
      <c r="AB374" s="36" t="s">
        <v>7476</v>
      </c>
      <c r="AD374" t="s">
        <v>1219</v>
      </c>
      <c r="AE374" t="s">
        <v>1220</v>
      </c>
      <c r="AF374" s="16">
        <v>45011</v>
      </c>
      <c r="AG374" t="s">
        <v>98</v>
      </c>
      <c r="AH374">
        <v>3</v>
      </c>
      <c r="AI374" s="8">
        <f t="shared" si="122"/>
        <v>20.427199074067175</v>
      </c>
      <c r="AJ374" s="8">
        <f t="shared" si="123"/>
        <v>17.427199074067175</v>
      </c>
      <c r="AK374" s="38">
        <f t="shared" si="113"/>
        <v>45119.427199074067</v>
      </c>
      <c r="AL374" t="str">
        <f t="shared" si="124"/>
        <v/>
      </c>
      <c r="AM374">
        <f t="shared" si="125"/>
        <v>14</v>
      </c>
      <c r="AN374">
        <f t="shared" si="126"/>
        <v>1</v>
      </c>
      <c r="AO374">
        <f t="shared" si="127"/>
        <v>3</v>
      </c>
      <c r="AP374">
        <f t="shared" si="128"/>
        <v>0</v>
      </c>
      <c r="AQ374" t="str">
        <f t="shared" si="129"/>
        <v/>
      </c>
    </row>
    <row r="375" spans="1:43" x14ac:dyDescent="0.35">
      <c r="A375">
        <v>1444</v>
      </c>
      <c r="B375" t="s">
        <v>1221</v>
      </c>
      <c r="C375" t="s">
        <v>217</v>
      </c>
      <c r="D375" t="str">
        <f t="shared" si="111"/>
        <v>Program Office</v>
      </c>
      <c r="E375" t="s">
        <v>1045</v>
      </c>
      <c r="F375" t="s">
        <v>1046</v>
      </c>
      <c r="G375" t="s">
        <v>1047</v>
      </c>
      <c r="H375" t="s">
        <v>48</v>
      </c>
      <c r="I375" s="32">
        <v>45015.427199074067</v>
      </c>
      <c r="J375" s="32">
        <v>45018.427199074067</v>
      </c>
      <c r="K375" s="32">
        <v>45019.427199074067</v>
      </c>
      <c r="L375" s="8">
        <f t="shared" si="112"/>
        <v>4</v>
      </c>
      <c r="M375" s="7">
        <v>45049.427199074067</v>
      </c>
      <c r="N375" t="s">
        <v>49</v>
      </c>
      <c r="O375" s="34">
        <v>45032.427199074067</v>
      </c>
      <c r="P375" t="s">
        <v>50</v>
      </c>
      <c r="Q375" t="s">
        <v>51</v>
      </c>
      <c r="R375" s="32" t="s">
        <v>7472</v>
      </c>
      <c r="S375" t="s">
        <v>7476</v>
      </c>
      <c r="T375" s="34" t="s">
        <v>7476</v>
      </c>
      <c r="U375" s="34" t="s">
        <v>7476</v>
      </c>
      <c r="V375" s="32" t="s">
        <v>7476</v>
      </c>
      <c r="W375" s="32" t="s">
        <v>7476</v>
      </c>
      <c r="X375">
        <v>0</v>
      </c>
      <c r="Y375" s="34" t="s">
        <v>7476</v>
      </c>
      <c r="Z375" s="34" t="s">
        <v>7476</v>
      </c>
      <c r="AA375" s="34" t="s">
        <v>7476</v>
      </c>
      <c r="AB375" s="36" t="s">
        <v>52</v>
      </c>
      <c r="AD375" t="s">
        <v>1222</v>
      </c>
      <c r="AE375" t="s">
        <v>1223</v>
      </c>
      <c r="AF375" s="16">
        <v>45027</v>
      </c>
      <c r="AG375" t="s">
        <v>68</v>
      </c>
      <c r="AH375">
        <v>3</v>
      </c>
      <c r="AI375" s="8" t="str">
        <f t="shared" si="122"/>
        <v/>
      </c>
      <c r="AJ375" s="8">
        <f t="shared" si="123"/>
        <v>5.4271990740671754</v>
      </c>
      <c r="AK375" s="38" t="str">
        <f t="shared" si="113"/>
        <v/>
      </c>
      <c r="AL375" t="str">
        <f t="shared" si="124"/>
        <v/>
      </c>
      <c r="AM375" t="str">
        <f t="shared" si="125"/>
        <v/>
      </c>
      <c r="AN375" t="str">
        <f t="shared" si="126"/>
        <v/>
      </c>
      <c r="AO375">
        <f t="shared" si="127"/>
        <v>3</v>
      </c>
      <c r="AP375">
        <f t="shared" si="128"/>
        <v>0</v>
      </c>
      <c r="AQ375" t="str">
        <f t="shared" si="129"/>
        <v/>
      </c>
    </row>
    <row r="376" spans="1:43" x14ac:dyDescent="0.35">
      <c r="A376">
        <v>1420</v>
      </c>
      <c r="B376" t="s">
        <v>1224</v>
      </c>
      <c r="C376" t="s">
        <v>202</v>
      </c>
      <c r="D376" t="str">
        <f t="shared" si="111"/>
        <v>Program Office</v>
      </c>
      <c r="E376" t="s">
        <v>1045</v>
      </c>
      <c r="F376" t="s">
        <v>1046</v>
      </c>
      <c r="G376" t="s">
        <v>1047</v>
      </c>
      <c r="H376" t="s">
        <v>48</v>
      </c>
      <c r="I376" s="32">
        <v>44780.789305555547</v>
      </c>
      <c r="J376" s="32">
        <v>44781.789305555547</v>
      </c>
      <c r="K376" s="32">
        <v>44786.789305555547</v>
      </c>
      <c r="L376" s="8">
        <f t="shared" si="112"/>
        <v>6</v>
      </c>
      <c r="M376" s="7">
        <v>44794.789305555547</v>
      </c>
      <c r="N376" t="s">
        <v>49</v>
      </c>
      <c r="O376" s="34">
        <v>44791.789305555547</v>
      </c>
      <c r="P376" t="s">
        <v>50</v>
      </c>
      <c r="Q376" t="s">
        <v>84</v>
      </c>
      <c r="R376" s="32" t="s">
        <v>7472</v>
      </c>
      <c r="S376" t="s">
        <v>7476</v>
      </c>
      <c r="T376" s="34" t="s">
        <v>7476</v>
      </c>
      <c r="U376" s="34" t="s">
        <v>7476</v>
      </c>
      <c r="V376" s="32" t="s">
        <v>7476</v>
      </c>
      <c r="W376" s="32" t="s">
        <v>7476</v>
      </c>
      <c r="X376">
        <v>0</v>
      </c>
      <c r="Y376" s="34" t="s">
        <v>7476</v>
      </c>
      <c r="Z376" s="34" t="s">
        <v>7476</v>
      </c>
      <c r="AA376" s="34" t="s">
        <v>7476</v>
      </c>
      <c r="AB376" s="36" t="s">
        <v>52</v>
      </c>
      <c r="AD376" t="s">
        <v>1225</v>
      </c>
      <c r="AE376" t="s">
        <v>1226</v>
      </c>
      <c r="AF376" s="16">
        <v>44785</v>
      </c>
      <c r="AG376" t="s">
        <v>98</v>
      </c>
      <c r="AH376">
        <v>3</v>
      </c>
      <c r="AI376" s="8" t="str">
        <f t="shared" si="122"/>
        <v/>
      </c>
      <c r="AJ376" s="8">
        <f t="shared" si="123"/>
        <v>6.7893055555468891</v>
      </c>
      <c r="AK376" s="38" t="str">
        <f t="shared" si="113"/>
        <v/>
      </c>
      <c r="AL376" t="str">
        <f t="shared" si="124"/>
        <v/>
      </c>
      <c r="AM376" t="str">
        <f t="shared" si="125"/>
        <v/>
      </c>
      <c r="AN376" t="str">
        <f t="shared" si="126"/>
        <v/>
      </c>
      <c r="AO376">
        <f t="shared" si="127"/>
        <v>1</v>
      </c>
      <c r="AP376">
        <f t="shared" si="128"/>
        <v>0</v>
      </c>
      <c r="AQ376" t="str">
        <f t="shared" si="129"/>
        <v/>
      </c>
    </row>
    <row r="377" spans="1:43" x14ac:dyDescent="0.35">
      <c r="A377">
        <v>1418</v>
      </c>
      <c r="B377" t="s">
        <v>1227</v>
      </c>
      <c r="C377" t="s">
        <v>213</v>
      </c>
      <c r="D377" t="str">
        <f t="shared" si="111"/>
        <v>Program Office</v>
      </c>
      <c r="E377" t="s">
        <v>1045</v>
      </c>
      <c r="F377" t="s">
        <v>1046</v>
      </c>
      <c r="G377" t="s">
        <v>1047</v>
      </c>
      <c r="H377" t="s">
        <v>48</v>
      </c>
      <c r="I377" s="32">
        <v>44782.789305555547</v>
      </c>
      <c r="J377" s="32">
        <v>44783.789305555547</v>
      </c>
      <c r="K377" s="32">
        <v>44786.789305555547</v>
      </c>
      <c r="L377" s="8">
        <f t="shared" si="112"/>
        <v>4</v>
      </c>
      <c r="M377" s="7">
        <v>44806.789305555547</v>
      </c>
      <c r="N377" t="s">
        <v>49</v>
      </c>
      <c r="O377" s="34">
        <v>44789.789305555547</v>
      </c>
      <c r="P377" t="s">
        <v>50</v>
      </c>
      <c r="Q377" t="s">
        <v>84</v>
      </c>
      <c r="R377" s="32" t="s">
        <v>7472</v>
      </c>
      <c r="S377" t="s">
        <v>7476</v>
      </c>
      <c r="T377" s="34" t="s">
        <v>7476</v>
      </c>
      <c r="U377" s="34" t="s">
        <v>7476</v>
      </c>
      <c r="V377" s="32" t="s">
        <v>7476</v>
      </c>
      <c r="W377" s="32" t="s">
        <v>7476</v>
      </c>
      <c r="X377">
        <v>0</v>
      </c>
      <c r="Y377" s="34" t="s">
        <v>7476</v>
      </c>
      <c r="Z377" s="34" t="s">
        <v>7476</v>
      </c>
      <c r="AA377" s="34" t="s">
        <v>7476</v>
      </c>
      <c r="AB377" s="36" t="s">
        <v>52</v>
      </c>
      <c r="AD377" t="s">
        <v>1228</v>
      </c>
      <c r="AE377" t="s">
        <v>1229</v>
      </c>
      <c r="AF377" s="16">
        <v>44777</v>
      </c>
      <c r="AG377" t="s">
        <v>64</v>
      </c>
      <c r="AH377">
        <v>6</v>
      </c>
      <c r="AI377" s="8" t="str">
        <f t="shared" si="122"/>
        <v/>
      </c>
      <c r="AJ377" s="8">
        <f t="shared" si="123"/>
        <v>12.789305555546889</v>
      </c>
      <c r="AK377" s="38" t="str">
        <f t="shared" si="113"/>
        <v/>
      </c>
      <c r="AL377" t="str">
        <f t="shared" si="124"/>
        <v/>
      </c>
      <c r="AM377" t="str">
        <f t="shared" si="125"/>
        <v/>
      </c>
      <c r="AN377" t="str">
        <f t="shared" si="126"/>
        <v/>
      </c>
      <c r="AO377">
        <f t="shared" si="127"/>
        <v>1</v>
      </c>
      <c r="AP377">
        <f t="shared" si="128"/>
        <v>0</v>
      </c>
      <c r="AQ377" t="str">
        <f t="shared" si="129"/>
        <v/>
      </c>
    </row>
    <row r="378" spans="1:43" x14ac:dyDescent="0.35">
      <c r="A378">
        <v>1417</v>
      </c>
      <c r="B378" t="s">
        <v>1230</v>
      </c>
      <c r="C378" t="s">
        <v>213</v>
      </c>
      <c r="D378" t="str">
        <f t="shared" si="111"/>
        <v>Program Office</v>
      </c>
      <c r="E378" t="s">
        <v>1045</v>
      </c>
      <c r="F378" t="s">
        <v>1046</v>
      </c>
      <c r="G378" t="s">
        <v>1047</v>
      </c>
      <c r="H378" t="s">
        <v>48</v>
      </c>
      <c r="I378" s="32">
        <v>44782.789305555547</v>
      </c>
      <c r="J378" s="32">
        <v>44785.789305555547</v>
      </c>
      <c r="K378" s="32">
        <v>44786.789305555547</v>
      </c>
      <c r="L378" s="8">
        <f t="shared" si="112"/>
        <v>4</v>
      </c>
      <c r="M378" s="7">
        <v>44802.789305555547</v>
      </c>
      <c r="N378" t="s">
        <v>49</v>
      </c>
      <c r="O378" s="34">
        <v>44797.789305555547</v>
      </c>
      <c r="P378" t="s">
        <v>50</v>
      </c>
      <c r="Q378" t="s">
        <v>198</v>
      </c>
      <c r="R378" s="32" t="s">
        <v>7472</v>
      </c>
      <c r="S378" t="s">
        <v>7476</v>
      </c>
      <c r="T378" s="34" t="s">
        <v>7476</v>
      </c>
      <c r="U378" s="34" t="s">
        <v>7476</v>
      </c>
      <c r="V378" s="32">
        <v>44799.789305555547</v>
      </c>
      <c r="W378" s="32" t="s">
        <v>7476</v>
      </c>
      <c r="X378">
        <v>0</v>
      </c>
      <c r="Y378" s="34" t="s">
        <v>7476</v>
      </c>
      <c r="Z378" s="34" t="s">
        <v>7476</v>
      </c>
      <c r="AA378" s="34" t="s">
        <v>7476</v>
      </c>
      <c r="AB378" s="36" t="s">
        <v>52</v>
      </c>
      <c r="AD378" t="s">
        <v>1231</v>
      </c>
      <c r="AE378" t="s">
        <v>1232</v>
      </c>
      <c r="AF378" s="16">
        <v>44791</v>
      </c>
      <c r="AG378" t="s">
        <v>64</v>
      </c>
      <c r="AH378">
        <v>3</v>
      </c>
      <c r="AI378" s="8" t="str">
        <f t="shared" si="122"/>
        <v/>
      </c>
      <c r="AJ378" s="8">
        <f t="shared" si="123"/>
        <v>6.7893055555468891</v>
      </c>
      <c r="AK378" s="38">
        <f t="shared" si="113"/>
        <v>44889.789305555547</v>
      </c>
      <c r="AL378" t="str">
        <f t="shared" si="124"/>
        <v/>
      </c>
      <c r="AM378" t="str">
        <f t="shared" si="125"/>
        <v/>
      </c>
      <c r="AN378">
        <f t="shared" si="126"/>
        <v>2</v>
      </c>
      <c r="AO378">
        <f t="shared" si="127"/>
        <v>3</v>
      </c>
      <c r="AP378">
        <f t="shared" si="128"/>
        <v>0</v>
      </c>
      <c r="AQ378" t="str">
        <f t="shared" si="129"/>
        <v/>
      </c>
    </row>
    <row r="379" spans="1:43" x14ac:dyDescent="0.35">
      <c r="A379">
        <v>1416</v>
      </c>
      <c r="B379" t="s">
        <v>1233</v>
      </c>
      <c r="C379" t="s">
        <v>202</v>
      </c>
      <c r="D379" t="str">
        <f t="shared" si="111"/>
        <v>Program Office</v>
      </c>
      <c r="E379" t="s">
        <v>1045</v>
      </c>
      <c r="F379" t="s">
        <v>1046</v>
      </c>
      <c r="G379" t="s">
        <v>1047</v>
      </c>
      <c r="H379" t="s">
        <v>48</v>
      </c>
      <c r="I379" s="32">
        <v>44782.789305555547</v>
      </c>
      <c r="J379" s="32">
        <v>44783.789305555547</v>
      </c>
      <c r="K379" s="32">
        <v>44786.789305555547</v>
      </c>
      <c r="L379" s="8">
        <f t="shared" si="112"/>
        <v>4</v>
      </c>
      <c r="M379" s="7">
        <v>44798.789305555547</v>
      </c>
      <c r="N379" t="s">
        <v>49</v>
      </c>
      <c r="O379" s="34">
        <v>44799.789305555547</v>
      </c>
      <c r="P379" t="s">
        <v>50</v>
      </c>
      <c r="Q379" t="s">
        <v>198</v>
      </c>
      <c r="R379" s="32" t="s">
        <v>7472</v>
      </c>
      <c r="S379" t="s">
        <v>7476</v>
      </c>
      <c r="T379" s="34" t="s">
        <v>7476</v>
      </c>
      <c r="U379" s="34" t="s">
        <v>7476</v>
      </c>
      <c r="V379" s="32">
        <v>44802.789305555547</v>
      </c>
      <c r="W379" s="32" t="s">
        <v>7476</v>
      </c>
      <c r="X379">
        <v>0</v>
      </c>
      <c r="Y379" s="34" t="s">
        <v>7476</v>
      </c>
      <c r="Z379" s="34" t="s">
        <v>7476</v>
      </c>
      <c r="AA379" s="34" t="s">
        <v>7476</v>
      </c>
      <c r="AB379" s="36" t="s">
        <v>52</v>
      </c>
      <c r="AD379" t="s">
        <v>1234</v>
      </c>
      <c r="AE379" t="s">
        <v>1235</v>
      </c>
      <c r="AF379" s="16">
        <v>44782</v>
      </c>
      <c r="AG379" t="s">
        <v>64</v>
      </c>
      <c r="AH379">
        <v>6</v>
      </c>
      <c r="AI379" s="8" t="str">
        <f t="shared" si="122"/>
        <v/>
      </c>
      <c r="AJ379" s="8">
        <f t="shared" si="123"/>
        <v>17.789305555546889</v>
      </c>
      <c r="AK379" s="38">
        <f t="shared" si="113"/>
        <v>44982.789305555547</v>
      </c>
      <c r="AL379" t="str">
        <f t="shared" si="124"/>
        <v/>
      </c>
      <c r="AM379" t="str">
        <f t="shared" si="125"/>
        <v/>
      </c>
      <c r="AN379">
        <f t="shared" si="126"/>
        <v>3</v>
      </c>
      <c r="AO379">
        <f t="shared" si="127"/>
        <v>1</v>
      </c>
      <c r="AP379">
        <f t="shared" si="128"/>
        <v>0</v>
      </c>
      <c r="AQ379" t="str">
        <f t="shared" si="129"/>
        <v/>
      </c>
    </row>
    <row r="380" spans="1:43" x14ac:dyDescent="0.35">
      <c r="A380">
        <v>1411</v>
      </c>
      <c r="B380" t="s">
        <v>1236</v>
      </c>
      <c r="C380" t="s">
        <v>217</v>
      </c>
      <c r="D380" t="str">
        <f t="shared" si="111"/>
        <v>Program Office</v>
      </c>
      <c r="E380" t="s">
        <v>1045</v>
      </c>
      <c r="F380" t="s">
        <v>1046</v>
      </c>
      <c r="G380" t="s">
        <v>1047</v>
      </c>
      <c r="H380" t="s">
        <v>48</v>
      </c>
      <c r="I380" s="32">
        <v>44779.789305555547</v>
      </c>
      <c r="J380" s="32">
        <v>44782.789305555547</v>
      </c>
      <c r="K380" s="32">
        <v>44786.789305555547</v>
      </c>
      <c r="L380" s="8">
        <f t="shared" si="112"/>
        <v>7</v>
      </c>
      <c r="M380" s="7">
        <v>44809.789305555547</v>
      </c>
      <c r="N380" t="s">
        <v>49</v>
      </c>
      <c r="O380" s="34">
        <v>44800.789305555547</v>
      </c>
      <c r="P380" t="s">
        <v>392</v>
      </c>
      <c r="R380" s="32">
        <v>44805.789305555547</v>
      </c>
      <c r="S380" t="s">
        <v>392</v>
      </c>
      <c r="T380" s="34" t="s">
        <v>7476</v>
      </c>
      <c r="U380" s="34" t="s">
        <v>7476</v>
      </c>
      <c r="V380" s="32">
        <v>44803.789305555547</v>
      </c>
      <c r="W380" s="32" t="s">
        <v>7476</v>
      </c>
      <c r="X380">
        <v>0</v>
      </c>
      <c r="Y380" s="34" t="s">
        <v>7476</v>
      </c>
      <c r="Z380" s="34" t="s">
        <v>7476</v>
      </c>
      <c r="AA380" s="34" t="s">
        <v>7476</v>
      </c>
      <c r="AB380" s="36" t="s">
        <v>7476</v>
      </c>
      <c r="AD380" t="s">
        <v>1237</v>
      </c>
      <c r="AE380" t="s">
        <v>1238</v>
      </c>
      <c r="AF380" s="16">
        <v>44789</v>
      </c>
      <c r="AG380" t="s">
        <v>98</v>
      </c>
      <c r="AH380">
        <v>6</v>
      </c>
      <c r="AI380" s="8">
        <f t="shared" si="122"/>
        <v>16.789305555546889</v>
      </c>
      <c r="AJ380" s="8">
        <f t="shared" si="123"/>
        <v>11.789305555546889</v>
      </c>
      <c r="AK380" s="38">
        <f t="shared" si="113"/>
        <v>44983.789305555547</v>
      </c>
      <c r="AL380" t="str">
        <f t="shared" si="124"/>
        <v/>
      </c>
      <c r="AM380">
        <f t="shared" si="125"/>
        <v>23</v>
      </c>
      <c r="AN380">
        <f t="shared" si="126"/>
        <v>3</v>
      </c>
      <c r="AO380">
        <f t="shared" si="127"/>
        <v>3</v>
      </c>
      <c r="AP380">
        <f t="shared" si="128"/>
        <v>0</v>
      </c>
      <c r="AQ380" t="str">
        <f t="shared" si="129"/>
        <v/>
      </c>
    </row>
    <row r="381" spans="1:43" x14ac:dyDescent="0.35">
      <c r="A381">
        <v>1408</v>
      </c>
      <c r="B381" t="s">
        <v>1239</v>
      </c>
      <c r="C381" t="s">
        <v>202</v>
      </c>
      <c r="D381" t="str">
        <f t="shared" si="111"/>
        <v>Program Office</v>
      </c>
      <c r="E381" t="s">
        <v>1045</v>
      </c>
      <c r="F381" t="s">
        <v>1046</v>
      </c>
      <c r="G381" t="s">
        <v>1047</v>
      </c>
      <c r="H381" t="s">
        <v>48</v>
      </c>
      <c r="I381" s="32">
        <v>44614.306493055563</v>
      </c>
      <c r="J381" s="32">
        <v>44615.306493055563</v>
      </c>
      <c r="K381" s="32">
        <v>44619.306493055563</v>
      </c>
      <c r="L381" s="8">
        <f t="shared" si="112"/>
        <v>5</v>
      </c>
      <c r="M381" s="7">
        <v>44625.306493055563</v>
      </c>
      <c r="N381" t="s">
        <v>72</v>
      </c>
      <c r="O381" s="34" t="s">
        <v>7474</v>
      </c>
      <c r="R381" s="32" t="s">
        <v>7472</v>
      </c>
      <c r="S381" t="s">
        <v>7476</v>
      </c>
      <c r="T381" s="34" t="s">
        <v>7476</v>
      </c>
      <c r="U381" s="34" t="s">
        <v>7476</v>
      </c>
      <c r="V381" s="32" t="s">
        <v>7476</v>
      </c>
      <c r="W381" s="32" t="s">
        <v>7476</v>
      </c>
      <c r="X381">
        <v>0</v>
      </c>
      <c r="Y381" s="34" t="s">
        <v>7476</v>
      </c>
      <c r="Z381" s="34" t="s">
        <v>7476</v>
      </c>
      <c r="AA381" s="34" t="s">
        <v>7476</v>
      </c>
      <c r="AB381" s="36" t="s">
        <v>7476</v>
      </c>
      <c r="AD381" t="s">
        <v>1240</v>
      </c>
      <c r="AE381" t="s">
        <v>1241</v>
      </c>
      <c r="AG381" t="s">
        <v>68</v>
      </c>
      <c r="AH381">
        <v>3</v>
      </c>
      <c r="AI381" s="8" t="str">
        <f t="shared" si="122"/>
        <v/>
      </c>
      <c r="AJ381" s="8" t="str">
        <f t="shared" si="123"/>
        <v/>
      </c>
      <c r="AK381" s="38" t="str">
        <f t="shared" si="113"/>
        <v/>
      </c>
      <c r="AL381" t="str">
        <f t="shared" si="124"/>
        <v/>
      </c>
      <c r="AM381" t="str">
        <f t="shared" si="125"/>
        <v/>
      </c>
      <c r="AN381" t="str">
        <f t="shared" si="126"/>
        <v/>
      </c>
      <c r="AO381">
        <f t="shared" si="127"/>
        <v>1</v>
      </c>
      <c r="AP381">
        <f t="shared" si="128"/>
        <v>0</v>
      </c>
      <c r="AQ381" t="str">
        <f t="shared" si="129"/>
        <v/>
      </c>
    </row>
    <row r="382" spans="1:43" x14ac:dyDescent="0.35">
      <c r="A382">
        <v>1401</v>
      </c>
      <c r="B382" t="s">
        <v>1242</v>
      </c>
      <c r="C382" t="s">
        <v>202</v>
      </c>
      <c r="D382" t="str">
        <f t="shared" si="111"/>
        <v>Program Office</v>
      </c>
      <c r="E382" t="s">
        <v>1045</v>
      </c>
      <c r="F382" t="s">
        <v>1046</v>
      </c>
      <c r="G382" t="s">
        <v>1047</v>
      </c>
      <c r="H382" t="s">
        <v>48</v>
      </c>
      <c r="I382" s="32">
        <v>44612.306493055563</v>
      </c>
      <c r="J382" s="32">
        <v>44614.306493055563</v>
      </c>
      <c r="K382" s="32">
        <v>44619.306493055563</v>
      </c>
      <c r="L382" s="8">
        <f t="shared" si="112"/>
        <v>7</v>
      </c>
      <c r="M382" s="7">
        <v>44633.306493055563</v>
      </c>
      <c r="N382" t="s">
        <v>49</v>
      </c>
      <c r="O382" s="34">
        <v>44636.306493055563</v>
      </c>
      <c r="P382" t="s">
        <v>60</v>
      </c>
      <c r="R382" s="32">
        <v>44640.306493055563</v>
      </c>
      <c r="S382" t="s">
        <v>61</v>
      </c>
      <c r="T382" s="34" t="s">
        <v>7476</v>
      </c>
      <c r="U382" s="34" t="s">
        <v>7476</v>
      </c>
      <c r="V382" s="32">
        <v>44638.306493055563</v>
      </c>
      <c r="W382" s="32" t="s">
        <v>7476</v>
      </c>
      <c r="X382">
        <v>0</v>
      </c>
      <c r="Y382" s="34" t="s">
        <v>7476</v>
      </c>
      <c r="Z382" s="34" t="s">
        <v>7476</v>
      </c>
      <c r="AA382" s="34" t="s">
        <v>7476</v>
      </c>
      <c r="AB382" s="36" t="s">
        <v>7476</v>
      </c>
      <c r="AD382" t="s">
        <v>1243</v>
      </c>
      <c r="AE382" t="s">
        <v>1244</v>
      </c>
      <c r="AF382" s="16">
        <v>44617</v>
      </c>
      <c r="AG382" t="s">
        <v>64</v>
      </c>
      <c r="AH382">
        <v>3</v>
      </c>
      <c r="AI382" s="8">
        <f t="shared" si="122"/>
        <v>23.306493055562896</v>
      </c>
      <c r="AJ382" s="8">
        <f t="shared" si="123"/>
        <v>19.306493055562896</v>
      </c>
      <c r="AK382" s="38">
        <f t="shared" si="113"/>
        <v>44728.306493055563</v>
      </c>
      <c r="AL382" t="str">
        <f t="shared" si="124"/>
        <v/>
      </c>
      <c r="AM382">
        <f t="shared" si="125"/>
        <v>26</v>
      </c>
      <c r="AN382">
        <f t="shared" si="126"/>
        <v>2</v>
      </c>
      <c r="AO382">
        <f t="shared" si="127"/>
        <v>2</v>
      </c>
      <c r="AP382">
        <f t="shared" si="128"/>
        <v>0</v>
      </c>
      <c r="AQ382" t="str">
        <f t="shared" si="129"/>
        <v/>
      </c>
    </row>
    <row r="383" spans="1:43" x14ac:dyDescent="0.35">
      <c r="A383">
        <v>1387</v>
      </c>
      <c r="B383" t="s">
        <v>1245</v>
      </c>
      <c r="C383" t="s">
        <v>213</v>
      </c>
      <c r="D383" t="str">
        <f t="shared" si="111"/>
        <v>Program Office</v>
      </c>
      <c r="E383" t="s">
        <v>1045</v>
      </c>
      <c r="F383" t="s">
        <v>1046</v>
      </c>
      <c r="G383" t="s">
        <v>1047</v>
      </c>
      <c r="H383" t="s">
        <v>48</v>
      </c>
      <c r="I383" s="32" t="s">
        <v>7471</v>
      </c>
      <c r="J383" s="32">
        <v>45042.733506944453</v>
      </c>
      <c r="K383" s="32">
        <v>45046.733506944453</v>
      </c>
      <c r="L383" s="8" t="str">
        <f t="shared" si="112"/>
        <v/>
      </c>
      <c r="M383" s="7">
        <v>45069.733506944453</v>
      </c>
      <c r="N383" t="s">
        <v>49</v>
      </c>
      <c r="O383" s="34">
        <v>45053.733506944453</v>
      </c>
      <c r="P383" t="s">
        <v>50</v>
      </c>
      <c r="Q383" t="s">
        <v>84</v>
      </c>
      <c r="R383" s="32" t="s">
        <v>7472</v>
      </c>
      <c r="S383" t="s">
        <v>7476</v>
      </c>
      <c r="T383" s="34" t="s">
        <v>7476</v>
      </c>
      <c r="U383" s="34" t="s">
        <v>7476</v>
      </c>
      <c r="V383" s="32" t="s">
        <v>7476</v>
      </c>
      <c r="W383" s="32" t="s">
        <v>7476</v>
      </c>
      <c r="X383">
        <v>0</v>
      </c>
      <c r="Y383" s="34" t="s">
        <v>7476</v>
      </c>
      <c r="Z383" s="34" t="s">
        <v>7476</v>
      </c>
      <c r="AA383" s="34" t="s">
        <v>7476</v>
      </c>
      <c r="AB383" s="36" t="s">
        <v>52</v>
      </c>
      <c r="AD383" t="s">
        <v>1246</v>
      </c>
      <c r="AE383" t="s">
        <v>1247</v>
      </c>
      <c r="AF383" s="16">
        <v>45048</v>
      </c>
      <c r="AG383" t="s">
        <v>64</v>
      </c>
      <c r="AH383">
        <v>6</v>
      </c>
      <c r="AK383" s="38" t="str">
        <f t="shared" si="113"/>
        <v/>
      </c>
    </row>
    <row r="384" spans="1:43" x14ac:dyDescent="0.35">
      <c r="A384">
        <v>1326</v>
      </c>
      <c r="B384" t="s">
        <v>1248</v>
      </c>
      <c r="C384" t="s">
        <v>213</v>
      </c>
      <c r="D384" t="str">
        <f t="shared" si="111"/>
        <v>Program Office</v>
      </c>
      <c r="E384" t="s">
        <v>1045</v>
      </c>
      <c r="F384" t="s">
        <v>1046</v>
      </c>
      <c r="G384" t="s">
        <v>1047</v>
      </c>
      <c r="H384" t="s">
        <v>48</v>
      </c>
      <c r="I384" s="32">
        <v>45161.187118055554</v>
      </c>
      <c r="J384" s="32">
        <v>45165.187118055554</v>
      </c>
      <c r="K384" s="32">
        <v>45166.187118055554</v>
      </c>
      <c r="L384" s="8">
        <f t="shared" si="112"/>
        <v>5</v>
      </c>
      <c r="M384" s="7">
        <v>45189.187118055554</v>
      </c>
      <c r="N384" t="s">
        <v>72</v>
      </c>
      <c r="O384" s="34" t="s">
        <v>7474</v>
      </c>
      <c r="R384" s="32" t="s">
        <v>7472</v>
      </c>
      <c r="S384" t="s">
        <v>7476</v>
      </c>
      <c r="T384" s="34" t="s">
        <v>7476</v>
      </c>
      <c r="U384" s="34" t="s">
        <v>7476</v>
      </c>
      <c r="V384" s="32" t="s">
        <v>7476</v>
      </c>
      <c r="W384" s="32" t="s">
        <v>7476</v>
      </c>
      <c r="X384">
        <v>0</v>
      </c>
      <c r="Y384" s="34" t="s">
        <v>7476</v>
      </c>
      <c r="Z384" s="34" t="s">
        <v>7476</v>
      </c>
      <c r="AA384" s="34" t="s">
        <v>7476</v>
      </c>
      <c r="AB384" s="36" t="s">
        <v>7476</v>
      </c>
      <c r="AD384" t="s">
        <v>1249</v>
      </c>
      <c r="AE384" t="s">
        <v>1250</v>
      </c>
      <c r="AG384" t="s">
        <v>64</v>
      </c>
      <c r="AH384">
        <v>6</v>
      </c>
      <c r="AI384" s="8" t="str">
        <f>IFERROR(R384-AF384,"")</f>
        <v/>
      </c>
      <c r="AJ384" s="8" t="str">
        <f>IFERROR(O384-AF384,"")</f>
        <v/>
      </c>
      <c r="AK384" s="38" t="str">
        <f t="shared" si="113"/>
        <v/>
      </c>
      <c r="AL384" t="str">
        <f>IFERROR(Z384-W384,"")</f>
        <v/>
      </c>
      <c r="AM384" t="str">
        <f>IFERROR(R384-J384,"")</f>
        <v/>
      </c>
      <c r="AN384" t="str">
        <f>IFERROR(V384-O384,"")</f>
        <v/>
      </c>
      <c r="AO384">
        <f>IFERROR(J384-I384,"")</f>
        <v>4</v>
      </c>
      <c r="AP384">
        <f>IFERROR(AC384-X384,"")</f>
        <v>0</v>
      </c>
      <c r="AQ384" t="str">
        <f>IFERROR(AA384-W384,"")</f>
        <v/>
      </c>
    </row>
    <row r="385" spans="1:43" x14ac:dyDescent="0.35">
      <c r="A385">
        <v>1325</v>
      </c>
      <c r="B385" t="s">
        <v>1251</v>
      </c>
      <c r="C385" t="s">
        <v>202</v>
      </c>
      <c r="D385" t="str">
        <f t="shared" si="111"/>
        <v>Program Office</v>
      </c>
      <c r="E385" t="s">
        <v>1045</v>
      </c>
      <c r="F385" t="s">
        <v>1046</v>
      </c>
      <c r="G385" t="s">
        <v>1047</v>
      </c>
      <c r="H385" t="s">
        <v>48</v>
      </c>
      <c r="I385" s="32">
        <v>45164.187118055554</v>
      </c>
      <c r="J385" s="32">
        <v>45165.187118055554</v>
      </c>
      <c r="K385" s="32">
        <v>45166.187118055554</v>
      </c>
      <c r="L385" s="8">
        <f t="shared" si="112"/>
        <v>2</v>
      </c>
      <c r="M385" s="7">
        <v>45187.187118055554</v>
      </c>
      <c r="N385" t="s">
        <v>72</v>
      </c>
      <c r="O385" s="34" t="s">
        <v>7474</v>
      </c>
      <c r="R385" s="32" t="s">
        <v>7472</v>
      </c>
      <c r="S385" t="s">
        <v>7476</v>
      </c>
      <c r="T385" s="34" t="s">
        <v>7476</v>
      </c>
      <c r="U385" s="34" t="s">
        <v>7476</v>
      </c>
      <c r="V385" s="32" t="s">
        <v>7476</v>
      </c>
      <c r="W385" s="32" t="s">
        <v>7476</v>
      </c>
      <c r="X385">
        <v>0</v>
      </c>
      <c r="Y385" s="34" t="s">
        <v>7476</v>
      </c>
      <c r="Z385" s="34" t="s">
        <v>7476</v>
      </c>
      <c r="AA385" s="34" t="s">
        <v>7476</v>
      </c>
      <c r="AB385" s="36" t="s">
        <v>7476</v>
      </c>
      <c r="AD385" t="s">
        <v>1252</v>
      </c>
      <c r="AE385" t="s">
        <v>1253</v>
      </c>
      <c r="AG385" t="s">
        <v>68</v>
      </c>
      <c r="AH385">
        <v>3</v>
      </c>
      <c r="AI385" s="8" t="str">
        <f>IFERROR(R385-AF385,"")</f>
        <v/>
      </c>
      <c r="AJ385" s="8" t="str">
        <f>IFERROR(O385-AF385,"")</f>
        <v/>
      </c>
      <c r="AK385" s="38" t="str">
        <f t="shared" si="113"/>
        <v/>
      </c>
      <c r="AL385" t="str">
        <f>IFERROR(Z385-W385,"")</f>
        <v/>
      </c>
      <c r="AM385" t="str">
        <f>IFERROR(R385-J385,"")</f>
        <v/>
      </c>
      <c r="AN385" t="str">
        <f>IFERROR(V385-O385,"")</f>
        <v/>
      </c>
      <c r="AO385">
        <f>IFERROR(J385-I385,"")</f>
        <v>1</v>
      </c>
      <c r="AP385">
        <f>IFERROR(AC385-X385,"")</f>
        <v>0</v>
      </c>
      <c r="AQ385" t="str">
        <f>IFERROR(AA385-W385,"")</f>
        <v/>
      </c>
    </row>
    <row r="386" spans="1:43" x14ac:dyDescent="0.35">
      <c r="A386">
        <v>1293</v>
      </c>
      <c r="B386" t="s">
        <v>1254</v>
      </c>
      <c r="C386" t="s">
        <v>213</v>
      </c>
      <c r="D386" t="str">
        <f t="shared" ref="D386:D449" si="130">TRIM(C386)</f>
        <v>Program Office</v>
      </c>
      <c r="E386" t="s">
        <v>1045</v>
      </c>
      <c r="F386" t="s">
        <v>1046</v>
      </c>
      <c r="G386" t="s">
        <v>1047</v>
      </c>
      <c r="H386" t="s">
        <v>48</v>
      </c>
      <c r="I386" s="32">
        <v>45086.672731481478</v>
      </c>
      <c r="J386" s="32">
        <v>45090.672731481478</v>
      </c>
      <c r="K386" s="32">
        <v>45096.672731481478</v>
      </c>
      <c r="L386" s="8">
        <f t="shared" ref="L386:L449" si="131">IFERROR(K386-I386,"")</f>
        <v>10</v>
      </c>
      <c r="M386" s="7">
        <v>45110.672731481478</v>
      </c>
      <c r="N386" t="s">
        <v>72</v>
      </c>
      <c r="O386" s="34" t="s">
        <v>7474</v>
      </c>
      <c r="R386" s="32" t="s">
        <v>7472</v>
      </c>
      <c r="S386" t="s">
        <v>7476</v>
      </c>
      <c r="T386" s="34" t="s">
        <v>7476</v>
      </c>
      <c r="U386" s="34" t="s">
        <v>7476</v>
      </c>
      <c r="V386" s="32" t="s">
        <v>7476</v>
      </c>
      <c r="W386" s="32" t="s">
        <v>7476</v>
      </c>
      <c r="X386">
        <v>0</v>
      </c>
      <c r="Y386" s="34" t="s">
        <v>7476</v>
      </c>
      <c r="Z386" s="34" t="s">
        <v>7476</v>
      </c>
      <c r="AA386" s="34" t="s">
        <v>7476</v>
      </c>
      <c r="AB386" s="36" t="s">
        <v>7476</v>
      </c>
      <c r="AD386" t="s">
        <v>1255</v>
      </c>
      <c r="AE386" t="s">
        <v>1256</v>
      </c>
      <c r="AG386" t="s">
        <v>68</v>
      </c>
      <c r="AH386">
        <v>3</v>
      </c>
      <c r="AI386" s="8" t="str">
        <f>IFERROR(R386-AF386,"")</f>
        <v/>
      </c>
      <c r="AJ386" s="8" t="str">
        <f>IFERROR(O386-AF386,"")</f>
        <v/>
      </c>
      <c r="AK386" s="38" t="str">
        <f t="shared" si="113"/>
        <v/>
      </c>
      <c r="AL386" t="str">
        <f>IFERROR(Z386-W386,"")</f>
        <v/>
      </c>
      <c r="AM386" t="str">
        <f>IFERROR(R386-J386,"")</f>
        <v/>
      </c>
      <c r="AN386" t="str">
        <f>IFERROR(V386-O386,"")</f>
        <v/>
      </c>
      <c r="AO386">
        <f>IFERROR(J386-I386,"")</f>
        <v>4</v>
      </c>
      <c r="AP386">
        <f>IFERROR(AC386-X386,"")</f>
        <v>0</v>
      </c>
      <c r="AQ386" t="str">
        <f>IFERROR(AA386-W386,"")</f>
        <v/>
      </c>
    </row>
    <row r="387" spans="1:43" x14ac:dyDescent="0.35">
      <c r="A387">
        <v>995</v>
      </c>
      <c r="B387" t="s">
        <v>1257</v>
      </c>
      <c r="C387" t="s">
        <v>202</v>
      </c>
      <c r="D387" t="str">
        <f t="shared" si="130"/>
        <v>Program Office</v>
      </c>
      <c r="E387" t="s">
        <v>1045</v>
      </c>
      <c r="F387" t="s">
        <v>1046</v>
      </c>
      <c r="G387" t="s">
        <v>1047</v>
      </c>
      <c r="H387" t="s">
        <v>48</v>
      </c>
      <c r="I387" s="32">
        <v>45017.858425925922</v>
      </c>
      <c r="J387" s="32">
        <v>45018.858425925922</v>
      </c>
      <c r="K387" s="32" t="s">
        <v>7473</v>
      </c>
      <c r="L387" s="8" t="str">
        <f t="shared" si="131"/>
        <v/>
      </c>
      <c r="M387" s="7">
        <v>45034.858425925922</v>
      </c>
      <c r="N387" t="s">
        <v>49</v>
      </c>
      <c r="O387" s="34">
        <v>45023.858425925922</v>
      </c>
      <c r="P387" t="s">
        <v>50</v>
      </c>
      <c r="Q387" t="s">
        <v>51</v>
      </c>
      <c r="R387" s="32" t="s">
        <v>7472</v>
      </c>
      <c r="S387" t="s">
        <v>7476</v>
      </c>
      <c r="T387" s="34" t="s">
        <v>7476</v>
      </c>
      <c r="U387" s="34" t="s">
        <v>7476</v>
      </c>
      <c r="V387" s="32" t="s">
        <v>7476</v>
      </c>
      <c r="W387" s="32" t="s">
        <v>7476</v>
      </c>
      <c r="X387">
        <v>0</v>
      </c>
      <c r="Y387" s="34" t="s">
        <v>7476</v>
      </c>
      <c r="Z387" s="34" t="s">
        <v>7476</v>
      </c>
      <c r="AA387" s="34" t="s">
        <v>7476</v>
      </c>
      <c r="AB387" s="36" t="s">
        <v>52</v>
      </c>
      <c r="AD387" t="s">
        <v>1258</v>
      </c>
      <c r="AE387" t="s">
        <v>1259</v>
      </c>
      <c r="AF387" s="16">
        <v>44930</v>
      </c>
      <c r="AG387" t="s">
        <v>75</v>
      </c>
      <c r="AH387">
        <v>3</v>
      </c>
      <c r="AK387" s="38" t="str">
        <f t="shared" ref="AK387:AK450" si="132">IFERROR(V387+(AH387*30),"")</f>
        <v/>
      </c>
    </row>
    <row r="388" spans="1:43" x14ac:dyDescent="0.35">
      <c r="A388">
        <v>946</v>
      </c>
      <c r="B388" t="s">
        <v>1260</v>
      </c>
      <c r="C388" t="s">
        <v>217</v>
      </c>
      <c r="D388" t="str">
        <f t="shared" si="130"/>
        <v>Program Office</v>
      </c>
      <c r="E388" t="s">
        <v>1045</v>
      </c>
      <c r="F388" t="s">
        <v>1046</v>
      </c>
      <c r="G388" t="s">
        <v>1047</v>
      </c>
      <c r="H388" t="s">
        <v>48</v>
      </c>
      <c r="I388" s="32" t="s">
        <v>7471</v>
      </c>
      <c r="J388" s="32">
        <v>44865.043067129627</v>
      </c>
      <c r="K388" s="32">
        <v>44868.043067129627</v>
      </c>
      <c r="L388" s="8" t="str">
        <f t="shared" si="131"/>
        <v/>
      </c>
      <c r="M388" s="7">
        <v>44892.043067129627</v>
      </c>
      <c r="N388" t="s">
        <v>72</v>
      </c>
      <c r="O388" s="34" t="s">
        <v>7474</v>
      </c>
      <c r="R388" s="32" t="s">
        <v>7472</v>
      </c>
      <c r="S388" t="s">
        <v>7476</v>
      </c>
      <c r="T388" s="34" t="s">
        <v>7476</v>
      </c>
      <c r="U388" s="34" t="s">
        <v>7476</v>
      </c>
      <c r="V388" s="32" t="s">
        <v>7476</v>
      </c>
      <c r="W388" s="32" t="s">
        <v>7476</v>
      </c>
      <c r="X388">
        <v>0</v>
      </c>
      <c r="Y388" s="34" t="s">
        <v>7476</v>
      </c>
      <c r="Z388" s="34" t="s">
        <v>7476</v>
      </c>
      <c r="AA388" s="34" t="s">
        <v>7476</v>
      </c>
      <c r="AB388" s="36" t="s">
        <v>7476</v>
      </c>
      <c r="AD388" t="s">
        <v>1261</v>
      </c>
      <c r="AE388" t="s">
        <v>1262</v>
      </c>
      <c r="AG388" t="s">
        <v>98</v>
      </c>
      <c r="AH388">
        <v>3</v>
      </c>
      <c r="AK388" s="38" t="str">
        <f t="shared" si="132"/>
        <v/>
      </c>
    </row>
    <row r="389" spans="1:43" x14ac:dyDescent="0.35">
      <c r="A389">
        <v>942</v>
      </c>
      <c r="B389" t="s">
        <v>1263</v>
      </c>
      <c r="C389" t="s">
        <v>213</v>
      </c>
      <c r="D389" t="str">
        <f t="shared" si="130"/>
        <v>Program Office</v>
      </c>
      <c r="E389" t="s">
        <v>1045</v>
      </c>
      <c r="F389" t="s">
        <v>1046</v>
      </c>
      <c r="G389" t="s">
        <v>1047</v>
      </c>
      <c r="H389" t="s">
        <v>48</v>
      </c>
      <c r="I389" s="32">
        <v>44863.043067129627</v>
      </c>
      <c r="J389" s="32" t="s">
        <v>7471</v>
      </c>
      <c r="K389" s="32">
        <v>44868.043067129627</v>
      </c>
      <c r="L389" s="8">
        <f t="shared" si="131"/>
        <v>5</v>
      </c>
      <c r="M389" s="7">
        <v>44877.043067129627</v>
      </c>
      <c r="N389" t="s">
        <v>49</v>
      </c>
      <c r="O389" s="34">
        <v>44872.043067129627</v>
      </c>
      <c r="P389" t="s">
        <v>50</v>
      </c>
      <c r="Q389" t="s">
        <v>125</v>
      </c>
      <c r="R389" s="32" t="s">
        <v>7472</v>
      </c>
      <c r="S389" t="s">
        <v>7476</v>
      </c>
      <c r="T389" s="34" t="s">
        <v>7476</v>
      </c>
      <c r="U389" s="34" t="s">
        <v>7476</v>
      </c>
      <c r="V389" s="32" t="s">
        <v>7476</v>
      </c>
      <c r="W389" s="32" t="s">
        <v>7476</v>
      </c>
      <c r="X389">
        <v>0</v>
      </c>
      <c r="Y389" s="34" t="s">
        <v>7476</v>
      </c>
      <c r="Z389" s="34" t="s">
        <v>7476</v>
      </c>
      <c r="AA389" s="34" t="s">
        <v>7476</v>
      </c>
      <c r="AB389" s="36" t="s">
        <v>95</v>
      </c>
      <c r="AD389" t="s">
        <v>1264</v>
      </c>
      <c r="AE389" t="s">
        <v>1265</v>
      </c>
      <c r="AF389" s="16">
        <v>44864</v>
      </c>
      <c r="AG389" t="s">
        <v>55</v>
      </c>
      <c r="AH389">
        <v>3</v>
      </c>
      <c r="AK389" s="38" t="str">
        <f t="shared" si="132"/>
        <v/>
      </c>
    </row>
    <row r="390" spans="1:43" x14ac:dyDescent="0.35">
      <c r="A390">
        <v>941</v>
      </c>
      <c r="B390" t="s">
        <v>1266</v>
      </c>
      <c r="C390" t="s">
        <v>202</v>
      </c>
      <c r="D390" t="str">
        <f t="shared" si="130"/>
        <v>Program Office</v>
      </c>
      <c r="E390" t="s">
        <v>1045</v>
      </c>
      <c r="F390" t="s">
        <v>1046</v>
      </c>
      <c r="G390" t="s">
        <v>1047</v>
      </c>
      <c r="H390" t="s">
        <v>48</v>
      </c>
      <c r="I390" s="32">
        <v>44864.043067129627</v>
      </c>
      <c r="J390" s="32">
        <v>44866.043067129627</v>
      </c>
      <c r="K390" s="32" t="s">
        <v>7473</v>
      </c>
      <c r="L390" s="8" t="str">
        <f t="shared" si="131"/>
        <v/>
      </c>
      <c r="M390" s="7">
        <v>44893.043067129627</v>
      </c>
      <c r="N390" t="s">
        <v>49</v>
      </c>
      <c r="O390" s="34">
        <v>44871.043067129627</v>
      </c>
      <c r="P390" t="s">
        <v>50</v>
      </c>
      <c r="Q390" t="s">
        <v>84</v>
      </c>
      <c r="R390" s="32" t="s">
        <v>7472</v>
      </c>
      <c r="S390" t="s">
        <v>7476</v>
      </c>
      <c r="T390" s="34" t="s">
        <v>7476</v>
      </c>
      <c r="U390" s="34" t="s">
        <v>7476</v>
      </c>
      <c r="V390" s="32">
        <v>44873.043067129627</v>
      </c>
      <c r="W390" s="32" t="s">
        <v>7476</v>
      </c>
      <c r="X390">
        <v>0</v>
      </c>
      <c r="Y390" s="34" t="s">
        <v>7476</v>
      </c>
      <c r="Z390" s="34" t="s">
        <v>7476</v>
      </c>
      <c r="AA390" s="34" t="s">
        <v>7476</v>
      </c>
      <c r="AB390" s="36" t="s">
        <v>52</v>
      </c>
      <c r="AD390" t="s">
        <v>1267</v>
      </c>
      <c r="AE390" t="s">
        <v>1268</v>
      </c>
      <c r="AF390" s="16">
        <v>44854</v>
      </c>
      <c r="AG390" t="s">
        <v>98</v>
      </c>
      <c r="AH390">
        <v>3</v>
      </c>
      <c r="AK390" s="38">
        <f t="shared" si="132"/>
        <v>44963.043067129627</v>
      </c>
    </row>
    <row r="391" spans="1:43" x14ac:dyDescent="0.35">
      <c r="A391">
        <v>920</v>
      </c>
      <c r="B391" t="s">
        <v>1269</v>
      </c>
      <c r="C391" t="s">
        <v>217</v>
      </c>
      <c r="D391" t="str">
        <f t="shared" si="130"/>
        <v>Program Office</v>
      </c>
      <c r="E391" t="s">
        <v>1045</v>
      </c>
      <c r="F391" t="s">
        <v>1046</v>
      </c>
      <c r="G391" t="s">
        <v>1047</v>
      </c>
      <c r="H391" t="s">
        <v>48</v>
      </c>
      <c r="I391" s="32">
        <v>44671.256099537037</v>
      </c>
      <c r="J391" s="32">
        <v>44673.256099537037</v>
      </c>
      <c r="K391" s="32" t="s">
        <v>7473</v>
      </c>
      <c r="L391" s="8" t="str">
        <f t="shared" si="131"/>
        <v/>
      </c>
      <c r="M391" s="7">
        <v>44701.256099537037</v>
      </c>
      <c r="N391" t="s">
        <v>72</v>
      </c>
      <c r="O391" s="34" t="s">
        <v>7474</v>
      </c>
      <c r="R391" s="32" t="s">
        <v>7472</v>
      </c>
      <c r="S391" t="s">
        <v>7476</v>
      </c>
      <c r="T391" s="34" t="s">
        <v>7476</v>
      </c>
      <c r="U391" s="34" t="s">
        <v>7476</v>
      </c>
      <c r="V391" s="32" t="s">
        <v>7476</v>
      </c>
      <c r="W391" s="32" t="s">
        <v>7476</v>
      </c>
      <c r="X391">
        <v>0</v>
      </c>
      <c r="Y391" s="34" t="s">
        <v>7476</v>
      </c>
      <c r="Z391" s="34" t="s">
        <v>7476</v>
      </c>
      <c r="AA391" s="34" t="s">
        <v>7476</v>
      </c>
      <c r="AB391" s="36" t="s">
        <v>7476</v>
      </c>
      <c r="AD391" t="s">
        <v>1270</v>
      </c>
      <c r="AE391" t="s">
        <v>1271</v>
      </c>
      <c r="AG391" t="s">
        <v>75</v>
      </c>
      <c r="AH391">
        <v>6</v>
      </c>
      <c r="AK391" s="38" t="str">
        <f t="shared" si="132"/>
        <v/>
      </c>
    </row>
    <row r="392" spans="1:43" x14ac:dyDescent="0.35">
      <c r="A392">
        <v>913</v>
      </c>
      <c r="B392" t="s">
        <v>1272</v>
      </c>
      <c r="C392" t="s">
        <v>213</v>
      </c>
      <c r="D392" t="str">
        <f t="shared" si="130"/>
        <v>Program Office</v>
      </c>
      <c r="E392" t="s">
        <v>1045</v>
      </c>
      <c r="F392" t="s">
        <v>1046</v>
      </c>
      <c r="G392" t="s">
        <v>1047</v>
      </c>
      <c r="H392" t="s">
        <v>48</v>
      </c>
      <c r="I392" s="32" t="s">
        <v>7471</v>
      </c>
      <c r="J392" s="32">
        <v>44673.256099537037</v>
      </c>
      <c r="K392" s="32">
        <v>44676.256099537037</v>
      </c>
      <c r="L392" s="8" t="str">
        <f t="shared" si="131"/>
        <v/>
      </c>
      <c r="M392" s="7">
        <v>44704.256099537037</v>
      </c>
      <c r="N392" t="s">
        <v>72</v>
      </c>
      <c r="O392" s="34" t="s">
        <v>7474</v>
      </c>
      <c r="R392" s="32" t="s">
        <v>7472</v>
      </c>
      <c r="S392" t="s">
        <v>7476</v>
      </c>
      <c r="T392" s="34" t="s">
        <v>7476</v>
      </c>
      <c r="U392" s="34" t="s">
        <v>7476</v>
      </c>
      <c r="V392" s="32" t="s">
        <v>7476</v>
      </c>
      <c r="W392" s="32" t="s">
        <v>7476</v>
      </c>
      <c r="X392">
        <v>0</v>
      </c>
      <c r="Y392" s="34" t="s">
        <v>7476</v>
      </c>
      <c r="Z392" s="34" t="s">
        <v>7476</v>
      </c>
      <c r="AA392" s="34" t="s">
        <v>7476</v>
      </c>
      <c r="AB392" s="36" t="s">
        <v>7476</v>
      </c>
      <c r="AD392" t="s">
        <v>1273</v>
      </c>
      <c r="AE392" t="s">
        <v>1274</v>
      </c>
      <c r="AG392" t="s">
        <v>55</v>
      </c>
      <c r="AH392">
        <v>3</v>
      </c>
      <c r="AK392" s="38" t="str">
        <f t="shared" si="132"/>
        <v/>
      </c>
    </row>
    <row r="393" spans="1:43" x14ac:dyDescent="0.35">
      <c r="A393">
        <v>901</v>
      </c>
      <c r="B393" t="s">
        <v>1275</v>
      </c>
      <c r="C393" t="s">
        <v>213</v>
      </c>
      <c r="D393" t="str">
        <f t="shared" si="130"/>
        <v>Program Office</v>
      </c>
      <c r="E393" t="s">
        <v>1045</v>
      </c>
      <c r="F393" t="s">
        <v>1046</v>
      </c>
      <c r="G393" t="s">
        <v>1047</v>
      </c>
      <c r="H393" t="s">
        <v>48</v>
      </c>
      <c r="I393" s="32">
        <v>45156.249560185177</v>
      </c>
      <c r="J393" s="32">
        <v>45160.249560185177</v>
      </c>
      <c r="K393" s="32" t="s">
        <v>7473</v>
      </c>
      <c r="L393" s="8" t="str">
        <f t="shared" si="131"/>
        <v/>
      </c>
      <c r="M393" s="7">
        <v>45172.249560185177</v>
      </c>
      <c r="N393" t="s">
        <v>49</v>
      </c>
      <c r="O393" s="34">
        <v>45172.249560185177</v>
      </c>
      <c r="P393" t="s">
        <v>101</v>
      </c>
      <c r="R393" s="32">
        <v>45176.249560185177</v>
      </c>
      <c r="S393" t="s">
        <v>101</v>
      </c>
      <c r="T393" s="34">
        <v>45174.249560185177</v>
      </c>
      <c r="U393" s="34">
        <v>45175.249560185177</v>
      </c>
      <c r="V393" s="32">
        <v>45174.249560185177</v>
      </c>
      <c r="W393" s="32">
        <v>45180.249560185177</v>
      </c>
      <c r="X393">
        <v>1</v>
      </c>
      <c r="Y393" s="34">
        <v>45181.249560185177</v>
      </c>
      <c r="Z393" s="34">
        <v>45182.249560185177</v>
      </c>
      <c r="AA393" s="34">
        <v>45183.249560185177</v>
      </c>
      <c r="AB393" s="36" t="s">
        <v>7476</v>
      </c>
      <c r="AC393" s="10">
        <v>45202.249560185177</v>
      </c>
      <c r="AD393" t="s">
        <v>1276</v>
      </c>
      <c r="AE393" t="s">
        <v>1277</v>
      </c>
      <c r="AF393" s="16">
        <v>45155</v>
      </c>
      <c r="AG393" t="s">
        <v>93</v>
      </c>
      <c r="AH393">
        <v>6</v>
      </c>
      <c r="AK393" s="38">
        <f t="shared" si="132"/>
        <v>45354.249560185177</v>
      </c>
    </row>
    <row r="394" spans="1:43" x14ac:dyDescent="0.35">
      <c r="A394">
        <v>835</v>
      </c>
      <c r="B394" t="s">
        <v>1278</v>
      </c>
      <c r="C394" t="s">
        <v>202</v>
      </c>
      <c r="D394" t="str">
        <f t="shared" si="130"/>
        <v>Program Office</v>
      </c>
      <c r="E394" t="s">
        <v>1045</v>
      </c>
      <c r="F394" t="s">
        <v>1046</v>
      </c>
      <c r="G394" t="s">
        <v>1047</v>
      </c>
      <c r="H394" t="s">
        <v>48</v>
      </c>
      <c r="I394" s="32">
        <v>44754.707071759258</v>
      </c>
      <c r="J394" s="32" t="s">
        <v>7471</v>
      </c>
      <c r="K394" s="32">
        <v>44760.707071759258</v>
      </c>
      <c r="L394" s="8">
        <f t="shared" si="131"/>
        <v>6</v>
      </c>
      <c r="M394" s="7">
        <v>44782.707071759258</v>
      </c>
      <c r="N394" t="s">
        <v>49</v>
      </c>
      <c r="O394" s="34">
        <v>44774.707071759258</v>
      </c>
      <c r="P394" t="s">
        <v>50</v>
      </c>
      <c r="Q394" t="s">
        <v>51</v>
      </c>
      <c r="R394" s="32" t="s">
        <v>7472</v>
      </c>
      <c r="S394" t="s">
        <v>7476</v>
      </c>
      <c r="T394" s="34" t="s">
        <v>7476</v>
      </c>
      <c r="U394" s="34" t="s">
        <v>7476</v>
      </c>
      <c r="V394" s="32" t="s">
        <v>7476</v>
      </c>
      <c r="W394" s="32" t="s">
        <v>7476</v>
      </c>
      <c r="X394">
        <v>0</v>
      </c>
      <c r="Y394" s="34" t="s">
        <v>7476</v>
      </c>
      <c r="Z394" s="34" t="s">
        <v>7476</v>
      </c>
      <c r="AA394" s="34" t="s">
        <v>7476</v>
      </c>
      <c r="AB394" s="36" t="s">
        <v>95</v>
      </c>
      <c r="AD394" t="s">
        <v>1279</v>
      </c>
      <c r="AE394" t="s">
        <v>1280</v>
      </c>
      <c r="AF394" s="16">
        <v>44755</v>
      </c>
      <c r="AG394" t="s">
        <v>93</v>
      </c>
      <c r="AH394">
        <v>3</v>
      </c>
      <c r="AK394" s="38" t="str">
        <f t="shared" si="132"/>
        <v/>
      </c>
    </row>
    <row r="395" spans="1:43" x14ac:dyDescent="0.35">
      <c r="A395">
        <v>834</v>
      </c>
      <c r="B395" t="s">
        <v>1281</v>
      </c>
      <c r="C395" t="s">
        <v>217</v>
      </c>
      <c r="D395" t="str">
        <f t="shared" si="130"/>
        <v>Program Office</v>
      </c>
      <c r="E395" t="s">
        <v>1045</v>
      </c>
      <c r="F395" t="s">
        <v>1046</v>
      </c>
      <c r="G395" t="s">
        <v>1047</v>
      </c>
      <c r="H395" t="s">
        <v>48</v>
      </c>
      <c r="I395" s="32">
        <v>44755.707071759258</v>
      </c>
      <c r="J395" s="32">
        <v>44756.707071759258</v>
      </c>
      <c r="K395" s="32">
        <v>44760.707071759258</v>
      </c>
      <c r="L395" s="8">
        <f t="shared" si="131"/>
        <v>5</v>
      </c>
      <c r="M395" s="7">
        <v>44790.707071759258</v>
      </c>
      <c r="N395" t="s">
        <v>49</v>
      </c>
      <c r="O395" s="34">
        <v>44772.707071759258</v>
      </c>
      <c r="P395" t="s">
        <v>101</v>
      </c>
      <c r="R395" s="32">
        <v>44777.707071759258</v>
      </c>
      <c r="S395" t="s">
        <v>101</v>
      </c>
      <c r="T395" s="34">
        <v>44773.707071759258</v>
      </c>
      <c r="U395" s="34">
        <v>44776.707071759258</v>
      </c>
      <c r="V395" s="32">
        <v>44773.707071759258</v>
      </c>
      <c r="W395" s="32">
        <v>44778.707071759258</v>
      </c>
      <c r="X395">
        <v>1</v>
      </c>
      <c r="Y395" s="34">
        <v>44780.707071759258</v>
      </c>
      <c r="Z395" s="34">
        <v>44782.707071759258</v>
      </c>
      <c r="AA395" s="34">
        <v>44784.707071759258</v>
      </c>
      <c r="AB395" s="36" t="s">
        <v>7476</v>
      </c>
      <c r="AC395" s="10">
        <v>44801.707071759258</v>
      </c>
      <c r="AD395" t="s">
        <v>1282</v>
      </c>
      <c r="AE395" t="s">
        <v>1283</v>
      </c>
      <c r="AF395" s="16">
        <v>44753</v>
      </c>
      <c r="AG395" t="s">
        <v>98</v>
      </c>
      <c r="AH395">
        <v>6</v>
      </c>
      <c r="AI395" s="8">
        <f>IFERROR(R395-AF395,"")</f>
        <v>24.707071759257815</v>
      </c>
      <c r="AJ395" s="8">
        <f>IFERROR(O395-AF395,"")</f>
        <v>19.707071759257815</v>
      </c>
      <c r="AK395" s="38">
        <f t="shared" si="132"/>
        <v>44953.707071759258</v>
      </c>
      <c r="AL395">
        <f>IFERROR(Z395-W395,"")</f>
        <v>4</v>
      </c>
      <c r="AM395">
        <f>IFERROR(R395-J395,"")</f>
        <v>21</v>
      </c>
      <c r="AN395">
        <f>IFERROR(V395-O395,"")</f>
        <v>1</v>
      </c>
      <c r="AO395">
        <f>IFERROR(J395-I395,"")</f>
        <v>1</v>
      </c>
      <c r="AP395">
        <f>IFERROR(AC395-X395,"")</f>
        <v>44800.707071759258</v>
      </c>
      <c r="AQ395">
        <f>IFERROR(AA395-W395,"")</f>
        <v>6</v>
      </c>
    </row>
    <row r="396" spans="1:43" x14ac:dyDescent="0.35">
      <c r="A396">
        <v>822</v>
      </c>
      <c r="B396" t="s">
        <v>1284</v>
      </c>
      <c r="C396" t="s">
        <v>202</v>
      </c>
      <c r="D396" t="str">
        <f t="shared" si="130"/>
        <v>Program Office</v>
      </c>
      <c r="E396" t="s">
        <v>1045</v>
      </c>
      <c r="F396" t="s">
        <v>1046</v>
      </c>
      <c r="G396" t="s">
        <v>1047</v>
      </c>
      <c r="H396" t="s">
        <v>48</v>
      </c>
      <c r="I396" s="32" t="s">
        <v>7471</v>
      </c>
      <c r="J396" s="32">
        <v>44628.625335648147</v>
      </c>
      <c r="K396" s="32">
        <v>44631.625335648147</v>
      </c>
      <c r="L396" s="8" t="str">
        <f t="shared" si="131"/>
        <v/>
      </c>
      <c r="M396" s="7">
        <v>44654.625335648147</v>
      </c>
      <c r="N396" t="s">
        <v>72</v>
      </c>
      <c r="O396" s="34" t="s">
        <v>7474</v>
      </c>
      <c r="R396" s="32" t="s">
        <v>7472</v>
      </c>
      <c r="S396" t="s">
        <v>7476</v>
      </c>
      <c r="T396" s="34" t="s">
        <v>7476</v>
      </c>
      <c r="U396" s="34" t="s">
        <v>7476</v>
      </c>
      <c r="V396" s="32" t="s">
        <v>7476</v>
      </c>
      <c r="W396" s="32" t="s">
        <v>7476</v>
      </c>
      <c r="X396">
        <v>0</v>
      </c>
      <c r="Y396" s="34" t="s">
        <v>7476</v>
      </c>
      <c r="Z396" s="34" t="s">
        <v>7476</v>
      </c>
      <c r="AA396" s="34" t="s">
        <v>7476</v>
      </c>
      <c r="AB396" s="36" t="s">
        <v>7476</v>
      </c>
      <c r="AD396" t="s">
        <v>1285</v>
      </c>
      <c r="AE396" t="s">
        <v>1286</v>
      </c>
      <c r="AG396" t="s">
        <v>75</v>
      </c>
      <c r="AH396">
        <v>3</v>
      </c>
      <c r="AK396" s="38" t="str">
        <f t="shared" si="132"/>
        <v/>
      </c>
    </row>
    <row r="397" spans="1:43" x14ac:dyDescent="0.35">
      <c r="A397">
        <v>800</v>
      </c>
      <c r="B397" t="s">
        <v>1287</v>
      </c>
      <c r="C397" t="s">
        <v>202</v>
      </c>
      <c r="D397" t="str">
        <f t="shared" si="130"/>
        <v>Program Office</v>
      </c>
      <c r="E397" t="s">
        <v>1045</v>
      </c>
      <c r="F397" t="s">
        <v>1046</v>
      </c>
      <c r="G397" t="s">
        <v>1047</v>
      </c>
      <c r="H397" t="s">
        <v>48</v>
      </c>
      <c r="I397" s="32">
        <v>44903.674583333333</v>
      </c>
      <c r="J397" s="32">
        <v>44906.674583333333</v>
      </c>
      <c r="K397" s="32">
        <v>44912.674583333333</v>
      </c>
      <c r="L397" s="8">
        <f t="shared" si="131"/>
        <v>9</v>
      </c>
      <c r="M397" s="7">
        <v>44942.674583333333</v>
      </c>
      <c r="N397" t="s">
        <v>49</v>
      </c>
      <c r="O397" s="34">
        <v>44928.674583333333</v>
      </c>
      <c r="P397" t="s">
        <v>60</v>
      </c>
      <c r="R397" s="32">
        <v>44932.674583333333</v>
      </c>
      <c r="S397" t="s">
        <v>61</v>
      </c>
      <c r="T397" s="34" t="s">
        <v>7476</v>
      </c>
      <c r="U397" s="34" t="s">
        <v>7476</v>
      </c>
      <c r="V397" s="32">
        <v>44931.674583333333</v>
      </c>
      <c r="W397" s="32" t="s">
        <v>7476</v>
      </c>
      <c r="X397">
        <v>0</v>
      </c>
      <c r="Y397" s="34" t="s">
        <v>7476</v>
      </c>
      <c r="Z397" s="34" t="s">
        <v>7476</v>
      </c>
      <c r="AA397" s="34" t="s">
        <v>7476</v>
      </c>
      <c r="AB397" s="36" t="s">
        <v>7476</v>
      </c>
      <c r="AD397" t="s">
        <v>1288</v>
      </c>
      <c r="AE397" t="s">
        <v>1289</v>
      </c>
      <c r="AF397" s="16">
        <v>44923</v>
      </c>
      <c r="AG397" t="s">
        <v>64</v>
      </c>
      <c r="AH397">
        <v>6</v>
      </c>
      <c r="AI397" s="8">
        <f>IFERROR(R397-AF397,"")</f>
        <v>9.6745833333334303</v>
      </c>
      <c r="AJ397" s="8">
        <f>IFERROR(O397-AF397,"")</f>
        <v>5.6745833333334303</v>
      </c>
      <c r="AK397" s="38">
        <f t="shared" si="132"/>
        <v>45111.674583333333</v>
      </c>
      <c r="AL397" t="str">
        <f>IFERROR(Z397-W397,"")</f>
        <v/>
      </c>
      <c r="AM397">
        <f>IFERROR(R397-J397,"")</f>
        <v>26</v>
      </c>
      <c r="AN397">
        <f>IFERROR(V397-O397,"")</f>
        <v>3</v>
      </c>
      <c r="AO397">
        <f>IFERROR(J397-I397,"")</f>
        <v>3</v>
      </c>
      <c r="AP397">
        <f>IFERROR(AC397-X397,"")</f>
        <v>0</v>
      </c>
      <c r="AQ397" t="str">
        <f>IFERROR(AA397-W397,"")</f>
        <v/>
      </c>
    </row>
    <row r="398" spans="1:43" x14ac:dyDescent="0.35">
      <c r="A398">
        <v>794</v>
      </c>
      <c r="B398" t="s">
        <v>1290</v>
      </c>
      <c r="C398" t="s">
        <v>202</v>
      </c>
      <c r="D398" t="str">
        <f t="shared" si="130"/>
        <v>Program Office</v>
      </c>
      <c r="E398" t="s">
        <v>1045</v>
      </c>
      <c r="F398" t="s">
        <v>1046</v>
      </c>
      <c r="G398" t="s">
        <v>1047</v>
      </c>
      <c r="H398" t="s">
        <v>48</v>
      </c>
      <c r="I398" s="32">
        <v>44904.674583333333</v>
      </c>
      <c r="J398" s="32">
        <v>44908.674583333333</v>
      </c>
      <c r="K398" s="32">
        <v>44912.674583333333</v>
      </c>
      <c r="L398" s="8">
        <f t="shared" si="131"/>
        <v>8</v>
      </c>
      <c r="M398" s="7">
        <v>44921.674583333333</v>
      </c>
      <c r="N398" t="s">
        <v>72</v>
      </c>
      <c r="O398" s="34" t="s">
        <v>7474</v>
      </c>
      <c r="R398" s="32" t="s">
        <v>7472</v>
      </c>
      <c r="S398" t="s">
        <v>7476</v>
      </c>
      <c r="T398" s="34" t="s">
        <v>7476</v>
      </c>
      <c r="U398" s="34" t="s">
        <v>7476</v>
      </c>
      <c r="V398" s="32" t="s">
        <v>7476</v>
      </c>
      <c r="W398" s="32" t="s">
        <v>7476</v>
      </c>
      <c r="X398">
        <v>0</v>
      </c>
      <c r="Y398" s="34" t="s">
        <v>7476</v>
      </c>
      <c r="Z398" s="34" t="s">
        <v>7476</v>
      </c>
      <c r="AA398" s="34" t="s">
        <v>7476</v>
      </c>
      <c r="AB398" s="36" t="s">
        <v>7476</v>
      </c>
      <c r="AD398" t="s">
        <v>1291</v>
      </c>
      <c r="AE398" t="s">
        <v>1292</v>
      </c>
      <c r="AG398" t="s">
        <v>64</v>
      </c>
      <c r="AH398">
        <v>3</v>
      </c>
      <c r="AI398" s="8" t="str">
        <f>IFERROR(R398-AF398,"")</f>
        <v/>
      </c>
      <c r="AJ398" s="8" t="str">
        <f>IFERROR(O398-AF398,"")</f>
        <v/>
      </c>
      <c r="AK398" s="38" t="str">
        <f t="shared" si="132"/>
        <v/>
      </c>
      <c r="AL398" t="str">
        <f>IFERROR(Z398-W398,"")</f>
        <v/>
      </c>
      <c r="AM398" t="str">
        <f>IFERROR(R398-J398,"")</f>
        <v/>
      </c>
      <c r="AN398" t="str">
        <f>IFERROR(V398-O398,"")</f>
        <v/>
      </c>
      <c r="AO398">
        <f>IFERROR(J398-I398,"")</f>
        <v>4</v>
      </c>
      <c r="AP398">
        <f>IFERROR(AC398-X398,"")</f>
        <v>0</v>
      </c>
      <c r="AQ398" t="str">
        <f>IFERROR(AA398-W398,"")</f>
        <v/>
      </c>
    </row>
    <row r="399" spans="1:43" x14ac:dyDescent="0.35">
      <c r="A399">
        <v>792</v>
      </c>
      <c r="B399" t="s">
        <v>1293</v>
      </c>
      <c r="C399" t="s">
        <v>213</v>
      </c>
      <c r="D399" t="str">
        <f t="shared" si="130"/>
        <v>Program Office</v>
      </c>
      <c r="E399" t="s">
        <v>1045</v>
      </c>
      <c r="F399" t="s">
        <v>1046</v>
      </c>
      <c r="G399" t="s">
        <v>1047</v>
      </c>
      <c r="H399" t="s">
        <v>48</v>
      </c>
      <c r="I399" s="32">
        <v>44905.674583333333</v>
      </c>
      <c r="J399" s="32">
        <v>44908.674583333333</v>
      </c>
      <c r="K399" s="32">
        <v>44912.674583333333</v>
      </c>
      <c r="L399" s="8">
        <f t="shared" si="131"/>
        <v>7</v>
      </c>
      <c r="M399" s="7">
        <v>44932.674583333333</v>
      </c>
      <c r="N399" t="s">
        <v>49</v>
      </c>
      <c r="O399" s="34">
        <v>44923.674583333333</v>
      </c>
      <c r="P399" t="s">
        <v>101</v>
      </c>
      <c r="R399" s="32">
        <v>44927.674583333333</v>
      </c>
      <c r="S399" t="s">
        <v>101</v>
      </c>
      <c r="T399" s="34">
        <v>44925.674583333333</v>
      </c>
      <c r="U399" s="34">
        <v>44928.674583333333</v>
      </c>
      <c r="V399" s="32">
        <v>44925.674583333333</v>
      </c>
      <c r="W399" s="32">
        <v>44928.674583333333</v>
      </c>
      <c r="X399">
        <v>1</v>
      </c>
      <c r="Y399" s="34">
        <v>44931.674583333333</v>
      </c>
      <c r="Z399" s="34">
        <v>44934.674583333333</v>
      </c>
      <c r="AA399" s="34">
        <v>44935.674583333333</v>
      </c>
      <c r="AB399" s="36" t="s">
        <v>7476</v>
      </c>
      <c r="AC399" s="10">
        <v>44958.674583333333</v>
      </c>
      <c r="AD399" t="s">
        <v>1294</v>
      </c>
      <c r="AE399" t="s">
        <v>1295</v>
      </c>
      <c r="AF399" s="16">
        <v>44917</v>
      </c>
      <c r="AG399" t="s">
        <v>64</v>
      </c>
      <c r="AH399">
        <v>3</v>
      </c>
      <c r="AI399" s="8">
        <f>IFERROR(R399-AF399,"")</f>
        <v>10.67458333333343</v>
      </c>
      <c r="AJ399" s="8">
        <f>IFERROR(O399-AF399,"")</f>
        <v>6.6745833333334303</v>
      </c>
      <c r="AK399" s="38">
        <f t="shared" si="132"/>
        <v>45015.674583333333</v>
      </c>
      <c r="AL399">
        <f>IFERROR(Z399-W399,"")</f>
        <v>6</v>
      </c>
      <c r="AM399">
        <f>IFERROR(R399-J399,"")</f>
        <v>19</v>
      </c>
      <c r="AN399">
        <f>IFERROR(V399-O399,"")</f>
        <v>2</v>
      </c>
      <c r="AO399">
        <f>IFERROR(J399-I399,"")</f>
        <v>3</v>
      </c>
      <c r="AP399">
        <f>IFERROR(AC399-X399,"")</f>
        <v>44957.674583333333</v>
      </c>
      <c r="AQ399">
        <f>IFERROR(AA399-W399,"")</f>
        <v>7</v>
      </c>
    </row>
    <row r="400" spans="1:43" x14ac:dyDescent="0.35">
      <c r="A400">
        <v>766</v>
      </c>
      <c r="B400" t="s">
        <v>1296</v>
      </c>
      <c r="C400" t="s">
        <v>217</v>
      </c>
      <c r="D400" t="str">
        <f t="shared" si="130"/>
        <v>Program Office</v>
      </c>
      <c r="E400" t="s">
        <v>1045</v>
      </c>
      <c r="F400" t="s">
        <v>1046</v>
      </c>
      <c r="G400" t="s">
        <v>1047</v>
      </c>
      <c r="H400" t="s">
        <v>48</v>
      </c>
      <c r="I400" s="32">
        <v>44725.736145833333</v>
      </c>
      <c r="J400" s="32" t="s">
        <v>7471</v>
      </c>
      <c r="K400" s="32">
        <v>44733.736145833333</v>
      </c>
      <c r="L400" s="8">
        <f t="shared" si="131"/>
        <v>8</v>
      </c>
      <c r="M400" s="7">
        <v>44756.736145833333</v>
      </c>
      <c r="N400" t="s">
        <v>72</v>
      </c>
      <c r="O400" s="34" t="s">
        <v>7474</v>
      </c>
      <c r="R400" s="32" t="s">
        <v>7472</v>
      </c>
      <c r="S400" t="s">
        <v>7476</v>
      </c>
      <c r="T400" s="34" t="s">
        <v>7476</v>
      </c>
      <c r="U400" s="34" t="s">
        <v>7476</v>
      </c>
      <c r="V400" s="32" t="s">
        <v>7476</v>
      </c>
      <c r="W400" s="32" t="s">
        <v>7476</v>
      </c>
      <c r="X400">
        <v>0</v>
      </c>
      <c r="Y400" s="34" t="s">
        <v>7476</v>
      </c>
      <c r="Z400" s="34" t="s">
        <v>7476</v>
      </c>
      <c r="AA400" s="34" t="s">
        <v>7476</v>
      </c>
      <c r="AB400" s="36" t="s">
        <v>7476</v>
      </c>
      <c r="AD400" t="s">
        <v>1297</v>
      </c>
      <c r="AE400" t="s">
        <v>1298</v>
      </c>
      <c r="AG400" t="s">
        <v>93</v>
      </c>
      <c r="AH400">
        <v>3</v>
      </c>
      <c r="AK400" s="38" t="str">
        <f t="shared" si="132"/>
        <v/>
      </c>
    </row>
    <row r="401" spans="1:43" x14ac:dyDescent="0.35">
      <c r="A401">
        <v>765</v>
      </c>
      <c r="B401" t="s">
        <v>1299</v>
      </c>
      <c r="C401" t="s">
        <v>217</v>
      </c>
      <c r="D401" t="str">
        <f t="shared" si="130"/>
        <v>Program Office</v>
      </c>
      <c r="E401" t="s">
        <v>1045</v>
      </c>
      <c r="F401" t="s">
        <v>1300</v>
      </c>
      <c r="G401" t="s">
        <v>1301</v>
      </c>
      <c r="H401" t="s">
        <v>48</v>
      </c>
      <c r="I401" s="32">
        <v>44723.736145833333</v>
      </c>
      <c r="J401" s="32">
        <v>44727.736145833333</v>
      </c>
      <c r="K401" s="32">
        <v>44733.736145833333</v>
      </c>
      <c r="L401" s="8">
        <f t="shared" si="131"/>
        <v>10</v>
      </c>
      <c r="M401" s="7">
        <v>44739.736145833333</v>
      </c>
      <c r="N401" t="s">
        <v>72</v>
      </c>
      <c r="O401" s="34" t="s">
        <v>7474</v>
      </c>
      <c r="R401" s="32" t="s">
        <v>7472</v>
      </c>
      <c r="S401" t="s">
        <v>7476</v>
      </c>
      <c r="T401" s="34" t="s">
        <v>7476</v>
      </c>
      <c r="U401" s="34" t="s">
        <v>7476</v>
      </c>
      <c r="V401" s="32" t="s">
        <v>7476</v>
      </c>
      <c r="W401" s="32" t="s">
        <v>7476</v>
      </c>
      <c r="X401">
        <v>0</v>
      </c>
      <c r="Y401" s="34" t="s">
        <v>7476</v>
      </c>
      <c r="Z401" s="34" t="s">
        <v>7476</v>
      </c>
      <c r="AA401" s="34" t="s">
        <v>7476</v>
      </c>
      <c r="AB401" s="36" t="s">
        <v>7476</v>
      </c>
      <c r="AD401" t="s">
        <v>1302</v>
      </c>
      <c r="AE401" t="s">
        <v>1303</v>
      </c>
      <c r="AG401" t="s">
        <v>98</v>
      </c>
      <c r="AH401">
        <v>3</v>
      </c>
      <c r="AI401" s="8" t="str">
        <f>IFERROR(R401-AF401,"")</f>
        <v/>
      </c>
      <c r="AJ401" s="8" t="str">
        <f>IFERROR(O401-AF401,"")</f>
        <v/>
      </c>
      <c r="AK401" s="38" t="str">
        <f t="shared" si="132"/>
        <v/>
      </c>
      <c r="AL401" t="str">
        <f>IFERROR(Z401-W401,"")</f>
        <v/>
      </c>
      <c r="AM401" t="str">
        <f>IFERROR(R401-J401,"")</f>
        <v/>
      </c>
      <c r="AN401" t="str">
        <f>IFERROR(V401-O401,"")</f>
        <v/>
      </c>
      <c r="AO401">
        <f>IFERROR(J401-I401,"")</f>
        <v>4</v>
      </c>
      <c r="AP401">
        <f>IFERROR(AC401-X401,"")</f>
        <v>0</v>
      </c>
      <c r="AQ401" t="str">
        <f>IFERROR(AA401-W401,"")</f>
        <v/>
      </c>
    </row>
    <row r="402" spans="1:43" x14ac:dyDescent="0.35">
      <c r="A402">
        <v>761</v>
      </c>
      <c r="B402" t="s">
        <v>1304</v>
      </c>
      <c r="C402" t="s">
        <v>213</v>
      </c>
      <c r="D402" t="str">
        <f t="shared" si="130"/>
        <v>Program Office</v>
      </c>
      <c r="E402" t="s">
        <v>1045</v>
      </c>
      <c r="F402" t="s">
        <v>1300</v>
      </c>
      <c r="G402" t="s">
        <v>1301</v>
      </c>
      <c r="H402" t="s">
        <v>48</v>
      </c>
      <c r="I402" s="32">
        <v>44729.736145833333</v>
      </c>
      <c r="J402" s="32">
        <v>44731.736145833333</v>
      </c>
      <c r="K402" s="32">
        <v>44733.736145833333</v>
      </c>
      <c r="L402" s="8">
        <f t="shared" si="131"/>
        <v>4</v>
      </c>
      <c r="M402" s="7">
        <v>44752.736145833333</v>
      </c>
      <c r="N402" t="s">
        <v>49</v>
      </c>
      <c r="O402" s="34">
        <v>44745.736145833333</v>
      </c>
      <c r="P402" t="s">
        <v>101</v>
      </c>
      <c r="R402" s="32">
        <v>44752.736145833333</v>
      </c>
      <c r="S402" t="s">
        <v>101</v>
      </c>
      <c r="T402" s="34">
        <v>44746.736145833333</v>
      </c>
      <c r="U402" s="34">
        <v>44747.736145833333</v>
      </c>
      <c r="V402" s="32">
        <v>44749.736145833333</v>
      </c>
      <c r="W402" s="32">
        <v>44752.736145833333</v>
      </c>
      <c r="X402">
        <v>1</v>
      </c>
      <c r="Y402" s="34">
        <v>44756.736145833333</v>
      </c>
      <c r="Z402" s="34">
        <v>44759.736145833333</v>
      </c>
      <c r="AA402" s="34">
        <v>44762.736145833333</v>
      </c>
      <c r="AB402" s="36" t="s">
        <v>7476</v>
      </c>
      <c r="AC402" s="10">
        <v>44774.736145833333</v>
      </c>
      <c r="AD402" t="s">
        <v>1305</v>
      </c>
      <c r="AE402" t="s">
        <v>1306</v>
      </c>
      <c r="AF402" s="16">
        <v>44734</v>
      </c>
      <c r="AG402" t="s">
        <v>64</v>
      </c>
      <c r="AH402">
        <v>3</v>
      </c>
      <c r="AI402" s="8">
        <f>IFERROR(R402-AF402,"")</f>
        <v>18.736145833332557</v>
      </c>
      <c r="AJ402" s="8">
        <f>IFERROR(O402-AF402,"")</f>
        <v>11.736145833332557</v>
      </c>
      <c r="AK402" s="38">
        <f t="shared" si="132"/>
        <v>44839.736145833333</v>
      </c>
      <c r="AL402">
        <f>IFERROR(Z402-W402,"")</f>
        <v>7</v>
      </c>
      <c r="AM402">
        <f>IFERROR(R402-J402,"")</f>
        <v>21</v>
      </c>
      <c r="AN402">
        <f>IFERROR(V402-O402,"")</f>
        <v>4</v>
      </c>
      <c r="AO402">
        <f>IFERROR(J402-I402,"")</f>
        <v>2</v>
      </c>
      <c r="AP402">
        <f>IFERROR(AC402-X402,"")</f>
        <v>44773.736145833333</v>
      </c>
      <c r="AQ402">
        <f>IFERROR(AA402-W402,"")</f>
        <v>10</v>
      </c>
    </row>
    <row r="403" spans="1:43" x14ac:dyDescent="0.35">
      <c r="A403">
        <v>730</v>
      </c>
      <c r="B403" t="s">
        <v>1307</v>
      </c>
      <c r="C403" t="s">
        <v>213</v>
      </c>
      <c r="D403" t="str">
        <f t="shared" si="130"/>
        <v>Program Office</v>
      </c>
      <c r="E403" t="s">
        <v>1045</v>
      </c>
      <c r="F403" t="s">
        <v>1300</v>
      </c>
      <c r="G403" t="s">
        <v>1301</v>
      </c>
      <c r="H403" t="s">
        <v>48</v>
      </c>
      <c r="I403" s="32">
        <v>44605.660578703697</v>
      </c>
      <c r="J403" s="32">
        <v>44608.660578703697</v>
      </c>
      <c r="K403" s="32">
        <v>44612.660578703697</v>
      </c>
      <c r="L403" s="8">
        <f t="shared" si="131"/>
        <v>7</v>
      </c>
      <c r="M403" s="7">
        <v>44642.660578703697</v>
      </c>
      <c r="N403" t="s">
        <v>49</v>
      </c>
      <c r="O403" s="34">
        <v>44620.660578703697</v>
      </c>
      <c r="P403" t="s">
        <v>60</v>
      </c>
      <c r="R403" s="32">
        <v>44627.660578703697</v>
      </c>
      <c r="S403" t="s">
        <v>61</v>
      </c>
      <c r="T403" s="34" t="s">
        <v>7476</v>
      </c>
      <c r="U403" s="34" t="s">
        <v>7476</v>
      </c>
      <c r="V403" s="32">
        <v>44623.660578703697</v>
      </c>
      <c r="W403" s="32" t="s">
        <v>7476</v>
      </c>
      <c r="X403">
        <v>0</v>
      </c>
      <c r="Y403" s="34" t="s">
        <v>7476</v>
      </c>
      <c r="Z403" s="34" t="s">
        <v>7476</v>
      </c>
      <c r="AA403" s="34" t="s">
        <v>7476</v>
      </c>
      <c r="AB403" s="36" t="s">
        <v>7476</v>
      </c>
      <c r="AD403" t="s">
        <v>1308</v>
      </c>
      <c r="AE403" t="s">
        <v>1309</v>
      </c>
      <c r="AF403" s="16">
        <v>44601</v>
      </c>
      <c r="AG403" t="s">
        <v>64</v>
      </c>
      <c r="AH403">
        <v>3</v>
      </c>
      <c r="AI403" s="8">
        <f>IFERROR(R403-AF403,"")</f>
        <v>26.660578703696956</v>
      </c>
      <c r="AJ403" s="8">
        <f>IFERROR(O403-AF403,"")</f>
        <v>19.660578703696956</v>
      </c>
      <c r="AK403" s="38">
        <f t="shared" si="132"/>
        <v>44713.660578703697</v>
      </c>
      <c r="AL403" t="str">
        <f>IFERROR(Z403-W403,"")</f>
        <v/>
      </c>
      <c r="AM403">
        <f>IFERROR(R403-J403,"")</f>
        <v>19</v>
      </c>
      <c r="AN403">
        <f>IFERROR(V403-O403,"")</f>
        <v>3</v>
      </c>
      <c r="AO403">
        <f>IFERROR(J403-I403,"")</f>
        <v>3</v>
      </c>
      <c r="AP403">
        <f>IFERROR(AC403-X403,"")</f>
        <v>0</v>
      </c>
      <c r="AQ403" t="str">
        <f>IFERROR(AA403-W403,"")</f>
        <v/>
      </c>
    </row>
    <row r="404" spans="1:43" x14ac:dyDescent="0.35">
      <c r="A404">
        <v>720</v>
      </c>
      <c r="B404" t="s">
        <v>1310</v>
      </c>
      <c r="C404" t="s">
        <v>213</v>
      </c>
      <c r="D404" t="str">
        <f t="shared" si="130"/>
        <v>Program Office</v>
      </c>
      <c r="E404" t="s">
        <v>1045</v>
      </c>
      <c r="F404" t="s">
        <v>1300</v>
      </c>
      <c r="G404" t="s">
        <v>1301</v>
      </c>
      <c r="H404" t="s">
        <v>48</v>
      </c>
      <c r="I404" s="32">
        <v>44629.686331018522</v>
      </c>
      <c r="J404" s="32">
        <v>44630.686331018522</v>
      </c>
      <c r="K404" s="32">
        <v>44634.686331018522</v>
      </c>
      <c r="L404" s="8">
        <f t="shared" si="131"/>
        <v>5</v>
      </c>
      <c r="M404" s="7">
        <v>44652.686331018522</v>
      </c>
      <c r="N404" t="s">
        <v>49</v>
      </c>
      <c r="O404" s="34">
        <v>44650.686331018522</v>
      </c>
      <c r="P404" t="s">
        <v>50</v>
      </c>
      <c r="Q404" t="s">
        <v>51</v>
      </c>
      <c r="R404" s="32" t="s">
        <v>7472</v>
      </c>
      <c r="S404" t="s">
        <v>7476</v>
      </c>
      <c r="T404" s="34" t="s">
        <v>7476</v>
      </c>
      <c r="U404" s="34" t="s">
        <v>7476</v>
      </c>
      <c r="V404" s="32">
        <v>44652.686331018522</v>
      </c>
      <c r="W404" s="32" t="s">
        <v>7476</v>
      </c>
      <c r="X404">
        <v>0</v>
      </c>
      <c r="Y404" s="34" t="s">
        <v>7476</v>
      </c>
      <c r="Z404" s="34" t="s">
        <v>7476</v>
      </c>
      <c r="AA404" s="34" t="s">
        <v>7476</v>
      </c>
      <c r="AB404" s="36" t="s">
        <v>52</v>
      </c>
      <c r="AD404" t="s">
        <v>1311</v>
      </c>
      <c r="AE404" t="s">
        <v>1312</v>
      </c>
      <c r="AF404" s="16">
        <v>44638</v>
      </c>
      <c r="AG404" t="s">
        <v>98</v>
      </c>
      <c r="AH404">
        <v>3</v>
      </c>
      <c r="AI404" s="8" t="str">
        <f>IFERROR(R404-AF404,"")</f>
        <v/>
      </c>
      <c r="AJ404" s="8">
        <f>IFERROR(O404-AF404,"")</f>
        <v>12.686331018521741</v>
      </c>
      <c r="AK404" s="38">
        <f t="shared" si="132"/>
        <v>44742.686331018522</v>
      </c>
      <c r="AL404" t="str">
        <f>IFERROR(Z404-W404,"")</f>
        <v/>
      </c>
      <c r="AM404" t="str">
        <f>IFERROR(R404-J404,"")</f>
        <v/>
      </c>
      <c r="AN404">
        <f>IFERROR(V404-O404,"")</f>
        <v>2</v>
      </c>
      <c r="AO404">
        <f>IFERROR(J404-I404,"")</f>
        <v>1</v>
      </c>
      <c r="AP404">
        <f>IFERROR(AC404-X404,"")</f>
        <v>0</v>
      </c>
      <c r="AQ404" t="str">
        <f>IFERROR(AA404-W404,"")</f>
        <v/>
      </c>
    </row>
    <row r="405" spans="1:43" x14ac:dyDescent="0.35">
      <c r="A405">
        <v>680</v>
      </c>
      <c r="B405" t="s">
        <v>1313</v>
      </c>
      <c r="C405" t="s">
        <v>213</v>
      </c>
      <c r="D405" t="str">
        <f t="shared" si="130"/>
        <v>Program Office</v>
      </c>
      <c r="E405" t="s">
        <v>1045</v>
      </c>
      <c r="F405" t="s">
        <v>1300</v>
      </c>
      <c r="G405" t="s">
        <v>1301</v>
      </c>
      <c r="H405" t="s">
        <v>48</v>
      </c>
      <c r="I405" s="32">
        <v>45140.885671296302</v>
      </c>
      <c r="J405" s="32">
        <v>45142.885671296302</v>
      </c>
      <c r="K405" s="32">
        <v>45147.885671296302</v>
      </c>
      <c r="L405" s="8">
        <f t="shared" si="131"/>
        <v>7</v>
      </c>
      <c r="M405" s="7">
        <v>45156.885671296302</v>
      </c>
      <c r="N405" t="s">
        <v>49</v>
      </c>
      <c r="O405" s="34">
        <v>45163.885671296302</v>
      </c>
      <c r="P405" t="s">
        <v>50</v>
      </c>
      <c r="Q405" t="s">
        <v>125</v>
      </c>
      <c r="R405" s="32" t="s">
        <v>7472</v>
      </c>
      <c r="S405" t="s">
        <v>7476</v>
      </c>
      <c r="T405" s="34" t="s">
        <v>7476</v>
      </c>
      <c r="U405" s="34" t="s">
        <v>7476</v>
      </c>
      <c r="V405" s="32">
        <v>45166.885671296302</v>
      </c>
      <c r="W405" s="32" t="s">
        <v>7476</v>
      </c>
      <c r="X405">
        <v>0</v>
      </c>
      <c r="Y405" s="34" t="s">
        <v>7476</v>
      </c>
      <c r="Z405" s="34" t="s">
        <v>7476</v>
      </c>
      <c r="AA405" s="34" t="s">
        <v>7476</v>
      </c>
      <c r="AB405" s="36" t="s">
        <v>95</v>
      </c>
      <c r="AD405" t="s">
        <v>1314</v>
      </c>
      <c r="AE405" t="s">
        <v>1315</v>
      </c>
      <c r="AF405" s="16">
        <v>45151</v>
      </c>
      <c r="AG405" t="s">
        <v>98</v>
      </c>
      <c r="AH405">
        <v>6</v>
      </c>
      <c r="AI405" s="8" t="str">
        <f>IFERROR(R405-AF405,"")</f>
        <v/>
      </c>
      <c r="AJ405" s="8">
        <f>IFERROR(O405-AF405,"")</f>
        <v>12.885671296302462</v>
      </c>
      <c r="AK405" s="38">
        <f t="shared" si="132"/>
        <v>45346.885671296302</v>
      </c>
      <c r="AL405" t="str">
        <f>IFERROR(Z405-W405,"")</f>
        <v/>
      </c>
      <c r="AM405" t="str">
        <f>IFERROR(R405-J405,"")</f>
        <v/>
      </c>
      <c r="AN405">
        <f>IFERROR(V405-O405,"")</f>
        <v>3</v>
      </c>
      <c r="AO405">
        <f>IFERROR(J405-I405,"")</f>
        <v>2</v>
      </c>
      <c r="AP405">
        <f>IFERROR(AC405-X405,"")</f>
        <v>0</v>
      </c>
      <c r="AQ405" t="str">
        <f>IFERROR(AA405-W405,"")</f>
        <v/>
      </c>
    </row>
    <row r="406" spans="1:43" x14ac:dyDescent="0.35">
      <c r="A406">
        <v>659</v>
      </c>
      <c r="B406" t="s">
        <v>1316</v>
      </c>
      <c r="C406" t="s">
        <v>213</v>
      </c>
      <c r="D406" t="str">
        <f t="shared" si="130"/>
        <v>Program Office</v>
      </c>
      <c r="E406" t="s">
        <v>1045</v>
      </c>
      <c r="F406" t="s">
        <v>1300</v>
      </c>
      <c r="G406" t="s">
        <v>1301</v>
      </c>
      <c r="H406" t="s">
        <v>48</v>
      </c>
      <c r="I406" s="32">
        <v>44916.016504629632</v>
      </c>
      <c r="J406" s="32">
        <v>44920.016504629632</v>
      </c>
      <c r="K406" s="32" t="s">
        <v>7473</v>
      </c>
      <c r="L406" s="8" t="str">
        <f t="shared" si="131"/>
        <v/>
      </c>
      <c r="M406" s="7">
        <v>44938.016504629632</v>
      </c>
      <c r="N406" t="s">
        <v>49</v>
      </c>
      <c r="O406" s="34">
        <v>44928.016504629632</v>
      </c>
      <c r="P406" t="s">
        <v>50</v>
      </c>
      <c r="Q406" t="s">
        <v>198</v>
      </c>
      <c r="R406" s="32" t="s">
        <v>7472</v>
      </c>
      <c r="S406" t="s">
        <v>7476</v>
      </c>
      <c r="T406" s="34" t="s">
        <v>7476</v>
      </c>
      <c r="U406" s="34" t="s">
        <v>7476</v>
      </c>
      <c r="V406" s="32" t="s">
        <v>7476</v>
      </c>
      <c r="W406" s="32" t="s">
        <v>7476</v>
      </c>
      <c r="X406">
        <v>0</v>
      </c>
      <c r="Y406" s="34" t="s">
        <v>7476</v>
      </c>
      <c r="Z406" s="34" t="s">
        <v>7476</v>
      </c>
      <c r="AA406" s="34" t="s">
        <v>7476</v>
      </c>
      <c r="AB406" s="36" t="s">
        <v>95</v>
      </c>
      <c r="AD406" t="s">
        <v>1317</v>
      </c>
      <c r="AE406" t="s">
        <v>1318</v>
      </c>
      <c r="AF406" s="16">
        <v>44914</v>
      </c>
      <c r="AG406" t="s">
        <v>75</v>
      </c>
      <c r="AH406">
        <v>3</v>
      </c>
      <c r="AK406" s="38" t="str">
        <f t="shared" si="132"/>
        <v/>
      </c>
    </row>
    <row r="407" spans="1:43" x14ac:dyDescent="0.35">
      <c r="A407">
        <v>655</v>
      </c>
      <c r="B407" t="s">
        <v>1319</v>
      </c>
      <c r="C407" t="s">
        <v>217</v>
      </c>
      <c r="D407" t="str">
        <f t="shared" si="130"/>
        <v>Program Office</v>
      </c>
      <c r="E407" t="s">
        <v>1045</v>
      </c>
      <c r="F407" t="s">
        <v>1300</v>
      </c>
      <c r="G407" t="s">
        <v>1301</v>
      </c>
      <c r="H407" t="s">
        <v>48</v>
      </c>
      <c r="I407" s="32" t="s">
        <v>7471</v>
      </c>
      <c r="J407" s="32" t="s">
        <v>7471</v>
      </c>
      <c r="K407" s="32">
        <v>44922.016504629632</v>
      </c>
      <c r="L407" s="8" t="str">
        <f t="shared" si="131"/>
        <v/>
      </c>
      <c r="M407" s="7">
        <v>44946.016504629632</v>
      </c>
      <c r="N407" t="s">
        <v>49</v>
      </c>
      <c r="O407" s="34">
        <v>44930.016504629632</v>
      </c>
      <c r="P407" t="s">
        <v>101</v>
      </c>
      <c r="R407" s="32">
        <v>44935.016504629632</v>
      </c>
      <c r="S407" t="s">
        <v>101</v>
      </c>
      <c r="T407" s="34">
        <v>44931.016504629632</v>
      </c>
      <c r="U407" s="34">
        <v>44935.016504629632</v>
      </c>
      <c r="V407" s="32">
        <v>44934.016504629632</v>
      </c>
      <c r="W407" s="32">
        <v>44939.016504629632</v>
      </c>
      <c r="X407">
        <v>1</v>
      </c>
      <c r="Y407" s="34">
        <v>44943.016504629632</v>
      </c>
      <c r="Z407" s="34">
        <v>44946.016504629632</v>
      </c>
      <c r="AA407" s="34">
        <v>44949.016504629632</v>
      </c>
      <c r="AB407" s="36" t="s">
        <v>7476</v>
      </c>
      <c r="AC407" s="10">
        <v>44957.016504629632</v>
      </c>
      <c r="AD407" t="s">
        <v>1320</v>
      </c>
      <c r="AE407" t="s">
        <v>1321</v>
      </c>
      <c r="AF407" s="16">
        <v>44913</v>
      </c>
      <c r="AG407" t="s">
        <v>68</v>
      </c>
      <c r="AH407">
        <v>6</v>
      </c>
      <c r="AK407" s="38">
        <f t="shared" si="132"/>
        <v>45114.016504629632</v>
      </c>
    </row>
    <row r="408" spans="1:43" x14ac:dyDescent="0.35">
      <c r="A408">
        <v>636</v>
      </c>
      <c r="B408" t="s">
        <v>1322</v>
      </c>
      <c r="C408" t="s">
        <v>217</v>
      </c>
      <c r="D408" t="str">
        <f t="shared" si="130"/>
        <v>Program Office</v>
      </c>
      <c r="E408" t="s">
        <v>1045</v>
      </c>
      <c r="F408" t="s">
        <v>1300</v>
      </c>
      <c r="G408" t="s">
        <v>1301</v>
      </c>
      <c r="H408" t="s">
        <v>48</v>
      </c>
      <c r="I408" s="32">
        <v>44826.302743055552</v>
      </c>
      <c r="J408" s="32">
        <v>44829.302743055552</v>
      </c>
      <c r="K408" s="32">
        <v>44833.302743055552</v>
      </c>
      <c r="L408" s="8">
        <f t="shared" si="131"/>
        <v>7</v>
      </c>
      <c r="M408" s="7">
        <v>44855.302743055552</v>
      </c>
      <c r="N408" t="s">
        <v>49</v>
      </c>
      <c r="O408" s="34">
        <v>44843.302743055552</v>
      </c>
      <c r="P408" t="s">
        <v>50</v>
      </c>
      <c r="Q408" t="s">
        <v>51</v>
      </c>
      <c r="R408" s="32" t="s">
        <v>7472</v>
      </c>
      <c r="S408" t="s">
        <v>7476</v>
      </c>
      <c r="T408" s="34" t="s">
        <v>7476</v>
      </c>
      <c r="U408" s="34" t="s">
        <v>7476</v>
      </c>
      <c r="V408" s="32" t="s">
        <v>7476</v>
      </c>
      <c r="W408" s="32" t="s">
        <v>7476</v>
      </c>
      <c r="X408">
        <v>0</v>
      </c>
      <c r="Y408" s="34" t="s">
        <v>7476</v>
      </c>
      <c r="Z408" s="34" t="s">
        <v>7476</v>
      </c>
      <c r="AA408" s="34" t="s">
        <v>7476</v>
      </c>
      <c r="AB408" s="36" t="s">
        <v>52</v>
      </c>
      <c r="AD408" t="s">
        <v>1323</v>
      </c>
      <c r="AE408" t="s">
        <v>1324</v>
      </c>
      <c r="AF408" s="16">
        <v>44832</v>
      </c>
      <c r="AG408" t="s">
        <v>68</v>
      </c>
      <c r="AH408">
        <v>6</v>
      </c>
      <c r="AI408" s="8" t="str">
        <f t="shared" ref="AI408:AI414" si="133">IFERROR(R408-AF408,"")</f>
        <v/>
      </c>
      <c r="AJ408" s="8">
        <f t="shared" ref="AJ408:AJ414" si="134">IFERROR(O408-AF408,"")</f>
        <v>11.302743055552128</v>
      </c>
      <c r="AK408" s="38" t="str">
        <f t="shared" si="132"/>
        <v/>
      </c>
      <c r="AL408" t="str">
        <f t="shared" ref="AL408:AL414" si="135">IFERROR(Z408-W408,"")</f>
        <v/>
      </c>
      <c r="AM408" t="str">
        <f t="shared" ref="AM408:AM414" si="136">IFERROR(R408-J408,"")</f>
        <v/>
      </c>
      <c r="AN408" t="str">
        <f t="shared" ref="AN408:AN414" si="137">IFERROR(V408-O408,"")</f>
        <v/>
      </c>
      <c r="AO408">
        <f t="shared" ref="AO408:AO414" si="138">IFERROR(J408-I408,"")</f>
        <v>3</v>
      </c>
      <c r="AP408">
        <f t="shared" ref="AP408:AP414" si="139">IFERROR(AC408-X408,"")</f>
        <v>0</v>
      </c>
      <c r="AQ408" t="str">
        <f t="shared" ref="AQ408:AQ414" si="140">IFERROR(AA408-W408,"")</f>
        <v/>
      </c>
    </row>
    <row r="409" spans="1:43" x14ac:dyDescent="0.35">
      <c r="A409">
        <v>577</v>
      </c>
      <c r="B409" t="s">
        <v>1325</v>
      </c>
      <c r="C409" t="s">
        <v>217</v>
      </c>
      <c r="D409" t="str">
        <f t="shared" si="130"/>
        <v>Program Office</v>
      </c>
      <c r="E409" t="s">
        <v>1045</v>
      </c>
      <c r="F409" t="s">
        <v>1300</v>
      </c>
      <c r="G409" t="s">
        <v>1301</v>
      </c>
      <c r="H409" t="s">
        <v>48</v>
      </c>
      <c r="I409" s="32">
        <v>44906.089930555558</v>
      </c>
      <c r="J409" s="32">
        <v>44909.089930555558</v>
      </c>
      <c r="K409" s="32">
        <v>44915.089930555558</v>
      </c>
      <c r="L409" s="8">
        <f t="shared" si="131"/>
        <v>9</v>
      </c>
      <c r="M409" s="7">
        <v>44922.089930555558</v>
      </c>
      <c r="N409" t="s">
        <v>49</v>
      </c>
      <c r="O409" s="34">
        <v>44931.089930555558</v>
      </c>
      <c r="P409" t="s">
        <v>50</v>
      </c>
      <c r="Q409" t="s">
        <v>125</v>
      </c>
      <c r="R409" s="32" t="s">
        <v>7472</v>
      </c>
      <c r="S409" t="s">
        <v>7476</v>
      </c>
      <c r="T409" s="34" t="s">
        <v>7476</v>
      </c>
      <c r="U409" s="34" t="s">
        <v>7476</v>
      </c>
      <c r="V409" s="32">
        <v>44935.089930555558</v>
      </c>
      <c r="W409" s="32" t="s">
        <v>7476</v>
      </c>
      <c r="X409">
        <v>0</v>
      </c>
      <c r="Y409" s="34" t="s">
        <v>7476</v>
      </c>
      <c r="Z409" s="34" t="s">
        <v>7476</v>
      </c>
      <c r="AA409" s="34" t="s">
        <v>7476</v>
      </c>
      <c r="AB409" s="36" t="s">
        <v>52</v>
      </c>
      <c r="AD409" t="s">
        <v>1326</v>
      </c>
      <c r="AE409" t="s">
        <v>1327</v>
      </c>
      <c r="AF409" s="16">
        <v>44916</v>
      </c>
      <c r="AG409" t="s">
        <v>68</v>
      </c>
      <c r="AH409">
        <v>3</v>
      </c>
      <c r="AI409" s="8" t="str">
        <f t="shared" si="133"/>
        <v/>
      </c>
      <c r="AJ409" s="8">
        <f t="shared" si="134"/>
        <v>15.089930555557657</v>
      </c>
      <c r="AK409" s="38">
        <f t="shared" si="132"/>
        <v>45025.089930555558</v>
      </c>
      <c r="AL409" t="str">
        <f t="shared" si="135"/>
        <v/>
      </c>
      <c r="AM409" t="str">
        <f t="shared" si="136"/>
        <v/>
      </c>
      <c r="AN409">
        <f t="shared" si="137"/>
        <v>4</v>
      </c>
      <c r="AO409">
        <f t="shared" si="138"/>
        <v>3</v>
      </c>
      <c r="AP409">
        <f t="shared" si="139"/>
        <v>0</v>
      </c>
      <c r="AQ409" t="str">
        <f t="shared" si="140"/>
        <v/>
      </c>
    </row>
    <row r="410" spans="1:43" x14ac:dyDescent="0.35">
      <c r="A410">
        <v>575</v>
      </c>
      <c r="B410" t="s">
        <v>1328</v>
      </c>
      <c r="C410" t="s">
        <v>213</v>
      </c>
      <c r="D410" t="str">
        <f t="shared" si="130"/>
        <v>Program Office</v>
      </c>
      <c r="E410" t="s">
        <v>1045</v>
      </c>
      <c r="F410" t="s">
        <v>1300</v>
      </c>
      <c r="G410" t="s">
        <v>1301</v>
      </c>
      <c r="H410" t="s">
        <v>48</v>
      </c>
      <c r="I410" s="32">
        <v>44908.089930555558</v>
      </c>
      <c r="J410" s="32">
        <v>44910.089930555558</v>
      </c>
      <c r="K410" s="32">
        <v>44915.089930555558</v>
      </c>
      <c r="L410" s="8">
        <f t="shared" si="131"/>
        <v>7</v>
      </c>
      <c r="M410" s="7">
        <v>44923.089930555558</v>
      </c>
      <c r="N410" t="s">
        <v>49</v>
      </c>
      <c r="O410" s="34">
        <v>44925.089930555558</v>
      </c>
      <c r="P410" t="s">
        <v>60</v>
      </c>
      <c r="R410" s="32">
        <v>44927.089930555558</v>
      </c>
      <c r="S410" t="s">
        <v>61</v>
      </c>
      <c r="T410" s="34" t="s">
        <v>7476</v>
      </c>
      <c r="U410" s="34" t="s">
        <v>7476</v>
      </c>
      <c r="V410" s="32">
        <v>44926.089930555558</v>
      </c>
      <c r="W410" s="32" t="s">
        <v>7476</v>
      </c>
      <c r="X410">
        <v>0</v>
      </c>
      <c r="Y410" s="34" t="s">
        <v>7476</v>
      </c>
      <c r="Z410" s="34" t="s">
        <v>7476</v>
      </c>
      <c r="AA410" s="34" t="s">
        <v>7476</v>
      </c>
      <c r="AB410" s="36" t="s">
        <v>7476</v>
      </c>
      <c r="AD410" t="s">
        <v>1329</v>
      </c>
      <c r="AE410" t="s">
        <v>1330</v>
      </c>
      <c r="AF410" s="16">
        <v>44916</v>
      </c>
      <c r="AG410" t="s">
        <v>98</v>
      </c>
      <c r="AH410">
        <v>3</v>
      </c>
      <c r="AI410" s="8">
        <f t="shared" si="133"/>
        <v>11.089930555557657</v>
      </c>
      <c r="AJ410" s="8">
        <f t="shared" si="134"/>
        <v>9.0899305555576575</v>
      </c>
      <c r="AK410" s="38">
        <f t="shared" si="132"/>
        <v>45016.089930555558</v>
      </c>
      <c r="AL410" t="str">
        <f t="shared" si="135"/>
        <v/>
      </c>
      <c r="AM410">
        <f t="shared" si="136"/>
        <v>17</v>
      </c>
      <c r="AN410">
        <f t="shared" si="137"/>
        <v>1</v>
      </c>
      <c r="AO410">
        <f t="shared" si="138"/>
        <v>2</v>
      </c>
      <c r="AP410">
        <f t="shared" si="139"/>
        <v>0</v>
      </c>
      <c r="AQ410" t="str">
        <f t="shared" si="140"/>
        <v/>
      </c>
    </row>
    <row r="411" spans="1:43" x14ac:dyDescent="0.35">
      <c r="A411">
        <v>573</v>
      </c>
      <c r="B411" t="s">
        <v>1331</v>
      </c>
      <c r="C411" t="s">
        <v>202</v>
      </c>
      <c r="D411" t="str">
        <f t="shared" si="130"/>
        <v>Program Office</v>
      </c>
      <c r="E411" t="s">
        <v>1045</v>
      </c>
      <c r="F411" t="s">
        <v>1300</v>
      </c>
      <c r="G411" t="s">
        <v>1301</v>
      </c>
      <c r="H411" t="s">
        <v>48</v>
      </c>
      <c r="I411" s="32">
        <v>44906.089930555558</v>
      </c>
      <c r="J411" s="32">
        <v>44909.089930555558</v>
      </c>
      <c r="K411" s="32">
        <v>44915.089930555558</v>
      </c>
      <c r="L411" s="8">
        <f t="shared" si="131"/>
        <v>9</v>
      </c>
      <c r="M411" s="7">
        <v>44936.089930555558</v>
      </c>
      <c r="N411" t="s">
        <v>49</v>
      </c>
      <c r="O411" s="34">
        <v>44917.089930555558</v>
      </c>
      <c r="P411" t="s">
        <v>392</v>
      </c>
      <c r="R411" s="32">
        <v>44922.089930555558</v>
      </c>
      <c r="S411" t="s">
        <v>392</v>
      </c>
      <c r="T411" s="34" t="s">
        <v>7476</v>
      </c>
      <c r="U411" s="34" t="s">
        <v>7476</v>
      </c>
      <c r="V411" s="32">
        <v>44918.089930555558</v>
      </c>
      <c r="W411" s="32" t="s">
        <v>7476</v>
      </c>
      <c r="X411">
        <v>0</v>
      </c>
      <c r="Y411" s="34" t="s">
        <v>7476</v>
      </c>
      <c r="Z411" s="34" t="s">
        <v>7476</v>
      </c>
      <c r="AA411" s="34" t="s">
        <v>7476</v>
      </c>
      <c r="AB411" s="36" t="s">
        <v>7476</v>
      </c>
      <c r="AD411" t="s">
        <v>1332</v>
      </c>
      <c r="AE411" t="s">
        <v>1333</v>
      </c>
      <c r="AF411" s="16">
        <v>44905</v>
      </c>
      <c r="AG411" t="s">
        <v>68</v>
      </c>
      <c r="AH411">
        <v>3</v>
      </c>
      <c r="AI411" s="8">
        <f t="shared" si="133"/>
        <v>17.089930555557657</v>
      </c>
      <c r="AJ411" s="8">
        <f t="shared" si="134"/>
        <v>12.089930555557657</v>
      </c>
      <c r="AK411" s="38">
        <f t="shared" si="132"/>
        <v>45008.089930555558</v>
      </c>
      <c r="AL411" t="str">
        <f t="shared" si="135"/>
        <v/>
      </c>
      <c r="AM411">
        <f t="shared" si="136"/>
        <v>13</v>
      </c>
      <c r="AN411">
        <f t="shared" si="137"/>
        <v>1</v>
      </c>
      <c r="AO411">
        <f t="shared" si="138"/>
        <v>3</v>
      </c>
      <c r="AP411">
        <f t="shared" si="139"/>
        <v>0</v>
      </c>
      <c r="AQ411" t="str">
        <f t="shared" si="140"/>
        <v/>
      </c>
    </row>
    <row r="412" spans="1:43" x14ac:dyDescent="0.35">
      <c r="A412">
        <v>492</v>
      </c>
      <c r="B412" t="s">
        <v>1334</v>
      </c>
      <c r="C412" t="s">
        <v>213</v>
      </c>
      <c r="D412" t="str">
        <f t="shared" si="130"/>
        <v>Program Office</v>
      </c>
      <c r="E412" t="s">
        <v>1045</v>
      </c>
      <c r="F412" t="s">
        <v>1300</v>
      </c>
      <c r="G412" t="s">
        <v>1301</v>
      </c>
      <c r="H412" t="s">
        <v>48</v>
      </c>
      <c r="I412" s="32">
        <v>45167.411724537043</v>
      </c>
      <c r="J412" s="32">
        <v>45168.411724537043</v>
      </c>
      <c r="K412" s="32">
        <v>45174.411724537043</v>
      </c>
      <c r="L412" s="8">
        <f t="shared" si="131"/>
        <v>7</v>
      </c>
      <c r="M412" s="7">
        <v>45182.411724537043</v>
      </c>
      <c r="N412" t="s">
        <v>49</v>
      </c>
      <c r="O412" s="34">
        <v>45189.411724537043</v>
      </c>
      <c r="P412" t="s">
        <v>50</v>
      </c>
      <c r="Q412" t="s">
        <v>51</v>
      </c>
      <c r="R412" s="32" t="s">
        <v>7472</v>
      </c>
      <c r="S412" t="s">
        <v>7476</v>
      </c>
      <c r="T412" s="34" t="s">
        <v>7476</v>
      </c>
      <c r="U412" s="34" t="s">
        <v>7476</v>
      </c>
      <c r="V412" s="32">
        <v>45193.411724537043</v>
      </c>
      <c r="W412" s="32" t="s">
        <v>7476</v>
      </c>
      <c r="X412">
        <v>0</v>
      </c>
      <c r="Y412" s="34" t="s">
        <v>7476</v>
      </c>
      <c r="Z412" s="34" t="s">
        <v>7476</v>
      </c>
      <c r="AA412" s="34" t="s">
        <v>7476</v>
      </c>
      <c r="AB412" s="36" t="s">
        <v>95</v>
      </c>
      <c r="AD412" t="s">
        <v>1335</v>
      </c>
      <c r="AE412" t="s">
        <v>1336</v>
      </c>
      <c r="AF412" s="16">
        <v>44994</v>
      </c>
      <c r="AG412" t="s">
        <v>98</v>
      </c>
      <c r="AH412">
        <v>6</v>
      </c>
      <c r="AI412" s="8" t="str">
        <f t="shared" si="133"/>
        <v/>
      </c>
      <c r="AJ412" s="8">
        <f t="shared" si="134"/>
        <v>195.41172453704348</v>
      </c>
      <c r="AK412" s="38">
        <f t="shared" si="132"/>
        <v>45373.411724537043</v>
      </c>
      <c r="AL412" t="str">
        <f t="shared" si="135"/>
        <v/>
      </c>
      <c r="AM412" t="str">
        <f t="shared" si="136"/>
        <v/>
      </c>
      <c r="AN412">
        <f t="shared" si="137"/>
        <v>4</v>
      </c>
      <c r="AO412">
        <f t="shared" si="138"/>
        <v>1</v>
      </c>
      <c r="AP412">
        <f t="shared" si="139"/>
        <v>0</v>
      </c>
      <c r="AQ412" t="str">
        <f t="shared" si="140"/>
        <v/>
      </c>
    </row>
    <row r="413" spans="1:43" x14ac:dyDescent="0.35">
      <c r="A413">
        <v>491</v>
      </c>
      <c r="B413" t="s">
        <v>1337</v>
      </c>
      <c r="C413" t="s">
        <v>202</v>
      </c>
      <c r="D413" t="str">
        <f t="shared" si="130"/>
        <v>Program Office</v>
      </c>
      <c r="E413" t="s">
        <v>1045</v>
      </c>
      <c r="F413" t="s">
        <v>1300</v>
      </c>
      <c r="G413" t="s">
        <v>1301</v>
      </c>
      <c r="H413" t="s">
        <v>48</v>
      </c>
      <c r="I413" s="32">
        <v>45168.411724537043</v>
      </c>
      <c r="J413" s="32">
        <v>45172.411724537043</v>
      </c>
      <c r="K413" s="32">
        <v>45174.411724537043</v>
      </c>
      <c r="L413" s="8">
        <f t="shared" si="131"/>
        <v>6</v>
      </c>
      <c r="M413" s="7">
        <v>45199.411724537043</v>
      </c>
      <c r="N413" t="s">
        <v>49</v>
      </c>
      <c r="O413" s="34">
        <v>45187.411724537043</v>
      </c>
      <c r="P413" t="s">
        <v>50</v>
      </c>
      <c r="Q413" t="s">
        <v>125</v>
      </c>
      <c r="R413" s="32" t="s">
        <v>7472</v>
      </c>
      <c r="S413" t="s">
        <v>7476</v>
      </c>
      <c r="T413" s="34" t="s">
        <v>7476</v>
      </c>
      <c r="U413" s="34" t="s">
        <v>7476</v>
      </c>
      <c r="V413" s="32" t="s">
        <v>7476</v>
      </c>
      <c r="W413" s="32" t="s">
        <v>7476</v>
      </c>
      <c r="X413">
        <v>0</v>
      </c>
      <c r="Y413" s="34" t="s">
        <v>7476</v>
      </c>
      <c r="Z413" s="34" t="s">
        <v>7476</v>
      </c>
      <c r="AA413" s="34" t="s">
        <v>7476</v>
      </c>
      <c r="AB413" s="36" t="s">
        <v>52</v>
      </c>
      <c r="AD413" t="s">
        <v>1338</v>
      </c>
      <c r="AE413" t="s">
        <v>1339</v>
      </c>
      <c r="AF413" s="16">
        <v>45269</v>
      </c>
      <c r="AG413" t="s">
        <v>98</v>
      </c>
      <c r="AH413">
        <v>3</v>
      </c>
      <c r="AI413" s="8" t="str">
        <f t="shared" si="133"/>
        <v/>
      </c>
      <c r="AJ413" s="8">
        <f t="shared" si="134"/>
        <v>-81.588275462956517</v>
      </c>
      <c r="AK413" s="38" t="str">
        <f t="shared" si="132"/>
        <v/>
      </c>
      <c r="AL413" t="str">
        <f t="shared" si="135"/>
        <v/>
      </c>
      <c r="AM413" t="str">
        <f t="shared" si="136"/>
        <v/>
      </c>
      <c r="AN413" t="str">
        <f t="shared" si="137"/>
        <v/>
      </c>
      <c r="AO413">
        <f t="shared" si="138"/>
        <v>4</v>
      </c>
      <c r="AP413">
        <f t="shared" si="139"/>
        <v>0</v>
      </c>
      <c r="AQ413" t="str">
        <f t="shared" si="140"/>
        <v/>
      </c>
    </row>
    <row r="414" spans="1:43" x14ac:dyDescent="0.35">
      <c r="A414">
        <v>483</v>
      </c>
      <c r="B414" t="s">
        <v>1340</v>
      </c>
      <c r="C414" t="s">
        <v>213</v>
      </c>
      <c r="D414" t="str">
        <f t="shared" si="130"/>
        <v>Program Office</v>
      </c>
      <c r="E414" t="s">
        <v>1045</v>
      </c>
      <c r="F414" t="s">
        <v>1300</v>
      </c>
      <c r="G414" t="s">
        <v>1301</v>
      </c>
      <c r="H414" t="s">
        <v>48</v>
      </c>
      <c r="I414" s="32">
        <v>44929.566712962973</v>
      </c>
      <c r="J414" s="32">
        <v>44933.566712962973</v>
      </c>
      <c r="K414" s="32">
        <v>44938.566712962973</v>
      </c>
      <c r="L414" s="8">
        <f t="shared" si="131"/>
        <v>9</v>
      </c>
      <c r="M414" s="7">
        <v>44966.566712962973</v>
      </c>
      <c r="N414" t="s">
        <v>72</v>
      </c>
      <c r="O414" s="34" t="s">
        <v>7474</v>
      </c>
      <c r="R414" s="32" t="s">
        <v>7472</v>
      </c>
      <c r="S414" t="s">
        <v>7476</v>
      </c>
      <c r="T414" s="34" t="s">
        <v>7476</v>
      </c>
      <c r="U414" s="34" t="s">
        <v>7476</v>
      </c>
      <c r="V414" s="32" t="s">
        <v>7476</v>
      </c>
      <c r="W414" s="32" t="s">
        <v>7476</v>
      </c>
      <c r="X414">
        <v>0</v>
      </c>
      <c r="Y414" s="34" t="s">
        <v>7476</v>
      </c>
      <c r="Z414" s="34" t="s">
        <v>7476</v>
      </c>
      <c r="AA414" s="34" t="s">
        <v>7476</v>
      </c>
      <c r="AB414" s="36" t="s">
        <v>7476</v>
      </c>
      <c r="AD414" t="s">
        <v>1341</v>
      </c>
      <c r="AE414" t="s">
        <v>1342</v>
      </c>
      <c r="AG414" t="s">
        <v>68</v>
      </c>
      <c r="AH414">
        <v>3</v>
      </c>
      <c r="AI414" s="8" t="str">
        <f t="shared" si="133"/>
        <v/>
      </c>
      <c r="AJ414" s="8" t="str">
        <f t="shared" si="134"/>
        <v/>
      </c>
      <c r="AK414" s="38" t="str">
        <f t="shared" si="132"/>
        <v/>
      </c>
      <c r="AL414" t="str">
        <f t="shared" si="135"/>
        <v/>
      </c>
      <c r="AM414" t="str">
        <f t="shared" si="136"/>
        <v/>
      </c>
      <c r="AN414" t="str">
        <f t="shared" si="137"/>
        <v/>
      </c>
      <c r="AO414">
        <f t="shared" si="138"/>
        <v>4</v>
      </c>
      <c r="AP414">
        <f t="shared" si="139"/>
        <v>0</v>
      </c>
      <c r="AQ414" t="str">
        <f t="shared" si="140"/>
        <v/>
      </c>
    </row>
    <row r="415" spans="1:43" x14ac:dyDescent="0.35">
      <c r="A415">
        <v>480</v>
      </c>
      <c r="B415" t="s">
        <v>1343</v>
      </c>
      <c r="C415" t="s">
        <v>213</v>
      </c>
      <c r="D415" t="str">
        <f t="shared" si="130"/>
        <v>Program Office</v>
      </c>
      <c r="E415" t="s">
        <v>1045</v>
      </c>
      <c r="F415" t="s">
        <v>1300</v>
      </c>
      <c r="G415" t="s">
        <v>1301</v>
      </c>
      <c r="H415" t="s">
        <v>48</v>
      </c>
      <c r="I415" s="32" t="s">
        <v>7471</v>
      </c>
      <c r="J415" s="32">
        <v>44677.075752314813</v>
      </c>
      <c r="K415" s="32">
        <v>44682.075752314813</v>
      </c>
      <c r="L415" s="8" t="str">
        <f t="shared" si="131"/>
        <v/>
      </c>
      <c r="M415" s="7">
        <v>44708.075752314813</v>
      </c>
      <c r="N415" t="s">
        <v>49</v>
      </c>
      <c r="O415" s="34">
        <v>44685.075752314813</v>
      </c>
      <c r="P415" t="s">
        <v>50</v>
      </c>
      <c r="Q415" t="s">
        <v>84</v>
      </c>
      <c r="R415" s="32" t="s">
        <v>7472</v>
      </c>
      <c r="S415" t="s">
        <v>7476</v>
      </c>
      <c r="T415" s="34" t="s">
        <v>7476</v>
      </c>
      <c r="U415" s="34" t="s">
        <v>7476</v>
      </c>
      <c r="V415" s="32" t="s">
        <v>7476</v>
      </c>
      <c r="W415" s="32" t="s">
        <v>7476</v>
      </c>
      <c r="X415">
        <v>0</v>
      </c>
      <c r="Y415" s="34" t="s">
        <v>7476</v>
      </c>
      <c r="Z415" s="34" t="s">
        <v>7476</v>
      </c>
      <c r="AA415" s="34" t="s">
        <v>7476</v>
      </c>
      <c r="AB415" s="36" t="s">
        <v>95</v>
      </c>
      <c r="AD415" t="s">
        <v>1344</v>
      </c>
      <c r="AE415" t="s">
        <v>1345</v>
      </c>
      <c r="AF415" s="16">
        <v>44666</v>
      </c>
      <c r="AG415" t="s">
        <v>55</v>
      </c>
      <c r="AH415">
        <v>3</v>
      </c>
      <c r="AK415" s="38" t="str">
        <f t="shared" si="132"/>
        <v/>
      </c>
    </row>
    <row r="416" spans="1:43" x14ac:dyDescent="0.35">
      <c r="A416">
        <v>476</v>
      </c>
      <c r="B416" t="s">
        <v>1346</v>
      </c>
      <c r="C416" t="s">
        <v>213</v>
      </c>
      <c r="D416" t="str">
        <f t="shared" si="130"/>
        <v>Program Office</v>
      </c>
      <c r="E416" t="s">
        <v>1045</v>
      </c>
      <c r="F416" t="s">
        <v>1300</v>
      </c>
      <c r="G416" t="s">
        <v>1301</v>
      </c>
      <c r="H416" t="s">
        <v>48</v>
      </c>
      <c r="I416" s="32">
        <v>44675.075752314813</v>
      </c>
      <c r="J416" s="32">
        <v>44678.075752314813</v>
      </c>
      <c r="K416" s="32">
        <v>44682.075752314813</v>
      </c>
      <c r="L416" s="8">
        <f t="shared" si="131"/>
        <v>7</v>
      </c>
      <c r="M416" s="7">
        <v>44703.075752314813</v>
      </c>
      <c r="N416" t="s">
        <v>49</v>
      </c>
      <c r="O416" s="34">
        <v>44684.075752314813</v>
      </c>
      <c r="P416" t="s">
        <v>50</v>
      </c>
      <c r="Q416" t="s">
        <v>51</v>
      </c>
      <c r="R416" s="32" t="s">
        <v>7472</v>
      </c>
      <c r="S416" t="s">
        <v>7476</v>
      </c>
      <c r="T416" s="34" t="s">
        <v>7476</v>
      </c>
      <c r="U416" s="34" t="s">
        <v>7476</v>
      </c>
      <c r="V416" s="32">
        <v>44688.075752314813</v>
      </c>
      <c r="W416" s="32" t="s">
        <v>7476</v>
      </c>
      <c r="X416">
        <v>0</v>
      </c>
      <c r="Y416" s="34" t="s">
        <v>7476</v>
      </c>
      <c r="Z416" s="34" t="s">
        <v>7476</v>
      </c>
      <c r="AA416" s="34" t="s">
        <v>7476</v>
      </c>
      <c r="AB416" s="36" t="s">
        <v>95</v>
      </c>
      <c r="AD416" t="s">
        <v>1347</v>
      </c>
      <c r="AE416" t="s">
        <v>1348</v>
      </c>
      <c r="AF416" s="16">
        <v>44667</v>
      </c>
      <c r="AG416" t="s">
        <v>68</v>
      </c>
      <c r="AH416">
        <v>6</v>
      </c>
      <c r="AI416" s="8" t="str">
        <f t="shared" ref="AI416:AI425" si="141">IFERROR(R416-AF416,"")</f>
        <v/>
      </c>
      <c r="AJ416" s="8">
        <f t="shared" ref="AJ416:AJ425" si="142">IFERROR(O416-AF416,"")</f>
        <v>17.075752314813144</v>
      </c>
      <c r="AK416" s="38">
        <f t="shared" si="132"/>
        <v>44868.075752314813</v>
      </c>
      <c r="AL416" t="str">
        <f t="shared" ref="AL416:AL425" si="143">IFERROR(Z416-W416,"")</f>
        <v/>
      </c>
      <c r="AM416" t="str">
        <f t="shared" ref="AM416:AM425" si="144">IFERROR(R416-J416,"")</f>
        <v/>
      </c>
      <c r="AN416">
        <f t="shared" ref="AN416:AN425" si="145">IFERROR(V416-O416,"")</f>
        <v>4</v>
      </c>
      <c r="AO416">
        <f t="shared" ref="AO416:AO425" si="146">IFERROR(J416-I416,"")</f>
        <v>3</v>
      </c>
      <c r="AP416">
        <f t="shared" ref="AP416:AP425" si="147">IFERROR(AC416-X416,"")</f>
        <v>0</v>
      </c>
      <c r="AQ416" t="str">
        <f t="shared" ref="AQ416:AQ425" si="148">IFERROR(AA416-W416,"")</f>
        <v/>
      </c>
    </row>
    <row r="417" spans="1:43" x14ac:dyDescent="0.35">
      <c r="A417">
        <v>390</v>
      </c>
      <c r="B417" t="s">
        <v>1349</v>
      </c>
      <c r="C417" t="s">
        <v>213</v>
      </c>
      <c r="D417" t="str">
        <f t="shared" si="130"/>
        <v>Program Office</v>
      </c>
      <c r="E417" t="s">
        <v>1045</v>
      </c>
      <c r="F417" t="s">
        <v>1300</v>
      </c>
      <c r="G417" t="s">
        <v>1301</v>
      </c>
      <c r="H417" t="s">
        <v>48</v>
      </c>
      <c r="I417" s="32">
        <v>44874.3830787037</v>
      </c>
      <c r="J417" s="32">
        <v>44877.3830787037</v>
      </c>
      <c r="K417" s="32">
        <v>44878.3830787037</v>
      </c>
      <c r="L417" s="8">
        <f t="shared" si="131"/>
        <v>4</v>
      </c>
      <c r="M417" s="7">
        <v>44903.3830787037</v>
      </c>
      <c r="N417" t="s">
        <v>49</v>
      </c>
      <c r="O417" s="34">
        <v>44891.3830787037</v>
      </c>
      <c r="P417" t="s">
        <v>60</v>
      </c>
      <c r="R417" s="32">
        <v>44893.3830787037</v>
      </c>
      <c r="S417" t="s">
        <v>61</v>
      </c>
      <c r="T417" s="34" t="s">
        <v>7476</v>
      </c>
      <c r="U417" s="34" t="s">
        <v>7476</v>
      </c>
      <c r="V417" s="32">
        <v>44892.3830787037</v>
      </c>
      <c r="W417" s="32" t="s">
        <v>7476</v>
      </c>
      <c r="X417">
        <v>0</v>
      </c>
      <c r="Y417" s="34" t="s">
        <v>7476</v>
      </c>
      <c r="Z417" s="34" t="s">
        <v>7476</v>
      </c>
      <c r="AA417" s="34" t="s">
        <v>7476</v>
      </c>
      <c r="AB417" s="36" t="s">
        <v>7476</v>
      </c>
      <c r="AD417" t="s">
        <v>1350</v>
      </c>
      <c r="AE417" t="s">
        <v>1351</v>
      </c>
      <c r="AF417" s="16">
        <v>44879</v>
      </c>
      <c r="AG417" t="s">
        <v>98</v>
      </c>
      <c r="AH417">
        <v>6</v>
      </c>
      <c r="AI417" s="8">
        <f t="shared" si="141"/>
        <v>14.383078703700448</v>
      </c>
      <c r="AJ417" s="8">
        <f t="shared" si="142"/>
        <v>12.383078703700448</v>
      </c>
      <c r="AK417" s="38">
        <f t="shared" si="132"/>
        <v>45072.3830787037</v>
      </c>
      <c r="AL417" t="str">
        <f t="shared" si="143"/>
        <v/>
      </c>
      <c r="AM417">
        <f t="shared" si="144"/>
        <v>16</v>
      </c>
      <c r="AN417">
        <f t="shared" si="145"/>
        <v>1</v>
      </c>
      <c r="AO417">
        <f t="shared" si="146"/>
        <v>3</v>
      </c>
      <c r="AP417">
        <f t="shared" si="147"/>
        <v>0</v>
      </c>
      <c r="AQ417" t="str">
        <f t="shared" si="148"/>
        <v/>
      </c>
    </row>
    <row r="418" spans="1:43" x14ac:dyDescent="0.35">
      <c r="A418">
        <v>388</v>
      </c>
      <c r="B418" t="s">
        <v>1352</v>
      </c>
      <c r="C418" t="s">
        <v>217</v>
      </c>
      <c r="D418" t="str">
        <f t="shared" si="130"/>
        <v>Program Office</v>
      </c>
      <c r="E418" t="s">
        <v>1045</v>
      </c>
      <c r="F418" t="s">
        <v>1300</v>
      </c>
      <c r="G418" t="s">
        <v>1301</v>
      </c>
      <c r="H418" t="s">
        <v>48</v>
      </c>
      <c r="I418" s="32">
        <v>44872.3830787037</v>
      </c>
      <c r="J418" s="32">
        <v>44874.3830787037</v>
      </c>
      <c r="K418" s="32">
        <v>44878.3830787037</v>
      </c>
      <c r="L418" s="8">
        <f t="shared" si="131"/>
        <v>6</v>
      </c>
      <c r="M418" s="7">
        <v>44891.3830787037</v>
      </c>
      <c r="N418" t="s">
        <v>49</v>
      </c>
      <c r="O418" s="34">
        <v>44891.3830787037</v>
      </c>
      <c r="P418" t="s">
        <v>50</v>
      </c>
      <c r="Q418" t="s">
        <v>51</v>
      </c>
      <c r="R418" s="32" t="s">
        <v>7472</v>
      </c>
      <c r="S418" t="s">
        <v>7476</v>
      </c>
      <c r="T418" s="34" t="s">
        <v>7476</v>
      </c>
      <c r="U418" s="34" t="s">
        <v>7476</v>
      </c>
      <c r="V418" s="32" t="s">
        <v>7476</v>
      </c>
      <c r="W418" s="32" t="s">
        <v>7476</v>
      </c>
      <c r="X418">
        <v>0</v>
      </c>
      <c r="Y418" s="34" t="s">
        <v>7476</v>
      </c>
      <c r="Z418" s="34" t="s">
        <v>7476</v>
      </c>
      <c r="AA418" s="34" t="s">
        <v>7476</v>
      </c>
      <c r="AB418" s="36" t="s">
        <v>52</v>
      </c>
      <c r="AD418" t="s">
        <v>1353</v>
      </c>
      <c r="AE418" t="s">
        <v>1354</v>
      </c>
      <c r="AF418" s="16">
        <v>44874</v>
      </c>
      <c r="AG418" t="s">
        <v>64</v>
      </c>
      <c r="AH418">
        <v>3</v>
      </c>
      <c r="AI418" s="8" t="str">
        <f t="shared" si="141"/>
        <v/>
      </c>
      <c r="AJ418" s="8">
        <f t="shared" si="142"/>
        <v>17.383078703700448</v>
      </c>
      <c r="AK418" s="38" t="str">
        <f t="shared" si="132"/>
        <v/>
      </c>
      <c r="AL418" t="str">
        <f t="shared" si="143"/>
        <v/>
      </c>
      <c r="AM418" t="str">
        <f t="shared" si="144"/>
        <v/>
      </c>
      <c r="AN418" t="str">
        <f t="shared" si="145"/>
        <v/>
      </c>
      <c r="AO418">
        <f t="shared" si="146"/>
        <v>2</v>
      </c>
      <c r="AP418">
        <f t="shared" si="147"/>
        <v>0</v>
      </c>
      <c r="AQ418" t="str">
        <f t="shared" si="148"/>
        <v/>
      </c>
    </row>
    <row r="419" spans="1:43" x14ac:dyDescent="0.35">
      <c r="A419">
        <v>386</v>
      </c>
      <c r="B419" t="s">
        <v>1355</v>
      </c>
      <c r="C419" t="s">
        <v>213</v>
      </c>
      <c r="D419" t="str">
        <f t="shared" si="130"/>
        <v>Program Office</v>
      </c>
      <c r="E419" t="s">
        <v>1045</v>
      </c>
      <c r="F419" t="s">
        <v>1300</v>
      </c>
      <c r="G419" t="s">
        <v>1301</v>
      </c>
      <c r="H419" t="s">
        <v>48</v>
      </c>
      <c r="I419" s="32">
        <v>44874.3830787037</v>
      </c>
      <c r="J419" s="32">
        <v>44877.3830787037</v>
      </c>
      <c r="K419" s="32">
        <v>44878.3830787037</v>
      </c>
      <c r="L419" s="8">
        <f t="shared" si="131"/>
        <v>4</v>
      </c>
      <c r="M419" s="7">
        <v>44900.3830787037</v>
      </c>
      <c r="N419" t="s">
        <v>49</v>
      </c>
      <c r="O419" s="34">
        <v>44882.3830787037</v>
      </c>
      <c r="P419" t="s">
        <v>50</v>
      </c>
      <c r="Q419" t="s">
        <v>198</v>
      </c>
      <c r="R419" s="32" t="s">
        <v>7472</v>
      </c>
      <c r="S419" t="s">
        <v>7476</v>
      </c>
      <c r="T419" s="34" t="s">
        <v>7476</v>
      </c>
      <c r="U419" s="34" t="s">
        <v>7476</v>
      </c>
      <c r="V419" s="32" t="s">
        <v>7476</v>
      </c>
      <c r="W419" s="32" t="s">
        <v>7476</v>
      </c>
      <c r="X419">
        <v>0</v>
      </c>
      <c r="Y419" s="34" t="s">
        <v>7476</v>
      </c>
      <c r="Z419" s="34" t="s">
        <v>7476</v>
      </c>
      <c r="AA419" s="34" t="s">
        <v>7476</v>
      </c>
      <c r="AB419" s="36" t="s">
        <v>52</v>
      </c>
      <c r="AD419" t="s">
        <v>1356</v>
      </c>
      <c r="AE419" t="s">
        <v>1357</v>
      </c>
      <c r="AF419" s="16">
        <v>44865</v>
      </c>
      <c r="AG419" t="s">
        <v>68</v>
      </c>
      <c r="AH419">
        <v>3</v>
      </c>
      <c r="AI419" s="8" t="str">
        <f t="shared" si="141"/>
        <v/>
      </c>
      <c r="AJ419" s="8">
        <f t="shared" si="142"/>
        <v>17.383078703700448</v>
      </c>
      <c r="AK419" s="38" t="str">
        <f t="shared" si="132"/>
        <v/>
      </c>
      <c r="AL419" t="str">
        <f t="shared" si="143"/>
        <v/>
      </c>
      <c r="AM419" t="str">
        <f t="shared" si="144"/>
        <v/>
      </c>
      <c r="AN419" t="str">
        <f t="shared" si="145"/>
        <v/>
      </c>
      <c r="AO419">
        <f t="shared" si="146"/>
        <v>3</v>
      </c>
      <c r="AP419">
        <f t="shared" si="147"/>
        <v>0</v>
      </c>
      <c r="AQ419" t="str">
        <f t="shared" si="148"/>
        <v/>
      </c>
    </row>
    <row r="420" spans="1:43" x14ac:dyDescent="0.35">
      <c r="A420">
        <v>381</v>
      </c>
      <c r="B420" t="s">
        <v>1358</v>
      </c>
      <c r="C420" t="s">
        <v>202</v>
      </c>
      <c r="D420" t="str">
        <f t="shared" si="130"/>
        <v>Program Office</v>
      </c>
      <c r="E420" t="s">
        <v>1045</v>
      </c>
      <c r="F420" t="s">
        <v>1300</v>
      </c>
      <c r="G420" t="s">
        <v>1301</v>
      </c>
      <c r="H420" t="s">
        <v>48</v>
      </c>
      <c r="I420" s="32">
        <v>44871.3830787037</v>
      </c>
      <c r="J420" s="32">
        <v>44872.3830787037</v>
      </c>
      <c r="K420" s="32">
        <v>44878.3830787037</v>
      </c>
      <c r="L420" s="8">
        <f t="shared" si="131"/>
        <v>7</v>
      </c>
      <c r="M420" s="7">
        <v>44899.3830787037</v>
      </c>
      <c r="N420" t="s">
        <v>49</v>
      </c>
      <c r="O420" s="34">
        <v>44879.3830787037</v>
      </c>
      <c r="P420" t="s">
        <v>50</v>
      </c>
      <c r="Q420" t="s">
        <v>51</v>
      </c>
      <c r="R420" s="32" t="s">
        <v>7472</v>
      </c>
      <c r="S420" t="s">
        <v>7476</v>
      </c>
      <c r="T420" s="34" t="s">
        <v>7476</v>
      </c>
      <c r="U420" s="34" t="s">
        <v>7476</v>
      </c>
      <c r="V420" s="32" t="s">
        <v>7476</v>
      </c>
      <c r="W420" s="32" t="s">
        <v>7476</v>
      </c>
      <c r="X420">
        <v>0</v>
      </c>
      <c r="Y420" s="34" t="s">
        <v>7476</v>
      </c>
      <c r="Z420" s="34" t="s">
        <v>7476</v>
      </c>
      <c r="AA420" s="34" t="s">
        <v>7476</v>
      </c>
      <c r="AB420" s="36" t="s">
        <v>95</v>
      </c>
      <c r="AD420" t="s">
        <v>1359</v>
      </c>
      <c r="AE420" t="s">
        <v>1360</v>
      </c>
      <c r="AF420" s="16">
        <v>44868</v>
      </c>
      <c r="AG420" t="s">
        <v>64</v>
      </c>
      <c r="AH420">
        <v>6</v>
      </c>
      <c r="AI420" s="8" t="str">
        <f t="shared" si="141"/>
        <v/>
      </c>
      <c r="AJ420" s="8">
        <f t="shared" si="142"/>
        <v>11.383078703700448</v>
      </c>
      <c r="AK420" s="38" t="str">
        <f t="shared" si="132"/>
        <v/>
      </c>
      <c r="AL420" t="str">
        <f t="shared" si="143"/>
        <v/>
      </c>
      <c r="AM420" t="str">
        <f t="shared" si="144"/>
        <v/>
      </c>
      <c r="AN420" t="str">
        <f t="shared" si="145"/>
        <v/>
      </c>
      <c r="AO420">
        <f t="shared" si="146"/>
        <v>1</v>
      </c>
      <c r="AP420">
        <f t="shared" si="147"/>
        <v>0</v>
      </c>
      <c r="AQ420" t="str">
        <f t="shared" si="148"/>
        <v/>
      </c>
    </row>
    <row r="421" spans="1:43" x14ac:dyDescent="0.35">
      <c r="A421">
        <v>372</v>
      </c>
      <c r="B421" t="s">
        <v>1361</v>
      </c>
      <c r="C421" t="s">
        <v>213</v>
      </c>
      <c r="D421" t="str">
        <f t="shared" si="130"/>
        <v>Program Office</v>
      </c>
      <c r="E421" t="s">
        <v>1045</v>
      </c>
      <c r="F421" t="s">
        <v>1300</v>
      </c>
      <c r="G421" t="s">
        <v>1301</v>
      </c>
      <c r="H421" t="s">
        <v>48</v>
      </c>
      <c r="I421" s="32">
        <v>44663.356712962966</v>
      </c>
      <c r="J421" s="32">
        <v>44667.356712962966</v>
      </c>
      <c r="K421" s="32">
        <v>44670.356712962966</v>
      </c>
      <c r="L421" s="8">
        <f t="shared" si="131"/>
        <v>7</v>
      </c>
      <c r="M421" s="7">
        <v>44691.356712962966</v>
      </c>
      <c r="N421" t="s">
        <v>49</v>
      </c>
      <c r="O421" s="34">
        <v>44681.356712962966</v>
      </c>
      <c r="P421" t="s">
        <v>50</v>
      </c>
      <c r="Q421" t="s">
        <v>51</v>
      </c>
      <c r="R421" s="32" t="s">
        <v>7472</v>
      </c>
      <c r="S421" t="s">
        <v>7476</v>
      </c>
      <c r="T421" s="34" t="s">
        <v>7476</v>
      </c>
      <c r="U421" s="34" t="s">
        <v>7476</v>
      </c>
      <c r="V421" s="32" t="s">
        <v>7476</v>
      </c>
      <c r="W421" s="32" t="s">
        <v>7476</v>
      </c>
      <c r="X421">
        <v>0</v>
      </c>
      <c r="Y421" s="34" t="s">
        <v>7476</v>
      </c>
      <c r="Z421" s="34" t="s">
        <v>7476</v>
      </c>
      <c r="AA421" s="34" t="s">
        <v>7476</v>
      </c>
      <c r="AB421" s="36" t="s">
        <v>95</v>
      </c>
      <c r="AD421" t="s">
        <v>1362</v>
      </c>
      <c r="AE421" t="s">
        <v>1363</v>
      </c>
      <c r="AF421" s="16">
        <v>44675</v>
      </c>
      <c r="AG421" t="s">
        <v>68</v>
      </c>
      <c r="AH421">
        <v>6</v>
      </c>
      <c r="AI421" s="8" t="str">
        <f t="shared" si="141"/>
        <v/>
      </c>
      <c r="AJ421" s="8">
        <f t="shared" si="142"/>
        <v>6.3567129629664123</v>
      </c>
      <c r="AK421" s="38" t="str">
        <f t="shared" si="132"/>
        <v/>
      </c>
      <c r="AL421" t="str">
        <f t="shared" si="143"/>
        <v/>
      </c>
      <c r="AM421" t="str">
        <f t="shared" si="144"/>
        <v/>
      </c>
      <c r="AN421" t="str">
        <f t="shared" si="145"/>
        <v/>
      </c>
      <c r="AO421">
        <f t="shared" si="146"/>
        <v>4</v>
      </c>
      <c r="AP421">
        <f t="shared" si="147"/>
        <v>0</v>
      </c>
      <c r="AQ421" t="str">
        <f t="shared" si="148"/>
        <v/>
      </c>
    </row>
    <row r="422" spans="1:43" x14ac:dyDescent="0.35">
      <c r="A422">
        <v>318</v>
      </c>
      <c r="B422" t="s">
        <v>1364</v>
      </c>
      <c r="C422" t="s">
        <v>213</v>
      </c>
      <c r="D422" t="str">
        <f t="shared" si="130"/>
        <v>Program Office</v>
      </c>
      <c r="E422" t="s">
        <v>1045</v>
      </c>
      <c r="F422" t="s">
        <v>1300</v>
      </c>
      <c r="G422" t="s">
        <v>1301</v>
      </c>
      <c r="H422" t="s">
        <v>48</v>
      </c>
      <c r="I422" s="32">
        <v>44982.608946759261</v>
      </c>
      <c r="J422" s="32">
        <v>44986.608946759261</v>
      </c>
      <c r="K422" s="32">
        <v>44991.608946759261</v>
      </c>
      <c r="L422" s="8">
        <f t="shared" si="131"/>
        <v>9</v>
      </c>
      <c r="M422" s="7">
        <v>45021.608946759261</v>
      </c>
      <c r="N422" t="s">
        <v>49</v>
      </c>
      <c r="O422" s="34">
        <v>45001.608946759261</v>
      </c>
      <c r="P422" t="s">
        <v>60</v>
      </c>
      <c r="R422" s="32">
        <v>45008.608946759261</v>
      </c>
      <c r="S422" t="s">
        <v>61</v>
      </c>
      <c r="T422" s="34" t="s">
        <v>7476</v>
      </c>
      <c r="U422" s="34" t="s">
        <v>7476</v>
      </c>
      <c r="V422" s="32">
        <v>45005.608946759261</v>
      </c>
      <c r="W422" s="32" t="s">
        <v>7476</v>
      </c>
      <c r="X422">
        <v>0</v>
      </c>
      <c r="Y422" s="34" t="s">
        <v>7476</v>
      </c>
      <c r="Z422" s="34" t="s">
        <v>7476</v>
      </c>
      <c r="AA422" s="34" t="s">
        <v>7476</v>
      </c>
      <c r="AB422" s="36" t="s">
        <v>7476</v>
      </c>
      <c r="AD422" t="s">
        <v>1365</v>
      </c>
      <c r="AE422" t="s">
        <v>1366</v>
      </c>
      <c r="AF422" s="16">
        <v>44990</v>
      </c>
      <c r="AG422" t="s">
        <v>64</v>
      </c>
      <c r="AH422">
        <v>6</v>
      </c>
      <c r="AI422" s="8">
        <f t="shared" si="141"/>
        <v>18.608946759261016</v>
      </c>
      <c r="AJ422" s="8">
        <f t="shared" si="142"/>
        <v>11.608946759261016</v>
      </c>
      <c r="AK422" s="38">
        <f t="shared" si="132"/>
        <v>45185.608946759261</v>
      </c>
      <c r="AL422" t="str">
        <f t="shared" si="143"/>
        <v/>
      </c>
      <c r="AM422">
        <f t="shared" si="144"/>
        <v>22</v>
      </c>
      <c r="AN422">
        <f t="shared" si="145"/>
        <v>4</v>
      </c>
      <c r="AO422">
        <f t="shared" si="146"/>
        <v>4</v>
      </c>
      <c r="AP422">
        <f t="shared" si="147"/>
        <v>0</v>
      </c>
      <c r="AQ422" t="str">
        <f t="shared" si="148"/>
        <v/>
      </c>
    </row>
    <row r="423" spans="1:43" x14ac:dyDescent="0.35">
      <c r="A423">
        <v>316</v>
      </c>
      <c r="B423" t="s">
        <v>1367</v>
      </c>
      <c r="C423" t="s">
        <v>213</v>
      </c>
      <c r="D423" t="str">
        <f t="shared" si="130"/>
        <v>Program Office</v>
      </c>
      <c r="E423" t="s">
        <v>1045</v>
      </c>
      <c r="F423" t="s">
        <v>1300</v>
      </c>
      <c r="G423" t="s">
        <v>1301</v>
      </c>
      <c r="H423" t="s">
        <v>48</v>
      </c>
      <c r="I423" s="32">
        <v>44985.608946759261</v>
      </c>
      <c r="J423" s="32">
        <v>44987.608946759261</v>
      </c>
      <c r="K423" s="32">
        <v>44991.608946759261</v>
      </c>
      <c r="L423" s="8">
        <f t="shared" si="131"/>
        <v>6</v>
      </c>
      <c r="M423" s="7">
        <v>45016.608946759261</v>
      </c>
      <c r="N423" t="s">
        <v>49</v>
      </c>
      <c r="O423" s="34">
        <v>44996.608946759261</v>
      </c>
      <c r="P423" t="s">
        <v>50</v>
      </c>
      <c r="Q423" t="s">
        <v>198</v>
      </c>
      <c r="R423" s="32" t="s">
        <v>7472</v>
      </c>
      <c r="S423" t="s">
        <v>7476</v>
      </c>
      <c r="T423" s="34" t="s">
        <v>7476</v>
      </c>
      <c r="U423" s="34" t="s">
        <v>7476</v>
      </c>
      <c r="V423" s="32">
        <v>45000.608946759261</v>
      </c>
      <c r="W423" s="32" t="s">
        <v>7476</v>
      </c>
      <c r="X423">
        <v>0</v>
      </c>
      <c r="Y423" s="34" t="s">
        <v>7476</v>
      </c>
      <c r="Z423" s="34" t="s">
        <v>7476</v>
      </c>
      <c r="AA423" s="34" t="s">
        <v>7476</v>
      </c>
      <c r="AB423" s="36" t="s">
        <v>52</v>
      </c>
      <c r="AD423" t="s">
        <v>1368</v>
      </c>
      <c r="AE423" t="s">
        <v>1369</v>
      </c>
      <c r="AF423" s="16">
        <v>45019</v>
      </c>
      <c r="AG423" t="s">
        <v>98</v>
      </c>
      <c r="AH423">
        <v>6</v>
      </c>
      <c r="AI423" s="8" t="str">
        <f t="shared" si="141"/>
        <v/>
      </c>
      <c r="AJ423" s="8">
        <f t="shared" si="142"/>
        <v>-22.391053240738984</v>
      </c>
      <c r="AK423" s="38">
        <f t="shared" si="132"/>
        <v>45180.608946759261</v>
      </c>
      <c r="AL423" t="str">
        <f t="shared" si="143"/>
        <v/>
      </c>
      <c r="AM423" t="str">
        <f t="shared" si="144"/>
        <v/>
      </c>
      <c r="AN423">
        <f t="shared" si="145"/>
        <v>4</v>
      </c>
      <c r="AO423">
        <f t="shared" si="146"/>
        <v>2</v>
      </c>
      <c r="AP423">
        <f t="shared" si="147"/>
        <v>0</v>
      </c>
      <c r="AQ423" t="str">
        <f t="shared" si="148"/>
        <v/>
      </c>
    </row>
    <row r="424" spans="1:43" x14ac:dyDescent="0.35">
      <c r="A424">
        <v>314</v>
      </c>
      <c r="B424" t="s">
        <v>1370</v>
      </c>
      <c r="C424" t="s">
        <v>213</v>
      </c>
      <c r="D424" t="str">
        <f t="shared" si="130"/>
        <v>Program Office</v>
      </c>
      <c r="E424" t="s">
        <v>1045</v>
      </c>
      <c r="F424" t="s">
        <v>1300</v>
      </c>
      <c r="G424" t="s">
        <v>1301</v>
      </c>
      <c r="H424" t="s">
        <v>48</v>
      </c>
      <c r="I424" s="32">
        <v>44986.608946759261</v>
      </c>
      <c r="J424" s="32">
        <v>44989.608946759261</v>
      </c>
      <c r="K424" s="32">
        <v>44991.608946759261</v>
      </c>
      <c r="L424" s="8">
        <f t="shared" si="131"/>
        <v>5</v>
      </c>
      <c r="M424" s="7">
        <v>45001.608946759261</v>
      </c>
      <c r="N424" t="s">
        <v>49</v>
      </c>
      <c r="O424" s="34">
        <v>45008.608946759261</v>
      </c>
      <c r="P424" t="s">
        <v>101</v>
      </c>
      <c r="R424" s="32">
        <v>45011.608946759261</v>
      </c>
      <c r="S424" t="s">
        <v>101</v>
      </c>
      <c r="T424" s="34">
        <v>45009.608946759261</v>
      </c>
      <c r="U424" s="34">
        <v>45013.608946759261</v>
      </c>
      <c r="V424" s="32">
        <v>45010.608946759261</v>
      </c>
      <c r="W424" s="32">
        <v>45018.608946759261</v>
      </c>
      <c r="X424">
        <v>1</v>
      </c>
      <c r="Y424" s="34">
        <v>45021.608946759261</v>
      </c>
      <c r="Z424" s="34">
        <v>45024.608946759261</v>
      </c>
      <c r="AA424" s="34">
        <v>45025.608946759261</v>
      </c>
      <c r="AB424" s="36" t="s">
        <v>7476</v>
      </c>
      <c r="AC424" s="10">
        <v>45042.608946759261</v>
      </c>
      <c r="AD424" t="s">
        <v>1371</v>
      </c>
      <c r="AE424" t="s">
        <v>1372</v>
      </c>
      <c r="AF424" s="16">
        <v>45233</v>
      </c>
      <c r="AG424" t="s">
        <v>68</v>
      </c>
      <c r="AH424">
        <v>3</v>
      </c>
      <c r="AI424" s="8">
        <f t="shared" si="141"/>
        <v>-221.39105324073898</v>
      </c>
      <c r="AJ424" s="8">
        <f t="shared" si="142"/>
        <v>-224.39105324073898</v>
      </c>
      <c r="AK424" s="38">
        <f t="shared" si="132"/>
        <v>45100.608946759261</v>
      </c>
      <c r="AL424">
        <f t="shared" si="143"/>
        <v>6</v>
      </c>
      <c r="AM424">
        <f t="shared" si="144"/>
        <v>22</v>
      </c>
      <c r="AN424">
        <f t="shared" si="145"/>
        <v>2</v>
      </c>
      <c r="AO424">
        <f t="shared" si="146"/>
        <v>3</v>
      </c>
      <c r="AP424">
        <f t="shared" si="147"/>
        <v>45041.608946759261</v>
      </c>
      <c r="AQ424">
        <f t="shared" si="148"/>
        <v>7</v>
      </c>
    </row>
    <row r="425" spans="1:43" x14ac:dyDescent="0.35">
      <c r="A425">
        <v>312</v>
      </c>
      <c r="B425" t="s">
        <v>1373</v>
      </c>
      <c r="C425" t="s">
        <v>217</v>
      </c>
      <c r="D425" t="str">
        <f t="shared" si="130"/>
        <v>Program Office</v>
      </c>
      <c r="E425" t="s">
        <v>1045</v>
      </c>
      <c r="F425" t="s">
        <v>1300</v>
      </c>
      <c r="G425" t="s">
        <v>1301</v>
      </c>
      <c r="H425" t="s">
        <v>48</v>
      </c>
      <c r="I425" s="32">
        <v>44986.608946759261</v>
      </c>
      <c r="J425" s="32">
        <v>44989.608946759261</v>
      </c>
      <c r="K425" s="32">
        <v>44991.608946759261</v>
      </c>
      <c r="L425" s="8">
        <f t="shared" si="131"/>
        <v>5</v>
      </c>
      <c r="M425" s="7">
        <v>45015.608946759261</v>
      </c>
      <c r="N425" t="s">
        <v>49</v>
      </c>
      <c r="O425" s="34">
        <v>45006.608946759261</v>
      </c>
      <c r="P425" t="s">
        <v>60</v>
      </c>
      <c r="R425" s="32">
        <v>45011.608946759261</v>
      </c>
      <c r="S425" t="s">
        <v>61</v>
      </c>
      <c r="T425" s="34" t="s">
        <v>7476</v>
      </c>
      <c r="U425" s="34" t="s">
        <v>7476</v>
      </c>
      <c r="V425" s="32">
        <v>45010.608946759261</v>
      </c>
      <c r="W425" s="32" t="s">
        <v>7476</v>
      </c>
      <c r="X425">
        <v>0</v>
      </c>
      <c r="Y425" s="34" t="s">
        <v>7476</v>
      </c>
      <c r="Z425" s="34" t="s">
        <v>7476</v>
      </c>
      <c r="AA425" s="34" t="s">
        <v>7476</v>
      </c>
      <c r="AB425" s="36" t="s">
        <v>7476</v>
      </c>
      <c r="AD425" t="s">
        <v>1374</v>
      </c>
      <c r="AE425" t="s">
        <v>1375</v>
      </c>
      <c r="AF425" s="16">
        <v>44999</v>
      </c>
      <c r="AG425" t="s">
        <v>98</v>
      </c>
      <c r="AH425">
        <v>3</v>
      </c>
      <c r="AI425" s="8">
        <f t="shared" si="141"/>
        <v>12.608946759261016</v>
      </c>
      <c r="AJ425" s="8">
        <f t="shared" si="142"/>
        <v>7.6089467592610163</v>
      </c>
      <c r="AK425" s="38">
        <f t="shared" si="132"/>
        <v>45100.608946759261</v>
      </c>
      <c r="AL425" t="str">
        <f t="shared" si="143"/>
        <v/>
      </c>
      <c r="AM425">
        <f t="shared" si="144"/>
        <v>22</v>
      </c>
      <c r="AN425">
        <f t="shared" si="145"/>
        <v>4</v>
      </c>
      <c r="AO425">
        <f t="shared" si="146"/>
        <v>3</v>
      </c>
      <c r="AP425">
        <f t="shared" si="147"/>
        <v>0</v>
      </c>
      <c r="AQ425" t="str">
        <f t="shared" si="148"/>
        <v/>
      </c>
    </row>
    <row r="426" spans="1:43" x14ac:dyDescent="0.35">
      <c r="A426">
        <v>187</v>
      </c>
      <c r="B426" t="s">
        <v>1376</v>
      </c>
      <c r="C426" t="s">
        <v>213</v>
      </c>
      <c r="D426" t="str">
        <f t="shared" si="130"/>
        <v>Program Office</v>
      </c>
      <c r="E426" t="s">
        <v>1045</v>
      </c>
      <c r="F426" t="s">
        <v>1300</v>
      </c>
      <c r="G426" t="s">
        <v>1301</v>
      </c>
      <c r="H426" t="s">
        <v>48</v>
      </c>
      <c r="I426" s="32">
        <v>44828.301365740743</v>
      </c>
      <c r="J426" s="32" t="s">
        <v>7471</v>
      </c>
      <c r="K426" s="32" t="s">
        <v>7473</v>
      </c>
      <c r="L426" s="8" t="str">
        <f t="shared" si="131"/>
        <v/>
      </c>
      <c r="M426" s="7">
        <v>44847.301365740743</v>
      </c>
      <c r="N426" t="s">
        <v>49</v>
      </c>
      <c r="O426" s="34">
        <v>44846.301365740743</v>
      </c>
      <c r="P426" t="s">
        <v>101</v>
      </c>
      <c r="R426" s="32">
        <v>44849.301365740743</v>
      </c>
      <c r="S426" t="s">
        <v>101</v>
      </c>
      <c r="T426" s="34">
        <v>44847.301365740743</v>
      </c>
      <c r="U426" s="34">
        <v>44848.301365740743</v>
      </c>
      <c r="V426" s="32">
        <v>44847.301365740743</v>
      </c>
      <c r="W426" s="32">
        <v>44851.301365740743</v>
      </c>
      <c r="X426">
        <v>1</v>
      </c>
      <c r="Y426" s="34">
        <v>44855.301365740743</v>
      </c>
      <c r="Z426" s="34">
        <v>44857.301365740743</v>
      </c>
      <c r="AA426" s="34">
        <v>44859.301365740743</v>
      </c>
      <c r="AB426" s="36" t="s">
        <v>7476</v>
      </c>
      <c r="AC426" s="10">
        <v>44878.301365740743</v>
      </c>
      <c r="AD426" t="s">
        <v>1377</v>
      </c>
      <c r="AE426" t="s">
        <v>1378</v>
      </c>
      <c r="AF426" s="16">
        <v>44828</v>
      </c>
      <c r="AG426" t="s">
        <v>98</v>
      </c>
      <c r="AH426">
        <v>6</v>
      </c>
      <c r="AK426" s="38">
        <f t="shared" si="132"/>
        <v>45027.301365740743</v>
      </c>
    </row>
    <row r="427" spans="1:43" x14ac:dyDescent="0.35">
      <c r="A427">
        <v>181</v>
      </c>
      <c r="B427" t="s">
        <v>1379</v>
      </c>
      <c r="C427" t="s">
        <v>202</v>
      </c>
      <c r="D427" t="str">
        <f t="shared" si="130"/>
        <v>Program Office</v>
      </c>
      <c r="E427" t="s">
        <v>1045</v>
      </c>
      <c r="F427" t="s">
        <v>1300</v>
      </c>
      <c r="G427" t="s">
        <v>1301</v>
      </c>
      <c r="H427" t="s">
        <v>48</v>
      </c>
      <c r="I427" s="32">
        <v>44830.301365740743</v>
      </c>
      <c r="J427" s="32">
        <v>44832.301365740743</v>
      </c>
      <c r="K427" s="32">
        <v>44835.301365740743</v>
      </c>
      <c r="L427" s="8">
        <f t="shared" si="131"/>
        <v>5</v>
      </c>
      <c r="M427" s="7">
        <v>44846.301365740743</v>
      </c>
      <c r="N427" t="s">
        <v>49</v>
      </c>
      <c r="O427" s="34">
        <v>44842.301365740743</v>
      </c>
      <c r="P427" t="s">
        <v>50</v>
      </c>
      <c r="Q427" t="s">
        <v>84</v>
      </c>
      <c r="R427" s="32" t="s">
        <v>7472</v>
      </c>
      <c r="S427" t="s">
        <v>7476</v>
      </c>
      <c r="T427" s="34" t="s">
        <v>7476</v>
      </c>
      <c r="U427" s="34" t="s">
        <v>7476</v>
      </c>
      <c r="V427" s="32">
        <v>44844.301365740743</v>
      </c>
      <c r="W427" s="32" t="s">
        <v>7476</v>
      </c>
      <c r="X427">
        <v>0</v>
      </c>
      <c r="Y427" s="34" t="s">
        <v>7476</v>
      </c>
      <c r="Z427" s="34" t="s">
        <v>7476</v>
      </c>
      <c r="AA427" s="34" t="s">
        <v>7476</v>
      </c>
      <c r="AB427" s="36" t="s">
        <v>52</v>
      </c>
      <c r="AD427" t="s">
        <v>1380</v>
      </c>
      <c r="AE427" t="s">
        <v>1381</v>
      </c>
      <c r="AF427" s="16">
        <v>44826</v>
      </c>
      <c r="AG427" t="s">
        <v>98</v>
      </c>
      <c r="AH427">
        <v>6</v>
      </c>
      <c r="AI427" s="8" t="str">
        <f>IFERROR(R427-AF427,"")</f>
        <v/>
      </c>
      <c r="AJ427" s="8">
        <f>IFERROR(O427-AF427,"")</f>
        <v>16.301365740742767</v>
      </c>
      <c r="AK427" s="38">
        <f t="shared" si="132"/>
        <v>45024.301365740743</v>
      </c>
      <c r="AL427" t="str">
        <f>IFERROR(Z427-W427,"")</f>
        <v/>
      </c>
      <c r="AM427" t="str">
        <f>IFERROR(R427-J427,"")</f>
        <v/>
      </c>
      <c r="AN427">
        <f>IFERROR(V427-O427,"")</f>
        <v>2</v>
      </c>
      <c r="AO427">
        <f>IFERROR(J427-I427,"")</f>
        <v>2</v>
      </c>
      <c r="AP427">
        <f>IFERROR(AC427-X427,"")</f>
        <v>0</v>
      </c>
      <c r="AQ427" t="str">
        <f>IFERROR(AA427-W427,"")</f>
        <v/>
      </c>
    </row>
    <row r="428" spans="1:43" x14ac:dyDescent="0.35">
      <c r="A428">
        <v>140</v>
      </c>
      <c r="B428" t="s">
        <v>1382</v>
      </c>
      <c r="C428" t="s">
        <v>213</v>
      </c>
      <c r="D428" t="str">
        <f t="shared" si="130"/>
        <v>Program Office</v>
      </c>
      <c r="E428" t="s">
        <v>1045</v>
      </c>
      <c r="F428" t="s">
        <v>1300</v>
      </c>
      <c r="G428" t="s">
        <v>1301</v>
      </c>
      <c r="H428" t="s">
        <v>48</v>
      </c>
      <c r="I428" s="32" t="s">
        <v>7471</v>
      </c>
      <c r="J428" s="32">
        <v>44765.802951388891</v>
      </c>
      <c r="K428" s="32">
        <v>44769.802951388891</v>
      </c>
      <c r="L428" s="8" t="str">
        <f t="shared" si="131"/>
        <v/>
      </c>
      <c r="M428" s="7">
        <v>44778.802951388891</v>
      </c>
      <c r="N428" t="s">
        <v>49</v>
      </c>
      <c r="O428" s="34">
        <v>44783.802951388891</v>
      </c>
      <c r="P428" t="s">
        <v>101</v>
      </c>
      <c r="R428" s="32">
        <v>44789.802951388891</v>
      </c>
      <c r="S428" t="s">
        <v>101</v>
      </c>
      <c r="T428" s="34">
        <v>44784.802951388891</v>
      </c>
      <c r="U428" s="34">
        <v>44785.802951388891</v>
      </c>
      <c r="V428" s="32">
        <v>44786.802951388891</v>
      </c>
      <c r="W428" s="32">
        <v>44791.802951388891</v>
      </c>
      <c r="X428">
        <v>1</v>
      </c>
      <c r="Y428" s="34">
        <v>44793.802951388891</v>
      </c>
      <c r="Z428" s="34">
        <v>44794.802951388891</v>
      </c>
      <c r="AA428" s="34">
        <v>44796.802951388891</v>
      </c>
      <c r="AB428" s="36" t="s">
        <v>7476</v>
      </c>
      <c r="AC428" s="10">
        <v>44815.802951388891</v>
      </c>
      <c r="AD428" t="s">
        <v>1383</v>
      </c>
      <c r="AE428" t="s">
        <v>1384</v>
      </c>
      <c r="AF428" s="16">
        <v>44569</v>
      </c>
      <c r="AG428" t="s">
        <v>98</v>
      </c>
      <c r="AH428">
        <v>6</v>
      </c>
      <c r="AK428" s="38">
        <f t="shared" si="132"/>
        <v>44966.802951388891</v>
      </c>
    </row>
    <row r="429" spans="1:43" x14ac:dyDescent="0.35">
      <c r="A429">
        <v>139</v>
      </c>
      <c r="B429" t="s">
        <v>1385</v>
      </c>
      <c r="C429" t="s">
        <v>213</v>
      </c>
      <c r="D429" t="str">
        <f t="shared" si="130"/>
        <v>Program Office</v>
      </c>
      <c r="E429" t="s">
        <v>1045</v>
      </c>
      <c r="F429" t="s">
        <v>1300</v>
      </c>
      <c r="G429" t="s">
        <v>1301</v>
      </c>
      <c r="H429" t="s">
        <v>48</v>
      </c>
      <c r="I429" s="32">
        <v>44767.802951388891</v>
      </c>
      <c r="J429" s="32">
        <v>44768.802951388891</v>
      </c>
      <c r="K429" s="32">
        <v>44769.802951388891</v>
      </c>
      <c r="L429" s="8">
        <f t="shared" si="131"/>
        <v>2</v>
      </c>
      <c r="M429" s="7">
        <v>44786.802951388891</v>
      </c>
      <c r="N429" t="s">
        <v>72</v>
      </c>
      <c r="O429" s="34" t="s">
        <v>7474</v>
      </c>
      <c r="R429" s="32" t="s">
        <v>7472</v>
      </c>
      <c r="S429" t="s">
        <v>7476</v>
      </c>
      <c r="T429" s="34" t="s">
        <v>7476</v>
      </c>
      <c r="U429" s="34" t="s">
        <v>7476</v>
      </c>
      <c r="V429" s="32" t="s">
        <v>7476</v>
      </c>
      <c r="W429" s="32" t="s">
        <v>7476</v>
      </c>
      <c r="X429">
        <v>0</v>
      </c>
      <c r="Y429" s="34" t="s">
        <v>7476</v>
      </c>
      <c r="Z429" s="34" t="s">
        <v>7476</v>
      </c>
      <c r="AA429" s="34" t="s">
        <v>7476</v>
      </c>
      <c r="AB429" s="36" t="s">
        <v>7476</v>
      </c>
      <c r="AD429" t="s">
        <v>1386</v>
      </c>
      <c r="AE429" t="s">
        <v>1387</v>
      </c>
      <c r="AG429" t="s">
        <v>98</v>
      </c>
      <c r="AH429">
        <v>6</v>
      </c>
      <c r="AI429" s="8" t="str">
        <f>IFERROR(R429-AF429,"")</f>
        <v/>
      </c>
      <c r="AJ429" s="8" t="str">
        <f>IFERROR(O429-AF429,"")</f>
        <v/>
      </c>
      <c r="AK429" s="38" t="str">
        <f t="shared" si="132"/>
        <v/>
      </c>
      <c r="AL429" t="str">
        <f>IFERROR(Z429-W429,"")</f>
        <v/>
      </c>
      <c r="AM429" t="str">
        <f>IFERROR(R429-J429,"")</f>
        <v/>
      </c>
      <c r="AN429" t="str">
        <f>IFERROR(V429-O429,"")</f>
        <v/>
      </c>
      <c r="AO429">
        <f>IFERROR(J429-I429,"")</f>
        <v>1</v>
      </c>
      <c r="AP429">
        <f>IFERROR(AC429-X429,"")</f>
        <v>0</v>
      </c>
      <c r="AQ429" t="str">
        <f>IFERROR(AA429-W429,"")</f>
        <v/>
      </c>
    </row>
    <row r="430" spans="1:43" x14ac:dyDescent="0.35">
      <c r="A430">
        <v>136</v>
      </c>
      <c r="B430" t="s">
        <v>1388</v>
      </c>
      <c r="C430" t="s">
        <v>202</v>
      </c>
      <c r="D430" t="str">
        <f t="shared" si="130"/>
        <v>Program Office</v>
      </c>
      <c r="E430" t="s">
        <v>1045</v>
      </c>
      <c r="F430" t="s">
        <v>1300</v>
      </c>
      <c r="G430" t="s">
        <v>1301</v>
      </c>
      <c r="H430" t="s">
        <v>48</v>
      </c>
      <c r="I430" s="32">
        <v>44762.802951388891</v>
      </c>
      <c r="J430" s="32" t="s">
        <v>7471</v>
      </c>
      <c r="K430" s="32">
        <v>44769.802951388891</v>
      </c>
      <c r="L430" s="8">
        <f t="shared" si="131"/>
        <v>7</v>
      </c>
      <c r="M430" s="7">
        <v>44784.802951388891</v>
      </c>
      <c r="N430" t="s">
        <v>49</v>
      </c>
      <c r="O430" s="34">
        <v>44781.802951388891</v>
      </c>
      <c r="P430" t="s">
        <v>60</v>
      </c>
      <c r="R430" s="32">
        <v>44785.802951388891</v>
      </c>
      <c r="S430" t="s">
        <v>61</v>
      </c>
      <c r="T430" s="34" t="s">
        <v>7476</v>
      </c>
      <c r="U430" s="34" t="s">
        <v>7476</v>
      </c>
      <c r="V430" s="32">
        <v>44783.802951388891</v>
      </c>
      <c r="W430" s="32" t="s">
        <v>7476</v>
      </c>
      <c r="X430">
        <v>0</v>
      </c>
      <c r="Y430" s="34" t="s">
        <v>7476</v>
      </c>
      <c r="Z430" s="34" t="s">
        <v>7476</v>
      </c>
      <c r="AA430" s="34" t="s">
        <v>7476</v>
      </c>
      <c r="AB430" s="36" t="s">
        <v>7476</v>
      </c>
      <c r="AD430" t="s">
        <v>1389</v>
      </c>
      <c r="AE430" t="s">
        <v>1390</v>
      </c>
      <c r="AF430" s="16">
        <v>44766</v>
      </c>
      <c r="AG430" t="s">
        <v>75</v>
      </c>
      <c r="AH430">
        <v>6</v>
      </c>
      <c r="AK430" s="38">
        <f t="shared" si="132"/>
        <v>44963.802951388891</v>
      </c>
    </row>
    <row r="431" spans="1:43" x14ac:dyDescent="0.35">
      <c r="A431">
        <v>132</v>
      </c>
      <c r="B431" t="s">
        <v>1391</v>
      </c>
      <c r="C431" t="s">
        <v>213</v>
      </c>
      <c r="D431" t="str">
        <f t="shared" si="130"/>
        <v>Program Office</v>
      </c>
      <c r="E431" t="s">
        <v>1045</v>
      </c>
      <c r="F431" t="s">
        <v>1300</v>
      </c>
      <c r="G431" t="s">
        <v>1301</v>
      </c>
      <c r="H431" t="s">
        <v>48</v>
      </c>
      <c r="I431" s="32">
        <v>44764.802951388891</v>
      </c>
      <c r="J431" s="32">
        <v>44767.802951388891</v>
      </c>
      <c r="K431" s="32">
        <v>44769.802951388891</v>
      </c>
      <c r="L431" s="8">
        <f t="shared" si="131"/>
        <v>5</v>
      </c>
      <c r="M431" s="7">
        <v>44792.802951388891</v>
      </c>
      <c r="N431" t="s">
        <v>49</v>
      </c>
      <c r="O431" s="34">
        <v>44786.802951388891</v>
      </c>
      <c r="P431" t="s">
        <v>60</v>
      </c>
      <c r="R431" s="32">
        <v>44792.802951388891</v>
      </c>
      <c r="S431" t="s">
        <v>61</v>
      </c>
      <c r="T431" s="34" t="s">
        <v>7476</v>
      </c>
      <c r="U431" s="34" t="s">
        <v>7476</v>
      </c>
      <c r="V431" s="32">
        <v>44790.802951388891</v>
      </c>
      <c r="W431" s="32" t="s">
        <v>7476</v>
      </c>
      <c r="X431">
        <v>0</v>
      </c>
      <c r="Y431" s="34" t="s">
        <v>7476</v>
      </c>
      <c r="Z431" s="34" t="s">
        <v>7476</v>
      </c>
      <c r="AA431" s="34" t="s">
        <v>7476</v>
      </c>
      <c r="AB431" s="36" t="s">
        <v>7476</v>
      </c>
      <c r="AD431" t="s">
        <v>1392</v>
      </c>
      <c r="AE431" t="s">
        <v>1393</v>
      </c>
      <c r="AF431" s="16">
        <v>44777</v>
      </c>
      <c r="AG431" t="s">
        <v>98</v>
      </c>
      <c r="AH431">
        <v>3</v>
      </c>
      <c r="AI431" s="8">
        <f>IFERROR(R431-AF431,"")</f>
        <v>15.802951388890506</v>
      </c>
      <c r="AJ431" s="8">
        <f>IFERROR(O431-AF431,"")</f>
        <v>9.8029513888905058</v>
      </c>
      <c r="AK431" s="38">
        <f t="shared" si="132"/>
        <v>44880.802951388891</v>
      </c>
      <c r="AL431" t="str">
        <f>IFERROR(Z431-W431,"")</f>
        <v/>
      </c>
      <c r="AM431">
        <f>IFERROR(R431-J431,"")</f>
        <v>25</v>
      </c>
      <c r="AN431">
        <f>IFERROR(V431-O431,"")</f>
        <v>4</v>
      </c>
      <c r="AO431">
        <f>IFERROR(J431-I431,"")</f>
        <v>3</v>
      </c>
      <c r="AP431">
        <f>IFERROR(AC431-X431,"")</f>
        <v>0</v>
      </c>
      <c r="AQ431" t="str">
        <f>IFERROR(AA431-W431,"")</f>
        <v/>
      </c>
    </row>
    <row r="432" spans="1:43" x14ac:dyDescent="0.35">
      <c r="A432">
        <v>66</v>
      </c>
      <c r="B432" t="s">
        <v>1394</v>
      </c>
      <c r="C432" t="s">
        <v>213</v>
      </c>
      <c r="D432" t="str">
        <f t="shared" si="130"/>
        <v>Program Office</v>
      </c>
      <c r="E432" t="s">
        <v>1045</v>
      </c>
      <c r="F432" t="s">
        <v>1300</v>
      </c>
      <c r="G432" t="s">
        <v>1301</v>
      </c>
      <c r="H432" t="s">
        <v>48</v>
      </c>
      <c r="I432" s="32">
        <v>45167.755949074082</v>
      </c>
      <c r="J432" s="32" t="s">
        <v>7471</v>
      </c>
      <c r="K432" s="32">
        <v>45170.755949074082</v>
      </c>
      <c r="L432" s="8">
        <f t="shared" si="131"/>
        <v>3</v>
      </c>
      <c r="M432" s="7">
        <v>45180.755949074082</v>
      </c>
      <c r="N432" t="s">
        <v>49</v>
      </c>
      <c r="O432" s="34">
        <v>45184.755949074082</v>
      </c>
      <c r="P432" t="s">
        <v>392</v>
      </c>
      <c r="R432" s="32">
        <v>45189.755949074082</v>
      </c>
      <c r="S432" t="s">
        <v>392</v>
      </c>
      <c r="T432" s="34" t="s">
        <v>7476</v>
      </c>
      <c r="U432" s="34" t="s">
        <v>7476</v>
      </c>
      <c r="V432" s="32">
        <v>45188.755949074082</v>
      </c>
      <c r="W432" s="32" t="s">
        <v>7476</v>
      </c>
      <c r="X432">
        <v>0</v>
      </c>
      <c r="Y432" s="34" t="s">
        <v>7476</v>
      </c>
      <c r="Z432" s="34" t="s">
        <v>7476</v>
      </c>
      <c r="AA432" s="34" t="s">
        <v>7476</v>
      </c>
      <c r="AB432" s="36" t="s">
        <v>7476</v>
      </c>
      <c r="AD432" t="s">
        <v>1395</v>
      </c>
      <c r="AE432" t="s">
        <v>1396</v>
      </c>
      <c r="AF432" s="16">
        <v>45166</v>
      </c>
      <c r="AG432" t="s">
        <v>93</v>
      </c>
      <c r="AH432">
        <v>3</v>
      </c>
      <c r="AK432" s="38">
        <f t="shared" si="132"/>
        <v>45278.755949074082</v>
      </c>
    </row>
    <row r="433" spans="1:43" x14ac:dyDescent="0.35">
      <c r="A433">
        <v>2540</v>
      </c>
      <c r="B433" t="s">
        <v>1397</v>
      </c>
      <c r="C433" t="s">
        <v>213</v>
      </c>
      <c r="D433" t="str">
        <f t="shared" si="130"/>
        <v>Program Office</v>
      </c>
      <c r="E433" t="s">
        <v>1398</v>
      </c>
      <c r="F433" t="s">
        <v>78</v>
      </c>
      <c r="G433" t="s">
        <v>1399</v>
      </c>
      <c r="H433" t="s">
        <v>80</v>
      </c>
      <c r="I433" s="32">
        <v>44682.058252314811</v>
      </c>
      <c r="J433" s="32">
        <v>44686.058252314811</v>
      </c>
      <c r="K433" s="32" t="s">
        <v>7473</v>
      </c>
      <c r="L433" s="8" t="str">
        <f t="shared" si="131"/>
        <v/>
      </c>
      <c r="M433" s="7">
        <v>44714.058252314811</v>
      </c>
      <c r="N433" t="s">
        <v>72</v>
      </c>
      <c r="O433" s="34" t="s">
        <v>7474</v>
      </c>
      <c r="R433" s="32" t="s">
        <v>7472</v>
      </c>
      <c r="S433" t="s">
        <v>7476</v>
      </c>
      <c r="T433" s="34" t="s">
        <v>7476</v>
      </c>
      <c r="U433" s="34" t="s">
        <v>7476</v>
      </c>
      <c r="V433" s="32" t="s">
        <v>7476</v>
      </c>
      <c r="W433" s="32" t="s">
        <v>7476</v>
      </c>
      <c r="X433">
        <v>0</v>
      </c>
      <c r="Y433" s="34" t="s">
        <v>7476</v>
      </c>
      <c r="Z433" s="34" t="s">
        <v>7476</v>
      </c>
      <c r="AA433" s="34" t="s">
        <v>7476</v>
      </c>
      <c r="AB433" s="36" t="s">
        <v>7476</v>
      </c>
      <c r="AD433" t="s">
        <v>1400</v>
      </c>
      <c r="AE433" t="s">
        <v>1401</v>
      </c>
      <c r="AG433" t="s">
        <v>75</v>
      </c>
      <c r="AH433">
        <v>6</v>
      </c>
      <c r="AK433" s="38" t="str">
        <f t="shared" si="132"/>
        <v/>
      </c>
    </row>
    <row r="434" spans="1:43" x14ac:dyDescent="0.35">
      <c r="A434">
        <v>2531</v>
      </c>
      <c r="B434" t="s">
        <v>1402</v>
      </c>
      <c r="C434" t="s">
        <v>217</v>
      </c>
      <c r="D434" t="str">
        <f t="shared" si="130"/>
        <v>Program Office</v>
      </c>
      <c r="E434" t="s">
        <v>1398</v>
      </c>
      <c r="F434" t="s">
        <v>78</v>
      </c>
      <c r="G434" t="s">
        <v>1399</v>
      </c>
      <c r="H434" t="s">
        <v>80</v>
      </c>
      <c r="I434" s="32">
        <v>44685.058252314811</v>
      </c>
      <c r="J434" s="32">
        <v>44686.058252314811</v>
      </c>
      <c r="K434" s="32">
        <v>44688.058252314811</v>
      </c>
      <c r="L434" s="8">
        <f t="shared" si="131"/>
        <v>3</v>
      </c>
      <c r="M434" s="7">
        <v>44694.058252314811</v>
      </c>
      <c r="N434" t="s">
        <v>72</v>
      </c>
      <c r="O434" s="34" t="s">
        <v>7474</v>
      </c>
      <c r="R434" s="32" t="s">
        <v>7472</v>
      </c>
      <c r="S434" t="s">
        <v>7476</v>
      </c>
      <c r="T434" s="34" t="s">
        <v>7476</v>
      </c>
      <c r="U434" s="34" t="s">
        <v>7476</v>
      </c>
      <c r="V434" s="32" t="s">
        <v>7476</v>
      </c>
      <c r="W434" s="32" t="s">
        <v>7476</v>
      </c>
      <c r="X434">
        <v>0</v>
      </c>
      <c r="Y434" s="34" t="s">
        <v>7476</v>
      </c>
      <c r="Z434" s="34" t="s">
        <v>7476</v>
      </c>
      <c r="AA434" s="34" t="s">
        <v>7476</v>
      </c>
      <c r="AB434" s="36" t="s">
        <v>7476</v>
      </c>
      <c r="AD434" t="s">
        <v>1403</v>
      </c>
      <c r="AE434" t="s">
        <v>1404</v>
      </c>
      <c r="AG434" t="s">
        <v>68</v>
      </c>
      <c r="AH434">
        <v>3</v>
      </c>
      <c r="AI434" s="8" t="str">
        <f>IFERROR(R434-AF434,"")</f>
        <v/>
      </c>
      <c r="AJ434" s="8" t="str">
        <f>IFERROR(O434-AF434,"")</f>
        <v/>
      </c>
      <c r="AK434" s="38" t="str">
        <f t="shared" si="132"/>
        <v/>
      </c>
      <c r="AL434" t="str">
        <f>IFERROR(Z434-W434,"")</f>
        <v/>
      </c>
      <c r="AM434" t="str">
        <f>IFERROR(R434-J434,"")</f>
        <v/>
      </c>
      <c r="AN434" t="str">
        <f>IFERROR(V434-O434,"")</f>
        <v/>
      </c>
      <c r="AO434">
        <f>IFERROR(J434-I434,"")</f>
        <v>1</v>
      </c>
      <c r="AP434">
        <f>IFERROR(AC434-X434,"")</f>
        <v>0</v>
      </c>
      <c r="AQ434" t="str">
        <f>IFERROR(AA434-W434,"")</f>
        <v/>
      </c>
    </row>
    <row r="435" spans="1:43" x14ac:dyDescent="0.35">
      <c r="A435">
        <v>2265</v>
      </c>
      <c r="B435" t="s">
        <v>1405</v>
      </c>
      <c r="C435" t="s">
        <v>213</v>
      </c>
      <c r="D435" t="str">
        <f t="shared" si="130"/>
        <v>Program Office</v>
      </c>
      <c r="E435" t="s">
        <v>1398</v>
      </c>
      <c r="F435" t="s">
        <v>78</v>
      </c>
      <c r="G435" t="s">
        <v>1399</v>
      </c>
      <c r="H435" t="s">
        <v>80</v>
      </c>
      <c r="I435" s="32">
        <v>45030.937696759262</v>
      </c>
      <c r="J435" s="32">
        <v>45032.937696759262</v>
      </c>
      <c r="K435" s="32">
        <v>45036.937696759262</v>
      </c>
      <c r="L435" s="8">
        <f t="shared" si="131"/>
        <v>6</v>
      </c>
      <c r="M435" s="7">
        <v>45049.937696759262</v>
      </c>
      <c r="N435" t="s">
        <v>72</v>
      </c>
      <c r="O435" s="34" t="s">
        <v>7474</v>
      </c>
      <c r="R435" s="32" t="s">
        <v>7472</v>
      </c>
      <c r="S435" t="s">
        <v>7476</v>
      </c>
      <c r="T435" s="34" t="s">
        <v>7476</v>
      </c>
      <c r="U435" s="34" t="s">
        <v>7476</v>
      </c>
      <c r="V435" s="32" t="s">
        <v>7476</v>
      </c>
      <c r="W435" s="32" t="s">
        <v>7476</v>
      </c>
      <c r="X435">
        <v>0</v>
      </c>
      <c r="Y435" s="34" t="s">
        <v>7476</v>
      </c>
      <c r="Z435" s="34" t="s">
        <v>7476</v>
      </c>
      <c r="AA435" s="34" t="s">
        <v>7476</v>
      </c>
      <c r="AB435" s="36" t="s">
        <v>7476</v>
      </c>
      <c r="AD435" t="s">
        <v>1406</v>
      </c>
      <c r="AE435" t="s">
        <v>1407</v>
      </c>
      <c r="AG435" t="s">
        <v>68</v>
      </c>
      <c r="AH435">
        <v>6</v>
      </c>
      <c r="AI435" s="8" t="str">
        <f>IFERROR(R435-AF435,"")</f>
        <v/>
      </c>
      <c r="AJ435" s="8" t="str">
        <f>IFERROR(O435-AF435,"")</f>
        <v/>
      </c>
      <c r="AK435" s="38" t="str">
        <f t="shared" si="132"/>
        <v/>
      </c>
      <c r="AL435" t="str">
        <f>IFERROR(Z435-W435,"")</f>
        <v/>
      </c>
      <c r="AM435" t="str">
        <f>IFERROR(R435-J435,"")</f>
        <v/>
      </c>
      <c r="AN435" t="str">
        <f>IFERROR(V435-O435,"")</f>
        <v/>
      </c>
      <c r="AO435">
        <f>IFERROR(J435-I435,"")</f>
        <v>2</v>
      </c>
      <c r="AP435">
        <f>IFERROR(AC435-X435,"")</f>
        <v>0</v>
      </c>
      <c r="AQ435" t="str">
        <f>IFERROR(AA435-W435,"")</f>
        <v/>
      </c>
    </row>
    <row r="436" spans="1:43" x14ac:dyDescent="0.35">
      <c r="A436">
        <v>2127</v>
      </c>
      <c r="B436" t="s">
        <v>1408</v>
      </c>
      <c r="C436" t="s">
        <v>217</v>
      </c>
      <c r="D436" t="str">
        <f t="shared" si="130"/>
        <v>Program Office</v>
      </c>
      <c r="E436" t="s">
        <v>1398</v>
      </c>
      <c r="F436" t="s">
        <v>78</v>
      </c>
      <c r="G436" t="s">
        <v>1399</v>
      </c>
      <c r="H436" t="s">
        <v>80</v>
      </c>
      <c r="I436" s="32">
        <v>44927.473356481481</v>
      </c>
      <c r="J436" s="32">
        <v>44929.473356481481</v>
      </c>
      <c r="K436" s="32">
        <v>44935.473356481481</v>
      </c>
      <c r="L436" s="8">
        <f t="shared" si="131"/>
        <v>8</v>
      </c>
      <c r="M436" s="7">
        <v>44950.473356481481</v>
      </c>
      <c r="N436" t="s">
        <v>72</v>
      </c>
      <c r="O436" s="34" t="s">
        <v>7474</v>
      </c>
      <c r="R436" s="32" t="s">
        <v>7472</v>
      </c>
      <c r="S436" t="s">
        <v>7476</v>
      </c>
      <c r="T436" s="34" t="s">
        <v>7476</v>
      </c>
      <c r="U436" s="34" t="s">
        <v>7476</v>
      </c>
      <c r="V436" s="32" t="s">
        <v>7476</v>
      </c>
      <c r="W436" s="32" t="s">
        <v>7476</v>
      </c>
      <c r="X436">
        <v>0</v>
      </c>
      <c r="Y436" s="34" t="s">
        <v>7476</v>
      </c>
      <c r="Z436" s="34" t="s">
        <v>7476</v>
      </c>
      <c r="AA436" s="34" t="s">
        <v>7476</v>
      </c>
      <c r="AB436" s="36" t="s">
        <v>7476</v>
      </c>
      <c r="AD436" t="s">
        <v>1409</v>
      </c>
      <c r="AE436" t="s">
        <v>1410</v>
      </c>
      <c r="AG436" t="s">
        <v>98</v>
      </c>
      <c r="AH436">
        <v>6</v>
      </c>
      <c r="AI436" s="8" t="str">
        <f>IFERROR(R436-AF436,"")</f>
        <v/>
      </c>
      <c r="AJ436" s="8" t="str">
        <f>IFERROR(O436-AF436,"")</f>
        <v/>
      </c>
      <c r="AK436" s="38" t="str">
        <f t="shared" si="132"/>
        <v/>
      </c>
      <c r="AL436" t="str">
        <f>IFERROR(Z436-W436,"")</f>
        <v/>
      </c>
      <c r="AM436" t="str">
        <f>IFERROR(R436-J436,"")</f>
        <v/>
      </c>
      <c r="AN436" t="str">
        <f>IFERROR(V436-O436,"")</f>
        <v/>
      </c>
      <c r="AO436">
        <f>IFERROR(J436-I436,"")</f>
        <v>2</v>
      </c>
      <c r="AP436">
        <f>IFERROR(AC436-X436,"")</f>
        <v>0</v>
      </c>
      <c r="AQ436" t="str">
        <f>IFERROR(AA436-W436,"")</f>
        <v/>
      </c>
    </row>
    <row r="437" spans="1:43" x14ac:dyDescent="0.35">
      <c r="A437">
        <v>2120</v>
      </c>
      <c r="B437" t="s">
        <v>1411</v>
      </c>
      <c r="C437" t="s">
        <v>202</v>
      </c>
      <c r="D437" t="str">
        <f t="shared" si="130"/>
        <v>Program Office</v>
      </c>
      <c r="E437" t="s">
        <v>1398</v>
      </c>
      <c r="F437" t="s">
        <v>78</v>
      </c>
      <c r="G437" t="s">
        <v>1399</v>
      </c>
      <c r="H437" t="s">
        <v>80</v>
      </c>
      <c r="I437" s="32">
        <v>45030.055439814823</v>
      </c>
      <c r="J437" s="32">
        <v>45033.055439814823</v>
      </c>
      <c r="K437" s="32">
        <v>45038.055439814823</v>
      </c>
      <c r="L437" s="8">
        <f t="shared" si="131"/>
        <v>8</v>
      </c>
      <c r="M437" s="7">
        <v>45057.055439814823</v>
      </c>
      <c r="N437" t="s">
        <v>72</v>
      </c>
      <c r="O437" s="34" t="s">
        <v>7474</v>
      </c>
      <c r="R437" s="32" t="s">
        <v>7472</v>
      </c>
      <c r="S437" t="s">
        <v>7476</v>
      </c>
      <c r="T437" s="34" t="s">
        <v>7476</v>
      </c>
      <c r="U437" s="34" t="s">
        <v>7476</v>
      </c>
      <c r="V437" s="32" t="s">
        <v>7476</v>
      </c>
      <c r="W437" s="32" t="s">
        <v>7476</v>
      </c>
      <c r="X437">
        <v>0</v>
      </c>
      <c r="Y437" s="34" t="s">
        <v>7476</v>
      </c>
      <c r="Z437" s="34" t="s">
        <v>7476</v>
      </c>
      <c r="AA437" s="34" t="s">
        <v>7476</v>
      </c>
      <c r="AB437" s="36" t="s">
        <v>7476</v>
      </c>
      <c r="AD437" t="s">
        <v>1412</v>
      </c>
      <c r="AE437" t="s">
        <v>1413</v>
      </c>
      <c r="AG437" t="s">
        <v>68</v>
      </c>
      <c r="AH437">
        <v>3</v>
      </c>
      <c r="AI437" s="8" t="str">
        <f>IFERROR(R437-AF437,"")</f>
        <v/>
      </c>
      <c r="AJ437" s="8" t="str">
        <f>IFERROR(O437-AF437,"")</f>
        <v/>
      </c>
      <c r="AK437" s="38" t="str">
        <f t="shared" si="132"/>
        <v/>
      </c>
      <c r="AL437" t="str">
        <f>IFERROR(Z437-W437,"")</f>
        <v/>
      </c>
      <c r="AM437" t="str">
        <f>IFERROR(R437-J437,"")</f>
        <v/>
      </c>
      <c r="AN437" t="str">
        <f>IFERROR(V437-O437,"")</f>
        <v/>
      </c>
      <c r="AO437">
        <f>IFERROR(J437-I437,"")</f>
        <v>3</v>
      </c>
      <c r="AP437">
        <f>IFERROR(AC437-X437,"")</f>
        <v>0</v>
      </c>
      <c r="AQ437" t="str">
        <f>IFERROR(AA437-W437,"")</f>
        <v/>
      </c>
    </row>
    <row r="438" spans="1:43" x14ac:dyDescent="0.35">
      <c r="A438">
        <v>2115</v>
      </c>
      <c r="B438" t="s">
        <v>1414</v>
      </c>
      <c r="C438" t="s">
        <v>213</v>
      </c>
      <c r="D438" t="str">
        <f t="shared" si="130"/>
        <v>Program Office</v>
      </c>
      <c r="E438" t="s">
        <v>1398</v>
      </c>
      <c r="F438" t="s">
        <v>78</v>
      </c>
      <c r="G438" t="s">
        <v>1399</v>
      </c>
      <c r="H438" t="s">
        <v>80</v>
      </c>
      <c r="I438" s="32" t="s">
        <v>7471</v>
      </c>
      <c r="J438" s="32">
        <v>45032.055439814823</v>
      </c>
      <c r="K438" s="32">
        <v>45038.055439814823</v>
      </c>
      <c r="L438" s="8" t="str">
        <f t="shared" si="131"/>
        <v/>
      </c>
      <c r="M438" s="7">
        <v>45052.055439814823</v>
      </c>
      <c r="N438" t="s">
        <v>72</v>
      </c>
      <c r="O438" s="34" t="s">
        <v>7474</v>
      </c>
      <c r="R438" s="32" t="s">
        <v>7472</v>
      </c>
      <c r="S438" t="s">
        <v>7476</v>
      </c>
      <c r="T438" s="34" t="s">
        <v>7476</v>
      </c>
      <c r="U438" s="34" t="s">
        <v>7476</v>
      </c>
      <c r="V438" s="32" t="s">
        <v>7476</v>
      </c>
      <c r="W438" s="32" t="s">
        <v>7476</v>
      </c>
      <c r="X438">
        <v>0</v>
      </c>
      <c r="Y438" s="34" t="s">
        <v>7476</v>
      </c>
      <c r="Z438" s="34" t="s">
        <v>7476</v>
      </c>
      <c r="AA438" s="34" t="s">
        <v>7476</v>
      </c>
      <c r="AB438" s="36" t="s">
        <v>7476</v>
      </c>
      <c r="AD438" t="s">
        <v>1415</v>
      </c>
      <c r="AE438" t="s">
        <v>1416</v>
      </c>
      <c r="AG438" t="s">
        <v>75</v>
      </c>
      <c r="AH438">
        <v>3</v>
      </c>
      <c r="AK438" s="38" t="str">
        <f t="shared" si="132"/>
        <v/>
      </c>
    </row>
    <row r="439" spans="1:43" x14ac:dyDescent="0.35">
      <c r="A439">
        <v>1857</v>
      </c>
      <c r="B439" t="s">
        <v>1417</v>
      </c>
      <c r="C439" t="s">
        <v>213</v>
      </c>
      <c r="D439" t="str">
        <f t="shared" si="130"/>
        <v>Program Office</v>
      </c>
      <c r="E439" t="s">
        <v>1398</v>
      </c>
      <c r="F439" t="s">
        <v>78</v>
      </c>
      <c r="G439" t="s">
        <v>1399</v>
      </c>
      <c r="H439" t="s">
        <v>80</v>
      </c>
      <c r="I439" s="32">
        <v>44877.077060185176</v>
      </c>
      <c r="J439" s="32">
        <v>44880.077060185176</v>
      </c>
      <c r="K439" s="32">
        <v>44882.077060185176</v>
      </c>
      <c r="L439" s="8">
        <f t="shared" si="131"/>
        <v>5</v>
      </c>
      <c r="M439" s="7">
        <v>44905.077060185176</v>
      </c>
      <c r="N439" t="s">
        <v>72</v>
      </c>
      <c r="O439" s="34" t="s">
        <v>7474</v>
      </c>
      <c r="R439" s="32" t="s">
        <v>7472</v>
      </c>
      <c r="S439" t="s">
        <v>7476</v>
      </c>
      <c r="T439" s="34" t="s">
        <v>7476</v>
      </c>
      <c r="U439" s="34" t="s">
        <v>7476</v>
      </c>
      <c r="V439" s="32" t="s">
        <v>7476</v>
      </c>
      <c r="W439" s="32" t="s">
        <v>7476</v>
      </c>
      <c r="X439">
        <v>0</v>
      </c>
      <c r="Y439" s="34" t="s">
        <v>7476</v>
      </c>
      <c r="Z439" s="34" t="s">
        <v>7476</v>
      </c>
      <c r="AA439" s="34" t="s">
        <v>7476</v>
      </c>
      <c r="AB439" s="36" t="s">
        <v>7476</v>
      </c>
      <c r="AD439" t="s">
        <v>1418</v>
      </c>
      <c r="AE439" t="s">
        <v>1419</v>
      </c>
      <c r="AG439" t="s">
        <v>68</v>
      </c>
      <c r="AH439">
        <v>3</v>
      </c>
      <c r="AI439" s="8" t="str">
        <f>IFERROR(R439-AF439,"")</f>
        <v/>
      </c>
      <c r="AJ439" s="8" t="str">
        <f>IFERROR(O439-AF439,"")</f>
        <v/>
      </c>
      <c r="AK439" s="38" t="str">
        <f t="shared" si="132"/>
        <v/>
      </c>
      <c r="AL439" t="str">
        <f>IFERROR(Z439-W439,"")</f>
        <v/>
      </c>
      <c r="AM439" t="str">
        <f>IFERROR(R439-J439,"")</f>
        <v/>
      </c>
      <c r="AN439" t="str">
        <f>IFERROR(V439-O439,"")</f>
        <v/>
      </c>
      <c r="AO439">
        <f>IFERROR(J439-I439,"")</f>
        <v>3</v>
      </c>
      <c r="AP439">
        <f>IFERROR(AC439-X439,"")</f>
        <v>0</v>
      </c>
      <c r="AQ439" t="str">
        <f>IFERROR(AA439-W439,"")</f>
        <v/>
      </c>
    </row>
    <row r="440" spans="1:43" x14ac:dyDescent="0.35">
      <c r="A440">
        <v>1820</v>
      </c>
      <c r="B440" t="s">
        <v>1420</v>
      </c>
      <c r="C440" t="s">
        <v>217</v>
      </c>
      <c r="D440" t="str">
        <f t="shared" si="130"/>
        <v>Program Office</v>
      </c>
      <c r="E440" t="s">
        <v>1398</v>
      </c>
      <c r="F440" t="s">
        <v>78</v>
      </c>
      <c r="G440" t="s">
        <v>1399</v>
      </c>
      <c r="H440" t="s">
        <v>80</v>
      </c>
      <c r="I440" s="32">
        <v>44823.186388888891</v>
      </c>
      <c r="J440" s="32">
        <v>44825.186388888891</v>
      </c>
      <c r="K440" s="32">
        <v>44829.186388888891</v>
      </c>
      <c r="L440" s="8">
        <f t="shared" si="131"/>
        <v>6</v>
      </c>
      <c r="M440" s="7">
        <v>44838.186388888891</v>
      </c>
      <c r="N440" t="s">
        <v>72</v>
      </c>
      <c r="O440" s="34" t="s">
        <v>7474</v>
      </c>
      <c r="R440" s="32" t="s">
        <v>7472</v>
      </c>
      <c r="S440" t="s">
        <v>7476</v>
      </c>
      <c r="T440" s="34" t="s">
        <v>7476</v>
      </c>
      <c r="U440" s="34" t="s">
        <v>7476</v>
      </c>
      <c r="V440" s="32" t="s">
        <v>7476</v>
      </c>
      <c r="W440" s="32" t="s">
        <v>7476</v>
      </c>
      <c r="X440">
        <v>0</v>
      </c>
      <c r="Y440" s="34" t="s">
        <v>7476</v>
      </c>
      <c r="Z440" s="34" t="s">
        <v>7476</v>
      </c>
      <c r="AA440" s="34" t="s">
        <v>7476</v>
      </c>
      <c r="AB440" s="36" t="s">
        <v>7476</v>
      </c>
      <c r="AD440" t="s">
        <v>1421</v>
      </c>
      <c r="AE440" t="s">
        <v>1422</v>
      </c>
      <c r="AG440" t="s">
        <v>98</v>
      </c>
      <c r="AH440">
        <v>6</v>
      </c>
      <c r="AI440" s="8" t="str">
        <f>IFERROR(R440-AF440,"")</f>
        <v/>
      </c>
      <c r="AJ440" s="8" t="str">
        <f>IFERROR(O440-AF440,"")</f>
        <v/>
      </c>
      <c r="AK440" s="38" t="str">
        <f t="shared" si="132"/>
        <v/>
      </c>
      <c r="AL440" t="str">
        <f>IFERROR(Z440-W440,"")</f>
        <v/>
      </c>
      <c r="AM440" t="str">
        <f>IFERROR(R440-J440,"")</f>
        <v/>
      </c>
      <c r="AN440" t="str">
        <f>IFERROR(V440-O440,"")</f>
        <v/>
      </c>
      <c r="AO440">
        <f>IFERROR(J440-I440,"")</f>
        <v>2</v>
      </c>
      <c r="AP440">
        <f>IFERROR(AC440-X440,"")</f>
        <v>0</v>
      </c>
      <c r="AQ440" t="str">
        <f>IFERROR(AA440-W440,"")</f>
        <v/>
      </c>
    </row>
    <row r="441" spans="1:43" x14ac:dyDescent="0.35">
      <c r="A441">
        <v>1816</v>
      </c>
      <c r="B441" t="s">
        <v>1423</v>
      </c>
      <c r="C441" t="s">
        <v>202</v>
      </c>
      <c r="D441" t="str">
        <f t="shared" si="130"/>
        <v>Program Office</v>
      </c>
      <c r="E441" t="s">
        <v>1398</v>
      </c>
      <c r="F441" t="s">
        <v>78</v>
      </c>
      <c r="G441" t="s">
        <v>1399</v>
      </c>
      <c r="H441" t="s">
        <v>80</v>
      </c>
      <c r="I441" s="32">
        <v>44821.186388888891</v>
      </c>
      <c r="J441" s="32">
        <v>44823.186388888891</v>
      </c>
      <c r="K441" s="32">
        <v>44829.186388888891</v>
      </c>
      <c r="L441" s="8">
        <f t="shared" si="131"/>
        <v>8</v>
      </c>
      <c r="M441" s="7">
        <v>44837.186388888891</v>
      </c>
      <c r="N441" t="s">
        <v>72</v>
      </c>
      <c r="O441" s="34" t="s">
        <v>7474</v>
      </c>
      <c r="R441" s="32" t="s">
        <v>7472</v>
      </c>
      <c r="S441" t="s">
        <v>7476</v>
      </c>
      <c r="T441" s="34" t="s">
        <v>7476</v>
      </c>
      <c r="U441" s="34" t="s">
        <v>7476</v>
      </c>
      <c r="V441" s="32" t="s">
        <v>7476</v>
      </c>
      <c r="W441" s="32" t="s">
        <v>7476</v>
      </c>
      <c r="X441">
        <v>0</v>
      </c>
      <c r="Y441" s="34" t="s">
        <v>7476</v>
      </c>
      <c r="Z441" s="34" t="s">
        <v>7476</v>
      </c>
      <c r="AA441" s="34" t="s">
        <v>7476</v>
      </c>
      <c r="AB441" s="36" t="s">
        <v>7476</v>
      </c>
      <c r="AD441" t="s">
        <v>1424</v>
      </c>
      <c r="AE441" t="s">
        <v>1425</v>
      </c>
      <c r="AG441" t="s">
        <v>68</v>
      </c>
      <c r="AH441">
        <v>3</v>
      </c>
      <c r="AI441" s="8" t="str">
        <f>IFERROR(R441-AF441,"")</f>
        <v/>
      </c>
      <c r="AJ441" s="8" t="str">
        <f>IFERROR(O441-AF441,"")</f>
        <v/>
      </c>
      <c r="AK441" s="38" t="str">
        <f t="shared" si="132"/>
        <v/>
      </c>
      <c r="AL441" t="str">
        <f>IFERROR(Z441-W441,"")</f>
        <v/>
      </c>
      <c r="AM441" t="str">
        <f>IFERROR(R441-J441,"")</f>
        <v/>
      </c>
      <c r="AN441" t="str">
        <f>IFERROR(V441-O441,"")</f>
        <v/>
      </c>
      <c r="AO441">
        <f>IFERROR(J441-I441,"")</f>
        <v>2</v>
      </c>
      <c r="AP441">
        <f>IFERROR(AC441-X441,"")</f>
        <v>0</v>
      </c>
      <c r="AQ441" t="str">
        <f>IFERROR(AA441-W441,"")</f>
        <v/>
      </c>
    </row>
    <row r="442" spans="1:43" x14ac:dyDescent="0.35">
      <c r="A442">
        <v>1809</v>
      </c>
      <c r="B442" t="s">
        <v>1426</v>
      </c>
      <c r="C442" t="s">
        <v>202</v>
      </c>
      <c r="D442" t="str">
        <f t="shared" si="130"/>
        <v>Program Office</v>
      </c>
      <c r="E442" t="s">
        <v>1398</v>
      </c>
      <c r="F442" t="s">
        <v>78</v>
      </c>
      <c r="G442" t="s">
        <v>1399</v>
      </c>
      <c r="H442" t="s">
        <v>80</v>
      </c>
      <c r="I442" s="32" t="s">
        <v>7471</v>
      </c>
      <c r="J442" s="32">
        <v>45124.017708333333</v>
      </c>
      <c r="K442" s="32">
        <v>45127.017708333333</v>
      </c>
      <c r="L442" s="8" t="str">
        <f t="shared" si="131"/>
        <v/>
      </c>
      <c r="M442" s="7">
        <v>45143.017708333333</v>
      </c>
      <c r="N442" t="s">
        <v>72</v>
      </c>
      <c r="O442" s="34" t="s">
        <v>7474</v>
      </c>
      <c r="R442" s="32" t="s">
        <v>7472</v>
      </c>
      <c r="S442" t="s">
        <v>7476</v>
      </c>
      <c r="T442" s="34" t="s">
        <v>7476</v>
      </c>
      <c r="U442" s="34" t="s">
        <v>7476</v>
      </c>
      <c r="V442" s="32" t="s">
        <v>7476</v>
      </c>
      <c r="W442" s="32" t="s">
        <v>7476</v>
      </c>
      <c r="X442">
        <v>0</v>
      </c>
      <c r="Y442" s="34" t="s">
        <v>7476</v>
      </c>
      <c r="Z442" s="34" t="s">
        <v>7476</v>
      </c>
      <c r="AA442" s="34" t="s">
        <v>7476</v>
      </c>
      <c r="AB442" s="36" t="s">
        <v>7476</v>
      </c>
      <c r="AD442" t="s">
        <v>1427</v>
      </c>
      <c r="AE442" t="s">
        <v>1428</v>
      </c>
      <c r="AG442" t="s">
        <v>68</v>
      </c>
      <c r="AH442">
        <v>6</v>
      </c>
      <c r="AK442" s="38" t="str">
        <f t="shared" si="132"/>
        <v/>
      </c>
    </row>
    <row r="443" spans="1:43" x14ac:dyDescent="0.35">
      <c r="A443">
        <v>993</v>
      </c>
      <c r="B443" t="s">
        <v>1429</v>
      </c>
      <c r="C443" t="s">
        <v>217</v>
      </c>
      <c r="D443" t="str">
        <f t="shared" si="130"/>
        <v>Program Office</v>
      </c>
      <c r="E443" t="s">
        <v>1398</v>
      </c>
      <c r="F443" t="s">
        <v>78</v>
      </c>
      <c r="G443" t="s">
        <v>1399</v>
      </c>
      <c r="H443" t="s">
        <v>80</v>
      </c>
      <c r="I443" s="32">
        <v>45018.858425925922</v>
      </c>
      <c r="J443" s="32">
        <v>45019.858425925922</v>
      </c>
      <c r="K443" s="32" t="s">
        <v>7473</v>
      </c>
      <c r="L443" s="8" t="str">
        <f t="shared" si="131"/>
        <v/>
      </c>
      <c r="M443" s="7">
        <v>45039.858425925922</v>
      </c>
      <c r="N443" t="s">
        <v>49</v>
      </c>
      <c r="O443" s="34">
        <v>45032.858425925922</v>
      </c>
      <c r="P443" t="s">
        <v>101</v>
      </c>
      <c r="R443" s="32">
        <v>45039.858425925922</v>
      </c>
      <c r="S443" t="s">
        <v>101</v>
      </c>
      <c r="T443" s="34">
        <v>45034.858425925922</v>
      </c>
      <c r="U443" s="34">
        <v>45037.858425925922</v>
      </c>
      <c r="V443" s="32">
        <v>45035.858425925922</v>
      </c>
      <c r="W443" s="32">
        <v>45038.858425925922</v>
      </c>
      <c r="X443">
        <v>1</v>
      </c>
      <c r="Y443" s="34">
        <v>45041.858425925922</v>
      </c>
      <c r="Z443" s="34">
        <v>45044.858425925922</v>
      </c>
      <c r="AA443" s="34">
        <v>45046.858425925922</v>
      </c>
      <c r="AB443" s="36" t="s">
        <v>7476</v>
      </c>
      <c r="AC443" s="10">
        <v>45061.858425925922</v>
      </c>
      <c r="AD443" t="s">
        <v>1430</v>
      </c>
      <c r="AE443" t="s">
        <v>1431</v>
      </c>
      <c r="AF443" s="16">
        <v>45015</v>
      </c>
      <c r="AG443" t="s">
        <v>55</v>
      </c>
      <c r="AH443">
        <v>6</v>
      </c>
      <c r="AK443" s="38">
        <f t="shared" si="132"/>
        <v>45215.858425925922</v>
      </c>
    </row>
    <row r="444" spans="1:43" x14ac:dyDescent="0.35">
      <c r="A444">
        <v>949</v>
      </c>
      <c r="B444" t="s">
        <v>1432</v>
      </c>
      <c r="C444" t="s">
        <v>213</v>
      </c>
      <c r="D444" t="str">
        <f t="shared" si="130"/>
        <v>Program Office</v>
      </c>
      <c r="E444" t="s">
        <v>1398</v>
      </c>
      <c r="F444" t="s">
        <v>78</v>
      </c>
      <c r="G444" t="s">
        <v>1399</v>
      </c>
      <c r="H444" t="s">
        <v>80</v>
      </c>
      <c r="I444" s="32" t="s">
        <v>7471</v>
      </c>
      <c r="J444" s="32">
        <v>44867.043067129627</v>
      </c>
      <c r="K444" s="32">
        <v>44868.043067129627</v>
      </c>
      <c r="L444" s="8" t="str">
        <f t="shared" si="131"/>
        <v/>
      </c>
      <c r="M444" s="7">
        <v>44897.043067129627</v>
      </c>
      <c r="N444" t="s">
        <v>49</v>
      </c>
      <c r="O444" s="34">
        <v>44872.043067129627</v>
      </c>
      <c r="P444" t="s">
        <v>60</v>
      </c>
      <c r="R444" s="32">
        <v>44878.043067129627</v>
      </c>
      <c r="S444" t="s">
        <v>61</v>
      </c>
      <c r="T444" s="34" t="s">
        <v>7476</v>
      </c>
      <c r="U444" s="34" t="s">
        <v>7476</v>
      </c>
      <c r="V444" s="32">
        <v>44876.043067129627</v>
      </c>
      <c r="W444" s="32" t="s">
        <v>7476</v>
      </c>
      <c r="X444">
        <v>0</v>
      </c>
      <c r="Y444" s="34" t="s">
        <v>7476</v>
      </c>
      <c r="Z444" s="34" t="s">
        <v>7476</v>
      </c>
      <c r="AA444" s="34" t="s">
        <v>7476</v>
      </c>
      <c r="AB444" s="36" t="s">
        <v>7476</v>
      </c>
      <c r="AD444" t="s">
        <v>1433</v>
      </c>
      <c r="AE444" t="s">
        <v>1434</v>
      </c>
      <c r="AF444" s="16">
        <v>44855</v>
      </c>
      <c r="AG444" t="s">
        <v>98</v>
      </c>
      <c r="AH444">
        <v>6</v>
      </c>
      <c r="AK444" s="38">
        <f t="shared" si="132"/>
        <v>45056.043067129627</v>
      </c>
    </row>
    <row r="445" spans="1:43" x14ac:dyDescent="0.35">
      <c r="A445">
        <v>914</v>
      </c>
      <c r="B445" t="s">
        <v>1435</v>
      </c>
      <c r="C445" t="s">
        <v>202</v>
      </c>
      <c r="D445" t="str">
        <f t="shared" si="130"/>
        <v>Program Office</v>
      </c>
      <c r="E445" t="s">
        <v>1398</v>
      </c>
      <c r="F445" t="s">
        <v>78</v>
      </c>
      <c r="G445" t="s">
        <v>1399</v>
      </c>
      <c r="H445" t="s">
        <v>80</v>
      </c>
      <c r="I445" s="32">
        <v>44670.256099537037</v>
      </c>
      <c r="J445" s="32">
        <v>44673.256099537037</v>
      </c>
      <c r="K445" s="32">
        <v>44676.256099537037</v>
      </c>
      <c r="L445" s="8">
        <f t="shared" si="131"/>
        <v>6</v>
      </c>
      <c r="M445" s="7">
        <v>44702.256099537037</v>
      </c>
      <c r="N445" t="s">
        <v>49</v>
      </c>
      <c r="O445" s="34">
        <v>44683.256099537037</v>
      </c>
      <c r="P445" t="s">
        <v>60</v>
      </c>
      <c r="R445" s="32">
        <v>44686.256099537037</v>
      </c>
      <c r="S445" t="s">
        <v>61</v>
      </c>
      <c r="T445" s="34" t="s">
        <v>7476</v>
      </c>
      <c r="U445" s="34" t="s">
        <v>7476</v>
      </c>
      <c r="V445" s="32">
        <v>44684.256099537037</v>
      </c>
      <c r="W445" s="32" t="s">
        <v>7476</v>
      </c>
      <c r="X445">
        <v>0</v>
      </c>
      <c r="Y445" s="34" t="s">
        <v>7476</v>
      </c>
      <c r="Z445" s="34" t="s">
        <v>7476</v>
      </c>
      <c r="AA445" s="34" t="s">
        <v>7476</v>
      </c>
      <c r="AB445" s="36" t="s">
        <v>7476</v>
      </c>
      <c r="AD445" t="s">
        <v>1436</v>
      </c>
      <c r="AE445" t="s">
        <v>1437</v>
      </c>
      <c r="AF445" s="16">
        <v>44678</v>
      </c>
      <c r="AG445" t="s">
        <v>64</v>
      </c>
      <c r="AH445">
        <v>6</v>
      </c>
      <c r="AI445" s="8">
        <f>IFERROR(R445-AF445,"")</f>
        <v>8.2560995370367891</v>
      </c>
      <c r="AJ445" s="8">
        <f>IFERROR(O445-AF445,"")</f>
        <v>5.2560995370367891</v>
      </c>
      <c r="AK445" s="38">
        <f t="shared" si="132"/>
        <v>44864.256099537037</v>
      </c>
      <c r="AL445" t="str">
        <f>IFERROR(Z445-W445,"")</f>
        <v/>
      </c>
      <c r="AM445">
        <f>IFERROR(R445-J445,"")</f>
        <v>13</v>
      </c>
      <c r="AN445">
        <f>IFERROR(V445-O445,"")</f>
        <v>1</v>
      </c>
      <c r="AO445">
        <f>IFERROR(J445-I445,"")</f>
        <v>3</v>
      </c>
      <c r="AP445">
        <f>IFERROR(AC445-X445,"")</f>
        <v>0</v>
      </c>
      <c r="AQ445" t="str">
        <f>IFERROR(AA445-W445,"")</f>
        <v/>
      </c>
    </row>
    <row r="446" spans="1:43" x14ac:dyDescent="0.35">
      <c r="A446">
        <v>906</v>
      </c>
      <c r="B446" t="s">
        <v>1438</v>
      </c>
      <c r="C446" t="s">
        <v>202</v>
      </c>
      <c r="D446" t="str">
        <f t="shared" si="130"/>
        <v>Program Office</v>
      </c>
      <c r="E446" t="s">
        <v>1398</v>
      </c>
      <c r="F446" t="s">
        <v>78</v>
      </c>
      <c r="G446" t="s">
        <v>1399</v>
      </c>
      <c r="H446" t="s">
        <v>80</v>
      </c>
      <c r="I446" s="32">
        <v>45161.249560185177</v>
      </c>
      <c r="J446" s="32">
        <v>45163.249560185177</v>
      </c>
      <c r="K446" s="32">
        <v>45166.249560185177</v>
      </c>
      <c r="L446" s="8">
        <f t="shared" si="131"/>
        <v>5</v>
      </c>
      <c r="M446" s="7">
        <v>45192.249560185177</v>
      </c>
      <c r="N446" t="s">
        <v>49</v>
      </c>
      <c r="O446" s="34">
        <v>45173.249560185177</v>
      </c>
      <c r="P446" t="s">
        <v>101</v>
      </c>
      <c r="R446" s="32">
        <v>45179.249560185177</v>
      </c>
      <c r="S446" t="s">
        <v>101</v>
      </c>
      <c r="T446" s="34">
        <v>45175.249560185177</v>
      </c>
      <c r="U446" s="34">
        <v>45177.249560185177</v>
      </c>
      <c r="V446" s="32">
        <v>45177.249560185177</v>
      </c>
      <c r="W446" s="32">
        <v>45178.249560185177</v>
      </c>
      <c r="X446">
        <v>1</v>
      </c>
      <c r="Y446" s="34">
        <v>45179.249560185177</v>
      </c>
      <c r="Z446" s="34">
        <v>45182.249560185177</v>
      </c>
      <c r="AA446" s="34">
        <v>45184.249560185177</v>
      </c>
      <c r="AB446" s="36" t="s">
        <v>7476</v>
      </c>
      <c r="AC446" s="10">
        <v>45204.249560185177</v>
      </c>
      <c r="AD446" t="s">
        <v>1439</v>
      </c>
      <c r="AE446" t="s">
        <v>1440</v>
      </c>
      <c r="AF446" s="16">
        <v>45159</v>
      </c>
      <c r="AG446" t="s">
        <v>68</v>
      </c>
      <c r="AH446">
        <v>6</v>
      </c>
      <c r="AI446" s="8">
        <f>IFERROR(R446-AF446,"")</f>
        <v>20.249560185176961</v>
      </c>
      <c r="AJ446" s="8">
        <f>IFERROR(O446-AF446,"")</f>
        <v>14.249560185176961</v>
      </c>
      <c r="AK446" s="38">
        <f t="shared" si="132"/>
        <v>45357.249560185177</v>
      </c>
      <c r="AL446">
        <f>IFERROR(Z446-W446,"")</f>
        <v>4</v>
      </c>
      <c r="AM446">
        <f>IFERROR(R446-J446,"")</f>
        <v>16</v>
      </c>
      <c r="AN446">
        <f>IFERROR(V446-O446,"")</f>
        <v>4</v>
      </c>
      <c r="AO446">
        <f>IFERROR(J446-I446,"")</f>
        <v>2</v>
      </c>
      <c r="AP446">
        <f>IFERROR(AC446-X446,"")</f>
        <v>45203.249560185177</v>
      </c>
      <c r="AQ446">
        <f>IFERROR(AA446-W446,"")</f>
        <v>6</v>
      </c>
    </row>
    <row r="447" spans="1:43" x14ac:dyDescent="0.35">
      <c r="A447">
        <v>904</v>
      </c>
      <c r="B447" t="s">
        <v>1441</v>
      </c>
      <c r="C447" t="s">
        <v>217</v>
      </c>
      <c r="D447" t="str">
        <f t="shared" si="130"/>
        <v>Program Office</v>
      </c>
      <c r="E447" t="s">
        <v>1398</v>
      </c>
      <c r="F447" t="s">
        <v>78</v>
      </c>
      <c r="G447" t="s">
        <v>1399</v>
      </c>
      <c r="H447" t="s">
        <v>80</v>
      </c>
      <c r="I447" s="32">
        <v>45159.249560185177</v>
      </c>
      <c r="J447" s="32">
        <v>45162.249560185177</v>
      </c>
      <c r="K447" s="32">
        <v>45166.249560185177</v>
      </c>
      <c r="L447" s="8">
        <f t="shared" si="131"/>
        <v>7</v>
      </c>
      <c r="M447" s="7">
        <v>45190.249560185177</v>
      </c>
      <c r="N447" t="s">
        <v>49</v>
      </c>
      <c r="O447" s="34">
        <v>45169.249560185177</v>
      </c>
      <c r="P447" t="s">
        <v>101</v>
      </c>
      <c r="R447" s="32">
        <v>45175.249560185177</v>
      </c>
      <c r="S447" t="s">
        <v>101</v>
      </c>
      <c r="T447" s="34">
        <v>45171.249560185177</v>
      </c>
      <c r="U447" s="34">
        <v>45172.249560185177</v>
      </c>
      <c r="V447" s="32">
        <v>45171.249560185177</v>
      </c>
      <c r="W447" s="32">
        <v>45172.249560185177</v>
      </c>
      <c r="X447">
        <v>1</v>
      </c>
      <c r="Y447" s="34">
        <v>45173.249560185177</v>
      </c>
      <c r="Z447" s="34">
        <v>45176.249560185177</v>
      </c>
      <c r="AA447" s="34">
        <v>45178.249560185177</v>
      </c>
      <c r="AB447" s="36" t="s">
        <v>7476</v>
      </c>
      <c r="AC447" s="10">
        <v>45195.249560185177</v>
      </c>
      <c r="AD447" t="s">
        <v>1442</v>
      </c>
      <c r="AE447" t="s">
        <v>1443</v>
      </c>
      <c r="AF447" s="16">
        <v>45154</v>
      </c>
      <c r="AG447" t="s">
        <v>64</v>
      </c>
      <c r="AH447">
        <v>3</v>
      </c>
      <c r="AI447" s="8">
        <f>IFERROR(R447-AF447,"")</f>
        <v>21.249560185176961</v>
      </c>
      <c r="AJ447" s="8">
        <f>IFERROR(O447-AF447,"")</f>
        <v>15.249560185176961</v>
      </c>
      <c r="AK447" s="38">
        <f t="shared" si="132"/>
        <v>45261.249560185177</v>
      </c>
      <c r="AL447">
        <f>IFERROR(Z447-W447,"")</f>
        <v>4</v>
      </c>
      <c r="AM447">
        <f>IFERROR(R447-J447,"")</f>
        <v>13</v>
      </c>
      <c r="AN447">
        <f>IFERROR(V447-O447,"")</f>
        <v>2</v>
      </c>
      <c r="AO447">
        <f>IFERROR(J447-I447,"")</f>
        <v>3</v>
      </c>
      <c r="AP447">
        <f>IFERROR(AC447-X447,"")</f>
        <v>45194.249560185177</v>
      </c>
      <c r="AQ447">
        <f>IFERROR(AA447-W447,"")</f>
        <v>6</v>
      </c>
    </row>
    <row r="448" spans="1:43" x14ac:dyDescent="0.35">
      <c r="A448">
        <v>830</v>
      </c>
      <c r="B448" t="s">
        <v>1444</v>
      </c>
      <c r="C448" t="s">
        <v>213</v>
      </c>
      <c r="D448" t="str">
        <f t="shared" si="130"/>
        <v>Program Office</v>
      </c>
      <c r="E448" t="s">
        <v>1398</v>
      </c>
      <c r="F448" t="s">
        <v>78</v>
      </c>
      <c r="G448" t="s">
        <v>1399</v>
      </c>
      <c r="H448" t="s">
        <v>80</v>
      </c>
      <c r="I448" s="32">
        <v>44627.625335648147</v>
      </c>
      <c r="J448" s="32">
        <v>44630.625335648147</v>
      </c>
      <c r="K448" s="32">
        <v>44631.625335648147</v>
      </c>
      <c r="L448" s="8">
        <f t="shared" si="131"/>
        <v>4</v>
      </c>
      <c r="M448" s="7">
        <v>44660.625335648147</v>
      </c>
      <c r="N448" t="s">
        <v>49</v>
      </c>
      <c r="O448" s="34">
        <v>44638.625335648147</v>
      </c>
      <c r="P448" t="s">
        <v>60</v>
      </c>
      <c r="R448" s="32">
        <v>44645.625335648147</v>
      </c>
      <c r="S448" t="s">
        <v>61</v>
      </c>
      <c r="T448" s="34" t="s">
        <v>7476</v>
      </c>
      <c r="U448" s="34" t="s">
        <v>7476</v>
      </c>
      <c r="V448" s="32">
        <v>44641.625335648147</v>
      </c>
      <c r="W448" s="32" t="s">
        <v>7476</v>
      </c>
      <c r="X448">
        <v>0</v>
      </c>
      <c r="Y448" s="34" t="s">
        <v>7476</v>
      </c>
      <c r="Z448" s="34" t="s">
        <v>7476</v>
      </c>
      <c r="AA448" s="34" t="s">
        <v>7476</v>
      </c>
      <c r="AB448" s="36" t="s">
        <v>7476</v>
      </c>
      <c r="AD448" t="s">
        <v>1445</v>
      </c>
      <c r="AE448" t="s">
        <v>1446</v>
      </c>
      <c r="AF448" s="16">
        <v>44627</v>
      </c>
      <c r="AG448" t="s">
        <v>64</v>
      </c>
      <c r="AH448">
        <v>3</v>
      </c>
      <c r="AI448" s="8">
        <f>IFERROR(R448-AF448,"")</f>
        <v>18.625335648146574</v>
      </c>
      <c r="AJ448" s="8">
        <f>IFERROR(O448-AF448,"")</f>
        <v>11.625335648146574</v>
      </c>
      <c r="AK448" s="38">
        <f t="shared" si="132"/>
        <v>44731.625335648147</v>
      </c>
      <c r="AL448" t="str">
        <f>IFERROR(Z448-W448,"")</f>
        <v/>
      </c>
      <c r="AM448">
        <f>IFERROR(R448-J448,"")</f>
        <v>15</v>
      </c>
      <c r="AN448">
        <f>IFERROR(V448-O448,"")</f>
        <v>3</v>
      </c>
      <c r="AO448">
        <f>IFERROR(J448-I448,"")</f>
        <v>3</v>
      </c>
      <c r="AP448">
        <f>IFERROR(AC448-X448,"")</f>
        <v>0</v>
      </c>
      <c r="AQ448" t="str">
        <f>IFERROR(AA448-W448,"")</f>
        <v/>
      </c>
    </row>
    <row r="449" spans="1:43" x14ac:dyDescent="0.35">
      <c r="A449">
        <v>791</v>
      </c>
      <c r="B449" t="s">
        <v>1447</v>
      </c>
      <c r="C449" t="s">
        <v>213</v>
      </c>
      <c r="D449" t="str">
        <f t="shared" si="130"/>
        <v>Program Office</v>
      </c>
      <c r="E449" t="s">
        <v>1398</v>
      </c>
      <c r="F449" t="s">
        <v>78</v>
      </c>
      <c r="G449" t="s">
        <v>1399</v>
      </c>
      <c r="H449" t="s">
        <v>80</v>
      </c>
      <c r="I449" s="32">
        <v>44902.674583333333</v>
      </c>
      <c r="J449" s="32">
        <v>44906.674583333333</v>
      </c>
      <c r="K449" s="32">
        <v>44912.674583333333</v>
      </c>
      <c r="L449" s="8">
        <f t="shared" si="131"/>
        <v>10</v>
      </c>
      <c r="M449" s="7">
        <v>44941.674583333333</v>
      </c>
      <c r="N449" t="s">
        <v>49</v>
      </c>
      <c r="O449" s="34">
        <v>44926.674583333333</v>
      </c>
      <c r="P449" t="s">
        <v>50</v>
      </c>
      <c r="Q449" t="s">
        <v>84</v>
      </c>
      <c r="R449" s="32" t="s">
        <v>7472</v>
      </c>
      <c r="S449" t="s">
        <v>7476</v>
      </c>
      <c r="T449" s="34" t="s">
        <v>7476</v>
      </c>
      <c r="U449" s="34" t="s">
        <v>7476</v>
      </c>
      <c r="V449" s="32">
        <v>44927.674583333333</v>
      </c>
      <c r="W449" s="32" t="s">
        <v>7476</v>
      </c>
      <c r="X449">
        <v>0</v>
      </c>
      <c r="Y449" s="34" t="s">
        <v>7476</v>
      </c>
      <c r="Z449" s="34" t="s">
        <v>7476</v>
      </c>
      <c r="AA449" s="34" t="s">
        <v>7476</v>
      </c>
      <c r="AB449" s="36" t="s">
        <v>52</v>
      </c>
      <c r="AD449" t="s">
        <v>1448</v>
      </c>
      <c r="AE449" t="s">
        <v>1449</v>
      </c>
      <c r="AF449" s="16">
        <v>44908</v>
      </c>
      <c r="AG449" t="s">
        <v>68</v>
      </c>
      <c r="AH449">
        <v>3</v>
      </c>
      <c r="AI449" s="8" t="str">
        <f>IFERROR(R449-AF449,"")</f>
        <v/>
      </c>
      <c r="AJ449" s="8">
        <f>IFERROR(O449-AF449,"")</f>
        <v>18.67458333333343</v>
      </c>
      <c r="AK449" s="38">
        <f t="shared" si="132"/>
        <v>45017.674583333333</v>
      </c>
      <c r="AL449" t="str">
        <f>IFERROR(Z449-W449,"")</f>
        <v/>
      </c>
      <c r="AM449" t="str">
        <f>IFERROR(R449-J449,"")</f>
        <v/>
      </c>
      <c r="AN449">
        <f>IFERROR(V449-O449,"")</f>
        <v>1</v>
      </c>
      <c r="AO449">
        <f>IFERROR(J449-I449,"")</f>
        <v>4</v>
      </c>
      <c r="AP449">
        <f>IFERROR(AC449-X449,"")</f>
        <v>0</v>
      </c>
      <c r="AQ449" t="str">
        <f>IFERROR(AA449-W449,"")</f>
        <v/>
      </c>
    </row>
    <row r="450" spans="1:43" x14ac:dyDescent="0.35">
      <c r="A450">
        <v>763</v>
      </c>
      <c r="B450" t="s">
        <v>1450</v>
      </c>
      <c r="C450" t="s">
        <v>213</v>
      </c>
      <c r="D450" t="str">
        <f t="shared" ref="D450:D513" si="149">TRIM(C450)</f>
        <v>Program Office</v>
      </c>
      <c r="E450" t="s">
        <v>1398</v>
      </c>
      <c r="F450" t="s">
        <v>78</v>
      </c>
      <c r="G450" t="s">
        <v>1399</v>
      </c>
      <c r="H450" t="s">
        <v>80</v>
      </c>
      <c r="I450" s="32" t="s">
        <v>7471</v>
      </c>
      <c r="J450" s="32">
        <v>44732.736145833333</v>
      </c>
      <c r="K450" s="32">
        <v>44733.736145833333</v>
      </c>
      <c r="L450" s="8" t="str">
        <f t="shared" ref="L450:L513" si="150">IFERROR(K450-I450,"")</f>
        <v/>
      </c>
      <c r="M450" s="7">
        <v>44748.736145833333</v>
      </c>
      <c r="N450" t="s">
        <v>49</v>
      </c>
      <c r="O450" s="34">
        <v>44744.736145833333</v>
      </c>
      <c r="P450" t="s">
        <v>50</v>
      </c>
      <c r="Q450" t="s">
        <v>236</v>
      </c>
      <c r="R450" s="32" t="s">
        <v>7472</v>
      </c>
      <c r="S450" t="s">
        <v>7476</v>
      </c>
      <c r="T450" s="34" t="s">
        <v>7476</v>
      </c>
      <c r="U450" s="34" t="s">
        <v>7476</v>
      </c>
      <c r="V450" s="32">
        <v>44745.736145833333</v>
      </c>
      <c r="W450" s="32" t="s">
        <v>7476</v>
      </c>
      <c r="X450">
        <v>0</v>
      </c>
      <c r="Y450" s="34" t="s">
        <v>7476</v>
      </c>
      <c r="Z450" s="34" t="s">
        <v>7476</v>
      </c>
      <c r="AA450" s="34" t="s">
        <v>7476</v>
      </c>
      <c r="AB450" s="36" t="s">
        <v>52</v>
      </c>
      <c r="AD450" t="s">
        <v>1451</v>
      </c>
      <c r="AE450" t="s">
        <v>1452</v>
      </c>
      <c r="AF450" s="16">
        <v>44738</v>
      </c>
      <c r="AG450" t="s">
        <v>55</v>
      </c>
      <c r="AH450">
        <v>3</v>
      </c>
      <c r="AK450" s="38">
        <f t="shared" si="132"/>
        <v>44835.736145833333</v>
      </c>
    </row>
    <row r="451" spans="1:43" x14ac:dyDescent="0.35">
      <c r="A451">
        <v>728</v>
      </c>
      <c r="B451" t="s">
        <v>1453</v>
      </c>
      <c r="C451" t="s">
        <v>217</v>
      </c>
      <c r="D451" t="str">
        <f t="shared" si="149"/>
        <v>Program Office</v>
      </c>
      <c r="E451" t="s">
        <v>1398</v>
      </c>
      <c r="F451" t="s">
        <v>78</v>
      </c>
      <c r="G451" t="s">
        <v>1399</v>
      </c>
      <c r="H451" t="s">
        <v>80</v>
      </c>
      <c r="I451" s="32">
        <v>44605.660578703697</v>
      </c>
      <c r="J451" s="32">
        <v>44607.660578703697</v>
      </c>
      <c r="K451" s="32">
        <v>44612.660578703697</v>
      </c>
      <c r="L451" s="8">
        <f t="shared" si="150"/>
        <v>7</v>
      </c>
      <c r="M451" s="7">
        <v>44618.660578703697</v>
      </c>
      <c r="N451" t="s">
        <v>49</v>
      </c>
      <c r="O451" s="34">
        <v>44618.660578703697</v>
      </c>
      <c r="P451" t="s">
        <v>50</v>
      </c>
      <c r="Q451" t="s">
        <v>236</v>
      </c>
      <c r="R451" s="32" t="s">
        <v>7472</v>
      </c>
      <c r="S451" t="s">
        <v>7476</v>
      </c>
      <c r="T451" s="34" t="s">
        <v>7476</v>
      </c>
      <c r="U451" s="34" t="s">
        <v>7476</v>
      </c>
      <c r="V451" s="32">
        <v>44620.660578703697</v>
      </c>
      <c r="W451" s="32" t="s">
        <v>7476</v>
      </c>
      <c r="X451">
        <v>0</v>
      </c>
      <c r="Y451" s="34" t="s">
        <v>7476</v>
      </c>
      <c r="Z451" s="34" t="s">
        <v>7476</v>
      </c>
      <c r="AA451" s="34" t="s">
        <v>7476</v>
      </c>
      <c r="AB451" s="36" t="s">
        <v>95</v>
      </c>
      <c r="AD451" t="s">
        <v>1454</v>
      </c>
      <c r="AE451" t="s">
        <v>1455</v>
      </c>
      <c r="AF451" s="16">
        <v>44613</v>
      </c>
      <c r="AG451" t="s">
        <v>98</v>
      </c>
      <c r="AH451">
        <v>3</v>
      </c>
      <c r="AI451" s="8" t="str">
        <f>IFERROR(R451-AF451,"")</f>
        <v/>
      </c>
      <c r="AJ451" s="8">
        <f>IFERROR(O451-AF451,"")</f>
        <v>5.6605787036969559</v>
      </c>
      <c r="AK451" s="38">
        <f t="shared" ref="AK451:AK514" si="151">IFERROR(V451+(AH451*30),"")</f>
        <v>44710.660578703697</v>
      </c>
      <c r="AL451" t="str">
        <f>IFERROR(Z451-W451,"")</f>
        <v/>
      </c>
      <c r="AM451" t="str">
        <f>IFERROR(R451-J451,"")</f>
        <v/>
      </c>
      <c r="AN451">
        <f>IFERROR(V451-O451,"")</f>
        <v>2</v>
      </c>
      <c r="AO451">
        <f>IFERROR(J451-I451,"")</f>
        <v>2</v>
      </c>
      <c r="AP451">
        <f>IFERROR(AC451-X451,"")</f>
        <v>0</v>
      </c>
      <c r="AQ451" t="str">
        <f>IFERROR(AA451-W451,"")</f>
        <v/>
      </c>
    </row>
    <row r="452" spans="1:43" x14ac:dyDescent="0.35">
      <c r="A452">
        <v>719</v>
      </c>
      <c r="B452" t="s">
        <v>1456</v>
      </c>
      <c r="C452" t="s">
        <v>217</v>
      </c>
      <c r="D452" t="str">
        <f t="shared" si="149"/>
        <v>Program Office</v>
      </c>
      <c r="E452" t="s">
        <v>1398</v>
      </c>
      <c r="F452" t="s">
        <v>78</v>
      </c>
      <c r="G452" t="s">
        <v>1399</v>
      </c>
      <c r="H452" t="s">
        <v>80</v>
      </c>
      <c r="I452" s="32">
        <v>44627.686331018522</v>
      </c>
      <c r="J452" s="32">
        <v>44630.686331018522</v>
      </c>
      <c r="K452" s="32">
        <v>44634.686331018522</v>
      </c>
      <c r="L452" s="8">
        <f t="shared" si="150"/>
        <v>7</v>
      </c>
      <c r="M452" s="7">
        <v>44643.686331018522</v>
      </c>
      <c r="N452" t="s">
        <v>49</v>
      </c>
      <c r="O452" s="34">
        <v>44647.686331018522</v>
      </c>
      <c r="P452" t="s">
        <v>50</v>
      </c>
      <c r="Q452" t="s">
        <v>125</v>
      </c>
      <c r="R452" s="32" t="s">
        <v>7472</v>
      </c>
      <c r="S452" t="s">
        <v>7476</v>
      </c>
      <c r="T452" s="34" t="s">
        <v>7476</v>
      </c>
      <c r="U452" s="34" t="s">
        <v>7476</v>
      </c>
      <c r="V452" s="32">
        <v>44648.686331018522</v>
      </c>
      <c r="W452" s="32" t="s">
        <v>7476</v>
      </c>
      <c r="X452">
        <v>0</v>
      </c>
      <c r="Y452" s="34" t="s">
        <v>7476</v>
      </c>
      <c r="Z452" s="34" t="s">
        <v>7476</v>
      </c>
      <c r="AA452" s="34" t="s">
        <v>7476</v>
      </c>
      <c r="AB452" s="36" t="s">
        <v>95</v>
      </c>
      <c r="AD452" t="s">
        <v>1457</v>
      </c>
      <c r="AE452" t="s">
        <v>1458</v>
      </c>
      <c r="AF452" s="16">
        <v>44636</v>
      </c>
      <c r="AG452" t="s">
        <v>98</v>
      </c>
      <c r="AH452">
        <v>6</v>
      </c>
      <c r="AI452" s="8" t="str">
        <f>IFERROR(R452-AF452,"")</f>
        <v/>
      </c>
      <c r="AJ452" s="8">
        <f>IFERROR(O452-AF452,"")</f>
        <v>11.686331018521741</v>
      </c>
      <c r="AK452" s="38">
        <f t="shared" si="151"/>
        <v>44828.686331018522</v>
      </c>
      <c r="AL452" t="str">
        <f>IFERROR(Z452-W452,"")</f>
        <v/>
      </c>
      <c r="AM452" t="str">
        <f>IFERROR(R452-J452,"")</f>
        <v/>
      </c>
      <c r="AN452">
        <f>IFERROR(V452-O452,"")</f>
        <v>1</v>
      </c>
      <c r="AO452">
        <f>IFERROR(J452-I452,"")</f>
        <v>3</v>
      </c>
      <c r="AP452">
        <f>IFERROR(AC452-X452,"")</f>
        <v>0</v>
      </c>
      <c r="AQ452" t="str">
        <f>IFERROR(AA452-W452,"")</f>
        <v/>
      </c>
    </row>
    <row r="453" spans="1:43" x14ac:dyDescent="0.35">
      <c r="A453">
        <v>716</v>
      </c>
      <c r="B453" t="s">
        <v>1459</v>
      </c>
      <c r="C453" t="s">
        <v>213</v>
      </c>
      <c r="D453" t="str">
        <f t="shared" si="149"/>
        <v>Program Office</v>
      </c>
      <c r="E453" t="s">
        <v>1398</v>
      </c>
      <c r="F453" t="s">
        <v>78</v>
      </c>
      <c r="G453" t="s">
        <v>1399</v>
      </c>
      <c r="H453" t="s">
        <v>80</v>
      </c>
      <c r="I453" s="32">
        <v>44630.686331018522</v>
      </c>
      <c r="J453" s="32">
        <v>44633.686331018522</v>
      </c>
      <c r="K453" s="32">
        <v>44634.686331018522</v>
      </c>
      <c r="L453" s="8">
        <f t="shared" si="150"/>
        <v>4</v>
      </c>
      <c r="M453" s="7">
        <v>44646.686331018522</v>
      </c>
      <c r="N453" t="s">
        <v>49</v>
      </c>
      <c r="O453" s="34">
        <v>44638.686331018522</v>
      </c>
      <c r="P453" t="s">
        <v>50</v>
      </c>
      <c r="Q453" t="s">
        <v>198</v>
      </c>
      <c r="R453" s="32" t="s">
        <v>7472</v>
      </c>
      <c r="S453" t="s">
        <v>7476</v>
      </c>
      <c r="T453" s="34" t="s">
        <v>7476</v>
      </c>
      <c r="U453" s="34" t="s">
        <v>7476</v>
      </c>
      <c r="V453" s="32" t="s">
        <v>7476</v>
      </c>
      <c r="W453" s="32" t="s">
        <v>7476</v>
      </c>
      <c r="X453">
        <v>0</v>
      </c>
      <c r="Y453" s="34" t="s">
        <v>7476</v>
      </c>
      <c r="Z453" s="34" t="s">
        <v>7476</v>
      </c>
      <c r="AA453" s="34" t="s">
        <v>7476</v>
      </c>
      <c r="AB453" s="36" t="s">
        <v>95</v>
      </c>
      <c r="AD453" t="s">
        <v>1460</v>
      </c>
      <c r="AE453" t="s">
        <v>1461</v>
      </c>
      <c r="AF453" s="16">
        <v>44776</v>
      </c>
      <c r="AG453" t="s">
        <v>64</v>
      </c>
      <c r="AH453">
        <v>3</v>
      </c>
      <c r="AI453" s="8" t="str">
        <f>IFERROR(R453-AF453,"")</f>
        <v/>
      </c>
      <c r="AJ453" s="8">
        <f>IFERROR(O453-AF453,"")</f>
        <v>-137.31366898147826</v>
      </c>
      <c r="AK453" s="38" t="str">
        <f t="shared" si="151"/>
        <v/>
      </c>
      <c r="AL453" t="str">
        <f>IFERROR(Z453-W453,"")</f>
        <v/>
      </c>
      <c r="AM453" t="str">
        <f>IFERROR(R453-J453,"")</f>
        <v/>
      </c>
      <c r="AN453" t="str">
        <f>IFERROR(V453-O453,"")</f>
        <v/>
      </c>
      <c r="AO453">
        <f>IFERROR(J453-I453,"")</f>
        <v>3</v>
      </c>
      <c r="AP453">
        <f>IFERROR(AC453-X453,"")</f>
        <v>0</v>
      </c>
      <c r="AQ453" t="str">
        <f>IFERROR(AA453-W453,"")</f>
        <v/>
      </c>
    </row>
    <row r="454" spans="1:43" x14ac:dyDescent="0.35">
      <c r="A454">
        <v>713</v>
      </c>
      <c r="B454" t="s">
        <v>1462</v>
      </c>
      <c r="C454" t="s">
        <v>213</v>
      </c>
      <c r="D454" t="str">
        <f t="shared" si="149"/>
        <v>Program Office</v>
      </c>
      <c r="E454" t="s">
        <v>1398</v>
      </c>
      <c r="F454" t="s">
        <v>78</v>
      </c>
      <c r="G454" t="s">
        <v>1399</v>
      </c>
      <c r="H454" t="s">
        <v>80</v>
      </c>
      <c r="I454" s="32">
        <v>44625.686331018522</v>
      </c>
      <c r="J454" s="32">
        <v>44628.686331018522</v>
      </c>
      <c r="K454" s="32">
        <v>44634.686331018522</v>
      </c>
      <c r="L454" s="8">
        <f t="shared" si="150"/>
        <v>9</v>
      </c>
      <c r="M454" s="7">
        <v>44654.686331018522</v>
      </c>
      <c r="N454" t="s">
        <v>72</v>
      </c>
      <c r="O454" s="34" t="s">
        <v>7474</v>
      </c>
      <c r="R454" s="32" t="s">
        <v>7472</v>
      </c>
      <c r="S454" t="s">
        <v>7476</v>
      </c>
      <c r="T454" s="34" t="s">
        <v>7476</v>
      </c>
      <c r="U454" s="34" t="s">
        <v>7476</v>
      </c>
      <c r="V454" s="32" t="s">
        <v>7476</v>
      </c>
      <c r="W454" s="32" t="s">
        <v>7476</v>
      </c>
      <c r="X454">
        <v>0</v>
      </c>
      <c r="Y454" s="34" t="s">
        <v>7476</v>
      </c>
      <c r="Z454" s="34" t="s">
        <v>7476</v>
      </c>
      <c r="AA454" s="34" t="s">
        <v>7476</v>
      </c>
      <c r="AB454" s="36" t="s">
        <v>7476</v>
      </c>
      <c r="AD454" t="s">
        <v>1463</v>
      </c>
      <c r="AE454" t="s">
        <v>1464</v>
      </c>
      <c r="AG454" t="s">
        <v>68</v>
      </c>
      <c r="AH454">
        <v>3</v>
      </c>
      <c r="AI454" s="8" t="str">
        <f>IFERROR(R454-AF454,"")</f>
        <v/>
      </c>
      <c r="AJ454" s="8" t="str">
        <f>IFERROR(O454-AF454,"")</f>
        <v/>
      </c>
      <c r="AK454" s="38" t="str">
        <f t="shared" si="151"/>
        <v/>
      </c>
      <c r="AL454" t="str">
        <f>IFERROR(Z454-W454,"")</f>
        <v/>
      </c>
      <c r="AM454" t="str">
        <f>IFERROR(R454-J454,"")</f>
        <v/>
      </c>
      <c r="AN454" t="str">
        <f>IFERROR(V454-O454,"")</f>
        <v/>
      </c>
      <c r="AO454">
        <f>IFERROR(J454-I454,"")</f>
        <v>3</v>
      </c>
      <c r="AP454">
        <f>IFERROR(AC454-X454,"")</f>
        <v>0</v>
      </c>
      <c r="AQ454" t="str">
        <f>IFERROR(AA454-W454,"")</f>
        <v/>
      </c>
    </row>
    <row r="455" spans="1:43" x14ac:dyDescent="0.35">
      <c r="A455">
        <v>679</v>
      </c>
      <c r="B455" t="s">
        <v>1465</v>
      </c>
      <c r="C455" t="s">
        <v>217</v>
      </c>
      <c r="D455" t="str">
        <f t="shared" si="149"/>
        <v>Program Office</v>
      </c>
      <c r="E455" t="s">
        <v>1398</v>
      </c>
      <c r="F455" t="s">
        <v>78</v>
      </c>
      <c r="G455" t="s">
        <v>1399</v>
      </c>
      <c r="H455" t="s">
        <v>80</v>
      </c>
      <c r="I455" s="32" t="s">
        <v>7471</v>
      </c>
      <c r="J455" s="32">
        <v>45144.885671296302</v>
      </c>
      <c r="K455" s="32">
        <v>45147.885671296302</v>
      </c>
      <c r="L455" s="8" t="str">
        <f t="shared" si="150"/>
        <v/>
      </c>
      <c r="M455" s="7">
        <v>45175.885671296302</v>
      </c>
      <c r="N455" t="s">
        <v>49</v>
      </c>
      <c r="O455" s="34">
        <v>45163.885671296302</v>
      </c>
      <c r="P455" t="s">
        <v>101</v>
      </c>
      <c r="R455" s="32">
        <v>45168.885671296302</v>
      </c>
      <c r="S455" t="s">
        <v>101</v>
      </c>
      <c r="T455" s="34">
        <v>45164.885671296302</v>
      </c>
      <c r="U455" s="34">
        <v>45167.885671296302</v>
      </c>
      <c r="V455" s="32">
        <v>45167.885671296302</v>
      </c>
      <c r="W455" s="32">
        <v>45176.885671296302</v>
      </c>
      <c r="X455">
        <v>1</v>
      </c>
      <c r="Y455" s="34">
        <v>45179.885671296302</v>
      </c>
      <c r="Z455" s="34">
        <v>45182.885671296302</v>
      </c>
      <c r="AA455" s="34">
        <v>45185.885671296302</v>
      </c>
      <c r="AB455" s="36" t="s">
        <v>7476</v>
      </c>
      <c r="AC455" s="10">
        <v>45195.885671296302</v>
      </c>
      <c r="AD455" t="s">
        <v>1466</v>
      </c>
      <c r="AE455" t="s">
        <v>1467</v>
      </c>
      <c r="AF455" s="16">
        <v>45157</v>
      </c>
      <c r="AG455" t="s">
        <v>93</v>
      </c>
      <c r="AH455">
        <v>6</v>
      </c>
      <c r="AK455" s="38">
        <f t="shared" si="151"/>
        <v>45347.885671296302</v>
      </c>
    </row>
    <row r="456" spans="1:43" x14ac:dyDescent="0.35">
      <c r="A456">
        <v>675</v>
      </c>
      <c r="B456" t="s">
        <v>1468</v>
      </c>
      <c r="C456" t="s">
        <v>202</v>
      </c>
      <c r="D456" t="str">
        <f t="shared" si="149"/>
        <v>Program Office</v>
      </c>
      <c r="E456" t="s">
        <v>1398</v>
      </c>
      <c r="F456" t="s">
        <v>78</v>
      </c>
      <c r="G456" t="s">
        <v>1399</v>
      </c>
      <c r="H456" t="s">
        <v>80</v>
      </c>
      <c r="I456" s="32">
        <v>45143.885671296302</v>
      </c>
      <c r="J456" s="32" t="s">
        <v>7471</v>
      </c>
      <c r="K456" s="32">
        <v>45147.885671296302</v>
      </c>
      <c r="L456" s="8">
        <f t="shared" si="150"/>
        <v>4</v>
      </c>
      <c r="M456" s="7">
        <v>45161.885671296302</v>
      </c>
      <c r="N456" t="s">
        <v>49</v>
      </c>
      <c r="O456" s="34">
        <v>45159.885671296302</v>
      </c>
      <c r="P456" t="s">
        <v>50</v>
      </c>
      <c r="Q456" t="s">
        <v>51</v>
      </c>
      <c r="R456" s="32" t="s">
        <v>7472</v>
      </c>
      <c r="S456" t="s">
        <v>7476</v>
      </c>
      <c r="T456" s="34" t="s">
        <v>7476</v>
      </c>
      <c r="U456" s="34" t="s">
        <v>7476</v>
      </c>
      <c r="V456" s="32">
        <v>45162.885671296302</v>
      </c>
      <c r="W456" s="32" t="s">
        <v>7476</v>
      </c>
      <c r="X456">
        <v>0</v>
      </c>
      <c r="Y456" s="34" t="s">
        <v>7476</v>
      </c>
      <c r="Z456" s="34" t="s">
        <v>7476</v>
      </c>
      <c r="AA456" s="34" t="s">
        <v>7476</v>
      </c>
      <c r="AB456" s="36" t="s">
        <v>95</v>
      </c>
      <c r="AD456" t="s">
        <v>1469</v>
      </c>
      <c r="AE456" t="s">
        <v>1470</v>
      </c>
      <c r="AF456" s="16">
        <v>44993</v>
      </c>
      <c r="AG456" t="s">
        <v>68</v>
      </c>
      <c r="AH456">
        <v>6</v>
      </c>
      <c r="AK456" s="38">
        <f t="shared" si="151"/>
        <v>45342.885671296302</v>
      </c>
    </row>
    <row r="457" spans="1:43" x14ac:dyDescent="0.35">
      <c r="A457">
        <v>671</v>
      </c>
      <c r="B457" t="s">
        <v>1471</v>
      </c>
      <c r="C457" t="s">
        <v>213</v>
      </c>
      <c r="D457" t="str">
        <f t="shared" si="149"/>
        <v>Program Office</v>
      </c>
      <c r="E457" t="s">
        <v>1398</v>
      </c>
      <c r="F457" t="s">
        <v>78</v>
      </c>
      <c r="G457" t="s">
        <v>1399</v>
      </c>
      <c r="H457" t="s">
        <v>80</v>
      </c>
      <c r="I457" s="32">
        <v>45141.885671296302</v>
      </c>
      <c r="J457" s="32">
        <v>45142.885671296302</v>
      </c>
      <c r="K457" s="32">
        <v>45147.885671296302</v>
      </c>
      <c r="L457" s="8">
        <f t="shared" si="150"/>
        <v>6</v>
      </c>
      <c r="M457" s="7">
        <v>45171.885671296302</v>
      </c>
      <c r="N457" t="s">
        <v>49</v>
      </c>
      <c r="O457" s="34">
        <v>45160.885671296302</v>
      </c>
      <c r="P457" t="s">
        <v>50</v>
      </c>
      <c r="Q457" t="s">
        <v>236</v>
      </c>
      <c r="R457" s="32" t="s">
        <v>7472</v>
      </c>
      <c r="S457" t="s">
        <v>7476</v>
      </c>
      <c r="T457" s="34" t="s">
        <v>7476</v>
      </c>
      <c r="U457" s="34" t="s">
        <v>7476</v>
      </c>
      <c r="V457" s="32" t="s">
        <v>7476</v>
      </c>
      <c r="W457" s="32" t="s">
        <v>7476</v>
      </c>
      <c r="X457">
        <v>0</v>
      </c>
      <c r="Y457" s="34" t="s">
        <v>7476</v>
      </c>
      <c r="Z457" s="34" t="s">
        <v>7476</v>
      </c>
      <c r="AA457" s="34" t="s">
        <v>7476</v>
      </c>
      <c r="AB457" s="36" t="s">
        <v>52</v>
      </c>
      <c r="AD457" t="s">
        <v>1472</v>
      </c>
      <c r="AE457" t="s">
        <v>1473</v>
      </c>
      <c r="AF457" s="16">
        <v>45147</v>
      </c>
      <c r="AG457" t="s">
        <v>68</v>
      </c>
      <c r="AH457">
        <v>3</v>
      </c>
      <c r="AI457" s="8" t="str">
        <f>IFERROR(R457-AF457,"")</f>
        <v/>
      </c>
      <c r="AJ457" s="8">
        <f>IFERROR(O457-AF457,"")</f>
        <v>13.885671296302462</v>
      </c>
      <c r="AK457" s="38" t="str">
        <f t="shared" si="151"/>
        <v/>
      </c>
      <c r="AL457" t="str">
        <f>IFERROR(Z457-W457,"")</f>
        <v/>
      </c>
      <c r="AM457" t="str">
        <f>IFERROR(R457-J457,"")</f>
        <v/>
      </c>
      <c r="AN457" t="str">
        <f>IFERROR(V457-O457,"")</f>
        <v/>
      </c>
      <c r="AO457">
        <f>IFERROR(J457-I457,"")</f>
        <v>1</v>
      </c>
      <c r="AP457">
        <f>IFERROR(AC457-X457,"")</f>
        <v>0</v>
      </c>
      <c r="AQ457" t="str">
        <f>IFERROR(AA457-W457,"")</f>
        <v/>
      </c>
    </row>
    <row r="458" spans="1:43" x14ac:dyDescent="0.35">
      <c r="A458">
        <v>658</v>
      </c>
      <c r="B458" t="s">
        <v>1474</v>
      </c>
      <c r="C458" t="s">
        <v>202</v>
      </c>
      <c r="D458" t="str">
        <f t="shared" si="149"/>
        <v>Program Office</v>
      </c>
      <c r="E458" t="s">
        <v>1398</v>
      </c>
      <c r="F458" t="s">
        <v>78</v>
      </c>
      <c r="G458" t="s">
        <v>1399</v>
      </c>
      <c r="H458" t="s">
        <v>80</v>
      </c>
      <c r="I458" s="32">
        <v>44914.016504629632</v>
      </c>
      <c r="J458" s="32">
        <v>44918.016504629632</v>
      </c>
      <c r="K458" s="32">
        <v>44922.016504629632</v>
      </c>
      <c r="L458" s="8">
        <f t="shared" si="150"/>
        <v>8</v>
      </c>
      <c r="M458" s="7">
        <v>44933.016504629632</v>
      </c>
      <c r="N458" t="s">
        <v>49</v>
      </c>
      <c r="O458" s="34">
        <v>44931.016504629632</v>
      </c>
      <c r="P458" t="s">
        <v>50</v>
      </c>
      <c r="Q458" t="s">
        <v>51</v>
      </c>
      <c r="R458" s="32" t="s">
        <v>7472</v>
      </c>
      <c r="S458" t="s">
        <v>7476</v>
      </c>
      <c r="T458" s="34" t="s">
        <v>7476</v>
      </c>
      <c r="U458" s="34" t="s">
        <v>7476</v>
      </c>
      <c r="V458" s="32">
        <v>44935.016504629632</v>
      </c>
      <c r="W458" s="32" t="s">
        <v>7476</v>
      </c>
      <c r="X458">
        <v>0</v>
      </c>
      <c r="Y458" s="34" t="s">
        <v>7476</v>
      </c>
      <c r="Z458" s="34" t="s">
        <v>7476</v>
      </c>
      <c r="AA458" s="34" t="s">
        <v>7476</v>
      </c>
      <c r="AB458" s="36" t="s">
        <v>52</v>
      </c>
      <c r="AD458" t="s">
        <v>1475</v>
      </c>
      <c r="AE458" t="s">
        <v>1476</v>
      </c>
      <c r="AF458" s="16">
        <v>44919</v>
      </c>
      <c r="AG458" t="s">
        <v>68</v>
      </c>
      <c r="AH458">
        <v>3</v>
      </c>
      <c r="AI458" s="8" t="str">
        <f>IFERROR(R458-AF458,"")</f>
        <v/>
      </c>
      <c r="AJ458" s="8">
        <f>IFERROR(O458-AF458,"")</f>
        <v>12.016504629631527</v>
      </c>
      <c r="AK458" s="38">
        <f t="shared" si="151"/>
        <v>45025.016504629632</v>
      </c>
      <c r="AL458" t="str">
        <f>IFERROR(Z458-W458,"")</f>
        <v/>
      </c>
      <c r="AM458" t="str">
        <f>IFERROR(R458-J458,"")</f>
        <v/>
      </c>
      <c r="AN458">
        <f>IFERROR(V458-O458,"")</f>
        <v>4</v>
      </c>
      <c r="AO458">
        <f>IFERROR(J458-I458,"")</f>
        <v>4</v>
      </c>
      <c r="AP458">
        <f>IFERROR(AC458-X458,"")</f>
        <v>0</v>
      </c>
      <c r="AQ458" t="str">
        <f>IFERROR(AA458-W458,"")</f>
        <v/>
      </c>
    </row>
    <row r="459" spans="1:43" x14ac:dyDescent="0.35">
      <c r="A459">
        <v>653</v>
      </c>
      <c r="B459" t="s">
        <v>1477</v>
      </c>
      <c r="C459" t="s">
        <v>202</v>
      </c>
      <c r="D459" t="str">
        <f t="shared" si="149"/>
        <v>Program Office</v>
      </c>
      <c r="E459" t="s">
        <v>1398</v>
      </c>
      <c r="F459" t="s">
        <v>78</v>
      </c>
      <c r="G459" t="s">
        <v>1399</v>
      </c>
      <c r="H459" t="s">
        <v>80</v>
      </c>
      <c r="I459" s="32" t="s">
        <v>7471</v>
      </c>
      <c r="J459" s="32">
        <v>44917.016504629632</v>
      </c>
      <c r="K459" s="32">
        <v>44922.016504629632</v>
      </c>
      <c r="L459" s="8" t="str">
        <f t="shared" si="150"/>
        <v/>
      </c>
      <c r="M459" s="7">
        <v>44936.016504629632</v>
      </c>
      <c r="N459" t="s">
        <v>49</v>
      </c>
      <c r="O459" s="34">
        <v>44927.016504629632</v>
      </c>
      <c r="P459" t="s">
        <v>101</v>
      </c>
      <c r="R459" s="32">
        <v>44932.016504629632</v>
      </c>
      <c r="S459" t="s">
        <v>101</v>
      </c>
      <c r="T459" s="34">
        <v>44928.016504629632</v>
      </c>
      <c r="U459" s="34">
        <v>44931.016504629632</v>
      </c>
      <c r="V459" s="32">
        <v>44928.016504629632</v>
      </c>
      <c r="W459" s="32">
        <v>44930.016504629632</v>
      </c>
      <c r="X459">
        <v>1</v>
      </c>
      <c r="Y459" s="34">
        <v>44933.016504629632</v>
      </c>
      <c r="Z459" s="34">
        <v>44936.016504629632</v>
      </c>
      <c r="AA459" s="34">
        <v>44938.016504629632</v>
      </c>
      <c r="AB459" s="36" t="s">
        <v>7476</v>
      </c>
      <c r="AC459" s="10">
        <v>44960.016504629632</v>
      </c>
      <c r="AD459" t="s">
        <v>1478</v>
      </c>
      <c r="AE459" t="s">
        <v>1479</v>
      </c>
      <c r="AF459" s="16">
        <v>44910</v>
      </c>
      <c r="AG459" t="s">
        <v>98</v>
      </c>
      <c r="AH459">
        <v>3</v>
      </c>
      <c r="AK459" s="38">
        <f t="shared" si="151"/>
        <v>45018.016504629632</v>
      </c>
    </row>
    <row r="460" spans="1:43" x14ac:dyDescent="0.35">
      <c r="A460">
        <v>639</v>
      </c>
      <c r="B460" t="s">
        <v>1480</v>
      </c>
      <c r="C460" t="s">
        <v>213</v>
      </c>
      <c r="D460" t="str">
        <f t="shared" si="149"/>
        <v>Program Office</v>
      </c>
      <c r="E460" t="s">
        <v>1398</v>
      </c>
      <c r="F460" t="s">
        <v>114</v>
      </c>
      <c r="G460" t="s">
        <v>1481</v>
      </c>
      <c r="H460" t="s">
        <v>80</v>
      </c>
      <c r="I460" s="32">
        <v>44827.302743055552</v>
      </c>
      <c r="J460" s="32">
        <v>44828.302743055552</v>
      </c>
      <c r="K460" s="32">
        <v>44833.302743055552</v>
      </c>
      <c r="L460" s="8">
        <f t="shared" si="150"/>
        <v>6</v>
      </c>
      <c r="M460" s="7">
        <v>44843.302743055552</v>
      </c>
      <c r="N460" t="s">
        <v>49</v>
      </c>
      <c r="O460" s="34">
        <v>44847.302743055552</v>
      </c>
      <c r="P460" t="s">
        <v>50</v>
      </c>
      <c r="Q460" t="s">
        <v>51</v>
      </c>
      <c r="R460" s="32" t="s">
        <v>7472</v>
      </c>
      <c r="S460" t="s">
        <v>7476</v>
      </c>
      <c r="T460" s="34" t="s">
        <v>7476</v>
      </c>
      <c r="U460" s="34" t="s">
        <v>7476</v>
      </c>
      <c r="V460" s="32" t="s">
        <v>7476</v>
      </c>
      <c r="W460" s="32" t="s">
        <v>7476</v>
      </c>
      <c r="X460">
        <v>0</v>
      </c>
      <c r="Y460" s="34" t="s">
        <v>7476</v>
      </c>
      <c r="Z460" s="34" t="s">
        <v>7476</v>
      </c>
      <c r="AA460" s="34" t="s">
        <v>7476</v>
      </c>
      <c r="AB460" s="36" t="s">
        <v>52</v>
      </c>
      <c r="AD460" t="s">
        <v>1482</v>
      </c>
      <c r="AE460" t="s">
        <v>1483</v>
      </c>
      <c r="AF460" s="16">
        <v>44840</v>
      </c>
      <c r="AG460" t="s">
        <v>64</v>
      </c>
      <c r="AH460">
        <v>6</v>
      </c>
      <c r="AI460" s="8" t="str">
        <f t="shared" ref="AI460:AI466" si="152">IFERROR(R460-AF460,"")</f>
        <v/>
      </c>
      <c r="AJ460" s="8">
        <f t="shared" ref="AJ460:AJ466" si="153">IFERROR(O460-AF460,"")</f>
        <v>7.3027430555521278</v>
      </c>
      <c r="AK460" s="38" t="str">
        <f t="shared" si="151"/>
        <v/>
      </c>
      <c r="AL460" t="str">
        <f t="shared" ref="AL460:AL466" si="154">IFERROR(Z460-W460,"")</f>
        <v/>
      </c>
      <c r="AM460" t="str">
        <f t="shared" ref="AM460:AM466" si="155">IFERROR(R460-J460,"")</f>
        <v/>
      </c>
      <c r="AN460" t="str">
        <f t="shared" ref="AN460:AN466" si="156">IFERROR(V460-O460,"")</f>
        <v/>
      </c>
      <c r="AO460">
        <f t="shared" ref="AO460:AO466" si="157">IFERROR(J460-I460,"")</f>
        <v>1</v>
      </c>
      <c r="AP460">
        <f t="shared" ref="AP460:AP466" si="158">IFERROR(AC460-X460,"")</f>
        <v>0</v>
      </c>
      <c r="AQ460" t="str">
        <f t="shared" ref="AQ460:AQ466" si="159">IFERROR(AA460-W460,"")</f>
        <v/>
      </c>
    </row>
    <row r="461" spans="1:43" x14ac:dyDescent="0.35">
      <c r="A461">
        <v>618</v>
      </c>
      <c r="B461" t="s">
        <v>1484</v>
      </c>
      <c r="C461" t="s">
        <v>213</v>
      </c>
      <c r="D461" t="str">
        <f t="shared" si="149"/>
        <v>Program Office</v>
      </c>
      <c r="E461" t="s">
        <v>1398</v>
      </c>
      <c r="F461" t="s">
        <v>114</v>
      </c>
      <c r="G461" t="s">
        <v>1481</v>
      </c>
      <c r="H461" t="s">
        <v>80</v>
      </c>
      <c r="I461" s="32">
        <v>45156.885648148149</v>
      </c>
      <c r="J461" s="32">
        <v>45158.885648148149</v>
      </c>
      <c r="K461" s="32">
        <v>45161.885648148149</v>
      </c>
      <c r="L461" s="8">
        <f t="shared" si="150"/>
        <v>5</v>
      </c>
      <c r="M461" s="7">
        <v>45169.885648148149</v>
      </c>
      <c r="N461" t="s">
        <v>49</v>
      </c>
      <c r="O461" s="34">
        <v>45172.885648148149</v>
      </c>
      <c r="P461" t="s">
        <v>101</v>
      </c>
      <c r="R461" s="32">
        <v>45175.885648148149</v>
      </c>
      <c r="S461" t="s">
        <v>101</v>
      </c>
      <c r="T461" s="34">
        <v>45174.885648148149</v>
      </c>
      <c r="U461" s="34">
        <v>45175.885648148149</v>
      </c>
      <c r="V461" s="32">
        <v>45173.885648148149</v>
      </c>
      <c r="W461" s="32">
        <v>45174.885648148149</v>
      </c>
      <c r="X461">
        <v>1</v>
      </c>
      <c r="Y461" s="34">
        <v>45178.885648148149</v>
      </c>
      <c r="Z461" s="34">
        <v>45179.885648148149</v>
      </c>
      <c r="AA461" s="34">
        <v>45180.885648148149</v>
      </c>
      <c r="AB461" s="36" t="s">
        <v>7476</v>
      </c>
      <c r="AC461" s="10">
        <v>45199.885648148149</v>
      </c>
      <c r="AD461" t="s">
        <v>1485</v>
      </c>
      <c r="AE461" t="s">
        <v>1486</v>
      </c>
      <c r="AF461" s="16">
        <v>45163</v>
      </c>
      <c r="AG461" t="s">
        <v>98</v>
      </c>
      <c r="AH461">
        <v>3</v>
      </c>
      <c r="AI461" s="8">
        <f t="shared" si="152"/>
        <v>12.885648148148903</v>
      </c>
      <c r="AJ461" s="8">
        <f t="shared" si="153"/>
        <v>9.8856481481489027</v>
      </c>
      <c r="AK461" s="38">
        <f t="shared" si="151"/>
        <v>45263.885648148149</v>
      </c>
      <c r="AL461">
        <f t="shared" si="154"/>
        <v>5</v>
      </c>
      <c r="AM461">
        <f t="shared" si="155"/>
        <v>17</v>
      </c>
      <c r="AN461">
        <f t="shared" si="156"/>
        <v>1</v>
      </c>
      <c r="AO461">
        <f t="shared" si="157"/>
        <v>2</v>
      </c>
      <c r="AP461">
        <f t="shared" si="158"/>
        <v>45198.885648148149</v>
      </c>
      <c r="AQ461">
        <f t="shared" si="159"/>
        <v>6</v>
      </c>
    </row>
    <row r="462" spans="1:43" x14ac:dyDescent="0.35">
      <c r="A462">
        <v>579</v>
      </c>
      <c r="B462" t="s">
        <v>1487</v>
      </c>
      <c r="C462" t="s">
        <v>213</v>
      </c>
      <c r="D462" t="str">
        <f t="shared" si="149"/>
        <v>Program Office</v>
      </c>
      <c r="E462" t="s">
        <v>1398</v>
      </c>
      <c r="F462" t="s">
        <v>114</v>
      </c>
      <c r="G462" t="s">
        <v>1481</v>
      </c>
      <c r="H462" t="s">
        <v>80</v>
      </c>
      <c r="I462" s="32">
        <v>44908.089930555558</v>
      </c>
      <c r="J462" s="32">
        <v>44911.089930555558</v>
      </c>
      <c r="K462" s="32">
        <v>44915.089930555558</v>
      </c>
      <c r="L462" s="8">
        <f t="shared" si="150"/>
        <v>7</v>
      </c>
      <c r="M462" s="7">
        <v>44926.089930555558</v>
      </c>
      <c r="N462" t="s">
        <v>49</v>
      </c>
      <c r="O462" s="34">
        <v>44921.089930555558</v>
      </c>
      <c r="P462" t="s">
        <v>50</v>
      </c>
      <c r="Q462" t="s">
        <v>51</v>
      </c>
      <c r="R462" s="32" t="s">
        <v>7472</v>
      </c>
      <c r="S462" t="s">
        <v>7476</v>
      </c>
      <c r="T462" s="34" t="s">
        <v>7476</v>
      </c>
      <c r="U462" s="34" t="s">
        <v>7476</v>
      </c>
      <c r="V462" s="32">
        <v>44923.089930555558</v>
      </c>
      <c r="W462" s="32" t="s">
        <v>7476</v>
      </c>
      <c r="X462">
        <v>0</v>
      </c>
      <c r="Y462" s="34" t="s">
        <v>7476</v>
      </c>
      <c r="Z462" s="34" t="s">
        <v>7476</v>
      </c>
      <c r="AA462" s="34" t="s">
        <v>7476</v>
      </c>
      <c r="AB462" s="36" t="s">
        <v>52</v>
      </c>
      <c r="AD462" t="s">
        <v>1488</v>
      </c>
      <c r="AE462" t="s">
        <v>1489</v>
      </c>
      <c r="AF462" s="16">
        <v>44908</v>
      </c>
      <c r="AG462" t="s">
        <v>98</v>
      </c>
      <c r="AH462">
        <v>3</v>
      </c>
      <c r="AI462" s="8" t="str">
        <f t="shared" si="152"/>
        <v/>
      </c>
      <c r="AJ462" s="8">
        <f t="shared" si="153"/>
        <v>13.089930555557657</v>
      </c>
      <c r="AK462" s="38">
        <f t="shared" si="151"/>
        <v>45013.089930555558</v>
      </c>
      <c r="AL462" t="str">
        <f t="shared" si="154"/>
        <v/>
      </c>
      <c r="AM462" t="str">
        <f t="shared" si="155"/>
        <v/>
      </c>
      <c r="AN462">
        <f t="shared" si="156"/>
        <v>2</v>
      </c>
      <c r="AO462">
        <f t="shared" si="157"/>
        <v>3</v>
      </c>
      <c r="AP462">
        <f t="shared" si="158"/>
        <v>0</v>
      </c>
      <c r="AQ462" t="str">
        <f t="shared" si="159"/>
        <v/>
      </c>
    </row>
    <row r="463" spans="1:43" x14ac:dyDescent="0.35">
      <c r="A463">
        <v>494</v>
      </c>
      <c r="B463" t="s">
        <v>1490</v>
      </c>
      <c r="C463" t="s">
        <v>213</v>
      </c>
      <c r="D463" t="str">
        <f t="shared" si="149"/>
        <v>Program Office</v>
      </c>
      <c r="E463" t="s">
        <v>1398</v>
      </c>
      <c r="F463" t="s">
        <v>114</v>
      </c>
      <c r="G463" t="s">
        <v>1481</v>
      </c>
      <c r="H463" t="s">
        <v>80</v>
      </c>
      <c r="I463" s="32">
        <v>45169.411724537043</v>
      </c>
      <c r="J463" s="32">
        <v>45172.411724537043</v>
      </c>
      <c r="K463" s="32">
        <v>45174.411724537043</v>
      </c>
      <c r="L463" s="8">
        <f t="shared" si="150"/>
        <v>5</v>
      </c>
      <c r="M463" s="7">
        <v>45190.411724537043</v>
      </c>
      <c r="N463" t="s">
        <v>49</v>
      </c>
      <c r="O463" s="34">
        <v>45178.411724537043</v>
      </c>
      <c r="P463" t="s">
        <v>60</v>
      </c>
      <c r="R463" s="32">
        <v>45185.411724537043</v>
      </c>
      <c r="S463" t="s">
        <v>61</v>
      </c>
      <c r="T463" s="34" t="s">
        <v>7476</v>
      </c>
      <c r="U463" s="34" t="s">
        <v>7476</v>
      </c>
      <c r="V463" s="32">
        <v>45182.411724537043</v>
      </c>
      <c r="W463" s="32" t="s">
        <v>7476</v>
      </c>
      <c r="X463">
        <v>0</v>
      </c>
      <c r="Y463" s="34" t="s">
        <v>7476</v>
      </c>
      <c r="Z463" s="34" t="s">
        <v>7476</v>
      </c>
      <c r="AA463" s="34" t="s">
        <v>7476</v>
      </c>
      <c r="AB463" s="36" t="s">
        <v>7476</v>
      </c>
      <c r="AD463" t="s">
        <v>1491</v>
      </c>
      <c r="AE463" t="s">
        <v>1492</v>
      </c>
      <c r="AF463" s="16">
        <v>45167</v>
      </c>
      <c r="AG463" t="s">
        <v>68</v>
      </c>
      <c r="AH463">
        <v>3</v>
      </c>
      <c r="AI463" s="8">
        <f t="shared" si="152"/>
        <v>18.411724537043483</v>
      </c>
      <c r="AJ463" s="8">
        <f t="shared" si="153"/>
        <v>11.411724537043483</v>
      </c>
      <c r="AK463" s="38">
        <f t="shared" si="151"/>
        <v>45272.411724537043</v>
      </c>
      <c r="AL463" t="str">
        <f t="shared" si="154"/>
        <v/>
      </c>
      <c r="AM463">
        <f t="shared" si="155"/>
        <v>13</v>
      </c>
      <c r="AN463">
        <f t="shared" si="156"/>
        <v>4</v>
      </c>
      <c r="AO463">
        <f t="shared" si="157"/>
        <v>3</v>
      </c>
      <c r="AP463">
        <f t="shared" si="158"/>
        <v>0</v>
      </c>
      <c r="AQ463" t="str">
        <f t="shared" si="159"/>
        <v/>
      </c>
    </row>
    <row r="464" spans="1:43" x14ac:dyDescent="0.35">
      <c r="A464">
        <v>493</v>
      </c>
      <c r="B464" t="s">
        <v>1493</v>
      </c>
      <c r="C464" t="s">
        <v>202</v>
      </c>
      <c r="D464" t="str">
        <f t="shared" si="149"/>
        <v>Program Office</v>
      </c>
      <c r="E464" t="s">
        <v>1398</v>
      </c>
      <c r="F464" t="s">
        <v>114</v>
      </c>
      <c r="G464" t="s">
        <v>1481</v>
      </c>
      <c r="H464" t="s">
        <v>80</v>
      </c>
      <c r="I464" s="32">
        <v>45166.411724537043</v>
      </c>
      <c r="J464" s="32">
        <v>45169.411724537043</v>
      </c>
      <c r="K464" s="32">
        <v>45174.411724537043</v>
      </c>
      <c r="L464" s="8">
        <f t="shared" si="150"/>
        <v>8</v>
      </c>
      <c r="M464" s="7">
        <v>45190.411724537043</v>
      </c>
      <c r="N464" t="s">
        <v>49</v>
      </c>
      <c r="O464" s="34">
        <v>45188.411724537043</v>
      </c>
      <c r="P464" t="s">
        <v>50</v>
      </c>
      <c r="Q464" t="s">
        <v>84</v>
      </c>
      <c r="R464" s="32" t="s">
        <v>7472</v>
      </c>
      <c r="S464" t="s">
        <v>7476</v>
      </c>
      <c r="T464" s="34" t="s">
        <v>7476</v>
      </c>
      <c r="U464" s="34" t="s">
        <v>7476</v>
      </c>
      <c r="V464" s="32" t="s">
        <v>7476</v>
      </c>
      <c r="W464" s="32" t="s">
        <v>7476</v>
      </c>
      <c r="X464">
        <v>0</v>
      </c>
      <c r="Y464" s="34" t="s">
        <v>7476</v>
      </c>
      <c r="Z464" s="34" t="s">
        <v>7476</v>
      </c>
      <c r="AA464" s="34" t="s">
        <v>7476</v>
      </c>
      <c r="AB464" s="36" t="s">
        <v>52</v>
      </c>
      <c r="AD464" t="s">
        <v>1494</v>
      </c>
      <c r="AE464" t="s">
        <v>1495</v>
      </c>
      <c r="AF464" s="16">
        <v>45176</v>
      </c>
      <c r="AG464" t="s">
        <v>68</v>
      </c>
      <c r="AH464">
        <v>6</v>
      </c>
      <c r="AI464" s="8" t="str">
        <f t="shared" si="152"/>
        <v/>
      </c>
      <c r="AJ464" s="8">
        <f t="shared" si="153"/>
        <v>12.411724537043483</v>
      </c>
      <c r="AK464" s="38" t="str">
        <f t="shared" si="151"/>
        <v/>
      </c>
      <c r="AL464" t="str">
        <f t="shared" si="154"/>
        <v/>
      </c>
      <c r="AM464" t="str">
        <f t="shared" si="155"/>
        <v/>
      </c>
      <c r="AN464" t="str">
        <f t="shared" si="156"/>
        <v/>
      </c>
      <c r="AO464">
        <f t="shared" si="157"/>
        <v>3</v>
      </c>
      <c r="AP464">
        <f t="shared" si="158"/>
        <v>0</v>
      </c>
      <c r="AQ464" t="str">
        <f t="shared" si="159"/>
        <v/>
      </c>
    </row>
    <row r="465" spans="1:43" x14ac:dyDescent="0.35">
      <c r="A465">
        <v>485</v>
      </c>
      <c r="B465" t="s">
        <v>1496</v>
      </c>
      <c r="C465" t="s">
        <v>217</v>
      </c>
      <c r="D465" t="str">
        <f t="shared" si="149"/>
        <v>Program Office</v>
      </c>
      <c r="E465" t="s">
        <v>1398</v>
      </c>
      <c r="F465" t="s">
        <v>114</v>
      </c>
      <c r="G465" t="s">
        <v>1481</v>
      </c>
      <c r="H465" t="s">
        <v>80</v>
      </c>
      <c r="I465" s="32">
        <v>44930.566712962973</v>
      </c>
      <c r="J465" s="32">
        <v>44932.566712962973</v>
      </c>
      <c r="K465" s="32">
        <v>44938.566712962973</v>
      </c>
      <c r="L465" s="8">
        <f t="shared" si="150"/>
        <v>8</v>
      </c>
      <c r="M465" s="7">
        <v>44968.566712962973</v>
      </c>
      <c r="N465" t="s">
        <v>49</v>
      </c>
      <c r="O465" s="34">
        <v>44948.566712962973</v>
      </c>
      <c r="P465" t="s">
        <v>50</v>
      </c>
      <c r="Q465" t="s">
        <v>84</v>
      </c>
      <c r="R465" s="32" t="s">
        <v>7472</v>
      </c>
      <c r="S465" t="s">
        <v>7476</v>
      </c>
      <c r="T465" s="34" t="s">
        <v>7476</v>
      </c>
      <c r="U465" s="34" t="s">
        <v>7476</v>
      </c>
      <c r="V465" s="32" t="s">
        <v>7476</v>
      </c>
      <c r="W465" s="32" t="s">
        <v>7476</v>
      </c>
      <c r="X465">
        <v>0</v>
      </c>
      <c r="Y465" s="34" t="s">
        <v>7476</v>
      </c>
      <c r="Z465" s="34" t="s">
        <v>7476</v>
      </c>
      <c r="AA465" s="34" t="s">
        <v>7476</v>
      </c>
      <c r="AB465" s="36" t="s">
        <v>52</v>
      </c>
      <c r="AD465" t="s">
        <v>1497</v>
      </c>
      <c r="AE465" t="s">
        <v>1498</v>
      </c>
      <c r="AF465" s="16">
        <v>45200</v>
      </c>
      <c r="AG465" t="s">
        <v>64</v>
      </c>
      <c r="AH465">
        <v>6</v>
      </c>
      <c r="AI465" s="8" t="str">
        <f t="shared" si="152"/>
        <v/>
      </c>
      <c r="AJ465" s="8">
        <f t="shared" si="153"/>
        <v>-251.43328703702718</v>
      </c>
      <c r="AK465" s="38" t="str">
        <f t="shared" si="151"/>
        <v/>
      </c>
      <c r="AL465" t="str">
        <f t="shared" si="154"/>
        <v/>
      </c>
      <c r="AM465" t="str">
        <f t="shared" si="155"/>
        <v/>
      </c>
      <c r="AN465" t="str">
        <f t="shared" si="156"/>
        <v/>
      </c>
      <c r="AO465">
        <f t="shared" si="157"/>
        <v>2</v>
      </c>
      <c r="AP465">
        <f t="shared" si="158"/>
        <v>0</v>
      </c>
      <c r="AQ465" t="str">
        <f t="shared" si="159"/>
        <v/>
      </c>
    </row>
    <row r="466" spans="1:43" x14ac:dyDescent="0.35">
      <c r="A466">
        <v>484</v>
      </c>
      <c r="B466" t="s">
        <v>1499</v>
      </c>
      <c r="C466" t="s">
        <v>217</v>
      </c>
      <c r="D466" t="str">
        <f t="shared" si="149"/>
        <v>Program Office</v>
      </c>
      <c r="E466" t="s">
        <v>1398</v>
      </c>
      <c r="F466" t="s">
        <v>114</v>
      </c>
      <c r="G466" t="s">
        <v>1481</v>
      </c>
      <c r="H466" t="s">
        <v>80</v>
      </c>
      <c r="I466" s="32">
        <v>44931.566712962973</v>
      </c>
      <c r="J466" s="32">
        <v>44934.566712962973</v>
      </c>
      <c r="K466" s="32">
        <v>44938.566712962973</v>
      </c>
      <c r="L466" s="8">
        <f t="shared" si="150"/>
        <v>7</v>
      </c>
      <c r="M466" s="7">
        <v>44962.566712962973</v>
      </c>
      <c r="N466" t="s">
        <v>49</v>
      </c>
      <c r="O466" s="34">
        <v>44947.566712962973</v>
      </c>
      <c r="P466" t="s">
        <v>50</v>
      </c>
      <c r="Q466" t="s">
        <v>198</v>
      </c>
      <c r="R466" s="32" t="s">
        <v>7472</v>
      </c>
      <c r="S466" t="s">
        <v>7476</v>
      </c>
      <c r="T466" s="34" t="s">
        <v>7476</v>
      </c>
      <c r="U466" s="34" t="s">
        <v>7476</v>
      </c>
      <c r="V466" s="32">
        <v>44950.566712962973</v>
      </c>
      <c r="W466" s="32" t="s">
        <v>7476</v>
      </c>
      <c r="X466">
        <v>0</v>
      </c>
      <c r="Y466" s="34" t="s">
        <v>7476</v>
      </c>
      <c r="Z466" s="34" t="s">
        <v>7476</v>
      </c>
      <c r="AA466" s="34" t="s">
        <v>7476</v>
      </c>
      <c r="AB466" s="36" t="s">
        <v>52</v>
      </c>
      <c r="AD466" t="s">
        <v>1500</v>
      </c>
      <c r="AE466" t="s">
        <v>1501</v>
      </c>
      <c r="AF466" s="16">
        <v>44939</v>
      </c>
      <c r="AG466" t="s">
        <v>98</v>
      </c>
      <c r="AH466">
        <v>6</v>
      </c>
      <c r="AI466" s="8" t="str">
        <f t="shared" si="152"/>
        <v/>
      </c>
      <c r="AJ466" s="8">
        <f t="shared" si="153"/>
        <v>8.5667129629728151</v>
      </c>
      <c r="AK466" s="38">
        <f t="shared" si="151"/>
        <v>45130.566712962973</v>
      </c>
      <c r="AL466" t="str">
        <f t="shared" si="154"/>
        <v/>
      </c>
      <c r="AM466" t="str">
        <f t="shared" si="155"/>
        <v/>
      </c>
      <c r="AN466">
        <f t="shared" si="156"/>
        <v>3</v>
      </c>
      <c r="AO466">
        <f t="shared" si="157"/>
        <v>3</v>
      </c>
      <c r="AP466">
        <f t="shared" si="158"/>
        <v>0</v>
      </c>
      <c r="AQ466" t="str">
        <f t="shared" si="159"/>
        <v/>
      </c>
    </row>
    <row r="467" spans="1:43" x14ac:dyDescent="0.35">
      <c r="A467">
        <v>477</v>
      </c>
      <c r="B467" t="s">
        <v>1502</v>
      </c>
      <c r="C467" t="s">
        <v>202</v>
      </c>
      <c r="D467" t="str">
        <f t="shared" si="149"/>
        <v>Program Office</v>
      </c>
      <c r="E467" t="s">
        <v>1398</v>
      </c>
      <c r="F467" t="s">
        <v>114</v>
      </c>
      <c r="G467" t="s">
        <v>1481</v>
      </c>
      <c r="H467" t="s">
        <v>80</v>
      </c>
      <c r="I467" s="32">
        <v>44674.075752314813</v>
      </c>
      <c r="J467" s="32">
        <v>44678.075752314813</v>
      </c>
      <c r="K467" s="32" t="s">
        <v>7473</v>
      </c>
      <c r="L467" s="8" t="str">
        <f t="shared" si="150"/>
        <v/>
      </c>
      <c r="M467" s="7">
        <v>44696.075752314813</v>
      </c>
      <c r="N467" t="s">
        <v>49</v>
      </c>
      <c r="O467" s="34">
        <v>44685.075752314813</v>
      </c>
      <c r="P467" t="s">
        <v>101</v>
      </c>
      <c r="R467" s="32">
        <v>44689.075752314813</v>
      </c>
      <c r="S467" t="s">
        <v>101</v>
      </c>
      <c r="T467" s="34">
        <v>44687.075752314813</v>
      </c>
      <c r="U467" s="34">
        <v>44689.075752314813</v>
      </c>
      <c r="V467" s="32">
        <v>44687.075752314813</v>
      </c>
      <c r="W467" s="32">
        <v>44688.075752314813</v>
      </c>
      <c r="X467">
        <v>1</v>
      </c>
      <c r="Y467" s="34">
        <v>44691.075752314813</v>
      </c>
      <c r="Z467" s="34">
        <v>44692.075752314813</v>
      </c>
      <c r="AA467" s="34">
        <v>44695.075752314813</v>
      </c>
      <c r="AB467" s="36" t="s">
        <v>7476</v>
      </c>
      <c r="AC467" s="10">
        <v>44703.075752314813</v>
      </c>
      <c r="AD467" t="s">
        <v>1503</v>
      </c>
      <c r="AE467" t="s">
        <v>1504</v>
      </c>
      <c r="AF467" s="16">
        <v>44675</v>
      </c>
      <c r="AG467" t="s">
        <v>93</v>
      </c>
      <c r="AH467">
        <v>6</v>
      </c>
      <c r="AK467" s="38">
        <f t="shared" si="151"/>
        <v>44867.075752314813</v>
      </c>
    </row>
    <row r="468" spans="1:43" x14ac:dyDescent="0.35">
      <c r="A468">
        <v>475</v>
      </c>
      <c r="B468" t="s">
        <v>1505</v>
      </c>
      <c r="C468" t="s">
        <v>213</v>
      </c>
      <c r="D468" t="str">
        <f t="shared" si="149"/>
        <v>Program Office</v>
      </c>
      <c r="E468" t="s">
        <v>1398</v>
      </c>
      <c r="F468" t="s">
        <v>114</v>
      </c>
      <c r="G468" t="s">
        <v>1481</v>
      </c>
      <c r="H468" t="s">
        <v>80</v>
      </c>
      <c r="I468" s="32">
        <v>44676.075752314813</v>
      </c>
      <c r="J468" s="32">
        <v>44679.075752314813</v>
      </c>
      <c r="K468" s="32">
        <v>44682.075752314813</v>
      </c>
      <c r="L468" s="8">
        <f t="shared" si="150"/>
        <v>6</v>
      </c>
      <c r="M468" s="7">
        <v>44712.075752314813</v>
      </c>
      <c r="N468" t="s">
        <v>49</v>
      </c>
      <c r="O468" s="34">
        <v>44699.075752314813</v>
      </c>
      <c r="P468" t="s">
        <v>50</v>
      </c>
      <c r="Q468" t="s">
        <v>236</v>
      </c>
      <c r="R468" s="32" t="s">
        <v>7472</v>
      </c>
      <c r="S468" t="s">
        <v>7476</v>
      </c>
      <c r="T468" s="34" t="s">
        <v>7476</v>
      </c>
      <c r="U468" s="34" t="s">
        <v>7476</v>
      </c>
      <c r="V468" s="32">
        <v>44703.075752314813</v>
      </c>
      <c r="W468" s="32" t="s">
        <v>7476</v>
      </c>
      <c r="X468">
        <v>0</v>
      </c>
      <c r="Y468" s="34" t="s">
        <v>7476</v>
      </c>
      <c r="Z468" s="34" t="s">
        <v>7476</v>
      </c>
      <c r="AA468" s="34" t="s">
        <v>7476</v>
      </c>
      <c r="AB468" s="36" t="s">
        <v>52</v>
      </c>
      <c r="AD468" t="s">
        <v>1506</v>
      </c>
      <c r="AE468" t="s">
        <v>1507</v>
      </c>
      <c r="AF468" s="16">
        <v>44685</v>
      </c>
      <c r="AG468" t="s">
        <v>98</v>
      </c>
      <c r="AH468">
        <v>3</v>
      </c>
      <c r="AI468" s="8" t="str">
        <f>IFERROR(R468-AF468,"")</f>
        <v/>
      </c>
      <c r="AJ468" s="8">
        <f>IFERROR(O468-AF468,"")</f>
        <v>14.075752314813144</v>
      </c>
      <c r="AK468" s="38">
        <f t="shared" si="151"/>
        <v>44793.075752314813</v>
      </c>
      <c r="AL468" t="str">
        <f>IFERROR(Z468-W468,"")</f>
        <v/>
      </c>
      <c r="AM468" t="str">
        <f>IFERROR(R468-J468,"")</f>
        <v/>
      </c>
      <c r="AN468">
        <f>IFERROR(V468-O468,"")</f>
        <v>4</v>
      </c>
      <c r="AO468">
        <f>IFERROR(J468-I468,"")</f>
        <v>3</v>
      </c>
      <c r="AP468">
        <f>IFERROR(AC468-X468,"")</f>
        <v>0</v>
      </c>
      <c r="AQ468" t="str">
        <f>IFERROR(AA468-W468,"")</f>
        <v/>
      </c>
    </row>
    <row r="469" spans="1:43" x14ac:dyDescent="0.35">
      <c r="A469">
        <v>385</v>
      </c>
      <c r="B469" t="s">
        <v>1508</v>
      </c>
      <c r="C469" t="s">
        <v>213</v>
      </c>
      <c r="D469" t="str">
        <f t="shared" si="149"/>
        <v>Program Office</v>
      </c>
      <c r="E469" t="s">
        <v>1398</v>
      </c>
      <c r="F469" t="s">
        <v>114</v>
      </c>
      <c r="G469" t="s">
        <v>1481</v>
      </c>
      <c r="H469" t="s">
        <v>80</v>
      </c>
      <c r="I469" s="32">
        <v>44869.3830787037</v>
      </c>
      <c r="J469" s="32">
        <v>44873.3830787037</v>
      </c>
      <c r="K469" s="32" t="s">
        <v>7473</v>
      </c>
      <c r="L469" s="8" t="str">
        <f t="shared" si="150"/>
        <v/>
      </c>
      <c r="M469" s="7">
        <v>44889.3830787037</v>
      </c>
      <c r="N469" t="s">
        <v>49</v>
      </c>
      <c r="O469" s="34">
        <v>44887.3830787037</v>
      </c>
      <c r="P469" t="s">
        <v>60</v>
      </c>
      <c r="R469" s="32">
        <v>44893.3830787037</v>
      </c>
      <c r="S469" t="s">
        <v>61</v>
      </c>
      <c r="T469" s="34" t="s">
        <v>7476</v>
      </c>
      <c r="U469" s="34" t="s">
        <v>7476</v>
      </c>
      <c r="V469" s="32">
        <v>44890.3830787037</v>
      </c>
      <c r="W469" s="32" t="s">
        <v>7476</v>
      </c>
      <c r="X469">
        <v>0</v>
      </c>
      <c r="Y469" s="34" t="s">
        <v>7476</v>
      </c>
      <c r="Z469" s="34" t="s">
        <v>7476</v>
      </c>
      <c r="AA469" s="34" t="s">
        <v>7476</v>
      </c>
      <c r="AB469" s="36" t="s">
        <v>7476</v>
      </c>
      <c r="AD469" t="s">
        <v>1509</v>
      </c>
      <c r="AE469" t="s">
        <v>1510</v>
      </c>
      <c r="AF469" s="16">
        <v>44876</v>
      </c>
      <c r="AG469" t="s">
        <v>68</v>
      </c>
      <c r="AH469">
        <v>3</v>
      </c>
      <c r="AK469" s="38">
        <f t="shared" si="151"/>
        <v>44980.3830787037</v>
      </c>
    </row>
    <row r="470" spans="1:43" x14ac:dyDescent="0.35">
      <c r="A470">
        <v>378</v>
      </c>
      <c r="B470" t="s">
        <v>1511</v>
      </c>
      <c r="C470" t="s">
        <v>202</v>
      </c>
      <c r="D470" t="str">
        <f t="shared" si="149"/>
        <v>Program Office</v>
      </c>
      <c r="E470" t="s">
        <v>1398</v>
      </c>
      <c r="F470" t="s">
        <v>114</v>
      </c>
      <c r="G470" t="s">
        <v>1481</v>
      </c>
      <c r="H470" t="s">
        <v>80</v>
      </c>
      <c r="I470" s="32">
        <v>44667.356712962966</v>
      </c>
      <c r="J470" s="32">
        <v>44668.356712962966</v>
      </c>
      <c r="K470" s="32">
        <v>44670.356712962966</v>
      </c>
      <c r="L470" s="8">
        <f t="shared" si="150"/>
        <v>3</v>
      </c>
      <c r="M470" s="7">
        <v>44690.356712962966</v>
      </c>
      <c r="N470" t="s">
        <v>49</v>
      </c>
      <c r="O470" s="34">
        <v>44678.356712962966</v>
      </c>
      <c r="P470" t="s">
        <v>50</v>
      </c>
      <c r="Q470" t="s">
        <v>51</v>
      </c>
      <c r="R470" s="32" t="s">
        <v>7472</v>
      </c>
      <c r="S470" t="s">
        <v>7476</v>
      </c>
      <c r="T470" s="34" t="s">
        <v>7476</v>
      </c>
      <c r="U470" s="34" t="s">
        <v>7476</v>
      </c>
      <c r="V470" s="32" t="s">
        <v>7476</v>
      </c>
      <c r="W470" s="32" t="s">
        <v>7476</v>
      </c>
      <c r="X470">
        <v>0</v>
      </c>
      <c r="Y470" s="34" t="s">
        <v>7476</v>
      </c>
      <c r="Z470" s="34" t="s">
        <v>7476</v>
      </c>
      <c r="AA470" s="34" t="s">
        <v>7476</v>
      </c>
      <c r="AB470" s="36" t="s">
        <v>52</v>
      </c>
      <c r="AD470" t="s">
        <v>1512</v>
      </c>
      <c r="AE470" t="s">
        <v>1513</v>
      </c>
      <c r="AF470" s="16">
        <v>44777</v>
      </c>
      <c r="AG470" t="s">
        <v>68</v>
      </c>
      <c r="AH470">
        <v>3</v>
      </c>
      <c r="AI470" s="8" t="str">
        <f>IFERROR(R470-AF470,"")</f>
        <v/>
      </c>
      <c r="AJ470" s="8">
        <f>IFERROR(O470-AF470,"")</f>
        <v>-98.643287037033588</v>
      </c>
      <c r="AK470" s="38" t="str">
        <f t="shared" si="151"/>
        <v/>
      </c>
      <c r="AL470" t="str">
        <f>IFERROR(Z470-W470,"")</f>
        <v/>
      </c>
      <c r="AM470" t="str">
        <f>IFERROR(R470-J470,"")</f>
        <v/>
      </c>
      <c r="AN470" t="str">
        <f>IFERROR(V470-O470,"")</f>
        <v/>
      </c>
      <c r="AO470">
        <f>IFERROR(J470-I470,"")</f>
        <v>1</v>
      </c>
      <c r="AP470">
        <f>IFERROR(AC470-X470,"")</f>
        <v>0</v>
      </c>
      <c r="AQ470" t="str">
        <f>IFERROR(AA470-W470,"")</f>
        <v/>
      </c>
    </row>
    <row r="471" spans="1:43" x14ac:dyDescent="0.35">
      <c r="A471">
        <v>375</v>
      </c>
      <c r="B471" t="s">
        <v>1514</v>
      </c>
      <c r="C471" t="s">
        <v>213</v>
      </c>
      <c r="D471" t="str">
        <f t="shared" si="149"/>
        <v>Program Office</v>
      </c>
      <c r="E471" t="s">
        <v>1398</v>
      </c>
      <c r="F471" t="s">
        <v>114</v>
      </c>
      <c r="G471" t="s">
        <v>1481</v>
      </c>
      <c r="H471" t="s">
        <v>80</v>
      </c>
      <c r="I471" s="32">
        <v>44663.356712962966</v>
      </c>
      <c r="J471" s="32">
        <v>44665.356712962966</v>
      </c>
      <c r="K471" s="32">
        <v>44670.356712962966</v>
      </c>
      <c r="L471" s="8">
        <f t="shared" si="150"/>
        <v>7</v>
      </c>
      <c r="M471" s="7">
        <v>44676.356712962966</v>
      </c>
      <c r="N471" t="s">
        <v>49</v>
      </c>
      <c r="O471" s="34">
        <v>44682.356712962966</v>
      </c>
      <c r="P471" t="s">
        <v>101</v>
      </c>
      <c r="R471" s="32">
        <v>44687.356712962966</v>
      </c>
      <c r="S471" t="s">
        <v>101</v>
      </c>
      <c r="T471" s="34">
        <v>44683.356712962966</v>
      </c>
      <c r="U471" s="34">
        <v>44687.356712962966</v>
      </c>
      <c r="V471" s="32">
        <v>44685.356712962966</v>
      </c>
      <c r="W471" s="32">
        <v>44691.356712962966</v>
      </c>
      <c r="X471">
        <v>1</v>
      </c>
      <c r="Y471" s="34">
        <v>44692.356712962966</v>
      </c>
      <c r="Z471" s="34">
        <v>44693.356712962966</v>
      </c>
      <c r="AA471" s="34">
        <v>44696.356712962966</v>
      </c>
      <c r="AB471" s="36" t="s">
        <v>7476</v>
      </c>
      <c r="AC471" s="10">
        <v>44703.356712962966</v>
      </c>
      <c r="AD471" t="s">
        <v>1515</v>
      </c>
      <c r="AE471" t="s">
        <v>1516</v>
      </c>
      <c r="AF471" s="16">
        <v>44669</v>
      </c>
      <c r="AG471" t="s">
        <v>64</v>
      </c>
      <c r="AH471">
        <v>3</v>
      </c>
      <c r="AI471" s="8">
        <f>IFERROR(R471-AF471,"")</f>
        <v>18.356712962966412</v>
      </c>
      <c r="AJ471" s="8">
        <f>IFERROR(O471-AF471,"")</f>
        <v>13.356712962966412</v>
      </c>
      <c r="AK471" s="38">
        <f t="shared" si="151"/>
        <v>44775.356712962966</v>
      </c>
      <c r="AL471">
        <f>IFERROR(Z471-W471,"")</f>
        <v>2</v>
      </c>
      <c r="AM471">
        <f>IFERROR(R471-J471,"")</f>
        <v>22</v>
      </c>
      <c r="AN471">
        <f>IFERROR(V471-O471,"")</f>
        <v>3</v>
      </c>
      <c r="AO471">
        <f>IFERROR(J471-I471,"")</f>
        <v>2</v>
      </c>
      <c r="AP471">
        <f>IFERROR(AC471-X471,"")</f>
        <v>44702.356712962966</v>
      </c>
      <c r="AQ471">
        <f>IFERROR(AA471-W471,"")</f>
        <v>5</v>
      </c>
    </row>
    <row r="472" spans="1:43" x14ac:dyDescent="0.35">
      <c r="A472">
        <v>315</v>
      </c>
      <c r="B472" t="s">
        <v>1517</v>
      </c>
      <c r="C472" t="s">
        <v>213</v>
      </c>
      <c r="D472" t="str">
        <f t="shared" si="149"/>
        <v>Program Office</v>
      </c>
      <c r="E472" t="s">
        <v>1398</v>
      </c>
      <c r="F472" t="s">
        <v>114</v>
      </c>
      <c r="G472" t="s">
        <v>1481</v>
      </c>
      <c r="H472" t="s">
        <v>80</v>
      </c>
      <c r="I472" s="32">
        <v>44988.608946759261</v>
      </c>
      <c r="J472" s="32" t="s">
        <v>7471</v>
      </c>
      <c r="K472" s="32">
        <v>44991.608946759261</v>
      </c>
      <c r="L472" s="8">
        <f t="shared" si="150"/>
        <v>3</v>
      </c>
      <c r="M472" s="7">
        <v>45003.608946759261</v>
      </c>
      <c r="N472" t="s">
        <v>72</v>
      </c>
      <c r="O472" s="34" t="s">
        <v>7474</v>
      </c>
      <c r="R472" s="32" t="s">
        <v>7472</v>
      </c>
      <c r="S472" t="s">
        <v>7476</v>
      </c>
      <c r="T472" s="34" t="s">
        <v>7476</v>
      </c>
      <c r="U472" s="34" t="s">
        <v>7476</v>
      </c>
      <c r="V472" s="32" t="s">
        <v>7476</v>
      </c>
      <c r="W472" s="32" t="s">
        <v>7476</v>
      </c>
      <c r="X472">
        <v>0</v>
      </c>
      <c r="Y472" s="34" t="s">
        <v>7476</v>
      </c>
      <c r="Z472" s="34" t="s">
        <v>7476</v>
      </c>
      <c r="AA472" s="34" t="s">
        <v>7476</v>
      </c>
      <c r="AB472" s="36" t="s">
        <v>7476</v>
      </c>
      <c r="AD472" t="s">
        <v>1518</v>
      </c>
      <c r="AE472" t="s">
        <v>1519</v>
      </c>
      <c r="AG472" t="s">
        <v>98</v>
      </c>
      <c r="AH472">
        <v>6</v>
      </c>
      <c r="AK472" s="38" t="str">
        <f t="shared" si="151"/>
        <v/>
      </c>
    </row>
    <row r="473" spans="1:43" x14ac:dyDescent="0.35">
      <c r="A473">
        <v>189</v>
      </c>
      <c r="B473" t="s">
        <v>1520</v>
      </c>
      <c r="C473" t="s">
        <v>202</v>
      </c>
      <c r="D473" t="str">
        <f t="shared" si="149"/>
        <v>Program Office</v>
      </c>
      <c r="E473" t="s">
        <v>1398</v>
      </c>
      <c r="F473" t="s">
        <v>114</v>
      </c>
      <c r="G473" t="s">
        <v>1481</v>
      </c>
      <c r="H473" t="s">
        <v>80</v>
      </c>
      <c r="I473" s="32">
        <v>44830.301365740743</v>
      </c>
      <c r="J473" s="32">
        <v>44831.301365740743</v>
      </c>
      <c r="K473" s="32">
        <v>44835.301365740743</v>
      </c>
      <c r="L473" s="8">
        <f t="shared" si="150"/>
        <v>5</v>
      </c>
      <c r="M473" s="7">
        <v>45025.301365740743</v>
      </c>
      <c r="N473" t="s">
        <v>49</v>
      </c>
      <c r="O473" s="34">
        <v>44841.301365740743</v>
      </c>
      <c r="P473" t="s">
        <v>50</v>
      </c>
      <c r="Q473" t="s">
        <v>51</v>
      </c>
      <c r="R473" s="32" t="s">
        <v>7472</v>
      </c>
      <c r="S473" t="s">
        <v>7476</v>
      </c>
      <c r="T473" s="34" t="s">
        <v>7476</v>
      </c>
      <c r="U473" s="34" t="s">
        <v>7476</v>
      </c>
      <c r="V473" s="32" t="s">
        <v>7476</v>
      </c>
      <c r="W473" s="32" t="s">
        <v>7476</v>
      </c>
      <c r="X473">
        <v>0</v>
      </c>
      <c r="Y473" s="34" t="s">
        <v>7476</v>
      </c>
      <c r="Z473" s="34" t="s">
        <v>7476</v>
      </c>
      <c r="AA473" s="34" t="s">
        <v>7476</v>
      </c>
      <c r="AB473" s="36" t="s">
        <v>52</v>
      </c>
      <c r="AD473" t="s">
        <v>1521</v>
      </c>
      <c r="AE473" t="s">
        <v>1522</v>
      </c>
      <c r="AF473" s="16">
        <v>44825</v>
      </c>
      <c r="AG473" t="s">
        <v>68</v>
      </c>
      <c r="AH473">
        <v>6</v>
      </c>
      <c r="AI473" s="8" t="str">
        <f>IFERROR(R473-AF473,"")</f>
        <v/>
      </c>
      <c r="AJ473" s="8">
        <f>IFERROR(O473-AF473,"")</f>
        <v>16.301365740742767</v>
      </c>
      <c r="AK473" s="38" t="str">
        <f t="shared" si="151"/>
        <v/>
      </c>
      <c r="AL473" t="str">
        <f>IFERROR(Z473-W473,"")</f>
        <v/>
      </c>
      <c r="AM473" t="str">
        <f>IFERROR(R473-J473,"")</f>
        <v/>
      </c>
      <c r="AN473" t="str">
        <f>IFERROR(V473-O473,"")</f>
        <v/>
      </c>
      <c r="AO473">
        <f>IFERROR(J473-I473,"")</f>
        <v>1</v>
      </c>
      <c r="AP473">
        <f>IFERROR(AC473-X473,"")</f>
        <v>0</v>
      </c>
      <c r="AQ473" t="str">
        <f>IFERROR(AA473-W473,"")</f>
        <v/>
      </c>
    </row>
    <row r="474" spans="1:43" x14ac:dyDescent="0.35">
      <c r="A474">
        <v>131</v>
      </c>
      <c r="B474" t="s">
        <v>1523</v>
      </c>
      <c r="C474" t="s">
        <v>202</v>
      </c>
      <c r="D474" t="str">
        <f t="shared" si="149"/>
        <v>Program Office</v>
      </c>
      <c r="E474" t="s">
        <v>1398</v>
      </c>
      <c r="F474" t="s">
        <v>114</v>
      </c>
      <c r="G474" t="s">
        <v>1481</v>
      </c>
      <c r="H474" t="s">
        <v>80</v>
      </c>
      <c r="I474" s="32">
        <v>44760.802951388891</v>
      </c>
      <c r="J474" s="32">
        <v>44763.802951388891</v>
      </c>
      <c r="K474" s="32">
        <v>44769.802951388891</v>
      </c>
      <c r="L474" s="8">
        <f t="shared" si="150"/>
        <v>9</v>
      </c>
      <c r="M474" s="7">
        <v>44959.802951388891</v>
      </c>
      <c r="N474" t="s">
        <v>49</v>
      </c>
      <c r="O474" s="34">
        <v>44780.802951388891</v>
      </c>
      <c r="P474" t="s">
        <v>50</v>
      </c>
      <c r="Q474" t="s">
        <v>236</v>
      </c>
      <c r="R474" s="32" t="s">
        <v>7472</v>
      </c>
      <c r="S474" t="s">
        <v>7476</v>
      </c>
      <c r="T474" s="34" t="s">
        <v>7476</v>
      </c>
      <c r="U474" s="34" t="s">
        <v>7476</v>
      </c>
      <c r="V474" s="32" t="s">
        <v>7476</v>
      </c>
      <c r="W474" s="32" t="s">
        <v>7476</v>
      </c>
      <c r="X474">
        <v>0</v>
      </c>
      <c r="Y474" s="34" t="s">
        <v>7476</v>
      </c>
      <c r="Z474" s="34" t="s">
        <v>7476</v>
      </c>
      <c r="AA474" s="34" t="s">
        <v>7476</v>
      </c>
      <c r="AB474" s="36" t="s">
        <v>95</v>
      </c>
      <c r="AD474" t="s">
        <v>1524</v>
      </c>
      <c r="AE474" t="s">
        <v>1525</v>
      </c>
      <c r="AF474" s="16">
        <v>44769</v>
      </c>
      <c r="AG474" t="s">
        <v>64</v>
      </c>
      <c r="AH474">
        <v>3</v>
      </c>
      <c r="AI474" s="8" t="str">
        <f>IFERROR(R474-AF474,"")</f>
        <v/>
      </c>
      <c r="AJ474" s="8">
        <f>IFERROR(O474-AF474,"")</f>
        <v>11.802951388890506</v>
      </c>
      <c r="AK474" s="38" t="str">
        <f t="shared" si="151"/>
        <v/>
      </c>
      <c r="AL474" t="str">
        <f>IFERROR(Z474-W474,"")</f>
        <v/>
      </c>
      <c r="AM474" t="str">
        <f>IFERROR(R474-J474,"")</f>
        <v/>
      </c>
      <c r="AN474" t="str">
        <f>IFERROR(V474-O474,"")</f>
        <v/>
      </c>
      <c r="AO474">
        <f>IFERROR(J474-I474,"")</f>
        <v>3</v>
      </c>
      <c r="AP474">
        <f>IFERROR(AC474-X474,"")</f>
        <v>0</v>
      </c>
      <c r="AQ474" t="str">
        <f>IFERROR(AA474-W474,"")</f>
        <v/>
      </c>
    </row>
    <row r="475" spans="1:43" x14ac:dyDescent="0.35">
      <c r="A475">
        <v>70</v>
      </c>
      <c r="B475" t="s">
        <v>1526</v>
      </c>
      <c r="C475" t="s">
        <v>202</v>
      </c>
      <c r="D475" t="str">
        <f t="shared" si="149"/>
        <v>Program Office</v>
      </c>
      <c r="E475" t="s">
        <v>1398</v>
      </c>
      <c r="F475" t="s">
        <v>78</v>
      </c>
      <c r="G475" t="s">
        <v>1399</v>
      </c>
      <c r="H475" t="s">
        <v>80</v>
      </c>
      <c r="I475" s="32">
        <v>45161.755949074082</v>
      </c>
      <c r="J475" s="32">
        <v>45164.755949074082</v>
      </c>
      <c r="K475" s="32" t="s">
        <v>7473</v>
      </c>
      <c r="L475" s="8" t="str">
        <f t="shared" si="150"/>
        <v/>
      </c>
      <c r="M475" s="7">
        <v>45178.755949074082</v>
      </c>
      <c r="N475" t="s">
        <v>72</v>
      </c>
      <c r="O475" s="34" t="s">
        <v>7474</v>
      </c>
      <c r="R475" s="32" t="s">
        <v>7472</v>
      </c>
      <c r="S475" t="s">
        <v>7476</v>
      </c>
      <c r="T475" s="34" t="s">
        <v>7476</v>
      </c>
      <c r="U475" s="34" t="s">
        <v>7476</v>
      </c>
      <c r="V475" s="32" t="s">
        <v>7476</v>
      </c>
      <c r="W475" s="32" t="s">
        <v>7476</v>
      </c>
      <c r="X475">
        <v>0</v>
      </c>
      <c r="Y475" s="34" t="s">
        <v>7476</v>
      </c>
      <c r="Z475" s="34" t="s">
        <v>7476</v>
      </c>
      <c r="AA475" s="34" t="s">
        <v>7476</v>
      </c>
      <c r="AB475" s="36" t="s">
        <v>7476</v>
      </c>
      <c r="AD475" t="s">
        <v>1527</v>
      </c>
      <c r="AE475" t="s">
        <v>1528</v>
      </c>
      <c r="AG475" t="s">
        <v>55</v>
      </c>
      <c r="AH475">
        <v>6</v>
      </c>
      <c r="AK475" s="38" t="str">
        <f t="shared" si="151"/>
        <v/>
      </c>
    </row>
    <row r="476" spans="1:43" x14ac:dyDescent="0.35">
      <c r="A476">
        <v>63</v>
      </c>
      <c r="B476" t="s">
        <v>1529</v>
      </c>
      <c r="C476" t="s">
        <v>202</v>
      </c>
      <c r="D476" t="str">
        <f t="shared" si="149"/>
        <v>Program Office</v>
      </c>
      <c r="E476" t="s">
        <v>1398</v>
      </c>
      <c r="F476" t="s">
        <v>78</v>
      </c>
      <c r="G476" t="s">
        <v>1399</v>
      </c>
      <c r="H476" t="s">
        <v>80</v>
      </c>
      <c r="I476" s="32">
        <v>45164.755949074082</v>
      </c>
      <c r="J476" s="32">
        <v>45165.755949074082</v>
      </c>
      <c r="K476" s="32" t="s">
        <v>7473</v>
      </c>
      <c r="L476" s="8" t="str">
        <f t="shared" si="150"/>
        <v/>
      </c>
      <c r="M476" s="7">
        <v>45193.755949074082</v>
      </c>
      <c r="N476" t="s">
        <v>49</v>
      </c>
      <c r="O476" s="34">
        <v>45179.755949074082</v>
      </c>
      <c r="P476" t="s">
        <v>50</v>
      </c>
      <c r="Q476" t="s">
        <v>125</v>
      </c>
      <c r="R476" s="32" t="s">
        <v>7472</v>
      </c>
      <c r="S476" t="s">
        <v>7476</v>
      </c>
      <c r="T476" s="34" t="s">
        <v>7476</v>
      </c>
      <c r="U476" s="34" t="s">
        <v>7476</v>
      </c>
      <c r="V476" s="32">
        <v>45180.755949074082</v>
      </c>
      <c r="W476" s="32" t="s">
        <v>7476</v>
      </c>
      <c r="X476">
        <v>0</v>
      </c>
      <c r="Y476" s="34" t="s">
        <v>7476</v>
      </c>
      <c r="Z476" s="34" t="s">
        <v>7476</v>
      </c>
      <c r="AA476" s="34" t="s">
        <v>7476</v>
      </c>
      <c r="AB476" s="36" t="s">
        <v>95</v>
      </c>
      <c r="AD476" t="s">
        <v>1530</v>
      </c>
      <c r="AE476" t="s">
        <v>1531</v>
      </c>
      <c r="AF476" s="16">
        <v>45160</v>
      </c>
      <c r="AG476" t="s">
        <v>55</v>
      </c>
      <c r="AH476">
        <v>6</v>
      </c>
      <c r="AK476" s="38">
        <f t="shared" si="151"/>
        <v>45360.755949074082</v>
      </c>
    </row>
    <row r="477" spans="1:43" x14ac:dyDescent="0.35">
      <c r="A477">
        <v>62</v>
      </c>
      <c r="B477" t="s">
        <v>1532</v>
      </c>
      <c r="C477" t="s">
        <v>217</v>
      </c>
      <c r="D477" t="str">
        <f t="shared" si="149"/>
        <v>Program Office</v>
      </c>
      <c r="E477" t="s">
        <v>1398</v>
      </c>
      <c r="F477" t="s">
        <v>78</v>
      </c>
      <c r="G477" t="s">
        <v>1399</v>
      </c>
      <c r="H477" t="s">
        <v>80</v>
      </c>
      <c r="I477" s="32">
        <v>45165.755949074082</v>
      </c>
      <c r="J477" s="32">
        <v>45168.755949074082</v>
      </c>
      <c r="K477" s="32">
        <v>45170.755949074082</v>
      </c>
      <c r="L477" s="8">
        <f t="shared" si="150"/>
        <v>5</v>
      </c>
      <c r="M477" s="7">
        <v>45191.755949074082</v>
      </c>
      <c r="N477" t="s">
        <v>49</v>
      </c>
      <c r="O477" s="34">
        <v>45180.755949074082</v>
      </c>
      <c r="P477" t="s">
        <v>50</v>
      </c>
      <c r="Q477" t="s">
        <v>125</v>
      </c>
      <c r="R477" s="32" t="s">
        <v>7472</v>
      </c>
      <c r="S477" t="s">
        <v>7476</v>
      </c>
      <c r="T477" s="34" t="s">
        <v>7476</v>
      </c>
      <c r="U477" s="34" t="s">
        <v>7476</v>
      </c>
      <c r="V477" s="32" t="s">
        <v>7476</v>
      </c>
      <c r="W477" s="32" t="s">
        <v>7476</v>
      </c>
      <c r="X477">
        <v>0</v>
      </c>
      <c r="Y477" s="34" t="s">
        <v>7476</v>
      </c>
      <c r="Z477" s="34" t="s">
        <v>7476</v>
      </c>
      <c r="AA477" s="34" t="s">
        <v>7476</v>
      </c>
      <c r="AB477" s="36" t="s">
        <v>95</v>
      </c>
      <c r="AD477" t="s">
        <v>1533</v>
      </c>
      <c r="AE477" t="s">
        <v>1534</v>
      </c>
      <c r="AF477" s="16">
        <v>45169</v>
      </c>
      <c r="AG477" t="s">
        <v>68</v>
      </c>
      <c r="AH477">
        <v>3</v>
      </c>
      <c r="AI477" s="8" t="str">
        <f t="shared" ref="AI477:AI483" si="160">IFERROR(R477-AF477,"")</f>
        <v/>
      </c>
      <c r="AJ477" s="8">
        <f t="shared" ref="AJ477:AJ483" si="161">IFERROR(O477-AF477,"")</f>
        <v>11.755949074082309</v>
      </c>
      <c r="AK477" s="38" t="str">
        <f t="shared" si="151"/>
        <v/>
      </c>
      <c r="AL477" t="str">
        <f t="shared" ref="AL477:AL483" si="162">IFERROR(Z477-W477,"")</f>
        <v/>
      </c>
      <c r="AM477" t="str">
        <f t="shared" ref="AM477:AM483" si="163">IFERROR(R477-J477,"")</f>
        <v/>
      </c>
      <c r="AN477" t="str">
        <f t="shared" ref="AN477:AN483" si="164">IFERROR(V477-O477,"")</f>
        <v/>
      </c>
      <c r="AO477">
        <f t="shared" ref="AO477:AO483" si="165">IFERROR(J477-I477,"")</f>
        <v>3</v>
      </c>
      <c r="AP477">
        <f t="shared" ref="AP477:AP483" si="166">IFERROR(AC477-X477,"")</f>
        <v>0</v>
      </c>
      <c r="AQ477" t="str">
        <f t="shared" ref="AQ477:AQ483" si="167">IFERROR(AA477-W477,"")</f>
        <v/>
      </c>
    </row>
    <row r="478" spans="1:43" x14ac:dyDescent="0.35">
      <c r="A478">
        <v>10</v>
      </c>
      <c r="B478" t="s">
        <v>1535</v>
      </c>
      <c r="C478" t="s">
        <v>213</v>
      </c>
      <c r="D478" t="str">
        <f t="shared" si="149"/>
        <v>Program Office</v>
      </c>
      <c r="E478" t="s">
        <v>1398</v>
      </c>
      <c r="F478" t="s">
        <v>78</v>
      </c>
      <c r="G478" t="s">
        <v>1399</v>
      </c>
      <c r="H478" t="s">
        <v>80</v>
      </c>
      <c r="I478" s="32">
        <v>45081.372060185182</v>
      </c>
      <c r="J478" s="32">
        <v>45082.372060185182</v>
      </c>
      <c r="K478" s="32">
        <v>45083.372060185182</v>
      </c>
      <c r="L478" s="8">
        <f t="shared" si="150"/>
        <v>2</v>
      </c>
      <c r="M478" s="7">
        <v>45103.372060185182</v>
      </c>
      <c r="N478" t="s">
        <v>49</v>
      </c>
      <c r="O478" s="34">
        <v>45092.372060185182</v>
      </c>
      <c r="P478" t="s">
        <v>50</v>
      </c>
      <c r="Q478" t="s">
        <v>236</v>
      </c>
      <c r="R478" s="32" t="s">
        <v>7472</v>
      </c>
      <c r="S478" t="s">
        <v>7476</v>
      </c>
      <c r="T478" s="34" t="s">
        <v>7476</v>
      </c>
      <c r="U478" s="34" t="s">
        <v>7476</v>
      </c>
      <c r="V478" s="32">
        <v>45095.372060185182</v>
      </c>
      <c r="W478" s="32" t="s">
        <v>7476</v>
      </c>
      <c r="X478">
        <v>0</v>
      </c>
      <c r="Y478" s="34" t="s">
        <v>7476</v>
      </c>
      <c r="Z478" s="34" t="s">
        <v>7476</v>
      </c>
      <c r="AA478" s="34" t="s">
        <v>7476</v>
      </c>
      <c r="AB478" s="36" t="s">
        <v>95</v>
      </c>
      <c r="AD478" t="s">
        <v>1536</v>
      </c>
      <c r="AE478" t="s">
        <v>1537</v>
      </c>
      <c r="AF478" s="16">
        <v>44932</v>
      </c>
      <c r="AG478" t="s">
        <v>68</v>
      </c>
      <c r="AH478">
        <v>3</v>
      </c>
      <c r="AI478" s="8" t="str">
        <f t="shared" si="160"/>
        <v/>
      </c>
      <c r="AJ478" s="8">
        <f t="shared" si="161"/>
        <v>160.37206018518191</v>
      </c>
      <c r="AK478" s="38">
        <f t="shared" si="151"/>
        <v>45185.372060185182</v>
      </c>
      <c r="AL478" t="str">
        <f t="shared" si="162"/>
        <v/>
      </c>
      <c r="AM478" t="str">
        <f t="shared" si="163"/>
        <v/>
      </c>
      <c r="AN478">
        <f t="shared" si="164"/>
        <v>3</v>
      </c>
      <c r="AO478">
        <f t="shared" si="165"/>
        <v>1</v>
      </c>
      <c r="AP478">
        <f t="shared" si="166"/>
        <v>0</v>
      </c>
      <c r="AQ478" t="str">
        <f t="shared" si="167"/>
        <v/>
      </c>
    </row>
    <row r="479" spans="1:43" x14ac:dyDescent="0.35">
      <c r="A479">
        <v>8</v>
      </c>
      <c r="B479" t="s">
        <v>1538</v>
      </c>
      <c r="C479" t="s">
        <v>202</v>
      </c>
      <c r="D479" t="str">
        <f t="shared" si="149"/>
        <v>Program Office</v>
      </c>
      <c r="E479" t="s">
        <v>1398</v>
      </c>
      <c r="F479" t="s">
        <v>78</v>
      </c>
      <c r="G479" t="s">
        <v>1399</v>
      </c>
      <c r="H479" t="s">
        <v>80</v>
      </c>
      <c r="I479" s="32">
        <v>45079.372060185182</v>
      </c>
      <c r="J479" s="32">
        <v>45082.372060185182</v>
      </c>
      <c r="K479" s="32">
        <v>45083.372060185182</v>
      </c>
      <c r="L479" s="8">
        <f t="shared" si="150"/>
        <v>4</v>
      </c>
      <c r="M479" s="7">
        <v>45113.372060185182</v>
      </c>
      <c r="N479" t="s">
        <v>49</v>
      </c>
      <c r="O479" s="34">
        <v>45089.372060185182</v>
      </c>
      <c r="P479" t="s">
        <v>50</v>
      </c>
      <c r="Q479" t="s">
        <v>51</v>
      </c>
      <c r="R479" s="32" t="s">
        <v>7472</v>
      </c>
      <c r="S479" t="s">
        <v>7476</v>
      </c>
      <c r="T479" s="34" t="s">
        <v>7476</v>
      </c>
      <c r="U479" s="34" t="s">
        <v>7476</v>
      </c>
      <c r="V479" s="32" t="s">
        <v>7476</v>
      </c>
      <c r="W479" s="32" t="s">
        <v>7476</v>
      </c>
      <c r="X479">
        <v>0</v>
      </c>
      <c r="Y479" s="34" t="s">
        <v>7476</v>
      </c>
      <c r="Z479" s="34" t="s">
        <v>7476</v>
      </c>
      <c r="AA479" s="34" t="s">
        <v>7476</v>
      </c>
      <c r="AB479" s="36" t="s">
        <v>52</v>
      </c>
      <c r="AD479" t="s">
        <v>1539</v>
      </c>
      <c r="AE479" t="s">
        <v>1540</v>
      </c>
      <c r="AF479" s="16">
        <v>45075</v>
      </c>
      <c r="AG479" t="s">
        <v>98</v>
      </c>
      <c r="AH479">
        <v>3</v>
      </c>
      <c r="AI479" s="8" t="str">
        <f t="shared" si="160"/>
        <v/>
      </c>
      <c r="AJ479" s="8">
        <f t="shared" si="161"/>
        <v>14.372060185181908</v>
      </c>
      <c r="AK479" s="38" t="str">
        <f t="shared" si="151"/>
        <v/>
      </c>
      <c r="AL479" t="str">
        <f t="shared" si="162"/>
        <v/>
      </c>
      <c r="AM479" t="str">
        <f t="shared" si="163"/>
        <v/>
      </c>
      <c r="AN479" t="str">
        <f t="shared" si="164"/>
        <v/>
      </c>
      <c r="AO479">
        <f t="shared" si="165"/>
        <v>3</v>
      </c>
      <c r="AP479">
        <f t="shared" si="166"/>
        <v>0</v>
      </c>
      <c r="AQ479" t="str">
        <f t="shared" si="167"/>
        <v/>
      </c>
    </row>
    <row r="480" spans="1:43" x14ac:dyDescent="0.35">
      <c r="A480">
        <v>2974</v>
      </c>
      <c r="B480" t="s">
        <v>1541</v>
      </c>
      <c r="C480" t="s">
        <v>213</v>
      </c>
      <c r="D480" t="str">
        <f t="shared" si="149"/>
        <v>Program Office</v>
      </c>
      <c r="E480" t="s">
        <v>1542</v>
      </c>
      <c r="F480" t="s">
        <v>46</v>
      </c>
      <c r="G480" t="s">
        <v>333</v>
      </c>
      <c r="H480" t="s">
        <v>59</v>
      </c>
      <c r="I480" s="32">
        <v>44761.636782407397</v>
      </c>
      <c r="J480" s="32">
        <v>44763.636782407397</v>
      </c>
      <c r="K480" s="32">
        <v>44771.636782407397</v>
      </c>
      <c r="L480" s="8">
        <f t="shared" si="150"/>
        <v>10</v>
      </c>
      <c r="M480" s="7">
        <v>44790.636782407397</v>
      </c>
      <c r="N480" t="s">
        <v>49</v>
      </c>
      <c r="O480" s="34">
        <v>44777.636782407397</v>
      </c>
      <c r="P480" t="s">
        <v>101</v>
      </c>
      <c r="R480" s="32">
        <v>44782.636782407397</v>
      </c>
      <c r="S480" t="s">
        <v>101</v>
      </c>
      <c r="T480" s="34">
        <v>44779.636782407397</v>
      </c>
      <c r="U480" s="34">
        <v>44782.636782407397</v>
      </c>
      <c r="V480" s="32">
        <v>44780.636782407397</v>
      </c>
      <c r="W480" s="32">
        <v>44782.636782407397</v>
      </c>
      <c r="X480">
        <v>1</v>
      </c>
      <c r="Y480" s="34">
        <v>44783.636782407397</v>
      </c>
      <c r="Z480" s="34">
        <v>44786.636782407397</v>
      </c>
      <c r="AA480" s="34">
        <v>44787.636782407397</v>
      </c>
      <c r="AB480" s="36" t="s">
        <v>7476</v>
      </c>
      <c r="AC480" s="10">
        <v>44807.636782407397</v>
      </c>
      <c r="AD480" t="s">
        <v>1543</v>
      </c>
      <c r="AE480" t="s">
        <v>1544</v>
      </c>
      <c r="AF480" s="16">
        <v>44765</v>
      </c>
      <c r="AG480" t="s">
        <v>98</v>
      </c>
      <c r="AH480">
        <v>3</v>
      </c>
      <c r="AI480" s="8">
        <f t="shared" si="160"/>
        <v>17.636782407396822</v>
      </c>
      <c r="AJ480" s="8">
        <f t="shared" si="161"/>
        <v>12.636782407396822</v>
      </c>
      <c r="AK480" s="38">
        <f t="shared" si="151"/>
        <v>44870.636782407397</v>
      </c>
      <c r="AL480">
        <f t="shared" si="162"/>
        <v>4</v>
      </c>
      <c r="AM480">
        <f t="shared" si="163"/>
        <v>19</v>
      </c>
      <c r="AN480">
        <f t="shared" si="164"/>
        <v>3</v>
      </c>
      <c r="AO480">
        <f t="shared" si="165"/>
        <v>2</v>
      </c>
      <c r="AP480">
        <f t="shared" si="166"/>
        <v>44806.636782407397</v>
      </c>
      <c r="AQ480">
        <f t="shared" si="167"/>
        <v>5</v>
      </c>
    </row>
    <row r="481" spans="1:43" x14ac:dyDescent="0.35">
      <c r="A481">
        <v>2972</v>
      </c>
      <c r="B481" t="s">
        <v>1545</v>
      </c>
      <c r="C481" t="s">
        <v>213</v>
      </c>
      <c r="D481" t="str">
        <f t="shared" si="149"/>
        <v>Program Office</v>
      </c>
      <c r="E481" t="s">
        <v>1542</v>
      </c>
      <c r="F481" t="s">
        <v>46</v>
      </c>
      <c r="G481" t="s">
        <v>333</v>
      </c>
      <c r="H481" t="s">
        <v>59</v>
      </c>
      <c r="I481" s="32">
        <v>44761.636782407397</v>
      </c>
      <c r="J481" s="32">
        <v>44764.636782407397</v>
      </c>
      <c r="K481" s="32">
        <v>44772.636782407397</v>
      </c>
      <c r="L481" s="8">
        <f t="shared" si="150"/>
        <v>11</v>
      </c>
      <c r="M481" s="7">
        <v>44790.636782407397</v>
      </c>
      <c r="N481" t="s">
        <v>49</v>
      </c>
      <c r="O481" s="34">
        <v>44773.636782407397</v>
      </c>
      <c r="P481" t="s">
        <v>50</v>
      </c>
      <c r="Q481" t="s">
        <v>51</v>
      </c>
      <c r="R481" s="32" t="s">
        <v>7472</v>
      </c>
      <c r="S481" t="s">
        <v>7476</v>
      </c>
      <c r="T481" s="34" t="s">
        <v>7476</v>
      </c>
      <c r="U481" s="34" t="s">
        <v>7476</v>
      </c>
      <c r="V481" s="32" t="s">
        <v>7476</v>
      </c>
      <c r="W481" s="32" t="s">
        <v>7476</v>
      </c>
      <c r="X481">
        <v>0</v>
      </c>
      <c r="Y481" s="34" t="s">
        <v>7476</v>
      </c>
      <c r="Z481" s="34" t="s">
        <v>7476</v>
      </c>
      <c r="AA481" s="34" t="s">
        <v>7476</v>
      </c>
      <c r="AB481" s="36" t="s">
        <v>52</v>
      </c>
      <c r="AD481" t="s">
        <v>1546</v>
      </c>
      <c r="AE481" t="s">
        <v>1547</v>
      </c>
      <c r="AF481" s="16">
        <v>44756</v>
      </c>
      <c r="AG481" t="s">
        <v>68</v>
      </c>
      <c r="AH481">
        <v>3</v>
      </c>
      <c r="AI481" s="8" t="str">
        <f t="shared" si="160"/>
        <v/>
      </c>
      <c r="AJ481" s="8">
        <f t="shared" si="161"/>
        <v>17.636782407396822</v>
      </c>
      <c r="AK481" s="38" t="str">
        <f t="shared" si="151"/>
        <v/>
      </c>
      <c r="AL481" t="str">
        <f t="shared" si="162"/>
        <v/>
      </c>
      <c r="AM481" t="str">
        <f t="shared" si="163"/>
        <v/>
      </c>
      <c r="AN481" t="str">
        <f t="shared" si="164"/>
        <v/>
      </c>
      <c r="AO481">
        <f t="shared" si="165"/>
        <v>3</v>
      </c>
      <c r="AP481">
        <f t="shared" si="166"/>
        <v>0</v>
      </c>
      <c r="AQ481" t="str">
        <f t="shared" si="167"/>
        <v/>
      </c>
    </row>
    <row r="482" spans="1:43" x14ac:dyDescent="0.35">
      <c r="A482">
        <v>2969</v>
      </c>
      <c r="B482" t="s">
        <v>1548</v>
      </c>
      <c r="C482" t="s">
        <v>213</v>
      </c>
      <c r="D482" t="str">
        <f t="shared" si="149"/>
        <v>Program Office</v>
      </c>
      <c r="E482" t="s">
        <v>1542</v>
      </c>
      <c r="F482" t="s">
        <v>46</v>
      </c>
      <c r="G482" t="s">
        <v>333</v>
      </c>
      <c r="H482" t="s">
        <v>59</v>
      </c>
      <c r="I482" s="32">
        <v>44698.276689814818</v>
      </c>
      <c r="J482" s="32">
        <v>44701.276689814818</v>
      </c>
      <c r="K482" s="32">
        <v>44709.276689814818</v>
      </c>
      <c r="L482" s="8">
        <f t="shared" si="150"/>
        <v>11</v>
      </c>
      <c r="M482" s="7">
        <v>44754.276689814818</v>
      </c>
      <c r="N482" t="s">
        <v>72</v>
      </c>
      <c r="O482" s="34" t="s">
        <v>7474</v>
      </c>
      <c r="R482" s="32" t="s">
        <v>7472</v>
      </c>
      <c r="S482" t="s">
        <v>7476</v>
      </c>
      <c r="T482" s="34" t="s">
        <v>7476</v>
      </c>
      <c r="U482" s="34" t="s">
        <v>7476</v>
      </c>
      <c r="V482" s="32" t="s">
        <v>7476</v>
      </c>
      <c r="W482" s="32" t="s">
        <v>7476</v>
      </c>
      <c r="X482">
        <v>0</v>
      </c>
      <c r="Y482" s="34" t="s">
        <v>7476</v>
      </c>
      <c r="Z482" s="34" t="s">
        <v>7476</v>
      </c>
      <c r="AA482" s="34" t="s">
        <v>7476</v>
      </c>
      <c r="AB482" s="36" t="s">
        <v>7476</v>
      </c>
      <c r="AD482" t="s">
        <v>1549</v>
      </c>
      <c r="AE482" t="s">
        <v>1550</v>
      </c>
      <c r="AG482" t="s">
        <v>98</v>
      </c>
      <c r="AH482">
        <v>6</v>
      </c>
      <c r="AI482" s="8" t="str">
        <f t="shared" si="160"/>
        <v/>
      </c>
      <c r="AJ482" s="8" t="str">
        <f t="shared" si="161"/>
        <v/>
      </c>
      <c r="AK482" s="38" t="str">
        <f t="shared" si="151"/>
        <v/>
      </c>
      <c r="AL482" t="str">
        <f t="shared" si="162"/>
        <v/>
      </c>
      <c r="AM482" t="str">
        <f t="shared" si="163"/>
        <v/>
      </c>
      <c r="AN482" t="str">
        <f t="shared" si="164"/>
        <v/>
      </c>
      <c r="AO482">
        <f t="shared" si="165"/>
        <v>3</v>
      </c>
      <c r="AP482">
        <f t="shared" si="166"/>
        <v>0</v>
      </c>
      <c r="AQ482" t="str">
        <f t="shared" si="167"/>
        <v/>
      </c>
    </row>
    <row r="483" spans="1:43" x14ac:dyDescent="0.35">
      <c r="A483">
        <v>2967</v>
      </c>
      <c r="B483" t="s">
        <v>1551</v>
      </c>
      <c r="C483" t="s">
        <v>202</v>
      </c>
      <c r="D483" t="str">
        <f t="shared" si="149"/>
        <v>Program Office</v>
      </c>
      <c r="E483" t="s">
        <v>1542</v>
      </c>
      <c r="F483" t="s">
        <v>46</v>
      </c>
      <c r="G483" t="s">
        <v>333</v>
      </c>
      <c r="H483" t="s">
        <v>59</v>
      </c>
      <c r="I483" s="32">
        <v>44699.276689814818</v>
      </c>
      <c r="J483" s="32">
        <v>44701.276689814818</v>
      </c>
      <c r="K483" s="32">
        <v>44709.276689814818</v>
      </c>
      <c r="L483" s="8">
        <f t="shared" si="150"/>
        <v>10</v>
      </c>
      <c r="M483" s="7">
        <v>44754.276689814818</v>
      </c>
      <c r="N483" t="s">
        <v>72</v>
      </c>
      <c r="O483" s="34" t="s">
        <v>7474</v>
      </c>
      <c r="R483" s="32" t="s">
        <v>7472</v>
      </c>
      <c r="S483" t="s">
        <v>7476</v>
      </c>
      <c r="T483" s="34" t="s">
        <v>7476</v>
      </c>
      <c r="U483" s="34" t="s">
        <v>7476</v>
      </c>
      <c r="V483" s="32" t="s">
        <v>7476</v>
      </c>
      <c r="W483" s="32" t="s">
        <v>7476</v>
      </c>
      <c r="X483">
        <v>0</v>
      </c>
      <c r="Y483" s="34" t="s">
        <v>7476</v>
      </c>
      <c r="Z483" s="34" t="s">
        <v>7476</v>
      </c>
      <c r="AA483" s="34" t="s">
        <v>7476</v>
      </c>
      <c r="AB483" s="36" t="s">
        <v>7476</v>
      </c>
      <c r="AD483" t="s">
        <v>1552</v>
      </c>
      <c r="AE483" t="s">
        <v>1553</v>
      </c>
      <c r="AG483" t="s">
        <v>68</v>
      </c>
      <c r="AH483">
        <v>6</v>
      </c>
      <c r="AI483" s="8" t="str">
        <f t="shared" si="160"/>
        <v/>
      </c>
      <c r="AJ483" s="8" t="str">
        <f t="shared" si="161"/>
        <v/>
      </c>
      <c r="AK483" s="38" t="str">
        <f t="shared" si="151"/>
        <v/>
      </c>
      <c r="AL483" t="str">
        <f t="shared" si="162"/>
        <v/>
      </c>
      <c r="AM483" t="str">
        <f t="shared" si="163"/>
        <v/>
      </c>
      <c r="AN483" t="str">
        <f t="shared" si="164"/>
        <v/>
      </c>
      <c r="AO483">
        <f t="shared" si="165"/>
        <v>2</v>
      </c>
      <c r="AP483">
        <f t="shared" si="166"/>
        <v>0</v>
      </c>
      <c r="AQ483" t="str">
        <f t="shared" si="167"/>
        <v/>
      </c>
    </row>
    <row r="484" spans="1:43" x14ac:dyDescent="0.35">
      <c r="A484">
        <v>2885</v>
      </c>
      <c r="B484" t="s">
        <v>1554</v>
      </c>
      <c r="C484" t="s">
        <v>213</v>
      </c>
      <c r="D484" t="str">
        <f t="shared" si="149"/>
        <v>Program Office</v>
      </c>
      <c r="E484" t="s">
        <v>1542</v>
      </c>
      <c r="F484" t="s">
        <v>46</v>
      </c>
      <c r="G484" t="s">
        <v>333</v>
      </c>
      <c r="H484" t="s">
        <v>59</v>
      </c>
      <c r="I484" s="32" t="s">
        <v>7471</v>
      </c>
      <c r="J484" s="32">
        <v>44858.066979166673</v>
      </c>
      <c r="K484" s="32">
        <v>44865.066979166673</v>
      </c>
      <c r="L484" s="8" t="str">
        <f t="shared" si="150"/>
        <v/>
      </c>
      <c r="M484" s="7">
        <v>44910.066979166673</v>
      </c>
      <c r="N484" t="s">
        <v>49</v>
      </c>
      <c r="O484" s="34">
        <v>44880.066979166673</v>
      </c>
      <c r="P484" t="s">
        <v>101</v>
      </c>
      <c r="R484" s="32">
        <v>44887.066979166673</v>
      </c>
      <c r="S484" t="s">
        <v>101</v>
      </c>
      <c r="T484" s="34">
        <v>44881.066979166673</v>
      </c>
      <c r="U484" s="34">
        <v>44883.066979166673</v>
      </c>
      <c r="V484" s="32">
        <v>44883.066979166673</v>
      </c>
      <c r="W484" s="32">
        <v>44890.066979166673</v>
      </c>
      <c r="X484">
        <v>1</v>
      </c>
      <c r="Y484" s="34">
        <v>44893.066979166673</v>
      </c>
      <c r="Z484" s="34">
        <v>44896.066979166673</v>
      </c>
      <c r="AA484" s="34">
        <v>44899.066979166673</v>
      </c>
      <c r="AB484" s="36" t="s">
        <v>7476</v>
      </c>
      <c r="AC484" s="10">
        <v>44912.066979166673</v>
      </c>
      <c r="AD484" t="s">
        <v>1555</v>
      </c>
      <c r="AE484" t="s">
        <v>1556</v>
      </c>
      <c r="AF484" s="16">
        <v>44864</v>
      </c>
      <c r="AG484" t="s">
        <v>98</v>
      </c>
      <c r="AH484">
        <v>3</v>
      </c>
      <c r="AK484" s="38">
        <f t="shared" si="151"/>
        <v>44973.066979166673</v>
      </c>
    </row>
    <row r="485" spans="1:43" x14ac:dyDescent="0.35">
      <c r="A485">
        <v>2884</v>
      </c>
      <c r="B485" t="s">
        <v>1557</v>
      </c>
      <c r="C485" t="s">
        <v>217</v>
      </c>
      <c r="D485" t="str">
        <f t="shared" si="149"/>
        <v>Program Office</v>
      </c>
      <c r="E485" t="s">
        <v>1542</v>
      </c>
      <c r="F485" t="s">
        <v>46</v>
      </c>
      <c r="G485" t="s">
        <v>333</v>
      </c>
      <c r="H485" t="s">
        <v>59</v>
      </c>
      <c r="I485" s="32" t="s">
        <v>7471</v>
      </c>
      <c r="J485" s="32">
        <v>44858.066979166673</v>
      </c>
      <c r="K485" s="32">
        <v>44865.066979166673</v>
      </c>
      <c r="L485" s="8" t="str">
        <f t="shared" si="150"/>
        <v/>
      </c>
      <c r="M485" s="7">
        <v>44910.066979166673</v>
      </c>
      <c r="N485" t="s">
        <v>72</v>
      </c>
      <c r="O485" s="34" t="s">
        <v>7474</v>
      </c>
      <c r="R485" s="32" t="s">
        <v>7472</v>
      </c>
      <c r="S485" t="s">
        <v>7476</v>
      </c>
      <c r="T485" s="34" t="s">
        <v>7476</v>
      </c>
      <c r="U485" s="34" t="s">
        <v>7476</v>
      </c>
      <c r="V485" s="32" t="s">
        <v>7476</v>
      </c>
      <c r="W485" s="32" t="s">
        <v>7476</v>
      </c>
      <c r="X485">
        <v>0</v>
      </c>
      <c r="Y485" s="34" t="s">
        <v>7476</v>
      </c>
      <c r="Z485" s="34" t="s">
        <v>7476</v>
      </c>
      <c r="AA485" s="34" t="s">
        <v>7476</v>
      </c>
      <c r="AB485" s="36" t="s">
        <v>7476</v>
      </c>
      <c r="AD485" t="s">
        <v>1558</v>
      </c>
      <c r="AE485" t="s">
        <v>1559</v>
      </c>
      <c r="AG485" t="s">
        <v>68</v>
      </c>
      <c r="AH485">
        <v>3</v>
      </c>
      <c r="AK485" s="38" t="str">
        <f t="shared" si="151"/>
        <v/>
      </c>
    </row>
    <row r="486" spans="1:43" x14ac:dyDescent="0.35">
      <c r="A486">
        <v>2881</v>
      </c>
      <c r="B486" t="s">
        <v>1560</v>
      </c>
      <c r="C486" t="s">
        <v>213</v>
      </c>
      <c r="D486" t="str">
        <f t="shared" si="149"/>
        <v>Program Office</v>
      </c>
      <c r="E486" t="s">
        <v>1542</v>
      </c>
      <c r="F486" t="s">
        <v>46</v>
      </c>
      <c r="G486" t="s">
        <v>333</v>
      </c>
      <c r="H486" t="s">
        <v>59</v>
      </c>
      <c r="I486" s="32">
        <v>44854.066979166673</v>
      </c>
      <c r="J486" s="32">
        <v>44857.066979166673</v>
      </c>
      <c r="K486" s="32">
        <v>44864.066979166673</v>
      </c>
      <c r="L486" s="8">
        <f t="shared" si="150"/>
        <v>10</v>
      </c>
      <c r="M486" s="7">
        <v>44893.066979166673</v>
      </c>
      <c r="N486" t="s">
        <v>49</v>
      </c>
      <c r="O486" s="34">
        <v>44877.066979166673</v>
      </c>
      <c r="P486" t="s">
        <v>101</v>
      </c>
      <c r="R486" s="32">
        <v>44881.066979166673</v>
      </c>
      <c r="S486" t="s">
        <v>101</v>
      </c>
      <c r="T486" s="34">
        <v>44879.066979166673</v>
      </c>
      <c r="U486" s="34">
        <v>44881.066979166673</v>
      </c>
      <c r="V486" s="32">
        <v>44879.066979166673</v>
      </c>
      <c r="W486" s="32">
        <v>44886.066979166673</v>
      </c>
      <c r="X486">
        <v>1</v>
      </c>
      <c r="Y486" s="34">
        <v>44890.066979166673</v>
      </c>
      <c r="Z486" s="34">
        <v>44891.066979166673</v>
      </c>
      <c r="AA486" s="34">
        <v>44893.066979166673</v>
      </c>
      <c r="AB486" s="36" t="s">
        <v>7476</v>
      </c>
      <c r="AC486" s="10">
        <v>44907.066979166673</v>
      </c>
      <c r="AD486" t="s">
        <v>1561</v>
      </c>
      <c r="AE486" t="s">
        <v>1562</v>
      </c>
      <c r="AF486" s="16">
        <v>44871</v>
      </c>
      <c r="AG486" t="s">
        <v>64</v>
      </c>
      <c r="AH486">
        <v>6</v>
      </c>
      <c r="AI486" s="8">
        <f>IFERROR(R486-AF486,"")</f>
        <v>10.066979166673264</v>
      </c>
      <c r="AJ486" s="8">
        <f>IFERROR(O486-AF486,"")</f>
        <v>6.0669791666732635</v>
      </c>
      <c r="AK486" s="38">
        <f t="shared" si="151"/>
        <v>45059.066979166673</v>
      </c>
      <c r="AL486">
        <f>IFERROR(Z486-W486,"")</f>
        <v>5</v>
      </c>
      <c r="AM486">
        <f>IFERROR(R486-J486,"")</f>
        <v>24</v>
      </c>
      <c r="AN486">
        <f>IFERROR(V486-O486,"")</f>
        <v>2</v>
      </c>
      <c r="AO486">
        <f>IFERROR(J486-I486,"")</f>
        <v>3</v>
      </c>
      <c r="AP486">
        <f>IFERROR(AC486-X486,"")</f>
        <v>44906.066979166673</v>
      </c>
      <c r="AQ486">
        <f>IFERROR(AA486-W486,"")</f>
        <v>7</v>
      </c>
    </row>
    <row r="487" spans="1:43" x14ac:dyDescent="0.35">
      <c r="A487">
        <v>2857</v>
      </c>
      <c r="B487" t="s">
        <v>1563</v>
      </c>
      <c r="C487" t="s">
        <v>202</v>
      </c>
      <c r="D487" t="str">
        <f t="shared" si="149"/>
        <v>Program Office</v>
      </c>
      <c r="E487" t="s">
        <v>1542</v>
      </c>
      <c r="F487" t="s">
        <v>46</v>
      </c>
      <c r="G487" t="s">
        <v>333</v>
      </c>
      <c r="H487" t="s">
        <v>59</v>
      </c>
      <c r="I487" s="32">
        <v>45033.4996875</v>
      </c>
      <c r="J487" s="32" t="s">
        <v>7471</v>
      </c>
      <c r="K487" s="32">
        <v>45041.4996875</v>
      </c>
      <c r="L487" s="8">
        <f t="shared" si="150"/>
        <v>8</v>
      </c>
      <c r="M487" s="7">
        <v>45111.4996875</v>
      </c>
      <c r="N487" t="s">
        <v>49</v>
      </c>
      <c r="O487" s="34">
        <v>45044.4996875</v>
      </c>
      <c r="P487" t="s">
        <v>101</v>
      </c>
      <c r="R487" s="32">
        <v>45049.4996875</v>
      </c>
      <c r="S487" t="s">
        <v>101</v>
      </c>
      <c r="T487" s="34">
        <v>45046.4996875</v>
      </c>
      <c r="U487" s="34">
        <v>45050.4996875</v>
      </c>
      <c r="V487" s="32">
        <v>45048.4996875</v>
      </c>
      <c r="W487" s="32">
        <v>45050.4996875</v>
      </c>
      <c r="X487">
        <v>1</v>
      </c>
      <c r="Y487" s="34">
        <v>45054.4996875</v>
      </c>
      <c r="Z487" s="34">
        <v>45055.4996875</v>
      </c>
      <c r="AA487" s="34">
        <v>45056.4996875</v>
      </c>
      <c r="AB487" s="36" t="s">
        <v>7476</v>
      </c>
      <c r="AC487" s="10">
        <v>45066.4996875</v>
      </c>
      <c r="AD487" t="s">
        <v>1564</v>
      </c>
      <c r="AE487" t="s">
        <v>1565</v>
      </c>
      <c r="AF487" s="16">
        <v>45173</v>
      </c>
      <c r="AG487" t="s">
        <v>93</v>
      </c>
      <c r="AH487">
        <v>3</v>
      </c>
      <c r="AK487" s="38">
        <f t="shared" si="151"/>
        <v>45138.4996875</v>
      </c>
    </row>
    <row r="488" spans="1:43" x14ac:dyDescent="0.35">
      <c r="A488">
        <v>2854</v>
      </c>
      <c r="B488" t="s">
        <v>1566</v>
      </c>
      <c r="C488" t="s">
        <v>213</v>
      </c>
      <c r="D488" t="str">
        <f t="shared" si="149"/>
        <v>Program Office</v>
      </c>
      <c r="E488" t="s">
        <v>1542</v>
      </c>
      <c r="F488" t="s">
        <v>70</v>
      </c>
      <c r="G488" t="s">
        <v>657</v>
      </c>
      <c r="H488" t="s">
        <v>59</v>
      </c>
      <c r="I488" s="32">
        <v>45032.4996875</v>
      </c>
      <c r="J488" s="32">
        <v>45036.4996875</v>
      </c>
      <c r="K488" s="32" t="s">
        <v>7473</v>
      </c>
      <c r="L488" s="8" t="str">
        <f t="shared" si="150"/>
        <v/>
      </c>
      <c r="M488" s="7">
        <v>45111.4996875</v>
      </c>
      <c r="N488" t="s">
        <v>49</v>
      </c>
      <c r="O488" s="34">
        <v>45047.4996875</v>
      </c>
      <c r="P488" t="s">
        <v>50</v>
      </c>
      <c r="Q488" t="s">
        <v>51</v>
      </c>
      <c r="R488" s="32" t="s">
        <v>7472</v>
      </c>
      <c r="S488" t="s">
        <v>7476</v>
      </c>
      <c r="T488" s="34" t="s">
        <v>7476</v>
      </c>
      <c r="U488" s="34" t="s">
        <v>7476</v>
      </c>
      <c r="V488" s="32" t="s">
        <v>7476</v>
      </c>
      <c r="W488" s="32" t="s">
        <v>7476</v>
      </c>
      <c r="X488">
        <v>0</v>
      </c>
      <c r="Y488" s="34" t="s">
        <v>7476</v>
      </c>
      <c r="Z488" s="34" t="s">
        <v>7476</v>
      </c>
      <c r="AA488" s="34" t="s">
        <v>7476</v>
      </c>
      <c r="AB488" s="36" t="s">
        <v>52</v>
      </c>
      <c r="AD488" t="s">
        <v>1567</v>
      </c>
      <c r="AE488" t="s">
        <v>1568</v>
      </c>
      <c r="AF488" s="16">
        <v>45029</v>
      </c>
      <c r="AG488" t="s">
        <v>68</v>
      </c>
      <c r="AH488">
        <v>3</v>
      </c>
      <c r="AK488" s="38" t="str">
        <f t="shared" si="151"/>
        <v/>
      </c>
    </row>
    <row r="489" spans="1:43" x14ac:dyDescent="0.35">
      <c r="A489">
        <v>2840</v>
      </c>
      <c r="B489" t="s">
        <v>1569</v>
      </c>
      <c r="C489" t="s">
        <v>213</v>
      </c>
      <c r="D489" t="str">
        <f t="shared" si="149"/>
        <v>Program Office</v>
      </c>
      <c r="E489" t="s">
        <v>1542</v>
      </c>
      <c r="F489" t="s">
        <v>70</v>
      </c>
      <c r="G489" t="s">
        <v>657</v>
      </c>
      <c r="H489" t="s">
        <v>59</v>
      </c>
      <c r="I489" s="32">
        <v>44660.843564814822</v>
      </c>
      <c r="J489" s="32">
        <v>44662.843564814822</v>
      </c>
      <c r="K489" s="32">
        <v>44666.843564814822</v>
      </c>
      <c r="L489" s="8">
        <f t="shared" si="150"/>
        <v>6</v>
      </c>
      <c r="M489" s="7">
        <v>44692.843564814822</v>
      </c>
      <c r="N489" t="s">
        <v>49</v>
      </c>
      <c r="O489" s="34">
        <v>44670.843564814822</v>
      </c>
      <c r="P489" t="s">
        <v>50</v>
      </c>
      <c r="Q489" t="s">
        <v>51</v>
      </c>
      <c r="R489" s="32" t="s">
        <v>7472</v>
      </c>
      <c r="S489" t="s">
        <v>7476</v>
      </c>
      <c r="T489" s="34" t="s">
        <v>7476</v>
      </c>
      <c r="U489" s="34" t="s">
        <v>7476</v>
      </c>
      <c r="V489" s="32">
        <v>44674.843564814822</v>
      </c>
      <c r="W489" s="32" t="s">
        <v>7476</v>
      </c>
      <c r="X489">
        <v>0</v>
      </c>
      <c r="Y489" s="34" t="s">
        <v>7476</v>
      </c>
      <c r="Z489" s="34" t="s">
        <v>7476</v>
      </c>
      <c r="AA489" s="34" t="s">
        <v>7476</v>
      </c>
      <c r="AB489" s="36" t="s">
        <v>95</v>
      </c>
      <c r="AD489" t="s">
        <v>1570</v>
      </c>
      <c r="AE489" t="s">
        <v>1571</v>
      </c>
      <c r="AF489" s="16">
        <v>44659</v>
      </c>
      <c r="AG489" t="s">
        <v>64</v>
      </c>
      <c r="AH489">
        <v>6</v>
      </c>
      <c r="AI489" s="8" t="str">
        <f>IFERROR(R489-AF489,"")</f>
        <v/>
      </c>
      <c r="AJ489" s="8">
        <f>IFERROR(O489-AF489,"")</f>
        <v>11.843564814822457</v>
      </c>
      <c r="AK489" s="38">
        <f t="shared" si="151"/>
        <v>44854.843564814822</v>
      </c>
      <c r="AL489" t="str">
        <f>IFERROR(Z489-W489,"")</f>
        <v/>
      </c>
      <c r="AM489" t="str">
        <f>IFERROR(R489-J489,"")</f>
        <v/>
      </c>
      <c r="AN489">
        <f>IFERROR(V489-O489,"")</f>
        <v>4</v>
      </c>
      <c r="AO489">
        <f>IFERROR(J489-I489,"")</f>
        <v>2</v>
      </c>
      <c r="AP489">
        <f>IFERROR(AC489-X489,"")</f>
        <v>0</v>
      </c>
      <c r="AQ489" t="str">
        <f>IFERROR(AA489-W489,"")</f>
        <v/>
      </c>
    </row>
    <row r="490" spans="1:43" x14ac:dyDescent="0.35">
      <c r="A490">
        <v>2836</v>
      </c>
      <c r="B490" t="s">
        <v>1572</v>
      </c>
      <c r="C490" t="s">
        <v>217</v>
      </c>
      <c r="D490" t="str">
        <f t="shared" si="149"/>
        <v>Program Office</v>
      </c>
      <c r="E490" t="s">
        <v>1542</v>
      </c>
      <c r="F490" t="s">
        <v>70</v>
      </c>
      <c r="G490" t="s">
        <v>657</v>
      </c>
      <c r="H490" t="s">
        <v>59</v>
      </c>
      <c r="I490" s="32">
        <v>44664.843564814822</v>
      </c>
      <c r="J490" s="32">
        <v>44665.843564814822</v>
      </c>
      <c r="K490" s="32">
        <v>44666.843564814822</v>
      </c>
      <c r="L490" s="8">
        <f t="shared" si="150"/>
        <v>2</v>
      </c>
      <c r="M490" s="7">
        <v>44685.843564814822</v>
      </c>
      <c r="N490" t="s">
        <v>49</v>
      </c>
      <c r="O490" s="34">
        <v>44670.843564814822</v>
      </c>
      <c r="P490" t="s">
        <v>50</v>
      </c>
      <c r="Q490" t="s">
        <v>84</v>
      </c>
      <c r="R490" s="32" t="s">
        <v>7472</v>
      </c>
      <c r="S490" t="s">
        <v>7476</v>
      </c>
      <c r="T490" s="34" t="s">
        <v>7476</v>
      </c>
      <c r="U490" s="34" t="s">
        <v>7476</v>
      </c>
      <c r="V490" s="32">
        <v>44673.843564814822</v>
      </c>
      <c r="W490" s="32" t="s">
        <v>7476</v>
      </c>
      <c r="X490">
        <v>0</v>
      </c>
      <c r="Y490" s="34" t="s">
        <v>7476</v>
      </c>
      <c r="Z490" s="34" t="s">
        <v>7476</v>
      </c>
      <c r="AA490" s="34" t="s">
        <v>7476</v>
      </c>
      <c r="AB490" s="36" t="s">
        <v>52</v>
      </c>
      <c r="AD490" t="s">
        <v>1573</v>
      </c>
      <c r="AE490" t="s">
        <v>1574</v>
      </c>
      <c r="AF490" s="16">
        <v>44664</v>
      </c>
      <c r="AG490" t="s">
        <v>98</v>
      </c>
      <c r="AH490">
        <v>3</v>
      </c>
      <c r="AI490" s="8" t="str">
        <f>IFERROR(R490-AF490,"")</f>
        <v/>
      </c>
      <c r="AJ490" s="8">
        <f>IFERROR(O490-AF490,"")</f>
        <v>6.8435648148224573</v>
      </c>
      <c r="AK490" s="38">
        <f t="shared" si="151"/>
        <v>44763.843564814822</v>
      </c>
      <c r="AL490" t="str">
        <f>IFERROR(Z490-W490,"")</f>
        <v/>
      </c>
      <c r="AM490" t="str">
        <f>IFERROR(R490-J490,"")</f>
        <v/>
      </c>
      <c r="AN490">
        <f>IFERROR(V490-O490,"")</f>
        <v>3</v>
      </c>
      <c r="AO490">
        <f>IFERROR(J490-I490,"")</f>
        <v>1</v>
      </c>
      <c r="AP490">
        <f>IFERROR(AC490-X490,"")</f>
        <v>0</v>
      </c>
      <c r="AQ490" t="str">
        <f>IFERROR(AA490-W490,"")</f>
        <v/>
      </c>
    </row>
    <row r="491" spans="1:43" x14ac:dyDescent="0.35">
      <c r="A491">
        <v>2833</v>
      </c>
      <c r="B491" t="s">
        <v>1575</v>
      </c>
      <c r="C491" t="s">
        <v>202</v>
      </c>
      <c r="D491" t="str">
        <f t="shared" si="149"/>
        <v>Program Office</v>
      </c>
      <c r="E491" t="s">
        <v>1542</v>
      </c>
      <c r="F491" t="s">
        <v>70</v>
      </c>
      <c r="G491" t="s">
        <v>657</v>
      </c>
      <c r="H491" t="s">
        <v>59</v>
      </c>
      <c r="I491" s="32">
        <v>44662.843564814822</v>
      </c>
      <c r="J491" s="32">
        <v>44663.843564814822</v>
      </c>
      <c r="K491" s="32">
        <v>44666.843564814822</v>
      </c>
      <c r="L491" s="8">
        <f t="shared" si="150"/>
        <v>4</v>
      </c>
      <c r="M491" s="7">
        <v>44673.843564814822</v>
      </c>
      <c r="N491" t="s">
        <v>49</v>
      </c>
      <c r="O491" s="34">
        <v>44678.843564814822</v>
      </c>
      <c r="P491" t="s">
        <v>50</v>
      </c>
      <c r="Q491" t="s">
        <v>236</v>
      </c>
      <c r="R491" s="32" t="s">
        <v>7472</v>
      </c>
      <c r="S491" t="s">
        <v>7476</v>
      </c>
      <c r="T491" s="34" t="s">
        <v>7476</v>
      </c>
      <c r="U491" s="34" t="s">
        <v>7476</v>
      </c>
      <c r="V491" s="32">
        <v>44682.843564814822</v>
      </c>
      <c r="W491" s="32" t="s">
        <v>7476</v>
      </c>
      <c r="X491">
        <v>0</v>
      </c>
      <c r="Y491" s="34" t="s">
        <v>7476</v>
      </c>
      <c r="Z491" s="34" t="s">
        <v>7476</v>
      </c>
      <c r="AA491" s="34" t="s">
        <v>7476</v>
      </c>
      <c r="AB491" s="36" t="s">
        <v>52</v>
      </c>
      <c r="AD491" t="s">
        <v>1576</v>
      </c>
      <c r="AE491" t="s">
        <v>1577</v>
      </c>
      <c r="AF491" s="16">
        <v>44665</v>
      </c>
      <c r="AG491" t="s">
        <v>68</v>
      </c>
      <c r="AH491">
        <v>3</v>
      </c>
      <c r="AI491" s="8" t="str">
        <f>IFERROR(R491-AF491,"")</f>
        <v/>
      </c>
      <c r="AJ491" s="8">
        <f>IFERROR(O491-AF491,"")</f>
        <v>13.843564814822457</v>
      </c>
      <c r="AK491" s="38">
        <f t="shared" si="151"/>
        <v>44772.843564814822</v>
      </c>
      <c r="AL491" t="str">
        <f>IFERROR(Z491-W491,"")</f>
        <v/>
      </c>
      <c r="AM491" t="str">
        <f>IFERROR(R491-J491,"")</f>
        <v/>
      </c>
      <c r="AN491">
        <f>IFERROR(V491-O491,"")</f>
        <v>4</v>
      </c>
      <c r="AO491">
        <f>IFERROR(J491-I491,"")</f>
        <v>1</v>
      </c>
      <c r="AP491">
        <f>IFERROR(AC491-X491,"")</f>
        <v>0</v>
      </c>
      <c r="AQ491" t="str">
        <f>IFERROR(AA491-W491,"")</f>
        <v/>
      </c>
    </row>
    <row r="492" spans="1:43" x14ac:dyDescent="0.35">
      <c r="A492">
        <v>2786</v>
      </c>
      <c r="B492" t="s">
        <v>1578</v>
      </c>
      <c r="C492" t="s">
        <v>217</v>
      </c>
      <c r="D492" t="str">
        <f t="shared" si="149"/>
        <v>Program Office</v>
      </c>
      <c r="E492" t="s">
        <v>1542</v>
      </c>
      <c r="F492" t="s">
        <v>70</v>
      </c>
      <c r="G492" t="s">
        <v>657</v>
      </c>
      <c r="H492" t="s">
        <v>59</v>
      </c>
      <c r="I492" s="32">
        <v>45105.816620370373</v>
      </c>
      <c r="J492" s="32">
        <v>45108.816620370373</v>
      </c>
      <c r="K492" s="32">
        <v>45110.816620370373</v>
      </c>
      <c r="L492" s="8">
        <f t="shared" si="150"/>
        <v>5</v>
      </c>
      <c r="M492" s="7">
        <v>45122.816620370373</v>
      </c>
      <c r="N492" t="s">
        <v>49</v>
      </c>
      <c r="O492" s="34">
        <v>45126.816620370373</v>
      </c>
      <c r="P492" t="s">
        <v>50</v>
      </c>
      <c r="Q492" t="s">
        <v>198</v>
      </c>
      <c r="R492" s="32" t="s">
        <v>7472</v>
      </c>
      <c r="S492" t="s">
        <v>7476</v>
      </c>
      <c r="T492" s="34" t="s">
        <v>7476</v>
      </c>
      <c r="U492" s="34" t="s">
        <v>7476</v>
      </c>
      <c r="V492" s="32" t="s">
        <v>7476</v>
      </c>
      <c r="W492" s="32" t="s">
        <v>7476</v>
      </c>
      <c r="X492">
        <v>0</v>
      </c>
      <c r="Y492" s="34" t="s">
        <v>7476</v>
      </c>
      <c r="Z492" s="34" t="s">
        <v>7476</v>
      </c>
      <c r="AA492" s="34" t="s">
        <v>7476</v>
      </c>
      <c r="AB492" s="36" t="s">
        <v>52</v>
      </c>
      <c r="AD492" t="s">
        <v>1579</v>
      </c>
      <c r="AE492" t="s">
        <v>1580</v>
      </c>
      <c r="AF492" s="16">
        <v>45118</v>
      </c>
      <c r="AG492" t="s">
        <v>98</v>
      </c>
      <c r="AH492">
        <v>3</v>
      </c>
      <c r="AI492" s="8" t="str">
        <f>IFERROR(R492-AF492,"")</f>
        <v/>
      </c>
      <c r="AJ492" s="8">
        <f>IFERROR(O492-AF492,"")</f>
        <v>8.8166203703731298</v>
      </c>
      <c r="AK492" s="38" t="str">
        <f t="shared" si="151"/>
        <v/>
      </c>
      <c r="AL492" t="str">
        <f>IFERROR(Z492-W492,"")</f>
        <v/>
      </c>
      <c r="AM492" t="str">
        <f>IFERROR(R492-J492,"")</f>
        <v/>
      </c>
      <c r="AN492" t="str">
        <f>IFERROR(V492-O492,"")</f>
        <v/>
      </c>
      <c r="AO492">
        <f>IFERROR(J492-I492,"")</f>
        <v>3</v>
      </c>
      <c r="AP492">
        <f>IFERROR(AC492-X492,"")</f>
        <v>0</v>
      </c>
      <c r="AQ492" t="str">
        <f>IFERROR(AA492-W492,"")</f>
        <v/>
      </c>
    </row>
    <row r="493" spans="1:43" x14ac:dyDescent="0.35">
      <c r="A493">
        <v>2783</v>
      </c>
      <c r="B493" t="s">
        <v>1581</v>
      </c>
      <c r="C493" t="s">
        <v>213</v>
      </c>
      <c r="D493" t="str">
        <f t="shared" si="149"/>
        <v>Program Office</v>
      </c>
      <c r="E493" t="s">
        <v>1542</v>
      </c>
      <c r="F493" t="s">
        <v>70</v>
      </c>
      <c r="G493" t="s">
        <v>657</v>
      </c>
      <c r="H493" t="s">
        <v>59</v>
      </c>
      <c r="I493" s="32" t="s">
        <v>7471</v>
      </c>
      <c r="J493" s="32">
        <v>45109.816620370373</v>
      </c>
      <c r="K493" s="32">
        <v>45110.816620370373</v>
      </c>
      <c r="L493" s="8" t="str">
        <f t="shared" si="150"/>
        <v/>
      </c>
      <c r="M493" s="7">
        <v>45133.816620370373</v>
      </c>
      <c r="N493" t="s">
        <v>49</v>
      </c>
      <c r="O493" s="34">
        <v>45117.816620370373</v>
      </c>
      <c r="P493" t="s">
        <v>101</v>
      </c>
      <c r="R493" s="32">
        <v>45119.816620370373</v>
      </c>
      <c r="S493" t="s">
        <v>101</v>
      </c>
      <c r="T493" s="34">
        <v>45119.816620370373</v>
      </c>
      <c r="U493" s="34">
        <v>45122.816620370373</v>
      </c>
      <c r="V493" s="32">
        <v>45118.816620370373</v>
      </c>
      <c r="W493" s="32">
        <v>45120.816620370373</v>
      </c>
      <c r="X493">
        <v>1</v>
      </c>
      <c r="Y493" s="34">
        <v>45123.816620370373</v>
      </c>
      <c r="Z493" s="34">
        <v>45124.816620370373</v>
      </c>
      <c r="AA493" s="34">
        <v>45126.816620370373</v>
      </c>
      <c r="AB493" s="36" t="s">
        <v>7476</v>
      </c>
      <c r="AC493" s="10">
        <v>45139.816620370373</v>
      </c>
      <c r="AD493" t="s">
        <v>1582</v>
      </c>
      <c r="AE493" t="s">
        <v>1583</v>
      </c>
      <c r="AF493" s="16">
        <v>45100</v>
      </c>
      <c r="AG493" t="s">
        <v>64</v>
      </c>
      <c r="AH493">
        <v>6</v>
      </c>
      <c r="AK493" s="38">
        <f t="shared" si="151"/>
        <v>45298.816620370373</v>
      </c>
    </row>
    <row r="494" spans="1:43" x14ac:dyDescent="0.35">
      <c r="A494">
        <v>2782</v>
      </c>
      <c r="B494" t="s">
        <v>1584</v>
      </c>
      <c r="C494" t="s">
        <v>213</v>
      </c>
      <c r="D494" t="str">
        <f t="shared" si="149"/>
        <v>Program Office</v>
      </c>
      <c r="E494" t="s">
        <v>1542</v>
      </c>
      <c r="F494" t="s">
        <v>46</v>
      </c>
      <c r="G494" t="s">
        <v>333</v>
      </c>
      <c r="H494" t="s">
        <v>59</v>
      </c>
      <c r="I494" s="32">
        <v>45103.816620370373</v>
      </c>
      <c r="J494" s="32">
        <v>45106.816620370373</v>
      </c>
      <c r="K494" s="32">
        <v>45110.816620370373</v>
      </c>
      <c r="L494" s="8">
        <f t="shared" si="150"/>
        <v>7</v>
      </c>
      <c r="M494" s="7">
        <v>45117.816620370373</v>
      </c>
      <c r="N494" t="s">
        <v>72</v>
      </c>
      <c r="O494" s="34" t="s">
        <v>7474</v>
      </c>
      <c r="R494" s="32" t="s">
        <v>7472</v>
      </c>
      <c r="S494" t="s">
        <v>7476</v>
      </c>
      <c r="T494" s="34" t="s">
        <v>7476</v>
      </c>
      <c r="U494" s="34" t="s">
        <v>7476</v>
      </c>
      <c r="V494" s="32" t="s">
        <v>7476</v>
      </c>
      <c r="W494" s="32" t="s">
        <v>7476</v>
      </c>
      <c r="X494">
        <v>0</v>
      </c>
      <c r="Y494" s="34" t="s">
        <v>7476</v>
      </c>
      <c r="Z494" s="34" t="s">
        <v>7476</v>
      </c>
      <c r="AA494" s="34" t="s">
        <v>7476</v>
      </c>
      <c r="AB494" s="36" t="s">
        <v>7476</v>
      </c>
      <c r="AD494" t="s">
        <v>1585</v>
      </c>
      <c r="AE494" t="s">
        <v>1586</v>
      </c>
      <c r="AG494" t="s">
        <v>64</v>
      </c>
      <c r="AH494">
        <v>3</v>
      </c>
      <c r="AI494" s="8" t="str">
        <f>IFERROR(R494-AF494,"")</f>
        <v/>
      </c>
      <c r="AJ494" s="8" t="str">
        <f>IFERROR(O494-AF494,"")</f>
        <v/>
      </c>
      <c r="AK494" s="38" t="str">
        <f t="shared" si="151"/>
        <v/>
      </c>
      <c r="AL494" t="str">
        <f>IFERROR(Z494-W494,"")</f>
        <v/>
      </c>
      <c r="AM494" t="str">
        <f>IFERROR(R494-J494,"")</f>
        <v/>
      </c>
      <c r="AN494" t="str">
        <f>IFERROR(V494-O494,"")</f>
        <v/>
      </c>
      <c r="AO494">
        <f>IFERROR(J494-I494,"")</f>
        <v>3</v>
      </c>
      <c r="AP494">
        <f>IFERROR(AC494-X494,"")</f>
        <v>0</v>
      </c>
      <c r="AQ494" t="str">
        <f>IFERROR(AA494-W494,"")</f>
        <v/>
      </c>
    </row>
    <row r="495" spans="1:43" x14ac:dyDescent="0.35">
      <c r="A495">
        <v>2781</v>
      </c>
      <c r="B495" t="s">
        <v>1587</v>
      </c>
      <c r="C495" t="s">
        <v>213</v>
      </c>
      <c r="D495" t="str">
        <f t="shared" si="149"/>
        <v>Program Office</v>
      </c>
      <c r="E495" t="s">
        <v>1542</v>
      </c>
      <c r="F495" t="s">
        <v>46</v>
      </c>
      <c r="G495" t="s">
        <v>333</v>
      </c>
      <c r="H495" t="s">
        <v>59</v>
      </c>
      <c r="I495" s="32">
        <v>45104.816620370373</v>
      </c>
      <c r="J495" s="32">
        <v>45105.816620370373</v>
      </c>
      <c r="K495" s="32" t="s">
        <v>7473</v>
      </c>
      <c r="L495" s="8" t="str">
        <f t="shared" si="150"/>
        <v/>
      </c>
      <c r="M495" s="7">
        <v>45140.816620370373</v>
      </c>
      <c r="N495" t="s">
        <v>49</v>
      </c>
      <c r="O495" s="34">
        <v>45113.816620370373</v>
      </c>
      <c r="P495" t="s">
        <v>50</v>
      </c>
      <c r="Q495" t="s">
        <v>84</v>
      </c>
      <c r="R495" s="32" t="s">
        <v>7472</v>
      </c>
      <c r="S495" t="s">
        <v>7476</v>
      </c>
      <c r="T495" s="34" t="s">
        <v>7476</v>
      </c>
      <c r="U495" s="34" t="s">
        <v>7476</v>
      </c>
      <c r="V495" s="32" t="s">
        <v>7476</v>
      </c>
      <c r="W495" s="32" t="s">
        <v>7476</v>
      </c>
      <c r="X495">
        <v>0</v>
      </c>
      <c r="Y495" s="34" t="s">
        <v>7476</v>
      </c>
      <c r="Z495" s="34" t="s">
        <v>7476</v>
      </c>
      <c r="AA495" s="34" t="s">
        <v>7476</v>
      </c>
      <c r="AB495" s="36" t="s">
        <v>95</v>
      </c>
      <c r="AD495" t="s">
        <v>1588</v>
      </c>
      <c r="AE495" t="s">
        <v>1589</v>
      </c>
      <c r="AF495" s="16">
        <v>45108</v>
      </c>
      <c r="AG495" t="s">
        <v>93</v>
      </c>
      <c r="AH495">
        <v>6</v>
      </c>
      <c r="AK495" s="38" t="str">
        <f t="shared" si="151"/>
        <v/>
      </c>
    </row>
    <row r="496" spans="1:43" x14ac:dyDescent="0.35">
      <c r="A496">
        <v>2736</v>
      </c>
      <c r="B496" t="s">
        <v>1590</v>
      </c>
      <c r="C496" t="s">
        <v>213</v>
      </c>
      <c r="D496" t="str">
        <f t="shared" si="149"/>
        <v>Program Office</v>
      </c>
      <c r="E496" t="s">
        <v>1542</v>
      </c>
      <c r="F496" t="s">
        <v>46</v>
      </c>
      <c r="G496" t="s">
        <v>333</v>
      </c>
      <c r="H496" t="s">
        <v>59</v>
      </c>
      <c r="I496" s="32">
        <v>44748.981076388889</v>
      </c>
      <c r="J496" s="32" t="s">
        <v>7471</v>
      </c>
      <c r="K496" s="32">
        <v>44757.981076388889</v>
      </c>
      <c r="L496" s="8">
        <f t="shared" si="150"/>
        <v>9</v>
      </c>
      <c r="M496" s="7">
        <v>44767.981076388889</v>
      </c>
      <c r="N496" t="s">
        <v>49</v>
      </c>
      <c r="O496" s="34">
        <v>44763.981076388889</v>
      </c>
      <c r="P496" t="s">
        <v>101</v>
      </c>
      <c r="R496" s="32">
        <v>44769.981076388889</v>
      </c>
      <c r="S496" t="s">
        <v>101</v>
      </c>
      <c r="T496" s="34">
        <v>44764.981076388889</v>
      </c>
      <c r="U496" s="34">
        <v>44768.981076388889</v>
      </c>
      <c r="V496" s="32">
        <v>44766.981076388889</v>
      </c>
      <c r="W496" s="32">
        <v>44774.981076388889</v>
      </c>
      <c r="X496">
        <v>1</v>
      </c>
      <c r="Y496" s="34">
        <v>44776.981076388889</v>
      </c>
      <c r="Z496" s="34">
        <v>44777.981076388889</v>
      </c>
      <c r="AA496" s="34">
        <v>44779.981076388889</v>
      </c>
      <c r="AB496" s="36" t="s">
        <v>7476</v>
      </c>
      <c r="AC496" s="10">
        <v>44800.981076388889</v>
      </c>
      <c r="AD496" t="s">
        <v>1591</v>
      </c>
      <c r="AE496" t="s">
        <v>1592</v>
      </c>
      <c r="AF496" s="16">
        <v>44872</v>
      </c>
      <c r="AG496" t="s">
        <v>64</v>
      </c>
      <c r="AH496">
        <v>3</v>
      </c>
      <c r="AK496" s="38">
        <f t="shared" si="151"/>
        <v>44856.981076388889</v>
      </c>
    </row>
    <row r="497" spans="1:43" x14ac:dyDescent="0.35">
      <c r="A497">
        <v>2566</v>
      </c>
      <c r="B497" t="s">
        <v>1593</v>
      </c>
      <c r="C497" t="s">
        <v>213</v>
      </c>
      <c r="D497" t="str">
        <f t="shared" si="149"/>
        <v>Program Office</v>
      </c>
      <c r="E497" t="s">
        <v>1542</v>
      </c>
      <c r="F497" t="s">
        <v>46</v>
      </c>
      <c r="G497" t="s">
        <v>333</v>
      </c>
      <c r="H497" t="s">
        <v>59</v>
      </c>
      <c r="I497" s="32">
        <v>44888.290763888886</v>
      </c>
      <c r="J497" s="32">
        <v>44889.290763888886</v>
      </c>
      <c r="K497" s="32">
        <v>44893.290763888886</v>
      </c>
      <c r="L497" s="8">
        <f t="shared" si="150"/>
        <v>5</v>
      </c>
      <c r="M497" s="7">
        <v>44910.290763888886</v>
      </c>
      <c r="N497" t="s">
        <v>49</v>
      </c>
      <c r="O497" s="34">
        <v>44904.290763888886</v>
      </c>
      <c r="P497" t="s">
        <v>101</v>
      </c>
      <c r="R497" s="32">
        <v>44911.290763888886</v>
      </c>
      <c r="S497" t="s">
        <v>101</v>
      </c>
      <c r="T497" s="34">
        <v>44906.290763888886</v>
      </c>
      <c r="U497" s="34">
        <v>44909.290763888886</v>
      </c>
      <c r="V497" s="32">
        <v>44908.290763888886</v>
      </c>
      <c r="W497" s="32">
        <v>44918.290763888886</v>
      </c>
      <c r="X497">
        <v>1</v>
      </c>
      <c r="Y497" s="34">
        <v>44921.290763888886</v>
      </c>
      <c r="Z497" s="34">
        <v>44922.290763888886</v>
      </c>
      <c r="AA497" s="34">
        <v>44923.290763888886</v>
      </c>
      <c r="AB497" s="36" t="s">
        <v>7476</v>
      </c>
      <c r="AC497" s="10">
        <v>44934.290763888886</v>
      </c>
      <c r="AD497" t="s">
        <v>1594</v>
      </c>
      <c r="AE497" t="s">
        <v>1595</v>
      </c>
      <c r="AF497" s="16">
        <v>44885</v>
      </c>
      <c r="AG497" t="s">
        <v>68</v>
      </c>
      <c r="AH497">
        <v>6</v>
      </c>
      <c r="AI497" s="8">
        <f t="shared" ref="AI497:AI508" si="168">IFERROR(R497-AF497,"")</f>
        <v>26.290763888886431</v>
      </c>
      <c r="AJ497" s="8">
        <f t="shared" ref="AJ497:AJ508" si="169">IFERROR(O497-AF497,"")</f>
        <v>19.290763888886431</v>
      </c>
      <c r="AK497" s="38">
        <f t="shared" si="151"/>
        <v>45088.290763888886</v>
      </c>
      <c r="AL497">
        <f t="shared" ref="AL497:AL508" si="170">IFERROR(Z497-W497,"")</f>
        <v>4</v>
      </c>
      <c r="AM497">
        <f t="shared" ref="AM497:AM508" si="171">IFERROR(R497-J497,"")</f>
        <v>22</v>
      </c>
      <c r="AN497">
        <f t="shared" ref="AN497:AN508" si="172">IFERROR(V497-O497,"")</f>
        <v>4</v>
      </c>
      <c r="AO497">
        <f t="shared" ref="AO497:AO508" si="173">IFERROR(J497-I497,"")</f>
        <v>1</v>
      </c>
      <c r="AP497">
        <f t="shared" ref="AP497:AP508" si="174">IFERROR(AC497-X497,"")</f>
        <v>44933.290763888886</v>
      </c>
      <c r="AQ497">
        <f t="shared" ref="AQ497:AQ508" si="175">IFERROR(AA497-W497,"")</f>
        <v>5</v>
      </c>
    </row>
    <row r="498" spans="1:43" x14ac:dyDescent="0.35">
      <c r="A498">
        <v>2563</v>
      </c>
      <c r="B498" t="s">
        <v>1596</v>
      </c>
      <c r="C498" t="s">
        <v>213</v>
      </c>
      <c r="D498" t="str">
        <f t="shared" si="149"/>
        <v>Program Office</v>
      </c>
      <c r="E498" t="s">
        <v>1542</v>
      </c>
      <c r="F498" t="s">
        <v>46</v>
      </c>
      <c r="G498" t="s">
        <v>333</v>
      </c>
      <c r="H498" t="s">
        <v>59</v>
      </c>
      <c r="I498" s="32">
        <v>44886.290763888886</v>
      </c>
      <c r="J498" s="32">
        <v>44890.290763888886</v>
      </c>
      <c r="K498" s="32">
        <v>44893.290763888886</v>
      </c>
      <c r="L498" s="8">
        <f t="shared" si="150"/>
        <v>7</v>
      </c>
      <c r="M498" s="7">
        <v>44909.290763888886</v>
      </c>
      <c r="N498" t="s">
        <v>72</v>
      </c>
      <c r="O498" s="34" t="s">
        <v>7474</v>
      </c>
      <c r="R498" s="32" t="s">
        <v>7472</v>
      </c>
      <c r="S498" t="s">
        <v>7476</v>
      </c>
      <c r="T498" s="34" t="s">
        <v>7476</v>
      </c>
      <c r="U498" s="34" t="s">
        <v>7476</v>
      </c>
      <c r="V498" s="32" t="s">
        <v>7476</v>
      </c>
      <c r="W498" s="32" t="s">
        <v>7476</v>
      </c>
      <c r="X498">
        <v>0</v>
      </c>
      <c r="Y498" s="34" t="s">
        <v>7476</v>
      </c>
      <c r="Z498" s="34" t="s">
        <v>7476</v>
      </c>
      <c r="AA498" s="34" t="s">
        <v>7476</v>
      </c>
      <c r="AB498" s="36" t="s">
        <v>7476</v>
      </c>
      <c r="AD498" t="s">
        <v>1597</v>
      </c>
      <c r="AE498" t="s">
        <v>1598</v>
      </c>
      <c r="AG498" t="s">
        <v>64</v>
      </c>
      <c r="AH498">
        <v>3</v>
      </c>
      <c r="AI498" s="8" t="str">
        <f t="shared" si="168"/>
        <v/>
      </c>
      <c r="AJ498" s="8" t="str">
        <f t="shared" si="169"/>
        <v/>
      </c>
      <c r="AK498" s="38" t="str">
        <f t="shared" si="151"/>
        <v/>
      </c>
      <c r="AL498" t="str">
        <f t="shared" si="170"/>
        <v/>
      </c>
      <c r="AM498" t="str">
        <f t="shared" si="171"/>
        <v/>
      </c>
      <c r="AN498" t="str">
        <f t="shared" si="172"/>
        <v/>
      </c>
      <c r="AO498">
        <f t="shared" si="173"/>
        <v>4</v>
      </c>
      <c r="AP498">
        <f t="shared" si="174"/>
        <v>0</v>
      </c>
      <c r="AQ498" t="str">
        <f t="shared" si="175"/>
        <v/>
      </c>
    </row>
    <row r="499" spans="1:43" x14ac:dyDescent="0.35">
      <c r="A499">
        <v>2559</v>
      </c>
      <c r="B499" t="s">
        <v>1599</v>
      </c>
      <c r="C499" t="s">
        <v>202</v>
      </c>
      <c r="D499" t="str">
        <f t="shared" si="149"/>
        <v>Program Office</v>
      </c>
      <c r="E499" t="s">
        <v>1542</v>
      </c>
      <c r="F499" t="s">
        <v>46</v>
      </c>
      <c r="G499" t="s">
        <v>333</v>
      </c>
      <c r="H499" t="s">
        <v>59</v>
      </c>
      <c r="I499" s="32">
        <v>45141.715324074074</v>
      </c>
      <c r="J499" s="32">
        <v>45144.715324074074</v>
      </c>
      <c r="K499" s="32">
        <v>45148.715324074074</v>
      </c>
      <c r="L499" s="8">
        <f t="shared" si="150"/>
        <v>7</v>
      </c>
      <c r="M499" s="7">
        <v>45157.715324074074</v>
      </c>
      <c r="N499" t="s">
        <v>72</v>
      </c>
      <c r="O499" s="34" t="s">
        <v>7474</v>
      </c>
      <c r="R499" s="32" t="s">
        <v>7472</v>
      </c>
      <c r="S499" t="s">
        <v>7476</v>
      </c>
      <c r="T499" s="34" t="s">
        <v>7476</v>
      </c>
      <c r="U499" s="34" t="s">
        <v>7476</v>
      </c>
      <c r="V499" s="32" t="s">
        <v>7476</v>
      </c>
      <c r="W499" s="32" t="s">
        <v>7476</v>
      </c>
      <c r="X499">
        <v>0</v>
      </c>
      <c r="Y499" s="34" t="s">
        <v>7476</v>
      </c>
      <c r="Z499" s="34" t="s">
        <v>7476</v>
      </c>
      <c r="AA499" s="34" t="s">
        <v>7476</v>
      </c>
      <c r="AB499" s="36" t="s">
        <v>7476</v>
      </c>
      <c r="AD499" t="s">
        <v>1600</v>
      </c>
      <c r="AE499" t="s">
        <v>1601</v>
      </c>
      <c r="AG499" t="s">
        <v>64</v>
      </c>
      <c r="AH499">
        <v>3</v>
      </c>
      <c r="AI499" s="8" t="str">
        <f t="shared" si="168"/>
        <v/>
      </c>
      <c r="AJ499" s="8" t="str">
        <f t="shared" si="169"/>
        <v/>
      </c>
      <c r="AK499" s="38" t="str">
        <f t="shared" si="151"/>
        <v/>
      </c>
      <c r="AL499" t="str">
        <f t="shared" si="170"/>
        <v/>
      </c>
      <c r="AM499" t="str">
        <f t="shared" si="171"/>
        <v/>
      </c>
      <c r="AN499" t="str">
        <f t="shared" si="172"/>
        <v/>
      </c>
      <c r="AO499">
        <f t="shared" si="173"/>
        <v>3</v>
      </c>
      <c r="AP499">
        <f t="shared" si="174"/>
        <v>0</v>
      </c>
      <c r="AQ499" t="str">
        <f t="shared" si="175"/>
        <v/>
      </c>
    </row>
    <row r="500" spans="1:43" x14ac:dyDescent="0.35">
      <c r="A500">
        <v>2556</v>
      </c>
      <c r="B500" t="s">
        <v>1602</v>
      </c>
      <c r="C500" t="s">
        <v>217</v>
      </c>
      <c r="D500" t="str">
        <f t="shared" si="149"/>
        <v>Program Office</v>
      </c>
      <c r="E500" t="s">
        <v>1542</v>
      </c>
      <c r="F500" t="s">
        <v>46</v>
      </c>
      <c r="G500" t="s">
        <v>333</v>
      </c>
      <c r="H500" t="s">
        <v>59</v>
      </c>
      <c r="I500" s="32">
        <v>45139.715324074074</v>
      </c>
      <c r="J500" s="32">
        <v>45142.715324074074</v>
      </c>
      <c r="K500" s="32">
        <v>45148.715324074074</v>
      </c>
      <c r="L500" s="8">
        <f t="shared" si="150"/>
        <v>9</v>
      </c>
      <c r="M500" s="7">
        <v>45163.715324074074</v>
      </c>
      <c r="N500" t="s">
        <v>49</v>
      </c>
      <c r="O500" s="34">
        <v>45164.715324074074</v>
      </c>
      <c r="P500" t="s">
        <v>60</v>
      </c>
      <c r="R500" s="32">
        <v>45167.715324074074</v>
      </c>
      <c r="S500" t="s">
        <v>61</v>
      </c>
      <c r="T500" s="34" t="s">
        <v>7476</v>
      </c>
      <c r="U500" s="34" t="s">
        <v>7476</v>
      </c>
      <c r="V500" s="32">
        <v>45166.715324074074</v>
      </c>
      <c r="W500" s="32" t="s">
        <v>7476</v>
      </c>
      <c r="X500">
        <v>0</v>
      </c>
      <c r="Y500" s="34" t="s">
        <v>7476</v>
      </c>
      <c r="Z500" s="34" t="s">
        <v>7476</v>
      </c>
      <c r="AA500" s="34" t="s">
        <v>7476</v>
      </c>
      <c r="AB500" s="36" t="s">
        <v>7476</v>
      </c>
      <c r="AD500" t="s">
        <v>1603</v>
      </c>
      <c r="AE500" t="s">
        <v>1604</v>
      </c>
      <c r="AF500" s="16">
        <v>45147</v>
      </c>
      <c r="AG500" t="s">
        <v>98</v>
      </c>
      <c r="AH500">
        <v>3</v>
      </c>
      <c r="AI500" s="8">
        <f t="shared" si="168"/>
        <v>20.715324074073578</v>
      </c>
      <c r="AJ500" s="8">
        <f t="shared" si="169"/>
        <v>17.715324074073578</v>
      </c>
      <c r="AK500" s="38">
        <f t="shared" si="151"/>
        <v>45256.715324074074</v>
      </c>
      <c r="AL500" t="str">
        <f t="shared" si="170"/>
        <v/>
      </c>
      <c r="AM500">
        <f t="shared" si="171"/>
        <v>25</v>
      </c>
      <c r="AN500">
        <f t="shared" si="172"/>
        <v>2</v>
      </c>
      <c r="AO500">
        <f t="shared" si="173"/>
        <v>3</v>
      </c>
      <c r="AP500">
        <f t="shared" si="174"/>
        <v>0</v>
      </c>
      <c r="AQ500" t="str">
        <f t="shared" si="175"/>
        <v/>
      </c>
    </row>
    <row r="501" spans="1:43" x14ac:dyDescent="0.35">
      <c r="A501">
        <v>2554</v>
      </c>
      <c r="B501" t="s">
        <v>1605</v>
      </c>
      <c r="C501" t="s">
        <v>202</v>
      </c>
      <c r="D501" t="str">
        <f t="shared" si="149"/>
        <v>Program Office</v>
      </c>
      <c r="E501" t="s">
        <v>1542</v>
      </c>
      <c r="F501" t="s">
        <v>46</v>
      </c>
      <c r="G501" t="s">
        <v>333</v>
      </c>
      <c r="H501" t="s">
        <v>59</v>
      </c>
      <c r="I501" s="32">
        <v>45140.715324074074</v>
      </c>
      <c r="J501" s="32">
        <v>45144.715324074074</v>
      </c>
      <c r="K501" s="32">
        <v>45148.715324074074</v>
      </c>
      <c r="L501" s="8">
        <f t="shared" si="150"/>
        <v>8</v>
      </c>
      <c r="M501" s="7">
        <v>45171.715324074074</v>
      </c>
      <c r="N501" t="s">
        <v>49</v>
      </c>
      <c r="O501" s="34">
        <v>45154.715324074074</v>
      </c>
      <c r="P501" t="s">
        <v>50</v>
      </c>
      <c r="Q501" t="s">
        <v>236</v>
      </c>
      <c r="R501" s="32" t="s">
        <v>7472</v>
      </c>
      <c r="S501" t="s">
        <v>7476</v>
      </c>
      <c r="T501" s="34" t="s">
        <v>7476</v>
      </c>
      <c r="U501" s="34" t="s">
        <v>7476</v>
      </c>
      <c r="V501" s="32">
        <v>45156.715324074074</v>
      </c>
      <c r="W501" s="32" t="s">
        <v>7476</v>
      </c>
      <c r="X501">
        <v>0</v>
      </c>
      <c r="Y501" s="34" t="s">
        <v>7476</v>
      </c>
      <c r="Z501" s="34" t="s">
        <v>7476</v>
      </c>
      <c r="AA501" s="34" t="s">
        <v>7476</v>
      </c>
      <c r="AB501" s="36" t="s">
        <v>95</v>
      </c>
      <c r="AD501" t="s">
        <v>1606</v>
      </c>
      <c r="AE501" t="s">
        <v>1607</v>
      </c>
      <c r="AF501" s="16">
        <v>45139</v>
      </c>
      <c r="AG501" t="s">
        <v>68</v>
      </c>
      <c r="AH501">
        <v>3</v>
      </c>
      <c r="AI501" s="8" t="str">
        <f t="shared" si="168"/>
        <v/>
      </c>
      <c r="AJ501" s="8">
        <f t="shared" si="169"/>
        <v>15.715324074073578</v>
      </c>
      <c r="AK501" s="38">
        <f t="shared" si="151"/>
        <v>45246.715324074074</v>
      </c>
      <c r="AL501" t="str">
        <f t="shared" si="170"/>
        <v/>
      </c>
      <c r="AM501" t="str">
        <f t="shared" si="171"/>
        <v/>
      </c>
      <c r="AN501">
        <f t="shared" si="172"/>
        <v>2</v>
      </c>
      <c r="AO501">
        <f t="shared" si="173"/>
        <v>4</v>
      </c>
      <c r="AP501">
        <f t="shared" si="174"/>
        <v>0</v>
      </c>
      <c r="AQ501" t="str">
        <f t="shared" si="175"/>
        <v/>
      </c>
    </row>
    <row r="502" spans="1:43" x14ac:dyDescent="0.35">
      <c r="A502">
        <v>2538</v>
      </c>
      <c r="B502" t="s">
        <v>1608</v>
      </c>
      <c r="C502" t="s">
        <v>213</v>
      </c>
      <c r="D502" t="str">
        <f t="shared" si="149"/>
        <v>Program Office</v>
      </c>
      <c r="E502" t="s">
        <v>1542</v>
      </c>
      <c r="F502" t="s">
        <v>70</v>
      </c>
      <c r="G502" t="s">
        <v>657</v>
      </c>
      <c r="H502" t="s">
        <v>59</v>
      </c>
      <c r="I502" s="32">
        <v>44681.058252314811</v>
      </c>
      <c r="J502" s="32">
        <v>44682.058252314811</v>
      </c>
      <c r="K502" s="32">
        <v>44688.058252314811</v>
      </c>
      <c r="L502" s="8">
        <f t="shared" si="150"/>
        <v>7</v>
      </c>
      <c r="M502" s="7">
        <v>44710.058252314811</v>
      </c>
      <c r="N502" t="s">
        <v>49</v>
      </c>
      <c r="O502" s="34">
        <v>44696.058252314811</v>
      </c>
      <c r="P502" t="s">
        <v>50</v>
      </c>
      <c r="Q502" t="s">
        <v>125</v>
      </c>
      <c r="R502" s="32" t="s">
        <v>7472</v>
      </c>
      <c r="S502" t="s">
        <v>7476</v>
      </c>
      <c r="T502" s="34" t="s">
        <v>7476</v>
      </c>
      <c r="U502" s="34" t="s">
        <v>7476</v>
      </c>
      <c r="V502" s="32" t="s">
        <v>7476</v>
      </c>
      <c r="W502" s="32" t="s">
        <v>7476</v>
      </c>
      <c r="X502">
        <v>0</v>
      </c>
      <c r="Y502" s="34" t="s">
        <v>7476</v>
      </c>
      <c r="Z502" s="34" t="s">
        <v>7476</v>
      </c>
      <c r="AA502" s="34" t="s">
        <v>7476</v>
      </c>
      <c r="AB502" s="36" t="s">
        <v>52</v>
      </c>
      <c r="AD502" t="s">
        <v>1609</v>
      </c>
      <c r="AE502" t="s">
        <v>1610</v>
      </c>
      <c r="AF502" s="16">
        <v>44681</v>
      </c>
      <c r="AG502" t="s">
        <v>64</v>
      </c>
      <c r="AH502">
        <v>3</v>
      </c>
      <c r="AI502" s="8" t="str">
        <f t="shared" si="168"/>
        <v/>
      </c>
      <c r="AJ502" s="8">
        <f t="shared" si="169"/>
        <v>15.058252314811398</v>
      </c>
      <c r="AK502" s="38" t="str">
        <f t="shared" si="151"/>
        <v/>
      </c>
      <c r="AL502" t="str">
        <f t="shared" si="170"/>
        <v/>
      </c>
      <c r="AM502" t="str">
        <f t="shared" si="171"/>
        <v/>
      </c>
      <c r="AN502" t="str">
        <f t="shared" si="172"/>
        <v/>
      </c>
      <c r="AO502">
        <f t="shared" si="173"/>
        <v>1</v>
      </c>
      <c r="AP502">
        <f t="shared" si="174"/>
        <v>0</v>
      </c>
      <c r="AQ502" t="str">
        <f t="shared" si="175"/>
        <v/>
      </c>
    </row>
    <row r="503" spans="1:43" x14ac:dyDescent="0.35">
      <c r="A503">
        <v>2517</v>
      </c>
      <c r="B503" t="s">
        <v>1611</v>
      </c>
      <c r="C503" t="s">
        <v>217</v>
      </c>
      <c r="D503" t="str">
        <f t="shared" si="149"/>
        <v>Program Office</v>
      </c>
      <c r="E503" t="s">
        <v>1542</v>
      </c>
      <c r="F503" t="s">
        <v>70</v>
      </c>
      <c r="G503" t="s">
        <v>657</v>
      </c>
      <c r="H503" t="s">
        <v>59</v>
      </c>
      <c r="I503" s="32">
        <v>45173.133263888893</v>
      </c>
      <c r="J503" s="32">
        <v>45175.133263888893</v>
      </c>
      <c r="K503" s="32">
        <v>45177.133263888893</v>
      </c>
      <c r="L503" s="8">
        <f t="shared" si="150"/>
        <v>4</v>
      </c>
      <c r="M503" s="7">
        <v>45193.133263888893</v>
      </c>
      <c r="N503" t="s">
        <v>49</v>
      </c>
      <c r="O503" s="34">
        <v>45193.133263888893</v>
      </c>
      <c r="P503" t="s">
        <v>60</v>
      </c>
      <c r="R503" s="32">
        <v>45196.133263888893</v>
      </c>
      <c r="S503" t="s">
        <v>61</v>
      </c>
      <c r="T503" s="34" t="s">
        <v>7476</v>
      </c>
      <c r="U503" s="34" t="s">
        <v>7476</v>
      </c>
      <c r="V503" s="32">
        <v>45194.133263888893</v>
      </c>
      <c r="W503" s="32" t="s">
        <v>7476</v>
      </c>
      <c r="X503">
        <v>0</v>
      </c>
      <c r="Y503" s="34" t="s">
        <v>7476</v>
      </c>
      <c r="Z503" s="34" t="s">
        <v>7476</v>
      </c>
      <c r="AA503" s="34" t="s">
        <v>7476</v>
      </c>
      <c r="AB503" s="36" t="s">
        <v>7476</v>
      </c>
      <c r="AD503" t="s">
        <v>1612</v>
      </c>
      <c r="AE503" t="s">
        <v>1613</v>
      </c>
      <c r="AF503" s="16">
        <v>45176</v>
      </c>
      <c r="AG503" t="s">
        <v>64</v>
      </c>
      <c r="AH503">
        <v>3</v>
      </c>
      <c r="AI503" s="8">
        <f t="shared" si="168"/>
        <v>20.133263888892543</v>
      </c>
      <c r="AJ503" s="8">
        <f t="shared" si="169"/>
        <v>17.133263888892543</v>
      </c>
      <c r="AK503" s="38">
        <f t="shared" si="151"/>
        <v>45284.133263888893</v>
      </c>
      <c r="AL503" t="str">
        <f t="shared" si="170"/>
        <v/>
      </c>
      <c r="AM503">
        <f t="shared" si="171"/>
        <v>21</v>
      </c>
      <c r="AN503">
        <f t="shared" si="172"/>
        <v>1</v>
      </c>
      <c r="AO503">
        <f t="shared" si="173"/>
        <v>2</v>
      </c>
      <c r="AP503">
        <f t="shared" si="174"/>
        <v>0</v>
      </c>
      <c r="AQ503" t="str">
        <f t="shared" si="175"/>
        <v/>
      </c>
    </row>
    <row r="504" spans="1:43" x14ac:dyDescent="0.35">
      <c r="A504">
        <v>2513</v>
      </c>
      <c r="B504" t="s">
        <v>1614</v>
      </c>
      <c r="C504" t="s">
        <v>213</v>
      </c>
      <c r="D504" t="str">
        <f t="shared" si="149"/>
        <v>Program Office</v>
      </c>
      <c r="E504" t="s">
        <v>1542</v>
      </c>
      <c r="F504" t="s">
        <v>70</v>
      </c>
      <c r="G504" t="s">
        <v>657</v>
      </c>
      <c r="H504" t="s">
        <v>59</v>
      </c>
      <c r="I504" s="32">
        <v>45175.133263888893</v>
      </c>
      <c r="J504" s="32">
        <v>45176.133263888893</v>
      </c>
      <c r="K504" s="32">
        <v>45177.133263888893</v>
      </c>
      <c r="L504" s="8">
        <f t="shared" si="150"/>
        <v>2</v>
      </c>
      <c r="M504" s="7">
        <v>45202.133263888893</v>
      </c>
      <c r="N504" t="s">
        <v>49</v>
      </c>
      <c r="O504" s="34">
        <v>45188.133263888893</v>
      </c>
      <c r="P504" t="s">
        <v>50</v>
      </c>
      <c r="Q504" t="s">
        <v>236</v>
      </c>
      <c r="R504" s="32" t="s">
        <v>7472</v>
      </c>
      <c r="S504" t="s">
        <v>7476</v>
      </c>
      <c r="T504" s="34" t="s">
        <v>7476</v>
      </c>
      <c r="U504" s="34" t="s">
        <v>7476</v>
      </c>
      <c r="V504" s="32">
        <v>45192.133263888893</v>
      </c>
      <c r="W504" s="32" t="s">
        <v>7476</v>
      </c>
      <c r="X504">
        <v>0</v>
      </c>
      <c r="Y504" s="34" t="s">
        <v>7476</v>
      </c>
      <c r="Z504" s="34" t="s">
        <v>7476</v>
      </c>
      <c r="AA504" s="34" t="s">
        <v>7476</v>
      </c>
      <c r="AB504" s="36" t="s">
        <v>52</v>
      </c>
      <c r="AD504" t="s">
        <v>1615</v>
      </c>
      <c r="AE504" t="s">
        <v>1616</v>
      </c>
      <c r="AF504" s="16">
        <v>45183</v>
      </c>
      <c r="AG504" t="s">
        <v>98</v>
      </c>
      <c r="AH504">
        <v>3</v>
      </c>
      <c r="AI504" s="8" t="str">
        <f t="shared" si="168"/>
        <v/>
      </c>
      <c r="AJ504" s="8">
        <f t="shared" si="169"/>
        <v>5.133263888892543</v>
      </c>
      <c r="AK504" s="38">
        <f t="shared" si="151"/>
        <v>45282.133263888893</v>
      </c>
      <c r="AL504" t="str">
        <f t="shared" si="170"/>
        <v/>
      </c>
      <c r="AM504" t="str">
        <f t="shared" si="171"/>
        <v/>
      </c>
      <c r="AN504">
        <f t="shared" si="172"/>
        <v>4</v>
      </c>
      <c r="AO504">
        <f t="shared" si="173"/>
        <v>1</v>
      </c>
      <c r="AP504">
        <f t="shared" si="174"/>
        <v>0</v>
      </c>
      <c r="AQ504" t="str">
        <f t="shared" si="175"/>
        <v/>
      </c>
    </row>
    <row r="505" spans="1:43" x14ac:dyDescent="0.35">
      <c r="A505">
        <v>2512</v>
      </c>
      <c r="B505" t="s">
        <v>1617</v>
      </c>
      <c r="C505" t="s">
        <v>202</v>
      </c>
      <c r="D505" t="str">
        <f t="shared" si="149"/>
        <v>Program Office</v>
      </c>
      <c r="E505" t="s">
        <v>1542</v>
      </c>
      <c r="F505" t="s">
        <v>70</v>
      </c>
      <c r="G505" t="s">
        <v>657</v>
      </c>
      <c r="H505" t="s">
        <v>59</v>
      </c>
      <c r="I505" s="32">
        <v>45173.133263888893</v>
      </c>
      <c r="J505" s="32">
        <v>45176.133263888893</v>
      </c>
      <c r="K505" s="32">
        <v>45177.133263888893</v>
      </c>
      <c r="L505" s="8">
        <f t="shared" si="150"/>
        <v>4</v>
      </c>
      <c r="M505" s="7">
        <v>45185.133263888893</v>
      </c>
      <c r="N505" t="s">
        <v>49</v>
      </c>
      <c r="O505" s="34">
        <v>45192.133263888893</v>
      </c>
      <c r="P505" t="s">
        <v>50</v>
      </c>
      <c r="Q505" t="s">
        <v>236</v>
      </c>
      <c r="R505" s="32" t="s">
        <v>7472</v>
      </c>
      <c r="S505" t="s">
        <v>7476</v>
      </c>
      <c r="T505" s="34" t="s">
        <v>7476</v>
      </c>
      <c r="U505" s="34" t="s">
        <v>7476</v>
      </c>
      <c r="V505" s="32" t="s">
        <v>7476</v>
      </c>
      <c r="W505" s="32" t="s">
        <v>7476</v>
      </c>
      <c r="X505">
        <v>0</v>
      </c>
      <c r="Y505" s="34" t="s">
        <v>7476</v>
      </c>
      <c r="Z505" s="34" t="s">
        <v>7476</v>
      </c>
      <c r="AA505" s="34" t="s">
        <v>7476</v>
      </c>
      <c r="AB505" s="36" t="s">
        <v>52</v>
      </c>
      <c r="AD505" t="s">
        <v>1618</v>
      </c>
      <c r="AE505" t="s">
        <v>1619</v>
      </c>
      <c r="AF505" s="16">
        <v>45186</v>
      </c>
      <c r="AG505" t="s">
        <v>98</v>
      </c>
      <c r="AH505">
        <v>3</v>
      </c>
      <c r="AI505" s="8" t="str">
        <f t="shared" si="168"/>
        <v/>
      </c>
      <c r="AJ505" s="8">
        <f t="shared" si="169"/>
        <v>6.133263888892543</v>
      </c>
      <c r="AK505" s="38" t="str">
        <f t="shared" si="151"/>
        <v/>
      </c>
      <c r="AL505" t="str">
        <f t="shared" si="170"/>
        <v/>
      </c>
      <c r="AM505" t="str">
        <f t="shared" si="171"/>
        <v/>
      </c>
      <c r="AN505" t="str">
        <f t="shared" si="172"/>
        <v/>
      </c>
      <c r="AO505">
        <f t="shared" si="173"/>
        <v>3</v>
      </c>
      <c r="AP505">
        <f t="shared" si="174"/>
        <v>0</v>
      </c>
      <c r="AQ505" t="str">
        <f t="shared" si="175"/>
        <v/>
      </c>
    </row>
    <row r="506" spans="1:43" x14ac:dyDescent="0.35">
      <c r="A506">
        <v>2459</v>
      </c>
      <c r="B506" t="s">
        <v>1620</v>
      </c>
      <c r="C506" t="s">
        <v>202</v>
      </c>
      <c r="D506" t="str">
        <f t="shared" si="149"/>
        <v>Program Office</v>
      </c>
      <c r="E506" t="s">
        <v>1542</v>
      </c>
      <c r="F506" t="s">
        <v>70</v>
      </c>
      <c r="G506" t="s">
        <v>657</v>
      </c>
      <c r="H506" t="s">
        <v>59</v>
      </c>
      <c r="I506" s="32">
        <v>45160.069826388892</v>
      </c>
      <c r="J506" s="32">
        <v>45162.069826388892</v>
      </c>
      <c r="K506" s="32">
        <v>45167.069826388892</v>
      </c>
      <c r="L506" s="8">
        <f t="shared" si="150"/>
        <v>7</v>
      </c>
      <c r="M506" s="7">
        <v>45179.069826388892</v>
      </c>
      <c r="N506" t="s">
        <v>49</v>
      </c>
      <c r="O506" s="34">
        <v>45183.069826388892</v>
      </c>
      <c r="P506" t="s">
        <v>50</v>
      </c>
      <c r="Q506" t="s">
        <v>198</v>
      </c>
      <c r="R506" s="32" t="s">
        <v>7472</v>
      </c>
      <c r="S506" t="s">
        <v>7476</v>
      </c>
      <c r="T506" s="34" t="s">
        <v>7476</v>
      </c>
      <c r="U506" s="34" t="s">
        <v>7476</v>
      </c>
      <c r="V506" s="32">
        <v>45186.069826388892</v>
      </c>
      <c r="W506" s="32" t="s">
        <v>7476</v>
      </c>
      <c r="X506">
        <v>0</v>
      </c>
      <c r="Y506" s="34" t="s">
        <v>7476</v>
      </c>
      <c r="Z506" s="34" t="s">
        <v>7476</v>
      </c>
      <c r="AA506" s="34" t="s">
        <v>7476</v>
      </c>
      <c r="AB506" s="36" t="s">
        <v>95</v>
      </c>
      <c r="AD506" t="s">
        <v>1621</v>
      </c>
      <c r="AE506" t="s">
        <v>1622</v>
      </c>
      <c r="AF506" s="16">
        <v>45167</v>
      </c>
      <c r="AG506" t="s">
        <v>98</v>
      </c>
      <c r="AH506">
        <v>6</v>
      </c>
      <c r="AI506" s="8" t="str">
        <f t="shared" si="168"/>
        <v/>
      </c>
      <c r="AJ506" s="8">
        <f t="shared" si="169"/>
        <v>16.06982638889167</v>
      </c>
      <c r="AK506" s="38">
        <f t="shared" si="151"/>
        <v>45366.069826388892</v>
      </c>
      <c r="AL506" t="str">
        <f t="shared" si="170"/>
        <v/>
      </c>
      <c r="AM506" t="str">
        <f t="shared" si="171"/>
        <v/>
      </c>
      <c r="AN506">
        <f t="shared" si="172"/>
        <v>3</v>
      </c>
      <c r="AO506">
        <f t="shared" si="173"/>
        <v>2</v>
      </c>
      <c r="AP506">
        <f t="shared" si="174"/>
        <v>0</v>
      </c>
      <c r="AQ506" t="str">
        <f t="shared" si="175"/>
        <v/>
      </c>
    </row>
    <row r="507" spans="1:43" x14ac:dyDescent="0.35">
      <c r="A507">
        <v>2452</v>
      </c>
      <c r="B507" t="s">
        <v>1623</v>
      </c>
      <c r="C507" t="s">
        <v>213</v>
      </c>
      <c r="D507" t="str">
        <f t="shared" si="149"/>
        <v>Program Office</v>
      </c>
      <c r="E507" t="s">
        <v>1542</v>
      </c>
      <c r="F507" t="s">
        <v>70</v>
      </c>
      <c r="G507" t="s">
        <v>657</v>
      </c>
      <c r="H507" t="s">
        <v>59</v>
      </c>
      <c r="I507" s="32">
        <v>45161.069826388892</v>
      </c>
      <c r="J507" s="32">
        <v>45163.069826388892</v>
      </c>
      <c r="K507" s="32">
        <v>45167.069826388892</v>
      </c>
      <c r="L507" s="8">
        <f t="shared" si="150"/>
        <v>6</v>
      </c>
      <c r="M507" s="7">
        <v>45186.069826388892</v>
      </c>
      <c r="N507" t="s">
        <v>49</v>
      </c>
      <c r="O507" s="34">
        <v>45179.069826388892</v>
      </c>
      <c r="P507" t="s">
        <v>50</v>
      </c>
      <c r="Q507" t="s">
        <v>84</v>
      </c>
      <c r="R507" s="32" t="s">
        <v>7472</v>
      </c>
      <c r="S507" t="s">
        <v>7476</v>
      </c>
      <c r="T507" s="34" t="s">
        <v>7476</v>
      </c>
      <c r="U507" s="34" t="s">
        <v>7476</v>
      </c>
      <c r="V507" s="32">
        <v>45183.069826388892</v>
      </c>
      <c r="W507" s="32" t="s">
        <v>7476</v>
      </c>
      <c r="X507">
        <v>0</v>
      </c>
      <c r="Y507" s="34" t="s">
        <v>7476</v>
      </c>
      <c r="Z507" s="34" t="s">
        <v>7476</v>
      </c>
      <c r="AA507" s="34" t="s">
        <v>7476</v>
      </c>
      <c r="AB507" s="36" t="s">
        <v>52</v>
      </c>
      <c r="AD507" t="s">
        <v>1624</v>
      </c>
      <c r="AE507" t="s">
        <v>1625</v>
      </c>
      <c r="AF507" s="16">
        <v>45174</v>
      </c>
      <c r="AG507" t="s">
        <v>64</v>
      </c>
      <c r="AH507">
        <v>3</v>
      </c>
      <c r="AI507" s="8" t="str">
        <f t="shared" si="168"/>
        <v/>
      </c>
      <c r="AJ507" s="8">
        <f t="shared" si="169"/>
        <v>5.0698263888916699</v>
      </c>
      <c r="AK507" s="38">
        <f t="shared" si="151"/>
        <v>45273.069826388892</v>
      </c>
      <c r="AL507" t="str">
        <f t="shared" si="170"/>
        <v/>
      </c>
      <c r="AM507" t="str">
        <f t="shared" si="171"/>
        <v/>
      </c>
      <c r="AN507">
        <f t="shared" si="172"/>
        <v>4</v>
      </c>
      <c r="AO507">
        <f t="shared" si="173"/>
        <v>2</v>
      </c>
      <c r="AP507">
        <f t="shared" si="174"/>
        <v>0</v>
      </c>
      <c r="AQ507" t="str">
        <f t="shared" si="175"/>
        <v/>
      </c>
    </row>
    <row r="508" spans="1:43" x14ac:dyDescent="0.35">
      <c r="A508">
        <v>2449</v>
      </c>
      <c r="B508" t="s">
        <v>1626</v>
      </c>
      <c r="C508" t="s">
        <v>202</v>
      </c>
      <c r="D508" t="str">
        <f t="shared" si="149"/>
        <v>Program Office</v>
      </c>
      <c r="E508" t="s">
        <v>1542</v>
      </c>
      <c r="F508" t="s">
        <v>46</v>
      </c>
      <c r="G508" t="s">
        <v>333</v>
      </c>
      <c r="H508" t="s">
        <v>59</v>
      </c>
      <c r="I508" s="32">
        <v>44867.772222222222</v>
      </c>
      <c r="J508" s="32">
        <v>44868.772222222222</v>
      </c>
      <c r="K508" s="32">
        <v>44873.772222222222</v>
      </c>
      <c r="L508" s="8">
        <f t="shared" si="150"/>
        <v>6</v>
      </c>
      <c r="M508" s="7">
        <v>44886.772222222222</v>
      </c>
      <c r="N508" t="s">
        <v>49</v>
      </c>
      <c r="O508" s="34">
        <v>44888.772222222222</v>
      </c>
      <c r="P508" t="s">
        <v>50</v>
      </c>
      <c r="Q508" t="s">
        <v>51</v>
      </c>
      <c r="R508" s="32" t="s">
        <v>7472</v>
      </c>
      <c r="S508" t="s">
        <v>7476</v>
      </c>
      <c r="T508" s="34" t="s">
        <v>7476</v>
      </c>
      <c r="U508" s="34" t="s">
        <v>7476</v>
      </c>
      <c r="V508" s="32">
        <v>44892.772222222222</v>
      </c>
      <c r="W508" s="32" t="s">
        <v>7476</v>
      </c>
      <c r="X508">
        <v>0</v>
      </c>
      <c r="Y508" s="34" t="s">
        <v>7476</v>
      </c>
      <c r="Z508" s="34" t="s">
        <v>7476</v>
      </c>
      <c r="AA508" s="34" t="s">
        <v>7476</v>
      </c>
      <c r="AB508" s="36" t="s">
        <v>52</v>
      </c>
      <c r="AD508" t="s">
        <v>1627</v>
      </c>
      <c r="AE508" t="s">
        <v>1628</v>
      </c>
      <c r="AF508" s="16">
        <v>44869</v>
      </c>
      <c r="AG508" t="s">
        <v>68</v>
      </c>
      <c r="AH508">
        <v>3</v>
      </c>
      <c r="AI508" s="8" t="str">
        <f t="shared" si="168"/>
        <v/>
      </c>
      <c r="AJ508" s="8">
        <f t="shared" si="169"/>
        <v>19.772222222221899</v>
      </c>
      <c r="AK508" s="38">
        <f t="shared" si="151"/>
        <v>44982.772222222222</v>
      </c>
      <c r="AL508" t="str">
        <f t="shared" si="170"/>
        <v/>
      </c>
      <c r="AM508" t="str">
        <f t="shared" si="171"/>
        <v/>
      </c>
      <c r="AN508">
        <f t="shared" si="172"/>
        <v>4</v>
      </c>
      <c r="AO508">
        <f t="shared" si="173"/>
        <v>1</v>
      </c>
      <c r="AP508">
        <f t="shared" si="174"/>
        <v>0</v>
      </c>
      <c r="AQ508" t="str">
        <f t="shared" si="175"/>
        <v/>
      </c>
    </row>
    <row r="509" spans="1:43" x14ac:dyDescent="0.35">
      <c r="A509">
        <v>2448</v>
      </c>
      <c r="B509" t="s">
        <v>1629</v>
      </c>
      <c r="C509" t="s">
        <v>213</v>
      </c>
      <c r="D509" t="str">
        <f t="shared" si="149"/>
        <v>Program Office</v>
      </c>
      <c r="E509" t="s">
        <v>1542</v>
      </c>
      <c r="F509" t="s">
        <v>46</v>
      </c>
      <c r="G509" t="s">
        <v>333</v>
      </c>
      <c r="H509" t="s">
        <v>59</v>
      </c>
      <c r="I509" s="32">
        <v>44864.772222222222</v>
      </c>
      <c r="J509" s="32" t="s">
        <v>7471</v>
      </c>
      <c r="K509" s="32">
        <v>44873.772222222222</v>
      </c>
      <c r="L509" s="8">
        <f t="shared" si="150"/>
        <v>9</v>
      </c>
      <c r="M509" s="7">
        <v>44895.772222222222</v>
      </c>
      <c r="N509" t="s">
        <v>49</v>
      </c>
      <c r="O509" s="34">
        <v>44877.772222222222</v>
      </c>
      <c r="P509" t="s">
        <v>50</v>
      </c>
      <c r="Q509" t="s">
        <v>236</v>
      </c>
      <c r="R509" s="32" t="s">
        <v>7472</v>
      </c>
      <c r="S509" t="s">
        <v>7476</v>
      </c>
      <c r="T509" s="34" t="s">
        <v>7476</v>
      </c>
      <c r="U509" s="34" t="s">
        <v>7476</v>
      </c>
      <c r="V509" s="32" t="s">
        <v>7476</v>
      </c>
      <c r="W509" s="32" t="s">
        <v>7476</v>
      </c>
      <c r="X509">
        <v>0</v>
      </c>
      <c r="Y509" s="34" t="s">
        <v>7476</v>
      </c>
      <c r="Z509" s="34" t="s">
        <v>7476</v>
      </c>
      <c r="AA509" s="34" t="s">
        <v>7476</v>
      </c>
      <c r="AB509" s="36" t="s">
        <v>52</v>
      </c>
      <c r="AD509" t="s">
        <v>1630</v>
      </c>
      <c r="AE509" t="s">
        <v>1631</v>
      </c>
      <c r="AF509" s="16">
        <v>44872</v>
      </c>
      <c r="AG509" t="s">
        <v>98</v>
      </c>
      <c r="AH509">
        <v>6</v>
      </c>
      <c r="AK509" s="38" t="str">
        <f t="shared" si="151"/>
        <v/>
      </c>
    </row>
    <row r="510" spans="1:43" x14ac:dyDescent="0.35">
      <c r="A510">
        <v>2408</v>
      </c>
      <c r="B510" t="s">
        <v>1632</v>
      </c>
      <c r="C510" t="s">
        <v>213</v>
      </c>
      <c r="D510" t="str">
        <f t="shared" si="149"/>
        <v>Program Office</v>
      </c>
      <c r="E510" t="s">
        <v>1542</v>
      </c>
      <c r="F510" t="s">
        <v>46</v>
      </c>
      <c r="G510" t="s">
        <v>333</v>
      </c>
      <c r="H510" t="s">
        <v>59</v>
      </c>
      <c r="I510" s="32">
        <v>45016.0859837963</v>
      </c>
      <c r="J510" s="32">
        <v>45019.0859837963</v>
      </c>
      <c r="K510" s="32">
        <v>45022.0859837963</v>
      </c>
      <c r="L510" s="8">
        <f t="shared" si="150"/>
        <v>6</v>
      </c>
      <c r="M510" s="7">
        <v>45027.0859837963</v>
      </c>
      <c r="N510" t="s">
        <v>49</v>
      </c>
      <c r="O510" s="34">
        <v>45035.0859837963</v>
      </c>
      <c r="P510" t="s">
        <v>50</v>
      </c>
      <c r="Q510" t="s">
        <v>51</v>
      </c>
      <c r="R510" s="32" t="s">
        <v>7472</v>
      </c>
      <c r="S510" t="s">
        <v>7476</v>
      </c>
      <c r="T510" s="34" t="s">
        <v>7476</v>
      </c>
      <c r="U510" s="34" t="s">
        <v>7476</v>
      </c>
      <c r="V510" s="32" t="s">
        <v>7476</v>
      </c>
      <c r="W510" s="32" t="s">
        <v>7476</v>
      </c>
      <c r="X510">
        <v>0</v>
      </c>
      <c r="Y510" s="34" t="s">
        <v>7476</v>
      </c>
      <c r="Z510" s="34" t="s">
        <v>7476</v>
      </c>
      <c r="AA510" s="34" t="s">
        <v>7476</v>
      </c>
      <c r="AB510" s="36" t="s">
        <v>52</v>
      </c>
      <c r="AD510" t="s">
        <v>1633</v>
      </c>
      <c r="AE510" t="s">
        <v>1634</v>
      </c>
      <c r="AF510" s="16">
        <v>45023</v>
      </c>
      <c r="AG510" t="s">
        <v>68</v>
      </c>
      <c r="AH510">
        <v>3</v>
      </c>
      <c r="AI510" s="8" t="str">
        <f>IFERROR(R510-AF510,"")</f>
        <v/>
      </c>
      <c r="AJ510" s="8">
        <f>IFERROR(O510-AF510,"")</f>
        <v>12.085983796299843</v>
      </c>
      <c r="AK510" s="38" t="str">
        <f t="shared" si="151"/>
        <v/>
      </c>
      <c r="AL510" t="str">
        <f>IFERROR(Z510-W510,"")</f>
        <v/>
      </c>
      <c r="AM510" t="str">
        <f>IFERROR(R510-J510,"")</f>
        <v/>
      </c>
      <c r="AN510" t="str">
        <f>IFERROR(V510-O510,"")</f>
        <v/>
      </c>
      <c r="AO510">
        <f>IFERROR(J510-I510,"")</f>
        <v>3</v>
      </c>
      <c r="AP510">
        <f>IFERROR(AC510-X510,"")</f>
        <v>0</v>
      </c>
      <c r="AQ510" t="str">
        <f>IFERROR(AA510-W510,"")</f>
        <v/>
      </c>
    </row>
    <row r="511" spans="1:43" x14ac:dyDescent="0.35">
      <c r="A511">
        <v>2404</v>
      </c>
      <c r="B511" t="s">
        <v>1635</v>
      </c>
      <c r="C511" t="s">
        <v>213</v>
      </c>
      <c r="D511" t="str">
        <f t="shared" si="149"/>
        <v>Program Office</v>
      </c>
      <c r="E511" t="s">
        <v>1542</v>
      </c>
      <c r="F511" t="s">
        <v>46</v>
      </c>
      <c r="G511" t="s">
        <v>333</v>
      </c>
      <c r="H511" t="s">
        <v>59</v>
      </c>
      <c r="I511" s="32">
        <v>45015.0859837963</v>
      </c>
      <c r="J511" s="32">
        <v>45016.0859837963</v>
      </c>
      <c r="K511" s="32">
        <v>45022.0859837963</v>
      </c>
      <c r="L511" s="8">
        <f t="shared" si="150"/>
        <v>7</v>
      </c>
      <c r="M511" s="7">
        <v>45028.0859837963</v>
      </c>
      <c r="N511" t="s">
        <v>49</v>
      </c>
      <c r="O511" s="34">
        <v>45036.0859837963</v>
      </c>
      <c r="P511" t="s">
        <v>50</v>
      </c>
      <c r="Q511" t="s">
        <v>51</v>
      </c>
      <c r="R511" s="32" t="s">
        <v>7472</v>
      </c>
      <c r="S511" t="s">
        <v>7476</v>
      </c>
      <c r="T511" s="34" t="s">
        <v>7476</v>
      </c>
      <c r="U511" s="34" t="s">
        <v>7476</v>
      </c>
      <c r="V511" s="32">
        <v>45040.0859837963</v>
      </c>
      <c r="W511" s="32" t="s">
        <v>7476</v>
      </c>
      <c r="X511">
        <v>0</v>
      </c>
      <c r="Y511" s="34" t="s">
        <v>7476</v>
      </c>
      <c r="Z511" s="34" t="s">
        <v>7476</v>
      </c>
      <c r="AA511" s="34" t="s">
        <v>7476</v>
      </c>
      <c r="AB511" s="36" t="s">
        <v>52</v>
      </c>
      <c r="AD511" t="s">
        <v>1636</v>
      </c>
      <c r="AE511" t="s">
        <v>1637</v>
      </c>
      <c r="AF511" s="16">
        <v>45031</v>
      </c>
      <c r="AG511" t="s">
        <v>68</v>
      </c>
      <c r="AH511">
        <v>6</v>
      </c>
      <c r="AI511" s="8" t="str">
        <f>IFERROR(R511-AF511,"")</f>
        <v/>
      </c>
      <c r="AJ511" s="8">
        <f>IFERROR(O511-AF511,"")</f>
        <v>5.0859837962998427</v>
      </c>
      <c r="AK511" s="38">
        <f t="shared" si="151"/>
        <v>45220.0859837963</v>
      </c>
      <c r="AL511" t="str">
        <f>IFERROR(Z511-W511,"")</f>
        <v/>
      </c>
      <c r="AM511" t="str">
        <f>IFERROR(R511-J511,"")</f>
        <v/>
      </c>
      <c r="AN511">
        <f>IFERROR(V511-O511,"")</f>
        <v>4</v>
      </c>
      <c r="AO511">
        <f>IFERROR(J511-I511,"")</f>
        <v>1</v>
      </c>
      <c r="AP511">
        <f>IFERROR(AC511-X511,"")</f>
        <v>0</v>
      </c>
      <c r="AQ511" t="str">
        <f>IFERROR(AA511-W511,"")</f>
        <v/>
      </c>
    </row>
    <row r="512" spans="1:43" x14ac:dyDescent="0.35">
      <c r="A512">
        <v>2382</v>
      </c>
      <c r="B512" t="s">
        <v>1638</v>
      </c>
      <c r="C512" t="s">
        <v>213</v>
      </c>
      <c r="D512" t="str">
        <f t="shared" si="149"/>
        <v>Program Office</v>
      </c>
      <c r="E512" t="s">
        <v>1542</v>
      </c>
      <c r="F512" t="s">
        <v>46</v>
      </c>
      <c r="G512" t="s">
        <v>333</v>
      </c>
      <c r="H512" t="s">
        <v>59</v>
      </c>
      <c r="I512" s="32">
        <v>45030.529537037037</v>
      </c>
      <c r="J512" s="32">
        <v>45034.529537037037</v>
      </c>
      <c r="K512" s="32">
        <v>45036.529537037037</v>
      </c>
      <c r="L512" s="8">
        <f t="shared" si="150"/>
        <v>6</v>
      </c>
      <c r="M512" s="7">
        <v>45066.529537037037</v>
      </c>
      <c r="N512" t="s">
        <v>49</v>
      </c>
      <c r="O512" s="34">
        <v>45044.529537037037</v>
      </c>
      <c r="P512" t="s">
        <v>50</v>
      </c>
      <c r="Q512" t="s">
        <v>236</v>
      </c>
      <c r="R512" s="32" t="s">
        <v>7472</v>
      </c>
      <c r="S512" t="s">
        <v>7476</v>
      </c>
      <c r="T512" s="34" t="s">
        <v>7476</v>
      </c>
      <c r="U512" s="34" t="s">
        <v>7476</v>
      </c>
      <c r="V512" s="32" t="s">
        <v>7476</v>
      </c>
      <c r="W512" s="32" t="s">
        <v>7476</v>
      </c>
      <c r="X512">
        <v>0</v>
      </c>
      <c r="Y512" s="34" t="s">
        <v>7476</v>
      </c>
      <c r="Z512" s="34" t="s">
        <v>7476</v>
      </c>
      <c r="AA512" s="34" t="s">
        <v>7476</v>
      </c>
      <c r="AB512" s="36" t="s">
        <v>95</v>
      </c>
      <c r="AD512" t="s">
        <v>1639</v>
      </c>
      <c r="AE512" t="s">
        <v>1640</v>
      </c>
      <c r="AF512" s="16">
        <v>45034</v>
      </c>
      <c r="AG512" t="s">
        <v>64</v>
      </c>
      <c r="AH512">
        <v>3</v>
      </c>
      <c r="AI512" s="8" t="str">
        <f>IFERROR(R512-AF512,"")</f>
        <v/>
      </c>
      <c r="AJ512" s="8">
        <f>IFERROR(O512-AF512,"")</f>
        <v>10.529537037036789</v>
      </c>
      <c r="AK512" s="38" t="str">
        <f t="shared" si="151"/>
        <v/>
      </c>
      <c r="AL512" t="str">
        <f>IFERROR(Z512-W512,"")</f>
        <v/>
      </c>
      <c r="AM512" t="str">
        <f>IFERROR(R512-J512,"")</f>
        <v/>
      </c>
      <c r="AN512" t="str">
        <f>IFERROR(V512-O512,"")</f>
        <v/>
      </c>
      <c r="AO512">
        <f>IFERROR(J512-I512,"")</f>
        <v>4</v>
      </c>
      <c r="AP512">
        <f>IFERROR(AC512-X512,"")</f>
        <v>0</v>
      </c>
      <c r="AQ512" t="str">
        <f>IFERROR(AA512-W512,"")</f>
        <v/>
      </c>
    </row>
    <row r="513" spans="1:43" x14ac:dyDescent="0.35">
      <c r="A513">
        <v>2369</v>
      </c>
      <c r="B513" t="s">
        <v>1641</v>
      </c>
      <c r="C513" t="s">
        <v>213</v>
      </c>
      <c r="D513" t="str">
        <f t="shared" si="149"/>
        <v>Program Office</v>
      </c>
      <c r="E513" t="s">
        <v>1542</v>
      </c>
      <c r="F513" t="s">
        <v>46</v>
      </c>
      <c r="G513" t="s">
        <v>333</v>
      </c>
      <c r="H513" t="s">
        <v>59</v>
      </c>
      <c r="I513" s="32" t="s">
        <v>7471</v>
      </c>
      <c r="J513" s="32">
        <v>44975.268252314818</v>
      </c>
      <c r="K513" s="32">
        <v>44980.268252314818</v>
      </c>
      <c r="L513" s="8" t="str">
        <f t="shared" si="150"/>
        <v/>
      </c>
      <c r="M513" s="7">
        <v>44994.268252314818</v>
      </c>
      <c r="N513" t="s">
        <v>72</v>
      </c>
      <c r="O513" s="34" t="s">
        <v>7474</v>
      </c>
      <c r="R513" s="32" t="s">
        <v>7472</v>
      </c>
      <c r="S513" t="s">
        <v>7476</v>
      </c>
      <c r="T513" s="34" t="s">
        <v>7476</v>
      </c>
      <c r="U513" s="34" t="s">
        <v>7476</v>
      </c>
      <c r="V513" s="32" t="s">
        <v>7476</v>
      </c>
      <c r="W513" s="32" t="s">
        <v>7476</v>
      </c>
      <c r="X513">
        <v>0</v>
      </c>
      <c r="Y513" s="34" t="s">
        <v>7476</v>
      </c>
      <c r="Z513" s="34" t="s">
        <v>7476</v>
      </c>
      <c r="AA513" s="34" t="s">
        <v>7476</v>
      </c>
      <c r="AB513" s="36" t="s">
        <v>7476</v>
      </c>
      <c r="AD513" t="s">
        <v>1642</v>
      </c>
      <c r="AE513" t="s">
        <v>1643</v>
      </c>
      <c r="AG513" t="s">
        <v>93</v>
      </c>
      <c r="AH513">
        <v>6</v>
      </c>
      <c r="AK513" s="38" t="str">
        <f t="shared" si="151"/>
        <v/>
      </c>
    </row>
    <row r="514" spans="1:43" x14ac:dyDescent="0.35">
      <c r="A514">
        <v>2368</v>
      </c>
      <c r="B514" t="s">
        <v>1644</v>
      </c>
      <c r="C514" t="s">
        <v>213</v>
      </c>
      <c r="D514" t="str">
        <f t="shared" ref="D514:D577" si="176">TRIM(C514)</f>
        <v>Program Office</v>
      </c>
      <c r="E514" t="s">
        <v>1542</v>
      </c>
      <c r="F514" t="s">
        <v>46</v>
      </c>
      <c r="G514" t="s">
        <v>333</v>
      </c>
      <c r="H514" t="s">
        <v>59</v>
      </c>
      <c r="I514" s="32">
        <v>44975.268252314818</v>
      </c>
      <c r="J514" s="32" t="s">
        <v>7471</v>
      </c>
      <c r="K514" s="32">
        <v>44980.268252314818</v>
      </c>
      <c r="L514" s="8">
        <f t="shared" ref="L514:L577" si="177">IFERROR(K514-I514,"")</f>
        <v>5</v>
      </c>
      <c r="M514" s="7">
        <v>45008.268252314818</v>
      </c>
      <c r="N514" t="s">
        <v>49</v>
      </c>
      <c r="O514" s="34">
        <v>44982.268252314818</v>
      </c>
      <c r="P514" t="s">
        <v>50</v>
      </c>
      <c r="Q514" t="s">
        <v>236</v>
      </c>
      <c r="R514" s="32" t="s">
        <v>7472</v>
      </c>
      <c r="S514" t="s">
        <v>7476</v>
      </c>
      <c r="T514" s="34" t="s">
        <v>7476</v>
      </c>
      <c r="U514" s="34" t="s">
        <v>7476</v>
      </c>
      <c r="V514" s="32" t="s">
        <v>7476</v>
      </c>
      <c r="W514" s="32" t="s">
        <v>7476</v>
      </c>
      <c r="X514">
        <v>0</v>
      </c>
      <c r="Y514" s="34" t="s">
        <v>7476</v>
      </c>
      <c r="Z514" s="34" t="s">
        <v>7476</v>
      </c>
      <c r="AA514" s="34" t="s">
        <v>7476</v>
      </c>
      <c r="AB514" s="36" t="s">
        <v>52</v>
      </c>
      <c r="AD514" t="s">
        <v>1645</v>
      </c>
      <c r="AE514" t="s">
        <v>1646</v>
      </c>
      <c r="AF514" s="16">
        <v>45262</v>
      </c>
      <c r="AG514" t="s">
        <v>64</v>
      </c>
      <c r="AH514">
        <v>6</v>
      </c>
      <c r="AK514" s="38" t="str">
        <f t="shared" si="151"/>
        <v/>
      </c>
    </row>
    <row r="515" spans="1:43" x14ac:dyDescent="0.35">
      <c r="A515">
        <v>2364</v>
      </c>
      <c r="B515" t="s">
        <v>1647</v>
      </c>
      <c r="C515" t="s">
        <v>202</v>
      </c>
      <c r="D515" t="str">
        <f t="shared" si="176"/>
        <v>Program Office</v>
      </c>
      <c r="E515" t="s">
        <v>1542</v>
      </c>
      <c r="F515" t="s">
        <v>46</v>
      </c>
      <c r="G515" t="s">
        <v>333</v>
      </c>
      <c r="H515" t="s">
        <v>59</v>
      </c>
      <c r="I515" s="32">
        <v>44978.268252314818</v>
      </c>
      <c r="J515" s="32">
        <v>44979.268252314818</v>
      </c>
      <c r="K515" s="32">
        <v>44980.268252314818</v>
      </c>
      <c r="L515" s="8">
        <f t="shared" si="177"/>
        <v>2</v>
      </c>
      <c r="M515" s="7">
        <v>44996.268252314818</v>
      </c>
      <c r="N515" t="s">
        <v>72</v>
      </c>
      <c r="O515" s="34" t="s">
        <v>7474</v>
      </c>
      <c r="R515" s="32" t="s">
        <v>7472</v>
      </c>
      <c r="S515" t="s">
        <v>7476</v>
      </c>
      <c r="T515" s="34" t="s">
        <v>7476</v>
      </c>
      <c r="U515" s="34" t="s">
        <v>7476</v>
      </c>
      <c r="V515" s="32" t="s">
        <v>7476</v>
      </c>
      <c r="W515" s="32" t="s">
        <v>7476</v>
      </c>
      <c r="X515">
        <v>0</v>
      </c>
      <c r="Y515" s="34" t="s">
        <v>7476</v>
      </c>
      <c r="Z515" s="34" t="s">
        <v>7476</v>
      </c>
      <c r="AA515" s="34" t="s">
        <v>7476</v>
      </c>
      <c r="AB515" s="36" t="s">
        <v>7476</v>
      </c>
      <c r="AD515" t="s">
        <v>1648</v>
      </c>
      <c r="AE515" t="s">
        <v>1649</v>
      </c>
      <c r="AG515" t="s">
        <v>64</v>
      </c>
      <c r="AH515">
        <v>6</v>
      </c>
      <c r="AI515" s="8" t="str">
        <f>IFERROR(R515-AF515,"")</f>
        <v/>
      </c>
      <c r="AJ515" s="8" t="str">
        <f>IFERROR(O515-AF515,"")</f>
        <v/>
      </c>
      <c r="AK515" s="38" t="str">
        <f t="shared" ref="AK515:AK578" si="178">IFERROR(V515+(AH515*30),"")</f>
        <v/>
      </c>
      <c r="AL515" t="str">
        <f>IFERROR(Z515-W515,"")</f>
        <v/>
      </c>
      <c r="AM515" t="str">
        <f>IFERROR(R515-J515,"")</f>
        <v/>
      </c>
      <c r="AN515" t="str">
        <f>IFERROR(V515-O515,"")</f>
        <v/>
      </c>
      <c r="AO515">
        <f>IFERROR(J515-I515,"")</f>
        <v>1</v>
      </c>
      <c r="AP515">
        <f>IFERROR(AC515-X515,"")</f>
        <v>0</v>
      </c>
      <c r="AQ515" t="str">
        <f>IFERROR(AA515-W515,"")</f>
        <v/>
      </c>
    </row>
    <row r="516" spans="1:43" x14ac:dyDescent="0.35">
      <c r="A516">
        <v>2363</v>
      </c>
      <c r="B516" t="s">
        <v>1650</v>
      </c>
      <c r="C516" t="s">
        <v>202</v>
      </c>
      <c r="D516" t="str">
        <f t="shared" si="176"/>
        <v>Program Office</v>
      </c>
      <c r="E516" t="s">
        <v>1542</v>
      </c>
      <c r="F516" t="s">
        <v>70</v>
      </c>
      <c r="G516" t="s">
        <v>657</v>
      </c>
      <c r="H516" t="s">
        <v>59</v>
      </c>
      <c r="I516" s="32">
        <v>44971.268252314818</v>
      </c>
      <c r="J516" s="32">
        <v>44975.268252314818</v>
      </c>
      <c r="K516" s="32">
        <v>44980.268252314818</v>
      </c>
      <c r="L516" s="8">
        <f t="shared" si="177"/>
        <v>9</v>
      </c>
      <c r="M516" s="7">
        <v>44985.268252314818</v>
      </c>
      <c r="N516" t="s">
        <v>49</v>
      </c>
      <c r="O516" s="34">
        <v>44996.268252314818</v>
      </c>
      <c r="P516" t="s">
        <v>392</v>
      </c>
      <c r="R516" s="32">
        <v>45001.268252314818</v>
      </c>
      <c r="S516" t="s">
        <v>392</v>
      </c>
      <c r="T516" s="34" t="s">
        <v>7476</v>
      </c>
      <c r="U516" s="34" t="s">
        <v>7476</v>
      </c>
      <c r="V516" s="32">
        <v>45000.268252314818</v>
      </c>
      <c r="W516" s="32" t="s">
        <v>7476</v>
      </c>
      <c r="X516">
        <v>0</v>
      </c>
      <c r="Y516" s="34" t="s">
        <v>7476</v>
      </c>
      <c r="Z516" s="34" t="s">
        <v>7476</v>
      </c>
      <c r="AA516" s="34" t="s">
        <v>7476</v>
      </c>
      <c r="AB516" s="36" t="s">
        <v>7476</v>
      </c>
      <c r="AD516" t="s">
        <v>1651</v>
      </c>
      <c r="AE516" t="s">
        <v>1652</v>
      </c>
      <c r="AF516" s="16">
        <v>44986</v>
      </c>
      <c r="AG516" t="s">
        <v>68</v>
      </c>
      <c r="AH516">
        <v>6</v>
      </c>
      <c r="AI516" s="8">
        <f>IFERROR(R516-AF516,"")</f>
        <v>15.268252314817801</v>
      </c>
      <c r="AJ516" s="8">
        <f>IFERROR(O516-AF516,"")</f>
        <v>10.268252314817801</v>
      </c>
      <c r="AK516" s="38">
        <f t="shared" si="178"/>
        <v>45180.268252314818</v>
      </c>
      <c r="AL516" t="str">
        <f>IFERROR(Z516-W516,"")</f>
        <v/>
      </c>
      <c r="AM516">
        <f>IFERROR(R516-J516,"")</f>
        <v>26</v>
      </c>
      <c r="AN516">
        <f>IFERROR(V516-O516,"")</f>
        <v>4</v>
      </c>
      <c r="AO516">
        <f>IFERROR(J516-I516,"")</f>
        <v>4</v>
      </c>
      <c r="AP516">
        <f>IFERROR(AC516-X516,"")</f>
        <v>0</v>
      </c>
      <c r="AQ516" t="str">
        <f>IFERROR(AA516-W516,"")</f>
        <v/>
      </c>
    </row>
    <row r="517" spans="1:43" x14ac:dyDescent="0.35">
      <c r="A517">
        <v>2361</v>
      </c>
      <c r="B517" t="s">
        <v>1653</v>
      </c>
      <c r="C517" t="s">
        <v>217</v>
      </c>
      <c r="D517" t="str">
        <f t="shared" si="176"/>
        <v>Program Office</v>
      </c>
      <c r="E517" t="s">
        <v>1542</v>
      </c>
      <c r="F517" t="s">
        <v>70</v>
      </c>
      <c r="G517" t="s">
        <v>657</v>
      </c>
      <c r="H517" t="s">
        <v>59</v>
      </c>
      <c r="I517" s="32">
        <v>44975.268252314818</v>
      </c>
      <c r="J517" s="32">
        <v>44976.268252314818</v>
      </c>
      <c r="K517" s="32">
        <v>44980.268252314818</v>
      </c>
      <c r="L517" s="8">
        <f t="shared" si="177"/>
        <v>5</v>
      </c>
      <c r="M517" s="7">
        <v>45009.268252314818</v>
      </c>
      <c r="N517" t="s">
        <v>72</v>
      </c>
      <c r="O517" s="34" t="s">
        <v>7474</v>
      </c>
      <c r="R517" s="32" t="s">
        <v>7472</v>
      </c>
      <c r="S517" t="s">
        <v>7476</v>
      </c>
      <c r="T517" s="34" t="s">
        <v>7476</v>
      </c>
      <c r="U517" s="34" t="s">
        <v>7476</v>
      </c>
      <c r="V517" s="32" t="s">
        <v>7476</v>
      </c>
      <c r="W517" s="32" t="s">
        <v>7476</v>
      </c>
      <c r="X517">
        <v>0</v>
      </c>
      <c r="Y517" s="34" t="s">
        <v>7476</v>
      </c>
      <c r="Z517" s="34" t="s">
        <v>7476</v>
      </c>
      <c r="AA517" s="34" t="s">
        <v>7476</v>
      </c>
      <c r="AB517" s="36" t="s">
        <v>7476</v>
      </c>
      <c r="AD517" t="s">
        <v>1654</v>
      </c>
      <c r="AE517" t="s">
        <v>1655</v>
      </c>
      <c r="AG517" t="s">
        <v>64</v>
      </c>
      <c r="AH517">
        <v>6</v>
      </c>
      <c r="AI517" s="8" t="str">
        <f>IFERROR(R517-AF517,"")</f>
        <v/>
      </c>
      <c r="AJ517" s="8" t="str">
        <f>IFERROR(O517-AF517,"")</f>
        <v/>
      </c>
      <c r="AK517" s="38" t="str">
        <f t="shared" si="178"/>
        <v/>
      </c>
      <c r="AL517" t="str">
        <f>IFERROR(Z517-W517,"")</f>
        <v/>
      </c>
      <c r="AM517" t="str">
        <f>IFERROR(R517-J517,"")</f>
        <v/>
      </c>
      <c r="AN517" t="str">
        <f>IFERROR(V517-O517,"")</f>
        <v/>
      </c>
      <c r="AO517">
        <f>IFERROR(J517-I517,"")</f>
        <v>1</v>
      </c>
      <c r="AP517">
        <f>IFERROR(AC517-X517,"")</f>
        <v>0</v>
      </c>
      <c r="AQ517" t="str">
        <f>IFERROR(AA517-W517,"")</f>
        <v/>
      </c>
    </row>
    <row r="518" spans="1:43" x14ac:dyDescent="0.35">
      <c r="A518">
        <v>2316</v>
      </c>
      <c r="B518" t="s">
        <v>1656</v>
      </c>
      <c r="C518" t="s">
        <v>217</v>
      </c>
      <c r="D518" t="str">
        <f t="shared" si="176"/>
        <v>Program Office</v>
      </c>
      <c r="E518" t="s">
        <v>1542</v>
      </c>
      <c r="F518" t="s">
        <v>70</v>
      </c>
      <c r="G518" t="s">
        <v>657</v>
      </c>
      <c r="H518" t="s">
        <v>59</v>
      </c>
      <c r="I518" s="32">
        <v>44668.037303240737</v>
      </c>
      <c r="J518" s="32" t="s">
        <v>7471</v>
      </c>
      <c r="K518" s="32" t="s">
        <v>7473</v>
      </c>
      <c r="L518" s="8" t="str">
        <f t="shared" si="177"/>
        <v/>
      </c>
      <c r="M518" s="7">
        <v>44688.037303240737</v>
      </c>
      <c r="N518" t="s">
        <v>49</v>
      </c>
      <c r="O518" s="34">
        <v>44690.037303240737</v>
      </c>
      <c r="P518" t="s">
        <v>50</v>
      </c>
      <c r="Q518" t="s">
        <v>51</v>
      </c>
      <c r="R518" s="32" t="s">
        <v>7472</v>
      </c>
      <c r="S518" t="s">
        <v>7476</v>
      </c>
      <c r="T518" s="34" t="s">
        <v>7476</v>
      </c>
      <c r="U518" s="34" t="s">
        <v>7476</v>
      </c>
      <c r="V518" s="32">
        <v>44693.037303240737</v>
      </c>
      <c r="W518" s="32" t="s">
        <v>7476</v>
      </c>
      <c r="X518">
        <v>0</v>
      </c>
      <c r="Y518" s="34" t="s">
        <v>7476</v>
      </c>
      <c r="Z518" s="34" t="s">
        <v>7476</v>
      </c>
      <c r="AA518" s="34" t="s">
        <v>7476</v>
      </c>
      <c r="AB518" s="36" t="s">
        <v>95</v>
      </c>
      <c r="AD518" t="s">
        <v>1657</v>
      </c>
      <c r="AE518" t="s">
        <v>1658</v>
      </c>
      <c r="AF518" s="16">
        <v>44656</v>
      </c>
      <c r="AG518" t="s">
        <v>55</v>
      </c>
      <c r="AH518">
        <v>6</v>
      </c>
      <c r="AK518" s="38">
        <f t="shared" si="178"/>
        <v>44873.037303240737</v>
      </c>
    </row>
    <row r="519" spans="1:43" x14ac:dyDescent="0.35">
      <c r="A519">
        <v>2312</v>
      </c>
      <c r="B519" t="s">
        <v>1659</v>
      </c>
      <c r="C519" t="s">
        <v>213</v>
      </c>
      <c r="D519" t="str">
        <f t="shared" si="176"/>
        <v>Program Office</v>
      </c>
      <c r="E519" t="s">
        <v>1542</v>
      </c>
      <c r="F519" t="s">
        <v>70</v>
      </c>
      <c r="G519" t="s">
        <v>657</v>
      </c>
      <c r="H519" t="s">
        <v>59</v>
      </c>
      <c r="I519" s="32" t="s">
        <v>7471</v>
      </c>
      <c r="J519" s="32">
        <v>44676.037303240737</v>
      </c>
      <c r="K519" s="32">
        <v>44677.037303240737</v>
      </c>
      <c r="L519" s="8" t="str">
        <f t="shared" si="177"/>
        <v/>
      </c>
      <c r="M519" s="7">
        <v>44704.037303240737</v>
      </c>
      <c r="N519" t="s">
        <v>72</v>
      </c>
      <c r="O519" s="34" t="s">
        <v>7474</v>
      </c>
      <c r="R519" s="32" t="s">
        <v>7472</v>
      </c>
      <c r="S519" t="s">
        <v>7476</v>
      </c>
      <c r="T519" s="34" t="s">
        <v>7476</v>
      </c>
      <c r="U519" s="34" t="s">
        <v>7476</v>
      </c>
      <c r="V519" s="32" t="s">
        <v>7476</v>
      </c>
      <c r="W519" s="32" t="s">
        <v>7476</v>
      </c>
      <c r="X519">
        <v>0</v>
      </c>
      <c r="Y519" s="34" t="s">
        <v>7476</v>
      </c>
      <c r="Z519" s="34" t="s">
        <v>7476</v>
      </c>
      <c r="AA519" s="34" t="s">
        <v>7476</v>
      </c>
      <c r="AB519" s="36" t="s">
        <v>7476</v>
      </c>
      <c r="AD519" t="s">
        <v>1660</v>
      </c>
      <c r="AE519" t="s">
        <v>1661</v>
      </c>
      <c r="AG519" t="s">
        <v>93</v>
      </c>
      <c r="AH519">
        <v>3</v>
      </c>
      <c r="AK519" s="38" t="str">
        <f t="shared" si="178"/>
        <v/>
      </c>
    </row>
    <row r="520" spans="1:43" x14ac:dyDescent="0.35">
      <c r="A520">
        <v>2246</v>
      </c>
      <c r="B520" t="s">
        <v>1662</v>
      </c>
      <c r="C520" t="s">
        <v>202</v>
      </c>
      <c r="D520" t="str">
        <f t="shared" si="176"/>
        <v>Program Office</v>
      </c>
      <c r="E520" t="s">
        <v>1542</v>
      </c>
      <c r="F520" t="s">
        <v>70</v>
      </c>
      <c r="G520" t="s">
        <v>657</v>
      </c>
      <c r="H520" t="s">
        <v>59</v>
      </c>
      <c r="I520" s="32">
        <v>44924.601747685178</v>
      </c>
      <c r="J520" s="32">
        <v>44925.601747685178</v>
      </c>
      <c r="K520" s="32">
        <v>44929.601747685178</v>
      </c>
      <c r="L520" s="8">
        <f t="shared" si="177"/>
        <v>5</v>
      </c>
      <c r="M520" s="7">
        <v>44942.601747685178</v>
      </c>
      <c r="N520" t="s">
        <v>49</v>
      </c>
      <c r="O520" s="34">
        <v>44943.601747685178</v>
      </c>
      <c r="P520" t="s">
        <v>60</v>
      </c>
      <c r="R520" s="32">
        <v>44948.601747685178</v>
      </c>
      <c r="S520" t="s">
        <v>61</v>
      </c>
      <c r="T520" s="34" t="s">
        <v>7476</v>
      </c>
      <c r="U520" s="34" t="s">
        <v>7476</v>
      </c>
      <c r="V520" s="32">
        <v>44947.601747685178</v>
      </c>
      <c r="W520" s="32" t="s">
        <v>7476</v>
      </c>
      <c r="X520">
        <v>0</v>
      </c>
      <c r="Y520" s="34" t="s">
        <v>7476</v>
      </c>
      <c r="Z520" s="34" t="s">
        <v>7476</v>
      </c>
      <c r="AA520" s="34" t="s">
        <v>7476</v>
      </c>
      <c r="AB520" s="36" t="s">
        <v>7476</v>
      </c>
      <c r="AD520" t="s">
        <v>1663</v>
      </c>
      <c r="AE520" t="s">
        <v>1664</v>
      </c>
      <c r="AF520" s="16">
        <v>44958</v>
      </c>
      <c r="AG520" t="s">
        <v>68</v>
      </c>
      <c r="AH520">
        <v>3</v>
      </c>
      <c r="AI520" s="8">
        <f>IFERROR(R520-AF520,"")</f>
        <v>-9.3982523148224573</v>
      </c>
      <c r="AJ520" s="8">
        <f>IFERROR(O520-AF520,"")</f>
        <v>-14.398252314822457</v>
      </c>
      <c r="AK520" s="38">
        <f t="shared" si="178"/>
        <v>45037.601747685178</v>
      </c>
      <c r="AL520" t="str">
        <f>IFERROR(Z520-W520,"")</f>
        <v/>
      </c>
      <c r="AM520">
        <f>IFERROR(R520-J520,"")</f>
        <v>23</v>
      </c>
      <c r="AN520">
        <f>IFERROR(V520-O520,"")</f>
        <v>4</v>
      </c>
      <c r="AO520">
        <f>IFERROR(J520-I520,"")</f>
        <v>1</v>
      </c>
      <c r="AP520">
        <f>IFERROR(AC520-X520,"")</f>
        <v>0</v>
      </c>
      <c r="AQ520" t="str">
        <f>IFERROR(AA520-W520,"")</f>
        <v/>
      </c>
    </row>
    <row r="521" spans="1:43" x14ac:dyDescent="0.35">
      <c r="A521">
        <v>2167</v>
      </c>
      <c r="B521" t="s">
        <v>1665</v>
      </c>
      <c r="C521" t="s">
        <v>202</v>
      </c>
      <c r="D521" t="str">
        <f t="shared" si="176"/>
        <v>Program Office</v>
      </c>
      <c r="E521" t="s">
        <v>1542</v>
      </c>
      <c r="F521" t="s">
        <v>70</v>
      </c>
      <c r="G521" t="s">
        <v>657</v>
      </c>
      <c r="H521" t="s">
        <v>59</v>
      </c>
      <c r="I521" s="32">
        <v>44795.082037037027</v>
      </c>
      <c r="J521" s="32">
        <v>44799.082037037027</v>
      </c>
      <c r="K521" s="32">
        <v>44802.082037037027</v>
      </c>
      <c r="L521" s="8">
        <f t="shared" si="177"/>
        <v>7</v>
      </c>
      <c r="M521" s="7">
        <v>44820.082037037027</v>
      </c>
      <c r="N521" t="s">
        <v>49</v>
      </c>
      <c r="O521" s="34">
        <v>44817.082037037027</v>
      </c>
      <c r="P521" t="s">
        <v>101</v>
      </c>
      <c r="R521" s="32">
        <v>44820.082037037027</v>
      </c>
      <c r="S521" t="s">
        <v>101</v>
      </c>
      <c r="T521" s="34">
        <v>44818.082037037027</v>
      </c>
      <c r="U521" s="34">
        <v>44822.082037037027</v>
      </c>
      <c r="V521" s="32">
        <v>44818.082037037027</v>
      </c>
      <c r="W521" s="32">
        <v>44828.082037037027</v>
      </c>
      <c r="X521">
        <v>1</v>
      </c>
      <c r="Y521" s="34">
        <v>44831.082037037027</v>
      </c>
      <c r="Z521" s="34">
        <v>44834.082037037027</v>
      </c>
      <c r="AA521" s="34">
        <v>44836.082037037027</v>
      </c>
      <c r="AB521" s="36" t="s">
        <v>7476</v>
      </c>
      <c r="AC521" s="10">
        <v>44852.082037037027</v>
      </c>
      <c r="AD521" t="s">
        <v>1666</v>
      </c>
      <c r="AE521" t="s">
        <v>1667</v>
      </c>
      <c r="AF521" s="16">
        <v>44629</v>
      </c>
      <c r="AG521" t="s">
        <v>98</v>
      </c>
      <c r="AH521">
        <v>3</v>
      </c>
      <c r="AI521" s="8">
        <f>IFERROR(R521-AF521,"")</f>
        <v>191.08203703702748</v>
      </c>
      <c r="AJ521" s="8">
        <f>IFERROR(O521-AF521,"")</f>
        <v>188.08203703702748</v>
      </c>
      <c r="AK521" s="38">
        <f t="shared" si="178"/>
        <v>44908.082037037027</v>
      </c>
      <c r="AL521">
        <f>IFERROR(Z521-W521,"")</f>
        <v>6</v>
      </c>
      <c r="AM521">
        <f>IFERROR(R521-J521,"")</f>
        <v>21</v>
      </c>
      <c r="AN521">
        <f>IFERROR(V521-O521,"")</f>
        <v>1</v>
      </c>
      <c r="AO521">
        <f>IFERROR(J521-I521,"")</f>
        <v>4</v>
      </c>
      <c r="AP521">
        <f>IFERROR(AC521-X521,"")</f>
        <v>44851.082037037027</v>
      </c>
      <c r="AQ521">
        <f>IFERROR(AA521-W521,"")</f>
        <v>8</v>
      </c>
    </row>
    <row r="522" spans="1:43" x14ac:dyDescent="0.35">
      <c r="A522">
        <v>2165</v>
      </c>
      <c r="B522" t="s">
        <v>1668</v>
      </c>
      <c r="C522" t="s">
        <v>213</v>
      </c>
      <c r="D522" t="str">
        <f t="shared" si="176"/>
        <v>Program Office</v>
      </c>
      <c r="E522" t="s">
        <v>1542</v>
      </c>
      <c r="F522" t="s">
        <v>1669</v>
      </c>
      <c r="G522" t="s">
        <v>1670</v>
      </c>
      <c r="H522" t="s">
        <v>59</v>
      </c>
      <c r="I522" s="32">
        <v>44796.082037037027</v>
      </c>
      <c r="J522" s="32">
        <v>44797.082037037027</v>
      </c>
      <c r="K522" s="32">
        <v>44802.082037037027</v>
      </c>
      <c r="L522" s="8">
        <f t="shared" si="177"/>
        <v>6</v>
      </c>
      <c r="M522" s="7">
        <v>44828.082037037027</v>
      </c>
      <c r="N522" t="s">
        <v>72</v>
      </c>
      <c r="O522" s="34" t="s">
        <v>7474</v>
      </c>
      <c r="R522" s="32" t="s">
        <v>7472</v>
      </c>
      <c r="S522" t="s">
        <v>7476</v>
      </c>
      <c r="T522" s="34" t="s">
        <v>7476</v>
      </c>
      <c r="U522" s="34" t="s">
        <v>7476</v>
      </c>
      <c r="V522" s="32" t="s">
        <v>7476</v>
      </c>
      <c r="W522" s="32" t="s">
        <v>7476</v>
      </c>
      <c r="X522">
        <v>0</v>
      </c>
      <c r="Y522" s="34" t="s">
        <v>7476</v>
      </c>
      <c r="Z522" s="34" t="s">
        <v>7476</v>
      </c>
      <c r="AA522" s="34" t="s">
        <v>7476</v>
      </c>
      <c r="AB522" s="36" t="s">
        <v>7476</v>
      </c>
      <c r="AD522" t="s">
        <v>1671</v>
      </c>
      <c r="AE522" t="s">
        <v>1672</v>
      </c>
      <c r="AG522" t="s">
        <v>68</v>
      </c>
      <c r="AH522">
        <v>6</v>
      </c>
      <c r="AI522" s="8" t="str">
        <f>IFERROR(R522-AF522,"")</f>
        <v/>
      </c>
      <c r="AJ522" s="8" t="str">
        <f>IFERROR(O522-AF522,"")</f>
        <v/>
      </c>
      <c r="AK522" s="38" t="str">
        <f t="shared" si="178"/>
        <v/>
      </c>
      <c r="AL522" t="str">
        <f>IFERROR(Z522-W522,"")</f>
        <v/>
      </c>
      <c r="AM522" t="str">
        <f>IFERROR(R522-J522,"")</f>
        <v/>
      </c>
      <c r="AN522" t="str">
        <f>IFERROR(V522-O522,"")</f>
        <v/>
      </c>
      <c r="AO522">
        <f>IFERROR(J522-I522,"")</f>
        <v>1</v>
      </c>
      <c r="AP522">
        <f>IFERROR(AC522-X522,"")</f>
        <v>0</v>
      </c>
      <c r="AQ522" t="str">
        <f>IFERROR(AA522-W522,"")</f>
        <v/>
      </c>
    </row>
    <row r="523" spans="1:43" x14ac:dyDescent="0.35">
      <c r="A523">
        <v>2130</v>
      </c>
      <c r="B523" t="s">
        <v>1673</v>
      </c>
      <c r="C523" t="s">
        <v>202</v>
      </c>
      <c r="D523" t="str">
        <f t="shared" si="176"/>
        <v>Program Office</v>
      </c>
      <c r="E523" t="s">
        <v>1542</v>
      </c>
      <c r="F523" t="s">
        <v>1669</v>
      </c>
      <c r="G523" t="s">
        <v>1670</v>
      </c>
      <c r="H523" t="s">
        <v>59</v>
      </c>
      <c r="I523" s="32">
        <v>44930.473356481481</v>
      </c>
      <c r="J523" s="32">
        <v>44933.473356481481</v>
      </c>
      <c r="K523" s="32">
        <v>44935.473356481481</v>
      </c>
      <c r="L523" s="8">
        <f t="shared" si="177"/>
        <v>5</v>
      </c>
      <c r="M523" s="7">
        <v>44960.473356481481</v>
      </c>
      <c r="N523" t="s">
        <v>49</v>
      </c>
      <c r="O523" s="34">
        <v>44941.473356481481</v>
      </c>
      <c r="P523" t="s">
        <v>50</v>
      </c>
      <c r="Q523" t="s">
        <v>125</v>
      </c>
      <c r="R523" s="32" t="s">
        <v>7472</v>
      </c>
      <c r="S523" t="s">
        <v>7476</v>
      </c>
      <c r="T523" s="34" t="s">
        <v>7476</v>
      </c>
      <c r="U523" s="34" t="s">
        <v>7476</v>
      </c>
      <c r="V523" s="32">
        <v>44945.473356481481</v>
      </c>
      <c r="W523" s="32" t="s">
        <v>7476</v>
      </c>
      <c r="X523">
        <v>0</v>
      </c>
      <c r="Y523" s="34" t="s">
        <v>7476</v>
      </c>
      <c r="Z523" s="34" t="s">
        <v>7476</v>
      </c>
      <c r="AA523" s="34" t="s">
        <v>7476</v>
      </c>
      <c r="AB523" s="36" t="s">
        <v>95</v>
      </c>
      <c r="AD523" t="s">
        <v>1674</v>
      </c>
      <c r="AE523" t="s">
        <v>1675</v>
      </c>
      <c r="AF523" s="16">
        <v>44935</v>
      </c>
      <c r="AG523" t="s">
        <v>64</v>
      </c>
      <c r="AH523">
        <v>3</v>
      </c>
      <c r="AI523" s="8" t="str">
        <f>IFERROR(R523-AF523,"")</f>
        <v/>
      </c>
      <c r="AJ523" s="8">
        <f>IFERROR(O523-AF523,"")</f>
        <v>6.4733564814814599</v>
      </c>
      <c r="AK523" s="38">
        <f t="shared" si="178"/>
        <v>45035.473356481481</v>
      </c>
      <c r="AL523" t="str">
        <f>IFERROR(Z523-W523,"")</f>
        <v/>
      </c>
      <c r="AM523" t="str">
        <f>IFERROR(R523-J523,"")</f>
        <v/>
      </c>
      <c r="AN523">
        <f>IFERROR(V523-O523,"")</f>
        <v>4</v>
      </c>
      <c r="AO523">
        <f>IFERROR(J523-I523,"")</f>
        <v>3</v>
      </c>
      <c r="AP523">
        <f>IFERROR(AC523-X523,"")</f>
        <v>0</v>
      </c>
      <c r="AQ523" t="str">
        <f>IFERROR(AA523-W523,"")</f>
        <v/>
      </c>
    </row>
    <row r="524" spans="1:43" x14ac:dyDescent="0.35">
      <c r="A524">
        <v>2128</v>
      </c>
      <c r="B524" t="s">
        <v>1676</v>
      </c>
      <c r="C524" t="s">
        <v>217</v>
      </c>
      <c r="D524" t="str">
        <f t="shared" si="176"/>
        <v>Program Office</v>
      </c>
      <c r="E524" t="s">
        <v>1542</v>
      </c>
      <c r="F524" t="s">
        <v>1669</v>
      </c>
      <c r="G524" t="s">
        <v>1670</v>
      </c>
      <c r="H524" t="s">
        <v>59</v>
      </c>
      <c r="I524" s="32">
        <v>44930.473356481481</v>
      </c>
      <c r="J524" s="32">
        <v>44934.473356481481</v>
      </c>
      <c r="K524" s="32">
        <v>44935.473356481481</v>
      </c>
      <c r="L524" s="8">
        <f t="shared" si="177"/>
        <v>5</v>
      </c>
      <c r="M524" s="7">
        <v>44965.473356481481</v>
      </c>
      <c r="N524" t="s">
        <v>49</v>
      </c>
      <c r="O524" s="34">
        <v>44949.473356481481</v>
      </c>
      <c r="P524" t="s">
        <v>50</v>
      </c>
      <c r="Q524" t="s">
        <v>125</v>
      </c>
      <c r="R524" s="32" t="s">
        <v>7472</v>
      </c>
      <c r="S524" t="s">
        <v>7476</v>
      </c>
      <c r="T524" s="34" t="s">
        <v>7476</v>
      </c>
      <c r="U524" s="34" t="s">
        <v>7476</v>
      </c>
      <c r="V524" s="32" t="s">
        <v>7476</v>
      </c>
      <c r="W524" s="32" t="s">
        <v>7476</v>
      </c>
      <c r="X524">
        <v>0</v>
      </c>
      <c r="Y524" s="34" t="s">
        <v>7476</v>
      </c>
      <c r="Z524" s="34" t="s">
        <v>7476</v>
      </c>
      <c r="AA524" s="34" t="s">
        <v>7476</v>
      </c>
      <c r="AB524" s="36" t="s">
        <v>52</v>
      </c>
      <c r="AD524" t="s">
        <v>1677</v>
      </c>
      <c r="AE524" t="s">
        <v>1678</v>
      </c>
      <c r="AF524" s="16">
        <v>44934</v>
      </c>
      <c r="AG524" t="s">
        <v>98</v>
      </c>
      <c r="AH524">
        <v>3</v>
      </c>
      <c r="AI524" s="8" t="str">
        <f>IFERROR(R524-AF524,"")</f>
        <v/>
      </c>
      <c r="AJ524" s="8">
        <f>IFERROR(O524-AF524,"")</f>
        <v>15.47335648148146</v>
      </c>
      <c r="AK524" s="38" t="str">
        <f t="shared" si="178"/>
        <v/>
      </c>
      <c r="AL524" t="str">
        <f>IFERROR(Z524-W524,"")</f>
        <v/>
      </c>
      <c r="AM524" t="str">
        <f>IFERROR(R524-J524,"")</f>
        <v/>
      </c>
      <c r="AN524" t="str">
        <f>IFERROR(V524-O524,"")</f>
        <v/>
      </c>
      <c r="AO524">
        <f>IFERROR(J524-I524,"")</f>
        <v>4</v>
      </c>
      <c r="AP524">
        <f>IFERROR(AC524-X524,"")</f>
        <v>0</v>
      </c>
      <c r="AQ524" t="str">
        <f>IFERROR(AA524-W524,"")</f>
        <v/>
      </c>
    </row>
    <row r="525" spans="1:43" x14ac:dyDescent="0.35">
      <c r="A525">
        <v>2126</v>
      </c>
      <c r="B525" t="s">
        <v>1679</v>
      </c>
      <c r="C525" t="s">
        <v>217</v>
      </c>
      <c r="D525" t="str">
        <f t="shared" si="176"/>
        <v>Program Office</v>
      </c>
      <c r="E525" t="s">
        <v>1542</v>
      </c>
      <c r="F525" t="s">
        <v>1669</v>
      </c>
      <c r="G525" t="s">
        <v>1670</v>
      </c>
      <c r="H525" t="s">
        <v>59</v>
      </c>
      <c r="I525" s="32">
        <v>44931.473356481481</v>
      </c>
      <c r="J525" s="32">
        <v>44933.473356481481</v>
      </c>
      <c r="K525" s="32" t="s">
        <v>7473</v>
      </c>
      <c r="L525" s="8" t="str">
        <f t="shared" si="177"/>
        <v/>
      </c>
      <c r="M525" s="7">
        <v>44962.473356481481</v>
      </c>
      <c r="N525" t="s">
        <v>49</v>
      </c>
      <c r="O525" s="34">
        <v>44945.473356481481</v>
      </c>
      <c r="P525" t="s">
        <v>60</v>
      </c>
      <c r="R525" s="32">
        <v>44953.473356481481</v>
      </c>
      <c r="S525" t="s">
        <v>61</v>
      </c>
      <c r="T525" s="34" t="s">
        <v>7476</v>
      </c>
      <c r="U525" s="34" t="s">
        <v>7476</v>
      </c>
      <c r="V525" s="32">
        <v>44949.473356481481</v>
      </c>
      <c r="W525" s="32" t="s">
        <v>7476</v>
      </c>
      <c r="X525">
        <v>0</v>
      </c>
      <c r="Y525" s="34" t="s">
        <v>7476</v>
      </c>
      <c r="Z525" s="34" t="s">
        <v>7476</v>
      </c>
      <c r="AA525" s="34" t="s">
        <v>7476</v>
      </c>
      <c r="AB525" s="36" t="s">
        <v>7476</v>
      </c>
      <c r="AD525" t="s">
        <v>1680</v>
      </c>
      <c r="AE525" t="s">
        <v>1681</v>
      </c>
      <c r="AF525" s="16">
        <v>44986</v>
      </c>
      <c r="AG525" t="s">
        <v>98</v>
      </c>
      <c r="AH525">
        <v>6</v>
      </c>
      <c r="AK525" s="38">
        <f t="shared" si="178"/>
        <v>45129.473356481481</v>
      </c>
    </row>
    <row r="526" spans="1:43" x14ac:dyDescent="0.35">
      <c r="A526">
        <v>2119</v>
      </c>
      <c r="B526" t="s">
        <v>1682</v>
      </c>
      <c r="C526" t="s">
        <v>213</v>
      </c>
      <c r="D526" t="str">
        <f t="shared" si="176"/>
        <v>Program Office</v>
      </c>
      <c r="E526" t="s">
        <v>1542</v>
      </c>
      <c r="F526" t="s">
        <v>1669</v>
      </c>
      <c r="G526" t="s">
        <v>1670</v>
      </c>
      <c r="H526" t="s">
        <v>59</v>
      </c>
      <c r="I526" s="32">
        <v>45029.055439814823</v>
      </c>
      <c r="J526" s="32">
        <v>45033.055439814823</v>
      </c>
      <c r="K526" s="32">
        <v>45038.055439814823</v>
      </c>
      <c r="L526" s="8">
        <f t="shared" si="177"/>
        <v>9</v>
      </c>
      <c r="M526" s="7">
        <v>45060.055439814823</v>
      </c>
      <c r="N526" t="s">
        <v>49</v>
      </c>
      <c r="O526" s="34">
        <v>45054.055439814823</v>
      </c>
      <c r="P526" t="s">
        <v>101</v>
      </c>
      <c r="R526" s="32">
        <v>45060.055439814823</v>
      </c>
      <c r="S526" t="s">
        <v>101</v>
      </c>
      <c r="T526" s="34">
        <v>45056.055439814823</v>
      </c>
      <c r="U526" s="34">
        <v>45057.055439814823</v>
      </c>
      <c r="V526" s="32">
        <v>45058.055439814823</v>
      </c>
      <c r="W526" s="32">
        <v>45061.055439814823</v>
      </c>
      <c r="X526">
        <v>1</v>
      </c>
      <c r="Y526" s="34">
        <v>45065.055439814823</v>
      </c>
      <c r="Z526" s="34">
        <v>45067.055439814823</v>
      </c>
      <c r="AA526" s="34">
        <v>45068.055439814823</v>
      </c>
      <c r="AB526" s="36" t="s">
        <v>7476</v>
      </c>
      <c r="AC526" s="10">
        <v>45091.055439814823</v>
      </c>
      <c r="AD526" t="s">
        <v>1683</v>
      </c>
      <c r="AE526" t="s">
        <v>1684</v>
      </c>
      <c r="AF526" s="16">
        <v>45035</v>
      </c>
      <c r="AG526" t="s">
        <v>64</v>
      </c>
      <c r="AH526">
        <v>3</v>
      </c>
      <c r="AI526" s="8">
        <f>IFERROR(R526-AF526,"")</f>
        <v>25.05543981482333</v>
      </c>
      <c r="AJ526" s="8">
        <f>IFERROR(O526-AF526,"")</f>
        <v>19.05543981482333</v>
      </c>
      <c r="AK526" s="38">
        <f t="shared" si="178"/>
        <v>45148.055439814823</v>
      </c>
      <c r="AL526">
        <f>IFERROR(Z526-W526,"")</f>
        <v>6</v>
      </c>
      <c r="AM526">
        <f>IFERROR(R526-J526,"")</f>
        <v>27</v>
      </c>
      <c r="AN526">
        <f>IFERROR(V526-O526,"")</f>
        <v>4</v>
      </c>
      <c r="AO526">
        <f>IFERROR(J526-I526,"")</f>
        <v>4</v>
      </c>
      <c r="AP526">
        <f>IFERROR(AC526-X526,"")</f>
        <v>45090.055439814823</v>
      </c>
      <c r="AQ526">
        <f>IFERROR(AA526-W526,"")</f>
        <v>7</v>
      </c>
    </row>
    <row r="527" spans="1:43" x14ac:dyDescent="0.35">
      <c r="A527">
        <v>2064</v>
      </c>
      <c r="B527" t="s">
        <v>1685</v>
      </c>
      <c r="C527" t="s">
        <v>202</v>
      </c>
      <c r="D527" t="str">
        <f t="shared" si="176"/>
        <v>Program Office</v>
      </c>
      <c r="E527" t="s">
        <v>1542</v>
      </c>
      <c r="F527" t="s">
        <v>1669</v>
      </c>
      <c r="G527" t="s">
        <v>1670</v>
      </c>
      <c r="H527" t="s">
        <v>59</v>
      </c>
      <c r="I527" s="32">
        <v>44867.782581018517</v>
      </c>
      <c r="J527" s="32">
        <v>44868.782581018517</v>
      </c>
      <c r="K527" s="32">
        <v>44873.782581018517</v>
      </c>
      <c r="L527" s="8">
        <f t="shared" si="177"/>
        <v>6</v>
      </c>
      <c r="M527" s="7">
        <v>44902.782581018517</v>
      </c>
      <c r="N527" t="s">
        <v>49</v>
      </c>
      <c r="O527" s="34">
        <v>44882.782581018517</v>
      </c>
      <c r="P527" t="s">
        <v>60</v>
      </c>
      <c r="R527" s="32">
        <v>44889.782581018517</v>
      </c>
      <c r="S527" t="s">
        <v>61</v>
      </c>
      <c r="T527" s="34" t="s">
        <v>7476</v>
      </c>
      <c r="U527" s="34" t="s">
        <v>7476</v>
      </c>
      <c r="V527" s="32">
        <v>44886.782581018517</v>
      </c>
      <c r="W527" s="32" t="s">
        <v>7476</v>
      </c>
      <c r="X527">
        <v>0</v>
      </c>
      <c r="Y527" s="34" t="s">
        <v>7476</v>
      </c>
      <c r="Z527" s="34" t="s">
        <v>7476</v>
      </c>
      <c r="AA527" s="34" t="s">
        <v>7476</v>
      </c>
      <c r="AB527" s="36" t="s">
        <v>7476</v>
      </c>
      <c r="AD527" t="s">
        <v>1686</v>
      </c>
      <c r="AE527" t="s">
        <v>1687</v>
      </c>
      <c r="AF527" s="16">
        <v>44864</v>
      </c>
      <c r="AG527" t="s">
        <v>98</v>
      </c>
      <c r="AH527">
        <v>6</v>
      </c>
      <c r="AI527" s="8">
        <f>IFERROR(R527-AF527,"")</f>
        <v>25.782581018516794</v>
      </c>
      <c r="AJ527" s="8">
        <f>IFERROR(O527-AF527,"")</f>
        <v>18.782581018516794</v>
      </c>
      <c r="AK527" s="38">
        <f t="shared" si="178"/>
        <v>45066.782581018517</v>
      </c>
      <c r="AL527" t="str">
        <f>IFERROR(Z527-W527,"")</f>
        <v/>
      </c>
      <c r="AM527">
        <f>IFERROR(R527-J527,"")</f>
        <v>21</v>
      </c>
      <c r="AN527">
        <f>IFERROR(V527-O527,"")</f>
        <v>4</v>
      </c>
      <c r="AO527">
        <f>IFERROR(J527-I527,"")</f>
        <v>1</v>
      </c>
      <c r="AP527">
        <f>IFERROR(AC527-X527,"")</f>
        <v>0</v>
      </c>
      <c r="AQ527" t="str">
        <f>IFERROR(AA527-W527,"")</f>
        <v/>
      </c>
    </row>
    <row r="528" spans="1:43" x14ac:dyDescent="0.35">
      <c r="A528">
        <v>2062</v>
      </c>
      <c r="B528" t="s">
        <v>1688</v>
      </c>
      <c r="C528" t="s">
        <v>213</v>
      </c>
      <c r="D528" t="str">
        <f t="shared" si="176"/>
        <v>Program Office</v>
      </c>
      <c r="E528" t="s">
        <v>1542</v>
      </c>
      <c r="F528" t="s">
        <v>1669</v>
      </c>
      <c r="G528" t="s">
        <v>1670</v>
      </c>
      <c r="H528" t="s">
        <v>59</v>
      </c>
      <c r="I528" s="32">
        <v>44869.782581018517</v>
      </c>
      <c r="J528" s="32">
        <v>44872.782581018517</v>
      </c>
      <c r="K528" s="32">
        <v>44873.782581018517</v>
      </c>
      <c r="L528" s="8">
        <f t="shared" si="177"/>
        <v>4</v>
      </c>
      <c r="M528" s="7">
        <v>44891.782581018517</v>
      </c>
      <c r="N528" t="s">
        <v>49</v>
      </c>
      <c r="O528" s="34">
        <v>44888.782581018517</v>
      </c>
      <c r="P528" t="s">
        <v>50</v>
      </c>
      <c r="Q528" t="s">
        <v>236</v>
      </c>
      <c r="R528" s="32" t="s">
        <v>7472</v>
      </c>
      <c r="S528" t="s">
        <v>7476</v>
      </c>
      <c r="T528" s="34" t="s">
        <v>7476</v>
      </c>
      <c r="U528" s="34" t="s">
        <v>7476</v>
      </c>
      <c r="V528" s="32" t="s">
        <v>7476</v>
      </c>
      <c r="W528" s="32" t="s">
        <v>7476</v>
      </c>
      <c r="X528">
        <v>0</v>
      </c>
      <c r="Y528" s="34" t="s">
        <v>7476</v>
      </c>
      <c r="Z528" s="34" t="s">
        <v>7476</v>
      </c>
      <c r="AA528" s="34" t="s">
        <v>7476</v>
      </c>
      <c r="AB528" s="36" t="s">
        <v>95</v>
      </c>
      <c r="AD528" t="s">
        <v>1689</v>
      </c>
      <c r="AE528" t="s">
        <v>1690</v>
      </c>
      <c r="AF528" s="16">
        <v>44872</v>
      </c>
      <c r="AG528" t="s">
        <v>64</v>
      </c>
      <c r="AH528">
        <v>6</v>
      </c>
      <c r="AI528" s="8" t="str">
        <f>IFERROR(R528-AF528,"")</f>
        <v/>
      </c>
      <c r="AJ528" s="8">
        <f>IFERROR(O528-AF528,"")</f>
        <v>16.782581018516794</v>
      </c>
      <c r="AK528" s="38" t="str">
        <f t="shared" si="178"/>
        <v/>
      </c>
      <c r="AL528" t="str">
        <f>IFERROR(Z528-W528,"")</f>
        <v/>
      </c>
      <c r="AM528" t="str">
        <f>IFERROR(R528-J528,"")</f>
        <v/>
      </c>
      <c r="AN528" t="str">
        <f>IFERROR(V528-O528,"")</f>
        <v/>
      </c>
      <c r="AO528">
        <f>IFERROR(J528-I528,"")</f>
        <v>3</v>
      </c>
      <c r="AP528">
        <f>IFERROR(AC528-X528,"")</f>
        <v>0</v>
      </c>
      <c r="AQ528" t="str">
        <f>IFERROR(AA528-W528,"")</f>
        <v/>
      </c>
    </row>
    <row r="529" spans="1:43" x14ac:dyDescent="0.35">
      <c r="A529">
        <v>2008</v>
      </c>
      <c r="B529" t="s">
        <v>1691</v>
      </c>
      <c r="C529" t="s">
        <v>213</v>
      </c>
      <c r="D529" t="str">
        <f t="shared" si="176"/>
        <v>Program Office</v>
      </c>
      <c r="E529" t="s">
        <v>1542</v>
      </c>
      <c r="F529" t="s">
        <v>1669</v>
      </c>
      <c r="G529" t="s">
        <v>1670</v>
      </c>
      <c r="H529" t="s">
        <v>59</v>
      </c>
      <c r="I529" s="32" t="s">
        <v>7471</v>
      </c>
      <c r="J529" s="32">
        <v>44749.13113425926</v>
      </c>
      <c r="K529" s="32">
        <v>44755.13113425926</v>
      </c>
      <c r="L529" s="8" t="str">
        <f t="shared" si="177"/>
        <v/>
      </c>
      <c r="M529" s="7">
        <v>44775.13113425926</v>
      </c>
      <c r="N529" t="s">
        <v>49</v>
      </c>
      <c r="O529" s="34">
        <v>44765.13113425926</v>
      </c>
      <c r="P529" t="s">
        <v>60</v>
      </c>
      <c r="R529" s="32">
        <v>44770.13113425926</v>
      </c>
      <c r="S529" t="s">
        <v>61</v>
      </c>
      <c r="T529" s="34" t="s">
        <v>7476</v>
      </c>
      <c r="U529" s="34" t="s">
        <v>7476</v>
      </c>
      <c r="V529" s="32">
        <v>44767.13113425926</v>
      </c>
      <c r="W529" s="32" t="s">
        <v>7476</v>
      </c>
      <c r="X529">
        <v>0</v>
      </c>
      <c r="Y529" s="34" t="s">
        <v>7476</v>
      </c>
      <c r="Z529" s="34" t="s">
        <v>7476</v>
      </c>
      <c r="AA529" s="34" t="s">
        <v>7476</v>
      </c>
      <c r="AB529" s="36" t="s">
        <v>7476</v>
      </c>
      <c r="AD529" t="s">
        <v>1692</v>
      </c>
      <c r="AE529" t="s">
        <v>1693</v>
      </c>
      <c r="AF529" s="16">
        <v>44749</v>
      </c>
      <c r="AG529" t="s">
        <v>93</v>
      </c>
      <c r="AH529">
        <v>3</v>
      </c>
      <c r="AK529" s="38">
        <f t="shared" si="178"/>
        <v>44857.13113425926</v>
      </c>
    </row>
    <row r="530" spans="1:43" x14ac:dyDescent="0.35">
      <c r="A530">
        <v>2006</v>
      </c>
      <c r="B530" t="s">
        <v>1694</v>
      </c>
      <c r="C530" t="s">
        <v>217</v>
      </c>
      <c r="D530" t="str">
        <f t="shared" si="176"/>
        <v>Program Office</v>
      </c>
      <c r="E530" t="s">
        <v>1542</v>
      </c>
      <c r="F530" t="s">
        <v>1669</v>
      </c>
      <c r="G530" t="s">
        <v>1670</v>
      </c>
      <c r="H530" t="s">
        <v>59</v>
      </c>
      <c r="I530" s="32">
        <v>44747.13113425926</v>
      </c>
      <c r="J530" s="32">
        <v>44750.13113425926</v>
      </c>
      <c r="K530" s="32">
        <v>44755.13113425926</v>
      </c>
      <c r="L530" s="8">
        <f t="shared" si="177"/>
        <v>8</v>
      </c>
      <c r="M530" s="7">
        <v>44766.13113425926</v>
      </c>
      <c r="N530" t="s">
        <v>49</v>
      </c>
      <c r="O530" s="34">
        <v>44769.13113425926</v>
      </c>
      <c r="P530" t="s">
        <v>50</v>
      </c>
      <c r="Q530" t="s">
        <v>198</v>
      </c>
      <c r="R530" s="32" t="s">
        <v>7472</v>
      </c>
      <c r="S530" t="s">
        <v>7476</v>
      </c>
      <c r="T530" s="34" t="s">
        <v>7476</v>
      </c>
      <c r="U530" s="34" t="s">
        <v>7476</v>
      </c>
      <c r="V530" s="32">
        <v>44773.13113425926</v>
      </c>
      <c r="W530" s="32" t="s">
        <v>7476</v>
      </c>
      <c r="X530">
        <v>0</v>
      </c>
      <c r="Y530" s="34" t="s">
        <v>7476</v>
      </c>
      <c r="Z530" s="34" t="s">
        <v>7476</v>
      </c>
      <c r="AA530" s="34" t="s">
        <v>7476</v>
      </c>
      <c r="AB530" s="36" t="s">
        <v>52</v>
      </c>
      <c r="AD530" t="s">
        <v>1695</v>
      </c>
      <c r="AE530" t="s">
        <v>1696</v>
      </c>
      <c r="AF530" s="16">
        <v>44751</v>
      </c>
      <c r="AG530" t="s">
        <v>64</v>
      </c>
      <c r="AH530">
        <v>6</v>
      </c>
      <c r="AI530" s="8" t="str">
        <f t="shared" ref="AI530:AI536" si="179">IFERROR(R530-AF530,"")</f>
        <v/>
      </c>
      <c r="AJ530" s="8">
        <f t="shared" ref="AJ530:AJ536" si="180">IFERROR(O530-AF530,"")</f>
        <v>18.131134259259852</v>
      </c>
      <c r="AK530" s="38">
        <f t="shared" si="178"/>
        <v>44953.13113425926</v>
      </c>
      <c r="AL530" t="str">
        <f t="shared" ref="AL530:AL536" si="181">IFERROR(Z530-W530,"")</f>
        <v/>
      </c>
      <c r="AM530" t="str">
        <f t="shared" ref="AM530:AM536" si="182">IFERROR(R530-J530,"")</f>
        <v/>
      </c>
      <c r="AN530">
        <f t="shared" ref="AN530:AN536" si="183">IFERROR(V530-O530,"")</f>
        <v>4</v>
      </c>
      <c r="AO530">
        <f t="shared" ref="AO530:AO536" si="184">IFERROR(J530-I530,"")</f>
        <v>3</v>
      </c>
      <c r="AP530">
        <f t="shared" ref="AP530:AP536" si="185">IFERROR(AC530-X530,"")</f>
        <v>0</v>
      </c>
      <c r="AQ530" t="str">
        <f t="shared" ref="AQ530:AQ536" si="186">IFERROR(AA530-W530,"")</f>
        <v/>
      </c>
    </row>
    <row r="531" spans="1:43" x14ac:dyDescent="0.35">
      <c r="A531">
        <v>2001</v>
      </c>
      <c r="B531" t="s">
        <v>1697</v>
      </c>
      <c r="C531" t="s">
        <v>217</v>
      </c>
      <c r="D531" t="str">
        <f t="shared" si="176"/>
        <v>Program Office</v>
      </c>
      <c r="E531" t="s">
        <v>1542</v>
      </c>
      <c r="F531" t="s">
        <v>1669</v>
      </c>
      <c r="G531" t="s">
        <v>1670</v>
      </c>
      <c r="H531" t="s">
        <v>59</v>
      </c>
      <c r="I531" s="32">
        <v>44749.13113425926</v>
      </c>
      <c r="J531" s="32">
        <v>44752.13113425926</v>
      </c>
      <c r="K531" s="32">
        <v>44755.13113425926</v>
      </c>
      <c r="L531" s="8">
        <f t="shared" si="177"/>
        <v>6</v>
      </c>
      <c r="M531" s="7">
        <v>44765.13113425926</v>
      </c>
      <c r="N531" t="s">
        <v>49</v>
      </c>
      <c r="O531" s="34">
        <v>44766.13113425926</v>
      </c>
      <c r="P531" t="s">
        <v>392</v>
      </c>
      <c r="R531" s="32">
        <v>44769.13113425926</v>
      </c>
      <c r="S531" t="s">
        <v>392</v>
      </c>
      <c r="T531" s="34" t="s">
        <v>7476</v>
      </c>
      <c r="U531" s="34" t="s">
        <v>7476</v>
      </c>
      <c r="V531" s="32">
        <v>44768.13113425926</v>
      </c>
      <c r="W531" s="32" t="s">
        <v>7476</v>
      </c>
      <c r="X531">
        <v>0</v>
      </c>
      <c r="Y531" s="34" t="s">
        <v>7476</v>
      </c>
      <c r="Z531" s="34" t="s">
        <v>7476</v>
      </c>
      <c r="AA531" s="34" t="s">
        <v>7476</v>
      </c>
      <c r="AB531" s="36" t="s">
        <v>7476</v>
      </c>
      <c r="AD531" t="s">
        <v>1698</v>
      </c>
      <c r="AE531" t="s">
        <v>1699</v>
      </c>
      <c r="AF531" s="16">
        <v>44748</v>
      </c>
      <c r="AG531" t="s">
        <v>68</v>
      </c>
      <c r="AH531">
        <v>6</v>
      </c>
      <c r="AI531" s="8">
        <f t="shared" si="179"/>
        <v>21.131134259259852</v>
      </c>
      <c r="AJ531" s="8">
        <f t="shared" si="180"/>
        <v>18.131134259259852</v>
      </c>
      <c r="AK531" s="38">
        <f t="shared" si="178"/>
        <v>44948.13113425926</v>
      </c>
      <c r="AL531" t="str">
        <f t="shared" si="181"/>
        <v/>
      </c>
      <c r="AM531">
        <f t="shared" si="182"/>
        <v>17</v>
      </c>
      <c r="AN531">
        <f t="shared" si="183"/>
        <v>2</v>
      </c>
      <c r="AO531">
        <f t="shared" si="184"/>
        <v>3</v>
      </c>
      <c r="AP531">
        <f t="shared" si="185"/>
        <v>0</v>
      </c>
      <c r="AQ531" t="str">
        <f t="shared" si="186"/>
        <v/>
      </c>
    </row>
    <row r="532" spans="1:43" x14ac:dyDescent="0.35">
      <c r="A532">
        <v>1985</v>
      </c>
      <c r="B532" t="s">
        <v>1700</v>
      </c>
      <c r="C532" t="s">
        <v>202</v>
      </c>
      <c r="D532" t="str">
        <f t="shared" si="176"/>
        <v>Program Office</v>
      </c>
      <c r="E532" t="s">
        <v>1542</v>
      </c>
      <c r="F532" t="s">
        <v>1669</v>
      </c>
      <c r="G532" t="s">
        <v>1670</v>
      </c>
      <c r="H532" t="s">
        <v>59</v>
      </c>
      <c r="I532" s="32">
        <v>44595.370439814818</v>
      </c>
      <c r="J532" s="32">
        <v>44599.370439814818</v>
      </c>
      <c r="K532" s="32">
        <v>44601.370439814818</v>
      </c>
      <c r="L532" s="8">
        <f t="shared" si="177"/>
        <v>6</v>
      </c>
      <c r="M532" s="7">
        <v>44618.370439814818</v>
      </c>
      <c r="N532" t="s">
        <v>49</v>
      </c>
      <c r="O532" s="34">
        <v>44618.370439814818</v>
      </c>
      <c r="P532" t="s">
        <v>392</v>
      </c>
      <c r="R532" s="32">
        <v>44626.370439814818</v>
      </c>
      <c r="S532" t="s">
        <v>392</v>
      </c>
      <c r="T532" s="34" t="s">
        <v>7476</v>
      </c>
      <c r="U532" s="34" t="s">
        <v>7476</v>
      </c>
      <c r="V532" s="32">
        <v>44622.370439814818</v>
      </c>
      <c r="W532" s="32" t="s">
        <v>7476</v>
      </c>
      <c r="X532">
        <v>0</v>
      </c>
      <c r="Y532" s="34" t="s">
        <v>7476</v>
      </c>
      <c r="Z532" s="34" t="s">
        <v>7476</v>
      </c>
      <c r="AA532" s="34" t="s">
        <v>7476</v>
      </c>
      <c r="AB532" s="36" t="s">
        <v>7476</v>
      </c>
      <c r="AD532" t="s">
        <v>1701</v>
      </c>
      <c r="AE532" t="s">
        <v>1702</v>
      </c>
      <c r="AF532" s="16">
        <v>44605</v>
      </c>
      <c r="AG532" t="s">
        <v>98</v>
      </c>
      <c r="AH532">
        <v>6</v>
      </c>
      <c r="AI532" s="8">
        <f t="shared" si="179"/>
        <v>21.370439814818383</v>
      </c>
      <c r="AJ532" s="8">
        <f t="shared" si="180"/>
        <v>13.370439814818383</v>
      </c>
      <c r="AK532" s="38">
        <f t="shared" si="178"/>
        <v>44802.370439814818</v>
      </c>
      <c r="AL532" t="str">
        <f t="shared" si="181"/>
        <v/>
      </c>
      <c r="AM532">
        <f t="shared" si="182"/>
        <v>27</v>
      </c>
      <c r="AN532">
        <f t="shared" si="183"/>
        <v>4</v>
      </c>
      <c r="AO532">
        <f t="shared" si="184"/>
        <v>4</v>
      </c>
      <c r="AP532">
        <f t="shared" si="185"/>
        <v>0</v>
      </c>
      <c r="AQ532" t="str">
        <f t="shared" si="186"/>
        <v/>
      </c>
    </row>
    <row r="533" spans="1:43" x14ac:dyDescent="0.35">
      <c r="A533">
        <v>1972</v>
      </c>
      <c r="B533" t="s">
        <v>1703</v>
      </c>
      <c r="C533" t="s">
        <v>213</v>
      </c>
      <c r="D533" t="str">
        <f t="shared" si="176"/>
        <v>Program Office</v>
      </c>
      <c r="E533" t="s">
        <v>1542</v>
      </c>
      <c r="F533" t="s">
        <v>1669</v>
      </c>
      <c r="G533" t="s">
        <v>1670</v>
      </c>
      <c r="H533" t="s">
        <v>59</v>
      </c>
      <c r="I533" s="32">
        <v>44852.498391203713</v>
      </c>
      <c r="J533" s="32">
        <v>44856.498391203713</v>
      </c>
      <c r="K533" s="32">
        <v>44860.498391203713</v>
      </c>
      <c r="L533" s="8">
        <f t="shared" si="177"/>
        <v>8</v>
      </c>
      <c r="M533" s="7">
        <v>44874.498391203713</v>
      </c>
      <c r="N533" t="s">
        <v>49</v>
      </c>
      <c r="O533" s="34">
        <v>44873.498391203713</v>
      </c>
      <c r="P533" t="s">
        <v>50</v>
      </c>
      <c r="Q533" t="s">
        <v>84</v>
      </c>
      <c r="R533" s="32" t="s">
        <v>7472</v>
      </c>
      <c r="S533" t="s">
        <v>7476</v>
      </c>
      <c r="T533" s="34" t="s">
        <v>7476</v>
      </c>
      <c r="U533" s="34" t="s">
        <v>7476</v>
      </c>
      <c r="V533" s="32" t="s">
        <v>7476</v>
      </c>
      <c r="W533" s="32" t="s">
        <v>7476</v>
      </c>
      <c r="X533">
        <v>0</v>
      </c>
      <c r="Y533" s="34" t="s">
        <v>7476</v>
      </c>
      <c r="Z533" s="34" t="s">
        <v>7476</v>
      </c>
      <c r="AA533" s="34" t="s">
        <v>7476</v>
      </c>
      <c r="AB533" s="36" t="s">
        <v>95</v>
      </c>
      <c r="AD533" t="s">
        <v>1704</v>
      </c>
      <c r="AE533" t="s">
        <v>1705</v>
      </c>
      <c r="AF533" s="16">
        <v>44859</v>
      </c>
      <c r="AG533" t="s">
        <v>64</v>
      </c>
      <c r="AH533">
        <v>3</v>
      </c>
      <c r="AI533" s="8" t="str">
        <f t="shared" si="179"/>
        <v/>
      </c>
      <c r="AJ533" s="8">
        <f t="shared" si="180"/>
        <v>14.498391203713254</v>
      </c>
      <c r="AK533" s="38" t="str">
        <f t="shared" si="178"/>
        <v/>
      </c>
      <c r="AL533" t="str">
        <f t="shared" si="181"/>
        <v/>
      </c>
      <c r="AM533" t="str">
        <f t="shared" si="182"/>
        <v/>
      </c>
      <c r="AN533" t="str">
        <f t="shared" si="183"/>
        <v/>
      </c>
      <c r="AO533">
        <f t="shared" si="184"/>
        <v>4</v>
      </c>
      <c r="AP533">
        <f t="shared" si="185"/>
        <v>0</v>
      </c>
      <c r="AQ533" t="str">
        <f t="shared" si="186"/>
        <v/>
      </c>
    </row>
    <row r="534" spans="1:43" x14ac:dyDescent="0.35">
      <c r="A534">
        <v>1969</v>
      </c>
      <c r="B534" t="s">
        <v>1706</v>
      </c>
      <c r="C534" t="s">
        <v>213</v>
      </c>
      <c r="D534" t="str">
        <f t="shared" si="176"/>
        <v>Program Office</v>
      </c>
      <c r="E534" t="s">
        <v>1542</v>
      </c>
      <c r="F534" t="s">
        <v>1669</v>
      </c>
      <c r="G534" t="s">
        <v>1670</v>
      </c>
      <c r="H534" t="s">
        <v>59</v>
      </c>
      <c r="I534" s="32">
        <v>44900.432847222219</v>
      </c>
      <c r="J534" s="32">
        <v>44901.432847222219</v>
      </c>
      <c r="K534" s="32">
        <v>44902.432847222219</v>
      </c>
      <c r="L534" s="8">
        <f t="shared" si="177"/>
        <v>2</v>
      </c>
      <c r="M534" s="7">
        <v>44913.432847222219</v>
      </c>
      <c r="N534" t="s">
        <v>49</v>
      </c>
      <c r="O534" s="34">
        <v>44904.432847222219</v>
      </c>
      <c r="P534" t="s">
        <v>50</v>
      </c>
      <c r="Q534" t="s">
        <v>125</v>
      </c>
      <c r="R534" s="32" t="s">
        <v>7472</v>
      </c>
      <c r="S534" t="s">
        <v>7476</v>
      </c>
      <c r="T534" s="34" t="s">
        <v>7476</v>
      </c>
      <c r="U534" s="34" t="s">
        <v>7476</v>
      </c>
      <c r="V534" s="32">
        <v>44908.432847222219</v>
      </c>
      <c r="W534" s="32" t="s">
        <v>7476</v>
      </c>
      <c r="X534">
        <v>0</v>
      </c>
      <c r="Y534" s="34" t="s">
        <v>7476</v>
      </c>
      <c r="Z534" s="34" t="s">
        <v>7476</v>
      </c>
      <c r="AA534" s="34" t="s">
        <v>7476</v>
      </c>
      <c r="AB534" s="36" t="s">
        <v>95</v>
      </c>
      <c r="AD534" t="s">
        <v>1707</v>
      </c>
      <c r="AE534" t="s">
        <v>1708</v>
      </c>
      <c r="AF534" s="16">
        <v>44890</v>
      </c>
      <c r="AG534" t="s">
        <v>64</v>
      </c>
      <c r="AH534">
        <v>6</v>
      </c>
      <c r="AI534" s="8" t="str">
        <f t="shared" si="179"/>
        <v/>
      </c>
      <c r="AJ534" s="8">
        <f t="shared" si="180"/>
        <v>14.432847222218697</v>
      </c>
      <c r="AK534" s="38">
        <f t="shared" si="178"/>
        <v>45088.432847222219</v>
      </c>
      <c r="AL534" t="str">
        <f t="shared" si="181"/>
        <v/>
      </c>
      <c r="AM534" t="str">
        <f t="shared" si="182"/>
        <v/>
      </c>
      <c r="AN534">
        <f t="shared" si="183"/>
        <v>4</v>
      </c>
      <c r="AO534">
        <f t="shared" si="184"/>
        <v>1</v>
      </c>
      <c r="AP534">
        <f t="shared" si="185"/>
        <v>0</v>
      </c>
      <c r="AQ534" t="str">
        <f t="shared" si="186"/>
        <v/>
      </c>
    </row>
    <row r="535" spans="1:43" x14ac:dyDescent="0.35">
      <c r="A535">
        <v>1964</v>
      </c>
      <c r="B535" t="s">
        <v>1709</v>
      </c>
      <c r="C535" t="s">
        <v>202</v>
      </c>
      <c r="D535" t="str">
        <f t="shared" si="176"/>
        <v>Program Office</v>
      </c>
      <c r="E535" t="s">
        <v>1542</v>
      </c>
      <c r="F535" t="s">
        <v>1669</v>
      </c>
      <c r="G535" t="s">
        <v>1670</v>
      </c>
      <c r="H535" t="s">
        <v>59</v>
      </c>
      <c r="I535" s="32">
        <v>44897.432847222219</v>
      </c>
      <c r="J535" s="32">
        <v>44899.432847222219</v>
      </c>
      <c r="K535" s="32">
        <v>44902.432847222219</v>
      </c>
      <c r="L535" s="8">
        <f t="shared" si="177"/>
        <v>5</v>
      </c>
      <c r="M535" s="7">
        <v>44932.432847222219</v>
      </c>
      <c r="N535" t="s">
        <v>49</v>
      </c>
      <c r="O535" s="34">
        <v>44906.432847222219</v>
      </c>
      <c r="P535" t="s">
        <v>50</v>
      </c>
      <c r="Q535" t="s">
        <v>198</v>
      </c>
      <c r="R535" s="32" t="s">
        <v>7472</v>
      </c>
      <c r="S535" t="s">
        <v>7476</v>
      </c>
      <c r="T535" s="34" t="s">
        <v>7476</v>
      </c>
      <c r="U535" s="34" t="s">
        <v>7476</v>
      </c>
      <c r="V535" s="32" t="s">
        <v>7476</v>
      </c>
      <c r="W535" s="32" t="s">
        <v>7476</v>
      </c>
      <c r="X535">
        <v>0</v>
      </c>
      <c r="Y535" s="34" t="s">
        <v>7476</v>
      </c>
      <c r="Z535" s="34" t="s">
        <v>7476</v>
      </c>
      <c r="AA535" s="34" t="s">
        <v>7476</v>
      </c>
      <c r="AB535" s="36" t="s">
        <v>52</v>
      </c>
      <c r="AD535" t="s">
        <v>1710</v>
      </c>
      <c r="AE535" t="s">
        <v>1711</v>
      </c>
      <c r="AF535" s="16">
        <v>44900</v>
      </c>
      <c r="AG535" t="s">
        <v>98</v>
      </c>
      <c r="AH535">
        <v>6</v>
      </c>
      <c r="AI535" s="8" t="str">
        <f t="shared" si="179"/>
        <v/>
      </c>
      <c r="AJ535" s="8">
        <f t="shared" si="180"/>
        <v>6.4328472222186974</v>
      </c>
      <c r="AK535" s="38" t="str">
        <f t="shared" si="178"/>
        <v/>
      </c>
      <c r="AL535" t="str">
        <f t="shared" si="181"/>
        <v/>
      </c>
      <c r="AM535" t="str">
        <f t="shared" si="182"/>
        <v/>
      </c>
      <c r="AN535" t="str">
        <f t="shared" si="183"/>
        <v/>
      </c>
      <c r="AO535">
        <f t="shared" si="184"/>
        <v>2</v>
      </c>
      <c r="AP535">
        <f t="shared" si="185"/>
        <v>0</v>
      </c>
      <c r="AQ535" t="str">
        <f t="shared" si="186"/>
        <v/>
      </c>
    </row>
    <row r="536" spans="1:43" x14ac:dyDescent="0.35">
      <c r="A536">
        <v>1961</v>
      </c>
      <c r="B536" t="s">
        <v>1712</v>
      </c>
      <c r="C536" t="s">
        <v>217</v>
      </c>
      <c r="D536" t="str">
        <f t="shared" si="176"/>
        <v>Program Office</v>
      </c>
      <c r="E536" t="s">
        <v>1542</v>
      </c>
      <c r="F536" t="s">
        <v>1669</v>
      </c>
      <c r="G536" t="s">
        <v>1670</v>
      </c>
      <c r="H536" t="s">
        <v>59</v>
      </c>
      <c r="I536" s="32">
        <v>44897.432847222219</v>
      </c>
      <c r="J536" s="32">
        <v>44900.432847222219</v>
      </c>
      <c r="K536" s="32">
        <v>44902.432847222219</v>
      </c>
      <c r="L536" s="8">
        <f t="shared" si="177"/>
        <v>5</v>
      </c>
      <c r="M536" s="7">
        <v>44920.432847222219</v>
      </c>
      <c r="N536" t="s">
        <v>49</v>
      </c>
      <c r="O536" s="34">
        <v>44918.432847222219</v>
      </c>
      <c r="P536" t="s">
        <v>101</v>
      </c>
      <c r="R536" s="32">
        <v>44924.432847222219</v>
      </c>
      <c r="S536" t="s">
        <v>101</v>
      </c>
      <c r="T536" s="34">
        <v>44920.432847222219</v>
      </c>
      <c r="U536" s="34">
        <v>44924.432847222219</v>
      </c>
      <c r="V536" s="32">
        <v>44921.432847222219</v>
      </c>
      <c r="W536" s="32">
        <v>44927.432847222219</v>
      </c>
      <c r="X536">
        <v>1</v>
      </c>
      <c r="Y536" s="34">
        <v>44928.432847222219</v>
      </c>
      <c r="Z536" s="34">
        <v>44931.432847222219</v>
      </c>
      <c r="AA536" s="34">
        <v>44934.432847222219</v>
      </c>
      <c r="AB536" s="36" t="s">
        <v>7476</v>
      </c>
      <c r="AC536" s="10">
        <v>44943.432847222219</v>
      </c>
      <c r="AD536" t="s">
        <v>1713</v>
      </c>
      <c r="AE536" t="s">
        <v>1714</v>
      </c>
      <c r="AF536" s="16">
        <v>44903</v>
      </c>
      <c r="AG536" t="s">
        <v>98</v>
      </c>
      <c r="AH536">
        <v>3</v>
      </c>
      <c r="AI536" s="8">
        <f t="shared" si="179"/>
        <v>21.432847222218697</v>
      </c>
      <c r="AJ536" s="8">
        <f t="shared" si="180"/>
        <v>15.432847222218697</v>
      </c>
      <c r="AK536" s="38">
        <f t="shared" si="178"/>
        <v>45011.432847222219</v>
      </c>
      <c r="AL536">
        <f t="shared" si="181"/>
        <v>4</v>
      </c>
      <c r="AM536">
        <f t="shared" si="182"/>
        <v>24</v>
      </c>
      <c r="AN536">
        <f t="shared" si="183"/>
        <v>3</v>
      </c>
      <c r="AO536">
        <f t="shared" si="184"/>
        <v>3</v>
      </c>
      <c r="AP536">
        <f t="shared" si="185"/>
        <v>44942.432847222219</v>
      </c>
      <c r="AQ536">
        <f t="shared" si="186"/>
        <v>7</v>
      </c>
    </row>
    <row r="537" spans="1:43" x14ac:dyDescent="0.35">
      <c r="A537">
        <v>1817</v>
      </c>
      <c r="B537" t="s">
        <v>1715</v>
      </c>
      <c r="C537" t="s">
        <v>213</v>
      </c>
      <c r="D537" t="str">
        <f t="shared" si="176"/>
        <v>Program Office</v>
      </c>
      <c r="E537" t="s">
        <v>1542</v>
      </c>
      <c r="F537" t="s">
        <v>1669</v>
      </c>
      <c r="G537" t="s">
        <v>1670</v>
      </c>
      <c r="H537" t="s">
        <v>59</v>
      </c>
      <c r="I537" s="32" t="s">
        <v>7471</v>
      </c>
      <c r="J537" s="32">
        <v>44825.186388888891</v>
      </c>
      <c r="K537" s="32" t="s">
        <v>7473</v>
      </c>
      <c r="L537" s="8" t="str">
        <f t="shared" si="177"/>
        <v/>
      </c>
      <c r="M537" s="7">
        <v>44856.186388888891</v>
      </c>
      <c r="N537" t="s">
        <v>49</v>
      </c>
      <c r="O537" s="34">
        <v>44837.186388888891</v>
      </c>
      <c r="P537" t="s">
        <v>101</v>
      </c>
      <c r="R537" s="32">
        <v>44843.186388888891</v>
      </c>
      <c r="S537" t="s">
        <v>101</v>
      </c>
      <c r="T537" s="34">
        <v>44838.186388888891</v>
      </c>
      <c r="U537" s="34">
        <v>44841.186388888891</v>
      </c>
      <c r="V537" s="32">
        <v>44840.186388888891</v>
      </c>
      <c r="W537" s="32">
        <v>44844.186388888891</v>
      </c>
      <c r="X537">
        <v>1</v>
      </c>
      <c r="Y537" s="34">
        <v>44846.186388888891</v>
      </c>
      <c r="Z537" s="34">
        <v>44847.186388888891</v>
      </c>
      <c r="AA537" s="34">
        <v>44849.186388888891</v>
      </c>
      <c r="AB537" s="36" t="s">
        <v>7476</v>
      </c>
      <c r="AC537" s="10">
        <v>44859.186388888891</v>
      </c>
      <c r="AD537" t="s">
        <v>1716</v>
      </c>
      <c r="AE537" t="s">
        <v>1717</v>
      </c>
      <c r="AF537" s="16">
        <v>44823</v>
      </c>
      <c r="AG537" t="s">
        <v>55</v>
      </c>
      <c r="AH537">
        <v>3</v>
      </c>
      <c r="AK537" s="38">
        <f t="shared" si="178"/>
        <v>44930.186388888891</v>
      </c>
    </row>
    <row r="538" spans="1:43" x14ac:dyDescent="0.35">
      <c r="A538">
        <v>1800</v>
      </c>
      <c r="B538" t="s">
        <v>1718</v>
      </c>
      <c r="C538" t="s">
        <v>217</v>
      </c>
      <c r="D538" t="str">
        <f t="shared" si="176"/>
        <v>Program Office</v>
      </c>
      <c r="E538" t="s">
        <v>1542</v>
      </c>
      <c r="F538" t="s">
        <v>1669</v>
      </c>
      <c r="G538" t="s">
        <v>1670</v>
      </c>
      <c r="H538" t="s">
        <v>59</v>
      </c>
      <c r="I538" s="32">
        <v>44832.47960648148</v>
      </c>
      <c r="J538" s="32">
        <v>44834.47960648148</v>
      </c>
      <c r="K538" s="32">
        <v>44837.47960648148</v>
      </c>
      <c r="L538" s="8">
        <f t="shared" si="177"/>
        <v>5</v>
      </c>
      <c r="M538" s="7">
        <v>44864.47960648148</v>
      </c>
      <c r="N538" t="s">
        <v>49</v>
      </c>
      <c r="O538" s="34">
        <v>44844.47960648148</v>
      </c>
      <c r="P538" t="s">
        <v>392</v>
      </c>
      <c r="R538" s="32">
        <v>44848.47960648148</v>
      </c>
      <c r="S538" t="s">
        <v>392</v>
      </c>
      <c r="T538" s="34" t="s">
        <v>7476</v>
      </c>
      <c r="U538" s="34" t="s">
        <v>7476</v>
      </c>
      <c r="V538" s="32">
        <v>44846.47960648148</v>
      </c>
      <c r="W538" s="32" t="s">
        <v>7476</v>
      </c>
      <c r="X538">
        <v>0</v>
      </c>
      <c r="Y538" s="34" t="s">
        <v>7476</v>
      </c>
      <c r="Z538" s="34" t="s">
        <v>7476</v>
      </c>
      <c r="AA538" s="34" t="s">
        <v>7476</v>
      </c>
      <c r="AB538" s="36" t="s">
        <v>7476</v>
      </c>
      <c r="AD538" t="s">
        <v>1719</v>
      </c>
      <c r="AE538" t="s">
        <v>1720</v>
      </c>
      <c r="AF538" s="16">
        <v>44826</v>
      </c>
      <c r="AG538" t="s">
        <v>98</v>
      </c>
      <c r="AH538">
        <v>3</v>
      </c>
      <c r="AI538" s="8">
        <f>IFERROR(R538-AF538,"")</f>
        <v>22.479606481480005</v>
      </c>
      <c r="AJ538" s="8">
        <f>IFERROR(O538-AF538,"")</f>
        <v>18.479606481480005</v>
      </c>
      <c r="AK538" s="38">
        <f t="shared" si="178"/>
        <v>44936.47960648148</v>
      </c>
      <c r="AL538" t="str">
        <f>IFERROR(Z538-W538,"")</f>
        <v/>
      </c>
      <c r="AM538">
        <f>IFERROR(R538-J538,"")</f>
        <v>14</v>
      </c>
      <c r="AN538">
        <f>IFERROR(V538-O538,"")</f>
        <v>2</v>
      </c>
      <c r="AO538">
        <f>IFERROR(J538-I538,"")</f>
        <v>2</v>
      </c>
      <c r="AP538">
        <f>IFERROR(AC538-X538,"")</f>
        <v>0</v>
      </c>
      <c r="AQ538" t="str">
        <f>IFERROR(AA538-W538,"")</f>
        <v/>
      </c>
    </row>
    <row r="539" spans="1:43" x14ac:dyDescent="0.35">
      <c r="A539">
        <v>1791</v>
      </c>
      <c r="B539" t="s">
        <v>1721</v>
      </c>
      <c r="C539" t="s">
        <v>213</v>
      </c>
      <c r="D539" t="str">
        <f t="shared" si="176"/>
        <v>Program Office</v>
      </c>
      <c r="E539" t="s">
        <v>1542</v>
      </c>
      <c r="F539" t="s">
        <v>1669</v>
      </c>
      <c r="G539" t="s">
        <v>1670</v>
      </c>
      <c r="H539" t="s">
        <v>59</v>
      </c>
      <c r="I539" s="32">
        <v>44830.47960648148</v>
      </c>
      <c r="J539" s="32" t="s">
        <v>7471</v>
      </c>
      <c r="K539" s="32">
        <v>44837.47960648148</v>
      </c>
      <c r="L539" s="8">
        <f t="shared" si="177"/>
        <v>7</v>
      </c>
      <c r="M539" s="7">
        <v>44843.47960648148</v>
      </c>
      <c r="N539" t="s">
        <v>72</v>
      </c>
      <c r="O539" s="34" t="s">
        <v>7474</v>
      </c>
      <c r="R539" s="32" t="s">
        <v>7472</v>
      </c>
      <c r="S539" t="s">
        <v>7476</v>
      </c>
      <c r="T539" s="34" t="s">
        <v>7476</v>
      </c>
      <c r="U539" s="34" t="s">
        <v>7476</v>
      </c>
      <c r="V539" s="32" t="s">
        <v>7476</v>
      </c>
      <c r="W539" s="32" t="s">
        <v>7476</v>
      </c>
      <c r="X539">
        <v>0</v>
      </c>
      <c r="Y539" s="34" t="s">
        <v>7476</v>
      </c>
      <c r="Z539" s="34" t="s">
        <v>7476</v>
      </c>
      <c r="AA539" s="34" t="s">
        <v>7476</v>
      </c>
      <c r="AB539" s="36" t="s">
        <v>7476</v>
      </c>
      <c r="AD539" t="s">
        <v>1722</v>
      </c>
      <c r="AE539" t="s">
        <v>1723</v>
      </c>
      <c r="AG539" t="s">
        <v>55</v>
      </c>
      <c r="AH539">
        <v>3</v>
      </c>
      <c r="AK539" s="38" t="str">
        <f t="shared" si="178"/>
        <v/>
      </c>
    </row>
    <row r="540" spans="1:43" x14ac:dyDescent="0.35">
      <c r="A540">
        <v>1690</v>
      </c>
      <c r="B540" t="s">
        <v>1724</v>
      </c>
      <c r="C540" t="s">
        <v>217</v>
      </c>
      <c r="D540" t="str">
        <f t="shared" si="176"/>
        <v>Program Office</v>
      </c>
      <c r="E540" t="s">
        <v>1542</v>
      </c>
      <c r="F540" t="s">
        <v>1669</v>
      </c>
      <c r="G540" t="s">
        <v>1670</v>
      </c>
      <c r="H540" t="s">
        <v>59</v>
      </c>
      <c r="I540" s="32">
        <v>44658.28056712963</v>
      </c>
      <c r="J540" s="32">
        <v>44660.28056712963</v>
      </c>
      <c r="K540" s="32">
        <v>44666.28056712963</v>
      </c>
      <c r="L540" s="8">
        <f t="shared" si="177"/>
        <v>8</v>
      </c>
      <c r="M540" s="7">
        <v>44673.28056712963</v>
      </c>
      <c r="N540" t="s">
        <v>49</v>
      </c>
      <c r="O540" s="34">
        <v>44671.28056712963</v>
      </c>
      <c r="P540" t="s">
        <v>101</v>
      </c>
      <c r="R540" s="32">
        <v>44678.28056712963</v>
      </c>
      <c r="S540" t="s">
        <v>101</v>
      </c>
      <c r="T540" s="34">
        <v>44672.28056712963</v>
      </c>
      <c r="U540" s="34">
        <v>44676.28056712963</v>
      </c>
      <c r="V540" s="32">
        <v>44675.28056712963</v>
      </c>
      <c r="W540" s="32">
        <v>44680.28056712963</v>
      </c>
      <c r="X540">
        <v>1</v>
      </c>
      <c r="Y540" s="34">
        <v>44681.28056712963</v>
      </c>
      <c r="Z540" s="34">
        <v>44682.28056712963</v>
      </c>
      <c r="AA540" s="34">
        <v>44683.28056712963</v>
      </c>
      <c r="AB540" s="36" t="s">
        <v>7476</v>
      </c>
      <c r="AC540" s="10">
        <v>44706.28056712963</v>
      </c>
      <c r="AD540" t="s">
        <v>1725</v>
      </c>
      <c r="AE540" t="s">
        <v>1726</v>
      </c>
      <c r="AF540" s="16">
        <v>44658</v>
      </c>
      <c r="AG540" t="s">
        <v>64</v>
      </c>
      <c r="AH540">
        <v>3</v>
      </c>
      <c r="AI540" s="8">
        <f>IFERROR(R540-AF540,"")</f>
        <v>20.280567129630072</v>
      </c>
      <c r="AJ540" s="8">
        <f>IFERROR(O540-AF540,"")</f>
        <v>13.280567129630072</v>
      </c>
      <c r="AK540" s="38">
        <f t="shared" si="178"/>
        <v>44765.28056712963</v>
      </c>
      <c r="AL540">
        <f>IFERROR(Z540-W540,"")</f>
        <v>2</v>
      </c>
      <c r="AM540">
        <f>IFERROR(R540-J540,"")</f>
        <v>18</v>
      </c>
      <c r="AN540">
        <f>IFERROR(V540-O540,"")</f>
        <v>4</v>
      </c>
      <c r="AO540">
        <f>IFERROR(J540-I540,"")</f>
        <v>2</v>
      </c>
      <c r="AP540">
        <f>IFERROR(AC540-X540,"")</f>
        <v>44705.28056712963</v>
      </c>
      <c r="AQ540">
        <f>IFERROR(AA540-W540,"")</f>
        <v>3</v>
      </c>
    </row>
    <row r="541" spans="1:43" x14ac:dyDescent="0.35">
      <c r="A541">
        <v>1685</v>
      </c>
      <c r="B541" t="s">
        <v>1727</v>
      </c>
      <c r="C541" t="s">
        <v>213</v>
      </c>
      <c r="D541" t="str">
        <f t="shared" si="176"/>
        <v>Program Office</v>
      </c>
      <c r="E541" t="s">
        <v>1542</v>
      </c>
      <c r="F541" t="s">
        <v>1669</v>
      </c>
      <c r="G541" t="s">
        <v>1670</v>
      </c>
      <c r="H541" t="s">
        <v>59</v>
      </c>
      <c r="I541" s="32">
        <v>44664.28056712963</v>
      </c>
      <c r="J541" s="32">
        <v>44665.28056712963</v>
      </c>
      <c r="K541" s="32">
        <v>44666.28056712963</v>
      </c>
      <c r="L541" s="8">
        <f t="shared" si="177"/>
        <v>2</v>
      </c>
      <c r="M541" s="7">
        <v>44683.28056712963</v>
      </c>
      <c r="N541" t="s">
        <v>49</v>
      </c>
      <c r="O541" s="34">
        <v>44669.28056712963</v>
      </c>
      <c r="P541" t="s">
        <v>50</v>
      </c>
      <c r="Q541" t="s">
        <v>51</v>
      </c>
      <c r="R541" s="32" t="s">
        <v>7472</v>
      </c>
      <c r="S541" t="s">
        <v>7476</v>
      </c>
      <c r="T541" s="34" t="s">
        <v>7476</v>
      </c>
      <c r="U541" s="34" t="s">
        <v>7476</v>
      </c>
      <c r="V541" s="32" t="s">
        <v>7476</v>
      </c>
      <c r="W541" s="32" t="s">
        <v>7476</v>
      </c>
      <c r="X541">
        <v>0</v>
      </c>
      <c r="Y541" s="34" t="s">
        <v>7476</v>
      </c>
      <c r="Z541" s="34" t="s">
        <v>7476</v>
      </c>
      <c r="AA541" s="34" t="s">
        <v>7476</v>
      </c>
      <c r="AB541" s="36" t="s">
        <v>52</v>
      </c>
      <c r="AD541" t="s">
        <v>1728</v>
      </c>
      <c r="AE541" t="s">
        <v>1729</v>
      </c>
      <c r="AF541" s="16">
        <v>44660</v>
      </c>
      <c r="AG541" t="s">
        <v>98</v>
      </c>
      <c r="AH541">
        <v>6</v>
      </c>
      <c r="AI541" s="8" t="str">
        <f>IFERROR(R541-AF541,"")</f>
        <v/>
      </c>
      <c r="AJ541" s="8">
        <f>IFERROR(O541-AF541,"")</f>
        <v>9.2805671296300716</v>
      </c>
      <c r="AK541" s="38" t="str">
        <f t="shared" si="178"/>
        <v/>
      </c>
      <c r="AL541" t="str">
        <f>IFERROR(Z541-W541,"")</f>
        <v/>
      </c>
      <c r="AM541" t="str">
        <f>IFERROR(R541-J541,"")</f>
        <v/>
      </c>
      <c r="AN541" t="str">
        <f>IFERROR(V541-O541,"")</f>
        <v/>
      </c>
      <c r="AO541">
        <f>IFERROR(J541-I541,"")</f>
        <v>1</v>
      </c>
      <c r="AP541">
        <f>IFERROR(AC541-X541,"")</f>
        <v>0</v>
      </c>
      <c r="AQ541" t="str">
        <f>IFERROR(AA541-W541,"")</f>
        <v/>
      </c>
    </row>
    <row r="542" spans="1:43" x14ac:dyDescent="0.35">
      <c r="A542">
        <v>1668</v>
      </c>
      <c r="B542" t="s">
        <v>1730</v>
      </c>
      <c r="C542" t="s">
        <v>213</v>
      </c>
      <c r="D542" t="str">
        <f t="shared" si="176"/>
        <v>Program Office</v>
      </c>
      <c r="E542" t="s">
        <v>1542</v>
      </c>
      <c r="F542" t="s">
        <v>1669</v>
      </c>
      <c r="G542" t="s">
        <v>1670</v>
      </c>
      <c r="H542" t="s">
        <v>59</v>
      </c>
      <c r="I542" s="32">
        <v>44676.935347222221</v>
      </c>
      <c r="J542" s="32" t="s">
        <v>7471</v>
      </c>
      <c r="K542" s="32">
        <v>44678.935347222221</v>
      </c>
      <c r="L542" s="8">
        <f t="shared" si="177"/>
        <v>2</v>
      </c>
      <c r="M542" s="7">
        <v>44683.935347222221</v>
      </c>
      <c r="N542" t="s">
        <v>49</v>
      </c>
      <c r="O542" s="34">
        <v>44681.935347222221</v>
      </c>
      <c r="P542" t="s">
        <v>50</v>
      </c>
      <c r="Q542" t="s">
        <v>51</v>
      </c>
      <c r="R542" s="32" t="s">
        <v>7472</v>
      </c>
      <c r="S542" t="s">
        <v>7476</v>
      </c>
      <c r="T542" s="34" t="s">
        <v>7476</v>
      </c>
      <c r="U542" s="34" t="s">
        <v>7476</v>
      </c>
      <c r="V542" s="32" t="s">
        <v>7476</v>
      </c>
      <c r="W542" s="32" t="s">
        <v>7476</v>
      </c>
      <c r="X542">
        <v>0</v>
      </c>
      <c r="Y542" s="34" t="s">
        <v>7476</v>
      </c>
      <c r="Z542" s="34" t="s">
        <v>7476</v>
      </c>
      <c r="AA542" s="34" t="s">
        <v>7476</v>
      </c>
      <c r="AB542" s="36" t="s">
        <v>52</v>
      </c>
      <c r="AD542" t="s">
        <v>1731</v>
      </c>
      <c r="AE542" t="s">
        <v>1732</v>
      </c>
      <c r="AF542" s="16">
        <v>44667</v>
      </c>
      <c r="AG542" t="s">
        <v>98</v>
      </c>
      <c r="AH542">
        <v>3</v>
      </c>
      <c r="AK542" s="38" t="str">
        <f t="shared" si="178"/>
        <v/>
      </c>
    </row>
    <row r="543" spans="1:43" x14ac:dyDescent="0.35">
      <c r="A543">
        <v>1667</v>
      </c>
      <c r="B543" t="s">
        <v>1733</v>
      </c>
      <c r="C543" t="s">
        <v>217</v>
      </c>
      <c r="D543" t="str">
        <f t="shared" si="176"/>
        <v>Program Office</v>
      </c>
      <c r="E543" t="s">
        <v>1542</v>
      </c>
      <c r="F543" t="s">
        <v>1669</v>
      </c>
      <c r="G543" t="s">
        <v>1670</v>
      </c>
      <c r="H543" t="s">
        <v>59</v>
      </c>
      <c r="I543" s="32">
        <v>44672.935347222221</v>
      </c>
      <c r="J543" s="32">
        <v>44674.935347222221</v>
      </c>
      <c r="K543" s="32">
        <v>44678.935347222221</v>
      </c>
      <c r="L543" s="8">
        <f t="shared" si="177"/>
        <v>6</v>
      </c>
      <c r="M543" s="7">
        <v>44703.935347222221</v>
      </c>
      <c r="N543" t="s">
        <v>49</v>
      </c>
      <c r="O543" s="34">
        <v>44681.935347222221</v>
      </c>
      <c r="P543" t="s">
        <v>50</v>
      </c>
      <c r="Q543" t="s">
        <v>125</v>
      </c>
      <c r="R543" s="32" t="s">
        <v>7472</v>
      </c>
      <c r="S543" t="s">
        <v>7476</v>
      </c>
      <c r="T543" s="34" t="s">
        <v>7476</v>
      </c>
      <c r="U543" s="34" t="s">
        <v>7476</v>
      </c>
      <c r="V543" s="32" t="s">
        <v>7476</v>
      </c>
      <c r="W543" s="32" t="s">
        <v>7476</v>
      </c>
      <c r="X543">
        <v>0</v>
      </c>
      <c r="Y543" s="34" t="s">
        <v>7476</v>
      </c>
      <c r="Z543" s="34" t="s">
        <v>7476</v>
      </c>
      <c r="AA543" s="34" t="s">
        <v>7476</v>
      </c>
      <c r="AB543" s="36" t="s">
        <v>95</v>
      </c>
      <c r="AD543" t="s">
        <v>1734</v>
      </c>
      <c r="AE543" t="s">
        <v>1735</v>
      </c>
      <c r="AF543" s="16">
        <v>44666</v>
      </c>
      <c r="AG543" t="s">
        <v>64</v>
      </c>
      <c r="AH543">
        <v>6</v>
      </c>
      <c r="AI543" s="8" t="str">
        <f>IFERROR(R543-AF543,"")</f>
        <v/>
      </c>
      <c r="AJ543" s="8">
        <f>IFERROR(O543-AF543,"")</f>
        <v>15.935347222221026</v>
      </c>
      <c r="AK543" s="38" t="str">
        <f t="shared" si="178"/>
        <v/>
      </c>
      <c r="AL543" t="str">
        <f>IFERROR(Z543-W543,"")</f>
        <v/>
      </c>
      <c r="AM543" t="str">
        <f>IFERROR(R543-J543,"")</f>
        <v/>
      </c>
      <c r="AN543" t="str">
        <f>IFERROR(V543-O543,"")</f>
        <v/>
      </c>
      <c r="AO543">
        <f>IFERROR(J543-I543,"")</f>
        <v>2</v>
      </c>
      <c r="AP543">
        <f>IFERROR(AC543-X543,"")</f>
        <v>0</v>
      </c>
      <c r="AQ543" t="str">
        <f>IFERROR(AA543-W543,"")</f>
        <v/>
      </c>
    </row>
    <row r="544" spans="1:43" x14ac:dyDescent="0.35">
      <c r="A544">
        <v>1665</v>
      </c>
      <c r="B544" t="s">
        <v>1736</v>
      </c>
      <c r="C544" t="s">
        <v>202</v>
      </c>
      <c r="D544" t="str">
        <f t="shared" si="176"/>
        <v>Program Office</v>
      </c>
      <c r="E544" t="s">
        <v>1542</v>
      </c>
      <c r="F544" t="s">
        <v>1669</v>
      </c>
      <c r="G544" t="s">
        <v>1670</v>
      </c>
      <c r="H544" t="s">
        <v>59</v>
      </c>
      <c r="I544" s="32">
        <v>44671.935347222221</v>
      </c>
      <c r="J544" s="32">
        <v>44672.935347222221</v>
      </c>
      <c r="K544" s="32">
        <v>44678.935347222221</v>
      </c>
      <c r="L544" s="8">
        <f t="shared" si="177"/>
        <v>7</v>
      </c>
      <c r="M544" s="7">
        <v>44689.935347222221</v>
      </c>
      <c r="N544" t="s">
        <v>49</v>
      </c>
      <c r="O544" s="34">
        <v>44689.935347222221</v>
      </c>
      <c r="P544" t="s">
        <v>101</v>
      </c>
      <c r="R544" s="32">
        <v>44694.935347222221</v>
      </c>
      <c r="S544" t="s">
        <v>101</v>
      </c>
      <c r="T544" s="34">
        <v>44691.935347222221</v>
      </c>
      <c r="U544" s="34">
        <v>44693.935347222221</v>
      </c>
      <c r="V544" s="32">
        <v>44692.935347222221</v>
      </c>
      <c r="W544" s="32">
        <v>44702.935347222221</v>
      </c>
      <c r="X544">
        <v>1</v>
      </c>
      <c r="Y544" s="34">
        <v>44703.935347222221</v>
      </c>
      <c r="Z544" s="34">
        <v>44705.935347222221</v>
      </c>
      <c r="AA544" s="34">
        <v>44708.935347222221</v>
      </c>
      <c r="AB544" s="36" t="s">
        <v>7476</v>
      </c>
      <c r="AC544" s="10">
        <v>44728.935347222221</v>
      </c>
      <c r="AD544" t="s">
        <v>1737</v>
      </c>
      <c r="AE544" t="s">
        <v>1738</v>
      </c>
      <c r="AF544" s="16">
        <v>44684</v>
      </c>
      <c r="AG544" t="s">
        <v>64</v>
      </c>
      <c r="AH544">
        <v>6</v>
      </c>
      <c r="AI544" s="8">
        <f>IFERROR(R544-AF544,"")</f>
        <v>10.935347222221026</v>
      </c>
      <c r="AJ544" s="8">
        <f>IFERROR(O544-AF544,"")</f>
        <v>5.9353472222210257</v>
      </c>
      <c r="AK544" s="38">
        <f t="shared" si="178"/>
        <v>44872.935347222221</v>
      </c>
      <c r="AL544">
        <f>IFERROR(Z544-W544,"")</f>
        <v>3</v>
      </c>
      <c r="AM544">
        <f>IFERROR(R544-J544,"")</f>
        <v>22</v>
      </c>
      <c r="AN544">
        <f>IFERROR(V544-O544,"")</f>
        <v>3</v>
      </c>
      <c r="AO544">
        <f>IFERROR(J544-I544,"")</f>
        <v>1</v>
      </c>
      <c r="AP544">
        <f>IFERROR(AC544-X544,"")</f>
        <v>44727.935347222221</v>
      </c>
      <c r="AQ544">
        <f>IFERROR(AA544-W544,"")</f>
        <v>6</v>
      </c>
    </row>
    <row r="545" spans="1:43" x14ac:dyDescent="0.35">
      <c r="A545">
        <v>1448</v>
      </c>
      <c r="B545" t="s">
        <v>1739</v>
      </c>
      <c r="C545" t="s">
        <v>213</v>
      </c>
      <c r="D545" t="str">
        <f t="shared" si="176"/>
        <v>Program Office</v>
      </c>
      <c r="E545" t="s">
        <v>1542</v>
      </c>
      <c r="F545" t="s">
        <v>1669</v>
      </c>
      <c r="G545" t="s">
        <v>1670</v>
      </c>
      <c r="H545" t="s">
        <v>59</v>
      </c>
      <c r="I545" s="32">
        <v>45014.427199074067</v>
      </c>
      <c r="J545" s="32">
        <v>45018.427199074067</v>
      </c>
      <c r="K545" s="32">
        <v>45019.427199074067</v>
      </c>
      <c r="L545" s="8">
        <f t="shared" si="177"/>
        <v>5</v>
      </c>
      <c r="M545" s="7">
        <v>45032.427199074067</v>
      </c>
      <c r="N545" t="s">
        <v>49</v>
      </c>
      <c r="O545" s="34">
        <v>45028.427199074067</v>
      </c>
      <c r="P545" t="s">
        <v>50</v>
      </c>
      <c r="Q545" t="s">
        <v>236</v>
      </c>
      <c r="R545" s="32" t="s">
        <v>7472</v>
      </c>
      <c r="S545" t="s">
        <v>7476</v>
      </c>
      <c r="T545" s="34" t="s">
        <v>7476</v>
      </c>
      <c r="U545" s="34" t="s">
        <v>7476</v>
      </c>
      <c r="V545" s="32">
        <v>45029.427199074067</v>
      </c>
      <c r="W545" s="32" t="s">
        <v>7476</v>
      </c>
      <c r="X545">
        <v>0</v>
      </c>
      <c r="Y545" s="34" t="s">
        <v>7476</v>
      </c>
      <c r="Z545" s="34" t="s">
        <v>7476</v>
      </c>
      <c r="AA545" s="34" t="s">
        <v>7476</v>
      </c>
      <c r="AB545" s="36" t="s">
        <v>52</v>
      </c>
      <c r="AD545" t="s">
        <v>1740</v>
      </c>
      <c r="AE545" t="s">
        <v>1741</v>
      </c>
      <c r="AF545" s="16">
        <v>45015</v>
      </c>
      <c r="AG545" t="s">
        <v>68</v>
      </c>
      <c r="AH545">
        <v>3</v>
      </c>
      <c r="AI545" s="8" t="str">
        <f>IFERROR(R545-AF545,"")</f>
        <v/>
      </c>
      <c r="AJ545" s="8">
        <f>IFERROR(O545-AF545,"")</f>
        <v>13.427199074067175</v>
      </c>
      <c r="AK545" s="38">
        <f t="shared" si="178"/>
        <v>45119.427199074067</v>
      </c>
      <c r="AL545" t="str">
        <f>IFERROR(Z545-W545,"")</f>
        <v/>
      </c>
      <c r="AM545" t="str">
        <f>IFERROR(R545-J545,"")</f>
        <v/>
      </c>
      <c r="AN545">
        <f>IFERROR(V545-O545,"")</f>
        <v>1</v>
      </c>
      <c r="AO545">
        <f>IFERROR(J545-I545,"")</f>
        <v>4</v>
      </c>
      <c r="AP545">
        <f>IFERROR(AC545-X545,"")</f>
        <v>0</v>
      </c>
      <c r="AQ545" t="str">
        <f>IFERROR(AA545-W545,"")</f>
        <v/>
      </c>
    </row>
    <row r="546" spans="1:43" x14ac:dyDescent="0.35">
      <c r="A546">
        <v>1445</v>
      </c>
      <c r="B546" t="s">
        <v>1742</v>
      </c>
      <c r="C546" t="s">
        <v>217</v>
      </c>
      <c r="D546" t="str">
        <f t="shared" si="176"/>
        <v>Program Office</v>
      </c>
      <c r="E546" t="s">
        <v>1542</v>
      </c>
      <c r="F546" t="s">
        <v>1669</v>
      </c>
      <c r="G546" t="s">
        <v>1670</v>
      </c>
      <c r="H546" t="s">
        <v>59</v>
      </c>
      <c r="I546" s="32">
        <v>45015.427199074067</v>
      </c>
      <c r="J546" s="32" t="s">
        <v>7471</v>
      </c>
      <c r="K546" s="32" t="s">
        <v>7473</v>
      </c>
      <c r="L546" s="8" t="str">
        <f t="shared" si="177"/>
        <v/>
      </c>
      <c r="M546" s="7">
        <v>45036.427199074067</v>
      </c>
      <c r="N546" t="s">
        <v>72</v>
      </c>
      <c r="O546" s="34" t="s">
        <v>7474</v>
      </c>
      <c r="R546" s="32" t="s">
        <v>7472</v>
      </c>
      <c r="S546" t="s">
        <v>7476</v>
      </c>
      <c r="T546" s="34" t="s">
        <v>7476</v>
      </c>
      <c r="U546" s="34" t="s">
        <v>7476</v>
      </c>
      <c r="V546" s="32" t="s">
        <v>7476</v>
      </c>
      <c r="W546" s="32" t="s">
        <v>7476</v>
      </c>
      <c r="X546">
        <v>0</v>
      </c>
      <c r="Y546" s="34" t="s">
        <v>7476</v>
      </c>
      <c r="Z546" s="34" t="s">
        <v>7476</v>
      </c>
      <c r="AA546" s="34" t="s">
        <v>7476</v>
      </c>
      <c r="AB546" s="36" t="s">
        <v>7476</v>
      </c>
      <c r="AD546" t="s">
        <v>1743</v>
      </c>
      <c r="AE546" t="s">
        <v>1744</v>
      </c>
      <c r="AG546" t="s">
        <v>75</v>
      </c>
      <c r="AH546">
        <v>6</v>
      </c>
      <c r="AK546" s="38" t="str">
        <f t="shared" si="178"/>
        <v/>
      </c>
    </row>
    <row r="547" spans="1:43" x14ac:dyDescent="0.35">
      <c r="A547">
        <v>1443</v>
      </c>
      <c r="B547" t="s">
        <v>1745</v>
      </c>
      <c r="C547" t="s">
        <v>217</v>
      </c>
      <c r="D547" t="str">
        <f t="shared" si="176"/>
        <v>Program Office</v>
      </c>
      <c r="E547" t="s">
        <v>1542</v>
      </c>
      <c r="F547" t="s">
        <v>1669</v>
      </c>
      <c r="G547" t="s">
        <v>1670</v>
      </c>
      <c r="H547" t="s">
        <v>59</v>
      </c>
      <c r="I547" s="32">
        <v>45013.427199074067</v>
      </c>
      <c r="J547" s="32">
        <v>45014.427199074067</v>
      </c>
      <c r="K547" s="32">
        <v>45019.427199074067</v>
      </c>
      <c r="L547" s="8">
        <f t="shared" si="177"/>
        <v>6</v>
      </c>
      <c r="M547" s="7">
        <v>45025.427199074067</v>
      </c>
      <c r="N547" t="s">
        <v>49</v>
      </c>
      <c r="O547" s="34">
        <v>45032.427199074067</v>
      </c>
      <c r="P547" t="s">
        <v>50</v>
      </c>
      <c r="Q547" t="s">
        <v>236</v>
      </c>
      <c r="R547" s="32" t="s">
        <v>7472</v>
      </c>
      <c r="S547" t="s">
        <v>7476</v>
      </c>
      <c r="T547" s="34" t="s">
        <v>7476</v>
      </c>
      <c r="U547" s="34" t="s">
        <v>7476</v>
      </c>
      <c r="V547" s="32" t="s">
        <v>7476</v>
      </c>
      <c r="W547" s="32" t="s">
        <v>7476</v>
      </c>
      <c r="X547">
        <v>0</v>
      </c>
      <c r="Y547" s="34" t="s">
        <v>7476</v>
      </c>
      <c r="Z547" s="34" t="s">
        <v>7476</v>
      </c>
      <c r="AA547" s="34" t="s">
        <v>7476</v>
      </c>
      <c r="AB547" s="36" t="s">
        <v>52</v>
      </c>
      <c r="AD547" t="s">
        <v>1746</v>
      </c>
      <c r="AE547" t="s">
        <v>1747</v>
      </c>
      <c r="AF547" s="16">
        <v>45020</v>
      </c>
      <c r="AG547" t="s">
        <v>98</v>
      </c>
      <c r="AH547">
        <v>6</v>
      </c>
      <c r="AI547" s="8" t="str">
        <f>IFERROR(R547-AF547,"")</f>
        <v/>
      </c>
      <c r="AJ547" s="8">
        <f>IFERROR(O547-AF547,"")</f>
        <v>12.427199074067175</v>
      </c>
      <c r="AK547" s="38" t="str">
        <f t="shared" si="178"/>
        <v/>
      </c>
      <c r="AL547" t="str">
        <f>IFERROR(Z547-W547,"")</f>
        <v/>
      </c>
      <c r="AM547" t="str">
        <f>IFERROR(R547-J547,"")</f>
        <v/>
      </c>
      <c r="AN547" t="str">
        <f>IFERROR(V547-O547,"")</f>
        <v/>
      </c>
      <c r="AO547">
        <f>IFERROR(J547-I547,"")</f>
        <v>1</v>
      </c>
      <c r="AP547">
        <f>IFERROR(AC547-X547,"")</f>
        <v>0</v>
      </c>
      <c r="AQ547" t="str">
        <f>IFERROR(AA547-W547,"")</f>
        <v/>
      </c>
    </row>
    <row r="548" spans="1:43" x14ac:dyDescent="0.35">
      <c r="A548">
        <v>1415</v>
      </c>
      <c r="B548" t="s">
        <v>1748</v>
      </c>
      <c r="C548" t="s">
        <v>202</v>
      </c>
      <c r="D548" t="str">
        <f t="shared" si="176"/>
        <v>Program Office</v>
      </c>
      <c r="E548" t="s">
        <v>1542</v>
      </c>
      <c r="F548" t="s">
        <v>1669</v>
      </c>
      <c r="G548" t="s">
        <v>1670</v>
      </c>
      <c r="H548" t="s">
        <v>59</v>
      </c>
      <c r="I548" s="32">
        <v>44781.789305555547</v>
      </c>
      <c r="J548" s="32">
        <v>44785.789305555547</v>
      </c>
      <c r="K548" s="32" t="s">
        <v>7473</v>
      </c>
      <c r="L548" s="8" t="str">
        <f t="shared" si="177"/>
        <v/>
      </c>
      <c r="M548" s="7">
        <v>44793.789305555547</v>
      </c>
      <c r="N548" t="s">
        <v>49</v>
      </c>
      <c r="O548" s="34">
        <v>44795.789305555547</v>
      </c>
      <c r="P548" t="s">
        <v>60</v>
      </c>
      <c r="R548" s="32">
        <v>44799.789305555547</v>
      </c>
      <c r="S548" t="s">
        <v>61</v>
      </c>
      <c r="T548" s="34" t="s">
        <v>7476</v>
      </c>
      <c r="U548" s="34" t="s">
        <v>7476</v>
      </c>
      <c r="V548" s="32">
        <v>44797.789305555547</v>
      </c>
      <c r="W548" s="32" t="s">
        <v>7476</v>
      </c>
      <c r="X548">
        <v>0</v>
      </c>
      <c r="Y548" s="34" t="s">
        <v>7476</v>
      </c>
      <c r="Z548" s="34" t="s">
        <v>7476</v>
      </c>
      <c r="AA548" s="34" t="s">
        <v>7476</v>
      </c>
      <c r="AB548" s="36" t="s">
        <v>7476</v>
      </c>
      <c r="AD548" t="s">
        <v>1749</v>
      </c>
      <c r="AE548" t="s">
        <v>1750</v>
      </c>
      <c r="AF548" s="16">
        <v>44780</v>
      </c>
      <c r="AG548" t="s">
        <v>68</v>
      </c>
      <c r="AH548">
        <v>6</v>
      </c>
      <c r="AK548" s="38">
        <f t="shared" si="178"/>
        <v>44977.789305555547</v>
      </c>
    </row>
    <row r="549" spans="1:43" x14ac:dyDescent="0.35">
      <c r="A549">
        <v>1413</v>
      </c>
      <c r="B549" t="s">
        <v>1751</v>
      </c>
      <c r="C549" t="s">
        <v>217</v>
      </c>
      <c r="D549" t="str">
        <f t="shared" si="176"/>
        <v>Program Office</v>
      </c>
      <c r="E549" t="s">
        <v>1542</v>
      </c>
      <c r="F549" t="s">
        <v>1669</v>
      </c>
      <c r="G549" t="s">
        <v>1670</v>
      </c>
      <c r="H549" t="s">
        <v>59</v>
      </c>
      <c r="I549" s="32">
        <v>44784.789305555547</v>
      </c>
      <c r="J549" s="32">
        <v>44785.789305555547</v>
      </c>
      <c r="K549" s="32">
        <v>44786.789305555547</v>
      </c>
      <c r="L549" s="8">
        <f t="shared" si="177"/>
        <v>2</v>
      </c>
      <c r="M549" s="7">
        <v>44806.789305555547</v>
      </c>
      <c r="N549" t="s">
        <v>49</v>
      </c>
      <c r="O549" s="34">
        <v>44798.789305555547</v>
      </c>
      <c r="P549" t="s">
        <v>60</v>
      </c>
      <c r="R549" s="32">
        <v>44801.789305555547</v>
      </c>
      <c r="S549" t="s">
        <v>61</v>
      </c>
      <c r="T549" s="34" t="s">
        <v>7476</v>
      </c>
      <c r="U549" s="34" t="s">
        <v>7476</v>
      </c>
      <c r="V549" s="32">
        <v>44799.789305555547</v>
      </c>
      <c r="W549" s="32" t="s">
        <v>7476</v>
      </c>
      <c r="X549">
        <v>0</v>
      </c>
      <c r="Y549" s="34" t="s">
        <v>7476</v>
      </c>
      <c r="Z549" s="34" t="s">
        <v>7476</v>
      </c>
      <c r="AA549" s="34" t="s">
        <v>7476</v>
      </c>
      <c r="AB549" s="36" t="s">
        <v>7476</v>
      </c>
      <c r="AD549" t="s">
        <v>1752</v>
      </c>
      <c r="AE549" t="s">
        <v>1753</v>
      </c>
      <c r="AF549" s="16">
        <v>44842</v>
      </c>
      <c r="AG549" t="s">
        <v>68</v>
      </c>
      <c r="AH549">
        <v>6</v>
      </c>
      <c r="AI549" s="8">
        <f>IFERROR(R549-AF549,"")</f>
        <v>-40.210694444453111</v>
      </c>
      <c r="AJ549" s="8">
        <f>IFERROR(O549-AF549,"")</f>
        <v>-43.210694444453111</v>
      </c>
      <c r="AK549" s="38">
        <f t="shared" si="178"/>
        <v>44979.789305555547</v>
      </c>
      <c r="AL549" t="str">
        <f>IFERROR(Z549-W549,"")</f>
        <v/>
      </c>
      <c r="AM549">
        <f>IFERROR(R549-J549,"")</f>
        <v>16</v>
      </c>
      <c r="AN549">
        <f>IFERROR(V549-O549,"")</f>
        <v>1</v>
      </c>
      <c r="AO549">
        <f>IFERROR(J549-I549,"")</f>
        <v>1</v>
      </c>
      <c r="AP549">
        <f>IFERROR(AC549-X549,"")</f>
        <v>0</v>
      </c>
      <c r="AQ549" t="str">
        <f>IFERROR(AA549-W549,"")</f>
        <v/>
      </c>
    </row>
    <row r="550" spans="1:43" x14ac:dyDescent="0.35">
      <c r="A550">
        <v>1409</v>
      </c>
      <c r="B550" t="s">
        <v>1754</v>
      </c>
      <c r="C550" t="s">
        <v>217</v>
      </c>
      <c r="D550" t="str">
        <f t="shared" si="176"/>
        <v>Program Office</v>
      </c>
      <c r="E550" t="s">
        <v>1542</v>
      </c>
      <c r="F550" t="s">
        <v>1669</v>
      </c>
      <c r="G550" t="s">
        <v>1670</v>
      </c>
      <c r="H550" t="s">
        <v>59</v>
      </c>
      <c r="I550" s="32">
        <v>44614.306493055563</v>
      </c>
      <c r="J550" s="32">
        <v>44616.306493055563</v>
      </c>
      <c r="K550" s="32">
        <v>44619.306493055563</v>
      </c>
      <c r="L550" s="8">
        <f t="shared" si="177"/>
        <v>5</v>
      </c>
      <c r="M550" s="7">
        <v>44644.306493055563</v>
      </c>
      <c r="N550" t="s">
        <v>49</v>
      </c>
      <c r="O550" s="34">
        <v>44633.306493055563</v>
      </c>
      <c r="P550" t="s">
        <v>50</v>
      </c>
      <c r="Q550" t="s">
        <v>84</v>
      </c>
      <c r="R550" s="32" t="s">
        <v>7472</v>
      </c>
      <c r="S550" t="s">
        <v>7476</v>
      </c>
      <c r="T550" s="34" t="s">
        <v>7476</v>
      </c>
      <c r="U550" s="34" t="s">
        <v>7476</v>
      </c>
      <c r="V550" s="32">
        <v>44637.306493055563</v>
      </c>
      <c r="W550" s="32" t="s">
        <v>7476</v>
      </c>
      <c r="X550">
        <v>0</v>
      </c>
      <c r="Y550" s="34" t="s">
        <v>7476</v>
      </c>
      <c r="Z550" s="34" t="s">
        <v>7476</v>
      </c>
      <c r="AA550" s="34" t="s">
        <v>7476</v>
      </c>
      <c r="AB550" s="36" t="s">
        <v>95</v>
      </c>
      <c r="AD550" t="s">
        <v>1755</v>
      </c>
      <c r="AE550" t="s">
        <v>1756</v>
      </c>
      <c r="AF550" s="16">
        <v>44619</v>
      </c>
      <c r="AG550" t="s">
        <v>68</v>
      </c>
      <c r="AH550">
        <v>6</v>
      </c>
      <c r="AI550" s="8" t="str">
        <f>IFERROR(R550-AF550,"")</f>
        <v/>
      </c>
      <c r="AJ550" s="8">
        <f>IFERROR(O550-AF550,"")</f>
        <v>14.306493055562896</v>
      </c>
      <c r="AK550" s="38">
        <f t="shared" si="178"/>
        <v>44817.306493055563</v>
      </c>
      <c r="AL550" t="str">
        <f>IFERROR(Z550-W550,"")</f>
        <v/>
      </c>
      <c r="AM550" t="str">
        <f>IFERROR(R550-J550,"")</f>
        <v/>
      </c>
      <c r="AN550">
        <f>IFERROR(V550-O550,"")</f>
        <v>4</v>
      </c>
      <c r="AO550">
        <f>IFERROR(J550-I550,"")</f>
        <v>2</v>
      </c>
      <c r="AP550">
        <f>IFERROR(AC550-X550,"")</f>
        <v>0</v>
      </c>
      <c r="AQ550" t="str">
        <f>IFERROR(AA550-W550,"")</f>
        <v/>
      </c>
    </row>
    <row r="551" spans="1:43" x14ac:dyDescent="0.35">
      <c r="A551">
        <v>1407</v>
      </c>
      <c r="B551" t="s">
        <v>1757</v>
      </c>
      <c r="C551" t="s">
        <v>217</v>
      </c>
      <c r="D551" t="str">
        <f t="shared" si="176"/>
        <v>Program Office</v>
      </c>
      <c r="E551" t="s">
        <v>1542</v>
      </c>
      <c r="F551" t="s">
        <v>1669</v>
      </c>
      <c r="G551" t="s">
        <v>1670</v>
      </c>
      <c r="H551" t="s">
        <v>59</v>
      </c>
      <c r="I551" s="32">
        <v>44612.306493055563</v>
      </c>
      <c r="J551" s="32" t="s">
        <v>7471</v>
      </c>
      <c r="K551" s="32">
        <v>44619.306493055563</v>
      </c>
      <c r="L551" s="8">
        <f t="shared" si="177"/>
        <v>7</v>
      </c>
      <c r="M551" s="7">
        <v>44636.306493055563</v>
      </c>
      <c r="N551" t="s">
        <v>49</v>
      </c>
      <c r="O551" s="34">
        <v>44636.306493055563</v>
      </c>
      <c r="P551" t="s">
        <v>50</v>
      </c>
      <c r="Q551" t="s">
        <v>84</v>
      </c>
      <c r="R551" s="32" t="s">
        <v>7472</v>
      </c>
      <c r="S551" t="s">
        <v>7476</v>
      </c>
      <c r="T551" s="34" t="s">
        <v>7476</v>
      </c>
      <c r="U551" s="34" t="s">
        <v>7476</v>
      </c>
      <c r="V551" s="32" t="s">
        <v>7476</v>
      </c>
      <c r="W551" s="32" t="s">
        <v>7476</v>
      </c>
      <c r="X551">
        <v>0</v>
      </c>
      <c r="Y551" s="34" t="s">
        <v>7476</v>
      </c>
      <c r="Z551" s="34" t="s">
        <v>7476</v>
      </c>
      <c r="AA551" s="34" t="s">
        <v>7476</v>
      </c>
      <c r="AB551" s="36" t="s">
        <v>95</v>
      </c>
      <c r="AD551" t="s">
        <v>1758</v>
      </c>
      <c r="AE551" t="s">
        <v>1759</v>
      </c>
      <c r="AF551" s="16">
        <v>44622</v>
      </c>
      <c r="AG551" t="s">
        <v>68</v>
      </c>
      <c r="AH551">
        <v>3</v>
      </c>
      <c r="AK551" s="38" t="str">
        <f t="shared" si="178"/>
        <v/>
      </c>
    </row>
    <row r="552" spans="1:43" x14ac:dyDescent="0.35">
      <c r="A552">
        <v>1299</v>
      </c>
      <c r="B552" t="s">
        <v>1760</v>
      </c>
      <c r="C552" t="s">
        <v>213</v>
      </c>
      <c r="D552" t="str">
        <f t="shared" si="176"/>
        <v>Program Office</v>
      </c>
      <c r="E552" t="s">
        <v>1542</v>
      </c>
      <c r="F552" t="s">
        <v>1669</v>
      </c>
      <c r="G552" t="s">
        <v>1670</v>
      </c>
      <c r="H552" t="s">
        <v>59</v>
      </c>
      <c r="I552" s="32">
        <v>45091.672731481478</v>
      </c>
      <c r="J552" s="32">
        <v>45094.672731481478</v>
      </c>
      <c r="K552" s="32">
        <v>45096.672731481478</v>
      </c>
      <c r="L552" s="8">
        <f t="shared" si="177"/>
        <v>5</v>
      </c>
      <c r="M552" s="7">
        <v>45114.672731481478</v>
      </c>
      <c r="N552" t="s">
        <v>49</v>
      </c>
      <c r="O552" s="34">
        <v>45102.672731481478</v>
      </c>
      <c r="P552" t="s">
        <v>50</v>
      </c>
      <c r="Q552" t="s">
        <v>84</v>
      </c>
      <c r="R552" s="32" t="s">
        <v>7472</v>
      </c>
      <c r="S552" t="s">
        <v>7476</v>
      </c>
      <c r="T552" s="34" t="s">
        <v>7476</v>
      </c>
      <c r="U552" s="34" t="s">
        <v>7476</v>
      </c>
      <c r="V552" s="32">
        <v>45105.672731481478</v>
      </c>
      <c r="W552" s="32" t="s">
        <v>7476</v>
      </c>
      <c r="X552">
        <v>0</v>
      </c>
      <c r="Y552" s="34" t="s">
        <v>7476</v>
      </c>
      <c r="Z552" s="34" t="s">
        <v>7476</v>
      </c>
      <c r="AA552" s="34" t="s">
        <v>7476</v>
      </c>
      <c r="AB552" s="36" t="s">
        <v>95</v>
      </c>
      <c r="AD552" t="s">
        <v>1761</v>
      </c>
      <c r="AE552" t="s">
        <v>1762</v>
      </c>
      <c r="AF552" s="16">
        <v>45236</v>
      </c>
      <c r="AG552" t="s">
        <v>64</v>
      </c>
      <c r="AH552">
        <v>6</v>
      </c>
      <c r="AI552" s="8" t="str">
        <f>IFERROR(R552-AF552,"")</f>
        <v/>
      </c>
      <c r="AJ552" s="8">
        <f>IFERROR(O552-AF552,"")</f>
        <v>-133.32726851852203</v>
      </c>
      <c r="AK552" s="38">
        <f t="shared" si="178"/>
        <v>45285.672731481478</v>
      </c>
      <c r="AL552" t="str">
        <f>IFERROR(Z552-W552,"")</f>
        <v/>
      </c>
      <c r="AM552" t="str">
        <f>IFERROR(R552-J552,"")</f>
        <v/>
      </c>
      <c r="AN552">
        <f>IFERROR(V552-O552,"")</f>
        <v>3</v>
      </c>
      <c r="AO552">
        <f>IFERROR(J552-I552,"")</f>
        <v>3</v>
      </c>
      <c r="AP552">
        <f>IFERROR(AC552-X552,"")</f>
        <v>0</v>
      </c>
      <c r="AQ552" t="str">
        <f>IFERROR(AA552-W552,"")</f>
        <v/>
      </c>
    </row>
    <row r="553" spans="1:43" x14ac:dyDescent="0.35">
      <c r="A553">
        <v>1296</v>
      </c>
      <c r="B553" t="s">
        <v>1763</v>
      </c>
      <c r="C553" t="s">
        <v>213</v>
      </c>
      <c r="D553" t="str">
        <f t="shared" si="176"/>
        <v>Program Office</v>
      </c>
      <c r="E553" t="s">
        <v>1542</v>
      </c>
      <c r="F553" t="s">
        <v>1669</v>
      </c>
      <c r="G553" t="s">
        <v>1670</v>
      </c>
      <c r="H553" t="s">
        <v>59</v>
      </c>
      <c r="I553" s="32">
        <v>45091.672731481478</v>
      </c>
      <c r="J553" s="32">
        <v>45092.672731481478</v>
      </c>
      <c r="K553" s="32">
        <v>45096.672731481478</v>
      </c>
      <c r="L553" s="8">
        <f t="shared" si="177"/>
        <v>5</v>
      </c>
      <c r="M553" s="7">
        <v>45116.672731481478</v>
      </c>
      <c r="N553" t="s">
        <v>72</v>
      </c>
      <c r="O553" s="34" t="s">
        <v>7474</v>
      </c>
      <c r="R553" s="32" t="s">
        <v>7472</v>
      </c>
      <c r="S553" t="s">
        <v>7476</v>
      </c>
      <c r="T553" s="34" t="s">
        <v>7476</v>
      </c>
      <c r="U553" s="34" t="s">
        <v>7476</v>
      </c>
      <c r="V553" s="32" t="s">
        <v>7476</v>
      </c>
      <c r="W553" s="32" t="s">
        <v>7476</v>
      </c>
      <c r="X553">
        <v>0</v>
      </c>
      <c r="Y553" s="34" t="s">
        <v>7476</v>
      </c>
      <c r="Z553" s="34" t="s">
        <v>7476</v>
      </c>
      <c r="AA553" s="34" t="s">
        <v>7476</v>
      </c>
      <c r="AB553" s="36" t="s">
        <v>7476</v>
      </c>
      <c r="AD553" t="s">
        <v>1764</v>
      </c>
      <c r="AE553" t="s">
        <v>1765</v>
      </c>
      <c r="AG553" t="s">
        <v>68</v>
      </c>
      <c r="AH553">
        <v>6</v>
      </c>
      <c r="AI553" s="8" t="str">
        <f>IFERROR(R553-AF553,"")</f>
        <v/>
      </c>
      <c r="AJ553" s="8" t="str">
        <f>IFERROR(O553-AF553,"")</f>
        <v/>
      </c>
      <c r="AK553" s="38" t="str">
        <f t="shared" si="178"/>
        <v/>
      </c>
      <c r="AL553" t="str">
        <f>IFERROR(Z553-W553,"")</f>
        <v/>
      </c>
      <c r="AM553" t="str">
        <f>IFERROR(R553-J553,"")</f>
        <v/>
      </c>
      <c r="AN553" t="str">
        <f>IFERROR(V553-O553,"")</f>
        <v/>
      </c>
      <c r="AO553">
        <f>IFERROR(J553-I553,"")</f>
        <v>1</v>
      </c>
      <c r="AP553">
        <f>IFERROR(AC553-X553,"")</f>
        <v>0</v>
      </c>
      <c r="AQ553" t="str">
        <f>IFERROR(AA553-W553,"")</f>
        <v/>
      </c>
    </row>
    <row r="554" spans="1:43" x14ac:dyDescent="0.35">
      <c r="A554">
        <v>1292</v>
      </c>
      <c r="B554" t="s">
        <v>1766</v>
      </c>
      <c r="C554" t="s">
        <v>202</v>
      </c>
      <c r="D554" t="str">
        <f t="shared" si="176"/>
        <v>Program Office</v>
      </c>
      <c r="E554" t="s">
        <v>1542</v>
      </c>
      <c r="F554" t="s">
        <v>1669</v>
      </c>
      <c r="G554" t="s">
        <v>1670</v>
      </c>
      <c r="H554" t="s">
        <v>59</v>
      </c>
      <c r="I554" s="32">
        <v>45091.672731481478</v>
      </c>
      <c r="J554" s="32">
        <v>45094.672731481478</v>
      </c>
      <c r="K554" s="32">
        <v>45096.672731481478</v>
      </c>
      <c r="L554" s="8">
        <f t="shared" si="177"/>
        <v>5</v>
      </c>
      <c r="M554" s="7">
        <v>45122.672731481478</v>
      </c>
      <c r="N554" t="s">
        <v>49</v>
      </c>
      <c r="O554" s="34">
        <v>45105.672731481478</v>
      </c>
      <c r="P554" t="s">
        <v>392</v>
      </c>
      <c r="R554" s="32">
        <v>45112.672731481478</v>
      </c>
      <c r="S554" t="s">
        <v>392</v>
      </c>
      <c r="T554" s="34" t="s">
        <v>7476</v>
      </c>
      <c r="U554" s="34" t="s">
        <v>7476</v>
      </c>
      <c r="V554" s="32">
        <v>45109.672731481478</v>
      </c>
      <c r="W554" s="32" t="s">
        <v>7476</v>
      </c>
      <c r="X554">
        <v>0</v>
      </c>
      <c r="Y554" s="34" t="s">
        <v>7476</v>
      </c>
      <c r="Z554" s="34" t="s">
        <v>7476</v>
      </c>
      <c r="AA554" s="34" t="s">
        <v>7476</v>
      </c>
      <c r="AB554" s="36" t="s">
        <v>7476</v>
      </c>
      <c r="AD554" t="s">
        <v>1767</v>
      </c>
      <c r="AE554" t="s">
        <v>1768</v>
      </c>
      <c r="AF554" s="16">
        <v>45094</v>
      </c>
      <c r="AG554" t="s">
        <v>68</v>
      </c>
      <c r="AH554">
        <v>6</v>
      </c>
      <c r="AI554" s="8">
        <f>IFERROR(R554-AF554,"")</f>
        <v>18.672731481477967</v>
      </c>
      <c r="AJ554" s="8">
        <f>IFERROR(O554-AF554,"")</f>
        <v>11.672731481477967</v>
      </c>
      <c r="AK554" s="38">
        <f t="shared" si="178"/>
        <v>45289.672731481478</v>
      </c>
      <c r="AL554" t="str">
        <f>IFERROR(Z554-W554,"")</f>
        <v/>
      </c>
      <c r="AM554">
        <f>IFERROR(R554-J554,"")</f>
        <v>18</v>
      </c>
      <c r="AN554">
        <f>IFERROR(V554-O554,"")</f>
        <v>4</v>
      </c>
      <c r="AO554">
        <f>IFERROR(J554-I554,"")</f>
        <v>3</v>
      </c>
      <c r="AP554">
        <f>IFERROR(AC554-X554,"")</f>
        <v>0</v>
      </c>
      <c r="AQ554" t="str">
        <f>IFERROR(AA554-W554,"")</f>
        <v/>
      </c>
    </row>
    <row r="555" spans="1:43" x14ac:dyDescent="0.35">
      <c r="A555">
        <v>1159</v>
      </c>
      <c r="B555" t="s">
        <v>1769</v>
      </c>
      <c r="C555" t="s">
        <v>213</v>
      </c>
      <c r="D555" t="str">
        <f t="shared" si="176"/>
        <v>Program Office</v>
      </c>
      <c r="E555" t="s">
        <v>1542</v>
      </c>
      <c r="F555" t="s">
        <v>1669</v>
      </c>
      <c r="G555" t="s">
        <v>1670</v>
      </c>
      <c r="H555" t="s">
        <v>59</v>
      </c>
      <c r="I555" s="32">
        <v>44638.808749999997</v>
      </c>
      <c r="J555" s="32">
        <v>44639.808749999997</v>
      </c>
      <c r="K555" s="32">
        <v>44644.808749999997</v>
      </c>
      <c r="L555" s="8">
        <f t="shared" si="177"/>
        <v>6</v>
      </c>
      <c r="M555" s="7">
        <v>44649.808749999997</v>
      </c>
      <c r="N555" t="s">
        <v>49</v>
      </c>
      <c r="O555" s="34">
        <v>44648.808749999997</v>
      </c>
      <c r="P555" t="s">
        <v>50</v>
      </c>
      <c r="Q555" t="s">
        <v>51</v>
      </c>
      <c r="R555" s="32" t="s">
        <v>7472</v>
      </c>
      <c r="S555" t="s">
        <v>7476</v>
      </c>
      <c r="T555" s="34" t="s">
        <v>7476</v>
      </c>
      <c r="U555" s="34" t="s">
        <v>7476</v>
      </c>
      <c r="V555" s="32" t="s">
        <v>7476</v>
      </c>
      <c r="W555" s="32" t="s">
        <v>7476</v>
      </c>
      <c r="X555">
        <v>0</v>
      </c>
      <c r="Y555" s="34" t="s">
        <v>7476</v>
      </c>
      <c r="Z555" s="34" t="s">
        <v>7476</v>
      </c>
      <c r="AA555" s="34" t="s">
        <v>7476</v>
      </c>
      <c r="AB555" s="36" t="s">
        <v>52</v>
      </c>
      <c r="AD555" t="s">
        <v>1770</v>
      </c>
      <c r="AE555" t="s">
        <v>1771</v>
      </c>
      <c r="AF555" s="16">
        <v>44630</v>
      </c>
      <c r="AG555" t="s">
        <v>98</v>
      </c>
      <c r="AH555">
        <v>6</v>
      </c>
      <c r="AI555" s="8" t="str">
        <f>IFERROR(R555-AF555,"")</f>
        <v/>
      </c>
      <c r="AJ555" s="8">
        <f>IFERROR(O555-AF555,"")</f>
        <v>18.808749999996508</v>
      </c>
      <c r="AK555" s="38" t="str">
        <f t="shared" si="178"/>
        <v/>
      </c>
      <c r="AL555" t="str">
        <f>IFERROR(Z555-W555,"")</f>
        <v/>
      </c>
      <c r="AM555" t="str">
        <f>IFERROR(R555-J555,"")</f>
        <v/>
      </c>
      <c r="AN555" t="str">
        <f>IFERROR(V555-O555,"")</f>
        <v/>
      </c>
      <c r="AO555">
        <f>IFERROR(J555-I555,"")</f>
        <v>1</v>
      </c>
      <c r="AP555">
        <f>IFERROR(AC555-X555,"")</f>
        <v>0</v>
      </c>
      <c r="AQ555" t="str">
        <f>IFERROR(AA555-W555,"")</f>
        <v/>
      </c>
    </row>
    <row r="556" spans="1:43" x14ac:dyDescent="0.35">
      <c r="A556">
        <v>1158</v>
      </c>
      <c r="B556" t="s">
        <v>1772</v>
      </c>
      <c r="C556" t="s">
        <v>202</v>
      </c>
      <c r="D556" t="str">
        <f t="shared" si="176"/>
        <v>Program Office</v>
      </c>
      <c r="E556" t="s">
        <v>1542</v>
      </c>
      <c r="F556" t="s">
        <v>1669</v>
      </c>
      <c r="G556" t="s">
        <v>1670</v>
      </c>
      <c r="H556" t="s">
        <v>59</v>
      </c>
      <c r="I556" s="32">
        <v>44636.808749999997</v>
      </c>
      <c r="J556" s="32">
        <v>44639.808749999997</v>
      </c>
      <c r="K556" s="32">
        <v>44644.808749999997</v>
      </c>
      <c r="L556" s="8">
        <f t="shared" si="177"/>
        <v>8</v>
      </c>
      <c r="M556" s="7">
        <v>44663.808749999997</v>
      </c>
      <c r="N556" t="s">
        <v>49</v>
      </c>
      <c r="O556" s="34">
        <v>44650.808749999997</v>
      </c>
      <c r="P556" t="s">
        <v>101</v>
      </c>
      <c r="R556" s="32">
        <v>44654.808749999997</v>
      </c>
      <c r="S556" t="s">
        <v>101</v>
      </c>
      <c r="T556" s="34">
        <v>44651.808749999997</v>
      </c>
      <c r="U556" s="34">
        <v>44652.808749999997</v>
      </c>
      <c r="V556" s="32">
        <v>44653.808749999997</v>
      </c>
      <c r="W556" s="32">
        <v>44662.808749999997</v>
      </c>
      <c r="X556">
        <v>1</v>
      </c>
      <c r="Y556" s="34">
        <v>44666.808749999997</v>
      </c>
      <c r="Z556" s="34">
        <v>44668.808749999997</v>
      </c>
      <c r="AA556" s="34">
        <v>44671.808749999997</v>
      </c>
      <c r="AB556" s="36" t="s">
        <v>7476</v>
      </c>
      <c r="AC556" s="10">
        <v>44692.808749999997</v>
      </c>
      <c r="AD556" t="s">
        <v>1773</v>
      </c>
      <c r="AE556" t="s">
        <v>1774</v>
      </c>
      <c r="AF556" s="16">
        <v>44633</v>
      </c>
      <c r="AG556" t="s">
        <v>68</v>
      </c>
      <c r="AH556">
        <v>6</v>
      </c>
      <c r="AI556" s="8">
        <f>IFERROR(R556-AF556,"")</f>
        <v>21.808749999996508</v>
      </c>
      <c r="AJ556" s="8">
        <f>IFERROR(O556-AF556,"")</f>
        <v>17.808749999996508</v>
      </c>
      <c r="AK556" s="38">
        <f t="shared" si="178"/>
        <v>44833.808749999997</v>
      </c>
      <c r="AL556">
        <f>IFERROR(Z556-W556,"")</f>
        <v>6</v>
      </c>
      <c r="AM556">
        <f>IFERROR(R556-J556,"")</f>
        <v>15</v>
      </c>
      <c r="AN556">
        <f>IFERROR(V556-O556,"")</f>
        <v>3</v>
      </c>
      <c r="AO556">
        <f>IFERROR(J556-I556,"")</f>
        <v>3</v>
      </c>
      <c r="AP556">
        <f>IFERROR(AC556-X556,"")</f>
        <v>44691.808749999997</v>
      </c>
      <c r="AQ556">
        <f>IFERROR(AA556-W556,"")</f>
        <v>9</v>
      </c>
    </row>
    <row r="557" spans="1:43" x14ac:dyDescent="0.35">
      <c r="A557">
        <v>996</v>
      </c>
      <c r="B557" t="s">
        <v>1775</v>
      </c>
      <c r="C557" t="s">
        <v>213</v>
      </c>
      <c r="D557" t="str">
        <f t="shared" si="176"/>
        <v>Program Office</v>
      </c>
      <c r="E557" t="s">
        <v>1542</v>
      </c>
      <c r="F557" t="s">
        <v>1669</v>
      </c>
      <c r="G557" t="s">
        <v>1670</v>
      </c>
      <c r="H557" t="s">
        <v>59</v>
      </c>
      <c r="I557" s="32">
        <v>45015.858425925922</v>
      </c>
      <c r="J557" s="32">
        <v>45018.858425925922</v>
      </c>
      <c r="K557" s="32" t="s">
        <v>7473</v>
      </c>
      <c r="L557" s="8" t="str">
        <f t="shared" si="177"/>
        <v/>
      </c>
      <c r="M557" s="7">
        <v>45033.858425925922</v>
      </c>
      <c r="N557" t="s">
        <v>49</v>
      </c>
      <c r="O557" s="34">
        <v>45027.858425925922</v>
      </c>
      <c r="P557" t="s">
        <v>50</v>
      </c>
      <c r="Q557" t="s">
        <v>125</v>
      </c>
      <c r="R557" s="32" t="s">
        <v>7472</v>
      </c>
      <c r="S557" t="s">
        <v>7476</v>
      </c>
      <c r="T557" s="34" t="s">
        <v>7476</v>
      </c>
      <c r="U557" s="34" t="s">
        <v>7476</v>
      </c>
      <c r="V557" s="32" t="s">
        <v>7476</v>
      </c>
      <c r="W557" s="32" t="s">
        <v>7476</v>
      </c>
      <c r="X557">
        <v>0</v>
      </c>
      <c r="Y557" s="34" t="s">
        <v>7476</v>
      </c>
      <c r="Z557" s="34" t="s">
        <v>7476</v>
      </c>
      <c r="AA557" s="34" t="s">
        <v>7476</v>
      </c>
      <c r="AB557" s="36" t="s">
        <v>52</v>
      </c>
      <c r="AD557" t="s">
        <v>1776</v>
      </c>
      <c r="AE557" t="s">
        <v>1777</v>
      </c>
      <c r="AF557" s="16">
        <v>45014</v>
      </c>
      <c r="AG557" t="s">
        <v>75</v>
      </c>
      <c r="AH557">
        <v>6</v>
      </c>
      <c r="AK557" s="38" t="str">
        <f t="shared" si="178"/>
        <v/>
      </c>
    </row>
    <row r="558" spans="1:43" x14ac:dyDescent="0.35">
      <c r="A558">
        <v>955</v>
      </c>
      <c r="B558" t="s">
        <v>1778</v>
      </c>
      <c r="C558" t="s">
        <v>202</v>
      </c>
      <c r="D558" t="str">
        <f t="shared" si="176"/>
        <v>Program Office</v>
      </c>
      <c r="E558" t="s">
        <v>1542</v>
      </c>
      <c r="F558" t="s">
        <v>1669</v>
      </c>
      <c r="G558" t="s">
        <v>1670</v>
      </c>
      <c r="H558" t="s">
        <v>59</v>
      </c>
      <c r="I558" s="32">
        <v>45139.997118055559</v>
      </c>
      <c r="J558" s="32">
        <v>45143.997118055559</v>
      </c>
      <c r="K558" s="32">
        <v>45147.997118055559</v>
      </c>
      <c r="L558" s="8">
        <f t="shared" si="177"/>
        <v>8</v>
      </c>
      <c r="M558" s="7">
        <v>45166.997118055559</v>
      </c>
      <c r="N558" t="s">
        <v>49</v>
      </c>
      <c r="O558" s="34">
        <v>45159.997118055559</v>
      </c>
      <c r="P558" t="s">
        <v>101</v>
      </c>
      <c r="R558" s="32">
        <v>45165.997118055559</v>
      </c>
      <c r="S558" t="s">
        <v>101</v>
      </c>
      <c r="T558" s="34">
        <v>45161.997118055559</v>
      </c>
      <c r="U558" s="34">
        <v>45162.997118055559</v>
      </c>
      <c r="V558" s="32">
        <v>45162.997118055559</v>
      </c>
      <c r="W558" s="32">
        <v>45168.997118055559</v>
      </c>
      <c r="X558">
        <v>1</v>
      </c>
      <c r="Y558" s="34">
        <v>45171.997118055559</v>
      </c>
      <c r="Z558" s="34">
        <v>45173.997118055559</v>
      </c>
      <c r="AA558" s="34">
        <v>45176.997118055559</v>
      </c>
      <c r="AB558" s="36" t="s">
        <v>7476</v>
      </c>
      <c r="AC558" s="10">
        <v>45197.997118055559</v>
      </c>
      <c r="AD558" t="s">
        <v>1779</v>
      </c>
      <c r="AE558" t="s">
        <v>1780</v>
      </c>
      <c r="AF558" s="16">
        <v>45143</v>
      </c>
      <c r="AG558" t="s">
        <v>68</v>
      </c>
      <c r="AH558">
        <v>6</v>
      </c>
      <c r="AI558" s="8">
        <f>IFERROR(R558-AF558,"")</f>
        <v>22.997118055558531</v>
      </c>
      <c r="AJ558" s="8">
        <f>IFERROR(O558-AF558,"")</f>
        <v>16.997118055558531</v>
      </c>
      <c r="AK558" s="38">
        <f t="shared" si="178"/>
        <v>45342.997118055559</v>
      </c>
      <c r="AL558">
        <f>IFERROR(Z558-W558,"")</f>
        <v>5</v>
      </c>
      <c r="AM558">
        <f>IFERROR(R558-J558,"")</f>
        <v>22</v>
      </c>
      <c r="AN558">
        <f>IFERROR(V558-O558,"")</f>
        <v>3</v>
      </c>
      <c r="AO558">
        <f>IFERROR(J558-I558,"")</f>
        <v>4</v>
      </c>
      <c r="AP558">
        <f>IFERROR(AC558-X558,"")</f>
        <v>45196.997118055559</v>
      </c>
      <c r="AQ558">
        <f>IFERROR(AA558-W558,"")</f>
        <v>8</v>
      </c>
    </row>
    <row r="559" spans="1:43" x14ac:dyDescent="0.35">
      <c r="A559">
        <v>954</v>
      </c>
      <c r="B559" t="s">
        <v>1781</v>
      </c>
      <c r="C559" t="s">
        <v>202</v>
      </c>
      <c r="D559" t="str">
        <f t="shared" si="176"/>
        <v>Program Office</v>
      </c>
      <c r="E559" t="s">
        <v>1542</v>
      </c>
      <c r="F559" t="s">
        <v>1669</v>
      </c>
      <c r="G559" t="s">
        <v>1670</v>
      </c>
      <c r="H559" t="s">
        <v>59</v>
      </c>
      <c r="I559" s="32">
        <v>45141.997118055559</v>
      </c>
      <c r="J559" s="32">
        <v>45143.997118055559</v>
      </c>
      <c r="K559" s="32">
        <v>45147.997118055559</v>
      </c>
      <c r="L559" s="8">
        <f t="shared" si="177"/>
        <v>6</v>
      </c>
      <c r="M559" s="7">
        <v>45167.997118055559</v>
      </c>
      <c r="N559" t="s">
        <v>49</v>
      </c>
      <c r="O559" s="34">
        <v>45163.997118055559</v>
      </c>
      <c r="P559" t="s">
        <v>101</v>
      </c>
      <c r="R559" s="32">
        <v>45166.997118055559</v>
      </c>
      <c r="S559" t="s">
        <v>101</v>
      </c>
      <c r="T559" s="34">
        <v>45164.997118055559</v>
      </c>
      <c r="U559" s="34">
        <v>45166.997118055559</v>
      </c>
      <c r="V559" s="32">
        <v>45165.997118055559</v>
      </c>
      <c r="W559" s="32">
        <v>45172.997118055559</v>
      </c>
      <c r="X559">
        <v>1</v>
      </c>
      <c r="Y559" s="34">
        <v>45173.997118055559</v>
      </c>
      <c r="Z559" s="34">
        <v>45176.997118055559</v>
      </c>
      <c r="AA559" s="34">
        <v>45179.997118055559</v>
      </c>
      <c r="AB559" s="36" t="s">
        <v>7476</v>
      </c>
      <c r="AC559" s="10">
        <v>45188.997118055559</v>
      </c>
      <c r="AD559" t="s">
        <v>1782</v>
      </c>
      <c r="AE559" t="s">
        <v>1783</v>
      </c>
      <c r="AF559" s="16">
        <v>45156</v>
      </c>
      <c r="AG559" t="s">
        <v>98</v>
      </c>
      <c r="AH559">
        <v>3</v>
      </c>
      <c r="AI559" s="8">
        <f>IFERROR(R559-AF559,"")</f>
        <v>10.997118055558531</v>
      </c>
      <c r="AJ559" s="8">
        <f>IFERROR(O559-AF559,"")</f>
        <v>7.9971180555585306</v>
      </c>
      <c r="AK559" s="38">
        <f t="shared" si="178"/>
        <v>45255.997118055559</v>
      </c>
      <c r="AL559">
        <f>IFERROR(Z559-W559,"")</f>
        <v>4</v>
      </c>
      <c r="AM559">
        <f>IFERROR(R559-J559,"")</f>
        <v>23</v>
      </c>
      <c r="AN559">
        <f>IFERROR(V559-O559,"")</f>
        <v>2</v>
      </c>
      <c r="AO559">
        <f>IFERROR(J559-I559,"")</f>
        <v>2</v>
      </c>
      <c r="AP559">
        <f>IFERROR(AC559-X559,"")</f>
        <v>45187.997118055559</v>
      </c>
      <c r="AQ559">
        <f>IFERROR(AA559-W559,"")</f>
        <v>7</v>
      </c>
    </row>
    <row r="560" spans="1:43" x14ac:dyDescent="0.35">
      <c r="A560">
        <v>952</v>
      </c>
      <c r="B560" t="s">
        <v>1784</v>
      </c>
      <c r="C560" t="s">
        <v>217</v>
      </c>
      <c r="D560" t="str">
        <f t="shared" si="176"/>
        <v>Program Office</v>
      </c>
      <c r="E560" t="s">
        <v>1542</v>
      </c>
      <c r="F560" t="s">
        <v>1669</v>
      </c>
      <c r="G560" t="s">
        <v>1670</v>
      </c>
      <c r="H560" t="s">
        <v>59</v>
      </c>
      <c r="I560" s="32">
        <v>45142.997118055559</v>
      </c>
      <c r="J560" s="32">
        <v>45143.997118055559</v>
      </c>
      <c r="K560" s="32">
        <v>45147.997118055559</v>
      </c>
      <c r="L560" s="8">
        <f t="shared" si="177"/>
        <v>5</v>
      </c>
      <c r="M560" s="7">
        <v>45160.997118055559</v>
      </c>
      <c r="N560" t="s">
        <v>49</v>
      </c>
      <c r="O560" s="34">
        <v>45155.997118055559</v>
      </c>
      <c r="P560" t="s">
        <v>101</v>
      </c>
      <c r="R560" s="32">
        <v>45157.997118055559</v>
      </c>
      <c r="S560" t="s">
        <v>101</v>
      </c>
      <c r="T560" s="34">
        <v>45157.997118055559</v>
      </c>
      <c r="U560" s="34">
        <v>45160.997118055559</v>
      </c>
      <c r="V560" s="32">
        <v>45156.997118055559</v>
      </c>
      <c r="W560" s="32">
        <v>45158.997118055559</v>
      </c>
      <c r="X560">
        <v>1</v>
      </c>
      <c r="Y560" s="34">
        <v>45162.997118055559</v>
      </c>
      <c r="Z560" s="34">
        <v>45165.997118055559</v>
      </c>
      <c r="AA560" s="34">
        <v>45167.997118055559</v>
      </c>
      <c r="AB560" s="36" t="s">
        <v>7476</v>
      </c>
      <c r="AC560" s="10">
        <v>45181.997118055559</v>
      </c>
      <c r="AD560" t="s">
        <v>1785</v>
      </c>
      <c r="AE560" t="s">
        <v>1786</v>
      </c>
      <c r="AF560" s="16">
        <v>45054</v>
      </c>
      <c r="AG560" t="s">
        <v>64</v>
      </c>
      <c r="AH560">
        <v>3</v>
      </c>
      <c r="AI560" s="8">
        <f>IFERROR(R560-AF560,"")</f>
        <v>103.99711805555853</v>
      </c>
      <c r="AJ560" s="8">
        <f>IFERROR(O560-AF560,"")</f>
        <v>101.99711805555853</v>
      </c>
      <c r="AK560" s="38">
        <f t="shared" si="178"/>
        <v>45246.997118055559</v>
      </c>
      <c r="AL560">
        <f>IFERROR(Z560-W560,"")</f>
        <v>7</v>
      </c>
      <c r="AM560">
        <f>IFERROR(R560-J560,"")</f>
        <v>14</v>
      </c>
      <c r="AN560">
        <f>IFERROR(V560-O560,"")</f>
        <v>1</v>
      </c>
      <c r="AO560">
        <f>IFERROR(J560-I560,"")</f>
        <v>1</v>
      </c>
      <c r="AP560">
        <f>IFERROR(AC560-X560,"")</f>
        <v>45180.997118055559</v>
      </c>
      <c r="AQ560">
        <f>IFERROR(AA560-W560,"")</f>
        <v>9</v>
      </c>
    </row>
    <row r="561" spans="1:43" x14ac:dyDescent="0.35">
      <c r="A561">
        <v>951</v>
      </c>
      <c r="B561" t="s">
        <v>1787</v>
      </c>
      <c r="C561" t="s">
        <v>202</v>
      </c>
      <c r="D561" t="str">
        <f t="shared" si="176"/>
        <v>Program Office</v>
      </c>
      <c r="E561" t="s">
        <v>1542</v>
      </c>
      <c r="F561" t="s">
        <v>1669</v>
      </c>
      <c r="G561" t="s">
        <v>1670</v>
      </c>
      <c r="H561" t="s">
        <v>59</v>
      </c>
      <c r="I561" s="32" t="s">
        <v>7471</v>
      </c>
      <c r="J561" s="32" t="s">
        <v>7471</v>
      </c>
      <c r="K561" s="32">
        <v>45147.997118055559</v>
      </c>
      <c r="L561" s="8" t="str">
        <f t="shared" si="177"/>
        <v/>
      </c>
      <c r="M561" s="7">
        <v>45154.997118055559</v>
      </c>
      <c r="N561" t="s">
        <v>49</v>
      </c>
      <c r="O561" s="34">
        <v>45161.997118055559</v>
      </c>
      <c r="P561" t="s">
        <v>50</v>
      </c>
      <c r="Q561" t="s">
        <v>198</v>
      </c>
      <c r="R561" s="32" t="s">
        <v>7472</v>
      </c>
      <c r="S561" t="s">
        <v>7476</v>
      </c>
      <c r="T561" s="34" t="s">
        <v>7476</v>
      </c>
      <c r="U561" s="34" t="s">
        <v>7476</v>
      </c>
      <c r="V561" s="32">
        <v>45165.997118055559</v>
      </c>
      <c r="W561" s="32" t="s">
        <v>7476</v>
      </c>
      <c r="X561">
        <v>0</v>
      </c>
      <c r="Y561" s="34" t="s">
        <v>7476</v>
      </c>
      <c r="Z561" s="34" t="s">
        <v>7476</v>
      </c>
      <c r="AA561" s="34" t="s">
        <v>7476</v>
      </c>
      <c r="AB561" s="36" t="s">
        <v>95</v>
      </c>
      <c r="AD561" t="s">
        <v>1788</v>
      </c>
      <c r="AE561" t="s">
        <v>1789</v>
      </c>
      <c r="AF561" s="16">
        <v>45150</v>
      </c>
      <c r="AG561" t="s">
        <v>93</v>
      </c>
      <c r="AH561">
        <v>3</v>
      </c>
      <c r="AK561" s="38">
        <f t="shared" si="178"/>
        <v>45255.997118055559</v>
      </c>
    </row>
    <row r="562" spans="1:43" x14ac:dyDescent="0.35">
      <c r="A562">
        <v>943</v>
      </c>
      <c r="B562" t="s">
        <v>1790</v>
      </c>
      <c r="C562" t="s">
        <v>217</v>
      </c>
      <c r="D562" t="str">
        <f t="shared" si="176"/>
        <v>Program Office</v>
      </c>
      <c r="E562" t="s">
        <v>1542</v>
      </c>
      <c r="F562" t="s">
        <v>1669</v>
      </c>
      <c r="G562" t="s">
        <v>1670</v>
      </c>
      <c r="H562" t="s">
        <v>59</v>
      </c>
      <c r="I562" s="32">
        <v>44859.043067129627</v>
      </c>
      <c r="J562" s="32" t="s">
        <v>7471</v>
      </c>
      <c r="K562" s="32">
        <v>44868.043067129627</v>
      </c>
      <c r="L562" s="8">
        <f t="shared" si="177"/>
        <v>9</v>
      </c>
      <c r="M562" s="7">
        <v>44898.043067129627</v>
      </c>
      <c r="N562" t="s">
        <v>49</v>
      </c>
      <c r="O562" s="34">
        <v>44875.043067129627</v>
      </c>
      <c r="P562" t="s">
        <v>50</v>
      </c>
      <c r="Q562" t="s">
        <v>125</v>
      </c>
      <c r="R562" s="32" t="s">
        <v>7472</v>
      </c>
      <c r="S562" t="s">
        <v>7476</v>
      </c>
      <c r="T562" s="34" t="s">
        <v>7476</v>
      </c>
      <c r="U562" s="34" t="s">
        <v>7476</v>
      </c>
      <c r="V562" s="32" t="s">
        <v>7476</v>
      </c>
      <c r="W562" s="32" t="s">
        <v>7476</v>
      </c>
      <c r="X562">
        <v>0</v>
      </c>
      <c r="Y562" s="34" t="s">
        <v>7476</v>
      </c>
      <c r="Z562" s="34" t="s">
        <v>7476</v>
      </c>
      <c r="AA562" s="34" t="s">
        <v>7476</v>
      </c>
      <c r="AB562" s="36" t="s">
        <v>52</v>
      </c>
      <c r="AD562" t="s">
        <v>1791</v>
      </c>
      <c r="AE562" t="s">
        <v>1792</v>
      </c>
      <c r="AF562" s="16">
        <v>44858</v>
      </c>
      <c r="AG562" t="s">
        <v>75</v>
      </c>
      <c r="AH562">
        <v>6</v>
      </c>
      <c r="AK562" s="38" t="str">
        <f t="shared" si="178"/>
        <v/>
      </c>
    </row>
    <row r="563" spans="1:43" x14ac:dyDescent="0.35">
      <c r="A563">
        <v>918</v>
      </c>
      <c r="B563" t="s">
        <v>1793</v>
      </c>
      <c r="C563" t="s">
        <v>217</v>
      </c>
      <c r="D563" t="str">
        <f t="shared" si="176"/>
        <v>Program Office</v>
      </c>
      <c r="E563" t="s">
        <v>1542</v>
      </c>
      <c r="F563" t="s">
        <v>1669</v>
      </c>
      <c r="G563" t="s">
        <v>1670</v>
      </c>
      <c r="H563" t="s">
        <v>59</v>
      </c>
      <c r="I563" s="32">
        <v>44670.256099537037</v>
      </c>
      <c r="J563" s="32">
        <v>44674.256099537037</v>
      </c>
      <c r="K563" s="32">
        <v>44676.256099537037</v>
      </c>
      <c r="L563" s="8">
        <f t="shared" si="177"/>
        <v>6</v>
      </c>
      <c r="M563" s="7">
        <v>44685.256099537037</v>
      </c>
      <c r="N563" t="s">
        <v>49</v>
      </c>
      <c r="O563" s="34">
        <v>44679.256099537037</v>
      </c>
      <c r="P563" t="s">
        <v>60</v>
      </c>
      <c r="R563" s="32">
        <v>44684.256099537037</v>
      </c>
      <c r="S563" t="s">
        <v>61</v>
      </c>
      <c r="T563" s="34" t="s">
        <v>7476</v>
      </c>
      <c r="U563" s="34" t="s">
        <v>7476</v>
      </c>
      <c r="V563" s="32">
        <v>44681.256099537037</v>
      </c>
      <c r="W563" s="32" t="s">
        <v>7476</v>
      </c>
      <c r="X563">
        <v>0</v>
      </c>
      <c r="Y563" s="34" t="s">
        <v>7476</v>
      </c>
      <c r="Z563" s="34" t="s">
        <v>7476</v>
      </c>
      <c r="AA563" s="34" t="s">
        <v>7476</v>
      </c>
      <c r="AB563" s="36" t="s">
        <v>7476</v>
      </c>
      <c r="AD563" t="s">
        <v>1794</v>
      </c>
      <c r="AE563" t="s">
        <v>1795</v>
      </c>
      <c r="AF563" s="16">
        <v>44671</v>
      </c>
      <c r="AG563" t="s">
        <v>68</v>
      </c>
      <c r="AH563">
        <v>3</v>
      </c>
      <c r="AI563" s="8">
        <f>IFERROR(R563-AF563,"")</f>
        <v>13.256099537036789</v>
      </c>
      <c r="AJ563" s="8">
        <f>IFERROR(O563-AF563,"")</f>
        <v>8.2560995370367891</v>
      </c>
      <c r="AK563" s="38">
        <f t="shared" si="178"/>
        <v>44771.256099537037</v>
      </c>
      <c r="AL563" t="str">
        <f>IFERROR(Z563-W563,"")</f>
        <v/>
      </c>
      <c r="AM563">
        <f>IFERROR(R563-J563,"")</f>
        <v>10</v>
      </c>
      <c r="AN563">
        <f>IFERROR(V563-O563,"")</f>
        <v>2</v>
      </c>
      <c r="AO563">
        <f>IFERROR(J563-I563,"")</f>
        <v>4</v>
      </c>
      <c r="AP563">
        <f>IFERROR(AC563-X563,"")</f>
        <v>0</v>
      </c>
      <c r="AQ563" t="str">
        <f>IFERROR(AA563-W563,"")</f>
        <v/>
      </c>
    </row>
    <row r="564" spans="1:43" x14ac:dyDescent="0.35">
      <c r="A564">
        <v>917</v>
      </c>
      <c r="B564" t="s">
        <v>1796</v>
      </c>
      <c r="C564" t="s">
        <v>213</v>
      </c>
      <c r="D564" t="str">
        <f t="shared" si="176"/>
        <v>Program Office</v>
      </c>
      <c r="E564" t="s">
        <v>1542</v>
      </c>
      <c r="F564" t="s">
        <v>1669</v>
      </c>
      <c r="G564" t="s">
        <v>1670</v>
      </c>
      <c r="H564" t="s">
        <v>59</v>
      </c>
      <c r="I564" s="32">
        <v>44668.256099537037</v>
      </c>
      <c r="J564" s="32">
        <v>44671.256099537037</v>
      </c>
      <c r="K564" s="32">
        <v>44676.256099537037</v>
      </c>
      <c r="L564" s="8">
        <f t="shared" si="177"/>
        <v>8</v>
      </c>
      <c r="M564" s="7">
        <v>44692.256099537037</v>
      </c>
      <c r="N564" t="s">
        <v>72</v>
      </c>
      <c r="O564" s="34" t="s">
        <v>7474</v>
      </c>
      <c r="R564" s="32" t="s">
        <v>7472</v>
      </c>
      <c r="S564" t="s">
        <v>7476</v>
      </c>
      <c r="T564" s="34" t="s">
        <v>7476</v>
      </c>
      <c r="U564" s="34" t="s">
        <v>7476</v>
      </c>
      <c r="V564" s="32" t="s">
        <v>7476</v>
      </c>
      <c r="W564" s="32" t="s">
        <v>7476</v>
      </c>
      <c r="X564">
        <v>0</v>
      </c>
      <c r="Y564" s="34" t="s">
        <v>7476</v>
      </c>
      <c r="Z564" s="34" t="s">
        <v>7476</v>
      </c>
      <c r="AA564" s="34" t="s">
        <v>7476</v>
      </c>
      <c r="AB564" s="36" t="s">
        <v>7476</v>
      </c>
      <c r="AD564" t="s">
        <v>1797</v>
      </c>
      <c r="AE564" t="s">
        <v>1798</v>
      </c>
      <c r="AG564" t="s">
        <v>98</v>
      </c>
      <c r="AH564">
        <v>6</v>
      </c>
      <c r="AI564" s="8" t="str">
        <f>IFERROR(R564-AF564,"")</f>
        <v/>
      </c>
      <c r="AJ564" s="8" t="str">
        <f>IFERROR(O564-AF564,"")</f>
        <v/>
      </c>
      <c r="AK564" s="38" t="str">
        <f t="shared" si="178"/>
        <v/>
      </c>
      <c r="AL564" t="str">
        <f>IFERROR(Z564-W564,"")</f>
        <v/>
      </c>
      <c r="AM564" t="str">
        <f>IFERROR(R564-J564,"")</f>
        <v/>
      </c>
      <c r="AN564" t="str">
        <f>IFERROR(V564-O564,"")</f>
        <v/>
      </c>
      <c r="AO564">
        <f>IFERROR(J564-I564,"")</f>
        <v>3</v>
      </c>
      <c r="AP564">
        <f>IFERROR(AC564-X564,"")</f>
        <v>0</v>
      </c>
      <c r="AQ564" t="str">
        <f>IFERROR(AA564-W564,"")</f>
        <v/>
      </c>
    </row>
    <row r="565" spans="1:43" x14ac:dyDescent="0.35">
      <c r="A565">
        <v>909</v>
      </c>
      <c r="B565" t="s">
        <v>1799</v>
      </c>
      <c r="C565" t="s">
        <v>213</v>
      </c>
      <c r="D565" t="str">
        <f t="shared" si="176"/>
        <v>Program Office</v>
      </c>
      <c r="E565" t="s">
        <v>1542</v>
      </c>
      <c r="F565" t="s">
        <v>1669</v>
      </c>
      <c r="G565" t="s">
        <v>1670</v>
      </c>
      <c r="H565" t="s">
        <v>59</v>
      </c>
      <c r="I565" s="32">
        <v>45158.249560185177</v>
      </c>
      <c r="J565" s="32" t="s">
        <v>7471</v>
      </c>
      <c r="K565" s="32">
        <v>45166.249560185177</v>
      </c>
      <c r="L565" s="8">
        <f t="shared" si="177"/>
        <v>8</v>
      </c>
      <c r="M565" s="7">
        <v>45173.249560185177</v>
      </c>
      <c r="N565" t="s">
        <v>49</v>
      </c>
      <c r="O565" s="34">
        <v>45180.249560185177</v>
      </c>
      <c r="P565" t="s">
        <v>101</v>
      </c>
      <c r="R565" s="32">
        <v>45184.249560185177</v>
      </c>
      <c r="S565" t="s">
        <v>101</v>
      </c>
      <c r="T565" s="34">
        <v>45182.249560185177</v>
      </c>
      <c r="U565" s="34">
        <v>45186.249560185177</v>
      </c>
      <c r="V565" s="32">
        <v>45183.249560185177</v>
      </c>
      <c r="W565" s="32">
        <v>45193.249560185177</v>
      </c>
      <c r="X565">
        <v>1</v>
      </c>
      <c r="Y565" s="34">
        <v>45195.249560185177</v>
      </c>
      <c r="Z565" s="34">
        <v>45197.249560185177</v>
      </c>
      <c r="AA565" s="34">
        <v>45199.249560185177</v>
      </c>
      <c r="AB565" s="36" t="s">
        <v>7476</v>
      </c>
      <c r="AC565" s="10">
        <v>45211.249560185177</v>
      </c>
      <c r="AD565" t="s">
        <v>1800</v>
      </c>
      <c r="AE565" t="s">
        <v>1801</v>
      </c>
      <c r="AF565" s="16">
        <v>45166</v>
      </c>
      <c r="AG565" t="s">
        <v>68</v>
      </c>
      <c r="AH565">
        <v>6</v>
      </c>
      <c r="AK565" s="38">
        <f t="shared" si="178"/>
        <v>45363.249560185177</v>
      </c>
    </row>
    <row r="566" spans="1:43" x14ac:dyDescent="0.35">
      <c r="A566">
        <v>902</v>
      </c>
      <c r="B566" t="s">
        <v>1802</v>
      </c>
      <c r="C566" t="s">
        <v>213</v>
      </c>
      <c r="D566" t="str">
        <f t="shared" si="176"/>
        <v>Program Office</v>
      </c>
      <c r="E566" t="s">
        <v>1542</v>
      </c>
      <c r="F566" t="s">
        <v>1669</v>
      </c>
      <c r="G566" t="s">
        <v>1670</v>
      </c>
      <c r="H566" t="s">
        <v>59</v>
      </c>
      <c r="I566" s="32">
        <v>45164.249560185177</v>
      </c>
      <c r="J566" s="32">
        <v>45165.249560185177</v>
      </c>
      <c r="K566" s="32">
        <v>45166.249560185177</v>
      </c>
      <c r="L566" s="8">
        <f t="shared" si="177"/>
        <v>2</v>
      </c>
      <c r="M566" s="7">
        <v>45185.249560185177</v>
      </c>
      <c r="N566" t="s">
        <v>49</v>
      </c>
      <c r="O566" s="34">
        <v>45174.249560185177</v>
      </c>
      <c r="P566" t="s">
        <v>50</v>
      </c>
      <c r="Q566" t="s">
        <v>236</v>
      </c>
      <c r="R566" s="32" t="s">
        <v>7472</v>
      </c>
      <c r="S566" t="s">
        <v>7476</v>
      </c>
      <c r="T566" s="34" t="s">
        <v>7476</v>
      </c>
      <c r="U566" s="34" t="s">
        <v>7476</v>
      </c>
      <c r="V566" s="32" t="s">
        <v>7476</v>
      </c>
      <c r="W566" s="32" t="s">
        <v>7476</v>
      </c>
      <c r="X566">
        <v>0</v>
      </c>
      <c r="Y566" s="34" t="s">
        <v>7476</v>
      </c>
      <c r="Z566" s="34" t="s">
        <v>7476</v>
      </c>
      <c r="AA566" s="34" t="s">
        <v>7476</v>
      </c>
      <c r="AB566" s="36" t="s">
        <v>52</v>
      </c>
      <c r="AD566" t="s">
        <v>1803</v>
      </c>
      <c r="AE566" t="s">
        <v>1804</v>
      </c>
      <c r="AF566" s="16">
        <v>45162</v>
      </c>
      <c r="AG566" t="s">
        <v>98</v>
      </c>
      <c r="AH566">
        <v>3</v>
      </c>
      <c r="AI566" s="8" t="str">
        <f>IFERROR(R566-AF566,"")</f>
        <v/>
      </c>
      <c r="AJ566" s="8">
        <f>IFERROR(O566-AF566,"")</f>
        <v>12.249560185176961</v>
      </c>
      <c r="AK566" s="38" t="str">
        <f t="shared" si="178"/>
        <v/>
      </c>
      <c r="AL566" t="str">
        <f>IFERROR(Z566-W566,"")</f>
        <v/>
      </c>
      <c r="AM566" t="str">
        <f>IFERROR(R566-J566,"")</f>
        <v/>
      </c>
      <c r="AN566" t="str">
        <f>IFERROR(V566-O566,"")</f>
        <v/>
      </c>
      <c r="AO566">
        <f>IFERROR(J566-I566,"")</f>
        <v>1</v>
      </c>
      <c r="AP566">
        <f>IFERROR(AC566-X566,"")</f>
        <v>0</v>
      </c>
      <c r="AQ566" t="str">
        <f>IFERROR(AA566-W566,"")</f>
        <v/>
      </c>
    </row>
    <row r="567" spans="1:43" x14ac:dyDescent="0.35">
      <c r="A567">
        <v>839</v>
      </c>
      <c r="B567" t="s">
        <v>1805</v>
      </c>
      <c r="C567" t="s">
        <v>213</v>
      </c>
      <c r="D567" t="str">
        <f t="shared" si="176"/>
        <v>Program Office</v>
      </c>
      <c r="E567" t="s">
        <v>1542</v>
      </c>
      <c r="F567" t="s">
        <v>1669</v>
      </c>
      <c r="G567" t="s">
        <v>1670</v>
      </c>
      <c r="H567" t="s">
        <v>59</v>
      </c>
      <c r="I567" s="32">
        <v>44756.707071759258</v>
      </c>
      <c r="J567" s="32">
        <v>44759.707071759258</v>
      </c>
      <c r="K567" s="32">
        <v>44760.707071759258</v>
      </c>
      <c r="L567" s="8">
        <f t="shared" si="177"/>
        <v>4</v>
      </c>
      <c r="M567" s="7">
        <v>44773.707071759258</v>
      </c>
      <c r="N567" t="s">
        <v>49</v>
      </c>
      <c r="O567" s="34">
        <v>44762.707071759258</v>
      </c>
      <c r="P567" t="s">
        <v>101</v>
      </c>
      <c r="R567" s="32">
        <v>44767.707071759258</v>
      </c>
      <c r="S567" t="s">
        <v>101</v>
      </c>
      <c r="T567" s="34">
        <v>44763.707071759258</v>
      </c>
      <c r="U567" s="34">
        <v>44765.707071759258</v>
      </c>
      <c r="V567" s="32">
        <v>44764.707071759258</v>
      </c>
      <c r="W567" s="32">
        <v>44765.707071759258</v>
      </c>
      <c r="X567">
        <v>1</v>
      </c>
      <c r="Y567" s="34">
        <v>44767.707071759258</v>
      </c>
      <c r="Z567" s="34">
        <v>44770.707071759258</v>
      </c>
      <c r="AA567" s="34">
        <v>44772.707071759258</v>
      </c>
      <c r="AB567" s="36" t="s">
        <v>7476</v>
      </c>
      <c r="AC567" s="10">
        <v>44791.707071759258</v>
      </c>
      <c r="AD567" t="s">
        <v>1806</v>
      </c>
      <c r="AE567" t="s">
        <v>1807</v>
      </c>
      <c r="AF567" s="16">
        <v>44748</v>
      </c>
      <c r="AG567" t="s">
        <v>68</v>
      </c>
      <c r="AH567">
        <v>3</v>
      </c>
      <c r="AI567" s="8">
        <f>IFERROR(R567-AF567,"")</f>
        <v>19.707071759257815</v>
      </c>
      <c r="AJ567" s="8">
        <f>IFERROR(O567-AF567,"")</f>
        <v>14.707071759257815</v>
      </c>
      <c r="AK567" s="38">
        <f t="shared" si="178"/>
        <v>44854.707071759258</v>
      </c>
      <c r="AL567">
        <f>IFERROR(Z567-W567,"")</f>
        <v>5</v>
      </c>
      <c r="AM567">
        <f>IFERROR(R567-J567,"")</f>
        <v>8</v>
      </c>
      <c r="AN567">
        <f>IFERROR(V567-O567,"")</f>
        <v>2</v>
      </c>
      <c r="AO567">
        <f>IFERROR(J567-I567,"")</f>
        <v>3</v>
      </c>
      <c r="AP567">
        <f>IFERROR(AC567-X567,"")</f>
        <v>44790.707071759258</v>
      </c>
      <c r="AQ567">
        <f>IFERROR(AA567-W567,"")</f>
        <v>7</v>
      </c>
    </row>
    <row r="568" spans="1:43" x14ac:dyDescent="0.35">
      <c r="A568">
        <v>832</v>
      </c>
      <c r="B568" t="s">
        <v>1808</v>
      </c>
      <c r="C568" t="s">
        <v>213</v>
      </c>
      <c r="D568" t="str">
        <f t="shared" si="176"/>
        <v>Program Office</v>
      </c>
      <c r="E568" t="s">
        <v>1542</v>
      </c>
      <c r="F568" t="s">
        <v>1669</v>
      </c>
      <c r="G568" t="s">
        <v>1670</v>
      </c>
      <c r="H568" t="s">
        <v>59</v>
      </c>
      <c r="I568" s="32">
        <v>44756.707071759258</v>
      </c>
      <c r="J568" s="32">
        <v>44758.707071759258</v>
      </c>
      <c r="K568" s="32">
        <v>44760.707071759258</v>
      </c>
      <c r="L568" s="8">
        <f t="shared" si="177"/>
        <v>4</v>
      </c>
      <c r="M568" s="7">
        <v>44768.707071759258</v>
      </c>
      <c r="N568" t="s">
        <v>49</v>
      </c>
      <c r="O568" s="34">
        <v>44767.707071759258</v>
      </c>
      <c r="P568" t="s">
        <v>60</v>
      </c>
      <c r="R568" s="32">
        <v>44775.707071759258</v>
      </c>
      <c r="S568" t="s">
        <v>61</v>
      </c>
      <c r="T568" s="34" t="s">
        <v>7476</v>
      </c>
      <c r="U568" s="34" t="s">
        <v>7476</v>
      </c>
      <c r="V568" s="32">
        <v>44771.707071759258</v>
      </c>
      <c r="W568" s="32" t="s">
        <v>7476</v>
      </c>
      <c r="X568">
        <v>0</v>
      </c>
      <c r="Y568" s="34" t="s">
        <v>7476</v>
      </c>
      <c r="Z568" s="34" t="s">
        <v>7476</v>
      </c>
      <c r="AA568" s="34" t="s">
        <v>7476</v>
      </c>
      <c r="AB568" s="36" t="s">
        <v>7476</v>
      </c>
      <c r="AD568" t="s">
        <v>1809</v>
      </c>
      <c r="AE568" t="s">
        <v>1810</v>
      </c>
      <c r="AF568" s="16">
        <v>44752</v>
      </c>
      <c r="AG568" t="s">
        <v>64</v>
      </c>
      <c r="AH568">
        <v>3</v>
      </c>
      <c r="AI568" s="8">
        <f>IFERROR(R568-AF568,"")</f>
        <v>23.707071759257815</v>
      </c>
      <c r="AJ568" s="8">
        <f>IFERROR(O568-AF568,"")</f>
        <v>15.707071759257815</v>
      </c>
      <c r="AK568" s="38">
        <f t="shared" si="178"/>
        <v>44861.707071759258</v>
      </c>
      <c r="AL568" t="str">
        <f>IFERROR(Z568-W568,"")</f>
        <v/>
      </c>
      <c r="AM568">
        <f>IFERROR(R568-J568,"")</f>
        <v>17</v>
      </c>
      <c r="AN568">
        <f>IFERROR(V568-O568,"")</f>
        <v>4</v>
      </c>
      <c r="AO568">
        <f>IFERROR(J568-I568,"")</f>
        <v>2</v>
      </c>
      <c r="AP568">
        <f>IFERROR(AC568-X568,"")</f>
        <v>0</v>
      </c>
      <c r="AQ568" t="str">
        <f>IFERROR(AA568-W568,"")</f>
        <v/>
      </c>
    </row>
    <row r="569" spans="1:43" x14ac:dyDescent="0.35">
      <c r="A569">
        <v>831</v>
      </c>
      <c r="B569" t="s">
        <v>1811</v>
      </c>
      <c r="C569" t="s">
        <v>213</v>
      </c>
      <c r="D569" t="str">
        <f t="shared" si="176"/>
        <v>Program Office</v>
      </c>
      <c r="E569" t="s">
        <v>1542</v>
      </c>
      <c r="F569" t="s">
        <v>1669</v>
      </c>
      <c r="G569" t="s">
        <v>1670</v>
      </c>
      <c r="H569" t="s">
        <v>59</v>
      </c>
      <c r="I569" s="32">
        <v>44751.707071759258</v>
      </c>
      <c r="J569" s="32">
        <v>44754.707071759258</v>
      </c>
      <c r="K569" s="32" t="s">
        <v>7473</v>
      </c>
      <c r="L569" s="8" t="str">
        <f t="shared" si="177"/>
        <v/>
      </c>
      <c r="M569" s="7">
        <v>44769.707071759258</v>
      </c>
      <c r="N569" t="s">
        <v>72</v>
      </c>
      <c r="O569" s="34" t="s">
        <v>7474</v>
      </c>
      <c r="R569" s="32" t="s">
        <v>7472</v>
      </c>
      <c r="S569" t="s">
        <v>7476</v>
      </c>
      <c r="T569" s="34" t="s">
        <v>7476</v>
      </c>
      <c r="U569" s="34" t="s">
        <v>7476</v>
      </c>
      <c r="V569" s="32" t="s">
        <v>7476</v>
      </c>
      <c r="W569" s="32" t="s">
        <v>7476</v>
      </c>
      <c r="X569">
        <v>0</v>
      </c>
      <c r="Y569" s="34" t="s">
        <v>7476</v>
      </c>
      <c r="Z569" s="34" t="s">
        <v>7476</v>
      </c>
      <c r="AA569" s="34" t="s">
        <v>7476</v>
      </c>
      <c r="AB569" s="36" t="s">
        <v>7476</v>
      </c>
      <c r="AD569" t="s">
        <v>1812</v>
      </c>
      <c r="AE569" t="s">
        <v>1813</v>
      </c>
      <c r="AG569" t="s">
        <v>75</v>
      </c>
      <c r="AH569">
        <v>6</v>
      </c>
      <c r="AK569" s="38" t="str">
        <f t="shared" si="178"/>
        <v/>
      </c>
    </row>
    <row r="570" spans="1:43" x14ac:dyDescent="0.35">
      <c r="A570">
        <v>823</v>
      </c>
      <c r="B570" t="s">
        <v>1814</v>
      </c>
      <c r="C570" t="s">
        <v>217</v>
      </c>
      <c r="D570" t="str">
        <f t="shared" si="176"/>
        <v>Program Office</v>
      </c>
      <c r="E570" t="s">
        <v>1542</v>
      </c>
      <c r="F570" t="s">
        <v>1669</v>
      </c>
      <c r="G570" t="s">
        <v>1670</v>
      </c>
      <c r="H570" t="s">
        <v>59</v>
      </c>
      <c r="I570" s="32">
        <v>44626.625335648147</v>
      </c>
      <c r="J570" s="32">
        <v>44627.625335648147</v>
      </c>
      <c r="K570" s="32" t="s">
        <v>7473</v>
      </c>
      <c r="L570" s="8" t="str">
        <f t="shared" si="177"/>
        <v/>
      </c>
      <c r="M570" s="7">
        <v>44637.625335648147</v>
      </c>
      <c r="N570" t="s">
        <v>49</v>
      </c>
      <c r="O570" s="34">
        <v>44649.625335648147</v>
      </c>
      <c r="P570" t="s">
        <v>101</v>
      </c>
      <c r="R570" s="32">
        <v>44653.625335648147</v>
      </c>
      <c r="S570" t="s">
        <v>101</v>
      </c>
      <c r="T570" s="34">
        <v>44650.625335648147</v>
      </c>
      <c r="U570" s="34">
        <v>44654.625335648147</v>
      </c>
      <c r="V570" s="32">
        <v>44651.625335648147</v>
      </c>
      <c r="W570" s="32">
        <v>44655.625335648147</v>
      </c>
      <c r="X570">
        <v>1</v>
      </c>
      <c r="Y570" s="34">
        <v>44658.625335648147</v>
      </c>
      <c r="Z570" s="34">
        <v>44660.625335648147</v>
      </c>
      <c r="AA570" s="34">
        <v>44663.625335648147</v>
      </c>
      <c r="AB570" s="36" t="s">
        <v>7476</v>
      </c>
      <c r="AC570" s="10">
        <v>44680.625335648147</v>
      </c>
      <c r="AD570" t="s">
        <v>1815</v>
      </c>
      <c r="AE570" t="s">
        <v>1816</v>
      </c>
      <c r="AF570" s="16">
        <v>44640</v>
      </c>
      <c r="AG570" t="s">
        <v>68</v>
      </c>
      <c r="AH570">
        <v>6</v>
      </c>
      <c r="AK570" s="38">
        <f t="shared" si="178"/>
        <v>44831.625335648147</v>
      </c>
    </row>
    <row r="571" spans="1:43" x14ac:dyDescent="0.35">
      <c r="A571">
        <v>770</v>
      </c>
      <c r="B571" t="s">
        <v>1817</v>
      </c>
      <c r="C571" t="s">
        <v>217</v>
      </c>
      <c r="D571" t="str">
        <f t="shared" si="176"/>
        <v>Program Office</v>
      </c>
      <c r="E571" t="s">
        <v>1542</v>
      </c>
      <c r="F571" t="s">
        <v>1669</v>
      </c>
      <c r="G571" t="s">
        <v>1670</v>
      </c>
      <c r="H571" t="s">
        <v>59</v>
      </c>
      <c r="I571" s="32">
        <v>44724.736145833333</v>
      </c>
      <c r="J571" s="32" t="s">
        <v>7471</v>
      </c>
      <c r="K571" s="32">
        <v>44733.736145833333</v>
      </c>
      <c r="L571" s="8">
        <f t="shared" si="177"/>
        <v>9</v>
      </c>
      <c r="M571" s="7">
        <v>44759.736145833333</v>
      </c>
      <c r="N571" t="s">
        <v>49</v>
      </c>
      <c r="O571" s="34">
        <v>44746.736145833333</v>
      </c>
      <c r="P571" t="s">
        <v>50</v>
      </c>
      <c r="Q571" t="s">
        <v>236</v>
      </c>
      <c r="R571" s="32" t="s">
        <v>7472</v>
      </c>
      <c r="S571" t="s">
        <v>7476</v>
      </c>
      <c r="T571" s="34" t="s">
        <v>7476</v>
      </c>
      <c r="U571" s="34" t="s">
        <v>7476</v>
      </c>
      <c r="V571" s="32" t="s">
        <v>7476</v>
      </c>
      <c r="W571" s="32" t="s">
        <v>7476</v>
      </c>
      <c r="X571">
        <v>0</v>
      </c>
      <c r="Y571" s="34" t="s">
        <v>7476</v>
      </c>
      <c r="Z571" s="34" t="s">
        <v>7476</v>
      </c>
      <c r="AA571" s="34" t="s">
        <v>7476</v>
      </c>
      <c r="AB571" s="36" t="s">
        <v>95</v>
      </c>
      <c r="AD571" t="s">
        <v>1818</v>
      </c>
      <c r="AE571" t="s">
        <v>1819</v>
      </c>
      <c r="AF571" s="16">
        <v>44731</v>
      </c>
      <c r="AG571" t="s">
        <v>98</v>
      </c>
      <c r="AH571">
        <v>3</v>
      </c>
      <c r="AK571" s="38" t="str">
        <f t="shared" si="178"/>
        <v/>
      </c>
    </row>
    <row r="572" spans="1:43" x14ac:dyDescent="0.35">
      <c r="A572">
        <v>717</v>
      </c>
      <c r="B572" t="s">
        <v>1820</v>
      </c>
      <c r="C572" t="s">
        <v>213</v>
      </c>
      <c r="D572" t="str">
        <f t="shared" si="176"/>
        <v>Program Office</v>
      </c>
      <c r="E572" t="s">
        <v>1542</v>
      </c>
      <c r="F572" t="s">
        <v>1669</v>
      </c>
      <c r="G572" t="s">
        <v>1670</v>
      </c>
      <c r="H572" t="s">
        <v>59</v>
      </c>
      <c r="I572" s="32" t="s">
        <v>7471</v>
      </c>
      <c r="J572" s="32">
        <v>44630.686331018522</v>
      </c>
      <c r="K572" s="32">
        <v>44634.686331018522</v>
      </c>
      <c r="L572" s="8" t="str">
        <f t="shared" si="177"/>
        <v/>
      </c>
      <c r="M572" s="7">
        <v>44655.686331018522</v>
      </c>
      <c r="N572" t="s">
        <v>49</v>
      </c>
      <c r="O572" s="34">
        <v>44640.686331018522</v>
      </c>
      <c r="P572" t="s">
        <v>101</v>
      </c>
      <c r="R572" s="32">
        <v>44644.686331018522</v>
      </c>
      <c r="S572" t="s">
        <v>101</v>
      </c>
      <c r="T572" s="34">
        <v>44642.686331018522</v>
      </c>
      <c r="U572" s="34">
        <v>44646.686331018522</v>
      </c>
      <c r="V572" s="32">
        <v>44641.686331018522</v>
      </c>
      <c r="W572" s="32">
        <v>44649.686331018522</v>
      </c>
      <c r="X572">
        <v>1</v>
      </c>
      <c r="Y572" s="34">
        <v>44651.686331018522</v>
      </c>
      <c r="Z572" s="34">
        <v>44654.686331018522</v>
      </c>
      <c r="AA572" s="34">
        <v>44656.686331018522</v>
      </c>
      <c r="AB572" s="36" t="s">
        <v>7476</v>
      </c>
      <c r="AC572" s="10">
        <v>44675.686331018522</v>
      </c>
      <c r="AD572" t="s">
        <v>1821</v>
      </c>
      <c r="AE572" t="s">
        <v>1822</v>
      </c>
      <c r="AF572" s="16">
        <v>44630</v>
      </c>
      <c r="AG572" t="s">
        <v>55</v>
      </c>
      <c r="AH572">
        <v>3</v>
      </c>
      <c r="AK572" s="38">
        <f t="shared" si="178"/>
        <v>44731.686331018522</v>
      </c>
    </row>
    <row r="573" spans="1:43" x14ac:dyDescent="0.35">
      <c r="A573">
        <v>714</v>
      </c>
      <c r="B573" t="s">
        <v>1823</v>
      </c>
      <c r="C573" t="s">
        <v>217</v>
      </c>
      <c r="D573" t="str">
        <f t="shared" si="176"/>
        <v>Program Office</v>
      </c>
      <c r="E573" t="s">
        <v>1542</v>
      </c>
      <c r="F573" t="s">
        <v>1669</v>
      </c>
      <c r="G573" t="s">
        <v>1670</v>
      </c>
      <c r="H573" t="s">
        <v>59</v>
      </c>
      <c r="I573" s="32">
        <v>44630.686331018522</v>
      </c>
      <c r="J573" s="32">
        <v>44631.686331018522</v>
      </c>
      <c r="K573" s="32">
        <v>44634.686331018522</v>
      </c>
      <c r="L573" s="8">
        <f t="shared" si="177"/>
        <v>4</v>
      </c>
      <c r="M573" s="7">
        <v>44640.686331018522</v>
      </c>
      <c r="N573" t="s">
        <v>49</v>
      </c>
      <c r="O573" s="34">
        <v>44648.686331018522</v>
      </c>
      <c r="P573" t="s">
        <v>50</v>
      </c>
      <c r="Q573" t="s">
        <v>198</v>
      </c>
      <c r="R573" s="32" t="s">
        <v>7472</v>
      </c>
      <c r="S573" t="s">
        <v>7476</v>
      </c>
      <c r="T573" s="34" t="s">
        <v>7476</v>
      </c>
      <c r="U573" s="34" t="s">
        <v>7476</v>
      </c>
      <c r="V573" s="32" t="s">
        <v>7476</v>
      </c>
      <c r="W573" s="32" t="s">
        <v>7476</v>
      </c>
      <c r="X573">
        <v>0</v>
      </c>
      <c r="Y573" s="34" t="s">
        <v>7476</v>
      </c>
      <c r="Z573" s="34" t="s">
        <v>7476</v>
      </c>
      <c r="AA573" s="34" t="s">
        <v>7476</v>
      </c>
      <c r="AB573" s="36" t="s">
        <v>95</v>
      </c>
      <c r="AD573" t="s">
        <v>1824</v>
      </c>
      <c r="AE573" t="s">
        <v>1825</v>
      </c>
      <c r="AF573" s="16">
        <v>44643</v>
      </c>
      <c r="AG573" t="s">
        <v>68</v>
      </c>
      <c r="AH573">
        <v>3</v>
      </c>
      <c r="AI573" s="8" t="str">
        <f t="shared" ref="AI573:AI581" si="187">IFERROR(R573-AF573,"")</f>
        <v/>
      </c>
      <c r="AJ573" s="8">
        <f t="shared" ref="AJ573:AJ581" si="188">IFERROR(O573-AF573,"")</f>
        <v>5.6863310185217415</v>
      </c>
      <c r="AK573" s="38" t="str">
        <f t="shared" si="178"/>
        <v/>
      </c>
      <c r="AL573" t="str">
        <f t="shared" ref="AL573:AL581" si="189">IFERROR(Z573-W573,"")</f>
        <v/>
      </c>
      <c r="AM573" t="str">
        <f t="shared" ref="AM573:AM581" si="190">IFERROR(R573-J573,"")</f>
        <v/>
      </c>
      <c r="AN573" t="str">
        <f t="shared" ref="AN573:AN581" si="191">IFERROR(V573-O573,"")</f>
        <v/>
      </c>
      <c r="AO573">
        <f t="shared" ref="AO573:AO581" si="192">IFERROR(J573-I573,"")</f>
        <v>1</v>
      </c>
      <c r="AP573">
        <f t="shared" ref="AP573:AP581" si="193">IFERROR(AC573-X573,"")</f>
        <v>0</v>
      </c>
      <c r="AQ573" t="str">
        <f t="shared" ref="AQ573:AQ581" si="194">IFERROR(AA573-W573,"")</f>
        <v/>
      </c>
    </row>
    <row r="574" spans="1:43" x14ac:dyDescent="0.35">
      <c r="A574">
        <v>673</v>
      </c>
      <c r="B574" t="s">
        <v>1826</v>
      </c>
      <c r="C574" t="s">
        <v>217</v>
      </c>
      <c r="D574" t="str">
        <f t="shared" si="176"/>
        <v>Program Office</v>
      </c>
      <c r="E574" t="s">
        <v>1542</v>
      </c>
      <c r="F574" t="s">
        <v>1669</v>
      </c>
      <c r="G574" t="s">
        <v>1670</v>
      </c>
      <c r="H574" t="s">
        <v>59</v>
      </c>
      <c r="I574" s="32">
        <v>45141.885671296302</v>
      </c>
      <c r="J574" s="32">
        <v>45142.885671296302</v>
      </c>
      <c r="K574" s="32">
        <v>45147.885671296302</v>
      </c>
      <c r="L574" s="8">
        <f t="shared" si="177"/>
        <v>6</v>
      </c>
      <c r="M574" s="7">
        <v>45157.885671296302</v>
      </c>
      <c r="N574" t="s">
        <v>72</v>
      </c>
      <c r="O574" s="34" t="s">
        <v>7474</v>
      </c>
      <c r="R574" s="32" t="s">
        <v>7472</v>
      </c>
      <c r="S574" t="s">
        <v>7476</v>
      </c>
      <c r="T574" s="34" t="s">
        <v>7476</v>
      </c>
      <c r="U574" s="34" t="s">
        <v>7476</v>
      </c>
      <c r="V574" s="32" t="s">
        <v>7476</v>
      </c>
      <c r="W574" s="32" t="s">
        <v>7476</v>
      </c>
      <c r="X574">
        <v>0</v>
      </c>
      <c r="Y574" s="34" t="s">
        <v>7476</v>
      </c>
      <c r="Z574" s="34" t="s">
        <v>7476</v>
      </c>
      <c r="AA574" s="34" t="s">
        <v>7476</v>
      </c>
      <c r="AB574" s="36" t="s">
        <v>7476</v>
      </c>
      <c r="AD574" t="s">
        <v>1827</v>
      </c>
      <c r="AE574" t="s">
        <v>1828</v>
      </c>
      <c r="AG574" t="s">
        <v>98</v>
      </c>
      <c r="AH574">
        <v>3</v>
      </c>
      <c r="AI574" s="8" t="str">
        <f t="shared" si="187"/>
        <v/>
      </c>
      <c r="AJ574" s="8" t="str">
        <f t="shared" si="188"/>
        <v/>
      </c>
      <c r="AK574" s="38" t="str">
        <f t="shared" si="178"/>
        <v/>
      </c>
      <c r="AL574" t="str">
        <f t="shared" si="189"/>
        <v/>
      </c>
      <c r="AM574" t="str">
        <f t="shared" si="190"/>
        <v/>
      </c>
      <c r="AN574" t="str">
        <f t="shared" si="191"/>
        <v/>
      </c>
      <c r="AO574">
        <f t="shared" si="192"/>
        <v>1</v>
      </c>
      <c r="AP574">
        <f t="shared" si="193"/>
        <v>0</v>
      </c>
      <c r="AQ574" t="str">
        <f t="shared" si="194"/>
        <v/>
      </c>
    </row>
    <row r="575" spans="1:43" x14ac:dyDescent="0.35">
      <c r="A575">
        <v>672</v>
      </c>
      <c r="B575" t="s">
        <v>1829</v>
      </c>
      <c r="C575" t="s">
        <v>217</v>
      </c>
      <c r="D575" t="str">
        <f t="shared" si="176"/>
        <v>Program Office</v>
      </c>
      <c r="E575" t="s">
        <v>1542</v>
      </c>
      <c r="F575" t="s">
        <v>1669</v>
      </c>
      <c r="G575" t="s">
        <v>1670</v>
      </c>
      <c r="H575" t="s">
        <v>59</v>
      </c>
      <c r="I575" s="32">
        <v>45139.885671296302</v>
      </c>
      <c r="J575" s="32">
        <v>45142.885671296302</v>
      </c>
      <c r="K575" s="32">
        <v>45147.885671296302</v>
      </c>
      <c r="L575" s="8">
        <f t="shared" si="177"/>
        <v>8</v>
      </c>
      <c r="M575" s="7">
        <v>45173.885671296302</v>
      </c>
      <c r="N575" t="s">
        <v>49</v>
      </c>
      <c r="O575" s="34">
        <v>45156.885671296302</v>
      </c>
      <c r="P575" t="s">
        <v>50</v>
      </c>
      <c r="Q575" t="s">
        <v>51</v>
      </c>
      <c r="R575" s="32" t="s">
        <v>7472</v>
      </c>
      <c r="S575" t="s">
        <v>7476</v>
      </c>
      <c r="T575" s="34" t="s">
        <v>7476</v>
      </c>
      <c r="U575" s="34" t="s">
        <v>7476</v>
      </c>
      <c r="V575" s="32">
        <v>45157.885671296302</v>
      </c>
      <c r="W575" s="32" t="s">
        <v>7476</v>
      </c>
      <c r="X575">
        <v>0</v>
      </c>
      <c r="Y575" s="34" t="s">
        <v>7476</v>
      </c>
      <c r="Z575" s="34" t="s">
        <v>7476</v>
      </c>
      <c r="AA575" s="34" t="s">
        <v>7476</v>
      </c>
      <c r="AB575" s="36" t="s">
        <v>95</v>
      </c>
      <c r="AD575" t="s">
        <v>1830</v>
      </c>
      <c r="AE575" t="s">
        <v>1831</v>
      </c>
      <c r="AF575" s="16">
        <v>45147</v>
      </c>
      <c r="AG575" t="s">
        <v>68</v>
      </c>
      <c r="AH575">
        <v>3</v>
      </c>
      <c r="AI575" s="8" t="str">
        <f t="shared" si="187"/>
        <v/>
      </c>
      <c r="AJ575" s="8">
        <f t="shared" si="188"/>
        <v>9.885671296302462</v>
      </c>
      <c r="AK575" s="38">
        <f t="shared" si="178"/>
        <v>45247.885671296302</v>
      </c>
      <c r="AL575" t="str">
        <f t="shared" si="189"/>
        <v/>
      </c>
      <c r="AM575" t="str">
        <f t="shared" si="190"/>
        <v/>
      </c>
      <c r="AN575">
        <f t="shared" si="191"/>
        <v>1</v>
      </c>
      <c r="AO575">
        <f t="shared" si="192"/>
        <v>3</v>
      </c>
      <c r="AP575">
        <f t="shared" si="193"/>
        <v>0</v>
      </c>
      <c r="AQ575" t="str">
        <f t="shared" si="194"/>
        <v/>
      </c>
    </row>
    <row r="576" spans="1:43" x14ac:dyDescent="0.35">
      <c r="A576">
        <v>660</v>
      </c>
      <c r="B576" t="s">
        <v>1832</v>
      </c>
      <c r="C576" t="s">
        <v>217</v>
      </c>
      <c r="D576" t="str">
        <f t="shared" si="176"/>
        <v>Program Office</v>
      </c>
      <c r="E576" t="s">
        <v>1542</v>
      </c>
      <c r="F576" t="s">
        <v>1669</v>
      </c>
      <c r="G576" t="s">
        <v>1670</v>
      </c>
      <c r="H576" t="s">
        <v>59</v>
      </c>
      <c r="I576" s="32">
        <v>44917.016504629632</v>
      </c>
      <c r="J576" s="32">
        <v>44919.016504629632</v>
      </c>
      <c r="K576" s="32">
        <v>44922.016504629632</v>
      </c>
      <c r="L576" s="8">
        <f t="shared" si="177"/>
        <v>5</v>
      </c>
      <c r="M576" s="7">
        <v>44927.016504629632</v>
      </c>
      <c r="N576" t="s">
        <v>49</v>
      </c>
      <c r="O576" s="34">
        <v>44927.016504629632</v>
      </c>
      <c r="P576" t="s">
        <v>50</v>
      </c>
      <c r="Q576" t="s">
        <v>51</v>
      </c>
      <c r="R576" s="32" t="s">
        <v>7472</v>
      </c>
      <c r="S576" t="s">
        <v>7476</v>
      </c>
      <c r="T576" s="34" t="s">
        <v>7476</v>
      </c>
      <c r="U576" s="34" t="s">
        <v>7476</v>
      </c>
      <c r="V576" s="32" t="s">
        <v>7476</v>
      </c>
      <c r="W576" s="32" t="s">
        <v>7476</v>
      </c>
      <c r="X576">
        <v>0</v>
      </c>
      <c r="Y576" s="34" t="s">
        <v>7476</v>
      </c>
      <c r="Z576" s="34" t="s">
        <v>7476</v>
      </c>
      <c r="AA576" s="34" t="s">
        <v>7476</v>
      </c>
      <c r="AB576" s="36" t="s">
        <v>52</v>
      </c>
      <c r="AD576" t="s">
        <v>1833</v>
      </c>
      <c r="AE576" t="s">
        <v>1834</v>
      </c>
      <c r="AF576" s="16">
        <v>44911</v>
      </c>
      <c r="AG576" t="s">
        <v>68</v>
      </c>
      <c r="AH576">
        <v>6</v>
      </c>
      <c r="AI576" s="8" t="str">
        <f t="shared" si="187"/>
        <v/>
      </c>
      <c r="AJ576" s="8">
        <f t="shared" si="188"/>
        <v>16.016504629631527</v>
      </c>
      <c r="AK576" s="38" t="str">
        <f t="shared" si="178"/>
        <v/>
      </c>
      <c r="AL576" t="str">
        <f t="shared" si="189"/>
        <v/>
      </c>
      <c r="AM576" t="str">
        <f t="shared" si="190"/>
        <v/>
      </c>
      <c r="AN576" t="str">
        <f t="shared" si="191"/>
        <v/>
      </c>
      <c r="AO576">
        <f t="shared" si="192"/>
        <v>2</v>
      </c>
      <c r="AP576">
        <f t="shared" si="193"/>
        <v>0</v>
      </c>
      <c r="AQ576" t="str">
        <f t="shared" si="194"/>
        <v/>
      </c>
    </row>
    <row r="577" spans="1:43" x14ac:dyDescent="0.35">
      <c r="A577">
        <v>656</v>
      </c>
      <c r="B577" t="s">
        <v>1835</v>
      </c>
      <c r="C577" t="s">
        <v>213</v>
      </c>
      <c r="D577" t="str">
        <f t="shared" si="176"/>
        <v>Program Office</v>
      </c>
      <c r="E577" t="s">
        <v>1542</v>
      </c>
      <c r="F577" t="s">
        <v>1669</v>
      </c>
      <c r="G577" t="s">
        <v>1670</v>
      </c>
      <c r="H577" t="s">
        <v>59</v>
      </c>
      <c r="I577" s="32">
        <v>44916.016504629632</v>
      </c>
      <c r="J577" s="32">
        <v>44918.016504629632</v>
      </c>
      <c r="K577" s="32">
        <v>44922.016504629632</v>
      </c>
      <c r="L577" s="8">
        <f t="shared" si="177"/>
        <v>6</v>
      </c>
      <c r="M577" s="7">
        <v>44934.016504629632</v>
      </c>
      <c r="N577" t="s">
        <v>72</v>
      </c>
      <c r="O577" s="34" t="s">
        <v>7474</v>
      </c>
      <c r="R577" s="32" t="s">
        <v>7472</v>
      </c>
      <c r="S577" t="s">
        <v>7476</v>
      </c>
      <c r="T577" s="34" t="s">
        <v>7476</v>
      </c>
      <c r="U577" s="34" t="s">
        <v>7476</v>
      </c>
      <c r="V577" s="32" t="s">
        <v>7476</v>
      </c>
      <c r="W577" s="32" t="s">
        <v>7476</v>
      </c>
      <c r="X577">
        <v>0</v>
      </c>
      <c r="Y577" s="34" t="s">
        <v>7476</v>
      </c>
      <c r="Z577" s="34" t="s">
        <v>7476</v>
      </c>
      <c r="AA577" s="34" t="s">
        <v>7476</v>
      </c>
      <c r="AB577" s="36" t="s">
        <v>7476</v>
      </c>
      <c r="AD577" t="s">
        <v>1836</v>
      </c>
      <c r="AE577" t="s">
        <v>1837</v>
      </c>
      <c r="AG577" t="s">
        <v>68</v>
      </c>
      <c r="AH577">
        <v>3</v>
      </c>
      <c r="AI577" s="8" t="str">
        <f t="shared" si="187"/>
        <v/>
      </c>
      <c r="AJ577" s="8" t="str">
        <f t="shared" si="188"/>
        <v/>
      </c>
      <c r="AK577" s="38" t="str">
        <f t="shared" si="178"/>
        <v/>
      </c>
      <c r="AL577" t="str">
        <f t="shared" si="189"/>
        <v/>
      </c>
      <c r="AM577" t="str">
        <f t="shared" si="190"/>
        <v/>
      </c>
      <c r="AN577" t="str">
        <f t="shared" si="191"/>
        <v/>
      </c>
      <c r="AO577">
        <f t="shared" si="192"/>
        <v>2</v>
      </c>
      <c r="AP577">
        <f t="shared" si="193"/>
        <v>0</v>
      </c>
      <c r="AQ577" t="str">
        <f t="shared" si="194"/>
        <v/>
      </c>
    </row>
    <row r="578" spans="1:43" x14ac:dyDescent="0.35">
      <c r="A578">
        <v>637</v>
      </c>
      <c r="B578" t="s">
        <v>1838</v>
      </c>
      <c r="C578" t="s">
        <v>213</v>
      </c>
      <c r="D578" t="str">
        <f t="shared" ref="D578:D641" si="195">TRIM(C578)</f>
        <v>Program Office</v>
      </c>
      <c r="E578" t="s">
        <v>1542</v>
      </c>
      <c r="F578" t="s">
        <v>1669</v>
      </c>
      <c r="G578" t="s">
        <v>1670</v>
      </c>
      <c r="H578" t="s">
        <v>59</v>
      </c>
      <c r="I578" s="32">
        <v>44828.302743055552</v>
      </c>
      <c r="J578" s="32">
        <v>44832.302743055552</v>
      </c>
      <c r="K578" s="32">
        <v>44833.302743055552</v>
      </c>
      <c r="L578" s="8">
        <f t="shared" ref="L578:L641" si="196">IFERROR(K578-I578,"")</f>
        <v>5</v>
      </c>
      <c r="M578" s="7">
        <v>44841.302743055552</v>
      </c>
      <c r="N578" t="s">
        <v>49</v>
      </c>
      <c r="O578" s="34">
        <v>44848.302743055552</v>
      </c>
      <c r="P578" t="s">
        <v>101</v>
      </c>
      <c r="R578" s="32">
        <v>44852.302743055552</v>
      </c>
      <c r="S578" t="s">
        <v>101</v>
      </c>
      <c r="T578" s="34">
        <v>44849.302743055552</v>
      </c>
      <c r="U578" s="34">
        <v>44851.302743055552</v>
      </c>
      <c r="V578" s="32">
        <v>44849.302743055552</v>
      </c>
      <c r="W578" s="32">
        <v>44851.302743055552</v>
      </c>
      <c r="X578">
        <v>1</v>
      </c>
      <c r="Y578" s="34">
        <v>44853.302743055552</v>
      </c>
      <c r="Z578" s="34">
        <v>44855.302743055552</v>
      </c>
      <c r="AA578" s="34">
        <v>44856.302743055552</v>
      </c>
      <c r="AB578" s="36" t="s">
        <v>7476</v>
      </c>
      <c r="AC578" s="10">
        <v>44874.302743055552</v>
      </c>
      <c r="AD578" t="s">
        <v>1839</v>
      </c>
      <c r="AE578" t="s">
        <v>1840</v>
      </c>
      <c r="AF578" s="16">
        <v>44831</v>
      </c>
      <c r="AG578" t="s">
        <v>68</v>
      </c>
      <c r="AH578">
        <v>3</v>
      </c>
      <c r="AI578" s="8">
        <f t="shared" si="187"/>
        <v>21.302743055552128</v>
      </c>
      <c r="AJ578" s="8">
        <f t="shared" si="188"/>
        <v>17.302743055552128</v>
      </c>
      <c r="AK578" s="38">
        <f t="shared" si="178"/>
        <v>44939.302743055552</v>
      </c>
      <c r="AL578">
        <f t="shared" si="189"/>
        <v>4</v>
      </c>
      <c r="AM578">
        <f t="shared" si="190"/>
        <v>20</v>
      </c>
      <c r="AN578">
        <f t="shared" si="191"/>
        <v>1</v>
      </c>
      <c r="AO578">
        <f t="shared" si="192"/>
        <v>4</v>
      </c>
      <c r="AP578">
        <f t="shared" si="193"/>
        <v>44873.302743055552</v>
      </c>
      <c r="AQ578">
        <f t="shared" si="194"/>
        <v>5</v>
      </c>
    </row>
    <row r="579" spans="1:43" x14ac:dyDescent="0.35">
      <c r="A579">
        <v>612</v>
      </c>
      <c r="B579" t="s">
        <v>1841</v>
      </c>
      <c r="C579" t="s">
        <v>213</v>
      </c>
      <c r="D579" t="str">
        <f t="shared" si="195"/>
        <v>Program Office</v>
      </c>
      <c r="E579" t="s">
        <v>1542</v>
      </c>
      <c r="F579" t="s">
        <v>1669</v>
      </c>
      <c r="G579" t="s">
        <v>1670</v>
      </c>
      <c r="H579" t="s">
        <v>59</v>
      </c>
      <c r="I579" s="32">
        <v>45155.885648148149</v>
      </c>
      <c r="J579" s="32">
        <v>45156.885648148149</v>
      </c>
      <c r="K579" s="32">
        <v>45161.885648148149</v>
      </c>
      <c r="L579" s="8">
        <f t="shared" si="196"/>
        <v>6</v>
      </c>
      <c r="M579" s="7">
        <v>45175.885648148149</v>
      </c>
      <c r="N579" t="s">
        <v>49</v>
      </c>
      <c r="O579" s="34">
        <v>45174.885648148149</v>
      </c>
      <c r="P579" t="s">
        <v>50</v>
      </c>
      <c r="Q579" t="s">
        <v>51</v>
      </c>
      <c r="R579" s="32" t="s">
        <v>7472</v>
      </c>
      <c r="S579" t="s">
        <v>7476</v>
      </c>
      <c r="T579" s="34" t="s">
        <v>7476</v>
      </c>
      <c r="U579" s="34" t="s">
        <v>7476</v>
      </c>
      <c r="V579" s="32">
        <v>45177.885648148149</v>
      </c>
      <c r="W579" s="32" t="s">
        <v>7476</v>
      </c>
      <c r="X579">
        <v>0</v>
      </c>
      <c r="Y579" s="34" t="s">
        <v>7476</v>
      </c>
      <c r="Z579" s="34" t="s">
        <v>7476</v>
      </c>
      <c r="AA579" s="34" t="s">
        <v>7476</v>
      </c>
      <c r="AB579" s="36" t="s">
        <v>52</v>
      </c>
      <c r="AD579" t="s">
        <v>1842</v>
      </c>
      <c r="AE579" t="s">
        <v>1843</v>
      </c>
      <c r="AF579" s="16">
        <v>45163</v>
      </c>
      <c r="AG579" t="s">
        <v>64</v>
      </c>
      <c r="AH579">
        <v>6</v>
      </c>
      <c r="AI579" s="8" t="str">
        <f t="shared" si="187"/>
        <v/>
      </c>
      <c r="AJ579" s="8">
        <f t="shared" si="188"/>
        <v>11.885648148148903</v>
      </c>
      <c r="AK579" s="38">
        <f t="shared" ref="AK579:AK642" si="197">IFERROR(V579+(AH579*30),"")</f>
        <v>45357.885648148149</v>
      </c>
      <c r="AL579" t="str">
        <f t="shared" si="189"/>
        <v/>
      </c>
      <c r="AM579" t="str">
        <f t="shared" si="190"/>
        <v/>
      </c>
      <c r="AN579">
        <f t="shared" si="191"/>
        <v>3</v>
      </c>
      <c r="AO579">
        <f t="shared" si="192"/>
        <v>1</v>
      </c>
      <c r="AP579">
        <f t="shared" si="193"/>
        <v>0</v>
      </c>
      <c r="AQ579" t="str">
        <f t="shared" si="194"/>
        <v/>
      </c>
    </row>
    <row r="580" spans="1:43" x14ac:dyDescent="0.35">
      <c r="A580">
        <v>571</v>
      </c>
      <c r="B580" t="s">
        <v>1844</v>
      </c>
      <c r="C580" t="s">
        <v>202</v>
      </c>
      <c r="D580" t="str">
        <f t="shared" si="195"/>
        <v>Program Office</v>
      </c>
      <c r="E580" t="s">
        <v>1542</v>
      </c>
      <c r="F580" t="s">
        <v>1669</v>
      </c>
      <c r="G580" t="s">
        <v>1670</v>
      </c>
      <c r="H580" t="s">
        <v>59</v>
      </c>
      <c r="I580" s="32">
        <v>44912.089930555558</v>
      </c>
      <c r="J580" s="32">
        <v>44914.089930555558</v>
      </c>
      <c r="K580" s="32">
        <v>44915.089930555558</v>
      </c>
      <c r="L580" s="8">
        <f t="shared" si="196"/>
        <v>3</v>
      </c>
      <c r="M580" s="7">
        <v>44936.089930555558</v>
      </c>
      <c r="N580" t="s">
        <v>49</v>
      </c>
      <c r="O580" s="34">
        <v>44931.089930555558</v>
      </c>
      <c r="P580" t="s">
        <v>60</v>
      </c>
      <c r="R580" s="32">
        <v>44939.089930555558</v>
      </c>
      <c r="S580" t="s">
        <v>61</v>
      </c>
      <c r="T580" s="34" t="s">
        <v>7476</v>
      </c>
      <c r="U580" s="34" t="s">
        <v>7476</v>
      </c>
      <c r="V580" s="32">
        <v>44935.089930555558</v>
      </c>
      <c r="W580" s="32" t="s">
        <v>7476</v>
      </c>
      <c r="X580">
        <v>0</v>
      </c>
      <c r="Y580" s="34" t="s">
        <v>7476</v>
      </c>
      <c r="Z580" s="34" t="s">
        <v>7476</v>
      </c>
      <c r="AA580" s="34" t="s">
        <v>7476</v>
      </c>
      <c r="AB580" s="36" t="s">
        <v>7476</v>
      </c>
      <c r="AD580" t="s">
        <v>1845</v>
      </c>
      <c r="AE580" t="s">
        <v>1846</v>
      </c>
      <c r="AF580" s="16">
        <v>44925</v>
      </c>
      <c r="AG580" t="s">
        <v>64</v>
      </c>
      <c r="AH580">
        <v>3</v>
      </c>
      <c r="AI580" s="8">
        <f t="shared" si="187"/>
        <v>14.089930555557657</v>
      </c>
      <c r="AJ580" s="8">
        <f t="shared" si="188"/>
        <v>6.0899305555576575</v>
      </c>
      <c r="AK580" s="38">
        <f t="shared" si="197"/>
        <v>45025.089930555558</v>
      </c>
      <c r="AL580" t="str">
        <f t="shared" si="189"/>
        <v/>
      </c>
      <c r="AM580">
        <f t="shared" si="190"/>
        <v>25</v>
      </c>
      <c r="AN580">
        <f t="shared" si="191"/>
        <v>4</v>
      </c>
      <c r="AO580">
        <f t="shared" si="192"/>
        <v>2</v>
      </c>
      <c r="AP580">
        <f t="shared" si="193"/>
        <v>0</v>
      </c>
      <c r="AQ580" t="str">
        <f t="shared" si="194"/>
        <v/>
      </c>
    </row>
    <row r="581" spans="1:43" x14ac:dyDescent="0.35">
      <c r="A581">
        <v>495</v>
      </c>
      <c r="B581" t="s">
        <v>1847</v>
      </c>
      <c r="C581" t="s">
        <v>217</v>
      </c>
      <c r="D581" t="str">
        <f t="shared" si="195"/>
        <v>Program Office</v>
      </c>
      <c r="E581" t="s">
        <v>1542</v>
      </c>
      <c r="F581" t="s">
        <v>1669</v>
      </c>
      <c r="G581" t="s">
        <v>1670</v>
      </c>
      <c r="H581" t="s">
        <v>59</v>
      </c>
      <c r="I581" s="32">
        <v>45170.411724537043</v>
      </c>
      <c r="J581" s="32">
        <v>45171.411724537043</v>
      </c>
      <c r="K581" s="32">
        <v>45174.411724537043</v>
      </c>
      <c r="L581" s="8">
        <f t="shared" si="196"/>
        <v>4</v>
      </c>
      <c r="M581" s="7">
        <v>45180.411724537043</v>
      </c>
      <c r="N581" t="s">
        <v>72</v>
      </c>
      <c r="O581" s="34" t="s">
        <v>7474</v>
      </c>
      <c r="R581" s="32" t="s">
        <v>7472</v>
      </c>
      <c r="S581" t="s">
        <v>7476</v>
      </c>
      <c r="T581" s="34" t="s">
        <v>7476</v>
      </c>
      <c r="U581" s="34" t="s">
        <v>7476</v>
      </c>
      <c r="V581" s="32" t="s">
        <v>7476</v>
      </c>
      <c r="W581" s="32" t="s">
        <v>7476</v>
      </c>
      <c r="X581">
        <v>0</v>
      </c>
      <c r="Y581" s="34" t="s">
        <v>7476</v>
      </c>
      <c r="Z581" s="34" t="s">
        <v>7476</v>
      </c>
      <c r="AA581" s="34" t="s">
        <v>7476</v>
      </c>
      <c r="AB581" s="36" t="s">
        <v>7476</v>
      </c>
      <c r="AD581" t="s">
        <v>1848</v>
      </c>
      <c r="AE581" t="s">
        <v>1849</v>
      </c>
      <c r="AG581" t="s">
        <v>64</v>
      </c>
      <c r="AH581">
        <v>3</v>
      </c>
      <c r="AI581" s="8" t="str">
        <f t="shared" si="187"/>
        <v/>
      </c>
      <c r="AJ581" s="8" t="str">
        <f t="shared" si="188"/>
        <v/>
      </c>
      <c r="AK581" s="38" t="str">
        <f t="shared" si="197"/>
        <v/>
      </c>
      <c r="AL581" t="str">
        <f t="shared" si="189"/>
        <v/>
      </c>
      <c r="AM581" t="str">
        <f t="shared" si="190"/>
        <v/>
      </c>
      <c r="AN581" t="str">
        <f t="shared" si="191"/>
        <v/>
      </c>
      <c r="AO581">
        <f t="shared" si="192"/>
        <v>1</v>
      </c>
      <c r="AP581">
        <f t="shared" si="193"/>
        <v>0</v>
      </c>
      <c r="AQ581" t="str">
        <f t="shared" si="194"/>
        <v/>
      </c>
    </row>
    <row r="582" spans="1:43" x14ac:dyDescent="0.35">
      <c r="A582">
        <v>488</v>
      </c>
      <c r="B582" t="s">
        <v>1850</v>
      </c>
      <c r="C582" t="s">
        <v>217</v>
      </c>
      <c r="D582" t="str">
        <f t="shared" si="195"/>
        <v>Program Office</v>
      </c>
      <c r="E582" t="s">
        <v>1542</v>
      </c>
      <c r="F582" t="s">
        <v>1669</v>
      </c>
      <c r="G582" t="s">
        <v>1670</v>
      </c>
      <c r="H582" t="s">
        <v>59</v>
      </c>
      <c r="I582" s="32" t="s">
        <v>7471</v>
      </c>
      <c r="J582" s="32">
        <v>44933.566712962973</v>
      </c>
      <c r="K582" s="32" t="s">
        <v>7473</v>
      </c>
      <c r="L582" s="8" t="str">
        <f t="shared" si="196"/>
        <v/>
      </c>
      <c r="M582" s="7">
        <v>44956.566712962973</v>
      </c>
      <c r="N582" t="s">
        <v>72</v>
      </c>
      <c r="O582" s="34" t="s">
        <v>7474</v>
      </c>
      <c r="R582" s="32" t="s">
        <v>7472</v>
      </c>
      <c r="S582" t="s">
        <v>7476</v>
      </c>
      <c r="T582" s="34" t="s">
        <v>7476</v>
      </c>
      <c r="U582" s="34" t="s">
        <v>7476</v>
      </c>
      <c r="V582" s="32" t="s">
        <v>7476</v>
      </c>
      <c r="W582" s="32" t="s">
        <v>7476</v>
      </c>
      <c r="X582">
        <v>0</v>
      </c>
      <c r="Y582" s="34" t="s">
        <v>7476</v>
      </c>
      <c r="Z582" s="34" t="s">
        <v>7476</v>
      </c>
      <c r="AA582" s="34" t="s">
        <v>7476</v>
      </c>
      <c r="AB582" s="36" t="s">
        <v>7476</v>
      </c>
      <c r="AD582" t="s">
        <v>1851</v>
      </c>
      <c r="AE582" t="s">
        <v>1852</v>
      </c>
      <c r="AG582" t="s">
        <v>64</v>
      </c>
      <c r="AH582">
        <v>6</v>
      </c>
      <c r="AK582" s="38" t="str">
        <f t="shared" si="197"/>
        <v/>
      </c>
    </row>
    <row r="583" spans="1:43" x14ac:dyDescent="0.35">
      <c r="A583">
        <v>473</v>
      </c>
      <c r="B583" t="s">
        <v>1853</v>
      </c>
      <c r="C583" t="s">
        <v>202</v>
      </c>
      <c r="D583" t="str">
        <f t="shared" si="195"/>
        <v>Program Office</v>
      </c>
      <c r="E583" t="s">
        <v>1542</v>
      </c>
      <c r="F583" t="s">
        <v>1669</v>
      </c>
      <c r="G583" t="s">
        <v>1670</v>
      </c>
      <c r="H583" t="s">
        <v>59</v>
      </c>
      <c r="I583" s="32">
        <v>44679.075752314813</v>
      </c>
      <c r="J583" s="32" t="s">
        <v>7471</v>
      </c>
      <c r="K583" s="32">
        <v>44682.075752314813</v>
      </c>
      <c r="L583" s="8">
        <f t="shared" si="196"/>
        <v>3</v>
      </c>
      <c r="M583" s="7">
        <v>44693.075752314813</v>
      </c>
      <c r="N583" t="s">
        <v>49</v>
      </c>
      <c r="O583" s="34">
        <v>44694.075752314813</v>
      </c>
      <c r="P583" t="s">
        <v>101</v>
      </c>
      <c r="R583" s="32">
        <v>44701.075752314813</v>
      </c>
      <c r="S583" t="s">
        <v>101</v>
      </c>
      <c r="T583" s="34">
        <v>44695.075752314813</v>
      </c>
      <c r="U583" s="34">
        <v>44698.075752314813</v>
      </c>
      <c r="V583" s="32">
        <v>44698.075752314813</v>
      </c>
      <c r="W583" s="32">
        <v>44707.075752314813</v>
      </c>
      <c r="X583">
        <v>1</v>
      </c>
      <c r="Y583" s="34">
        <v>44710.075752314813</v>
      </c>
      <c r="Z583" s="34">
        <v>44712.075752314813</v>
      </c>
      <c r="AA583" s="34">
        <v>44714.075752314813</v>
      </c>
      <c r="AB583" s="36" t="s">
        <v>7476</v>
      </c>
      <c r="AC583" s="10">
        <v>44722.075752314813</v>
      </c>
      <c r="AD583" t="s">
        <v>1854</v>
      </c>
      <c r="AE583" t="s">
        <v>1855</v>
      </c>
      <c r="AF583" s="16">
        <v>44684</v>
      </c>
      <c r="AG583" t="s">
        <v>68</v>
      </c>
      <c r="AH583">
        <v>6</v>
      </c>
      <c r="AK583" s="38">
        <f t="shared" si="197"/>
        <v>44878.075752314813</v>
      </c>
    </row>
    <row r="584" spans="1:43" x14ac:dyDescent="0.35">
      <c r="A584">
        <v>383</v>
      </c>
      <c r="B584" t="s">
        <v>1856</v>
      </c>
      <c r="C584" t="s">
        <v>213</v>
      </c>
      <c r="D584" t="str">
        <f t="shared" si="195"/>
        <v>Program Office</v>
      </c>
      <c r="E584" t="s">
        <v>1542</v>
      </c>
      <c r="F584" t="s">
        <v>1669</v>
      </c>
      <c r="G584" t="s">
        <v>1670</v>
      </c>
      <c r="H584" t="s">
        <v>59</v>
      </c>
      <c r="I584" s="32">
        <v>44876.3830787037</v>
      </c>
      <c r="J584" s="32">
        <v>44877.3830787037</v>
      </c>
      <c r="K584" s="32">
        <v>44878.3830787037</v>
      </c>
      <c r="L584" s="8">
        <f t="shared" si="196"/>
        <v>2</v>
      </c>
      <c r="M584" s="7">
        <v>44893.3830787037</v>
      </c>
      <c r="N584" t="s">
        <v>49</v>
      </c>
      <c r="O584" s="34">
        <v>44888.3830787037</v>
      </c>
      <c r="P584" t="s">
        <v>60</v>
      </c>
      <c r="R584" s="32">
        <v>44893.3830787037</v>
      </c>
      <c r="S584" t="s">
        <v>61</v>
      </c>
      <c r="T584" s="34" t="s">
        <v>7476</v>
      </c>
      <c r="U584" s="34" t="s">
        <v>7476</v>
      </c>
      <c r="V584" s="32">
        <v>44890.3830787037</v>
      </c>
      <c r="W584" s="32" t="s">
        <v>7476</v>
      </c>
      <c r="X584">
        <v>0</v>
      </c>
      <c r="Y584" s="34" t="s">
        <v>7476</v>
      </c>
      <c r="Z584" s="34" t="s">
        <v>7476</v>
      </c>
      <c r="AA584" s="34" t="s">
        <v>7476</v>
      </c>
      <c r="AB584" s="36" t="s">
        <v>7476</v>
      </c>
      <c r="AD584" t="s">
        <v>1857</v>
      </c>
      <c r="AE584" t="s">
        <v>1858</v>
      </c>
      <c r="AF584" s="16">
        <v>44662</v>
      </c>
      <c r="AG584" t="s">
        <v>68</v>
      </c>
      <c r="AH584">
        <v>6</v>
      </c>
      <c r="AI584" s="8">
        <f>IFERROR(R584-AF584,"")</f>
        <v>231.38307870370045</v>
      </c>
      <c r="AJ584" s="8">
        <f>IFERROR(O584-AF584,"")</f>
        <v>226.38307870370045</v>
      </c>
      <c r="AK584" s="38">
        <f t="shared" si="197"/>
        <v>45070.3830787037</v>
      </c>
      <c r="AL584" t="str">
        <f>IFERROR(Z584-W584,"")</f>
        <v/>
      </c>
      <c r="AM584">
        <f>IFERROR(R584-J584,"")</f>
        <v>16</v>
      </c>
      <c r="AN584">
        <f>IFERROR(V584-O584,"")</f>
        <v>2</v>
      </c>
      <c r="AO584">
        <f>IFERROR(J584-I584,"")</f>
        <v>1</v>
      </c>
      <c r="AP584">
        <f>IFERROR(AC584-X584,"")</f>
        <v>0</v>
      </c>
      <c r="AQ584" t="str">
        <f>IFERROR(AA584-W584,"")</f>
        <v/>
      </c>
    </row>
    <row r="585" spans="1:43" x14ac:dyDescent="0.35">
      <c r="A585">
        <v>379</v>
      </c>
      <c r="B585" t="s">
        <v>1859</v>
      </c>
      <c r="C585" t="s">
        <v>213</v>
      </c>
      <c r="D585" t="str">
        <f t="shared" si="195"/>
        <v>Program Office</v>
      </c>
      <c r="E585" t="s">
        <v>1542</v>
      </c>
      <c r="F585" t="s">
        <v>1669</v>
      </c>
      <c r="G585" t="s">
        <v>1670</v>
      </c>
      <c r="H585" t="s">
        <v>59</v>
      </c>
      <c r="I585" s="32">
        <v>44661.356712962966</v>
      </c>
      <c r="J585" s="32">
        <v>44664.356712962966</v>
      </c>
      <c r="K585" s="32">
        <v>44670.356712962966</v>
      </c>
      <c r="L585" s="8">
        <f t="shared" si="196"/>
        <v>9</v>
      </c>
      <c r="M585" s="7">
        <v>44691.356712962966</v>
      </c>
      <c r="N585" t="s">
        <v>49</v>
      </c>
      <c r="O585" s="34">
        <v>44678.356712962966</v>
      </c>
      <c r="P585" t="s">
        <v>101</v>
      </c>
      <c r="R585" s="32">
        <v>44680.356712962966</v>
      </c>
      <c r="S585" t="s">
        <v>101</v>
      </c>
      <c r="T585" s="34">
        <v>44679.356712962966</v>
      </c>
      <c r="U585" s="34">
        <v>44680.356712962966</v>
      </c>
      <c r="V585" s="32">
        <v>44679.356712962966</v>
      </c>
      <c r="W585" s="32">
        <v>44684.356712962966</v>
      </c>
      <c r="X585">
        <v>1</v>
      </c>
      <c r="Y585" s="34">
        <v>44686.356712962966</v>
      </c>
      <c r="Z585" s="34">
        <v>44689.356712962966</v>
      </c>
      <c r="AA585" s="34">
        <v>44692.356712962966</v>
      </c>
      <c r="AB585" s="36" t="s">
        <v>7476</v>
      </c>
      <c r="AC585" s="10">
        <v>44706.356712962966</v>
      </c>
      <c r="AD585" t="s">
        <v>1860</v>
      </c>
      <c r="AE585" t="s">
        <v>1861</v>
      </c>
      <c r="AF585" s="16">
        <v>44672</v>
      </c>
      <c r="AG585" t="s">
        <v>64</v>
      </c>
      <c r="AH585">
        <v>3</v>
      </c>
      <c r="AI585" s="8">
        <f>IFERROR(R585-AF585,"")</f>
        <v>8.3567129629664123</v>
      </c>
      <c r="AJ585" s="8">
        <f>IFERROR(O585-AF585,"")</f>
        <v>6.3567129629664123</v>
      </c>
      <c r="AK585" s="38">
        <f t="shared" si="197"/>
        <v>44769.356712962966</v>
      </c>
      <c r="AL585">
        <f>IFERROR(Z585-W585,"")</f>
        <v>5</v>
      </c>
      <c r="AM585">
        <f>IFERROR(R585-J585,"")</f>
        <v>16</v>
      </c>
      <c r="AN585">
        <f>IFERROR(V585-O585,"")</f>
        <v>1</v>
      </c>
      <c r="AO585">
        <f>IFERROR(J585-I585,"")</f>
        <v>3</v>
      </c>
      <c r="AP585">
        <f>IFERROR(AC585-X585,"")</f>
        <v>44705.356712962966</v>
      </c>
      <c r="AQ585">
        <f>IFERROR(AA585-W585,"")</f>
        <v>8</v>
      </c>
    </row>
    <row r="586" spans="1:43" x14ac:dyDescent="0.35">
      <c r="A586">
        <v>373</v>
      </c>
      <c r="B586" t="s">
        <v>1862</v>
      </c>
      <c r="C586" t="s">
        <v>213</v>
      </c>
      <c r="D586" t="str">
        <f t="shared" si="195"/>
        <v>Program Office</v>
      </c>
      <c r="E586" t="s">
        <v>1542</v>
      </c>
      <c r="F586" t="s">
        <v>1669</v>
      </c>
      <c r="G586" t="s">
        <v>1670</v>
      </c>
      <c r="H586" t="s">
        <v>59</v>
      </c>
      <c r="I586" s="32">
        <v>44664.356712962966</v>
      </c>
      <c r="J586" s="32">
        <v>44666.356712962966</v>
      </c>
      <c r="K586" s="32">
        <v>44670.356712962966</v>
      </c>
      <c r="L586" s="8">
        <f t="shared" si="196"/>
        <v>6</v>
      </c>
      <c r="M586" s="7">
        <v>44696.356712962966</v>
      </c>
      <c r="N586" t="s">
        <v>49</v>
      </c>
      <c r="O586" s="34">
        <v>44683.356712962966</v>
      </c>
      <c r="P586" t="s">
        <v>392</v>
      </c>
      <c r="R586" s="32">
        <v>44687.356712962966</v>
      </c>
      <c r="S586" t="s">
        <v>392</v>
      </c>
      <c r="T586" s="34" t="s">
        <v>7476</v>
      </c>
      <c r="U586" s="34" t="s">
        <v>7476</v>
      </c>
      <c r="V586" s="32">
        <v>44686.356712962966</v>
      </c>
      <c r="W586" s="32" t="s">
        <v>7476</v>
      </c>
      <c r="X586">
        <v>0</v>
      </c>
      <c r="Y586" s="34" t="s">
        <v>7476</v>
      </c>
      <c r="Z586" s="34" t="s">
        <v>7476</v>
      </c>
      <c r="AA586" s="34" t="s">
        <v>7476</v>
      </c>
      <c r="AB586" s="36" t="s">
        <v>7476</v>
      </c>
      <c r="AD586" t="s">
        <v>1863</v>
      </c>
      <c r="AE586" t="s">
        <v>1864</v>
      </c>
      <c r="AF586" s="16">
        <v>44667</v>
      </c>
      <c r="AG586" t="s">
        <v>98</v>
      </c>
      <c r="AH586">
        <v>3</v>
      </c>
      <c r="AI586" s="8">
        <f>IFERROR(R586-AF586,"")</f>
        <v>20.356712962966412</v>
      </c>
      <c r="AJ586" s="8">
        <f>IFERROR(O586-AF586,"")</f>
        <v>16.356712962966412</v>
      </c>
      <c r="AK586" s="38">
        <f t="shared" si="197"/>
        <v>44776.356712962966</v>
      </c>
      <c r="AL586" t="str">
        <f>IFERROR(Z586-W586,"")</f>
        <v/>
      </c>
      <c r="AM586">
        <f>IFERROR(R586-J586,"")</f>
        <v>21</v>
      </c>
      <c r="AN586">
        <f>IFERROR(V586-O586,"")</f>
        <v>3</v>
      </c>
      <c r="AO586">
        <f>IFERROR(J586-I586,"")</f>
        <v>2</v>
      </c>
      <c r="AP586">
        <f>IFERROR(AC586-X586,"")</f>
        <v>0</v>
      </c>
      <c r="AQ586" t="str">
        <f>IFERROR(AA586-W586,"")</f>
        <v/>
      </c>
    </row>
    <row r="587" spans="1:43" x14ac:dyDescent="0.35">
      <c r="A587">
        <v>313</v>
      </c>
      <c r="B587" t="s">
        <v>1865</v>
      </c>
      <c r="C587" t="s">
        <v>202</v>
      </c>
      <c r="D587" t="str">
        <f t="shared" si="195"/>
        <v>Program Office</v>
      </c>
      <c r="E587" t="s">
        <v>1542</v>
      </c>
      <c r="F587" t="s">
        <v>1669</v>
      </c>
      <c r="G587" t="s">
        <v>1670</v>
      </c>
      <c r="H587" t="s">
        <v>59</v>
      </c>
      <c r="I587" s="32">
        <v>44985.608946759261</v>
      </c>
      <c r="J587" s="32" t="s">
        <v>7471</v>
      </c>
      <c r="K587" s="32">
        <v>44991.608946759261</v>
      </c>
      <c r="L587" s="8">
        <f t="shared" si="196"/>
        <v>6</v>
      </c>
      <c r="M587" s="7">
        <v>45000.608946759261</v>
      </c>
      <c r="N587" t="s">
        <v>49</v>
      </c>
      <c r="O587" s="34">
        <v>45005.608946759261</v>
      </c>
      <c r="P587" t="s">
        <v>60</v>
      </c>
      <c r="R587" s="32">
        <v>45008.608946759261</v>
      </c>
      <c r="S587" t="s">
        <v>61</v>
      </c>
      <c r="T587" s="34" t="s">
        <v>7476</v>
      </c>
      <c r="U587" s="34" t="s">
        <v>7476</v>
      </c>
      <c r="V587" s="32">
        <v>45006.608946759261</v>
      </c>
      <c r="W587" s="32" t="s">
        <v>7476</v>
      </c>
      <c r="X587">
        <v>0</v>
      </c>
      <c r="Y587" s="34" t="s">
        <v>7476</v>
      </c>
      <c r="Z587" s="34" t="s">
        <v>7476</v>
      </c>
      <c r="AA587" s="34" t="s">
        <v>7476</v>
      </c>
      <c r="AB587" s="36" t="s">
        <v>7476</v>
      </c>
      <c r="AD587" t="s">
        <v>1866</v>
      </c>
      <c r="AE587" t="s">
        <v>1867</v>
      </c>
      <c r="AF587" s="16">
        <v>44993</v>
      </c>
      <c r="AG587" t="s">
        <v>75</v>
      </c>
      <c r="AH587">
        <v>3</v>
      </c>
      <c r="AK587" s="38">
        <f t="shared" si="197"/>
        <v>45096.608946759261</v>
      </c>
    </row>
    <row r="588" spans="1:43" x14ac:dyDescent="0.35">
      <c r="A588">
        <v>190</v>
      </c>
      <c r="B588" t="s">
        <v>1868</v>
      </c>
      <c r="C588" t="s">
        <v>213</v>
      </c>
      <c r="D588" t="str">
        <f t="shared" si="195"/>
        <v>Program Office</v>
      </c>
      <c r="E588" t="s">
        <v>1542</v>
      </c>
      <c r="F588" t="s">
        <v>1669</v>
      </c>
      <c r="G588" t="s">
        <v>1670</v>
      </c>
      <c r="H588" t="s">
        <v>59</v>
      </c>
      <c r="I588" s="32" t="s">
        <v>7471</v>
      </c>
      <c r="J588" s="32">
        <v>44829.301365740743</v>
      </c>
      <c r="K588" s="32">
        <v>44835.301365740743</v>
      </c>
      <c r="L588" s="8" t="str">
        <f t="shared" si="196"/>
        <v/>
      </c>
      <c r="M588" s="7">
        <v>44851.301365740743</v>
      </c>
      <c r="N588" t="s">
        <v>49</v>
      </c>
      <c r="O588" s="34">
        <v>44852.301365740743</v>
      </c>
      <c r="P588" t="s">
        <v>101</v>
      </c>
      <c r="R588" s="32">
        <v>44856.301365740743</v>
      </c>
      <c r="S588" t="s">
        <v>101</v>
      </c>
      <c r="T588" s="34">
        <v>44854.301365740743</v>
      </c>
      <c r="U588" s="34">
        <v>44858.301365740743</v>
      </c>
      <c r="V588" s="32">
        <v>44855.301365740743</v>
      </c>
      <c r="W588" s="32">
        <v>44862.301365740743</v>
      </c>
      <c r="X588">
        <v>1</v>
      </c>
      <c r="Y588" s="34">
        <v>44864.301365740743</v>
      </c>
      <c r="Z588" s="34">
        <v>44867.301365740743</v>
      </c>
      <c r="AA588" s="34">
        <v>44869.301365740743</v>
      </c>
      <c r="AB588" s="36" t="s">
        <v>7476</v>
      </c>
      <c r="AC588" s="10">
        <v>44890.301365740743</v>
      </c>
      <c r="AD588" t="s">
        <v>1869</v>
      </c>
      <c r="AE588" t="s">
        <v>1870</v>
      </c>
      <c r="AF588" s="16">
        <v>44661</v>
      </c>
      <c r="AG588" t="s">
        <v>68</v>
      </c>
      <c r="AH588">
        <v>6</v>
      </c>
      <c r="AK588" s="38">
        <f t="shared" si="197"/>
        <v>45035.301365740743</v>
      </c>
    </row>
    <row r="589" spans="1:43" x14ac:dyDescent="0.35">
      <c r="A589">
        <v>186</v>
      </c>
      <c r="B589" t="s">
        <v>1871</v>
      </c>
      <c r="C589" t="s">
        <v>217</v>
      </c>
      <c r="D589" t="str">
        <f t="shared" si="195"/>
        <v>Program Office</v>
      </c>
      <c r="E589" t="s">
        <v>1542</v>
      </c>
      <c r="F589" t="s">
        <v>1669</v>
      </c>
      <c r="G589" t="s">
        <v>1670</v>
      </c>
      <c r="H589" t="s">
        <v>59</v>
      </c>
      <c r="I589" s="32">
        <v>44829.301365740743</v>
      </c>
      <c r="J589" s="32">
        <v>44832.301365740743</v>
      </c>
      <c r="K589" s="32">
        <v>44835.301365740743</v>
      </c>
      <c r="L589" s="8">
        <f t="shared" si="196"/>
        <v>6</v>
      </c>
      <c r="M589" s="7">
        <v>44862.301365740743</v>
      </c>
      <c r="N589" t="s">
        <v>49</v>
      </c>
      <c r="O589" s="34">
        <v>44851.301365740743</v>
      </c>
      <c r="P589" t="s">
        <v>50</v>
      </c>
      <c r="Q589" t="s">
        <v>51</v>
      </c>
      <c r="R589" s="32" t="s">
        <v>7472</v>
      </c>
      <c r="S589" t="s">
        <v>7476</v>
      </c>
      <c r="T589" s="34" t="s">
        <v>7476</v>
      </c>
      <c r="U589" s="34" t="s">
        <v>7476</v>
      </c>
      <c r="V589" s="32" t="s">
        <v>7476</v>
      </c>
      <c r="W589" s="32" t="s">
        <v>7476</v>
      </c>
      <c r="X589">
        <v>0</v>
      </c>
      <c r="Y589" s="34" t="s">
        <v>7476</v>
      </c>
      <c r="Z589" s="34" t="s">
        <v>7476</v>
      </c>
      <c r="AA589" s="34" t="s">
        <v>7476</v>
      </c>
      <c r="AB589" s="36" t="s">
        <v>52</v>
      </c>
      <c r="AD589" t="s">
        <v>1872</v>
      </c>
      <c r="AE589" t="s">
        <v>1873</v>
      </c>
      <c r="AF589" s="16">
        <v>44661</v>
      </c>
      <c r="AG589" t="s">
        <v>98</v>
      </c>
      <c r="AH589">
        <v>6</v>
      </c>
      <c r="AI589" s="8" t="str">
        <f>IFERROR(R589-AF589,"")</f>
        <v/>
      </c>
      <c r="AJ589" s="8">
        <f>IFERROR(O589-AF589,"")</f>
        <v>190.30136574074277</v>
      </c>
      <c r="AK589" s="38" t="str">
        <f t="shared" si="197"/>
        <v/>
      </c>
      <c r="AL589" t="str">
        <f>IFERROR(Z589-W589,"")</f>
        <v/>
      </c>
      <c r="AM589" t="str">
        <f>IFERROR(R589-J589,"")</f>
        <v/>
      </c>
      <c r="AN589" t="str">
        <f>IFERROR(V589-O589,"")</f>
        <v/>
      </c>
      <c r="AO589">
        <f>IFERROR(J589-I589,"")</f>
        <v>3</v>
      </c>
      <c r="AP589">
        <f>IFERROR(AC589-X589,"")</f>
        <v>0</v>
      </c>
      <c r="AQ589" t="str">
        <f>IFERROR(AA589-W589,"")</f>
        <v/>
      </c>
    </row>
    <row r="590" spans="1:43" x14ac:dyDescent="0.35">
      <c r="A590">
        <v>183</v>
      </c>
      <c r="B590" t="s">
        <v>1874</v>
      </c>
      <c r="C590" t="s">
        <v>202</v>
      </c>
      <c r="D590" t="str">
        <f t="shared" si="195"/>
        <v>Program Office</v>
      </c>
      <c r="E590" t="s">
        <v>1542</v>
      </c>
      <c r="F590" t="s">
        <v>1669</v>
      </c>
      <c r="G590" t="s">
        <v>1670</v>
      </c>
      <c r="H590" t="s">
        <v>59</v>
      </c>
      <c r="I590" s="32">
        <v>44830.301365740743</v>
      </c>
      <c r="J590" s="32">
        <v>44832.301365740743</v>
      </c>
      <c r="K590" s="32">
        <v>44835.301365740743</v>
      </c>
      <c r="L590" s="8">
        <f t="shared" si="196"/>
        <v>5</v>
      </c>
      <c r="M590" s="7">
        <v>44863.301365740743</v>
      </c>
      <c r="N590" t="s">
        <v>72</v>
      </c>
      <c r="O590" s="34" t="s">
        <v>7474</v>
      </c>
      <c r="R590" s="32" t="s">
        <v>7472</v>
      </c>
      <c r="S590" t="s">
        <v>7476</v>
      </c>
      <c r="T590" s="34" t="s">
        <v>7476</v>
      </c>
      <c r="U590" s="34" t="s">
        <v>7476</v>
      </c>
      <c r="V590" s="32" t="s">
        <v>7476</v>
      </c>
      <c r="W590" s="32" t="s">
        <v>7476</v>
      </c>
      <c r="X590">
        <v>0</v>
      </c>
      <c r="Y590" s="34" t="s">
        <v>7476</v>
      </c>
      <c r="Z590" s="34" t="s">
        <v>7476</v>
      </c>
      <c r="AA590" s="34" t="s">
        <v>7476</v>
      </c>
      <c r="AB590" s="36" t="s">
        <v>7476</v>
      </c>
      <c r="AD590" t="s">
        <v>1875</v>
      </c>
      <c r="AE590" t="s">
        <v>1876</v>
      </c>
      <c r="AG590" t="s">
        <v>68</v>
      </c>
      <c r="AH590">
        <v>6</v>
      </c>
      <c r="AI590" s="8" t="str">
        <f>IFERROR(R590-AF590,"")</f>
        <v/>
      </c>
      <c r="AJ590" s="8" t="str">
        <f>IFERROR(O590-AF590,"")</f>
        <v/>
      </c>
      <c r="AK590" s="38" t="str">
        <f t="shared" si="197"/>
        <v/>
      </c>
      <c r="AL590" t="str">
        <f>IFERROR(Z590-W590,"")</f>
        <v/>
      </c>
      <c r="AM590" t="str">
        <f>IFERROR(R590-J590,"")</f>
        <v/>
      </c>
      <c r="AN590" t="str">
        <f>IFERROR(V590-O590,"")</f>
        <v/>
      </c>
      <c r="AO590">
        <f>IFERROR(J590-I590,"")</f>
        <v>2</v>
      </c>
      <c r="AP590">
        <f>IFERROR(AC590-X590,"")</f>
        <v>0</v>
      </c>
      <c r="AQ590" t="str">
        <f>IFERROR(AA590-W590,"")</f>
        <v/>
      </c>
    </row>
    <row r="591" spans="1:43" x14ac:dyDescent="0.35">
      <c r="A591">
        <v>134</v>
      </c>
      <c r="B591" t="s">
        <v>1877</v>
      </c>
      <c r="C591" t="s">
        <v>213</v>
      </c>
      <c r="D591" t="str">
        <f t="shared" si="195"/>
        <v>Program Office</v>
      </c>
      <c r="E591" t="s">
        <v>1542</v>
      </c>
      <c r="F591" t="s">
        <v>1669</v>
      </c>
      <c r="G591" t="s">
        <v>1670</v>
      </c>
      <c r="H591" t="s">
        <v>59</v>
      </c>
      <c r="I591" s="32">
        <v>44761.802951388891</v>
      </c>
      <c r="J591" s="32">
        <v>44765.802951388891</v>
      </c>
      <c r="K591" s="32" t="s">
        <v>7473</v>
      </c>
      <c r="L591" s="8" t="str">
        <f t="shared" si="196"/>
        <v/>
      </c>
      <c r="M591" s="7">
        <v>44788.802951388891</v>
      </c>
      <c r="N591" t="s">
        <v>72</v>
      </c>
      <c r="O591" s="34" t="s">
        <v>7474</v>
      </c>
      <c r="R591" s="32" t="s">
        <v>7472</v>
      </c>
      <c r="S591" t="s">
        <v>7476</v>
      </c>
      <c r="T591" s="34" t="s">
        <v>7476</v>
      </c>
      <c r="U591" s="34" t="s">
        <v>7476</v>
      </c>
      <c r="V591" s="32" t="s">
        <v>7476</v>
      </c>
      <c r="W591" s="32" t="s">
        <v>7476</v>
      </c>
      <c r="X591">
        <v>0</v>
      </c>
      <c r="Y591" s="34" t="s">
        <v>7476</v>
      </c>
      <c r="Z591" s="34" t="s">
        <v>7476</v>
      </c>
      <c r="AA591" s="34" t="s">
        <v>7476</v>
      </c>
      <c r="AB591" s="36" t="s">
        <v>7476</v>
      </c>
      <c r="AD591" t="s">
        <v>1878</v>
      </c>
      <c r="AE591" t="s">
        <v>1879</v>
      </c>
      <c r="AG591" t="s">
        <v>98</v>
      </c>
      <c r="AH591">
        <v>3</v>
      </c>
      <c r="AK591" s="38" t="str">
        <f t="shared" si="197"/>
        <v/>
      </c>
    </row>
    <row r="592" spans="1:43" x14ac:dyDescent="0.35">
      <c r="A592">
        <v>69</v>
      </c>
      <c r="B592" t="s">
        <v>1880</v>
      </c>
      <c r="C592" t="s">
        <v>217</v>
      </c>
      <c r="D592" t="str">
        <f t="shared" si="195"/>
        <v>Program Office</v>
      </c>
      <c r="E592" t="s">
        <v>1542</v>
      </c>
      <c r="F592" t="s">
        <v>1669</v>
      </c>
      <c r="G592" t="s">
        <v>1670</v>
      </c>
      <c r="H592" t="s">
        <v>59</v>
      </c>
      <c r="I592" s="32" t="s">
        <v>7471</v>
      </c>
      <c r="J592" s="32">
        <v>45164.755949074082</v>
      </c>
      <c r="K592" s="32">
        <v>45170.755949074082</v>
      </c>
      <c r="L592" s="8" t="str">
        <f t="shared" si="196"/>
        <v/>
      </c>
      <c r="M592" s="7">
        <v>45195.755949074082</v>
      </c>
      <c r="N592" t="s">
        <v>49</v>
      </c>
      <c r="O592" s="34">
        <v>45178.755949074082</v>
      </c>
      <c r="P592" t="s">
        <v>50</v>
      </c>
      <c r="Q592" t="s">
        <v>84</v>
      </c>
      <c r="R592" s="32" t="s">
        <v>7472</v>
      </c>
      <c r="S592" t="s">
        <v>7476</v>
      </c>
      <c r="T592" s="34" t="s">
        <v>7476</v>
      </c>
      <c r="U592" s="34" t="s">
        <v>7476</v>
      </c>
      <c r="V592" s="32">
        <v>45181.755949074082</v>
      </c>
      <c r="W592" s="32" t="s">
        <v>7476</v>
      </c>
      <c r="X592">
        <v>0</v>
      </c>
      <c r="Y592" s="34" t="s">
        <v>7476</v>
      </c>
      <c r="Z592" s="34" t="s">
        <v>7476</v>
      </c>
      <c r="AA592" s="34" t="s">
        <v>7476</v>
      </c>
      <c r="AB592" s="36" t="s">
        <v>52</v>
      </c>
      <c r="AD592" t="s">
        <v>1881</v>
      </c>
      <c r="AE592" t="s">
        <v>1882</v>
      </c>
      <c r="AF592" s="16">
        <v>45172</v>
      </c>
      <c r="AG592" t="s">
        <v>98</v>
      </c>
      <c r="AH592">
        <v>3</v>
      </c>
      <c r="AK592" s="38">
        <f t="shared" si="197"/>
        <v>45271.755949074082</v>
      </c>
    </row>
    <row r="593" spans="1:43" x14ac:dyDescent="0.35">
      <c r="A593">
        <v>6</v>
      </c>
      <c r="B593" t="s">
        <v>1883</v>
      </c>
      <c r="C593" t="s">
        <v>202</v>
      </c>
      <c r="D593" t="str">
        <f t="shared" si="195"/>
        <v>Program Office</v>
      </c>
      <c r="E593" t="s">
        <v>1542</v>
      </c>
      <c r="F593" t="s">
        <v>1669</v>
      </c>
      <c r="G593" t="s">
        <v>1670</v>
      </c>
      <c r="H593" t="s">
        <v>59</v>
      </c>
      <c r="I593" s="32">
        <v>45076.372060185182</v>
      </c>
      <c r="J593" s="32">
        <v>45078.372060185182</v>
      </c>
      <c r="K593" s="32">
        <v>45083.372060185182</v>
      </c>
      <c r="L593" s="8">
        <f t="shared" si="196"/>
        <v>7</v>
      </c>
      <c r="M593" s="7">
        <v>45096.372060185182</v>
      </c>
      <c r="N593" t="s">
        <v>49</v>
      </c>
      <c r="O593" s="34">
        <v>45092.372060185182</v>
      </c>
      <c r="P593" t="s">
        <v>101</v>
      </c>
      <c r="R593" s="32">
        <v>45099.372060185182</v>
      </c>
      <c r="S593" t="s">
        <v>101</v>
      </c>
      <c r="T593" s="34">
        <v>45094.372060185182</v>
      </c>
      <c r="U593" s="34">
        <v>45096.372060185182</v>
      </c>
      <c r="V593" s="32">
        <v>45095.372060185182</v>
      </c>
      <c r="W593" s="32">
        <v>45103.372060185182</v>
      </c>
      <c r="X593">
        <v>1</v>
      </c>
      <c r="Y593" s="34">
        <v>45104.372060185182</v>
      </c>
      <c r="Z593" s="34">
        <v>45105.372060185182</v>
      </c>
      <c r="AA593" s="34">
        <v>45107.372060185182</v>
      </c>
      <c r="AB593" s="36" t="s">
        <v>7476</v>
      </c>
      <c r="AC593" s="10">
        <v>45121.372060185182</v>
      </c>
      <c r="AD593" t="s">
        <v>1884</v>
      </c>
      <c r="AE593" t="s">
        <v>1885</v>
      </c>
      <c r="AF593" s="16">
        <v>44991</v>
      </c>
      <c r="AG593" t="s">
        <v>98</v>
      </c>
      <c r="AH593">
        <v>6</v>
      </c>
      <c r="AI593" s="8">
        <f>IFERROR(R593-AF593,"")</f>
        <v>108.37206018518191</v>
      </c>
      <c r="AJ593" s="8">
        <f>IFERROR(O593-AF593,"")</f>
        <v>101.37206018518191</v>
      </c>
      <c r="AK593" s="38">
        <f t="shared" si="197"/>
        <v>45275.372060185182</v>
      </c>
      <c r="AL593">
        <f>IFERROR(Z593-W593,"")</f>
        <v>2</v>
      </c>
      <c r="AM593">
        <f>IFERROR(R593-J593,"")</f>
        <v>21</v>
      </c>
      <c r="AN593">
        <f>IFERROR(V593-O593,"")</f>
        <v>3</v>
      </c>
      <c r="AO593">
        <f>IFERROR(J593-I593,"")</f>
        <v>2</v>
      </c>
      <c r="AP593">
        <f>IFERROR(AC593-X593,"")</f>
        <v>45120.372060185182</v>
      </c>
      <c r="AQ593">
        <f>IFERROR(AA593-W593,"")</f>
        <v>4</v>
      </c>
    </row>
    <row r="594" spans="1:43" x14ac:dyDescent="0.35">
      <c r="A594">
        <v>1</v>
      </c>
      <c r="B594" t="s">
        <v>1886</v>
      </c>
      <c r="C594" t="s">
        <v>202</v>
      </c>
      <c r="D594" t="str">
        <f t="shared" si="195"/>
        <v>Program Office</v>
      </c>
      <c r="E594" t="s">
        <v>1542</v>
      </c>
      <c r="F594" t="s">
        <v>1669</v>
      </c>
      <c r="G594" t="s">
        <v>1670</v>
      </c>
      <c r="H594" t="s">
        <v>59</v>
      </c>
      <c r="I594" s="32">
        <v>45075.372060185182</v>
      </c>
      <c r="J594" s="32">
        <v>45077.372060185182</v>
      </c>
      <c r="K594" s="32">
        <v>45083.372060185182</v>
      </c>
      <c r="L594" s="8">
        <f t="shared" si="196"/>
        <v>8</v>
      </c>
      <c r="M594" s="7">
        <v>45102.372060185182</v>
      </c>
      <c r="N594" t="s">
        <v>49</v>
      </c>
      <c r="O594" s="34">
        <v>45088.372060185182</v>
      </c>
      <c r="P594" t="s">
        <v>50</v>
      </c>
      <c r="Q594" t="s">
        <v>198</v>
      </c>
      <c r="R594" s="32" t="s">
        <v>7472</v>
      </c>
      <c r="S594" t="s">
        <v>7476</v>
      </c>
      <c r="T594" s="34" t="s">
        <v>7476</v>
      </c>
      <c r="U594" s="34" t="s">
        <v>7476</v>
      </c>
      <c r="V594" s="32">
        <v>45091.372060185182</v>
      </c>
      <c r="W594" s="32" t="s">
        <v>7476</v>
      </c>
      <c r="X594">
        <v>0</v>
      </c>
      <c r="Y594" s="34" t="s">
        <v>7476</v>
      </c>
      <c r="Z594" s="34" t="s">
        <v>7476</v>
      </c>
      <c r="AA594" s="34" t="s">
        <v>7476</v>
      </c>
      <c r="AB594" s="36" t="s">
        <v>95</v>
      </c>
      <c r="AD594" t="s">
        <v>1887</v>
      </c>
      <c r="AE594" t="s">
        <v>1888</v>
      </c>
      <c r="AF594" s="16">
        <v>45081</v>
      </c>
      <c r="AG594" t="s">
        <v>68</v>
      </c>
      <c r="AH594">
        <v>3</v>
      </c>
      <c r="AI594" s="8" t="str">
        <f>IFERROR(R594-AF594,"")</f>
        <v/>
      </c>
      <c r="AJ594" s="8">
        <f>IFERROR(O594-AF594,"")</f>
        <v>7.3720601851819083</v>
      </c>
      <c r="AK594" s="38">
        <f t="shared" si="197"/>
        <v>45181.372060185182</v>
      </c>
      <c r="AL594" t="str">
        <f>IFERROR(Z594-W594,"")</f>
        <v/>
      </c>
      <c r="AM594" t="str">
        <f>IFERROR(R594-J594,"")</f>
        <v/>
      </c>
      <c r="AN594">
        <f>IFERROR(V594-O594,"")</f>
        <v>3</v>
      </c>
      <c r="AO594">
        <f>IFERROR(J594-I594,"")</f>
        <v>2</v>
      </c>
      <c r="AP594">
        <f>IFERROR(AC594-X594,"")</f>
        <v>0</v>
      </c>
      <c r="AQ594" t="str">
        <f>IFERROR(AA594-W594,"")</f>
        <v/>
      </c>
    </row>
    <row r="595" spans="1:43" x14ac:dyDescent="0.35">
      <c r="A595">
        <v>2895</v>
      </c>
      <c r="B595" t="s">
        <v>1889</v>
      </c>
      <c r="C595" t="s">
        <v>1890</v>
      </c>
      <c r="D595" t="str">
        <f t="shared" si="195"/>
        <v>Operations</v>
      </c>
      <c r="E595" t="s">
        <v>1891</v>
      </c>
      <c r="F595" t="s">
        <v>1892</v>
      </c>
      <c r="G595" t="s">
        <v>1893</v>
      </c>
      <c r="H595" t="s">
        <v>48</v>
      </c>
      <c r="I595" s="32">
        <v>44962.681840277779</v>
      </c>
      <c r="J595" s="32">
        <v>44965.681840277779</v>
      </c>
      <c r="K595" s="32">
        <v>44972.681840277779</v>
      </c>
      <c r="L595" s="8">
        <f t="shared" si="196"/>
        <v>10</v>
      </c>
      <c r="M595" s="7">
        <v>45017.681840277779</v>
      </c>
      <c r="N595" t="s">
        <v>49</v>
      </c>
      <c r="O595" s="34">
        <v>44974.681840277779</v>
      </c>
      <c r="P595" t="s">
        <v>101</v>
      </c>
      <c r="R595" s="32">
        <v>44979.681840277779</v>
      </c>
      <c r="S595" t="s">
        <v>101</v>
      </c>
      <c r="T595" s="34">
        <v>44975.681840277779</v>
      </c>
      <c r="U595" s="34">
        <v>44977.681840277779</v>
      </c>
      <c r="V595" s="32">
        <v>44975.681840277779</v>
      </c>
      <c r="W595" s="32">
        <v>44978.681840277779</v>
      </c>
      <c r="X595">
        <v>1</v>
      </c>
      <c r="Y595" s="34">
        <v>44981.681840277779</v>
      </c>
      <c r="Z595" s="34">
        <v>44983.681840277779</v>
      </c>
      <c r="AA595" s="34">
        <v>44985.681840277779</v>
      </c>
      <c r="AB595" s="36" t="s">
        <v>7476</v>
      </c>
      <c r="AC595" s="10">
        <v>44995.681840277779</v>
      </c>
      <c r="AD595" t="s">
        <v>1894</v>
      </c>
      <c r="AE595" t="s">
        <v>1895</v>
      </c>
      <c r="AF595" s="16">
        <v>44960</v>
      </c>
      <c r="AG595" t="s">
        <v>68</v>
      </c>
      <c r="AH595">
        <v>6</v>
      </c>
      <c r="AI595" s="8">
        <f>IFERROR(R595-AF595,"")</f>
        <v>19.681840277778974</v>
      </c>
      <c r="AJ595" s="8">
        <f>IFERROR(O595-AF595,"")</f>
        <v>14.681840277778974</v>
      </c>
      <c r="AK595" s="38">
        <f t="shared" si="197"/>
        <v>45155.681840277779</v>
      </c>
      <c r="AL595">
        <f>IFERROR(Z595-W595,"")</f>
        <v>5</v>
      </c>
      <c r="AM595">
        <f>IFERROR(R595-J595,"")</f>
        <v>14</v>
      </c>
      <c r="AN595">
        <f>IFERROR(V595-O595,"")</f>
        <v>1</v>
      </c>
      <c r="AO595">
        <f>IFERROR(J595-I595,"")</f>
        <v>3</v>
      </c>
      <c r="AP595">
        <f>IFERROR(AC595-X595,"")</f>
        <v>44994.681840277779</v>
      </c>
      <c r="AQ595">
        <f>IFERROR(AA595-W595,"")</f>
        <v>7</v>
      </c>
    </row>
    <row r="596" spans="1:43" x14ac:dyDescent="0.35">
      <c r="A596">
        <v>2728</v>
      </c>
      <c r="B596" t="s">
        <v>1896</v>
      </c>
      <c r="C596" t="s">
        <v>1897</v>
      </c>
      <c r="D596" t="str">
        <f t="shared" si="195"/>
        <v>Operations</v>
      </c>
      <c r="E596" t="s">
        <v>1891</v>
      </c>
      <c r="F596" t="s">
        <v>1892</v>
      </c>
      <c r="G596" t="s">
        <v>1893</v>
      </c>
      <c r="H596" t="s">
        <v>48</v>
      </c>
      <c r="I596" s="32">
        <v>45065.24894675926</v>
      </c>
      <c r="J596" s="32">
        <v>45069.24894675926</v>
      </c>
      <c r="K596" s="32">
        <v>45071.24894675926</v>
      </c>
      <c r="L596" s="8">
        <f t="shared" si="196"/>
        <v>6</v>
      </c>
      <c r="M596" s="7">
        <v>45086.24894675926</v>
      </c>
      <c r="N596" t="s">
        <v>72</v>
      </c>
      <c r="O596" s="34" t="s">
        <v>7474</v>
      </c>
      <c r="R596" s="32" t="s">
        <v>7472</v>
      </c>
      <c r="S596" t="s">
        <v>7476</v>
      </c>
      <c r="T596" s="34" t="s">
        <v>7476</v>
      </c>
      <c r="U596" s="34" t="s">
        <v>7476</v>
      </c>
      <c r="V596" s="32" t="s">
        <v>7476</v>
      </c>
      <c r="W596" s="32" t="s">
        <v>7476</v>
      </c>
      <c r="X596">
        <v>0</v>
      </c>
      <c r="Y596" s="34" t="s">
        <v>7476</v>
      </c>
      <c r="Z596" s="34" t="s">
        <v>7476</v>
      </c>
      <c r="AA596" s="34" t="s">
        <v>7476</v>
      </c>
      <c r="AB596" s="36" t="s">
        <v>7476</v>
      </c>
      <c r="AD596" t="s">
        <v>1898</v>
      </c>
      <c r="AE596" t="s">
        <v>1899</v>
      </c>
      <c r="AG596" t="s">
        <v>64</v>
      </c>
      <c r="AH596">
        <v>3</v>
      </c>
      <c r="AI596" s="8" t="str">
        <f>IFERROR(R596-AF596,"")</f>
        <v/>
      </c>
      <c r="AJ596" s="8" t="str">
        <f>IFERROR(O596-AF596,"")</f>
        <v/>
      </c>
      <c r="AK596" s="38" t="str">
        <f t="shared" si="197"/>
        <v/>
      </c>
      <c r="AL596" t="str">
        <f>IFERROR(Z596-W596,"")</f>
        <v/>
      </c>
      <c r="AM596" t="str">
        <f>IFERROR(R596-J596,"")</f>
        <v/>
      </c>
      <c r="AN596" t="str">
        <f>IFERROR(V596-O596,"")</f>
        <v/>
      </c>
      <c r="AO596">
        <f>IFERROR(J596-I596,"")</f>
        <v>4</v>
      </c>
      <c r="AP596">
        <f>IFERROR(AC596-X596,"")</f>
        <v>0</v>
      </c>
      <c r="AQ596" t="str">
        <f>IFERROR(AA596-W596,"")</f>
        <v/>
      </c>
    </row>
    <row r="597" spans="1:43" x14ac:dyDescent="0.35">
      <c r="A597">
        <v>2332</v>
      </c>
      <c r="B597" t="s">
        <v>1900</v>
      </c>
      <c r="C597" t="s">
        <v>1890</v>
      </c>
      <c r="D597" t="str">
        <f t="shared" si="195"/>
        <v>Operations</v>
      </c>
      <c r="E597" t="s">
        <v>1891</v>
      </c>
      <c r="F597" t="s">
        <v>1892</v>
      </c>
      <c r="G597" t="s">
        <v>1893</v>
      </c>
      <c r="H597" t="s">
        <v>48</v>
      </c>
      <c r="I597" s="32">
        <v>44695.386030092603</v>
      </c>
      <c r="J597" s="32">
        <v>44698.386030092603</v>
      </c>
      <c r="K597" s="32">
        <v>44700.386030092603</v>
      </c>
      <c r="L597" s="8">
        <f t="shared" si="196"/>
        <v>5</v>
      </c>
      <c r="M597" s="7">
        <v>44714.386030092603</v>
      </c>
      <c r="N597" t="s">
        <v>72</v>
      </c>
      <c r="O597" s="34" t="s">
        <v>7474</v>
      </c>
      <c r="R597" s="32" t="s">
        <v>7472</v>
      </c>
      <c r="S597" t="s">
        <v>7476</v>
      </c>
      <c r="T597" s="34" t="s">
        <v>7476</v>
      </c>
      <c r="U597" s="34" t="s">
        <v>7476</v>
      </c>
      <c r="V597" s="32" t="s">
        <v>7476</v>
      </c>
      <c r="W597" s="32" t="s">
        <v>7476</v>
      </c>
      <c r="X597">
        <v>0</v>
      </c>
      <c r="Y597" s="34" t="s">
        <v>7476</v>
      </c>
      <c r="Z597" s="34" t="s">
        <v>7476</v>
      </c>
      <c r="AA597" s="34" t="s">
        <v>7476</v>
      </c>
      <c r="AB597" s="36" t="s">
        <v>7476</v>
      </c>
      <c r="AD597" t="s">
        <v>1901</v>
      </c>
      <c r="AE597" t="s">
        <v>1902</v>
      </c>
      <c r="AG597" t="s">
        <v>64</v>
      </c>
      <c r="AH597">
        <v>6</v>
      </c>
      <c r="AI597" s="8" t="str">
        <f>IFERROR(R597-AF597,"")</f>
        <v/>
      </c>
      <c r="AJ597" s="8" t="str">
        <f>IFERROR(O597-AF597,"")</f>
        <v/>
      </c>
      <c r="AK597" s="38" t="str">
        <f t="shared" si="197"/>
        <v/>
      </c>
      <c r="AL597" t="str">
        <f>IFERROR(Z597-W597,"")</f>
        <v/>
      </c>
      <c r="AM597" t="str">
        <f>IFERROR(R597-J597,"")</f>
        <v/>
      </c>
      <c r="AN597" t="str">
        <f>IFERROR(V597-O597,"")</f>
        <v/>
      </c>
      <c r="AO597">
        <f>IFERROR(J597-I597,"")</f>
        <v>3</v>
      </c>
      <c r="AP597">
        <f>IFERROR(AC597-X597,"")</f>
        <v>0</v>
      </c>
      <c r="AQ597" t="str">
        <f>IFERROR(AA597-W597,"")</f>
        <v/>
      </c>
    </row>
    <row r="598" spans="1:43" x14ac:dyDescent="0.35">
      <c r="A598">
        <v>2255</v>
      </c>
      <c r="B598" t="s">
        <v>1903</v>
      </c>
      <c r="C598" t="s">
        <v>1897</v>
      </c>
      <c r="D598" t="str">
        <f t="shared" si="195"/>
        <v>Operations</v>
      </c>
      <c r="E598" t="s">
        <v>1891</v>
      </c>
      <c r="F598" t="s">
        <v>1892</v>
      </c>
      <c r="G598" t="s">
        <v>1893</v>
      </c>
      <c r="H598" t="s">
        <v>48</v>
      </c>
      <c r="I598" s="32">
        <v>44783.68608796296</v>
      </c>
      <c r="J598" s="32" t="s">
        <v>7471</v>
      </c>
      <c r="K598" s="32">
        <v>44787.68608796296</v>
      </c>
      <c r="L598" s="8">
        <f t="shared" si="196"/>
        <v>4</v>
      </c>
      <c r="M598" s="7">
        <v>44811.68608796296</v>
      </c>
      <c r="N598" t="s">
        <v>49</v>
      </c>
      <c r="O598" s="34">
        <v>44800.68608796296</v>
      </c>
      <c r="P598" t="s">
        <v>101</v>
      </c>
      <c r="R598" s="32">
        <v>44804.68608796296</v>
      </c>
      <c r="S598" t="s">
        <v>101</v>
      </c>
      <c r="T598" s="34">
        <v>44802.68608796296</v>
      </c>
      <c r="U598" s="34">
        <v>44804.68608796296</v>
      </c>
      <c r="V598" s="32">
        <v>44801.68608796296</v>
      </c>
      <c r="W598" s="32">
        <v>44811.68608796296</v>
      </c>
      <c r="X598">
        <v>1</v>
      </c>
      <c r="Y598" s="34">
        <v>44812.68608796296</v>
      </c>
      <c r="Z598" s="34">
        <v>44815.68608796296</v>
      </c>
      <c r="AA598" s="34">
        <v>44818.68608796296</v>
      </c>
      <c r="AB598" s="36" t="s">
        <v>7476</v>
      </c>
      <c r="AC598" s="10">
        <v>44835.68608796296</v>
      </c>
      <c r="AD598" t="s">
        <v>1904</v>
      </c>
      <c r="AE598" t="s">
        <v>1905</v>
      </c>
      <c r="AF598" s="16">
        <v>44792</v>
      </c>
      <c r="AG598" t="s">
        <v>75</v>
      </c>
      <c r="AH598">
        <v>6</v>
      </c>
      <c r="AK598" s="38">
        <f t="shared" si="197"/>
        <v>44981.68608796296</v>
      </c>
    </row>
    <row r="599" spans="1:43" x14ac:dyDescent="0.35">
      <c r="A599">
        <v>2146</v>
      </c>
      <c r="B599" t="s">
        <v>1906</v>
      </c>
      <c r="C599" t="s">
        <v>1897</v>
      </c>
      <c r="D599" t="str">
        <f t="shared" si="195"/>
        <v>Operations</v>
      </c>
      <c r="E599" t="s">
        <v>1891</v>
      </c>
      <c r="F599" t="s">
        <v>1892</v>
      </c>
      <c r="G599" t="s">
        <v>1893</v>
      </c>
      <c r="H599" t="s">
        <v>48</v>
      </c>
      <c r="I599" s="32">
        <v>44747.830833333333</v>
      </c>
      <c r="J599" s="32">
        <v>44750.830833333333</v>
      </c>
      <c r="K599" s="32">
        <v>44754.830833333333</v>
      </c>
      <c r="L599" s="8">
        <f t="shared" si="196"/>
        <v>7</v>
      </c>
      <c r="M599" s="7">
        <v>44774.830833333333</v>
      </c>
      <c r="N599" t="s">
        <v>72</v>
      </c>
      <c r="O599" s="34" t="s">
        <v>7474</v>
      </c>
      <c r="R599" s="32" t="s">
        <v>7472</v>
      </c>
      <c r="S599" t="s">
        <v>7476</v>
      </c>
      <c r="T599" s="34" t="s">
        <v>7476</v>
      </c>
      <c r="U599" s="34" t="s">
        <v>7476</v>
      </c>
      <c r="V599" s="32" t="s">
        <v>7476</v>
      </c>
      <c r="W599" s="32" t="s">
        <v>7476</v>
      </c>
      <c r="X599">
        <v>0</v>
      </c>
      <c r="Y599" s="34" t="s">
        <v>7476</v>
      </c>
      <c r="Z599" s="34" t="s">
        <v>7476</v>
      </c>
      <c r="AA599" s="34" t="s">
        <v>7476</v>
      </c>
      <c r="AB599" s="36" t="s">
        <v>7476</v>
      </c>
      <c r="AD599" t="s">
        <v>1907</v>
      </c>
      <c r="AE599" t="s">
        <v>1908</v>
      </c>
      <c r="AG599" t="s">
        <v>64</v>
      </c>
      <c r="AH599">
        <v>6</v>
      </c>
      <c r="AI599" s="8" t="str">
        <f>IFERROR(R599-AF599,"")</f>
        <v/>
      </c>
      <c r="AJ599" s="8" t="str">
        <f>IFERROR(O599-AF599,"")</f>
        <v/>
      </c>
      <c r="AK599" s="38" t="str">
        <f t="shared" si="197"/>
        <v/>
      </c>
      <c r="AL599" t="str">
        <f>IFERROR(Z599-W599,"")</f>
        <v/>
      </c>
      <c r="AM599" t="str">
        <f>IFERROR(R599-J599,"")</f>
        <v/>
      </c>
      <c r="AN599" t="str">
        <f>IFERROR(V599-O599,"")</f>
        <v/>
      </c>
      <c r="AO599">
        <f>IFERROR(J599-I599,"")</f>
        <v>3</v>
      </c>
      <c r="AP599">
        <f>IFERROR(AC599-X599,"")</f>
        <v>0</v>
      </c>
      <c r="AQ599" t="str">
        <f>IFERROR(AA599-W599,"")</f>
        <v/>
      </c>
    </row>
    <row r="600" spans="1:43" x14ac:dyDescent="0.35">
      <c r="A600">
        <v>1906</v>
      </c>
      <c r="B600" t="s">
        <v>1909</v>
      </c>
      <c r="C600" t="s">
        <v>1890</v>
      </c>
      <c r="D600" t="str">
        <f t="shared" si="195"/>
        <v>Operations</v>
      </c>
      <c r="E600" t="s">
        <v>1891</v>
      </c>
      <c r="F600" t="s">
        <v>1892</v>
      </c>
      <c r="G600" t="s">
        <v>1893</v>
      </c>
      <c r="H600" t="s">
        <v>48</v>
      </c>
      <c r="I600" s="32">
        <v>44992.686469907407</v>
      </c>
      <c r="J600" s="32">
        <v>44996.686469907407</v>
      </c>
      <c r="K600" s="32">
        <v>45001.686469907407</v>
      </c>
      <c r="L600" s="8">
        <f t="shared" si="196"/>
        <v>9</v>
      </c>
      <c r="M600" s="7">
        <v>45011.686469907407</v>
      </c>
      <c r="N600" t="s">
        <v>72</v>
      </c>
      <c r="O600" s="34" t="s">
        <v>7474</v>
      </c>
      <c r="R600" s="32" t="s">
        <v>7472</v>
      </c>
      <c r="S600" t="s">
        <v>7476</v>
      </c>
      <c r="T600" s="34" t="s">
        <v>7476</v>
      </c>
      <c r="U600" s="34" t="s">
        <v>7476</v>
      </c>
      <c r="V600" s="32" t="s">
        <v>7476</v>
      </c>
      <c r="W600" s="32" t="s">
        <v>7476</v>
      </c>
      <c r="X600">
        <v>0</v>
      </c>
      <c r="Y600" s="34" t="s">
        <v>7476</v>
      </c>
      <c r="Z600" s="34" t="s">
        <v>7476</v>
      </c>
      <c r="AA600" s="34" t="s">
        <v>7476</v>
      </c>
      <c r="AB600" s="36" t="s">
        <v>7476</v>
      </c>
      <c r="AD600" t="s">
        <v>1910</v>
      </c>
      <c r="AE600" t="s">
        <v>1911</v>
      </c>
      <c r="AG600" t="s">
        <v>64</v>
      </c>
      <c r="AH600">
        <v>6</v>
      </c>
      <c r="AI600" s="8" t="str">
        <f>IFERROR(R600-AF600,"")</f>
        <v/>
      </c>
      <c r="AJ600" s="8" t="str">
        <f>IFERROR(O600-AF600,"")</f>
        <v/>
      </c>
      <c r="AK600" s="38" t="str">
        <f t="shared" si="197"/>
        <v/>
      </c>
      <c r="AL600" t="str">
        <f>IFERROR(Z600-W600,"")</f>
        <v/>
      </c>
      <c r="AM600" t="str">
        <f>IFERROR(R600-J600,"")</f>
        <v/>
      </c>
      <c r="AN600" t="str">
        <f>IFERROR(V600-O600,"")</f>
        <v/>
      </c>
      <c r="AO600">
        <f>IFERROR(J600-I600,"")</f>
        <v>4</v>
      </c>
      <c r="AP600">
        <f>IFERROR(AC600-X600,"")</f>
        <v>0</v>
      </c>
      <c r="AQ600" t="str">
        <f>IFERROR(AA600-W600,"")</f>
        <v/>
      </c>
    </row>
    <row r="601" spans="1:43" x14ac:dyDescent="0.35">
      <c r="A601">
        <v>1898</v>
      </c>
      <c r="B601" t="s">
        <v>1912</v>
      </c>
      <c r="C601" t="s">
        <v>1897</v>
      </c>
      <c r="D601" t="str">
        <f t="shared" si="195"/>
        <v>Operations</v>
      </c>
      <c r="E601" t="s">
        <v>1891</v>
      </c>
      <c r="F601" t="s">
        <v>1892</v>
      </c>
      <c r="G601" t="s">
        <v>1893</v>
      </c>
      <c r="H601" t="s">
        <v>48</v>
      </c>
      <c r="I601" s="32">
        <v>44591.278043981481</v>
      </c>
      <c r="J601" s="32">
        <v>44594.278043981481</v>
      </c>
      <c r="K601" s="32">
        <v>44599.278043981481</v>
      </c>
      <c r="L601" s="8">
        <f t="shared" si="196"/>
        <v>8</v>
      </c>
      <c r="M601" s="7">
        <v>44606.278043981481</v>
      </c>
      <c r="N601" t="s">
        <v>49</v>
      </c>
      <c r="O601" s="34">
        <v>44604.278043981481</v>
      </c>
      <c r="P601" t="s">
        <v>101</v>
      </c>
      <c r="R601" s="32">
        <v>44611.278043981481</v>
      </c>
      <c r="S601" t="s">
        <v>101</v>
      </c>
      <c r="T601" s="34">
        <v>44605.278043981481</v>
      </c>
      <c r="U601" s="34">
        <v>44608.278043981481</v>
      </c>
      <c r="V601" s="32">
        <v>44608.278043981481</v>
      </c>
      <c r="W601" s="32">
        <v>44613.278043981481</v>
      </c>
      <c r="X601">
        <v>1</v>
      </c>
      <c r="Y601" s="34">
        <v>44615.278043981481</v>
      </c>
      <c r="Z601" s="34">
        <v>44617.278043981481</v>
      </c>
      <c r="AA601" s="34">
        <v>44619.278043981481</v>
      </c>
      <c r="AB601" s="36" t="s">
        <v>7476</v>
      </c>
      <c r="AC601" s="10">
        <v>44640.278043981481</v>
      </c>
      <c r="AD601" t="s">
        <v>1913</v>
      </c>
      <c r="AE601" t="s">
        <v>1914</v>
      </c>
      <c r="AF601" s="16">
        <v>44585</v>
      </c>
      <c r="AG601" t="s">
        <v>64</v>
      </c>
      <c r="AH601">
        <v>3</v>
      </c>
      <c r="AI601" s="8">
        <f>IFERROR(R601-AF601,"")</f>
        <v>26.27804398148146</v>
      </c>
      <c r="AJ601" s="8">
        <f>IFERROR(O601-AF601,"")</f>
        <v>19.27804398148146</v>
      </c>
      <c r="AK601" s="38">
        <f t="shared" si="197"/>
        <v>44698.278043981481</v>
      </c>
      <c r="AL601">
        <f>IFERROR(Z601-W601,"")</f>
        <v>4</v>
      </c>
      <c r="AM601">
        <f>IFERROR(R601-J601,"")</f>
        <v>17</v>
      </c>
      <c r="AN601">
        <f>IFERROR(V601-O601,"")</f>
        <v>4</v>
      </c>
      <c r="AO601">
        <f>IFERROR(J601-I601,"")</f>
        <v>3</v>
      </c>
      <c r="AP601">
        <f>IFERROR(AC601-X601,"")</f>
        <v>44639.278043981481</v>
      </c>
      <c r="AQ601">
        <f>IFERROR(AA601-W601,"")</f>
        <v>6</v>
      </c>
    </row>
    <row r="602" spans="1:43" x14ac:dyDescent="0.35">
      <c r="A602">
        <v>1892</v>
      </c>
      <c r="B602" t="s">
        <v>1915</v>
      </c>
      <c r="C602" t="s">
        <v>1897</v>
      </c>
      <c r="D602" t="str">
        <f t="shared" si="195"/>
        <v>Operations</v>
      </c>
      <c r="E602" t="s">
        <v>1891</v>
      </c>
      <c r="F602" t="s">
        <v>1892</v>
      </c>
      <c r="G602" t="s">
        <v>1893</v>
      </c>
      <c r="H602" t="s">
        <v>48</v>
      </c>
      <c r="I602" s="32">
        <v>44593.278043981481</v>
      </c>
      <c r="J602" s="32" t="s">
        <v>7471</v>
      </c>
      <c r="K602" s="32">
        <v>44599.278043981481</v>
      </c>
      <c r="L602" s="8">
        <f t="shared" si="196"/>
        <v>6</v>
      </c>
      <c r="M602" s="7">
        <v>44629.278043981481</v>
      </c>
      <c r="N602" t="s">
        <v>72</v>
      </c>
      <c r="O602" s="34" t="s">
        <v>7474</v>
      </c>
      <c r="R602" s="32" t="s">
        <v>7472</v>
      </c>
      <c r="S602" t="s">
        <v>7476</v>
      </c>
      <c r="T602" s="34" t="s">
        <v>7476</v>
      </c>
      <c r="U602" s="34" t="s">
        <v>7476</v>
      </c>
      <c r="V602" s="32" t="s">
        <v>7476</v>
      </c>
      <c r="W602" s="32" t="s">
        <v>7476</v>
      </c>
      <c r="X602">
        <v>0</v>
      </c>
      <c r="Y602" s="34" t="s">
        <v>7476</v>
      </c>
      <c r="Z602" s="34" t="s">
        <v>7476</v>
      </c>
      <c r="AA602" s="34" t="s">
        <v>7476</v>
      </c>
      <c r="AB602" s="36" t="s">
        <v>7476</v>
      </c>
      <c r="AD602" t="s">
        <v>1916</v>
      </c>
      <c r="AE602" t="s">
        <v>1917</v>
      </c>
      <c r="AG602" t="s">
        <v>75</v>
      </c>
      <c r="AH602">
        <v>6</v>
      </c>
      <c r="AK602" s="38" t="str">
        <f t="shared" si="197"/>
        <v/>
      </c>
    </row>
    <row r="603" spans="1:43" x14ac:dyDescent="0.35">
      <c r="A603">
        <v>1773</v>
      </c>
      <c r="B603" t="s">
        <v>1918</v>
      </c>
      <c r="C603" t="s">
        <v>1890</v>
      </c>
      <c r="D603" t="str">
        <f t="shared" si="195"/>
        <v>Operations</v>
      </c>
      <c r="E603" t="s">
        <v>1891</v>
      </c>
      <c r="F603" t="s">
        <v>1892</v>
      </c>
      <c r="G603" t="s">
        <v>1893</v>
      </c>
      <c r="H603" t="s">
        <v>48</v>
      </c>
      <c r="I603" s="32">
        <v>44712.825856481482</v>
      </c>
      <c r="J603" s="32">
        <v>44716.825856481482</v>
      </c>
      <c r="K603" s="32">
        <v>44718.825856481482</v>
      </c>
      <c r="L603" s="8">
        <f t="shared" si="196"/>
        <v>6</v>
      </c>
      <c r="M603" s="7">
        <v>44724.825856481482</v>
      </c>
      <c r="N603" t="s">
        <v>72</v>
      </c>
      <c r="O603" s="34" t="s">
        <v>7474</v>
      </c>
      <c r="R603" s="32" t="s">
        <v>7472</v>
      </c>
      <c r="S603" t="s">
        <v>7476</v>
      </c>
      <c r="T603" s="34" t="s">
        <v>7476</v>
      </c>
      <c r="U603" s="34" t="s">
        <v>7476</v>
      </c>
      <c r="V603" s="32" t="s">
        <v>7476</v>
      </c>
      <c r="W603" s="32" t="s">
        <v>7476</v>
      </c>
      <c r="X603">
        <v>0</v>
      </c>
      <c r="Y603" s="34" t="s">
        <v>7476</v>
      </c>
      <c r="Z603" s="34" t="s">
        <v>7476</v>
      </c>
      <c r="AA603" s="34" t="s">
        <v>7476</v>
      </c>
      <c r="AB603" s="36" t="s">
        <v>7476</v>
      </c>
      <c r="AD603" t="s">
        <v>1919</v>
      </c>
      <c r="AE603" t="s">
        <v>1920</v>
      </c>
      <c r="AG603" t="s">
        <v>98</v>
      </c>
      <c r="AH603">
        <v>6</v>
      </c>
      <c r="AI603" s="8" t="str">
        <f t="shared" ref="AI603:AI611" si="198">IFERROR(R603-AF603,"")</f>
        <v/>
      </c>
      <c r="AJ603" s="8" t="str">
        <f t="shared" ref="AJ603:AJ611" si="199">IFERROR(O603-AF603,"")</f>
        <v/>
      </c>
      <c r="AK603" s="38" t="str">
        <f t="shared" si="197"/>
        <v/>
      </c>
      <c r="AL603" t="str">
        <f t="shared" ref="AL603:AL611" si="200">IFERROR(Z603-W603,"")</f>
        <v/>
      </c>
      <c r="AM603" t="str">
        <f t="shared" ref="AM603:AM611" si="201">IFERROR(R603-J603,"")</f>
        <v/>
      </c>
      <c r="AN603" t="str">
        <f t="shared" ref="AN603:AN611" si="202">IFERROR(V603-O603,"")</f>
        <v/>
      </c>
      <c r="AO603">
        <f t="shared" ref="AO603:AO611" si="203">IFERROR(J603-I603,"")</f>
        <v>4</v>
      </c>
      <c r="AP603">
        <f t="shared" ref="AP603:AP611" si="204">IFERROR(AC603-X603,"")</f>
        <v>0</v>
      </c>
      <c r="AQ603" t="str">
        <f t="shared" ref="AQ603:AQ611" si="205">IFERROR(AA603-W603,"")</f>
        <v/>
      </c>
    </row>
    <row r="604" spans="1:43" x14ac:dyDescent="0.35">
      <c r="A604">
        <v>1646</v>
      </c>
      <c r="B604" t="s">
        <v>1921</v>
      </c>
      <c r="C604" t="s">
        <v>1922</v>
      </c>
      <c r="D604" t="str">
        <f t="shared" si="195"/>
        <v>Operations</v>
      </c>
      <c r="E604" t="s">
        <v>1891</v>
      </c>
      <c r="F604" t="s">
        <v>1892</v>
      </c>
      <c r="G604" t="s">
        <v>1893</v>
      </c>
      <c r="H604" t="s">
        <v>48</v>
      </c>
      <c r="I604" s="32">
        <v>44914.661261574067</v>
      </c>
      <c r="J604" s="32">
        <v>44915.661261574067</v>
      </c>
      <c r="K604" s="32">
        <v>44920.661261574067</v>
      </c>
      <c r="L604" s="8">
        <f t="shared" si="196"/>
        <v>6</v>
      </c>
      <c r="M604" s="7">
        <v>44950.661261574067</v>
      </c>
      <c r="N604" t="s">
        <v>49</v>
      </c>
      <c r="O604" s="34">
        <v>44925.661261574067</v>
      </c>
      <c r="P604" t="s">
        <v>101</v>
      </c>
      <c r="R604" s="32">
        <v>44930.661261574067</v>
      </c>
      <c r="S604" t="s">
        <v>101</v>
      </c>
      <c r="T604" s="34">
        <v>44927.661261574067</v>
      </c>
      <c r="U604" s="34">
        <v>44931.661261574067</v>
      </c>
      <c r="V604" s="32">
        <v>44927.661261574067</v>
      </c>
      <c r="W604" s="32">
        <v>44932.661261574067</v>
      </c>
      <c r="X604">
        <v>1</v>
      </c>
      <c r="Y604" s="34">
        <v>44933.661261574067</v>
      </c>
      <c r="Z604" s="34">
        <v>44935.661261574067</v>
      </c>
      <c r="AA604" s="34">
        <v>44938.661261574067</v>
      </c>
      <c r="AB604" s="36" t="s">
        <v>7476</v>
      </c>
      <c r="AC604" s="10">
        <v>44950.661261574067</v>
      </c>
      <c r="AD604" t="s">
        <v>1923</v>
      </c>
      <c r="AE604" t="s">
        <v>1924</v>
      </c>
      <c r="AF604" s="16">
        <v>44919</v>
      </c>
      <c r="AG604" t="s">
        <v>64</v>
      </c>
      <c r="AH604">
        <v>3</v>
      </c>
      <c r="AI604" s="8">
        <f t="shared" si="198"/>
        <v>11.661261574066884</v>
      </c>
      <c r="AJ604" s="8">
        <f t="shared" si="199"/>
        <v>6.6612615740668844</v>
      </c>
      <c r="AK604" s="38">
        <f t="shared" si="197"/>
        <v>45017.661261574067</v>
      </c>
      <c r="AL604">
        <f t="shared" si="200"/>
        <v>3</v>
      </c>
      <c r="AM604">
        <f t="shared" si="201"/>
        <v>15</v>
      </c>
      <c r="AN604">
        <f t="shared" si="202"/>
        <v>2</v>
      </c>
      <c r="AO604">
        <f t="shared" si="203"/>
        <v>1</v>
      </c>
      <c r="AP604">
        <f t="shared" si="204"/>
        <v>44949.661261574067</v>
      </c>
      <c r="AQ604">
        <f t="shared" si="205"/>
        <v>6</v>
      </c>
    </row>
    <row r="605" spans="1:43" x14ac:dyDescent="0.35">
      <c r="A605">
        <v>1577</v>
      </c>
      <c r="B605" t="s">
        <v>1925</v>
      </c>
      <c r="C605" t="s">
        <v>1890</v>
      </c>
      <c r="D605" t="str">
        <f t="shared" si="195"/>
        <v>Operations</v>
      </c>
      <c r="E605" t="s">
        <v>1891</v>
      </c>
      <c r="F605" t="s">
        <v>1892</v>
      </c>
      <c r="G605" t="s">
        <v>1893</v>
      </c>
      <c r="H605" t="s">
        <v>48</v>
      </c>
      <c r="I605" s="32">
        <v>44805.733078703714</v>
      </c>
      <c r="J605" s="32">
        <v>44807.733078703714</v>
      </c>
      <c r="K605" s="32">
        <v>44813.733078703714</v>
      </c>
      <c r="L605" s="8">
        <f t="shared" si="196"/>
        <v>8</v>
      </c>
      <c r="M605" s="7">
        <v>44837.733078703714</v>
      </c>
      <c r="N605" t="s">
        <v>72</v>
      </c>
      <c r="O605" s="34" t="s">
        <v>7474</v>
      </c>
      <c r="R605" s="32" t="s">
        <v>7472</v>
      </c>
      <c r="S605" t="s">
        <v>7476</v>
      </c>
      <c r="T605" s="34" t="s">
        <v>7476</v>
      </c>
      <c r="U605" s="34" t="s">
        <v>7476</v>
      </c>
      <c r="V605" s="32" t="s">
        <v>7476</v>
      </c>
      <c r="W605" s="32" t="s">
        <v>7476</v>
      </c>
      <c r="X605">
        <v>0</v>
      </c>
      <c r="Y605" s="34" t="s">
        <v>7476</v>
      </c>
      <c r="Z605" s="34" t="s">
        <v>7476</v>
      </c>
      <c r="AA605" s="34" t="s">
        <v>7476</v>
      </c>
      <c r="AB605" s="36" t="s">
        <v>7476</v>
      </c>
      <c r="AD605" t="s">
        <v>1926</v>
      </c>
      <c r="AE605" t="s">
        <v>1927</v>
      </c>
      <c r="AG605" t="s">
        <v>98</v>
      </c>
      <c r="AH605">
        <v>6</v>
      </c>
      <c r="AI605" s="8" t="str">
        <f t="shared" si="198"/>
        <v/>
      </c>
      <c r="AJ605" s="8" t="str">
        <f t="shared" si="199"/>
        <v/>
      </c>
      <c r="AK605" s="38" t="str">
        <f t="shared" si="197"/>
        <v/>
      </c>
      <c r="AL605" t="str">
        <f t="shared" si="200"/>
        <v/>
      </c>
      <c r="AM605" t="str">
        <f t="shared" si="201"/>
        <v/>
      </c>
      <c r="AN605" t="str">
        <f t="shared" si="202"/>
        <v/>
      </c>
      <c r="AO605">
        <f t="shared" si="203"/>
        <v>2</v>
      </c>
      <c r="AP605">
        <f t="shared" si="204"/>
        <v>0</v>
      </c>
      <c r="AQ605" t="str">
        <f t="shared" si="205"/>
        <v/>
      </c>
    </row>
    <row r="606" spans="1:43" x14ac:dyDescent="0.35">
      <c r="A606">
        <v>1507</v>
      </c>
      <c r="B606" t="s">
        <v>1928</v>
      </c>
      <c r="C606" t="s">
        <v>1890</v>
      </c>
      <c r="D606" t="str">
        <f t="shared" si="195"/>
        <v>Operations</v>
      </c>
      <c r="E606" t="s">
        <v>1891</v>
      </c>
      <c r="F606" t="s">
        <v>1892</v>
      </c>
      <c r="G606" t="s">
        <v>1893</v>
      </c>
      <c r="H606" t="s">
        <v>48</v>
      </c>
      <c r="I606" s="32">
        <v>44756.346215277779</v>
      </c>
      <c r="J606" s="32">
        <v>44760.346215277779</v>
      </c>
      <c r="K606" s="32">
        <v>44762.346215277779</v>
      </c>
      <c r="L606" s="8">
        <f t="shared" si="196"/>
        <v>6</v>
      </c>
      <c r="M606" s="7">
        <v>44777.346215277779</v>
      </c>
      <c r="N606" t="s">
        <v>72</v>
      </c>
      <c r="O606" s="34" t="s">
        <v>7474</v>
      </c>
      <c r="R606" s="32" t="s">
        <v>7472</v>
      </c>
      <c r="S606" t="s">
        <v>7476</v>
      </c>
      <c r="T606" s="34" t="s">
        <v>7476</v>
      </c>
      <c r="U606" s="34" t="s">
        <v>7476</v>
      </c>
      <c r="V606" s="32" t="s">
        <v>7476</v>
      </c>
      <c r="W606" s="32" t="s">
        <v>7476</v>
      </c>
      <c r="X606">
        <v>0</v>
      </c>
      <c r="Y606" s="34" t="s">
        <v>7476</v>
      </c>
      <c r="Z606" s="34" t="s">
        <v>7476</v>
      </c>
      <c r="AA606" s="34" t="s">
        <v>7476</v>
      </c>
      <c r="AB606" s="36" t="s">
        <v>7476</v>
      </c>
      <c r="AD606" t="s">
        <v>1929</v>
      </c>
      <c r="AE606" t="s">
        <v>1930</v>
      </c>
      <c r="AG606" t="s">
        <v>68</v>
      </c>
      <c r="AH606">
        <v>3</v>
      </c>
      <c r="AI606" s="8" t="str">
        <f t="shared" si="198"/>
        <v/>
      </c>
      <c r="AJ606" s="8" t="str">
        <f t="shared" si="199"/>
        <v/>
      </c>
      <c r="AK606" s="38" t="str">
        <f t="shared" si="197"/>
        <v/>
      </c>
      <c r="AL606" t="str">
        <f t="shared" si="200"/>
        <v/>
      </c>
      <c r="AM606" t="str">
        <f t="shared" si="201"/>
        <v/>
      </c>
      <c r="AN606" t="str">
        <f t="shared" si="202"/>
        <v/>
      </c>
      <c r="AO606">
        <f t="shared" si="203"/>
        <v>4</v>
      </c>
      <c r="AP606">
        <f t="shared" si="204"/>
        <v>0</v>
      </c>
      <c r="AQ606" t="str">
        <f t="shared" si="205"/>
        <v/>
      </c>
    </row>
    <row r="607" spans="1:43" x14ac:dyDescent="0.35">
      <c r="A607">
        <v>1423</v>
      </c>
      <c r="B607" t="s">
        <v>1931</v>
      </c>
      <c r="C607" t="s">
        <v>1897</v>
      </c>
      <c r="D607" t="str">
        <f t="shared" si="195"/>
        <v>Operations</v>
      </c>
      <c r="E607" t="s">
        <v>1891</v>
      </c>
      <c r="F607" t="s">
        <v>1892</v>
      </c>
      <c r="G607" t="s">
        <v>1893</v>
      </c>
      <c r="H607" t="s">
        <v>48</v>
      </c>
      <c r="I607" s="32">
        <v>44662.11314814815</v>
      </c>
      <c r="J607" s="32">
        <v>44665.11314814815</v>
      </c>
      <c r="K607" s="32">
        <v>44666.11314814815</v>
      </c>
      <c r="L607" s="8">
        <f t="shared" si="196"/>
        <v>4</v>
      </c>
      <c r="M607" s="7">
        <v>44675.11314814815</v>
      </c>
      <c r="N607" t="s">
        <v>72</v>
      </c>
      <c r="O607" s="34" t="s">
        <v>7474</v>
      </c>
      <c r="R607" s="32" t="s">
        <v>7472</v>
      </c>
      <c r="S607" t="s">
        <v>7476</v>
      </c>
      <c r="T607" s="34" t="s">
        <v>7476</v>
      </c>
      <c r="U607" s="34" t="s">
        <v>7476</v>
      </c>
      <c r="V607" s="32" t="s">
        <v>7476</v>
      </c>
      <c r="W607" s="32" t="s">
        <v>7476</v>
      </c>
      <c r="X607">
        <v>0</v>
      </c>
      <c r="Y607" s="34" t="s">
        <v>7476</v>
      </c>
      <c r="Z607" s="34" t="s">
        <v>7476</v>
      </c>
      <c r="AA607" s="34" t="s">
        <v>7476</v>
      </c>
      <c r="AB607" s="36" t="s">
        <v>7476</v>
      </c>
      <c r="AD607" t="s">
        <v>1932</v>
      </c>
      <c r="AE607" t="s">
        <v>1933</v>
      </c>
      <c r="AG607" t="s">
        <v>98</v>
      </c>
      <c r="AH607">
        <v>3</v>
      </c>
      <c r="AI607" s="8" t="str">
        <f t="shared" si="198"/>
        <v/>
      </c>
      <c r="AJ607" s="8" t="str">
        <f t="shared" si="199"/>
        <v/>
      </c>
      <c r="AK607" s="38" t="str">
        <f t="shared" si="197"/>
        <v/>
      </c>
      <c r="AL607" t="str">
        <f t="shared" si="200"/>
        <v/>
      </c>
      <c r="AM607" t="str">
        <f t="shared" si="201"/>
        <v/>
      </c>
      <c r="AN607" t="str">
        <f t="shared" si="202"/>
        <v/>
      </c>
      <c r="AO607">
        <f t="shared" si="203"/>
        <v>3</v>
      </c>
      <c r="AP607">
        <f t="shared" si="204"/>
        <v>0</v>
      </c>
      <c r="AQ607" t="str">
        <f t="shared" si="205"/>
        <v/>
      </c>
    </row>
    <row r="608" spans="1:43" x14ac:dyDescent="0.35">
      <c r="A608">
        <v>1272</v>
      </c>
      <c r="B608" t="s">
        <v>1934</v>
      </c>
      <c r="C608" t="s">
        <v>1922</v>
      </c>
      <c r="D608" t="str">
        <f t="shared" si="195"/>
        <v>Operations</v>
      </c>
      <c r="E608" t="s">
        <v>1891</v>
      </c>
      <c r="F608" t="s">
        <v>1892</v>
      </c>
      <c r="G608" t="s">
        <v>1893</v>
      </c>
      <c r="H608" t="s">
        <v>48</v>
      </c>
      <c r="I608" s="32">
        <v>44712.107928240737</v>
      </c>
      <c r="J608" s="32">
        <v>44716.107928240737</v>
      </c>
      <c r="K608" s="32">
        <v>44717.107928240737</v>
      </c>
      <c r="L608" s="8">
        <f t="shared" si="196"/>
        <v>5</v>
      </c>
      <c r="M608" s="7">
        <v>44746.107928240737</v>
      </c>
      <c r="N608" t="s">
        <v>49</v>
      </c>
      <c r="O608" s="34">
        <v>44719.107928240737</v>
      </c>
      <c r="P608" t="s">
        <v>101</v>
      </c>
      <c r="R608" s="32">
        <v>44724.107928240737</v>
      </c>
      <c r="S608" t="s">
        <v>101</v>
      </c>
      <c r="T608" s="34">
        <v>44720.107928240737</v>
      </c>
      <c r="U608" s="34">
        <v>44722.107928240737</v>
      </c>
      <c r="V608" s="32">
        <v>44721.107928240737</v>
      </c>
      <c r="W608" s="32">
        <v>44728.107928240737</v>
      </c>
      <c r="X608">
        <v>1</v>
      </c>
      <c r="Y608" s="34">
        <v>44729.107928240737</v>
      </c>
      <c r="Z608" s="34">
        <v>44731.107928240737</v>
      </c>
      <c r="AA608" s="34">
        <v>44733.107928240737</v>
      </c>
      <c r="AB608" s="36" t="s">
        <v>7476</v>
      </c>
      <c r="AC608" s="10">
        <v>44750.107928240737</v>
      </c>
      <c r="AD608" t="s">
        <v>1935</v>
      </c>
      <c r="AE608" t="s">
        <v>1936</v>
      </c>
      <c r="AF608" s="16">
        <v>44713</v>
      </c>
      <c r="AG608" t="s">
        <v>64</v>
      </c>
      <c r="AH608">
        <v>3</v>
      </c>
      <c r="AI608" s="8">
        <f t="shared" si="198"/>
        <v>11.107928240737238</v>
      </c>
      <c r="AJ608" s="8">
        <f t="shared" si="199"/>
        <v>6.1079282407372375</v>
      </c>
      <c r="AK608" s="38">
        <f t="shared" si="197"/>
        <v>44811.107928240737</v>
      </c>
      <c r="AL608">
        <f t="shared" si="200"/>
        <v>3</v>
      </c>
      <c r="AM608">
        <f t="shared" si="201"/>
        <v>8</v>
      </c>
      <c r="AN608">
        <f t="shared" si="202"/>
        <v>2</v>
      </c>
      <c r="AO608">
        <f t="shared" si="203"/>
        <v>4</v>
      </c>
      <c r="AP608">
        <f t="shared" si="204"/>
        <v>44749.107928240737</v>
      </c>
      <c r="AQ608">
        <f t="shared" si="205"/>
        <v>5</v>
      </c>
    </row>
    <row r="609" spans="1:43" x14ac:dyDescent="0.35">
      <c r="A609">
        <v>1216</v>
      </c>
      <c r="B609" t="s">
        <v>1937</v>
      </c>
      <c r="C609" t="s">
        <v>1922</v>
      </c>
      <c r="D609" t="str">
        <f t="shared" si="195"/>
        <v>Operations</v>
      </c>
      <c r="E609" t="s">
        <v>1891</v>
      </c>
      <c r="F609" t="s">
        <v>1892</v>
      </c>
      <c r="G609" t="s">
        <v>1893</v>
      </c>
      <c r="H609" t="s">
        <v>48</v>
      </c>
      <c r="I609" s="32">
        <v>45129.004317129627</v>
      </c>
      <c r="J609" s="32">
        <v>45132.004317129627</v>
      </c>
      <c r="K609" s="32">
        <v>45138.004317129627</v>
      </c>
      <c r="L609" s="8">
        <f t="shared" si="196"/>
        <v>9</v>
      </c>
      <c r="M609" s="7">
        <v>45145.004317129627</v>
      </c>
      <c r="N609" t="s">
        <v>72</v>
      </c>
      <c r="O609" s="34" t="s">
        <v>7474</v>
      </c>
      <c r="R609" s="32" t="s">
        <v>7472</v>
      </c>
      <c r="S609" t="s">
        <v>7476</v>
      </c>
      <c r="T609" s="34" t="s">
        <v>7476</v>
      </c>
      <c r="U609" s="34" t="s">
        <v>7476</v>
      </c>
      <c r="V609" s="32" t="s">
        <v>7476</v>
      </c>
      <c r="W609" s="32" t="s">
        <v>7476</v>
      </c>
      <c r="X609">
        <v>0</v>
      </c>
      <c r="Y609" s="34" t="s">
        <v>7476</v>
      </c>
      <c r="Z609" s="34" t="s">
        <v>7476</v>
      </c>
      <c r="AA609" s="34" t="s">
        <v>7476</v>
      </c>
      <c r="AB609" s="36" t="s">
        <v>7476</v>
      </c>
      <c r="AD609" t="s">
        <v>1938</v>
      </c>
      <c r="AE609" t="s">
        <v>1939</v>
      </c>
      <c r="AG609" t="s">
        <v>64</v>
      </c>
      <c r="AH609">
        <v>6</v>
      </c>
      <c r="AI609" s="8" t="str">
        <f t="shared" si="198"/>
        <v/>
      </c>
      <c r="AJ609" s="8" t="str">
        <f t="shared" si="199"/>
        <v/>
      </c>
      <c r="AK609" s="38" t="str">
        <f t="shared" si="197"/>
        <v/>
      </c>
      <c r="AL609" t="str">
        <f t="shared" si="200"/>
        <v/>
      </c>
      <c r="AM609" t="str">
        <f t="shared" si="201"/>
        <v/>
      </c>
      <c r="AN609" t="str">
        <f t="shared" si="202"/>
        <v/>
      </c>
      <c r="AO609">
        <f t="shared" si="203"/>
        <v>3</v>
      </c>
      <c r="AP609">
        <f t="shared" si="204"/>
        <v>0</v>
      </c>
      <c r="AQ609" t="str">
        <f t="shared" si="205"/>
        <v/>
      </c>
    </row>
    <row r="610" spans="1:43" x14ac:dyDescent="0.35">
      <c r="A610">
        <v>1186</v>
      </c>
      <c r="B610" t="s">
        <v>1940</v>
      </c>
      <c r="C610" t="s">
        <v>1922</v>
      </c>
      <c r="D610" t="str">
        <f t="shared" si="195"/>
        <v>Operations</v>
      </c>
      <c r="E610" t="s">
        <v>1891</v>
      </c>
      <c r="F610" t="s">
        <v>1669</v>
      </c>
      <c r="G610" t="s">
        <v>1941</v>
      </c>
      <c r="H610" t="s">
        <v>48</v>
      </c>
      <c r="I610" s="32">
        <v>45072.784872685188</v>
      </c>
      <c r="J610" s="32">
        <v>45076.784872685188</v>
      </c>
      <c r="K610" s="32">
        <v>45080.784872685188</v>
      </c>
      <c r="L610" s="8">
        <f t="shared" si="196"/>
        <v>8</v>
      </c>
      <c r="M610" s="7">
        <v>45101.784872685188</v>
      </c>
      <c r="N610" t="s">
        <v>72</v>
      </c>
      <c r="O610" s="34" t="s">
        <v>7474</v>
      </c>
      <c r="R610" s="32" t="s">
        <v>7472</v>
      </c>
      <c r="S610" t="s">
        <v>7476</v>
      </c>
      <c r="T610" s="34" t="s">
        <v>7476</v>
      </c>
      <c r="U610" s="34" t="s">
        <v>7476</v>
      </c>
      <c r="V610" s="32" t="s">
        <v>7476</v>
      </c>
      <c r="W610" s="32" t="s">
        <v>7476</v>
      </c>
      <c r="X610">
        <v>0</v>
      </c>
      <c r="Y610" s="34" t="s">
        <v>7476</v>
      </c>
      <c r="Z610" s="34" t="s">
        <v>7476</v>
      </c>
      <c r="AA610" s="34" t="s">
        <v>7476</v>
      </c>
      <c r="AB610" s="36" t="s">
        <v>7476</v>
      </c>
      <c r="AD610" t="s">
        <v>1942</v>
      </c>
      <c r="AE610" t="s">
        <v>1943</v>
      </c>
      <c r="AG610" t="s">
        <v>64</v>
      </c>
      <c r="AH610">
        <v>3</v>
      </c>
      <c r="AI610" s="8" t="str">
        <f t="shared" si="198"/>
        <v/>
      </c>
      <c r="AJ610" s="8" t="str">
        <f t="shared" si="199"/>
        <v/>
      </c>
      <c r="AK610" s="38" t="str">
        <f t="shared" si="197"/>
        <v/>
      </c>
      <c r="AL610" t="str">
        <f t="shared" si="200"/>
        <v/>
      </c>
      <c r="AM610" t="str">
        <f t="shared" si="201"/>
        <v/>
      </c>
      <c r="AN610" t="str">
        <f t="shared" si="202"/>
        <v/>
      </c>
      <c r="AO610">
        <f t="shared" si="203"/>
        <v>4</v>
      </c>
      <c r="AP610">
        <f t="shared" si="204"/>
        <v>0</v>
      </c>
      <c r="AQ610" t="str">
        <f t="shared" si="205"/>
        <v/>
      </c>
    </row>
    <row r="611" spans="1:43" x14ac:dyDescent="0.35">
      <c r="A611">
        <v>1129</v>
      </c>
      <c r="B611" t="s">
        <v>1944</v>
      </c>
      <c r="C611" t="s">
        <v>1922</v>
      </c>
      <c r="D611" t="str">
        <f t="shared" si="195"/>
        <v>Operations</v>
      </c>
      <c r="E611" t="s">
        <v>1891</v>
      </c>
      <c r="F611" t="s">
        <v>1669</v>
      </c>
      <c r="G611" t="s">
        <v>1941</v>
      </c>
      <c r="H611" t="s">
        <v>48</v>
      </c>
      <c r="I611" s="32">
        <v>45095.561550925922</v>
      </c>
      <c r="J611" s="32">
        <v>45097.561550925922</v>
      </c>
      <c r="K611" s="32">
        <v>45102.561550925922</v>
      </c>
      <c r="L611" s="8">
        <f t="shared" si="196"/>
        <v>7</v>
      </c>
      <c r="M611" s="7">
        <v>45108.561550925922</v>
      </c>
      <c r="N611" t="s">
        <v>72</v>
      </c>
      <c r="O611" s="34" t="s">
        <v>7474</v>
      </c>
      <c r="R611" s="32" t="s">
        <v>7472</v>
      </c>
      <c r="S611" t="s">
        <v>7476</v>
      </c>
      <c r="T611" s="34" t="s">
        <v>7476</v>
      </c>
      <c r="U611" s="34" t="s">
        <v>7476</v>
      </c>
      <c r="V611" s="32" t="s">
        <v>7476</v>
      </c>
      <c r="W611" s="32" t="s">
        <v>7476</v>
      </c>
      <c r="X611">
        <v>0</v>
      </c>
      <c r="Y611" s="34" t="s">
        <v>7476</v>
      </c>
      <c r="Z611" s="34" t="s">
        <v>7476</v>
      </c>
      <c r="AA611" s="34" t="s">
        <v>7476</v>
      </c>
      <c r="AB611" s="36" t="s">
        <v>7476</v>
      </c>
      <c r="AD611" t="s">
        <v>1945</v>
      </c>
      <c r="AE611" t="s">
        <v>1946</v>
      </c>
      <c r="AG611" t="s">
        <v>98</v>
      </c>
      <c r="AH611">
        <v>6</v>
      </c>
      <c r="AI611" s="8" t="str">
        <f t="shared" si="198"/>
        <v/>
      </c>
      <c r="AJ611" s="8" t="str">
        <f t="shared" si="199"/>
        <v/>
      </c>
      <c r="AK611" s="38" t="str">
        <f t="shared" si="197"/>
        <v/>
      </c>
      <c r="AL611" t="str">
        <f t="shared" si="200"/>
        <v/>
      </c>
      <c r="AM611" t="str">
        <f t="shared" si="201"/>
        <v/>
      </c>
      <c r="AN611" t="str">
        <f t="shared" si="202"/>
        <v/>
      </c>
      <c r="AO611">
        <f t="shared" si="203"/>
        <v>2</v>
      </c>
      <c r="AP611">
        <f t="shared" si="204"/>
        <v>0</v>
      </c>
      <c r="AQ611" t="str">
        <f t="shared" si="205"/>
        <v/>
      </c>
    </row>
    <row r="612" spans="1:43" x14ac:dyDescent="0.35">
      <c r="A612">
        <v>1082</v>
      </c>
      <c r="B612" t="s">
        <v>1947</v>
      </c>
      <c r="C612" t="s">
        <v>1897</v>
      </c>
      <c r="D612" t="str">
        <f t="shared" si="195"/>
        <v>Operations</v>
      </c>
      <c r="E612" t="s">
        <v>1891</v>
      </c>
      <c r="F612" t="s">
        <v>1669</v>
      </c>
      <c r="G612" t="s">
        <v>1941</v>
      </c>
      <c r="H612" t="s">
        <v>48</v>
      </c>
      <c r="I612" s="32" t="s">
        <v>7471</v>
      </c>
      <c r="J612" s="32">
        <v>44894.976215277777</v>
      </c>
      <c r="K612" s="32">
        <v>44899.976215277777</v>
      </c>
      <c r="L612" s="8" t="str">
        <f t="shared" si="196"/>
        <v/>
      </c>
      <c r="M612" s="7">
        <v>44918.976215277777</v>
      </c>
      <c r="N612" t="s">
        <v>49</v>
      </c>
      <c r="O612" s="34">
        <v>44906.976215277777</v>
      </c>
      <c r="P612" t="s">
        <v>101</v>
      </c>
      <c r="R612" s="32">
        <v>44910.976215277777</v>
      </c>
      <c r="S612" t="s">
        <v>101</v>
      </c>
      <c r="T612" s="34">
        <v>44907.976215277777</v>
      </c>
      <c r="U612" s="34">
        <v>44908.976215277777</v>
      </c>
      <c r="V612" s="32">
        <v>44909.976215277777</v>
      </c>
      <c r="W612" s="32">
        <v>44910.976215277777</v>
      </c>
      <c r="X612">
        <v>1</v>
      </c>
      <c r="Y612" s="34">
        <v>44912.976215277777</v>
      </c>
      <c r="Z612" s="34">
        <v>44914.976215277777</v>
      </c>
      <c r="AA612" s="34">
        <v>44916.976215277777</v>
      </c>
      <c r="AB612" s="36" t="s">
        <v>7476</v>
      </c>
      <c r="AC612" s="10">
        <v>44937.976215277777</v>
      </c>
      <c r="AD612" t="s">
        <v>1948</v>
      </c>
      <c r="AE612" t="s">
        <v>1949</v>
      </c>
      <c r="AF612" s="16">
        <v>44890</v>
      </c>
      <c r="AG612" t="s">
        <v>93</v>
      </c>
      <c r="AH612">
        <v>6</v>
      </c>
      <c r="AK612" s="38">
        <f t="shared" si="197"/>
        <v>45089.976215277777</v>
      </c>
    </row>
    <row r="613" spans="1:43" x14ac:dyDescent="0.35">
      <c r="A613">
        <v>1046</v>
      </c>
      <c r="B613" t="s">
        <v>1950</v>
      </c>
      <c r="C613" t="s">
        <v>1897</v>
      </c>
      <c r="D613" t="str">
        <f t="shared" si="195"/>
        <v>Operations</v>
      </c>
      <c r="E613" t="s">
        <v>1891</v>
      </c>
      <c r="F613" t="s">
        <v>1669</v>
      </c>
      <c r="G613" t="s">
        <v>1941</v>
      </c>
      <c r="H613" t="s">
        <v>48</v>
      </c>
      <c r="I613" s="32">
        <v>44887.960578703707</v>
      </c>
      <c r="J613" s="32">
        <v>44889.960578703707</v>
      </c>
      <c r="K613" s="32">
        <v>44891.960578703707</v>
      </c>
      <c r="L613" s="8">
        <f t="shared" si="196"/>
        <v>4</v>
      </c>
      <c r="M613" s="7">
        <v>44910.960578703707</v>
      </c>
      <c r="N613" t="s">
        <v>72</v>
      </c>
      <c r="O613" s="34" t="s">
        <v>7474</v>
      </c>
      <c r="R613" s="32" t="s">
        <v>7472</v>
      </c>
      <c r="S613" t="s">
        <v>7476</v>
      </c>
      <c r="T613" s="34" t="s">
        <v>7476</v>
      </c>
      <c r="U613" s="34" t="s">
        <v>7476</v>
      </c>
      <c r="V613" s="32" t="s">
        <v>7476</v>
      </c>
      <c r="W613" s="32" t="s">
        <v>7476</v>
      </c>
      <c r="X613">
        <v>0</v>
      </c>
      <c r="Y613" s="34" t="s">
        <v>7476</v>
      </c>
      <c r="Z613" s="34" t="s">
        <v>7476</v>
      </c>
      <c r="AA613" s="34" t="s">
        <v>7476</v>
      </c>
      <c r="AB613" s="36" t="s">
        <v>7476</v>
      </c>
      <c r="AD613" t="s">
        <v>1951</v>
      </c>
      <c r="AE613" t="s">
        <v>1952</v>
      </c>
      <c r="AG613" t="s">
        <v>98</v>
      </c>
      <c r="AH613">
        <v>6</v>
      </c>
      <c r="AI613" s="8" t="str">
        <f>IFERROR(R613-AF613,"")</f>
        <v/>
      </c>
      <c r="AJ613" s="8" t="str">
        <f>IFERROR(O613-AF613,"")</f>
        <v/>
      </c>
      <c r="AK613" s="38" t="str">
        <f t="shared" si="197"/>
        <v/>
      </c>
      <c r="AL613" t="str">
        <f>IFERROR(Z613-W613,"")</f>
        <v/>
      </c>
      <c r="AM613" t="str">
        <f>IFERROR(R613-J613,"")</f>
        <v/>
      </c>
      <c r="AN613" t="str">
        <f>IFERROR(V613-O613,"")</f>
        <v/>
      </c>
      <c r="AO613">
        <f>IFERROR(J613-I613,"")</f>
        <v>2</v>
      </c>
      <c r="AP613">
        <f>IFERROR(AC613-X613,"")</f>
        <v>0</v>
      </c>
      <c r="AQ613" t="str">
        <f>IFERROR(AA613-W613,"")</f>
        <v/>
      </c>
    </row>
    <row r="614" spans="1:43" x14ac:dyDescent="0.35">
      <c r="A614">
        <v>940</v>
      </c>
      <c r="B614" t="s">
        <v>1953</v>
      </c>
      <c r="C614" t="s">
        <v>1922</v>
      </c>
      <c r="D614" t="str">
        <f t="shared" si="195"/>
        <v>Operations</v>
      </c>
      <c r="E614" t="s">
        <v>1891</v>
      </c>
      <c r="F614" t="s">
        <v>1669</v>
      </c>
      <c r="G614" t="s">
        <v>1941</v>
      </c>
      <c r="H614" t="s">
        <v>48</v>
      </c>
      <c r="I614" s="32">
        <v>44998.704907407409</v>
      </c>
      <c r="J614" s="32">
        <v>45001.704907407409</v>
      </c>
      <c r="K614" s="32">
        <v>45005.704907407409</v>
      </c>
      <c r="L614" s="8">
        <f t="shared" si="196"/>
        <v>7</v>
      </c>
      <c r="M614" s="7">
        <v>45034.704907407409</v>
      </c>
      <c r="N614" t="s">
        <v>49</v>
      </c>
      <c r="O614" s="34">
        <v>45017.704907407409</v>
      </c>
      <c r="P614" t="s">
        <v>60</v>
      </c>
      <c r="R614" s="32">
        <v>45020.704907407409</v>
      </c>
      <c r="S614" t="s">
        <v>61</v>
      </c>
      <c r="T614" s="34" t="s">
        <v>7476</v>
      </c>
      <c r="U614" s="34" t="s">
        <v>7476</v>
      </c>
      <c r="V614" s="32">
        <v>45019.704907407409</v>
      </c>
      <c r="W614" s="32" t="s">
        <v>7476</v>
      </c>
      <c r="X614">
        <v>0</v>
      </c>
      <c r="Y614" s="34" t="s">
        <v>7476</v>
      </c>
      <c r="Z614" s="34" t="s">
        <v>7476</v>
      </c>
      <c r="AA614" s="34" t="s">
        <v>7476</v>
      </c>
      <c r="AB614" s="36" t="s">
        <v>7476</v>
      </c>
      <c r="AD614" t="s">
        <v>1954</v>
      </c>
      <c r="AE614" t="s">
        <v>1955</v>
      </c>
      <c r="AF614" s="16">
        <v>45009</v>
      </c>
      <c r="AG614" t="s">
        <v>64</v>
      </c>
      <c r="AH614">
        <v>6</v>
      </c>
      <c r="AI614" s="8">
        <f>IFERROR(R614-AF614,"")</f>
        <v>11.704907407409337</v>
      </c>
      <c r="AJ614" s="8">
        <f>IFERROR(O614-AF614,"")</f>
        <v>8.7049074074093369</v>
      </c>
      <c r="AK614" s="38">
        <f t="shared" si="197"/>
        <v>45199.704907407409</v>
      </c>
      <c r="AL614" t="str">
        <f>IFERROR(Z614-W614,"")</f>
        <v/>
      </c>
      <c r="AM614">
        <f>IFERROR(R614-J614,"")</f>
        <v>19</v>
      </c>
      <c r="AN614">
        <f>IFERROR(V614-O614,"")</f>
        <v>2</v>
      </c>
      <c r="AO614">
        <f>IFERROR(J614-I614,"")</f>
        <v>3</v>
      </c>
      <c r="AP614">
        <f>IFERROR(AC614-X614,"")</f>
        <v>0</v>
      </c>
      <c r="AQ614" t="str">
        <f>IFERROR(AA614-W614,"")</f>
        <v/>
      </c>
    </row>
    <row r="615" spans="1:43" x14ac:dyDescent="0.35">
      <c r="A615">
        <v>848</v>
      </c>
      <c r="B615" t="s">
        <v>1956</v>
      </c>
      <c r="C615" t="s">
        <v>1890</v>
      </c>
      <c r="D615" t="str">
        <f t="shared" si="195"/>
        <v>Operations</v>
      </c>
      <c r="E615" t="s">
        <v>1891</v>
      </c>
      <c r="F615" t="s">
        <v>1669</v>
      </c>
      <c r="G615" t="s">
        <v>1941</v>
      </c>
      <c r="H615" t="s">
        <v>48</v>
      </c>
      <c r="I615" s="32">
        <v>44778.836053240739</v>
      </c>
      <c r="J615" s="32">
        <v>44780.836053240739</v>
      </c>
      <c r="K615" s="32">
        <v>44783.836053240739</v>
      </c>
      <c r="L615" s="8">
        <f t="shared" si="196"/>
        <v>5</v>
      </c>
      <c r="M615" s="7">
        <v>44789.836053240739</v>
      </c>
      <c r="N615" t="s">
        <v>49</v>
      </c>
      <c r="O615" s="34">
        <v>44795.836053240739</v>
      </c>
      <c r="P615" t="s">
        <v>50</v>
      </c>
      <c r="Q615" t="s">
        <v>236</v>
      </c>
      <c r="R615" s="32" t="s">
        <v>7472</v>
      </c>
      <c r="S615" t="s">
        <v>7476</v>
      </c>
      <c r="T615" s="34" t="s">
        <v>7476</v>
      </c>
      <c r="U615" s="34" t="s">
        <v>7476</v>
      </c>
      <c r="V615" s="32" t="s">
        <v>7476</v>
      </c>
      <c r="W615" s="32" t="s">
        <v>7476</v>
      </c>
      <c r="X615">
        <v>0</v>
      </c>
      <c r="Y615" s="34" t="s">
        <v>7476</v>
      </c>
      <c r="Z615" s="34" t="s">
        <v>7476</v>
      </c>
      <c r="AA615" s="34" t="s">
        <v>7476</v>
      </c>
      <c r="AB615" s="36" t="s">
        <v>95</v>
      </c>
      <c r="AD615" t="s">
        <v>1957</v>
      </c>
      <c r="AE615" t="s">
        <v>1958</v>
      </c>
      <c r="AF615" s="16">
        <v>44689</v>
      </c>
      <c r="AG615" t="s">
        <v>68</v>
      </c>
      <c r="AH615">
        <v>3</v>
      </c>
      <c r="AI615" s="8" t="str">
        <f>IFERROR(R615-AF615,"")</f>
        <v/>
      </c>
      <c r="AJ615" s="8">
        <f>IFERROR(O615-AF615,"")</f>
        <v>106.83605324073869</v>
      </c>
      <c r="AK615" s="38" t="str">
        <f t="shared" si="197"/>
        <v/>
      </c>
      <c r="AL615" t="str">
        <f>IFERROR(Z615-W615,"")</f>
        <v/>
      </c>
      <c r="AM615" t="str">
        <f>IFERROR(R615-J615,"")</f>
        <v/>
      </c>
      <c r="AN615" t="str">
        <f>IFERROR(V615-O615,"")</f>
        <v/>
      </c>
      <c r="AO615">
        <f>IFERROR(J615-I615,"")</f>
        <v>2</v>
      </c>
      <c r="AP615">
        <f>IFERROR(AC615-X615,"")</f>
        <v>0</v>
      </c>
      <c r="AQ615" t="str">
        <f>IFERROR(AA615-W615,"")</f>
        <v/>
      </c>
    </row>
    <row r="616" spans="1:43" x14ac:dyDescent="0.35">
      <c r="A616">
        <v>819</v>
      </c>
      <c r="B616" t="s">
        <v>1959</v>
      </c>
      <c r="C616" t="s">
        <v>1890</v>
      </c>
      <c r="D616" t="str">
        <f t="shared" si="195"/>
        <v>Operations</v>
      </c>
      <c r="E616" t="s">
        <v>1891</v>
      </c>
      <c r="F616" t="s">
        <v>1669</v>
      </c>
      <c r="G616" t="s">
        <v>1941</v>
      </c>
      <c r="H616" t="s">
        <v>48</v>
      </c>
      <c r="I616" s="32" t="s">
        <v>7471</v>
      </c>
      <c r="J616" s="32">
        <v>44674.895150462973</v>
      </c>
      <c r="K616" s="32">
        <v>44676.895150462973</v>
      </c>
      <c r="L616" s="8" t="str">
        <f t="shared" si="196"/>
        <v/>
      </c>
      <c r="M616" s="7">
        <v>44704.895150462973</v>
      </c>
      <c r="N616" t="s">
        <v>49</v>
      </c>
      <c r="O616" s="34">
        <v>44690.895150462973</v>
      </c>
      <c r="P616" t="s">
        <v>60</v>
      </c>
      <c r="R616" s="32">
        <v>44697.895150462973</v>
      </c>
      <c r="S616" t="s">
        <v>61</v>
      </c>
      <c r="T616" s="34" t="s">
        <v>7476</v>
      </c>
      <c r="U616" s="34" t="s">
        <v>7476</v>
      </c>
      <c r="V616" s="32">
        <v>44694.895150462973</v>
      </c>
      <c r="W616" s="32" t="s">
        <v>7476</v>
      </c>
      <c r="X616">
        <v>0</v>
      </c>
      <c r="Y616" s="34" t="s">
        <v>7476</v>
      </c>
      <c r="Z616" s="34" t="s">
        <v>7476</v>
      </c>
      <c r="AA616" s="34" t="s">
        <v>7476</v>
      </c>
      <c r="AB616" s="36" t="s">
        <v>7476</v>
      </c>
      <c r="AD616" t="s">
        <v>1960</v>
      </c>
      <c r="AE616" t="s">
        <v>1961</v>
      </c>
      <c r="AF616" s="16">
        <v>44679</v>
      </c>
      <c r="AG616" t="s">
        <v>98</v>
      </c>
      <c r="AH616">
        <v>6</v>
      </c>
      <c r="AK616" s="38">
        <f t="shared" si="197"/>
        <v>44874.895150462973</v>
      </c>
    </row>
    <row r="617" spans="1:43" x14ac:dyDescent="0.35">
      <c r="A617">
        <v>814</v>
      </c>
      <c r="B617" t="s">
        <v>1962</v>
      </c>
      <c r="C617" t="s">
        <v>1922</v>
      </c>
      <c r="D617" t="str">
        <f t="shared" si="195"/>
        <v>Operations</v>
      </c>
      <c r="E617" t="s">
        <v>1891</v>
      </c>
      <c r="F617" t="s">
        <v>1669</v>
      </c>
      <c r="G617" t="s">
        <v>1941</v>
      </c>
      <c r="H617" t="s">
        <v>48</v>
      </c>
      <c r="I617" s="32">
        <v>44671.895150462973</v>
      </c>
      <c r="J617" s="32">
        <v>44672.895150462973</v>
      </c>
      <c r="K617" s="32">
        <v>44676.895150462973</v>
      </c>
      <c r="L617" s="8">
        <f t="shared" si="196"/>
        <v>5</v>
      </c>
      <c r="M617" s="7">
        <v>44691.895150462973</v>
      </c>
      <c r="N617" t="s">
        <v>49</v>
      </c>
      <c r="O617" s="34">
        <v>44686.895150462973</v>
      </c>
      <c r="P617" t="s">
        <v>60</v>
      </c>
      <c r="R617" s="32">
        <v>44691.895150462973</v>
      </c>
      <c r="S617" t="s">
        <v>61</v>
      </c>
      <c r="T617" s="34" t="s">
        <v>7476</v>
      </c>
      <c r="U617" s="34" t="s">
        <v>7476</v>
      </c>
      <c r="V617" s="32">
        <v>44690.895150462973</v>
      </c>
      <c r="W617" s="32" t="s">
        <v>7476</v>
      </c>
      <c r="X617">
        <v>0</v>
      </c>
      <c r="Y617" s="34" t="s">
        <v>7476</v>
      </c>
      <c r="Z617" s="34" t="s">
        <v>7476</v>
      </c>
      <c r="AA617" s="34" t="s">
        <v>7476</v>
      </c>
      <c r="AB617" s="36" t="s">
        <v>7476</v>
      </c>
      <c r="AD617" t="s">
        <v>1963</v>
      </c>
      <c r="AE617" t="s">
        <v>1964</v>
      </c>
      <c r="AF617" s="16">
        <v>44672</v>
      </c>
      <c r="AG617" t="s">
        <v>64</v>
      </c>
      <c r="AH617">
        <v>3</v>
      </c>
      <c r="AI617" s="8">
        <f>IFERROR(R617-AF617,"")</f>
        <v>19.895150462973106</v>
      </c>
      <c r="AJ617" s="8">
        <f>IFERROR(O617-AF617,"")</f>
        <v>14.895150462973106</v>
      </c>
      <c r="AK617" s="38">
        <f t="shared" si="197"/>
        <v>44780.895150462973</v>
      </c>
      <c r="AL617" t="str">
        <f>IFERROR(Z617-W617,"")</f>
        <v/>
      </c>
      <c r="AM617">
        <f>IFERROR(R617-J617,"")</f>
        <v>19</v>
      </c>
      <c r="AN617">
        <f>IFERROR(V617-O617,"")</f>
        <v>4</v>
      </c>
      <c r="AO617">
        <f>IFERROR(J617-I617,"")</f>
        <v>1</v>
      </c>
      <c r="AP617">
        <f>IFERROR(AC617-X617,"")</f>
        <v>0</v>
      </c>
      <c r="AQ617" t="str">
        <f>IFERROR(AA617-W617,"")</f>
        <v/>
      </c>
    </row>
    <row r="618" spans="1:43" x14ac:dyDescent="0.35">
      <c r="A618">
        <v>790</v>
      </c>
      <c r="B618" t="s">
        <v>1965</v>
      </c>
      <c r="C618" t="s">
        <v>1897</v>
      </c>
      <c r="D618" t="str">
        <f t="shared" si="195"/>
        <v>Operations</v>
      </c>
      <c r="E618" t="s">
        <v>1891</v>
      </c>
      <c r="F618" t="s">
        <v>1669</v>
      </c>
      <c r="G618" t="s">
        <v>1941</v>
      </c>
      <c r="H618" t="s">
        <v>48</v>
      </c>
      <c r="I618" s="32">
        <v>44933.996932870366</v>
      </c>
      <c r="J618" s="32">
        <v>44935.996932870366</v>
      </c>
      <c r="K618" s="32">
        <v>44941.996932870366</v>
      </c>
      <c r="L618" s="8">
        <f t="shared" si="196"/>
        <v>8</v>
      </c>
      <c r="M618" s="7">
        <v>44963.996932870366</v>
      </c>
      <c r="N618" t="s">
        <v>49</v>
      </c>
      <c r="O618" s="34">
        <v>44954.996932870366</v>
      </c>
      <c r="P618" t="s">
        <v>50</v>
      </c>
      <c r="Q618" t="s">
        <v>51</v>
      </c>
      <c r="R618" s="32" t="s">
        <v>7472</v>
      </c>
      <c r="S618" t="s">
        <v>7476</v>
      </c>
      <c r="T618" s="34" t="s">
        <v>7476</v>
      </c>
      <c r="U618" s="34" t="s">
        <v>7476</v>
      </c>
      <c r="V618" s="32">
        <v>44955.996932870366</v>
      </c>
      <c r="W618" s="32" t="s">
        <v>7476</v>
      </c>
      <c r="X618">
        <v>0</v>
      </c>
      <c r="Y618" s="34" t="s">
        <v>7476</v>
      </c>
      <c r="Z618" s="34" t="s">
        <v>7476</v>
      </c>
      <c r="AA618" s="34" t="s">
        <v>7476</v>
      </c>
      <c r="AB618" s="36" t="s">
        <v>52</v>
      </c>
      <c r="AD618" t="s">
        <v>1966</v>
      </c>
      <c r="AE618" t="s">
        <v>1967</v>
      </c>
      <c r="AF618" s="16">
        <v>44935</v>
      </c>
      <c r="AG618" t="s">
        <v>64</v>
      </c>
      <c r="AH618">
        <v>3</v>
      </c>
      <c r="AI618" s="8" t="str">
        <f>IFERROR(R618-AF618,"")</f>
        <v/>
      </c>
      <c r="AJ618" s="8">
        <f>IFERROR(O618-AF618,"")</f>
        <v>19.996932870366436</v>
      </c>
      <c r="AK618" s="38">
        <f t="shared" si="197"/>
        <v>45045.996932870366</v>
      </c>
      <c r="AL618" t="str">
        <f>IFERROR(Z618-W618,"")</f>
        <v/>
      </c>
      <c r="AM618" t="str">
        <f>IFERROR(R618-J618,"")</f>
        <v/>
      </c>
      <c r="AN618">
        <f>IFERROR(V618-O618,"")</f>
        <v>1</v>
      </c>
      <c r="AO618">
        <f>IFERROR(J618-I618,"")</f>
        <v>2</v>
      </c>
      <c r="AP618">
        <f>IFERROR(AC618-X618,"")</f>
        <v>0</v>
      </c>
      <c r="AQ618" t="str">
        <f>IFERROR(AA618-W618,"")</f>
        <v/>
      </c>
    </row>
    <row r="619" spans="1:43" x14ac:dyDescent="0.35">
      <c r="A619">
        <v>736</v>
      </c>
      <c r="B619" t="s">
        <v>1968</v>
      </c>
      <c r="C619" t="s">
        <v>1897</v>
      </c>
      <c r="D619" t="str">
        <f t="shared" si="195"/>
        <v>Operations</v>
      </c>
      <c r="E619" t="s">
        <v>1891</v>
      </c>
      <c r="F619" t="s">
        <v>1669</v>
      </c>
      <c r="G619" t="s">
        <v>1941</v>
      </c>
      <c r="H619" t="s">
        <v>48</v>
      </c>
      <c r="I619" s="32" t="s">
        <v>7471</v>
      </c>
      <c r="J619" s="32">
        <v>45043.644548611112</v>
      </c>
      <c r="K619" s="32">
        <v>45047.644548611112</v>
      </c>
      <c r="L619" s="8" t="str">
        <f t="shared" si="196"/>
        <v/>
      </c>
      <c r="M619" s="7">
        <v>45066.644548611112</v>
      </c>
      <c r="N619" t="s">
        <v>72</v>
      </c>
      <c r="O619" s="34" t="s">
        <v>7474</v>
      </c>
      <c r="R619" s="32" t="s">
        <v>7472</v>
      </c>
      <c r="S619" t="s">
        <v>7476</v>
      </c>
      <c r="T619" s="34" t="s">
        <v>7476</v>
      </c>
      <c r="U619" s="34" t="s">
        <v>7476</v>
      </c>
      <c r="V619" s="32" t="s">
        <v>7476</v>
      </c>
      <c r="W619" s="32" t="s">
        <v>7476</v>
      </c>
      <c r="X619">
        <v>0</v>
      </c>
      <c r="Y619" s="34" t="s">
        <v>7476</v>
      </c>
      <c r="Z619" s="34" t="s">
        <v>7476</v>
      </c>
      <c r="AA619" s="34" t="s">
        <v>7476</v>
      </c>
      <c r="AB619" s="36" t="s">
        <v>7476</v>
      </c>
      <c r="AD619" t="s">
        <v>1969</v>
      </c>
      <c r="AE619" t="s">
        <v>1970</v>
      </c>
      <c r="AG619" t="s">
        <v>55</v>
      </c>
      <c r="AH619">
        <v>6</v>
      </c>
      <c r="AK619" s="38" t="str">
        <f t="shared" si="197"/>
        <v/>
      </c>
    </row>
    <row r="620" spans="1:43" x14ac:dyDescent="0.35">
      <c r="A620">
        <v>733</v>
      </c>
      <c r="B620" t="s">
        <v>1971</v>
      </c>
      <c r="C620" t="s">
        <v>1897</v>
      </c>
      <c r="D620" t="str">
        <f t="shared" si="195"/>
        <v>Operations</v>
      </c>
      <c r="E620" t="s">
        <v>1891</v>
      </c>
      <c r="F620" t="s">
        <v>1669</v>
      </c>
      <c r="G620" t="s">
        <v>1941</v>
      </c>
      <c r="H620" t="s">
        <v>48</v>
      </c>
      <c r="I620" s="32">
        <v>45038.644548611112</v>
      </c>
      <c r="J620" s="32">
        <v>45042.644548611112</v>
      </c>
      <c r="K620" s="32">
        <v>45047.644548611112</v>
      </c>
      <c r="L620" s="8">
        <f t="shared" si="196"/>
        <v>9</v>
      </c>
      <c r="M620" s="7">
        <v>45059.644548611112</v>
      </c>
      <c r="N620" t="s">
        <v>49</v>
      </c>
      <c r="O620" s="34">
        <v>45060.644548611112</v>
      </c>
      <c r="P620" t="s">
        <v>101</v>
      </c>
      <c r="R620" s="32">
        <v>45065.644548611112</v>
      </c>
      <c r="S620" t="s">
        <v>101</v>
      </c>
      <c r="T620" s="34">
        <v>45061.644548611112</v>
      </c>
      <c r="U620" s="34">
        <v>45062.644548611112</v>
      </c>
      <c r="V620" s="32">
        <v>45064.644548611112</v>
      </c>
      <c r="W620" s="32">
        <v>45073.644548611112</v>
      </c>
      <c r="X620">
        <v>1</v>
      </c>
      <c r="Y620" s="34">
        <v>45076.644548611112</v>
      </c>
      <c r="Z620" s="34">
        <v>45077.644548611112</v>
      </c>
      <c r="AA620" s="34">
        <v>45079.644548611112</v>
      </c>
      <c r="AB620" s="36" t="s">
        <v>7476</v>
      </c>
      <c r="AC620" s="10">
        <v>45094.644548611112</v>
      </c>
      <c r="AD620" t="s">
        <v>1972</v>
      </c>
      <c r="AE620" t="s">
        <v>1973</v>
      </c>
      <c r="AF620" s="16">
        <v>45143</v>
      </c>
      <c r="AG620" t="s">
        <v>68</v>
      </c>
      <c r="AH620">
        <v>3</v>
      </c>
      <c r="AI620" s="8">
        <f>IFERROR(R620-AF620,"")</f>
        <v>-77.355451388888469</v>
      </c>
      <c r="AJ620" s="8">
        <f>IFERROR(O620-AF620,"")</f>
        <v>-82.355451388888469</v>
      </c>
      <c r="AK620" s="38">
        <f t="shared" si="197"/>
        <v>45154.644548611112</v>
      </c>
      <c r="AL620">
        <f>IFERROR(Z620-W620,"")</f>
        <v>4</v>
      </c>
      <c r="AM620">
        <f>IFERROR(R620-J620,"")</f>
        <v>23</v>
      </c>
      <c r="AN620">
        <f>IFERROR(V620-O620,"")</f>
        <v>4</v>
      </c>
      <c r="AO620">
        <f>IFERROR(J620-I620,"")</f>
        <v>4</v>
      </c>
      <c r="AP620">
        <f>IFERROR(AC620-X620,"")</f>
        <v>45093.644548611112</v>
      </c>
      <c r="AQ620">
        <f>IFERROR(AA620-W620,"")</f>
        <v>6</v>
      </c>
    </row>
    <row r="621" spans="1:43" x14ac:dyDescent="0.35">
      <c r="A621">
        <v>681</v>
      </c>
      <c r="B621" t="s">
        <v>1974</v>
      </c>
      <c r="C621" t="s">
        <v>1897</v>
      </c>
      <c r="D621" t="str">
        <f t="shared" si="195"/>
        <v>Operations</v>
      </c>
      <c r="E621" t="s">
        <v>1891</v>
      </c>
      <c r="F621" t="s">
        <v>1669</v>
      </c>
      <c r="G621" t="s">
        <v>1941</v>
      </c>
      <c r="H621" t="s">
        <v>48</v>
      </c>
      <c r="I621" s="32">
        <v>45100.115520833337</v>
      </c>
      <c r="J621" s="32">
        <v>45102.115520833337</v>
      </c>
      <c r="K621" s="32" t="s">
        <v>7473</v>
      </c>
      <c r="L621" s="8" t="str">
        <f t="shared" si="196"/>
        <v/>
      </c>
      <c r="M621" s="7">
        <v>45125.115520833337</v>
      </c>
      <c r="N621" t="s">
        <v>49</v>
      </c>
      <c r="O621" s="34">
        <v>45121.115520833337</v>
      </c>
      <c r="P621" t="s">
        <v>50</v>
      </c>
      <c r="Q621" t="s">
        <v>84</v>
      </c>
      <c r="R621" s="32" t="s">
        <v>7472</v>
      </c>
      <c r="S621" t="s">
        <v>7476</v>
      </c>
      <c r="T621" s="34" t="s">
        <v>7476</v>
      </c>
      <c r="U621" s="34" t="s">
        <v>7476</v>
      </c>
      <c r="V621" s="32" t="s">
        <v>7476</v>
      </c>
      <c r="W621" s="32" t="s">
        <v>7476</v>
      </c>
      <c r="X621">
        <v>0</v>
      </c>
      <c r="Y621" s="34" t="s">
        <v>7476</v>
      </c>
      <c r="Z621" s="34" t="s">
        <v>7476</v>
      </c>
      <c r="AA621" s="34" t="s">
        <v>7476</v>
      </c>
      <c r="AB621" s="36" t="s">
        <v>52</v>
      </c>
      <c r="AD621" t="s">
        <v>1975</v>
      </c>
      <c r="AE621" t="s">
        <v>1976</v>
      </c>
      <c r="AF621" s="16">
        <v>45107</v>
      </c>
      <c r="AG621" t="s">
        <v>55</v>
      </c>
      <c r="AH621">
        <v>3</v>
      </c>
      <c r="AK621" s="38" t="str">
        <f t="shared" si="197"/>
        <v/>
      </c>
    </row>
    <row r="622" spans="1:43" x14ac:dyDescent="0.35">
      <c r="A622">
        <v>568</v>
      </c>
      <c r="B622" t="s">
        <v>1977</v>
      </c>
      <c r="C622" t="s">
        <v>1922</v>
      </c>
      <c r="D622" t="str">
        <f t="shared" si="195"/>
        <v>Operations</v>
      </c>
      <c r="E622" t="s">
        <v>1891</v>
      </c>
      <c r="F622" t="s">
        <v>1669</v>
      </c>
      <c r="G622" t="s">
        <v>1941</v>
      </c>
      <c r="H622" t="s">
        <v>48</v>
      </c>
      <c r="I622" s="32">
        <v>44864.965416666673</v>
      </c>
      <c r="J622" s="32" t="s">
        <v>7471</v>
      </c>
      <c r="K622" s="32">
        <v>44873.965416666673</v>
      </c>
      <c r="L622" s="8">
        <f t="shared" si="196"/>
        <v>9</v>
      </c>
      <c r="M622" s="7">
        <v>44882.965416666673</v>
      </c>
      <c r="N622" t="s">
        <v>49</v>
      </c>
      <c r="O622" s="34">
        <v>44889.965416666673</v>
      </c>
      <c r="P622" t="s">
        <v>50</v>
      </c>
      <c r="Q622" t="s">
        <v>51</v>
      </c>
      <c r="R622" s="32" t="s">
        <v>7472</v>
      </c>
      <c r="S622" t="s">
        <v>7476</v>
      </c>
      <c r="T622" s="34" t="s">
        <v>7476</v>
      </c>
      <c r="U622" s="34" t="s">
        <v>7476</v>
      </c>
      <c r="V622" s="32">
        <v>44892.965416666673</v>
      </c>
      <c r="W622" s="32" t="s">
        <v>7476</v>
      </c>
      <c r="X622">
        <v>0</v>
      </c>
      <c r="Y622" s="34" t="s">
        <v>7476</v>
      </c>
      <c r="Z622" s="34" t="s">
        <v>7476</v>
      </c>
      <c r="AA622" s="34" t="s">
        <v>7476</v>
      </c>
      <c r="AB622" s="36" t="s">
        <v>52</v>
      </c>
      <c r="AD622" t="s">
        <v>1978</v>
      </c>
      <c r="AE622" t="s">
        <v>1979</v>
      </c>
      <c r="AF622" s="16">
        <v>44877</v>
      </c>
      <c r="AG622" t="s">
        <v>55</v>
      </c>
      <c r="AH622">
        <v>6</v>
      </c>
      <c r="AK622" s="38">
        <f t="shared" si="197"/>
        <v>45072.965416666673</v>
      </c>
    </row>
    <row r="623" spans="1:43" x14ac:dyDescent="0.35">
      <c r="A623">
        <v>565</v>
      </c>
      <c r="B623" t="s">
        <v>1980</v>
      </c>
      <c r="C623" t="s">
        <v>1890</v>
      </c>
      <c r="D623" t="str">
        <f t="shared" si="195"/>
        <v>Operations</v>
      </c>
      <c r="E623" t="s">
        <v>1891</v>
      </c>
      <c r="F623" t="s">
        <v>1669</v>
      </c>
      <c r="G623" t="s">
        <v>1941</v>
      </c>
      <c r="H623" t="s">
        <v>48</v>
      </c>
      <c r="I623" s="32">
        <v>44869.965416666673</v>
      </c>
      <c r="J623" s="32">
        <v>44870.965416666673</v>
      </c>
      <c r="K623" s="32">
        <v>44873.965416666673</v>
      </c>
      <c r="L623" s="8">
        <f t="shared" si="196"/>
        <v>4</v>
      </c>
      <c r="M623" s="7">
        <v>44890.965416666673</v>
      </c>
      <c r="N623" t="s">
        <v>49</v>
      </c>
      <c r="O623" s="34">
        <v>44882.965416666673</v>
      </c>
      <c r="P623" t="s">
        <v>101</v>
      </c>
      <c r="R623" s="32">
        <v>44889.965416666673</v>
      </c>
      <c r="S623" t="s">
        <v>101</v>
      </c>
      <c r="T623" s="34">
        <v>44883.965416666673</v>
      </c>
      <c r="U623" s="34">
        <v>44885.965416666673</v>
      </c>
      <c r="V623" s="32">
        <v>44885.965416666673</v>
      </c>
      <c r="W623" s="32">
        <v>44890.965416666673</v>
      </c>
      <c r="X623">
        <v>1</v>
      </c>
      <c r="Y623" s="34">
        <v>44891.965416666673</v>
      </c>
      <c r="Z623" s="34">
        <v>44892.965416666673</v>
      </c>
      <c r="AA623" s="34">
        <v>44895.965416666673</v>
      </c>
      <c r="AB623" s="36" t="s">
        <v>7476</v>
      </c>
      <c r="AC623" s="10">
        <v>44906.965416666673</v>
      </c>
      <c r="AD623" t="s">
        <v>1981</v>
      </c>
      <c r="AE623" t="s">
        <v>1982</v>
      </c>
      <c r="AF623" s="16">
        <v>44875</v>
      </c>
      <c r="AG623" t="s">
        <v>68</v>
      </c>
      <c r="AH623">
        <v>3</v>
      </c>
      <c r="AI623" s="8">
        <f>IFERROR(R623-AF623,"")</f>
        <v>14.965416666673264</v>
      </c>
      <c r="AJ623" s="8">
        <f>IFERROR(O623-AF623,"")</f>
        <v>7.9654166666732635</v>
      </c>
      <c r="AK623" s="38">
        <f t="shared" si="197"/>
        <v>44975.965416666673</v>
      </c>
      <c r="AL623">
        <f>IFERROR(Z623-W623,"")</f>
        <v>2</v>
      </c>
      <c r="AM623">
        <f>IFERROR(R623-J623,"")</f>
        <v>19</v>
      </c>
      <c r="AN623">
        <f>IFERROR(V623-O623,"")</f>
        <v>3</v>
      </c>
      <c r="AO623">
        <f>IFERROR(J623-I623,"")</f>
        <v>1</v>
      </c>
      <c r="AP623">
        <f>IFERROR(AC623-X623,"")</f>
        <v>44905.965416666673</v>
      </c>
      <c r="AQ623">
        <f>IFERROR(AA623-W623,"")</f>
        <v>5</v>
      </c>
    </row>
    <row r="624" spans="1:43" x14ac:dyDescent="0.35">
      <c r="A624">
        <v>438</v>
      </c>
      <c r="B624" t="s">
        <v>1983</v>
      </c>
      <c r="C624" t="s">
        <v>1897</v>
      </c>
      <c r="D624" t="str">
        <f t="shared" si="195"/>
        <v>Operations</v>
      </c>
      <c r="E624" t="s">
        <v>1891</v>
      </c>
      <c r="F624" t="s">
        <v>1669</v>
      </c>
      <c r="G624" t="s">
        <v>1941</v>
      </c>
      <c r="H624" t="s">
        <v>48</v>
      </c>
      <c r="I624" s="32">
        <v>44736.315601851849</v>
      </c>
      <c r="J624" s="32">
        <v>44740.315601851849</v>
      </c>
      <c r="K624" s="32">
        <v>44741.315601851849</v>
      </c>
      <c r="L624" s="8">
        <f t="shared" si="196"/>
        <v>5</v>
      </c>
      <c r="M624" s="7">
        <v>44752.315601851849</v>
      </c>
      <c r="N624" t="s">
        <v>49</v>
      </c>
      <c r="O624" s="34">
        <v>44745.315601851849</v>
      </c>
      <c r="P624" t="s">
        <v>60</v>
      </c>
      <c r="R624" s="32">
        <v>44750.315601851849</v>
      </c>
      <c r="S624" t="s">
        <v>61</v>
      </c>
      <c r="T624" s="34" t="s">
        <v>7476</v>
      </c>
      <c r="U624" s="34" t="s">
        <v>7476</v>
      </c>
      <c r="V624" s="32">
        <v>44746.315601851849</v>
      </c>
      <c r="W624" s="32" t="s">
        <v>7476</v>
      </c>
      <c r="X624">
        <v>0</v>
      </c>
      <c r="Y624" s="34" t="s">
        <v>7476</v>
      </c>
      <c r="Z624" s="34" t="s">
        <v>7476</v>
      </c>
      <c r="AA624" s="34" t="s">
        <v>7476</v>
      </c>
      <c r="AB624" s="36" t="s">
        <v>7476</v>
      </c>
      <c r="AD624" t="s">
        <v>1984</v>
      </c>
      <c r="AE624" t="s">
        <v>1985</v>
      </c>
      <c r="AF624" s="16">
        <v>44740</v>
      </c>
      <c r="AG624" t="s">
        <v>64</v>
      </c>
      <c r="AH624">
        <v>3</v>
      </c>
      <c r="AI624" s="8">
        <f>IFERROR(R624-AF624,"")</f>
        <v>10.315601851849351</v>
      </c>
      <c r="AJ624" s="8">
        <f>IFERROR(O624-AF624,"")</f>
        <v>5.3156018518493511</v>
      </c>
      <c r="AK624" s="38">
        <f t="shared" si="197"/>
        <v>44836.315601851849</v>
      </c>
      <c r="AL624" t="str">
        <f>IFERROR(Z624-W624,"")</f>
        <v/>
      </c>
      <c r="AM624">
        <f>IFERROR(R624-J624,"")</f>
        <v>10</v>
      </c>
      <c r="AN624">
        <f>IFERROR(V624-O624,"")</f>
        <v>1</v>
      </c>
      <c r="AO624">
        <f>IFERROR(J624-I624,"")</f>
        <v>4</v>
      </c>
      <c r="AP624">
        <f>IFERROR(AC624-X624,"")</f>
        <v>0</v>
      </c>
      <c r="AQ624" t="str">
        <f>IFERROR(AA624-W624,"")</f>
        <v/>
      </c>
    </row>
    <row r="625" spans="1:43" x14ac:dyDescent="0.35">
      <c r="A625">
        <v>435</v>
      </c>
      <c r="B625" t="s">
        <v>1986</v>
      </c>
      <c r="C625" t="s">
        <v>1897</v>
      </c>
      <c r="D625" t="str">
        <f t="shared" si="195"/>
        <v>Operations</v>
      </c>
      <c r="E625" t="s">
        <v>1891</v>
      </c>
      <c r="F625" t="s">
        <v>1669</v>
      </c>
      <c r="G625" t="s">
        <v>1941</v>
      </c>
      <c r="H625" t="s">
        <v>48</v>
      </c>
      <c r="I625" s="32">
        <v>44737.315601851849</v>
      </c>
      <c r="J625" s="32">
        <v>44739.315601851849</v>
      </c>
      <c r="K625" s="32">
        <v>44741.315601851849</v>
      </c>
      <c r="L625" s="8">
        <f t="shared" si="196"/>
        <v>4</v>
      </c>
      <c r="M625" s="7">
        <v>44751.315601851849</v>
      </c>
      <c r="N625" t="s">
        <v>49</v>
      </c>
      <c r="O625" s="34">
        <v>44745.315601851849</v>
      </c>
      <c r="P625" t="s">
        <v>60</v>
      </c>
      <c r="R625" s="32">
        <v>44752.315601851849</v>
      </c>
      <c r="S625" t="s">
        <v>61</v>
      </c>
      <c r="T625" s="34" t="s">
        <v>7476</v>
      </c>
      <c r="U625" s="34" t="s">
        <v>7476</v>
      </c>
      <c r="V625" s="32">
        <v>44748.315601851849</v>
      </c>
      <c r="W625" s="32" t="s">
        <v>7476</v>
      </c>
      <c r="X625">
        <v>0</v>
      </c>
      <c r="Y625" s="34" t="s">
        <v>7476</v>
      </c>
      <c r="Z625" s="34" t="s">
        <v>7476</v>
      </c>
      <c r="AA625" s="34" t="s">
        <v>7476</v>
      </c>
      <c r="AB625" s="36" t="s">
        <v>7476</v>
      </c>
      <c r="AD625" t="s">
        <v>1987</v>
      </c>
      <c r="AE625" t="s">
        <v>1988</v>
      </c>
      <c r="AF625" s="16">
        <v>44728</v>
      </c>
      <c r="AG625" t="s">
        <v>68</v>
      </c>
      <c r="AH625">
        <v>3</v>
      </c>
      <c r="AI625" s="8">
        <f>IFERROR(R625-AF625,"")</f>
        <v>24.315601851849351</v>
      </c>
      <c r="AJ625" s="8">
        <f>IFERROR(O625-AF625,"")</f>
        <v>17.315601851849351</v>
      </c>
      <c r="AK625" s="38">
        <f t="shared" si="197"/>
        <v>44838.315601851849</v>
      </c>
      <c r="AL625" t="str">
        <f>IFERROR(Z625-W625,"")</f>
        <v/>
      </c>
      <c r="AM625">
        <f>IFERROR(R625-J625,"")</f>
        <v>13</v>
      </c>
      <c r="AN625">
        <f>IFERROR(V625-O625,"")</f>
        <v>3</v>
      </c>
      <c r="AO625">
        <f>IFERROR(J625-I625,"")</f>
        <v>2</v>
      </c>
      <c r="AP625">
        <f>IFERROR(AC625-X625,"")</f>
        <v>0</v>
      </c>
      <c r="AQ625" t="str">
        <f>IFERROR(AA625-W625,"")</f>
        <v/>
      </c>
    </row>
    <row r="626" spans="1:43" x14ac:dyDescent="0.35">
      <c r="A626">
        <v>370</v>
      </c>
      <c r="B626" t="s">
        <v>1989</v>
      </c>
      <c r="C626" t="s">
        <v>1922</v>
      </c>
      <c r="D626" t="str">
        <f t="shared" si="195"/>
        <v>Operations</v>
      </c>
      <c r="E626" t="s">
        <v>1891</v>
      </c>
      <c r="F626" t="s">
        <v>1669</v>
      </c>
      <c r="G626" t="s">
        <v>1941</v>
      </c>
      <c r="H626" t="s">
        <v>48</v>
      </c>
      <c r="I626" s="32">
        <v>44684.751585648148</v>
      </c>
      <c r="J626" s="32">
        <v>44686.751585648148</v>
      </c>
      <c r="K626" s="32">
        <v>44689.751585648148</v>
      </c>
      <c r="L626" s="8">
        <f t="shared" si="196"/>
        <v>5</v>
      </c>
      <c r="M626" s="7">
        <v>44703.751585648148</v>
      </c>
      <c r="N626" t="s">
        <v>49</v>
      </c>
      <c r="O626" s="34">
        <v>44693.751585648148</v>
      </c>
      <c r="P626" t="s">
        <v>50</v>
      </c>
      <c r="Q626" t="s">
        <v>84</v>
      </c>
      <c r="R626" s="32" t="s">
        <v>7472</v>
      </c>
      <c r="S626" t="s">
        <v>7476</v>
      </c>
      <c r="T626" s="34" t="s">
        <v>7476</v>
      </c>
      <c r="U626" s="34" t="s">
        <v>7476</v>
      </c>
      <c r="V626" s="32">
        <v>44696.751585648148</v>
      </c>
      <c r="W626" s="32" t="s">
        <v>7476</v>
      </c>
      <c r="X626">
        <v>0</v>
      </c>
      <c r="Y626" s="34" t="s">
        <v>7476</v>
      </c>
      <c r="Z626" s="34" t="s">
        <v>7476</v>
      </c>
      <c r="AA626" s="34" t="s">
        <v>7476</v>
      </c>
      <c r="AB626" s="36" t="s">
        <v>95</v>
      </c>
      <c r="AD626" t="s">
        <v>1990</v>
      </c>
      <c r="AE626" t="s">
        <v>1991</v>
      </c>
      <c r="AF626" s="16">
        <v>44717</v>
      </c>
      <c r="AG626" t="s">
        <v>64</v>
      </c>
      <c r="AH626">
        <v>3</v>
      </c>
      <c r="AI626" s="8" t="str">
        <f>IFERROR(R626-AF626,"")</f>
        <v/>
      </c>
      <c r="AJ626" s="8">
        <f>IFERROR(O626-AF626,"")</f>
        <v>-23.248414351852261</v>
      </c>
      <c r="AK626" s="38">
        <f t="shared" si="197"/>
        <v>44786.751585648148</v>
      </c>
      <c r="AL626" t="str">
        <f>IFERROR(Z626-W626,"")</f>
        <v/>
      </c>
      <c r="AM626" t="str">
        <f>IFERROR(R626-J626,"")</f>
        <v/>
      </c>
      <c r="AN626">
        <f>IFERROR(V626-O626,"")</f>
        <v>3</v>
      </c>
      <c r="AO626">
        <f>IFERROR(J626-I626,"")</f>
        <v>2</v>
      </c>
      <c r="AP626">
        <f>IFERROR(AC626-X626,"")</f>
        <v>0</v>
      </c>
      <c r="AQ626" t="str">
        <f>IFERROR(AA626-W626,"")</f>
        <v/>
      </c>
    </row>
    <row r="627" spans="1:43" x14ac:dyDescent="0.35">
      <c r="A627">
        <v>361</v>
      </c>
      <c r="B627" t="s">
        <v>1992</v>
      </c>
      <c r="C627" t="s">
        <v>1890</v>
      </c>
      <c r="D627" t="str">
        <f t="shared" si="195"/>
        <v>Operations</v>
      </c>
      <c r="E627" t="s">
        <v>1891</v>
      </c>
      <c r="F627" t="s">
        <v>1669</v>
      </c>
      <c r="G627" t="s">
        <v>1941</v>
      </c>
      <c r="H627" t="s">
        <v>48</v>
      </c>
      <c r="I627" s="32">
        <v>44682.751585648148</v>
      </c>
      <c r="J627" s="32">
        <v>44683.751585648148</v>
      </c>
      <c r="K627" s="32">
        <v>44689.751585648148</v>
      </c>
      <c r="L627" s="8">
        <f t="shared" si="196"/>
        <v>7</v>
      </c>
      <c r="M627" s="7">
        <v>44712.751585648148</v>
      </c>
      <c r="N627" t="s">
        <v>72</v>
      </c>
      <c r="O627" s="34" t="s">
        <v>7474</v>
      </c>
      <c r="R627" s="32" t="s">
        <v>7472</v>
      </c>
      <c r="S627" t="s">
        <v>7476</v>
      </c>
      <c r="T627" s="34" t="s">
        <v>7476</v>
      </c>
      <c r="U627" s="34" t="s">
        <v>7476</v>
      </c>
      <c r="V627" s="32" t="s">
        <v>7476</v>
      </c>
      <c r="W627" s="32" t="s">
        <v>7476</v>
      </c>
      <c r="X627">
        <v>0</v>
      </c>
      <c r="Y627" s="34" t="s">
        <v>7476</v>
      </c>
      <c r="Z627" s="34" t="s">
        <v>7476</v>
      </c>
      <c r="AA627" s="34" t="s">
        <v>7476</v>
      </c>
      <c r="AB627" s="36" t="s">
        <v>7476</v>
      </c>
      <c r="AD627" t="s">
        <v>1993</v>
      </c>
      <c r="AE627" t="s">
        <v>1994</v>
      </c>
      <c r="AG627" t="s">
        <v>68</v>
      </c>
      <c r="AH627">
        <v>6</v>
      </c>
      <c r="AI627" s="8" t="str">
        <f>IFERROR(R627-AF627,"")</f>
        <v/>
      </c>
      <c r="AJ627" s="8" t="str">
        <f>IFERROR(O627-AF627,"")</f>
        <v/>
      </c>
      <c r="AK627" s="38" t="str">
        <f t="shared" si="197"/>
        <v/>
      </c>
      <c r="AL627" t="str">
        <f>IFERROR(Z627-W627,"")</f>
        <v/>
      </c>
      <c r="AM627" t="str">
        <f>IFERROR(R627-J627,"")</f>
        <v/>
      </c>
      <c r="AN627" t="str">
        <f>IFERROR(V627-O627,"")</f>
        <v/>
      </c>
      <c r="AO627">
        <f>IFERROR(J627-I627,"")</f>
        <v>1</v>
      </c>
      <c r="AP627">
        <f>IFERROR(AC627-X627,"")</f>
        <v>0</v>
      </c>
      <c r="AQ627" t="str">
        <f>IFERROR(AA627-W627,"")</f>
        <v/>
      </c>
    </row>
    <row r="628" spans="1:43" x14ac:dyDescent="0.35">
      <c r="A628">
        <v>359</v>
      </c>
      <c r="B628" t="s">
        <v>1995</v>
      </c>
      <c r="C628" t="s">
        <v>1890</v>
      </c>
      <c r="D628" t="str">
        <f t="shared" si="195"/>
        <v>Operations</v>
      </c>
      <c r="E628" t="s">
        <v>1891</v>
      </c>
      <c r="F628" t="s">
        <v>1669</v>
      </c>
      <c r="G628" t="s">
        <v>1941</v>
      </c>
      <c r="H628" t="s">
        <v>48</v>
      </c>
      <c r="I628" s="32">
        <v>44841.176585648151</v>
      </c>
      <c r="J628" s="32">
        <v>44842.176585648151</v>
      </c>
      <c r="K628" s="32" t="s">
        <v>7473</v>
      </c>
      <c r="L628" s="8" t="str">
        <f t="shared" si="196"/>
        <v/>
      </c>
      <c r="M628" s="7">
        <v>44849.176585648151</v>
      </c>
      <c r="N628" t="s">
        <v>49</v>
      </c>
      <c r="O628" s="34">
        <v>44852.176585648151</v>
      </c>
      <c r="P628" t="s">
        <v>60</v>
      </c>
      <c r="R628" s="32">
        <v>44854.176585648151</v>
      </c>
      <c r="S628" t="s">
        <v>61</v>
      </c>
      <c r="T628" s="34" t="s">
        <v>7476</v>
      </c>
      <c r="U628" s="34" t="s">
        <v>7476</v>
      </c>
      <c r="V628" s="32">
        <v>44853.176585648151</v>
      </c>
      <c r="W628" s="32" t="s">
        <v>7476</v>
      </c>
      <c r="X628">
        <v>0</v>
      </c>
      <c r="Y628" s="34" t="s">
        <v>7476</v>
      </c>
      <c r="Z628" s="34" t="s">
        <v>7476</v>
      </c>
      <c r="AA628" s="34" t="s">
        <v>7476</v>
      </c>
      <c r="AB628" s="36" t="s">
        <v>7476</v>
      </c>
      <c r="AD628" t="s">
        <v>1996</v>
      </c>
      <c r="AE628" t="s">
        <v>1997</v>
      </c>
      <c r="AF628" s="16">
        <v>44847</v>
      </c>
      <c r="AG628" t="s">
        <v>68</v>
      </c>
      <c r="AH628">
        <v>3</v>
      </c>
      <c r="AK628" s="38">
        <f t="shared" si="197"/>
        <v>44943.176585648151</v>
      </c>
    </row>
    <row r="629" spans="1:43" x14ac:dyDescent="0.35">
      <c r="A629">
        <v>2892</v>
      </c>
      <c r="B629" t="s">
        <v>1998</v>
      </c>
      <c r="C629" t="s">
        <v>1922</v>
      </c>
      <c r="D629" t="str">
        <f t="shared" si="195"/>
        <v>Operations</v>
      </c>
      <c r="E629" t="s">
        <v>1999</v>
      </c>
      <c r="F629" t="s">
        <v>2000</v>
      </c>
      <c r="G629" t="s">
        <v>2001</v>
      </c>
      <c r="H629" t="s">
        <v>80</v>
      </c>
      <c r="I629" s="32">
        <v>44962.681840277779</v>
      </c>
      <c r="J629" s="32">
        <v>44963.681840277779</v>
      </c>
      <c r="K629" s="32">
        <v>44970.681840277779</v>
      </c>
      <c r="L629" s="8">
        <f t="shared" si="196"/>
        <v>8</v>
      </c>
      <c r="M629" s="7">
        <v>45015.681840277779</v>
      </c>
      <c r="N629" t="s">
        <v>72</v>
      </c>
      <c r="O629" s="34" t="s">
        <v>7474</v>
      </c>
      <c r="R629" s="32" t="s">
        <v>7472</v>
      </c>
      <c r="S629" t="s">
        <v>7476</v>
      </c>
      <c r="T629" s="34" t="s">
        <v>7476</v>
      </c>
      <c r="U629" s="34" t="s">
        <v>7476</v>
      </c>
      <c r="V629" s="32" t="s">
        <v>7476</v>
      </c>
      <c r="W629" s="32" t="s">
        <v>7476</v>
      </c>
      <c r="X629">
        <v>0</v>
      </c>
      <c r="Y629" s="34" t="s">
        <v>7476</v>
      </c>
      <c r="Z629" s="34" t="s">
        <v>7476</v>
      </c>
      <c r="AA629" s="34" t="s">
        <v>7476</v>
      </c>
      <c r="AB629" s="36" t="s">
        <v>7476</v>
      </c>
      <c r="AD629" t="s">
        <v>2002</v>
      </c>
      <c r="AE629" t="s">
        <v>2003</v>
      </c>
      <c r="AG629" t="s">
        <v>68</v>
      </c>
      <c r="AH629">
        <v>6</v>
      </c>
      <c r="AI629" s="8" t="str">
        <f t="shared" ref="AI629:AI636" si="206">IFERROR(R629-AF629,"")</f>
        <v/>
      </c>
      <c r="AJ629" s="8" t="str">
        <f t="shared" ref="AJ629:AJ636" si="207">IFERROR(O629-AF629,"")</f>
        <v/>
      </c>
      <c r="AK629" s="38" t="str">
        <f t="shared" si="197"/>
        <v/>
      </c>
      <c r="AL629" t="str">
        <f t="shared" ref="AL629:AL636" si="208">IFERROR(Z629-W629,"")</f>
        <v/>
      </c>
      <c r="AM629" t="str">
        <f t="shared" ref="AM629:AM636" si="209">IFERROR(R629-J629,"")</f>
        <v/>
      </c>
      <c r="AN629" t="str">
        <f t="shared" ref="AN629:AN636" si="210">IFERROR(V629-O629,"")</f>
        <v/>
      </c>
      <c r="AO629">
        <f t="shared" ref="AO629:AO636" si="211">IFERROR(J629-I629,"")</f>
        <v>1</v>
      </c>
      <c r="AP629">
        <f t="shared" ref="AP629:AP636" si="212">IFERROR(AC629-X629,"")</f>
        <v>0</v>
      </c>
      <c r="AQ629" t="str">
        <f t="shared" ref="AQ629:AQ636" si="213">IFERROR(AA629-W629,"")</f>
        <v/>
      </c>
    </row>
    <row r="630" spans="1:43" x14ac:dyDescent="0.35">
      <c r="A630">
        <v>2663</v>
      </c>
      <c r="B630" t="s">
        <v>2004</v>
      </c>
      <c r="C630" t="s">
        <v>1890</v>
      </c>
      <c r="D630" t="str">
        <f t="shared" si="195"/>
        <v>Operations</v>
      </c>
      <c r="E630" t="s">
        <v>1999</v>
      </c>
      <c r="F630" t="s">
        <v>2000</v>
      </c>
      <c r="G630" t="s">
        <v>2001</v>
      </c>
      <c r="H630" t="s">
        <v>80</v>
      </c>
      <c r="I630" s="32">
        <v>44899.903680555559</v>
      </c>
      <c r="J630" s="32">
        <v>44900.903680555559</v>
      </c>
      <c r="K630" s="32">
        <v>44903.903680555559</v>
      </c>
      <c r="L630" s="8">
        <f t="shared" si="196"/>
        <v>4</v>
      </c>
      <c r="M630" s="7">
        <v>44913.903680555559</v>
      </c>
      <c r="N630" t="s">
        <v>72</v>
      </c>
      <c r="O630" s="34" t="s">
        <v>7474</v>
      </c>
      <c r="R630" s="32" t="s">
        <v>7472</v>
      </c>
      <c r="S630" t="s">
        <v>7476</v>
      </c>
      <c r="T630" s="34" t="s">
        <v>7476</v>
      </c>
      <c r="U630" s="34" t="s">
        <v>7476</v>
      </c>
      <c r="V630" s="32" t="s">
        <v>7476</v>
      </c>
      <c r="W630" s="32" t="s">
        <v>7476</v>
      </c>
      <c r="X630">
        <v>0</v>
      </c>
      <c r="Y630" s="34" t="s">
        <v>7476</v>
      </c>
      <c r="Z630" s="34" t="s">
        <v>7476</v>
      </c>
      <c r="AA630" s="34" t="s">
        <v>7476</v>
      </c>
      <c r="AB630" s="36" t="s">
        <v>7476</v>
      </c>
      <c r="AD630" t="s">
        <v>2005</v>
      </c>
      <c r="AE630" t="s">
        <v>2006</v>
      </c>
      <c r="AG630" t="s">
        <v>64</v>
      </c>
      <c r="AH630">
        <v>3</v>
      </c>
      <c r="AI630" s="8" t="str">
        <f t="shared" si="206"/>
        <v/>
      </c>
      <c r="AJ630" s="8" t="str">
        <f t="shared" si="207"/>
        <v/>
      </c>
      <c r="AK630" s="38" t="str">
        <f t="shared" si="197"/>
        <v/>
      </c>
      <c r="AL630" t="str">
        <f t="shared" si="208"/>
        <v/>
      </c>
      <c r="AM630" t="str">
        <f t="shared" si="209"/>
        <v/>
      </c>
      <c r="AN630" t="str">
        <f t="shared" si="210"/>
        <v/>
      </c>
      <c r="AO630">
        <f t="shared" si="211"/>
        <v>1</v>
      </c>
      <c r="AP630">
        <f t="shared" si="212"/>
        <v>0</v>
      </c>
      <c r="AQ630" t="str">
        <f t="shared" si="213"/>
        <v/>
      </c>
    </row>
    <row r="631" spans="1:43" x14ac:dyDescent="0.35">
      <c r="A631">
        <v>1901</v>
      </c>
      <c r="B631" t="s">
        <v>2007</v>
      </c>
      <c r="C631" t="s">
        <v>1890</v>
      </c>
      <c r="D631" t="str">
        <f t="shared" si="195"/>
        <v>Operations</v>
      </c>
      <c r="E631" t="s">
        <v>1999</v>
      </c>
      <c r="F631" t="s">
        <v>2000</v>
      </c>
      <c r="G631" t="s">
        <v>2001</v>
      </c>
      <c r="H631" t="s">
        <v>80</v>
      </c>
      <c r="I631" s="32">
        <v>44997.686469907407</v>
      </c>
      <c r="J631" s="32">
        <v>45000.686469907407</v>
      </c>
      <c r="K631" s="32">
        <v>45001.686469907407</v>
      </c>
      <c r="L631" s="8">
        <f t="shared" si="196"/>
        <v>4</v>
      </c>
      <c r="M631" s="7">
        <v>45026.686469907407</v>
      </c>
      <c r="N631" t="s">
        <v>72</v>
      </c>
      <c r="O631" s="34" t="s">
        <v>7474</v>
      </c>
      <c r="R631" s="32" t="s">
        <v>7472</v>
      </c>
      <c r="S631" t="s">
        <v>7476</v>
      </c>
      <c r="T631" s="34" t="s">
        <v>7476</v>
      </c>
      <c r="U631" s="34" t="s">
        <v>7476</v>
      </c>
      <c r="V631" s="32" t="s">
        <v>7476</v>
      </c>
      <c r="W631" s="32" t="s">
        <v>7476</v>
      </c>
      <c r="X631">
        <v>0</v>
      </c>
      <c r="Y631" s="34" t="s">
        <v>7476</v>
      </c>
      <c r="Z631" s="34" t="s">
        <v>7476</v>
      </c>
      <c r="AA631" s="34" t="s">
        <v>7476</v>
      </c>
      <c r="AB631" s="36" t="s">
        <v>7476</v>
      </c>
      <c r="AD631" t="s">
        <v>2008</v>
      </c>
      <c r="AE631" t="s">
        <v>2009</v>
      </c>
      <c r="AG631" t="s">
        <v>98</v>
      </c>
      <c r="AH631">
        <v>3</v>
      </c>
      <c r="AI631" s="8" t="str">
        <f t="shared" si="206"/>
        <v/>
      </c>
      <c r="AJ631" s="8" t="str">
        <f t="shared" si="207"/>
        <v/>
      </c>
      <c r="AK631" s="38" t="str">
        <f t="shared" si="197"/>
        <v/>
      </c>
      <c r="AL631" t="str">
        <f t="shared" si="208"/>
        <v/>
      </c>
      <c r="AM631" t="str">
        <f t="shared" si="209"/>
        <v/>
      </c>
      <c r="AN631" t="str">
        <f t="shared" si="210"/>
        <v/>
      </c>
      <c r="AO631">
        <f t="shared" si="211"/>
        <v>3</v>
      </c>
      <c r="AP631">
        <f t="shared" si="212"/>
        <v>0</v>
      </c>
      <c r="AQ631" t="str">
        <f t="shared" si="213"/>
        <v/>
      </c>
    </row>
    <row r="632" spans="1:43" x14ac:dyDescent="0.35">
      <c r="A632">
        <v>1539</v>
      </c>
      <c r="B632" t="s">
        <v>2010</v>
      </c>
      <c r="C632" t="s">
        <v>1890</v>
      </c>
      <c r="D632" t="str">
        <f t="shared" si="195"/>
        <v>Operations</v>
      </c>
      <c r="E632" t="s">
        <v>1999</v>
      </c>
      <c r="F632" t="s">
        <v>2000</v>
      </c>
      <c r="G632" t="s">
        <v>2001</v>
      </c>
      <c r="H632" t="s">
        <v>80</v>
      </c>
      <c r="I632" s="32">
        <v>45052.546423611107</v>
      </c>
      <c r="J632" s="32">
        <v>45054.546423611107</v>
      </c>
      <c r="K632" s="32">
        <v>45060.546423611107</v>
      </c>
      <c r="L632" s="8">
        <f t="shared" si="196"/>
        <v>8</v>
      </c>
      <c r="M632" s="7">
        <v>45085.546423611107</v>
      </c>
      <c r="N632" t="s">
        <v>72</v>
      </c>
      <c r="O632" s="34" t="s">
        <v>7474</v>
      </c>
      <c r="R632" s="32" t="s">
        <v>7472</v>
      </c>
      <c r="S632" t="s">
        <v>7476</v>
      </c>
      <c r="T632" s="34" t="s">
        <v>7476</v>
      </c>
      <c r="U632" s="34" t="s">
        <v>7476</v>
      </c>
      <c r="V632" s="32" t="s">
        <v>7476</v>
      </c>
      <c r="W632" s="32" t="s">
        <v>7476</v>
      </c>
      <c r="X632">
        <v>0</v>
      </c>
      <c r="Y632" s="34" t="s">
        <v>7476</v>
      </c>
      <c r="Z632" s="34" t="s">
        <v>7476</v>
      </c>
      <c r="AA632" s="34" t="s">
        <v>7476</v>
      </c>
      <c r="AB632" s="36" t="s">
        <v>7476</v>
      </c>
      <c r="AD632" t="s">
        <v>2011</v>
      </c>
      <c r="AE632" t="s">
        <v>2012</v>
      </c>
      <c r="AG632" t="s">
        <v>68</v>
      </c>
      <c r="AH632">
        <v>3</v>
      </c>
      <c r="AI632" s="8" t="str">
        <f t="shared" si="206"/>
        <v/>
      </c>
      <c r="AJ632" s="8" t="str">
        <f t="shared" si="207"/>
        <v/>
      </c>
      <c r="AK632" s="38" t="str">
        <f t="shared" si="197"/>
        <v/>
      </c>
      <c r="AL632" t="str">
        <f t="shared" si="208"/>
        <v/>
      </c>
      <c r="AM632" t="str">
        <f t="shared" si="209"/>
        <v/>
      </c>
      <c r="AN632" t="str">
        <f t="shared" si="210"/>
        <v/>
      </c>
      <c r="AO632">
        <f t="shared" si="211"/>
        <v>2</v>
      </c>
      <c r="AP632">
        <f t="shared" si="212"/>
        <v>0</v>
      </c>
      <c r="AQ632" t="str">
        <f t="shared" si="213"/>
        <v/>
      </c>
    </row>
    <row r="633" spans="1:43" x14ac:dyDescent="0.35">
      <c r="A633">
        <v>1454</v>
      </c>
      <c r="B633" t="s">
        <v>2013</v>
      </c>
      <c r="C633" t="s">
        <v>1922</v>
      </c>
      <c r="D633" t="str">
        <f t="shared" si="195"/>
        <v>Operations</v>
      </c>
      <c r="E633" t="s">
        <v>1999</v>
      </c>
      <c r="F633" t="s">
        <v>2000</v>
      </c>
      <c r="G633" t="s">
        <v>2001</v>
      </c>
      <c r="H633" t="s">
        <v>80</v>
      </c>
      <c r="I633" s="32">
        <v>45026.57240740741</v>
      </c>
      <c r="J633" s="32">
        <v>45028.57240740741</v>
      </c>
      <c r="K633" s="32">
        <v>45029.57240740741</v>
      </c>
      <c r="L633" s="8">
        <f t="shared" si="196"/>
        <v>3</v>
      </c>
      <c r="M633" s="7">
        <v>45047.57240740741</v>
      </c>
      <c r="N633" t="s">
        <v>72</v>
      </c>
      <c r="O633" s="34" t="s">
        <v>7474</v>
      </c>
      <c r="R633" s="32" t="s">
        <v>7472</v>
      </c>
      <c r="S633" t="s">
        <v>7476</v>
      </c>
      <c r="T633" s="34" t="s">
        <v>7476</v>
      </c>
      <c r="U633" s="34" t="s">
        <v>7476</v>
      </c>
      <c r="V633" s="32" t="s">
        <v>7476</v>
      </c>
      <c r="W633" s="32" t="s">
        <v>7476</v>
      </c>
      <c r="X633">
        <v>0</v>
      </c>
      <c r="Y633" s="34" t="s">
        <v>7476</v>
      </c>
      <c r="Z633" s="34" t="s">
        <v>7476</v>
      </c>
      <c r="AA633" s="34" t="s">
        <v>7476</v>
      </c>
      <c r="AB633" s="36" t="s">
        <v>7476</v>
      </c>
      <c r="AD633" t="s">
        <v>2014</v>
      </c>
      <c r="AE633" t="s">
        <v>2015</v>
      </c>
      <c r="AG633" t="s">
        <v>98</v>
      </c>
      <c r="AH633">
        <v>6</v>
      </c>
      <c r="AI633" s="8" t="str">
        <f t="shared" si="206"/>
        <v/>
      </c>
      <c r="AJ633" s="8" t="str">
        <f t="shared" si="207"/>
        <v/>
      </c>
      <c r="AK633" s="38" t="str">
        <f t="shared" si="197"/>
        <v/>
      </c>
      <c r="AL633" t="str">
        <f t="shared" si="208"/>
        <v/>
      </c>
      <c r="AM633" t="str">
        <f t="shared" si="209"/>
        <v/>
      </c>
      <c r="AN633" t="str">
        <f t="shared" si="210"/>
        <v/>
      </c>
      <c r="AO633">
        <f t="shared" si="211"/>
        <v>2</v>
      </c>
      <c r="AP633">
        <f t="shared" si="212"/>
        <v>0</v>
      </c>
      <c r="AQ633" t="str">
        <f t="shared" si="213"/>
        <v/>
      </c>
    </row>
    <row r="634" spans="1:43" x14ac:dyDescent="0.35">
      <c r="A634">
        <v>1130</v>
      </c>
      <c r="B634" t="s">
        <v>2016</v>
      </c>
      <c r="C634" t="s">
        <v>1897</v>
      </c>
      <c r="D634" t="str">
        <f t="shared" si="195"/>
        <v>Operations</v>
      </c>
      <c r="E634" t="s">
        <v>1999</v>
      </c>
      <c r="F634" t="s">
        <v>2000</v>
      </c>
      <c r="G634" t="s">
        <v>2001</v>
      </c>
      <c r="H634" t="s">
        <v>80</v>
      </c>
      <c r="I634" s="32">
        <v>45094.561550925922</v>
      </c>
      <c r="J634" s="32">
        <v>45098.561550925922</v>
      </c>
      <c r="K634" s="32">
        <v>45102.561550925922</v>
      </c>
      <c r="L634" s="8">
        <f t="shared" si="196"/>
        <v>8</v>
      </c>
      <c r="M634" s="7">
        <v>45107.561550925922</v>
      </c>
      <c r="N634" t="s">
        <v>72</v>
      </c>
      <c r="O634" s="34" t="s">
        <v>7474</v>
      </c>
      <c r="R634" s="32" t="s">
        <v>7472</v>
      </c>
      <c r="S634" t="s">
        <v>7476</v>
      </c>
      <c r="T634" s="34" t="s">
        <v>7476</v>
      </c>
      <c r="U634" s="34" t="s">
        <v>7476</v>
      </c>
      <c r="V634" s="32" t="s">
        <v>7476</v>
      </c>
      <c r="W634" s="32" t="s">
        <v>7476</v>
      </c>
      <c r="X634">
        <v>0</v>
      </c>
      <c r="Y634" s="34" t="s">
        <v>7476</v>
      </c>
      <c r="Z634" s="34" t="s">
        <v>7476</v>
      </c>
      <c r="AA634" s="34" t="s">
        <v>7476</v>
      </c>
      <c r="AB634" s="36" t="s">
        <v>7476</v>
      </c>
      <c r="AD634" t="s">
        <v>2017</v>
      </c>
      <c r="AE634" t="s">
        <v>2018</v>
      </c>
      <c r="AG634" t="s">
        <v>64</v>
      </c>
      <c r="AH634">
        <v>3</v>
      </c>
      <c r="AI634" s="8" t="str">
        <f t="shared" si="206"/>
        <v/>
      </c>
      <c r="AJ634" s="8" t="str">
        <f t="shared" si="207"/>
        <v/>
      </c>
      <c r="AK634" s="38" t="str">
        <f t="shared" si="197"/>
        <v/>
      </c>
      <c r="AL634" t="str">
        <f t="shared" si="208"/>
        <v/>
      </c>
      <c r="AM634" t="str">
        <f t="shared" si="209"/>
        <v/>
      </c>
      <c r="AN634" t="str">
        <f t="shared" si="210"/>
        <v/>
      </c>
      <c r="AO634">
        <f t="shared" si="211"/>
        <v>4</v>
      </c>
      <c r="AP634">
        <f t="shared" si="212"/>
        <v>0</v>
      </c>
      <c r="AQ634" t="str">
        <f t="shared" si="213"/>
        <v/>
      </c>
    </row>
    <row r="635" spans="1:43" x14ac:dyDescent="0.35">
      <c r="A635">
        <v>1123</v>
      </c>
      <c r="B635" t="s">
        <v>2019</v>
      </c>
      <c r="C635" t="s">
        <v>1922</v>
      </c>
      <c r="D635" t="str">
        <f t="shared" si="195"/>
        <v>Operations</v>
      </c>
      <c r="E635" t="s">
        <v>1999</v>
      </c>
      <c r="F635" t="s">
        <v>2000</v>
      </c>
      <c r="G635" t="s">
        <v>2001</v>
      </c>
      <c r="H635" t="s">
        <v>80</v>
      </c>
      <c r="I635" s="32">
        <v>45094.561550925922</v>
      </c>
      <c r="J635" s="32">
        <v>45096.561550925922</v>
      </c>
      <c r="K635" s="32">
        <v>45102.561550925922</v>
      </c>
      <c r="L635" s="8">
        <f t="shared" si="196"/>
        <v>8</v>
      </c>
      <c r="M635" s="7">
        <v>45113.561550925922</v>
      </c>
      <c r="N635" t="s">
        <v>72</v>
      </c>
      <c r="O635" s="34" t="s">
        <v>7474</v>
      </c>
      <c r="R635" s="32" t="s">
        <v>7472</v>
      </c>
      <c r="S635" t="s">
        <v>7476</v>
      </c>
      <c r="T635" s="34" t="s">
        <v>7476</v>
      </c>
      <c r="U635" s="34" t="s">
        <v>7476</v>
      </c>
      <c r="V635" s="32" t="s">
        <v>7476</v>
      </c>
      <c r="W635" s="32" t="s">
        <v>7476</v>
      </c>
      <c r="X635">
        <v>0</v>
      </c>
      <c r="Y635" s="34" t="s">
        <v>7476</v>
      </c>
      <c r="Z635" s="34" t="s">
        <v>7476</v>
      </c>
      <c r="AA635" s="34" t="s">
        <v>7476</v>
      </c>
      <c r="AB635" s="36" t="s">
        <v>7476</v>
      </c>
      <c r="AD635" t="s">
        <v>2020</v>
      </c>
      <c r="AE635" t="s">
        <v>2021</v>
      </c>
      <c r="AG635" t="s">
        <v>98</v>
      </c>
      <c r="AH635">
        <v>3</v>
      </c>
      <c r="AI635" s="8" t="str">
        <f t="shared" si="206"/>
        <v/>
      </c>
      <c r="AJ635" s="8" t="str">
        <f t="shared" si="207"/>
        <v/>
      </c>
      <c r="AK635" s="38" t="str">
        <f t="shared" si="197"/>
        <v/>
      </c>
      <c r="AL635" t="str">
        <f t="shared" si="208"/>
        <v/>
      </c>
      <c r="AM635" t="str">
        <f t="shared" si="209"/>
        <v/>
      </c>
      <c r="AN635" t="str">
        <f t="shared" si="210"/>
        <v/>
      </c>
      <c r="AO635">
        <f t="shared" si="211"/>
        <v>2</v>
      </c>
      <c r="AP635">
        <f t="shared" si="212"/>
        <v>0</v>
      </c>
      <c r="AQ635" t="str">
        <f t="shared" si="213"/>
        <v/>
      </c>
    </row>
    <row r="636" spans="1:43" x14ac:dyDescent="0.35">
      <c r="A636">
        <v>937</v>
      </c>
      <c r="B636" t="s">
        <v>2022</v>
      </c>
      <c r="C636" t="s">
        <v>1922</v>
      </c>
      <c r="D636" t="str">
        <f t="shared" si="195"/>
        <v>Operations</v>
      </c>
      <c r="E636" t="s">
        <v>1999</v>
      </c>
      <c r="F636" t="s">
        <v>2000</v>
      </c>
      <c r="G636" t="s">
        <v>2001</v>
      </c>
      <c r="H636" t="s">
        <v>80</v>
      </c>
      <c r="I636" s="32">
        <v>45002.704907407409</v>
      </c>
      <c r="J636" s="32">
        <v>45004.704907407409</v>
      </c>
      <c r="K636" s="32">
        <v>45005.704907407409</v>
      </c>
      <c r="L636" s="8">
        <f t="shared" si="196"/>
        <v>3</v>
      </c>
      <c r="M636" s="7">
        <v>45019.704907407409</v>
      </c>
      <c r="N636" t="s">
        <v>49</v>
      </c>
      <c r="O636" s="34">
        <v>45022.704907407409</v>
      </c>
      <c r="P636" t="s">
        <v>50</v>
      </c>
      <c r="Q636" t="s">
        <v>84</v>
      </c>
      <c r="R636" s="32" t="s">
        <v>7472</v>
      </c>
      <c r="S636" t="s">
        <v>7476</v>
      </c>
      <c r="T636" s="34" t="s">
        <v>7476</v>
      </c>
      <c r="U636" s="34" t="s">
        <v>7476</v>
      </c>
      <c r="V636" s="32">
        <v>45025.704907407409</v>
      </c>
      <c r="W636" s="32" t="s">
        <v>7476</v>
      </c>
      <c r="X636">
        <v>0</v>
      </c>
      <c r="Y636" s="34" t="s">
        <v>7476</v>
      </c>
      <c r="Z636" s="34" t="s">
        <v>7476</v>
      </c>
      <c r="AA636" s="34" t="s">
        <v>7476</v>
      </c>
      <c r="AB636" s="36" t="s">
        <v>95</v>
      </c>
      <c r="AD636" t="s">
        <v>2023</v>
      </c>
      <c r="AE636" t="s">
        <v>2024</v>
      </c>
      <c r="AF636" s="16">
        <v>45014</v>
      </c>
      <c r="AG636" t="s">
        <v>98</v>
      </c>
      <c r="AH636">
        <v>3</v>
      </c>
      <c r="AI636" s="8" t="str">
        <f t="shared" si="206"/>
        <v/>
      </c>
      <c r="AJ636" s="8">
        <f t="shared" si="207"/>
        <v>8.7049074074093369</v>
      </c>
      <c r="AK636" s="38">
        <f t="shared" si="197"/>
        <v>45115.704907407409</v>
      </c>
      <c r="AL636" t="str">
        <f t="shared" si="208"/>
        <v/>
      </c>
      <c r="AM636" t="str">
        <f t="shared" si="209"/>
        <v/>
      </c>
      <c r="AN636">
        <f t="shared" si="210"/>
        <v>3</v>
      </c>
      <c r="AO636">
        <f t="shared" si="211"/>
        <v>2</v>
      </c>
      <c r="AP636">
        <f t="shared" si="212"/>
        <v>0</v>
      </c>
      <c r="AQ636" t="str">
        <f t="shared" si="213"/>
        <v/>
      </c>
    </row>
    <row r="637" spans="1:43" x14ac:dyDescent="0.35">
      <c r="A637">
        <v>935</v>
      </c>
      <c r="B637" t="s">
        <v>2025</v>
      </c>
      <c r="C637" t="s">
        <v>1897</v>
      </c>
      <c r="D637" t="str">
        <f t="shared" si="195"/>
        <v>Operations</v>
      </c>
      <c r="E637" t="s">
        <v>1999</v>
      </c>
      <c r="F637" t="s">
        <v>2000</v>
      </c>
      <c r="G637" t="s">
        <v>2001</v>
      </c>
      <c r="H637" t="s">
        <v>80</v>
      </c>
      <c r="I637" s="32">
        <v>44999.704907407409</v>
      </c>
      <c r="J637" s="32">
        <v>45002.704907407409</v>
      </c>
      <c r="K637" s="32" t="s">
        <v>7473</v>
      </c>
      <c r="L637" s="8" t="str">
        <f t="shared" si="196"/>
        <v/>
      </c>
      <c r="M637" s="7">
        <v>45017.704907407409</v>
      </c>
      <c r="N637" t="s">
        <v>49</v>
      </c>
      <c r="O637" s="34">
        <v>45018.704907407409</v>
      </c>
      <c r="P637" t="s">
        <v>60</v>
      </c>
      <c r="R637" s="32">
        <v>45022.704907407409</v>
      </c>
      <c r="S637" t="s">
        <v>61</v>
      </c>
      <c r="T637" s="34" t="s">
        <v>7476</v>
      </c>
      <c r="U637" s="34" t="s">
        <v>7476</v>
      </c>
      <c r="V637" s="32">
        <v>45021.704907407409</v>
      </c>
      <c r="W637" s="32" t="s">
        <v>7476</v>
      </c>
      <c r="X637">
        <v>0</v>
      </c>
      <c r="Y637" s="34" t="s">
        <v>7476</v>
      </c>
      <c r="Z637" s="34" t="s">
        <v>7476</v>
      </c>
      <c r="AA637" s="34" t="s">
        <v>7476</v>
      </c>
      <c r="AB637" s="36" t="s">
        <v>7476</v>
      </c>
      <c r="AD637" t="s">
        <v>2026</v>
      </c>
      <c r="AE637" t="s">
        <v>2027</v>
      </c>
      <c r="AF637" s="16">
        <v>45010</v>
      </c>
      <c r="AG637" t="s">
        <v>98</v>
      </c>
      <c r="AH637">
        <v>6</v>
      </c>
      <c r="AK637" s="38">
        <f t="shared" si="197"/>
        <v>45201.704907407409</v>
      </c>
    </row>
    <row r="638" spans="1:43" x14ac:dyDescent="0.35">
      <c r="A638">
        <v>934</v>
      </c>
      <c r="B638" t="s">
        <v>2028</v>
      </c>
      <c r="C638" t="s">
        <v>1922</v>
      </c>
      <c r="D638" t="str">
        <f t="shared" si="195"/>
        <v>Operations</v>
      </c>
      <c r="E638" t="s">
        <v>1999</v>
      </c>
      <c r="F638" t="s">
        <v>2000</v>
      </c>
      <c r="G638" t="s">
        <v>2001</v>
      </c>
      <c r="H638" t="s">
        <v>80</v>
      </c>
      <c r="I638" s="32">
        <v>45001.704907407409</v>
      </c>
      <c r="J638" s="32">
        <v>45003.704907407409</v>
      </c>
      <c r="K638" s="32">
        <v>45005.704907407409</v>
      </c>
      <c r="L638" s="8">
        <f t="shared" si="196"/>
        <v>4</v>
      </c>
      <c r="M638" s="7">
        <v>45026.704907407409</v>
      </c>
      <c r="N638" t="s">
        <v>49</v>
      </c>
      <c r="O638" s="34">
        <v>45011.704907407409</v>
      </c>
      <c r="P638" t="s">
        <v>50</v>
      </c>
      <c r="Q638" t="s">
        <v>198</v>
      </c>
      <c r="R638" s="32" t="s">
        <v>7472</v>
      </c>
      <c r="S638" t="s">
        <v>7476</v>
      </c>
      <c r="T638" s="34" t="s">
        <v>7476</v>
      </c>
      <c r="U638" s="34" t="s">
        <v>7476</v>
      </c>
      <c r="V638" s="32" t="s">
        <v>7476</v>
      </c>
      <c r="W638" s="32" t="s">
        <v>7476</v>
      </c>
      <c r="X638">
        <v>0</v>
      </c>
      <c r="Y638" s="34" t="s">
        <v>7476</v>
      </c>
      <c r="Z638" s="34" t="s">
        <v>7476</v>
      </c>
      <c r="AA638" s="34" t="s">
        <v>7476</v>
      </c>
      <c r="AB638" s="36" t="s">
        <v>52</v>
      </c>
      <c r="AD638" t="s">
        <v>2029</v>
      </c>
      <c r="AE638" t="s">
        <v>2030</v>
      </c>
      <c r="AF638" s="16">
        <v>44999</v>
      </c>
      <c r="AG638" t="s">
        <v>68</v>
      </c>
      <c r="AH638">
        <v>3</v>
      </c>
      <c r="AI638" s="8" t="str">
        <f>IFERROR(R638-AF638,"")</f>
        <v/>
      </c>
      <c r="AJ638" s="8">
        <f>IFERROR(O638-AF638,"")</f>
        <v>12.704907407409337</v>
      </c>
      <c r="AK638" s="38" t="str">
        <f t="shared" si="197"/>
        <v/>
      </c>
      <c r="AL638" t="str">
        <f>IFERROR(Z638-W638,"")</f>
        <v/>
      </c>
      <c r="AM638" t="str">
        <f>IFERROR(R638-J638,"")</f>
        <v/>
      </c>
      <c r="AN638" t="str">
        <f>IFERROR(V638-O638,"")</f>
        <v/>
      </c>
      <c r="AO638">
        <f>IFERROR(J638-I638,"")</f>
        <v>2</v>
      </c>
      <c r="AP638">
        <f>IFERROR(AC638-X638,"")</f>
        <v>0</v>
      </c>
      <c r="AQ638" t="str">
        <f>IFERROR(AA638-W638,"")</f>
        <v/>
      </c>
    </row>
    <row r="639" spans="1:43" x14ac:dyDescent="0.35">
      <c r="A639">
        <v>932</v>
      </c>
      <c r="B639" t="s">
        <v>2031</v>
      </c>
      <c r="C639" t="s">
        <v>1922</v>
      </c>
      <c r="D639" t="str">
        <f t="shared" si="195"/>
        <v>Operations</v>
      </c>
      <c r="E639" t="s">
        <v>1999</v>
      </c>
      <c r="F639" t="s">
        <v>2000</v>
      </c>
      <c r="G639" t="s">
        <v>2001</v>
      </c>
      <c r="H639" t="s">
        <v>80</v>
      </c>
      <c r="I639" s="32">
        <v>44996.704907407409</v>
      </c>
      <c r="J639" s="32">
        <v>45000.704907407409</v>
      </c>
      <c r="K639" s="32">
        <v>45005.704907407409</v>
      </c>
      <c r="L639" s="8">
        <f t="shared" si="196"/>
        <v>9</v>
      </c>
      <c r="M639" s="7">
        <v>45027.704907407409</v>
      </c>
      <c r="N639" t="s">
        <v>49</v>
      </c>
      <c r="O639" s="34">
        <v>45012.704907407409</v>
      </c>
      <c r="P639" t="s">
        <v>50</v>
      </c>
      <c r="Q639" t="s">
        <v>125</v>
      </c>
      <c r="R639" s="32" t="s">
        <v>7472</v>
      </c>
      <c r="S639" t="s">
        <v>7476</v>
      </c>
      <c r="T639" s="34" t="s">
        <v>7476</v>
      </c>
      <c r="U639" s="34" t="s">
        <v>7476</v>
      </c>
      <c r="V639" s="32" t="s">
        <v>7476</v>
      </c>
      <c r="W639" s="32" t="s">
        <v>7476</v>
      </c>
      <c r="X639">
        <v>0</v>
      </c>
      <c r="Y639" s="34" t="s">
        <v>7476</v>
      </c>
      <c r="Z639" s="34" t="s">
        <v>7476</v>
      </c>
      <c r="AA639" s="34" t="s">
        <v>7476</v>
      </c>
      <c r="AB639" s="36" t="s">
        <v>52</v>
      </c>
      <c r="AD639" t="s">
        <v>2032</v>
      </c>
      <c r="AE639" t="s">
        <v>2033</v>
      </c>
      <c r="AF639" s="16">
        <v>44993</v>
      </c>
      <c r="AG639" t="s">
        <v>68</v>
      </c>
      <c r="AH639">
        <v>3</v>
      </c>
      <c r="AI639" s="8" t="str">
        <f>IFERROR(R639-AF639,"")</f>
        <v/>
      </c>
      <c r="AJ639" s="8">
        <f>IFERROR(O639-AF639,"")</f>
        <v>19.704907407409337</v>
      </c>
      <c r="AK639" s="38" t="str">
        <f t="shared" si="197"/>
        <v/>
      </c>
      <c r="AL639" t="str">
        <f>IFERROR(Z639-W639,"")</f>
        <v/>
      </c>
      <c r="AM639" t="str">
        <f>IFERROR(R639-J639,"")</f>
        <v/>
      </c>
      <c r="AN639" t="str">
        <f>IFERROR(V639-O639,"")</f>
        <v/>
      </c>
      <c r="AO639">
        <f>IFERROR(J639-I639,"")</f>
        <v>4</v>
      </c>
      <c r="AP639">
        <f>IFERROR(AC639-X639,"")</f>
        <v>0</v>
      </c>
      <c r="AQ639" t="str">
        <f>IFERROR(AA639-W639,"")</f>
        <v/>
      </c>
    </row>
    <row r="640" spans="1:43" x14ac:dyDescent="0.35">
      <c r="A640">
        <v>845</v>
      </c>
      <c r="B640" t="s">
        <v>2034</v>
      </c>
      <c r="C640" t="s">
        <v>1897</v>
      </c>
      <c r="D640" t="str">
        <f t="shared" si="195"/>
        <v>Operations</v>
      </c>
      <c r="E640" t="s">
        <v>1999</v>
      </c>
      <c r="F640" t="s">
        <v>2000</v>
      </c>
      <c r="G640" t="s">
        <v>2001</v>
      </c>
      <c r="H640" t="s">
        <v>80</v>
      </c>
      <c r="I640" s="32">
        <v>44776.836053240739</v>
      </c>
      <c r="J640" s="32">
        <v>44778.836053240739</v>
      </c>
      <c r="K640" s="32" t="s">
        <v>7473</v>
      </c>
      <c r="L640" s="8" t="str">
        <f t="shared" si="196"/>
        <v/>
      </c>
      <c r="M640" s="7">
        <v>44790.836053240739</v>
      </c>
      <c r="N640" t="s">
        <v>49</v>
      </c>
      <c r="O640" s="34">
        <v>44788.836053240739</v>
      </c>
      <c r="P640" t="s">
        <v>60</v>
      </c>
      <c r="R640" s="32">
        <v>44792.836053240739</v>
      </c>
      <c r="S640" t="s">
        <v>61</v>
      </c>
      <c r="T640" s="34" t="s">
        <v>7476</v>
      </c>
      <c r="U640" s="34" t="s">
        <v>7476</v>
      </c>
      <c r="V640" s="32">
        <v>44789.836053240739</v>
      </c>
      <c r="W640" s="32" t="s">
        <v>7476</v>
      </c>
      <c r="X640">
        <v>0</v>
      </c>
      <c r="Y640" s="34" t="s">
        <v>7476</v>
      </c>
      <c r="Z640" s="34" t="s">
        <v>7476</v>
      </c>
      <c r="AA640" s="34" t="s">
        <v>7476</v>
      </c>
      <c r="AB640" s="36" t="s">
        <v>7476</v>
      </c>
      <c r="AD640" t="s">
        <v>2035</v>
      </c>
      <c r="AE640" t="s">
        <v>2036</v>
      </c>
      <c r="AF640" s="16">
        <v>44778</v>
      </c>
      <c r="AG640" t="s">
        <v>68</v>
      </c>
      <c r="AH640">
        <v>6</v>
      </c>
      <c r="AK640" s="38">
        <f t="shared" si="197"/>
        <v>44969.836053240739</v>
      </c>
    </row>
    <row r="641" spans="1:43" x14ac:dyDescent="0.35">
      <c r="A641">
        <v>844</v>
      </c>
      <c r="B641" t="s">
        <v>2037</v>
      </c>
      <c r="C641" t="s">
        <v>1890</v>
      </c>
      <c r="D641" t="str">
        <f t="shared" si="195"/>
        <v>Operations</v>
      </c>
      <c r="E641" t="s">
        <v>1999</v>
      </c>
      <c r="F641" t="s">
        <v>2000</v>
      </c>
      <c r="G641" t="s">
        <v>2001</v>
      </c>
      <c r="H641" t="s">
        <v>80</v>
      </c>
      <c r="I641" s="32">
        <v>44775.836053240739</v>
      </c>
      <c r="J641" s="32">
        <v>44777.836053240739</v>
      </c>
      <c r="K641" s="32">
        <v>44783.836053240739</v>
      </c>
      <c r="L641" s="8">
        <f t="shared" si="196"/>
        <v>8</v>
      </c>
      <c r="M641" s="7">
        <v>44807.836053240739</v>
      </c>
      <c r="N641" t="s">
        <v>49</v>
      </c>
      <c r="O641" s="34">
        <v>44793.836053240739</v>
      </c>
      <c r="P641" t="s">
        <v>50</v>
      </c>
      <c r="Q641" t="s">
        <v>51</v>
      </c>
      <c r="R641" s="32" t="s">
        <v>7472</v>
      </c>
      <c r="S641" t="s">
        <v>7476</v>
      </c>
      <c r="T641" s="34" t="s">
        <v>7476</v>
      </c>
      <c r="U641" s="34" t="s">
        <v>7476</v>
      </c>
      <c r="V641" s="32" t="s">
        <v>7476</v>
      </c>
      <c r="W641" s="32" t="s">
        <v>7476</v>
      </c>
      <c r="X641">
        <v>0</v>
      </c>
      <c r="Y641" s="34" t="s">
        <v>7476</v>
      </c>
      <c r="Z641" s="34" t="s">
        <v>7476</v>
      </c>
      <c r="AA641" s="34" t="s">
        <v>7476</v>
      </c>
      <c r="AB641" s="36" t="s">
        <v>95</v>
      </c>
      <c r="AD641" t="s">
        <v>2038</v>
      </c>
      <c r="AE641" t="s">
        <v>2039</v>
      </c>
      <c r="AF641" s="16">
        <v>44775</v>
      </c>
      <c r="AG641" t="s">
        <v>68</v>
      </c>
      <c r="AH641">
        <v>6</v>
      </c>
      <c r="AI641" s="8" t="str">
        <f>IFERROR(R641-AF641,"")</f>
        <v/>
      </c>
      <c r="AJ641" s="8">
        <f>IFERROR(O641-AF641,"")</f>
        <v>18.836053240738693</v>
      </c>
      <c r="AK641" s="38" t="str">
        <f t="shared" si="197"/>
        <v/>
      </c>
      <c r="AL641" t="str">
        <f>IFERROR(Z641-W641,"")</f>
        <v/>
      </c>
      <c r="AM641" t="str">
        <f>IFERROR(R641-J641,"")</f>
        <v/>
      </c>
      <c r="AN641" t="str">
        <f>IFERROR(V641-O641,"")</f>
        <v/>
      </c>
      <c r="AO641">
        <f>IFERROR(J641-I641,"")</f>
        <v>2</v>
      </c>
      <c r="AP641">
        <f>IFERROR(AC641-X641,"")</f>
        <v>0</v>
      </c>
      <c r="AQ641" t="str">
        <f>IFERROR(AA641-W641,"")</f>
        <v/>
      </c>
    </row>
    <row r="642" spans="1:43" x14ac:dyDescent="0.35">
      <c r="A642">
        <v>842</v>
      </c>
      <c r="B642" t="s">
        <v>2040</v>
      </c>
      <c r="C642" t="s">
        <v>1897</v>
      </c>
      <c r="D642" t="str">
        <f t="shared" ref="D642:D705" si="214">TRIM(C642)</f>
        <v>Operations</v>
      </c>
      <c r="E642" t="s">
        <v>1999</v>
      </c>
      <c r="F642" t="s">
        <v>2000</v>
      </c>
      <c r="G642" t="s">
        <v>2001</v>
      </c>
      <c r="H642" t="s">
        <v>80</v>
      </c>
      <c r="I642" s="32">
        <v>44776.836053240739</v>
      </c>
      <c r="J642" s="32">
        <v>44780.836053240739</v>
      </c>
      <c r="K642" s="32">
        <v>44783.836053240739</v>
      </c>
      <c r="L642" s="8">
        <f t="shared" ref="L642:L705" si="215">IFERROR(K642-I642,"")</f>
        <v>7</v>
      </c>
      <c r="M642" s="7">
        <v>44792.836053240739</v>
      </c>
      <c r="N642" t="s">
        <v>49</v>
      </c>
      <c r="O642" s="34">
        <v>44789.836053240739</v>
      </c>
      <c r="P642" t="s">
        <v>50</v>
      </c>
      <c r="Q642" t="s">
        <v>84</v>
      </c>
      <c r="R642" s="32" t="s">
        <v>7472</v>
      </c>
      <c r="S642" t="s">
        <v>7476</v>
      </c>
      <c r="T642" s="34" t="s">
        <v>7476</v>
      </c>
      <c r="U642" s="34" t="s">
        <v>7476</v>
      </c>
      <c r="V642" s="32">
        <v>44793.836053240739</v>
      </c>
      <c r="W642" s="32" t="s">
        <v>7476</v>
      </c>
      <c r="X642">
        <v>0</v>
      </c>
      <c r="Y642" s="34" t="s">
        <v>7476</v>
      </c>
      <c r="Z642" s="34" t="s">
        <v>7476</v>
      </c>
      <c r="AA642" s="34" t="s">
        <v>7476</v>
      </c>
      <c r="AB642" s="36" t="s">
        <v>95</v>
      </c>
      <c r="AD642" t="s">
        <v>2041</v>
      </c>
      <c r="AE642" t="s">
        <v>2042</v>
      </c>
      <c r="AF642" s="16">
        <v>44750</v>
      </c>
      <c r="AG642" t="s">
        <v>64</v>
      </c>
      <c r="AH642">
        <v>6</v>
      </c>
      <c r="AI642" s="8" t="str">
        <f>IFERROR(R642-AF642,"")</f>
        <v/>
      </c>
      <c r="AJ642" s="8">
        <f>IFERROR(O642-AF642,"")</f>
        <v>39.836053240738693</v>
      </c>
      <c r="AK642" s="38">
        <f t="shared" si="197"/>
        <v>44973.836053240739</v>
      </c>
      <c r="AL642" t="str">
        <f>IFERROR(Z642-W642,"")</f>
        <v/>
      </c>
      <c r="AM642" t="str">
        <f>IFERROR(R642-J642,"")</f>
        <v/>
      </c>
      <c r="AN642">
        <f>IFERROR(V642-O642,"")</f>
        <v>4</v>
      </c>
      <c r="AO642">
        <f>IFERROR(J642-I642,"")</f>
        <v>4</v>
      </c>
      <c r="AP642">
        <f>IFERROR(AC642-X642,"")</f>
        <v>0</v>
      </c>
      <c r="AQ642" t="str">
        <f>IFERROR(AA642-W642,"")</f>
        <v/>
      </c>
    </row>
    <row r="643" spans="1:43" x14ac:dyDescent="0.35">
      <c r="A643">
        <v>785</v>
      </c>
      <c r="B643" t="s">
        <v>2043</v>
      </c>
      <c r="C643" t="s">
        <v>1897</v>
      </c>
      <c r="D643" t="str">
        <f t="shared" si="214"/>
        <v>Operations</v>
      </c>
      <c r="E643" t="s">
        <v>1999</v>
      </c>
      <c r="F643" t="s">
        <v>2000</v>
      </c>
      <c r="G643" t="s">
        <v>2001</v>
      </c>
      <c r="H643" t="s">
        <v>80</v>
      </c>
      <c r="I643" s="32">
        <v>44937.996932870366</v>
      </c>
      <c r="J643" s="32" t="s">
        <v>7471</v>
      </c>
      <c r="K643" s="32">
        <v>44941.996932870366</v>
      </c>
      <c r="L643" s="8">
        <f t="shared" si="215"/>
        <v>4</v>
      </c>
      <c r="M643" s="7">
        <v>44950.996932870366</v>
      </c>
      <c r="N643" t="s">
        <v>49</v>
      </c>
      <c r="O643" s="34">
        <v>44959.996932870366</v>
      </c>
      <c r="P643" t="s">
        <v>50</v>
      </c>
      <c r="Q643" t="s">
        <v>198</v>
      </c>
      <c r="R643" s="32" t="s">
        <v>7472</v>
      </c>
      <c r="S643" t="s">
        <v>7476</v>
      </c>
      <c r="T643" s="34" t="s">
        <v>7476</v>
      </c>
      <c r="U643" s="34" t="s">
        <v>7476</v>
      </c>
      <c r="V643" s="32">
        <v>44961.996932870366</v>
      </c>
      <c r="W643" s="32" t="s">
        <v>7476</v>
      </c>
      <c r="X643">
        <v>0</v>
      </c>
      <c r="Y643" s="34" t="s">
        <v>7476</v>
      </c>
      <c r="Z643" s="34" t="s">
        <v>7476</v>
      </c>
      <c r="AA643" s="34" t="s">
        <v>7476</v>
      </c>
      <c r="AB643" s="36" t="s">
        <v>95</v>
      </c>
      <c r="AD643" t="s">
        <v>2044</v>
      </c>
      <c r="AE643" t="s">
        <v>2045</v>
      </c>
      <c r="AF643" s="16">
        <v>44948</v>
      </c>
      <c r="AG643" t="s">
        <v>98</v>
      </c>
      <c r="AH643">
        <v>6</v>
      </c>
      <c r="AK643" s="38">
        <f t="shared" ref="AK643:AK706" si="216">IFERROR(V643+(AH643*30),"")</f>
        <v>45141.996932870366</v>
      </c>
    </row>
    <row r="644" spans="1:43" x14ac:dyDescent="0.35">
      <c r="A644">
        <v>740</v>
      </c>
      <c r="B644" t="s">
        <v>2046</v>
      </c>
      <c r="C644" t="s">
        <v>1922</v>
      </c>
      <c r="D644" t="str">
        <f t="shared" si="214"/>
        <v>Operations</v>
      </c>
      <c r="E644" t="s">
        <v>1999</v>
      </c>
      <c r="F644" t="s">
        <v>2000</v>
      </c>
      <c r="G644" t="s">
        <v>2001</v>
      </c>
      <c r="H644" t="s">
        <v>80</v>
      </c>
      <c r="I644" s="32">
        <v>45041.644548611112</v>
      </c>
      <c r="J644" s="32">
        <v>45044.644548611112</v>
      </c>
      <c r="K644" s="32">
        <v>45047.644548611112</v>
      </c>
      <c r="L644" s="8">
        <f t="shared" si="215"/>
        <v>6</v>
      </c>
      <c r="M644" s="7">
        <v>45055.644548611112</v>
      </c>
      <c r="N644" t="s">
        <v>72</v>
      </c>
      <c r="O644" s="34" t="s">
        <v>7474</v>
      </c>
      <c r="R644" s="32" t="s">
        <v>7472</v>
      </c>
      <c r="S644" t="s">
        <v>7476</v>
      </c>
      <c r="T644" s="34" t="s">
        <v>7476</v>
      </c>
      <c r="U644" s="34" t="s">
        <v>7476</v>
      </c>
      <c r="V644" s="32" t="s">
        <v>7476</v>
      </c>
      <c r="W644" s="32" t="s">
        <v>7476</v>
      </c>
      <c r="X644">
        <v>0</v>
      </c>
      <c r="Y644" s="34" t="s">
        <v>7476</v>
      </c>
      <c r="Z644" s="34" t="s">
        <v>7476</v>
      </c>
      <c r="AA644" s="34" t="s">
        <v>7476</v>
      </c>
      <c r="AB644" s="36" t="s">
        <v>7476</v>
      </c>
      <c r="AD644" t="s">
        <v>2047</v>
      </c>
      <c r="AE644" t="s">
        <v>2048</v>
      </c>
      <c r="AG644" t="s">
        <v>68</v>
      </c>
      <c r="AH644">
        <v>3</v>
      </c>
      <c r="AI644" s="8" t="str">
        <f>IFERROR(R644-AF644,"")</f>
        <v/>
      </c>
      <c r="AJ644" s="8" t="str">
        <f>IFERROR(O644-AF644,"")</f>
        <v/>
      </c>
      <c r="AK644" s="38" t="str">
        <f t="shared" si="216"/>
        <v/>
      </c>
      <c r="AL644" t="str">
        <f>IFERROR(Z644-W644,"")</f>
        <v/>
      </c>
      <c r="AM644" t="str">
        <f>IFERROR(R644-J644,"")</f>
        <v/>
      </c>
      <c r="AN644" t="str">
        <f>IFERROR(V644-O644,"")</f>
        <v/>
      </c>
      <c r="AO644">
        <f>IFERROR(J644-I644,"")</f>
        <v>3</v>
      </c>
      <c r="AP644">
        <f>IFERROR(AC644-X644,"")</f>
        <v>0</v>
      </c>
      <c r="AQ644" t="str">
        <f>IFERROR(AA644-W644,"")</f>
        <v/>
      </c>
    </row>
    <row r="645" spans="1:43" x14ac:dyDescent="0.35">
      <c r="A645">
        <v>686</v>
      </c>
      <c r="B645" t="s">
        <v>2049</v>
      </c>
      <c r="C645" t="s">
        <v>1922</v>
      </c>
      <c r="D645" t="str">
        <f t="shared" si="214"/>
        <v>Operations</v>
      </c>
      <c r="E645" t="s">
        <v>1999</v>
      </c>
      <c r="F645" t="s">
        <v>78</v>
      </c>
      <c r="G645" t="s">
        <v>2050</v>
      </c>
      <c r="H645" t="s">
        <v>80</v>
      </c>
      <c r="I645" s="32">
        <v>45102.115520833337</v>
      </c>
      <c r="J645" s="32">
        <v>45104.115520833337</v>
      </c>
      <c r="K645" s="32">
        <v>45106.115520833337</v>
      </c>
      <c r="L645" s="8">
        <f t="shared" si="215"/>
        <v>4</v>
      </c>
      <c r="M645" s="7">
        <v>45116.115520833337</v>
      </c>
      <c r="N645" t="s">
        <v>49</v>
      </c>
      <c r="O645" s="34">
        <v>45110.115520833337</v>
      </c>
      <c r="P645" t="s">
        <v>50</v>
      </c>
      <c r="Q645" t="s">
        <v>236</v>
      </c>
      <c r="R645" s="32" t="s">
        <v>7472</v>
      </c>
      <c r="S645" t="s">
        <v>7476</v>
      </c>
      <c r="T645" s="34" t="s">
        <v>7476</v>
      </c>
      <c r="U645" s="34" t="s">
        <v>7476</v>
      </c>
      <c r="V645" s="32" t="s">
        <v>7476</v>
      </c>
      <c r="W645" s="32" t="s">
        <v>7476</v>
      </c>
      <c r="X645">
        <v>0</v>
      </c>
      <c r="Y645" s="34" t="s">
        <v>7476</v>
      </c>
      <c r="Z645" s="34" t="s">
        <v>7476</v>
      </c>
      <c r="AA645" s="34" t="s">
        <v>7476</v>
      </c>
      <c r="AB645" s="36" t="s">
        <v>95</v>
      </c>
      <c r="AD645" t="s">
        <v>2051</v>
      </c>
      <c r="AE645" t="s">
        <v>2052</v>
      </c>
      <c r="AF645" s="16">
        <v>45100</v>
      </c>
      <c r="AG645" t="s">
        <v>98</v>
      </c>
      <c r="AH645">
        <v>6</v>
      </c>
      <c r="AI645" s="8" t="str">
        <f>IFERROR(R645-AF645,"")</f>
        <v/>
      </c>
      <c r="AJ645" s="8">
        <f>IFERROR(O645-AF645,"")</f>
        <v>10.115520833336632</v>
      </c>
      <c r="AK645" s="38" t="str">
        <f t="shared" si="216"/>
        <v/>
      </c>
      <c r="AL645" t="str">
        <f>IFERROR(Z645-W645,"")</f>
        <v/>
      </c>
      <c r="AM645" t="str">
        <f>IFERROR(R645-J645,"")</f>
        <v/>
      </c>
      <c r="AN645" t="str">
        <f>IFERROR(V645-O645,"")</f>
        <v/>
      </c>
      <c r="AO645">
        <f>IFERROR(J645-I645,"")</f>
        <v>2</v>
      </c>
      <c r="AP645">
        <f>IFERROR(AC645-X645,"")</f>
        <v>0</v>
      </c>
      <c r="AQ645" t="str">
        <f>IFERROR(AA645-W645,"")</f>
        <v/>
      </c>
    </row>
    <row r="646" spans="1:43" x14ac:dyDescent="0.35">
      <c r="A646">
        <v>562</v>
      </c>
      <c r="B646" t="s">
        <v>2053</v>
      </c>
      <c r="C646" t="s">
        <v>1897</v>
      </c>
      <c r="D646" t="str">
        <f t="shared" si="214"/>
        <v>Operations</v>
      </c>
      <c r="E646" t="s">
        <v>1999</v>
      </c>
      <c r="F646" t="s">
        <v>78</v>
      </c>
      <c r="G646" t="s">
        <v>2050</v>
      </c>
      <c r="H646" t="s">
        <v>80</v>
      </c>
      <c r="I646" s="32">
        <v>44866.965416666673</v>
      </c>
      <c r="J646" s="32" t="s">
        <v>7471</v>
      </c>
      <c r="K646" s="32">
        <v>44873.965416666673</v>
      </c>
      <c r="L646" s="8">
        <f t="shared" si="215"/>
        <v>7</v>
      </c>
      <c r="M646" s="7">
        <v>44890.965416666673</v>
      </c>
      <c r="N646" t="s">
        <v>49</v>
      </c>
      <c r="O646" s="34">
        <v>44886.965416666673</v>
      </c>
      <c r="P646" t="s">
        <v>60</v>
      </c>
      <c r="R646" s="32">
        <v>44890.965416666673</v>
      </c>
      <c r="S646" t="s">
        <v>61</v>
      </c>
      <c r="T646" s="34" t="s">
        <v>7476</v>
      </c>
      <c r="U646" s="34" t="s">
        <v>7476</v>
      </c>
      <c r="V646" s="32">
        <v>44889.965416666673</v>
      </c>
      <c r="W646" s="32" t="s">
        <v>7476</v>
      </c>
      <c r="X646">
        <v>0</v>
      </c>
      <c r="Y646" s="34" t="s">
        <v>7476</v>
      </c>
      <c r="Z646" s="34" t="s">
        <v>7476</v>
      </c>
      <c r="AA646" s="34" t="s">
        <v>7476</v>
      </c>
      <c r="AB646" s="36" t="s">
        <v>7476</v>
      </c>
      <c r="AD646" t="s">
        <v>2054</v>
      </c>
      <c r="AE646" t="s">
        <v>2055</v>
      </c>
      <c r="AF646" s="16">
        <v>44879</v>
      </c>
      <c r="AG646" t="s">
        <v>68</v>
      </c>
      <c r="AH646">
        <v>3</v>
      </c>
      <c r="AK646" s="38">
        <f t="shared" si="216"/>
        <v>44979.965416666673</v>
      </c>
    </row>
    <row r="647" spans="1:43" x14ac:dyDescent="0.35">
      <c r="A647">
        <v>561</v>
      </c>
      <c r="B647" t="s">
        <v>2056</v>
      </c>
      <c r="C647" t="s">
        <v>1922</v>
      </c>
      <c r="D647" t="str">
        <f t="shared" si="214"/>
        <v>Operations</v>
      </c>
      <c r="E647" t="s">
        <v>1999</v>
      </c>
      <c r="F647" t="s">
        <v>78</v>
      </c>
      <c r="G647" t="s">
        <v>2050</v>
      </c>
      <c r="H647" t="s">
        <v>80</v>
      </c>
      <c r="I647" s="32">
        <v>44865.965416666673</v>
      </c>
      <c r="J647" s="32">
        <v>44869.965416666673</v>
      </c>
      <c r="K647" s="32" t="s">
        <v>7473</v>
      </c>
      <c r="L647" s="8" t="str">
        <f t="shared" si="215"/>
        <v/>
      </c>
      <c r="M647" s="7">
        <v>44892.965416666673</v>
      </c>
      <c r="N647" t="s">
        <v>49</v>
      </c>
      <c r="O647" s="34">
        <v>44886.965416666673</v>
      </c>
      <c r="P647" t="s">
        <v>50</v>
      </c>
      <c r="Q647" t="s">
        <v>51</v>
      </c>
      <c r="R647" s="32" t="s">
        <v>7472</v>
      </c>
      <c r="S647" t="s">
        <v>7476</v>
      </c>
      <c r="T647" s="34" t="s">
        <v>7476</v>
      </c>
      <c r="U647" s="34" t="s">
        <v>7476</v>
      </c>
      <c r="V647" s="32">
        <v>44889.965416666673</v>
      </c>
      <c r="W647" s="32" t="s">
        <v>7476</v>
      </c>
      <c r="X647">
        <v>0</v>
      </c>
      <c r="Y647" s="34" t="s">
        <v>7476</v>
      </c>
      <c r="Z647" s="34" t="s">
        <v>7476</v>
      </c>
      <c r="AA647" s="34" t="s">
        <v>7476</v>
      </c>
      <c r="AB647" s="36" t="s">
        <v>52</v>
      </c>
      <c r="AD647" t="s">
        <v>2057</v>
      </c>
      <c r="AE647" t="s">
        <v>2058</v>
      </c>
      <c r="AF647" s="16">
        <v>44876</v>
      </c>
      <c r="AG647" t="s">
        <v>64</v>
      </c>
      <c r="AH647">
        <v>3</v>
      </c>
      <c r="AK647" s="38">
        <f t="shared" si="216"/>
        <v>44979.965416666673</v>
      </c>
    </row>
    <row r="648" spans="1:43" x14ac:dyDescent="0.35">
      <c r="A648">
        <v>431</v>
      </c>
      <c r="B648" t="s">
        <v>2059</v>
      </c>
      <c r="C648" t="s">
        <v>1897</v>
      </c>
      <c r="D648" t="str">
        <f t="shared" si="214"/>
        <v>Operations</v>
      </c>
      <c r="E648" t="s">
        <v>1999</v>
      </c>
      <c r="F648" t="s">
        <v>78</v>
      </c>
      <c r="G648" t="s">
        <v>2050</v>
      </c>
      <c r="H648" t="s">
        <v>80</v>
      </c>
      <c r="I648" s="32" t="s">
        <v>7471</v>
      </c>
      <c r="J648" s="32">
        <v>44735.315601851849</v>
      </c>
      <c r="K648" s="32">
        <v>44741.315601851849</v>
      </c>
      <c r="L648" s="8" t="str">
        <f t="shared" si="215"/>
        <v/>
      </c>
      <c r="M648" s="7">
        <v>44761.315601851849</v>
      </c>
      <c r="N648" t="s">
        <v>72</v>
      </c>
      <c r="O648" s="34" t="s">
        <v>7474</v>
      </c>
      <c r="R648" s="32" t="s">
        <v>7472</v>
      </c>
      <c r="S648" t="s">
        <v>7476</v>
      </c>
      <c r="T648" s="34" t="s">
        <v>7476</v>
      </c>
      <c r="U648" s="34" t="s">
        <v>7476</v>
      </c>
      <c r="V648" s="32" t="s">
        <v>7476</v>
      </c>
      <c r="W648" s="32" t="s">
        <v>7476</v>
      </c>
      <c r="X648">
        <v>0</v>
      </c>
      <c r="Y648" s="34" t="s">
        <v>7476</v>
      </c>
      <c r="Z648" s="34" t="s">
        <v>7476</v>
      </c>
      <c r="AA648" s="34" t="s">
        <v>7476</v>
      </c>
      <c r="AB648" s="36" t="s">
        <v>7476</v>
      </c>
      <c r="AD648" t="s">
        <v>2060</v>
      </c>
      <c r="AE648" t="s">
        <v>2061</v>
      </c>
      <c r="AG648" t="s">
        <v>93</v>
      </c>
      <c r="AH648">
        <v>3</v>
      </c>
      <c r="AK648" s="38" t="str">
        <f t="shared" si="216"/>
        <v/>
      </c>
    </row>
    <row r="649" spans="1:43" x14ac:dyDescent="0.35">
      <c r="A649">
        <v>328</v>
      </c>
      <c r="B649" t="s">
        <v>2062</v>
      </c>
      <c r="C649" t="s">
        <v>1890</v>
      </c>
      <c r="D649" t="str">
        <f t="shared" si="214"/>
        <v>Operations</v>
      </c>
      <c r="E649" t="s">
        <v>1999</v>
      </c>
      <c r="F649" t="s">
        <v>78</v>
      </c>
      <c r="G649" t="s">
        <v>2050</v>
      </c>
      <c r="H649" t="s">
        <v>80</v>
      </c>
      <c r="I649" s="32">
        <v>44580.917696759258</v>
      </c>
      <c r="J649" s="32">
        <v>44581.917696759258</v>
      </c>
      <c r="K649" s="32">
        <v>44582.917696759258</v>
      </c>
      <c r="L649" s="8">
        <f t="shared" si="215"/>
        <v>2</v>
      </c>
      <c r="M649" s="7">
        <v>44609.917696759258</v>
      </c>
      <c r="N649" t="s">
        <v>49</v>
      </c>
      <c r="O649" s="34">
        <v>44592.917696759258</v>
      </c>
      <c r="P649" t="s">
        <v>60</v>
      </c>
      <c r="R649" s="32">
        <v>44597.917696759258</v>
      </c>
      <c r="S649" t="s">
        <v>61</v>
      </c>
      <c r="T649" s="34" t="s">
        <v>7476</v>
      </c>
      <c r="U649" s="34" t="s">
        <v>7476</v>
      </c>
      <c r="V649" s="32">
        <v>44596.917696759258</v>
      </c>
      <c r="W649" s="32" t="s">
        <v>7476</v>
      </c>
      <c r="X649">
        <v>0</v>
      </c>
      <c r="Y649" s="34" t="s">
        <v>7476</v>
      </c>
      <c r="Z649" s="34" t="s">
        <v>7476</v>
      </c>
      <c r="AA649" s="34" t="s">
        <v>7476</v>
      </c>
      <c r="AB649" s="36" t="s">
        <v>7476</v>
      </c>
      <c r="AD649" t="s">
        <v>2063</v>
      </c>
      <c r="AE649" t="s">
        <v>2064</v>
      </c>
      <c r="AF649" s="16">
        <v>44576</v>
      </c>
      <c r="AG649" t="s">
        <v>98</v>
      </c>
      <c r="AH649">
        <v>6</v>
      </c>
      <c r="AI649" s="8">
        <f>IFERROR(R649-AF649,"")</f>
        <v>21.917696759257524</v>
      </c>
      <c r="AJ649" s="8">
        <f>IFERROR(O649-AF649,"")</f>
        <v>16.917696759257524</v>
      </c>
      <c r="AK649" s="38">
        <f t="shared" si="216"/>
        <v>44776.917696759258</v>
      </c>
      <c r="AL649" t="str">
        <f>IFERROR(Z649-W649,"")</f>
        <v/>
      </c>
      <c r="AM649">
        <f>IFERROR(R649-J649,"")</f>
        <v>16</v>
      </c>
      <c r="AN649">
        <f>IFERROR(V649-O649,"")</f>
        <v>4</v>
      </c>
      <c r="AO649">
        <f>IFERROR(J649-I649,"")</f>
        <v>1</v>
      </c>
      <c r="AP649">
        <f>IFERROR(AC649-X649,"")</f>
        <v>0</v>
      </c>
      <c r="AQ649" t="str">
        <f>IFERROR(AA649-W649,"")</f>
        <v/>
      </c>
    </row>
    <row r="650" spans="1:43" x14ac:dyDescent="0.35">
      <c r="A650">
        <v>322</v>
      </c>
      <c r="B650" t="s">
        <v>2065</v>
      </c>
      <c r="C650" t="s">
        <v>1897</v>
      </c>
      <c r="D650" t="str">
        <f t="shared" si="214"/>
        <v>Operations</v>
      </c>
      <c r="E650" t="s">
        <v>1999</v>
      </c>
      <c r="F650" t="s">
        <v>78</v>
      </c>
      <c r="G650" t="s">
        <v>2050</v>
      </c>
      <c r="H650" t="s">
        <v>80</v>
      </c>
      <c r="I650" s="32">
        <v>44572.917696759258</v>
      </c>
      <c r="J650" s="32">
        <v>44576.917696759258</v>
      </c>
      <c r="K650" s="32">
        <v>44582.917696759258</v>
      </c>
      <c r="L650" s="8">
        <f t="shared" si="215"/>
        <v>10</v>
      </c>
      <c r="M650" s="7">
        <v>44587.917696759258</v>
      </c>
      <c r="N650" t="s">
        <v>49</v>
      </c>
      <c r="O650" s="34">
        <v>44586.917696759258</v>
      </c>
      <c r="P650" t="s">
        <v>50</v>
      </c>
      <c r="Q650" t="s">
        <v>198</v>
      </c>
      <c r="R650" s="32" t="s">
        <v>7472</v>
      </c>
      <c r="S650" t="s">
        <v>7476</v>
      </c>
      <c r="T650" s="34" t="s">
        <v>7476</v>
      </c>
      <c r="U650" s="34" t="s">
        <v>7476</v>
      </c>
      <c r="V650" s="32">
        <v>44590.917696759258</v>
      </c>
      <c r="W650" s="32" t="s">
        <v>7476</v>
      </c>
      <c r="X650">
        <v>0</v>
      </c>
      <c r="Y650" s="34" t="s">
        <v>7476</v>
      </c>
      <c r="Z650" s="34" t="s">
        <v>7476</v>
      </c>
      <c r="AA650" s="34" t="s">
        <v>7476</v>
      </c>
      <c r="AB650" s="36" t="s">
        <v>95</v>
      </c>
      <c r="AD650" t="s">
        <v>2066</v>
      </c>
      <c r="AE650" t="s">
        <v>2067</v>
      </c>
      <c r="AF650" s="16">
        <v>44579</v>
      </c>
      <c r="AG650" t="s">
        <v>64</v>
      </c>
      <c r="AH650">
        <v>3</v>
      </c>
      <c r="AI650" s="8" t="str">
        <f>IFERROR(R650-AF650,"")</f>
        <v/>
      </c>
      <c r="AJ650" s="8">
        <f>IFERROR(O650-AF650,"")</f>
        <v>7.9176967592575238</v>
      </c>
      <c r="AK650" s="38">
        <f t="shared" si="216"/>
        <v>44680.917696759258</v>
      </c>
      <c r="AL650" t="str">
        <f>IFERROR(Z650-W650,"")</f>
        <v/>
      </c>
      <c r="AM650" t="str">
        <f>IFERROR(R650-J650,"")</f>
        <v/>
      </c>
      <c r="AN650">
        <f>IFERROR(V650-O650,"")</f>
        <v>4</v>
      </c>
      <c r="AO650">
        <f>IFERROR(J650-I650,"")</f>
        <v>4</v>
      </c>
      <c r="AP650">
        <f>IFERROR(AC650-X650,"")</f>
        <v>0</v>
      </c>
      <c r="AQ650" t="str">
        <f>IFERROR(AA650-W650,"")</f>
        <v/>
      </c>
    </row>
    <row r="651" spans="1:43" x14ac:dyDescent="0.35">
      <c r="A651">
        <v>321</v>
      </c>
      <c r="B651" t="s">
        <v>2068</v>
      </c>
      <c r="C651" t="s">
        <v>1897</v>
      </c>
      <c r="D651" t="str">
        <f t="shared" si="214"/>
        <v>Operations</v>
      </c>
      <c r="E651" t="s">
        <v>1999</v>
      </c>
      <c r="F651" t="s">
        <v>78</v>
      </c>
      <c r="G651" t="s">
        <v>2050</v>
      </c>
      <c r="H651" t="s">
        <v>80</v>
      </c>
      <c r="I651" s="32">
        <v>44578.917696759258</v>
      </c>
      <c r="J651" s="32" t="s">
        <v>7471</v>
      </c>
      <c r="K651" s="32">
        <v>44582.917696759258</v>
      </c>
      <c r="L651" s="8">
        <f t="shared" si="215"/>
        <v>4</v>
      </c>
      <c r="M651" s="7">
        <v>44612.917696759258</v>
      </c>
      <c r="N651" t="s">
        <v>72</v>
      </c>
      <c r="O651" s="34" t="s">
        <v>7474</v>
      </c>
      <c r="R651" s="32" t="s">
        <v>7472</v>
      </c>
      <c r="S651" t="s">
        <v>7476</v>
      </c>
      <c r="T651" s="34" t="s">
        <v>7476</v>
      </c>
      <c r="U651" s="34" t="s">
        <v>7476</v>
      </c>
      <c r="V651" s="32" t="s">
        <v>7476</v>
      </c>
      <c r="W651" s="32" t="s">
        <v>7476</v>
      </c>
      <c r="X651">
        <v>0</v>
      </c>
      <c r="Y651" s="34" t="s">
        <v>7476</v>
      </c>
      <c r="Z651" s="34" t="s">
        <v>7476</v>
      </c>
      <c r="AA651" s="34" t="s">
        <v>7476</v>
      </c>
      <c r="AB651" s="36" t="s">
        <v>7476</v>
      </c>
      <c r="AD651" t="s">
        <v>2069</v>
      </c>
      <c r="AE651" t="s">
        <v>2070</v>
      </c>
      <c r="AG651" t="s">
        <v>64</v>
      </c>
      <c r="AH651">
        <v>3</v>
      </c>
      <c r="AK651" s="38" t="str">
        <f t="shared" si="216"/>
        <v/>
      </c>
    </row>
    <row r="652" spans="1:43" x14ac:dyDescent="0.35">
      <c r="A652">
        <v>291</v>
      </c>
      <c r="B652" t="s">
        <v>2071</v>
      </c>
      <c r="C652" t="s">
        <v>1897</v>
      </c>
      <c r="D652" t="str">
        <f t="shared" si="214"/>
        <v>Operations</v>
      </c>
      <c r="E652" t="s">
        <v>1999</v>
      </c>
      <c r="F652" t="s">
        <v>78</v>
      </c>
      <c r="G652" t="s">
        <v>2050</v>
      </c>
      <c r="H652" t="s">
        <v>80</v>
      </c>
      <c r="I652" s="32">
        <v>45129.740011574067</v>
      </c>
      <c r="J652" s="32">
        <v>45132.740011574067</v>
      </c>
      <c r="K652" s="32">
        <v>45138.740011574067</v>
      </c>
      <c r="L652" s="8">
        <f t="shared" si="215"/>
        <v>9</v>
      </c>
      <c r="M652" s="7">
        <v>45149.740011574067</v>
      </c>
      <c r="N652" t="s">
        <v>49</v>
      </c>
      <c r="O652" s="34">
        <v>45142.740011574067</v>
      </c>
      <c r="P652" t="s">
        <v>101</v>
      </c>
      <c r="R652" s="32">
        <v>45147.740011574067</v>
      </c>
      <c r="S652" t="s">
        <v>101</v>
      </c>
      <c r="T652" s="34">
        <v>45144.740011574067</v>
      </c>
      <c r="U652" s="34">
        <v>45146.740011574067</v>
      </c>
      <c r="V652" s="32">
        <v>45144.740011574067</v>
      </c>
      <c r="W652" s="32">
        <v>45147.740011574067</v>
      </c>
      <c r="X652">
        <v>1</v>
      </c>
      <c r="Y652" s="34">
        <v>45151.740011574067</v>
      </c>
      <c r="Z652" s="34">
        <v>45152.740011574067</v>
      </c>
      <c r="AA652" s="34">
        <v>45155.740011574067</v>
      </c>
      <c r="AB652" s="36" t="s">
        <v>7476</v>
      </c>
      <c r="AC652" s="10">
        <v>45168.740011574067</v>
      </c>
      <c r="AD652" t="s">
        <v>2072</v>
      </c>
      <c r="AE652" t="s">
        <v>2073</v>
      </c>
      <c r="AF652" s="16">
        <v>45137</v>
      </c>
      <c r="AG652" t="s">
        <v>98</v>
      </c>
      <c r="AH652">
        <v>3</v>
      </c>
      <c r="AI652" s="8">
        <f>IFERROR(R652-AF652,"")</f>
        <v>10.740011574067466</v>
      </c>
      <c r="AJ652" s="8">
        <f>IFERROR(O652-AF652,"")</f>
        <v>5.7400115740674664</v>
      </c>
      <c r="AK652" s="38">
        <f t="shared" si="216"/>
        <v>45234.740011574067</v>
      </c>
      <c r="AL652">
        <f>IFERROR(Z652-W652,"")</f>
        <v>5</v>
      </c>
      <c r="AM652">
        <f>IFERROR(R652-J652,"")</f>
        <v>15</v>
      </c>
      <c r="AN652">
        <f>IFERROR(V652-O652,"")</f>
        <v>2</v>
      </c>
      <c r="AO652">
        <f>IFERROR(J652-I652,"")</f>
        <v>3</v>
      </c>
      <c r="AP652">
        <f>IFERROR(AC652-X652,"")</f>
        <v>45167.740011574067</v>
      </c>
      <c r="AQ652">
        <f>IFERROR(AA652-W652,"")</f>
        <v>8</v>
      </c>
    </row>
    <row r="653" spans="1:43" x14ac:dyDescent="0.35">
      <c r="A653">
        <v>276</v>
      </c>
      <c r="B653" t="s">
        <v>2074</v>
      </c>
      <c r="C653" t="s">
        <v>1897</v>
      </c>
      <c r="D653" t="str">
        <f t="shared" si="214"/>
        <v>Operations</v>
      </c>
      <c r="E653" t="s">
        <v>1999</v>
      </c>
      <c r="F653" t="s">
        <v>78</v>
      </c>
      <c r="G653" t="s">
        <v>2050</v>
      </c>
      <c r="H653" t="s">
        <v>80</v>
      </c>
      <c r="I653" s="32">
        <v>44848.592418981483</v>
      </c>
      <c r="J653" s="32">
        <v>44850.592418981483</v>
      </c>
      <c r="K653" s="32">
        <v>44852.592418981483</v>
      </c>
      <c r="L653" s="8">
        <f t="shared" si="215"/>
        <v>4</v>
      </c>
      <c r="M653" s="7">
        <v>44859.592418981483</v>
      </c>
      <c r="N653" t="s">
        <v>72</v>
      </c>
      <c r="O653" s="34" t="s">
        <v>7474</v>
      </c>
      <c r="R653" s="32" t="s">
        <v>7472</v>
      </c>
      <c r="S653" t="s">
        <v>7476</v>
      </c>
      <c r="T653" s="34" t="s">
        <v>7476</v>
      </c>
      <c r="U653" s="34" t="s">
        <v>7476</v>
      </c>
      <c r="V653" s="32" t="s">
        <v>7476</v>
      </c>
      <c r="W653" s="32" t="s">
        <v>7476</v>
      </c>
      <c r="X653">
        <v>0</v>
      </c>
      <c r="Y653" s="34" t="s">
        <v>7476</v>
      </c>
      <c r="Z653" s="34" t="s">
        <v>7476</v>
      </c>
      <c r="AA653" s="34" t="s">
        <v>7476</v>
      </c>
      <c r="AB653" s="36" t="s">
        <v>7476</v>
      </c>
      <c r="AD653" t="s">
        <v>2075</v>
      </c>
      <c r="AE653" t="s">
        <v>2076</v>
      </c>
      <c r="AG653" t="s">
        <v>98</v>
      </c>
      <c r="AH653">
        <v>6</v>
      </c>
      <c r="AI653" s="8" t="str">
        <f>IFERROR(R653-AF653,"")</f>
        <v/>
      </c>
      <c r="AJ653" s="8" t="str">
        <f>IFERROR(O653-AF653,"")</f>
        <v/>
      </c>
      <c r="AK653" s="38" t="str">
        <f t="shared" si="216"/>
        <v/>
      </c>
      <c r="AL653" t="str">
        <f>IFERROR(Z653-W653,"")</f>
        <v/>
      </c>
      <c r="AM653" t="str">
        <f>IFERROR(R653-J653,"")</f>
        <v/>
      </c>
      <c r="AN653" t="str">
        <f>IFERROR(V653-O653,"")</f>
        <v/>
      </c>
      <c r="AO653">
        <f>IFERROR(J653-I653,"")</f>
        <v>2</v>
      </c>
      <c r="AP653">
        <f>IFERROR(AC653-X653,"")</f>
        <v>0</v>
      </c>
      <c r="AQ653" t="str">
        <f>IFERROR(AA653-W653,"")</f>
        <v/>
      </c>
    </row>
    <row r="654" spans="1:43" x14ac:dyDescent="0.35">
      <c r="A654">
        <v>275</v>
      </c>
      <c r="B654" t="s">
        <v>2077</v>
      </c>
      <c r="C654" t="s">
        <v>1890</v>
      </c>
      <c r="D654" t="str">
        <f t="shared" si="214"/>
        <v>Operations</v>
      </c>
      <c r="E654" t="s">
        <v>1999</v>
      </c>
      <c r="F654" t="s">
        <v>114</v>
      </c>
      <c r="G654" t="s">
        <v>2078</v>
      </c>
      <c r="H654" t="s">
        <v>80</v>
      </c>
      <c r="I654" s="32">
        <v>44848.592418981483</v>
      </c>
      <c r="J654" s="32">
        <v>44851.592418981483</v>
      </c>
      <c r="K654" s="32">
        <v>44852.592418981483</v>
      </c>
      <c r="L654" s="8">
        <f t="shared" si="215"/>
        <v>4</v>
      </c>
      <c r="M654" s="7">
        <v>44882.592418981483</v>
      </c>
      <c r="N654" t="s">
        <v>49</v>
      </c>
      <c r="O654" s="34">
        <v>44867.592418981483</v>
      </c>
      <c r="P654" t="s">
        <v>101</v>
      </c>
      <c r="R654" s="32">
        <v>44870.592418981483</v>
      </c>
      <c r="S654" t="s">
        <v>101</v>
      </c>
      <c r="T654" s="34">
        <v>44869.592418981483</v>
      </c>
      <c r="U654" s="34">
        <v>44872.592418981483</v>
      </c>
      <c r="V654" s="32">
        <v>44868.592418981483</v>
      </c>
      <c r="W654" s="32">
        <v>44878.592418981483</v>
      </c>
      <c r="X654">
        <v>1</v>
      </c>
      <c r="Y654" s="34">
        <v>44880.592418981483</v>
      </c>
      <c r="Z654" s="34">
        <v>44883.592418981483</v>
      </c>
      <c r="AA654" s="34">
        <v>44886.592418981483</v>
      </c>
      <c r="AB654" s="36" t="s">
        <v>7476</v>
      </c>
      <c r="AC654" s="10">
        <v>44901.592418981483</v>
      </c>
      <c r="AD654" t="s">
        <v>2079</v>
      </c>
      <c r="AE654" t="s">
        <v>2080</v>
      </c>
      <c r="AF654" s="16">
        <v>44862</v>
      </c>
      <c r="AG654" t="s">
        <v>64</v>
      </c>
      <c r="AH654">
        <v>6</v>
      </c>
      <c r="AI654" s="8">
        <f>IFERROR(R654-AF654,"")</f>
        <v>8.5924189814832062</v>
      </c>
      <c r="AJ654" s="8">
        <f>IFERROR(O654-AF654,"")</f>
        <v>5.5924189814832062</v>
      </c>
      <c r="AK654" s="38">
        <f t="shared" si="216"/>
        <v>45048.592418981483</v>
      </c>
      <c r="AL654">
        <f>IFERROR(Z654-W654,"")</f>
        <v>5</v>
      </c>
      <c r="AM654">
        <f>IFERROR(R654-J654,"")</f>
        <v>19</v>
      </c>
      <c r="AN654">
        <f>IFERROR(V654-O654,"")</f>
        <v>1</v>
      </c>
      <c r="AO654">
        <f>IFERROR(J654-I654,"")</f>
        <v>3</v>
      </c>
      <c r="AP654">
        <f>IFERROR(AC654-X654,"")</f>
        <v>44900.592418981483</v>
      </c>
      <c r="AQ654">
        <f>IFERROR(AA654-W654,"")</f>
        <v>8</v>
      </c>
    </row>
    <row r="655" spans="1:43" x14ac:dyDescent="0.35">
      <c r="A655">
        <v>250</v>
      </c>
      <c r="B655" t="s">
        <v>2081</v>
      </c>
      <c r="C655" t="s">
        <v>1890</v>
      </c>
      <c r="D655" t="str">
        <f t="shared" si="214"/>
        <v>Operations</v>
      </c>
      <c r="E655" t="s">
        <v>1999</v>
      </c>
      <c r="F655" t="s">
        <v>114</v>
      </c>
      <c r="G655" t="s">
        <v>2078</v>
      </c>
      <c r="H655" t="s">
        <v>80</v>
      </c>
      <c r="I655" s="32">
        <v>44675.34851851852</v>
      </c>
      <c r="J655" s="32">
        <v>44676.34851851852</v>
      </c>
      <c r="K655" s="32">
        <v>44682.34851851852</v>
      </c>
      <c r="L655" s="8">
        <f t="shared" si="215"/>
        <v>7</v>
      </c>
      <c r="M655" s="7">
        <v>44695.34851851852</v>
      </c>
      <c r="N655" t="s">
        <v>49</v>
      </c>
      <c r="O655" s="34">
        <v>44695.34851851852</v>
      </c>
      <c r="P655" t="s">
        <v>60</v>
      </c>
      <c r="R655" s="32">
        <v>44702.34851851852</v>
      </c>
      <c r="S655" t="s">
        <v>61</v>
      </c>
      <c r="T655" s="34" t="s">
        <v>7476</v>
      </c>
      <c r="U655" s="34" t="s">
        <v>7476</v>
      </c>
      <c r="V655" s="32">
        <v>44699.34851851852</v>
      </c>
      <c r="W655" s="32" t="s">
        <v>7476</v>
      </c>
      <c r="X655">
        <v>0</v>
      </c>
      <c r="Y655" s="34" t="s">
        <v>7476</v>
      </c>
      <c r="Z655" s="34" t="s">
        <v>7476</v>
      </c>
      <c r="AA655" s="34" t="s">
        <v>7476</v>
      </c>
      <c r="AB655" s="36" t="s">
        <v>7476</v>
      </c>
      <c r="AD655" t="s">
        <v>2082</v>
      </c>
      <c r="AE655" t="s">
        <v>2083</v>
      </c>
      <c r="AF655" s="16">
        <v>44686</v>
      </c>
      <c r="AG655" t="s">
        <v>98</v>
      </c>
      <c r="AH655">
        <v>6</v>
      </c>
      <c r="AI655" s="8">
        <f>IFERROR(R655-AF655,"")</f>
        <v>16.348518518519995</v>
      </c>
      <c r="AJ655" s="8">
        <f>IFERROR(O655-AF655,"")</f>
        <v>9.3485185185199953</v>
      </c>
      <c r="AK655" s="38">
        <f t="shared" si="216"/>
        <v>44879.34851851852</v>
      </c>
      <c r="AL655" t="str">
        <f>IFERROR(Z655-W655,"")</f>
        <v/>
      </c>
      <c r="AM655">
        <f>IFERROR(R655-J655,"")</f>
        <v>26</v>
      </c>
      <c r="AN655">
        <f>IFERROR(V655-O655,"")</f>
        <v>4</v>
      </c>
      <c r="AO655">
        <f>IFERROR(J655-I655,"")</f>
        <v>1</v>
      </c>
      <c r="AP655">
        <f>IFERROR(AC655-X655,"")</f>
        <v>0</v>
      </c>
      <c r="AQ655" t="str">
        <f>IFERROR(AA655-W655,"")</f>
        <v/>
      </c>
    </row>
    <row r="656" spans="1:43" x14ac:dyDescent="0.35">
      <c r="A656">
        <v>248</v>
      </c>
      <c r="B656" t="s">
        <v>2084</v>
      </c>
      <c r="C656" t="s">
        <v>1897</v>
      </c>
      <c r="D656" t="str">
        <f t="shared" si="214"/>
        <v>Operations</v>
      </c>
      <c r="E656" t="s">
        <v>1999</v>
      </c>
      <c r="F656" t="s">
        <v>114</v>
      </c>
      <c r="G656" t="s">
        <v>2078</v>
      </c>
      <c r="H656" t="s">
        <v>80</v>
      </c>
      <c r="I656" s="32">
        <v>44680.34851851852</v>
      </c>
      <c r="J656" s="32" t="s">
        <v>7471</v>
      </c>
      <c r="K656" s="32">
        <v>44682.34851851852</v>
      </c>
      <c r="L656" s="8">
        <f t="shared" si="215"/>
        <v>2</v>
      </c>
      <c r="M656" s="7">
        <v>44695.34851851852</v>
      </c>
      <c r="N656" t="s">
        <v>49</v>
      </c>
      <c r="O656" s="34">
        <v>44686.34851851852</v>
      </c>
      <c r="P656" t="s">
        <v>50</v>
      </c>
      <c r="Q656" t="s">
        <v>198</v>
      </c>
      <c r="R656" s="32" t="s">
        <v>7472</v>
      </c>
      <c r="S656" t="s">
        <v>7476</v>
      </c>
      <c r="T656" s="34" t="s">
        <v>7476</v>
      </c>
      <c r="U656" s="34" t="s">
        <v>7476</v>
      </c>
      <c r="V656" s="32" t="s">
        <v>7476</v>
      </c>
      <c r="W656" s="32" t="s">
        <v>7476</v>
      </c>
      <c r="X656">
        <v>0</v>
      </c>
      <c r="Y656" s="34" t="s">
        <v>7476</v>
      </c>
      <c r="Z656" s="34" t="s">
        <v>7476</v>
      </c>
      <c r="AA656" s="34" t="s">
        <v>7476</v>
      </c>
      <c r="AB656" s="36" t="s">
        <v>95</v>
      </c>
      <c r="AD656" t="s">
        <v>2085</v>
      </c>
      <c r="AE656" t="s">
        <v>2086</v>
      </c>
      <c r="AF656" s="16">
        <v>44672</v>
      </c>
      <c r="AG656" t="s">
        <v>55</v>
      </c>
      <c r="AH656">
        <v>3</v>
      </c>
      <c r="AK656" s="38" t="str">
        <f t="shared" si="216"/>
        <v/>
      </c>
    </row>
    <row r="657" spans="1:43" x14ac:dyDescent="0.35">
      <c r="A657">
        <v>246</v>
      </c>
      <c r="B657" t="s">
        <v>2087</v>
      </c>
      <c r="C657" t="s">
        <v>1897</v>
      </c>
      <c r="D657" t="str">
        <f t="shared" si="214"/>
        <v>Operations</v>
      </c>
      <c r="E657" t="s">
        <v>1999</v>
      </c>
      <c r="F657" t="s">
        <v>114</v>
      </c>
      <c r="G657" t="s">
        <v>2078</v>
      </c>
      <c r="H657" t="s">
        <v>80</v>
      </c>
      <c r="I657" s="32" t="s">
        <v>7471</v>
      </c>
      <c r="J657" s="32">
        <v>44679.34851851852</v>
      </c>
      <c r="K657" s="32">
        <v>44682.34851851852</v>
      </c>
      <c r="L657" s="8" t="str">
        <f t="shared" si="215"/>
        <v/>
      </c>
      <c r="M657" s="7">
        <v>44690.34851851852</v>
      </c>
      <c r="N657" t="s">
        <v>49</v>
      </c>
      <c r="O657" s="34">
        <v>44686.34851851852</v>
      </c>
      <c r="P657" t="s">
        <v>50</v>
      </c>
      <c r="Q657" t="s">
        <v>236</v>
      </c>
      <c r="R657" s="32" t="s">
        <v>7472</v>
      </c>
      <c r="S657" t="s">
        <v>7476</v>
      </c>
      <c r="T657" s="34" t="s">
        <v>7476</v>
      </c>
      <c r="U657" s="34" t="s">
        <v>7476</v>
      </c>
      <c r="V657" s="32">
        <v>44690.34851851852</v>
      </c>
      <c r="W657" s="32" t="s">
        <v>7476</v>
      </c>
      <c r="X657">
        <v>0</v>
      </c>
      <c r="Y657" s="34" t="s">
        <v>7476</v>
      </c>
      <c r="Z657" s="34" t="s">
        <v>7476</v>
      </c>
      <c r="AA657" s="34" t="s">
        <v>7476</v>
      </c>
      <c r="AB657" s="36" t="s">
        <v>95</v>
      </c>
      <c r="AD657" t="s">
        <v>2088</v>
      </c>
      <c r="AE657" t="s">
        <v>2089</v>
      </c>
      <c r="AF657" s="16">
        <v>44674</v>
      </c>
      <c r="AG657" t="s">
        <v>75</v>
      </c>
      <c r="AH657">
        <v>3</v>
      </c>
      <c r="AK657" s="38">
        <f t="shared" si="216"/>
        <v>44780.34851851852</v>
      </c>
    </row>
    <row r="658" spans="1:43" x14ac:dyDescent="0.35">
      <c r="A658">
        <v>245</v>
      </c>
      <c r="B658" t="s">
        <v>2090</v>
      </c>
      <c r="C658" t="s">
        <v>1897</v>
      </c>
      <c r="D658" t="str">
        <f t="shared" si="214"/>
        <v>Operations</v>
      </c>
      <c r="E658" t="s">
        <v>1999</v>
      </c>
      <c r="F658" t="s">
        <v>114</v>
      </c>
      <c r="G658" t="s">
        <v>2078</v>
      </c>
      <c r="H658" t="s">
        <v>80</v>
      </c>
      <c r="I658" s="32">
        <v>44676.34851851852</v>
      </c>
      <c r="J658" s="32" t="s">
        <v>7471</v>
      </c>
      <c r="K658" s="32">
        <v>44682.34851851852</v>
      </c>
      <c r="L658" s="8">
        <f t="shared" si="215"/>
        <v>6</v>
      </c>
      <c r="M658" s="7">
        <v>44872.34851851852</v>
      </c>
      <c r="N658" t="s">
        <v>72</v>
      </c>
      <c r="O658" s="34" t="s">
        <v>7474</v>
      </c>
      <c r="R658" s="32" t="s">
        <v>7472</v>
      </c>
      <c r="S658" t="s">
        <v>7476</v>
      </c>
      <c r="T658" s="34" t="s">
        <v>7476</v>
      </c>
      <c r="U658" s="34" t="s">
        <v>7476</v>
      </c>
      <c r="V658" s="32" t="s">
        <v>7476</v>
      </c>
      <c r="W658" s="32" t="s">
        <v>7476</v>
      </c>
      <c r="X658">
        <v>0</v>
      </c>
      <c r="Y658" s="34" t="s">
        <v>7476</v>
      </c>
      <c r="Z658" s="34" t="s">
        <v>7476</v>
      </c>
      <c r="AA658" s="34" t="s">
        <v>7476</v>
      </c>
      <c r="AB658" s="36" t="s">
        <v>7476</v>
      </c>
      <c r="AD658" t="s">
        <v>2091</v>
      </c>
      <c r="AE658" t="s">
        <v>2092</v>
      </c>
      <c r="AG658" t="s">
        <v>55</v>
      </c>
      <c r="AH658">
        <v>6</v>
      </c>
      <c r="AK658" s="38" t="str">
        <f t="shared" si="216"/>
        <v/>
      </c>
    </row>
    <row r="659" spans="1:43" x14ac:dyDescent="0.35">
      <c r="A659">
        <v>243</v>
      </c>
      <c r="B659" t="s">
        <v>2093</v>
      </c>
      <c r="C659" t="s">
        <v>1897</v>
      </c>
      <c r="D659" t="str">
        <f t="shared" si="214"/>
        <v>Operations</v>
      </c>
      <c r="E659" t="s">
        <v>1999</v>
      </c>
      <c r="F659" t="s">
        <v>114</v>
      </c>
      <c r="G659" t="s">
        <v>2078</v>
      </c>
      <c r="H659" t="s">
        <v>80</v>
      </c>
      <c r="I659" s="32">
        <v>44675.34851851852</v>
      </c>
      <c r="J659" s="32">
        <v>44678.34851851852</v>
      </c>
      <c r="K659" s="32">
        <v>44682.34851851852</v>
      </c>
      <c r="L659" s="8">
        <f t="shared" si="215"/>
        <v>7</v>
      </c>
      <c r="M659" s="7">
        <v>44872.34851851852</v>
      </c>
      <c r="N659" t="s">
        <v>49</v>
      </c>
      <c r="O659" s="34">
        <v>44691.34851851852</v>
      </c>
      <c r="P659" t="s">
        <v>50</v>
      </c>
      <c r="Q659" t="s">
        <v>198</v>
      </c>
      <c r="R659" s="32" t="s">
        <v>7472</v>
      </c>
      <c r="S659" t="s">
        <v>7476</v>
      </c>
      <c r="T659" s="34" t="s">
        <v>7476</v>
      </c>
      <c r="U659" s="34" t="s">
        <v>7476</v>
      </c>
      <c r="V659" s="32" t="s">
        <v>7476</v>
      </c>
      <c r="W659" s="32" t="s">
        <v>7476</v>
      </c>
      <c r="X659">
        <v>0</v>
      </c>
      <c r="Y659" s="34" t="s">
        <v>7476</v>
      </c>
      <c r="Z659" s="34" t="s">
        <v>7476</v>
      </c>
      <c r="AA659" s="34" t="s">
        <v>7476</v>
      </c>
      <c r="AB659" s="36" t="s">
        <v>52</v>
      </c>
      <c r="AD659" t="s">
        <v>2094</v>
      </c>
      <c r="AE659" t="s">
        <v>2095</v>
      </c>
      <c r="AF659" s="16">
        <v>44685</v>
      </c>
      <c r="AG659" t="s">
        <v>98</v>
      </c>
      <c r="AH659">
        <v>6</v>
      </c>
      <c r="AI659" s="8" t="str">
        <f>IFERROR(R659-AF659,"")</f>
        <v/>
      </c>
      <c r="AJ659" s="8">
        <f>IFERROR(O659-AF659,"")</f>
        <v>6.3485185185199953</v>
      </c>
      <c r="AK659" s="38" t="str">
        <f t="shared" si="216"/>
        <v/>
      </c>
      <c r="AL659" t="str">
        <f>IFERROR(Z659-W659,"")</f>
        <v/>
      </c>
      <c r="AM659" t="str">
        <f>IFERROR(R659-J659,"")</f>
        <v/>
      </c>
      <c r="AN659" t="str">
        <f>IFERROR(V659-O659,"")</f>
        <v/>
      </c>
      <c r="AO659">
        <f>IFERROR(J659-I659,"")</f>
        <v>3</v>
      </c>
      <c r="AP659">
        <f>IFERROR(AC659-X659,"")</f>
        <v>0</v>
      </c>
      <c r="AQ659" t="str">
        <f>IFERROR(AA659-W659,"")</f>
        <v/>
      </c>
    </row>
    <row r="660" spans="1:43" x14ac:dyDescent="0.35">
      <c r="A660">
        <v>198</v>
      </c>
      <c r="B660" t="s">
        <v>2096</v>
      </c>
      <c r="C660" t="s">
        <v>1922</v>
      </c>
      <c r="D660" t="str">
        <f t="shared" si="214"/>
        <v>Operations</v>
      </c>
      <c r="E660" t="s">
        <v>1999</v>
      </c>
      <c r="F660" t="s">
        <v>114</v>
      </c>
      <c r="G660" t="s">
        <v>2078</v>
      </c>
      <c r="H660" t="s">
        <v>80</v>
      </c>
      <c r="I660" s="32">
        <v>44725.769965277781</v>
      </c>
      <c r="J660" s="32">
        <v>44726.769965277781</v>
      </c>
      <c r="K660" s="32">
        <v>44731.769965277781</v>
      </c>
      <c r="L660" s="8">
        <f t="shared" si="215"/>
        <v>6</v>
      </c>
      <c r="M660" s="7">
        <v>44921.769965277781</v>
      </c>
      <c r="N660" t="s">
        <v>49</v>
      </c>
      <c r="O660" s="34">
        <v>44734.769965277781</v>
      </c>
      <c r="P660" t="s">
        <v>60</v>
      </c>
      <c r="R660" s="32">
        <v>44739.769965277781</v>
      </c>
      <c r="S660" t="s">
        <v>61</v>
      </c>
      <c r="T660" s="34" t="s">
        <v>7476</v>
      </c>
      <c r="U660" s="34" t="s">
        <v>7476</v>
      </c>
      <c r="V660" s="32">
        <v>44737.769965277781</v>
      </c>
      <c r="W660" s="32" t="s">
        <v>7476</v>
      </c>
      <c r="X660">
        <v>0</v>
      </c>
      <c r="Y660" s="34" t="s">
        <v>7476</v>
      </c>
      <c r="Z660" s="34" t="s">
        <v>7476</v>
      </c>
      <c r="AA660" s="34" t="s">
        <v>7476</v>
      </c>
      <c r="AB660" s="36" t="s">
        <v>7476</v>
      </c>
      <c r="AD660" t="s">
        <v>2097</v>
      </c>
      <c r="AE660" t="s">
        <v>2098</v>
      </c>
      <c r="AF660" s="16">
        <v>44657</v>
      </c>
      <c r="AG660" t="s">
        <v>68</v>
      </c>
      <c r="AH660">
        <v>3</v>
      </c>
      <c r="AI660" s="8">
        <f>IFERROR(R660-AF660,"")</f>
        <v>82.769965277781012</v>
      </c>
      <c r="AJ660" s="8">
        <f>IFERROR(O660-AF660,"")</f>
        <v>77.769965277781012</v>
      </c>
      <c r="AK660" s="38">
        <f t="shared" si="216"/>
        <v>44827.769965277781</v>
      </c>
      <c r="AL660" t="str">
        <f>IFERROR(Z660-W660,"")</f>
        <v/>
      </c>
      <c r="AM660">
        <f>IFERROR(R660-J660,"")</f>
        <v>13</v>
      </c>
      <c r="AN660">
        <f>IFERROR(V660-O660,"")</f>
        <v>3</v>
      </c>
      <c r="AO660">
        <f>IFERROR(J660-I660,"")</f>
        <v>1</v>
      </c>
      <c r="AP660">
        <f>IFERROR(AC660-X660,"")</f>
        <v>0</v>
      </c>
      <c r="AQ660" t="str">
        <f>IFERROR(AA660-W660,"")</f>
        <v/>
      </c>
    </row>
    <row r="661" spans="1:43" x14ac:dyDescent="0.35">
      <c r="A661">
        <v>195</v>
      </c>
      <c r="B661" t="s">
        <v>2099</v>
      </c>
      <c r="C661" t="s">
        <v>1922</v>
      </c>
      <c r="D661" t="str">
        <f t="shared" si="214"/>
        <v>Operations</v>
      </c>
      <c r="E661" t="s">
        <v>1999</v>
      </c>
      <c r="F661" t="s">
        <v>78</v>
      </c>
      <c r="G661" t="s">
        <v>2050</v>
      </c>
      <c r="H661" t="s">
        <v>80</v>
      </c>
      <c r="I661" s="32">
        <v>44728.769965277781</v>
      </c>
      <c r="J661" s="32">
        <v>44729.769965277781</v>
      </c>
      <c r="K661" s="32">
        <v>44731.769965277781</v>
      </c>
      <c r="L661" s="8">
        <f t="shared" si="215"/>
        <v>3</v>
      </c>
      <c r="M661" s="7">
        <v>44921.769965277781</v>
      </c>
      <c r="N661" t="s">
        <v>49</v>
      </c>
      <c r="O661" s="34">
        <v>44745.769965277781</v>
      </c>
      <c r="P661" t="s">
        <v>50</v>
      </c>
      <c r="Q661" t="s">
        <v>51</v>
      </c>
      <c r="R661" s="32" t="s">
        <v>7472</v>
      </c>
      <c r="S661" t="s">
        <v>7476</v>
      </c>
      <c r="T661" s="34" t="s">
        <v>7476</v>
      </c>
      <c r="U661" s="34" t="s">
        <v>7476</v>
      </c>
      <c r="V661" s="32" t="s">
        <v>7476</v>
      </c>
      <c r="W661" s="32" t="s">
        <v>7476</v>
      </c>
      <c r="X661">
        <v>0</v>
      </c>
      <c r="Y661" s="34" t="s">
        <v>7476</v>
      </c>
      <c r="Z661" s="34" t="s">
        <v>7476</v>
      </c>
      <c r="AA661" s="34" t="s">
        <v>7476</v>
      </c>
      <c r="AB661" s="36" t="s">
        <v>95</v>
      </c>
      <c r="AD661" t="s">
        <v>2100</v>
      </c>
      <c r="AE661" t="s">
        <v>2101</v>
      </c>
      <c r="AF661" s="16">
        <v>44735</v>
      </c>
      <c r="AG661" t="s">
        <v>64</v>
      </c>
      <c r="AH661">
        <v>3</v>
      </c>
      <c r="AI661" s="8" t="str">
        <f>IFERROR(R661-AF661,"")</f>
        <v/>
      </c>
      <c r="AJ661" s="8">
        <f>IFERROR(O661-AF661,"")</f>
        <v>10.769965277781012</v>
      </c>
      <c r="AK661" s="38" t="str">
        <f t="shared" si="216"/>
        <v/>
      </c>
      <c r="AL661" t="str">
        <f>IFERROR(Z661-W661,"")</f>
        <v/>
      </c>
      <c r="AM661" t="str">
        <f>IFERROR(R661-J661,"")</f>
        <v/>
      </c>
      <c r="AN661" t="str">
        <f>IFERROR(V661-O661,"")</f>
        <v/>
      </c>
      <c r="AO661">
        <f>IFERROR(J661-I661,"")</f>
        <v>1</v>
      </c>
      <c r="AP661">
        <f>IFERROR(AC661-X661,"")</f>
        <v>0</v>
      </c>
      <c r="AQ661" t="str">
        <f>IFERROR(AA661-W661,"")</f>
        <v/>
      </c>
    </row>
    <row r="662" spans="1:43" x14ac:dyDescent="0.35">
      <c r="A662">
        <v>193</v>
      </c>
      <c r="B662" t="s">
        <v>2102</v>
      </c>
      <c r="C662" t="s">
        <v>1897</v>
      </c>
      <c r="D662" t="str">
        <f t="shared" si="214"/>
        <v>Operations</v>
      </c>
      <c r="E662" t="s">
        <v>1999</v>
      </c>
      <c r="F662" t="s">
        <v>78</v>
      </c>
      <c r="G662" t="s">
        <v>2050</v>
      </c>
      <c r="H662" t="s">
        <v>80</v>
      </c>
      <c r="I662" s="32" t="s">
        <v>7471</v>
      </c>
      <c r="J662" s="32">
        <v>44730.769965277781</v>
      </c>
      <c r="K662" s="32" t="s">
        <v>7473</v>
      </c>
      <c r="L662" s="8" t="str">
        <f t="shared" si="215"/>
        <v/>
      </c>
      <c r="M662" s="7">
        <v>44921.769965277781</v>
      </c>
      <c r="N662" t="s">
        <v>49</v>
      </c>
      <c r="O662" s="34">
        <v>44741.769965277781</v>
      </c>
      <c r="P662" t="s">
        <v>50</v>
      </c>
      <c r="Q662" t="s">
        <v>84</v>
      </c>
      <c r="R662" s="32" t="s">
        <v>7472</v>
      </c>
      <c r="S662" t="s">
        <v>7476</v>
      </c>
      <c r="T662" s="34" t="s">
        <v>7476</v>
      </c>
      <c r="U662" s="34" t="s">
        <v>7476</v>
      </c>
      <c r="V662" s="32">
        <v>44744.769965277781</v>
      </c>
      <c r="W662" s="32" t="s">
        <v>7476</v>
      </c>
      <c r="X662">
        <v>0</v>
      </c>
      <c r="Y662" s="34" t="s">
        <v>7476</v>
      </c>
      <c r="Z662" s="34" t="s">
        <v>7476</v>
      </c>
      <c r="AA662" s="34" t="s">
        <v>7476</v>
      </c>
      <c r="AB662" s="36" t="s">
        <v>52</v>
      </c>
      <c r="AD662" t="s">
        <v>2103</v>
      </c>
      <c r="AE662" t="s">
        <v>2104</v>
      </c>
      <c r="AF662" s="16">
        <v>44727</v>
      </c>
      <c r="AG662" t="s">
        <v>98</v>
      </c>
      <c r="AH662">
        <v>3</v>
      </c>
      <c r="AK662" s="38">
        <f t="shared" si="216"/>
        <v>44834.769965277781</v>
      </c>
    </row>
    <row r="663" spans="1:43" x14ac:dyDescent="0.35">
      <c r="A663">
        <v>161</v>
      </c>
      <c r="B663" t="s">
        <v>2105</v>
      </c>
      <c r="C663" t="s">
        <v>1890</v>
      </c>
      <c r="D663" t="str">
        <f t="shared" si="214"/>
        <v>Operations</v>
      </c>
      <c r="E663" t="s">
        <v>1999</v>
      </c>
      <c r="F663" t="s">
        <v>78</v>
      </c>
      <c r="G663" t="s">
        <v>2050</v>
      </c>
      <c r="H663" t="s">
        <v>80</v>
      </c>
      <c r="I663" s="32">
        <v>44907.64775462963</v>
      </c>
      <c r="J663" s="32">
        <v>44908.64775462963</v>
      </c>
      <c r="K663" s="32">
        <v>44911.64775462963</v>
      </c>
      <c r="L663" s="8">
        <f t="shared" si="215"/>
        <v>4</v>
      </c>
      <c r="M663" s="7">
        <v>45101.64775462963</v>
      </c>
      <c r="N663" t="s">
        <v>49</v>
      </c>
      <c r="O663" s="34">
        <v>44914.64775462963</v>
      </c>
      <c r="P663" t="s">
        <v>101</v>
      </c>
      <c r="R663" s="32">
        <v>44922.64775462963</v>
      </c>
      <c r="S663" t="s">
        <v>101</v>
      </c>
      <c r="T663" s="34">
        <v>44915.64775462963</v>
      </c>
      <c r="U663" s="34">
        <v>44918.64775462963</v>
      </c>
      <c r="V663" s="32">
        <v>44918.64775462963</v>
      </c>
      <c r="W663" s="32">
        <v>44923.64775462963</v>
      </c>
      <c r="X663">
        <v>1</v>
      </c>
      <c r="Y663" s="34">
        <v>44926.64775462963</v>
      </c>
      <c r="Z663" s="34">
        <v>44929.64775462963</v>
      </c>
      <c r="AA663" s="34">
        <v>44932.64775462963</v>
      </c>
      <c r="AB663" s="36" t="s">
        <v>7476</v>
      </c>
      <c r="AC663" s="10">
        <v>44943.64775462963</v>
      </c>
      <c r="AD663" t="s">
        <v>2106</v>
      </c>
      <c r="AE663" t="s">
        <v>2107</v>
      </c>
      <c r="AF663" s="16">
        <v>44663</v>
      </c>
      <c r="AG663" t="s">
        <v>64</v>
      </c>
      <c r="AH663">
        <v>6</v>
      </c>
      <c r="AI663" s="8">
        <f t="shared" ref="AI663:AI670" si="217">IFERROR(R663-AF663,"")</f>
        <v>259.64775462963007</v>
      </c>
      <c r="AJ663" s="8">
        <f t="shared" ref="AJ663:AJ670" si="218">IFERROR(O663-AF663,"")</f>
        <v>251.64775462963007</v>
      </c>
      <c r="AK663" s="38">
        <f t="shared" si="216"/>
        <v>45098.64775462963</v>
      </c>
      <c r="AL663">
        <f t="shared" ref="AL663:AL670" si="219">IFERROR(Z663-W663,"")</f>
        <v>6</v>
      </c>
      <c r="AM663">
        <f t="shared" ref="AM663:AM670" si="220">IFERROR(R663-J663,"")</f>
        <v>14</v>
      </c>
      <c r="AN663">
        <f t="shared" ref="AN663:AN670" si="221">IFERROR(V663-O663,"")</f>
        <v>4</v>
      </c>
      <c r="AO663">
        <f t="shared" ref="AO663:AO670" si="222">IFERROR(J663-I663,"")</f>
        <v>1</v>
      </c>
      <c r="AP663">
        <f t="shared" ref="AP663:AP670" si="223">IFERROR(AC663-X663,"")</f>
        <v>44942.64775462963</v>
      </c>
      <c r="AQ663">
        <f t="shared" ref="AQ663:AQ670" si="224">IFERROR(AA663-W663,"")</f>
        <v>9</v>
      </c>
    </row>
    <row r="664" spans="1:43" x14ac:dyDescent="0.35">
      <c r="A664">
        <v>121</v>
      </c>
      <c r="B664" t="s">
        <v>2108</v>
      </c>
      <c r="C664" t="s">
        <v>1890</v>
      </c>
      <c r="D664" t="str">
        <f t="shared" si="214"/>
        <v>Operations</v>
      </c>
      <c r="E664" t="s">
        <v>1999</v>
      </c>
      <c r="F664" t="s">
        <v>78</v>
      </c>
      <c r="G664" t="s">
        <v>2050</v>
      </c>
      <c r="H664" t="s">
        <v>80</v>
      </c>
      <c r="I664" s="32">
        <v>44828.472696759258</v>
      </c>
      <c r="J664" s="32">
        <v>44832.472696759258</v>
      </c>
      <c r="K664" s="32">
        <v>44833.472696759258</v>
      </c>
      <c r="L664" s="8">
        <f t="shared" si="215"/>
        <v>5</v>
      </c>
      <c r="M664" s="7">
        <v>45023.472696759258</v>
      </c>
      <c r="N664" t="s">
        <v>49</v>
      </c>
      <c r="O664" s="34">
        <v>44842.472696759258</v>
      </c>
      <c r="P664" t="s">
        <v>60</v>
      </c>
      <c r="R664" s="32">
        <v>44848.472696759258</v>
      </c>
      <c r="S664" t="s">
        <v>61</v>
      </c>
      <c r="T664" s="34" t="s">
        <v>7476</v>
      </c>
      <c r="U664" s="34" t="s">
        <v>7476</v>
      </c>
      <c r="V664" s="32">
        <v>44845.472696759258</v>
      </c>
      <c r="W664" s="32" t="s">
        <v>7476</v>
      </c>
      <c r="X664">
        <v>0</v>
      </c>
      <c r="Y664" s="34" t="s">
        <v>7476</v>
      </c>
      <c r="Z664" s="34" t="s">
        <v>7476</v>
      </c>
      <c r="AA664" s="34" t="s">
        <v>7476</v>
      </c>
      <c r="AB664" s="36" t="s">
        <v>7476</v>
      </c>
      <c r="AD664" t="s">
        <v>2109</v>
      </c>
      <c r="AE664" t="s">
        <v>2110</v>
      </c>
      <c r="AF664" s="16">
        <v>44832</v>
      </c>
      <c r="AG664" t="s">
        <v>68</v>
      </c>
      <c r="AH664">
        <v>6</v>
      </c>
      <c r="AI664" s="8">
        <f t="shared" si="217"/>
        <v>16.472696759257815</v>
      </c>
      <c r="AJ664" s="8">
        <f t="shared" si="218"/>
        <v>10.472696759257815</v>
      </c>
      <c r="AK664" s="38">
        <f t="shared" si="216"/>
        <v>45025.472696759258</v>
      </c>
      <c r="AL664" t="str">
        <f t="shared" si="219"/>
        <v/>
      </c>
      <c r="AM664">
        <f t="shared" si="220"/>
        <v>16</v>
      </c>
      <c r="AN664">
        <f t="shared" si="221"/>
        <v>3</v>
      </c>
      <c r="AO664">
        <f t="shared" si="222"/>
        <v>4</v>
      </c>
      <c r="AP664">
        <f t="shared" si="223"/>
        <v>0</v>
      </c>
      <c r="AQ664" t="str">
        <f t="shared" si="224"/>
        <v/>
      </c>
    </row>
    <row r="665" spans="1:43" x14ac:dyDescent="0.35">
      <c r="A665">
        <v>46</v>
      </c>
      <c r="B665" t="s">
        <v>2111</v>
      </c>
      <c r="C665" t="s">
        <v>1890</v>
      </c>
      <c r="D665" t="str">
        <f t="shared" si="214"/>
        <v>Operations</v>
      </c>
      <c r="E665" t="s">
        <v>1999</v>
      </c>
      <c r="F665" t="s">
        <v>78</v>
      </c>
      <c r="G665" t="s">
        <v>2050</v>
      </c>
      <c r="H665" t="s">
        <v>80</v>
      </c>
      <c r="I665" s="32">
        <v>44621.885358796288</v>
      </c>
      <c r="J665" s="32">
        <v>44623.885358796288</v>
      </c>
      <c r="K665" s="32">
        <v>44629.885358796288</v>
      </c>
      <c r="L665" s="8">
        <f t="shared" si="215"/>
        <v>8</v>
      </c>
      <c r="M665" s="7">
        <v>44653.885358796288</v>
      </c>
      <c r="N665" t="s">
        <v>49</v>
      </c>
      <c r="O665" s="34">
        <v>44645.885358796288</v>
      </c>
      <c r="P665" t="s">
        <v>60</v>
      </c>
      <c r="R665" s="32">
        <v>44653.885358796288</v>
      </c>
      <c r="S665" t="s">
        <v>61</v>
      </c>
      <c r="T665" s="34" t="s">
        <v>7476</v>
      </c>
      <c r="U665" s="34" t="s">
        <v>7476</v>
      </c>
      <c r="V665" s="32">
        <v>44649.885358796288</v>
      </c>
      <c r="W665" s="32" t="s">
        <v>7476</v>
      </c>
      <c r="X665">
        <v>0</v>
      </c>
      <c r="Y665" s="34" t="s">
        <v>7476</v>
      </c>
      <c r="Z665" s="34" t="s">
        <v>7476</v>
      </c>
      <c r="AA665" s="34" t="s">
        <v>7476</v>
      </c>
      <c r="AB665" s="36" t="s">
        <v>7476</v>
      </c>
      <c r="AD665" t="s">
        <v>2112</v>
      </c>
      <c r="AE665" t="s">
        <v>2113</v>
      </c>
      <c r="AF665" s="16">
        <v>44637</v>
      </c>
      <c r="AG665" t="s">
        <v>98</v>
      </c>
      <c r="AH665">
        <v>6</v>
      </c>
      <c r="AI665" s="8">
        <f t="shared" si="217"/>
        <v>16.885358796287619</v>
      </c>
      <c r="AJ665" s="8">
        <f t="shared" si="218"/>
        <v>8.885358796287619</v>
      </c>
      <c r="AK665" s="38">
        <f t="shared" si="216"/>
        <v>44829.885358796288</v>
      </c>
      <c r="AL665" t="str">
        <f t="shared" si="219"/>
        <v/>
      </c>
      <c r="AM665">
        <f t="shared" si="220"/>
        <v>30</v>
      </c>
      <c r="AN665">
        <f t="shared" si="221"/>
        <v>4</v>
      </c>
      <c r="AO665">
        <f t="shared" si="222"/>
        <v>2</v>
      </c>
      <c r="AP665">
        <f t="shared" si="223"/>
        <v>0</v>
      </c>
      <c r="AQ665" t="str">
        <f t="shared" si="224"/>
        <v/>
      </c>
    </row>
    <row r="666" spans="1:43" x14ac:dyDescent="0.35">
      <c r="A666">
        <v>2641</v>
      </c>
      <c r="B666" t="s">
        <v>2114</v>
      </c>
      <c r="C666" t="s">
        <v>1897</v>
      </c>
      <c r="D666" t="str">
        <f t="shared" si="214"/>
        <v>Operations</v>
      </c>
      <c r="E666" t="s">
        <v>2115</v>
      </c>
      <c r="F666" t="s">
        <v>78</v>
      </c>
      <c r="G666" t="s">
        <v>2050</v>
      </c>
      <c r="H666" t="s">
        <v>59</v>
      </c>
      <c r="I666" s="32">
        <v>44585.587569444448</v>
      </c>
      <c r="J666" s="32">
        <v>44589.587569444448</v>
      </c>
      <c r="K666" s="32">
        <v>44593.587569444448</v>
      </c>
      <c r="L666" s="8">
        <f t="shared" si="215"/>
        <v>8</v>
      </c>
      <c r="M666" s="7">
        <v>44613.587569444448</v>
      </c>
      <c r="N666" t="s">
        <v>49</v>
      </c>
      <c r="O666" s="34">
        <v>44606.587569444448</v>
      </c>
      <c r="P666" t="s">
        <v>101</v>
      </c>
      <c r="R666" s="32">
        <v>44610.587569444448</v>
      </c>
      <c r="S666" t="s">
        <v>101</v>
      </c>
      <c r="T666" s="34">
        <v>44607.587569444448</v>
      </c>
      <c r="U666" s="34">
        <v>44610.587569444448</v>
      </c>
      <c r="V666" s="32">
        <v>44608.587569444448</v>
      </c>
      <c r="W666" s="32">
        <v>44610.587569444448</v>
      </c>
      <c r="X666">
        <v>1</v>
      </c>
      <c r="Y666" s="34">
        <v>44613.587569444448</v>
      </c>
      <c r="Z666" s="34">
        <v>44616.587569444448</v>
      </c>
      <c r="AA666" s="34">
        <v>44618.587569444448</v>
      </c>
      <c r="AB666" s="36" t="s">
        <v>7476</v>
      </c>
      <c r="AC666" s="10">
        <v>44631.587569444448</v>
      </c>
      <c r="AD666" t="s">
        <v>2116</v>
      </c>
      <c r="AE666" t="s">
        <v>2117</v>
      </c>
      <c r="AF666" s="16">
        <v>44592</v>
      </c>
      <c r="AG666" t="s">
        <v>98</v>
      </c>
      <c r="AH666">
        <v>3</v>
      </c>
      <c r="AI666" s="8">
        <f t="shared" si="217"/>
        <v>18.587569444447581</v>
      </c>
      <c r="AJ666" s="8">
        <f t="shared" si="218"/>
        <v>14.587569444447581</v>
      </c>
      <c r="AK666" s="38">
        <f t="shared" si="216"/>
        <v>44698.587569444448</v>
      </c>
      <c r="AL666">
        <f t="shared" si="219"/>
        <v>6</v>
      </c>
      <c r="AM666">
        <f t="shared" si="220"/>
        <v>21</v>
      </c>
      <c r="AN666">
        <f t="shared" si="221"/>
        <v>2</v>
      </c>
      <c r="AO666">
        <f t="shared" si="222"/>
        <v>4</v>
      </c>
      <c r="AP666">
        <f t="shared" si="223"/>
        <v>44630.587569444448</v>
      </c>
      <c r="AQ666">
        <f t="shared" si="224"/>
        <v>8</v>
      </c>
    </row>
    <row r="667" spans="1:43" x14ac:dyDescent="0.35">
      <c r="A667">
        <v>2413</v>
      </c>
      <c r="B667" t="s">
        <v>2118</v>
      </c>
      <c r="C667" t="s">
        <v>1890</v>
      </c>
      <c r="D667" t="str">
        <f t="shared" si="214"/>
        <v>Operations</v>
      </c>
      <c r="E667" t="s">
        <v>2115</v>
      </c>
      <c r="F667" t="s">
        <v>78</v>
      </c>
      <c r="G667" t="s">
        <v>2050</v>
      </c>
      <c r="H667" t="s">
        <v>59</v>
      </c>
      <c r="I667" s="32">
        <v>45010.608229166668</v>
      </c>
      <c r="J667" s="32">
        <v>45011.608229166668</v>
      </c>
      <c r="K667" s="32">
        <v>45015.608229166668</v>
      </c>
      <c r="L667" s="8">
        <f t="shared" si="215"/>
        <v>5</v>
      </c>
      <c r="M667" s="7">
        <v>45034.608229166668</v>
      </c>
      <c r="N667" t="s">
        <v>72</v>
      </c>
      <c r="O667" s="34" t="s">
        <v>7474</v>
      </c>
      <c r="R667" s="32" t="s">
        <v>7472</v>
      </c>
      <c r="S667" t="s">
        <v>7476</v>
      </c>
      <c r="T667" s="34" t="s">
        <v>7476</v>
      </c>
      <c r="U667" s="34" t="s">
        <v>7476</v>
      </c>
      <c r="V667" s="32" t="s">
        <v>7476</v>
      </c>
      <c r="W667" s="32" t="s">
        <v>7476</v>
      </c>
      <c r="X667">
        <v>0</v>
      </c>
      <c r="Y667" s="34" t="s">
        <v>7476</v>
      </c>
      <c r="Z667" s="34" t="s">
        <v>7476</v>
      </c>
      <c r="AA667" s="34" t="s">
        <v>7476</v>
      </c>
      <c r="AB667" s="36" t="s">
        <v>7476</v>
      </c>
      <c r="AD667" t="s">
        <v>2119</v>
      </c>
      <c r="AE667" t="s">
        <v>2120</v>
      </c>
      <c r="AG667" t="s">
        <v>98</v>
      </c>
      <c r="AH667">
        <v>3</v>
      </c>
      <c r="AI667" s="8" t="str">
        <f t="shared" si="217"/>
        <v/>
      </c>
      <c r="AJ667" s="8" t="str">
        <f t="shared" si="218"/>
        <v/>
      </c>
      <c r="AK667" s="38" t="str">
        <f t="shared" si="216"/>
        <v/>
      </c>
      <c r="AL667" t="str">
        <f t="shared" si="219"/>
        <v/>
      </c>
      <c r="AM667" t="str">
        <f t="shared" si="220"/>
        <v/>
      </c>
      <c r="AN667" t="str">
        <f t="shared" si="221"/>
        <v/>
      </c>
      <c r="AO667">
        <f t="shared" si="222"/>
        <v>1</v>
      </c>
      <c r="AP667">
        <f t="shared" si="223"/>
        <v>0</v>
      </c>
      <c r="AQ667" t="str">
        <f t="shared" si="224"/>
        <v/>
      </c>
    </row>
    <row r="668" spans="1:43" x14ac:dyDescent="0.35">
      <c r="A668">
        <v>2333</v>
      </c>
      <c r="B668" t="s">
        <v>2121</v>
      </c>
      <c r="C668" t="s">
        <v>1897</v>
      </c>
      <c r="D668" t="str">
        <f t="shared" si="214"/>
        <v>Operations</v>
      </c>
      <c r="E668" t="s">
        <v>2115</v>
      </c>
      <c r="F668" t="s">
        <v>78</v>
      </c>
      <c r="G668" t="s">
        <v>2050</v>
      </c>
      <c r="H668" t="s">
        <v>59</v>
      </c>
      <c r="I668" s="32">
        <v>44694.386030092603</v>
      </c>
      <c r="J668" s="32">
        <v>44696.386030092603</v>
      </c>
      <c r="K668" s="32">
        <v>44700.386030092603</v>
      </c>
      <c r="L668" s="8">
        <f t="shared" si="215"/>
        <v>6</v>
      </c>
      <c r="M668" s="7">
        <v>44715.386030092603</v>
      </c>
      <c r="N668" t="s">
        <v>72</v>
      </c>
      <c r="O668" s="34" t="s">
        <v>7474</v>
      </c>
      <c r="R668" s="32" t="s">
        <v>7472</v>
      </c>
      <c r="S668" t="s">
        <v>7476</v>
      </c>
      <c r="T668" s="34" t="s">
        <v>7476</v>
      </c>
      <c r="U668" s="34" t="s">
        <v>7476</v>
      </c>
      <c r="V668" s="32" t="s">
        <v>7476</v>
      </c>
      <c r="W668" s="32" t="s">
        <v>7476</v>
      </c>
      <c r="X668">
        <v>0</v>
      </c>
      <c r="Y668" s="34" t="s">
        <v>7476</v>
      </c>
      <c r="Z668" s="34" t="s">
        <v>7476</v>
      </c>
      <c r="AA668" s="34" t="s">
        <v>7476</v>
      </c>
      <c r="AB668" s="36" t="s">
        <v>7476</v>
      </c>
      <c r="AD668" t="s">
        <v>2122</v>
      </c>
      <c r="AE668" t="s">
        <v>2123</v>
      </c>
      <c r="AG668" t="s">
        <v>64</v>
      </c>
      <c r="AH668">
        <v>6</v>
      </c>
      <c r="AI668" s="8" t="str">
        <f t="shared" si="217"/>
        <v/>
      </c>
      <c r="AJ668" s="8" t="str">
        <f t="shared" si="218"/>
        <v/>
      </c>
      <c r="AK668" s="38" t="str">
        <f t="shared" si="216"/>
        <v/>
      </c>
      <c r="AL668" t="str">
        <f t="shared" si="219"/>
        <v/>
      </c>
      <c r="AM668" t="str">
        <f t="shared" si="220"/>
        <v/>
      </c>
      <c r="AN668" t="str">
        <f t="shared" si="221"/>
        <v/>
      </c>
      <c r="AO668">
        <f t="shared" si="222"/>
        <v>2</v>
      </c>
      <c r="AP668">
        <f t="shared" si="223"/>
        <v>0</v>
      </c>
      <c r="AQ668" t="str">
        <f t="shared" si="224"/>
        <v/>
      </c>
    </row>
    <row r="669" spans="1:43" x14ac:dyDescent="0.35">
      <c r="A669">
        <v>2253</v>
      </c>
      <c r="B669" t="s">
        <v>2124</v>
      </c>
      <c r="C669" t="s">
        <v>1897</v>
      </c>
      <c r="D669" t="str">
        <f t="shared" si="214"/>
        <v>Operations</v>
      </c>
      <c r="E669" t="s">
        <v>2115</v>
      </c>
      <c r="F669" t="s">
        <v>78</v>
      </c>
      <c r="G669" t="s">
        <v>2050</v>
      </c>
      <c r="H669" t="s">
        <v>59</v>
      </c>
      <c r="I669" s="32">
        <v>44781.68608796296</v>
      </c>
      <c r="J669" s="32">
        <v>44782.68608796296</v>
      </c>
      <c r="K669" s="32">
        <v>44787.68608796296</v>
      </c>
      <c r="L669" s="8">
        <f t="shared" si="215"/>
        <v>6</v>
      </c>
      <c r="M669" s="7">
        <v>44809.68608796296</v>
      </c>
      <c r="N669" t="s">
        <v>72</v>
      </c>
      <c r="O669" s="34" t="s">
        <v>7474</v>
      </c>
      <c r="R669" s="32" t="s">
        <v>7472</v>
      </c>
      <c r="S669" t="s">
        <v>7476</v>
      </c>
      <c r="T669" s="34" t="s">
        <v>7476</v>
      </c>
      <c r="U669" s="34" t="s">
        <v>7476</v>
      </c>
      <c r="V669" s="32" t="s">
        <v>7476</v>
      </c>
      <c r="W669" s="32" t="s">
        <v>7476</v>
      </c>
      <c r="X669">
        <v>0</v>
      </c>
      <c r="Y669" s="34" t="s">
        <v>7476</v>
      </c>
      <c r="Z669" s="34" t="s">
        <v>7476</v>
      </c>
      <c r="AA669" s="34" t="s">
        <v>7476</v>
      </c>
      <c r="AB669" s="36" t="s">
        <v>7476</v>
      </c>
      <c r="AD669" t="s">
        <v>2125</v>
      </c>
      <c r="AE669" t="s">
        <v>2126</v>
      </c>
      <c r="AG669" t="s">
        <v>98</v>
      </c>
      <c r="AH669">
        <v>6</v>
      </c>
      <c r="AI669" s="8" t="str">
        <f t="shared" si="217"/>
        <v/>
      </c>
      <c r="AJ669" s="8" t="str">
        <f t="shared" si="218"/>
        <v/>
      </c>
      <c r="AK669" s="38" t="str">
        <f t="shared" si="216"/>
        <v/>
      </c>
      <c r="AL669" t="str">
        <f t="shared" si="219"/>
        <v/>
      </c>
      <c r="AM669" t="str">
        <f t="shared" si="220"/>
        <v/>
      </c>
      <c r="AN669" t="str">
        <f t="shared" si="221"/>
        <v/>
      </c>
      <c r="AO669">
        <f t="shared" si="222"/>
        <v>1</v>
      </c>
      <c r="AP669">
        <f t="shared" si="223"/>
        <v>0</v>
      </c>
      <c r="AQ669" t="str">
        <f t="shared" si="224"/>
        <v/>
      </c>
    </row>
    <row r="670" spans="1:43" x14ac:dyDescent="0.35">
      <c r="A670">
        <v>2150</v>
      </c>
      <c r="B670" t="s">
        <v>2127</v>
      </c>
      <c r="C670" t="s">
        <v>1897</v>
      </c>
      <c r="D670" t="str">
        <f t="shared" si="214"/>
        <v>Operations</v>
      </c>
      <c r="E670" t="s">
        <v>2115</v>
      </c>
      <c r="F670" t="s">
        <v>78</v>
      </c>
      <c r="G670" t="s">
        <v>2050</v>
      </c>
      <c r="H670" t="s">
        <v>59</v>
      </c>
      <c r="I670" s="32">
        <v>44746.830833333333</v>
      </c>
      <c r="J670" s="32">
        <v>44748.830833333333</v>
      </c>
      <c r="K670" s="32">
        <v>44754.830833333333</v>
      </c>
      <c r="L670" s="8">
        <f t="shared" si="215"/>
        <v>8</v>
      </c>
      <c r="M670" s="7">
        <v>44779.830833333333</v>
      </c>
      <c r="N670" t="s">
        <v>72</v>
      </c>
      <c r="O670" s="34" t="s">
        <v>7474</v>
      </c>
      <c r="R670" s="32" t="s">
        <v>7472</v>
      </c>
      <c r="S670" t="s">
        <v>7476</v>
      </c>
      <c r="T670" s="34" t="s">
        <v>7476</v>
      </c>
      <c r="U670" s="34" t="s">
        <v>7476</v>
      </c>
      <c r="V670" s="32" t="s">
        <v>7476</v>
      </c>
      <c r="W670" s="32" t="s">
        <v>7476</v>
      </c>
      <c r="X670">
        <v>0</v>
      </c>
      <c r="Y670" s="34" t="s">
        <v>7476</v>
      </c>
      <c r="Z670" s="34" t="s">
        <v>7476</v>
      </c>
      <c r="AA670" s="34" t="s">
        <v>7476</v>
      </c>
      <c r="AB670" s="36" t="s">
        <v>7476</v>
      </c>
      <c r="AD670" t="s">
        <v>2128</v>
      </c>
      <c r="AE670" t="s">
        <v>2129</v>
      </c>
      <c r="AG670" t="s">
        <v>68</v>
      </c>
      <c r="AH670">
        <v>3</v>
      </c>
      <c r="AI670" s="8" t="str">
        <f t="shared" si="217"/>
        <v/>
      </c>
      <c r="AJ670" s="8" t="str">
        <f t="shared" si="218"/>
        <v/>
      </c>
      <c r="AK670" s="38" t="str">
        <f t="shared" si="216"/>
        <v/>
      </c>
      <c r="AL670" t="str">
        <f t="shared" si="219"/>
        <v/>
      </c>
      <c r="AM670" t="str">
        <f t="shared" si="220"/>
        <v/>
      </c>
      <c r="AN670" t="str">
        <f t="shared" si="221"/>
        <v/>
      </c>
      <c r="AO670">
        <f t="shared" si="222"/>
        <v>2</v>
      </c>
      <c r="AP670">
        <f t="shared" si="223"/>
        <v>0</v>
      </c>
      <c r="AQ670" t="str">
        <f t="shared" si="224"/>
        <v/>
      </c>
    </row>
    <row r="671" spans="1:43" x14ac:dyDescent="0.35">
      <c r="A671">
        <v>2052</v>
      </c>
      <c r="B671" t="s">
        <v>2130</v>
      </c>
      <c r="C671" t="s">
        <v>1897</v>
      </c>
      <c r="D671" t="str">
        <f t="shared" si="214"/>
        <v>Operations</v>
      </c>
      <c r="E671" t="s">
        <v>2115</v>
      </c>
      <c r="F671" t="s">
        <v>78</v>
      </c>
      <c r="G671" t="s">
        <v>2050</v>
      </c>
      <c r="H671" t="s">
        <v>59</v>
      </c>
      <c r="I671" s="32">
        <v>44570.831099537027</v>
      </c>
      <c r="J671" s="32" t="s">
        <v>7471</v>
      </c>
      <c r="K671" s="32">
        <v>44580.831099537027</v>
      </c>
      <c r="L671" s="8">
        <f t="shared" si="215"/>
        <v>10</v>
      </c>
      <c r="M671" s="7">
        <v>44597.831099537027</v>
      </c>
      <c r="N671" t="s">
        <v>72</v>
      </c>
      <c r="O671" s="34" t="s">
        <v>7474</v>
      </c>
      <c r="R671" s="32" t="s">
        <v>7472</v>
      </c>
      <c r="S671" t="s">
        <v>7476</v>
      </c>
      <c r="T671" s="34" t="s">
        <v>7476</v>
      </c>
      <c r="U671" s="34" t="s">
        <v>7476</v>
      </c>
      <c r="V671" s="32" t="s">
        <v>7476</v>
      </c>
      <c r="W671" s="32" t="s">
        <v>7476</v>
      </c>
      <c r="X671">
        <v>0</v>
      </c>
      <c r="Y671" s="34" t="s">
        <v>7476</v>
      </c>
      <c r="Z671" s="34" t="s">
        <v>7476</v>
      </c>
      <c r="AA671" s="34" t="s">
        <v>7476</v>
      </c>
      <c r="AB671" s="36" t="s">
        <v>7476</v>
      </c>
      <c r="AD671" t="s">
        <v>2131</v>
      </c>
      <c r="AE671" t="s">
        <v>2132</v>
      </c>
      <c r="AG671" t="s">
        <v>98</v>
      </c>
      <c r="AH671">
        <v>6</v>
      </c>
      <c r="AK671" s="38" t="str">
        <f t="shared" si="216"/>
        <v/>
      </c>
    </row>
    <row r="672" spans="1:43" x14ac:dyDescent="0.35">
      <c r="A672">
        <v>1897</v>
      </c>
      <c r="B672" t="s">
        <v>2133</v>
      </c>
      <c r="C672" t="s">
        <v>1897</v>
      </c>
      <c r="D672" t="str">
        <f t="shared" si="214"/>
        <v>Operations</v>
      </c>
      <c r="E672" t="s">
        <v>2115</v>
      </c>
      <c r="F672" t="s">
        <v>78</v>
      </c>
      <c r="G672" t="s">
        <v>2050</v>
      </c>
      <c r="H672" t="s">
        <v>59</v>
      </c>
      <c r="I672" s="32">
        <v>44592.278043981481</v>
      </c>
      <c r="J672" s="32">
        <v>44596.278043981481</v>
      </c>
      <c r="K672" s="32">
        <v>44599.278043981481</v>
      </c>
      <c r="L672" s="8">
        <f t="shared" si="215"/>
        <v>7</v>
      </c>
      <c r="M672" s="7">
        <v>44626.278043981481</v>
      </c>
      <c r="N672" t="s">
        <v>72</v>
      </c>
      <c r="O672" s="34" t="s">
        <v>7474</v>
      </c>
      <c r="R672" s="32" t="s">
        <v>7472</v>
      </c>
      <c r="S672" t="s">
        <v>7476</v>
      </c>
      <c r="T672" s="34" t="s">
        <v>7476</v>
      </c>
      <c r="U672" s="34" t="s">
        <v>7476</v>
      </c>
      <c r="V672" s="32" t="s">
        <v>7476</v>
      </c>
      <c r="W672" s="32" t="s">
        <v>7476</v>
      </c>
      <c r="X672">
        <v>0</v>
      </c>
      <c r="Y672" s="34" t="s">
        <v>7476</v>
      </c>
      <c r="Z672" s="34" t="s">
        <v>7476</v>
      </c>
      <c r="AA672" s="34" t="s">
        <v>7476</v>
      </c>
      <c r="AB672" s="36" t="s">
        <v>7476</v>
      </c>
      <c r="AD672" t="s">
        <v>2134</v>
      </c>
      <c r="AE672" t="s">
        <v>2135</v>
      </c>
      <c r="AG672" t="s">
        <v>98</v>
      </c>
      <c r="AH672">
        <v>3</v>
      </c>
      <c r="AI672" s="8" t="str">
        <f>IFERROR(R672-AF672,"")</f>
        <v/>
      </c>
      <c r="AJ672" s="8" t="str">
        <f>IFERROR(O672-AF672,"")</f>
        <v/>
      </c>
      <c r="AK672" s="38" t="str">
        <f t="shared" si="216"/>
        <v/>
      </c>
      <c r="AL672" t="str">
        <f>IFERROR(Z672-W672,"")</f>
        <v/>
      </c>
      <c r="AM672" t="str">
        <f>IFERROR(R672-J672,"")</f>
        <v/>
      </c>
      <c r="AN672" t="str">
        <f>IFERROR(V672-O672,"")</f>
        <v/>
      </c>
      <c r="AO672">
        <f>IFERROR(J672-I672,"")</f>
        <v>4</v>
      </c>
      <c r="AP672">
        <f>IFERROR(AC672-X672,"")</f>
        <v>0</v>
      </c>
      <c r="AQ672" t="str">
        <f>IFERROR(AA672-W672,"")</f>
        <v/>
      </c>
    </row>
    <row r="673" spans="1:43" x14ac:dyDescent="0.35">
      <c r="A673">
        <v>1747</v>
      </c>
      <c r="B673" t="s">
        <v>2136</v>
      </c>
      <c r="C673" t="s">
        <v>1897</v>
      </c>
      <c r="D673" t="str">
        <f t="shared" si="214"/>
        <v>Operations</v>
      </c>
      <c r="E673" t="s">
        <v>2115</v>
      </c>
      <c r="F673" t="s">
        <v>78</v>
      </c>
      <c r="G673" t="s">
        <v>2050</v>
      </c>
      <c r="H673" t="s">
        <v>59</v>
      </c>
      <c r="I673" s="32">
        <v>44944.798078703701</v>
      </c>
      <c r="J673" s="32">
        <v>44948.798078703701</v>
      </c>
      <c r="K673" s="32">
        <v>44953.798078703701</v>
      </c>
      <c r="L673" s="8">
        <f t="shared" si="215"/>
        <v>9</v>
      </c>
      <c r="M673" s="7">
        <v>44970.798078703701</v>
      </c>
      <c r="N673" t="s">
        <v>72</v>
      </c>
      <c r="O673" s="34" t="s">
        <v>7474</v>
      </c>
      <c r="R673" s="32" t="s">
        <v>7472</v>
      </c>
      <c r="S673" t="s">
        <v>7476</v>
      </c>
      <c r="T673" s="34" t="s">
        <v>7476</v>
      </c>
      <c r="U673" s="34" t="s">
        <v>7476</v>
      </c>
      <c r="V673" s="32" t="s">
        <v>7476</v>
      </c>
      <c r="W673" s="32" t="s">
        <v>7476</v>
      </c>
      <c r="X673">
        <v>0</v>
      </c>
      <c r="Y673" s="34" t="s">
        <v>7476</v>
      </c>
      <c r="Z673" s="34" t="s">
        <v>7476</v>
      </c>
      <c r="AA673" s="34" t="s">
        <v>7476</v>
      </c>
      <c r="AB673" s="36" t="s">
        <v>7476</v>
      </c>
      <c r="AD673" t="s">
        <v>2137</v>
      </c>
      <c r="AE673" t="s">
        <v>2138</v>
      </c>
      <c r="AG673" t="s">
        <v>68</v>
      </c>
      <c r="AH673">
        <v>3</v>
      </c>
      <c r="AI673" s="8" t="str">
        <f>IFERROR(R673-AF673,"")</f>
        <v/>
      </c>
      <c r="AJ673" s="8" t="str">
        <f>IFERROR(O673-AF673,"")</f>
        <v/>
      </c>
      <c r="AK673" s="38" t="str">
        <f t="shared" si="216"/>
        <v/>
      </c>
      <c r="AL673" t="str">
        <f>IFERROR(Z673-W673,"")</f>
        <v/>
      </c>
      <c r="AM673" t="str">
        <f>IFERROR(R673-J673,"")</f>
        <v/>
      </c>
      <c r="AN673" t="str">
        <f>IFERROR(V673-O673,"")</f>
        <v/>
      </c>
      <c r="AO673">
        <f>IFERROR(J673-I673,"")</f>
        <v>4</v>
      </c>
      <c r="AP673">
        <f>IFERROR(AC673-X673,"")</f>
        <v>0</v>
      </c>
      <c r="AQ673" t="str">
        <f>IFERROR(AA673-W673,"")</f>
        <v/>
      </c>
    </row>
    <row r="674" spans="1:43" x14ac:dyDescent="0.35">
      <c r="A674">
        <v>1428</v>
      </c>
      <c r="B674" t="s">
        <v>2139</v>
      </c>
      <c r="C674" t="s">
        <v>1897</v>
      </c>
      <c r="D674" t="str">
        <f t="shared" si="214"/>
        <v>Operations</v>
      </c>
      <c r="E674" t="s">
        <v>2115</v>
      </c>
      <c r="F674" t="s">
        <v>78</v>
      </c>
      <c r="G674" t="s">
        <v>2050</v>
      </c>
      <c r="H674" t="s">
        <v>59</v>
      </c>
      <c r="I674" s="32" t="s">
        <v>7471</v>
      </c>
      <c r="J674" s="32">
        <v>44665.11314814815</v>
      </c>
      <c r="K674" s="32">
        <v>44666.11314814815</v>
      </c>
      <c r="L674" s="8" t="str">
        <f t="shared" si="215"/>
        <v/>
      </c>
      <c r="M674" s="7">
        <v>44679.11314814815</v>
      </c>
      <c r="N674" t="s">
        <v>72</v>
      </c>
      <c r="O674" s="34" t="s">
        <v>7474</v>
      </c>
      <c r="R674" s="32" t="s">
        <v>7472</v>
      </c>
      <c r="S674" t="s">
        <v>7476</v>
      </c>
      <c r="T674" s="34" t="s">
        <v>7476</v>
      </c>
      <c r="U674" s="34" t="s">
        <v>7476</v>
      </c>
      <c r="V674" s="32" t="s">
        <v>7476</v>
      </c>
      <c r="W674" s="32" t="s">
        <v>7476</v>
      </c>
      <c r="X674">
        <v>0</v>
      </c>
      <c r="Y674" s="34" t="s">
        <v>7476</v>
      </c>
      <c r="Z674" s="34" t="s">
        <v>7476</v>
      </c>
      <c r="AA674" s="34" t="s">
        <v>7476</v>
      </c>
      <c r="AB674" s="36" t="s">
        <v>7476</v>
      </c>
      <c r="AD674" t="s">
        <v>2140</v>
      </c>
      <c r="AE674" t="s">
        <v>2141</v>
      </c>
      <c r="AG674" t="s">
        <v>64</v>
      </c>
      <c r="AH674">
        <v>6</v>
      </c>
      <c r="AK674" s="38" t="str">
        <f t="shared" si="216"/>
        <v/>
      </c>
    </row>
    <row r="675" spans="1:43" x14ac:dyDescent="0.35">
      <c r="A675">
        <v>1211</v>
      </c>
      <c r="B675" t="s">
        <v>2142</v>
      </c>
      <c r="C675" t="s">
        <v>1897</v>
      </c>
      <c r="D675" t="str">
        <f t="shared" si="214"/>
        <v>Operations</v>
      </c>
      <c r="E675" t="s">
        <v>2115</v>
      </c>
      <c r="F675" t="s">
        <v>78</v>
      </c>
      <c r="G675" t="s">
        <v>2050</v>
      </c>
      <c r="H675" t="s">
        <v>59</v>
      </c>
      <c r="I675" s="32">
        <v>45130.004317129627</v>
      </c>
      <c r="J675" s="32">
        <v>45134.004317129627</v>
      </c>
      <c r="K675" s="32" t="s">
        <v>7473</v>
      </c>
      <c r="L675" s="8" t="str">
        <f t="shared" si="215"/>
        <v/>
      </c>
      <c r="M675" s="7">
        <v>45166.004317129627</v>
      </c>
      <c r="N675" t="s">
        <v>49</v>
      </c>
      <c r="O675" s="34">
        <v>45144.004317129627</v>
      </c>
      <c r="P675" t="s">
        <v>101</v>
      </c>
      <c r="R675" s="32">
        <v>45149.004317129627</v>
      </c>
      <c r="S675" t="s">
        <v>101</v>
      </c>
      <c r="T675" s="34">
        <v>45145.004317129627</v>
      </c>
      <c r="U675" s="34">
        <v>45148.004317129627</v>
      </c>
      <c r="V675" s="32">
        <v>45145.004317129627</v>
      </c>
      <c r="W675" s="32">
        <v>45152.004317129627</v>
      </c>
      <c r="X675">
        <v>1</v>
      </c>
      <c r="Y675" s="34">
        <v>45155.004317129627</v>
      </c>
      <c r="Z675" s="34">
        <v>45158.004317129627</v>
      </c>
      <c r="AA675" s="34">
        <v>45159.004317129627</v>
      </c>
      <c r="AB675" s="36" t="s">
        <v>7476</v>
      </c>
      <c r="AC675" s="10">
        <v>45176.004317129627</v>
      </c>
      <c r="AD675" t="s">
        <v>2143</v>
      </c>
      <c r="AE675" t="s">
        <v>2144</v>
      </c>
      <c r="AF675" s="16">
        <v>45129</v>
      </c>
      <c r="AG675" t="s">
        <v>93</v>
      </c>
      <c r="AH675">
        <v>3</v>
      </c>
      <c r="AK675" s="38">
        <f t="shared" si="216"/>
        <v>45235.004317129627</v>
      </c>
    </row>
    <row r="676" spans="1:43" x14ac:dyDescent="0.35">
      <c r="A676">
        <v>1139</v>
      </c>
      <c r="B676" t="s">
        <v>2145</v>
      </c>
      <c r="C676" t="s">
        <v>1897</v>
      </c>
      <c r="D676" t="str">
        <f t="shared" si="214"/>
        <v>Operations</v>
      </c>
      <c r="E676" t="s">
        <v>2115</v>
      </c>
      <c r="F676" t="s">
        <v>78</v>
      </c>
      <c r="G676" t="s">
        <v>2050</v>
      </c>
      <c r="H676" t="s">
        <v>59</v>
      </c>
      <c r="I676" s="32">
        <v>44634.796018518522</v>
      </c>
      <c r="J676" s="32">
        <v>44636.796018518522</v>
      </c>
      <c r="K676" s="32">
        <v>44639.796018518522</v>
      </c>
      <c r="L676" s="8">
        <f t="shared" si="215"/>
        <v>5</v>
      </c>
      <c r="M676" s="7">
        <v>44650.796018518522</v>
      </c>
      <c r="N676" t="s">
        <v>72</v>
      </c>
      <c r="O676" s="34" t="s">
        <v>7474</v>
      </c>
      <c r="R676" s="32" t="s">
        <v>7472</v>
      </c>
      <c r="S676" t="s">
        <v>7476</v>
      </c>
      <c r="T676" s="34" t="s">
        <v>7476</v>
      </c>
      <c r="U676" s="34" t="s">
        <v>7476</v>
      </c>
      <c r="V676" s="32" t="s">
        <v>7476</v>
      </c>
      <c r="W676" s="32" t="s">
        <v>7476</v>
      </c>
      <c r="X676">
        <v>0</v>
      </c>
      <c r="Y676" s="34" t="s">
        <v>7476</v>
      </c>
      <c r="Z676" s="34" t="s">
        <v>7476</v>
      </c>
      <c r="AA676" s="34" t="s">
        <v>7476</v>
      </c>
      <c r="AB676" s="36" t="s">
        <v>7476</v>
      </c>
      <c r="AD676" t="s">
        <v>2146</v>
      </c>
      <c r="AE676" t="s">
        <v>2147</v>
      </c>
      <c r="AG676" t="s">
        <v>68</v>
      </c>
      <c r="AH676">
        <v>6</v>
      </c>
      <c r="AI676" s="8" t="str">
        <f>IFERROR(R676-AF676,"")</f>
        <v/>
      </c>
      <c r="AJ676" s="8" t="str">
        <f>IFERROR(O676-AF676,"")</f>
        <v/>
      </c>
      <c r="AK676" s="38" t="str">
        <f t="shared" si="216"/>
        <v/>
      </c>
      <c r="AL676" t="str">
        <f>IFERROR(Z676-W676,"")</f>
        <v/>
      </c>
      <c r="AM676" t="str">
        <f>IFERROR(R676-J676,"")</f>
        <v/>
      </c>
      <c r="AN676" t="str">
        <f>IFERROR(V676-O676,"")</f>
        <v/>
      </c>
      <c r="AO676">
        <f>IFERROR(J676-I676,"")</f>
        <v>2</v>
      </c>
      <c r="AP676">
        <f>IFERROR(AC676-X676,"")</f>
        <v>0</v>
      </c>
      <c r="AQ676" t="str">
        <f>IFERROR(AA676-W676,"")</f>
        <v/>
      </c>
    </row>
    <row r="677" spans="1:43" x14ac:dyDescent="0.35">
      <c r="A677">
        <v>1022</v>
      </c>
      <c r="B677" t="s">
        <v>2148</v>
      </c>
      <c r="C677" t="s">
        <v>1897</v>
      </c>
      <c r="D677" t="str">
        <f t="shared" si="214"/>
        <v>Operations</v>
      </c>
      <c r="E677" t="s">
        <v>2115</v>
      </c>
      <c r="F677" t="s">
        <v>78</v>
      </c>
      <c r="G677" t="s">
        <v>2050</v>
      </c>
      <c r="H677" t="s">
        <v>59</v>
      </c>
      <c r="I677" s="32">
        <v>44951.791134259263</v>
      </c>
      <c r="J677" s="32">
        <v>44952.791134259263</v>
      </c>
      <c r="K677" s="32">
        <v>44958.791134259263</v>
      </c>
      <c r="L677" s="8">
        <f t="shared" si="215"/>
        <v>7</v>
      </c>
      <c r="M677" s="7">
        <v>44986.791134259263</v>
      </c>
      <c r="N677" t="s">
        <v>72</v>
      </c>
      <c r="O677" s="34" t="s">
        <v>7474</v>
      </c>
      <c r="R677" s="32" t="s">
        <v>7472</v>
      </c>
      <c r="S677" t="s">
        <v>7476</v>
      </c>
      <c r="T677" s="34" t="s">
        <v>7476</v>
      </c>
      <c r="U677" s="34" t="s">
        <v>7476</v>
      </c>
      <c r="V677" s="32" t="s">
        <v>7476</v>
      </c>
      <c r="W677" s="32" t="s">
        <v>7476</v>
      </c>
      <c r="X677">
        <v>0</v>
      </c>
      <c r="Y677" s="34" t="s">
        <v>7476</v>
      </c>
      <c r="Z677" s="34" t="s">
        <v>7476</v>
      </c>
      <c r="AA677" s="34" t="s">
        <v>7476</v>
      </c>
      <c r="AB677" s="36" t="s">
        <v>7476</v>
      </c>
      <c r="AD677" t="s">
        <v>2149</v>
      </c>
      <c r="AE677" t="s">
        <v>2150</v>
      </c>
      <c r="AG677" t="s">
        <v>68</v>
      </c>
      <c r="AH677">
        <v>3</v>
      </c>
      <c r="AI677" s="8" t="str">
        <f>IFERROR(R677-AF677,"")</f>
        <v/>
      </c>
      <c r="AJ677" s="8" t="str">
        <f>IFERROR(O677-AF677,"")</f>
        <v/>
      </c>
      <c r="AK677" s="38" t="str">
        <f t="shared" si="216"/>
        <v/>
      </c>
      <c r="AL677" t="str">
        <f>IFERROR(Z677-W677,"")</f>
        <v/>
      </c>
      <c r="AM677" t="str">
        <f>IFERROR(R677-J677,"")</f>
        <v/>
      </c>
      <c r="AN677" t="str">
        <f>IFERROR(V677-O677,"")</f>
        <v/>
      </c>
      <c r="AO677">
        <f>IFERROR(J677-I677,"")</f>
        <v>1</v>
      </c>
      <c r="AP677">
        <f>IFERROR(AC677-X677,"")</f>
        <v>0</v>
      </c>
      <c r="AQ677" t="str">
        <f>IFERROR(AA677-W677,"")</f>
        <v/>
      </c>
    </row>
    <row r="678" spans="1:43" x14ac:dyDescent="0.35">
      <c r="A678">
        <v>936</v>
      </c>
      <c r="B678" t="s">
        <v>2151</v>
      </c>
      <c r="C678" t="s">
        <v>1922</v>
      </c>
      <c r="D678" t="str">
        <f t="shared" si="214"/>
        <v>Operations</v>
      </c>
      <c r="E678" t="s">
        <v>2115</v>
      </c>
      <c r="F678" t="s">
        <v>78</v>
      </c>
      <c r="G678" t="s">
        <v>2050</v>
      </c>
      <c r="H678" t="s">
        <v>59</v>
      </c>
      <c r="I678" s="32">
        <v>44998.704907407409</v>
      </c>
      <c r="J678" s="32">
        <v>45002.704907407409</v>
      </c>
      <c r="K678" s="32">
        <v>45005.704907407409</v>
      </c>
      <c r="L678" s="8">
        <f t="shared" si="215"/>
        <v>7</v>
      </c>
      <c r="M678" s="7">
        <v>45015.704907407409</v>
      </c>
      <c r="N678" t="s">
        <v>49</v>
      </c>
      <c r="O678" s="34">
        <v>45019.704907407409</v>
      </c>
      <c r="P678" t="s">
        <v>50</v>
      </c>
      <c r="Q678" t="s">
        <v>84</v>
      </c>
      <c r="R678" s="32" t="s">
        <v>7472</v>
      </c>
      <c r="S678" t="s">
        <v>7476</v>
      </c>
      <c r="T678" s="34" t="s">
        <v>7476</v>
      </c>
      <c r="U678" s="34" t="s">
        <v>7476</v>
      </c>
      <c r="V678" s="32" t="s">
        <v>7476</v>
      </c>
      <c r="W678" s="32" t="s">
        <v>7476</v>
      </c>
      <c r="X678">
        <v>0</v>
      </c>
      <c r="Y678" s="34" t="s">
        <v>7476</v>
      </c>
      <c r="Z678" s="34" t="s">
        <v>7476</v>
      </c>
      <c r="AA678" s="34" t="s">
        <v>7476</v>
      </c>
      <c r="AB678" s="36" t="s">
        <v>52</v>
      </c>
      <c r="AD678" t="s">
        <v>2152</v>
      </c>
      <c r="AE678" t="s">
        <v>2153</v>
      </c>
      <c r="AF678" s="16">
        <v>45011</v>
      </c>
      <c r="AG678" t="s">
        <v>64</v>
      </c>
      <c r="AH678">
        <v>6</v>
      </c>
      <c r="AI678" s="8" t="str">
        <f>IFERROR(R678-AF678,"")</f>
        <v/>
      </c>
      <c r="AJ678" s="8">
        <f>IFERROR(O678-AF678,"")</f>
        <v>8.7049074074093369</v>
      </c>
      <c r="AK678" s="38" t="str">
        <f t="shared" si="216"/>
        <v/>
      </c>
      <c r="AL678" t="str">
        <f>IFERROR(Z678-W678,"")</f>
        <v/>
      </c>
      <c r="AM678" t="str">
        <f>IFERROR(R678-J678,"")</f>
        <v/>
      </c>
      <c r="AN678" t="str">
        <f>IFERROR(V678-O678,"")</f>
        <v/>
      </c>
      <c r="AO678">
        <f>IFERROR(J678-I678,"")</f>
        <v>4</v>
      </c>
      <c r="AP678">
        <f>IFERROR(AC678-X678,"")</f>
        <v>0</v>
      </c>
      <c r="AQ678" t="str">
        <f>IFERROR(AA678-W678,"")</f>
        <v/>
      </c>
    </row>
    <row r="679" spans="1:43" x14ac:dyDescent="0.35">
      <c r="A679">
        <v>850</v>
      </c>
      <c r="B679" t="s">
        <v>2154</v>
      </c>
      <c r="C679" t="s">
        <v>1897</v>
      </c>
      <c r="D679" t="str">
        <f t="shared" si="214"/>
        <v>Operations</v>
      </c>
      <c r="E679" t="s">
        <v>2115</v>
      </c>
      <c r="F679" t="s">
        <v>78</v>
      </c>
      <c r="G679" t="s">
        <v>2050</v>
      </c>
      <c r="H679" t="s">
        <v>59</v>
      </c>
      <c r="I679" s="32">
        <v>44778.836053240739</v>
      </c>
      <c r="J679" s="32">
        <v>44779.836053240739</v>
      </c>
      <c r="K679" s="32" t="s">
        <v>7473</v>
      </c>
      <c r="L679" s="8" t="str">
        <f t="shared" si="215"/>
        <v/>
      </c>
      <c r="M679" s="7">
        <v>44802.836053240739</v>
      </c>
      <c r="N679" t="s">
        <v>49</v>
      </c>
      <c r="O679" s="34">
        <v>44790.836053240739</v>
      </c>
      <c r="P679" t="s">
        <v>50</v>
      </c>
      <c r="Q679" t="s">
        <v>84</v>
      </c>
      <c r="R679" s="32" t="s">
        <v>7472</v>
      </c>
      <c r="S679" t="s">
        <v>7476</v>
      </c>
      <c r="T679" s="34" t="s">
        <v>7476</v>
      </c>
      <c r="U679" s="34" t="s">
        <v>7476</v>
      </c>
      <c r="V679" s="32" t="s">
        <v>7476</v>
      </c>
      <c r="W679" s="32" t="s">
        <v>7476</v>
      </c>
      <c r="X679">
        <v>0</v>
      </c>
      <c r="Y679" s="34" t="s">
        <v>7476</v>
      </c>
      <c r="Z679" s="34" t="s">
        <v>7476</v>
      </c>
      <c r="AA679" s="34" t="s">
        <v>7476</v>
      </c>
      <c r="AB679" s="36" t="s">
        <v>52</v>
      </c>
      <c r="AD679" t="s">
        <v>2155</v>
      </c>
      <c r="AE679" t="s">
        <v>2156</v>
      </c>
      <c r="AF679" s="16">
        <v>44771</v>
      </c>
      <c r="AG679" t="s">
        <v>98</v>
      </c>
      <c r="AH679">
        <v>3</v>
      </c>
      <c r="AK679" s="38" t="str">
        <f t="shared" si="216"/>
        <v/>
      </c>
    </row>
    <row r="680" spans="1:43" x14ac:dyDescent="0.35">
      <c r="A680">
        <v>818</v>
      </c>
      <c r="B680" t="s">
        <v>2157</v>
      </c>
      <c r="C680" t="s">
        <v>1890</v>
      </c>
      <c r="D680" t="str">
        <f t="shared" si="214"/>
        <v>Operations</v>
      </c>
      <c r="E680" t="s">
        <v>2115</v>
      </c>
      <c r="F680" t="s">
        <v>78</v>
      </c>
      <c r="G680" t="s">
        <v>2050</v>
      </c>
      <c r="H680" t="s">
        <v>59</v>
      </c>
      <c r="I680" s="32">
        <v>44672.895150462973</v>
      </c>
      <c r="J680" s="32">
        <v>44673.895150462973</v>
      </c>
      <c r="K680" s="32">
        <v>44676.895150462973</v>
      </c>
      <c r="L680" s="8">
        <f t="shared" si="215"/>
        <v>4</v>
      </c>
      <c r="M680" s="7">
        <v>44700.895150462973</v>
      </c>
      <c r="N680" t="s">
        <v>49</v>
      </c>
      <c r="O680" s="34">
        <v>44684.895150462973</v>
      </c>
      <c r="P680" t="s">
        <v>50</v>
      </c>
      <c r="Q680" t="s">
        <v>84</v>
      </c>
      <c r="R680" s="32" t="s">
        <v>7472</v>
      </c>
      <c r="S680" t="s">
        <v>7476</v>
      </c>
      <c r="T680" s="34" t="s">
        <v>7476</v>
      </c>
      <c r="U680" s="34" t="s">
        <v>7476</v>
      </c>
      <c r="V680" s="32" t="s">
        <v>7476</v>
      </c>
      <c r="W680" s="32" t="s">
        <v>7476</v>
      </c>
      <c r="X680">
        <v>0</v>
      </c>
      <c r="Y680" s="34" t="s">
        <v>7476</v>
      </c>
      <c r="Z680" s="34" t="s">
        <v>7476</v>
      </c>
      <c r="AA680" s="34" t="s">
        <v>7476</v>
      </c>
      <c r="AB680" s="36" t="s">
        <v>95</v>
      </c>
      <c r="AD680" t="s">
        <v>2158</v>
      </c>
      <c r="AE680" t="s">
        <v>2159</v>
      </c>
      <c r="AF680" s="16">
        <v>44667</v>
      </c>
      <c r="AG680" t="s">
        <v>98</v>
      </c>
      <c r="AH680">
        <v>6</v>
      </c>
      <c r="AI680" s="8" t="str">
        <f t="shared" ref="AI680:AI685" si="225">IFERROR(R680-AF680,"")</f>
        <v/>
      </c>
      <c r="AJ680" s="8">
        <f t="shared" ref="AJ680:AJ685" si="226">IFERROR(O680-AF680,"")</f>
        <v>17.895150462973106</v>
      </c>
      <c r="AK680" s="38" t="str">
        <f t="shared" si="216"/>
        <v/>
      </c>
      <c r="AL680" t="str">
        <f t="shared" ref="AL680:AL685" si="227">IFERROR(Z680-W680,"")</f>
        <v/>
      </c>
      <c r="AM680" t="str">
        <f t="shared" ref="AM680:AM685" si="228">IFERROR(R680-J680,"")</f>
        <v/>
      </c>
      <c r="AN680" t="str">
        <f t="shared" ref="AN680:AN685" si="229">IFERROR(V680-O680,"")</f>
        <v/>
      </c>
      <c r="AO680">
        <f t="shared" ref="AO680:AO685" si="230">IFERROR(J680-I680,"")</f>
        <v>1</v>
      </c>
      <c r="AP680">
        <f t="shared" ref="AP680:AP685" si="231">IFERROR(AC680-X680,"")</f>
        <v>0</v>
      </c>
      <c r="AQ680" t="str">
        <f t="shared" ref="AQ680:AQ685" si="232">IFERROR(AA680-W680,"")</f>
        <v/>
      </c>
    </row>
    <row r="681" spans="1:43" x14ac:dyDescent="0.35">
      <c r="A681">
        <v>817</v>
      </c>
      <c r="B681" t="s">
        <v>2160</v>
      </c>
      <c r="C681" t="s">
        <v>1922</v>
      </c>
      <c r="D681" t="str">
        <f t="shared" si="214"/>
        <v>Operations</v>
      </c>
      <c r="E681" t="s">
        <v>2115</v>
      </c>
      <c r="F681" t="s">
        <v>78</v>
      </c>
      <c r="G681" t="s">
        <v>2050</v>
      </c>
      <c r="H681" t="s">
        <v>59</v>
      </c>
      <c r="I681" s="32">
        <v>44672.895150462973</v>
      </c>
      <c r="J681" s="32">
        <v>44673.895150462973</v>
      </c>
      <c r="K681" s="32">
        <v>44676.895150462973</v>
      </c>
      <c r="L681" s="8">
        <f t="shared" si="215"/>
        <v>4</v>
      </c>
      <c r="M681" s="7">
        <v>44681.895150462973</v>
      </c>
      <c r="N681" t="s">
        <v>49</v>
      </c>
      <c r="O681" s="34">
        <v>44682.895150462973</v>
      </c>
      <c r="P681" t="s">
        <v>50</v>
      </c>
      <c r="Q681" t="s">
        <v>125</v>
      </c>
      <c r="R681" s="32" t="s">
        <v>7472</v>
      </c>
      <c r="S681" t="s">
        <v>7476</v>
      </c>
      <c r="T681" s="34" t="s">
        <v>7476</v>
      </c>
      <c r="U681" s="34" t="s">
        <v>7476</v>
      </c>
      <c r="V681" s="32" t="s">
        <v>7476</v>
      </c>
      <c r="W681" s="32" t="s">
        <v>7476</v>
      </c>
      <c r="X681">
        <v>0</v>
      </c>
      <c r="Y681" s="34" t="s">
        <v>7476</v>
      </c>
      <c r="Z681" s="34" t="s">
        <v>7476</v>
      </c>
      <c r="AA681" s="34" t="s">
        <v>7476</v>
      </c>
      <c r="AB681" s="36" t="s">
        <v>95</v>
      </c>
      <c r="AD681" t="s">
        <v>2161</v>
      </c>
      <c r="AE681" t="s">
        <v>2162</v>
      </c>
      <c r="AF681" s="16">
        <v>44670</v>
      </c>
      <c r="AG681" t="s">
        <v>98</v>
      </c>
      <c r="AH681">
        <v>6</v>
      </c>
      <c r="AI681" s="8" t="str">
        <f t="shared" si="225"/>
        <v/>
      </c>
      <c r="AJ681" s="8">
        <f t="shared" si="226"/>
        <v>12.895150462973106</v>
      </c>
      <c r="AK681" s="38" t="str">
        <f t="shared" si="216"/>
        <v/>
      </c>
      <c r="AL681" t="str">
        <f t="shared" si="227"/>
        <v/>
      </c>
      <c r="AM681" t="str">
        <f t="shared" si="228"/>
        <v/>
      </c>
      <c r="AN681" t="str">
        <f t="shared" si="229"/>
        <v/>
      </c>
      <c r="AO681">
        <f t="shared" si="230"/>
        <v>1</v>
      </c>
      <c r="AP681">
        <f t="shared" si="231"/>
        <v>0</v>
      </c>
      <c r="AQ681" t="str">
        <f t="shared" si="232"/>
        <v/>
      </c>
    </row>
    <row r="682" spans="1:43" x14ac:dyDescent="0.35">
      <c r="A682">
        <v>813</v>
      </c>
      <c r="B682" t="s">
        <v>2163</v>
      </c>
      <c r="C682" t="s">
        <v>1897</v>
      </c>
      <c r="D682" t="str">
        <f t="shared" si="214"/>
        <v>Operations</v>
      </c>
      <c r="E682" t="s">
        <v>2115</v>
      </c>
      <c r="F682" t="s">
        <v>78</v>
      </c>
      <c r="G682" t="s">
        <v>2050</v>
      </c>
      <c r="H682" t="s">
        <v>59</v>
      </c>
      <c r="I682" s="32">
        <v>44674.895150462973</v>
      </c>
      <c r="J682" s="32">
        <v>44675.895150462973</v>
      </c>
      <c r="K682" s="32">
        <v>44676.895150462973</v>
      </c>
      <c r="L682" s="8">
        <f t="shared" si="215"/>
        <v>2</v>
      </c>
      <c r="M682" s="7">
        <v>44703.895150462973</v>
      </c>
      <c r="N682" t="s">
        <v>49</v>
      </c>
      <c r="O682" s="34">
        <v>44682.895150462973</v>
      </c>
      <c r="P682" t="s">
        <v>50</v>
      </c>
      <c r="Q682" t="s">
        <v>198</v>
      </c>
      <c r="R682" s="32" t="s">
        <v>7472</v>
      </c>
      <c r="S682" t="s">
        <v>7476</v>
      </c>
      <c r="T682" s="34" t="s">
        <v>7476</v>
      </c>
      <c r="U682" s="34" t="s">
        <v>7476</v>
      </c>
      <c r="V682" s="32">
        <v>44684.895150462973</v>
      </c>
      <c r="W682" s="32" t="s">
        <v>7476</v>
      </c>
      <c r="X682">
        <v>0</v>
      </c>
      <c r="Y682" s="34" t="s">
        <v>7476</v>
      </c>
      <c r="Z682" s="34" t="s">
        <v>7476</v>
      </c>
      <c r="AA682" s="34" t="s">
        <v>7476</v>
      </c>
      <c r="AB682" s="36" t="s">
        <v>95</v>
      </c>
      <c r="AD682" t="s">
        <v>2164</v>
      </c>
      <c r="AE682" t="s">
        <v>2165</v>
      </c>
      <c r="AF682" s="16">
        <v>44899</v>
      </c>
      <c r="AG682" t="s">
        <v>98</v>
      </c>
      <c r="AH682">
        <v>3</v>
      </c>
      <c r="AI682" s="8" t="str">
        <f t="shared" si="225"/>
        <v/>
      </c>
      <c r="AJ682" s="8">
        <f t="shared" si="226"/>
        <v>-216.10484953702689</v>
      </c>
      <c r="AK682" s="38">
        <f t="shared" si="216"/>
        <v>44774.895150462973</v>
      </c>
      <c r="AL682" t="str">
        <f t="shared" si="227"/>
        <v/>
      </c>
      <c r="AM682" t="str">
        <f t="shared" si="228"/>
        <v/>
      </c>
      <c r="AN682">
        <f t="shared" si="229"/>
        <v>2</v>
      </c>
      <c r="AO682">
        <f t="shared" si="230"/>
        <v>1</v>
      </c>
      <c r="AP682">
        <f t="shared" si="231"/>
        <v>0</v>
      </c>
      <c r="AQ682" t="str">
        <f t="shared" si="232"/>
        <v/>
      </c>
    </row>
    <row r="683" spans="1:43" x14ac:dyDescent="0.35">
      <c r="A683">
        <v>812</v>
      </c>
      <c r="B683" t="s">
        <v>2166</v>
      </c>
      <c r="C683" t="s">
        <v>1922</v>
      </c>
      <c r="D683" t="str">
        <f t="shared" si="214"/>
        <v>Operations</v>
      </c>
      <c r="E683" t="s">
        <v>2115</v>
      </c>
      <c r="F683" t="s">
        <v>78</v>
      </c>
      <c r="G683" t="s">
        <v>2050</v>
      </c>
      <c r="H683" t="s">
        <v>59</v>
      </c>
      <c r="I683" s="32">
        <v>44674.895150462973</v>
      </c>
      <c r="J683" s="32">
        <v>44675.895150462973</v>
      </c>
      <c r="K683" s="32">
        <v>44676.895150462973</v>
      </c>
      <c r="L683" s="8">
        <f t="shared" si="215"/>
        <v>2</v>
      </c>
      <c r="M683" s="7">
        <v>44702.895150462973</v>
      </c>
      <c r="N683" t="s">
        <v>49</v>
      </c>
      <c r="O683" s="34">
        <v>44680.895150462973</v>
      </c>
      <c r="P683" t="s">
        <v>50</v>
      </c>
      <c r="Q683" t="s">
        <v>125</v>
      </c>
      <c r="R683" s="32" t="s">
        <v>7472</v>
      </c>
      <c r="S683" t="s">
        <v>7476</v>
      </c>
      <c r="T683" s="34" t="s">
        <v>7476</v>
      </c>
      <c r="U683" s="34" t="s">
        <v>7476</v>
      </c>
      <c r="V683" s="32" t="s">
        <v>7476</v>
      </c>
      <c r="W683" s="32" t="s">
        <v>7476</v>
      </c>
      <c r="X683">
        <v>0</v>
      </c>
      <c r="Y683" s="34" t="s">
        <v>7476</v>
      </c>
      <c r="Z683" s="34" t="s">
        <v>7476</v>
      </c>
      <c r="AA683" s="34" t="s">
        <v>7476</v>
      </c>
      <c r="AB683" s="36" t="s">
        <v>95</v>
      </c>
      <c r="AD683" t="s">
        <v>2167</v>
      </c>
      <c r="AE683" t="s">
        <v>2168</v>
      </c>
      <c r="AF683" s="16">
        <v>44667</v>
      </c>
      <c r="AG683" t="s">
        <v>68</v>
      </c>
      <c r="AH683">
        <v>6</v>
      </c>
      <c r="AI683" s="8" t="str">
        <f t="shared" si="225"/>
        <v/>
      </c>
      <c r="AJ683" s="8">
        <f t="shared" si="226"/>
        <v>13.895150462973106</v>
      </c>
      <c r="AK683" s="38" t="str">
        <f t="shared" si="216"/>
        <v/>
      </c>
      <c r="AL683" t="str">
        <f t="shared" si="227"/>
        <v/>
      </c>
      <c r="AM683" t="str">
        <f t="shared" si="228"/>
        <v/>
      </c>
      <c r="AN683" t="str">
        <f t="shared" si="229"/>
        <v/>
      </c>
      <c r="AO683">
        <f t="shared" si="230"/>
        <v>1</v>
      </c>
      <c r="AP683">
        <f t="shared" si="231"/>
        <v>0</v>
      </c>
      <c r="AQ683" t="str">
        <f t="shared" si="232"/>
        <v/>
      </c>
    </row>
    <row r="684" spans="1:43" x14ac:dyDescent="0.35">
      <c r="A684">
        <v>788</v>
      </c>
      <c r="B684" t="s">
        <v>2169</v>
      </c>
      <c r="C684" t="s">
        <v>1890</v>
      </c>
      <c r="D684" t="str">
        <f t="shared" si="214"/>
        <v>Operations</v>
      </c>
      <c r="E684" t="s">
        <v>2115</v>
      </c>
      <c r="F684" t="s">
        <v>78</v>
      </c>
      <c r="G684" t="s">
        <v>2050</v>
      </c>
      <c r="H684" t="s">
        <v>59</v>
      </c>
      <c r="I684" s="32">
        <v>44937.996932870366</v>
      </c>
      <c r="J684" s="32">
        <v>44939.996932870366</v>
      </c>
      <c r="K684" s="32">
        <v>44941.996932870366</v>
      </c>
      <c r="L684" s="8">
        <f t="shared" si="215"/>
        <v>4</v>
      </c>
      <c r="M684" s="7">
        <v>44947.996932870366</v>
      </c>
      <c r="N684" t="s">
        <v>49</v>
      </c>
      <c r="O684" s="34">
        <v>44957.996932870366</v>
      </c>
      <c r="P684" t="s">
        <v>50</v>
      </c>
      <c r="Q684" t="s">
        <v>236</v>
      </c>
      <c r="R684" s="32" t="s">
        <v>7472</v>
      </c>
      <c r="S684" t="s">
        <v>7476</v>
      </c>
      <c r="T684" s="34" t="s">
        <v>7476</v>
      </c>
      <c r="U684" s="34" t="s">
        <v>7476</v>
      </c>
      <c r="V684" s="32">
        <v>44959.996932870366</v>
      </c>
      <c r="W684" s="32" t="s">
        <v>7476</v>
      </c>
      <c r="X684">
        <v>0</v>
      </c>
      <c r="Y684" s="34" t="s">
        <v>7476</v>
      </c>
      <c r="Z684" s="34" t="s">
        <v>7476</v>
      </c>
      <c r="AA684" s="34" t="s">
        <v>7476</v>
      </c>
      <c r="AB684" s="36" t="s">
        <v>52</v>
      </c>
      <c r="AD684" t="s">
        <v>2170</v>
      </c>
      <c r="AE684" t="s">
        <v>2171</v>
      </c>
      <c r="AF684" s="16">
        <v>44949</v>
      </c>
      <c r="AG684" t="s">
        <v>68</v>
      </c>
      <c r="AH684">
        <v>3</v>
      </c>
      <c r="AI684" s="8" t="str">
        <f t="shared" si="225"/>
        <v/>
      </c>
      <c r="AJ684" s="8">
        <f t="shared" si="226"/>
        <v>8.996932870366436</v>
      </c>
      <c r="AK684" s="38">
        <f t="shared" si="216"/>
        <v>45049.996932870366</v>
      </c>
      <c r="AL684" t="str">
        <f t="shared" si="227"/>
        <v/>
      </c>
      <c r="AM684" t="str">
        <f t="shared" si="228"/>
        <v/>
      </c>
      <c r="AN684">
        <f t="shared" si="229"/>
        <v>2</v>
      </c>
      <c r="AO684">
        <f t="shared" si="230"/>
        <v>2</v>
      </c>
      <c r="AP684">
        <f t="shared" si="231"/>
        <v>0</v>
      </c>
      <c r="AQ684" t="str">
        <f t="shared" si="232"/>
        <v/>
      </c>
    </row>
    <row r="685" spans="1:43" x14ac:dyDescent="0.35">
      <c r="A685">
        <v>786</v>
      </c>
      <c r="B685" t="s">
        <v>2172</v>
      </c>
      <c r="C685" t="s">
        <v>1897</v>
      </c>
      <c r="D685" t="str">
        <f t="shared" si="214"/>
        <v>Operations</v>
      </c>
      <c r="E685" t="s">
        <v>2115</v>
      </c>
      <c r="F685" t="s">
        <v>78</v>
      </c>
      <c r="G685" t="s">
        <v>2050</v>
      </c>
      <c r="H685" t="s">
        <v>59</v>
      </c>
      <c r="I685" s="32">
        <v>44934.996932870366</v>
      </c>
      <c r="J685" s="32">
        <v>44938.996932870366</v>
      </c>
      <c r="K685" s="32">
        <v>44941.996932870366</v>
      </c>
      <c r="L685" s="8">
        <f t="shared" si="215"/>
        <v>7</v>
      </c>
      <c r="M685" s="7">
        <v>44956.996932870366</v>
      </c>
      <c r="N685" t="s">
        <v>72</v>
      </c>
      <c r="O685" s="34" t="s">
        <v>7474</v>
      </c>
      <c r="R685" s="32" t="s">
        <v>7472</v>
      </c>
      <c r="S685" t="s">
        <v>7476</v>
      </c>
      <c r="T685" s="34" t="s">
        <v>7476</v>
      </c>
      <c r="U685" s="34" t="s">
        <v>7476</v>
      </c>
      <c r="V685" s="32" t="s">
        <v>7476</v>
      </c>
      <c r="W685" s="32" t="s">
        <v>7476</v>
      </c>
      <c r="X685">
        <v>0</v>
      </c>
      <c r="Y685" s="34" t="s">
        <v>7476</v>
      </c>
      <c r="Z685" s="34" t="s">
        <v>7476</v>
      </c>
      <c r="AA685" s="34" t="s">
        <v>7476</v>
      </c>
      <c r="AB685" s="36" t="s">
        <v>7476</v>
      </c>
      <c r="AD685" t="s">
        <v>2173</v>
      </c>
      <c r="AE685" t="s">
        <v>2174</v>
      </c>
      <c r="AG685" t="s">
        <v>64</v>
      </c>
      <c r="AH685">
        <v>3</v>
      </c>
      <c r="AI685" s="8" t="str">
        <f t="shared" si="225"/>
        <v/>
      </c>
      <c r="AJ685" s="8" t="str">
        <f t="shared" si="226"/>
        <v/>
      </c>
      <c r="AK685" s="38" t="str">
        <f t="shared" si="216"/>
        <v/>
      </c>
      <c r="AL685" t="str">
        <f t="shared" si="227"/>
        <v/>
      </c>
      <c r="AM685" t="str">
        <f t="shared" si="228"/>
        <v/>
      </c>
      <c r="AN685" t="str">
        <f t="shared" si="229"/>
        <v/>
      </c>
      <c r="AO685">
        <f t="shared" si="230"/>
        <v>4</v>
      </c>
      <c r="AP685">
        <f t="shared" si="231"/>
        <v>0</v>
      </c>
      <c r="AQ685" t="str">
        <f t="shared" si="232"/>
        <v/>
      </c>
    </row>
    <row r="686" spans="1:43" x14ac:dyDescent="0.35">
      <c r="A686">
        <v>783</v>
      </c>
      <c r="B686" t="s">
        <v>2175</v>
      </c>
      <c r="C686" t="s">
        <v>1897</v>
      </c>
      <c r="D686" t="str">
        <f t="shared" si="214"/>
        <v>Operations</v>
      </c>
      <c r="E686" t="s">
        <v>2115</v>
      </c>
      <c r="F686" t="s">
        <v>78</v>
      </c>
      <c r="G686" t="s">
        <v>2050</v>
      </c>
      <c r="H686" t="s">
        <v>59</v>
      </c>
      <c r="I686" s="32">
        <v>44938.996932870366</v>
      </c>
      <c r="J686" s="32">
        <v>44940.996932870366</v>
      </c>
      <c r="K686" s="32" t="s">
        <v>7473</v>
      </c>
      <c r="L686" s="8" t="str">
        <f t="shared" si="215"/>
        <v/>
      </c>
      <c r="M686" s="7">
        <v>44957.996932870366</v>
      </c>
      <c r="N686" t="s">
        <v>49</v>
      </c>
      <c r="O686" s="34">
        <v>44948.996932870366</v>
      </c>
      <c r="P686" t="s">
        <v>50</v>
      </c>
      <c r="Q686" t="s">
        <v>84</v>
      </c>
      <c r="R686" s="32" t="s">
        <v>7472</v>
      </c>
      <c r="S686" t="s">
        <v>7476</v>
      </c>
      <c r="T686" s="34" t="s">
        <v>7476</v>
      </c>
      <c r="U686" s="34" t="s">
        <v>7476</v>
      </c>
      <c r="V686" s="32">
        <v>44949.996932870366</v>
      </c>
      <c r="W686" s="32" t="s">
        <v>7476</v>
      </c>
      <c r="X686">
        <v>0</v>
      </c>
      <c r="Y686" s="34" t="s">
        <v>7476</v>
      </c>
      <c r="Z686" s="34" t="s">
        <v>7476</v>
      </c>
      <c r="AA686" s="34" t="s">
        <v>7476</v>
      </c>
      <c r="AB686" s="36" t="s">
        <v>52</v>
      </c>
      <c r="AD686" t="s">
        <v>2176</v>
      </c>
      <c r="AE686" t="s">
        <v>2177</v>
      </c>
      <c r="AF686" s="16">
        <v>44940</v>
      </c>
      <c r="AG686" t="s">
        <v>75</v>
      </c>
      <c r="AH686">
        <v>3</v>
      </c>
      <c r="AK686" s="38">
        <f t="shared" si="216"/>
        <v>45039.996932870366</v>
      </c>
    </row>
    <row r="687" spans="1:43" x14ac:dyDescent="0.35">
      <c r="A687">
        <v>732</v>
      </c>
      <c r="B687" t="s">
        <v>2178</v>
      </c>
      <c r="C687" t="s">
        <v>1922</v>
      </c>
      <c r="D687" t="str">
        <f t="shared" si="214"/>
        <v>Operations</v>
      </c>
      <c r="E687" t="s">
        <v>2115</v>
      </c>
      <c r="F687" t="s">
        <v>78</v>
      </c>
      <c r="G687" t="s">
        <v>2050</v>
      </c>
      <c r="H687" t="s">
        <v>59</v>
      </c>
      <c r="I687" s="32">
        <v>45044.644548611112</v>
      </c>
      <c r="J687" s="32">
        <v>45046.644548611112</v>
      </c>
      <c r="K687" s="32">
        <v>45047.644548611112</v>
      </c>
      <c r="L687" s="8">
        <f t="shared" si="215"/>
        <v>3</v>
      </c>
      <c r="M687" s="7">
        <v>45066.644548611112</v>
      </c>
      <c r="N687" t="s">
        <v>49</v>
      </c>
      <c r="O687" s="34">
        <v>45049.644548611112</v>
      </c>
      <c r="P687" t="s">
        <v>50</v>
      </c>
      <c r="Q687" t="s">
        <v>84</v>
      </c>
      <c r="R687" s="32" t="s">
        <v>7472</v>
      </c>
      <c r="S687" t="s">
        <v>7476</v>
      </c>
      <c r="T687" s="34" t="s">
        <v>7476</v>
      </c>
      <c r="U687" s="34" t="s">
        <v>7476</v>
      </c>
      <c r="V687" s="32" t="s">
        <v>7476</v>
      </c>
      <c r="W687" s="32" t="s">
        <v>7476</v>
      </c>
      <c r="X687">
        <v>0</v>
      </c>
      <c r="Y687" s="34" t="s">
        <v>7476</v>
      </c>
      <c r="Z687" s="34" t="s">
        <v>7476</v>
      </c>
      <c r="AA687" s="34" t="s">
        <v>7476</v>
      </c>
      <c r="AB687" s="36" t="s">
        <v>95</v>
      </c>
      <c r="AD687" t="s">
        <v>2179</v>
      </c>
      <c r="AE687" t="s">
        <v>2180</v>
      </c>
      <c r="AF687" s="16">
        <v>45035</v>
      </c>
      <c r="AG687" t="s">
        <v>98</v>
      </c>
      <c r="AH687">
        <v>6</v>
      </c>
      <c r="AI687" s="8" t="str">
        <f>IFERROR(R687-AF687,"")</f>
        <v/>
      </c>
      <c r="AJ687" s="8">
        <f>IFERROR(O687-AF687,"")</f>
        <v>14.644548611111531</v>
      </c>
      <c r="AK687" s="38" t="str">
        <f t="shared" si="216"/>
        <v/>
      </c>
      <c r="AL687" t="str">
        <f>IFERROR(Z687-W687,"")</f>
        <v/>
      </c>
      <c r="AM687" t="str">
        <f>IFERROR(R687-J687,"")</f>
        <v/>
      </c>
      <c r="AN687" t="str">
        <f>IFERROR(V687-O687,"")</f>
        <v/>
      </c>
      <c r="AO687">
        <f>IFERROR(J687-I687,"")</f>
        <v>2</v>
      </c>
      <c r="AP687">
        <f>IFERROR(AC687-X687,"")</f>
        <v>0</v>
      </c>
      <c r="AQ687" t="str">
        <f>IFERROR(AA687-W687,"")</f>
        <v/>
      </c>
    </row>
    <row r="688" spans="1:43" x14ac:dyDescent="0.35">
      <c r="A688">
        <v>731</v>
      </c>
      <c r="B688" t="s">
        <v>2181</v>
      </c>
      <c r="C688" t="s">
        <v>1922</v>
      </c>
      <c r="D688" t="str">
        <f t="shared" si="214"/>
        <v>Operations</v>
      </c>
      <c r="E688" t="s">
        <v>2115</v>
      </c>
      <c r="F688" t="s">
        <v>114</v>
      </c>
      <c r="G688" t="s">
        <v>2078</v>
      </c>
      <c r="H688" t="s">
        <v>59</v>
      </c>
      <c r="I688" s="32">
        <v>45041.644548611112</v>
      </c>
      <c r="J688" s="32">
        <v>45044.644548611112</v>
      </c>
      <c r="K688" s="32">
        <v>45047.644548611112</v>
      </c>
      <c r="L688" s="8">
        <f t="shared" si="215"/>
        <v>6</v>
      </c>
      <c r="M688" s="7">
        <v>45065.644548611112</v>
      </c>
      <c r="N688" t="s">
        <v>49</v>
      </c>
      <c r="O688" s="34">
        <v>45058.644548611112</v>
      </c>
      <c r="P688" t="s">
        <v>60</v>
      </c>
      <c r="R688" s="32">
        <v>45064.644548611112</v>
      </c>
      <c r="S688" t="s">
        <v>61</v>
      </c>
      <c r="T688" s="34" t="s">
        <v>7476</v>
      </c>
      <c r="U688" s="34" t="s">
        <v>7476</v>
      </c>
      <c r="V688" s="32">
        <v>45062.644548611112</v>
      </c>
      <c r="W688" s="32" t="s">
        <v>7476</v>
      </c>
      <c r="X688">
        <v>0</v>
      </c>
      <c r="Y688" s="34" t="s">
        <v>7476</v>
      </c>
      <c r="Z688" s="34" t="s">
        <v>7476</v>
      </c>
      <c r="AA688" s="34" t="s">
        <v>7476</v>
      </c>
      <c r="AB688" s="36" t="s">
        <v>7476</v>
      </c>
      <c r="AD688" t="s">
        <v>2182</v>
      </c>
      <c r="AE688" t="s">
        <v>2183</v>
      </c>
      <c r="AF688" s="16">
        <v>45039</v>
      </c>
      <c r="AG688" t="s">
        <v>64</v>
      </c>
      <c r="AH688">
        <v>3</v>
      </c>
      <c r="AI688" s="8">
        <f>IFERROR(R688-AF688,"")</f>
        <v>25.644548611111531</v>
      </c>
      <c r="AJ688" s="8">
        <f>IFERROR(O688-AF688,"")</f>
        <v>19.644548611111531</v>
      </c>
      <c r="AK688" s="38">
        <f t="shared" si="216"/>
        <v>45152.644548611112</v>
      </c>
      <c r="AL688" t="str">
        <f>IFERROR(Z688-W688,"")</f>
        <v/>
      </c>
      <c r="AM688">
        <f>IFERROR(R688-J688,"")</f>
        <v>20</v>
      </c>
      <c r="AN688">
        <f>IFERROR(V688-O688,"")</f>
        <v>4</v>
      </c>
      <c r="AO688">
        <f>IFERROR(J688-I688,"")</f>
        <v>3</v>
      </c>
      <c r="AP688">
        <f>IFERROR(AC688-X688,"")</f>
        <v>0</v>
      </c>
      <c r="AQ688" t="str">
        <f>IFERROR(AA688-W688,"")</f>
        <v/>
      </c>
    </row>
    <row r="689" spans="1:43" x14ac:dyDescent="0.35">
      <c r="A689">
        <v>690</v>
      </c>
      <c r="B689" t="s">
        <v>2184</v>
      </c>
      <c r="C689" t="s">
        <v>1897</v>
      </c>
      <c r="D689" t="str">
        <f t="shared" si="214"/>
        <v>Operations</v>
      </c>
      <c r="E689" t="s">
        <v>2115</v>
      </c>
      <c r="F689" t="s">
        <v>114</v>
      </c>
      <c r="G689" t="s">
        <v>2078</v>
      </c>
      <c r="H689" t="s">
        <v>59</v>
      </c>
      <c r="I689" s="32">
        <v>45099.115520833337</v>
      </c>
      <c r="J689" s="32">
        <v>45103.115520833337</v>
      </c>
      <c r="K689" s="32">
        <v>45106.115520833337</v>
      </c>
      <c r="L689" s="8">
        <f t="shared" si="215"/>
        <v>7</v>
      </c>
      <c r="M689" s="7">
        <v>45126.115520833337</v>
      </c>
      <c r="N689" t="s">
        <v>49</v>
      </c>
      <c r="O689" s="34">
        <v>45113.115520833337</v>
      </c>
      <c r="P689" t="s">
        <v>50</v>
      </c>
      <c r="Q689" t="s">
        <v>198</v>
      </c>
      <c r="R689" s="32" t="s">
        <v>7472</v>
      </c>
      <c r="S689" t="s">
        <v>7476</v>
      </c>
      <c r="T689" s="34" t="s">
        <v>7476</v>
      </c>
      <c r="U689" s="34" t="s">
        <v>7476</v>
      </c>
      <c r="V689" s="32" t="s">
        <v>7476</v>
      </c>
      <c r="W689" s="32" t="s">
        <v>7476</v>
      </c>
      <c r="X689">
        <v>0</v>
      </c>
      <c r="Y689" s="34" t="s">
        <v>7476</v>
      </c>
      <c r="Z689" s="34" t="s">
        <v>7476</v>
      </c>
      <c r="AA689" s="34" t="s">
        <v>7476</v>
      </c>
      <c r="AB689" s="36" t="s">
        <v>95</v>
      </c>
      <c r="AD689" t="s">
        <v>2185</v>
      </c>
      <c r="AE689" t="s">
        <v>2186</v>
      </c>
      <c r="AF689" s="16">
        <v>45095</v>
      </c>
      <c r="AG689" t="s">
        <v>98</v>
      </c>
      <c r="AH689">
        <v>6</v>
      </c>
      <c r="AI689" s="8" t="str">
        <f>IFERROR(R689-AF689,"")</f>
        <v/>
      </c>
      <c r="AJ689" s="8">
        <f>IFERROR(O689-AF689,"")</f>
        <v>18.115520833336632</v>
      </c>
      <c r="AK689" s="38" t="str">
        <f t="shared" si="216"/>
        <v/>
      </c>
      <c r="AL689" t="str">
        <f>IFERROR(Z689-W689,"")</f>
        <v/>
      </c>
      <c r="AM689" t="str">
        <f>IFERROR(R689-J689,"")</f>
        <v/>
      </c>
      <c r="AN689" t="str">
        <f>IFERROR(V689-O689,"")</f>
        <v/>
      </c>
      <c r="AO689">
        <f>IFERROR(J689-I689,"")</f>
        <v>4</v>
      </c>
      <c r="AP689">
        <f>IFERROR(AC689-X689,"")</f>
        <v>0</v>
      </c>
      <c r="AQ689" t="str">
        <f>IFERROR(AA689-W689,"")</f>
        <v/>
      </c>
    </row>
    <row r="690" spans="1:43" x14ac:dyDescent="0.35">
      <c r="A690">
        <v>683</v>
      </c>
      <c r="B690" t="s">
        <v>2187</v>
      </c>
      <c r="C690" t="s">
        <v>1922</v>
      </c>
      <c r="D690" t="str">
        <f t="shared" si="214"/>
        <v>Operations</v>
      </c>
      <c r="E690" t="s">
        <v>2115</v>
      </c>
      <c r="F690" t="s">
        <v>114</v>
      </c>
      <c r="G690" t="s">
        <v>2078</v>
      </c>
      <c r="H690" t="s">
        <v>59</v>
      </c>
      <c r="I690" s="32" t="s">
        <v>7471</v>
      </c>
      <c r="J690" s="32" t="s">
        <v>7471</v>
      </c>
      <c r="K690" s="32" t="s">
        <v>7473</v>
      </c>
      <c r="L690" s="8" t="str">
        <f t="shared" si="215"/>
        <v/>
      </c>
      <c r="M690" s="7">
        <v>45121.115520833337</v>
      </c>
      <c r="N690" t="s">
        <v>49</v>
      </c>
      <c r="O690" s="34">
        <v>45114.115520833337</v>
      </c>
      <c r="P690" t="s">
        <v>50</v>
      </c>
      <c r="Q690" t="s">
        <v>51</v>
      </c>
      <c r="R690" s="32" t="s">
        <v>7472</v>
      </c>
      <c r="S690" t="s">
        <v>7476</v>
      </c>
      <c r="T690" s="34" t="s">
        <v>7476</v>
      </c>
      <c r="U690" s="34" t="s">
        <v>7476</v>
      </c>
      <c r="V690" s="32">
        <v>45118.115520833337</v>
      </c>
      <c r="W690" s="32" t="s">
        <v>7476</v>
      </c>
      <c r="X690">
        <v>0</v>
      </c>
      <c r="Y690" s="34" t="s">
        <v>7476</v>
      </c>
      <c r="Z690" s="34" t="s">
        <v>7476</v>
      </c>
      <c r="AA690" s="34" t="s">
        <v>7476</v>
      </c>
      <c r="AB690" s="36" t="s">
        <v>95</v>
      </c>
      <c r="AD690" t="s">
        <v>2188</v>
      </c>
      <c r="AE690" t="s">
        <v>2189</v>
      </c>
      <c r="AF690" s="16">
        <v>45107</v>
      </c>
      <c r="AG690" t="s">
        <v>68</v>
      </c>
      <c r="AH690">
        <v>3</v>
      </c>
      <c r="AK690" s="38">
        <f t="shared" si="216"/>
        <v>45208.115520833337</v>
      </c>
    </row>
    <row r="691" spans="1:43" x14ac:dyDescent="0.35">
      <c r="A691">
        <v>564</v>
      </c>
      <c r="B691" t="s">
        <v>2190</v>
      </c>
      <c r="C691" t="s">
        <v>1890</v>
      </c>
      <c r="D691" t="str">
        <f t="shared" si="214"/>
        <v>Operations</v>
      </c>
      <c r="E691" t="s">
        <v>2115</v>
      </c>
      <c r="F691" t="s">
        <v>114</v>
      </c>
      <c r="G691" t="s">
        <v>2078</v>
      </c>
      <c r="H691" t="s">
        <v>59</v>
      </c>
      <c r="I691" s="32">
        <v>44867.965416666673</v>
      </c>
      <c r="J691" s="32">
        <v>44868.965416666673</v>
      </c>
      <c r="K691" s="32">
        <v>44873.965416666673</v>
      </c>
      <c r="L691" s="8">
        <f t="shared" si="215"/>
        <v>6</v>
      </c>
      <c r="M691" s="7">
        <v>44882.965416666673</v>
      </c>
      <c r="N691" t="s">
        <v>49</v>
      </c>
      <c r="O691" s="34">
        <v>44881.965416666673</v>
      </c>
      <c r="P691" t="s">
        <v>60</v>
      </c>
      <c r="R691" s="32">
        <v>44886.965416666673</v>
      </c>
      <c r="S691" t="s">
        <v>61</v>
      </c>
      <c r="T691" s="34" t="s">
        <v>7476</v>
      </c>
      <c r="U691" s="34" t="s">
        <v>7476</v>
      </c>
      <c r="V691" s="32">
        <v>44884.965416666673</v>
      </c>
      <c r="W691" s="32" t="s">
        <v>7476</v>
      </c>
      <c r="X691">
        <v>0</v>
      </c>
      <c r="Y691" s="34" t="s">
        <v>7476</v>
      </c>
      <c r="Z691" s="34" t="s">
        <v>7476</v>
      </c>
      <c r="AA691" s="34" t="s">
        <v>7476</v>
      </c>
      <c r="AB691" s="36" t="s">
        <v>7476</v>
      </c>
      <c r="AD691" t="s">
        <v>2191</v>
      </c>
      <c r="AE691" t="s">
        <v>2192</v>
      </c>
      <c r="AF691" s="16">
        <v>44875</v>
      </c>
      <c r="AG691" t="s">
        <v>68</v>
      </c>
      <c r="AH691">
        <v>3</v>
      </c>
      <c r="AI691" s="8">
        <f>IFERROR(R691-AF691,"")</f>
        <v>11.965416666673264</v>
      </c>
      <c r="AJ691" s="8">
        <f>IFERROR(O691-AF691,"")</f>
        <v>6.9654166666732635</v>
      </c>
      <c r="AK691" s="38">
        <f t="shared" si="216"/>
        <v>44974.965416666673</v>
      </c>
      <c r="AL691" t="str">
        <f>IFERROR(Z691-W691,"")</f>
        <v/>
      </c>
      <c r="AM691">
        <f>IFERROR(R691-J691,"")</f>
        <v>18</v>
      </c>
      <c r="AN691">
        <f>IFERROR(V691-O691,"")</f>
        <v>3</v>
      </c>
      <c r="AO691">
        <f>IFERROR(J691-I691,"")</f>
        <v>1</v>
      </c>
      <c r="AP691">
        <f>IFERROR(AC691-X691,"")</f>
        <v>0</v>
      </c>
      <c r="AQ691" t="str">
        <f>IFERROR(AA691-W691,"")</f>
        <v/>
      </c>
    </row>
    <row r="692" spans="1:43" x14ac:dyDescent="0.35">
      <c r="A692">
        <v>440</v>
      </c>
      <c r="B692" t="s">
        <v>2193</v>
      </c>
      <c r="C692" t="s">
        <v>1922</v>
      </c>
      <c r="D692" t="str">
        <f t="shared" si="214"/>
        <v>Operations</v>
      </c>
      <c r="E692" t="s">
        <v>2115</v>
      </c>
      <c r="F692" t="s">
        <v>114</v>
      </c>
      <c r="G692" t="s">
        <v>2078</v>
      </c>
      <c r="H692" t="s">
        <v>59</v>
      </c>
      <c r="I692" s="32">
        <v>44736.315601851849</v>
      </c>
      <c r="J692" s="32">
        <v>44737.315601851849</v>
      </c>
      <c r="K692" s="32">
        <v>44741.315601851849</v>
      </c>
      <c r="L692" s="8">
        <f t="shared" si="215"/>
        <v>5</v>
      </c>
      <c r="M692" s="7">
        <v>44754.315601851849</v>
      </c>
      <c r="N692" t="s">
        <v>72</v>
      </c>
      <c r="O692" s="34" t="s">
        <v>7474</v>
      </c>
      <c r="R692" s="32" t="s">
        <v>7472</v>
      </c>
      <c r="S692" t="s">
        <v>7476</v>
      </c>
      <c r="T692" s="34" t="s">
        <v>7476</v>
      </c>
      <c r="U692" s="34" t="s">
        <v>7476</v>
      </c>
      <c r="V692" s="32" t="s">
        <v>7476</v>
      </c>
      <c r="W692" s="32" t="s">
        <v>7476</v>
      </c>
      <c r="X692">
        <v>0</v>
      </c>
      <c r="Y692" s="34" t="s">
        <v>7476</v>
      </c>
      <c r="Z692" s="34" t="s">
        <v>7476</v>
      </c>
      <c r="AA692" s="34" t="s">
        <v>7476</v>
      </c>
      <c r="AB692" s="36" t="s">
        <v>7476</v>
      </c>
      <c r="AD692" t="s">
        <v>2194</v>
      </c>
      <c r="AE692" t="s">
        <v>2195</v>
      </c>
      <c r="AG692" t="s">
        <v>68</v>
      </c>
      <c r="AH692">
        <v>6</v>
      </c>
      <c r="AI692" s="8" t="str">
        <f>IFERROR(R692-AF692,"")</f>
        <v/>
      </c>
      <c r="AJ692" s="8" t="str">
        <f>IFERROR(O692-AF692,"")</f>
        <v/>
      </c>
      <c r="AK692" s="38" t="str">
        <f t="shared" si="216"/>
        <v/>
      </c>
      <c r="AL692" t="str">
        <f>IFERROR(Z692-W692,"")</f>
        <v/>
      </c>
      <c r="AM692" t="str">
        <f>IFERROR(R692-J692,"")</f>
        <v/>
      </c>
      <c r="AN692" t="str">
        <f>IFERROR(V692-O692,"")</f>
        <v/>
      </c>
      <c r="AO692">
        <f>IFERROR(J692-I692,"")</f>
        <v>1</v>
      </c>
      <c r="AP692">
        <f>IFERROR(AC692-X692,"")</f>
        <v>0</v>
      </c>
      <c r="AQ692" t="str">
        <f>IFERROR(AA692-W692,"")</f>
        <v/>
      </c>
    </row>
    <row r="693" spans="1:43" x14ac:dyDescent="0.35">
      <c r="A693">
        <v>436</v>
      </c>
      <c r="B693" t="s">
        <v>2196</v>
      </c>
      <c r="C693" t="s">
        <v>1897</v>
      </c>
      <c r="D693" t="str">
        <f t="shared" si="214"/>
        <v>Operations</v>
      </c>
      <c r="E693" t="s">
        <v>2115</v>
      </c>
      <c r="F693" t="s">
        <v>114</v>
      </c>
      <c r="G693" t="s">
        <v>2078</v>
      </c>
      <c r="H693" t="s">
        <v>59</v>
      </c>
      <c r="I693" s="32" t="s">
        <v>7471</v>
      </c>
      <c r="J693" s="32">
        <v>44737.315601851849</v>
      </c>
      <c r="K693" s="32">
        <v>44741.315601851849</v>
      </c>
      <c r="L693" s="8" t="str">
        <f t="shared" si="215"/>
        <v/>
      </c>
      <c r="M693" s="7">
        <v>44747.315601851849</v>
      </c>
      <c r="N693" t="s">
        <v>49</v>
      </c>
      <c r="O693" s="34">
        <v>44756.315601851849</v>
      </c>
      <c r="P693" t="s">
        <v>50</v>
      </c>
      <c r="Q693" t="s">
        <v>198</v>
      </c>
      <c r="R693" s="32" t="s">
        <v>7472</v>
      </c>
      <c r="S693" t="s">
        <v>7476</v>
      </c>
      <c r="T693" s="34" t="s">
        <v>7476</v>
      </c>
      <c r="U693" s="34" t="s">
        <v>7476</v>
      </c>
      <c r="V693" s="32">
        <v>44759.315601851849</v>
      </c>
      <c r="W693" s="32" t="s">
        <v>7476</v>
      </c>
      <c r="X693">
        <v>0</v>
      </c>
      <c r="Y693" s="34" t="s">
        <v>7476</v>
      </c>
      <c r="Z693" s="34" t="s">
        <v>7476</v>
      </c>
      <c r="AA693" s="34" t="s">
        <v>7476</v>
      </c>
      <c r="AB693" s="36" t="s">
        <v>52</v>
      </c>
      <c r="AD693" t="s">
        <v>2197</v>
      </c>
      <c r="AE693" t="s">
        <v>2198</v>
      </c>
      <c r="AF693" s="16">
        <v>44749</v>
      </c>
      <c r="AG693" t="s">
        <v>98</v>
      </c>
      <c r="AH693">
        <v>3</v>
      </c>
      <c r="AK693" s="38">
        <f t="shared" si="216"/>
        <v>44849.315601851849</v>
      </c>
    </row>
    <row r="694" spans="1:43" x14ac:dyDescent="0.35">
      <c r="A694">
        <v>433</v>
      </c>
      <c r="B694" t="s">
        <v>2199</v>
      </c>
      <c r="C694" t="s">
        <v>1897</v>
      </c>
      <c r="D694" t="str">
        <f t="shared" si="214"/>
        <v>Operations</v>
      </c>
      <c r="E694" t="s">
        <v>2115</v>
      </c>
      <c r="F694" t="s">
        <v>114</v>
      </c>
      <c r="G694" t="s">
        <v>2078</v>
      </c>
      <c r="H694" t="s">
        <v>59</v>
      </c>
      <c r="I694" s="32" t="s">
        <v>7471</v>
      </c>
      <c r="J694" s="32">
        <v>44740.315601851849</v>
      </c>
      <c r="K694" s="32">
        <v>44741.315601851849</v>
      </c>
      <c r="L694" s="8" t="str">
        <f t="shared" si="215"/>
        <v/>
      </c>
      <c r="M694" s="7">
        <v>44758.315601851849</v>
      </c>
      <c r="N694" t="s">
        <v>72</v>
      </c>
      <c r="O694" s="34" t="s">
        <v>7474</v>
      </c>
      <c r="R694" s="32" t="s">
        <v>7472</v>
      </c>
      <c r="S694" t="s">
        <v>7476</v>
      </c>
      <c r="T694" s="34" t="s">
        <v>7476</v>
      </c>
      <c r="U694" s="34" t="s">
        <v>7476</v>
      </c>
      <c r="V694" s="32" t="s">
        <v>7476</v>
      </c>
      <c r="W694" s="32" t="s">
        <v>7476</v>
      </c>
      <c r="X694">
        <v>0</v>
      </c>
      <c r="Y694" s="34" t="s">
        <v>7476</v>
      </c>
      <c r="Z694" s="34" t="s">
        <v>7476</v>
      </c>
      <c r="AA694" s="34" t="s">
        <v>7476</v>
      </c>
      <c r="AB694" s="36" t="s">
        <v>7476</v>
      </c>
      <c r="AD694" t="s">
        <v>2200</v>
      </c>
      <c r="AE694" t="s">
        <v>2201</v>
      </c>
      <c r="AG694" t="s">
        <v>64</v>
      </c>
      <c r="AH694">
        <v>3</v>
      </c>
      <c r="AK694" s="38" t="str">
        <f t="shared" si="216"/>
        <v/>
      </c>
    </row>
    <row r="695" spans="1:43" x14ac:dyDescent="0.35">
      <c r="A695">
        <v>368</v>
      </c>
      <c r="B695" t="s">
        <v>2202</v>
      </c>
      <c r="C695" t="s">
        <v>1890</v>
      </c>
      <c r="D695" t="str">
        <f t="shared" si="214"/>
        <v>Operations</v>
      </c>
      <c r="E695" t="s">
        <v>2115</v>
      </c>
      <c r="F695" t="s">
        <v>114</v>
      </c>
      <c r="G695" t="s">
        <v>2078</v>
      </c>
      <c r="H695" t="s">
        <v>59</v>
      </c>
      <c r="I695" s="32">
        <v>44687.751585648148</v>
      </c>
      <c r="J695" s="32">
        <v>44688.751585648148</v>
      </c>
      <c r="K695" s="32" t="s">
        <v>7473</v>
      </c>
      <c r="L695" s="8" t="str">
        <f t="shared" si="215"/>
        <v/>
      </c>
      <c r="M695" s="7">
        <v>44704.751585648148</v>
      </c>
      <c r="N695" t="s">
        <v>49</v>
      </c>
      <c r="O695" s="34">
        <v>44698.751585648148</v>
      </c>
      <c r="P695" t="s">
        <v>50</v>
      </c>
      <c r="Q695" t="s">
        <v>125</v>
      </c>
      <c r="R695" s="32" t="s">
        <v>7472</v>
      </c>
      <c r="S695" t="s">
        <v>7476</v>
      </c>
      <c r="T695" s="34" t="s">
        <v>7476</v>
      </c>
      <c r="U695" s="34" t="s">
        <v>7476</v>
      </c>
      <c r="V695" s="32" t="s">
        <v>7476</v>
      </c>
      <c r="W695" s="32" t="s">
        <v>7476</v>
      </c>
      <c r="X695">
        <v>0</v>
      </c>
      <c r="Y695" s="34" t="s">
        <v>7476</v>
      </c>
      <c r="Z695" s="34" t="s">
        <v>7476</v>
      </c>
      <c r="AA695" s="34" t="s">
        <v>7476</v>
      </c>
      <c r="AB695" s="36" t="s">
        <v>52</v>
      </c>
      <c r="AD695" t="s">
        <v>2203</v>
      </c>
      <c r="AE695" t="s">
        <v>2204</v>
      </c>
      <c r="AF695" s="16">
        <v>44690</v>
      </c>
      <c r="AG695" t="s">
        <v>64</v>
      </c>
      <c r="AH695">
        <v>3</v>
      </c>
      <c r="AK695" s="38" t="str">
        <f t="shared" si="216"/>
        <v/>
      </c>
    </row>
    <row r="696" spans="1:43" x14ac:dyDescent="0.35">
      <c r="A696">
        <v>367</v>
      </c>
      <c r="B696" t="s">
        <v>2205</v>
      </c>
      <c r="C696" t="s">
        <v>1890</v>
      </c>
      <c r="D696" t="str">
        <f t="shared" si="214"/>
        <v>Operations</v>
      </c>
      <c r="E696" t="s">
        <v>2115</v>
      </c>
      <c r="F696" t="s">
        <v>114</v>
      </c>
      <c r="G696" t="s">
        <v>2078</v>
      </c>
      <c r="H696" t="s">
        <v>59</v>
      </c>
      <c r="I696" s="32" t="s">
        <v>7471</v>
      </c>
      <c r="J696" s="32">
        <v>44688.751585648148</v>
      </c>
      <c r="K696" s="32">
        <v>44689.751585648148</v>
      </c>
      <c r="L696" s="8" t="str">
        <f t="shared" si="215"/>
        <v/>
      </c>
      <c r="M696" s="7">
        <v>44703.751585648148</v>
      </c>
      <c r="N696" t="s">
        <v>49</v>
      </c>
      <c r="O696" s="34">
        <v>44703.751585648148</v>
      </c>
      <c r="P696" t="s">
        <v>60</v>
      </c>
      <c r="R696" s="32">
        <v>44708.751585648148</v>
      </c>
      <c r="S696" t="s">
        <v>61</v>
      </c>
      <c r="T696" s="34" t="s">
        <v>7476</v>
      </c>
      <c r="U696" s="34" t="s">
        <v>7476</v>
      </c>
      <c r="V696" s="32">
        <v>44704.751585648148</v>
      </c>
      <c r="W696" s="32" t="s">
        <v>7476</v>
      </c>
      <c r="X696">
        <v>0</v>
      </c>
      <c r="Y696" s="34" t="s">
        <v>7476</v>
      </c>
      <c r="Z696" s="34" t="s">
        <v>7476</v>
      </c>
      <c r="AA696" s="34" t="s">
        <v>7476</v>
      </c>
      <c r="AB696" s="36" t="s">
        <v>7476</v>
      </c>
      <c r="AD696" t="s">
        <v>2206</v>
      </c>
      <c r="AE696" t="s">
        <v>2207</v>
      </c>
      <c r="AF696" s="16">
        <v>44625</v>
      </c>
      <c r="AG696" t="s">
        <v>75</v>
      </c>
      <c r="AH696">
        <v>6</v>
      </c>
      <c r="AK696" s="38">
        <f t="shared" si="216"/>
        <v>44884.751585648148</v>
      </c>
    </row>
    <row r="697" spans="1:43" x14ac:dyDescent="0.35">
      <c r="A697">
        <v>362</v>
      </c>
      <c r="B697" t="s">
        <v>2208</v>
      </c>
      <c r="C697" t="s">
        <v>1890</v>
      </c>
      <c r="D697" t="str">
        <f t="shared" si="214"/>
        <v>Operations</v>
      </c>
      <c r="E697" t="s">
        <v>2115</v>
      </c>
      <c r="F697" t="s">
        <v>114</v>
      </c>
      <c r="G697" t="s">
        <v>2078</v>
      </c>
      <c r="H697" t="s">
        <v>59</v>
      </c>
      <c r="I697" s="32">
        <v>44681.751585648148</v>
      </c>
      <c r="J697" s="32">
        <v>44685.751585648148</v>
      </c>
      <c r="K697" s="32">
        <v>44689.751585648148</v>
      </c>
      <c r="L697" s="8">
        <f t="shared" si="215"/>
        <v>8</v>
      </c>
      <c r="M697" s="7">
        <v>44695.751585648148</v>
      </c>
      <c r="N697" t="s">
        <v>49</v>
      </c>
      <c r="O697" s="34">
        <v>44695.751585648148</v>
      </c>
      <c r="P697" t="s">
        <v>60</v>
      </c>
      <c r="R697" s="32">
        <v>44702.751585648148</v>
      </c>
      <c r="S697" t="s">
        <v>61</v>
      </c>
      <c r="T697" s="34" t="s">
        <v>7476</v>
      </c>
      <c r="U697" s="34" t="s">
        <v>7476</v>
      </c>
      <c r="V697" s="32">
        <v>44699.751585648148</v>
      </c>
      <c r="W697" s="32" t="s">
        <v>7476</v>
      </c>
      <c r="X697">
        <v>0</v>
      </c>
      <c r="Y697" s="34" t="s">
        <v>7476</v>
      </c>
      <c r="Z697" s="34" t="s">
        <v>7476</v>
      </c>
      <c r="AA697" s="34" t="s">
        <v>7476</v>
      </c>
      <c r="AB697" s="36" t="s">
        <v>7476</v>
      </c>
      <c r="AD697" t="s">
        <v>2209</v>
      </c>
      <c r="AE697" t="s">
        <v>2210</v>
      </c>
      <c r="AF697" s="16">
        <v>44679</v>
      </c>
      <c r="AG697" t="s">
        <v>68</v>
      </c>
      <c r="AH697">
        <v>3</v>
      </c>
      <c r="AI697" s="8">
        <f>IFERROR(R697-AF697,"")</f>
        <v>23.751585648147739</v>
      </c>
      <c r="AJ697" s="8">
        <f>IFERROR(O697-AF697,"")</f>
        <v>16.751585648147739</v>
      </c>
      <c r="AK697" s="38">
        <f t="shared" si="216"/>
        <v>44789.751585648148</v>
      </c>
      <c r="AL697" t="str">
        <f>IFERROR(Z697-W697,"")</f>
        <v/>
      </c>
      <c r="AM697">
        <f>IFERROR(R697-J697,"")</f>
        <v>17</v>
      </c>
      <c r="AN697">
        <f>IFERROR(V697-O697,"")</f>
        <v>4</v>
      </c>
      <c r="AO697">
        <f>IFERROR(J697-I697,"")</f>
        <v>4</v>
      </c>
      <c r="AP697">
        <f>IFERROR(AC697-X697,"")</f>
        <v>0</v>
      </c>
      <c r="AQ697" t="str">
        <f>IFERROR(AA697-W697,"")</f>
        <v/>
      </c>
    </row>
    <row r="698" spans="1:43" x14ac:dyDescent="0.35">
      <c r="A698">
        <v>356</v>
      </c>
      <c r="B698" t="s">
        <v>2211</v>
      </c>
      <c r="C698" t="s">
        <v>1897</v>
      </c>
      <c r="D698" t="str">
        <f t="shared" si="214"/>
        <v>Operations</v>
      </c>
      <c r="E698" t="s">
        <v>2115</v>
      </c>
      <c r="F698" t="s">
        <v>114</v>
      </c>
      <c r="G698" t="s">
        <v>2078</v>
      </c>
      <c r="H698" t="s">
        <v>59</v>
      </c>
      <c r="I698" s="32">
        <v>44834.176585648151</v>
      </c>
      <c r="J698" s="32">
        <v>44838.176585648151</v>
      </c>
      <c r="K698" s="32">
        <v>44844.176585648151</v>
      </c>
      <c r="L698" s="8">
        <f t="shared" si="215"/>
        <v>10</v>
      </c>
      <c r="M698" s="7">
        <v>44858.176585648151</v>
      </c>
      <c r="N698" t="s">
        <v>49</v>
      </c>
      <c r="O698" s="34">
        <v>44857.176585648151</v>
      </c>
      <c r="P698" t="s">
        <v>101</v>
      </c>
      <c r="R698" s="32">
        <v>44864.176585648151</v>
      </c>
      <c r="S698" t="s">
        <v>101</v>
      </c>
      <c r="T698" s="34">
        <v>44859.176585648151</v>
      </c>
      <c r="U698" s="34">
        <v>44863.176585648151</v>
      </c>
      <c r="V698" s="32">
        <v>44861.176585648151</v>
      </c>
      <c r="W698" s="32">
        <v>44866.176585648151</v>
      </c>
      <c r="X698">
        <v>1</v>
      </c>
      <c r="Y698" s="34">
        <v>44868.176585648151</v>
      </c>
      <c r="Z698" s="34">
        <v>44871.176585648151</v>
      </c>
      <c r="AA698" s="34">
        <v>44874.176585648151</v>
      </c>
      <c r="AB698" s="36" t="s">
        <v>7476</v>
      </c>
      <c r="AC698" s="10">
        <v>44895.176585648151</v>
      </c>
      <c r="AD698" t="s">
        <v>2212</v>
      </c>
      <c r="AE698" t="s">
        <v>2213</v>
      </c>
      <c r="AF698" s="16">
        <v>44847</v>
      </c>
      <c r="AG698" t="s">
        <v>98</v>
      </c>
      <c r="AH698">
        <v>3</v>
      </c>
      <c r="AI698" s="8">
        <f>IFERROR(R698-AF698,"")</f>
        <v>17.176585648150649</v>
      </c>
      <c r="AJ698" s="8">
        <f>IFERROR(O698-AF698,"")</f>
        <v>10.176585648150649</v>
      </c>
      <c r="AK698" s="38">
        <f t="shared" si="216"/>
        <v>44951.176585648151</v>
      </c>
      <c r="AL698">
        <f>IFERROR(Z698-W698,"")</f>
        <v>5</v>
      </c>
      <c r="AM698">
        <f>IFERROR(R698-J698,"")</f>
        <v>26</v>
      </c>
      <c r="AN698">
        <f>IFERROR(V698-O698,"")</f>
        <v>4</v>
      </c>
      <c r="AO698">
        <f>IFERROR(J698-I698,"")</f>
        <v>4</v>
      </c>
      <c r="AP698">
        <f>IFERROR(AC698-X698,"")</f>
        <v>44894.176585648151</v>
      </c>
      <c r="AQ698">
        <f>IFERROR(AA698-W698,"")</f>
        <v>8</v>
      </c>
    </row>
    <row r="699" spans="1:43" x14ac:dyDescent="0.35">
      <c r="A699">
        <v>351</v>
      </c>
      <c r="B699" t="s">
        <v>2214</v>
      </c>
      <c r="C699" t="s">
        <v>1890</v>
      </c>
      <c r="D699" t="str">
        <f t="shared" si="214"/>
        <v>Operations</v>
      </c>
      <c r="E699" t="s">
        <v>2115</v>
      </c>
      <c r="F699" t="s">
        <v>114</v>
      </c>
      <c r="G699" t="s">
        <v>2078</v>
      </c>
      <c r="H699" t="s">
        <v>59</v>
      </c>
      <c r="I699" s="32">
        <v>44836.176585648151</v>
      </c>
      <c r="J699" s="32">
        <v>44840.176585648151</v>
      </c>
      <c r="K699" s="32">
        <v>44844.176585648151</v>
      </c>
      <c r="L699" s="8">
        <f t="shared" si="215"/>
        <v>8</v>
      </c>
      <c r="M699" s="7">
        <v>44873.176585648151</v>
      </c>
      <c r="N699" t="s">
        <v>49</v>
      </c>
      <c r="O699" s="34">
        <v>44848.176585648151</v>
      </c>
      <c r="P699" t="s">
        <v>50</v>
      </c>
      <c r="Q699" t="s">
        <v>236</v>
      </c>
      <c r="R699" s="32" t="s">
        <v>7472</v>
      </c>
      <c r="S699" t="s">
        <v>7476</v>
      </c>
      <c r="T699" s="34" t="s">
        <v>7476</v>
      </c>
      <c r="U699" s="34" t="s">
        <v>7476</v>
      </c>
      <c r="V699" s="32" t="s">
        <v>7476</v>
      </c>
      <c r="W699" s="32" t="s">
        <v>7476</v>
      </c>
      <c r="X699">
        <v>0</v>
      </c>
      <c r="Y699" s="34" t="s">
        <v>7476</v>
      </c>
      <c r="Z699" s="34" t="s">
        <v>7476</v>
      </c>
      <c r="AA699" s="34" t="s">
        <v>7476</v>
      </c>
      <c r="AB699" s="36" t="s">
        <v>95</v>
      </c>
      <c r="AD699" t="s">
        <v>2215</v>
      </c>
      <c r="AE699" t="s">
        <v>2216</v>
      </c>
      <c r="AF699" s="16">
        <v>44839</v>
      </c>
      <c r="AG699" t="s">
        <v>98</v>
      </c>
      <c r="AH699">
        <v>3</v>
      </c>
      <c r="AI699" s="8" t="str">
        <f>IFERROR(R699-AF699,"")</f>
        <v/>
      </c>
      <c r="AJ699" s="8">
        <f>IFERROR(O699-AF699,"")</f>
        <v>9.1765856481506489</v>
      </c>
      <c r="AK699" s="38" t="str">
        <f t="shared" si="216"/>
        <v/>
      </c>
      <c r="AL699" t="str">
        <f>IFERROR(Z699-W699,"")</f>
        <v/>
      </c>
      <c r="AM699" t="str">
        <f>IFERROR(R699-J699,"")</f>
        <v/>
      </c>
      <c r="AN699" t="str">
        <f>IFERROR(V699-O699,"")</f>
        <v/>
      </c>
      <c r="AO699">
        <f>IFERROR(J699-I699,"")</f>
        <v>4</v>
      </c>
      <c r="AP699">
        <f>IFERROR(AC699-X699,"")</f>
        <v>0</v>
      </c>
      <c r="AQ699" t="str">
        <f>IFERROR(AA699-W699,"")</f>
        <v/>
      </c>
    </row>
    <row r="700" spans="1:43" x14ac:dyDescent="0.35">
      <c r="A700">
        <v>325</v>
      </c>
      <c r="B700" t="s">
        <v>2217</v>
      </c>
      <c r="C700" t="s">
        <v>1922</v>
      </c>
      <c r="D700" t="str">
        <f t="shared" si="214"/>
        <v>Operations</v>
      </c>
      <c r="E700" t="s">
        <v>2115</v>
      </c>
      <c r="F700" t="s">
        <v>114</v>
      </c>
      <c r="G700" t="s">
        <v>2078</v>
      </c>
      <c r="H700" t="s">
        <v>59</v>
      </c>
      <c r="I700" s="32">
        <v>44577.917696759258</v>
      </c>
      <c r="J700" s="32">
        <v>44578.917696759258</v>
      </c>
      <c r="K700" s="32">
        <v>44582.917696759258</v>
      </c>
      <c r="L700" s="8">
        <f t="shared" si="215"/>
        <v>5</v>
      </c>
      <c r="M700" s="7">
        <v>44594.917696759258</v>
      </c>
      <c r="N700" t="s">
        <v>49</v>
      </c>
      <c r="O700" s="34">
        <v>44584.917696759258</v>
      </c>
      <c r="P700" t="s">
        <v>50</v>
      </c>
      <c r="Q700" t="s">
        <v>236</v>
      </c>
      <c r="R700" s="32" t="s">
        <v>7472</v>
      </c>
      <c r="S700" t="s">
        <v>7476</v>
      </c>
      <c r="T700" s="34" t="s">
        <v>7476</v>
      </c>
      <c r="U700" s="34" t="s">
        <v>7476</v>
      </c>
      <c r="V700" s="32" t="s">
        <v>7476</v>
      </c>
      <c r="W700" s="32" t="s">
        <v>7476</v>
      </c>
      <c r="X700">
        <v>0</v>
      </c>
      <c r="Y700" s="34" t="s">
        <v>7476</v>
      </c>
      <c r="Z700" s="34" t="s">
        <v>7476</v>
      </c>
      <c r="AA700" s="34" t="s">
        <v>7476</v>
      </c>
      <c r="AB700" s="36" t="s">
        <v>95</v>
      </c>
      <c r="AD700" t="s">
        <v>2218</v>
      </c>
      <c r="AE700" t="s">
        <v>2219</v>
      </c>
      <c r="AF700" s="16">
        <v>44575</v>
      </c>
      <c r="AG700" t="s">
        <v>64</v>
      </c>
      <c r="AH700">
        <v>3</v>
      </c>
      <c r="AI700" s="8" t="str">
        <f>IFERROR(R700-AF700,"")</f>
        <v/>
      </c>
      <c r="AJ700" s="8">
        <f>IFERROR(O700-AF700,"")</f>
        <v>9.9176967592575238</v>
      </c>
      <c r="AK700" s="38" t="str">
        <f t="shared" si="216"/>
        <v/>
      </c>
      <c r="AL700" t="str">
        <f>IFERROR(Z700-W700,"")</f>
        <v/>
      </c>
      <c r="AM700" t="str">
        <f>IFERROR(R700-J700,"")</f>
        <v/>
      </c>
      <c r="AN700" t="str">
        <f>IFERROR(V700-O700,"")</f>
        <v/>
      </c>
      <c r="AO700">
        <f>IFERROR(J700-I700,"")</f>
        <v>1</v>
      </c>
      <c r="AP700">
        <f>IFERROR(AC700-X700,"")</f>
        <v>0</v>
      </c>
      <c r="AQ700" t="str">
        <f>IFERROR(AA700-W700,"")</f>
        <v/>
      </c>
    </row>
    <row r="701" spans="1:43" x14ac:dyDescent="0.35">
      <c r="A701">
        <v>300</v>
      </c>
      <c r="B701" t="s">
        <v>2220</v>
      </c>
      <c r="C701" t="s">
        <v>1890</v>
      </c>
      <c r="D701" t="str">
        <f t="shared" si="214"/>
        <v>Operations</v>
      </c>
      <c r="E701" t="s">
        <v>2115</v>
      </c>
      <c r="F701" t="s">
        <v>114</v>
      </c>
      <c r="G701" t="s">
        <v>2078</v>
      </c>
      <c r="H701" t="s">
        <v>59</v>
      </c>
      <c r="I701" s="32" t="s">
        <v>7471</v>
      </c>
      <c r="J701" s="32">
        <v>45136.740011574067</v>
      </c>
      <c r="K701" s="32">
        <v>45138.740011574067</v>
      </c>
      <c r="L701" s="8" t="str">
        <f t="shared" si="215"/>
        <v/>
      </c>
      <c r="M701" s="7">
        <v>45164.740011574067</v>
      </c>
      <c r="N701" t="s">
        <v>49</v>
      </c>
      <c r="O701" s="34">
        <v>45145.740011574067</v>
      </c>
      <c r="P701" t="s">
        <v>50</v>
      </c>
      <c r="Q701" t="s">
        <v>51</v>
      </c>
      <c r="R701" s="32" t="s">
        <v>7472</v>
      </c>
      <c r="S701" t="s">
        <v>7476</v>
      </c>
      <c r="T701" s="34" t="s">
        <v>7476</v>
      </c>
      <c r="U701" s="34" t="s">
        <v>7476</v>
      </c>
      <c r="V701" s="32" t="s">
        <v>7476</v>
      </c>
      <c r="W701" s="32" t="s">
        <v>7476</v>
      </c>
      <c r="X701">
        <v>0</v>
      </c>
      <c r="Y701" s="34" t="s">
        <v>7476</v>
      </c>
      <c r="Z701" s="34" t="s">
        <v>7476</v>
      </c>
      <c r="AA701" s="34" t="s">
        <v>7476</v>
      </c>
      <c r="AB701" s="36" t="s">
        <v>52</v>
      </c>
      <c r="AD701" t="s">
        <v>2221</v>
      </c>
      <c r="AE701" t="s">
        <v>2222</v>
      </c>
      <c r="AF701" s="16">
        <v>45132</v>
      </c>
      <c r="AG701" t="s">
        <v>98</v>
      </c>
      <c r="AH701">
        <v>3</v>
      </c>
      <c r="AK701" s="38" t="str">
        <f t="shared" si="216"/>
        <v/>
      </c>
    </row>
    <row r="702" spans="1:43" x14ac:dyDescent="0.35">
      <c r="A702">
        <v>299</v>
      </c>
      <c r="B702" t="s">
        <v>2223</v>
      </c>
      <c r="C702" t="s">
        <v>1897</v>
      </c>
      <c r="D702" t="str">
        <f t="shared" si="214"/>
        <v>Operations</v>
      </c>
      <c r="E702" t="s">
        <v>2115</v>
      </c>
      <c r="F702" t="s">
        <v>114</v>
      </c>
      <c r="G702" t="s">
        <v>2078</v>
      </c>
      <c r="H702" t="s">
        <v>59</v>
      </c>
      <c r="I702" s="32">
        <v>45133.740011574067</v>
      </c>
      <c r="J702" s="32">
        <v>45137.740011574067</v>
      </c>
      <c r="K702" s="32">
        <v>45138.740011574067</v>
      </c>
      <c r="L702" s="8">
        <f t="shared" si="215"/>
        <v>5</v>
      </c>
      <c r="M702" s="7">
        <v>45167.740011574067</v>
      </c>
      <c r="N702" t="s">
        <v>49</v>
      </c>
      <c r="O702" s="34">
        <v>45142.740011574067</v>
      </c>
      <c r="P702" t="s">
        <v>392</v>
      </c>
      <c r="R702" s="32">
        <v>45145.740011574067</v>
      </c>
      <c r="S702" t="s">
        <v>392</v>
      </c>
      <c r="T702" s="34" t="s">
        <v>7476</v>
      </c>
      <c r="U702" s="34" t="s">
        <v>7476</v>
      </c>
      <c r="V702" s="32">
        <v>45144.740011574067</v>
      </c>
      <c r="W702" s="32" t="s">
        <v>7476</v>
      </c>
      <c r="X702">
        <v>0</v>
      </c>
      <c r="Y702" s="34" t="s">
        <v>7476</v>
      </c>
      <c r="Z702" s="34" t="s">
        <v>7476</v>
      </c>
      <c r="AA702" s="34" t="s">
        <v>7476</v>
      </c>
      <c r="AB702" s="36" t="s">
        <v>7476</v>
      </c>
      <c r="AD702" t="s">
        <v>2224</v>
      </c>
      <c r="AE702" t="s">
        <v>2225</v>
      </c>
      <c r="AF702" s="16">
        <v>45124</v>
      </c>
      <c r="AG702" t="s">
        <v>64</v>
      </c>
      <c r="AH702">
        <v>6</v>
      </c>
      <c r="AI702" s="8">
        <f>IFERROR(R702-AF702,"")</f>
        <v>21.740011574067466</v>
      </c>
      <c r="AJ702" s="8">
        <f>IFERROR(O702-AF702,"")</f>
        <v>18.740011574067466</v>
      </c>
      <c r="AK702" s="38">
        <f t="shared" si="216"/>
        <v>45324.740011574067</v>
      </c>
      <c r="AL702" t="str">
        <f>IFERROR(Z702-W702,"")</f>
        <v/>
      </c>
      <c r="AM702">
        <f>IFERROR(R702-J702,"")</f>
        <v>8</v>
      </c>
      <c r="AN702">
        <f>IFERROR(V702-O702,"")</f>
        <v>2</v>
      </c>
      <c r="AO702">
        <f>IFERROR(J702-I702,"")</f>
        <v>4</v>
      </c>
      <c r="AP702">
        <f>IFERROR(AC702-X702,"")</f>
        <v>0</v>
      </c>
      <c r="AQ702" t="str">
        <f>IFERROR(AA702-W702,"")</f>
        <v/>
      </c>
    </row>
    <row r="703" spans="1:43" x14ac:dyDescent="0.35">
      <c r="A703">
        <v>295</v>
      </c>
      <c r="B703" t="s">
        <v>2226</v>
      </c>
      <c r="C703" t="s">
        <v>1890</v>
      </c>
      <c r="D703" t="str">
        <f t="shared" si="214"/>
        <v>Operations</v>
      </c>
      <c r="E703" t="s">
        <v>2115</v>
      </c>
      <c r="F703" t="s">
        <v>78</v>
      </c>
      <c r="G703" t="s">
        <v>2050</v>
      </c>
      <c r="H703" t="s">
        <v>59</v>
      </c>
      <c r="I703" s="32">
        <v>45132.740011574067</v>
      </c>
      <c r="J703" s="32">
        <v>45133.740011574067</v>
      </c>
      <c r="K703" s="32">
        <v>45138.740011574067</v>
      </c>
      <c r="L703" s="8">
        <f t="shared" si="215"/>
        <v>6</v>
      </c>
      <c r="M703" s="7">
        <v>45164.740011574067</v>
      </c>
      <c r="N703" t="s">
        <v>72</v>
      </c>
      <c r="O703" s="34" t="s">
        <v>7474</v>
      </c>
      <c r="R703" s="32" t="s">
        <v>7472</v>
      </c>
      <c r="S703" t="s">
        <v>7476</v>
      </c>
      <c r="T703" s="34" t="s">
        <v>7476</v>
      </c>
      <c r="U703" s="34" t="s">
        <v>7476</v>
      </c>
      <c r="V703" s="32" t="s">
        <v>7476</v>
      </c>
      <c r="W703" s="32" t="s">
        <v>7476</v>
      </c>
      <c r="X703">
        <v>0</v>
      </c>
      <c r="Y703" s="34" t="s">
        <v>7476</v>
      </c>
      <c r="Z703" s="34" t="s">
        <v>7476</v>
      </c>
      <c r="AA703" s="34" t="s">
        <v>7476</v>
      </c>
      <c r="AB703" s="36" t="s">
        <v>7476</v>
      </c>
      <c r="AD703" t="s">
        <v>2227</v>
      </c>
      <c r="AE703" t="s">
        <v>2228</v>
      </c>
      <c r="AG703" t="s">
        <v>98</v>
      </c>
      <c r="AH703">
        <v>3</v>
      </c>
      <c r="AI703" s="8" t="str">
        <f>IFERROR(R703-AF703,"")</f>
        <v/>
      </c>
      <c r="AJ703" s="8" t="str">
        <f>IFERROR(O703-AF703,"")</f>
        <v/>
      </c>
      <c r="AK703" s="38" t="str">
        <f t="shared" si="216"/>
        <v/>
      </c>
      <c r="AL703" t="str">
        <f>IFERROR(Z703-W703,"")</f>
        <v/>
      </c>
      <c r="AM703" t="str">
        <f>IFERROR(R703-J703,"")</f>
        <v/>
      </c>
      <c r="AN703" t="str">
        <f>IFERROR(V703-O703,"")</f>
        <v/>
      </c>
      <c r="AO703">
        <f>IFERROR(J703-I703,"")</f>
        <v>1</v>
      </c>
      <c r="AP703">
        <f>IFERROR(AC703-X703,"")</f>
        <v>0</v>
      </c>
      <c r="AQ703" t="str">
        <f>IFERROR(AA703-W703,"")</f>
        <v/>
      </c>
    </row>
    <row r="704" spans="1:43" x14ac:dyDescent="0.35">
      <c r="A704">
        <v>294</v>
      </c>
      <c r="B704" t="s">
        <v>2229</v>
      </c>
      <c r="C704" t="s">
        <v>1890</v>
      </c>
      <c r="D704" t="str">
        <f t="shared" si="214"/>
        <v>Operations</v>
      </c>
      <c r="E704" t="s">
        <v>2115</v>
      </c>
      <c r="F704" t="s">
        <v>78</v>
      </c>
      <c r="G704" t="s">
        <v>2050</v>
      </c>
      <c r="H704" t="s">
        <v>59</v>
      </c>
      <c r="I704" s="32">
        <v>45130.740011574067</v>
      </c>
      <c r="J704" s="32">
        <v>45132.740011574067</v>
      </c>
      <c r="K704" s="32">
        <v>45138.740011574067</v>
      </c>
      <c r="L704" s="8">
        <f t="shared" si="215"/>
        <v>8</v>
      </c>
      <c r="M704" s="7">
        <v>45155.740011574067</v>
      </c>
      <c r="N704" t="s">
        <v>72</v>
      </c>
      <c r="O704" s="34" t="s">
        <v>7474</v>
      </c>
      <c r="R704" s="32" t="s">
        <v>7472</v>
      </c>
      <c r="S704" t="s">
        <v>7476</v>
      </c>
      <c r="T704" s="34" t="s">
        <v>7476</v>
      </c>
      <c r="U704" s="34" t="s">
        <v>7476</v>
      </c>
      <c r="V704" s="32" t="s">
        <v>7476</v>
      </c>
      <c r="W704" s="32" t="s">
        <v>7476</v>
      </c>
      <c r="X704">
        <v>0</v>
      </c>
      <c r="Y704" s="34" t="s">
        <v>7476</v>
      </c>
      <c r="Z704" s="34" t="s">
        <v>7476</v>
      </c>
      <c r="AA704" s="34" t="s">
        <v>7476</v>
      </c>
      <c r="AB704" s="36" t="s">
        <v>7476</v>
      </c>
      <c r="AD704" t="s">
        <v>2230</v>
      </c>
      <c r="AE704" t="s">
        <v>2231</v>
      </c>
      <c r="AG704" t="s">
        <v>64</v>
      </c>
      <c r="AH704">
        <v>6</v>
      </c>
      <c r="AI704" s="8" t="str">
        <f>IFERROR(R704-AF704,"")</f>
        <v/>
      </c>
      <c r="AJ704" s="8" t="str">
        <f>IFERROR(O704-AF704,"")</f>
        <v/>
      </c>
      <c r="AK704" s="38" t="str">
        <f t="shared" si="216"/>
        <v/>
      </c>
      <c r="AL704" t="str">
        <f>IFERROR(Z704-W704,"")</f>
        <v/>
      </c>
      <c r="AM704" t="str">
        <f>IFERROR(R704-J704,"")</f>
        <v/>
      </c>
      <c r="AN704" t="str">
        <f>IFERROR(V704-O704,"")</f>
        <v/>
      </c>
      <c r="AO704">
        <f>IFERROR(J704-I704,"")</f>
        <v>2</v>
      </c>
      <c r="AP704">
        <f>IFERROR(AC704-X704,"")</f>
        <v>0</v>
      </c>
      <c r="AQ704" t="str">
        <f>IFERROR(AA704-W704,"")</f>
        <v/>
      </c>
    </row>
    <row r="705" spans="1:43" x14ac:dyDescent="0.35">
      <c r="A705">
        <v>292</v>
      </c>
      <c r="B705" t="s">
        <v>2232</v>
      </c>
      <c r="C705" t="s">
        <v>1890</v>
      </c>
      <c r="D705" t="str">
        <f t="shared" si="214"/>
        <v>Operations</v>
      </c>
      <c r="E705" t="s">
        <v>2115</v>
      </c>
      <c r="F705" t="s">
        <v>78</v>
      </c>
      <c r="G705" t="s">
        <v>2050</v>
      </c>
      <c r="H705" t="s">
        <v>59</v>
      </c>
      <c r="I705" s="32" t="s">
        <v>7471</v>
      </c>
      <c r="J705" s="32">
        <v>45136.740011574067</v>
      </c>
      <c r="K705" s="32">
        <v>45138.740011574067</v>
      </c>
      <c r="L705" s="8" t="str">
        <f t="shared" si="215"/>
        <v/>
      </c>
      <c r="M705" s="7">
        <v>45151.740011574067</v>
      </c>
      <c r="N705" t="s">
        <v>49</v>
      </c>
      <c r="O705" s="34">
        <v>45156.740011574067</v>
      </c>
      <c r="P705" t="s">
        <v>50</v>
      </c>
      <c r="Q705" t="s">
        <v>125</v>
      </c>
      <c r="R705" s="32" t="s">
        <v>7472</v>
      </c>
      <c r="S705" t="s">
        <v>7476</v>
      </c>
      <c r="T705" s="34" t="s">
        <v>7476</v>
      </c>
      <c r="U705" s="34" t="s">
        <v>7476</v>
      </c>
      <c r="V705" s="32" t="s">
        <v>7476</v>
      </c>
      <c r="W705" s="32" t="s">
        <v>7476</v>
      </c>
      <c r="X705">
        <v>0</v>
      </c>
      <c r="Y705" s="34" t="s">
        <v>7476</v>
      </c>
      <c r="Z705" s="34" t="s">
        <v>7476</v>
      </c>
      <c r="AA705" s="34" t="s">
        <v>7476</v>
      </c>
      <c r="AB705" s="36" t="s">
        <v>52</v>
      </c>
      <c r="AD705" t="s">
        <v>2233</v>
      </c>
      <c r="AE705" t="s">
        <v>2234</v>
      </c>
      <c r="AF705" s="16">
        <v>45145</v>
      </c>
      <c r="AG705" t="s">
        <v>55</v>
      </c>
      <c r="AH705">
        <v>3</v>
      </c>
      <c r="AK705" s="38" t="str">
        <f t="shared" si="216"/>
        <v/>
      </c>
    </row>
    <row r="706" spans="1:43" x14ac:dyDescent="0.35">
      <c r="A706">
        <v>200</v>
      </c>
      <c r="B706" t="s">
        <v>2235</v>
      </c>
      <c r="C706" t="s">
        <v>1897</v>
      </c>
      <c r="D706" t="str">
        <f t="shared" ref="D706:D769" si="233">TRIM(C706)</f>
        <v>Operations</v>
      </c>
      <c r="E706" t="s">
        <v>2115</v>
      </c>
      <c r="F706" t="s">
        <v>78</v>
      </c>
      <c r="G706" t="s">
        <v>2050</v>
      </c>
      <c r="H706" t="s">
        <v>59</v>
      </c>
      <c r="I706" s="32">
        <v>44726.769965277781</v>
      </c>
      <c r="J706" s="32">
        <v>44730.769965277781</v>
      </c>
      <c r="K706" s="32">
        <v>44731.769965277781</v>
      </c>
      <c r="L706" s="8">
        <f t="shared" ref="L706:L769" si="234">IFERROR(K706-I706,"")</f>
        <v>5</v>
      </c>
      <c r="M706" s="7">
        <v>44746.769965277781</v>
      </c>
      <c r="N706" t="s">
        <v>49</v>
      </c>
      <c r="O706" s="34">
        <v>44738.769965277781</v>
      </c>
      <c r="P706" t="s">
        <v>60</v>
      </c>
      <c r="R706" s="32">
        <v>44744.769965277781</v>
      </c>
      <c r="S706" t="s">
        <v>61</v>
      </c>
      <c r="T706" s="34" t="s">
        <v>7476</v>
      </c>
      <c r="U706" s="34" t="s">
        <v>7476</v>
      </c>
      <c r="V706" s="32">
        <v>44740.769965277781</v>
      </c>
      <c r="W706" s="32" t="s">
        <v>7476</v>
      </c>
      <c r="X706">
        <v>0</v>
      </c>
      <c r="Y706" s="34" t="s">
        <v>7476</v>
      </c>
      <c r="Z706" s="34" t="s">
        <v>7476</v>
      </c>
      <c r="AA706" s="34" t="s">
        <v>7476</v>
      </c>
      <c r="AB706" s="36" t="s">
        <v>7476</v>
      </c>
      <c r="AD706" t="s">
        <v>2236</v>
      </c>
      <c r="AE706" t="s">
        <v>2237</v>
      </c>
      <c r="AF706" s="16">
        <v>44719</v>
      </c>
      <c r="AG706" t="s">
        <v>98</v>
      </c>
      <c r="AH706">
        <v>6</v>
      </c>
      <c r="AI706" s="8">
        <f>IFERROR(R706-AF706,"")</f>
        <v>25.769965277781012</v>
      </c>
      <c r="AJ706" s="8">
        <f>IFERROR(O706-AF706,"")</f>
        <v>19.769965277781012</v>
      </c>
      <c r="AK706" s="38">
        <f t="shared" si="216"/>
        <v>44920.769965277781</v>
      </c>
      <c r="AL706" t="str">
        <f>IFERROR(Z706-W706,"")</f>
        <v/>
      </c>
      <c r="AM706">
        <f>IFERROR(R706-J706,"")</f>
        <v>14</v>
      </c>
      <c r="AN706">
        <f>IFERROR(V706-O706,"")</f>
        <v>2</v>
      </c>
      <c r="AO706">
        <f>IFERROR(J706-I706,"")</f>
        <v>4</v>
      </c>
      <c r="AP706">
        <f>IFERROR(AC706-X706,"")</f>
        <v>0</v>
      </c>
      <c r="AQ706" t="str">
        <f>IFERROR(AA706-W706,"")</f>
        <v/>
      </c>
    </row>
    <row r="707" spans="1:43" x14ac:dyDescent="0.35">
      <c r="A707">
        <v>191</v>
      </c>
      <c r="B707" t="s">
        <v>2238</v>
      </c>
      <c r="C707" t="s">
        <v>1890</v>
      </c>
      <c r="D707" t="str">
        <f t="shared" si="233"/>
        <v>Operations</v>
      </c>
      <c r="E707" t="s">
        <v>2115</v>
      </c>
      <c r="F707" t="s">
        <v>78</v>
      </c>
      <c r="G707" t="s">
        <v>2050</v>
      </c>
      <c r="H707" t="s">
        <v>59</v>
      </c>
      <c r="I707" s="32">
        <v>44725.769965277781</v>
      </c>
      <c r="J707" s="32">
        <v>44727.769965277781</v>
      </c>
      <c r="K707" s="32">
        <v>44731.769965277781</v>
      </c>
      <c r="L707" s="8">
        <f t="shared" si="234"/>
        <v>6</v>
      </c>
      <c r="M707" s="7">
        <v>44756.769965277781</v>
      </c>
      <c r="N707" t="s">
        <v>49</v>
      </c>
      <c r="O707" s="34">
        <v>44745.769965277781</v>
      </c>
      <c r="P707" t="s">
        <v>50</v>
      </c>
      <c r="Q707" t="s">
        <v>84</v>
      </c>
      <c r="R707" s="32" t="s">
        <v>7472</v>
      </c>
      <c r="S707" t="s">
        <v>7476</v>
      </c>
      <c r="T707" s="34" t="s">
        <v>7476</v>
      </c>
      <c r="U707" s="34" t="s">
        <v>7476</v>
      </c>
      <c r="V707" s="32">
        <v>44746.769965277781</v>
      </c>
      <c r="W707" s="32" t="s">
        <v>7476</v>
      </c>
      <c r="X707">
        <v>0</v>
      </c>
      <c r="Y707" s="34" t="s">
        <v>7476</v>
      </c>
      <c r="Z707" s="34" t="s">
        <v>7476</v>
      </c>
      <c r="AA707" s="34" t="s">
        <v>7476</v>
      </c>
      <c r="AB707" s="36" t="s">
        <v>95</v>
      </c>
      <c r="AD707" t="s">
        <v>2239</v>
      </c>
      <c r="AE707" t="s">
        <v>2240</v>
      </c>
      <c r="AF707" s="16">
        <v>44734</v>
      </c>
      <c r="AG707" t="s">
        <v>68</v>
      </c>
      <c r="AH707">
        <v>6</v>
      </c>
      <c r="AI707" s="8" t="str">
        <f>IFERROR(R707-AF707,"")</f>
        <v/>
      </c>
      <c r="AJ707" s="8">
        <f>IFERROR(O707-AF707,"")</f>
        <v>11.769965277781012</v>
      </c>
      <c r="AK707" s="38">
        <f t="shared" ref="AK707:AK770" si="235">IFERROR(V707+(AH707*30),"")</f>
        <v>44926.769965277781</v>
      </c>
      <c r="AL707" t="str">
        <f>IFERROR(Z707-W707,"")</f>
        <v/>
      </c>
      <c r="AM707" t="str">
        <f>IFERROR(R707-J707,"")</f>
        <v/>
      </c>
      <c r="AN707">
        <f>IFERROR(V707-O707,"")</f>
        <v>1</v>
      </c>
      <c r="AO707">
        <f>IFERROR(J707-I707,"")</f>
        <v>2</v>
      </c>
      <c r="AP707">
        <f>IFERROR(AC707-X707,"")</f>
        <v>0</v>
      </c>
      <c r="AQ707" t="str">
        <f>IFERROR(AA707-W707,"")</f>
        <v/>
      </c>
    </row>
    <row r="708" spans="1:43" x14ac:dyDescent="0.35">
      <c r="A708">
        <v>164</v>
      </c>
      <c r="B708" t="s">
        <v>2241</v>
      </c>
      <c r="C708" t="s">
        <v>1922</v>
      </c>
      <c r="D708" t="str">
        <f t="shared" si="233"/>
        <v>Operations</v>
      </c>
      <c r="E708" t="s">
        <v>2115</v>
      </c>
      <c r="F708" t="s">
        <v>2000</v>
      </c>
      <c r="G708" t="s">
        <v>2001</v>
      </c>
      <c r="H708" t="s">
        <v>59</v>
      </c>
      <c r="I708" s="32">
        <v>44906.64775462963</v>
      </c>
      <c r="J708" s="32">
        <v>44909.64775462963</v>
      </c>
      <c r="K708" s="32">
        <v>44911.64775462963</v>
      </c>
      <c r="L708" s="8">
        <f t="shared" si="234"/>
        <v>5</v>
      </c>
      <c r="M708" s="7">
        <v>44921.64775462963</v>
      </c>
      <c r="N708" t="s">
        <v>49</v>
      </c>
      <c r="O708" s="34">
        <v>44917.64775462963</v>
      </c>
      <c r="P708" t="s">
        <v>50</v>
      </c>
      <c r="Q708" t="s">
        <v>198</v>
      </c>
      <c r="R708" s="32" t="s">
        <v>7472</v>
      </c>
      <c r="S708" t="s">
        <v>7476</v>
      </c>
      <c r="T708" s="34" t="s">
        <v>7476</v>
      </c>
      <c r="U708" s="34" t="s">
        <v>7476</v>
      </c>
      <c r="V708" s="32" t="s">
        <v>7476</v>
      </c>
      <c r="W708" s="32" t="s">
        <v>7476</v>
      </c>
      <c r="X708">
        <v>0</v>
      </c>
      <c r="Y708" s="34" t="s">
        <v>7476</v>
      </c>
      <c r="Z708" s="34" t="s">
        <v>7476</v>
      </c>
      <c r="AA708" s="34" t="s">
        <v>7476</v>
      </c>
      <c r="AB708" s="36" t="s">
        <v>52</v>
      </c>
      <c r="AD708" t="s">
        <v>2242</v>
      </c>
      <c r="AE708" t="s">
        <v>2243</v>
      </c>
      <c r="AF708" s="16">
        <v>44912</v>
      </c>
      <c r="AG708" t="s">
        <v>68</v>
      </c>
      <c r="AH708">
        <v>3</v>
      </c>
      <c r="AI708" s="8" t="str">
        <f>IFERROR(R708-AF708,"")</f>
        <v/>
      </c>
      <c r="AJ708" s="8">
        <f>IFERROR(O708-AF708,"")</f>
        <v>5.6477546296300716</v>
      </c>
      <c r="AK708" s="38" t="str">
        <f t="shared" si="235"/>
        <v/>
      </c>
      <c r="AL708" t="str">
        <f>IFERROR(Z708-W708,"")</f>
        <v/>
      </c>
      <c r="AM708" t="str">
        <f>IFERROR(R708-J708,"")</f>
        <v/>
      </c>
      <c r="AN708" t="str">
        <f>IFERROR(V708-O708,"")</f>
        <v/>
      </c>
      <c r="AO708">
        <f>IFERROR(J708-I708,"")</f>
        <v>3</v>
      </c>
      <c r="AP708">
        <f>IFERROR(AC708-X708,"")</f>
        <v>0</v>
      </c>
      <c r="AQ708" t="str">
        <f>IFERROR(AA708-W708,"")</f>
        <v/>
      </c>
    </row>
    <row r="709" spans="1:43" x14ac:dyDescent="0.35">
      <c r="A709">
        <v>162</v>
      </c>
      <c r="B709" t="s">
        <v>2244</v>
      </c>
      <c r="C709" t="s">
        <v>1897</v>
      </c>
      <c r="D709" t="str">
        <f t="shared" si="233"/>
        <v>Operations</v>
      </c>
      <c r="E709" t="s">
        <v>2115</v>
      </c>
      <c r="F709" t="s">
        <v>2000</v>
      </c>
      <c r="G709" t="s">
        <v>2001</v>
      </c>
      <c r="H709" t="s">
        <v>59</v>
      </c>
      <c r="I709" s="32">
        <v>44904.64775462963</v>
      </c>
      <c r="J709" s="32">
        <v>44907.64775462963</v>
      </c>
      <c r="K709" s="32">
        <v>44911.64775462963</v>
      </c>
      <c r="L709" s="8">
        <f t="shared" si="234"/>
        <v>7</v>
      </c>
      <c r="M709" s="7">
        <v>44922.64775462963</v>
      </c>
      <c r="N709" t="s">
        <v>49</v>
      </c>
      <c r="O709" s="34">
        <v>44923.64775462963</v>
      </c>
      <c r="P709" t="s">
        <v>50</v>
      </c>
      <c r="Q709" t="s">
        <v>198</v>
      </c>
      <c r="R709" s="32" t="s">
        <v>7472</v>
      </c>
      <c r="S709" t="s">
        <v>7476</v>
      </c>
      <c r="T709" s="34" t="s">
        <v>7476</v>
      </c>
      <c r="U709" s="34" t="s">
        <v>7476</v>
      </c>
      <c r="V709" s="32" t="s">
        <v>7476</v>
      </c>
      <c r="W709" s="32" t="s">
        <v>7476</v>
      </c>
      <c r="X709">
        <v>0</v>
      </c>
      <c r="Y709" s="34" t="s">
        <v>7476</v>
      </c>
      <c r="Z709" s="34" t="s">
        <v>7476</v>
      </c>
      <c r="AA709" s="34" t="s">
        <v>7476</v>
      </c>
      <c r="AB709" s="36" t="s">
        <v>95</v>
      </c>
      <c r="AD709" t="s">
        <v>2245</v>
      </c>
      <c r="AE709" t="s">
        <v>2246</v>
      </c>
      <c r="AF709" s="16">
        <v>44910</v>
      </c>
      <c r="AG709" t="s">
        <v>64</v>
      </c>
      <c r="AH709">
        <v>3</v>
      </c>
      <c r="AI709" s="8" t="str">
        <f>IFERROR(R709-AF709,"")</f>
        <v/>
      </c>
      <c r="AJ709" s="8">
        <f>IFERROR(O709-AF709,"")</f>
        <v>13.647754629630072</v>
      </c>
      <c r="AK709" s="38" t="str">
        <f t="shared" si="235"/>
        <v/>
      </c>
      <c r="AL709" t="str">
        <f>IFERROR(Z709-W709,"")</f>
        <v/>
      </c>
      <c r="AM709" t="str">
        <f>IFERROR(R709-J709,"")</f>
        <v/>
      </c>
      <c r="AN709" t="str">
        <f>IFERROR(V709-O709,"")</f>
        <v/>
      </c>
      <c r="AO709">
        <f>IFERROR(J709-I709,"")</f>
        <v>3</v>
      </c>
      <c r="AP709">
        <f>IFERROR(AC709-X709,"")</f>
        <v>0</v>
      </c>
      <c r="AQ709" t="str">
        <f>IFERROR(AA709-W709,"")</f>
        <v/>
      </c>
    </row>
    <row r="710" spans="1:43" x14ac:dyDescent="0.35">
      <c r="A710">
        <v>89</v>
      </c>
      <c r="B710" t="s">
        <v>2247</v>
      </c>
      <c r="C710" t="s">
        <v>1890</v>
      </c>
      <c r="D710" t="str">
        <f t="shared" si="233"/>
        <v>Operations</v>
      </c>
      <c r="E710" t="s">
        <v>2115</v>
      </c>
      <c r="F710" t="s">
        <v>2000</v>
      </c>
      <c r="G710" t="s">
        <v>2001</v>
      </c>
      <c r="H710" t="s">
        <v>59</v>
      </c>
      <c r="I710" s="32" t="s">
        <v>7471</v>
      </c>
      <c r="J710" s="32">
        <v>44730.092650462961</v>
      </c>
      <c r="K710" s="32">
        <v>44731.092650462961</v>
      </c>
      <c r="L710" s="8" t="str">
        <f t="shared" si="234"/>
        <v/>
      </c>
      <c r="M710" s="7">
        <v>44753.092650462961</v>
      </c>
      <c r="N710" t="s">
        <v>49</v>
      </c>
      <c r="O710" s="34">
        <v>44736.092650462961</v>
      </c>
      <c r="P710" t="s">
        <v>50</v>
      </c>
      <c r="Q710" t="s">
        <v>84</v>
      </c>
      <c r="R710" s="32" t="s">
        <v>7472</v>
      </c>
      <c r="S710" t="s">
        <v>7476</v>
      </c>
      <c r="T710" s="34" t="s">
        <v>7476</v>
      </c>
      <c r="U710" s="34" t="s">
        <v>7476</v>
      </c>
      <c r="V710" s="32">
        <v>44737.092650462961</v>
      </c>
      <c r="W710" s="32" t="s">
        <v>7476</v>
      </c>
      <c r="X710">
        <v>0</v>
      </c>
      <c r="Y710" s="34" t="s">
        <v>7476</v>
      </c>
      <c r="Z710" s="34" t="s">
        <v>7476</v>
      </c>
      <c r="AA710" s="34" t="s">
        <v>7476</v>
      </c>
      <c r="AB710" s="36" t="s">
        <v>95</v>
      </c>
      <c r="AD710" t="s">
        <v>2248</v>
      </c>
      <c r="AE710" t="s">
        <v>2249</v>
      </c>
      <c r="AF710" s="16">
        <v>44717</v>
      </c>
      <c r="AG710" t="s">
        <v>55</v>
      </c>
      <c r="AH710">
        <v>6</v>
      </c>
      <c r="AK710" s="38">
        <f t="shared" si="235"/>
        <v>44917.092650462961</v>
      </c>
    </row>
    <row r="711" spans="1:43" x14ac:dyDescent="0.35">
      <c r="A711">
        <v>83</v>
      </c>
      <c r="B711" t="s">
        <v>2250</v>
      </c>
      <c r="C711" t="s">
        <v>1890</v>
      </c>
      <c r="D711" t="str">
        <f t="shared" si="233"/>
        <v>Operations</v>
      </c>
      <c r="E711" t="s">
        <v>2115</v>
      </c>
      <c r="F711" t="s">
        <v>2000</v>
      </c>
      <c r="G711" t="s">
        <v>2001</v>
      </c>
      <c r="H711" t="s">
        <v>59</v>
      </c>
      <c r="I711" s="32" t="s">
        <v>7471</v>
      </c>
      <c r="J711" s="32">
        <v>44725.092650462961</v>
      </c>
      <c r="K711" s="32">
        <v>44731.092650462961</v>
      </c>
      <c r="L711" s="8" t="str">
        <f t="shared" si="234"/>
        <v/>
      </c>
      <c r="M711" s="7">
        <v>44759.092650462961</v>
      </c>
      <c r="N711" t="s">
        <v>49</v>
      </c>
      <c r="O711" s="34">
        <v>44744.092650462961</v>
      </c>
      <c r="P711" t="s">
        <v>60</v>
      </c>
      <c r="R711" s="32">
        <v>44749.092650462961</v>
      </c>
      <c r="S711" t="s">
        <v>61</v>
      </c>
      <c r="T711" s="34" t="s">
        <v>7476</v>
      </c>
      <c r="U711" s="34" t="s">
        <v>7476</v>
      </c>
      <c r="V711" s="32">
        <v>44746.092650462961</v>
      </c>
      <c r="W711" s="32" t="s">
        <v>7476</v>
      </c>
      <c r="X711">
        <v>0</v>
      </c>
      <c r="Y711" s="34" t="s">
        <v>7476</v>
      </c>
      <c r="Z711" s="34" t="s">
        <v>7476</v>
      </c>
      <c r="AA711" s="34" t="s">
        <v>7476</v>
      </c>
      <c r="AB711" s="36" t="s">
        <v>7476</v>
      </c>
      <c r="AD711" t="s">
        <v>2251</v>
      </c>
      <c r="AE711" t="s">
        <v>2252</v>
      </c>
      <c r="AF711" s="16">
        <v>44729</v>
      </c>
      <c r="AG711" t="s">
        <v>93</v>
      </c>
      <c r="AH711">
        <v>6</v>
      </c>
      <c r="AK711" s="38">
        <f t="shared" si="235"/>
        <v>44926.092650462961</v>
      </c>
    </row>
    <row r="712" spans="1:43" x14ac:dyDescent="0.35">
      <c r="A712">
        <v>82</v>
      </c>
      <c r="B712" t="s">
        <v>2253</v>
      </c>
      <c r="C712" t="s">
        <v>1922</v>
      </c>
      <c r="D712" t="str">
        <f t="shared" si="233"/>
        <v>Operations</v>
      </c>
      <c r="E712" t="s">
        <v>2115</v>
      </c>
      <c r="F712" t="s">
        <v>2000</v>
      </c>
      <c r="G712" t="s">
        <v>2001</v>
      </c>
      <c r="H712" t="s">
        <v>59</v>
      </c>
      <c r="I712" s="32">
        <v>44729.092650462961</v>
      </c>
      <c r="J712" s="32">
        <v>44730.092650462961</v>
      </c>
      <c r="K712" s="32">
        <v>44731.092650462961</v>
      </c>
      <c r="L712" s="8">
        <f t="shared" si="234"/>
        <v>2</v>
      </c>
      <c r="M712" s="7">
        <v>44740.092650462961</v>
      </c>
      <c r="N712" t="s">
        <v>49</v>
      </c>
      <c r="O712" s="34">
        <v>44738.092650462961</v>
      </c>
      <c r="P712" t="s">
        <v>50</v>
      </c>
      <c r="Q712" t="s">
        <v>125</v>
      </c>
      <c r="R712" s="32" t="s">
        <v>7472</v>
      </c>
      <c r="S712" t="s">
        <v>7476</v>
      </c>
      <c r="T712" s="34" t="s">
        <v>7476</v>
      </c>
      <c r="U712" s="34" t="s">
        <v>7476</v>
      </c>
      <c r="V712" s="32" t="s">
        <v>7476</v>
      </c>
      <c r="W712" s="32" t="s">
        <v>7476</v>
      </c>
      <c r="X712">
        <v>0</v>
      </c>
      <c r="Y712" s="34" t="s">
        <v>7476</v>
      </c>
      <c r="Z712" s="34" t="s">
        <v>7476</v>
      </c>
      <c r="AA712" s="34" t="s">
        <v>7476</v>
      </c>
      <c r="AB712" s="36" t="s">
        <v>95</v>
      </c>
      <c r="AD712" t="s">
        <v>2254</v>
      </c>
      <c r="AE712" t="s">
        <v>2255</v>
      </c>
      <c r="AF712" s="16">
        <v>44779</v>
      </c>
      <c r="AG712" t="s">
        <v>98</v>
      </c>
      <c r="AH712">
        <v>6</v>
      </c>
      <c r="AI712" s="8" t="str">
        <f t="shared" ref="AI712:AI724" si="236">IFERROR(R712-AF712,"")</f>
        <v/>
      </c>
      <c r="AJ712" s="8">
        <f t="shared" ref="AJ712:AJ724" si="237">IFERROR(O712-AF712,"")</f>
        <v>-40.907349537039408</v>
      </c>
      <c r="AK712" s="38" t="str">
        <f t="shared" si="235"/>
        <v/>
      </c>
      <c r="AL712" t="str">
        <f t="shared" ref="AL712:AL724" si="238">IFERROR(Z712-W712,"")</f>
        <v/>
      </c>
      <c r="AM712" t="str">
        <f t="shared" ref="AM712:AM724" si="239">IFERROR(R712-J712,"")</f>
        <v/>
      </c>
      <c r="AN712" t="str">
        <f t="shared" ref="AN712:AN724" si="240">IFERROR(V712-O712,"")</f>
        <v/>
      </c>
      <c r="AO712">
        <f t="shared" ref="AO712:AO724" si="241">IFERROR(J712-I712,"")</f>
        <v>1</v>
      </c>
      <c r="AP712">
        <f t="shared" ref="AP712:AP724" si="242">IFERROR(AC712-X712,"")</f>
        <v>0</v>
      </c>
      <c r="AQ712" t="str">
        <f t="shared" ref="AQ712:AQ724" si="243">IFERROR(AA712-W712,"")</f>
        <v/>
      </c>
    </row>
    <row r="713" spans="1:43" x14ac:dyDescent="0.35">
      <c r="A713">
        <v>45</v>
      </c>
      <c r="B713" t="s">
        <v>2256</v>
      </c>
      <c r="C713" t="s">
        <v>1890</v>
      </c>
      <c r="D713" t="str">
        <f t="shared" si="233"/>
        <v>Operations</v>
      </c>
      <c r="E713" t="s">
        <v>2115</v>
      </c>
      <c r="F713" t="s">
        <v>2000</v>
      </c>
      <c r="G713" t="s">
        <v>2001</v>
      </c>
      <c r="H713" t="s">
        <v>59</v>
      </c>
      <c r="I713" s="32">
        <v>44622.885358796288</v>
      </c>
      <c r="J713" s="32">
        <v>44623.885358796288</v>
      </c>
      <c r="K713" s="32">
        <v>44629.885358796288</v>
      </c>
      <c r="L713" s="8">
        <f t="shared" si="234"/>
        <v>7</v>
      </c>
      <c r="M713" s="7">
        <v>44639.885358796288</v>
      </c>
      <c r="N713" t="s">
        <v>72</v>
      </c>
      <c r="O713" s="34" t="s">
        <v>7474</v>
      </c>
      <c r="R713" s="32" t="s">
        <v>7472</v>
      </c>
      <c r="S713" t="s">
        <v>7476</v>
      </c>
      <c r="T713" s="34" t="s">
        <v>7476</v>
      </c>
      <c r="U713" s="34" t="s">
        <v>7476</v>
      </c>
      <c r="V713" s="32" t="s">
        <v>7476</v>
      </c>
      <c r="W713" s="32" t="s">
        <v>7476</v>
      </c>
      <c r="X713">
        <v>0</v>
      </c>
      <c r="Y713" s="34" t="s">
        <v>7476</v>
      </c>
      <c r="Z713" s="34" t="s">
        <v>7476</v>
      </c>
      <c r="AA713" s="34" t="s">
        <v>7476</v>
      </c>
      <c r="AB713" s="36" t="s">
        <v>7476</v>
      </c>
      <c r="AD713" t="s">
        <v>2257</v>
      </c>
      <c r="AE713" t="s">
        <v>2258</v>
      </c>
      <c r="AG713" t="s">
        <v>64</v>
      </c>
      <c r="AH713">
        <v>3</v>
      </c>
      <c r="AI713" s="8" t="str">
        <f t="shared" si="236"/>
        <v/>
      </c>
      <c r="AJ713" s="8" t="str">
        <f t="shared" si="237"/>
        <v/>
      </c>
      <c r="AK713" s="38" t="str">
        <f t="shared" si="235"/>
        <v/>
      </c>
      <c r="AL713" t="str">
        <f t="shared" si="238"/>
        <v/>
      </c>
      <c r="AM713" t="str">
        <f t="shared" si="239"/>
        <v/>
      </c>
      <c r="AN713" t="str">
        <f t="shared" si="240"/>
        <v/>
      </c>
      <c r="AO713">
        <f t="shared" si="241"/>
        <v>1</v>
      </c>
      <c r="AP713">
        <f t="shared" si="242"/>
        <v>0</v>
      </c>
      <c r="AQ713" t="str">
        <f t="shared" si="243"/>
        <v/>
      </c>
    </row>
    <row r="714" spans="1:43" x14ac:dyDescent="0.35">
      <c r="A714">
        <v>2988</v>
      </c>
      <c r="B714" t="s">
        <v>2259</v>
      </c>
      <c r="C714" t="s">
        <v>2260</v>
      </c>
      <c r="D714" t="str">
        <f t="shared" si="233"/>
        <v>M and E</v>
      </c>
      <c r="E714" t="s">
        <v>2261</v>
      </c>
      <c r="F714" t="s">
        <v>2000</v>
      </c>
      <c r="G714" t="s">
        <v>2262</v>
      </c>
      <c r="H714" t="s">
        <v>206</v>
      </c>
      <c r="I714" s="32">
        <v>44923.987974537027</v>
      </c>
      <c r="J714" s="32">
        <v>44927.987974537027</v>
      </c>
      <c r="K714" s="32">
        <v>44935.987974537027</v>
      </c>
      <c r="L714" s="8">
        <f t="shared" si="234"/>
        <v>12</v>
      </c>
      <c r="M714" s="7">
        <v>44956.987974537027</v>
      </c>
      <c r="N714" t="s">
        <v>49</v>
      </c>
      <c r="O714" s="34">
        <v>44933.987974537027</v>
      </c>
      <c r="P714" t="s">
        <v>50</v>
      </c>
      <c r="Q714" t="s">
        <v>125</v>
      </c>
      <c r="R714" s="32" t="s">
        <v>7472</v>
      </c>
      <c r="S714" t="s">
        <v>7476</v>
      </c>
      <c r="T714" s="34" t="s">
        <v>7476</v>
      </c>
      <c r="U714" s="34" t="s">
        <v>7476</v>
      </c>
      <c r="V714" s="32" t="s">
        <v>7476</v>
      </c>
      <c r="W714" s="32" t="s">
        <v>7476</v>
      </c>
      <c r="X714">
        <v>0</v>
      </c>
      <c r="Y714" s="34" t="s">
        <v>7476</v>
      </c>
      <c r="Z714" s="34" t="s">
        <v>7476</v>
      </c>
      <c r="AA714" s="34" t="s">
        <v>7476</v>
      </c>
      <c r="AB714" s="36" t="s">
        <v>52</v>
      </c>
      <c r="AD714" t="s">
        <v>2263</v>
      </c>
      <c r="AE714" t="s">
        <v>2264</v>
      </c>
      <c r="AF714" s="16">
        <v>44916</v>
      </c>
      <c r="AG714" t="s">
        <v>64</v>
      </c>
      <c r="AH714">
        <v>3</v>
      </c>
      <c r="AI714" s="8" t="str">
        <f t="shared" si="236"/>
        <v/>
      </c>
      <c r="AJ714" s="8">
        <f t="shared" si="237"/>
        <v>17.987974537027185</v>
      </c>
      <c r="AK714" s="38" t="str">
        <f t="shared" si="235"/>
        <v/>
      </c>
      <c r="AL714" t="str">
        <f t="shared" si="238"/>
        <v/>
      </c>
      <c r="AM714" t="str">
        <f t="shared" si="239"/>
        <v/>
      </c>
      <c r="AN714" t="str">
        <f t="shared" si="240"/>
        <v/>
      </c>
      <c r="AO714">
        <f t="shared" si="241"/>
        <v>4</v>
      </c>
      <c r="AP714">
        <f t="shared" si="242"/>
        <v>0</v>
      </c>
      <c r="AQ714" t="str">
        <f t="shared" si="243"/>
        <v/>
      </c>
    </row>
    <row r="715" spans="1:43" x14ac:dyDescent="0.35">
      <c r="A715">
        <v>2981</v>
      </c>
      <c r="B715" t="s">
        <v>2265</v>
      </c>
      <c r="C715" t="s">
        <v>2260</v>
      </c>
      <c r="D715" t="str">
        <f t="shared" si="233"/>
        <v>M and E</v>
      </c>
      <c r="E715" t="s">
        <v>2261</v>
      </c>
      <c r="F715" t="s">
        <v>2000</v>
      </c>
      <c r="G715" t="s">
        <v>2262</v>
      </c>
      <c r="H715" t="s">
        <v>206</v>
      </c>
      <c r="I715" s="32">
        <v>44924.987974537027</v>
      </c>
      <c r="J715" s="32">
        <v>44926.987974537027</v>
      </c>
      <c r="K715" s="32">
        <v>44934.987974537027</v>
      </c>
      <c r="L715" s="8">
        <f t="shared" si="234"/>
        <v>10</v>
      </c>
      <c r="M715" s="7">
        <v>44942.987974537027</v>
      </c>
      <c r="N715" t="s">
        <v>49</v>
      </c>
      <c r="O715" s="34">
        <v>44946.987974537027</v>
      </c>
      <c r="P715" t="s">
        <v>50</v>
      </c>
      <c r="Q715" t="s">
        <v>84</v>
      </c>
      <c r="R715" s="32" t="s">
        <v>7472</v>
      </c>
      <c r="S715" t="s">
        <v>7476</v>
      </c>
      <c r="T715" s="34" t="s">
        <v>7476</v>
      </c>
      <c r="U715" s="34" t="s">
        <v>7476</v>
      </c>
      <c r="V715" s="32" t="s">
        <v>7476</v>
      </c>
      <c r="W715" s="32" t="s">
        <v>7476</v>
      </c>
      <c r="X715">
        <v>0</v>
      </c>
      <c r="Y715" s="34" t="s">
        <v>7476</v>
      </c>
      <c r="Z715" s="34" t="s">
        <v>7476</v>
      </c>
      <c r="AA715" s="34" t="s">
        <v>7476</v>
      </c>
      <c r="AB715" s="36" t="s">
        <v>52</v>
      </c>
      <c r="AD715" t="s">
        <v>2266</v>
      </c>
      <c r="AE715" t="s">
        <v>2267</v>
      </c>
      <c r="AF715" s="16">
        <v>45231</v>
      </c>
      <c r="AG715" t="s">
        <v>68</v>
      </c>
      <c r="AH715">
        <v>3</v>
      </c>
      <c r="AI715" s="8" t="str">
        <f t="shared" si="236"/>
        <v/>
      </c>
      <c r="AJ715" s="8">
        <f t="shared" si="237"/>
        <v>-284.01202546297282</v>
      </c>
      <c r="AK715" s="38" t="str">
        <f t="shared" si="235"/>
        <v/>
      </c>
      <c r="AL715" t="str">
        <f t="shared" si="238"/>
        <v/>
      </c>
      <c r="AM715" t="str">
        <f t="shared" si="239"/>
        <v/>
      </c>
      <c r="AN715" t="str">
        <f t="shared" si="240"/>
        <v/>
      </c>
      <c r="AO715">
        <f t="shared" si="241"/>
        <v>2</v>
      </c>
      <c r="AP715">
        <f t="shared" si="242"/>
        <v>0</v>
      </c>
      <c r="AQ715" t="str">
        <f t="shared" si="243"/>
        <v/>
      </c>
    </row>
    <row r="716" spans="1:43" x14ac:dyDescent="0.35">
      <c r="A716">
        <v>2902</v>
      </c>
      <c r="B716" t="s">
        <v>2268</v>
      </c>
      <c r="C716" t="s">
        <v>2260</v>
      </c>
      <c r="D716" t="str">
        <f t="shared" si="233"/>
        <v>M and E</v>
      </c>
      <c r="E716" t="s">
        <v>2261</v>
      </c>
      <c r="F716" t="s">
        <v>2000</v>
      </c>
      <c r="G716" t="s">
        <v>2262</v>
      </c>
      <c r="H716" t="s">
        <v>206</v>
      </c>
      <c r="I716" s="32">
        <v>44619.299814814818</v>
      </c>
      <c r="J716" s="32">
        <v>44620.299814814818</v>
      </c>
      <c r="K716" s="32">
        <v>44627.299814814818</v>
      </c>
      <c r="L716" s="8">
        <f t="shared" si="234"/>
        <v>8</v>
      </c>
      <c r="M716" s="7">
        <v>44672.299814814818</v>
      </c>
      <c r="N716" t="s">
        <v>49</v>
      </c>
      <c r="O716" s="34">
        <v>44629.299814814818</v>
      </c>
      <c r="P716" t="s">
        <v>50</v>
      </c>
      <c r="Q716" t="s">
        <v>125</v>
      </c>
      <c r="R716" s="32" t="s">
        <v>7472</v>
      </c>
      <c r="S716" t="s">
        <v>7476</v>
      </c>
      <c r="T716" s="34" t="s">
        <v>7476</v>
      </c>
      <c r="U716" s="34" t="s">
        <v>7476</v>
      </c>
      <c r="V716" s="32" t="s">
        <v>7476</v>
      </c>
      <c r="W716" s="32" t="s">
        <v>7476</v>
      </c>
      <c r="X716">
        <v>0</v>
      </c>
      <c r="Y716" s="34" t="s">
        <v>7476</v>
      </c>
      <c r="Z716" s="34" t="s">
        <v>7476</v>
      </c>
      <c r="AA716" s="34" t="s">
        <v>7476</v>
      </c>
      <c r="AB716" s="36" t="s">
        <v>52</v>
      </c>
      <c r="AD716" t="s">
        <v>2269</v>
      </c>
      <c r="AE716" t="s">
        <v>2270</v>
      </c>
      <c r="AF716" s="16">
        <v>44619</v>
      </c>
      <c r="AG716" t="s">
        <v>64</v>
      </c>
      <c r="AH716">
        <v>6</v>
      </c>
      <c r="AI716" s="8" t="str">
        <f t="shared" si="236"/>
        <v/>
      </c>
      <c r="AJ716" s="8">
        <f t="shared" si="237"/>
        <v>10.299814814818092</v>
      </c>
      <c r="AK716" s="38" t="str">
        <f t="shared" si="235"/>
        <v/>
      </c>
      <c r="AL716" t="str">
        <f t="shared" si="238"/>
        <v/>
      </c>
      <c r="AM716" t="str">
        <f t="shared" si="239"/>
        <v/>
      </c>
      <c r="AN716" t="str">
        <f t="shared" si="240"/>
        <v/>
      </c>
      <c r="AO716">
        <f t="shared" si="241"/>
        <v>1</v>
      </c>
      <c r="AP716">
        <f t="shared" si="242"/>
        <v>0</v>
      </c>
      <c r="AQ716" t="str">
        <f t="shared" si="243"/>
        <v/>
      </c>
    </row>
    <row r="717" spans="1:43" x14ac:dyDescent="0.35">
      <c r="A717">
        <v>2901</v>
      </c>
      <c r="B717" t="s">
        <v>2271</v>
      </c>
      <c r="C717" t="s">
        <v>2260</v>
      </c>
      <c r="D717" t="str">
        <f t="shared" si="233"/>
        <v>M and E</v>
      </c>
      <c r="E717" t="s">
        <v>2261</v>
      </c>
      <c r="F717" t="s">
        <v>2000</v>
      </c>
      <c r="G717" t="s">
        <v>2262</v>
      </c>
      <c r="H717" t="s">
        <v>206</v>
      </c>
      <c r="I717" s="32">
        <v>44620.299814814818</v>
      </c>
      <c r="J717" s="32">
        <v>44621.299814814818</v>
      </c>
      <c r="K717" s="32">
        <v>44628.299814814818</v>
      </c>
      <c r="L717" s="8">
        <f t="shared" si="234"/>
        <v>8</v>
      </c>
      <c r="M717" s="7">
        <v>44673.299814814818</v>
      </c>
      <c r="N717" t="s">
        <v>49</v>
      </c>
      <c r="O717" s="34">
        <v>44637.299814814818</v>
      </c>
      <c r="P717" t="s">
        <v>50</v>
      </c>
      <c r="Q717" t="s">
        <v>51</v>
      </c>
      <c r="R717" s="32" t="s">
        <v>7472</v>
      </c>
      <c r="S717" t="s">
        <v>7476</v>
      </c>
      <c r="T717" s="34" t="s">
        <v>7476</v>
      </c>
      <c r="U717" s="34" t="s">
        <v>7476</v>
      </c>
      <c r="V717" s="32" t="s">
        <v>7476</v>
      </c>
      <c r="W717" s="32" t="s">
        <v>7476</v>
      </c>
      <c r="X717">
        <v>0</v>
      </c>
      <c r="Y717" s="34" t="s">
        <v>7476</v>
      </c>
      <c r="Z717" s="34" t="s">
        <v>7476</v>
      </c>
      <c r="AA717" s="34" t="s">
        <v>7476</v>
      </c>
      <c r="AB717" s="36" t="s">
        <v>52</v>
      </c>
      <c r="AD717" t="s">
        <v>2272</v>
      </c>
      <c r="AE717" t="s">
        <v>2273</v>
      </c>
      <c r="AF717" s="16">
        <v>44618</v>
      </c>
      <c r="AG717" t="s">
        <v>98</v>
      </c>
      <c r="AH717">
        <v>6</v>
      </c>
      <c r="AI717" s="8" t="str">
        <f t="shared" si="236"/>
        <v/>
      </c>
      <c r="AJ717" s="8">
        <f t="shared" si="237"/>
        <v>19.299814814818092</v>
      </c>
      <c r="AK717" s="38" t="str">
        <f t="shared" si="235"/>
        <v/>
      </c>
      <c r="AL717" t="str">
        <f t="shared" si="238"/>
        <v/>
      </c>
      <c r="AM717" t="str">
        <f t="shared" si="239"/>
        <v/>
      </c>
      <c r="AN717" t="str">
        <f t="shared" si="240"/>
        <v/>
      </c>
      <c r="AO717">
        <f t="shared" si="241"/>
        <v>1</v>
      </c>
      <c r="AP717">
        <f t="shared" si="242"/>
        <v>0</v>
      </c>
      <c r="AQ717" t="str">
        <f t="shared" si="243"/>
        <v/>
      </c>
    </row>
    <row r="718" spans="1:43" x14ac:dyDescent="0.35">
      <c r="A718">
        <v>2817</v>
      </c>
      <c r="B718" t="s">
        <v>2274</v>
      </c>
      <c r="C718" t="s">
        <v>2260</v>
      </c>
      <c r="D718" t="str">
        <f t="shared" si="233"/>
        <v>M and E</v>
      </c>
      <c r="E718" t="s">
        <v>2261</v>
      </c>
      <c r="F718" t="s">
        <v>2000</v>
      </c>
      <c r="G718" t="s">
        <v>2262</v>
      </c>
      <c r="H718" t="s">
        <v>206</v>
      </c>
      <c r="I718" s="32">
        <v>44895.862592592603</v>
      </c>
      <c r="J718" s="32">
        <v>44896.862592592603</v>
      </c>
      <c r="K718" s="32">
        <v>44898.862592592603</v>
      </c>
      <c r="L718" s="8">
        <f t="shared" si="234"/>
        <v>3</v>
      </c>
      <c r="M718" s="7">
        <v>44920.862592592603</v>
      </c>
      <c r="N718" t="s">
        <v>49</v>
      </c>
      <c r="O718" s="34">
        <v>44907.862592592603</v>
      </c>
      <c r="P718" t="s">
        <v>50</v>
      </c>
      <c r="Q718" t="s">
        <v>236</v>
      </c>
      <c r="R718" s="32" t="s">
        <v>7472</v>
      </c>
      <c r="S718" t="s">
        <v>7476</v>
      </c>
      <c r="T718" s="34" t="s">
        <v>7476</v>
      </c>
      <c r="U718" s="34" t="s">
        <v>7476</v>
      </c>
      <c r="V718" s="32">
        <v>44911.862592592603</v>
      </c>
      <c r="W718" s="32" t="s">
        <v>7476</v>
      </c>
      <c r="X718">
        <v>0</v>
      </c>
      <c r="Y718" s="34" t="s">
        <v>7476</v>
      </c>
      <c r="Z718" s="34" t="s">
        <v>7476</v>
      </c>
      <c r="AA718" s="34" t="s">
        <v>7476</v>
      </c>
      <c r="AB718" s="36" t="s">
        <v>95</v>
      </c>
      <c r="AD718" t="s">
        <v>2275</v>
      </c>
      <c r="AE718" t="s">
        <v>2276</v>
      </c>
      <c r="AF718" s="16">
        <v>44891</v>
      </c>
      <c r="AG718" t="s">
        <v>64</v>
      </c>
      <c r="AH718">
        <v>3</v>
      </c>
      <c r="AI718" s="8" t="str">
        <f t="shared" si="236"/>
        <v/>
      </c>
      <c r="AJ718" s="8">
        <f t="shared" si="237"/>
        <v>16.862592592602596</v>
      </c>
      <c r="AK718" s="38">
        <f t="shared" si="235"/>
        <v>45001.862592592603</v>
      </c>
      <c r="AL718" t="str">
        <f t="shared" si="238"/>
        <v/>
      </c>
      <c r="AM718" t="str">
        <f t="shared" si="239"/>
        <v/>
      </c>
      <c r="AN718">
        <f t="shared" si="240"/>
        <v>4</v>
      </c>
      <c r="AO718">
        <f t="shared" si="241"/>
        <v>1</v>
      </c>
      <c r="AP718">
        <f t="shared" si="242"/>
        <v>0</v>
      </c>
      <c r="AQ718" t="str">
        <f t="shared" si="243"/>
        <v/>
      </c>
    </row>
    <row r="719" spans="1:43" x14ac:dyDescent="0.35">
      <c r="A719">
        <v>2696</v>
      </c>
      <c r="B719" t="s">
        <v>2277</v>
      </c>
      <c r="C719" t="s">
        <v>2260</v>
      </c>
      <c r="D719" t="str">
        <f t="shared" si="233"/>
        <v>M and E</v>
      </c>
      <c r="E719" t="s">
        <v>2261</v>
      </c>
      <c r="F719" t="s">
        <v>2000</v>
      </c>
      <c r="G719" t="s">
        <v>2262</v>
      </c>
      <c r="H719" t="s">
        <v>206</v>
      </c>
      <c r="I719" s="32">
        <v>45017.99291666667</v>
      </c>
      <c r="J719" s="32">
        <v>45021.99291666667</v>
      </c>
      <c r="K719" s="32">
        <v>45023.99291666667</v>
      </c>
      <c r="L719" s="8">
        <f t="shared" si="234"/>
        <v>6</v>
      </c>
      <c r="M719" s="7">
        <v>45048.99291666667</v>
      </c>
      <c r="N719" t="s">
        <v>49</v>
      </c>
      <c r="O719" s="34">
        <v>45034.99291666667</v>
      </c>
      <c r="P719" t="s">
        <v>50</v>
      </c>
      <c r="Q719" t="s">
        <v>84</v>
      </c>
      <c r="R719" s="32" t="s">
        <v>7472</v>
      </c>
      <c r="S719" t="s">
        <v>7476</v>
      </c>
      <c r="T719" s="34" t="s">
        <v>7476</v>
      </c>
      <c r="U719" s="34" t="s">
        <v>7476</v>
      </c>
      <c r="V719" s="32" t="s">
        <v>7476</v>
      </c>
      <c r="W719" s="32" t="s">
        <v>7476</v>
      </c>
      <c r="X719">
        <v>0</v>
      </c>
      <c r="Y719" s="34" t="s">
        <v>7476</v>
      </c>
      <c r="Z719" s="34" t="s">
        <v>7476</v>
      </c>
      <c r="AA719" s="34" t="s">
        <v>7476</v>
      </c>
      <c r="AB719" s="36" t="s">
        <v>52</v>
      </c>
      <c r="AD719" t="s">
        <v>2278</v>
      </c>
      <c r="AE719" t="s">
        <v>2279</v>
      </c>
      <c r="AF719" s="16">
        <v>45028</v>
      </c>
      <c r="AG719" t="s">
        <v>68</v>
      </c>
      <c r="AH719">
        <v>6</v>
      </c>
      <c r="AI719" s="8" t="str">
        <f t="shared" si="236"/>
        <v/>
      </c>
      <c r="AJ719" s="8">
        <f t="shared" si="237"/>
        <v>6.9929166666697711</v>
      </c>
      <c r="AK719" s="38" t="str">
        <f t="shared" si="235"/>
        <v/>
      </c>
      <c r="AL719" t="str">
        <f t="shared" si="238"/>
        <v/>
      </c>
      <c r="AM719" t="str">
        <f t="shared" si="239"/>
        <v/>
      </c>
      <c r="AN719" t="str">
        <f t="shared" si="240"/>
        <v/>
      </c>
      <c r="AO719">
        <f t="shared" si="241"/>
        <v>4</v>
      </c>
      <c r="AP719">
        <f t="shared" si="242"/>
        <v>0</v>
      </c>
      <c r="AQ719" t="str">
        <f t="shared" si="243"/>
        <v/>
      </c>
    </row>
    <row r="720" spans="1:43" x14ac:dyDescent="0.35">
      <c r="A720">
        <v>2347</v>
      </c>
      <c r="B720" t="s">
        <v>2280</v>
      </c>
      <c r="C720" t="s">
        <v>2260</v>
      </c>
      <c r="D720" t="str">
        <f t="shared" si="233"/>
        <v>M and E</v>
      </c>
      <c r="E720" t="s">
        <v>2261</v>
      </c>
      <c r="F720" t="s">
        <v>2000</v>
      </c>
      <c r="G720" t="s">
        <v>2262</v>
      </c>
      <c r="H720" t="s">
        <v>206</v>
      </c>
      <c r="I720" s="32">
        <v>45055.364525462966</v>
      </c>
      <c r="J720" s="32">
        <v>45057.364525462966</v>
      </c>
      <c r="K720" s="32">
        <v>45060.364525462966</v>
      </c>
      <c r="L720" s="8">
        <f t="shared" si="234"/>
        <v>5</v>
      </c>
      <c r="M720" s="7">
        <v>45078.364525462966</v>
      </c>
      <c r="N720" t="s">
        <v>49</v>
      </c>
      <c r="O720" s="34">
        <v>45068.364525462966</v>
      </c>
      <c r="P720" t="s">
        <v>50</v>
      </c>
      <c r="Q720" t="s">
        <v>236</v>
      </c>
      <c r="R720" s="32" t="s">
        <v>7472</v>
      </c>
      <c r="S720" t="s">
        <v>7476</v>
      </c>
      <c r="T720" s="34" t="s">
        <v>7476</v>
      </c>
      <c r="U720" s="34" t="s">
        <v>7476</v>
      </c>
      <c r="V720" s="32" t="s">
        <v>7476</v>
      </c>
      <c r="W720" s="32" t="s">
        <v>7476</v>
      </c>
      <c r="X720">
        <v>0</v>
      </c>
      <c r="Y720" s="34" t="s">
        <v>7476</v>
      </c>
      <c r="Z720" s="34" t="s">
        <v>7476</v>
      </c>
      <c r="AA720" s="34" t="s">
        <v>7476</v>
      </c>
      <c r="AB720" s="36" t="s">
        <v>95</v>
      </c>
      <c r="AD720" t="s">
        <v>2281</v>
      </c>
      <c r="AE720" t="s">
        <v>2282</v>
      </c>
      <c r="AF720" s="16">
        <v>45050</v>
      </c>
      <c r="AG720" t="s">
        <v>64</v>
      </c>
      <c r="AH720">
        <v>3</v>
      </c>
      <c r="AI720" s="8" t="str">
        <f t="shared" si="236"/>
        <v/>
      </c>
      <c r="AJ720" s="8">
        <f t="shared" si="237"/>
        <v>18.364525462966412</v>
      </c>
      <c r="AK720" s="38" t="str">
        <f t="shared" si="235"/>
        <v/>
      </c>
      <c r="AL720" t="str">
        <f t="shared" si="238"/>
        <v/>
      </c>
      <c r="AM720" t="str">
        <f t="shared" si="239"/>
        <v/>
      </c>
      <c r="AN720" t="str">
        <f t="shared" si="240"/>
        <v/>
      </c>
      <c r="AO720">
        <f t="shared" si="241"/>
        <v>2</v>
      </c>
      <c r="AP720">
        <f t="shared" si="242"/>
        <v>0</v>
      </c>
      <c r="AQ720" t="str">
        <f t="shared" si="243"/>
        <v/>
      </c>
    </row>
    <row r="721" spans="1:43" x14ac:dyDescent="0.35">
      <c r="A721">
        <v>2298</v>
      </c>
      <c r="B721" t="s">
        <v>2283</v>
      </c>
      <c r="C721" t="s">
        <v>2260</v>
      </c>
      <c r="D721" t="str">
        <f t="shared" si="233"/>
        <v>M and E</v>
      </c>
      <c r="E721" t="s">
        <v>2261</v>
      </c>
      <c r="F721" t="s">
        <v>2000</v>
      </c>
      <c r="G721" t="s">
        <v>2262</v>
      </c>
      <c r="H721" t="s">
        <v>206</v>
      </c>
      <c r="I721" s="32">
        <v>45109.656666666669</v>
      </c>
      <c r="J721" s="32">
        <v>45112.656666666669</v>
      </c>
      <c r="K721" s="32">
        <v>45113.656666666669</v>
      </c>
      <c r="L721" s="8">
        <f t="shared" si="234"/>
        <v>4</v>
      </c>
      <c r="M721" s="7">
        <v>45123.656666666669</v>
      </c>
      <c r="N721" t="s">
        <v>49</v>
      </c>
      <c r="O721" s="34">
        <v>45127.656666666669</v>
      </c>
      <c r="P721" t="s">
        <v>50</v>
      </c>
      <c r="Q721" t="s">
        <v>84</v>
      </c>
      <c r="R721" s="32" t="s">
        <v>7472</v>
      </c>
      <c r="S721" t="s">
        <v>7476</v>
      </c>
      <c r="T721" s="34" t="s">
        <v>7476</v>
      </c>
      <c r="U721" s="34" t="s">
        <v>7476</v>
      </c>
      <c r="V721" s="32">
        <v>45129.656666666669</v>
      </c>
      <c r="W721" s="32" t="s">
        <v>7476</v>
      </c>
      <c r="X721">
        <v>0</v>
      </c>
      <c r="Y721" s="34" t="s">
        <v>7476</v>
      </c>
      <c r="Z721" s="34" t="s">
        <v>7476</v>
      </c>
      <c r="AA721" s="34" t="s">
        <v>7476</v>
      </c>
      <c r="AB721" s="36" t="s">
        <v>52</v>
      </c>
      <c r="AD721" t="s">
        <v>2284</v>
      </c>
      <c r="AE721" t="s">
        <v>2285</v>
      </c>
      <c r="AF721" s="16">
        <v>45121</v>
      </c>
      <c r="AG721" t="s">
        <v>98</v>
      </c>
      <c r="AH721">
        <v>3</v>
      </c>
      <c r="AI721" s="8" t="str">
        <f t="shared" si="236"/>
        <v/>
      </c>
      <c r="AJ721" s="8">
        <f t="shared" si="237"/>
        <v>6.65666666666948</v>
      </c>
      <c r="AK721" s="38">
        <f t="shared" si="235"/>
        <v>45219.656666666669</v>
      </c>
      <c r="AL721" t="str">
        <f t="shared" si="238"/>
        <v/>
      </c>
      <c r="AM721" t="str">
        <f t="shared" si="239"/>
        <v/>
      </c>
      <c r="AN721">
        <f t="shared" si="240"/>
        <v>2</v>
      </c>
      <c r="AO721">
        <f t="shared" si="241"/>
        <v>3</v>
      </c>
      <c r="AP721">
        <f t="shared" si="242"/>
        <v>0</v>
      </c>
      <c r="AQ721" t="str">
        <f t="shared" si="243"/>
        <v/>
      </c>
    </row>
    <row r="722" spans="1:43" x14ac:dyDescent="0.35">
      <c r="A722">
        <v>2048</v>
      </c>
      <c r="B722" t="s">
        <v>2286</v>
      </c>
      <c r="C722" t="s">
        <v>2287</v>
      </c>
      <c r="D722" t="str">
        <f t="shared" si="233"/>
        <v>M and E</v>
      </c>
      <c r="E722" t="s">
        <v>2261</v>
      </c>
      <c r="F722" t="s">
        <v>2000</v>
      </c>
      <c r="G722" t="s">
        <v>2262</v>
      </c>
      <c r="H722" t="s">
        <v>206</v>
      </c>
      <c r="I722" s="32">
        <v>44755.200532407413</v>
      </c>
      <c r="J722" s="32">
        <v>44759.200532407413</v>
      </c>
      <c r="K722" s="32">
        <v>44765.200532407413</v>
      </c>
      <c r="L722" s="8">
        <f t="shared" si="234"/>
        <v>10</v>
      </c>
      <c r="M722" s="7">
        <v>44774.200532407413</v>
      </c>
      <c r="N722" t="s">
        <v>49</v>
      </c>
      <c r="O722" s="34">
        <v>44775.200532407413</v>
      </c>
      <c r="P722" t="s">
        <v>50</v>
      </c>
      <c r="Q722" t="s">
        <v>125</v>
      </c>
      <c r="R722" s="32" t="s">
        <v>7472</v>
      </c>
      <c r="S722" t="s">
        <v>7476</v>
      </c>
      <c r="T722" s="34" t="s">
        <v>7476</v>
      </c>
      <c r="U722" s="34" t="s">
        <v>7476</v>
      </c>
      <c r="V722" s="32" t="s">
        <v>7476</v>
      </c>
      <c r="W722" s="32" t="s">
        <v>7476</v>
      </c>
      <c r="X722">
        <v>0</v>
      </c>
      <c r="Y722" s="34" t="s">
        <v>7476</v>
      </c>
      <c r="Z722" s="34" t="s">
        <v>7476</v>
      </c>
      <c r="AA722" s="34" t="s">
        <v>7476</v>
      </c>
      <c r="AB722" s="36" t="s">
        <v>52</v>
      </c>
      <c r="AD722" t="s">
        <v>2288</v>
      </c>
      <c r="AE722" t="s">
        <v>2289</v>
      </c>
      <c r="AF722" s="16">
        <v>44765</v>
      </c>
      <c r="AG722" t="s">
        <v>98</v>
      </c>
      <c r="AH722">
        <v>3</v>
      </c>
      <c r="AI722" s="8" t="str">
        <f t="shared" si="236"/>
        <v/>
      </c>
      <c r="AJ722" s="8">
        <f t="shared" si="237"/>
        <v>10.200532407412538</v>
      </c>
      <c r="AK722" s="38" t="str">
        <f t="shared" si="235"/>
        <v/>
      </c>
      <c r="AL722" t="str">
        <f t="shared" si="238"/>
        <v/>
      </c>
      <c r="AM722" t="str">
        <f t="shared" si="239"/>
        <v/>
      </c>
      <c r="AN722" t="str">
        <f t="shared" si="240"/>
        <v/>
      </c>
      <c r="AO722">
        <f t="shared" si="241"/>
        <v>4</v>
      </c>
      <c r="AP722">
        <f t="shared" si="242"/>
        <v>0</v>
      </c>
      <c r="AQ722" t="str">
        <f t="shared" si="243"/>
        <v/>
      </c>
    </row>
    <row r="723" spans="1:43" x14ac:dyDescent="0.35">
      <c r="A723">
        <v>2019</v>
      </c>
      <c r="B723" t="s">
        <v>2290</v>
      </c>
      <c r="C723" t="s">
        <v>2260</v>
      </c>
      <c r="D723" t="str">
        <f t="shared" si="233"/>
        <v>M and E</v>
      </c>
      <c r="E723" t="s">
        <v>2261</v>
      </c>
      <c r="F723" t="s">
        <v>2000</v>
      </c>
      <c r="G723" t="s">
        <v>2262</v>
      </c>
      <c r="H723" t="s">
        <v>206</v>
      </c>
      <c r="I723" s="32">
        <v>45082.58390046296</v>
      </c>
      <c r="J723" s="32">
        <v>45085.58390046296</v>
      </c>
      <c r="K723" s="32">
        <v>45086.58390046296</v>
      </c>
      <c r="L723" s="8">
        <f t="shared" si="234"/>
        <v>4</v>
      </c>
      <c r="M723" s="7">
        <v>45112.58390046296</v>
      </c>
      <c r="N723" t="s">
        <v>49</v>
      </c>
      <c r="O723" s="34">
        <v>45091.58390046296</v>
      </c>
      <c r="P723" t="s">
        <v>50</v>
      </c>
      <c r="Q723" t="s">
        <v>84</v>
      </c>
      <c r="R723" s="32" t="s">
        <v>7472</v>
      </c>
      <c r="S723" t="s">
        <v>7476</v>
      </c>
      <c r="T723" s="34" t="s">
        <v>7476</v>
      </c>
      <c r="U723" s="34" t="s">
        <v>7476</v>
      </c>
      <c r="V723" s="32">
        <v>45094.58390046296</v>
      </c>
      <c r="W723" s="32" t="s">
        <v>7476</v>
      </c>
      <c r="X723">
        <v>0</v>
      </c>
      <c r="Y723" s="34" t="s">
        <v>7476</v>
      </c>
      <c r="Z723" s="34" t="s">
        <v>7476</v>
      </c>
      <c r="AA723" s="34" t="s">
        <v>7476</v>
      </c>
      <c r="AB723" s="36" t="s">
        <v>52</v>
      </c>
      <c r="AD723" t="s">
        <v>2291</v>
      </c>
      <c r="AE723" t="s">
        <v>2292</v>
      </c>
      <c r="AF723" s="16">
        <v>45022</v>
      </c>
      <c r="AG723" t="s">
        <v>98</v>
      </c>
      <c r="AH723">
        <v>6</v>
      </c>
      <c r="AI723" s="8" t="str">
        <f t="shared" si="236"/>
        <v/>
      </c>
      <c r="AJ723" s="8">
        <f t="shared" si="237"/>
        <v>69.583900462959718</v>
      </c>
      <c r="AK723" s="38">
        <f t="shared" si="235"/>
        <v>45274.58390046296</v>
      </c>
      <c r="AL723" t="str">
        <f t="shared" si="238"/>
        <v/>
      </c>
      <c r="AM723" t="str">
        <f t="shared" si="239"/>
        <v/>
      </c>
      <c r="AN723">
        <f t="shared" si="240"/>
        <v>3</v>
      </c>
      <c r="AO723">
        <f t="shared" si="241"/>
        <v>3</v>
      </c>
      <c r="AP723">
        <f t="shared" si="242"/>
        <v>0</v>
      </c>
      <c r="AQ723" t="str">
        <f t="shared" si="243"/>
        <v/>
      </c>
    </row>
    <row r="724" spans="1:43" x14ac:dyDescent="0.35">
      <c r="A724">
        <v>1948</v>
      </c>
      <c r="B724" t="s">
        <v>2293</v>
      </c>
      <c r="C724" t="s">
        <v>2287</v>
      </c>
      <c r="D724" t="str">
        <f t="shared" si="233"/>
        <v>M and E</v>
      </c>
      <c r="E724" t="s">
        <v>2261</v>
      </c>
      <c r="F724" t="s">
        <v>204</v>
      </c>
      <c r="G724" t="s">
        <v>2294</v>
      </c>
      <c r="H724" t="s">
        <v>206</v>
      </c>
      <c r="I724" s="32">
        <v>44981.264120370368</v>
      </c>
      <c r="J724" s="32">
        <v>44984.264120370368</v>
      </c>
      <c r="K724" s="32">
        <v>44990.264120370368</v>
      </c>
      <c r="L724" s="8">
        <f t="shared" si="234"/>
        <v>9</v>
      </c>
      <c r="M724" s="7">
        <v>45007.264120370368</v>
      </c>
      <c r="N724" t="s">
        <v>49</v>
      </c>
      <c r="O724" s="34">
        <v>45005.264120370368</v>
      </c>
      <c r="P724" t="s">
        <v>50</v>
      </c>
      <c r="Q724" t="s">
        <v>84</v>
      </c>
      <c r="R724" s="32" t="s">
        <v>7472</v>
      </c>
      <c r="S724" t="s">
        <v>7476</v>
      </c>
      <c r="T724" s="34" t="s">
        <v>7476</v>
      </c>
      <c r="U724" s="34" t="s">
        <v>7476</v>
      </c>
      <c r="V724" s="32" t="s">
        <v>7476</v>
      </c>
      <c r="W724" s="32" t="s">
        <v>7476</v>
      </c>
      <c r="X724">
        <v>0</v>
      </c>
      <c r="Y724" s="34" t="s">
        <v>7476</v>
      </c>
      <c r="Z724" s="34" t="s">
        <v>7476</v>
      </c>
      <c r="AA724" s="34" t="s">
        <v>7476</v>
      </c>
      <c r="AB724" s="36" t="s">
        <v>52</v>
      </c>
      <c r="AD724" t="s">
        <v>2295</v>
      </c>
      <c r="AE724" t="s">
        <v>2296</v>
      </c>
      <c r="AF724" s="16">
        <v>45000</v>
      </c>
      <c r="AG724" t="s">
        <v>64</v>
      </c>
      <c r="AH724">
        <v>3</v>
      </c>
      <c r="AI724" s="8" t="str">
        <f t="shared" si="236"/>
        <v/>
      </c>
      <c r="AJ724" s="8">
        <f t="shared" si="237"/>
        <v>5.2641203703678912</v>
      </c>
      <c r="AK724" s="38" t="str">
        <f t="shared" si="235"/>
        <v/>
      </c>
      <c r="AL724" t="str">
        <f t="shared" si="238"/>
        <v/>
      </c>
      <c r="AM724" t="str">
        <f t="shared" si="239"/>
        <v/>
      </c>
      <c r="AN724" t="str">
        <f t="shared" si="240"/>
        <v/>
      </c>
      <c r="AO724">
        <f t="shared" si="241"/>
        <v>3</v>
      </c>
      <c r="AP724">
        <f t="shared" si="242"/>
        <v>0</v>
      </c>
      <c r="AQ724" t="str">
        <f t="shared" si="243"/>
        <v/>
      </c>
    </row>
    <row r="725" spans="1:43" x14ac:dyDescent="0.35">
      <c r="A725">
        <v>1840</v>
      </c>
      <c r="B725" t="s">
        <v>2297</v>
      </c>
      <c r="C725" t="s">
        <v>2287</v>
      </c>
      <c r="D725" t="str">
        <f t="shared" si="233"/>
        <v>M and E</v>
      </c>
      <c r="E725" t="s">
        <v>2261</v>
      </c>
      <c r="F725" t="s">
        <v>204</v>
      </c>
      <c r="G725" t="s">
        <v>2294</v>
      </c>
      <c r="H725" t="s">
        <v>206</v>
      </c>
      <c r="I725" s="32">
        <v>45037.367280092592</v>
      </c>
      <c r="J725" s="32" t="s">
        <v>7471</v>
      </c>
      <c r="K725" s="32">
        <v>45040.367280092592</v>
      </c>
      <c r="L725" s="8">
        <f t="shared" si="234"/>
        <v>3</v>
      </c>
      <c r="M725" s="7">
        <v>45052.367280092592</v>
      </c>
      <c r="N725" t="s">
        <v>49</v>
      </c>
      <c r="O725" s="34">
        <v>45047.367280092592</v>
      </c>
      <c r="P725" t="s">
        <v>50</v>
      </c>
      <c r="Q725" t="s">
        <v>125</v>
      </c>
      <c r="R725" s="32" t="s">
        <v>7472</v>
      </c>
      <c r="S725" t="s">
        <v>7476</v>
      </c>
      <c r="T725" s="34" t="s">
        <v>7476</v>
      </c>
      <c r="U725" s="34" t="s">
        <v>7476</v>
      </c>
      <c r="V725" s="32" t="s">
        <v>7476</v>
      </c>
      <c r="W725" s="32" t="s">
        <v>7476</v>
      </c>
      <c r="X725">
        <v>0</v>
      </c>
      <c r="Y725" s="34" t="s">
        <v>7476</v>
      </c>
      <c r="Z725" s="34" t="s">
        <v>7476</v>
      </c>
      <c r="AA725" s="34" t="s">
        <v>7476</v>
      </c>
      <c r="AB725" s="36" t="s">
        <v>52</v>
      </c>
      <c r="AD725" t="s">
        <v>2298</v>
      </c>
      <c r="AE725" t="s">
        <v>2299</v>
      </c>
      <c r="AF725" s="16">
        <v>45030</v>
      </c>
      <c r="AG725" t="s">
        <v>64</v>
      </c>
      <c r="AH725">
        <v>3</v>
      </c>
      <c r="AK725" s="38" t="str">
        <f t="shared" si="235"/>
        <v/>
      </c>
    </row>
    <row r="726" spans="1:43" x14ac:dyDescent="0.35">
      <c r="A726">
        <v>1781</v>
      </c>
      <c r="B726" t="s">
        <v>2300</v>
      </c>
      <c r="C726" t="s">
        <v>2260</v>
      </c>
      <c r="D726" t="str">
        <f t="shared" si="233"/>
        <v>M and E</v>
      </c>
      <c r="E726" t="s">
        <v>2261</v>
      </c>
      <c r="F726" t="s">
        <v>204</v>
      </c>
      <c r="G726" t="s">
        <v>2294</v>
      </c>
      <c r="H726" t="s">
        <v>206</v>
      </c>
      <c r="I726" s="32">
        <v>44658.356493055559</v>
      </c>
      <c r="J726" s="32">
        <v>44659.356493055559</v>
      </c>
      <c r="K726" s="32">
        <v>44665.356493055559</v>
      </c>
      <c r="L726" s="8">
        <f t="shared" si="234"/>
        <v>7</v>
      </c>
      <c r="M726" s="7">
        <v>44675.356493055559</v>
      </c>
      <c r="N726" t="s">
        <v>49</v>
      </c>
      <c r="O726" s="34">
        <v>44673.356493055559</v>
      </c>
      <c r="P726" t="s">
        <v>50</v>
      </c>
      <c r="Q726" t="s">
        <v>236</v>
      </c>
      <c r="R726" s="32" t="s">
        <v>7472</v>
      </c>
      <c r="S726" t="s">
        <v>7476</v>
      </c>
      <c r="T726" s="34" t="s">
        <v>7476</v>
      </c>
      <c r="U726" s="34" t="s">
        <v>7476</v>
      </c>
      <c r="V726" s="32" t="s">
        <v>7476</v>
      </c>
      <c r="W726" s="32" t="s">
        <v>7476</v>
      </c>
      <c r="X726">
        <v>0</v>
      </c>
      <c r="Y726" s="34" t="s">
        <v>7476</v>
      </c>
      <c r="Z726" s="34" t="s">
        <v>7476</v>
      </c>
      <c r="AA726" s="34" t="s">
        <v>7476</v>
      </c>
      <c r="AB726" s="36" t="s">
        <v>52</v>
      </c>
      <c r="AD726" t="s">
        <v>2301</v>
      </c>
      <c r="AE726" t="s">
        <v>2302</v>
      </c>
      <c r="AF726" s="16">
        <v>44666</v>
      </c>
      <c r="AG726" t="s">
        <v>64</v>
      </c>
      <c r="AH726">
        <v>6</v>
      </c>
      <c r="AI726" s="8" t="str">
        <f>IFERROR(R726-AF726,"")</f>
        <v/>
      </c>
      <c r="AJ726" s="8">
        <f>IFERROR(O726-AF726,"")</f>
        <v>7.3564930555585306</v>
      </c>
      <c r="AK726" s="38" t="str">
        <f t="shared" si="235"/>
        <v/>
      </c>
      <c r="AL726" t="str">
        <f>IFERROR(Z726-W726,"")</f>
        <v/>
      </c>
      <c r="AM726" t="str">
        <f>IFERROR(R726-J726,"")</f>
        <v/>
      </c>
      <c r="AN726" t="str">
        <f>IFERROR(V726-O726,"")</f>
        <v/>
      </c>
      <c r="AO726">
        <f>IFERROR(J726-I726,"")</f>
        <v>1</v>
      </c>
      <c r="AP726">
        <f>IFERROR(AC726-X726,"")</f>
        <v>0</v>
      </c>
      <c r="AQ726" t="str">
        <f>IFERROR(AA726-W726,"")</f>
        <v/>
      </c>
    </row>
    <row r="727" spans="1:43" x14ac:dyDescent="0.35">
      <c r="A727">
        <v>1728</v>
      </c>
      <c r="B727" t="s">
        <v>2303</v>
      </c>
      <c r="C727" t="s">
        <v>2260</v>
      </c>
      <c r="D727" t="str">
        <f t="shared" si="233"/>
        <v>M and E</v>
      </c>
      <c r="E727" t="s">
        <v>2261</v>
      </c>
      <c r="F727" t="s">
        <v>204</v>
      </c>
      <c r="G727" t="s">
        <v>2294</v>
      </c>
      <c r="H727" t="s">
        <v>206</v>
      </c>
      <c r="I727" s="32">
        <v>44860.500428240739</v>
      </c>
      <c r="J727" s="32">
        <v>44864.500428240739</v>
      </c>
      <c r="K727" s="32">
        <v>44868.500428240739</v>
      </c>
      <c r="L727" s="8">
        <f t="shared" si="234"/>
        <v>8</v>
      </c>
      <c r="M727" s="7">
        <v>44892.500428240739</v>
      </c>
      <c r="N727" t="s">
        <v>49</v>
      </c>
      <c r="O727" s="34">
        <v>44876.500428240739</v>
      </c>
      <c r="P727" t="s">
        <v>50</v>
      </c>
      <c r="Q727" t="s">
        <v>236</v>
      </c>
      <c r="R727" s="32" t="s">
        <v>7472</v>
      </c>
      <c r="S727" t="s">
        <v>7476</v>
      </c>
      <c r="T727" s="34" t="s">
        <v>7476</v>
      </c>
      <c r="U727" s="34" t="s">
        <v>7476</v>
      </c>
      <c r="V727" s="32">
        <v>44878.500428240739</v>
      </c>
      <c r="W727" s="32" t="s">
        <v>7476</v>
      </c>
      <c r="X727">
        <v>0</v>
      </c>
      <c r="Y727" s="34" t="s">
        <v>7476</v>
      </c>
      <c r="Z727" s="34" t="s">
        <v>7476</v>
      </c>
      <c r="AA727" s="34" t="s">
        <v>7476</v>
      </c>
      <c r="AB727" s="36" t="s">
        <v>52</v>
      </c>
      <c r="AD727" t="s">
        <v>2304</v>
      </c>
      <c r="AE727" t="s">
        <v>2305</v>
      </c>
      <c r="AF727" s="16">
        <v>44857</v>
      </c>
      <c r="AG727" t="s">
        <v>68</v>
      </c>
      <c r="AH727">
        <v>3</v>
      </c>
      <c r="AI727" s="8" t="str">
        <f>IFERROR(R727-AF727,"")</f>
        <v/>
      </c>
      <c r="AJ727" s="8">
        <f>IFERROR(O727-AF727,"")</f>
        <v>19.500428240738984</v>
      </c>
      <c r="AK727" s="38">
        <f t="shared" si="235"/>
        <v>44968.500428240739</v>
      </c>
      <c r="AL727" t="str">
        <f>IFERROR(Z727-W727,"")</f>
        <v/>
      </c>
      <c r="AM727" t="str">
        <f>IFERROR(R727-J727,"")</f>
        <v/>
      </c>
      <c r="AN727">
        <f>IFERROR(V727-O727,"")</f>
        <v>2</v>
      </c>
      <c r="AO727">
        <f>IFERROR(J727-I727,"")</f>
        <v>4</v>
      </c>
      <c r="AP727">
        <f>IFERROR(AC727-X727,"")</f>
        <v>0</v>
      </c>
      <c r="AQ727" t="str">
        <f>IFERROR(AA727-W727,"")</f>
        <v/>
      </c>
    </row>
    <row r="728" spans="1:43" x14ac:dyDescent="0.35">
      <c r="A728">
        <v>1371</v>
      </c>
      <c r="B728" t="s">
        <v>2306</v>
      </c>
      <c r="C728" t="s">
        <v>2260</v>
      </c>
      <c r="D728" t="str">
        <f t="shared" si="233"/>
        <v>M and E</v>
      </c>
      <c r="E728" t="s">
        <v>2261</v>
      </c>
      <c r="F728" t="s">
        <v>204</v>
      </c>
      <c r="G728" t="s">
        <v>2294</v>
      </c>
      <c r="H728" t="s">
        <v>206</v>
      </c>
      <c r="I728" s="32">
        <v>44865.130648148152</v>
      </c>
      <c r="J728" s="32">
        <v>44868.130648148152</v>
      </c>
      <c r="K728" s="32">
        <v>44869.130648148152</v>
      </c>
      <c r="L728" s="8">
        <f t="shared" si="234"/>
        <v>4</v>
      </c>
      <c r="M728" s="7">
        <v>44880.130648148152</v>
      </c>
      <c r="N728" t="s">
        <v>49</v>
      </c>
      <c r="O728" s="34">
        <v>44886.130648148152</v>
      </c>
      <c r="P728" t="s">
        <v>50</v>
      </c>
      <c r="Q728" t="s">
        <v>84</v>
      </c>
      <c r="R728" s="32" t="s">
        <v>7472</v>
      </c>
      <c r="S728" t="s">
        <v>7476</v>
      </c>
      <c r="T728" s="34" t="s">
        <v>7476</v>
      </c>
      <c r="U728" s="34" t="s">
        <v>7476</v>
      </c>
      <c r="V728" s="32">
        <v>44890.130648148152</v>
      </c>
      <c r="W728" s="32" t="s">
        <v>7476</v>
      </c>
      <c r="X728">
        <v>0</v>
      </c>
      <c r="Y728" s="34" t="s">
        <v>7476</v>
      </c>
      <c r="Z728" s="34" t="s">
        <v>7476</v>
      </c>
      <c r="AA728" s="34" t="s">
        <v>7476</v>
      </c>
      <c r="AB728" s="36" t="s">
        <v>52</v>
      </c>
      <c r="AD728" t="s">
        <v>2307</v>
      </c>
      <c r="AE728" t="s">
        <v>2308</v>
      </c>
      <c r="AF728" s="16">
        <v>44878</v>
      </c>
      <c r="AG728" t="s">
        <v>98</v>
      </c>
      <c r="AH728">
        <v>6</v>
      </c>
      <c r="AI728" s="8" t="str">
        <f>IFERROR(R728-AF728,"")</f>
        <v/>
      </c>
      <c r="AJ728" s="8">
        <f>IFERROR(O728-AF728,"")</f>
        <v>8.130648148151522</v>
      </c>
      <c r="AK728" s="38">
        <f t="shared" si="235"/>
        <v>45070.130648148152</v>
      </c>
      <c r="AL728" t="str">
        <f>IFERROR(Z728-W728,"")</f>
        <v/>
      </c>
      <c r="AM728" t="str">
        <f>IFERROR(R728-J728,"")</f>
        <v/>
      </c>
      <c r="AN728">
        <f>IFERROR(V728-O728,"")</f>
        <v>4</v>
      </c>
      <c r="AO728">
        <f>IFERROR(J728-I728,"")</f>
        <v>3</v>
      </c>
      <c r="AP728">
        <f>IFERROR(AC728-X728,"")</f>
        <v>0</v>
      </c>
      <c r="AQ728" t="str">
        <f>IFERROR(AA728-W728,"")</f>
        <v/>
      </c>
    </row>
    <row r="729" spans="1:43" x14ac:dyDescent="0.35">
      <c r="A729">
        <v>1058</v>
      </c>
      <c r="B729" t="s">
        <v>2309</v>
      </c>
      <c r="C729" t="s">
        <v>2260</v>
      </c>
      <c r="D729" t="str">
        <f t="shared" si="233"/>
        <v>M and E</v>
      </c>
      <c r="E729" t="s">
        <v>2261</v>
      </c>
      <c r="F729" t="s">
        <v>204</v>
      </c>
      <c r="G729" t="s">
        <v>2294</v>
      </c>
      <c r="H729" t="s">
        <v>206</v>
      </c>
      <c r="I729" s="32">
        <v>45153.180486111109</v>
      </c>
      <c r="J729" s="32" t="s">
        <v>7471</v>
      </c>
      <c r="K729" s="32">
        <v>45163.180486111109</v>
      </c>
      <c r="L729" s="8">
        <f t="shared" si="234"/>
        <v>10</v>
      </c>
      <c r="M729" s="7">
        <v>45172.180486111109</v>
      </c>
      <c r="N729" t="s">
        <v>49</v>
      </c>
      <c r="O729" s="34">
        <v>45174.180486111109</v>
      </c>
      <c r="P729" t="s">
        <v>50</v>
      </c>
      <c r="Q729" t="s">
        <v>125</v>
      </c>
      <c r="R729" s="32" t="s">
        <v>7472</v>
      </c>
      <c r="S729" t="s">
        <v>7476</v>
      </c>
      <c r="T729" s="34" t="s">
        <v>7476</v>
      </c>
      <c r="U729" s="34" t="s">
        <v>7476</v>
      </c>
      <c r="V729" s="32" t="s">
        <v>7476</v>
      </c>
      <c r="W729" s="32" t="s">
        <v>7476</v>
      </c>
      <c r="X729">
        <v>0</v>
      </c>
      <c r="Y729" s="34" t="s">
        <v>7476</v>
      </c>
      <c r="Z729" s="34" t="s">
        <v>7476</v>
      </c>
      <c r="AA729" s="34" t="s">
        <v>7476</v>
      </c>
      <c r="AB729" s="36" t="s">
        <v>95</v>
      </c>
      <c r="AD729" t="s">
        <v>2310</v>
      </c>
      <c r="AE729" t="s">
        <v>2311</v>
      </c>
      <c r="AF729" s="16">
        <v>45166</v>
      </c>
      <c r="AG729" t="s">
        <v>64</v>
      </c>
      <c r="AH729">
        <v>3</v>
      </c>
      <c r="AK729" s="38" t="str">
        <f t="shared" si="235"/>
        <v/>
      </c>
    </row>
    <row r="730" spans="1:43" x14ac:dyDescent="0.35">
      <c r="A730">
        <v>2986</v>
      </c>
      <c r="B730" t="s">
        <v>2312</v>
      </c>
      <c r="C730" t="s">
        <v>2260</v>
      </c>
      <c r="D730" t="str">
        <f t="shared" si="233"/>
        <v>M and E</v>
      </c>
      <c r="E730" t="s">
        <v>2313</v>
      </c>
      <c r="F730" t="s">
        <v>2314</v>
      </c>
      <c r="G730" t="s">
        <v>2315</v>
      </c>
      <c r="H730" t="s">
        <v>334</v>
      </c>
      <c r="I730" s="32">
        <v>44926.987974537027</v>
      </c>
      <c r="J730" s="32">
        <v>44929.987974537027</v>
      </c>
      <c r="K730" s="32">
        <v>44937.987974537027</v>
      </c>
      <c r="L730" s="8">
        <f t="shared" si="234"/>
        <v>11</v>
      </c>
      <c r="M730" s="7">
        <v>44946.987974537027</v>
      </c>
      <c r="N730" t="s">
        <v>49</v>
      </c>
      <c r="O730" s="34">
        <v>44935.987974537027</v>
      </c>
      <c r="P730" t="s">
        <v>101</v>
      </c>
      <c r="R730" s="32">
        <v>44940.987974537027</v>
      </c>
      <c r="S730" t="s">
        <v>101</v>
      </c>
      <c r="T730" s="34">
        <v>44936.987974537027</v>
      </c>
      <c r="U730" s="34">
        <v>44940.987974537027</v>
      </c>
      <c r="V730" s="32">
        <v>44937.987974537027</v>
      </c>
      <c r="W730" s="32">
        <v>44942.987974537027</v>
      </c>
      <c r="X730">
        <v>1</v>
      </c>
      <c r="Y730" s="34">
        <v>44944.987974537027</v>
      </c>
      <c r="Z730" s="34">
        <v>44947.987974537027</v>
      </c>
      <c r="AA730" s="34">
        <v>44949.987974537027</v>
      </c>
      <c r="AB730" s="36" t="s">
        <v>7476</v>
      </c>
      <c r="AC730" s="10">
        <v>44959.987974537027</v>
      </c>
      <c r="AD730" t="s">
        <v>2316</v>
      </c>
      <c r="AE730" t="s">
        <v>2317</v>
      </c>
      <c r="AF730" s="16">
        <v>44920</v>
      </c>
      <c r="AG730" t="s">
        <v>68</v>
      </c>
      <c r="AH730">
        <v>3</v>
      </c>
      <c r="AI730" s="8">
        <f>IFERROR(R730-AF730,"")</f>
        <v>20.987974537027185</v>
      </c>
      <c r="AJ730" s="8">
        <f>IFERROR(O730-AF730,"")</f>
        <v>15.987974537027185</v>
      </c>
      <c r="AK730" s="38">
        <f t="shared" si="235"/>
        <v>45027.987974537027</v>
      </c>
      <c r="AL730">
        <f>IFERROR(Z730-W730,"")</f>
        <v>5</v>
      </c>
      <c r="AM730">
        <f>IFERROR(R730-J730,"")</f>
        <v>11</v>
      </c>
      <c r="AN730">
        <f>IFERROR(V730-O730,"")</f>
        <v>2</v>
      </c>
      <c r="AO730">
        <f>IFERROR(J730-I730,"")</f>
        <v>3</v>
      </c>
      <c r="AP730">
        <f>IFERROR(AC730-X730,"")</f>
        <v>44958.987974537027</v>
      </c>
      <c r="AQ730">
        <f>IFERROR(AA730-W730,"")</f>
        <v>7</v>
      </c>
    </row>
    <row r="731" spans="1:43" x14ac:dyDescent="0.35">
      <c r="A731">
        <v>2903</v>
      </c>
      <c r="B731" t="s">
        <v>2318</v>
      </c>
      <c r="C731" t="s">
        <v>2260</v>
      </c>
      <c r="D731" t="str">
        <f t="shared" si="233"/>
        <v>M and E</v>
      </c>
      <c r="E731" t="s">
        <v>2313</v>
      </c>
      <c r="F731" t="s">
        <v>2314</v>
      </c>
      <c r="G731" t="s">
        <v>2315</v>
      </c>
      <c r="H731" t="s">
        <v>334</v>
      </c>
      <c r="I731" s="32">
        <v>44615.299814814818</v>
      </c>
      <c r="J731" s="32">
        <v>44618.299814814818</v>
      </c>
      <c r="K731" s="32" t="s">
        <v>7473</v>
      </c>
      <c r="L731" s="8" t="str">
        <f t="shared" si="234"/>
        <v/>
      </c>
      <c r="M731" s="7">
        <v>44667.299814814818</v>
      </c>
      <c r="N731" t="s">
        <v>49</v>
      </c>
      <c r="O731" s="34">
        <v>44635.299814814818</v>
      </c>
      <c r="P731" t="s">
        <v>50</v>
      </c>
      <c r="Q731" t="s">
        <v>125</v>
      </c>
      <c r="R731" s="32" t="s">
        <v>7472</v>
      </c>
      <c r="S731" t="s">
        <v>7476</v>
      </c>
      <c r="T731" s="34" t="s">
        <v>7476</v>
      </c>
      <c r="U731" s="34" t="s">
        <v>7476</v>
      </c>
      <c r="V731" s="32">
        <v>44638.299814814818</v>
      </c>
      <c r="W731" s="32" t="s">
        <v>7476</v>
      </c>
      <c r="X731">
        <v>0</v>
      </c>
      <c r="Y731" s="34" t="s">
        <v>7476</v>
      </c>
      <c r="Z731" s="34" t="s">
        <v>7476</v>
      </c>
      <c r="AA731" s="34" t="s">
        <v>7476</v>
      </c>
      <c r="AB731" s="36" t="s">
        <v>52</v>
      </c>
      <c r="AD731" t="s">
        <v>2319</v>
      </c>
      <c r="AE731" t="s">
        <v>2320</v>
      </c>
      <c r="AF731" s="16">
        <v>44617</v>
      </c>
      <c r="AG731" t="s">
        <v>98</v>
      </c>
      <c r="AH731">
        <v>6</v>
      </c>
      <c r="AK731" s="38">
        <f t="shared" si="235"/>
        <v>44818.299814814818</v>
      </c>
    </row>
    <row r="732" spans="1:43" x14ac:dyDescent="0.35">
      <c r="A732">
        <v>2873</v>
      </c>
      <c r="B732" t="s">
        <v>2321</v>
      </c>
      <c r="C732" t="s">
        <v>2260</v>
      </c>
      <c r="D732" t="str">
        <f t="shared" si="233"/>
        <v>M and E</v>
      </c>
      <c r="E732" t="s">
        <v>2313</v>
      </c>
      <c r="F732" t="s">
        <v>2314</v>
      </c>
      <c r="G732" t="s">
        <v>2315</v>
      </c>
      <c r="H732" t="s">
        <v>334</v>
      </c>
      <c r="I732" s="32">
        <v>45111.164652777778</v>
      </c>
      <c r="J732" s="32" t="s">
        <v>7471</v>
      </c>
      <c r="K732" s="32">
        <v>45122.164652777778</v>
      </c>
      <c r="L732" s="8">
        <f t="shared" si="234"/>
        <v>11</v>
      </c>
      <c r="M732" s="7">
        <v>45126.164652777778</v>
      </c>
      <c r="N732" t="s">
        <v>49</v>
      </c>
      <c r="O732" s="34">
        <v>45123.164652777778</v>
      </c>
      <c r="P732" t="s">
        <v>50</v>
      </c>
      <c r="Q732" t="s">
        <v>198</v>
      </c>
      <c r="R732" s="32" t="s">
        <v>7472</v>
      </c>
      <c r="S732" t="s">
        <v>7476</v>
      </c>
      <c r="T732" s="34" t="s">
        <v>7476</v>
      </c>
      <c r="U732" s="34" t="s">
        <v>7476</v>
      </c>
      <c r="V732" s="32">
        <v>45127.164652777778</v>
      </c>
      <c r="W732" s="32" t="s">
        <v>7476</v>
      </c>
      <c r="X732">
        <v>0</v>
      </c>
      <c r="Y732" s="34" t="s">
        <v>7476</v>
      </c>
      <c r="Z732" s="34" t="s">
        <v>7476</v>
      </c>
      <c r="AA732" s="34" t="s">
        <v>7476</v>
      </c>
      <c r="AB732" s="36" t="s">
        <v>52</v>
      </c>
      <c r="AD732" t="s">
        <v>2322</v>
      </c>
      <c r="AE732" t="s">
        <v>2323</v>
      </c>
      <c r="AF732" s="16">
        <v>45145</v>
      </c>
      <c r="AG732" t="s">
        <v>93</v>
      </c>
      <c r="AH732">
        <v>6</v>
      </c>
      <c r="AK732" s="38">
        <f t="shared" si="235"/>
        <v>45307.164652777778</v>
      </c>
    </row>
    <row r="733" spans="1:43" x14ac:dyDescent="0.35">
      <c r="A733">
        <v>2872</v>
      </c>
      <c r="B733" t="s">
        <v>2324</v>
      </c>
      <c r="C733" t="s">
        <v>2325</v>
      </c>
      <c r="D733" t="str">
        <f t="shared" si="233"/>
        <v>M and E</v>
      </c>
      <c r="E733" t="s">
        <v>2313</v>
      </c>
      <c r="F733" t="s">
        <v>2314</v>
      </c>
      <c r="G733" t="s">
        <v>2315</v>
      </c>
      <c r="H733" t="s">
        <v>334</v>
      </c>
      <c r="I733" s="32">
        <v>45117.164652777778</v>
      </c>
      <c r="J733" s="32">
        <v>45118.164652777778</v>
      </c>
      <c r="K733" s="32">
        <v>45125.164652777778</v>
      </c>
      <c r="L733" s="8">
        <f t="shared" si="234"/>
        <v>8</v>
      </c>
      <c r="M733" s="7">
        <v>45195.164652777778</v>
      </c>
      <c r="N733" t="s">
        <v>49</v>
      </c>
      <c r="O733" s="34">
        <v>45129.164652777778</v>
      </c>
      <c r="P733" t="s">
        <v>50</v>
      </c>
      <c r="Q733" t="s">
        <v>51</v>
      </c>
      <c r="R733" s="32" t="s">
        <v>7472</v>
      </c>
      <c r="S733" t="s">
        <v>7476</v>
      </c>
      <c r="T733" s="34" t="s">
        <v>7476</v>
      </c>
      <c r="U733" s="34" t="s">
        <v>7476</v>
      </c>
      <c r="V733" s="32" t="s">
        <v>7476</v>
      </c>
      <c r="W733" s="32" t="s">
        <v>7476</v>
      </c>
      <c r="X733">
        <v>0</v>
      </c>
      <c r="Y733" s="34" t="s">
        <v>7476</v>
      </c>
      <c r="Z733" s="34" t="s">
        <v>7476</v>
      </c>
      <c r="AA733" s="34" t="s">
        <v>7476</v>
      </c>
      <c r="AB733" s="36" t="s">
        <v>95</v>
      </c>
      <c r="AD733" t="s">
        <v>2326</v>
      </c>
      <c r="AE733" t="s">
        <v>2327</v>
      </c>
      <c r="AF733" s="16">
        <v>45115</v>
      </c>
      <c r="AG733" t="s">
        <v>64</v>
      </c>
      <c r="AH733">
        <v>3</v>
      </c>
      <c r="AI733" s="8" t="str">
        <f>IFERROR(R733-AF733,"")</f>
        <v/>
      </c>
      <c r="AJ733" s="8">
        <f>IFERROR(O733-AF733,"")</f>
        <v>14.164652777777519</v>
      </c>
      <c r="AK733" s="38" t="str">
        <f t="shared" si="235"/>
        <v/>
      </c>
      <c r="AL733" t="str">
        <f>IFERROR(Z733-W733,"")</f>
        <v/>
      </c>
      <c r="AM733" t="str">
        <f>IFERROR(R733-J733,"")</f>
        <v/>
      </c>
      <c r="AN733" t="str">
        <f>IFERROR(V733-O733,"")</f>
        <v/>
      </c>
      <c r="AO733">
        <f>IFERROR(J733-I733,"")</f>
        <v>1</v>
      </c>
      <c r="AP733">
        <f>IFERROR(AC733-X733,"")</f>
        <v>0</v>
      </c>
      <c r="AQ733" t="str">
        <f>IFERROR(AA733-W733,"")</f>
        <v/>
      </c>
    </row>
    <row r="734" spans="1:43" x14ac:dyDescent="0.35">
      <c r="A734">
        <v>2820</v>
      </c>
      <c r="B734" t="s">
        <v>2328</v>
      </c>
      <c r="C734" t="s">
        <v>2287</v>
      </c>
      <c r="D734" t="str">
        <f t="shared" si="233"/>
        <v>M and E</v>
      </c>
      <c r="E734" t="s">
        <v>2313</v>
      </c>
      <c r="F734" t="s">
        <v>2314</v>
      </c>
      <c r="G734" t="s">
        <v>2315</v>
      </c>
      <c r="H734" t="s">
        <v>334</v>
      </c>
      <c r="I734" s="32">
        <v>44895.862592592603</v>
      </c>
      <c r="J734" s="32">
        <v>44896.862592592603</v>
      </c>
      <c r="K734" s="32">
        <v>44898.862592592603</v>
      </c>
      <c r="L734" s="8">
        <f t="shared" si="234"/>
        <v>3</v>
      </c>
      <c r="M734" s="7">
        <v>44921.862592592603</v>
      </c>
      <c r="N734" t="s">
        <v>49</v>
      </c>
      <c r="O734" s="34">
        <v>44913.862592592603</v>
      </c>
      <c r="P734" t="s">
        <v>50</v>
      </c>
      <c r="Q734" t="s">
        <v>84</v>
      </c>
      <c r="R734" s="32" t="s">
        <v>7472</v>
      </c>
      <c r="S734" t="s">
        <v>7476</v>
      </c>
      <c r="T734" s="34" t="s">
        <v>7476</v>
      </c>
      <c r="U734" s="34" t="s">
        <v>7476</v>
      </c>
      <c r="V734" s="32" t="s">
        <v>7476</v>
      </c>
      <c r="W734" s="32" t="s">
        <v>7476</v>
      </c>
      <c r="X734">
        <v>0</v>
      </c>
      <c r="Y734" s="34" t="s">
        <v>7476</v>
      </c>
      <c r="Z734" s="34" t="s">
        <v>7476</v>
      </c>
      <c r="AA734" s="34" t="s">
        <v>7476</v>
      </c>
      <c r="AB734" s="36" t="s">
        <v>52</v>
      </c>
      <c r="AD734" t="s">
        <v>2329</v>
      </c>
      <c r="AE734" t="s">
        <v>2330</v>
      </c>
      <c r="AF734" s="16">
        <v>44754</v>
      </c>
      <c r="AG734" t="s">
        <v>98</v>
      </c>
      <c r="AH734">
        <v>3</v>
      </c>
      <c r="AI734" s="8" t="str">
        <f>IFERROR(R734-AF734,"")</f>
        <v/>
      </c>
      <c r="AJ734" s="8">
        <f>IFERROR(O734-AF734,"")</f>
        <v>159.8625925926026</v>
      </c>
      <c r="AK734" s="38" t="str">
        <f t="shared" si="235"/>
        <v/>
      </c>
      <c r="AL734" t="str">
        <f>IFERROR(Z734-W734,"")</f>
        <v/>
      </c>
      <c r="AM734" t="str">
        <f>IFERROR(R734-J734,"")</f>
        <v/>
      </c>
      <c r="AN734" t="str">
        <f>IFERROR(V734-O734,"")</f>
        <v/>
      </c>
      <c r="AO734">
        <f>IFERROR(J734-I734,"")</f>
        <v>1</v>
      </c>
      <c r="AP734">
        <f>IFERROR(AC734-X734,"")</f>
        <v>0</v>
      </c>
      <c r="AQ734" t="str">
        <f>IFERROR(AA734-W734,"")</f>
        <v/>
      </c>
    </row>
    <row r="735" spans="1:43" x14ac:dyDescent="0.35">
      <c r="A735">
        <v>2813</v>
      </c>
      <c r="B735" t="s">
        <v>2331</v>
      </c>
      <c r="C735" t="s">
        <v>2260</v>
      </c>
      <c r="D735" t="str">
        <f t="shared" si="233"/>
        <v>M and E</v>
      </c>
      <c r="E735" t="s">
        <v>2313</v>
      </c>
      <c r="F735" t="s">
        <v>2314</v>
      </c>
      <c r="G735" t="s">
        <v>2315</v>
      </c>
      <c r="H735" t="s">
        <v>334</v>
      </c>
      <c r="I735" s="32">
        <v>44894.862592592603</v>
      </c>
      <c r="J735" s="32">
        <v>44896.862592592603</v>
      </c>
      <c r="K735" s="32">
        <v>44898.862592592603</v>
      </c>
      <c r="L735" s="8">
        <f t="shared" si="234"/>
        <v>4</v>
      </c>
      <c r="M735" s="7">
        <v>44918.862592592603</v>
      </c>
      <c r="N735" t="s">
        <v>72</v>
      </c>
      <c r="O735" s="34" t="s">
        <v>7474</v>
      </c>
      <c r="R735" s="32" t="s">
        <v>7472</v>
      </c>
      <c r="S735" t="s">
        <v>7476</v>
      </c>
      <c r="T735" s="34" t="s">
        <v>7476</v>
      </c>
      <c r="U735" s="34" t="s">
        <v>7476</v>
      </c>
      <c r="V735" s="32" t="s">
        <v>7476</v>
      </c>
      <c r="W735" s="32" t="s">
        <v>7476</v>
      </c>
      <c r="X735">
        <v>0</v>
      </c>
      <c r="Y735" s="34" t="s">
        <v>7476</v>
      </c>
      <c r="Z735" s="34" t="s">
        <v>7476</v>
      </c>
      <c r="AA735" s="34" t="s">
        <v>7476</v>
      </c>
      <c r="AB735" s="36" t="s">
        <v>7476</v>
      </c>
      <c r="AD735" t="s">
        <v>2332</v>
      </c>
      <c r="AE735" t="s">
        <v>2333</v>
      </c>
      <c r="AG735" t="s">
        <v>64</v>
      </c>
      <c r="AH735">
        <v>6</v>
      </c>
      <c r="AI735" s="8" t="str">
        <f>IFERROR(R735-AF735,"")</f>
        <v/>
      </c>
      <c r="AJ735" s="8" t="str">
        <f>IFERROR(O735-AF735,"")</f>
        <v/>
      </c>
      <c r="AK735" s="38" t="str">
        <f t="shared" si="235"/>
        <v/>
      </c>
      <c r="AL735" t="str">
        <f>IFERROR(Z735-W735,"")</f>
        <v/>
      </c>
      <c r="AM735" t="str">
        <f>IFERROR(R735-J735,"")</f>
        <v/>
      </c>
      <c r="AN735" t="str">
        <f>IFERROR(V735-O735,"")</f>
        <v/>
      </c>
      <c r="AO735">
        <f>IFERROR(J735-I735,"")</f>
        <v>2</v>
      </c>
      <c r="AP735">
        <f>IFERROR(AC735-X735,"")</f>
        <v>0</v>
      </c>
      <c r="AQ735" t="str">
        <f>IFERROR(AA735-W735,"")</f>
        <v/>
      </c>
    </row>
    <row r="736" spans="1:43" x14ac:dyDescent="0.35">
      <c r="A736">
        <v>2715</v>
      </c>
      <c r="B736" t="s">
        <v>2334</v>
      </c>
      <c r="C736" t="s">
        <v>2260</v>
      </c>
      <c r="D736" t="str">
        <f t="shared" si="233"/>
        <v>M and E</v>
      </c>
      <c r="E736" t="s">
        <v>2313</v>
      </c>
      <c r="F736" t="s">
        <v>2314</v>
      </c>
      <c r="G736" t="s">
        <v>2315</v>
      </c>
      <c r="H736" t="s">
        <v>334</v>
      </c>
      <c r="I736" s="32" t="s">
        <v>7471</v>
      </c>
      <c r="J736" s="32">
        <v>44957.0546412037</v>
      </c>
      <c r="K736" s="32">
        <v>44958.0546412037</v>
      </c>
      <c r="L736" s="8" t="str">
        <f t="shared" si="234"/>
        <v/>
      </c>
      <c r="M736" s="7">
        <v>44986.0546412037</v>
      </c>
      <c r="N736" t="s">
        <v>49</v>
      </c>
      <c r="O736" s="34">
        <v>44963.0546412037</v>
      </c>
      <c r="P736" t="s">
        <v>60</v>
      </c>
      <c r="R736" s="32">
        <v>44967.0546412037</v>
      </c>
      <c r="S736" t="s">
        <v>61</v>
      </c>
      <c r="T736" s="34" t="s">
        <v>7476</v>
      </c>
      <c r="U736" s="34" t="s">
        <v>7476</v>
      </c>
      <c r="V736" s="32">
        <v>44964.0546412037</v>
      </c>
      <c r="W736" s="32" t="s">
        <v>7476</v>
      </c>
      <c r="X736">
        <v>0</v>
      </c>
      <c r="Y736" s="34" t="s">
        <v>7476</v>
      </c>
      <c r="Z736" s="34" t="s">
        <v>7476</v>
      </c>
      <c r="AA736" s="34" t="s">
        <v>7476</v>
      </c>
      <c r="AB736" s="36" t="s">
        <v>7476</v>
      </c>
      <c r="AD736" t="s">
        <v>2335</v>
      </c>
      <c r="AE736" t="s">
        <v>2336</v>
      </c>
      <c r="AF736" s="16">
        <v>44945</v>
      </c>
      <c r="AG736" t="s">
        <v>93</v>
      </c>
      <c r="AH736">
        <v>6</v>
      </c>
      <c r="AK736" s="38">
        <f t="shared" si="235"/>
        <v>45144.0546412037</v>
      </c>
    </row>
    <row r="737" spans="1:43" x14ac:dyDescent="0.35">
      <c r="A737">
        <v>2712</v>
      </c>
      <c r="B737" t="s">
        <v>2337</v>
      </c>
      <c r="C737" t="s">
        <v>2260</v>
      </c>
      <c r="D737" t="str">
        <f t="shared" si="233"/>
        <v>M and E</v>
      </c>
      <c r="E737" t="s">
        <v>2313</v>
      </c>
      <c r="F737" t="s">
        <v>2314</v>
      </c>
      <c r="G737" t="s">
        <v>2315</v>
      </c>
      <c r="H737" t="s">
        <v>334</v>
      </c>
      <c r="I737" s="32">
        <v>44952.0546412037</v>
      </c>
      <c r="J737" s="32">
        <v>44953.0546412037</v>
      </c>
      <c r="K737" s="32">
        <v>44958.0546412037</v>
      </c>
      <c r="L737" s="8">
        <f t="shared" si="234"/>
        <v>6</v>
      </c>
      <c r="M737" s="7">
        <v>44981.0546412037</v>
      </c>
      <c r="N737" t="s">
        <v>49</v>
      </c>
      <c r="O737" s="34">
        <v>44971.0546412037</v>
      </c>
      <c r="P737" t="s">
        <v>50</v>
      </c>
      <c r="Q737" t="s">
        <v>198</v>
      </c>
      <c r="R737" s="32" t="s">
        <v>7472</v>
      </c>
      <c r="S737" t="s">
        <v>7476</v>
      </c>
      <c r="T737" s="34" t="s">
        <v>7476</v>
      </c>
      <c r="U737" s="34" t="s">
        <v>7476</v>
      </c>
      <c r="V737" s="32">
        <v>44975.0546412037</v>
      </c>
      <c r="W737" s="32" t="s">
        <v>7476</v>
      </c>
      <c r="X737">
        <v>0</v>
      </c>
      <c r="Y737" s="34" t="s">
        <v>7476</v>
      </c>
      <c r="Z737" s="34" t="s">
        <v>7476</v>
      </c>
      <c r="AA737" s="34" t="s">
        <v>7476</v>
      </c>
      <c r="AB737" s="36" t="s">
        <v>95</v>
      </c>
      <c r="AD737" t="s">
        <v>2338</v>
      </c>
      <c r="AE737" t="s">
        <v>2339</v>
      </c>
      <c r="AF737" s="16">
        <v>44954</v>
      </c>
      <c r="AG737" t="s">
        <v>98</v>
      </c>
      <c r="AH737">
        <v>3</v>
      </c>
      <c r="AI737" s="8" t="str">
        <f>IFERROR(R737-AF737,"")</f>
        <v/>
      </c>
      <c r="AJ737" s="8">
        <f>IFERROR(O737-AF737,"")</f>
        <v>17.054641203700157</v>
      </c>
      <c r="AK737" s="38">
        <f t="shared" si="235"/>
        <v>45065.0546412037</v>
      </c>
      <c r="AL737" t="str">
        <f>IFERROR(Z737-W737,"")</f>
        <v/>
      </c>
      <c r="AM737" t="str">
        <f>IFERROR(R737-J737,"")</f>
        <v/>
      </c>
      <c r="AN737">
        <f>IFERROR(V737-O737,"")</f>
        <v>4</v>
      </c>
      <c r="AO737">
        <f>IFERROR(J737-I737,"")</f>
        <v>1</v>
      </c>
      <c r="AP737">
        <f>IFERROR(AC737-X737,"")</f>
        <v>0</v>
      </c>
      <c r="AQ737" t="str">
        <f>IFERROR(AA737-W737,"")</f>
        <v/>
      </c>
    </row>
    <row r="738" spans="1:43" x14ac:dyDescent="0.35">
      <c r="A738">
        <v>2711</v>
      </c>
      <c r="B738" t="s">
        <v>2340</v>
      </c>
      <c r="C738" t="s">
        <v>2287</v>
      </c>
      <c r="D738" t="str">
        <f t="shared" si="233"/>
        <v>M and E</v>
      </c>
      <c r="E738" t="s">
        <v>2313</v>
      </c>
      <c r="F738" t="s">
        <v>2314</v>
      </c>
      <c r="G738" t="s">
        <v>2315</v>
      </c>
      <c r="H738" t="s">
        <v>334</v>
      </c>
      <c r="I738" s="32">
        <v>44953.0546412037</v>
      </c>
      <c r="J738" s="32">
        <v>44955.0546412037</v>
      </c>
      <c r="K738" s="32">
        <v>44958.0546412037</v>
      </c>
      <c r="L738" s="8">
        <f t="shared" si="234"/>
        <v>5</v>
      </c>
      <c r="M738" s="7">
        <v>44981.0546412037</v>
      </c>
      <c r="N738" t="s">
        <v>49</v>
      </c>
      <c r="O738" s="34">
        <v>44965.0546412037</v>
      </c>
      <c r="P738" t="s">
        <v>50</v>
      </c>
      <c r="Q738" t="s">
        <v>51</v>
      </c>
      <c r="R738" s="32" t="s">
        <v>7472</v>
      </c>
      <c r="S738" t="s">
        <v>7476</v>
      </c>
      <c r="T738" s="34" t="s">
        <v>7476</v>
      </c>
      <c r="U738" s="34" t="s">
        <v>7476</v>
      </c>
      <c r="V738" s="32" t="s">
        <v>7476</v>
      </c>
      <c r="W738" s="32" t="s">
        <v>7476</v>
      </c>
      <c r="X738">
        <v>0</v>
      </c>
      <c r="Y738" s="34" t="s">
        <v>7476</v>
      </c>
      <c r="Z738" s="34" t="s">
        <v>7476</v>
      </c>
      <c r="AA738" s="34" t="s">
        <v>7476</v>
      </c>
      <c r="AB738" s="36" t="s">
        <v>95</v>
      </c>
      <c r="AD738" t="s">
        <v>2341</v>
      </c>
      <c r="AE738" t="s">
        <v>2342</v>
      </c>
      <c r="AF738" s="16">
        <v>44949</v>
      </c>
      <c r="AG738" t="s">
        <v>68</v>
      </c>
      <c r="AH738">
        <v>3</v>
      </c>
      <c r="AI738" s="8" t="str">
        <f>IFERROR(R738-AF738,"")</f>
        <v/>
      </c>
      <c r="AJ738" s="8">
        <f>IFERROR(O738-AF738,"")</f>
        <v>16.054641203700157</v>
      </c>
      <c r="AK738" s="38" t="str">
        <f t="shared" si="235"/>
        <v/>
      </c>
      <c r="AL738" t="str">
        <f>IFERROR(Z738-W738,"")</f>
        <v/>
      </c>
      <c r="AM738" t="str">
        <f>IFERROR(R738-J738,"")</f>
        <v/>
      </c>
      <c r="AN738" t="str">
        <f>IFERROR(V738-O738,"")</f>
        <v/>
      </c>
      <c r="AO738">
        <f>IFERROR(J738-I738,"")</f>
        <v>2</v>
      </c>
      <c r="AP738">
        <f>IFERROR(AC738-X738,"")</f>
        <v>0</v>
      </c>
      <c r="AQ738" t="str">
        <f>IFERROR(AA738-W738,"")</f>
        <v/>
      </c>
    </row>
    <row r="739" spans="1:43" x14ac:dyDescent="0.35">
      <c r="A739">
        <v>2700</v>
      </c>
      <c r="B739" t="s">
        <v>2343</v>
      </c>
      <c r="C739" t="s">
        <v>2287</v>
      </c>
      <c r="D739" t="str">
        <f t="shared" si="233"/>
        <v>M and E</v>
      </c>
      <c r="E739" t="s">
        <v>2313</v>
      </c>
      <c r="F739" t="s">
        <v>2314</v>
      </c>
      <c r="G739" t="s">
        <v>2315</v>
      </c>
      <c r="H739" t="s">
        <v>334</v>
      </c>
      <c r="I739" s="32">
        <v>45016.99291666667</v>
      </c>
      <c r="J739" s="32">
        <v>45019.99291666667</v>
      </c>
      <c r="K739" s="32">
        <v>45023.99291666667</v>
      </c>
      <c r="L739" s="8">
        <f t="shared" si="234"/>
        <v>7</v>
      </c>
      <c r="M739" s="7">
        <v>45043.99291666667</v>
      </c>
      <c r="N739" t="s">
        <v>49</v>
      </c>
      <c r="O739" s="34">
        <v>45028.99291666667</v>
      </c>
      <c r="P739" t="s">
        <v>101</v>
      </c>
      <c r="R739" s="32">
        <v>45035.99291666667</v>
      </c>
      <c r="S739" t="s">
        <v>101</v>
      </c>
      <c r="T739" s="34">
        <v>45029.99291666667</v>
      </c>
      <c r="U739" s="34">
        <v>45031.99291666667</v>
      </c>
      <c r="V739" s="32">
        <v>45032.99291666667</v>
      </c>
      <c r="W739" s="32">
        <v>45036.99291666667</v>
      </c>
      <c r="X739">
        <v>1</v>
      </c>
      <c r="Y739" s="34">
        <v>45038.99291666667</v>
      </c>
      <c r="Z739" s="34">
        <v>45041.99291666667</v>
      </c>
      <c r="AA739" s="34">
        <v>45042.99291666667</v>
      </c>
      <c r="AB739" s="36" t="s">
        <v>7476</v>
      </c>
      <c r="AC739" s="10">
        <v>45052.99291666667</v>
      </c>
      <c r="AD739" t="s">
        <v>2344</v>
      </c>
      <c r="AE739" t="s">
        <v>2345</v>
      </c>
      <c r="AF739" s="16">
        <v>45018</v>
      </c>
      <c r="AG739" t="s">
        <v>98</v>
      </c>
      <c r="AH739">
        <v>3</v>
      </c>
      <c r="AI739" s="8">
        <f>IFERROR(R739-AF739,"")</f>
        <v>17.992916666669771</v>
      </c>
      <c r="AJ739" s="8">
        <f>IFERROR(O739-AF739,"")</f>
        <v>10.992916666669771</v>
      </c>
      <c r="AK739" s="38">
        <f t="shared" si="235"/>
        <v>45122.99291666667</v>
      </c>
      <c r="AL739">
        <f>IFERROR(Z739-W739,"")</f>
        <v>5</v>
      </c>
      <c r="AM739">
        <f>IFERROR(R739-J739,"")</f>
        <v>16</v>
      </c>
      <c r="AN739">
        <f>IFERROR(V739-O739,"")</f>
        <v>4</v>
      </c>
      <c r="AO739">
        <f>IFERROR(J739-I739,"")</f>
        <v>3</v>
      </c>
      <c r="AP739">
        <f>IFERROR(AC739-X739,"")</f>
        <v>45051.99291666667</v>
      </c>
      <c r="AQ739">
        <f>IFERROR(AA739-W739,"")</f>
        <v>6</v>
      </c>
    </row>
    <row r="740" spans="1:43" x14ac:dyDescent="0.35">
      <c r="A740">
        <v>2698</v>
      </c>
      <c r="B740" t="s">
        <v>2346</v>
      </c>
      <c r="C740" t="s">
        <v>2325</v>
      </c>
      <c r="D740" t="str">
        <f t="shared" si="233"/>
        <v>M and E</v>
      </c>
      <c r="E740" t="s">
        <v>2313</v>
      </c>
      <c r="F740" t="s">
        <v>2314</v>
      </c>
      <c r="G740" t="s">
        <v>2315</v>
      </c>
      <c r="H740" t="s">
        <v>334</v>
      </c>
      <c r="I740" s="32">
        <v>45016.99291666667</v>
      </c>
      <c r="J740" s="32" t="s">
        <v>7471</v>
      </c>
      <c r="K740" s="32">
        <v>45023.99291666667</v>
      </c>
      <c r="L740" s="8">
        <f t="shared" si="234"/>
        <v>7</v>
      </c>
      <c r="M740" s="7">
        <v>45053.99291666667</v>
      </c>
      <c r="N740" t="s">
        <v>72</v>
      </c>
      <c r="O740" s="34" t="s">
        <v>7474</v>
      </c>
      <c r="R740" s="32" t="s">
        <v>7472</v>
      </c>
      <c r="S740" t="s">
        <v>7476</v>
      </c>
      <c r="T740" s="34" t="s">
        <v>7476</v>
      </c>
      <c r="U740" s="34" t="s">
        <v>7476</v>
      </c>
      <c r="V740" s="32" t="s">
        <v>7476</v>
      </c>
      <c r="W740" s="32" t="s">
        <v>7476</v>
      </c>
      <c r="X740">
        <v>0</v>
      </c>
      <c r="Y740" s="34" t="s">
        <v>7476</v>
      </c>
      <c r="Z740" s="34" t="s">
        <v>7476</v>
      </c>
      <c r="AA740" s="34" t="s">
        <v>7476</v>
      </c>
      <c r="AB740" s="36" t="s">
        <v>7476</v>
      </c>
      <c r="AD740" t="s">
        <v>2347</v>
      </c>
      <c r="AE740" t="s">
        <v>2348</v>
      </c>
      <c r="AG740" t="s">
        <v>55</v>
      </c>
      <c r="AH740">
        <v>6</v>
      </c>
      <c r="AK740" s="38" t="str">
        <f t="shared" si="235"/>
        <v/>
      </c>
    </row>
    <row r="741" spans="1:43" x14ac:dyDescent="0.35">
      <c r="A741">
        <v>2697</v>
      </c>
      <c r="B741" t="s">
        <v>2349</v>
      </c>
      <c r="C741" t="s">
        <v>2287</v>
      </c>
      <c r="D741" t="str">
        <f t="shared" si="233"/>
        <v>M and E</v>
      </c>
      <c r="E741" t="s">
        <v>2313</v>
      </c>
      <c r="F741" t="s">
        <v>2314</v>
      </c>
      <c r="G741" t="s">
        <v>2315</v>
      </c>
      <c r="H741" t="s">
        <v>334</v>
      </c>
      <c r="I741" s="32">
        <v>45020.99291666667</v>
      </c>
      <c r="J741" s="32">
        <v>45022.99291666667</v>
      </c>
      <c r="K741" s="32">
        <v>45023.99291666667</v>
      </c>
      <c r="L741" s="8">
        <f t="shared" si="234"/>
        <v>3</v>
      </c>
      <c r="M741" s="7">
        <v>45028.99291666667</v>
      </c>
      <c r="N741" t="s">
        <v>49</v>
      </c>
      <c r="O741" s="34">
        <v>45029.99291666667</v>
      </c>
      <c r="P741" t="s">
        <v>50</v>
      </c>
      <c r="Q741" t="s">
        <v>198</v>
      </c>
      <c r="R741" s="32" t="s">
        <v>7472</v>
      </c>
      <c r="S741" t="s">
        <v>7476</v>
      </c>
      <c r="T741" s="34" t="s">
        <v>7476</v>
      </c>
      <c r="U741" s="34" t="s">
        <v>7476</v>
      </c>
      <c r="V741" s="32" t="s">
        <v>7476</v>
      </c>
      <c r="W741" s="32" t="s">
        <v>7476</v>
      </c>
      <c r="X741">
        <v>0</v>
      </c>
      <c r="Y741" s="34" t="s">
        <v>7476</v>
      </c>
      <c r="Z741" s="34" t="s">
        <v>7476</v>
      </c>
      <c r="AA741" s="34" t="s">
        <v>7476</v>
      </c>
      <c r="AB741" s="36" t="s">
        <v>52</v>
      </c>
      <c r="AD741" t="s">
        <v>2350</v>
      </c>
      <c r="AE741" t="s">
        <v>2351</v>
      </c>
      <c r="AF741" s="16">
        <v>45010</v>
      </c>
      <c r="AG741" t="s">
        <v>68</v>
      </c>
      <c r="AH741">
        <v>3</v>
      </c>
      <c r="AI741" s="8" t="str">
        <f t="shared" ref="AI741:AI748" si="244">IFERROR(R741-AF741,"")</f>
        <v/>
      </c>
      <c r="AJ741" s="8">
        <f t="shared" ref="AJ741:AJ748" si="245">IFERROR(O741-AF741,"")</f>
        <v>19.992916666669771</v>
      </c>
      <c r="AK741" s="38" t="str">
        <f t="shared" si="235"/>
        <v/>
      </c>
      <c r="AL741" t="str">
        <f t="shared" ref="AL741:AL748" si="246">IFERROR(Z741-W741,"")</f>
        <v/>
      </c>
      <c r="AM741" t="str">
        <f t="shared" ref="AM741:AM748" si="247">IFERROR(R741-J741,"")</f>
        <v/>
      </c>
      <c r="AN741" t="str">
        <f t="shared" ref="AN741:AN748" si="248">IFERROR(V741-O741,"")</f>
        <v/>
      </c>
      <c r="AO741">
        <f t="shared" ref="AO741:AO748" si="249">IFERROR(J741-I741,"")</f>
        <v>2</v>
      </c>
      <c r="AP741">
        <f t="shared" ref="AP741:AP748" si="250">IFERROR(AC741-X741,"")</f>
        <v>0</v>
      </c>
      <c r="AQ741" t="str">
        <f t="shared" ref="AQ741:AQ748" si="251">IFERROR(AA741-W741,"")</f>
        <v/>
      </c>
    </row>
    <row r="742" spans="1:43" x14ac:dyDescent="0.35">
      <c r="A742">
        <v>2654</v>
      </c>
      <c r="B742" t="s">
        <v>2352</v>
      </c>
      <c r="C742" t="s">
        <v>2260</v>
      </c>
      <c r="D742" t="str">
        <f t="shared" si="233"/>
        <v>M and E</v>
      </c>
      <c r="E742" t="s">
        <v>2313</v>
      </c>
      <c r="F742" t="s">
        <v>2314</v>
      </c>
      <c r="G742" t="s">
        <v>2315</v>
      </c>
      <c r="H742" t="s">
        <v>334</v>
      </c>
      <c r="I742" s="32">
        <v>44597.417025462957</v>
      </c>
      <c r="J742" s="32">
        <v>44600.417025462957</v>
      </c>
      <c r="K742" s="32">
        <v>44605.417025462957</v>
      </c>
      <c r="L742" s="8">
        <f t="shared" si="234"/>
        <v>8</v>
      </c>
      <c r="M742" s="7">
        <v>44613.417025462957</v>
      </c>
      <c r="N742" t="s">
        <v>49</v>
      </c>
      <c r="O742" s="34">
        <v>44609.417025462957</v>
      </c>
      <c r="P742" t="s">
        <v>60</v>
      </c>
      <c r="R742" s="32">
        <v>44613.417025462957</v>
      </c>
      <c r="S742" t="s">
        <v>61</v>
      </c>
      <c r="T742" s="34" t="s">
        <v>7476</v>
      </c>
      <c r="U742" s="34" t="s">
        <v>7476</v>
      </c>
      <c r="V742" s="32">
        <v>44611.417025462957</v>
      </c>
      <c r="W742" s="32" t="s">
        <v>7476</v>
      </c>
      <c r="X742">
        <v>0</v>
      </c>
      <c r="Y742" s="34" t="s">
        <v>7476</v>
      </c>
      <c r="Z742" s="34" t="s">
        <v>7476</v>
      </c>
      <c r="AA742" s="34" t="s">
        <v>7476</v>
      </c>
      <c r="AB742" s="36" t="s">
        <v>7476</v>
      </c>
      <c r="AD742" t="s">
        <v>2353</v>
      </c>
      <c r="AE742" t="s">
        <v>2354</v>
      </c>
      <c r="AF742" s="16">
        <v>44775</v>
      </c>
      <c r="AG742" t="s">
        <v>64</v>
      </c>
      <c r="AH742">
        <v>3</v>
      </c>
      <c r="AI742" s="8">
        <f t="shared" si="244"/>
        <v>-161.5829745370429</v>
      </c>
      <c r="AJ742" s="8">
        <f t="shared" si="245"/>
        <v>-165.5829745370429</v>
      </c>
      <c r="AK742" s="38">
        <f t="shared" si="235"/>
        <v>44701.417025462957</v>
      </c>
      <c r="AL742" t="str">
        <f t="shared" si="246"/>
        <v/>
      </c>
      <c r="AM742">
        <f t="shared" si="247"/>
        <v>13</v>
      </c>
      <c r="AN742">
        <f t="shared" si="248"/>
        <v>2</v>
      </c>
      <c r="AO742">
        <f t="shared" si="249"/>
        <v>3</v>
      </c>
      <c r="AP742">
        <f t="shared" si="250"/>
        <v>0</v>
      </c>
      <c r="AQ742" t="str">
        <f t="shared" si="251"/>
        <v/>
      </c>
    </row>
    <row r="743" spans="1:43" x14ac:dyDescent="0.35">
      <c r="A743">
        <v>2651</v>
      </c>
      <c r="B743" t="s">
        <v>2355</v>
      </c>
      <c r="C743" t="s">
        <v>2287</v>
      </c>
      <c r="D743" t="str">
        <f t="shared" si="233"/>
        <v>M and E</v>
      </c>
      <c r="E743" t="s">
        <v>2313</v>
      </c>
      <c r="F743" t="s">
        <v>2314</v>
      </c>
      <c r="G743" t="s">
        <v>2315</v>
      </c>
      <c r="H743" t="s">
        <v>334</v>
      </c>
      <c r="I743" s="32">
        <v>44596.417025462957</v>
      </c>
      <c r="J743" s="32">
        <v>44599.417025462957</v>
      </c>
      <c r="K743" s="32">
        <v>44605.417025462957</v>
      </c>
      <c r="L743" s="8">
        <f t="shared" si="234"/>
        <v>9</v>
      </c>
      <c r="M743" s="7">
        <v>44629.417025462957</v>
      </c>
      <c r="N743" t="s">
        <v>49</v>
      </c>
      <c r="O743" s="34">
        <v>44619.417025462957</v>
      </c>
      <c r="P743" t="s">
        <v>50</v>
      </c>
      <c r="Q743" t="s">
        <v>198</v>
      </c>
      <c r="R743" s="32" t="s">
        <v>7472</v>
      </c>
      <c r="S743" t="s">
        <v>7476</v>
      </c>
      <c r="T743" s="34" t="s">
        <v>7476</v>
      </c>
      <c r="U743" s="34" t="s">
        <v>7476</v>
      </c>
      <c r="V743" s="32">
        <v>44623.417025462957</v>
      </c>
      <c r="W743" s="32" t="s">
        <v>7476</v>
      </c>
      <c r="X743">
        <v>0</v>
      </c>
      <c r="Y743" s="34" t="s">
        <v>7476</v>
      </c>
      <c r="Z743" s="34" t="s">
        <v>7476</v>
      </c>
      <c r="AA743" s="34" t="s">
        <v>7476</v>
      </c>
      <c r="AB743" s="36" t="s">
        <v>52</v>
      </c>
      <c r="AD743" t="s">
        <v>2356</v>
      </c>
      <c r="AE743" t="s">
        <v>2357</v>
      </c>
      <c r="AF743" s="16">
        <v>44607</v>
      </c>
      <c r="AG743" t="s">
        <v>98</v>
      </c>
      <c r="AH743">
        <v>3</v>
      </c>
      <c r="AI743" s="8" t="str">
        <f t="shared" si="244"/>
        <v/>
      </c>
      <c r="AJ743" s="8">
        <f t="shared" si="245"/>
        <v>12.417025462957099</v>
      </c>
      <c r="AK743" s="38">
        <f t="shared" si="235"/>
        <v>44713.417025462957</v>
      </c>
      <c r="AL743" t="str">
        <f t="shared" si="246"/>
        <v/>
      </c>
      <c r="AM743" t="str">
        <f t="shared" si="247"/>
        <v/>
      </c>
      <c r="AN743">
        <f t="shared" si="248"/>
        <v>4</v>
      </c>
      <c r="AO743">
        <f t="shared" si="249"/>
        <v>3</v>
      </c>
      <c r="AP743">
        <f t="shared" si="250"/>
        <v>0</v>
      </c>
      <c r="AQ743" t="str">
        <f t="shared" si="251"/>
        <v/>
      </c>
    </row>
    <row r="744" spans="1:43" x14ac:dyDescent="0.35">
      <c r="A744">
        <v>2499</v>
      </c>
      <c r="B744" t="s">
        <v>2358</v>
      </c>
      <c r="C744" t="s">
        <v>2260</v>
      </c>
      <c r="D744" t="str">
        <f t="shared" si="233"/>
        <v>M and E</v>
      </c>
      <c r="E744" t="s">
        <v>2313</v>
      </c>
      <c r="F744" t="s">
        <v>2314</v>
      </c>
      <c r="G744" t="s">
        <v>2315</v>
      </c>
      <c r="H744" t="s">
        <v>334</v>
      </c>
      <c r="I744" s="32">
        <v>44590.546469907407</v>
      </c>
      <c r="J744" s="32">
        <v>44593.546469907407</v>
      </c>
      <c r="K744" s="32">
        <v>44597.546469907407</v>
      </c>
      <c r="L744" s="8">
        <f t="shared" si="234"/>
        <v>7</v>
      </c>
      <c r="M744" s="7">
        <v>44618.546469907407</v>
      </c>
      <c r="N744" t="s">
        <v>49</v>
      </c>
      <c r="O744" s="34">
        <v>44609.546469907407</v>
      </c>
      <c r="P744" t="s">
        <v>101</v>
      </c>
      <c r="R744" s="32">
        <v>44613.546469907407</v>
      </c>
      <c r="S744" t="s">
        <v>101</v>
      </c>
      <c r="T744" s="34">
        <v>44611.546469907407</v>
      </c>
      <c r="U744" s="34">
        <v>44613.546469907407</v>
      </c>
      <c r="V744" s="32">
        <v>44610.546469907407</v>
      </c>
      <c r="W744" s="32">
        <v>44611.546469907407</v>
      </c>
      <c r="X744">
        <v>1</v>
      </c>
      <c r="Y744" s="34">
        <v>44612.546469907407</v>
      </c>
      <c r="Z744" s="34">
        <v>44613.546469907407</v>
      </c>
      <c r="AA744" s="34">
        <v>44614.546469907407</v>
      </c>
      <c r="AB744" s="36" t="s">
        <v>7476</v>
      </c>
      <c r="AC744" s="10">
        <v>44634.546469907407</v>
      </c>
      <c r="AD744" t="s">
        <v>2359</v>
      </c>
      <c r="AE744" t="s">
        <v>2360</v>
      </c>
      <c r="AF744" s="16">
        <v>44598</v>
      </c>
      <c r="AG744" t="s">
        <v>64</v>
      </c>
      <c r="AH744">
        <v>3</v>
      </c>
      <c r="AI744" s="8">
        <f t="shared" si="244"/>
        <v>15.5464699074073</v>
      </c>
      <c r="AJ744" s="8">
        <f t="shared" si="245"/>
        <v>11.5464699074073</v>
      </c>
      <c r="AK744" s="38">
        <f t="shared" si="235"/>
        <v>44700.546469907407</v>
      </c>
      <c r="AL744">
        <f t="shared" si="246"/>
        <v>2</v>
      </c>
      <c r="AM744">
        <f t="shared" si="247"/>
        <v>20</v>
      </c>
      <c r="AN744">
        <f t="shared" si="248"/>
        <v>1</v>
      </c>
      <c r="AO744">
        <f t="shared" si="249"/>
        <v>3</v>
      </c>
      <c r="AP744">
        <f t="shared" si="250"/>
        <v>44633.546469907407</v>
      </c>
      <c r="AQ744">
        <f t="shared" si="251"/>
        <v>3</v>
      </c>
    </row>
    <row r="745" spans="1:43" x14ac:dyDescent="0.35">
      <c r="A745">
        <v>2498</v>
      </c>
      <c r="B745" t="s">
        <v>2361</v>
      </c>
      <c r="C745" t="s">
        <v>2325</v>
      </c>
      <c r="D745" t="str">
        <f t="shared" si="233"/>
        <v>M and E</v>
      </c>
      <c r="E745" t="s">
        <v>2313</v>
      </c>
      <c r="F745" t="s">
        <v>2314</v>
      </c>
      <c r="G745" t="s">
        <v>2315</v>
      </c>
      <c r="H745" t="s">
        <v>334</v>
      </c>
      <c r="I745" s="32">
        <v>44592.546469907407</v>
      </c>
      <c r="J745" s="32">
        <v>44593.546469907407</v>
      </c>
      <c r="K745" s="32">
        <v>44597.546469907407</v>
      </c>
      <c r="L745" s="8">
        <f t="shared" si="234"/>
        <v>5</v>
      </c>
      <c r="M745" s="7">
        <v>44618.546469907407</v>
      </c>
      <c r="N745" t="s">
        <v>49</v>
      </c>
      <c r="O745" s="34">
        <v>44599.546469907407</v>
      </c>
      <c r="P745" t="s">
        <v>50</v>
      </c>
      <c r="Q745" t="s">
        <v>198</v>
      </c>
      <c r="R745" s="32" t="s">
        <v>7472</v>
      </c>
      <c r="S745" t="s">
        <v>7476</v>
      </c>
      <c r="T745" s="34" t="s">
        <v>7476</v>
      </c>
      <c r="U745" s="34" t="s">
        <v>7476</v>
      </c>
      <c r="V745" s="32" t="s">
        <v>7476</v>
      </c>
      <c r="W745" s="32" t="s">
        <v>7476</v>
      </c>
      <c r="X745">
        <v>0</v>
      </c>
      <c r="Y745" s="34" t="s">
        <v>7476</v>
      </c>
      <c r="Z745" s="34" t="s">
        <v>7476</v>
      </c>
      <c r="AA745" s="34" t="s">
        <v>7476</v>
      </c>
      <c r="AB745" s="36" t="s">
        <v>95</v>
      </c>
      <c r="AD745" t="s">
        <v>2362</v>
      </c>
      <c r="AE745" t="s">
        <v>2363</v>
      </c>
      <c r="AF745" s="16">
        <v>44586</v>
      </c>
      <c r="AG745" t="s">
        <v>64</v>
      </c>
      <c r="AH745">
        <v>3</v>
      </c>
      <c r="AI745" s="8" t="str">
        <f t="shared" si="244"/>
        <v/>
      </c>
      <c r="AJ745" s="8">
        <f t="shared" si="245"/>
        <v>13.5464699074073</v>
      </c>
      <c r="AK745" s="38" t="str">
        <f t="shared" si="235"/>
        <v/>
      </c>
      <c r="AL745" t="str">
        <f t="shared" si="246"/>
        <v/>
      </c>
      <c r="AM745" t="str">
        <f t="shared" si="247"/>
        <v/>
      </c>
      <c r="AN745" t="str">
        <f t="shared" si="248"/>
        <v/>
      </c>
      <c r="AO745">
        <f t="shared" si="249"/>
        <v>1</v>
      </c>
      <c r="AP745">
        <f t="shared" si="250"/>
        <v>0</v>
      </c>
      <c r="AQ745" t="str">
        <f t="shared" si="251"/>
        <v/>
      </c>
    </row>
    <row r="746" spans="1:43" x14ac:dyDescent="0.35">
      <c r="A746">
        <v>2494</v>
      </c>
      <c r="B746" t="s">
        <v>2364</v>
      </c>
      <c r="C746" t="s">
        <v>2260</v>
      </c>
      <c r="D746" t="str">
        <f t="shared" si="233"/>
        <v>M and E</v>
      </c>
      <c r="E746" t="s">
        <v>2313</v>
      </c>
      <c r="F746" t="s">
        <v>2314</v>
      </c>
      <c r="G746" t="s">
        <v>2315</v>
      </c>
      <c r="H746" t="s">
        <v>334</v>
      </c>
      <c r="I746" s="32">
        <v>44593.546469907407</v>
      </c>
      <c r="J746" s="32">
        <v>44594.546469907407</v>
      </c>
      <c r="K746" s="32">
        <v>44597.546469907407</v>
      </c>
      <c r="L746" s="8">
        <f t="shared" si="234"/>
        <v>4</v>
      </c>
      <c r="M746" s="7">
        <v>44604.546469907407</v>
      </c>
      <c r="N746" t="s">
        <v>72</v>
      </c>
      <c r="O746" s="34" t="s">
        <v>7474</v>
      </c>
      <c r="R746" s="32" t="s">
        <v>7472</v>
      </c>
      <c r="S746" t="s">
        <v>7476</v>
      </c>
      <c r="T746" s="34" t="s">
        <v>7476</v>
      </c>
      <c r="U746" s="34" t="s">
        <v>7476</v>
      </c>
      <c r="V746" s="32" t="s">
        <v>7476</v>
      </c>
      <c r="W746" s="32" t="s">
        <v>7476</v>
      </c>
      <c r="X746">
        <v>0</v>
      </c>
      <c r="Y746" s="34" t="s">
        <v>7476</v>
      </c>
      <c r="Z746" s="34" t="s">
        <v>7476</v>
      </c>
      <c r="AA746" s="34" t="s">
        <v>7476</v>
      </c>
      <c r="AB746" s="36" t="s">
        <v>7476</v>
      </c>
      <c r="AD746" t="s">
        <v>2365</v>
      </c>
      <c r="AE746" t="s">
        <v>2366</v>
      </c>
      <c r="AG746" t="s">
        <v>68</v>
      </c>
      <c r="AH746">
        <v>3</v>
      </c>
      <c r="AI746" s="8" t="str">
        <f t="shared" si="244"/>
        <v/>
      </c>
      <c r="AJ746" s="8" t="str">
        <f t="shared" si="245"/>
        <v/>
      </c>
      <c r="AK746" s="38" t="str">
        <f t="shared" si="235"/>
        <v/>
      </c>
      <c r="AL746" t="str">
        <f t="shared" si="246"/>
        <v/>
      </c>
      <c r="AM746" t="str">
        <f t="shared" si="247"/>
        <v/>
      </c>
      <c r="AN746" t="str">
        <f t="shared" si="248"/>
        <v/>
      </c>
      <c r="AO746">
        <f t="shared" si="249"/>
        <v>1</v>
      </c>
      <c r="AP746">
        <f t="shared" si="250"/>
        <v>0</v>
      </c>
      <c r="AQ746" t="str">
        <f t="shared" si="251"/>
        <v/>
      </c>
    </row>
    <row r="747" spans="1:43" x14ac:dyDescent="0.35">
      <c r="A747">
        <v>2346</v>
      </c>
      <c r="B747" t="s">
        <v>2367</v>
      </c>
      <c r="C747" t="s">
        <v>2287</v>
      </c>
      <c r="D747" t="str">
        <f t="shared" si="233"/>
        <v>M and E</v>
      </c>
      <c r="E747" t="s">
        <v>2313</v>
      </c>
      <c r="F747" t="s">
        <v>2314</v>
      </c>
      <c r="G747" t="s">
        <v>2315</v>
      </c>
      <c r="H747" t="s">
        <v>334</v>
      </c>
      <c r="I747" s="32">
        <v>45058.364525462966</v>
      </c>
      <c r="J747" s="32">
        <v>45059.364525462966</v>
      </c>
      <c r="K747" s="32">
        <v>45060.364525462966</v>
      </c>
      <c r="L747" s="8">
        <f t="shared" si="234"/>
        <v>2</v>
      </c>
      <c r="M747" s="7">
        <v>45075.364525462966</v>
      </c>
      <c r="N747" t="s">
        <v>72</v>
      </c>
      <c r="O747" s="34" t="s">
        <v>7474</v>
      </c>
      <c r="R747" s="32" t="s">
        <v>7472</v>
      </c>
      <c r="S747" t="s">
        <v>7476</v>
      </c>
      <c r="T747" s="34" t="s">
        <v>7476</v>
      </c>
      <c r="U747" s="34" t="s">
        <v>7476</v>
      </c>
      <c r="V747" s="32" t="s">
        <v>7476</v>
      </c>
      <c r="W747" s="32" t="s">
        <v>7476</v>
      </c>
      <c r="X747">
        <v>0</v>
      </c>
      <c r="Y747" s="34" t="s">
        <v>7476</v>
      </c>
      <c r="Z747" s="34" t="s">
        <v>7476</v>
      </c>
      <c r="AA747" s="34" t="s">
        <v>7476</v>
      </c>
      <c r="AB747" s="36" t="s">
        <v>7476</v>
      </c>
      <c r="AD747" t="s">
        <v>2368</v>
      </c>
      <c r="AE747" t="s">
        <v>2369</v>
      </c>
      <c r="AG747" t="s">
        <v>98</v>
      </c>
      <c r="AH747">
        <v>6</v>
      </c>
      <c r="AI747" s="8" t="str">
        <f t="shared" si="244"/>
        <v/>
      </c>
      <c r="AJ747" s="8" t="str">
        <f t="shared" si="245"/>
        <v/>
      </c>
      <c r="AK747" s="38" t="str">
        <f t="shared" si="235"/>
        <v/>
      </c>
      <c r="AL747" t="str">
        <f t="shared" si="246"/>
        <v/>
      </c>
      <c r="AM747" t="str">
        <f t="shared" si="247"/>
        <v/>
      </c>
      <c r="AN747" t="str">
        <f t="shared" si="248"/>
        <v/>
      </c>
      <c r="AO747">
        <f t="shared" si="249"/>
        <v>1</v>
      </c>
      <c r="AP747">
        <f t="shared" si="250"/>
        <v>0</v>
      </c>
      <c r="AQ747" t="str">
        <f t="shared" si="251"/>
        <v/>
      </c>
    </row>
    <row r="748" spans="1:43" x14ac:dyDescent="0.35">
      <c r="A748">
        <v>2208</v>
      </c>
      <c r="B748" t="s">
        <v>2370</v>
      </c>
      <c r="C748" t="s">
        <v>2260</v>
      </c>
      <c r="D748" t="str">
        <f t="shared" si="233"/>
        <v>M and E</v>
      </c>
      <c r="E748" t="s">
        <v>2313</v>
      </c>
      <c r="F748" t="s">
        <v>2314</v>
      </c>
      <c r="G748" t="s">
        <v>2315</v>
      </c>
      <c r="H748" t="s">
        <v>334</v>
      </c>
      <c r="I748" s="32">
        <v>45092.202615740738</v>
      </c>
      <c r="J748" s="32">
        <v>45094.202615740738</v>
      </c>
      <c r="K748" s="32">
        <v>45098.202615740738</v>
      </c>
      <c r="L748" s="8">
        <f t="shared" si="234"/>
        <v>6</v>
      </c>
      <c r="M748" s="7">
        <v>45105.202615740738</v>
      </c>
      <c r="N748" t="s">
        <v>72</v>
      </c>
      <c r="O748" s="34" t="s">
        <v>7474</v>
      </c>
      <c r="R748" s="32" t="s">
        <v>7472</v>
      </c>
      <c r="S748" t="s">
        <v>7476</v>
      </c>
      <c r="T748" s="34" t="s">
        <v>7476</v>
      </c>
      <c r="U748" s="34" t="s">
        <v>7476</v>
      </c>
      <c r="V748" s="32" t="s">
        <v>7476</v>
      </c>
      <c r="W748" s="32" t="s">
        <v>7476</v>
      </c>
      <c r="X748">
        <v>0</v>
      </c>
      <c r="Y748" s="34" t="s">
        <v>7476</v>
      </c>
      <c r="Z748" s="34" t="s">
        <v>7476</v>
      </c>
      <c r="AA748" s="34" t="s">
        <v>7476</v>
      </c>
      <c r="AB748" s="36" t="s">
        <v>7476</v>
      </c>
      <c r="AD748" t="s">
        <v>2371</v>
      </c>
      <c r="AE748" t="s">
        <v>2372</v>
      </c>
      <c r="AG748" t="s">
        <v>64</v>
      </c>
      <c r="AH748">
        <v>3</v>
      </c>
      <c r="AI748" s="8" t="str">
        <f t="shared" si="244"/>
        <v/>
      </c>
      <c r="AJ748" s="8" t="str">
        <f t="shared" si="245"/>
        <v/>
      </c>
      <c r="AK748" s="38" t="str">
        <f t="shared" si="235"/>
        <v/>
      </c>
      <c r="AL748" t="str">
        <f t="shared" si="246"/>
        <v/>
      </c>
      <c r="AM748" t="str">
        <f t="shared" si="247"/>
        <v/>
      </c>
      <c r="AN748" t="str">
        <f t="shared" si="248"/>
        <v/>
      </c>
      <c r="AO748">
        <f t="shared" si="249"/>
        <v>2</v>
      </c>
      <c r="AP748">
        <f t="shared" si="250"/>
        <v>0</v>
      </c>
      <c r="AQ748" t="str">
        <f t="shared" si="251"/>
        <v/>
      </c>
    </row>
    <row r="749" spans="1:43" x14ac:dyDescent="0.35">
      <c r="A749">
        <v>2207</v>
      </c>
      <c r="B749" t="s">
        <v>2373</v>
      </c>
      <c r="C749" t="s">
        <v>2287</v>
      </c>
      <c r="D749" t="str">
        <f t="shared" si="233"/>
        <v>M and E</v>
      </c>
      <c r="E749" t="s">
        <v>2313</v>
      </c>
      <c r="F749" t="s">
        <v>2314</v>
      </c>
      <c r="G749" t="s">
        <v>2315</v>
      </c>
      <c r="H749" t="s">
        <v>334</v>
      </c>
      <c r="I749" s="32" t="s">
        <v>7471</v>
      </c>
      <c r="J749" s="32" t="s">
        <v>7471</v>
      </c>
      <c r="K749" s="32">
        <v>45098.202615740738</v>
      </c>
      <c r="L749" s="8" t="str">
        <f t="shared" si="234"/>
        <v/>
      </c>
      <c r="M749" s="7">
        <v>45119.202615740738</v>
      </c>
      <c r="N749" t="s">
        <v>49</v>
      </c>
      <c r="O749" s="34">
        <v>45104.202615740738</v>
      </c>
      <c r="P749" t="s">
        <v>50</v>
      </c>
      <c r="Q749" t="s">
        <v>125</v>
      </c>
      <c r="R749" s="32" t="s">
        <v>7472</v>
      </c>
      <c r="S749" t="s">
        <v>7476</v>
      </c>
      <c r="T749" s="34" t="s">
        <v>7476</v>
      </c>
      <c r="U749" s="34" t="s">
        <v>7476</v>
      </c>
      <c r="V749" s="32">
        <v>45106.202615740738</v>
      </c>
      <c r="W749" s="32" t="s">
        <v>7476</v>
      </c>
      <c r="X749">
        <v>0</v>
      </c>
      <c r="Y749" s="34" t="s">
        <v>7476</v>
      </c>
      <c r="Z749" s="34" t="s">
        <v>7476</v>
      </c>
      <c r="AA749" s="34" t="s">
        <v>7476</v>
      </c>
      <c r="AB749" s="36" t="s">
        <v>52</v>
      </c>
      <c r="AD749" t="s">
        <v>2374</v>
      </c>
      <c r="AE749" t="s">
        <v>2375</v>
      </c>
      <c r="AF749" s="16">
        <v>45092</v>
      </c>
      <c r="AG749" t="s">
        <v>64</v>
      </c>
      <c r="AH749">
        <v>3</v>
      </c>
      <c r="AK749" s="38">
        <f t="shared" si="235"/>
        <v>45196.202615740738</v>
      </c>
    </row>
    <row r="750" spans="1:43" x14ac:dyDescent="0.35">
      <c r="A750">
        <v>2205</v>
      </c>
      <c r="B750" t="s">
        <v>2376</v>
      </c>
      <c r="C750" t="s">
        <v>2325</v>
      </c>
      <c r="D750" t="str">
        <f t="shared" si="233"/>
        <v>M and E</v>
      </c>
      <c r="E750" t="s">
        <v>2313</v>
      </c>
      <c r="F750" t="s">
        <v>2314</v>
      </c>
      <c r="G750" t="s">
        <v>2315</v>
      </c>
      <c r="H750" t="s">
        <v>334</v>
      </c>
      <c r="I750" s="32">
        <v>45094.202615740738</v>
      </c>
      <c r="J750" s="32">
        <v>45095.202615740738</v>
      </c>
      <c r="K750" s="32">
        <v>45098.202615740738</v>
      </c>
      <c r="L750" s="8">
        <f t="shared" si="234"/>
        <v>4</v>
      </c>
      <c r="M750" s="7">
        <v>45120.202615740738</v>
      </c>
      <c r="N750" t="s">
        <v>49</v>
      </c>
      <c r="O750" s="34">
        <v>45105.202615740738</v>
      </c>
      <c r="P750" t="s">
        <v>101</v>
      </c>
      <c r="R750" s="32">
        <v>45108.202615740738</v>
      </c>
      <c r="S750" t="s">
        <v>101</v>
      </c>
      <c r="T750" s="34">
        <v>45107.202615740738</v>
      </c>
      <c r="U750" s="34">
        <v>45111.202615740738</v>
      </c>
      <c r="V750" s="32">
        <v>45107.202615740738</v>
      </c>
      <c r="W750" s="32">
        <v>45109.202615740738</v>
      </c>
      <c r="X750">
        <v>1</v>
      </c>
      <c r="Y750" s="34">
        <v>45113.202615740738</v>
      </c>
      <c r="Z750" s="34">
        <v>45116.202615740738</v>
      </c>
      <c r="AA750" s="34">
        <v>45119.202615740738</v>
      </c>
      <c r="AB750" s="36" t="s">
        <v>7476</v>
      </c>
      <c r="AC750" s="10">
        <v>45134.202615740738</v>
      </c>
      <c r="AD750" t="s">
        <v>2377</v>
      </c>
      <c r="AE750" t="s">
        <v>2378</v>
      </c>
      <c r="AF750" s="16">
        <v>45095</v>
      </c>
      <c r="AG750" t="s">
        <v>98</v>
      </c>
      <c r="AH750">
        <v>6</v>
      </c>
      <c r="AI750" s="8">
        <f>IFERROR(R750-AF750,"")</f>
        <v>13.202615740738111</v>
      </c>
      <c r="AJ750" s="8">
        <f>IFERROR(O750-AF750,"")</f>
        <v>10.202615740738111</v>
      </c>
      <c r="AK750" s="38">
        <f t="shared" si="235"/>
        <v>45287.202615740738</v>
      </c>
      <c r="AL750">
        <f>IFERROR(Z750-W750,"")</f>
        <v>7</v>
      </c>
      <c r="AM750">
        <f>IFERROR(R750-J750,"")</f>
        <v>13</v>
      </c>
      <c r="AN750">
        <f>IFERROR(V750-O750,"")</f>
        <v>2</v>
      </c>
      <c r="AO750">
        <f>IFERROR(J750-I750,"")</f>
        <v>1</v>
      </c>
      <c r="AP750">
        <f>IFERROR(AC750-X750,"")</f>
        <v>45133.202615740738</v>
      </c>
      <c r="AQ750">
        <f>IFERROR(AA750-W750,"")</f>
        <v>10</v>
      </c>
    </row>
    <row r="751" spans="1:43" x14ac:dyDescent="0.35">
      <c r="A751">
        <v>2184</v>
      </c>
      <c r="B751" t="s">
        <v>2379</v>
      </c>
      <c r="C751" t="s">
        <v>2260</v>
      </c>
      <c r="D751" t="str">
        <f t="shared" si="233"/>
        <v>M and E</v>
      </c>
      <c r="E751" t="s">
        <v>2313</v>
      </c>
      <c r="F751" t="s">
        <v>2314</v>
      </c>
      <c r="G751" t="s">
        <v>2315</v>
      </c>
      <c r="H751" t="s">
        <v>334</v>
      </c>
      <c r="I751" s="32" t="s">
        <v>7471</v>
      </c>
      <c r="J751" s="32">
        <v>44994.531736111108</v>
      </c>
      <c r="K751" s="32">
        <v>45000.531736111108</v>
      </c>
      <c r="L751" s="8" t="str">
        <f t="shared" si="234"/>
        <v/>
      </c>
      <c r="M751" s="7">
        <v>45014.531736111108</v>
      </c>
      <c r="N751" t="s">
        <v>49</v>
      </c>
      <c r="O751" s="34">
        <v>45015.531736111108</v>
      </c>
      <c r="P751" t="s">
        <v>60</v>
      </c>
      <c r="R751" s="32">
        <v>45020.531736111108</v>
      </c>
      <c r="S751" t="s">
        <v>61</v>
      </c>
      <c r="T751" s="34" t="s">
        <v>7476</v>
      </c>
      <c r="U751" s="34" t="s">
        <v>7476</v>
      </c>
      <c r="V751" s="32">
        <v>45018.531736111108</v>
      </c>
      <c r="W751" s="32" t="s">
        <v>7476</v>
      </c>
      <c r="X751">
        <v>0</v>
      </c>
      <c r="Y751" s="34" t="s">
        <v>7476</v>
      </c>
      <c r="Z751" s="34" t="s">
        <v>7476</v>
      </c>
      <c r="AA751" s="34" t="s">
        <v>7476</v>
      </c>
      <c r="AB751" s="36" t="s">
        <v>7476</v>
      </c>
      <c r="AD751" t="s">
        <v>2380</v>
      </c>
      <c r="AE751" t="s">
        <v>2381</v>
      </c>
      <c r="AF751" s="16">
        <v>45003</v>
      </c>
      <c r="AG751" t="s">
        <v>98</v>
      </c>
      <c r="AH751">
        <v>6</v>
      </c>
      <c r="AK751" s="38">
        <f t="shared" si="235"/>
        <v>45198.531736111108</v>
      </c>
    </row>
    <row r="752" spans="1:43" x14ac:dyDescent="0.35">
      <c r="A752">
        <v>2183</v>
      </c>
      <c r="B752" t="s">
        <v>2382</v>
      </c>
      <c r="C752" t="s">
        <v>2325</v>
      </c>
      <c r="D752" t="str">
        <f t="shared" si="233"/>
        <v>M and E</v>
      </c>
      <c r="E752" t="s">
        <v>2313</v>
      </c>
      <c r="F752" t="s">
        <v>2314</v>
      </c>
      <c r="G752" t="s">
        <v>2315</v>
      </c>
      <c r="H752" t="s">
        <v>334</v>
      </c>
      <c r="I752" s="32" t="s">
        <v>7471</v>
      </c>
      <c r="J752" s="32">
        <v>44999.531736111108</v>
      </c>
      <c r="K752" s="32">
        <v>45000.531736111108</v>
      </c>
      <c r="L752" s="8" t="str">
        <f t="shared" si="234"/>
        <v/>
      </c>
      <c r="M752" s="7">
        <v>45016.531736111108</v>
      </c>
      <c r="N752" t="s">
        <v>49</v>
      </c>
      <c r="O752" s="34">
        <v>45008.531736111108</v>
      </c>
      <c r="P752" t="s">
        <v>50</v>
      </c>
      <c r="Q752" t="s">
        <v>236</v>
      </c>
      <c r="R752" s="32" t="s">
        <v>7472</v>
      </c>
      <c r="S752" t="s">
        <v>7476</v>
      </c>
      <c r="T752" s="34" t="s">
        <v>7476</v>
      </c>
      <c r="U752" s="34" t="s">
        <v>7476</v>
      </c>
      <c r="V752" s="32">
        <v>45009.531736111108</v>
      </c>
      <c r="W752" s="32" t="s">
        <v>7476</v>
      </c>
      <c r="X752">
        <v>0</v>
      </c>
      <c r="Y752" s="34" t="s">
        <v>7476</v>
      </c>
      <c r="Z752" s="34" t="s">
        <v>7476</v>
      </c>
      <c r="AA752" s="34" t="s">
        <v>7476</v>
      </c>
      <c r="AB752" s="36" t="s">
        <v>95</v>
      </c>
      <c r="AD752" t="s">
        <v>2383</v>
      </c>
      <c r="AE752" t="s">
        <v>2384</v>
      </c>
      <c r="AF752" s="16">
        <v>44998</v>
      </c>
      <c r="AG752" t="s">
        <v>75</v>
      </c>
      <c r="AH752">
        <v>6</v>
      </c>
      <c r="AK752" s="38">
        <f t="shared" si="235"/>
        <v>45189.531736111108</v>
      </c>
    </row>
    <row r="753" spans="1:43" x14ac:dyDescent="0.35">
      <c r="A753">
        <v>2181</v>
      </c>
      <c r="B753" t="s">
        <v>2385</v>
      </c>
      <c r="C753" t="s">
        <v>2325</v>
      </c>
      <c r="D753" t="str">
        <f t="shared" si="233"/>
        <v>M and E</v>
      </c>
      <c r="E753" t="s">
        <v>2313</v>
      </c>
      <c r="F753" t="s">
        <v>2314</v>
      </c>
      <c r="G753" t="s">
        <v>2315</v>
      </c>
      <c r="H753" t="s">
        <v>334</v>
      </c>
      <c r="I753" s="32">
        <v>44996.531736111108</v>
      </c>
      <c r="J753" s="32">
        <v>44999.531736111108</v>
      </c>
      <c r="K753" s="32" t="s">
        <v>7473</v>
      </c>
      <c r="L753" s="8" t="str">
        <f t="shared" si="234"/>
        <v/>
      </c>
      <c r="M753" s="7">
        <v>45008.531736111108</v>
      </c>
      <c r="N753" t="s">
        <v>72</v>
      </c>
      <c r="O753" s="34" t="s">
        <v>7474</v>
      </c>
      <c r="R753" s="32" t="s">
        <v>7472</v>
      </c>
      <c r="S753" t="s">
        <v>7476</v>
      </c>
      <c r="T753" s="34" t="s">
        <v>7476</v>
      </c>
      <c r="U753" s="34" t="s">
        <v>7476</v>
      </c>
      <c r="V753" s="32" t="s">
        <v>7476</v>
      </c>
      <c r="W753" s="32" t="s">
        <v>7476</v>
      </c>
      <c r="X753">
        <v>0</v>
      </c>
      <c r="Y753" s="34" t="s">
        <v>7476</v>
      </c>
      <c r="Z753" s="34" t="s">
        <v>7476</v>
      </c>
      <c r="AA753" s="34" t="s">
        <v>7476</v>
      </c>
      <c r="AB753" s="36" t="s">
        <v>7476</v>
      </c>
      <c r="AD753" t="s">
        <v>2386</v>
      </c>
      <c r="AE753" t="s">
        <v>2387</v>
      </c>
      <c r="AG753" t="s">
        <v>68</v>
      </c>
      <c r="AH753">
        <v>3</v>
      </c>
      <c r="AK753" s="38" t="str">
        <f t="shared" si="235"/>
        <v/>
      </c>
    </row>
    <row r="754" spans="1:43" x14ac:dyDescent="0.35">
      <c r="A754">
        <v>2080</v>
      </c>
      <c r="B754" t="s">
        <v>2388</v>
      </c>
      <c r="C754" t="s">
        <v>2325</v>
      </c>
      <c r="D754" t="str">
        <f t="shared" si="233"/>
        <v>M and E</v>
      </c>
      <c r="E754" t="s">
        <v>2313</v>
      </c>
      <c r="F754" t="s">
        <v>2314</v>
      </c>
      <c r="G754" t="s">
        <v>2315</v>
      </c>
      <c r="H754" t="s">
        <v>334</v>
      </c>
      <c r="I754" s="32" t="s">
        <v>7471</v>
      </c>
      <c r="J754" s="32">
        <v>44919.441053240742</v>
      </c>
      <c r="K754" s="32" t="s">
        <v>7473</v>
      </c>
      <c r="L754" s="8" t="str">
        <f t="shared" si="234"/>
        <v/>
      </c>
      <c r="M754" s="7">
        <v>44933.441053240742</v>
      </c>
      <c r="N754" t="s">
        <v>49</v>
      </c>
      <c r="O754" s="34">
        <v>44937.441053240742</v>
      </c>
      <c r="P754" t="s">
        <v>101</v>
      </c>
      <c r="R754" s="32">
        <v>44943.441053240742</v>
      </c>
      <c r="S754" t="s">
        <v>101</v>
      </c>
      <c r="T754" s="34">
        <v>44938.441053240742</v>
      </c>
      <c r="U754" s="34">
        <v>44939.441053240742</v>
      </c>
      <c r="V754" s="32">
        <v>44940.441053240742</v>
      </c>
      <c r="W754" s="32">
        <v>44944.441053240742</v>
      </c>
      <c r="X754">
        <v>1</v>
      </c>
      <c r="Y754" s="34">
        <v>44948.441053240742</v>
      </c>
      <c r="Z754" s="34">
        <v>44949.441053240742</v>
      </c>
      <c r="AA754" s="34">
        <v>44952.441053240742</v>
      </c>
      <c r="AB754" s="36" t="s">
        <v>7476</v>
      </c>
      <c r="AC754" s="10">
        <v>44964.441053240742</v>
      </c>
      <c r="AD754" t="s">
        <v>2389</v>
      </c>
      <c r="AE754" t="s">
        <v>2390</v>
      </c>
      <c r="AF754" s="16">
        <v>44926</v>
      </c>
      <c r="AG754" t="s">
        <v>55</v>
      </c>
      <c r="AH754">
        <v>6</v>
      </c>
      <c r="AK754" s="38">
        <f t="shared" si="235"/>
        <v>45120.441053240742</v>
      </c>
    </row>
    <row r="755" spans="1:43" x14ac:dyDescent="0.35">
      <c r="A755">
        <v>2075</v>
      </c>
      <c r="B755" t="s">
        <v>2391</v>
      </c>
      <c r="C755" t="s">
        <v>2325</v>
      </c>
      <c r="D755" t="str">
        <f t="shared" si="233"/>
        <v>M and E</v>
      </c>
      <c r="E755" t="s">
        <v>2313</v>
      </c>
      <c r="F755" t="s">
        <v>2314</v>
      </c>
      <c r="G755" t="s">
        <v>2315</v>
      </c>
      <c r="H755" t="s">
        <v>334</v>
      </c>
      <c r="I755" s="32">
        <v>44921.441053240742</v>
      </c>
      <c r="J755" s="32" t="s">
        <v>7471</v>
      </c>
      <c r="K755" s="32" t="s">
        <v>7473</v>
      </c>
      <c r="L755" s="8" t="str">
        <f t="shared" si="234"/>
        <v/>
      </c>
      <c r="M755" s="7">
        <v>44934.441053240742</v>
      </c>
      <c r="N755" t="s">
        <v>49</v>
      </c>
      <c r="O755" s="34">
        <v>44931.441053240742</v>
      </c>
      <c r="P755" t="s">
        <v>50</v>
      </c>
      <c r="Q755" t="s">
        <v>125</v>
      </c>
      <c r="R755" s="32" t="s">
        <v>7472</v>
      </c>
      <c r="S755" t="s">
        <v>7476</v>
      </c>
      <c r="T755" s="34" t="s">
        <v>7476</v>
      </c>
      <c r="U755" s="34" t="s">
        <v>7476</v>
      </c>
      <c r="V755" s="32" t="s">
        <v>7476</v>
      </c>
      <c r="W755" s="32" t="s">
        <v>7476</v>
      </c>
      <c r="X755">
        <v>0</v>
      </c>
      <c r="Y755" s="34" t="s">
        <v>7476</v>
      </c>
      <c r="Z755" s="34" t="s">
        <v>7476</v>
      </c>
      <c r="AA755" s="34" t="s">
        <v>7476</v>
      </c>
      <c r="AB755" s="36" t="s">
        <v>95</v>
      </c>
      <c r="AD755" t="s">
        <v>2392</v>
      </c>
      <c r="AE755" t="s">
        <v>2393</v>
      </c>
      <c r="AF755" s="16">
        <v>44924</v>
      </c>
      <c r="AG755" t="s">
        <v>93</v>
      </c>
      <c r="AH755">
        <v>3</v>
      </c>
      <c r="AK755" s="38" t="str">
        <f t="shared" si="235"/>
        <v/>
      </c>
    </row>
    <row r="756" spans="1:43" x14ac:dyDescent="0.35">
      <c r="A756">
        <v>2074</v>
      </c>
      <c r="B756" t="s">
        <v>2394</v>
      </c>
      <c r="C756" t="s">
        <v>2260</v>
      </c>
      <c r="D756" t="str">
        <f t="shared" si="233"/>
        <v>M and E</v>
      </c>
      <c r="E756" t="s">
        <v>2313</v>
      </c>
      <c r="F756" t="s">
        <v>2314</v>
      </c>
      <c r="G756" t="s">
        <v>2315</v>
      </c>
      <c r="H756" t="s">
        <v>334</v>
      </c>
      <c r="I756" s="32">
        <v>44916.441053240742</v>
      </c>
      <c r="J756" s="32">
        <v>44919.441053240742</v>
      </c>
      <c r="K756" s="32">
        <v>44923.441053240742</v>
      </c>
      <c r="L756" s="8">
        <f t="shared" si="234"/>
        <v>7</v>
      </c>
      <c r="M756" s="7">
        <v>44930.441053240742</v>
      </c>
      <c r="N756" t="s">
        <v>49</v>
      </c>
      <c r="O756" s="34">
        <v>44941.441053240742</v>
      </c>
      <c r="P756" t="s">
        <v>50</v>
      </c>
      <c r="Q756" t="s">
        <v>236</v>
      </c>
      <c r="R756" s="32" t="s">
        <v>7472</v>
      </c>
      <c r="S756" t="s">
        <v>7476</v>
      </c>
      <c r="T756" s="34" t="s">
        <v>7476</v>
      </c>
      <c r="U756" s="34" t="s">
        <v>7476</v>
      </c>
      <c r="V756" s="32" t="s">
        <v>7476</v>
      </c>
      <c r="W756" s="32" t="s">
        <v>7476</v>
      </c>
      <c r="X756">
        <v>0</v>
      </c>
      <c r="Y756" s="34" t="s">
        <v>7476</v>
      </c>
      <c r="Z756" s="34" t="s">
        <v>7476</v>
      </c>
      <c r="AA756" s="34" t="s">
        <v>7476</v>
      </c>
      <c r="AB756" s="36" t="s">
        <v>95</v>
      </c>
      <c r="AD756" t="s">
        <v>2395</v>
      </c>
      <c r="AE756" t="s">
        <v>2396</v>
      </c>
      <c r="AF756" s="16">
        <v>44986</v>
      </c>
      <c r="AG756" t="s">
        <v>64</v>
      </c>
      <c r="AH756">
        <v>6</v>
      </c>
      <c r="AI756" s="8" t="str">
        <f>IFERROR(R756-AF756,"")</f>
        <v/>
      </c>
      <c r="AJ756" s="8">
        <f>IFERROR(O756-AF756,"")</f>
        <v>-44.558946759258106</v>
      </c>
      <c r="AK756" s="38" t="str">
        <f t="shared" si="235"/>
        <v/>
      </c>
      <c r="AL756" t="str">
        <f>IFERROR(Z756-W756,"")</f>
        <v/>
      </c>
      <c r="AM756" t="str">
        <f>IFERROR(R756-J756,"")</f>
        <v/>
      </c>
      <c r="AN756" t="str">
        <f>IFERROR(V756-O756,"")</f>
        <v/>
      </c>
      <c r="AO756">
        <f>IFERROR(J756-I756,"")</f>
        <v>3</v>
      </c>
      <c r="AP756">
        <f>IFERROR(AC756-X756,"")</f>
        <v>0</v>
      </c>
      <c r="AQ756" t="str">
        <f>IFERROR(AA756-W756,"")</f>
        <v/>
      </c>
    </row>
    <row r="757" spans="1:43" x14ac:dyDescent="0.35">
      <c r="A757">
        <v>2049</v>
      </c>
      <c r="B757" t="s">
        <v>2397</v>
      </c>
      <c r="C757" t="s">
        <v>2260</v>
      </c>
      <c r="D757" t="str">
        <f t="shared" si="233"/>
        <v>M and E</v>
      </c>
      <c r="E757" t="s">
        <v>2313</v>
      </c>
      <c r="F757" t="s">
        <v>2314</v>
      </c>
      <c r="G757" t="s">
        <v>2315</v>
      </c>
      <c r="H757" t="s">
        <v>334</v>
      </c>
      <c r="I757" s="32">
        <v>44762.200532407413</v>
      </c>
      <c r="J757" s="32">
        <v>44763.200532407413</v>
      </c>
      <c r="K757" s="32" t="s">
        <v>7473</v>
      </c>
      <c r="L757" s="8" t="str">
        <f t="shared" si="234"/>
        <v/>
      </c>
      <c r="M757" s="7">
        <v>44782.200532407413</v>
      </c>
      <c r="N757" t="s">
        <v>72</v>
      </c>
      <c r="O757" s="34" t="s">
        <v>7474</v>
      </c>
      <c r="R757" s="32" t="s">
        <v>7472</v>
      </c>
      <c r="S757" t="s">
        <v>7476</v>
      </c>
      <c r="T757" s="34" t="s">
        <v>7476</v>
      </c>
      <c r="U757" s="34" t="s">
        <v>7476</v>
      </c>
      <c r="V757" s="32" t="s">
        <v>7476</v>
      </c>
      <c r="W757" s="32" t="s">
        <v>7476</v>
      </c>
      <c r="X757">
        <v>0</v>
      </c>
      <c r="Y757" s="34" t="s">
        <v>7476</v>
      </c>
      <c r="Z757" s="34" t="s">
        <v>7476</v>
      </c>
      <c r="AA757" s="34" t="s">
        <v>7476</v>
      </c>
      <c r="AB757" s="36" t="s">
        <v>7476</v>
      </c>
      <c r="AD757" t="s">
        <v>2398</v>
      </c>
      <c r="AE757" t="s">
        <v>2399</v>
      </c>
      <c r="AG757" t="s">
        <v>55</v>
      </c>
      <c r="AH757">
        <v>3</v>
      </c>
      <c r="AK757" s="38" t="str">
        <f t="shared" si="235"/>
        <v/>
      </c>
    </row>
    <row r="758" spans="1:43" x14ac:dyDescent="0.35">
      <c r="A758">
        <v>2046</v>
      </c>
      <c r="B758" t="s">
        <v>2400</v>
      </c>
      <c r="C758" t="s">
        <v>2260</v>
      </c>
      <c r="D758" t="str">
        <f t="shared" si="233"/>
        <v>M and E</v>
      </c>
      <c r="E758" t="s">
        <v>2313</v>
      </c>
      <c r="F758" t="s">
        <v>2314</v>
      </c>
      <c r="G758" t="s">
        <v>2315</v>
      </c>
      <c r="H758" t="s">
        <v>334</v>
      </c>
      <c r="I758" s="32">
        <v>44755.200532407413</v>
      </c>
      <c r="J758" s="32">
        <v>44759.200532407413</v>
      </c>
      <c r="K758" s="32">
        <v>44765.200532407413</v>
      </c>
      <c r="L758" s="8">
        <f t="shared" si="234"/>
        <v>10</v>
      </c>
      <c r="M758" s="7">
        <v>44794.200532407413</v>
      </c>
      <c r="N758" t="s">
        <v>72</v>
      </c>
      <c r="O758" s="34" t="s">
        <v>7474</v>
      </c>
      <c r="R758" s="32" t="s">
        <v>7472</v>
      </c>
      <c r="S758" t="s">
        <v>7476</v>
      </c>
      <c r="T758" s="34" t="s">
        <v>7476</v>
      </c>
      <c r="U758" s="34" t="s">
        <v>7476</v>
      </c>
      <c r="V758" s="32" t="s">
        <v>7476</v>
      </c>
      <c r="W758" s="32" t="s">
        <v>7476</v>
      </c>
      <c r="X758">
        <v>0</v>
      </c>
      <c r="Y758" s="34" t="s">
        <v>7476</v>
      </c>
      <c r="Z758" s="34" t="s">
        <v>7476</v>
      </c>
      <c r="AA758" s="34" t="s">
        <v>7476</v>
      </c>
      <c r="AB758" s="36" t="s">
        <v>7476</v>
      </c>
      <c r="AD758" t="s">
        <v>2401</v>
      </c>
      <c r="AE758" t="s">
        <v>2402</v>
      </c>
      <c r="AG758" t="s">
        <v>98</v>
      </c>
      <c r="AH758">
        <v>3</v>
      </c>
      <c r="AI758" s="8" t="str">
        <f t="shared" ref="AI758:AI766" si="252">IFERROR(R758-AF758,"")</f>
        <v/>
      </c>
      <c r="AJ758" s="8" t="str">
        <f t="shared" ref="AJ758:AJ766" si="253">IFERROR(O758-AF758,"")</f>
        <v/>
      </c>
      <c r="AK758" s="38" t="str">
        <f t="shared" si="235"/>
        <v/>
      </c>
      <c r="AL758" t="str">
        <f t="shared" ref="AL758:AL766" si="254">IFERROR(Z758-W758,"")</f>
        <v/>
      </c>
      <c r="AM758" t="str">
        <f t="shared" ref="AM758:AM766" si="255">IFERROR(R758-J758,"")</f>
        <v/>
      </c>
      <c r="AN758" t="str">
        <f t="shared" ref="AN758:AN766" si="256">IFERROR(V758-O758,"")</f>
        <v/>
      </c>
      <c r="AO758">
        <f t="shared" ref="AO758:AO766" si="257">IFERROR(J758-I758,"")</f>
        <v>4</v>
      </c>
      <c r="AP758">
        <f t="shared" ref="AP758:AP766" si="258">IFERROR(AC758-X758,"")</f>
        <v>0</v>
      </c>
      <c r="AQ758" t="str">
        <f t="shared" ref="AQ758:AQ766" si="259">IFERROR(AA758-W758,"")</f>
        <v/>
      </c>
    </row>
    <row r="759" spans="1:43" x14ac:dyDescent="0.35">
      <c r="A759">
        <v>2041</v>
      </c>
      <c r="B759" t="s">
        <v>2403</v>
      </c>
      <c r="C759" t="s">
        <v>2260</v>
      </c>
      <c r="D759" t="str">
        <f t="shared" si="233"/>
        <v>M and E</v>
      </c>
      <c r="E759" t="s">
        <v>2313</v>
      </c>
      <c r="F759" t="s">
        <v>2314</v>
      </c>
      <c r="G759" t="s">
        <v>2315</v>
      </c>
      <c r="H759" t="s">
        <v>334</v>
      </c>
      <c r="I759" s="32">
        <v>44762.200532407413</v>
      </c>
      <c r="J759" s="32">
        <v>44763.200532407413</v>
      </c>
      <c r="K759" s="32">
        <v>44765.200532407413</v>
      </c>
      <c r="L759" s="8">
        <f t="shared" si="234"/>
        <v>3</v>
      </c>
      <c r="M759" s="7">
        <v>44788.200532407413</v>
      </c>
      <c r="N759" t="s">
        <v>49</v>
      </c>
      <c r="O759" s="34">
        <v>44777.200532407413</v>
      </c>
      <c r="P759" t="s">
        <v>50</v>
      </c>
      <c r="Q759" t="s">
        <v>198</v>
      </c>
      <c r="R759" s="32" t="s">
        <v>7472</v>
      </c>
      <c r="S759" t="s">
        <v>7476</v>
      </c>
      <c r="T759" s="34" t="s">
        <v>7476</v>
      </c>
      <c r="U759" s="34" t="s">
        <v>7476</v>
      </c>
      <c r="V759" s="32" t="s">
        <v>7476</v>
      </c>
      <c r="W759" s="32" t="s">
        <v>7476</v>
      </c>
      <c r="X759">
        <v>0</v>
      </c>
      <c r="Y759" s="34" t="s">
        <v>7476</v>
      </c>
      <c r="Z759" s="34" t="s">
        <v>7476</v>
      </c>
      <c r="AA759" s="34" t="s">
        <v>7476</v>
      </c>
      <c r="AB759" s="36" t="s">
        <v>52</v>
      </c>
      <c r="AD759" t="s">
        <v>2404</v>
      </c>
      <c r="AE759" t="s">
        <v>2405</v>
      </c>
      <c r="AF759" s="16">
        <v>44769</v>
      </c>
      <c r="AG759" t="s">
        <v>68</v>
      </c>
      <c r="AH759">
        <v>3</v>
      </c>
      <c r="AI759" s="8" t="str">
        <f t="shared" si="252"/>
        <v/>
      </c>
      <c r="AJ759" s="8">
        <f t="shared" si="253"/>
        <v>8.2005324074125383</v>
      </c>
      <c r="AK759" s="38" t="str">
        <f t="shared" si="235"/>
        <v/>
      </c>
      <c r="AL759" t="str">
        <f t="shared" si="254"/>
        <v/>
      </c>
      <c r="AM759" t="str">
        <f t="shared" si="255"/>
        <v/>
      </c>
      <c r="AN759" t="str">
        <f t="shared" si="256"/>
        <v/>
      </c>
      <c r="AO759">
        <f t="shared" si="257"/>
        <v>1</v>
      </c>
      <c r="AP759">
        <f t="shared" si="258"/>
        <v>0</v>
      </c>
      <c r="AQ759" t="str">
        <f t="shared" si="259"/>
        <v/>
      </c>
    </row>
    <row r="760" spans="1:43" x14ac:dyDescent="0.35">
      <c r="A760">
        <v>2017</v>
      </c>
      <c r="B760" t="s">
        <v>2406</v>
      </c>
      <c r="C760" t="s">
        <v>2287</v>
      </c>
      <c r="D760" t="str">
        <f t="shared" si="233"/>
        <v>M and E</v>
      </c>
      <c r="E760" t="s">
        <v>2313</v>
      </c>
      <c r="F760" t="s">
        <v>1669</v>
      </c>
      <c r="G760" t="s">
        <v>2407</v>
      </c>
      <c r="H760" t="s">
        <v>334</v>
      </c>
      <c r="I760" s="32">
        <v>45080.58390046296</v>
      </c>
      <c r="J760" s="32">
        <v>45083.58390046296</v>
      </c>
      <c r="K760" s="32">
        <v>45086.58390046296</v>
      </c>
      <c r="L760" s="8">
        <f t="shared" si="234"/>
        <v>6</v>
      </c>
      <c r="M760" s="7">
        <v>45098.58390046296</v>
      </c>
      <c r="N760" t="s">
        <v>49</v>
      </c>
      <c r="O760" s="34">
        <v>45097.58390046296</v>
      </c>
      <c r="P760" t="s">
        <v>50</v>
      </c>
      <c r="Q760" t="s">
        <v>198</v>
      </c>
      <c r="R760" s="32" t="s">
        <v>7472</v>
      </c>
      <c r="S760" t="s">
        <v>7476</v>
      </c>
      <c r="T760" s="34" t="s">
        <v>7476</v>
      </c>
      <c r="U760" s="34" t="s">
        <v>7476</v>
      </c>
      <c r="V760" s="32" t="s">
        <v>7476</v>
      </c>
      <c r="W760" s="32" t="s">
        <v>7476</v>
      </c>
      <c r="X760">
        <v>0</v>
      </c>
      <c r="Y760" s="34" t="s">
        <v>7476</v>
      </c>
      <c r="Z760" s="34" t="s">
        <v>7476</v>
      </c>
      <c r="AA760" s="34" t="s">
        <v>7476</v>
      </c>
      <c r="AB760" s="36" t="s">
        <v>52</v>
      </c>
      <c r="AD760" t="s">
        <v>2408</v>
      </c>
      <c r="AE760" t="s">
        <v>2409</v>
      </c>
      <c r="AF760" s="16">
        <v>45088</v>
      </c>
      <c r="AG760" t="s">
        <v>68</v>
      </c>
      <c r="AH760">
        <v>6</v>
      </c>
      <c r="AI760" s="8" t="str">
        <f t="shared" si="252"/>
        <v/>
      </c>
      <c r="AJ760" s="8">
        <f t="shared" si="253"/>
        <v>9.5839004629597184</v>
      </c>
      <c r="AK760" s="38" t="str">
        <f t="shared" si="235"/>
        <v/>
      </c>
      <c r="AL760" t="str">
        <f t="shared" si="254"/>
        <v/>
      </c>
      <c r="AM760" t="str">
        <f t="shared" si="255"/>
        <v/>
      </c>
      <c r="AN760" t="str">
        <f t="shared" si="256"/>
        <v/>
      </c>
      <c r="AO760">
        <f t="shared" si="257"/>
        <v>3</v>
      </c>
      <c r="AP760">
        <f t="shared" si="258"/>
        <v>0</v>
      </c>
      <c r="AQ760" t="str">
        <f t="shared" si="259"/>
        <v/>
      </c>
    </row>
    <row r="761" spans="1:43" x14ac:dyDescent="0.35">
      <c r="A761">
        <v>2014</v>
      </c>
      <c r="B761" t="s">
        <v>2410</v>
      </c>
      <c r="C761" t="s">
        <v>2325</v>
      </c>
      <c r="D761" t="str">
        <f t="shared" si="233"/>
        <v>M and E</v>
      </c>
      <c r="E761" t="s">
        <v>2313</v>
      </c>
      <c r="F761" t="s">
        <v>1669</v>
      </c>
      <c r="G761" t="s">
        <v>2407</v>
      </c>
      <c r="H761" t="s">
        <v>334</v>
      </c>
      <c r="I761" s="32">
        <v>45080.58390046296</v>
      </c>
      <c r="J761" s="32">
        <v>45081.58390046296</v>
      </c>
      <c r="K761" s="32">
        <v>45086.58390046296</v>
      </c>
      <c r="L761" s="8">
        <f t="shared" si="234"/>
        <v>6</v>
      </c>
      <c r="M761" s="7">
        <v>45102.58390046296</v>
      </c>
      <c r="N761" t="s">
        <v>49</v>
      </c>
      <c r="O761" s="34">
        <v>45100.58390046296</v>
      </c>
      <c r="P761" t="s">
        <v>50</v>
      </c>
      <c r="Q761" t="s">
        <v>51</v>
      </c>
      <c r="R761" s="32" t="s">
        <v>7472</v>
      </c>
      <c r="S761" t="s">
        <v>7476</v>
      </c>
      <c r="T761" s="34" t="s">
        <v>7476</v>
      </c>
      <c r="U761" s="34" t="s">
        <v>7476</v>
      </c>
      <c r="V761" s="32" t="s">
        <v>7476</v>
      </c>
      <c r="W761" s="32" t="s">
        <v>7476</v>
      </c>
      <c r="X761">
        <v>0</v>
      </c>
      <c r="Y761" s="34" t="s">
        <v>7476</v>
      </c>
      <c r="Z761" s="34" t="s">
        <v>7476</v>
      </c>
      <c r="AA761" s="34" t="s">
        <v>7476</v>
      </c>
      <c r="AB761" s="36" t="s">
        <v>52</v>
      </c>
      <c r="AD761" t="s">
        <v>2411</v>
      </c>
      <c r="AE761" t="s">
        <v>2412</v>
      </c>
      <c r="AF761" s="16">
        <v>45085</v>
      </c>
      <c r="AG761" t="s">
        <v>68</v>
      </c>
      <c r="AH761">
        <v>6</v>
      </c>
      <c r="AI761" s="8" t="str">
        <f t="shared" si="252"/>
        <v/>
      </c>
      <c r="AJ761" s="8">
        <f t="shared" si="253"/>
        <v>15.583900462959718</v>
      </c>
      <c r="AK761" s="38" t="str">
        <f t="shared" si="235"/>
        <v/>
      </c>
      <c r="AL761" t="str">
        <f t="shared" si="254"/>
        <v/>
      </c>
      <c r="AM761" t="str">
        <f t="shared" si="255"/>
        <v/>
      </c>
      <c r="AN761" t="str">
        <f t="shared" si="256"/>
        <v/>
      </c>
      <c r="AO761">
        <f t="shared" si="257"/>
        <v>1</v>
      </c>
      <c r="AP761">
        <f t="shared" si="258"/>
        <v>0</v>
      </c>
      <c r="AQ761" t="str">
        <f t="shared" si="259"/>
        <v/>
      </c>
    </row>
    <row r="762" spans="1:43" x14ac:dyDescent="0.35">
      <c r="A762">
        <v>2011</v>
      </c>
      <c r="B762" t="s">
        <v>2413</v>
      </c>
      <c r="C762" t="s">
        <v>2287</v>
      </c>
      <c r="D762" t="str">
        <f t="shared" si="233"/>
        <v>M and E</v>
      </c>
      <c r="E762" t="s">
        <v>2313</v>
      </c>
      <c r="F762" t="s">
        <v>1669</v>
      </c>
      <c r="G762" t="s">
        <v>2407</v>
      </c>
      <c r="H762" t="s">
        <v>334</v>
      </c>
      <c r="I762" s="32">
        <v>45081.58390046296</v>
      </c>
      <c r="J762" s="32">
        <v>45085.58390046296</v>
      </c>
      <c r="K762" s="32">
        <v>45086.58390046296</v>
      </c>
      <c r="L762" s="8">
        <f t="shared" si="234"/>
        <v>5</v>
      </c>
      <c r="M762" s="7">
        <v>45113.58390046296</v>
      </c>
      <c r="N762" t="s">
        <v>49</v>
      </c>
      <c r="O762" s="34">
        <v>45102.58390046296</v>
      </c>
      <c r="P762" t="s">
        <v>392</v>
      </c>
      <c r="R762" s="32">
        <v>45107.58390046296</v>
      </c>
      <c r="S762" t="s">
        <v>392</v>
      </c>
      <c r="T762" s="34" t="s">
        <v>7476</v>
      </c>
      <c r="U762" s="34" t="s">
        <v>7476</v>
      </c>
      <c r="V762" s="32">
        <v>45104.58390046296</v>
      </c>
      <c r="W762" s="32" t="s">
        <v>7476</v>
      </c>
      <c r="X762">
        <v>0</v>
      </c>
      <c r="Y762" s="34" t="s">
        <v>7476</v>
      </c>
      <c r="Z762" s="34" t="s">
        <v>7476</v>
      </c>
      <c r="AA762" s="34" t="s">
        <v>7476</v>
      </c>
      <c r="AB762" s="36" t="s">
        <v>7476</v>
      </c>
      <c r="AD762" t="s">
        <v>2414</v>
      </c>
      <c r="AE762" t="s">
        <v>2415</v>
      </c>
      <c r="AF762" s="16">
        <v>45087</v>
      </c>
      <c r="AG762" t="s">
        <v>98</v>
      </c>
      <c r="AH762">
        <v>6</v>
      </c>
      <c r="AI762" s="8">
        <f t="shared" si="252"/>
        <v>20.583900462959718</v>
      </c>
      <c r="AJ762" s="8">
        <f t="shared" si="253"/>
        <v>15.583900462959718</v>
      </c>
      <c r="AK762" s="38">
        <f t="shared" si="235"/>
        <v>45284.58390046296</v>
      </c>
      <c r="AL762" t="str">
        <f t="shared" si="254"/>
        <v/>
      </c>
      <c r="AM762">
        <f t="shared" si="255"/>
        <v>22</v>
      </c>
      <c r="AN762">
        <f t="shared" si="256"/>
        <v>2</v>
      </c>
      <c r="AO762">
        <f t="shared" si="257"/>
        <v>4</v>
      </c>
      <c r="AP762">
        <f t="shared" si="258"/>
        <v>0</v>
      </c>
      <c r="AQ762" t="str">
        <f t="shared" si="259"/>
        <v/>
      </c>
    </row>
    <row r="763" spans="1:43" x14ac:dyDescent="0.35">
      <c r="A763">
        <v>1949</v>
      </c>
      <c r="B763" t="s">
        <v>2416</v>
      </c>
      <c r="C763" t="s">
        <v>2325</v>
      </c>
      <c r="D763" t="str">
        <f t="shared" si="233"/>
        <v>M and E</v>
      </c>
      <c r="E763" t="s">
        <v>2313</v>
      </c>
      <c r="F763" t="s">
        <v>1669</v>
      </c>
      <c r="G763" t="s">
        <v>2407</v>
      </c>
      <c r="H763" t="s">
        <v>334</v>
      </c>
      <c r="I763" s="32">
        <v>44984.264120370368</v>
      </c>
      <c r="J763" s="32">
        <v>44987.264120370368</v>
      </c>
      <c r="K763" s="32">
        <v>44990.264120370368</v>
      </c>
      <c r="L763" s="8">
        <f t="shared" si="234"/>
        <v>6</v>
      </c>
      <c r="M763" s="7">
        <v>45014.264120370368</v>
      </c>
      <c r="N763" t="s">
        <v>49</v>
      </c>
      <c r="O763" s="34">
        <v>44993.264120370368</v>
      </c>
      <c r="P763" t="s">
        <v>392</v>
      </c>
      <c r="R763" s="32">
        <v>44997.264120370368</v>
      </c>
      <c r="S763" t="s">
        <v>392</v>
      </c>
      <c r="T763" s="34" t="s">
        <v>7476</v>
      </c>
      <c r="U763" s="34" t="s">
        <v>7476</v>
      </c>
      <c r="V763" s="32">
        <v>44995.264120370368</v>
      </c>
      <c r="W763" s="32" t="s">
        <v>7476</v>
      </c>
      <c r="X763">
        <v>0</v>
      </c>
      <c r="Y763" s="34" t="s">
        <v>7476</v>
      </c>
      <c r="Z763" s="34" t="s">
        <v>7476</v>
      </c>
      <c r="AA763" s="34" t="s">
        <v>7476</v>
      </c>
      <c r="AB763" s="36" t="s">
        <v>7476</v>
      </c>
      <c r="AD763" t="s">
        <v>2417</v>
      </c>
      <c r="AE763" t="s">
        <v>2418</v>
      </c>
      <c r="AF763" s="16">
        <v>44929</v>
      </c>
      <c r="AG763" t="s">
        <v>64</v>
      </c>
      <c r="AH763">
        <v>3</v>
      </c>
      <c r="AI763" s="8">
        <f t="shared" si="252"/>
        <v>68.264120370367891</v>
      </c>
      <c r="AJ763" s="8">
        <f t="shared" si="253"/>
        <v>64.264120370367891</v>
      </c>
      <c r="AK763" s="38">
        <f t="shared" si="235"/>
        <v>45085.264120370368</v>
      </c>
      <c r="AL763" t="str">
        <f t="shared" si="254"/>
        <v/>
      </c>
      <c r="AM763">
        <f t="shared" si="255"/>
        <v>10</v>
      </c>
      <c r="AN763">
        <f t="shared" si="256"/>
        <v>2</v>
      </c>
      <c r="AO763">
        <f t="shared" si="257"/>
        <v>3</v>
      </c>
      <c r="AP763">
        <f t="shared" si="258"/>
        <v>0</v>
      </c>
      <c r="AQ763" t="str">
        <f t="shared" si="259"/>
        <v/>
      </c>
    </row>
    <row r="764" spans="1:43" x14ac:dyDescent="0.35">
      <c r="A764">
        <v>1946</v>
      </c>
      <c r="B764" t="s">
        <v>2419</v>
      </c>
      <c r="C764" t="s">
        <v>2287</v>
      </c>
      <c r="D764" t="str">
        <f t="shared" si="233"/>
        <v>M and E</v>
      </c>
      <c r="E764" t="s">
        <v>2313</v>
      </c>
      <c r="F764" t="s">
        <v>1669</v>
      </c>
      <c r="G764" t="s">
        <v>2407</v>
      </c>
      <c r="H764" t="s">
        <v>334</v>
      </c>
      <c r="I764" s="32">
        <v>44985.264120370368</v>
      </c>
      <c r="J764" s="32">
        <v>44987.264120370368</v>
      </c>
      <c r="K764" s="32">
        <v>44990.264120370368</v>
      </c>
      <c r="L764" s="8">
        <f t="shared" si="234"/>
        <v>5</v>
      </c>
      <c r="M764" s="7">
        <v>45003.264120370368</v>
      </c>
      <c r="N764" t="s">
        <v>49</v>
      </c>
      <c r="O764" s="34">
        <v>44996.264120370368</v>
      </c>
      <c r="P764" t="s">
        <v>101</v>
      </c>
      <c r="R764" s="32">
        <v>44998.264120370368</v>
      </c>
      <c r="S764" t="s">
        <v>101</v>
      </c>
      <c r="T764" s="34">
        <v>44998.264120370368</v>
      </c>
      <c r="U764" s="34">
        <v>45000.264120370368</v>
      </c>
      <c r="V764" s="32">
        <v>44997.264120370368</v>
      </c>
      <c r="W764" s="32">
        <v>45002.264120370368</v>
      </c>
      <c r="X764">
        <v>1</v>
      </c>
      <c r="Y764" s="34">
        <v>45005.264120370368</v>
      </c>
      <c r="Z764" s="34">
        <v>45006.264120370368</v>
      </c>
      <c r="AA764" s="34">
        <v>45007.264120370368</v>
      </c>
      <c r="AB764" s="36" t="s">
        <v>7476</v>
      </c>
      <c r="AC764" s="10">
        <v>45021.264120370368</v>
      </c>
      <c r="AD764" t="s">
        <v>2420</v>
      </c>
      <c r="AE764" t="s">
        <v>2421</v>
      </c>
      <c r="AF764" s="16">
        <v>44980</v>
      </c>
      <c r="AG764" t="s">
        <v>68</v>
      </c>
      <c r="AH764">
        <v>3</v>
      </c>
      <c r="AI764" s="8">
        <f t="shared" si="252"/>
        <v>18.264120370367891</v>
      </c>
      <c r="AJ764" s="8">
        <f t="shared" si="253"/>
        <v>16.264120370367891</v>
      </c>
      <c r="AK764" s="38">
        <f t="shared" si="235"/>
        <v>45087.264120370368</v>
      </c>
      <c r="AL764">
        <f t="shared" si="254"/>
        <v>4</v>
      </c>
      <c r="AM764">
        <f t="shared" si="255"/>
        <v>11</v>
      </c>
      <c r="AN764">
        <f t="shared" si="256"/>
        <v>1</v>
      </c>
      <c r="AO764">
        <f t="shared" si="257"/>
        <v>2</v>
      </c>
      <c r="AP764">
        <f t="shared" si="258"/>
        <v>45020.264120370368</v>
      </c>
      <c r="AQ764">
        <f t="shared" si="259"/>
        <v>5</v>
      </c>
    </row>
    <row r="765" spans="1:43" x14ac:dyDescent="0.35">
      <c r="A765">
        <v>1941</v>
      </c>
      <c r="B765" t="s">
        <v>2422</v>
      </c>
      <c r="C765" t="s">
        <v>2287</v>
      </c>
      <c r="D765" t="str">
        <f t="shared" si="233"/>
        <v>M and E</v>
      </c>
      <c r="E765" t="s">
        <v>2313</v>
      </c>
      <c r="F765" t="s">
        <v>1669</v>
      </c>
      <c r="G765" t="s">
        <v>2407</v>
      </c>
      <c r="H765" t="s">
        <v>334</v>
      </c>
      <c r="I765" s="32">
        <v>44982.264120370368</v>
      </c>
      <c r="J765" s="32">
        <v>44984.264120370368</v>
      </c>
      <c r="K765" s="32">
        <v>44990.264120370368</v>
      </c>
      <c r="L765" s="8">
        <f t="shared" si="234"/>
        <v>8</v>
      </c>
      <c r="M765" s="7">
        <v>45001.264120370368</v>
      </c>
      <c r="N765" t="s">
        <v>72</v>
      </c>
      <c r="O765" s="34" t="s">
        <v>7474</v>
      </c>
      <c r="R765" s="32" t="s">
        <v>7472</v>
      </c>
      <c r="S765" t="s">
        <v>7476</v>
      </c>
      <c r="T765" s="34" t="s">
        <v>7476</v>
      </c>
      <c r="U765" s="34" t="s">
        <v>7476</v>
      </c>
      <c r="V765" s="32" t="s">
        <v>7476</v>
      </c>
      <c r="W765" s="32" t="s">
        <v>7476</v>
      </c>
      <c r="X765">
        <v>0</v>
      </c>
      <c r="Y765" s="34" t="s">
        <v>7476</v>
      </c>
      <c r="Z765" s="34" t="s">
        <v>7476</v>
      </c>
      <c r="AA765" s="34" t="s">
        <v>7476</v>
      </c>
      <c r="AB765" s="36" t="s">
        <v>7476</v>
      </c>
      <c r="AD765" t="s">
        <v>2423</v>
      </c>
      <c r="AE765" t="s">
        <v>2424</v>
      </c>
      <c r="AG765" t="s">
        <v>68</v>
      </c>
      <c r="AH765">
        <v>3</v>
      </c>
      <c r="AI765" s="8" t="str">
        <f t="shared" si="252"/>
        <v/>
      </c>
      <c r="AJ765" s="8" t="str">
        <f t="shared" si="253"/>
        <v/>
      </c>
      <c r="AK765" s="38" t="str">
        <f t="shared" si="235"/>
        <v/>
      </c>
      <c r="AL765" t="str">
        <f t="shared" si="254"/>
        <v/>
      </c>
      <c r="AM765" t="str">
        <f t="shared" si="255"/>
        <v/>
      </c>
      <c r="AN765" t="str">
        <f t="shared" si="256"/>
        <v/>
      </c>
      <c r="AO765">
        <f t="shared" si="257"/>
        <v>2</v>
      </c>
      <c r="AP765">
        <f t="shared" si="258"/>
        <v>0</v>
      </c>
      <c r="AQ765" t="str">
        <f t="shared" si="259"/>
        <v/>
      </c>
    </row>
    <row r="766" spans="1:43" x14ac:dyDescent="0.35">
      <c r="A766">
        <v>1836</v>
      </c>
      <c r="B766" t="s">
        <v>2425</v>
      </c>
      <c r="C766" t="s">
        <v>2260</v>
      </c>
      <c r="D766" t="str">
        <f t="shared" si="233"/>
        <v>M and E</v>
      </c>
      <c r="E766" t="s">
        <v>2313</v>
      </c>
      <c r="F766" t="s">
        <v>1669</v>
      </c>
      <c r="G766" t="s">
        <v>2407</v>
      </c>
      <c r="H766" t="s">
        <v>334</v>
      </c>
      <c r="I766" s="32">
        <v>45034.367280092592</v>
      </c>
      <c r="J766" s="32">
        <v>45038.367280092592</v>
      </c>
      <c r="K766" s="32">
        <v>45040.367280092592</v>
      </c>
      <c r="L766" s="8">
        <f t="shared" si="234"/>
        <v>6</v>
      </c>
      <c r="M766" s="7">
        <v>45063.367280092592</v>
      </c>
      <c r="N766" t="s">
        <v>49</v>
      </c>
      <c r="O766" s="34">
        <v>45054.367280092592</v>
      </c>
      <c r="P766" t="s">
        <v>50</v>
      </c>
      <c r="Q766" t="s">
        <v>51</v>
      </c>
      <c r="R766" s="32" t="s">
        <v>7472</v>
      </c>
      <c r="S766" t="s">
        <v>7476</v>
      </c>
      <c r="T766" s="34" t="s">
        <v>7476</v>
      </c>
      <c r="U766" s="34" t="s">
        <v>7476</v>
      </c>
      <c r="V766" s="32" t="s">
        <v>7476</v>
      </c>
      <c r="W766" s="32" t="s">
        <v>7476</v>
      </c>
      <c r="X766">
        <v>0</v>
      </c>
      <c r="Y766" s="34" t="s">
        <v>7476</v>
      </c>
      <c r="Z766" s="34" t="s">
        <v>7476</v>
      </c>
      <c r="AA766" s="34" t="s">
        <v>7476</v>
      </c>
      <c r="AB766" s="36" t="s">
        <v>95</v>
      </c>
      <c r="AD766" t="s">
        <v>2426</v>
      </c>
      <c r="AE766" t="s">
        <v>2427</v>
      </c>
      <c r="AF766" s="16">
        <v>45037</v>
      </c>
      <c r="AG766" t="s">
        <v>98</v>
      </c>
      <c r="AH766">
        <v>3</v>
      </c>
      <c r="AI766" s="8" t="str">
        <f t="shared" si="252"/>
        <v/>
      </c>
      <c r="AJ766" s="8">
        <f t="shared" si="253"/>
        <v>17.367280092592409</v>
      </c>
      <c r="AK766" s="38" t="str">
        <f t="shared" si="235"/>
        <v/>
      </c>
      <c r="AL766" t="str">
        <f t="shared" si="254"/>
        <v/>
      </c>
      <c r="AM766" t="str">
        <f t="shared" si="255"/>
        <v/>
      </c>
      <c r="AN766" t="str">
        <f t="shared" si="256"/>
        <v/>
      </c>
      <c r="AO766">
        <f t="shared" si="257"/>
        <v>4</v>
      </c>
      <c r="AP766">
        <f t="shared" si="258"/>
        <v>0</v>
      </c>
      <c r="AQ766" t="str">
        <f t="shared" si="259"/>
        <v/>
      </c>
    </row>
    <row r="767" spans="1:43" x14ac:dyDescent="0.35">
      <c r="A767">
        <v>1788</v>
      </c>
      <c r="B767" t="s">
        <v>2428</v>
      </c>
      <c r="C767" t="s">
        <v>2287</v>
      </c>
      <c r="D767" t="str">
        <f t="shared" si="233"/>
        <v>M and E</v>
      </c>
      <c r="E767" t="s">
        <v>2313</v>
      </c>
      <c r="F767" t="s">
        <v>1669</v>
      </c>
      <c r="G767" t="s">
        <v>2407</v>
      </c>
      <c r="H767" t="s">
        <v>334</v>
      </c>
      <c r="I767" s="32" t="s">
        <v>7471</v>
      </c>
      <c r="J767" s="32">
        <v>44660.356493055559</v>
      </c>
      <c r="K767" s="32">
        <v>44665.356493055559</v>
      </c>
      <c r="L767" s="8" t="str">
        <f t="shared" si="234"/>
        <v/>
      </c>
      <c r="M767" s="7">
        <v>44694.356493055559</v>
      </c>
      <c r="N767" t="s">
        <v>49</v>
      </c>
      <c r="O767" s="34">
        <v>44668.356493055559</v>
      </c>
      <c r="P767" t="s">
        <v>101</v>
      </c>
      <c r="R767" s="32">
        <v>44676.356493055559</v>
      </c>
      <c r="S767" t="s">
        <v>101</v>
      </c>
      <c r="T767" s="34">
        <v>44670.356493055559</v>
      </c>
      <c r="U767" s="34">
        <v>44672.356493055559</v>
      </c>
      <c r="V767" s="32">
        <v>44672.356493055559</v>
      </c>
      <c r="W767" s="32">
        <v>44679.356493055559</v>
      </c>
      <c r="X767">
        <v>1</v>
      </c>
      <c r="Y767" s="34">
        <v>44683.356493055559</v>
      </c>
      <c r="Z767" s="34">
        <v>44686.356493055559</v>
      </c>
      <c r="AA767" s="34">
        <v>44689.356493055559</v>
      </c>
      <c r="AB767" s="36" t="s">
        <v>7476</v>
      </c>
      <c r="AC767" s="10">
        <v>44698.356493055559</v>
      </c>
      <c r="AD767" t="s">
        <v>2429</v>
      </c>
      <c r="AE767" t="s">
        <v>2430</v>
      </c>
      <c r="AF767" s="16">
        <v>44662</v>
      </c>
      <c r="AG767" t="s">
        <v>93</v>
      </c>
      <c r="AH767">
        <v>6</v>
      </c>
      <c r="AK767" s="38">
        <f t="shared" si="235"/>
        <v>44852.356493055559</v>
      </c>
    </row>
    <row r="768" spans="1:43" x14ac:dyDescent="0.35">
      <c r="A768">
        <v>1784</v>
      </c>
      <c r="B768" t="s">
        <v>2431</v>
      </c>
      <c r="C768" t="s">
        <v>2260</v>
      </c>
      <c r="D768" t="str">
        <f t="shared" si="233"/>
        <v>M and E</v>
      </c>
      <c r="E768" t="s">
        <v>2313</v>
      </c>
      <c r="F768" t="s">
        <v>1669</v>
      </c>
      <c r="G768" t="s">
        <v>2407</v>
      </c>
      <c r="H768" t="s">
        <v>334</v>
      </c>
      <c r="I768" s="32">
        <v>44657.356493055559</v>
      </c>
      <c r="J768" s="32">
        <v>44661.356493055559</v>
      </c>
      <c r="K768" s="32">
        <v>44665.356493055559</v>
      </c>
      <c r="L768" s="8">
        <f t="shared" si="234"/>
        <v>8</v>
      </c>
      <c r="M768" s="7">
        <v>44672.356493055559</v>
      </c>
      <c r="N768" t="s">
        <v>49</v>
      </c>
      <c r="O768" s="34">
        <v>44671.356493055559</v>
      </c>
      <c r="P768" t="s">
        <v>101</v>
      </c>
      <c r="R768" s="32">
        <v>44679.356493055559</v>
      </c>
      <c r="S768" t="s">
        <v>101</v>
      </c>
      <c r="T768" s="34">
        <v>44672.356493055559</v>
      </c>
      <c r="U768" s="34">
        <v>44673.356493055559</v>
      </c>
      <c r="V768" s="32">
        <v>44675.356493055559</v>
      </c>
      <c r="W768" s="32">
        <v>44682.356493055559</v>
      </c>
      <c r="X768">
        <v>1</v>
      </c>
      <c r="Y768" s="34">
        <v>44685.356493055559</v>
      </c>
      <c r="Z768" s="34">
        <v>44687.356493055559</v>
      </c>
      <c r="AA768" s="34">
        <v>44689.356493055559</v>
      </c>
      <c r="AB768" s="36" t="s">
        <v>7476</v>
      </c>
      <c r="AC768" s="10">
        <v>44704.356493055559</v>
      </c>
      <c r="AD768" t="s">
        <v>2432</v>
      </c>
      <c r="AE768" t="s">
        <v>2433</v>
      </c>
      <c r="AF768" s="16">
        <v>44657</v>
      </c>
      <c r="AG768" t="s">
        <v>98</v>
      </c>
      <c r="AH768">
        <v>6</v>
      </c>
      <c r="AI768" s="8">
        <f>IFERROR(R768-AF768,"")</f>
        <v>22.356493055558531</v>
      </c>
      <c r="AJ768" s="8">
        <f>IFERROR(O768-AF768,"")</f>
        <v>14.356493055558531</v>
      </c>
      <c r="AK768" s="38">
        <f t="shared" si="235"/>
        <v>44855.356493055559</v>
      </c>
      <c r="AL768">
        <f>IFERROR(Z768-W768,"")</f>
        <v>5</v>
      </c>
      <c r="AM768">
        <f>IFERROR(R768-J768,"")</f>
        <v>18</v>
      </c>
      <c r="AN768">
        <f>IFERROR(V768-O768,"")</f>
        <v>4</v>
      </c>
      <c r="AO768">
        <f>IFERROR(J768-I768,"")</f>
        <v>4</v>
      </c>
      <c r="AP768">
        <f>IFERROR(AC768-X768,"")</f>
        <v>44703.356493055559</v>
      </c>
      <c r="AQ768">
        <f>IFERROR(AA768-W768,"")</f>
        <v>7</v>
      </c>
    </row>
    <row r="769" spans="1:43" x14ac:dyDescent="0.35">
      <c r="A769">
        <v>1767</v>
      </c>
      <c r="B769" t="s">
        <v>2434</v>
      </c>
      <c r="C769" t="s">
        <v>2287</v>
      </c>
      <c r="D769" t="str">
        <f t="shared" si="233"/>
        <v>M and E</v>
      </c>
      <c r="E769" t="s">
        <v>2313</v>
      </c>
      <c r="F769" t="s">
        <v>1669</v>
      </c>
      <c r="G769" t="s">
        <v>2407</v>
      </c>
      <c r="H769" t="s">
        <v>334</v>
      </c>
      <c r="I769" s="32">
        <v>45096.652581018519</v>
      </c>
      <c r="J769" s="32">
        <v>45100.652581018519</v>
      </c>
      <c r="K769" s="32" t="s">
        <v>7473</v>
      </c>
      <c r="L769" s="8" t="str">
        <f t="shared" si="234"/>
        <v/>
      </c>
      <c r="M769" s="7">
        <v>45116.652581018519</v>
      </c>
      <c r="N769" t="s">
        <v>49</v>
      </c>
      <c r="O769" s="34">
        <v>45112.652581018519</v>
      </c>
      <c r="P769" t="s">
        <v>60</v>
      </c>
      <c r="R769" s="32">
        <v>45118.652581018519</v>
      </c>
      <c r="S769" t="s">
        <v>61</v>
      </c>
      <c r="T769" s="34" t="s">
        <v>7476</v>
      </c>
      <c r="U769" s="34" t="s">
        <v>7476</v>
      </c>
      <c r="V769" s="32">
        <v>45116.652581018519</v>
      </c>
      <c r="W769" s="32" t="s">
        <v>7476</v>
      </c>
      <c r="X769">
        <v>0</v>
      </c>
      <c r="Y769" s="34" t="s">
        <v>7476</v>
      </c>
      <c r="Z769" s="34" t="s">
        <v>7476</v>
      </c>
      <c r="AA769" s="34" t="s">
        <v>7476</v>
      </c>
      <c r="AB769" s="36" t="s">
        <v>7476</v>
      </c>
      <c r="AD769" t="s">
        <v>2435</v>
      </c>
      <c r="AE769" t="s">
        <v>2436</v>
      </c>
      <c r="AF769" s="16">
        <v>45103</v>
      </c>
      <c r="AG769" t="s">
        <v>55</v>
      </c>
      <c r="AH769">
        <v>3</v>
      </c>
      <c r="AK769" s="38">
        <f t="shared" si="235"/>
        <v>45206.652581018519</v>
      </c>
    </row>
    <row r="770" spans="1:43" x14ac:dyDescent="0.35">
      <c r="A770">
        <v>1766</v>
      </c>
      <c r="B770" t="s">
        <v>2437</v>
      </c>
      <c r="C770" t="s">
        <v>2325</v>
      </c>
      <c r="D770" t="str">
        <f t="shared" ref="D770:D833" si="260">TRIM(C770)</f>
        <v>M and E</v>
      </c>
      <c r="E770" t="s">
        <v>2313</v>
      </c>
      <c r="F770" t="s">
        <v>1669</v>
      </c>
      <c r="G770" t="s">
        <v>2407</v>
      </c>
      <c r="H770" t="s">
        <v>334</v>
      </c>
      <c r="I770" s="32">
        <v>45099.652581018519</v>
      </c>
      <c r="J770" s="32">
        <v>45101.652581018519</v>
      </c>
      <c r="K770" s="32">
        <v>45105.652581018519</v>
      </c>
      <c r="L770" s="8">
        <f t="shared" ref="L770:L833" si="261">IFERROR(K770-I770,"")</f>
        <v>6</v>
      </c>
      <c r="M770" s="7">
        <v>45124.652581018519</v>
      </c>
      <c r="N770" t="s">
        <v>49</v>
      </c>
      <c r="O770" s="34">
        <v>45121.652581018519</v>
      </c>
      <c r="P770" t="s">
        <v>50</v>
      </c>
      <c r="Q770" t="s">
        <v>51</v>
      </c>
      <c r="R770" s="32" t="s">
        <v>7472</v>
      </c>
      <c r="S770" t="s">
        <v>7476</v>
      </c>
      <c r="T770" s="34" t="s">
        <v>7476</v>
      </c>
      <c r="U770" s="34" t="s">
        <v>7476</v>
      </c>
      <c r="V770" s="32">
        <v>45125.652581018519</v>
      </c>
      <c r="W770" s="32" t="s">
        <v>7476</v>
      </c>
      <c r="X770">
        <v>0</v>
      </c>
      <c r="Y770" s="34" t="s">
        <v>7476</v>
      </c>
      <c r="Z770" s="34" t="s">
        <v>7476</v>
      </c>
      <c r="AA770" s="34" t="s">
        <v>7476</v>
      </c>
      <c r="AB770" s="36" t="s">
        <v>95</v>
      </c>
      <c r="AD770" t="s">
        <v>2438</v>
      </c>
      <c r="AE770" t="s">
        <v>2439</v>
      </c>
      <c r="AF770" s="16">
        <v>45107</v>
      </c>
      <c r="AG770" t="s">
        <v>68</v>
      </c>
      <c r="AH770">
        <v>3</v>
      </c>
      <c r="AI770" s="8" t="str">
        <f>IFERROR(R770-AF770,"")</f>
        <v/>
      </c>
      <c r="AJ770" s="8">
        <f>IFERROR(O770-AF770,"")</f>
        <v>14.652581018519413</v>
      </c>
      <c r="AK770" s="38">
        <f t="shared" si="235"/>
        <v>45215.652581018519</v>
      </c>
      <c r="AL770" t="str">
        <f>IFERROR(Z770-W770,"")</f>
        <v/>
      </c>
      <c r="AM770" t="str">
        <f>IFERROR(R770-J770,"")</f>
        <v/>
      </c>
      <c r="AN770">
        <f>IFERROR(V770-O770,"")</f>
        <v>4</v>
      </c>
      <c r="AO770">
        <f>IFERROR(J770-I770,"")</f>
        <v>2</v>
      </c>
      <c r="AP770">
        <f>IFERROR(AC770-X770,"")</f>
        <v>0</v>
      </c>
      <c r="AQ770" t="str">
        <f>IFERROR(AA770-W770,"")</f>
        <v/>
      </c>
    </row>
    <row r="771" spans="1:43" x14ac:dyDescent="0.35">
      <c r="A771">
        <v>1763</v>
      </c>
      <c r="B771" t="s">
        <v>2440</v>
      </c>
      <c r="C771" t="s">
        <v>2260</v>
      </c>
      <c r="D771" t="str">
        <f t="shared" si="260"/>
        <v>M and E</v>
      </c>
      <c r="E771" t="s">
        <v>2313</v>
      </c>
      <c r="F771" t="s">
        <v>1669</v>
      </c>
      <c r="G771" t="s">
        <v>2407</v>
      </c>
      <c r="H771" t="s">
        <v>334</v>
      </c>
      <c r="I771" s="32">
        <v>45098.652581018519</v>
      </c>
      <c r="J771" s="32">
        <v>45099.652581018519</v>
      </c>
      <c r="K771" s="32">
        <v>45105.652581018519</v>
      </c>
      <c r="L771" s="8">
        <f t="shared" si="261"/>
        <v>7</v>
      </c>
      <c r="M771" s="7">
        <v>45132.652581018519</v>
      </c>
      <c r="N771" t="s">
        <v>49</v>
      </c>
      <c r="O771" s="34">
        <v>45109.652581018519</v>
      </c>
      <c r="P771" t="s">
        <v>50</v>
      </c>
      <c r="Q771" t="s">
        <v>125</v>
      </c>
      <c r="R771" s="32" t="s">
        <v>7472</v>
      </c>
      <c r="S771" t="s">
        <v>7476</v>
      </c>
      <c r="T771" s="34" t="s">
        <v>7476</v>
      </c>
      <c r="U771" s="34" t="s">
        <v>7476</v>
      </c>
      <c r="V771" s="32" t="s">
        <v>7476</v>
      </c>
      <c r="W771" s="32" t="s">
        <v>7476</v>
      </c>
      <c r="X771">
        <v>0</v>
      </c>
      <c r="Y771" s="34" t="s">
        <v>7476</v>
      </c>
      <c r="Z771" s="34" t="s">
        <v>7476</v>
      </c>
      <c r="AA771" s="34" t="s">
        <v>7476</v>
      </c>
      <c r="AB771" s="36" t="s">
        <v>95</v>
      </c>
      <c r="AD771" t="s">
        <v>2441</v>
      </c>
      <c r="AE771" t="s">
        <v>2442</v>
      </c>
      <c r="AF771" s="16">
        <v>45101</v>
      </c>
      <c r="AG771" t="s">
        <v>68</v>
      </c>
      <c r="AH771">
        <v>6</v>
      </c>
      <c r="AI771" s="8" t="str">
        <f>IFERROR(R771-AF771,"")</f>
        <v/>
      </c>
      <c r="AJ771" s="8">
        <f>IFERROR(O771-AF771,"")</f>
        <v>8.6525810185194132</v>
      </c>
      <c r="AK771" s="38" t="str">
        <f t="shared" ref="AK771:AK834" si="262">IFERROR(V771+(AH771*30),"")</f>
        <v/>
      </c>
      <c r="AL771" t="str">
        <f>IFERROR(Z771-W771,"")</f>
        <v/>
      </c>
      <c r="AM771" t="str">
        <f>IFERROR(R771-J771,"")</f>
        <v/>
      </c>
      <c r="AN771" t="str">
        <f>IFERROR(V771-O771,"")</f>
        <v/>
      </c>
      <c r="AO771">
        <f>IFERROR(J771-I771,"")</f>
        <v>1</v>
      </c>
      <c r="AP771">
        <f>IFERROR(AC771-X771,"")</f>
        <v>0</v>
      </c>
      <c r="AQ771" t="str">
        <f>IFERROR(AA771-W771,"")</f>
        <v/>
      </c>
    </row>
    <row r="772" spans="1:43" x14ac:dyDescent="0.35">
      <c r="A772">
        <v>1761</v>
      </c>
      <c r="B772" t="s">
        <v>2443</v>
      </c>
      <c r="C772" t="s">
        <v>2325</v>
      </c>
      <c r="D772" t="str">
        <f t="shared" si="260"/>
        <v>M and E</v>
      </c>
      <c r="E772" t="s">
        <v>2313</v>
      </c>
      <c r="F772" t="s">
        <v>1669</v>
      </c>
      <c r="G772" t="s">
        <v>2407</v>
      </c>
      <c r="H772" t="s">
        <v>334</v>
      </c>
      <c r="I772" s="32">
        <v>45101.652581018519</v>
      </c>
      <c r="J772" s="32">
        <v>45104.652581018519</v>
      </c>
      <c r="K772" s="32">
        <v>45105.652581018519</v>
      </c>
      <c r="L772" s="8">
        <f t="shared" si="261"/>
        <v>4</v>
      </c>
      <c r="M772" s="7">
        <v>45113.652581018519</v>
      </c>
      <c r="N772" t="s">
        <v>72</v>
      </c>
      <c r="O772" s="34" t="s">
        <v>7474</v>
      </c>
      <c r="R772" s="32" t="s">
        <v>7472</v>
      </c>
      <c r="S772" t="s">
        <v>7476</v>
      </c>
      <c r="T772" s="34" t="s">
        <v>7476</v>
      </c>
      <c r="U772" s="34" t="s">
        <v>7476</v>
      </c>
      <c r="V772" s="32" t="s">
        <v>7476</v>
      </c>
      <c r="W772" s="32" t="s">
        <v>7476</v>
      </c>
      <c r="X772">
        <v>0</v>
      </c>
      <c r="Y772" s="34" t="s">
        <v>7476</v>
      </c>
      <c r="Z772" s="34" t="s">
        <v>7476</v>
      </c>
      <c r="AA772" s="34" t="s">
        <v>7476</v>
      </c>
      <c r="AB772" s="36" t="s">
        <v>7476</v>
      </c>
      <c r="AD772" t="s">
        <v>2444</v>
      </c>
      <c r="AE772" t="s">
        <v>2445</v>
      </c>
      <c r="AG772" t="s">
        <v>68</v>
      </c>
      <c r="AH772">
        <v>3</v>
      </c>
      <c r="AI772" s="8" t="str">
        <f>IFERROR(R772-AF772,"")</f>
        <v/>
      </c>
      <c r="AJ772" s="8" t="str">
        <f>IFERROR(O772-AF772,"")</f>
        <v/>
      </c>
      <c r="AK772" s="38" t="str">
        <f t="shared" si="262"/>
        <v/>
      </c>
      <c r="AL772" t="str">
        <f>IFERROR(Z772-W772,"")</f>
        <v/>
      </c>
      <c r="AM772" t="str">
        <f>IFERROR(R772-J772,"")</f>
        <v/>
      </c>
      <c r="AN772" t="str">
        <f>IFERROR(V772-O772,"")</f>
        <v/>
      </c>
      <c r="AO772">
        <f>IFERROR(J772-I772,"")</f>
        <v>3</v>
      </c>
      <c r="AP772">
        <f>IFERROR(AC772-X772,"")</f>
        <v>0</v>
      </c>
      <c r="AQ772" t="str">
        <f>IFERROR(AA772-W772,"")</f>
        <v/>
      </c>
    </row>
    <row r="773" spans="1:43" x14ac:dyDescent="0.35">
      <c r="A773">
        <v>1660</v>
      </c>
      <c r="B773" t="s">
        <v>2446</v>
      </c>
      <c r="C773" t="s">
        <v>2287</v>
      </c>
      <c r="D773" t="str">
        <f t="shared" si="260"/>
        <v>M and E</v>
      </c>
      <c r="E773" t="s">
        <v>2313</v>
      </c>
      <c r="F773" t="s">
        <v>1669</v>
      </c>
      <c r="G773" t="s">
        <v>2407</v>
      </c>
      <c r="H773" t="s">
        <v>334</v>
      </c>
      <c r="I773" s="32">
        <v>44874.194988425923</v>
      </c>
      <c r="J773" s="32">
        <v>44877.194988425923</v>
      </c>
      <c r="K773" s="32">
        <v>44883.194988425923</v>
      </c>
      <c r="L773" s="8">
        <f t="shared" si="261"/>
        <v>9</v>
      </c>
      <c r="M773" s="7">
        <v>44890.194988425923</v>
      </c>
      <c r="N773" t="s">
        <v>72</v>
      </c>
      <c r="O773" s="34" t="s">
        <v>7474</v>
      </c>
      <c r="R773" s="32" t="s">
        <v>7472</v>
      </c>
      <c r="S773" t="s">
        <v>7476</v>
      </c>
      <c r="T773" s="34" t="s">
        <v>7476</v>
      </c>
      <c r="U773" s="34" t="s">
        <v>7476</v>
      </c>
      <c r="V773" s="32" t="s">
        <v>7476</v>
      </c>
      <c r="W773" s="32" t="s">
        <v>7476</v>
      </c>
      <c r="X773">
        <v>0</v>
      </c>
      <c r="Y773" s="34" t="s">
        <v>7476</v>
      </c>
      <c r="Z773" s="34" t="s">
        <v>7476</v>
      </c>
      <c r="AA773" s="34" t="s">
        <v>7476</v>
      </c>
      <c r="AB773" s="36" t="s">
        <v>7476</v>
      </c>
      <c r="AD773" t="s">
        <v>2447</v>
      </c>
      <c r="AE773" t="s">
        <v>2448</v>
      </c>
      <c r="AG773" t="s">
        <v>98</v>
      </c>
      <c r="AH773">
        <v>6</v>
      </c>
      <c r="AI773" s="8" t="str">
        <f>IFERROR(R773-AF773,"")</f>
        <v/>
      </c>
      <c r="AJ773" s="8" t="str">
        <f>IFERROR(O773-AF773,"")</f>
        <v/>
      </c>
      <c r="AK773" s="38" t="str">
        <f t="shared" si="262"/>
        <v/>
      </c>
      <c r="AL773" t="str">
        <f>IFERROR(Z773-W773,"")</f>
        <v/>
      </c>
      <c r="AM773" t="str">
        <f>IFERROR(R773-J773,"")</f>
        <v/>
      </c>
      <c r="AN773" t="str">
        <f>IFERROR(V773-O773,"")</f>
        <v/>
      </c>
      <c r="AO773">
        <f>IFERROR(J773-I773,"")</f>
        <v>3</v>
      </c>
      <c r="AP773">
        <f>IFERROR(AC773-X773,"")</f>
        <v>0</v>
      </c>
      <c r="AQ773" t="str">
        <f>IFERROR(AA773-W773,"")</f>
        <v/>
      </c>
    </row>
    <row r="774" spans="1:43" x14ac:dyDescent="0.35">
      <c r="A774">
        <v>1655</v>
      </c>
      <c r="B774" t="s">
        <v>2449</v>
      </c>
      <c r="C774" t="s">
        <v>2260</v>
      </c>
      <c r="D774" t="str">
        <f t="shared" si="260"/>
        <v>M and E</v>
      </c>
      <c r="E774" t="s">
        <v>2313</v>
      </c>
      <c r="F774" t="s">
        <v>1669</v>
      </c>
      <c r="G774" t="s">
        <v>2407</v>
      </c>
      <c r="H774" t="s">
        <v>334</v>
      </c>
      <c r="I774" s="32" t="s">
        <v>7471</v>
      </c>
      <c r="J774" s="32">
        <v>44881.194988425923</v>
      </c>
      <c r="K774" s="32">
        <v>44883.194988425923</v>
      </c>
      <c r="L774" s="8" t="str">
        <f t="shared" si="261"/>
        <v/>
      </c>
      <c r="M774" s="7">
        <v>44909.194988425923</v>
      </c>
      <c r="N774" t="s">
        <v>49</v>
      </c>
      <c r="O774" s="34">
        <v>44895.194988425923</v>
      </c>
      <c r="P774" t="s">
        <v>101</v>
      </c>
      <c r="R774" s="32">
        <v>44900.194988425923</v>
      </c>
      <c r="S774" t="s">
        <v>101</v>
      </c>
      <c r="T774" s="34">
        <v>44896.194988425923</v>
      </c>
      <c r="U774" s="34">
        <v>44900.194988425923</v>
      </c>
      <c r="V774" s="32">
        <v>44897.194988425923</v>
      </c>
      <c r="W774" s="32">
        <v>44904.194988425923</v>
      </c>
      <c r="X774">
        <v>1</v>
      </c>
      <c r="Y774" s="34">
        <v>44906.194988425923</v>
      </c>
      <c r="Z774" s="34">
        <v>44909.194988425923</v>
      </c>
      <c r="AA774" s="34">
        <v>44911.194988425923</v>
      </c>
      <c r="AB774" s="36" t="s">
        <v>7476</v>
      </c>
      <c r="AC774" s="10">
        <v>44927.194988425923</v>
      </c>
      <c r="AD774" t="s">
        <v>2450</v>
      </c>
      <c r="AE774" t="s">
        <v>2451</v>
      </c>
      <c r="AF774" s="16">
        <v>44880</v>
      </c>
      <c r="AG774" t="s">
        <v>98</v>
      </c>
      <c r="AH774">
        <v>3</v>
      </c>
      <c r="AK774" s="38">
        <f t="shared" si="262"/>
        <v>44987.194988425923</v>
      </c>
    </row>
    <row r="775" spans="1:43" x14ac:dyDescent="0.35">
      <c r="A775">
        <v>1653</v>
      </c>
      <c r="B775" t="s">
        <v>2452</v>
      </c>
      <c r="C775" t="s">
        <v>2260</v>
      </c>
      <c r="D775" t="str">
        <f t="shared" si="260"/>
        <v>M and E</v>
      </c>
      <c r="E775" t="s">
        <v>2313</v>
      </c>
      <c r="F775" t="s">
        <v>1669</v>
      </c>
      <c r="G775" t="s">
        <v>2407</v>
      </c>
      <c r="H775" t="s">
        <v>334</v>
      </c>
      <c r="I775" s="32">
        <v>44876.194988425923</v>
      </c>
      <c r="J775" s="32">
        <v>44877.194988425923</v>
      </c>
      <c r="K775" s="32">
        <v>44883.194988425923</v>
      </c>
      <c r="L775" s="8">
        <f t="shared" si="261"/>
        <v>7</v>
      </c>
      <c r="M775" s="7">
        <v>44904.194988425923</v>
      </c>
      <c r="N775" t="s">
        <v>72</v>
      </c>
      <c r="O775" s="34" t="s">
        <v>7474</v>
      </c>
      <c r="R775" s="32" t="s">
        <v>7472</v>
      </c>
      <c r="S775" t="s">
        <v>7476</v>
      </c>
      <c r="T775" s="34" t="s">
        <v>7476</v>
      </c>
      <c r="U775" s="34" t="s">
        <v>7476</v>
      </c>
      <c r="V775" s="32" t="s">
        <v>7476</v>
      </c>
      <c r="W775" s="32" t="s">
        <v>7476</v>
      </c>
      <c r="X775">
        <v>0</v>
      </c>
      <c r="Y775" s="34" t="s">
        <v>7476</v>
      </c>
      <c r="Z775" s="34" t="s">
        <v>7476</v>
      </c>
      <c r="AA775" s="34" t="s">
        <v>7476</v>
      </c>
      <c r="AB775" s="36" t="s">
        <v>7476</v>
      </c>
      <c r="AD775" t="s">
        <v>2453</v>
      </c>
      <c r="AE775" t="s">
        <v>2454</v>
      </c>
      <c r="AG775" t="s">
        <v>68</v>
      </c>
      <c r="AH775">
        <v>6</v>
      </c>
      <c r="AI775" s="8" t="str">
        <f>IFERROR(R775-AF775,"")</f>
        <v/>
      </c>
      <c r="AJ775" s="8" t="str">
        <f>IFERROR(O775-AF775,"")</f>
        <v/>
      </c>
      <c r="AK775" s="38" t="str">
        <f t="shared" si="262"/>
        <v/>
      </c>
      <c r="AL775" t="str">
        <f>IFERROR(Z775-W775,"")</f>
        <v/>
      </c>
      <c r="AM775" t="str">
        <f>IFERROR(R775-J775,"")</f>
        <v/>
      </c>
      <c r="AN775" t="str">
        <f>IFERROR(V775-O775,"")</f>
        <v/>
      </c>
      <c r="AO775">
        <f>IFERROR(J775-I775,"")</f>
        <v>1</v>
      </c>
      <c r="AP775">
        <f>IFERROR(AC775-X775,"")</f>
        <v>0</v>
      </c>
      <c r="AQ775" t="str">
        <f>IFERROR(AA775-W775,"")</f>
        <v/>
      </c>
    </row>
    <row r="776" spans="1:43" x14ac:dyDescent="0.35">
      <c r="A776">
        <v>1630</v>
      </c>
      <c r="B776" t="s">
        <v>2455</v>
      </c>
      <c r="C776" t="s">
        <v>2260</v>
      </c>
      <c r="D776" t="str">
        <f t="shared" si="260"/>
        <v>M and E</v>
      </c>
      <c r="E776" t="s">
        <v>2313</v>
      </c>
      <c r="F776" t="s">
        <v>1669</v>
      </c>
      <c r="G776" t="s">
        <v>2407</v>
      </c>
      <c r="H776" t="s">
        <v>334</v>
      </c>
      <c r="I776" s="32">
        <v>44637.297905092593</v>
      </c>
      <c r="J776" s="32">
        <v>44640.297905092593</v>
      </c>
      <c r="K776" s="32">
        <v>44645.297905092593</v>
      </c>
      <c r="L776" s="8">
        <f t="shared" si="261"/>
        <v>8</v>
      </c>
      <c r="M776" s="7">
        <v>44656.297905092593</v>
      </c>
      <c r="N776" t="s">
        <v>49</v>
      </c>
      <c r="O776" s="34">
        <v>44655.297905092593</v>
      </c>
      <c r="P776" t="s">
        <v>50</v>
      </c>
      <c r="Q776" t="s">
        <v>51</v>
      </c>
      <c r="R776" s="32" t="s">
        <v>7472</v>
      </c>
      <c r="S776" t="s">
        <v>7476</v>
      </c>
      <c r="T776" s="34" t="s">
        <v>7476</v>
      </c>
      <c r="U776" s="34" t="s">
        <v>7476</v>
      </c>
      <c r="V776" s="32" t="s">
        <v>7476</v>
      </c>
      <c r="W776" s="32" t="s">
        <v>7476</v>
      </c>
      <c r="X776">
        <v>0</v>
      </c>
      <c r="Y776" s="34" t="s">
        <v>7476</v>
      </c>
      <c r="Z776" s="34" t="s">
        <v>7476</v>
      </c>
      <c r="AA776" s="34" t="s">
        <v>7476</v>
      </c>
      <c r="AB776" s="36" t="s">
        <v>95</v>
      </c>
      <c r="AD776" t="s">
        <v>2456</v>
      </c>
      <c r="AE776" t="s">
        <v>2457</v>
      </c>
      <c r="AF776" s="16">
        <v>44643</v>
      </c>
      <c r="AG776" t="s">
        <v>68</v>
      </c>
      <c r="AH776">
        <v>6</v>
      </c>
      <c r="AI776" s="8" t="str">
        <f>IFERROR(R776-AF776,"")</f>
        <v/>
      </c>
      <c r="AJ776" s="8">
        <f>IFERROR(O776-AF776,"")</f>
        <v>12.297905092593282</v>
      </c>
      <c r="AK776" s="38" t="str">
        <f t="shared" si="262"/>
        <v/>
      </c>
      <c r="AL776" t="str">
        <f>IFERROR(Z776-W776,"")</f>
        <v/>
      </c>
      <c r="AM776" t="str">
        <f>IFERROR(R776-J776,"")</f>
        <v/>
      </c>
      <c r="AN776" t="str">
        <f>IFERROR(V776-O776,"")</f>
        <v/>
      </c>
      <c r="AO776">
        <f>IFERROR(J776-I776,"")</f>
        <v>3</v>
      </c>
      <c r="AP776">
        <f>IFERROR(AC776-X776,"")</f>
        <v>0</v>
      </c>
      <c r="AQ776" t="str">
        <f>IFERROR(AA776-W776,"")</f>
        <v/>
      </c>
    </row>
    <row r="777" spans="1:43" x14ac:dyDescent="0.35">
      <c r="A777">
        <v>1627</v>
      </c>
      <c r="B777" t="s">
        <v>2458</v>
      </c>
      <c r="C777" t="s">
        <v>2260</v>
      </c>
      <c r="D777" t="str">
        <f t="shared" si="260"/>
        <v>M and E</v>
      </c>
      <c r="E777" t="s">
        <v>2313</v>
      </c>
      <c r="F777" t="s">
        <v>1669</v>
      </c>
      <c r="G777" t="s">
        <v>2407</v>
      </c>
      <c r="H777" t="s">
        <v>334</v>
      </c>
      <c r="I777" s="32">
        <v>44638.297905092593</v>
      </c>
      <c r="J777" s="32" t="s">
        <v>7471</v>
      </c>
      <c r="K777" s="32">
        <v>44645.297905092593</v>
      </c>
      <c r="L777" s="8">
        <f t="shared" si="261"/>
        <v>7</v>
      </c>
      <c r="M777" s="7">
        <v>44672.297905092593</v>
      </c>
      <c r="N777" t="s">
        <v>49</v>
      </c>
      <c r="O777" s="34">
        <v>44661.297905092593</v>
      </c>
      <c r="P777" t="s">
        <v>50</v>
      </c>
      <c r="Q777" t="s">
        <v>125</v>
      </c>
      <c r="R777" s="32" t="s">
        <v>7472</v>
      </c>
      <c r="S777" t="s">
        <v>7476</v>
      </c>
      <c r="T777" s="34" t="s">
        <v>7476</v>
      </c>
      <c r="U777" s="34" t="s">
        <v>7476</v>
      </c>
      <c r="V777" s="32">
        <v>44664.297905092593</v>
      </c>
      <c r="W777" s="32" t="s">
        <v>7476</v>
      </c>
      <c r="X777">
        <v>0</v>
      </c>
      <c r="Y777" s="34" t="s">
        <v>7476</v>
      </c>
      <c r="Z777" s="34" t="s">
        <v>7476</v>
      </c>
      <c r="AA777" s="34" t="s">
        <v>7476</v>
      </c>
      <c r="AB777" s="36" t="s">
        <v>95</v>
      </c>
      <c r="AD777" t="s">
        <v>2459</v>
      </c>
      <c r="AE777" t="s">
        <v>2460</v>
      </c>
      <c r="AF777" s="16">
        <v>44642</v>
      </c>
      <c r="AG777" t="s">
        <v>64</v>
      </c>
      <c r="AH777">
        <v>6</v>
      </c>
      <c r="AK777" s="38">
        <f t="shared" si="262"/>
        <v>44844.297905092593</v>
      </c>
    </row>
    <row r="778" spans="1:43" x14ac:dyDescent="0.35">
      <c r="A778">
        <v>1480</v>
      </c>
      <c r="B778" t="s">
        <v>2461</v>
      </c>
      <c r="C778" t="s">
        <v>2260</v>
      </c>
      <c r="D778" t="str">
        <f t="shared" si="260"/>
        <v>M and E</v>
      </c>
      <c r="E778" t="s">
        <v>2313</v>
      </c>
      <c r="F778" t="s">
        <v>1669</v>
      </c>
      <c r="G778" t="s">
        <v>2407</v>
      </c>
      <c r="H778" t="s">
        <v>334</v>
      </c>
      <c r="I778" s="32">
        <v>44945.278946759259</v>
      </c>
      <c r="J778" s="32">
        <v>44948.278946759259</v>
      </c>
      <c r="K778" s="32">
        <v>44954.278946759259</v>
      </c>
      <c r="L778" s="8">
        <f t="shared" si="261"/>
        <v>9</v>
      </c>
      <c r="M778" s="7">
        <v>44975.278946759259</v>
      </c>
      <c r="N778" t="s">
        <v>49</v>
      </c>
      <c r="O778" s="34">
        <v>44959.278946759259</v>
      </c>
      <c r="P778" t="s">
        <v>50</v>
      </c>
      <c r="Q778" t="s">
        <v>198</v>
      </c>
      <c r="R778" s="32" t="s">
        <v>7472</v>
      </c>
      <c r="S778" t="s">
        <v>7476</v>
      </c>
      <c r="T778" s="34" t="s">
        <v>7476</v>
      </c>
      <c r="U778" s="34" t="s">
        <v>7476</v>
      </c>
      <c r="V778" s="32">
        <v>44960.278946759259</v>
      </c>
      <c r="W778" s="32" t="s">
        <v>7476</v>
      </c>
      <c r="X778">
        <v>0</v>
      </c>
      <c r="Y778" s="34" t="s">
        <v>7476</v>
      </c>
      <c r="Z778" s="34" t="s">
        <v>7476</v>
      </c>
      <c r="AA778" s="34" t="s">
        <v>7476</v>
      </c>
      <c r="AB778" s="36" t="s">
        <v>95</v>
      </c>
      <c r="AD778" t="s">
        <v>2462</v>
      </c>
      <c r="AE778" t="s">
        <v>2463</v>
      </c>
      <c r="AF778" s="16">
        <v>44943</v>
      </c>
      <c r="AG778" t="s">
        <v>68</v>
      </c>
      <c r="AH778">
        <v>3</v>
      </c>
      <c r="AI778" s="8" t="str">
        <f t="shared" ref="AI778:AI783" si="263">IFERROR(R778-AF778,"")</f>
        <v/>
      </c>
      <c r="AJ778" s="8">
        <f t="shared" ref="AJ778:AJ783" si="264">IFERROR(O778-AF778,"")</f>
        <v>16.27894675925927</v>
      </c>
      <c r="AK778" s="38">
        <f t="shared" si="262"/>
        <v>45050.278946759259</v>
      </c>
      <c r="AL778" t="str">
        <f t="shared" ref="AL778:AL783" si="265">IFERROR(Z778-W778,"")</f>
        <v/>
      </c>
      <c r="AM778" t="str">
        <f t="shared" ref="AM778:AM783" si="266">IFERROR(R778-J778,"")</f>
        <v/>
      </c>
      <c r="AN778">
        <f t="shared" ref="AN778:AN783" si="267">IFERROR(V778-O778,"")</f>
        <v>1</v>
      </c>
      <c r="AO778">
        <f t="shared" ref="AO778:AO783" si="268">IFERROR(J778-I778,"")</f>
        <v>3</v>
      </c>
      <c r="AP778">
        <f t="shared" ref="AP778:AP783" si="269">IFERROR(AC778-X778,"")</f>
        <v>0</v>
      </c>
      <c r="AQ778" t="str">
        <f t="shared" ref="AQ778:AQ783" si="270">IFERROR(AA778-W778,"")</f>
        <v/>
      </c>
    </row>
    <row r="779" spans="1:43" x14ac:dyDescent="0.35">
      <c r="A779">
        <v>1476</v>
      </c>
      <c r="B779" t="s">
        <v>2464</v>
      </c>
      <c r="C779" t="s">
        <v>2260</v>
      </c>
      <c r="D779" t="str">
        <f t="shared" si="260"/>
        <v>M and E</v>
      </c>
      <c r="E779" t="s">
        <v>2313</v>
      </c>
      <c r="F779" t="s">
        <v>1669</v>
      </c>
      <c r="G779" t="s">
        <v>2407</v>
      </c>
      <c r="H779" t="s">
        <v>334</v>
      </c>
      <c r="I779" s="32">
        <v>44948.278946759259</v>
      </c>
      <c r="J779" s="32">
        <v>44952.278946759259</v>
      </c>
      <c r="K779" s="32">
        <v>44954.278946759259</v>
      </c>
      <c r="L779" s="8">
        <f t="shared" si="261"/>
        <v>6</v>
      </c>
      <c r="M779" s="7">
        <v>44972.278946759259</v>
      </c>
      <c r="N779" t="s">
        <v>49</v>
      </c>
      <c r="O779" s="34">
        <v>44956.278946759259</v>
      </c>
      <c r="P779" t="s">
        <v>60</v>
      </c>
      <c r="R779" s="32">
        <v>44961.278946759259</v>
      </c>
      <c r="S779" t="s">
        <v>61</v>
      </c>
      <c r="T779" s="34" t="s">
        <v>7476</v>
      </c>
      <c r="U779" s="34" t="s">
        <v>7476</v>
      </c>
      <c r="V779" s="32">
        <v>44960.278946759259</v>
      </c>
      <c r="W779" s="32" t="s">
        <v>7476</v>
      </c>
      <c r="X779">
        <v>0</v>
      </c>
      <c r="Y779" s="34" t="s">
        <v>7476</v>
      </c>
      <c r="Z779" s="34" t="s">
        <v>7476</v>
      </c>
      <c r="AA779" s="34" t="s">
        <v>7476</v>
      </c>
      <c r="AB779" s="36" t="s">
        <v>7476</v>
      </c>
      <c r="AD779" t="s">
        <v>2465</v>
      </c>
      <c r="AE779" t="s">
        <v>2466</v>
      </c>
      <c r="AF779" s="16">
        <v>44944</v>
      </c>
      <c r="AG779" t="s">
        <v>64</v>
      </c>
      <c r="AH779">
        <v>3</v>
      </c>
      <c r="AI779" s="8">
        <f t="shared" si="263"/>
        <v>17.27894675925927</v>
      </c>
      <c r="AJ779" s="8">
        <f t="shared" si="264"/>
        <v>12.27894675925927</v>
      </c>
      <c r="AK779" s="38">
        <f t="shared" si="262"/>
        <v>45050.278946759259</v>
      </c>
      <c r="AL779" t="str">
        <f t="shared" si="265"/>
        <v/>
      </c>
      <c r="AM779">
        <f t="shared" si="266"/>
        <v>9</v>
      </c>
      <c r="AN779">
        <f t="shared" si="267"/>
        <v>4</v>
      </c>
      <c r="AO779">
        <f t="shared" si="268"/>
        <v>4</v>
      </c>
      <c r="AP779">
        <f t="shared" si="269"/>
        <v>0</v>
      </c>
      <c r="AQ779" t="str">
        <f t="shared" si="270"/>
        <v/>
      </c>
    </row>
    <row r="780" spans="1:43" x14ac:dyDescent="0.35">
      <c r="A780">
        <v>1474</v>
      </c>
      <c r="B780" t="s">
        <v>2467</v>
      </c>
      <c r="C780" t="s">
        <v>2260</v>
      </c>
      <c r="D780" t="str">
        <f t="shared" si="260"/>
        <v>M and E</v>
      </c>
      <c r="E780" t="s">
        <v>2313</v>
      </c>
      <c r="F780" t="s">
        <v>1669</v>
      </c>
      <c r="G780" t="s">
        <v>2407</v>
      </c>
      <c r="H780" t="s">
        <v>334</v>
      </c>
      <c r="I780" s="32">
        <v>44949.278946759259</v>
      </c>
      <c r="J780" s="32">
        <v>44952.278946759259</v>
      </c>
      <c r="K780" s="32">
        <v>44954.278946759259</v>
      </c>
      <c r="L780" s="8">
        <f t="shared" si="261"/>
        <v>5</v>
      </c>
      <c r="M780" s="7">
        <v>44984.278946759259</v>
      </c>
      <c r="N780" t="s">
        <v>49</v>
      </c>
      <c r="O780" s="34">
        <v>44967.278946759259</v>
      </c>
      <c r="P780" t="s">
        <v>50</v>
      </c>
      <c r="Q780" t="s">
        <v>51</v>
      </c>
      <c r="R780" s="32" t="s">
        <v>7472</v>
      </c>
      <c r="S780" t="s">
        <v>7476</v>
      </c>
      <c r="T780" s="34" t="s">
        <v>7476</v>
      </c>
      <c r="U780" s="34" t="s">
        <v>7476</v>
      </c>
      <c r="V780" s="32">
        <v>44971.278946759259</v>
      </c>
      <c r="W780" s="32" t="s">
        <v>7476</v>
      </c>
      <c r="X780">
        <v>0</v>
      </c>
      <c r="Y780" s="34" t="s">
        <v>7476</v>
      </c>
      <c r="Z780" s="34" t="s">
        <v>7476</v>
      </c>
      <c r="AA780" s="34" t="s">
        <v>7476</v>
      </c>
      <c r="AB780" s="36" t="s">
        <v>52</v>
      </c>
      <c r="AD780" t="s">
        <v>2468</v>
      </c>
      <c r="AE780" t="s">
        <v>2469</v>
      </c>
      <c r="AF780" s="16">
        <v>44951</v>
      </c>
      <c r="AG780" t="s">
        <v>64</v>
      </c>
      <c r="AH780">
        <v>6</v>
      </c>
      <c r="AI780" s="8" t="str">
        <f t="shared" si="263"/>
        <v/>
      </c>
      <c r="AJ780" s="8">
        <f t="shared" si="264"/>
        <v>16.27894675925927</v>
      </c>
      <c r="AK780" s="38">
        <f t="shared" si="262"/>
        <v>45151.278946759259</v>
      </c>
      <c r="AL780" t="str">
        <f t="shared" si="265"/>
        <v/>
      </c>
      <c r="AM780" t="str">
        <f t="shared" si="266"/>
        <v/>
      </c>
      <c r="AN780">
        <f t="shared" si="267"/>
        <v>4</v>
      </c>
      <c r="AO780">
        <f t="shared" si="268"/>
        <v>3</v>
      </c>
      <c r="AP780">
        <f t="shared" si="269"/>
        <v>0</v>
      </c>
      <c r="AQ780" t="str">
        <f t="shared" si="270"/>
        <v/>
      </c>
    </row>
    <row r="781" spans="1:43" x14ac:dyDescent="0.35">
      <c r="A781">
        <v>1472</v>
      </c>
      <c r="B781" t="s">
        <v>2470</v>
      </c>
      <c r="C781" t="s">
        <v>2260</v>
      </c>
      <c r="D781" t="str">
        <f t="shared" si="260"/>
        <v>M and E</v>
      </c>
      <c r="E781" t="s">
        <v>2313</v>
      </c>
      <c r="F781" t="s">
        <v>1669</v>
      </c>
      <c r="G781" t="s">
        <v>2407</v>
      </c>
      <c r="H781" t="s">
        <v>334</v>
      </c>
      <c r="I781" s="32">
        <v>44948.278946759259</v>
      </c>
      <c r="J781" s="32">
        <v>44950.278946759259</v>
      </c>
      <c r="K781" s="32">
        <v>44954.278946759259</v>
      </c>
      <c r="L781" s="8">
        <f t="shared" si="261"/>
        <v>6</v>
      </c>
      <c r="M781" s="7">
        <v>44964.278946759259</v>
      </c>
      <c r="N781" t="s">
        <v>49</v>
      </c>
      <c r="O781" s="34">
        <v>44967.278946759259</v>
      </c>
      <c r="P781" t="s">
        <v>392</v>
      </c>
      <c r="R781" s="32">
        <v>44975.278946759259</v>
      </c>
      <c r="S781" t="s">
        <v>392</v>
      </c>
      <c r="T781" s="34" t="s">
        <v>7476</v>
      </c>
      <c r="U781" s="34" t="s">
        <v>7476</v>
      </c>
      <c r="V781" s="32">
        <v>44971.278946759259</v>
      </c>
      <c r="W781" s="32" t="s">
        <v>7476</v>
      </c>
      <c r="X781">
        <v>0</v>
      </c>
      <c r="Y781" s="34" t="s">
        <v>7476</v>
      </c>
      <c r="Z781" s="34" t="s">
        <v>7476</v>
      </c>
      <c r="AA781" s="34" t="s">
        <v>7476</v>
      </c>
      <c r="AB781" s="36" t="s">
        <v>7476</v>
      </c>
      <c r="AD781" t="s">
        <v>2471</v>
      </c>
      <c r="AE781" t="s">
        <v>2472</v>
      </c>
      <c r="AF781" s="16">
        <v>44959</v>
      </c>
      <c r="AG781" t="s">
        <v>98</v>
      </c>
      <c r="AH781">
        <v>3</v>
      </c>
      <c r="AI781" s="8">
        <f t="shared" si="263"/>
        <v>16.27894675925927</v>
      </c>
      <c r="AJ781" s="8">
        <f t="shared" si="264"/>
        <v>8.27894675925927</v>
      </c>
      <c r="AK781" s="38">
        <f t="shared" si="262"/>
        <v>45061.278946759259</v>
      </c>
      <c r="AL781" t="str">
        <f t="shared" si="265"/>
        <v/>
      </c>
      <c r="AM781">
        <f t="shared" si="266"/>
        <v>25</v>
      </c>
      <c r="AN781">
        <f t="shared" si="267"/>
        <v>4</v>
      </c>
      <c r="AO781">
        <f t="shared" si="268"/>
        <v>2</v>
      </c>
      <c r="AP781">
        <f t="shared" si="269"/>
        <v>0</v>
      </c>
      <c r="AQ781" t="str">
        <f t="shared" si="270"/>
        <v/>
      </c>
    </row>
    <row r="782" spans="1:43" x14ac:dyDescent="0.35">
      <c r="A782">
        <v>1471</v>
      </c>
      <c r="B782" t="s">
        <v>2473</v>
      </c>
      <c r="C782" t="s">
        <v>2287</v>
      </c>
      <c r="D782" t="str">
        <f t="shared" si="260"/>
        <v>M and E</v>
      </c>
      <c r="E782" t="s">
        <v>2313</v>
      </c>
      <c r="F782" t="s">
        <v>1669</v>
      </c>
      <c r="G782" t="s">
        <v>2407</v>
      </c>
      <c r="H782" t="s">
        <v>334</v>
      </c>
      <c r="I782" s="32">
        <v>44944.278946759259</v>
      </c>
      <c r="J782" s="32">
        <v>44948.278946759259</v>
      </c>
      <c r="K782" s="32">
        <v>44954.278946759259</v>
      </c>
      <c r="L782" s="8">
        <f t="shared" si="261"/>
        <v>10</v>
      </c>
      <c r="M782" s="7">
        <v>44972.278946759259</v>
      </c>
      <c r="N782" t="s">
        <v>49</v>
      </c>
      <c r="O782" s="34">
        <v>44969.278946759259</v>
      </c>
      <c r="P782" t="s">
        <v>60</v>
      </c>
      <c r="R782" s="32">
        <v>44973.278946759259</v>
      </c>
      <c r="S782" t="s">
        <v>61</v>
      </c>
      <c r="T782" s="34" t="s">
        <v>7476</v>
      </c>
      <c r="U782" s="34" t="s">
        <v>7476</v>
      </c>
      <c r="V782" s="32">
        <v>44971.278946759259</v>
      </c>
      <c r="W782" s="32" t="s">
        <v>7476</v>
      </c>
      <c r="X782">
        <v>0</v>
      </c>
      <c r="Y782" s="34" t="s">
        <v>7476</v>
      </c>
      <c r="Z782" s="34" t="s">
        <v>7476</v>
      </c>
      <c r="AA782" s="34" t="s">
        <v>7476</v>
      </c>
      <c r="AB782" s="36" t="s">
        <v>7476</v>
      </c>
      <c r="AD782" t="s">
        <v>2474</v>
      </c>
      <c r="AE782" t="s">
        <v>2475</v>
      </c>
      <c r="AF782" s="16">
        <v>44954</v>
      </c>
      <c r="AG782" t="s">
        <v>68</v>
      </c>
      <c r="AH782">
        <v>3</v>
      </c>
      <c r="AI782" s="8">
        <f t="shared" si="263"/>
        <v>19.27894675925927</v>
      </c>
      <c r="AJ782" s="8">
        <f t="shared" si="264"/>
        <v>15.27894675925927</v>
      </c>
      <c r="AK782" s="38">
        <f t="shared" si="262"/>
        <v>45061.278946759259</v>
      </c>
      <c r="AL782" t="str">
        <f t="shared" si="265"/>
        <v/>
      </c>
      <c r="AM782">
        <f t="shared" si="266"/>
        <v>25</v>
      </c>
      <c r="AN782">
        <f t="shared" si="267"/>
        <v>2</v>
      </c>
      <c r="AO782">
        <f t="shared" si="268"/>
        <v>4</v>
      </c>
      <c r="AP782">
        <f t="shared" si="269"/>
        <v>0</v>
      </c>
      <c r="AQ782" t="str">
        <f t="shared" si="270"/>
        <v/>
      </c>
    </row>
    <row r="783" spans="1:43" x14ac:dyDescent="0.35">
      <c r="A783">
        <v>1380</v>
      </c>
      <c r="B783" t="s">
        <v>2476</v>
      </c>
      <c r="C783" t="s">
        <v>2325</v>
      </c>
      <c r="D783" t="str">
        <f t="shared" si="260"/>
        <v>M and E</v>
      </c>
      <c r="E783" t="s">
        <v>2313</v>
      </c>
      <c r="F783" t="s">
        <v>46</v>
      </c>
      <c r="G783" t="s">
        <v>2477</v>
      </c>
      <c r="H783" t="s">
        <v>334</v>
      </c>
      <c r="I783" s="32">
        <v>44861.130648148152</v>
      </c>
      <c r="J783" s="32">
        <v>44865.130648148152</v>
      </c>
      <c r="K783" s="32">
        <v>44869.130648148152</v>
      </c>
      <c r="L783" s="8">
        <f t="shared" si="261"/>
        <v>8</v>
      </c>
      <c r="M783" s="7">
        <v>44887.130648148152</v>
      </c>
      <c r="N783" t="s">
        <v>49</v>
      </c>
      <c r="O783" s="34">
        <v>44870.130648148152</v>
      </c>
      <c r="P783" t="s">
        <v>50</v>
      </c>
      <c r="Q783" t="s">
        <v>198</v>
      </c>
      <c r="R783" s="32" t="s">
        <v>7472</v>
      </c>
      <c r="S783" t="s">
        <v>7476</v>
      </c>
      <c r="T783" s="34" t="s">
        <v>7476</v>
      </c>
      <c r="U783" s="34" t="s">
        <v>7476</v>
      </c>
      <c r="V783" s="32" t="s">
        <v>7476</v>
      </c>
      <c r="W783" s="32" t="s">
        <v>7476</v>
      </c>
      <c r="X783">
        <v>0</v>
      </c>
      <c r="Y783" s="34" t="s">
        <v>7476</v>
      </c>
      <c r="Z783" s="34" t="s">
        <v>7476</v>
      </c>
      <c r="AA783" s="34" t="s">
        <v>7476</v>
      </c>
      <c r="AB783" s="36" t="s">
        <v>52</v>
      </c>
      <c r="AD783" t="s">
        <v>2478</v>
      </c>
      <c r="AE783" t="s">
        <v>2479</v>
      </c>
      <c r="AF783" s="16">
        <v>44851</v>
      </c>
      <c r="AG783" t="s">
        <v>98</v>
      </c>
      <c r="AH783">
        <v>3</v>
      </c>
      <c r="AI783" s="8" t="str">
        <f t="shared" si="263"/>
        <v/>
      </c>
      <c r="AJ783" s="8">
        <f t="shared" si="264"/>
        <v>19.130648148151522</v>
      </c>
      <c r="AK783" s="38" t="str">
        <f t="shared" si="262"/>
        <v/>
      </c>
      <c r="AL783" t="str">
        <f t="shared" si="265"/>
        <v/>
      </c>
      <c r="AM783" t="str">
        <f t="shared" si="266"/>
        <v/>
      </c>
      <c r="AN783" t="str">
        <f t="shared" si="267"/>
        <v/>
      </c>
      <c r="AO783">
        <f t="shared" si="268"/>
        <v>4</v>
      </c>
      <c r="AP783">
        <f t="shared" si="269"/>
        <v>0</v>
      </c>
      <c r="AQ783" t="str">
        <f t="shared" si="270"/>
        <v/>
      </c>
    </row>
    <row r="784" spans="1:43" x14ac:dyDescent="0.35">
      <c r="A784">
        <v>1375</v>
      </c>
      <c r="B784" t="s">
        <v>2480</v>
      </c>
      <c r="C784" t="s">
        <v>2287</v>
      </c>
      <c r="D784" t="str">
        <f t="shared" si="260"/>
        <v>M and E</v>
      </c>
      <c r="E784" t="s">
        <v>2313</v>
      </c>
      <c r="F784" t="s">
        <v>46</v>
      </c>
      <c r="G784" t="s">
        <v>2477</v>
      </c>
      <c r="H784" t="s">
        <v>334</v>
      </c>
      <c r="I784" s="32">
        <v>44859.130648148152</v>
      </c>
      <c r="J784" s="32">
        <v>44863.130648148152</v>
      </c>
      <c r="K784" s="32" t="s">
        <v>7473</v>
      </c>
      <c r="L784" s="8" t="str">
        <f t="shared" si="261"/>
        <v/>
      </c>
      <c r="M784" s="7">
        <v>44889.130648148152</v>
      </c>
      <c r="N784" t="s">
        <v>49</v>
      </c>
      <c r="O784" s="34">
        <v>44881.130648148152</v>
      </c>
      <c r="P784" t="s">
        <v>50</v>
      </c>
      <c r="Q784" t="s">
        <v>51</v>
      </c>
      <c r="R784" s="32" t="s">
        <v>7472</v>
      </c>
      <c r="S784" t="s">
        <v>7476</v>
      </c>
      <c r="T784" s="34" t="s">
        <v>7476</v>
      </c>
      <c r="U784" s="34" t="s">
        <v>7476</v>
      </c>
      <c r="V784" s="32">
        <v>44882.130648148152</v>
      </c>
      <c r="W784" s="32" t="s">
        <v>7476</v>
      </c>
      <c r="X784">
        <v>0</v>
      </c>
      <c r="Y784" s="34" t="s">
        <v>7476</v>
      </c>
      <c r="Z784" s="34" t="s">
        <v>7476</v>
      </c>
      <c r="AA784" s="34" t="s">
        <v>7476</v>
      </c>
      <c r="AB784" s="36" t="s">
        <v>95</v>
      </c>
      <c r="AD784" t="s">
        <v>2481</v>
      </c>
      <c r="AE784" t="s">
        <v>2482</v>
      </c>
      <c r="AF784" s="16">
        <v>44876</v>
      </c>
      <c r="AG784" t="s">
        <v>64</v>
      </c>
      <c r="AH784">
        <v>6</v>
      </c>
      <c r="AK784" s="38">
        <f t="shared" si="262"/>
        <v>45062.130648148152</v>
      </c>
    </row>
    <row r="785" spans="1:43" x14ac:dyDescent="0.35">
      <c r="A785">
        <v>1349</v>
      </c>
      <c r="B785" t="s">
        <v>2483</v>
      </c>
      <c r="C785" t="s">
        <v>2287</v>
      </c>
      <c r="D785" t="str">
        <f t="shared" si="260"/>
        <v>M and E</v>
      </c>
      <c r="E785" t="s">
        <v>2313</v>
      </c>
      <c r="F785" t="s">
        <v>46</v>
      </c>
      <c r="G785" t="s">
        <v>2477</v>
      </c>
      <c r="H785" t="s">
        <v>334</v>
      </c>
      <c r="I785" s="32">
        <v>45092.039097222223</v>
      </c>
      <c r="J785" s="32">
        <v>45095.039097222223</v>
      </c>
      <c r="K785" s="32">
        <v>45100.039097222223</v>
      </c>
      <c r="L785" s="8">
        <f t="shared" si="261"/>
        <v>8</v>
      </c>
      <c r="M785" s="7">
        <v>45129.039097222223</v>
      </c>
      <c r="N785" t="s">
        <v>49</v>
      </c>
      <c r="O785" s="34">
        <v>45107.039097222223</v>
      </c>
      <c r="P785" t="s">
        <v>50</v>
      </c>
      <c r="Q785" t="s">
        <v>84</v>
      </c>
      <c r="R785" s="32" t="s">
        <v>7472</v>
      </c>
      <c r="S785" t="s">
        <v>7476</v>
      </c>
      <c r="T785" s="34" t="s">
        <v>7476</v>
      </c>
      <c r="U785" s="34" t="s">
        <v>7476</v>
      </c>
      <c r="V785" s="32" t="s">
        <v>7476</v>
      </c>
      <c r="W785" s="32" t="s">
        <v>7476</v>
      </c>
      <c r="X785">
        <v>0</v>
      </c>
      <c r="Y785" s="34" t="s">
        <v>7476</v>
      </c>
      <c r="Z785" s="34" t="s">
        <v>7476</v>
      </c>
      <c r="AA785" s="34" t="s">
        <v>7476</v>
      </c>
      <c r="AB785" s="36" t="s">
        <v>95</v>
      </c>
      <c r="AD785" t="s">
        <v>2484</v>
      </c>
      <c r="AE785" t="s">
        <v>2485</v>
      </c>
      <c r="AF785" s="16">
        <v>45094</v>
      </c>
      <c r="AG785" t="s">
        <v>64</v>
      </c>
      <c r="AH785">
        <v>3</v>
      </c>
      <c r="AI785" s="8" t="str">
        <f>IFERROR(R785-AF785,"")</f>
        <v/>
      </c>
      <c r="AJ785" s="8">
        <f>IFERROR(O785-AF785,"")</f>
        <v>13.039097222223063</v>
      </c>
      <c r="AK785" s="38" t="str">
        <f t="shared" si="262"/>
        <v/>
      </c>
      <c r="AL785" t="str">
        <f>IFERROR(Z785-W785,"")</f>
        <v/>
      </c>
      <c r="AM785" t="str">
        <f>IFERROR(R785-J785,"")</f>
        <v/>
      </c>
      <c r="AN785" t="str">
        <f>IFERROR(V785-O785,"")</f>
        <v/>
      </c>
      <c r="AO785">
        <f>IFERROR(J785-I785,"")</f>
        <v>3</v>
      </c>
      <c r="AP785">
        <f>IFERROR(AC785-X785,"")</f>
        <v>0</v>
      </c>
      <c r="AQ785" t="str">
        <f>IFERROR(AA785-W785,"")</f>
        <v/>
      </c>
    </row>
    <row r="786" spans="1:43" x14ac:dyDescent="0.35">
      <c r="A786">
        <v>1344</v>
      </c>
      <c r="B786" t="s">
        <v>2486</v>
      </c>
      <c r="C786" t="s">
        <v>2260</v>
      </c>
      <c r="D786" t="str">
        <f t="shared" si="260"/>
        <v>M and E</v>
      </c>
      <c r="E786" t="s">
        <v>2313</v>
      </c>
      <c r="F786" t="s">
        <v>46</v>
      </c>
      <c r="G786" t="s">
        <v>2477</v>
      </c>
      <c r="H786" t="s">
        <v>334</v>
      </c>
      <c r="I786" s="32">
        <v>45091.039097222223</v>
      </c>
      <c r="J786" s="32">
        <v>45095.039097222223</v>
      </c>
      <c r="K786" s="32">
        <v>45100.039097222223</v>
      </c>
      <c r="L786" s="8">
        <f t="shared" si="261"/>
        <v>9</v>
      </c>
      <c r="M786" s="7">
        <v>45123.039097222223</v>
      </c>
      <c r="N786" t="s">
        <v>49</v>
      </c>
      <c r="O786" s="34">
        <v>45105.039097222223</v>
      </c>
      <c r="P786" t="s">
        <v>60</v>
      </c>
      <c r="R786" s="32">
        <v>45108.039097222223</v>
      </c>
      <c r="S786" t="s">
        <v>61</v>
      </c>
      <c r="T786" s="34" t="s">
        <v>7476</v>
      </c>
      <c r="U786" s="34" t="s">
        <v>7476</v>
      </c>
      <c r="V786" s="32">
        <v>45107.039097222223</v>
      </c>
      <c r="W786" s="32" t="s">
        <v>7476</v>
      </c>
      <c r="X786">
        <v>0</v>
      </c>
      <c r="Y786" s="34" t="s">
        <v>7476</v>
      </c>
      <c r="Z786" s="34" t="s">
        <v>7476</v>
      </c>
      <c r="AA786" s="34" t="s">
        <v>7476</v>
      </c>
      <c r="AB786" s="36" t="s">
        <v>7476</v>
      </c>
      <c r="AD786" t="s">
        <v>2487</v>
      </c>
      <c r="AE786" t="s">
        <v>2488</v>
      </c>
      <c r="AF786" s="16">
        <v>45089</v>
      </c>
      <c r="AG786" t="s">
        <v>98</v>
      </c>
      <c r="AH786">
        <v>3</v>
      </c>
      <c r="AI786" s="8">
        <f>IFERROR(R786-AF786,"")</f>
        <v>19.039097222223063</v>
      </c>
      <c r="AJ786" s="8">
        <f>IFERROR(O786-AF786,"")</f>
        <v>16.039097222223063</v>
      </c>
      <c r="AK786" s="38">
        <f t="shared" si="262"/>
        <v>45197.039097222223</v>
      </c>
      <c r="AL786" t="str">
        <f>IFERROR(Z786-W786,"")</f>
        <v/>
      </c>
      <c r="AM786">
        <f>IFERROR(R786-J786,"")</f>
        <v>13</v>
      </c>
      <c r="AN786">
        <f>IFERROR(V786-O786,"")</f>
        <v>2</v>
      </c>
      <c r="AO786">
        <f>IFERROR(J786-I786,"")</f>
        <v>4</v>
      </c>
      <c r="AP786">
        <f>IFERROR(AC786-X786,"")</f>
        <v>0</v>
      </c>
      <c r="AQ786" t="str">
        <f>IFERROR(AA786-W786,"")</f>
        <v/>
      </c>
    </row>
    <row r="787" spans="1:43" x14ac:dyDescent="0.35">
      <c r="A787">
        <v>1092</v>
      </c>
      <c r="B787" t="s">
        <v>2489</v>
      </c>
      <c r="C787" t="s">
        <v>2260</v>
      </c>
      <c r="D787" t="str">
        <f t="shared" si="260"/>
        <v>M and E</v>
      </c>
      <c r="E787" t="s">
        <v>2313</v>
      </c>
      <c r="F787" t="s">
        <v>46</v>
      </c>
      <c r="G787" t="s">
        <v>2477</v>
      </c>
      <c r="H787" t="s">
        <v>334</v>
      </c>
      <c r="I787" s="32" t="s">
        <v>7471</v>
      </c>
      <c r="J787" s="32">
        <v>45045.26462962963</v>
      </c>
      <c r="K787" s="32">
        <v>45046.26462962963</v>
      </c>
      <c r="L787" s="8" t="str">
        <f t="shared" si="261"/>
        <v/>
      </c>
      <c r="M787" s="7">
        <v>45073.26462962963</v>
      </c>
      <c r="N787" t="s">
        <v>49</v>
      </c>
      <c r="O787" s="34">
        <v>45050.26462962963</v>
      </c>
      <c r="P787" t="s">
        <v>101</v>
      </c>
      <c r="R787" s="32">
        <v>45055.26462962963</v>
      </c>
      <c r="S787" t="s">
        <v>101</v>
      </c>
      <c r="T787" s="34">
        <v>45052.26462962963</v>
      </c>
      <c r="U787" s="34">
        <v>45055.26462962963</v>
      </c>
      <c r="V787" s="32">
        <v>45052.26462962963</v>
      </c>
      <c r="W787" s="32">
        <v>45062.26462962963</v>
      </c>
      <c r="X787">
        <v>1</v>
      </c>
      <c r="Y787" s="34">
        <v>45063.26462962963</v>
      </c>
      <c r="Z787" s="34">
        <v>45064.26462962963</v>
      </c>
      <c r="AA787" s="34">
        <v>45065.26462962963</v>
      </c>
      <c r="AB787" s="36" t="s">
        <v>7476</v>
      </c>
      <c r="AC787" s="10">
        <v>45083.26462962963</v>
      </c>
      <c r="AD787" t="s">
        <v>2490</v>
      </c>
      <c r="AE787" t="s">
        <v>2491</v>
      </c>
      <c r="AF787" s="16">
        <v>45043</v>
      </c>
      <c r="AG787" t="s">
        <v>64</v>
      </c>
      <c r="AH787">
        <v>6</v>
      </c>
      <c r="AK787" s="38">
        <f t="shared" si="262"/>
        <v>45232.26462962963</v>
      </c>
    </row>
    <row r="788" spans="1:43" x14ac:dyDescent="0.35">
      <c r="A788">
        <v>1052</v>
      </c>
      <c r="B788" t="s">
        <v>2492</v>
      </c>
      <c r="C788" t="s">
        <v>2287</v>
      </c>
      <c r="D788" t="str">
        <f t="shared" si="260"/>
        <v>M and E</v>
      </c>
      <c r="E788" t="s">
        <v>2313</v>
      </c>
      <c r="F788" t="s">
        <v>46</v>
      </c>
      <c r="G788" t="s">
        <v>2477</v>
      </c>
      <c r="H788" t="s">
        <v>334</v>
      </c>
      <c r="I788" s="32">
        <v>45158.180486111109</v>
      </c>
      <c r="J788" s="32">
        <v>45162.180486111109</v>
      </c>
      <c r="K788" s="32">
        <v>45163.180486111109</v>
      </c>
      <c r="L788" s="8">
        <f t="shared" si="261"/>
        <v>5</v>
      </c>
      <c r="M788" s="7">
        <v>45171.180486111109</v>
      </c>
      <c r="N788" t="s">
        <v>49</v>
      </c>
      <c r="O788" s="34">
        <v>45169.180486111109</v>
      </c>
      <c r="P788" t="s">
        <v>50</v>
      </c>
      <c r="Q788" t="s">
        <v>51</v>
      </c>
      <c r="R788" s="32" t="s">
        <v>7472</v>
      </c>
      <c r="S788" t="s">
        <v>7476</v>
      </c>
      <c r="T788" s="34" t="s">
        <v>7476</v>
      </c>
      <c r="U788" s="34" t="s">
        <v>7476</v>
      </c>
      <c r="V788" s="32">
        <v>45170.180486111109</v>
      </c>
      <c r="W788" s="32" t="s">
        <v>7476</v>
      </c>
      <c r="X788">
        <v>0</v>
      </c>
      <c r="Y788" s="34" t="s">
        <v>7476</v>
      </c>
      <c r="Z788" s="34" t="s">
        <v>7476</v>
      </c>
      <c r="AA788" s="34" t="s">
        <v>7476</v>
      </c>
      <c r="AB788" s="36" t="s">
        <v>95</v>
      </c>
      <c r="AD788" t="s">
        <v>2493</v>
      </c>
      <c r="AE788" t="s">
        <v>2494</v>
      </c>
      <c r="AF788" s="16">
        <v>45160</v>
      </c>
      <c r="AG788" t="s">
        <v>98</v>
      </c>
      <c r="AH788">
        <v>3</v>
      </c>
      <c r="AI788" s="8" t="str">
        <f t="shared" ref="AI788:AI798" si="271">IFERROR(R788-AF788,"")</f>
        <v/>
      </c>
      <c r="AJ788" s="8">
        <f t="shared" ref="AJ788:AJ798" si="272">IFERROR(O788-AF788,"")</f>
        <v>9.1804861111086211</v>
      </c>
      <c r="AK788" s="38">
        <f t="shared" si="262"/>
        <v>45260.180486111109</v>
      </c>
      <c r="AL788" t="str">
        <f t="shared" ref="AL788:AL798" si="273">IFERROR(Z788-W788,"")</f>
        <v/>
      </c>
      <c r="AM788" t="str">
        <f t="shared" ref="AM788:AM798" si="274">IFERROR(R788-J788,"")</f>
        <v/>
      </c>
      <c r="AN788">
        <f t="shared" ref="AN788:AN798" si="275">IFERROR(V788-O788,"")</f>
        <v>1</v>
      </c>
      <c r="AO788">
        <f t="shared" ref="AO788:AO798" si="276">IFERROR(J788-I788,"")</f>
        <v>4</v>
      </c>
      <c r="AP788">
        <f t="shared" ref="AP788:AP798" si="277">IFERROR(AC788-X788,"")</f>
        <v>0</v>
      </c>
      <c r="AQ788" t="str">
        <f t="shared" ref="AQ788:AQ798" si="278">IFERROR(AA788-W788,"")</f>
        <v/>
      </c>
    </row>
    <row r="789" spans="1:43" x14ac:dyDescent="0.35">
      <c r="A789">
        <v>1051</v>
      </c>
      <c r="B789" t="s">
        <v>2495</v>
      </c>
      <c r="C789" t="s">
        <v>2325</v>
      </c>
      <c r="D789" t="str">
        <f t="shared" si="260"/>
        <v>M and E</v>
      </c>
      <c r="E789" t="s">
        <v>2313</v>
      </c>
      <c r="F789" t="s">
        <v>46</v>
      </c>
      <c r="G789" t="s">
        <v>2477</v>
      </c>
      <c r="H789" t="s">
        <v>334</v>
      </c>
      <c r="I789" s="32">
        <v>45159.180486111109</v>
      </c>
      <c r="J789" s="32">
        <v>45161.180486111109</v>
      </c>
      <c r="K789" s="32">
        <v>45163.180486111109</v>
      </c>
      <c r="L789" s="8">
        <f t="shared" si="261"/>
        <v>4</v>
      </c>
      <c r="M789" s="7">
        <v>45177.180486111109</v>
      </c>
      <c r="N789" t="s">
        <v>72</v>
      </c>
      <c r="O789" s="34" t="s">
        <v>7474</v>
      </c>
      <c r="R789" s="32" t="s">
        <v>7472</v>
      </c>
      <c r="S789" t="s">
        <v>7476</v>
      </c>
      <c r="T789" s="34" t="s">
        <v>7476</v>
      </c>
      <c r="U789" s="34" t="s">
        <v>7476</v>
      </c>
      <c r="V789" s="32" t="s">
        <v>7476</v>
      </c>
      <c r="W789" s="32" t="s">
        <v>7476</v>
      </c>
      <c r="X789">
        <v>0</v>
      </c>
      <c r="Y789" s="34" t="s">
        <v>7476</v>
      </c>
      <c r="Z789" s="34" t="s">
        <v>7476</v>
      </c>
      <c r="AA789" s="34" t="s">
        <v>7476</v>
      </c>
      <c r="AB789" s="36" t="s">
        <v>7476</v>
      </c>
      <c r="AD789" t="s">
        <v>2496</v>
      </c>
      <c r="AE789" t="s">
        <v>2497</v>
      </c>
      <c r="AG789" t="s">
        <v>68</v>
      </c>
      <c r="AH789">
        <v>6</v>
      </c>
      <c r="AI789" s="8" t="str">
        <f t="shared" si="271"/>
        <v/>
      </c>
      <c r="AJ789" s="8" t="str">
        <f t="shared" si="272"/>
        <v/>
      </c>
      <c r="AK789" s="38" t="str">
        <f t="shared" si="262"/>
        <v/>
      </c>
      <c r="AL789" t="str">
        <f t="shared" si="273"/>
        <v/>
      </c>
      <c r="AM789" t="str">
        <f t="shared" si="274"/>
        <v/>
      </c>
      <c r="AN789" t="str">
        <f t="shared" si="275"/>
        <v/>
      </c>
      <c r="AO789">
        <f t="shared" si="276"/>
        <v>2</v>
      </c>
      <c r="AP789">
        <f t="shared" si="277"/>
        <v>0</v>
      </c>
      <c r="AQ789" t="str">
        <f t="shared" si="278"/>
        <v/>
      </c>
    </row>
    <row r="790" spans="1:43" x14ac:dyDescent="0.35">
      <c r="A790">
        <v>1006</v>
      </c>
      <c r="B790" t="s">
        <v>2498</v>
      </c>
      <c r="C790" t="s">
        <v>2260</v>
      </c>
      <c r="D790" t="str">
        <f t="shared" si="260"/>
        <v>M and E</v>
      </c>
      <c r="E790" t="s">
        <v>2313</v>
      </c>
      <c r="F790" t="s">
        <v>46</v>
      </c>
      <c r="G790" t="s">
        <v>2477</v>
      </c>
      <c r="H790" t="s">
        <v>334</v>
      </c>
      <c r="I790" s="32">
        <v>44918.68855324074</v>
      </c>
      <c r="J790" s="32">
        <v>44922.68855324074</v>
      </c>
      <c r="K790" s="32">
        <v>44923.68855324074</v>
      </c>
      <c r="L790" s="8">
        <f t="shared" si="261"/>
        <v>5</v>
      </c>
      <c r="M790" s="7">
        <v>44946.68855324074</v>
      </c>
      <c r="N790" t="s">
        <v>49</v>
      </c>
      <c r="O790" s="34">
        <v>44936.68855324074</v>
      </c>
      <c r="P790" t="s">
        <v>50</v>
      </c>
      <c r="Q790" t="s">
        <v>51</v>
      </c>
      <c r="R790" s="32" t="s">
        <v>7472</v>
      </c>
      <c r="S790" t="s">
        <v>7476</v>
      </c>
      <c r="T790" s="34" t="s">
        <v>7476</v>
      </c>
      <c r="U790" s="34" t="s">
        <v>7476</v>
      </c>
      <c r="V790" s="32">
        <v>44940.68855324074</v>
      </c>
      <c r="W790" s="32" t="s">
        <v>7476</v>
      </c>
      <c r="X790">
        <v>0</v>
      </c>
      <c r="Y790" s="34" t="s">
        <v>7476</v>
      </c>
      <c r="Z790" s="34" t="s">
        <v>7476</v>
      </c>
      <c r="AA790" s="34" t="s">
        <v>7476</v>
      </c>
      <c r="AB790" s="36" t="s">
        <v>52</v>
      </c>
      <c r="AD790" t="s">
        <v>2499</v>
      </c>
      <c r="AE790" t="s">
        <v>2500</v>
      </c>
      <c r="AF790" s="16">
        <v>44930</v>
      </c>
      <c r="AG790" t="s">
        <v>98</v>
      </c>
      <c r="AH790">
        <v>3</v>
      </c>
      <c r="AI790" s="8" t="str">
        <f t="shared" si="271"/>
        <v/>
      </c>
      <c r="AJ790" s="8">
        <f t="shared" si="272"/>
        <v>6.6885532407395658</v>
      </c>
      <c r="AK790" s="38">
        <f t="shared" si="262"/>
        <v>45030.68855324074</v>
      </c>
      <c r="AL790" t="str">
        <f t="shared" si="273"/>
        <v/>
      </c>
      <c r="AM790" t="str">
        <f t="shared" si="274"/>
        <v/>
      </c>
      <c r="AN790">
        <f t="shared" si="275"/>
        <v>4</v>
      </c>
      <c r="AO790">
        <f t="shared" si="276"/>
        <v>4</v>
      </c>
      <c r="AP790">
        <f t="shared" si="277"/>
        <v>0</v>
      </c>
      <c r="AQ790" t="str">
        <f t="shared" si="278"/>
        <v/>
      </c>
    </row>
    <row r="791" spans="1:43" x14ac:dyDescent="0.35">
      <c r="A791">
        <v>1004</v>
      </c>
      <c r="B791" t="s">
        <v>2501</v>
      </c>
      <c r="C791" t="s">
        <v>2325</v>
      </c>
      <c r="D791" t="str">
        <f t="shared" si="260"/>
        <v>M and E</v>
      </c>
      <c r="E791" t="s">
        <v>2313</v>
      </c>
      <c r="F791" t="s">
        <v>46</v>
      </c>
      <c r="G791" t="s">
        <v>2477</v>
      </c>
      <c r="H791" t="s">
        <v>334</v>
      </c>
      <c r="I791" s="32">
        <v>44918.68855324074</v>
      </c>
      <c r="J791" s="32">
        <v>44921.68855324074</v>
      </c>
      <c r="K791" s="32">
        <v>44923.68855324074</v>
      </c>
      <c r="L791" s="8">
        <f t="shared" si="261"/>
        <v>5</v>
      </c>
      <c r="M791" s="7">
        <v>44931.68855324074</v>
      </c>
      <c r="N791" t="s">
        <v>72</v>
      </c>
      <c r="O791" s="34" t="s">
        <v>7474</v>
      </c>
      <c r="R791" s="32" t="s">
        <v>7472</v>
      </c>
      <c r="S791" t="s">
        <v>7476</v>
      </c>
      <c r="T791" s="34" t="s">
        <v>7476</v>
      </c>
      <c r="U791" s="34" t="s">
        <v>7476</v>
      </c>
      <c r="V791" s="32" t="s">
        <v>7476</v>
      </c>
      <c r="W791" s="32" t="s">
        <v>7476</v>
      </c>
      <c r="X791">
        <v>0</v>
      </c>
      <c r="Y791" s="34" t="s">
        <v>7476</v>
      </c>
      <c r="Z791" s="34" t="s">
        <v>7476</v>
      </c>
      <c r="AA791" s="34" t="s">
        <v>7476</v>
      </c>
      <c r="AB791" s="36" t="s">
        <v>7476</v>
      </c>
      <c r="AD791" t="s">
        <v>2502</v>
      </c>
      <c r="AE791" t="s">
        <v>2503</v>
      </c>
      <c r="AG791" t="s">
        <v>98</v>
      </c>
      <c r="AH791">
        <v>6</v>
      </c>
      <c r="AI791" s="8" t="str">
        <f t="shared" si="271"/>
        <v/>
      </c>
      <c r="AJ791" s="8" t="str">
        <f t="shared" si="272"/>
        <v/>
      </c>
      <c r="AK791" s="38" t="str">
        <f t="shared" si="262"/>
        <v/>
      </c>
      <c r="AL791" t="str">
        <f t="shared" si="273"/>
        <v/>
      </c>
      <c r="AM791" t="str">
        <f t="shared" si="274"/>
        <v/>
      </c>
      <c r="AN791" t="str">
        <f t="shared" si="275"/>
        <v/>
      </c>
      <c r="AO791">
        <f t="shared" si="276"/>
        <v>3</v>
      </c>
      <c r="AP791">
        <f t="shared" si="277"/>
        <v>0</v>
      </c>
      <c r="AQ791" t="str">
        <f t="shared" si="278"/>
        <v/>
      </c>
    </row>
    <row r="792" spans="1:43" x14ac:dyDescent="0.35">
      <c r="A792">
        <v>1003</v>
      </c>
      <c r="B792" t="s">
        <v>2504</v>
      </c>
      <c r="C792" t="s">
        <v>2260</v>
      </c>
      <c r="D792" t="str">
        <f t="shared" si="260"/>
        <v>M and E</v>
      </c>
      <c r="E792" t="s">
        <v>2313</v>
      </c>
      <c r="F792" t="s">
        <v>46</v>
      </c>
      <c r="G792" t="s">
        <v>2477</v>
      </c>
      <c r="H792" t="s">
        <v>334</v>
      </c>
      <c r="I792" s="32">
        <v>44913.68855324074</v>
      </c>
      <c r="J792" s="32">
        <v>44917.68855324074</v>
      </c>
      <c r="K792" s="32">
        <v>44923.68855324074</v>
      </c>
      <c r="L792" s="8">
        <f t="shared" si="261"/>
        <v>10</v>
      </c>
      <c r="M792" s="7">
        <v>44930.68855324074</v>
      </c>
      <c r="N792" t="s">
        <v>49</v>
      </c>
      <c r="O792" s="34">
        <v>44937.68855324074</v>
      </c>
      <c r="P792" t="s">
        <v>101</v>
      </c>
      <c r="R792" s="32">
        <v>44941.68855324074</v>
      </c>
      <c r="S792" t="s">
        <v>101</v>
      </c>
      <c r="T792" s="34">
        <v>44939.68855324074</v>
      </c>
      <c r="U792" s="34">
        <v>44940.68855324074</v>
      </c>
      <c r="V792" s="32">
        <v>44938.68855324074</v>
      </c>
      <c r="W792" s="32">
        <v>44948.68855324074</v>
      </c>
      <c r="X792">
        <v>1</v>
      </c>
      <c r="Y792" s="34">
        <v>44951.68855324074</v>
      </c>
      <c r="Z792" s="34">
        <v>44954.68855324074</v>
      </c>
      <c r="AA792" s="34">
        <v>44957.68855324074</v>
      </c>
      <c r="AB792" s="36" t="s">
        <v>7476</v>
      </c>
      <c r="AC792" s="10">
        <v>44973.68855324074</v>
      </c>
      <c r="AD792" t="s">
        <v>2505</v>
      </c>
      <c r="AE792" t="s">
        <v>2506</v>
      </c>
      <c r="AF792" s="16">
        <v>45078</v>
      </c>
      <c r="AG792" t="s">
        <v>98</v>
      </c>
      <c r="AH792">
        <v>3</v>
      </c>
      <c r="AI792" s="8">
        <f t="shared" si="271"/>
        <v>-136.31144675926043</v>
      </c>
      <c r="AJ792" s="8">
        <f t="shared" si="272"/>
        <v>-140.31144675926043</v>
      </c>
      <c r="AK792" s="38">
        <f t="shared" si="262"/>
        <v>45028.68855324074</v>
      </c>
      <c r="AL792">
        <f t="shared" si="273"/>
        <v>6</v>
      </c>
      <c r="AM792">
        <f t="shared" si="274"/>
        <v>24</v>
      </c>
      <c r="AN792">
        <f t="shared" si="275"/>
        <v>1</v>
      </c>
      <c r="AO792">
        <f t="shared" si="276"/>
        <v>4</v>
      </c>
      <c r="AP792">
        <f t="shared" si="277"/>
        <v>44972.68855324074</v>
      </c>
      <c r="AQ792">
        <f t="shared" si="278"/>
        <v>9</v>
      </c>
    </row>
    <row r="793" spans="1:43" x14ac:dyDescent="0.35">
      <c r="A793">
        <v>990</v>
      </c>
      <c r="B793" t="s">
        <v>2507</v>
      </c>
      <c r="C793" t="s">
        <v>2325</v>
      </c>
      <c r="D793" t="str">
        <f t="shared" si="260"/>
        <v>M and E</v>
      </c>
      <c r="E793" t="s">
        <v>2313</v>
      </c>
      <c r="F793" t="s">
        <v>46</v>
      </c>
      <c r="G793" t="s">
        <v>2477</v>
      </c>
      <c r="H793" t="s">
        <v>334</v>
      </c>
      <c r="I793" s="32">
        <v>44796.241203703707</v>
      </c>
      <c r="J793" s="32">
        <v>44799.241203703707</v>
      </c>
      <c r="K793" s="32">
        <v>44803.241203703707</v>
      </c>
      <c r="L793" s="8">
        <f t="shared" si="261"/>
        <v>7</v>
      </c>
      <c r="M793" s="7">
        <v>44827.241203703707</v>
      </c>
      <c r="N793" t="s">
        <v>49</v>
      </c>
      <c r="O793" s="34">
        <v>44808.241203703707</v>
      </c>
      <c r="P793" t="s">
        <v>101</v>
      </c>
      <c r="R793" s="32">
        <v>44811.241203703707</v>
      </c>
      <c r="S793" t="s">
        <v>101</v>
      </c>
      <c r="T793" s="34">
        <v>44810.241203703707</v>
      </c>
      <c r="U793" s="34">
        <v>44811.241203703707</v>
      </c>
      <c r="V793" s="32">
        <v>44809.241203703707</v>
      </c>
      <c r="W793" s="32">
        <v>44812.241203703707</v>
      </c>
      <c r="X793">
        <v>1</v>
      </c>
      <c r="Y793" s="34">
        <v>44815.241203703707</v>
      </c>
      <c r="Z793" s="34">
        <v>44818.241203703707</v>
      </c>
      <c r="AA793" s="34">
        <v>44819.241203703707</v>
      </c>
      <c r="AB793" s="36" t="s">
        <v>7476</v>
      </c>
      <c r="AC793" s="10">
        <v>44842.241203703707</v>
      </c>
      <c r="AD793" t="s">
        <v>2508</v>
      </c>
      <c r="AE793" t="s">
        <v>2509</v>
      </c>
      <c r="AF793" s="16">
        <v>44790</v>
      </c>
      <c r="AG793" t="s">
        <v>68</v>
      </c>
      <c r="AH793">
        <v>3</v>
      </c>
      <c r="AI793" s="8">
        <f t="shared" si="271"/>
        <v>21.24120370370656</v>
      </c>
      <c r="AJ793" s="8">
        <f t="shared" si="272"/>
        <v>18.24120370370656</v>
      </c>
      <c r="AK793" s="38">
        <f t="shared" si="262"/>
        <v>44899.241203703707</v>
      </c>
      <c r="AL793">
        <f t="shared" si="273"/>
        <v>6</v>
      </c>
      <c r="AM793">
        <f t="shared" si="274"/>
        <v>12</v>
      </c>
      <c r="AN793">
        <f t="shared" si="275"/>
        <v>1</v>
      </c>
      <c r="AO793">
        <f t="shared" si="276"/>
        <v>3</v>
      </c>
      <c r="AP793">
        <f t="shared" si="277"/>
        <v>44841.241203703707</v>
      </c>
      <c r="AQ793">
        <f t="shared" si="278"/>
        <v>7</v>
      </c>
    </row>
    <row r="794" spans="1:43" x14ac:dyDescent="0.35">
      <c r="A794">
        <v>989</v>
      </c>
      <c r="B794" t="s">
        <v>2510</v>
      </c>
      <c r="C794" t="s">
        <v>2287</v>
      </c>
      <c r="D794" t="str">
        <f t="shared" si="260"/>
        <v>M and E</v>
      </c>
      <c r="E794" t="s">
        <v>2313</v>
      </c>
      <c r="F794" t="s">
        <v>46</v>
      </c>
      <c r="G794" t="s">
        <v>2477</v>
      </c>
      <c r="H794" t="s">
        <v>334</v>
      </c>
      <c r="I794" s="32">
        <v>44801.241203703707</v>
      </c>
      <c r="J794" s="32">
        <v>44802.241203703707</v>
      </c>
      <c r="K794" s="32">
        <v>44803.241203703707</v>
      </c>
      <c r="L794" s="8">
        <f t="shared" si="261"/>
        <v>2</v>
      </c>
      <c r="M794" s="7">
        <v>44815.241203703707</v>
      </c>
      <c r="N794" t="s">
        <v>49</v>
      </c>
      <c r="O794" s="34">
        <v>44820.241203703707</v>
      </c>
      <c r="P794" t="s">
        <v>60</v>
      </c>
      <c r="R794" s="32">
        <v>44825.241203703707</v>
      </c>
      <c r="S794" t="s">
        <v>61</v>
      </c>
      <c r="T794" s="34" t="s">
        <v>7476</v>
      </c>
      <c r="U794" s="34" t="s">
        <v>7476</v>
      </c>
      <c r="V794" s="32">
        <v>44821.241203703707</v>
      </c>
      <c r="W794" s="32" t="s">
        <v>7476</v>
      </c>
      <c r="X794">
        <v>0</v>
      </c>
      <c r="Y794" s="34" t="s">
        <v>7476</v>
      </c>
      <c r="Z794" s="34" t="s">
        <v>7476</v>
      </c>
      <c r="AA794" s="34" t="s">
        <v>7476</v>
      </c>
      <c r="AB794" s="36" t="s">
        <v>7476</v>
      </c>
      <c r="AD794" t="s">
        <v>2511</v>
      </c>
      <c r="AE794" t="s">
        <v>2512</v>
      </c>
      <c r="AF794" s="16">
        <v>44813</v>
      </c>
      <c r="AG794" t="s">
        <v>64</v>
      </c>
      <c r="AH794">
        <v>3</v>
      </c>
      <c r="AI794" s="8">
        <f t="shared" si="271"/>
        <v>12.24120370370656</v>
      </c>
      <c r="AJ794" s="8">
        <f t="shared" si="272"/>
        <v>7.2412037037065602</v>
      </c>
      <c r="AK794" s="38">
        <f t="shared" si="262"/>
        <v>44911.241203703707</v>
      </c>
      <c r="AL794" t="str">
        <f t="shared" si="273"/>
        <v/>
      </c>
      <c r="AM794">
        <f t="shared" si="274"/>
        <v>23</v>
      </c>
      <c r="AN794">
        <f t="shared" si="275"/>
        <v>1</v>
      </c>
      <c r="AO794">
        <f t="shared" si="276"/>
        <v>1</v>
      </c>
      <c r="AP794">
        <f t="shared" si="277"/>
        <v>0</v>
      </c>
      <c r="AQ794" t="str">
        <f t="shared" si="278"/>
        <v/>
      </c>
    </row>
    <row r="795" spans="1:43" x14ac:dyDescent="0.35">
      <c r="A795">
        <v>988</v>
      </c>
      <c r="B795" t="s">
        <v>2513</v>
      </c>
      <c r="C795" t="s">
        <v>2260</v>
      </c>
      <c r="D795" t="str">
        <f t="shared" si="260"/>
        <v>M and E</v>
      </c>
      <c r="E795" t="s">
        <v>2313</v>
      </c>
      <c r="F795" t="s">
        <v>46</v>
      </c>
      <c r="G795" t="s">
        <v>2477</v>
      </c>
      <c r="H795" t="s">
        <v>334</v>
      </c>
      <c r="I795" s="32">
        <v>44795.241203703707</v>
      </c>
      <c r="J795" s="32">
        <v>44798.241203703707</v>
      </c>
      <c r="K795" s="32">
        <v>44803.241203703707</v>
      </c>
      <c r="L795" s="8">
        <f t="shared" si="261"/>
        <v>8</v>
      </c>
      <c r="M795" s="7">
        <v>44832.241203703707</v>
      </c>
      <c r="N795" t="s">
        <v>72</v>
      </c>
      <c r="O795" s="34" t="s">
        <v>7474</v>
      </c>
      <c r="R795" s="32" t="s">
        <v>7472</v>
      </c>
      <c r="S795" t="s">
        <v>7476</v>
      </c>
      <c r="T795" s="34" t="s">
        <v>7476</v>
      </c>
      <c r="U795" s="34" t="s">
        <v>7476</v>
      </c>
      <c r="V795" s="32" t="s">
        <v>7476</v>
      </c>
      <c r="W795" s="32" t="s">
        <v>7476</v>
      </c>
      <c r="X795">
        <v>0</v>
      </c>
      <c r="Y795" s="34" t="s">
        <v>7476</v>
      </c>
      <c r="Z795" s="34" t="s">
        <v>7476</v>
      </c>
      <c r="AA795" s="34" t="s">
        <v>7476</v>
      </c>
      <c r="AB795" s="36" t="s">
        <v>7476</v>
      </c>
      <c r="AD795" t="s">
        <v>2514</v>
      </c>
      <c r="AE795" t="s">
        <v>2515</v>
      </c>
      <c r="AG795" t="s">
        <v>98</v>
      </c>
      <c r="AH795">
        <v>3</v>
      </c>
      <c r="AI795" s="8" t="str">
        <f t="shared" si="271"/>
        <v/>
      </c>
      <c r="AJ795" s="8" t="str">
        <f t="shared" si="272"/>
        <v/>
      </c>
      <c r="AK795" s="38" t="str">
        <f t="shared" si="262"/>
        <v/>
      </c>
      <c r="AL795" t="str">
        <f t="shared" si="273"/>
        <v/>
      </c>
      <c r="AM795" t="str">
        <f t="shared" si="274"/>
        <v/>
      </c>
      <c r="AN795" t="str">
        <f t="shared" si="275"/>
        <v/>
      </c>
      <c r="AO795">
        <f t="shared" si="276"/>
        <v>3</v>
      </c>
      <c r="AP795">
        <f t="shared" si="277"/>
        <v>0</v>
      </c>
      <c r="AQ795" t="str">
        <f t="shared" si="278"/>
        <v/>
      </c>
    </row>
    <row r="796" spans="1:43" x14ac:dyDescent="0.35">
      <c r="A796">
        <v>986</v>
      </c>
      <c r="B796" t="s">
        <v>2516</v>
      </c>
      <c r="C796" t="s">
        <v>2287</v>
      </c>
      <c r="D796" t="str">
        <f t="shared" si="260"/>
        <v>M and E</v>
      </c>
      <c r="E796" t="s">
        <v>2313</v>
      </c>
      <c r="F796" t="s">
        <v>46</v>
      </c>
      <c r="G796" t="s">
        <v>2477</v>
      </c>
      <c r="H796" t="s">
        <v>334</v>
      </c>
      <c r="I796" s="32">
        <v>44798.241203703707</v>
      </c>
      <c r="J796" s="32">
        <v>44799.241203703707</v>
      </c>
      <c r="K796" s="32">
        <v>44803.241203703707</v>
      </c>
      <c r="L796" s="8">
        <f t="shared" si="261"/>
        <v>5</v>
      </c>
      <c r="M796" s="7">
        <v>44811.241203703707</v>
      </c>
      <c r="N796" t="s">
        <v>49</v>
      </c>
      <c r="O796" s="34">
        <v>44816.241203703707</v>
      </c>
      <c r="P796" t="s">
        <v>60</v>
      </c>
      <c r="R796" s="32">
        <v>44819.241203703707</v>
      </c>
      <c r="S796" t="s">
        <v>61</v>
      </c>
      <c r="T796" s="34" t="s">
        <v>7476</v>
      </c>
      <c r="U796" s="34" t="s">
        <v>7476</v>
      </c>
      <c r="V796" s="32">
        <v>44817.241203703707</v>
      </c>
      <c r="W796" s="32" t="s">
        <v>7476</v>
      </c>
      <c r="X796">
        <v>0</v>
      </c>
      <c r="Y796" s="34" t="s">
        <v>7476</v>
      </c>
      <c r="Z796" s="34" t="s">
        <v>7476</v>
      </c>
      <c r="AA796" s="34" t="s">
        <v>7476</v>
      </c>
      <c r="AB796" s="36" t="s">
        <v>7476</v>
      </c>
      <c r="AD796" t="s">
        <v>2517</v>
      </c>
      <c r="AE796" t="s">
        <v>2518</v>
      </c>
      <c r="AF796" s="16">
        <v>44806</v>
      </c>
      <c r="AG796" t="s">
        <v>98</v>
      </c>
      <c r="AH796">
        <v>3</v>
      </c>
      <c r="AI796" s="8">
        <f t="shared" si="271"/>
        <v>13.24120370370656</v>
      </c>
      <c r="AJ796" s="8">
        <f t="shared" si="272"/>
        <v>10.24120370370656</v>
      </c>
      <c r="AK796" s="38">
        <f t="shared" si="262"/>
        <v>44907.241203703707</v>
      </c>
      <c r="AL796" t="str">
        <f t="shared" si="273"/>
        <v/>
      </c>
      <c r="AM796">
        <f t="shared" si="274"/>
        <v>20</v>
      </c>
      <c r="AN796">
        <f t="shared" si="275"/>
        <v>1</v>
      </c>
      <c r="AO796">
        <f t="shared" si="276"/>
        <v>1</v>
      </c>
      <c r="AP796">
        <f t="shared" si="277"/>
        <v>0</v>
      </c>
      <c r="AQ796" t="str">
        <f t="shared" si="278"/>
        <v/>
      </c>
    </row>
    <row r="797" spans="1:43" x14ac:dyDescent="0.35">
      <c r="A797">
        <v>985</v>
      </c>
      <c r="B797" t="s">
        <v>2519</v>
      </c>
      <c r="C797" t="s">
        <v>2260</v>
      </c>
      <c r="D797" t="str">
        <f t="shared" si="260"/>
        <v>M and E</v>
      </c>
      <c r="E797" t="s">
        <v>2313</v>
      </c>
      <c r="F797" t="s">
        <v>46</v>
      </c>
      <c r="G797" t="s">
        <v>2477</v>
      </c>
      <c r="H797" t="s">
        <v>334</v>
      </c>
      <c r="I797" s="32">
        <v>44796.241203703707</v>
      </c>
      <c r="J797" s="32">
        <v>44798.241203703707</v>
      </c>
      <c r="K797" s="32">
        <v>44803.241203703707</v>
      </c>
      <c r="L797" s="8">
        <f t="shared" si="261"/>
        <v>7</v>
      </c>
      <c r="M797" s="7">
        <v>44822.241203703707</v>
      </c>
      <c r="N797" t="s">
        <v>49</v>
      </c>
      <c r="O797" s="34">
        <v>44807.241203703707</v>
      </c>
      <c r="P797" t="s">
        <v>50</v>
      </c>
      <c r="Q797" t="s">
        <v>236</v>
      </c>
      <c r="R797" s="32" t="s">
        <v>7472</v>
      </c>
      <c r="S797" t="s">
        <v>7476</v>
      </c>
      <c r="T797" s="34" t="s">
        <v>7476</v>
      </c>
      <c r="U797" s="34" t="s">
        <v>7476</v>
      </c>
      <c r="V797" s="32" t="s">
        <v>7476</v>
      </c>
      <c r="W797" s="32" t="s">
        <v>7476</v>
      </c>
      <c r="X797">
        <v>0</v>
      </c>
      <c r="Y797" s="34" t="s">
        <v>7476</v>
      </c>
      <c r="Z797" s="34" t="s">
        <v>7476</v>
      </c>
      <c r="AA797" s="34" t="s">
        <v>7476</v>
      </c>
      <c r="AB797" s="36" t="s">
        <v>95</v>
      </c>
      <c r="AD797" t="s">
        <v>2520</v>
      </c>
      <c r="AE797" t="s">
        <v>2521</v>
      </c>
      <c r="AF797" s="16">
        <v>44798</v>
      </c>
      <c r="AG797" t="s">
        <v>64</v>
      </c>
      <c r="AH797">
        <v>3</v>
      </c>
      <c r="AI797" s="8" t="str">
        <f t="shared" si="271"/>
        <v/>
      </c>
      <c r="AJ797" s="8">
        <f t="shared" si="272"/>
        <v>9.2412037037065602</v>
      </c>
      <c r="AK797" s="38" t="str">
        <f t="shared" si="262"/>
        <v/>
      </c>
      <c r="AL797" t="str">
        <f t="shared" si="273"/>
        <v/>
      </c>
      <c r="AM797" t="str">
        <f t="shared" si="274"/>
        <v/>
      </c>
      <c r="AN797" t="str">
        <f t="shared" si="275"/>
        <v/>
      </c>
      <c r="AO797">
        <f t="shared" si="276"/>
        <v>2</v>
      </c>
      <c r="AP797">
        <f t="shared" si="277"/>
        <v>0</v>
      </c>
      <c r="AQ797" t="str">
        <f t="shared" si="278"/>
        <v/>
      </c>
    </row>
    <row r="798" spans="1:43" x14ac:dyDescent="0.35">
      <c r="A798">
        <v>983</v>
      </c>
      <c r="B798" t="s">
        <v>2522</v>
      </c>
      <c r="C798" t="s">
        <v>2325</v>
      </c>
      <c r="D798" t="str">
        <f t="shared" si="260"/>
        <v>M and E</v>
      </c>
      <c r="E798" t="s">
        <v>2313</v>
      </c>
      <c r="F798" t="s">
        <v>46</v>
      </c>
      <c r="G798" t="s">
        <v>2477</v>
      </c>
      <c r="H798" t="s">
        <v>334</v>
      </c>
      <c r="I798" s="32">
        <v>44801.241203703707</v>
      </c>
      <c r="J798" s="32">
        <v>44802.241203703707</v>
      </c>
      <c r="K798" s="32">
        <v>44803.241203703707</v>
      </c>
      <c r="L798" s="8">
        <f t="shared" si="261"/>
        <v>2</v>
      </c>
      <c r="M798" s="7">
        <v>44833.241203703707</v>
      </c>
      <c r="N798" t="s">
        <v>49</v>
      </c>
      <c r="O798" s="34">
        <v>44810.241203703707</v>
      </c>
      <c r="P798" t="s">
        <v>101</v>
      </c>
      <c r="R798" s="32">
        <v>44812.241203703707</v>
      </c>
      <c r="S798" t="s">
        <v>101</v>
      </c>
      <c r="T798" s="34">
        <v>44812.241203703707</v>
      </c>
      <c r="U798" s="34">
        <v>44815.241203703707</v>
      </c>
      <c r="V798" s="32">
        <v>44811.241203703707</v>
      </c>
      <c r="W798" s="32">
        <v>44817.241203703707</v>
      </c>
      <c r="X798">
        <v>1</v>
      </c>
      <c r="Y798" s="34">
        <v>44820.241203703707</v>
      </c>
      <c r="Z798" s="34">
        <v>44822.241203703707</v>
      </c>
      <c r="AA798" s="34">
        <v>44824.241203703707</v>
      </c>
      <c r="AB798" s="36" t="s">
        <v>7476</v>
      </c>
      <c r="AC798" s="10">
        <v>44842.241203703707</v>
      </c>
      <c r="AD798" t="s">
        <v>2523</v>
      </c>
      <c r="AE798" t="s">
        <v>2524</v>
      </c>
      <c r="AF798" s="16">
        <v>44797</v>
      </c>
      <c r="AG798" t="s">
        <v>98</v>
      </c>
      <c r="AH798">
        <v>3</v>
      </c>
      <c r="AI798" s="8">
        <f t="shared" si="271"/>
        <v>15.24120370370656</v>
      </c>
      <c r="AJ798" s="8">
        <f t="shared" si="272"/>
        <v>13.24120370370656</v>
      </c>
      <c r="AK798" s="38">
        <f t="shared" si="262"/>
        <v>44901.241203703707</v>
      </c>
      <c r="AL798">
        <f t="shared" si="273"/>
        <v>5</v>
      </c>
      <c r="AM798">
        <f t="shared" si="274"/>
        <v>10</v>
      </c>
      <c r="AN798">
        <f t="shared" si="275"/>
        <v>1</v>
      </c>
      <c r="AO798">
        <f t="shared" si="276"/>
        <v>1</v>
      </c>
      <c r="AP798">
        <f t="shared" si="277"/>
        <v>44841.241203703707</v>
      </c>
      <c r="AQ798">
        <f t="shared" si="278"/>
        <v>7</v>
      </c>
    </row>
    <row r="799" spans="1:43" x14ac:dyDescent="0.35">
      <c r="A799">
        <v>878</v>
      </c>
      <c r="B799" t="s">
        <v>2525</v>
      </c>
      <c r="C799" t="s">
        <v>2260</v>
      </c>
      <c r="D799" t="str">
        <f t="shared" si="260"/>
        <v>M and E</v>
      </c>
      <c r="E799" t="s">
        <v>2313</v>
      </c>
      <c r="F799" t="s">
        <v>46</v>
      </c>
      <c r="G799" t="s">
        <v>2477</v>
      </c>
      <c r="H799" t="s">
        <v>334</v>
      </c>
      <c r="I799" s="32">
        <v>44760.80777777778</v>
      </c>
      <c r="J799" s="32">
        <v>44763.80777777778</v>
      </c>
      <c r="K799" s="32" t="s">
        <v>7473</v>
      </c>
      <c r="L799" s="8" t="str">
        <f t="shared" si="261"/>
        <v/>
      </c>
      <c r="M799" s="7">
        <v>44781.80777777778</v>
      </c>
      <c r="N799" t="s">
        <v>49</v>
      </c>
      <c r="O799" s="34">
        <v>44778.80777777778</v>
      </c>
      <c r="P799" t="s">
        <v>60</v>
      </c>
      <c r="R799" s="32">
        <v>44782.80777777778</v>
      </c>
      <c r="S799" t="s">
        <v>61</v>
      </c>
      <c r="T799" s="34" t="s">
        <v>7476</v>
      </c>
      <c r="U799" s="34" t="s">
        <v>7476</v>
      </c>
      <c r="V799" s="32">
        <v>44781.80777777778</v>
      </c>
      <c r="W799" s="32" t="s">
        <v>7476</v>
      </c>
      <c r="X799">
        <v>0</v>
      </c>
      <c r="Y799" s="34" t="s">
        <v>7476</v>
      </c>
      <c r="Z799" s="34" t="s">
        <v>7476</v>
      </c>
      <c r="AA799" s="34" t="s">
        <v>7476</v>
      </c>
      <c r="AB799" s="36" t="s">
        <v>7476</v>
      </c>
      <c r="AD799" t="s">
        <v>2526</v>
      </c>
      <c r="AE799" t="s">
        <v>2527</v>
      </c>
      <c r="AF799" s="16">
        <v>44762</v>
      </c>
      <c r="AG799" t="s">
        <v>55</v>
      </c>
      <c r="AH799">
        <v>6</v>
      </c>
      <c r="AK799" s="38">
        <f t="shared" si="262"/>
        <v>44961.80777777778</v>
      </c>
    </row>
    <row r="800" spans="1:43" x14ac:dyDescent="0.35">
      <c r="A800">
        <v>874</v>
      </c>
      <c r="B800" t="s">
        <v>2528</v>
      </c>
      <c r="C800" t="s">
        <v>2260</v>
      </c>
      <c r="D800" t="str">
        <f t="shared" si="260"/>
        <v>M and E</v>
      </c>
      <c r="E800" t="s">
        <v>2313</v>
      </c>
      <c r="F800" t="s">
        <v>46</v>
      </c>
      <c r="G800" t="s">
        <v>2477</v>
      </c>
      <c r="H800" t="s">
        <v>334</v>
      </c>
      <c r="I800" s="32">
        <v>44759.80777777778</v>
      </c>
      <c r="J800" s="32">
        <v>44763.80777777778</v>
      </c>
      <c r="K800" s="32">
        <v>44768.80777777778</v>
      </c>
      <c r="L800" s="8">
        <f t="shared" si="261"/>
        <v>9</v>
      </c>
      <c r="M800" s="7">
        <v>44773.80777777778</v>
      </c>
      <c r="N800" t="s">
        <v>49</v>
      </c>
      <c r="O800" s="34">
        <v>44773.80777777778</v>
      </c>
      <c r="P800" t="s">
        <v>50</v>
      </c>
      <c r="Q800" t="s">
        <v>125</v>
      </c>
      <c r="R800" s="32" t="s">
        <v>7472</v>
      </c>
      <c r="S800" t="s">
        <v>7476</v>
      </c>
      <c r="T800" s="34" t="s">
        <v>7476</v>
      </c>
      <c r="U800" s="34" t="s">
        <v>7476</v>
      </c>
      <c r="V800" s="32" t="s">
        <v>7476</v>
      </c>
      <c r="W800" s="32" t="s">
        <v>7476</v>
      </c>
      <c r="X800">
        <v>0</v>
      </c>
      <c r="Y800" s="34" t="s">
        <v>7476</v>
      </c>
      <c r="Z800" s="34" t="s">
        <v>7476</v>
      </c>
      <c r="AA800" s="34" t="s">
        <v>7476</v>
      </c>
      <c r="AB800" s="36" t="s">
        <v>52</v>
      </c>
      <c r="AD800" t="s">
        <v>2529</v>
      </c>
      <c r="AE800" t="s">
        <v>2530</v>
      </c>
      <c r="AF800" s="16">
        <v>44755</v>
      </c>
      <c r="AG800" t="s">
        <v>98</v>
      </c>
      <c r="AH800">
        <v>3</v>
      </c>
      <c r="AI800" s="8" t="str">
        <f>IFERROR(R800-AF800,"")</f>
        <v/>
      </c>
      <c r="AJ800" s="8">
        <f>IFERROR(O800-AF800,"")</f>
        <v>18.807777777779847</v>
      </c>
      <c r="AK800" s="38" t="str">
        <f t="shared" si="262"/>
        <v/>
      </c>
      <c r="AL800" t="str">
        <f>IFERROR(Z800-W800,"")</f>
        <v/>
      </c>
      <c r="AM800" t="str">
        <f>IFERROR(R800-J800,"")</f>
        <v/>
      </c>
      <c r="AN800" t="str">
        <f>IFERROR(V800-O800,"")</f>
        <v/>
      </c>
      <c r="AO800">
        <f>IFERROR(J800-I800,"")</f>
        <v>4</v>
      </c>
      <c r="AP800">
        <f>IFERROR(AC800-X800,"")</f>
        <v>0</v>
      </c>
      <c r="AQ800" t="str">
        <f>IFERROR(AA800-W800,"")</f>
        <v/>
      </c>
    </row>
    <row r="801" spans="1:43" x14ac:dyDescent="0.35">
      <c r="A801">
        <v>753</v>
      </c>
      <c r="B801" t="s">
        <v>2531</v>
      </c>
      <c r="C801" t="s">
        <v>2260</v>
      </c>
      <c r="D801" t="str">
        <f t="shared" si="260"/>
        <v>M and E</v>
      </c>
      <c r="E801" t="s">
        <v>2313</v>
      </c>
      <c r="F801" t="s">
        <v>46</v>
      </c>
      <c r="G801" t="s">
        <v>2477</v>
      </c>
      <c r="H801" t="s">
        <v>334</v>
      </c>
      <c r="I801" s="32">
        <v>44941.883877314824</v>
      </c>
      <c r="J801" s="32">
        <v>44942.883877314824</v>
      </c>
      <c r="K801" s="32">
        <v>44947.883877314824</v>
      </c>
      <c r="L801" s="8">
        <f t="shared" si="261"/>
        <v>6</v>
      </c>
      <c r="M801" s="7">
        <v>44958.883877314824</v>
      </c>
      <c r="N801" t="s">
        <v>49</v>
      </c>
      <c r="O801" s="34">
        <v>44963.883877314824</v>
      </c>
      <c r="P801" t="s">
        <v>50</v>
      </c>
      <c r="Q801" t="s">
        <v>198</v>
      </c>
      <c r="R801" s="32" t="s">
        <v>7472</v>
      </c>
      <c r="S801" t="s">
        <v>7476</v>
      </c>
      <c r="T801" s="34" t="s">
        <v>7476</v>
      </c>
      <c r="U801" s="34" t="s">
        <v>7476</v>
      </c>
      <c r="V801" s="32" t="s">
        <v>7476</v>
      </c>
      <c r="W801" s="32" t="s">
        <v>7476</v>
      </c>
      <c r="X801">
        <v>0</v>
      </c>
      <c r="Y801" s="34" t="s">
        <v>7476</v>
      </c>
      <c r="Z801" s="34" t="s">
        <v>7476</v>
      </c>
      <c r="AA801" s="34" t="s">
        <v>7476</v>
      </c>
      <c r="AB801" s="36" t="s">
        <v>95</v>
      </c>
      <c r="AD801" t="s">
        <v>2532</v>
      </c>
      <c r="AE801" t="s">
        <v>2533</v>
      </c>
      <c r="AF801" s="16">
        <v>44951</v>
      </c>
      <c r="AG801" t="s">
        <v>98</v>
      </c>
      <c r="AH801">
        <v>3</v>
      </c>
      <c r="AI801" s="8" t="str">
        <f>IFERROR(R801-AF801,"")</f>
        <v/>
      </c>
      <c r="AJ801" s="8">
        <f>IFERROR(O801-AF801,"")</f>
        <v>12.883877314823621</v>
      </c>
      <c r="AK801" s="38" t="str">
        <f t="shared" si="262"/>
        <v/>
      </c>
      <c r="AL801" t="str">
        <f>IFERROR(Z801-W801,"")</f>
        <v/>
      </c>
      <c r="AM801" t="str">
        <f>IFERROR(R801-J801,"")</f>
        <v/>
      </c>
      <c r="AN801" t="str">
        <f>IFERROR(V801-O801,"")</f>
        <v/>
      </c>
      <c r="AO801">
        <f>IFERROR(J801-I801,"")</f>
        <v>1</v>
      </c>
      <c r="AP801">
        <f>IFERROR(AC801-X801,"")</f>
        <v>0</v>
      </c>
      <c r="AQ801" t="str">
        <f>IFERROR(AA801-W801,"")</f>
        <v/>
      </c>
    </row>
    <row r="802" spans="1:43" x14ac:dyDescent="0.35">
      <c r="A802">
        <v>700</v>
      </c>
      <c r="B802" t="s">
        <v>2534</v>
      </c>
      <c r="C802" t="s">
        <v>2260</v>
      </c>
      <c r="D802" t="str">
        <f t="shared" si="260"/>
        <v>M and E</v>
      </c>
      <c r="E802" t="s">
        <v>2313</v>
      </c>
      <c r="F802" t="s">
        <v>46</v>
      </c>
      <c r="G802" t="s">
        <v>2477</v>
      </c>
      <c r="H802" t="s">
        <v>334</v>
      </c>
      <c r="I802" s="32">
        <v>44870.289201388892</v>
      </c>
      <c r="J802" s="32">
        <v>44874.289201388892</v>
      </c>
      <c r="K802" s="32">
        <v>44875.289201388892</v>
      </c>
      <c r="L802" s="8">
        <f t="shared" si="261"/>
        <v>5</v>
      </c>
      <c r="M802" s="7">
        <v>44880.289201388892</v>
      </c>
      <c r="N802" t="s">
        <v>49</v>
      </c>
      <c r="O802" s="34">
        <v>44878.289201388892</v>
      </c>
      <c r="P802" t="s">
        <v>50</v>
      </c>
      <c r="Q802" t="s">
        <v>84</v>
      </c>
      <c r="R802" s="32" t="s">
        <v>7472</v>
      </c>
      <c r="S802" t="s">
        <v>7476</v>
      </c>
      <c r="T802" s="34" t="s">
        <v>7476</v>
      </c>
      <c r="U802" s="34" t="s">
        <v>7476</v>
      </c>
      <c r="V802" s="32" t="s">
        <v>7476</v>
      </c>
      <c r="W802" s="32" t="s">
        <v>7476</v>
      </c>
      <c r="X802">
        <v>0</v>
      </c>
      <c r="Y802" s="34" t="s">
        <v>7476</v>
      </c>
      <c r="Z802" s="34" t="s">
        <v>7476</v>
      </c>
      <c r="AA802" s="34" t="s">
        <v>7476</v>
      </c>
      <c r="AB802" s="36" t="s">
        <v>52</v>
      </c>
      <c r="AD802" t="s">
        <v>2535</v>
      </c>
      <c r="AE802" t="s">
        <v>2536</v>
      </c>
      <c r="AF802" s="16">
        <v>44863</v>
      </c>
      <c r="AG802" t="s">
        <v>98</v>
      </c>
      <c r="AH802">
        <v>3</v>
      </c>
      <c r="AI802" s="8" t="str">
        <f>IFERROR(R802-AF802,"")</f>
        <v/>
      </c>
      <c r="AJ802" s="8">
        <f>IFERROR(O802-AF802,"")</f>
        <v>15.289201388892252</v>
      </c>
      <c r="AK802" s="38" t="str">
        <f t="shared" si="262"/>
        <v/>
      </c>
      <c r="AL802" t="str">
        <f>IFERROR(Z802-W802,"")</f>
        <v/>
      </c>
      <c r="AM802" t="str">
        <f>IFERROR(R802-J802,"")</f>
        <v/>
      </c>
      <c r="AN802" t="str">
        <f>IFERROR(V802-O802,"")</f>
        <v/>
      </c>
      <c r="AO802">
        <f>IFERROR(J802-I802,"")</f>
        <v>4</v>
      </c>
      <c r="AP802">
        <f>IFERROR(AC802-X802,"")</f>
        <v>0</v>
      </c>
      <c r="AQ802" t="str">
        <f>IFERROR(AA802-W802,"")</f>
        <v/>
      </c>
    </row>
    <row r="803" spans="1:43" x14ac:dyDescent="0.35">
      <c r="A803">
        <v>645</v>
      </c>
      <c r="B803" t="s">
        <v>2537</v>
      </c>
      <c r="C803" t="s">
        <v>2260</v>
      </c>
      <c r="D803" t="str">
        <f t="shared" si="260"/>
        <v>M and E</v>
      </c>
      <c r="E803" t="s">
        <v>2313</v>
      </c>
      <c r="F803" t="s">
        <v>46</v>
      </c>
      <c r="G803" t="s">
        <v>2477</v>
      </c>
      <c r="H803" t="s">
        <v>334</v>
      </c>
      <c r="I803" s="32">
        <v>44785.760729166657</v>
      </c>
      <c r="J803" s="32">
        <v>44786.760729166657</v>
      </c>
      <c r="K803" s="32" t="s">
        <v>7473</v>
      </c>
      <c r="L803" s="8" t="str">
        <f t="shared" si="261"/>
        <v/>
      </c>
      <c r="M803" s="7">
        <v>44793.760729166657</v>
      </c>
      <c r="N803" t="s">
        <v>49</v>
      </c>
      <c r="O803" s="34">
        <v>44792.760729166657</v>
      </c>
      <c r="P803" t="s">
        <v>101</v>
      </c>
      <c r="R803" s="32">
        <v>44797.760729166657</v>
      </c>
      <c r="S803" t="s">
        <v>101</v>
      </c>
      <c r="T803" s="34">
        <v>44793.760729166657</v>
      </c>
      <c r="U803" s="34">
        <v>44795.760729166657</v>
      </c>
      <c r="V803" s="32">
        <v>44795.760729166657</v>
      </c>
      <c r="W803" s="32">
        <v>44801.760729166657</v>
      </c>
      <c r="X803">
        <v>1</v>
      </c>
      <c r="Y803" s="34">
        <v>44803.760729166657</v>
      </c>
      <c r="Z803" s="34">
        <v>44806.760729166657</v>
      </c>
      <c r="AA803" s="34">
        <v>44809.760729166657</v>
      </c>
      <c r="AB803" s="36" t="s">
        <v>7476</v>
      </c>
      <c r="AC803" s="10">
        <v>44817.760729166657</v>
      </c>
      <c r="AD803" t="s">
        <v>2538</v>
      </c>
      <c r="AE803" t="s">
        <v>2539</v>
      </c>
      <c r="AF803" s="16">
        <v>44784</v>
      </c>
      <c r="AG803" t="s">
        <v>93</v>
      </c>
      <c r="AH803">
        <v>3</v>
      </c>
      <c r="AK803" s="38">
        <f t="shared" si="262"/>
        <v>44885.760729166657</v>
      </c>
    </row>
    <row r="804" spans="1:43" x14ac:dyDescent="0.35">
      <c r="A804">
        <v>644</v>
      </c>
      <c r="B804" t="s">
        <v>2540</v>
      </c>
      <c r="C804" t="s">
        <v>2287</v>
      </c>
      <c r="D804" t="str">
        <f t="shared" si="260"/>
        <v>M and E</v>
      </c>
      <c r="E804" t="s">
        <v>2313</v>
      </c>
      <c r="F804" t="s">
        <v>46</v>
      </c>
      <c r="G804" t="s">
        <v>2477</v>
      </c>
      <c r="H804" t="s">
        <v>334</v>
      </c>
      <c r="I804" s="32" t="s">
        <v>7471</v>
      </c>
      <c r="J804" s="32">
        <v>44784.760729166657</v>
      </c>
      <c r="K804" s="32">
        <v>44788.760729166657</v>
      </c>
      <c r="L804" s="8" t="str">
        <f t="shared" si="261"/>
        <v/>
      </c>
      <c r="M804" s="7">
        <v>44815.760729166657</v>
      </c>
      <c r="N804" t="s">
        <v>49</v>
      </c>
      <c r="O804" s="34">
        <v>44797.760729166657</v>
      </c>
      <c r="P804" t="s">
        <v>101</v>
      </c>
      <c r="R804" s="32">
        <v>44802.760729166657</v>
      </c>
      <c r="S804" t="s">
        <v>101</v>
      </c>
      <c r="T804" s="34">
        <v>44798.760729166657</v>
      </c>
      <c r="U804" s="34">
        <v>44800.760729166657</v>
      </c>
      <c r="V804" s="32">
        <v>44801.760729166657</v>
      </c>
      <c r="W804" s="32">
        <v>44804.760729166657</v>
      </c>
      <c r="X804">
        <v>1</v>
      </c>
      <c r="Y804" s="34">
        <v>44805.760729166657</v>
      </c>
      <c r="Z804" s="34">
        <v>44808.760729166657</v>
      </c>
      <c r="AA804" s="34">
        <v>44809.760729166657</v>
      </c>
      <c r="AB804" s="36" t="s">
        <v>7476</v>
      </c>
      <c r="AC804" s="10">
        <v>44830.760729166657</v>
      </c>
      <c r="AD804" t="s">
        <v>2541</v>
      </c>
      <c r="AE804" t="s">
        <v>2542</v>
      </c>
      <c r="AF804" s="16">
        <v>44790</v>
      </c>
      <c r="AG804" t="s">
        <v>55</v>
      </c>
      <c r="AH804">
        <v>6</v>
      </c>
      <c r="AK804" s="38">
        <f t="shared" si="262"/>
        <v>44981.760729166657</v>
      </c>
    </row>
    <row r="805" spans="1:43" x14ac:dyDescent="0.35">
      <c r="A805">
        <v>558</v>
      </c>
      <c r="B805" t="s">
        <v>2543</v>
      </c>
      <c r="C805" t="s">
        <v>2260</v>
      </c>
      <c r="D805" t="str">
        <f t="shared" si="260"/>
        <v>M and E</v>
      </c>
      <c r="E805" t="s">
        <v>2313</v>
      </c>
      <c r="F805" t="s">
        <v>46</v>
      </c>
      <c r="G805" t="s">
        <v>2477</v>
      </c>
      <c r="H805" t="s">
        <v>334</v>
      </c>
      <c r="I805" s="32">
        <v>45086.01053240741</v>
      </c>
      <c r="J805" s="32">
        <v>45088.01053240741</v>
      </c>
      <c r="K805" s="32">
        <v>45091.01053240741</v>
      </c>
      <c r="L805" s="8">
        <f t="shared" si="261"/>
        <v>5</v>
      </c>
      <c r="M805" s="7">
        <v>45120.01053240741</v>
      </c>
      <c r="N805" t="s">
        <v>72</v>
      </c>
      <c r="O805" s="34" t="s">
        <v>7474</v>
      </c>
      <c r="R805" s="32" t="s">
        <v>7472</v>
      </c>
      <c r="S805" t="s">
        <v>7476</v>
      </c>
      <c r="T805" s="34" t="s">
        <v>7476</v>
      </c>
      <c r="U805" s="34" t="s">
        <v>7476</v>
      </c>
      <c r="V805" s="32" t="s">
        <v>7476</v>
      </c>
      <c r="W805" s="32" t="s">
        <v>7476</v>
      </c>
      <c r="X805">
        <v>0</v>
      </c>
      <c r="Y805" s="34" t="s">
        <v>7476</v>
      </c>
      <c r="Z805" s="34" t="s">
        <v>7476</v>
      </c>
      <c r="AA805" s="34" t="s">
        <v>7476</v>
      </c>
      <c r="AB805" s="36" t="s">
        <v>7476</v>
      </c>
      <c r="AD805" t="s">
        <v>2544</v>
      </c>
      <c r="AE805" t="s">
        <v>2545</v>
      </c>
      <c r="AG805" t="s">
        <v>68</v>
      </c>
      <c r="AH805">
        <v>6</v>
      </c>
      <c r="AI805" s="8" t="str">
        <f>IFERROR(R805-AF805,"")</f>
        <v/>
      </c>
      <c r="AJ805" s="8" t="str">
        <f>IFERROR(O805-AF805,"")</f>
        <v/>
      </c>
      <c r="AK805" s="38" t="str">
        <f t="shared" si="262"/>
        <v/>
      </c>
      <c r="AL805" t="str">
        <f>IFERROR(Z805-W805,"")</f>
        <v/>
      </c>
      <c r="AM805" t="str">
        <f>IFERROR(R805-J805,"")</f>
        <v/>
      </c>
      <c r="AN805" t="str">
        <f>IFERROR(V805-O805,"")</f>
        <v/>
      </c>
      <c r="AO805">
        <f>IFERROR(J805-I805,"")</f>
        <v>2</v>
      </c>
      <c r="AP805">
        <f>IFERROR(AC805-X805,"")</f>
        <v>0</v>
      </c>
      <c r="AQ805" t="str">
        <f>IFERROR(AA805-W805,"")</f>
        <v/>
      </c>
    </row>
    <row r="806" spans="1:43" x14ac:dyDescent="0.35">
      <c r="A806">
        <v>554</v>
      </c>
      <c r="B806" t="s">
        <v>2546</v>
      </c>
      <c r="C806" t="s">
        <v>2260</v>
      </c>
      <c r="D806" t="str">
        <f t="shared" si="260"/>
        <v>M and E</v>
      </c>
      <c r="E806" t="s">
        <v>2313</v>
      </c>
      <c r="F806" t="s">
        <v>46</v>
      </c>
      <c r="G806" t="s">
        <v>2477</v>
      </c>
      <c r="H806" t="s">
        <v>334</v>
      </c>
      <c r="I806" s="32">
        <v>45086.01053240741</v>
      </c>
      <c r="J806" s="32">
        <v>45088.01053240741</v>
      </c>
      <c r="K806" s="32">
        <v>45091.01053240741</v>
      </c>
      <c r="L806" s="8">
        <f t="shared" si="261"/>
        <v>5</v>
      </c>
      <c r="M806" s="7">
        <v>45119.01053240741</v>
      </c>
      <c r="N806" t="s">
        <v>49</v>
      </c>
      <c r="O806" s="34">
        <v>45095.01053240741</v>
      </c>
      <c r="P806" t="s">
        <v>50</v>
      </c>
      <c r="Q806" t="s">
        <v>51</v>
      </c>
      <c r="R806" s="32" t="s">
        <v>7472</v>
      </c>
      <c r="S806" t="s">
        <v>7476</v>
      </c>
      <c r="T806" s="34" t="s">
        <v>7476</v>
      </c>
      <c r="U806" s="34" t="s">
        <v>7476</v>
      </c>
      <c r="V806" s="32">
        <v>45096.01053240741</v>
      </c>
      <c r="W806" s="32" t="s">
        <v>7476</v>
      </c>
      <c r="X806">
        <v>0</v>
      </c>
      <c r="Y806" s="34" t="s">
        <v>7476</v>
      </c>
      <c r="Z806" s="34" t="s">
        <v>7476</v>
      </c>
      <c r="AA806" s="34" t="s">
        <v>7476</v>
      </c>
      <c r="AB806" s="36" t="s">
        <v>95</v>
      </c>
      <c r="AD806" t="s">
        <v>2547</v>
      </c>
      <c r="AE806" t="s">
        <v>2548</v>
      </c>
      <c r="AF806" s="16">
        <v>44963</v>
      </c>
      <c r="AG806" t="s">
        <v>98</v>
      </c>
      <c r="AH806">
        <v>3</v>
      </c>
      <c r="AI806" s="8" t="str">
        <f>IFERROR(R806-AF806,"")</f>
        <v/>
      </c>
      <c r="AJ806" s="8">
        <f>IFERROR(O806-AF806,"")</f>
        <v>132.01053240741021</v>
      </c>
      <c r="AK806" s="38">
        <f t="shared" si="262"/>
        <v>45186.01053240741</v>
      </c>
      <c r="AL806" t="str">
        <f>IFERROR(Z806-W806,"")</f>
        <v/>
      </c>
      <c r="AM806" t="str">
        <f>IFERROR(R806-J806,"")</f>
        <v/>
      </c>
      <c r="AN806">
        <f>IFERROR(V806-O806,"")</f>
        <v>1</v>
      </c>
      <c r="AO806">
        <f>IFERROR(J806-I806,"")</f>
        <v>2</v>
      </c>
      <c r="AP806">
        <f>IFERROR(AC806-X806,"")</f>
        <v>0</v>
      </c>
      <c r="AQ806" t="str">
        <f>IFERROR(AA806-W806,"")</f>
        <v/>
      </c>
    </row>
    <row r="807" spans="1:43" x14ac:dyDescent="0.35">
      <c r="A807">
        <v>2989</v>
      </c>
      <c r="B807" t="s">
        <v>2549</v>
      </c>
      <c r="C807" t="s">
        <v>2287</v>
      </c>
      <c r="D807" t="str">
        <f t="shared" si="260"/>
        <v>M and E</v>
      </c>
      <c r="E807" t="s">
        <v>2550</v>
      </c>
      <c r="F807" t="s">
        <v>695</v>
      </c>
      <c r="G807" t="s">
        <v>2551</v>
      </c>
      <c r="H807" t="s">
        <v>697</v>
      </c>
      <c r="I807" s="32">
        <v>44928.987974537027</v>
      </c>
      <c r="J807" s="32">
        <v>44930.987974537027</v>
      </c>
      <c r="K807" s="32" t="s">
        <v>7473</v>
      </c>
      <c r="L807" s="8" t="str">
        <f t="shared" si="261"/>
        <v/>
      </c>
      <c r="M807" s="7">
        <v>44961.987974537027</v>
      </c>
      <c r="N807" t="s">
        <v>49</v>
      </c>
      <c r="O807" s="34">
        <v>44945.987974537027</v>
      </c>
      <c r="P807" t="s">
        <v>50</v>
      </c>
      <c r="Q807" t="s">
        <v>84</v>
      </c>
      <c r="R807" s="32" t="s">
        <v>7472</v>
      </c>
      <c r="S807" t="s">
        <v>7476</v>
      </c>
      <c r="T807" s="34" t="s">
        <v>7476</v>
      </c>
      <c r="U807" s="34" t="s">
        <v>7476</v>
      </c>
      <c r="V807" s="32">
        <v>44947.987974537027</v>
      </c>
      <c r="W807" s="32" t="s">
        <v>7476</v>
      </c>
      <c r="X807">
        <v>0</v>
      </c>
      <c r="Y807" s="34" t="s">
        <v>7476</v>
      </c>
      <c r="Z807" s="34" t="s">
        <v>7476</v>
      </c>
      <c r="AA807" s="34" t="s">
        <v>7476</v>
      </c>
      <c r="AB807" s="36" t="s">
        <v>95</v>
      </c>
      <c r="AD807" t="s">
        <v>2552</v>
      </c>
      <c r="AE807" t="s">
        <v>2553</v>
      </c>
      <c r="AF807" s="16">
        <v>44939</v>
      </c>
      <c r="AG807" t="s">
        <v>75</v>
      </c>
      <c r="AH807">
        <v>6</v>
      </c>
      <c r="AK807" s="38">
        <f t="shared" si="262"/>
        <v>45127.987974537027</v>
      </c>
    </row>
    <row r="808" spans="1:43" x14ac:dyDescent="0.35">
      <c r="A808">
        <v>2907</v>
      </c>
      <c r="B808" t="s">
        <v>2554</v>
      </c>
      <c r="C808" t="s">
        <v>2260</v>
      </c>
      <c r="D808" t="str">
        <f t="shared" si="260"/>
        <v>M and E</v>
      </c>
      <c r="E808" t="s">
        <v>2550</v>
      </c>
      <c r="F808" t="s">
        <v>695</v>
      </c>
      <c r="G808" t="s">
        <v>2551</v>
      </c>
      <c r="H808" t="s">
        <v>697</v>
      </c>
      <c r="I808" s="32">
        <v>44616.299814814818</v>
      </c>
      <c r="J808" s="32">
        <v>44617.299814814818</v>
      </c>
      <c r="K808" s="32">
        <v>44622.299814814818</v>
      </c>
      <c r="L808" s="8">
        <f t="shared" si="261"/>
        <v>6</v>
      </c>
      <c r="M808" s="7">
        <v>44667.299814814818</v>
      </c>
      <c r="N808" t="s">
        <v>49</v>
      </c>
      <c r="O808" s="34">
        <v>44636.299814814818</v>
      </c>
      <c r="P808" t="s">
        <v>50</v>
      </c>
      <c r="Q808" t="s">
        <v>236</v>
      </c>
      <c r="R808" s="32" t="s">
        <v>7472</v>
      </c>
      <c r="S808" t="s">
        <v>7476</v>
      </c>
      <c r="T808" s="34" t="s">
        <v>7476</v>
      </c>
      <c r="U808" s="34" t="s">
        <v>7476</v>
      </c>
      <c r="V808" s="32">
        <v>44639.299814814818</v>
      </c>
      <c r="W808" s="32" t="s">
        <v>7476</v>
      </c>
      <c r="X808">
        <v>0</v>
      </c>
      <c r="Y808" s="34" t="s">
        <v>7476</v>
      </c>
      <c r="Z808" s="34" t="s">
        <v>7476</v>
      </c>
      <c r="AA808" s="34" t="s">
        <v>7476</v>
      </c>
      <c r="AB808" s="36" t="s">
        <v>52</v>
      </c>
      <c r="AD808" t="s">
        <v>2555</v>
      </c>
      <c r="AE808" t="s">
        <v>2556</v>
      </c>
      <c r="AF808" s="16">
        <v>44684</v>
      </c>
      <c r="AG808" t="s">
        <v>68</v>
      </c>
      <c r="AH808">
        <v>6</v>
      </c>
      <c r="AI808" s="8" t="str">
        <f>IFERROR(R808-AF808,"")</f>
        <v/>
      </c>
      <c r="AJ808" s="8">
        <f>IFERROR(O808-AF808,"")</f>
        <v>-47.700185185181908</v>
      </c>
      <c r="AK808" s="38">
        <f t="shared" si="262"/>
        <v>44819.299814814818</v>
      </c>
      <c r="AL808" t="str">
        <f>IFERROR(Z808-W808,"")</f>
        <v/>
      </c>
      <c r="AM808" t="str">
        <f>IFERROR(R808-J808,"")</f>
        <v/>
      </c>
      <c r="AN808">
        <f>IFERROR(V808-O808,"")</f>
        <v>3</v>
      </c>
      <c r="AO808">
        <f>IFERROR(J808-I808,"")</f>
        <v>1</v>
      </c>
      <c r="AP808">
        <f>IFERROR(AC808-X808,"")</f>
        <v>0</v>
      </c>
      <c r="AQ808" t="str">
        <f>IFERROR(AA808-W808,"")</f>
        <v/>
      </c>
    </row>
    <row r="809" spans="1:43" x14ac:dyDescent="0.35">
      <c r="A809">
        <v>2880</v>
      </c>
      <c r="B809" t="s">
        <v>2557</v>
      </c>
      <c r="C809" t="s">
        <v>2260</v>
      </c>
      <c r="D809" t="str">
        <f t="shared" si="260"/>
        <v>M and E</v>
      </c>
      <c r="E809" t="s">
        <v>2550</v>
      </c>
      <c r="F809" t="s">
        <v>695</v>
      </c>
      <c r="G809" t="s">
        <v>2551</v>
      </c>
      <c r="H809" t="s">
        <v>697</v>
      </c>
      <c r="I809" s="32">
        <v>45117.164652777778</v>
      </c>
      <c r="J809" s="32">
        <v>45119.164652777778</v>
      </c>
      <c r="K809" s="32" t="s">
        <v>7473</v>
      </c>
      <c r="L809" s="8" t="str">
        <f t="shared" si="261"/>
        <v/>
      </c>
      <c r="M809" s="7">
        <v>45150.164652777778</v>
      </c>
      <c r="N809" t="s">
        <v>49</v>
      </c>
      <c r="O809" s="34">
        <v>45131.164652777778</v>
      </c>
      <c r="P809" t="s">
        <v>101</v>
      </c>
      <c r="R809" s="32">
        <v>45137.164652777778</v>
      </c>
      <c r="S809" t="s">
        <v>101</v>
      </c>
      <c r="T809" s="34">
        <v>45132.164652777778</v>
      </c>
      <c r="U809" s="34">
        <v>45133.164652777778</v>
      </c>
      <c r="V809" s="32">
        <v>45134.164652777778</v>
      </c>
      <c r="W809" s="32">
        <v>45136.164652777778</v>
      </c>
      <c r="X809">
        <v>1</v>
      </c>
      <c r="Y809" s="34">
        <v>45138.164652777778</v>
      </c>
      <c r="Z809" s="34">
        <v>45139.164652777778</v>
      </c>
      <c r="AA809" s="34">
        <v>45140.164652777778</v>
      </c>
      <c r="AB809" s="36" t="s">
        <v>7476</v>
      </c>
      <c r="AC809" s="10">
        <v>45150.164652777778</v>
      </c>
      <c r="AD809" t="s">
        <v>2558</v>
      </c>
      <c r="AE809" t="s">
        <v>2559</v>
      </c>
      <c r="AF809" s="16">
        <v>45123</v>
      </c>
      <c r="AG809" t="s">
        <v>55</v>
      </c>
      <c r="AH809">
        <v>3</v>
      </c>
      <c r="AK809" s="38">
        <f t="shared" si="262"/>
        <v>45224.164652777778</v>
      </c>
    </row>
    <row r="810" spans="1:43" x14ac:dyDescent="0.35">
      <c r="A810">
        <v>2876</v>
      </c>
      <c r="B810" t="s">
        <v>2560</v>
      </c>
      <c r="C810" t="s">
        <v>2260</v>
      </c>
      <c r="D810" t="str">
        <f t="shared" si="260"/>
        <v>M and E</v>
      </c>
      <c r="E810" t="s">
        <v>2550</v>
      </c>
      <c r="F810" t="s">
        <v>695</v>
      </c>
      <c r="G810" t="s">
        <v>2551</v>
      </c>
      <c r="H810" t="s">
        <v>697</v>
      </c>
      <c r="I810" s="32">
        <v>45118.164652777778</v>
      </c>
      <c r="J810" s="32" t="s">
        <v>7471</v>
      </c>
      <c r="K810" s="32">
        <v>45126.164652777778</v>
      </c>
      <c r="L810" s="8">
        <f t="shared" si="261"/>
        <v>8</v>
      </c>
      <c r="M810" s="7">
        <v>45137.164652777778</v>
      </c>
      <c r="N810" t="s">
        <v>49</v>
      </c>
      <c r="O810" s="34">
        <v>45134.164652777778</v>
      </c>
      <c r="P810" t="s">
        <v>60</v>
      </c>
      <c r="R810" s="32">
        <v>45140.164652777778</v>
      </c>
      <c r="S810" t="s">
        <v>61</v>
      </c>
      <c r="T810" s="34" t="s">
        <v>7476</v>
      </c>
      <c r="U810" s="34" t="s">
        <v>7476</v>
      </c>
      <c r="V810" s="32">
        <v>45138.164652777778</v>
      </c>
      <c r="W810" s="32" t="s">
        <v>7476</v>
      </c>
      <c r="X810">
        <v>0</v>
      </c>
      <c r="Y810" s="34" t="s">
        <v>7476</v>
      </c>
      <c r="Z810" s="34" t="s">
        <v>7476</v>
      </c>
      <c r="AA810" s="34" t="s">
        <v>7476</v>
      </c>
      <c r="AB810" s="36" t="s">
        <v>7476</v>
      </c>
      <c r="AD810" t="s">
        <v>2561</v>
      </c>
      <c r="AE810" t="s">
        <v>2562</v>
      </c>
      <c r="AF810" s="16">
        <v>45206</v>
      </c>
      <c r="AG810" t="s">
        <v>55</v>
      </c>
      <c r="AH810">
        <v>6</v>
      </c>
      <c r="AK810" s="38">
        <f t="shared" si="262"/>
        <v>45318.164652777778</v>
      </c>
    </row>
    <row r="811" spans="1:43" x14ac:dyDescent="0.35">
      <c r="A811">
        <v>2875</v>
      </c>
      <c r="B811" t="s">
        <v>2563</v>
      </c>
      <c r="C811" t="s">
        <v>2260</v>
      </c>
      <c r="D811" t="str">
        <f t="shared" si="260"/>
        <v>M and E</v>
      </c>
      <c r="E811" t="s">
        <v>2550</v>
      </c>
      <c r="F811" t="s">
        <v>695</v>
      </c>
      <c r="G811" t="s">
        <v>2551</v>
      </c>
      <c r="H811" t="s">
        <v>697</v>
      </c>
      <c r="I811" s="32">
        <v>45114.164652777778</v>
      </c>
      <c r="J811" s="32" t="s">
        <v>7471</v>
      </c>
      <c r="K811" s="32">
        <v>45122.164652777778</v>
      </c>
      <c r="L811" s="8">
        <f t="shared" si="261"/>
        <v>8</v>
      </c>
      <c r="M811" s="7">
        <v>45138.164652777778</v>
      </c>
      <c r="N811" t="s">
        <v>72</v>
      </c>
      <c r="O811" s="34" t="s">
        <v>7474</v>
      </c>
      <c r="R811" s="32" t="s">
        <v>7472</v>
      </c>
      <c r="S811" t="s">
        <v>7476</v>
      </c>
      <c r="T811" s="34" t="s">
        <v>7476</v>
      </c>
      <c r="U811" s="34" t="s">
        <v>7476</v>
      </c>
      <c r="V811" s="32" t="s">
        <v>7476</v>
      </c>
      <c r="W811" s="32" t="s">
        <v>7476</v>
      </c>
      <c r="X811">
        <v>0</v>
      </c>
      <c r="Y811" s="34" t="s">
        <v>7476</v>
      </c>
      <c r="Z811" s="34" t="s">
        <v>7476</v>
      </c>
      <c r="AA811" s="34" t="s">
        <v>7476</v>
      </c>
      <c r="AB811" s="36" t="s">
        <v>7476</v>
      </c>
      <c r="AD811" t="s">
        <v>2564</v>
      </c>
      <c r="AE811" t="s">
        <v>2565</v>
      </c>
      <c r="AG811" t="s">
        <v>93</v>
      </c>
      <c r="AH811">
        <v>3</v>
      </c>
      <c r="AK811" s="38" t="str">
        <f t="shared" si="262"/>
        <v/>
      </c>
    </row>
    <row r="812" spans="1:43" x14ac:dyDescent="0.35">
      <c r="A812">
        <v>2871</v>
      </c>
      <c r="B812" t="s">
        <v>2566</v>
      </c>
      <c r="C812" t="s">
        <v>2287</v>
      </c>
      <c r="D812" t="str">
        <f t="shared" si="260"/>
        <v>M and E</v>
      </c>
      <c r="E812" t="s">
        <v>2550</v>
      </c>
      <c r="F812" t="s">
        <v>695</v>
      </c>
      <c r="G812" t="s">
        <v>2551</v>
      </c>
      <c r="H812" t="s">
        <v>697</v>
      </c>
      <c r="I812" s="32" t="s">
        <v>7471</v>
      </c>
      <c r="J812" s="32">
        <v>45120.164652777778</v>
      </c>
      <c r="K812" s="32">
        <v>45127.164652777778</v>
      </c>
      <c r="L812" s="8" t="str">
        <f t="shared" si="261"/>
        <v/>
      </c>
      <c r="M812" s="7">
        <v>45197.164652777778</v>
      </c>
      <c r="N812" t="s">
        <v>49</v>
      </c>
      <c r="O812" s="34">
        <v>45128.164652777778</v>
      </c>
      <c r="P812" t="s">
        <v>101</v>
      </c>
      <c r="R812" s="32">
        <v>45136.164652777778</v>
      </c>
      <c r="S812" t="s">
        <v>101</v>
      </c>
      <c r="T812" s="34">
        <v>45130.164652777778</v>
      </c>
      <c r="U812" s="34">
        <v>45134.164652777778</v>
      </c>
      <c r="V812" s="32">
        <v>45132.164652777778</v>
      </c>
      <c r="W812" s="32">
        <v>45138.164652777778</v>
      </c>
      <c r="X812">
        <v>1</v>
      </c>
      <c r="Y812" s="34">
        <v>45142.164652777778</v>
      </c>
      <c r="Z812" s="34">
        <v>45144.164652777778</v>
      </c>
      <c r="AA812" s="34">
        <v>45147.164652777778</v>
      </c>
      <c r="AB812" s="36" t="s">
        <v>7476</v>
      </c>
      <c r="AC812" s="10">
        <v>45166.164652777778</v>
      </c>
      <c r="AD812" t="s">
        <v>2567</v>
      </c>
      <c r="AE812" t="s">
        <v>2568</v>
      </c>
      <c r="AF812" s="16">
        <v>45114</v>
      </c>
      <c r="AG812" t="s">
        <v>93</v>
      </c>
      <c r="AH812">
        <v>6</v>
      </c>
      <c r="AK812" s="38">
        <f t="shared" si="262"/>
        <v>45312.164652777778</v>
      </c>
    </row>
    <row r="813" spans="1:43" x14ac:dyDescent="0.35">
      <c r="A813">
        <v>2811</v>
      </c>
      <c r="B813" t="s">
        <v>2569</v>
      </c>
      <c r="C813" t="s">
        <v>2260</v>
      </c>
      <c r="D813" t="str">
        <f t="shared" si="260"/>
        <v>M and E</v>
      </c>
      <c r="E813" t="s">
        <v>2550</v>
      </c>
      <c r="F813" t="s">
        <v>695</v>
      </c>
      <c r="G813" t="s">
        <v>2551</v>
      </c>
      <c r="H813" t="s">
        <v>697</v>
      </c>
      <c r="I813" s="32">
        <v>44893.862592592603</v>
      </c>
      <c r="J813" s="32">
        <v>44896.862592592603</v>
      </c>
      <c r="K813" s="32">
        <v>44898.862592592603</v>
      </c>
      <c r="L813" s="8">
        <f t="shared" si="261"/>
        <v>5</v>
      </c>
      <c r="M813" s="7">
        <v>44918.862592592603</v>
      </c>
      <c r="N813" t="s">
        <v>49</v>
      </c>
      <c r="O813" s="34">
        <v>44905.862592592603</v>
      </c>
      <c r="P813" t="s">
        <v>60</v>
      </c>
      <c r="R813" s="32">
        <v>44909.862592592603</v>
      </c>
      <c r="S813" t="s">
        <v>61</v>
      </c>
      <c r="T813" s="34" t="s">
        <v>7476</v>
      </c>
      <c r="U813" s="34" t="s">
        <v>7476</v>
      </c>
      <c r="V813" s="32">
        <v>44907.862592592603</v>
      </c>
      <c r="W813" s="32" t="s">
        <v>7476</v>
      </c>
      <c r="X813">
        <v>0</v>
      </c>
      <c r="Y813" s="34" t="s">
        <v>7476</v>
      </c>
      <c r="Z813" s="34" t="s">
        <v>7476</v>
      </c>
      <c r="AA813" s="34" t="s">
        <v>7476</v>
      </c>
      <c r="AB813" s="36" t="s">
        <v>7476</v>
      </c>
      <c r="AD813" t="s">
        <v>2570</v>
      </c>
      <c r="AE813" t="s">
        <v>2571</v>
      </c>
      <c r="AF813" s="16">
        <v>44894</v>
      </c>
      <c r="AG813" t="s">
        <v>68</v>
      </c>
      <c r="AH813">
        <v>6</v>
      </c>
      <c r="AI813" s="8">
        <f>IFERROR(R813-AF813,"")</f>
        <v>15.862592592602596</v>
      </c>
      <c r="AJ813" s="8">
        <f>IFERROR(O813-AF813,"")</f>
        <v>11.862592592602596</v>
      </c>
      <c r="AK813" s="38">
        <f t="shared" si="262"/>
        <v>45087.862592592603</v>
      </c>
      <c r="AL813" t="str">
        <f>IFERROR(Z813-W813,"")</f>
        <v/>
      </c>
      <c r="AM813">
        <f>IFERROR(R813-J813,"")</f>
        <v>13</v>
      </c>
      <c r="AN813">
        <f>IFERROR(V813-O813,"")</f>
        <v>2</v>
      </c>
      <c r="AO813">
        <f>IFERROR(J813-I813,"")</f>
        <v>3</v>
      </c>
      <c r="AP813">
        <f>IFERROR(AC813-X813,"")</f>
        <v>0</v>
      </c>
      <c r="AQ813" t="str">
        <f>IFERROR(AA813-W813,"")</f>
        <v/>
      </c>
    </row>
    <row r="814" spans="1:43" x14ac:dyDescent="0.35">
      <c r="A814">
        <v>2718</v>
      </c>
      <c r="B814" t="s">
        <v>2572</v>
      </c>
      <c r="C814" t="s">
        <v>2325</v>
      </c>
      <c r="D814" t="str">
        <f t="shared" si="260"/>
        <v>M and E</v>
      </c>
      <c r="E814" t="s">
        <v>2550</v>
      </c>
      <c r="F814" t="s">
        <v>695</v>
      </c>
      <c r="G814" t="s">
        <v>2551</v>
      </c>
      <c r="H814" t="s">
        <v>697</v>
      </c>
      <c r="I814" s="32">
        <v>44954.0546412037</v>
      </c>
      <c r="J814" s="32">
        <v>44957.0546412037</v>
      </c>
      <c r="K814" s="32">
        <v>44958.0546412037</v>
      </c>
      <c r="L814" s="8">
        <f t="shared" si="261"/>
        <v>4</v>
      </c>
      <c r="M814" s="7">
        <v>44982.0546412037</v>
      </c>
      <c r="N814" t="s">
        <v>49</v>
      </c>
      <c r="O814" s="34">
        <v>44967.0546412037</v>
      </c>
      <c r="P814" t="s">
        <v>50</v>
      </c>
      <c r="Q814" t="s">
        <v>125</v>
      </c>
      <c r="R814" s="32" t="s">
        <v>7472</v>
      </c>
      <c r="S814" t="s">
        <v>7476</v>
      </c>
      <c r="T814" s="34" t="s">
        <v>7476</v>
      </c>
      <c r="U814" s="34" t="s">
        <v>7476</v>
      </c>
      <c r="V814" s="32">
        <v>44968.0546412037</v>
      </c>
      <c r="W814" s="32" t="s">
        <v>7476</v>
      </c>
      <c r="X814">
        <v>0</v>
      </c>
      <c r="Y814" s="34" t="s">
        <v>7476</v>
      </c>
      <c r="Z814" s="34" t="s">
        <v>7476</v>
      </c>
      <c r="AA814" s="34" t="s">
        <v>7476</v>
      </c>
      <c r="AB814" s="36" t="s">
        <v>52</v>
      </c>
      <c r="AD814" t="s">
        <v>2573</v>
      </c>
      <c r="AE814" t="s">
        <v>2574</v>
      </c>
      <c r="AF814" s="16">
        <v>44961</v>
      </c>
      <c r="AG814" t="s">
        <v>64</v>
      </c>
      <c r="AH814">
        <v>3</v>
      </c>
      <c r="AI814" s="8" t="str">
        <f>IFERROR(R814-AF814,"")</f>
        <v/>
      </c>
      <c r="AJ814" s="8">
        <f>IFERROR(O814-AF814,"")</f>
        <v>6.0546412037001573</v>
      </c>
      <c r="AK814" s="38">
        <f t="shared" si="262"/>
        <v>45058.0546412037</v>
      </c>
      <c r="AL814" t="str">
        <f>IFERROR(Z814-W814,"")</f>
        <v/>
      </c>
      <c r="AM814" t="str">
        <f>IFERROR(R814-J814,"")</f>
        <v/>
      </c>
      <c r="AN814">
        <f>IFERROR(V814-O814,"")</f>
        <v>1</v>
      </c>
      <c r="AO814">
        <f>IFERROR(J814-I814,"")</f>
        <v>3</v>
      </c>
      <c r="AP814">
        <f>IFERROR(AC814-X814,"")</f>
        <v>0</v>
      </c>
      <c r="AQ814" t="str">
        <f>IFERROR(AA814-W814,"")</f>
        <v/>
      </c>
    </row>
    <row r="815" spans="1:43" x14ac:dyDescent="0.35">
      <c r="A815">
        <v>2714</v>
      </c>
      <c r="B815" t="s">
        <v>2575</v>
      </c>
      <c r="C815" t="s">
        <v>2260</v>
      </c>
      <c r="D815" t="str">
        <f t="shared" si="260"/>
        <v>M and E</v>
      </c>
      <c r="E815" t="s">
        <v>2550</v>
      </c>
      <c r="F815" t="s">
        <v>695</v>
      </c>
      <c r="G815" t="s">
        <v>2551</v>
      </c>
      <c r="H815" t="s">
        <v>697</v>
      </c>
      <c r="I815" s="32">
        <v>44955.0546412037</v>
      </c>
      <c r="J815" s="32">
        <v>44957.0546412037</v>
      </c>
      <c r="K815" s="32">
        <v>44958.0546412037</v>
      </c>
      <c r="L815" s="8">
        <f t="shared" si="261"/>
        <v>3</v>
      </c>
      <c r="M815" s="7">
        <v>44968.0546412037</v>
      </c>
      <c r="N815" t="s">
        <v>49</v>
      </c>
      <c r="O815" s="34">
        <v>44966.0546412037</v>
      </c>
      <c r="P815" t="s">
        <v>50</v>
      </c>
      <c r="Q815" t="s">
        <v>198</v>
      </c>
      <c r="R815" s="32" t="s">
        <v>7472</v>
      </c>
      <c r="S815" t="s">
        <v>7476</v>
      </c>
      <c r="T815" s="34" t="s">
        <v>7476</v>
      </c>
      <c r="U815" s="34" t="s">
        <v>7476</v>
      </c>
      <c r="V815" s="32" t="s">
        <v>7476</v>
      </c>
      <c r="W815" s="32" t="s">
        <v>7476</v>
      </c>
      <c r="X815">
        <v>0</v>
      </c>
      <c r="Y815" s="34" t="s">
        <v>7476</v>
      </c>
      <c r="Z815" s="34" t="s">
        <v>7476</v>
      </c>
      <c r="AA815" s="34" t="s">
        <v>7476</v>
      </c>
      <c r="AB815" s="36" t="s">
        <v>95</v>
      </c>
      <c r="AD815" t="s">
        <v>2576</v>
      </c>
      <c r="AE815" t="s">
        <v>2577</v>
      </c>
      <c r="AF815" s="16">
        <v>44958</v>
      </c>
      <c r="AG815" t="s">
        <v>64</v>
      </c>
      <c r="AH815">
        <v>3</v>
      </c>
      <c r="AI815" s="8" t="str">
        <f>IFERROR(R815-AF815,"")</f>
        <v/>
      </c>
      <c r="AJ815" s="8">
        <f>IFERROR(O815-AF815,"")</f>
        <v>8.0546412037001573</v>
      </c>
      <c r="AK815" s="38" t="str">
        <f t="shared" si="262"/>
        <v/>
      </c>
      <c r="AL815" t="str">
        <f>IFERROR(Z815-W815,"")</f>
        <v/>
      </c>
      <c r="AM815" t="str">
        <f>IFERROR(R815-J815,"")</f>
        <v/>
      </c>
      <c r="AN815" t="str">
        <f>IFERROR(V815-O815,"")</f>
        <v/>
      </c>
      <c r="AO815">
        <f>IFERROR(J815-I815,"")</f>
        <v>2</v>
      </c>
      <c r="AP815">
        <f>IFERROR(AC815-X815,"")</f>
        <v>0</v>
      </c>
      <c r="AQ815" t="str">
        <f>IFERROR(AA815-W815,"")</f>
        <v/>
      </c>
    </row>
    <row r="816" spans="1:43" x14ac:dyDescent="0.35">
      <c r="A816">
        <v>2652</v>
      </c>
      <c r="B816" t="s">
        <v>2578</v>
      </c>
      <c r="C816" t="s">
        <v>2260</v>
      </c>
      <c r="D816" t="str">
        <f t="shared" si="260"/>
        <v>M and E</v>
      </c>
      <c r="E816" t="s">
        <v>2550</v>
      </c>
      <c r="F816" t="s">
        <v>695</v>
      </c>
      <c r="G816" t="s">
        <v>2551</v>
      </c>
      <c r="H816" t="s">
        <v>697</v>
      </c>
      <c r="I816" s="32">
        <v>44600.417025462957</v>
      </c>
      <c r="J816" s="32">
        <v>44602.417025462957</v>
      </c>
      <c r="K816" s="32">
        <v>44605.417025462957</v>
      </c>
      <c r="L816" s="8">
        <f t="shared" si="261"/>
        <v>5</v>
      </c>
      <c r="M816" s="7">
        <v>44612.417025462957</v>
      </c>
      <c r="N816" t="s">
        <v>49</v>
      </c>
      <c r="O816" s="34">
        <v>44623.417025462957</v>
      </c>
      <c r="P816" t="s">
        <v>50</v>
      </c>
      <c r="Q816" t="s">
        <v>84</v>
      </c>
      <c r="R816" s="32" t="s">
        <v>7472</v>
      </c>
      <c r="S816" t="s">
        <v>7476</v>
      </c>
      <c r="T816" s="34" t="s">
        <v>7476</v>
      </c>
      <c r="U816" s="34" t="s">
        <v>7476</v>
      </c>
      <c r="V816" s="32" t="s">
        <v>7476</v>
      </c>
      <c r="W816" s="32" t="s">
        <v>7476</v>
      </c>
      <c r="X816">
        <v>0</v>
      </c>
      <c r="Y816" s="34" t="s">
        <v>7476</v>
      </c>
      <c r="Z816" s="34" t="s">
        <v>7476</v>
      </c>
      <c r="AA816" s="34" t="s">
        <v>7476</v>
      </c>
      <c r="AB816" s="36" t="s">
        <v>52</v>
      </c>
      <c r="AD816" t="s">
        <v>2579</v>
      </c>
      <c r="AE816" t="s">
        <v>2580</v>
      </c>
      <c r="AF816" s="16">
        <v>44605</v>
      </c>
      <c r="AG816" t="s">
        <v>64</v>
      </c>
      <c r="AH816">
        <v>6</v>
      </c>
      <c r="AI816" s="8" t="str">
        <f>IFERROR(R816-AF816,"")</f>
        <v/>
      </c>
      <c r="AJ816" s="8">
        <f>IFERROR(O816-AF816,"")</f>
        <v>18.417025462957099</v>
      </c>
      <c r="AK816" s="38" t="str">
        <f t="shared" si="262"/>
        <v/>
      </c>
      <c r="AL816" t="str">
        <f>IFERROR(Z816-W816,"")</f>
        <v/>
      </c>
      <c r="AM816" t="str">
        <f>IFERROR(R816-J816,"")</f>
        <v/>
      </c>
      <c r="AN816" t="str">
        <f>IFERROR(V816-O816,"")</f>
        <v/>
      </c>
      <c r="AO816">
        <f>IFERROR(J816-I816,"")</f>
        <v>2</v>
      </c>
      <c r="AP816">
        <f>IFERROR(AC816-X816,"")</f>
        <v>0</v>
      </c>
      <c r="AQ816" t="str">
        <f>IFERROR(AA816-W816,"")</f>
        <v/>
      </c>
    </row>
    <row r="817" spans="1:43" x14ac:dyDescent="0.35">
      <c r="A817">
        <v>2608</v>
      </c>
      <c r="B817" t="s">
        <v>2581</v>
      </c>
      <c r="C817" t="s">
        <v>2287</v>
      </c>
      <c r="D817" t="str">
        <f t="shared" si="260"/>
        <v>M and E</v>
      </c>
      <c r="E817" t="s">
        <v>2550</v>
      </c>
      <c r="F817" t="s">
        <v>695</v>
      </c>
      <c r="G817" t="s">
        <v>2551</v>
      </c>
      <c r="H817" t="s">
        <v>697</v>
      </c>
      <c r="I817" s="32">
        <v>45041.692673611113</v>
      </c>
      <c r="J817" s="32">
        <v>45044.692673611113</v>
      </c>
      <c r="K817" s="32">
        <v>45046.692673611113</v>
      </c>
      <c r="L817" s="8">
        <f t="shared" si="261"/>
        <v>5</v>
      </c>
      <c r="M817" s="7">
        <v>45065.692673611113</v>
      </c>
      <c r="N817" t="s">
        <v>49</v>
      </c>
      <c r="O817" s="34">
        <v>45060.692673611113</v>
      </c>
      <c r="P817" t="s">
        <v>50</v>
      </c>
      <c r="Q817" t="s">
        <v>84</v>
      </c>
      <c r="R817" s="32" t="s">
        <v>7472</v>
      </c>
      <c r="S817" t="s">
        <v>7476</v>
      </c>
      <c r="T817" s="34" t="s">
        <v>7476</v>
      </c>
      <c r="U817" s="34" t="s">
        <v>7476</v>
      </c>
      <c r="V817" s="32" t="s">
        <v>7476</v>
      </c>
      <c r="W817" s="32" t="s">
        <v>7476</v>
      </c>
      <c r="X817">
        <v>0</v>
      </c>
      <c r="Y817" s="34" t="s">
        <v>7476</v>
      </c>
      <c r="Z817" s="34" t="s">
        <v>7476</v>
      </c>
      <c r="AA817" s="34" t="s">
        <v>7476</v>
      </c>
      <c r="AB817" s="36" t="s">
        <v>95</v>
      </c>
      <c r="AD817" t="s">
        <v>2582</v>
      </c>
      <c r="AE817" t="s">
        <v>2583</v>
      </c>
      <c r="AF817" s="16">
        <v>45049</v>
      </c>
      <c r="AG817" t="s">
        <v>68</v>
      </c>
      <c r="AH817">
        <v>6</v>
      </c>
      <c r="AI817" s="8" t="str">
        <f>IFERROR(R817-AF817,"")</f>
        <v/>
      </c>
      <c r="AJ817" s="8">
        <f>IFERROR(O817-AF817,"")</f>
        <v>11.692673611112696</v>
      </c>
      <c r="AK817" s="38" t="str">
        <f t="shared" si="262"/>
        <v/>
      </c>
      <c r="AL817" t="str">
        <f>IFERROR(Z817-W817,"")</f>
        <v/>
      </c>
      <c r="AM817" t="str">
        <f>IFERROR(R817-J817,"")</f>
        <v/>
      </c>
      <c r="AN817" t="str">
        <f>IFERROR(V817-O817,"")</f>
        <v/>
      </c>
      <c r="AO817">
        <f>IFERROR(J817-I817,"")</f>
        <v>3</v>
      </c>
      <c r="AP817">
        <f>IFERROR(AC817-X817,"")</f>
        <v>0</v>
      </c>
      <c r="AQ817" t="str">
        <f>IFERROR(AA817-W817,"")</f>
        <v/>
      </c>
    </row>
    <row r="818" spans="1:43" x14ac:dyDescent="0.35">
      <c r="A818">
        <v>2605</v>
      </c>
      <c r="B818" t="s">
        <v>2584</v>
      </c>
      <c r="C818" t="s">
        <v>2325</v>
      </c>
      <c r="D818" t="str">
        <f t="shared" si="260"/>
        <v>M and E</v>
      </c>
      <c r="E818" t="s">
        <v>2550</v>
      </c>
      <c r="F818" t="s">
        <v>695</v>
      </c>
      <c r="G818" t="s">
        <v>2551</v>
      </c>
      <c r="H818" t="s">
        <v>697</v>
      </c>
      <c r="I818" s="32">
        <v>45042.692673611113</v>
      </c>
      <c r="J818" s="32">
        <v>45043.692673611113</v>
      </c>
      <c r="K818" s="32" t="s">
        <v>7473</v>
      </c>
      <c r="L818" s="8" t="str">
        <f t="shared" si="261"/>
        <v/>
      </c>
      <c r="M818" s="7">
        <v>45066.692673611113</v>
      </c>
      <c r="N818" t="s">
        <v>49</v>
      </c>
      <c r="O818" s="34">
        <v>45062.692673611113</v>
      </c>
      <c r="P818" t="s">
        <v>50</v>
      </c>
      <c r="Q818" t="s">
        <v>125</v>
      </c>
      <c r="R818" s="32" t="s">
        <v>7472</v>
      </c>
      <c r="S818" t="s">
        <v>7476</v>
      </c>
      <c r="T818" s="34" t="s">
        <v>7476</v>
      </c>
      <c r="U818" s="34" t="s">
        <v>7476</v>
      </c>
      <c r="V818" s="32" t="s">
        <v>7476</v>
      </c>
      <c r="W818" s="32" t="s">
        <v>7476</v>
      </c>
      <c r="X818">
        <v>0</v>
      </c>
      <c r="Y818" s="34" t="s">
        <v>7476</v>
      </c>
      <c r="Z818" s="34" t="s">
        <v>7476</v>
      </c>
      <c r="AA818" s="34" t="s">
        <v>7476</v>
      </c>
      <c r="AB818" s="36" t="s">
        <v>95</v>
      </c>
      <c r="AD818" t="s">
        <v>2585</v>
      </c>
      <c r="AE818" t="s">
        <v>2586</v>
      </c>
      <c r="AF818" s="16">
        <v>44990</v>
      </c>
      <c r="AG818" t="s">
        <v>75</v>
      </c>
      <c r="AH818">
        <v>3</v>
      </c>
      <c r="AK818" s="38" t="str">
        <f t="shared" si="262"/>
        <v/>
      </c>
    </row>
    <row r="819" spans="1:43" x14ac:dyDescent="0.35">
      <c r="A819">
        <v>2470</v>
      </c>
      <c r="B819" t="s">
        <v>2587</v>
      </c>
      <c r="C819" t="s">
        <v>2325</v>
      </c>
      <c r="D819" t="str">
        <f t="shared" si="260"/>
        <v>M and E</v>
      </c>
      <c r="E819" t="s">
        <v>2550</v>
      </c>
      <c r="F819" t="s">
        <v>695</v>
      </c>
      <c r="G819" t="s">
        <v>2551</v>
      </c>
      <c r="H819" t="s">
        <v>697</v>
      </c>
      <c r="I819" s="32">
        <v>45014.841874999998</v>
      </c>
      <c r="J819" s="32">
        <v>45017.841874999998</v>
      </c>
      <c r="K819" s="32">
        <v>45022.841874999998</v>
      </c>
      <c r="L819" s="8">
        <f t="shared" si="261"/>
        <v>8</v>
      </c>
      <c r="M819" s="7">
        <v>45049.841874999998</v>
      </c>
      <c r="N819" t="s">
        <v>49</v>
      </c>
      <c r="O819" s="34">
        <v>45024.841874999998</v>
      </c>
      <c r="P819" t="s">
        <v>101</v>
      </c>
      <c r="R819" s="32">
        <v>45032.841874999998</v>
      </c>
      <c r="S819" t="s">
        <v>101</v>
      </c>
      <c r="T819" s="34">
        <v>45025.841874999998</v>
      </c>
      <c r="U819" s="34">
        <v>45028.841874999998</v>
      </c>
      <c r="V819" s="32">
        <v>45028.841874999998</v>
      </c>
      <c r="W819" s="32">
        <v>45030.841874999998</v>
      </c>
      <c r="X819">
        <v>1</v>
      </c>
      <c r="Y819" s="34">
        <v>45034.841874999998</v>
      </c>
      <c r="Z819" s="34">
        <v>45035.841874999998</v>
      </c>
      <c r="AA819" s="34">
        <v>45037.841874999998</v>
      </c>
      <c r="AB819" s="36" t="s">
        <v>7476</v>
      </c>
      <c r="AC819" s="10">
        <v>45057.841874999998</v>
      </c>
      <c r="AD819" t="s">
        <v>2588</v>
      </c>
      <c r="AE819" t="s">
        <v>2589</v>
      </c>
      <c r="AF819" s="16">
        <v>45014</v>
      </c>
      <c r="AG819" t="s">
        <v>64</v>
      </c>
      <c r="AH819">
        <v>6</v>
      </c>
      <c r="AI819" s="8">
        <f>IFERROR(R819-AF819,"")</f>
        <v>18.841874999998254</v>
      </c>
      <c r="AJ819" s="8">
        <f>IFERROR(O819-AF819,"")</f>
        <v>10.841874999998254</v>
      </c>
      <c r="AK819" s="38">
        <f t="shared" si="262"/>
        <v>45208.841874999998</v>
      </c>
      <c r="AL819">
        <f>IFERROR(Z819-W819,"")</f>
        <v>5</v>
      </c>
      <c r="AM819">
        <f>IFERROR(R819-J819,"")</f>
        <v>15</v>
      </c>
      <c r="AN819">
        <f>IFERROR(V819-O819,"")</f>
        <v>4</v>
      </c>
      <c r="AO819">
        <f>IFERROR(J819-I819,"")</f>
        <v>3</v>
      </c>
      <c r="AP819">
        <f>IFERROR(AC819-X819,"")</f>
        <v>45056.841874999998</v>
      </c>
      <c r="AQ819">
        <f>IFERROR(AA819-W819,"")</f>
        <v>7</v>
      </c>
    </row>
    <row r="820" spans="1:43" x14ac:dyDescent="0.35">
      <c r="A820">
        <v>2466</v>
      </c>
      <c r="B820" t="s">
        <v>2590</v>
      </c>
      <c r="C820" t="s">
        <v>2287</v>
      </c>
      <c r="D820" t="str">
        <f t="shared" si="260"/>
        <v>M and E</v>
      </c>
      <c r="E820" t="s">
        <v>2550</v>
      </c>
      <c r="F820" t="s">
        <v>695</v>
      </c>
      <c r="G820" t="s">
        <v>2551</v>
      </c>
      <c r="H820" t="s">
        <v>697</v>
      </c>
      <c r="I820" s="32" t="s">
        <v>7471</v>
      </c>
      <c r="J820" s="32">
        <v>45019.841874999998</v>
      </c>
      <c r="K820" s="32">
        <v>45022.841874999998</v>
      </c>
      <c r="L820" s="8" t="str">
        <f t="shared" si="261"/>
        <v/>
      </c>
      <c r="M820" s="7">
        <v>45038.841874999998</v>
      </c>
      <c r="N820" t="s">
        <v>49</v>
      </c>
      <c r="O820" s="34">
        <v>45036.841874999998</v>
      </c>
      <c r="P820" t="s">
        <v>392</v>
      </c>
      <c r="R820" s="32">
        <v>45044.841874999998</v>
      </c>
      <c r="S820" t="s">
        <v>392</v>
      </c>
      <c r="T820" s="34" t="s">
        <v>7476</v>
      </c>
      <c r="U820" s="34" t="s">
        <v>7476</v>
      </c>
      <c r="V820" s="32">
        <v>45040.841874999998</v>
      </c>
      <c r="W820" s="32" t="s">
        <v>7476</v>
      </c>
      <c r="X820">
        <v>0</v>
      </c>
      <c r="Y820" s="34" t="s">
        <v>7476</v>
      </c>
      <c r="Z820" s="34" t="s">
        <v>7476</v>
      </c>
      <c r="AA820" s="34" t="s">
        <v>7476</v>
      </c>
      <c r="AB820" s="36" t="s">
        <v>7476</v>
      </c>
      <c r="AD820" t="s">
        <v>2591</v>
      </c>
      <c r="AE820" t="s">
        <v>2592</v>
      </c>
      <c r="AF820" s="16">
        <v>45027</v>
      </c>
      <c r="AG820" t="s">
        <v>98</v>
      </c>
      <c r="AH820">
        <v>3</v>
      </c>
      <c r="AK820" s="38">
        <f t="shared" si="262"/>
        <v>45130.841874999998</v>
      </c>
    </row>
    <row r="821" spans="1:43" x14ac:dyDescent="0.35">
      <c r="A821">
        <v>2433</v>
      </c>
      <c r="B821" t="s">
        <v>2593</v>
      </c>
      <c r="C821" t="s">
        <v>2260</v>
      </c>
      <c r="D821" t="str">
        <f t="shared" si="260"/>
        <v>M and E</v>
      </c>
      <c r="E821" t="s">
        <v>2550</v>
      </c>
      <c r="F821" t="s">
        <v>695</v>
      </c>
      <c r="G821" t="s">
        <v>2551</v>
      </c>
      <c r="H821" t="s">
        <v>697</v>
      </c>
      <c r="I821" s="32">
        <v>44744.126967592587</v>
      </c>
      <c r="J821" s="32">
        <v>44745.126967592587</v>
      </c>
      <c r="K821" s="32">
        <v>44749.126967592587</v>
      </c>
      <c r="L821" s="8">
        <f t="shared" si="261"/>
        <v>5</v>
      </c>
      <c r="M821" s="7">
        <v>44763.126967592587</v>
      </c>
      <c r="N821" t="s">
        <v>49</v>
      </c>
      <c r="O821" s="34">
        <v>44758.126967592587</v>
      </c>
      <c r="P821" t="s">
        <v>50</v>
      </c>
      <c r="Q821" t="s">
        <v>125</v>
      </c>
      <c r="R821" s="32" t="s">
        <v>7472</v>
      </c>
      <c r="S821" t="s">
        <v>7476</v>
      </c>
      <c r="T821" s="34" t="s">
        <v>7476</v>
      </c>
      <c r="U821" s="34" t="s">
        <v>7476</v>
      </c>
      <c r="V821" s="32">
        <v>44762.126967592587</v>
      </c>
      <c r="W821" s="32" t="s">
        <v>7476</v>
      </c>
      <c r="X821">
        <v>0</v>
      </c>
      <c r="Y821" s="34" t="s">
        <v>7476</v>
      </c>
      <c r="Z821" s="34" t="s">
        <v>7476</v>
      </c>
      <c r="AA821" s="34" t="s">
        <v>7476</v>
      </c>
      <c r="AB821" s="36" t="s">
        <v>52</v>
      </c>
      <c r="AD821" t="s">
        <v>2594</v>
      </c>
      <c r="AE821" t="s">
        <v>2595</v>
      </c>
      <c r="AF821" s="16">
        <v>44780</v>
      </c>
      <c r="AG821" t="s">
        <v>68</v>
      </c>
      <c r="AH821">
        <v>3</v>
      </c>
      <c r="AI821" s="8" t="str">
        <f>IFERROR(R821-AF821,"")</f>
        <v/>
      </c>
      <c r="AJ821" s="8">
        <f>IFERROR(O821-AF821,"")</f>
        <v>-21.87303240741312</v>
      </c>
      <c r="AK821" s="38">
        <f t="shared" si="262"/>
        <v>44852.126967592587</v>
      </c>
      <c r="AL821" t="str">
        <f>IFERROR(Z821-W821,"")</f>
        <v/>
      </c>
      <c r="AM821" t="str">
        <f>IFERROR(R821-J821,"")</f>
        <v/>
      </c>
      <c r="AN821">
        <f>IFERROR(V821-O821,"")</f>
        <v>4</v>
      </c>
      <c r="AO821">
        <f>IFERROR(J821-I821,"")</f>
        <v>1</v>
      </c>
      <c r="AP821">
        <f>IFERROR(AC821-X821,"")</f>
        <v>0</v>
      </c>
      <c r="AQ821" t="str">
        <f>IFERROR(AA821-W821,"")</f>
        <v/>
      </c>
    </row>
    <row r="822" spans="1:43" x14ac:dyDescent="0.35">
      <c r="A822">
        <v>2350</v>
      </c>
      <c r="B822" t="s">
        <v>2596</v>
      </c>
      <c r="C822" t="s">
        <v>2325</v>
      </c>
      <c r="D822" t="str">
        <f t="shared" si="260"/>
        <v>M and E</v>
      </c>
      <c r="E822" t="s">
        <v>2550</v>
      </c>
      <c r="F822" t="s">
        <v>695</v>
      </c>
      <c r="G822" t="s">
        <v>2551</v>
      </c>
      <c r="H822" t="s">
        <v>697</v>
      </c>
      <c r="I822" s="32">
        <v>45054.364525462966</v>
      </c>
      <c r="J822" s="32">
        <v>45058.364525462966</v>
      </c>
      <c r="K822" s="32">
        <v>45060.364525462966</v>
      </c>
      <c r="L822" s="8">
        <f t="shared" si="261"/>
        <v>6</v>
      </c>
      <c r="M822" s="7">
        <v>45086.364525462966</v>
      </c>
      <c r="N822" t="s">
        <v>49</v>
      </c>
      <c r="O822" s="34">
        <v>45068.364525462966</v>
      </c>
      <c r="P822" t="s">
        <v>50</v>
      </c>
      <c r="Q822" t="s">
        <v>84</v>
      </c>
      <c r="R822" s="32" t="s">
        <v>7472</v>
      </c>
      <c r="S822" t="s">
        <v>7476</v>
      </c>
      <c r="T822" s="34" t="s">
        <v>7476</v>
      </c>
      <c r="U822" s="34" t="s">
        <v>7476</v>
      </c>
      <c r="V822" s="32">
        <v>45069.364525462966</v>
      </c>
      <c r="W822" s="32" t="s">
        <v>7476</v>
      </c>
      <c r="X822">
        <v>0</v>
      </c>
      <c r="Y822" s="34" t="s">
        <v>7476</v>
      </c>
      <c r="Z822" s="34" t="s">
        <v>7476</v>
      </c>
      <c r="AA822" s="34" t="s">
        <v>7476</v>
      </c>
      <c r="AB822" s="36" t="s">
        <v>52</v>
      </c>
      <c r="AD822" t="s">
        <v>2597</v>
      </c>
      <c r="AE822" t="s">
        <v>2598</v>
      </c>
      <c r="AF822" s="16">
        <v>45174</v>
      </c>
      <c r="AG822" t="s">
        <v>64</v>
      </c>
      <c r="AH822">
        <v>6</v>
      </c>
      <c r="AI822" s="8" t="str">
        <f>IFERROR(R822-AF822,"")</f>
        <v/>
      </c>
      <c r="AJ822" s="8">
        <f>IFERROR(O822-AF822,"")</f>
        <v>-105.63547453703359</v>
      </c>
      <c r="AK822" s="38">
        <f t="shared" si="262"/>
        <v>45249.364525462966</v>
      </c>
      <c r="AL822" t="str">
        <f>IFERROR(Z822-W822,"")</f>
        <v/>
      </c>
      <c r="AM822" t="str">
        <f>IFERROR(R822-J822,"")</f>
        <v/>
      </c>
      <c r="AN822">
        <f>IFERROR(V822-O822,"")</f>
        <v>1</v>
      </c>
      <c r="AO822">
        <f>IFERROR(J822-I822,"")</f>
        <v>4</v>
      </c>
      <c r="AP822">
        <f>IFERROR(AC822-X822,"")</f>
        <v>0</v>
      </c>
      <c r="AQ822" t="str">
        <f>IFERROR(AA822-W822,"")</f>
        <v/>
      </c>
    </row>
    <row r="823" spans="1:43" x14ac:dyDescent="0.35">
      <c r="A823">
        <v>2343</v>
      </c>
      <c r="B823" t="s">
        <v>2599</v>
      </c>
      <c r="C823" t="s">
        <v>2260</v>
      </c>
      <c r="D823" t="str">
        <f t="shared" si="260"/>
        <v>M and E</v>
      </c>
      <c r="E823" t="s">
        <v>2550</v>
      </c>
      <c r="F823" t="s">
        <v>695</v>
      </c>
      <c r="G823" t="s">
        <v>2551</v>
      </c>
      <c r="H823" t="s">
        <v>697</v>
      </c>
      <c r="I823" s="32">
        <v>45055.364525462966</v>
      </c>
      <c r="J823" s="32" t="s">
        <v>7471</v>
      </c>
      <c r="K823" s="32">
        <v>45060.364525462966</v>
      </c>
      <c r="L823" s="8">
        <f t="shared" si="261"/>
        <v>5</v>
      </c>
      <c r="M823" s="7">
        <v>45076.364525462966</v>
      </c>
      <c r="N823" t="s">
        <v>72</v>
      </c>
      <c r="O823" s="34" t="s">
        <v>7474</v>
      </c>
      <c r="R823" s="32" t="s">
        <v>7472</v>
      </c>
      <c r="S823" t="s">
        <v>7476</v>
      </c>
      <c r="T823" s="34" t="s">
        <v>7476</v>
      </c>
      <c r="U823" s="34" t="s">
        <v>7476</v>
      </c>
      <c r="V823" s="32" t="s">
        <v>7476</v>
      </c>
      <c r="W823" s="32" t="s">
        <v>7476</v>
      </c>
      <c r="X823">
        <v>0</v>
      </c>
      <c r="Y823" s="34" t="s">
        <v>7476</v>
      </c>
      <c r="Z823" s="34" t="s">
        <v>7476</v>
      </c>
      <c r="AA823" s="34" t="s">
        <v>7476</v>
      </c>
      <c r="AB823" s="36" t="s">
        <v>7476</v>
      </c>
      <c r="AD823" t="s">
        <v>2600</v>
      </c>
      <c r="AE823" t="s">
        <v>2601</v>
      </c>
      <c r="AG823" t="s">
        <v>93</v>
      </c>
      <c r="AH823">
        <v>6</v>
      </c>
      <c r="AK823" s="38" t="str">
        <f t="shared" si="262"/>
        <v/>
      </c>
    </row>
    <row r="824" spans="1:43" x14ac:dyDescent="0.35">
      <c r="A824">
        <v>2182</v>
      </c>
      <c r="B824" t="s">
        <v>2602</v>
      </c>
      <c r="C824" t="s">
        <v>2260</v>
      </c>
      <c r="D824" t="str">
        <f t="shared" si="260"/>
        <v>M and E</v>
      </c>
      <c r="E824" t="s">
        <v>2550</v>
      </c>
      <c r="F824" t="s">
        <v>695</v>
      </c>
      <c r="G824" t="s">
        <v>2551</v>
      </c>
      <c r="H824" t="s">
        <v>697</v>
      </c>
      <c r="I824" s="32">
        <v>44993.531736111108</v>
      </c>
      <c r="J824" s="32">
        <v>44996.531736111108</v>
      </c>
      <c r="K824" s="32">
        <v>45000.531736111108</v>
      </c>
      <c r="L824" s="8">
        <f t="shared" si="261"/>
        <v>7</v>
      </c>
      <c r="M824" s="7">
        <v>45007.531736111108</v>
      </c>
      <c r="N824" t="s">
        <v>49</v>
      </c>
      <c r="O824" s="34">
        <v>45004.531736111108</v>
      </c>
      <c r="P824" t="s">
        <v>101</v>
      </c>
      <c r="R824" s="32">
        <v>45007.531736111108</v>
      </c>
      <c r="S824" t="s">
        <v>101</v>
      </c>
      <c r="T824" s="34">
        <v>45005.531736111108</v>
      </c>
      <c r="U824" s="34">
        <v>45009.531736111108</v>
      </c>
      <c r="V824" s="32">
        <v>45006.531736111108</v>
      </c>
      <c r="W824" s="32">
        <v>45016.531736111108</v>
      </c>
      <c r="X824">
        <v>1</v>
      </c>
      <c r="Y824" s="34">
        <v>45018.531736111108</v>
      </c>
      <c r="Z824" s="34">
        <v>45021.531736111108</v>
      </c>
      <c r="AA824" s="34">
        <v>45024.531736111108</v>
      </c>
      <c r="AB824" s="36" t="s">
        <v>7476</v>
      </c>
      <c r="AC824" s="10">
        <v>45041.531736111108</v>
      </c>
      <c r="AD824" t="s">
        <v>2603</v>
      </c>
      <c r="AE824" t="s">
        <v>2604</v>
      </c>
      <c r="AF824" s="16">
        <v>44985</v>
      </c>
      <c r="AG824" t="s">
        <v>64</v>
      </c>
      <c r="AH824">
        <v>3</v>
      </c>
      <c r="AI824" s="8">
        <f t="shared" ref="AI824:AI832" si="279">IFERROR(R824-AF824,"")</f>
        <v>22.53173611110833</v>
      </c>
      <c r="AJ824" s="8">
        <f t="shared" ref="AJ824:AJ832" si="280">IFERROR(O824-AF824,"")</f>
        <v>19.53173611110833</v>
      </c>
      <c r="AK824" s="38">
        <f t="shared" si="262"/>
        <v>45096.531736111108</v>
      </c>
      <c r="AL824">
        <f t="shared" ref="AL824:AL832" si="281">IFERROR(Z824-W824,"")</f>
        <v>5</v>
      </c>
      <c r="AM824">
        <f t="shared" ref="AM824:AM832" si="282">IFERROR(R824-J824,"")</f>
        <v>11</v>
      </c>
      <c r="AN824">
        <f t="shared" ref="AN824:AN832" si="283">IFERROR(V824-O824,"")</f>
        <v>2</v>
      </c>
      <c r="AO824">
        <f t="shared" ref="AO824:AO832" si="284">IFERROR(J824-I824,"")</f>
        <v>3</v>
      </c>
      <c r="AP824">
        <f t="shared" ref="AP824:AP832" si="285">IFERROR(AC824-X824,"")</f>
        <v>45040.531736111108</v>
      </c>
      <c r="AQ824">
        <f t="shared" ref="AQ824:AQ832" si="286">IFERROR(AA824-W824,"")</f>
        <v>8</v>
      </c>
    </row>
    <row r="825" spans="1:43" x14ac:dyDescent="0.35">
      <c r="A825">
        <v>2079</v>
      </c>
      <c r="B825" t="s">
        <v>2605</v>
      </c>
      <c r="C825" t="s">
        <v>2325</v>
      </c>
      <c r="D825" t="str">
        <f t="shared" si="260"/>
        <v>M and E</v>
      </c>
      <c r="E825" t="s">
        <v>2550</v>
      </c>
      <c r="F825" t="s">
        <v>695</v>
      </c>
      <c r="G825" t="s">
        <v>2551</v>
      </c>
      <c r="H825" t="s">
        <v>697</v>
      </c>
      <c r="I825" s="32">
        <v>44914.441053240742</v>
      </c>
      <c r="J825" s="32">
        <v>44917.441053240742</v>
      </c>
      <c r="K825" s="32">
        <v>44923.441053240742</v>
      </c>
      <c r="L825" s="8">
        <f t="shared" si="261"/>
        <v>9</v>
      </c>
      <c r="M825" s="7">
        <v>44939.441053240742</v>
      </c>
      <c r="N825" t="s">
        <v>49</v>
      </c>
      <c r="O825" s="34">
        <v>44930.441053240742</v>
      </c>
      <c r="P825" t="s">
        <v>101</v>
      </c>
      <c r="R825" s="32">
        <v>44935.441053240742</v>
      </c>
      <c r="S825" t="s">
        <v>101</v>
      </c>
      <c r="T825" s="34">
        <v>44932.441053240742</v>
      </c>
      <c r="U825" s="34">
        <v>44933.441053240742</v>
      </c>
      <c r="V825" s="32">
        <v>44931.441053240742</v>
      </c>
      <c r="W825" s="32">
        <v>44934.441053240742</v>
      </c>
      <c r="X825">
        <v>1</v>
      </c>
      <c r="Y825" s="34">
        <v>44937.441053240742</v>
      </c>
      <c r="Z825" s="34">
        <v>44938.441053240742</v>
      </c>
      <c r="AA825" s="34">
        <v>44939.441053240742</v>
      </c>
      <c r="AB825" s="36" t="s">
        <v>7476</v>
      </c>
      <c r="AC825" s="10">
        <v>44961.441053240742</v>
      </c>
      <c r="AD825" t="s">
        <v>2606</v>
      </c>
      <c r="AE825" t="s">
        <v>2607</v>
      </c>
      <c r="AF825" s="16">
        <v>44917</v>
      </c>
      <c r="AG825" t="s">
        <v>68</v>
      </c>
      <c r="AH825">
        <v>3</v>
      </c>
      <c r="AI825" s="8">
        <f t="shared" si="279"/>
        <v>18.441053240741894</v>
      </c>
      <c r="AJ825" s="8">
        <f t="shared" si="280"/>
        <v>13.441053240741894</v>
      </c>
      <c r="AK825" s="38">
        <f t="shared" si="262"/>
        <v>45021.441053240742</v>
      </c>
      <c r="AL825">
        <f t="shared" si="281"/>
        <v>4</v>
      </c>
      <c r="AM825">
        <f t="shared" si="282"/>
        <v>18</v>
      </c>
      <c r="AN825">
        <f t="shared" si="283"/>
        <v>1</v>
      </c>
      <c r="AO825">
        <f t="shared" si="284"/>
        <v>3</v>
      </c>
      <c r="AP825">
        <f t="shared" si="285"/>
        <v>44960.441053240742</v>
      </c>
      <c r="AQ825">
        <f t="shared" si="286"/>
        <v>5</v>
      </c>
    </row>
    <row r="826" spans="1:43" x14ac:dyDescent="0.35">
      <c r="A826">
        <v>2076</v>
      </c>
      <c r="B826" t="s">
        <v>2608</v>
      </c>
      <c r="C826" t="s">
        <v>2287</v>
      </c>
      <c r="D826" t="str">
        <f t="shared" si="260"/>
        <v>M and E</v>
      </c>
      <c r="E826" t="s">
        <v>2550</v>
      </c>
      <c r="F826" t="s">
        <v>695</v>
      </c>
      <c r="G826" t="s">
        <v>2551</v>
      </c>
      <c r="H826" t="s">
        <v>697</v>
      </c>
      <c r="I826" s="32">
        <v>44920.441053240742</v>
      </c>
      <c r="J826" s="32">
        <v>44922.441053240742</v>
      </c>
      <c r="K826" s="32">
        <v>44923.441053240742</v>
      </c>
      <c r="L826" s="8">
        <f t="shared" si="261"/>
        <v>3</v>
      </c>
      <c r="M826" s="7">
        <v>44932.441053240742</v>
      </c>
      <c r="N826" t="s">
        <v>49</v>
      </c>
      <c r="O826" s="34">
        <v>44937.441053240742</v>
      </c>
      <c r="P826" t="s">
        <v>60</v>
      </c>
      <c r="R826" s="32">
        <v>44942.441053240742</v>
      </c>
      <c r="S826" t="s">
        <v>61</v>
      </c>
      <c r="T826" s="34" t="s">
        <v>7476</v>
      </c>
      <c r="U826" s="34" t="s">
        <v>7476</v>
      </c>
      <c r="V826" s="32">
        <v>44941.441053240742</v>
      </c>
      <c r="W826" s="32" t="s">
        <v>7476</v>
      </c>
      <c r="X826">
        <v>0</v>
      </c>
      <c r="Y826" s="34" t="s">
        <v>7476</v>
      </c>
      <c r="Z826" s="34" t="s">
        <v>7476</v>
      </c>
      <c r="AA826" s="34" t="s">
        <v>7476</v>
      </c>
      <c r="AB826" s="36" t="s">
        <v>7476</v>
      </c>
      <c r="AD826" t="s">
        <v>2609</v>
      </c>
      <c r="AE826" t="s">
        <v>2610</v>
      </c>
      <c r="AF826" s="16">
        <v>44920</v>
      </c>
      <c r="AG826" t="s">
        <v>64</v>
      </c>
      <c r="AH826">
        <v>3</v>
      </c>
      <c r="AI826" s="8">
        <f t="shared" si="279"/>
        <v>22.441053240741894</v>
      </c>
      <c r="AJ826" s="8">
        <f t="shared" si="280"/>
        <v>17.441053240741894</v>
      </c>
      <c r="AK826" s="38">
        <f t="shared" si="262"/>
        <v>45031.441053240742</v>
      </c>
      <c r="AL826" t="str">
        <f t="shared" si="281"/>
        <v/>
      </c>
      <c r="AM826">
        <f t="shared" si="282"/>
        <v>20</v>
      </c>
      <c r="AN826">
        <f t="shared" si="283"/>
        <v>4</v>
      </c>
      <c r="AO826">
        <f t="shared" si="284"/>
        <v>2</v>
      </c>
      <c r="AP826">
        <f t="shared" si="285"/>
        <v>0</v>
      </c>
      <c r="AQ826" t="str">
        <f t="shared" si="286"/>
        <v/>
      </c>
    </row>
    <row r="827" spans="1:43" x14ac:dyDescent="0.35">
      <c r="A827">
        <v>2020</v>
      </c>
      <c r="B827" t="s">
        <v>2611</v>
      </c>
      <c r="C827" t="s">
        <v>2325</v>
      </c>
      <c r="D827" t="str">
        <f t="shared" si="260"/>
        <v>M and E</v>
      </c>
      <c r="E827" t="s">
        <v>2550</v>
      </c>
      <c r="F827" t="s">
        <v>695</v>
      </c>
      <c r="G827" t="s">
        <v>2551</v>
      </c>
      <c r="H827" t="s">
        <v>697</v>
      </c>
      <c r="I827" s="32">
        <v>45082.58390046296</v>
      </c>
      <c r="J827" s="32">
        <v>45083.58390046296</v>
      </c>
      <c r="K827" s="32">
        <v>45086.58390046296</v>
      </c>
      <c r="L827" s="8">
        <f t="shared" si="261"/>
        <v>4</v>
      </c>
      <c r="M827" s="7">
        <v>45092.58390046296</v>
      </c>
      <c r="N827" t="s">
        <v>49</v>
      </c>
      <c r="O827" s="34">
        <v>45101.58390046296</v>
      </c>
      <c r="P827" t="s">
        <v>392</v>
      </c>
      <c r="R827" s="32">
        <v>45106.58390046296</v>
      </c>
      <c r="S827" t="s">
        <v>392</v>
      </c>
      <c r="T827" s="34" t="s">
        <v>7476</v>
      </c>
      <c r="U827" s="34" t="s">
        <v>7476</v>
      </c>
      <c r="V827" s="32">
        <v>45105.58390046296</v>
      </c>
      <c r="W827" s="32" t="s">
        <v>7476</v>
      </c>
      <c r="X827">
        <v>0</v>
      </c>
      <c r="Y827" s="34" t="s">
        <v>7476</v>
      </c>
      <c r="Z827" s="34" t="s">
        <v>7476</v>
      </c>
      <c r="AA827" s="34" t="s">
        <v>7476</v>
      </c>
      <c r="AB827" s="36" t="s">
        <v>7476</v>
      </c>
      <c r="AD827" t="s">
        <v>2612</v>
      </c>
      <c r="AE827" t="s">
        <v>2613</v>
      </c>
      <c r="AF827" s="16">
        <v>45096</v>
      </c>
      <c r="AG827" t="s">
        <v>64</v>
      </c>
      <c r="AH827">
        <v>6</v>
      </c>
      <c r="AI827" s="8">
        <f t="shared" si="279"/>
        <v>10.583900462959718</v>
      </c>
      <c r="AJ827" s="8">
        <f t="shared" si="280"/>
        <v>5.5839004629597184</v>
      </c>
      <c r="AK827" s="38">
        <f t="shared" si="262"/>
        <v>45285.58390046296</v>
      </c>
      <c r="AL827" t="str">
        <f t="shared" si="281"/>
        <v/>
      </c>
      <c r="AM827">
        <f t="shared" si="282"/>
        <v>23</v>
      </c>
      <c r="AN827">
        <f t="shared" si="283"/>
        <v>4</v>
      </c>
      <c r="AO827">
        <f t="shared" si="284"/>
        <v>1</v>
      </c>
      <c r="AP827">
        <f t="shared" si="285"/>
        <v>0</v>
      </c>
      <c r="AQ827" t="str">
        <f t="shared" si="286"/>
        <v/>
      </c>
    </row>
    <row r="828" spans="1:43" x14ac:dyDescent="0.35">
      <c r="A828">
        <v>1950</v>
      </c>
      <c r="B828" t="s">
        <v>2614</v>
      </c>
      <c r="C828" t="s">
        <v>2325</v>
      </c>
      <c r="D828" t="str">
        <f t="shared" si="260"/>
        <v>M and E</v>
      </c>
      <c r="E828" t="s">
        <v>2550</v>
      </c>
      <c r="F828" t="s">
        <v>695</v>
      </c>
      <c r="G828" t="s">
        <v>2551</v>
      </c>
      <c r="H828" t="s">
        <v>697</v>
      </c>
      <c r="I828" s="32">
        <v>44987.264120370368</v>
      </c>
      <c r="J828" s="32">
        <v>44988.264120370368</v>
      </c>
      <c r="K828" s="32">
        <v>44990.264120370368</v>
      </c>
      <c r="L828" s="8">
        <f t="shared" si="261"/>
        <v>3</v>
      </c>
      <c r="M828" s="7">
        <v>45015.264120370368</v>
      </c>
      <c r="N828" t="s">
        <v>49</v>
      </c>
      <c r="O828" s="34">
        <v>44991.264120370368</v>
      </c>
      <c r="P828" t="s">
        <v>101</v>
      </c>
      <c r="R828" s="32">
        <v>44995.264120370368</v>
      </c>
      <c r="S828" t="s">
        <v>101</v>
      </c>
      <c r="T828" s="34">
        <v>44992.264120370368</v>
      </c>
      <c r="U828" s="34">
        <v>44993.264120370368</v>
      </c>
      <c r="V828" s="32">
        <v>44993.264120370368</v>
      </c>
      <c r="W828" s="32">
        <v>45000.264120370368</v>
      </c>
      <c r="X828">
        <v>1</v>
      </c>
      <c r="Y828" s="34">
        <v>45002.264120370368</v>
      </c>
      <c r="Z828" s="34">
        <v>45005.264120370368</v>
      </c>
      <c r="AA828" s="34">
        <v>45008.264120370368</v>
      </c>
      <c r="AB828" s="36" t="s">
        <v>7476</v>
      </c>
      <c r="AC828" s="10">
        <v>45016.264120370368</v>
      </c>
      <c r="AD828" t="s">
        <v>2615</v>
      </c>
      <c r="AE828" t="s">
        <v>2616</v>
      </c>
      <c r="AF828" s="16">
        <v>44986</v>
      </c>
      <c r="AG828" t="s">
        <v>68</v>
      </c>
      <c r="AH828">
        <v>3</v>
      </c>
      <c r="AI828" s="8">
        <f t="shared" si="279"/>
        <v>9.2641203703678912</v>
      </c>
      <c r="AJ828" s="8">
        <f t="shared" si="280"/>
        <v>5.2641203703678912</v>
      </c>
      <c r="AK828" s="38">
        <f t="shared" si="262"/>
        <v>45083.264120370368</v>
      </c>
      <c r="AL828">
        <f t="shared" si="281"/>
        <v>5</v>
      </c>
      <c r="AM828">
        <f t="shared" si="282"/>
        <v>7</v>
      </c>
      <c r="AN828">
        <f t="shared" si="283"/>
        <v>2</v>
      </c>
      <c r="AO828">
        <f t="shared" si="284"/>
        <v>1</v>
      </c>
      <c r="AP828">
        <f t="shared" si="285"/>
        <v>45015.264120370368</v>
      </c>
      <c r="AQ828">
        <f t="shared" si="286"/>
        <v>8</v>
      </c>
    </row>
    <row r="829" spans="1:43" x14ac:dyDescent="0.35">
      <c r="A829">
        <v>1945</v>
      </c>
      <c r="B829" t="s">
        <v>2617</v>
      </c>
      <c r="C829" t="s">
        <v>2325</v>
      </c>
      <c r="D829" t="str">
        <f t="shared" si="260"/>
        <v>M and E</v>
      </c>
      <c r="E829" t="s">
        <v>2550</v>
      </c>
      <c r="F829" t="s">
        <v>695</v>
      </c>
      <c r="G829" t="s">
        <v>2551</v>
      </c>
      <c r="H829" t="s">
        <v>697</v>
      </c>
      <c r="I829" s="32">
        <v>44982.264120370368</v>
      </c>
      <c r="J829" s="32">
        <v>44984.264120370368</v>
      </c>
      <c r="K829" s="32">
        <v>44990.264120370368</v>
      </c>
      <c r="L829" s="8">
        <f t="shared" si="261"/>
        <v>8</v>
      </c>
      <c r="M829" s="7">
        <v>44999.264120370368</v>
      </c>
      <c r="N829" t="s">
        <v>49</v>
      </c>
      <c r="O829" s="34">
        <v>44999.264120370368</v>
      </c>
      <c r="P829" t="s">
        <v>50</v>
      </c>
      <c r="Q829" t="s">
        <v>84</v>
      </c>
      <c r="R829" s="32" t="s">
        <v>7472</v>
      </c>
      <c r="S829" t="s">
        <v>7476</v>
      </c>
      <c r="T829" s="34" t="s">
        <v>7476</v>
      </c>
      <c r="U829" s="34" t="s">
        <v>7476</v>
      </c>
      <c r="V829" s="32" t="s">
        <v>7476</v>
      </c>
      <c r="W829" s="32" t="s">
        <v>7476</v>
      </c>
      <c r="X829">
        <v>0</v>
      </c>
      <c r="Y829" s="34" t="s">
        <v>7476</v>
      </c>
      <c r="Z829" s="34" t="s">
        <v>7476</v>
      </c>
      <c r="AA829" s="34" t="s">
        <v>7476</v>
      </c>
      <c r="AB829" s="36" t="s">
        <v>95</v>
      </c>
      <c r="AD829" t="s">
        <v>2618</v>
      </c>
      <c r="AE829" t="s">
        <v>2619</v>
      </c>
      <c r="AF829" s="16">
        <v>44981</v>
      </c>
      <c r="AG829" t="s">
        <v>98</v>
      </c>
      <c r="AH829">
        <v>3</v>
      </c>
      <c r="AI829" s="8" t="str">
        <f t="shared" si="279"/>
        <v/>
      </c>
      <c r="AJ829" s="8">
        <f t="shared" si="280"/>
        <v>18.264120370367891</v>
      </c>
      <c r="AK829" s="38" t="str">
        <f t="shared" si="262"/>
        <v/>
      </c>
      <c r="AL829" t="str">
        <f t="shared" si="281"/>
        <v/>
      </c>
      <c r="AM829" t="str">
        <f t="shared" si="282"/>
        <v/>
      </c>
      <c r="AN829" t="str">
        <f t="shared" si="283"/>
        <v/>
      </c>
      <c r="AO829">
        <f t="shared" si="284"/>
        <v>2</v>
      </c>
      <c r="AP829">
        <f t="shared" si="285"/>
        <v>0</v>
      </c>
      <c r="AQ829" t="str">
        <f t="shared" si="286"/>
        <v/>
      </c>
    </row>
    <row r="830" spans="1:43" x14ac:dyDescent="0.35">
      <c r="A830">
        <v>1942</v>
      </c>
      <c r="B830" t="s">
        <v>2620</v>
      </c>
      <c r="C830" t="s">
        <v>2260</v>
      </c>
      <c r="D830" t="str">
        <f t="shared" si="260"/>
        <v>M and E</v>
      </c>
      <c r="E830" t="s">
        <v>2550</v>
      </c>
      <c r="F830" t="s">
        <v>695</v>
      </c>
      <c r="G830" t="s">
        <v>2551</v>
      </c>
      <c r="H830" t="s">
        <v>697</v>
      </c>
      <c r="I830" s="32">
        <v>44984.264120370368</v>
      </c>
      <c r="J830" s="32">
        <v>44988.264120370368</v>
      </c>
      <c r="K830" s="32">
        <v>44990.264120370368</v>
      </c>
      <c r="L830" s="8">
        <f t="shared" si="261"/>
        <v>6</v>
      </c>
      <c r="M830" s="7">
        <v>45015.264120370368</v>
      </c>
      <c r="N830" t="s">
        <v>49</v>
      </c>
      <c r="O830" s="34">
        <v>44999.264120370368</v>
      </c>
      <c r="P830" t="s">
        <v>101</v>
      </c>
      <c r="R830" s="32">
        <v>45003.264120370368</v>
      </c>
      <c r="S830" t="s">
        <v>101</v>
      </c>
      <c r="T830" s="34">
        <v>45001.264120370368</v>
      </c>
      <c r="U830" s="34">
        <v>45004.264120370368</v>
      </c>
      <c r="V830" s="32">
        <v>45001.264120370368</v>
      </c>
      <c r="W830" s="32">
        <v>45008.264120370368</v>
      </c>
      <c r="X830">
        <v>1</v>
      </c>
      <c r="Y830" s="34">
        <v>45010.264120370368</v>
      </c>
      <c r="Z830" s="34">
        <v>45012.264120370368</v>
      </c>
      <c r="AA830" s="34">
        <v>45013.264120370368</v>
      </c>
      <c r="AB830" s="36" t="s">
        <v>7476</v>
      </c>
      <c r="AC830" s="10">
        <v>45027.264120370368</v>
      </c>
      <c r="AD830" t="s">
        <v>2621</v>
      </c>
      <c r="AE830" t="s">
        <v>2622</v>
      </c>
      <c r="AF830" s="16">
        <v>44983</v>
      </c>
      <c r="AG830" t="s">
        <v>64</v>
      </c>
      <c r="AH830">
        <v>6</v>
      </c>
      <c r="AI830" s="8">
        <f t="shared" si="279"/>
        <v>20.264120370367891</v>
      </c>
      <c r="AJ830" s="8">
        <f t="shared" si="280"/>
        <v>16.264120370367891</v>
      </c>
      <c r="AK830" s="38">
        <f t="shared" si="262"/>
        <v>45181.264120370368</v>
      </c>
      <c r="AL830">
        <f t="shared" si="281"/>
        <v>4</v>
      </c>
      <c r="AM830">
        <f t="shared" si="282"/>
        <v>15</v>
      </c>
      <c r="AN830">
        <f t="shared" si="283"/>
        <v>2</v>
      </c>
      <c r="AO830">
        <f t="shared" si="284"/>
        <v>4</v>
      </c>
      <c r="AP830">
        <f t="shared" si="285"/>
        <v>45026.264120370368</v>
      </c>
      <c r="AQ830">
        <f t="shared" si="286"/>
        <v>5</v>
      </c>
    </row>
    <row r="831" spans="1:43" x14ac:dyDescent="0.35">
      <c r="A831">
        <v>1927</v>
      </c>
      <c r="B831" t="s">
        <v>2623</v>
      </c>
      <c r="C831" t="s">
        <v>2260</v>
      </c>
      <c r="D831" t="str">
        <f t="shared" si="260"/>
        <v>M and E</v>
      </c>
      <c r="E831" t="s">
        <v>2550</v>
      </c>
      <c r="F831" t="s">
        <v>695</v>
      </c>
      <c r="G831" t="s">
        <v>2551</v>
      </c>
      <c r="H831" t="s">
        <v>697</v>
      </c>
      <c r="I831" s="32">
        <v>44795.391932870371</v>
      </c>
      <c r="J831" s="32">
        <v>44796.391932870371</v>
      </c>
      <c r="K831" s="32">
        <v>44798.391932870371</v>
      </c>
      <c r="L831" s="8">
        <f t="shared" si="261"/>
        <v>3</v>
      </c>
      <c r="M831" s="7">
        <v>44814.391932870371</v>
      </c>
      <c r="N831" t="s">
        <v>72</v>
      </c>
      <c r="O831" s="34" t="s">
        <v>7474</v>
      </c>
      <c r="R831" s="32" t="s">
        <v>7472</v>
      </c>
      <c r="S831" t="s">
        <v>7476</v>
      </c>
      <c r="T831" s="34" t="s">
        <v>7476</v>
      </c>
      <c r="U831" s="34" t="s">
        <v>7476</v>
      </c>
      <c r="V831" s="32" t="s">
        <v>7476</v>
      </c>
      <c r="W831" s="32" t="s">
        <v>7476</v>
      </c>
      <c r="X831">
        <v>0</v>
      </c>
      <c r="Y831" s="34" t="s">
        <v>7476</v>
      </c>
      <c r="Z831" s="34" t="s">
        <v>7476</v>
      </c>
      <c r="AA831" s="34" t="s">
        <v>7476</v>
      </c>
      <c r="AB831" s="36" t="s">
        <v>7476</v>
      </c>
      <c r="AD831" t="s">
        <v>2624</v>
      </c>
      <c r="AE831" t="s">
        <v>2625</v>
      </c>
      <c r="AG831" t="s">
        <v>98</v>
      </c>
      <c r="AH831">
        <v>3</v>
      </c>
      <c r="AI831" s="8" t="str">
        <f t="shared" si="279"/>
        <v/>
      </c>
      <c r="AJ831" s="8" t="str">
        <f t="shared" si="280"/>
        <v/>
      </c>
      <c r="AK831" s="38" t="str">
        <f t="shared" si="262"/>
        <v/>
      </c>
      <c r="AL831" t="str">
        <f t="shared" si="281"/>
        <v/>
      </c>
      <c r="AM831" t="str">
        <f t="shared" si="282"/>
        <v/>
      </c>
      <c r="AN831" t="str">
        <f t="shared" si="283"/>
        <v/>
      </c>
      <c r="AO831">
        <f t="shared" si="284"/>
        <v>1</v>
      </c>
      <c r="AP831">
        <f t="shared" si="285"/>
        <v>0</v>
      </c>
      <c r="AQ831" t="str">
        <f t="shared" si="286"/>
        <v/>
      </c>
    </row>
    <row r="832" spans="1:43" x14ac:dyDescent="0.35">
      <c r="A832">
        <v>1923</v>
      </c>
      <c r="B832" t="s">
        <v>2626</v>
      </c>
      <c r="C832" t="s">
        <v>2260</v>
      </c>
      <c r="D832" t="str">
        <f t="shared" si="260"/>
        <v>M and E</v>
      </c>
      <c r="E832" t="s">
        <v>2550</v>
      </c>
      <c r="F832" t="s">
        <v>695</v>
      </c>
      <c r="G832" t="s">
        <v>2551</v>
      </c>
      <c r="H832" t="s">
        <v>697</v>
      </c>
      <c r="I832" s="32">
        <v>44796.391932870371</v>
      </c>
      <c r="J832" s="32">
        <v>44797.391932870371</v>
      </c>
      <c r="K832" s="32">
        <v>44798.391932870371</v>
      </c>
      <c r="L832" s="8">
        <f t="shared" si="261"/>
        <v>2</v>
      </c>
      <c r="M832" s="7">
        <v>44812.391932870371</v>
      </c>
      <c r="N832" t="s">
        <v>49</v>
      </c>
      <c r="O832" s="34">
        <v>44807.391932870371</v>
      </c>
      <c r="P832" t="s">
        <v>50</v>
      </c>
      <c r="Q832" t="s">
        <v>84</v>
      </c>
      <c r="R832" s="32" t="s">
        <v>7472</v>
      </c>
      <c r="S832" t="s">
        <v>7476</v>
      </c>
      <c r="T832" s="34" t="s">
        <v>7476</v>
      </c>
      <c r="U832" s="34" t="s">
        <v>7476</v>
      </c>
      <c r="V832" s="32">
        <v>44809.391932870371</v>
      </c>
      <c r="W832" s="32" t="s">
        <v>7476</v>
      </c>
      <c r="X832">
        <v>0</v>
      </c>
      <c r="Y832" s="34" t="s">
        <v>7476</v>
      </c>
      <c r="Z832" s="34" t="s">
        <v>7476</v>
      </c>
      <c r="AA832" s="34" t="s">
        <v>7476</v>
      </c>
      <c r="AB832" s="36" t="s">
        <v>95</v>
      </c>
      <c r="AD832" t="s">
        <v>2627</v>
      </c>
      <c r="AE832" t="s">
        <v>2628</v>
      </c>
      <c r="AF832" s="16">
        <v>44795</v>
      </c>
      <c r="AG832" t="s">
        <v>64</v>
      </c>
      <c r="AH832">
        <v>3</v>
      </c>
      <c r="AI832" s="8" t="str">
        <f t="shared" si="279"/>
        <v/>
      </c>
      <c r="AJ832" s="8">
        <f t="shared" si="280"/>
        <v>12.39193287037051</v>
      </c>
      <c r="AK832" s="38">
        <f t="shared" si="262"/>
        <v>44899.391932870371</v>
      </c>
      <c r="AL832" t="str">
        <f t="shared" si="281"/>
        <v/>
      </c>
      <c r="AM832" t="str">
        <f t="shared" si="282"/>
        <v/>
      </c>
      <c r="AN832">
        <f t="shared" si="283"/>
        <v>2</v>
      </c>
      <c r="AO832">
        <f t="shared" si="284"/>
        <v>1</v>
      </c>
      <c r="AP832">
        <f t="shared" si="285"/>
        <v>0</v>
      </c>
      <c r="AQ832" t="str">
        <f t="shared" si="286"/>
        <v/>
      </c>
    </row>
    <row r="833" spans="1:43" x14ac:dyDescent="0.35">
      <c r="A833">
        <v>1839</v>
      </c>
      <c r="B833" t="s">
        <v>2629</v>
      </c>
      <c r="C833" t="s">
        <v>2260</v>
      </c>
      <c r="D833" t="str">
        <f t="shared" si="260"/>
        <v>M and E</v>
      </c>
      <c r="E833" t="s">
        <v>2550</v>
      </c>
      <c r="F833" t="s">
        <v>695</v>
      </c>
      <c r="G833" t="s">
        <v>2551</v>
      </c>
      <c r="H833" t="s">
        <v>697</v>
      </c>
      <c r="I833" s="32">
        <v>45038.367280092592</v>
      </c>
      <c r="J833" s="32">
        <v>45039.367280092592</v>
      </c>
      <c r="K833" s="32" t="s">
        <v>7473</v>
      </c>
      <c r="L833" s="8" t="str">
        <f t="shared" si="261"/>
        <v/>
      </c>
      <c r="M833" s="7">
        <v>45065.367280092592</v>
      </c>
      <c r="N833" t="s">
        <v>49</v>
      </c>
      <c r="O833" s="34">
        <v>45056.367280092592</v>
      </c>
      <c r="P833" t="s">
        <v>60</v>
      </c>
      <c r="R833" s="32">
        <v>45061.367280092592</v>
      </c>
      <c r="S833" t="s">
        <v>61</v>
      </c>
      <c r="T833" s="34" t="s">
        <v>7476</v>
      </c>
      <c r="U833" s="34" t="s">
        <v>7476</v>
      </c>
      <c r="V833" s="32">
        <v>45058.367280092592</v>
      </c>
      <c r="W833" s="32" t="s">
        <v>7476</v>
      </c>
      <c r="X833">
        <v>0</v>
      </c>
      <c r="Y833" s="34" t="s">
        <v>7476</v>
      </c>
      <c r="Z833" s="34" t="s">
        <v>7476</v>
      </c>
      <c r="AA833" s="34" t="s">
        <v>7476</v>
      </c>
      <c r="AB833" s="36" t="s">
        <v>7476</v>
      </c>
      <c r="AD833" t="s">
        <v>2630</v>
      </c>
      <c r="AE833" t="s">
        <v>2631</v>
      </c>
      <c r="AF833" s="16">
        <v>45043</v>
      </c>
      <c r="AG833" t="s">
        <v>55</v>
      </c>
      <c r="AH833">
        <v>6</v>
      </c>
      <c r="AK833" s="38">
        <f t="shared" si="262"/>
        <v>45238.367280092592</v>
      </c>
    </row>
    <row r="834" spans="1:43" x14ac:dyDescent="0.35">
      <c r="A834">
        <v>1790</v>
      </c>
      <c r="B834" t="s">
        <v>2632</v>
      </c>
      <c r="C834" t="s">
        <v>2325</v>
      </c>
      <c r="D834" t="str">
        <f t="shared" ref="D834:D897" si="287">TRIM(C834)</f>
        <v>M and E</v>
      </c>
      <c r="E834" t="s">
        <v>2550</v>
      </c>
      <c r="F834" t="s">
        <v>695</v>
      </c>
      <c r="G834" t="s">
        <v>2551</v>
      </c>
      <c r="H834" t="s">
        <v>697</v>
      </c>
      <c r="I834" s="32" t="s">
        <v>7471</v>
      </c>
      <c r="J834" s="32">
        <v>44661.356493055559</v>
      </c>
      <c r="K834" s="32">
        <v>44665.356493055559</v>
      </c>
      <c r="L834" s="8" t="str">
        <f t="shared" ref="L834:L897" si="288">IFERROR(K834-I834,"")</f>
        <v/>
      </c>
      <c r="M834" s="7">
        <v>44683.356493055559</v>
      </c>
      <c r="N834" t="s">
        <v>72</v>
      </c>
      <c r="O834" s="34" t="s">
        <v>7474</v>
      </c>
      <c r="R834" s="32" t="s">
        <v>7472</v>
      </c>
      <c r="S834" t="s">
        <v>7476</v>
      </c>
      <c r="T834" s="34" t="s">
        <v>7476</v>
      </c>
      <c r="U834" s="34" t="s">
        <v>7476</v>
      </c>
      <c r="V834" s="32" t="s">
        <v>7476</v>
      </c>
      <c r="W834" s="32" t="s">
        <v>7476</v>
      </c>
      <c r="X834">
        <v>0</v>
      </c>
      <c r="Y834" s="34" t="s">
        <v>7476</v>
      </c>
      <c r="Z834" s="34" t="s">
        <v>7476</v>
      </c>
      <c r="AA834" s="34" t="s">
        <v>7476</v>
      </c>
      <c r="AB834" s="36" t="s">
        <v>7476</v>
      </c>
      <c r="AD834" t="s">
        <v>2633</v>
      </c>
      <c r="AE834" t="s">
        <v>2634</v>
      </c>
      <c r="AG834" t="s">
        <v>64</v>
      </c>
      <c r="AH834">
        <v>6</v>
      </c>
      <c r="AK834" s="38" t="str">
        <f t="shared" si="262"/>
        <v/>
      </c>
    </row>
    <row r="835" spans="1:43" x14ac:dyDescent="0.35">
      <c r="A835">
        <v>1782</v>
      </c>
      <c r="B835" t="s">
        <v>2635</v>
      </c>
      <c r="C835" t="s">
        <v>2287</v>
      </c>
      <c r="D835" t="str">
        <f t="shared" si="287"/>
        <v>M and E</v>
      </c>
      <c r="E835" t="s">
        <v>2550</v>
      </c>
      <c r="F835" t="s">
        <v>695</v>
      </c>
      <c r="G835" t="s">
        <v>2551</v>
      </c>
      <c r="H835" t="s">
        <v>697</v>
      </c>
      <c r="I835" s="32" t="s">
        <v>7471</v>
      </c>
      <c r="J835" s="32">
        <v>44662.356493055559</v>
      </c>
      <c r="K835" s="32">
        <v>44665.356493055559</v>
      </c>
      <c r="L835" s="8" t="str">
        <f t="shared" si="288"/>
        <v/>
      </c>
      <c r="M835" s="7">
        <v>44689.356493055559</v>
      </c>
      <c r="N835" t="s">
        <v>49</v>
      </c>
      <c r="O835" s="34">
        <v>44670.356493055559</v>
      </c>
      <c r="P835" t="s">
        <v>60</v>
      </c>
      <c r="R835" s="32">
        <v>44673.356493055559</v>
      </c>
      <c r="S835" t="s">
        <v>61</v>
      </c>
      <c r="T835" s="34" t="s">
        <v>7476</v>
      </c>
      <c r="U835" s="34" t="s">
        <v>7476</v>
      </c>
      <c r="V835" s="32">
        <v>44672.356493055559</v>
      </c>
      <c r="W835" s="32" t="s">
        <v>7476</v>
      </c>
      <c r="X835">
        <v>0</v>
      </c>
      <c r="Y835" s="34" t="s">
        <v>7476</v>
      </c>
      <c r="Z835" s="34" t="s">
        <v>7476</v>
      </c>
      <c r="AA835" s="34" t="s">
        <v>7476</v>
      </c>
      <c r="AB835" s="36" t="s">
        <v>7476</v>
      </c>
      <c r="AD835" t="s">
        <v>2636</v>
      </c>
      <c r="AE835" t="s">
        <v>2637</v>
      </c>
      <c r="AF835" s="16">
        <v>44664</v>
      </c>
      <c r="AG835" t="s">
        <v>64</v>
      </c>
      <c r="AH835">
        <v>3</v>
      </c>
      <c r="AK835" s="38">
        <f t="shared" ref="AK835:AK898" si="289">IFERROR(V835+(AH835*30),"")</f>
        <v>44762.356493055559</v>
      </c>
    </row>
    <row r="836" spans="1:43" x14ac:dyDescent="0.35">
      <c r="A836">
        <v>1768</v>
      </c>
      <c r="B836" t="s">
        <v>2638</v>
      </c>
      <c r="C836" t="s">
        <v>2325</v>
      </c>
      <c r="D836" t="str">
        <f t="shared" si="287"/>
        <v>M and E</v>
      </c>
      <c r="E836" t="s">
        <v>2550</v>
      </c>
      <c r="F836" t="s">
        <v>695</v>
      </c>
      <c r="G836" t="s">
        <v>2551</v>
      </c>
      <c r="H836" t="s">
        <v>697</v>
      </c>
      <c r="I836" s="32">
        <v>45097.652581018519</v>
      </c>
      <c r="J836" s="32">
        <v>45101.652581018519</v>
      </c>
      <c r="K836" s="32">
        <v>45105.652581018519</v>
      </c>
      <c r="L836" s="8">
        <f t="shared" si="288"/>
        <v>8</v>
      </c>
      <c r="M836" s="7">
        <v>45115.652581018519</v>
      </c>
      <c r="N836" t="s">
        <v>49</v>
      </c>
      <c r="O836" s="34">
        <v>45121.652581018519</v>
      </c>
      <c r="P836" t="s">
        <v>101</v>
      </c>
      <c r="R836" s="32">
        <v>45128.652581018519</v>
      </c>
      <c r="S836" t="s">
        <v>101</v>
      </c>
      <c r="T836" s="34">
        <v>45123.652581018519</v>
      </c>
      <c r="U836" s="34">
        <v>45127.652581018519</v>
      </c>
      <c r="V836" s="32">
        <v>45124.652581018519</v>
      </c>
      <c r="W836" s="32">
        <v>45134.652581018519</v>
      </c>
      <c r="X836">
        <v>1</v>
      </c>
      <c r="Y836" s="34">
        <v>45135.652581018519</v>
      </c>
      <c r="Z836" s="34">
        <v>45138.652581018519</v>
      </c>
      <c r="AA836" s="34">
        <v>45139.652581018519</v>
      </c>
      <c r="AB836" s="36" t="s">
        <v>7476</v>
      </c>
      <c r="AC836" s="10">
        <v>45154.652581018519</v>
      </c>
      <c r="AD836" t="s">
        <v>2639</v>
      </c>
      <c r="AE836" t="s">
        <v>2640</v>
      </c>
      <c r="AF836" s="16">
        <v>45106</v>
      </c>
      <c r="AG836" t="s">
        <v>68</v>
      </c>
      <c r="AH836">
        <v>3</v>
      </c>
      <c r="AI836" s="8">
        <f>IFERROR(R836-AF836,"")</f>
        <v>22.652581018519413</v>
      </c>
      <c r="AJ836" s="8">
        <f>IFERROR(O836-AF836,"")</f>
        <v>15.652581018519413</v>
      </c>
      <c r="AK836" s="38">
        <f t="shared" si="289"/>
        <v>45214.652581018519</v>
      </c>
      <c r="AL836">
        <f>IFERROR(Z836-W836,"")</f>
        <v>4</v>
      </c>
      <c r="AM836">
        <f>IFERROR(R836-J836,"")</f>
        <v>27</v>
      </c>
      <c r="AN836">
        <f>IFERROR(V836-O836,"")</f>
        <v>3</v>
      </c>
      <c r="AO836">
        <f>IFERROR(J836-I836,"")</f>
        <v>4</v>
      </c>
      <c r="AP836">
        <f>IFERROR(AC836-X836,"")</f>
        <v>45153.652581018519</v>
      </c>
      <c r="AQ836">
        <f>IFERROR(AA836-W836,"")</f>
        <v>5</v>
      </c>
    </row>
    <row r="837" spans="1:43" x14ac:dyDescent="0.35">
      <c r="A837">
        <v>1765</v>
      </c>
      <c r="B837" t="s">
        <v>2641</v>
      </c>
      <c r="C837" t="s">
        <v>2260</v>
      </c>
      <c r="D837" t="str">
        <f t="shared" si="287"/>
        <v>M and E</v>
      </c>
      <c r="E837" t="s">
        <v>2550</v>
      </c>
      <c r="F837" t="s">
        <v>695</v>
      </c>
      <c r="G837" t="s">
        <v>2551</v>
      </c>
      <c r="H837" t="s">
        <v>697</v>
      </c>
      <c r="I837" s="32" t="s">
        <v>7471</v>
      </c>
      <c r="J837" s="32">
        <v>45104.652581018519</v>
      </c>
      <c r="K837" s="32">
        <v>45105.652581018519</v>
      </c>
      <c r="L837" s="8" t="str">
        <f t="shared" si="288"/>
        <v/>
      </c>
      <c r="M837" s="7">
        <v>45127.652581018519</v>
      </c>
      <c r="N837" t="s">
        <v>49</v>
      </c>
      <c r="O837" s="34">
        <v>45118.652581018519</v>
      </c>
      <c r="P837" t="s">
        <v>60</v>
      </c>
      <c r="R837" s="32">
        <v>45123.652581018519</v>
      </c>
      <c r="S837" t="s">
        <v>61</v>
      </c>
      <c r="T837" s="34" t="s">
        <v>7476</v>
      </c>
      <c r="U837" s="34" t="s">
        <v>7476</v>
      </c>
      <c r="V837" s="32">
        <v>45122.652581018519</v>
      </c>
      <c r="W837" s="32" t="s">
        <v>7476</v>
      </c>
      <c r="X837">
        <v>0</v>
      </c>
      <c r="Y837" s="34" t="s">
        <v>7476</v>
      </c>
      <c r="Z837" s="34" t="s">
        <v>7476</v>
      </c>
      <c r="AA837" s="34" t="s">
        <v>7476</v>
      </c>
      <c r="AB837" s="36" t="s">
        <v>7476</v>
      </c>
      <c r="AD837" t="s">
        <v>2642</v>
      </c>
      <c r="AE837" t="s">
        <v>2643</v>
      </c>
      <c r="AF837" s="16">
        <v>44992</v>
      </c>
      <c r="AG837" t="s">
        <v>93</v>
      </c>
      <c r="AH837">
        <v>6</v>
      </c>
      <c r="AK837" s="38">
        <f t="shared" si="289"/>
        <v>45302.652581018519</v>
      </c>
    </row>
    <row r="838" spans="1:43" x14ac:dyDescent="0.35">
      <c r="A838">
        <v>1764</v>
      </c>
      <c r="B838" t="s">
        <v>2644</v>
      </c>
      <c r="C838" t="s">
        <v>2287</v>
      </c>
      <c r="D838" t="str">
        <f t="shared" si="287"/>
        <v>M and E</v>
      </c>
      <c r="E838" t="s">
        <v>2550</v>
      </c>
      <c r="F838" t="s">
        <v>695</v>
      </c>
      <c r="G838" t="s">
        <v>2551</v>
      </c>
      <c r="H838" t="s">
        <v>697</v>
      </c>
      <c r="I838" s="32">
        <v>45099.652581018519</v>
      </c>
      <c r="J838" s="32">
        <v>45103.652581018519</v>
      </c>
      <c r="K838" s="32">
        <v>45105.652581018519</v>
      </c>
      <c r="L838" s="8">
        <f t="shared" si="288"/>
        <v>6</v>
      </c>
      <c r="M838" s="7">
        <v>45126.652581018519</v>
      </c>
      <c r="N838" t="s">
        <v>49</v>
      </c>
      <c r="O838" s="34">
        <v>45115.652581018519</v>
      </c>
      <c r="P838" t="s">
        <v>50</v>
      </c>
      <c r="Q838" t="s">
        <v>198</v>
      </c>
      <c r="R838" s="32" t="s">
        <v>7472</v>
      </c>
      <c r="S838" t="s">
        <v>7476</v>
      </c>
      <c r="T838" s="34" t="s">
        <v>7476</v>
      </c>
      <c r="U838" s="34" t="s">
        <v>7476</v>
      </c>
      <c r="V838" s="32">
        <v>45116.652581018519</v>
      </c>
      <c r="W838" s="32" t="s">
        <v>7476</v>
      </c>
      <c r="X838">
        <v>0</v>
      </c>
      <c r="Y838" s="34" t="s">
        <v>7476</v>
      </c>
      <c r="Z838" s="34" t="s">
        <v>7476</v>
      </c>
      <c r="AA838" s="34" t="s">
        <v>7476</v>
      </c>
      <c r="AB838" s="36" t="s">
        <v>52</v>
      </c>
      <c r="AD838" t="s">
        <v>2645</v>
      </c>
      <c r="AE838" t="s">
        <v>2646</v>
      </c>
      <c r="AF838" s="16">
        <v>45106</v>
      </c>
      <c r="AG838" t="s">
        <v>98</v>
      </c>
      <c r="AH838">
        <v>3</v>
      </c>
      <c r="AI838" s="8" t="str">
        <f>IFERROR(R838-AF838,"")</f>
        <v/>
      </c>
      <c r="AJ838" s="8">
        <f>IFERROR(O838-AF838,"")</f>
        <v>9.6525810185194132</v>
      </c>
      <c r="AK838" s="38">
        <f t="shared" si="289"/>
        <v>45206.652581018519</v>
      </c>
      <c r="AL838" t="str">
        <f>IFERROR(Z838-W838,"")</f>
        <v/>
      </c>
      <c r="AM838" t="str">
        <f>IFERROR(R838-J838,"")</f>
        <v/>
      </c>
      <c r="AN838">
        <f>IFERROR(V838-O838,"")</f>
        <v>1</v>
      </c>
      <c r="AO838">
        <f>IFERROR(J838-I838,"")</f>
        <v>4</v>
      </c>
      <c r="AP838">
        <f>IFERROR(AC838-X838,"")</f>
        <v>0</v>
      </c>
      <c r="AQ838" t="str">
        <f>IFERROR(AA838-W838,"")</f>
        <v/>
      </c>
    </row>
    <row r="839" spans="1:43" x14ac:dyDescent="0.35">
      <c r="A839">
        <v>1729</v>
      </c>
      <c r="B839" t="s">
        <v>2647</v>
      </c>
      <c r="C839" t="s">
        <v>2287</v>
      </c>
      <c r="D839" t="str">
        <f t="shared" si="287"/>
        <v>M and E</v>
      </c>
      <c r="E839" t="s">
        <v>2550</v>
      </c>
      <c r="F839" t="s">
        <v>695</v>
      </c>
      <c r="G839" t="s">
        <v>2551</v>
      </c>
      <c r="H839" t="s">
        <v>697</v>
      </c>
      <c r="I839" s="32">
        <v>44861.500428240739</v>
      </c>
      <c r="J839" s="32">
        <v>44863.500428240739</v>
      </c>
      <c r="K839" s="32">
        <v>44868.500428240739</v>
      </c>
      <c r="L839" s="8">
        <f t="shared" si="288"/>
        <v>7</v>
      </c>
      <c r="M839" s="7">
        <v>44887.500428240739</v>
      </c>
      <c r="N839" t="s">
        <v>49</v>
      </c>
      <c r="O839" s="34">
        <v>44881.500428240739</v>
      </c>
      <c r="P839" t="s">
        <v>50</v>
      </c>
      <c r="Q839" t="s">
        <v>198</v>
      </c>
      <c r="R839" s="32" t="s">
        <v>7472</v>
      </c>
      <c r="S839" t="s">
        <v>7476</v>
      </c>
      <c r="T839" s="34" t="s">
        <v>7476</v>
      </c>
      <c r="U839" s="34" t="s">
        <v>7476</v>
      </c>
      <c r="V839" s="32" t="s">
        <v>7476</v>
      </c>
      <c r="W839" s="32" t="s">
        <v>7476</v>
      </c>
      <c r="X839">
        <v>0</v>
      </c>
      <c r="Y839" s="34" t="s">
        <v>7476</v>
      </c>
      <c r="Z839" s="34" t="s">
        <v>7476</v>
      </c>
      <c r="AA839" s="34" t="s">
        <v>7476</v>
      </c>
      <c r="AB839" s="36" t="s">
        <v>52</v>
      </c>
      <c r="AD839" t="s">
        <v>2648</v>
      </c>
      <c r="AE839" t="s">
        <v>2649</v>
      </c>
      <c r="AF839" s="16">
        <v>44868</v>
      </c>
      <c r="AG839" t="s">
        <v>68</v>
      </c>
      <c r="AH839">
        <v>3</v>
      </c>
      <c r="AI839" s="8" t="str">
        <f>IFERROR(R839-AF839,"")</f>
        <v/>
      </c>
      <c r="AJ839" s="8">
        <f>IFERROR(O839-AF839,"")</f>
        <v>13.500428240738984</v>
      </c>
      <c r="AK839" s="38" t="str">
        <f t="shared" si="289"/>
        <v/>
      </c>
      <c r="AL839" t="str">
        <f>IFERROR(Z839-W839,"")</f>
        <v/>
      </c>
      <c r="AM839" t="str">
        <f>IFERROR(R839-J839,"")</f>
        <v/>
      </c>
      <c r="AN839" t="str">
        <f>IFERROR(V839-O839,"")</f>
        <v/>
      </c>
      <c r="AO839">
        <f>IFERROR(J839-I839,"")</f>
        <v>2</v>
      </c>
      <c r="AP839">
        <f>IFERROR(AC839-X839,"")</f>
        <v>0</v>
      </c>
      <c r="AQ839" t="str">
        <f>IFERROR(AA839-W839,"")</f>
        <v/>
      </c>
    </row>
    <row r="840" spans="1:43" x14ac:dyDescent="0.35">
      <c r="A840">
        <v>1721</v>
      </c>
      <c r="B840" t="s">
        <v>2650</v>
      </c>
      <c r="C840" t="s">
        <v>2260</v>
      </c>
      <c r="D840" t="str">
        <f t="shared" si="287"/>
        <v>M and E</v>
      </c>
      <c r="E840" t="s">
        <v>2550</v>
      </c>
      <c r="F840" t="s">
        <v>695</v>
      </c>
      <c r="G840" t="s">
        <v>2551</v>
      </c>
      <c r="H840" t="s">
        <v>697</v>
      </c>
      <c r="I840" s="32">
        <v>44862.500428240739</v>
      </c>
      <c r="J840" s="32">
        <v>44866.500428240739</v>
      </c>
      <c r="K840" s="32">
        <v>44868.500428240739</v>
      </c>
      <c r="L840" s="8">
        <f t="shared" si="288"/>
        <v>6</v>
      </c>
      <c r="M840" s="7">
        <v>44895.500428240739</v>
      </c>
      <c r="N840" t="s">
        <v>72</v>
      </c>
      <c r="O840" s="34" t="s">
        <v>7474</v>
      </c>
      <c r="R840" s="32" t="s">
        <v>7472</v>
      </c>
      <c r="S840" t="s">
        <v>7476</v>
      </c>
      <c r="T840" s="34" t="s">
        <v>7476</v>
      </c>
      <c r="U840" s="34" t="s">
        <v>7476</v>
      </c>
      <c r="V840" s="32" t="s">
        <v>7476</v>
      </c>
      <c r="W840" s="32" t="s">
        <v>7476</v>
      </c>
      <c r="X840">
        <v>0</v>
      </c>
      <c r="Y840" s="34" t="s">
        <v>7476</v>
      </c>
      <c r="Z840" s="34" t="s">
        <v>7476</v>
      </c>
      <c r="AA840" s="34" t="s">
        <v>7476</v>
      </c>
      <c r="AB840" s="36" t="s">
        <v>7476</v>
      </c>
      <c r="AD840" t="s">
        <v>2651</v>
      </c>
      <c r="AE840" t="s">
        <v>2652</v>
      </c>
      <c r="AG840" t="s">
        <v>64</v>
      </c>
      <c r="AH840">
        <v>3</v>
      </c>
      <c r="AI840" s="8" t="str">
        <f>IFERROR(R840-AF840,"")</f>
        <v/>
      </c>
      <c r="AJ840" s="8" t="str">
        <f>IFERROR(O840-AF840,"")</f>
        <v/>
      </c>
      <c r="AK840" s="38" t="str">
        <f t="shared" si="289"/>
        <v/>
      </c>
      <c r="AL840" t="str">
        <f>IFERROR(Z840-W840,"")</f>
        <v/>
      </c>
      <c r="AM840" t="str">
        <f>IFERROR(R840-J840,"")</f>
        <v/>
      </c>
      <c r="AN840" t="str">
        <f>IFERROR(V840-O840,"")</f>
        <v/>
      </c>
      <c r="AO840">
        <f>IFERROR(J840-I840,"")</f>
        <v>4</v>
      </c>
      <c r="AP840">
        <f>IFERROR(AC840-X840,"")</f>
        <v>0</v>
      </c>
      <c r="AQ840" t="str">
        <f>IFERROR(AA840-W840,"")</f>
        <v/>
      </c>
    </row>
    <row r="841" spans="1:43" x14ac:dyDescent="0.35">
      <c r="A841">
        <v>1651</v>
      </c>
      <c r="B841" t="s">
        <v>2653</v>
      </c>
      <c r="C841" t="s">
        <v>2325</v>
      </c>
      <c r="D841" t="str">
        <f t="shared" si="287"/>
        <v>M and E</v>
      </c>
      <c r="E841" t="s">
        <v>2550</v>
      </c>
      <c r="F841" t="s">
        <v>695</v>
      </c>
      <c r="G841" t="s">
        <v>2551</v>
      </c>
      <c r="H841" t="s">
        <v>697</v>
      </c>
      <c r="I841" s="32">
        <v>44876.194988425923</v>
      </c>
      <c r="J841" s="32">
        <v>44880.194988425923</v>
      </c>
      <c r="K841" s="32">
        <v>44883.194988425923</v>
      </c>
      <c r="L841" s="8">
        <f t="shared" si="288"/>
        <v>7</v>
      </c>
      <c r="M841" s="7">
        <v>44899.194988425923</v>
      </c>
      <c r="N841" t="s">
        <v>49</v>
      </c>
      <c r="O841" s="34">
        <v>44886.194988425923</v>
      </c>
      <c r="P841" t="s">
        <v>50</v>
      </c>
      <c r="Q841" t="s">
        <v>51</v>
      </c>
      <c r="R841" s="32" t="s">
        <v>7472</v>
      </c>
      <c r="S841" t="s">
        <v>7476</v>
      </c>
      <c r="T841" s="34" t="s">
        <v>7476</v>
      </c>
      <c r="U841" s="34" t="s">
        <v>7476</v>
      </c>
      <c r="V841" s="32" t="s">
        <v>7476</v>
      </c>
      <c r="W841" s="32" t="s">
        <v>7476</v>
      </c>
      <c r="X841">
        <v>0</v>
      </c>
      <c r="Y841" s="34" t="s">
        <v>7476</v>
      </c>
      <c r="Z841" s="34" t="s">
        <v>7476</v>
      </c>
      <c r="AA841" s="34" t="s">
        <v>7476</v>
      </c>
      <c r="AB841" s="36" t="s">
        <v>52</v>
      </c>
      <c r="AD841" t="s">
        <v>2654</v>
      </c>
      <c r="AE841" t="s">
        <v>2655</v>
      </c>
      <c r="AF841" s="16">
        <v>44867</v>
      </c>
      <c r="AG841" t="s">
        <v>98</v>
      </c>
      <c r="AH841">
        <v>6</v>
      </c>
      <c r="AI841" s="8" t="str">
        <f>IFERROR(R841-AF841,"")</f>
        <v/>
      </c>
      <c r="AJ841" s="8">
        <f>IFERROR(O841-AF841,"")</f>
        <v>19.194988425922929</v>
      </c>
      <c r="AK841" s="38" t="str">
        <f t="shared" si="289"/>
        <v/>
      </c>
      <c r="AL841" t="str">
        <f>IFERROR(Z841-W841,"")</f>
        <v/>
      </c>
      <c r="AM841" t="str">
        <f>IFERROR(R841-J841,"")</f>
        <v/>
      </c>
      <c r="AN841" t="str">
        <f>IFERROR(V841-O841,"")</f>
        <v/>
      </c>
      <c r="AO841">
        <f>IFERROR(J841-I841,"")</f>
        <v>4</v>
      </c>
      <c r="AP841">
        <f>IFERROR(AC841-X841,"")</f>
        <v>0</v>
      </c>
      <c r="AQ841" t="str">
        <f>IFERROR(AA841-W841,"")</f>
        <v/>
      </c>
    </row>
    <row r="842" spans="1:43" x14ac:dyDescent="0.35">
      <c r="A842">
        <v>1626</v>
      </c>
      <c r="B842" t="s">
        <v>2656</v>
      </c>
      <c r="C842" t="s">
        <v>2287</v>
      </c>
      <c r="D842" t="str">
        <f t="shared" si="287"/>
        <v>M and E</v>
      </c>
      <c r="E842" t="s">
        <v>2550</v>
      </c>
      <c r="F842" t="s">
        <v>695</v>
      </c>
      <c r="G842" t="s">
        <v>2551</v>
      </c>
      <c r="H842" t="s">
        <v>697</v>
      </c>
      <c r="I842" s="32" t="s">
        <v>7471</v>
      </c>
      <c r="J842" s="32">
        <v>44643.297905092593</v>
      </c>
      <c r="K842" s="32">
        <v>44645.297905092593</v>
      </c>
      <c r="L842" s="8" t="str">
        <f t="shared" si="288"/>
        <v/>
      </c>
      <c r="M842" s="7">
        <v>44667.297905092593</v>
      </c>
      <c r="N842" t="s">
        <v>49</v>
      </c>
      <c r="O842" s="34">
        <v>44653.297905092593</v>
      </c>
      <c r="P842" t="s">
        <v>60</v>
      </c>
      <c r="R842" s="32">
        <v>44656.297905092593</v>
      </c>
      <c r="S842" t="s">
        <v>61</v>
      </c>
      <c r="T842" s="34" t="s">
        <v>7476</v>
      </c>
      <c r="U842" s="34" t="s">
        <v>7476</v>
      </c>
      <c r="V842" s="32">
        <v>44655.297905092593</v>
      </c>
      <c r="W842" s="32" t="s">
        <v>7476</v>
      </c>
      <c r="X842">
        <v>0</v>
      </c>
      <c r="Y842" s="34" t="s">
        <v>7476</v>
      </c>
      <c r="Z842" s="34" t="s">
        <v>7476</v>
      </c>
      <c r="AA842" s="34" t="s">
        <v>7476</v>
      </c>
      <c r="AB842" s="36" t="s">
        <v>7476</v>
      </c>
      <c r="AD842" t="s">
        <v>2657</v>
      </c>
      <c r="AE842" t="s">
        <v>2658</v>
      </c>
      <c r="AF842" s="16">
        <v>44642</v>
      </c>
      <c r="AG842" t="s">
        <v>68</v>
      </c>
      <c r="AH842">
        <v>6</v>
      </c>
      <c r="AK842" s="38">
        <f t="shared" si="289"/>
        <v>44835.297905092593</v>
      </c>
    </row>
    <row r="843" spans="1:43" x14ac:dyDescent="0.35">
      <c r="A843">
        <v>1610</v>
      </c>
      <c r="B843" t="s">
        <v>2659</v>
      </c>
      <c r="C843" t="s">
        <v>2260</v>
      </c>
      <c r="D843" t="str">
        <f t="shared" si="287"/>
        <v>M and E</v>
      </c>
      <c r="E843" t="s">
        <v>2550</v>
      </c>
      <c r="F843" t="s">
        <v>695</v>
      </c>
      <c r="G843" t="s">
        <v>2551</v>
      </c>
      <c r="H843" t="s">
        <v>697</v>
      </c>
      <c r="I843" s="32">
        <v>44564.819027777783</v>
      </c>
      <c r="J843" s="32">
        <v>44566.819027777783</v>
      </c>
      <c r="K843" s="32">
        <v>44569.819027777783</v>
      </c>
      <c r="L843" s="8">
        <f t="shared" si="288"/>
        <v>5</v>
      </c>
      <c r="M843" s="7">
        <v>44586.819027777783</v>
      </c>
      <c r="N843" t="s">
        <v>49</v>
      </c>
      <c r="O843" s="34">
        <v>44578.819027777783</v>
      </c>
      <c r="P843" t="s">
        <v>60</v>
      </c>
      <c r="R843" s="32">
        <v>44581.819027777783</v>
      </c>
      <c r="S843" t="s">
        <v>61</v>
      </c>
      <c r="T843" s="34" t="s">
        <v>7476</v>
      </c>
      <c r="U843" s="34" t="s">
        <v>7476</v>
      </c>
      <c r="V843" s="32">
        <v>44579.819027777783</v>
      </c>
      <c r="W843" s="32" t="s">
        <v>7476</v>
      </c>
      <c r="X843">
        <v>0</v>
      </c>
      <c r="Y843" s="34" t="s">
        <v>7476</v>
      </c>
      <c r="Z843" s="34" t="s">
        <v>7476</v>
      </c>
      <c r="AA843" s="34" t="s">
        <v>7476</v>
      </c>
      <c r="AB843" s="36" t="s">
        <v>7476</v>
      </c>
      <c r="AD843" t="s">
        <v>2660</v>
      </c>
      <c r="AE843" t="s">
        <v>2661</v>
      </c>
      <c r="AF843" s="16">
        <v>44564</v>
      </c>
      <c r="AG843" t="s">
        <v>64</v>
      </c>
      <c r="AH843">
        <v>6</v>
      </c>
      <c r="AI843" s="8">
        <f>IFERROR(R843-AF843,"")</f>
        <v>17.819027777783049</v>
      </c>
      <c r="AJ843" s="8">
        <f>IFERROR(O843-AF843,"")</f>
        <v>14.819027777783049</v>
      </c>
      <c r="AK843" s="38">
        <f t="shared" si="289"/>
        <v>44759.819027777783</v>
      </c>
      <c r="AL843" t="str">
        <f>IFERROR(Z843-W843,"")</f>
        <v/>
      </c>
      <c r="AM843">
        <f>IFERROR(R843-J843,"")</f>
        <v>15</v>
      </c>
      <c r="AN843">
        <f>IFERROR(V843-O843,"")</f>
        <v>1</v>
      </c>
      <c r="AO843">
        <f>IFERROR(J843-I843,"")</f>
        <v>2</v>
      </c>
      <c r="AP843">
        <f>IFERROR(AC843-X843,"")</f>
        <v>0</v>
      </c>
      <c r="AQ843" t="str">
        <f>IFERROR(AA843-W843,"")</f>
        <v/>
      </c>
    </row>
    <row r="844" spans="1:43" x14ac:dyDescent="0.35">
      <c r="A844">
        <v>1609</v>
      </c>
      <c r="B844" t="s">
        <v>2662</v>
      </c>
      <c r="C844" t="s">
        <v>2260</v>
      </c>
      <c r="D844" t="str">
        <f t="shared" si="287"/>
        <v>M and E</v>
      </c>
      <c r="E844" t="s">
        <v>2550</v>
      </c>
      <c r="F844" t="s">
        <v>695</v>
      </c>
      <c r="G844" t="s">
        <v>2551</v>
      </c>
      <c r="H844" t="s">
        <v>697</v>
      </c>
      <c r="I844" s="32">
        <v>44562.819027777783</v>
      </c>
      <c r="J844" s="32">
        <v>44564.819027777783</v>
      </c>
      <c r="K844" s="32">
        <v>44569.819027777783</v>
      </c>
      <c r="L844" s="8">
        <f t="shared" si="288"/>
        <v>7</v>
      </c>
      <c r="M844" s="7">
        <v>44583.819027777783</v>
      </c>
      <c r="N844" t="s">
        <v>72</v>
      </c>
      <c r="O844" s="34" t="s">
        <v>7474</v>
      </c>
      <c r="R844" s="32" t="s">
        <v>7472</v>
      </c>
      <c r="S844" t="s">
        <v>7476</v>
      </c>
      <c r="T844" s="34" t="s">
        <v>7476</v>
      </c>
      <c r="U844" s="34" t="s">
        <v>7476</v>
      </c>
      <c r="V844" s="32" t="s">
        <v>7476</v>
      </c>
      <c r="W844" s="32" t="s">
        <v>7476</v>
      </c>
      <c r="X844">
        <v>0</v>
      </c>
      <c r="Y844" s="34" t="s">
        <v>7476</v>
      </c>
      <c r="Z844" s="34" t="s">
        <v>7476</v>
      </c>
      <c r="AA844" s="34" t="s">
        <v>7476</v>
      </c>
      <c r="AB844" s="36" t="s">
        <v>7476</v>
      </c>
      <c r="AD844" t="s">
        <v>2663</v>
      </c>
      <c r="AE844" t="s">
        <v>2664</v>
      </c>
      <c r="AG844" t="s">
        <v>68</v>
      </c>
      <c r="AH844">
        <v>6</v>
      </c>
      <c r="AI844" s="8" t="str">
        <f>IFERROR(R844-AF844,"")</f>
        <v/>
      </c>
      <c r="AJ844" s="8" t="str">
        <f>IFERROR(O844-AF844,"")</f>
        <v/>
      </c>
      <c r="AK844" s="38" t="str">
        <f t="shared" si="289"/>
        <v/>
      </c>
      <c r="AL844" t="str">
        <f>IFERROR(Z844-W844,"")</f>
        <v/>
      </c>
      <c r="AM844" t="str">
        <f>IFERROR(R844-J844,"")</f>
        <v/>
      </c>
      <c r="AN844" t="str">
        <f>IFERROR(V844-O844,"")</f>
        <v/>
      </c>
      <c r="AO844">
        <f>IFERROR(J844-I844,"")</f>
        <v>2</v>
      </c>
      <c r="AP844">
        <f>IFERROR(AC844-X844,"")</f>
        <v>0</v>
      </c>
      <c r="AQ844" t="str">
        <f>IFERROR(AA844-W844,"")</f>
        <v/>
      </c>
    </row>
    <row r="845" spans="1:43" x14ac:dyDescent="0.35">
      <c r="A845">
        <v>1608</v>
      </c>
      <c r="B845" t="s">
        <v>2665</v>
      </c>
      <c r="C845" t="s">
        <v>2260</v>
      </c>
      <c r="D845" t="str">
        <f t="shared" si="287"/>
        <v>M and E</v>
      </c>
      <c r="E845" t="s">
        <v>2550</v>
      </c>
      <c r="F845" t="s">
        <v>695</v>
      </c>
      <c r="G845" t="s">
        <v>2551</v>
      </c>
      <c r="H845" t="s">
        <v>697</v>
      </c>
      <c r="I845" s="32">
        <v>44562.819027777783</v>
      </c>
      <c r="J845" s="32">
        <v>44564.819027777783</v>
      </c>
      <c r="K845" s="32">
        <v>44569.819027777783</v>
      </c>
      <c r="L845" s="8">
        <f t="shared" si="288"/>
        <v>7</v>
      </c>
      <c r="M845" s="7">
        <v>44586.819027777783</v>
      </c>
      <c r="N845" t="s">
        <v>49</v>
      </c>
      <c r="O845" s="34">
        <v>44573.819027777783</v>
      </c>
      <c r="P845" t="s">
        <v>50</v>
      </c>
      <c r="Q845" t="s">
        <v>84</v>
      </c>
      <c r="R845" s="32" t="s">
        <v>7472</v>
      </c>
      <c r="S845" t="s">
        <v>7476</v>
      </c>
      <c r="T845" s="34" t="s">
        <v>7476</v>
      </c>
      <c r="U845" s="34" t="s">
        <v>7476</v>
      </c>
      <c r="V845" s="32">
        <v>44577.819027777783</v>
      </c>
      <c r="W845" s="32" t="s">
        <v>7476</v>
      </c>
      <c r="X845">
        <v>0</v>
      </c>
      <c r="Y845" s="34" t="s">
        <v>7476</v>
      </c>
      <c r="Z845" s="34" t="s">
        <v>7476</v>
      </c>
      <c r="AA845" s="34" t="s">
        <v>7476</v>
      </c>
      <c r="AB845" s="36" t="s">
        <v>52</v>
      </c>
      <c r="AD845" t="s">
        <v>2666</v>
      </c>
      <c r="AE845" t="s">
        <v>2667</v>
      </c>
      <c r="AF845" s="16">
        <v>44567</v>
      </c>
      <c r="AG845" t="s">
        <v>68</v>
      </c>
      <c r="AH845">
        <v>3</v>
      </c>
      <c r="AI845" s="8" t="str">
        <f>IFERROR(R845-AF845,"")</f>
        <v/>
      </c>
      <c r="AJ845" s="8">
        <f>IFERROR(O845-AF845,"")</f>
        <v>6.8190277777830488</v>
      </c>
      <c r="AK845" s="38">
        <f t="shared" si="289"/>
        <v>44667.819027777783</v>
      </c>
      <c r="AL845" t="str">
        <f>IFERROR(Z845-W845,"")</f>
        <v/>
      </c>
      <c r="AM845" t="str">
        <f>IFERROR(R845-J845,"")</f>
        <v/>
      </c>
      <c r="AN845">
        <f>IFERROR(V845-O845,"")</f>
        <v>4</v>
      </c>
      <c r="AO845">
        <f>IFERROR(J845-I845,"")</f>
        <v>2</v>
      </c>
      <c r="AP845">
        <f>IFERROR(AC845-X845,"")</f>
        <v>0</v>
      </c>
      <c r="AQ845" t="str">
        <f>IFERROR(AA845-W845,"")</f>
        <v/>
      </c>
    </row>
    <row r="846" spans="1:43" x14ac:dyDescent="0.35">
      <c r="A846">
        <v>1604</v>
      </c>
      <c r="B846" t="s">
        <v>2668</v>
      </c>
      <c r="C846" t="s">
        <v>2260</v>
      </c>
      <c r="D846" t="str">
        <f t="shared" si="287"/>
        <v>M and E</v>
      </c>
      <c r="E846" t="s">
        <v>2550</v>
      </c>
      <c r="F846" t="s">
        <v>695</v>
      </c>
      <c r="G846" t="s">
        <v>2551</v>
      </c>
      <c r="H846" t="s">
        <v>697</v>
      </c>
      <c r="I846" s="32" t="s">
        <v>7471</v>
      </c>
      <c r="J846" s="32">
        <v>44564.819027777783</v>
      </c>
      <c r="K846" s="32">
        <v>44569.819027777783</v>
      </c>
      <c r="L846" s="8" t="str">
        <f t="shared" si="288"/>
        <v/>
      </c>
      <c r="M846" s="7">
        <v>44585.819027777783</v>
      </c>
      <c r="N846" t="s">
        <v>49</v>
      </c>
      <c r="O846" s="34">
        <v>44575.819027777783</v>
      </c>
      <c r="P846" t="s">
        <v>50</v>
      </c>
      <c r="Q846" t="s">
        <v>198</v>
      </c>
      <c r="R846" s="32" t="s">
        <v>7472</v>
      </c>
      <c r="S846" t="s">
        <v>7476</v>
      </c>
      <c r="T846" s="34" t="s">
        <v>7476</v>
      </c>
      <c r="U846" s="34" t="s">
        <v>7476</v>
      </c>
      <c r="V846" s="32" t="s">
        <v>7476</v>
      </c>
      <c r="W846" s="32" t="s">
        <v>7476</v>
      </c>
      <c r="X846">
        <v>0</v>
      </c>
      <c r="Y846" s="34" t="s">
        <v>7476</v>
      </c>
      <c r="Z846" s="34" t="s">
        <v>7476</v>
      </c>
      <c r="AA846" s="34" t="s">
        <v>7476</v>
      </c>
      <c r="AB846" s="36" t="s">
        <v>95</v>
      </c>
      <c r="AD846" t="s">
        <v>2669</v>
      </c>
      <c r="AE846" t="s">
        <v>2670</v>
      </c>
      <c r="AF846" s="16">
        <v>44621</v>
      </c>
      <c r="AG846" t="s">
        <v>64</v>
      </c>
      <c r="AH846">
        <v>3</v>
      </c>
      <c r="AK846" s="38" t="str">
        <f t="shared" si="289"/>
        <v/>
      </c>
    </row>
    <row r="847" spans="1:43" x14ac:dyDescent="0.35">
      <c r="A847">
        <v>1475</v>
      </c>
      <c r="B847" t="s">
        <v>2671</v>
      </c>
      <c r="C847" t="s">
        <v>2287</v>
      </c>
      <c r="D847" t="str">
        <f t="shared" si="287"/>
        <v>M and E</v>
      </c>
      <c r="E847" t="s">
        <v>2550</v>
      </c>
      <c r="F847" t="s">
        <v>695</v>
      </c>
      <c r="G847" t="s">
        <v>2551</v>
      </c>
      <c r="H847" t="s">
        <v>697</v>
      </c>
      <c r="I847" s="32">
        <v>44946.278946759259</v>
      </c>
      <c r="J847" s="32">
        <v>44948.278946759259</v>
      </c>
      <c r="K847" s="32">
        <v>44954.278946759259</v>
      </c>
      <c r="L847" s="8">
        <f t="shared" si="288"/>
        <v>8</v>
      </c>
      <c r="M847" s="7">
        <v>44977.278946759259</v>
      </c>
      <c r="N847" t="s">
        <v>49</v>
      </c>
      <c r="O847" s="34">
        <v>44960.278946759259</v>
      </c>
      <c r="P847" t="s">
        <v>392</v>
      </c>
      <c r="R847" s="32">
        <v>44966.278946759259</v>
      </c>
      <c r="S847" t="s">
        <v>392</v>
      </c>
      <c r="T847" s="34" t="s">
        <v>7476</v>
      </c>
      <c r="U847" s="34" t="s">
        <v>7476</v>
      </c>
      <c r="V847" s="32">
        <v>44962.278946759259</v>
      </c>
      <c r="W847" s="32" t="s">
        <v>7476</v>
      </c>
      <c r="X847">
        <v>0</v>
      </c>
      <c r="Y847" s="34" t="s">
        <v>7476</v>
      </c>
      <c r="Z847" s="34" t="s">
        <v>7476</v>
      </c>
      <c r="AA847" s="34" t="s">
        <v>7476</v>
      </c>
      <c r="AB847" s="36" t="s">
        <v>7476</v>
      </c>
      <c r="AD847" t="s">
        <v>2672</v>
      </c>
      <c r="AE847" t="s">
        <v>2673</v>
      </c>
      <c r="AF847" s="16">
        <v>44942</v>
      </c>
      <c r="AG847" t="s">
        <v>64</v>
      </c>
      <c r="AH847">
        <v>3</v>
      </c>
      <c r="AI847" s="8">
        <f t="shared" ref="AI847:AI855" si="290">IFERROR(R847-AF847,"")</f>
        <v>24.27894675925927</v>
      </c>
      <c r="AJ847" s="8">
        <f t="shared" ref="AJ847:AJ855" si="291">IFERROR(O847-AF847,"")</f>
        <v>18.27894675925927</v>
      </c>
      <c r="AK847" s="38">
        <f t="shared" si="289"/>
        <v>45052.278946759259</v>
      </c>
      <c r="AL847" t="str">
        <f t="shared" ref="AL847:AL855" si="292">IFERROR(Z847-W847,"")</f>
        <v/>
      </c>
      <c r="AM847">
        <f t="shared" ref="AM847:AM855" si="293">IFERROR(R847-J847,"")</f>
        <v>18</v>
      </c>
      <c r="AN847">
        <f t="shared" ref="AN847:AN855" si="294">IFERROR(V847-O847,"")</f>
        <v>2</v>
      </c>
      <c r="AO847">
        <f t="shared" ref="AO847:AO855" si="295">IFERROR(J847-I847,"")</f>
        <v>2</v>
      </c>
      <c r="AP847">
        <f t="shared" ref="AP847:AP855" si="296">IFERROR(AC847-X847,"")</f>
        <v>0</v>
      </c>
      <c r="AQ847" t="str">
        <f t="shared" ref="AQ847:AQ855" si="297">IFERROR(AA847-W847,"")</f>
        <v/>
      </c>
    </row>
    <row r="848" spans="1:43" x14ac:dyDescent="0.35">
      <c r="A848">
        <v>1055</v>
      </c>
      <c r="B848" t="s">
        <v>2674</v>
      </c>
      <c r="C848" t="s">
        <v>2260</v>
      </c>
      <c r="D848" t="str">
        <f t="shared" si="287"/>
        <v>M and E</v>
      </c>
      <c r="E848" t="s">
        <v>2550</v>
      </c>
      <c r="F848" t="s">
        <v>695</v>
      </c>
      <c r="G848" t="s">
        <v>2551</v>
      </c>
      <c r="H848" t="s">
        <v>697</v>
      </c>
      <c r="I848" s="32">
        <v>45155.180486111109</v>
      </c>
      <c r="J848" s="32">
        <v>45159.180486111109</v>
      </c>
      <c r="K848" s="32">
        <v>45163.180486111109</v>
      </c>
      <c r="L848" s="8">
        <f t="shared" si="288"/>
        <v>8</v>
      </c>
      <c r="M848" s="7">
        <v>45181.180486111109</v>
      </c>
      <c r="N848" t="s">
        <v>49</v>
      </c>
      <c r="O848" s="34">
        <v>45172.180486111109</v>
      </c>
      <c r="P848" t="s">
        <v>101</v>
      </c>
      <c r="R848" s="32">
        <v>45177.180486111109</v>
      </c>
      <c r="S848" t="s">
        <v>101</v>
      </c>
      <c r="T848" s="34">
        <v>45174.180486111109</v>
      </c>
      <c r="U848" s="34">
        <v>45178.180486111109</v>
      </c>
      <c r="V848" s="32">
        <v>45173.180486111109</v>
      </c>
      <c r="W848" s="32">
        <v>45178.180486111109</v>
      </c>
      <c r="X848">
        <v>1</v>
      </c>
      <c r="Y848" s="34">
        <v>45180.180486111109</v>
      </c>
      <c r="Z848" s="34">
        <v>45183.180486111109</v>
      </c>
      <c r="AA848" s="34">
        <v>45186.180486111109</v>
      </c>
      <c r="AB848" s="36" t="s">
        <v>7476</v>
      </c>
      <c r="AC848" s="10">
        <v>45202.180486111109</v>
      </c>
      <c r="AD848" t="s">
        <v>2675</v>
      </c>
      <c r="AE848" t="s">
        <v>2676</v>
      </c>
      <c r="AF848" s="16">
        <v>45156</v>
      </c>
      <c r="AG848" t="s">
        <v>64</v>
      </c>
      <c r="AH848">
        <v>6</v>
      </c>
      <c r="AI848" s="8">
        <f t="shared" si="290"/>
        <v>21.180486111108621</v>
      </c>
      <c r="AJ848" s="8">
        <f t="shared" si="291"/>
        <v>16.180486111108621</v>
      </c>
      <c r="AK848" s="38">
        <f t="shared" si="289"/>
        <v>45353.180486111109</v>
      </c>
      <c r="AL848">
        <f t="shared" si="292"/>
        <v>5</v>
      </c>
      <c r="AM848">
        <f t="shared" si="293"/>
        <v>18</v>
      </c>
      <c r="AN848">
        <f t="shared" si="294"/>
        <v>1</v>
      </c>
      <c r="AO848">
        <f t="shared" si="295"/>
        <v>4</v>
      </c>
      <c r="AP848">
        <f t="shared" si="296"/>
        <v>45201.180486111109</v>
      </c>
      <c r="AQ848">
        <f t="shared" si="297"/>
        <v>8</v>
      </c>
    </row>
    <row r="849" spans="1:43" x14ac:dyDescent="0.35">
      <c r="A849">
        <v>1001</v>
      </c>
      <c r="B849" t="s">
        <v>2677</v>
      </c>
      <c r="C849" t="s">
        <v>2287</v>
      </c>
      <c r="D849" t="str">
        <f t="shared" si="287"/>
        <v>M and E</v>
      </c>
      <c r="E849" t="s">
        <v>2550</v>
      </c>
      <c r="F849" t="s">
        <v>695</v>
      </c>
      <c r="G849" t="s">
        <v>2551</v>
      </c>
      <c r="H849" t="s">
        <v>697</v>
      </c>
      <c r="I849" s="32">
        <v>44919.68855324074</v>
      </c>
      <c r="J849" s="32">
        <v>44922.68855324074</v>
      </c>
      <c r="K849" s="32">
        <v>44923.68855324074</v>
      </c>
      <c r="L849" s="8">
        <f t="shared" si="288"/>
        <v>4</v>
      </c>
      <c r="M849" s="7">
        <v>44930.68855324074</v>
      </c>
      <c r="N849" t="s">
        <v>49</v>
      </c>
      <c r="O849" s="34">
        <v>44939.68855324074</v>
      </c>
      <c r="P849" t="s">
        <v>60</v>
      </c>
      <c r="R849" s="32">
        <v>44943.68855324074</v>
      </c>
      <c r="S849" t="s">
        <v>61</v>
      </c>
      <c r="T849" s="34" t="s">
        <v>7476</v>
      </c>
      <c r="U849" s="34" t="s">
        <v>7476</v>
      </c>
      <c r="V849" s="32">
        <v>44941.68855324074</v>
      </c>
      <c r="W849" s="32" t="s">
        <v>7476</v>
      </c>
      <c r="X849">
        <v>0</v>
      </c>
      <c r="Y849" s="34" t="s">
        <v>7476</v>
      </c>
      <c r="Z849" s="34" t="s">
        <v>7476</v>
      </c>
      <c r="AA849" s="34" t="s">
        <v>7476</v>
      </c>
      <c r="AB849" s="36" t="s">
        <v>7476</v>
      </c>
      <c r="AD849" t="s">
        <v>2678</v>
      </c>
      <c r="AE849" t="s">
        <v>2679</v>
      </c>
      <c r="AF849" s="16">
        <v>44928</v>
      </c>
      <c r="AG849" t="s">
        <v>68</v>
      </c>
      <c r="AH849">
        <v>3</v>
      </c>
      <c r="AI849" s="8">
        <f t="shared" si="290"/>
        <v>15.688553240739566</v>
      </c>
      <c r="AJ849" s="8">
        <f t="shared" si="291"/>
        <v>11.688553240739566</v>
      </c>
      <c r="AK849" s="38">
        <f t="shared" si="289"/>
        <v>45031.68855324074</v>
      </c>
      <c r="AL849" t="str">
        <f t="shared" si="292"/>
        <v/>
      </c>
      <c r="AM849">
        <f t="shared" si="293"/>
        <v>21</v>
      </c>
      <c r="AN849">
        <f t="shared" si="294"/>
        <v>2</v>
      </c>
      <c r="AO849">
        <f t="shared" si="295"/>
        <v>3</v>
      </c>
      <c r="AP849">
        <f t="shared" si="296"/>
        <v>0</v>
      </c>
      <c r="AQ849" t="str">
        <f t="shared" si="297"/>
        <v/>
      </c>
    </row>
    <row r="850" spans="1:43" x14ac:dyDescent="0.35">
      <c r="A850">
        <v>982</v>
      </c>
      <c r="B850" t="s">
        <v>2680</v>
      </c>
      <c r="C850" t="s">
        <v>2287</v>
      </c>
      <c r="D850" t="str">
        <f t="shared" si="287"/>
        <v>M and E</v>
      </c>
      <c r="E850" t="s">
        <v>2550</v>
      </c>
      <c r="F850" t="s">
        <v>695</v>
      </c>
      <c r="G850" t="s">
        <v>2551</v>
      </c>
      <c r="H850" t="s">
        <v>697</v>
      </c>
      <c r="I850" s="32">
        <v>44797.241203703707</v>
      </c>
      <c r="J850" s="32">
        <v>44798.241203703707</v>
      </c>
      <c r="K850" s="32">
        <v>44803.241203703707</v>
      </c>
      <c r="L850" s="8">
        <f t="shared" si="288"/>
        <v>6</v>
      </c>
      <c r="M850" s="7">
        <v>44824.241203703707</v>
      </c>
      <c r="N850" t="s">
        <v>49</v>
      </c>
      <c r="O850" s="34">
        <v>44811.241203703707</v>
      </c>
      <c r="P850" t="s">
        <v>60</v>
      </c>
      <c r="R850" s="32">
        <v>44816.241203703707</v>
      </c>
      <c r="S850" t="s">
        <v>61</v>
      </c>
      <c r="T850" s="34" t="s">
        <v>7476</v>
      </c>
      <c r="U850" s="34" t="s">
        <v>7476</v>
      </c>
      <c r="V850" s="32">
        <v>44814.241203703707</v>
      </c>
      <c r="W850" s="32" t="s">
        <v>7476</v>
      </c>
      <c r="X850">
        <v>0</v>
      </c>
      <c r="Y850" s="34" t="s">
        <v>7476</v>
      </c>
      <c r="Z850" s="34" t="s">
        <v>7476</v>
      </c>
      <c r="AA850" s="34" t="s">
        <v>7476</v>
      </c>
      <c r="AB850" s="36" t="s">
        <v>7476</v>
      </c>
      <c r="AD850" t="s">
        <v>2681</v>
      </c>
      <c r="AE850" t="s">
        <v>2682</v>
      </c>
      <c r="AF850" s="16">
        <v>44804</v>
      </c>
      <c r="AG850" t="s">
        <v>64</v>
      </c>
      <c r="AH850">
        <v>3</v>
      </c>
      <c r="AI850" s="8">
        <f t="shared" si="290"/>
        <v>12.24120370370656</v>
      </c>
      <c r="AJ850" s="8">
        <f t="shared" si="291"/>
        <v>7.2412037037065602</v>
      </c>
      <c r="AK850" s="38">
        <f t="shared" si="289"/>
        <v>44904.241203703707</v>
      </c>
      <c r="AL850" t="str">
        <f t="shared" si="292"/>
        <v/>
      </c>
      <c r="AM850">
        <f t="shared" si="293"/>
        <v>18</v>
      </c>
      <c r="AN850">
        <f t="shared" si="294"/>
        <v>3</v>
      </c>
      <c r="AO850">
        <f t="shared" si="295"/>
        <v>1</v>
      </c>
      <c r="AP850">
        <f t="shared" si="296"/>
        <v>0</v>
      </c>
      <c r="AQ850" t="str">
        <f t="shared" si="297"/>
        <v/>
      </c>
    </row>
    <row r="851" spans="1:43" x14ac:dyDescent="0.35">
      <c r="A851">
        <v>873</v>
      </c>
      <c r="B851" t="s">
        <v>2683</v>
      </c>
      <c r="C851" t="s">
        <v>2325</v>
      </c>
      <c r="D851" t="str">
        <f t="shared" si="287"/>
        <v>M and E</v>
      </c>
      <c r="E851" t="s">
        <v>2550</v>
      </c>
      <c r="F851" t="s">
        <v>695</v>
      </c>
      <c r="G851" t="s">
        <v>2551</v>
      </c>
      <c r="H851" t="s">
        <v>697</v>
      </c>
      <c r="I851" s="32">
        <v>44763.80777777778</v>
      </c>
      <c r="J851" s="32">
        <v>44766.80777777778</v>
      </c>
      <c r="K851" s="32">
        <v>44768.80777777778</v>
      </c>
      <c r="L851" s="8">
        <f t="shared" si="288"/>
        <v>5</v>
      </c>
      <c r="M851" s="7">
        <v>44780.80777777778</v>
      </c>
      <c r="N851" t="s">
        <v>49</v>
      </c>
      <c r="O851" s="34">
        <v>44775.80777777778</v>
      </c>
      <c r="P851" t="s">
        <v>60</v>
      </c>
      <c r="R851" s="32">
        <v>44783.80777777778</v>
      </c>
      <c r="S851" t="s">
        <v>61</v>
      </c>
      <c r="T851" s="34" t="s">
        <v>7476</v>
      </c>
      <c r="U851" s="34" t="s">
        <v>7476</v>
      </c>
      <c r="V851" s="32">
        <v>44779.80777777778</v>
      </c>
      <c r="W851" s="32" t="s">
        <v>7476</v>
      </c>
      <c r="X851">
        <v>0</v>
      </c>
      <c r="Y851" s="34" t="s">
        <v>7476</v>
      </c>
      <c r="Z851" s="34" t="s">
        <v>7476</v>
      </c>
      <c r="AA851" s="34" t="s">
        <v>7476</v>
      </c>
      <c r="AB851" s="36" t="s">
        <v>7476</v>
      </c>
      <c r="AD851" t="s">
        <v>2684</v>
      </c>
      <c r="AE851" t="s">
        <v>2685</v>
      </c>
      <c r="AF851" s="16">
        <v>44767</v>
      </c>
      <c r="AG851" t="s">
        <v>68</v>
      </c>
      <c r="AH851">
        <v>6</v>
      </c>
      <c r="AI851" s="8">
        <f t="shared" si="290"/>
        <v>16.807777777779847</v>
      </c>
      <c r="AJ851" s="8">
        <f t="shared" si="291"/>
        <v>8.8077777777798474</v>
      </c>
      <c r="AK851" s="38">
        <f t="shared" si="289"/>
        <v>44959.80777777778</v>
      </c>
      <c r="AL851" t="str">
        <f t="shared" si="292"/>
        <v/>
      </c>
      <c r="AM851">
        <f t="shared" si="293"/>
        <v>17</v>
      </c>
      <c r="AN851">
        <f t="shared" si="294"/>
        <v>4</v>
      </c>
      <c r="AO851">
        <f t="shared" si="295"/>
        <v>3</v>
      </c>
      <c r="AP851">
        <f t="shared" si="296"/>
        <v>0</v>
      </c>
      <c r="AQ851" t="str">
        <f t="shared" si="297"/>
        <v/>
      </c>
    </row>
    <row r="852" spans="1:43" x14ac:dyDescent="0.35">
      <c r="A852">
        <v>871</v>
      </c>
      <c r="B852" t="s">
        <v>2686</v>
      </c>
      <c r="C852" t="s">
        <v>2260</v>
      </c>
      <c r="D852" t="str">
        <f t="shared" si="287"/>
        <v>M and E</v>
      </c>
      <c r="E852" t="s">
        <v>2550</v>
      </c>
      <c r="F852" t="s">
        <v>695</v>
      </c>
      <c r="G852" t="s">
        <v>2551</v>
      </c>
      <c r="H852" t="s">
        <v>697</v>
      </c>
      <c r="I852" s="32">
        <v>44758.80777777778</v>
      </c>
      <c r="J852" s="32">
        <v>44762.80777777778</v>
      </c>
      <c r="K852" s="32">
        <v>44768.80777777778</v>
      </c>
      <c r="L852" s="8">
        <f t="shared" si="288"/>
        <v>10</v>
      </c>
      <c r="M852" s="7">
        <v>44783.80777777778</v>
      </c>
      <c r="N852" t="s">
        <v>49</v>
      </c>
      <c r="O852" s="34">
        <v>44771.80777777778</v>
      </c>
      <c r="P852" t="s">
        <v>101</v>
      </c>
      <c r="R852" s="32">
        <v>44779.80777777778</v>
      </c>
      <c r="S852" t="s">
        <v>101</v>
      </c>
      <c r="T852" s="34">
        <v>44772.80777777778</v>
      </c>
      <c r="U852" s="34">
        <v>44775.80777777778</v>
      </c>
      <c r="V852" s="32">
        <v>44775.80777777778</v>
      </c>
      <c r="W852" s="32">
        <v>44776.80777777778</v>
      </c>
      <c r="X852">
        <v>1</v>
      </c>
      <c r="Y852" s="34">
        <v>44777.80777777778</v>
      </c>
      <c r="Z852" s="34">
        <v>44778.80777777778</v>
      </c>
      <c r="AA852" s="34">
        <v>44779.80777777778</v>
      </c>
      <c r="AB852" s="36" t="s">
        <v>7476</v>
      </c>
      <c r="AC852" s="10">
        <v>44796.80777777778</v>
      </c>
      <c r="AD852" t="s">
        <v>2687</v>
      </c>
      <c r="AE852" t="s">
        <v>2688</v>
      </c>
      <c r="AF852" s="16">
        <v>44758</v>
      </c>
      <c r="AG852" t="s">
        <v>68</v>
      </c>
      <c r="AH852">
        <v>6</v>
      </c>
      <c r="AI852" s="8">
        <f t="shared" si="290"/>
        <v>21.807777777779847</v>
      </c>
      <c r="AJ852" s="8">
        <f t="shared" si="291"/>
        <v>13.807777777779847</v>
      </c>
      <c r="AK852" s="38">
        <f t="shared" si="289"/>
        <v>44955.80777777778</v>
      </c>
      <c r="AL852">
        <f t="shared" si="292"/>
        <v>2</v>
      </c>
      <c r="AM852">
        <f t="shared" si="293"/>
        <v>17</v>
      </c>
      <c r="AN852">
        <f t="shared" si="294"/>
        <v>4</v>
      </c>
      <c r="AO852">
        <f t="shared" si="295"/>
        <v>4</v>
      </c>
      <c r="AP852">
        <f t="shared" si="296"/>
        <v>44795.80777777778</v>
      </c>
      <c r="AQ852">
        <f t="shared" si="297"/>
        <v>3</v>
      </c>
    </row>
    <row r="853" spans="1:43" x14ac:dyDescent="0.35">
      <c r="A853">
        <v>752</v>
      </c>
      <c r="B853" t="s">
        <v>2689</v>
      </c>
      <c r="C853" t="s">
        <v>2287</v>
      </c>
      <c r="D853" t="str">
        <f t="shared" si="287"/>
        <v>M and E</v>
      </c>
      <c r="E853" t="s">
        <v>2550</v>
      </c>
      <c r="F853" t="s">
        <v>695</v>
      </c>
      <c r="G853" t="s">
        <v>2551</v>
      </c>
      <c r="H853" t="s">
        <v>697</v>
      </c>
      <c r="I853" s="32">
        <v>44943.883877314824</v>
      </c>
      <c r="J853" s="32">
        <v>44945.883877314824</v>
      </c>
      <c r="K853" s="32">
        <v>44947.883877314824</v>
      </c>
      <c r="L853" s="8">
        <f t="shared" si="288"/>
        <v>4</v>
      </c>
      <c r="M853" s="7">
        <v>44974.883877314824</v>
      </c>
      <c r="N853" t="s">
        <v>49</v>
      </c>
      <c r="O853" s="34">
        <v>44953.883877314824</v>
      </c>
      <c r="P853" t="s">
        <v>101</v>
      </c>
      <c r="R853" s="32">
        <v>44956.883877314824</v>
      </c>
      <c r="S853" t="s">
        <v>101</v>
      </c>
      <c r="T853" s="34">
        <v>44954.883877314824</v>
      </c>
      <c r="U853" s="34">
        <v>44955.883877314824</v>
      </c>
      <c r="V853" s="32">
        <v>44954.883877314824</v>
      </c>
      <c r="W853" s="32">
        <v>44962.883877314824</v>
      </c>
      <c r="X853">
        <v>1</v>
      </c>
      <c r="Y853" s="34">
        <v>44965.883877314824</v>
      </c>
      <c r="Z853" s="34">
        <v>44966.883877314824</v>
      </c>
      <c r="AA853" s="34">
        <v>44968.883877314824</v>
      </c>
      <c r="AB853" s="36" t="s">
        <v>7476</v>
      </c>
      <c r="AC853" s="10">
        <v>44980.883877314824</v>
      </c>
      <c r="AD853" t="s">
        <v>2690</v>
      </c>
      <c r="AE853" t="s">
        <v>2691</v>
      </c>
      <c r="AF853" s="16">
        <v>44934</v>
      </c>
      <c r="AG853" t="s">
        <v>64</v>
      </c>
      <c r="AH853">
        <v>3</v>
      </c>
      <c r="AI853" s="8">
        <f t="shared" si="290"/>
        <v>22.883877314823621</v>
      </c>
      <c r="AJ853" s="8">
        <f t="shared" si="291"/>
        <v>19.883877314823621</v>
      </c>
      <c r="AK853" s="38">
        <f t="shared" si="289"/>
        <v>45044.883877314824</v>
      </c>
      <c r="AL853">
        <f t="shared" si="292"/>
        <v>4</v>
      </c>
      <c r="AM853">
        <f t="shared" si="293"/>
        <v>11</v>
      </c>
      <c r="AN853">
        <f t="shared" si="294"/>
        <v>1</v>
      </c>
      <c r="AO853">
        <f t="shared" si="295"/>
        <v>2</v>
      </c>
      <c r="AP853">
        <f t="shared" si="296"/>
        <v>44979.883877314824</v>
      </c>
      <c r="AQ853">
        <f t="shared" si="297"/>
        <v>6</v>
      </c>
    </row>
    <row r="854" spans="1:43" x14ac:dyDescent="0.35">
      <c r="A854">
        <v>699</v>
      </c>
      <c r="B854" t="s">
        <v>2692</v>
      </c>
      <c r="C854" t="s">
        <v>2260</v>
      </c>
      <c r="D854" t="str">
        <f t="shared" si="287"/>
        <v>M and E</v>
      </c>
      <c r="E854" t="s">
        <v>2550</v>
      </c>
      <c r="F854" t="s">
        <v>695</v>
      </c>
      <c r="G854" t="s">
        <v>2551</v>
      </c>
      <c r="H854" t="s">
        <v>697</v>
      </c>
      <c r="I854" s="32">
        <v>44871.289201388892</v>
      </c>
      <c r="J854" s="32">
        <v>44873.289201388892</v>
      </c>
      <c r="K854" s="32">
        <v>44875.289201388892</v>
      </c>
      <c r="L854" s="8">
        <f t="shared" si="288"/>
        <v>4</v>
      </c>
      <c r="M854" s="7">
        <v>44905.289201388892</v>
      </c>
      <c r="N854" t="s">
        <v>49</v>
      </c>
      <c r="O854" s="34">
        <v>44885.289201388892</v>
      </c>
      <c r="P854" t="s">
        <v>50</v>
      </c>
      <c r="Q854" t="s">
        <v>84</v>
      </c>
      <c r="R854" s="32" t="s">
        <v>7472</v>
      </c>
      <c r="S854" t="s">
        <v>7476</v>
      </c>
      <c r="T854" s="34" t="s">
        <v>7476</v>
      </c>
      <c r="U854" s="34" t="s">
        <v>7476</v>
      </c>
      <c r="V854" s="32">
        <v>44887.289201388892</v>
      </c>
      <c r="W854" s="32" t="s">
        <v>7476</v>
      </c>
      <c r="X854">
        <v>0</v>
      </c>
      <c r="Y854" s="34" t="s">
        <v>7476</v>
      </c>
      <c r="Z854" s="34" t="s">
        <v>7476</v>
      </c>
      <c r="AA854" s="34" t="s">
        <v>7476</v>
      </c>
      <c r="AB854" s="36" t="s">
        <v>52</v>
      </c>
      <c r="AD854" t="s">
        <v>2693</v>
      </c>
      <c r="AE854" t="s">
        <v>2694</v>
      </c>
      <c r="AF854" s="16">
        <v>44873</v>
      </c>
      <c r="AG854" t="s">
        <v>98</v>
      </c>
      <c r="AH854">
        <v>6</v>
      </c>
      <c r="AI854" s="8" t="str">
        <f t="shared" si="290"/>
        <v/>
      </c>
      <c r="AJ854" s="8">
        <f t="shared" si="291"/>
        <v>12.289201388892252</v>
      </c>
      <c r="AK854" s="38">
        <f t="shared" si="289"/>
        <v>45067.289201388892</v>
      </c>
      <c r="AL854" t="str">
        <f t="shared" si="292"/>
        <v/>
      </c>
      <c r="AM854" t="str">
        <f t="shared" si="293"/>
        <v/>
      </c>
      <c r="AN854">
        <f t="shared" si="294"/>
        <v>2</v>
      </c>
      <c r="AO854">
        <f t="shared" si="295"/>
        <v>2</v>
      </c>
      <c r="AP854">
        <f t="shared" si="296"/>
        <v>0</v>
      </c>
      <c r="AQ854" t="str">
        <f t="shared" si="297"/>
        <v/>
      </c>
    </row>
    <row r="855" spans="1:43" x14ac:dyDescent="0.35">
      <c r="A855">
        <v>698</v>
      </c>
      <c r="B855" t="s">
        <v>2695</v>
      </c>
      <c r="C855" t="s">
        <v>2260</v>
      </c>
      <c r="D855" t="str">
        <f t="shared" si="287"/>
        <v>M and E</v>
      </c>
      <c r="E855" t="s">
        <v>2550</v>
      </c>
      <c r="F855" t="s">
        <v>695</v>
      </c>
      <c r="G855" t="s">
        <v>2551</v>
      </c>
      <c r="H855" t="s">
        <v>697</v>
      </c>
      <c r="I855" s="32">
        <v>44873.289201388892</v>
      </c>
      <c r="J855" s="32">
        <v>44874.289201388892</v>
      </c>
      <c r="K855" s="32">
        <v>44875.289201388892</v>
      </c>
      <c r="L855" s="8">
        <f t="shared" si="288"/>
        <v>2</v>
      </c>
      <c r="M855" s="7">
        <v>44905.289201388892</v>
      </c>
      <c r="N855" t="s">
        <v>72</v>
      </c>
      <c r="O855" s="34" t="s">
        <v>7474</v>
      </c>
      <c r="R855" s="32" t="s">
        <v>7472</v>
      </c>
      <c r="S855" t="s">
        <v>7476</v>
      </c>
      <c r="T855" s="34" t="s">
        <v>7476</v>
      </c>
      <c r="U855" s="34" t="s">
        <v>7476</v>
      </c>
      <c r="V855" s="32" t="s">
        <v>7476</v>
      </c>
      <c r="W855" s="32" t="s">
        <v>7476</v>
      </c>
      <c r="X855">
        <v>0</v>
      </c>
      <c r="Y855" s="34" t="s">
        <v>7476</v>
      </c>
      <c r="Z855" s="34" t="s">
        <v>7476</v>
      </c>
      <c r="AA855" s="34" t="s">
        <v>7476</v>
      </c>
      <c r="AB855" s="36" t="s">
        <v>7476</v>
      </c>
      <c r="AD855" t="s">
        <v>2696</v>
      </c>
      <c r="AE855" t="s">
        <v>2697</v>
      </c>
      <c r="AG855" t="s">
        <v>98</v>
      </c>
      <c r="AH855">
        <v>3</v>
      </c>
      <c r="AI855" s="8" t="str">
        <f t="shared" si="290"/>
        <v/>
      </c>
      <c r="AJ855" s="8" t="str">
        <f t="shared" si="291"/>
        <v/>
      </c>
      <c r="AK855" s="38" t="str">
        <f t="shared" si="289"/>
        <v/>
      </c>
      <c r="AL855" t="str">
        <f t="shared" si="292"/>
        <v/>
      </c>
      <c r="AM855" t="str">
        <f t="shared" si="293"/>
        <v/>
      </c>
      <c r="AN855" t="str">
        <f t="shared" si="294"/>
        <v/>
      </c>
      <c r="AO855">
        <f t="shared" si="295"/>
        <v>1</v>
      </c>
      <c r="AP855">
        <f t="shared" si="296"/>
        <v>0</v>
      </c>
      <c r="AQ855" t="str">
        <f t="shared" si="297"/>
        <v/>
      </c>
    </row>
    <row r="856" spans="1:43" x14ac:dyDescent="0.35">
      <c r="A856">
        <v>696</v>
      </c>
      <c r="B856" t="s">
        <v>2698</v>
      </c>
      <c r="C856" t="s">
        <v>2287</v>
      </c>
      <c r="D856" t="str">
        <f t="shared" si="287"/>
        <v>M and E</v>
      </c>
      <c r="E856" t="s">
        <v>2550</v>
      </c>
      <c r="F856" t="s">
        <v>695</v>
      </c>
      <c r="G856" t="s">
        <v>2551</v>
      </c>
      <c r="H856" t="s">
        <v>697</v>
      </c>
      <c r="I856" s="32" t="s">
        <v>7471</v>
      </c>
      <c r="J856" s="32">
        <v>44869.289201388892</v>
      </c>
      <c r="K856" s="32">
        <v>44875.289201388892</v>
      </c>
      <c r="L856" s="8" t="str">
        <f t="shared" si="288"/>
        <v/>
      </c>
      <c r="M856" s="7">
        <v>44891.289201388892</v>
      </c>
      <c r="N856" t="s">
        <v>72</v>
      </c>
      <c r="O856" s="34" t="s">
        <v>7474</v>
      </c>
      <c r="R856" s="32" t="s">
        <v>7472</v>
      </c>
      <c r="S856" t="s">
        <v>7476</v>
      </c>
      <c r="T856" s="34" t="s">
        <v>7476</v>
      </c>
      <c r="U856" s="34" t="s">
        <v>7476</v>
      </c>
      <c r="V856" s="32" t="s">
        <v>7476</v>
      </c>
      <c r="W856" s="32" t="s">
        <v>7476</v>
      </c>
      <c r="X856">
        <v>0</v>
      </c>
      <c r="Y856" s="34" t="s">
        <v>7476</v>
      </c>
      <c r="Z856" s="34" t="s">
        <v>7476</v>
      </c>
      <c r="AA856" s="34" t="s">
        <v>7476</v>
      </c>
      <c r="AB856" s="36" t="s">
        <v>7476</v>
      </c>
      <c r="AD856" t="s">
        <v>2699</v>
      </c>
      <c r="AE856" t="s">
        <v>2700</v>
      </c>
      <c r="AG856" t="s">
        <v>55</v>
      </c>
      <c r="AH856">
        <v>3</v>
      </c>
      <c r="AK856" s="38" t="str">
        <f t="shared" si="289"/>
        <v/>
      </c>
    </row>
    <row r="857" spans="1:43" x14ac:dyDescent="0.35">
      <c r="A857">
        <v>695</v>
      </c>
      <c r="B857" t="s">
        <v>2701</v>
      </c>
      <c r="C857" t="s">
        <v>2260</v>
      </c>
      <c r="D857" t="str">
        <f t="shared" si="287"/>
        <v>M and E</v>
      </c>
      <c r="E857" t="s">
        <v>2550</v>
      </c>
      <c r="F857" t="s">
        <v>695</v>
      </c>
      <c r="G857" t="s">
        <v>2551</v>
      </c>
      <c r="H857" t="s">
        <v>697</v>
      </c>
      <c r="I857" s="32">
        <v>44869.289201388892</v>
      </c>
      <c r="J857" s="32">
        <v>44871.289201388892</v>
      </c>
      <c r="K857" s="32">
        <v>44875.289201388892</v>
      </c>
      <c r="L857" s="8">
        <f t="shared" si="288"/>
        <v>6</v>
      </c>
      <c r="M857" s="7">
        <v>44902.289201388892</v>
      </c>
      <c r="N857" t="s">
        <v>49</v>
      </c>
      <c r="O857" s="34">
        <v>44882.289201388892</v>
      </c>
      <c r="P857" t="s">
        <v>50</v>
      </c>
      <c r="Q857" t="s">
        <v>51</v>
      </c>
      <c r="R857" s="32" t="s">
        <v>7472</v>
      </c>
      <c r="S857" t="s">
        <v>7476</v>
      </c>
      <c r="T857" s="34" t="s">
        <v>7476</v>
      </c>
      <c r="U857" s="34" t="s">
        <v>7476</v>
      </c>
      <c r="V857" s="32">
        <v>44883.289201388892</v>
      </c>
      <c r="W857" s="32" t="s">
        <v>7476</v>
      </c>
      <c r="X857">
        <v>0</v>
      </c>
      <c r="Y857" s="34" t="s">
        <v>7476</v>
      </c>
      <c r="Z857" s="34" t="s">
        <v>7476</v>
      </c>
      <c r="AA857" s="34" t="s">
        <v>7476</v>
      </c>
      <c r="AB857" s="36" t="s">
        <v>52</v>
      </c>
      <c r="AD857" t="s">
        <v>2702</v>
      </c>
      <c r="AE857" t="s">
        <v>2703</v>
      </c>
      <c r="AF857" s="16">
        <v>44872</v>
      </c>
      <c r="AG857" t="s">
        <v>64</v>
      </c>
      <c r="AH857">
        <v>6</v>
      </c>
      <c r="AI857" s="8" t="str">
        <f>IFERROR(R857-AF857,"")</f>
        <v/>
      </c>
      <c r="AJ857" s="8">
        <f>IFERROR(O857-AF857,"")</f>
        <v>10.289201388892252</v>
      </c>
      <c r="AK857" s="38">
        <f t="shared" si="289"/>
        <v>45063.289201388892</v>
      </c>
      <c r="AL857" t="str">
        <f>IFERROR(Z857-W857,"")</f>
        <v/>
      </c>
      <c r="AM857" t="str">
        <f>IFERROR(R857-J857,"")</f>
        <v/>
      </c>
      <c r="AN857">
        <f>IFERROR(V857-O857,"")</f>
        <v>1</v>
      </c>
      <c r="AO857">
        <f>IFERROR(J857-I857,"")</f>
        <v>2</v>
      </c>
      <c r="AP857">
        <f>IFERROR(AC857-X857,"")</f>
        <v>0</v>
      </c>
      <c r="AQ857" t="str">
        <f>IFERROR(AA857-W857,"")</f>
        <v/>
      </c>
    </row>
    <row r="858" spans="1:43" x14ac:dyDescent="0.35">
      <c r="A858">
        <v>648</v>
      </c>
      <c r="B858" t="s">
        <v>2704</v>
      </c>
      <c r="C858" t="s">
        <v>2260</v>
      </c>
      <c r="D858" t="str">
        <f t="shared" si="287"/>
        <v>M and E</v>
      </c>
      <c r="E858" t="s">
        <v>2550</v>
      </c>
      <c r="F858" t="s">
        <v>695</v>
      </c>
      <c r="G858" t="s">
        <v>2551</v>
      </c>
      <c r="H858" t="s">
        <v>697</v>
      </c>
      <c r="I858" s="32">
        <v>44783.760729166657</v>
      </c>
      <c r="J858" s="32">
        <v>44787.760729166657</v>
      </c>
      <c r="K858" s="32">
        <v>44788.760729166657</v>
      </c>
      <c r="L858" s="8">
        <f t="shared" si="288"/>
        <v>5</v>
      </c>
      <c r="M858" s="7">
        <v>44810.760729166657</v>
      </c>
      <c r="N858" t="s">
        <v>72</v>
      </c>
      <c r="O858" s="34" t="s">
        <v>7474</v>
      </c>
      <c r="R858" s="32" t="s">
        <v>7472</v>
      </c>
      <c r="S858" t="s">
        <v>7476</v>
      </c>
      <c r="T858" s="34" t="s">
        <v>7476</v>
      </c>
      <c r="U858" s="34" t="s">
        <v>7476</v>
      </c>
      <c r="V858" s="32" t="s">
        <v>7476</v>
      </c>
      <c r="W858" s="32" t="s">
        <v>7476</v>
      </c>
      <c r="X858">
        <v>0</v>
      </c>
      <c r="Y858" s="34" t="s">
        <v>7476</v>
      </c>
      <c r="Z858" s="34" t="s">
        <v>7476</v>
      </c>
      <c r="AA858" s="34" t="s">
        <v>7476</v>
      </c>
      <c r="AB858" s="36" t="s">
        <v>7476</v>
      </c>
      <c r="AD858" t="s">
        <v>2705</v>
      </c>
      <c r="AE858" t="s">
        <v>2706</v>
      </c>
      <c r="AG858" t="s">
        <v>68</v>
      </c>
      <c r="AH858">
        <v>3</v>
      </c>
      <c r="AI858" s="8" t="str">
        <f>IFERROR(R858-AF858,"")</f>
        <v/>
      </c>
      <c r="AJ858" s="8" t="str">
        <f>IFERROR(O858-AF858,"")</f>
        <v/>
      </c>
      <c r="AK858" s="38" t="str">
        <f t="shared" si="289"/>
        <v/>
      </c>
      <c r="AL858" t="str">
        <f>IFERROR(Z858-W858,"")</f>
        <v/>
      </c>
      <c r="AM858" t="str">
        <f>IFERROR(R858-J858,"")</f>
        <v/>
      </c>
      <c r="AN858" t="str">
        <f>IFERROR(V858-O858,"")</f>
        <v/>
      </c>
      <c r="AO858">
        <f>IFERROR(J858-I858,"")</f>
        <v>4</v>
      </c>
      <c r="AP858">
        <f>IFERROR(AC858-X858,"")</f>
        <v>0</v>
      </c>
      <c r="AQ858" t="str">
        <f>IFERROR(AA858-W858,"")</f>
        <v/>
      </c>
    </row>
    <row r="859" spans="1:43" x14ac:dyDescent="0.35">
      <c r="A859">
        <v>643</v>
      </c>
      <c r="B859" t="s">
        <v>2707</v>
      </c>
      <c r="C859" t="s">
        <v>2325</v>
      </c>
      <c r="D859" t="str">
        <f t="shared" si="287"/>
        <v>M and E</v>
      </c>
      <c r="E859" t="s">
        <v>2550</v>
      </c>
      <c r="F859" t="s">
        <v>695</v>
      </c>
      <c r="G859" t="s">
        <v>2551</v>
      </c>
      <c r="H859" t="s">
        <v>697</v>
      </c>
      <c r="I859" s="32" t="s">
        <v>7471</v>
      </c>
      <c r="J859" s="32">
        <v>44785.760729166657</v>
      </c>
      <c r="K859" s="32">
        <v>44788.760729166657</v>
      </c>
      <c r="L859" s="8" t="str">
        <f t="shared" si="288"/>
        <v/>
      </c>
      <c r="M859" s="7">
        <v>44800.760729166657</v>
      </c>
      <c r="N859" t="s">
        <v>49</v>
      </c>
      <c r="O859" s="34">
        <v>44802.760729166657</v>
      </c>
      <c r="P859" t="s">
        <v>50</v>
      </c>
      <c r="Q859" t="s">
        <v>84</v>
      </c>
      <c r="R859" s="32" t="s">
        <v>7472</v>
      </c>
      <c r="S859" t="s">
        <v>7476</v>
      </c>
      <c r="T859" s="34" t="s">
        <v>7476</v>
      </c>
      <c r="U859" s="34" t="s">
        <v>7476</v>
      </c>
      <c r="V859" s="32" t="s">
        <v>7476</v>
      </c>
      <c r="W859" s="32" t="s">
        <v>7476</v>
      </c>
      <c r="X859">
        <v>0</v>
      </c>
      <c r="Y859" s="34" t="s">
        <v>7476</v>
      </c>
      <c r="Z859" s="34" t="s">
        <v>7476</v>
      </c>
      <c r="AA859" s="34" t="s">
        <v>7476</v>
      </c>
      <c r="AB859" s="36" t="s">
        <v>52</v>
      </c>
      <c r="AD859" t="s">
        <v>2708</v>
      </c>
      <c r="AE859" t="s">
        <v>2709</v>
      </c>
      <c r="AF859" s="16">
        <v>44797</v>
      </c>
      <c r="AG859" t="s">
        <v>75</v>
      </c>
      <c r="AH859">
        <v>6</v>
      </c>
      <c r="AK859" s="38" t="str">
        <f t="shared" si="289"/>
        <v/>
      </c>
    </row>
    <row r="860" spans="1:43" x14ac:dyDescent="0.35">
      <c r="A860">
        <v>642</v>
      </c>
      <c r="B860" t="s">
        <v>2710</v>
      </c>
      <c r="C860" t="s">
        <v>2260</v>
      </c>
      <c r="D860" t="str">
        <f t="shared" si="287"/>
        <v>M and E</v>
      </c>
      <c r="E860" t="s">
        <v>2550</v>
      </c>
      <c r="F860" t="s">
        <v>695</v>
      </c>
      <c r="G860" t="s">
        <v>2551</v>
      </c>
      <c r="H860" t="s">
        <v>697</v>
      </c>
      <c r="I860" s="32">
        <v>44780.760729166657</v>
      </c>
      <c r="J860" s="32">
        <v>44782.760729166657</v>
      </c>
      <c r="K860" s="32" t="s">
        <v>7473</v>
      </c>
      <c r="L860" s="8" t="str">
        <f t="shared" si="288"/>
        <v/>
      </c>
      <c r="M860" s="7">
        <v>44807.760729166657</v>
      </c>
      <c r="N860" t="s">
        <v>49</v>
      </c>
      <c r="O860" s="34">
        <v>44792.760729166657</v>
      </c>
      <c r="P860" t="s">
        <v>60</v>
      </c>
      <c r="R860" s="32">
        <v>44799.760729166657</v>
      </c>
      <c r="S860" t="s">
        <v>61</v>
      </c>
      <c r="T860" s="34" t="s">
        <v>7476</v>
      </c>
      <c r="U860" s="34" t="s">
        <v>7476</v>
      </c>
      <c r="V860" s="32">
        <v>44796.760729166657</v>
      </c>
      <c r="W860" s="32" t="s">
        <v>7476</v>
      </c>
      <c r="X860">
        <v>0</v>
      </c>
      <c r="Y860" s="34" t="s">
        <v>7476</v>
      </c>
      <c r="Z860" s="34" t="s">
        <v>7476</v>
      </c>
      <c r="AA860" s="34" t="s">
        <v>7476</v>
      </c>
      <c r="AB860" s="36" t="s">
        <v>7476</v>
      </c>
      <c r="AD860" t="s">
        <v>2711</v>
      </c>
      <c r="AE860" t="s">
        <v>2712</v>
      </c>
      <c r="AF860" s="16">
        <v>44773</v>
      </c>
      <c r="AG860" t="s">
        <v>64</v>
      </c>
      <c r="AH860">
        <v>3</v>
      </c>
      <c r="AK860" s="38">
        <f t="shared" si="289"/>
        <v>44886.760729166657</v>
      </c>
    </row>
    <row r="861" spans="1:43" x14ac:dyDescent="0.35">
      <c r="A861">
        <v>589</v>
      </c>
      <c r="B861" t="s">
        <v>2713</v>
      </c>
      <c r="C861" t="s">
        <v>2260</v>
      </c>
      <c r="D861" t="str">
        <f t="shared" si="287"/>
        <v>M and E</v>
      </c>
      <c r="E861" t="s">
        <v>2550</v>
      </c>
      <c r="F861" t="s">
        <v>695</v>
      </c>
      <c r="G861" t="s">
        <v>2551</v>
      </c>
      <c r="H861" t="s">
        <v>697</v>
      </c>
      <c r="I861" s="32">
        <v>44891.41333333333</v>
      </c>
      <c r="J861" s="32">
        <v>44893.41333333333</v>
      </c>
      <c r="K861" s="32">
        <v>44896.41333333333</v>
      </c>
      <c r="L861" s="8">
        <f t="shared" si="288"/>
        <v>5</v>
      </c>
      <c r="M861" s="7">
        <v>44925.41333333333</v>
      </c>
      <c r="N861" t="s">
        <v>49</v>
      </c>
      <c r="O861" s="34">
        <v>44898.41333333333</v>
      </c>
      <c r="P861" t="s">
        <v>50</v>
      </c>
      <c r="Q861" t="s">
        <v>51</v>
      </c>
      <c r="R861" s="32" t="s">
        <v>7472</v>
      </c>
      <c r="S861" t="s">
        <v>7476</v>
      </c>
      <c r="T861" s="34" t="s">
        <v>7476</v>
      </c>
      <c r="U861" s="34" t="s">
        <v>7476</v>
      </c>
      <c r="V861" s="32" t="s">
        <v>7476</v>
      </c>
      <c r="W861" s="32" t="s">
        <v>7476</v>
      </c>
      <c r="X861">
        <v>0</v>
      </c>
      <c r="Y861" s="34" t="s">
        <v>7476</v>
      </c>
      <c r="Z861" s="34" t="s">
        <v>7476</v>
      </c>
      <c r="AA861" s="34" t="s">
        <v>7476</v>
      </c>
      <c r="AB861" s="36" t="s">
        <v>52</v>
      </c>
      <c r="AD861" t="s">
        <v>2714</v>
      </c>
      <c r="AE861" t="s">
        <v>2715</v>
      </c>
      <c r="AF861" s="16">
        <v>44893</v>
      </c>
      <c r="AG861" t="s">
        <v>64</v>
      </c>
      <c r="AH861">
        <v>6</v>
      </c>
      <c r="AI861" s="8" t="str">
        <f>IFERROR(R861-AF861,"")</f>
        <v/>
      </c>
      <c r="AJ861" s="8">
        <f>IFERROR(O861-AF861,"")</f>
        <v>5.4133333333302289</v>
      </c>
      <c r="AK861" s="38" t="str">
        <f t="shared" si="289"/>
        <v/>
      </c>
      <c r="AL861" t="str">
        <f>IFERROR(Z861-W861,"")</f>
        <v/>
      </c>
      <c r="AM861" t="str">
        <f>IFERROR(R861-J861,"")</f>
        <v/>
      </c>
      <c r="AN861" t="str">
        <f>IFERROR(V861-O861,"")</f>
        <v/>
      </c>
      <c r="AO861">
        <f>IFERROR(J861-I861,"")</f>
        <v>2</v>
      </c>
      <c r="AP861">
        <f>IFERROR(AC861-X861,"")</f>
        <v>0</v>
      </c>
      <c r="AQ861" t="str">
        <f>IFERROR(AA861-W861,"")</f>
        <v/>
      </c>
    </row>
    <row r="862" spans="1:43" x14ac:dyDescent="0.35">
      <c r="A862">
        <v>586</v>
      </c>
      <c r="B862" t="s">
        <v>2716</v>
      </c>
      <c r="C862" t="s">
        <v>2260</v>
      </c>
      <c r="D862" t="str">
        <f t="shared" si="287"/>
        <v>M and E</v>
      </c>
      <c r="E862" t="s">
        <v>2550</v>
      </c>
      <c r="F862" t="s">
        <v>695</v>
      </c>
      <c r="G862" t="s">
        <v>2551</v>
      </c>
      <c r="H862" t="s">
        <v>697</v>
      </c>
      <c r="I862" s="32">
        <v>44887.41333333333</v>
      </c>
      <c r="J862" s="32">
        <v>44891.41333333333</v>
      </c>
      <c r="K862" s="32" t="s">
        <v>7473</v>
      </c>
      <c r="L862" s="8" t="str">
        <f t="shared" si="288"/>
        <v/>
      </c>
      <c r="M862" s="7">
        <v>44924.41333333333</v>
      </c>
      <c r="N862" t="s">
        <v>49</v>
      </c>
      <c r="O862" s="34">
        <v>44899.41333333333</v>
      </c>
      <c r="P862" t="s">
        <v>50</v>
      </c>
      <c r="Q862" t="s">
        <v>236</v>
      </c>
      <c r="R862" s="32" t="s">
        <v>7472</v>
      </c>
      <c r="S862" t="s">
        <v>7476</v>
      </c>
      <c r="T862" s="34" t="s">
        <v>7476</v>
      </c>
      <c r="U862" s="34" t="s">
        <v>7476</v>
      </c>
      <c r="V862" s="32">
        <v>44900.41333333333</v>
      </c>
      <c r="W862" s="32" t="s">
        <v>7476</v>
      </c>
      <c r="X862">
        <v>0</v>
      </c>
      <c r="Y862" s="34" t="s">
        <v>7476</v>
      </c>
      <c r="Z862" s="34" t="s">
        <v>7476</v>
      </c>
      <c r="AA862" s="34" t="s">
        <v>7476</v>
      </c>
      <c r="AB862" s="36" t="s">
        <v>95</v>
      </c>
      <c r="AD862" t="s">
        <v>2717</v>
      </c>
      <c r="AE862" t="s">
        <v>2718</v>
      </c>
      <c r="AF862" s="16">
        <v>44894</v>
      </c>
      <c r="AG862" t="s">
        <v>64</v>
      </c>
      <c r="AH862">
        <v>6</v>
      </c>
      <c r="AK862" s="38">
        <f t="shared" si="289"/>
        <v>45080.41333333333</v>
      </c>
    </row>
    <row r="863" spans="1:43" x14ac:dyDescent="0.35">
      <c r="A863">
        <v>585</v>
      </c>
      <c r="B863" t="s">
        <v>2719</v>
      </c>
      <c r="C863" t="s">
        <v>2260</v>
      </c>
      <c r="D863" t="str">
        <f t="shared" si="287"/>
        <v>M and E</v>
      </c>
      <c r="E863" t="s">
        <v>2550</v>
      </c>
      <c r="F863" t="s">
        <v>695</v>
      </c>
      <c r="G863" t="s">
        <v>2551</v>
      </c>
      <c r="H863" t="s">
        <v>697</v>
      </c>
      <c r="I863" s="32">
        <v>44892.41333333333</v>
      </c>
      <c r="J863" s="32">
        <v>44895.41333333333</v>
      </c>
      <c r="K863" s="32">
        <v>44896.41333333333</v>
      </c>
      <c r="L863" s="8">
        <f t="shared" si="288"/>
        <v>4</v>
      </c>
      <c r="M863" s="7">
        <v>44922.41333333333</v>
      </c>
      <c r="N863" t="s">
        <v>49</v>
      </c>
      <c r="O863" s="34">
        <v>44910.41333333333</v>
      </c>
      <c r="P863" t="s">
        <v>392</v>
      </c>
      <c r="R863" s="32">
        <v>44915.41333333333</v>
      </c>
      <c r="S863" t="s">
        <v>392</v>
      </c>
      <c r="T863" s="34" t="s">
        <v>7476</v>
      </c>
      <c r="U863" s="34" t="s">
        <v>7476</v>
      </c>
      <c r="V863" s="32">
        <v>44911.41333333333</v>
      </c>
      <c r="W863" s="32" t="s">
        <v>7476</v>
      </c>
      <c r="X863">
        <v>0</v>
      </c>
      <c r="Y863" s="34" t="s">
        <v>7476</v>
      </c>
      <c r="Z863" s="34" t="s">
        <v>7476</v>
      </c>
      <c r="AA863" s="34" t="s">
        <v>7476</v>
      </c>
      <c r="AB863" s="36" t="s">
        <v>7476</v>
      </c>
      <c r="AD863" t="s">
        <v>2720</v>
      </c>
      <c r="AE863" t="s">
        <v>2721</v>
      </c>
      <c r="AF863" s="16">
        <v>44899</v>
      </c>
      <c r="AG863" t="s">
        <v>98</v>
      </c>
      <c r="AH863">
        <v>3</v>
      </c>
      <c r="AI863" s="8">
        <f>IFERROR(R863-AF863,"")</f>
        <v>16.413333333330229</v>
      </c>
      <c r="AJ863" s="8">
        <f>IFERROR(O863-AF863,"")</f>
        <v>11.413333333330229</v>
      </c>
      <c r="AK863" s="38">
        <f t="shared" si="289"/>
        <v>45001.41333333333</v>
      </c>
      <c r="AL863" t="str">
        <f>IFERROR(Z863-W863,"")</f>
        <v/>
      </c>
      <c r="AM863">
        <f>IFERROR(R863-J863,"")</f>
        <v>20</v>
      </c>
      <c r="AN863">
        <f>IFERROR(V863-O863,"")</f>
        <v>1</v>
      </c>
      <c r="AO863">
        <f>IFERROR(J863-I863,"")</f>
        <v>3</v>
      </c>
      <c r="AP863">
        <f>IFERROR(AC863-X863,"")</f>
        <v>0</v>
      </c>
      <c r="AQ863" t="str">
        <f>IFERROR(AA863-W863,"")</f>
        <v/>
      </c>
    </row>
    <row r="864" spans="1:43" x14ac:dyDescent="0.35">
      <c r="A864">
        <v>584</v>
      </c>
      <c r="B864" t="s">
        <v>2722</v>
      </c>
      <c r="C864" t="s">
        <v>2260</v>
      </c>
      <c r="D864" t="str">
        <f t="shared" si="287"/>
        <v>M and E</v>
      </c>
      <c r="E864" t="s">
        <v>2550</v>
      </c>
      <c r="F864" t="s">
        <v>695</v>
      </c>
      <c r="G864" t="s">
        <v>2551</v>
      </c>
      <c r="H864" t="s">
        <v>697</v>
      </c>
      <c r="I864" s="32">
        <v>44891.41333333333</v>
      </c>
      <c r="J864" s="32">
        <v>44894.41333333333</v>
      </c>
      <c r="K864" s="32">
        <v>44896.41333333333</v>
      </c>
      <c r="L864" s="8">
        <f t="shared" si="288"/>
        <v>5</v>
      </c>
      <c r="M864" s="7">
        <v>44907.41333333333</v>
      </c>
      <c r="N864" t="s">
        <v>49</v>
      </c>
      <c r="O864" s="34">
        <v>44911.41333333333</v>
      </c>
      <c r="P864" t="s">
        <v>101</v>
      </c>
      <c r="R864" s="32">
        <v>44919.41333333333</v>
      </c>
      <c r="S864" t="s">
        <v>101</v>
      </c>
      <c r="T864" s="34">
        <v>44912.41333333333</v>
      </c>
      <c r="U864" s="34">
        <v>44916.41333333333</v>
      </c>
      <c r="V864" s="32">
        <v>44915.41333333333</v>
      </c>
      <c r="W864" s="32">
        <v>44922.41333333333</v>
      </c>
      <c r="X864">
        <v>1</v>
      </c>
      <c r="Y864" s="34">
        <v>44924.41333333333</v>
      </c>
      <c r="Z864" s="34">
        <v>44926.41333333333</v>
      </c>
      <c r="AA864" s="34">
        <v>44929.41333333333</v>
      </c>
      <c r="AB864" s="36" t="s">
        <v>7476</v>
      </c>
      <c r="AC864" s="10">
        <v>44939.41333333333</v>
      </c>
      <c r="AD864" t="s">
        <v>2723</v>
      </c>
      <c r="AE864" t="s">
        <v>2724</v>
      </c>
      <c r="AF864" s="16">
        <v>44785</v>
      </c>
      <c r="AG864" t="s">
        <v>64</v>
      </c>
      <c r="AH864">
        <v>6</v>
      </c>
      <c r="AI864" s="8">
        <f>IFERROR(R864-AF864,"")</f>
        <v>134.41333333333023</v>
      </c>
      <c r="AJ864" s="8">
        <f>IFERROR(O864-AF864,"")</f>
        <v>126.41333333333023</v>
      </c>
      <c r="AK864" s="38">
        <f t="shared" si="289"/>
        <v>45095.41333333333</v>
      </c>
      <c r="AL864">
        <f>IFERROR(Z864-W864,"")</f>
        <v>4</v>
      </c>
      <c r="AM864">
        <f>IFERROR(R864-J864,"")</f>
        <v>25</v>
      </c>
      <c r="AN864">
        <f>IFERROR(V864-O864,"")</f>
        <v>4</v>
      </c>
      <c r="AO864">
        <f>IFERROR(J864-I864,"")</f>
        <v>3</v>
      </c>
      <c r="AP864">
        <f>IFERROR(AC864-X864,"")</f>
        <v>44938.41333333333</v>
      </c>
      <c r="AQ864">
        <f>IFERROR(AA864-W864,"")</f>
        <v>7</v>
      </c>
    </row>
    <row r="865" spans="1:43" x14ac:dyDescent="0.35">
      <c r="A865">
        <v>581</v>
      </c>
      <c r="B865" t="s">
        <v>2725</v>
      </c>
      <c r="C865" t="s">
        <v>2260</v>
      </c>
      <c r="D865" t="str">
        <f t="shared" si="287"/>
        <v>M and E</v>
      </c>
      <c r="E865" t="s">
        <v>2550</v>
      </c>
      <c r="F865" t="s">
        <v>695</v>
      </c>
      <c r="G865" t="s">
        <v>2551</v>
      </c>
      <c r="H865" t="s">
        <v>697</v>
      </c>
      <c r="I865" s="32">
        <v>44886.41333333333</v>
      </c>
      <c r="J865" s="32">
        <v>44890.41333333333</v>
      </c>
      <c r="K865" s="32">
        <v>44896.41333333333</v>
      </c>
      <c r="L865" s="8">
        <f t="shared" si="288"/>
        <v>10</v>
      </c>
      <c r="M865" s="7">
        <v>44916.41333333333</v>
      </c>
      <c r="N865" t="s">
        <v>49</v>
      </c>
      <c r="O865" s="34">
        <v>44913.41333333333</v>
      </c>
      <c r="P865" t="s">
        <v>50</v>
      </c>
      <c r="Q865" t="s">
        <v>84</v>
      </c>
      <c r="R865" s="32" t="s">
        <v>7472</v>
      </c>
      <c r="S865" t="s">
        <v>7476</v>
      </c>
      <c r="T865" s="34" t="s">
        <v>7476</v>
      </c>
      <c r="U865" s="34" t="s">
        <v>7476</v>
      </c>
      <c r="V865" s="32">
        <v>44917.41333333333</v>
      </c>
      <c r="W865" s="32" t="s">
        <v>7476</v>
      </c>
      <c r="X865">
        <v>0</v>
      </c>
      <c r="Y865" s="34" t="s">
        <v>7476</v>
      </c>
      <c r="Z865" s="34" t="s">
        <v>7476</v>
      </c>
      <c r="AA865" s="34" t="s">
        <v>7476</v>
      </c>
      <c r="AB865" s="36" t="s">
        <v>95</v>
      </c>
      <c r="AD865" t="s">
        <v>2726</v>
      </c>
      <c r="AE865" t="s">
        <v>2727</v>
      </c>
      <c r="AF865" s="16">
        <v>44895</v>
      </c>
      <c r="AG865" t="s">
        <v>68</v>
      </c>
      <c r="AH865">
        <v>3</v>
      </c>
      <c r="AI865" s="8" t="str">
        <f>IFERROR(R865-AF865,"")</f>
        <v/>
      </c>
      <c r="AJ865" s="8">
        <f>IFERROR(O865-AF865,"")</f>
        <v>18.413333333330229</v>
      </c>
      <c r="AK865" s="38">
        <f t="shared" si="289"/>
        <v>45007.41333333333</v>
      </c>
      <c r="AL865" t="str">
        <f>IFERROR(Z865-W865,"")</f>
        <v/>
      </c>
      <c r="AM865" t="str">
        <f>IFERROR(R865-J865,"")</f>
        <v/>
      </c>
      <c r="AN865">
        <f>IFERROR(V865-O865,"")</f>
        <v>4</v>
      </c>
      <c r="AO865">
        <f>IFERROR(J865-I865,"")</f>
        <v>4</v>
      </c>
      <c r="AP865">
        <f>IFERROR(AC865-X865,"")</f>
        <v>0</v>
      </c>
      <c r="AQ865" t="str">
        <f>IFERROR(AA865-W865,"")</f>
        <v/>
      </c>
    </row>
    <row r="866" spans="1:43" x14ac:dyDescent="0.35">
      <c r="A866">
        <v>555</v>
      </c>
      <c r="B866" t="s">
        <v>2728</v>
      </c>
      <c r="C866" t="s">
        <v>2287</v>
      </c>
      <c r="D866" t="str">
        <f t="shared" si="287"/>
        <v>M and E</v>
      </c>
      <c r="E866" t="s">
        <v>2550</v>
      </c>
      <c r="F866" t="s">
        <v>695</v>
      </c>
      <c r="G866" t="s">
        <v>2551</v>
      </c>
      <c r="H866" t="s">
        <v>697</v>
      </c>
      <c r="I866" s="32">
        <v>45084.01053240741</v>
      </c>
      <c r="J866" s="32">
        <v>45088.01053240741</v>
      </c>
      <c r="K866" s="32">
        <v>45091.01053240741</v>
      </c>
      <c r="L866" s="8">
        <f t="shared" si="288"/>
        <v>7</v>
      </c>
      <c r="M866" s="7">
        <v>45107.01053240741</v>
      </c>
      <c r="N866" t="s">
        <v>49</v>
      </c>
      <c r="O866" s="34">
        <v>45102.01053240741</v>
      </c>
      <c r="P866" t="s">
        <v>60</v>
      </c>
      <c r="R866" s="32">
        <v>45106.01053240741</v>
      </c>
      <c r="S866" t="s">
        <v>61</v>
      </c>
      <c r="T866" s="34" t="s">
        <v>7476</v>
      </c>
      <c r="U866" s="34" t="s">
        <v>7476</v>
      </c>
      <c r="V866" s="32">
        <v>45103.01053240741</v>
      </c>
      <c r="W866" s="32" t="s">
        <v>7476</v>
      </c>
      <c r="X866">
        <v>0</v>
      </c>
      <c r="Y866" s="34" t="s">
        <v>7476</v>
      </c>
      <c r="Z866" s="34" t="s">
        <v>7476</v>
      </c>
      <c r="AA866" s="34" t="s">
        <v>7476</v>
      </c>
      <c r="AB866" s="36" t="s">
        <v>7476</v>
      </c>
      <c r="AD866" t="s">
        <v>2729</v>
      </c>
      <c r="AE866" t="s">
        <v>2730</v>
      </c>
      <c r="AF866" s="16">
        <v>45266</v>
      </c>
      <c r="AG866" t="s">
        <v>68</v>
      </c>
      <c r="AH866">
        <v>6</v>
      </c>
      <c r="AI866" s="8">
        <f>IFERROR(R866-AF866,"")</f>
        <v>-159.98946759258979</v>
      </c>
      <c r="AJ866" s="8">
        <f>IFERROR(O866-AF866,"")</f>
        <v>-163.98946759258979</v>
      </c>
      <c r="AK866" s="38">
        <f t="shared" si="289"/>
        <v>45283.01053240741</v>
      </c>
      <c r="AL866" t="str">
        <f>IFERROR(Z866-W866,"")</f>
        <v/>
      </c>
      <c r="AM866">
        <f>IFERROR(R866-J866,"")</f>
        <v>18</v>
      </c>
      <c r="AN866">
        <f>IFERROR(V866-O866,"")</f>
        <v>1</v>
      </c>
      <c r="AO866">
        <f>IFERROR(J866-I866,"")</f>
        <v>4</v>
      </c>
      <c r="AP866">
        <f>IFERROR(AC866-X866,"")</f>
        <v>0</v>
      </c>
      <c r="AQ866" t="str">
        <f>IFERROR(AA866-W866,"")</f>
        <v/>
      </c>
    </row>
    <row r="867" spans="1:43" x14ac:dyDescent="0.35">
      <c r="A867">
        <v>542</v>
      </c>
      <c r="B867" t="s">
        <v>2731</v>
      </c>
      <c r="C867" t="s">
        <v>2260</v>
      </c>
      <c r="D867" t="str">
        <f t="shared" si="287"/>
        <v>M and E</v>
      </c>
      <c r="E867" t="s">
        <v>2550</v>
      </c>
      <c r="F867" t="s">
        <v>695</v>
      </c>
      <c r="G867" t="s">
        <v>2551</v>
      </c>
      <c r="H867" t="s">
        <v>697</v>
      </c>
      <c r="I867" s="32" t="s">
        <v>7471</v>
      </c>
      <c r="J867" s="32">
        <v>44963.651087962957</v>
      </c>
      <c r="K867" s="32">
        <v>44964.651087962957</v>
      </c>
      <c r="L867" s="8" t="str">
        <f t="shared" si="288"/>
        <v/>
      </c>
      <c r="M867" s="7">
        <v>44977.651087962957</v>
      </c>
      <c r="N867" t="s">
        <v>72</v>
      </c>
      <c r="O867" s="34" t="s">
        <v>7474</v>
      </c>
      <c r="R867" s="32" t="s">
        <v>7472</v>
      </c>
      <c r="S867" t="s">
        <v>7476</v>
      </c>
      <c r="T867" s="34" t="s">
        <v>7476</v>
      </c>
      <c r="U867" s="34" t="s">
        <v>7476</v>
      </c>
      <c r="V867" s="32" t="s">
        <v>7476</v>
      </c>
      <c r="W867" s="32" t="s">
        <v>7476</v>
      </c>
      <c r="X867">
        <v>0</v>
      </c>
      <c r="Y867" s="34" t="s">
        <v>7476</v>
      </c>
      <c r="Z867" s="34" t="s">
        <v>7476</v>
      </c>
      <c r="AA867" s="34" t="s">
        <v>7476</v>
      </c>
      <c r="AB867" s="36" t="s">
        <v>7476</v>
      </c>
      <c r="AD867" t="s">
        <v>2732</v>
      </c>
      <c r="AE867" t="s">
        <v>2733</v>
      </c>
      <c r="AG867" t="s">
        <v>75</v>
      </c>
      <c r="AH867">
        <v>6</v>
      </c>
      <c r="AK867" s="38" t="str">
        <f t="shared" si="289"/>
        <v/>
      </c>
    </row>
    <row r="868" spans="1:43" x14ac:dyDescent="0.35">
      <c r="A868">
        <v>529</v>
      </c>
      <c r="B868" t="s">
        <v>2734</v>
      </c>
      <c r="C868" t="s">
        <v>2260</v>
      </c>
      <c r="D868" t="str">
        <f t="shared" si="287"/>
        <v>M and E</v>
      </c>
      <c r="E868" t="s">
        <v>2550</v>
      </c>
      <c r="F868" t="s">
        <v>695</v>
      </c>
      <c r="G868" t="s">
        <v>2551</v>
      </c>
      <c r="H868" t="s">
        <v>697</v>
      </c>
      <c r="I868" s="32">
        <v>44604.83390046296</v>
      </c>
      <c r="J868" s="32" t="s">
        <v>7471</v>
      </c>
      <c r="K868" s="32">
        <v>44611.83390046296</v>
      </c>
      <c r="L868" s="8">
        <f t="shared" si="288"/>
        <v>7</v>
      </c>
      <c r="M868" s="7">
        <v>44627.83390046296</v>
      </c>
      <c r="N868" t="s">
        <v>49</v>
      </c>
      <c r="O868" s="34">
        <v>44614.83390046296</v>
      </c>
      <c r="P868" t="s">
        <v>50</v>
      </c>
      <c r="Q868" t="s">
        <v>51</v>
      </c>
      <c r="R868" s="32" t="s">
        <v>7472</v>
      </c>
      <c r="S868" t="s">
        <v>7476</v>
      </c>
      <c r="T868" s="34" t="s">
        <v>7476</v>
      </c>
      <c r="U868" s="34" t="s">
        <v>7476</v>
      </c>
      <c r="V868" s="32">
        <v>44618.83390046296</v>
      </c>
      <c r="W868" s="32" t="s">
        <v>7476</v>
      </c>
      <c r="X868">
        <v>0</v>
      </c>
      <c r="Y868" s="34" t="s">
        <v>7476</v>
      </c>
      <c r="Z868" s="34" t="s">
        <v>7476</v>
      </c>
      <c r="AA868" s="34" t="s">
        <v>7476</v>
      </c>
      <c r="AB868" s="36" t="s">
        <v>52</v>
      </c>
      <c r="AD868" t="s">
        <v>2735</v>
      </c>
      <c r="AE868" t="s">
        <v>2736</v>
      </c>
      <c r="AF868" s="16">
        <v>44595</v>
      </c>
      <c r="AG868" t="s">
        <v>68</v>
      </c>
      <c r="AH868">
        <v>6</v>
      </c>
      <c r="AK868" s="38">
        <f t="shared" si="289"/>
        <v>44798.83390046296</v>
      </c>
    </row>
    <row r="869" spans="1:43" x14ac:dyDescent="0.35">
      <c r="A869">
        <v>526</v>
      </c>
      <c r="B869" t="s">
        <v>2737</v>
      </c>
      <c r="C869" t="s">
        <v>2325</v>
      </c>
      <c r="D869" t="str">
        <f t="shared" si="287"/>
        <v>M and E</v>
      </c>
      <c r="E869" t="s">
        <v>2550</v>
      </c>
      <c r="F869" t="s">
        <v>695</v>
      </c>
      <c r="G869" t="s">
        <v>2551</v>
      </c>
      <c r="H869" t="s">
        <v>697</v>
      </c>
      <c r="I869" s="32" t="s">
        <v>7471</v>
      </c>
      <c r="J869" s="32">
        <v>44605.83390046296</v>
      </c>
      <c r="K869" s="32">
        <v>44611.83390046296</v>
      </c>
      <c r="L869" s="8" t="str">
        <f t="shared" si="288"/>
        <v/>
      </c>
      <c r="M869" s="7">
        <v>44639.83390046296</v>
      </c>
      <c r="N869" t="s">
        <v>72</v>
      </c>
      <c r="O869" s="34" t="s">
        <v>7474</v>
      </c>
      <c r="R869" s="32" t="s">
        <v>7472</v>
      </c>
      <c r="S869" t="s">
        <v>7476</v>
      </c>
      <c r="T869" s="34" t="s">
        <v>7476</v>
      </c>
      <c r="U869" s="34" t="s">
        <v>7476</v>
      </c>
      <c r="V869" s="32" t="s">
        <v>7476</v>
      </c>
      <c r="W869" s="32" t="s">
        <v>7476</v>
      </c>
      <c r="X869">
        <v>0</v>
      </c>
      <c r="Y869" s="34" t="s">
        <v>7476</v>
      </c>
      <c r="Z869" s="34" t="s">
        <v>7476</v>
      </c>
      <c r="AA869" s="34" t="s">
        <v>7476</v>
      </c>
      <c r="AB869" s="36" t="s">
        <v>7476</v>
      </c>
      <c r="AD869" t="s">
        <v>2738</v>
      </c>
      <c r="AE869" t="s">
        <v>2739</v>
      </c>
      <c r="AG869" t="s">
        <v>55</v>
      </c>
      <c r="AH869">
        <v>3</v>
      </c>
      <c r="AK869" s="38" t="str">
        <f t="shared" si="289"/>
        <v/>
      </c>
    </row>
    <row r="870" spans="1:43" x14ac:dyDescent="0.35">
      <c r="A870">
        <v>2908</v>
      </c>
      <c r="B870" t="s">
        <v>2740</v>
      </c>
      <c r="C870" t="s">
        <v>2260</v>
      </c>
      <c r="D870" t="str">
        <f t="shared" si="287"/>
        <v>M and E</v>
      </c>
      <c r="E870" t="s">
        <v>2741</v>
      </c>
      <c r="F870" t="s">
        <v>46</v>
      </c>
      <c r="G870" t="s">
        <v>2477</v>
      </c>
      <c r="H870" t="s">
        <v>48</v>
      </c>
      <c r="I870" s="32" t="s">
        <v>7471</v>
      </c>
      <c r="J870" s="32">
        <v>44617.299814814818</v>
      </c>
      <c r="K870" s="32">
        <v>44622.299814814818</v>
      </c>
      <c r="L870" s="8" t="str">
        <f t="shared" si="288"/>
        <v/>
      </c>
      <c r="M870" s="7">
        <v>44667.299814814818</v>
      </c>
      <c r="N870" t="s">
        <v>49</v>
      </c>
      <c r="O870" s="34">
        <v>44637.299814814818</v>
      </c>
      <c r="P870" t="s">
        <v>101</v>
      </c>
      <c r="R870" s="32">
        <v>44642.299814814818</v>
      </c>
      <c r="S870" t="s">
        <v>101</v>
      </c>
      <c r="T870" s="34">
        <v>44638.299814814818</v>
      </c>
      <c r="U870" s="34">
        <v>44640.299814814818</v>
      </c>
      <c r="V870" s="32">
        <v>44641.299814814818</v>
      </c>
      <c r="W870" s="32">
        <v>44647.299814814818</v>
      </c>
      <c r="X870">
        <v>1</v>
      </c>
      <c r="Y870" s="34">
        <v>44649.299814814818</v>
      </c>
      <c r="Z870" s="34">
        <v>44651.299814814818</v>
      </c>
      <c r="AA870" s="34">
        <v>44652.299814814818</v>
      </c>
      <c r="AB870" s="36" t="s">
        <v>7476</v>
      </c>
      <c r="AC870" s="10">
        <v>44667.299814814818</v>
      </c>
      <c r="AD870" t="s">
        <v>2742</v>
      </c>
      <c r="AE870" t="s">
        <v>2743</v>
      </c>
      <c r="AF870" s="16">
        <v>44624</v>
      </c>
      <c r="AG870" t="s">
        <v>93</v>
      </c>
      <c r="AH870">
        <v>3</v>
      </c>
      <c r="AK870" s="38">
        <f t="shared" si="289"/>
        <v>44731.299814814818</v>
      </c>
    </row>
    <row r="871" spans="1:43" x14ac:dyDescent="0.35">
      <c r="A871">
        <v>2906</v>
      </c>
      <c r="B871" t="s">
        <v>2744</v>
      </c>
      <c r="C871" t="s">
        <v>2260</v>
      </c>
      <c r="D871" t="str">
        <f t="shared" si="287"/>
        <v>M and E</v>
      </c>
      <c r="E871" t="s">
        <v>2741</v>
      </c>
      <c r="F871" t="s">
        <v>46</v>
      </c>
      <c r="G871" t="s">
        <v>2477</v>
      </c>
      <c r="H871" t="s">
        <v>48</v>
      </c>
      <c r="I871" s="32">
        <v>44615.299814814818</v>
      </c>
      <c r="J871" s="32">
        <v>44618.299814814818</v>
      </c>
      <c r="K871" s="32">
        <v>44622.299814814818</v>
      </c>
      <c r="L871" s="8">
        <f t="shared" si="288"/>
        <v>7</v>
      </c>
      <c r="M871" s="7">
        <v>44667.299814814818</v>
      </c>
      <c r="N871" t="s">
        <v>49</v>
      </c>
      <c r="O871" s="34">
        <v>44629.299814814818</v>
      </c>
      <c r="P871" t="s">
        <v>60</v>
      </c>
      <c r="R871" s="32">
        <v>44634.299814814818</v>
      </c>
      <c r="S871" t="s">
        <v>61</v>
      </c>
      <c r="T871" s="34" t="s">
        <v>7476</v>
      </c>
      <c r="U871" s="34" t="s">
        <v>7476</v>
      </c>
      <c r="V871" s="32">
        <v>44632.299814814818</v>
      </c>
      <c r="W871" s="32" t="s">
        <v>7476</v>
      </c>
      <c r="X871">
        <v>0</v>
      </c>
      <c r="Y871" s="34" t="s">
        <v>7476</v>
      </c>
      <c r="Z871" s="34" t="s">
        <v>7476</v>
      </c>
      <c r="AA871" s="34" t="s">
        <v>7476</v>
      </c>
      <c r="AB871" s="36" t="s">
        <v>7476</v>
      </c>
      <c r="AD871" t="s">
        <v>2745</v>
      </c>
      <c r="AE871" t="s">
        <v>2746</v>
      </c>
      <c r="AF871" s="16">
        <v>44620</v>
      </c>
      <c r="AG871" t="s">
        <v>68</v>
      </c>
      <c r="AH871">
        <v>3</v>
      </c>
      <c r="AI871" s="8">
        <f>IFERROR(R871-AF871,"")</f>
        <v>14.299814814818092</v>
      </c>
      <c r="AJ871" s="8">
        <f>IFERROR(O871-AF871,"")</f>
        <v>9.2998148148180917</v>
      </c>
      <c r="AK871" s="38">
        <f t="shared" si="289"/>
        <v>44722.299814814818</v>
      </c>
      <c r="AL871" t="str">
        <f>IFERROR(Z871-W871,"")</f>
        <v/>
      </c>
      <c r="AM871">
        <f>IFERROR(R871-J871,"")</f>
        <v>16</v>
      </c>
      <c r="AN871">
        <f>IFERROR(V871-O871,"")</f>
        <v>3</v>
      </c>
      <c r="AO871">
        <f>IFERROR(J871-I871,"")</f>
        <v>3</v>
      </c>
      <c r="AP871">
        <f>IFERROR(AC871-X871,"")</f>
        <v>0</v>
      </c>
      <c r="AQ871" t="str">
        <f>IFERROR(AA871-W871,"")</f>
        <v/>
      </c>
    </row>
    <row r="872" spans="1:43" x14ac:dyDescent="0.35">
      <c r="A872">
        <v>2904</v>
      </c>
      <c r="B872" t="s">
        <v>2747</v>
      </c>
      <c r="C872" t="s">
        <v>2287</v>
      </c>
      <c r="D872" t="str">
        <f t="shared" si="287"/>
        <v>M and E</v>
      </c>
      <c r="E872" t="s">
        <v>2741</v>
      </c>
      <c r="F872" t="s">
        <v>46</v>
      </c>
      <c r="G872" t="s">
        <v>2477</v>
      </c>
      <c r="H872" t="s">
        <v>48</v>
      </c>
      <c r="I872" s="32">
        <v>44620.299814814818</v>
      </c>
      <c r="J872" s="32">
        <v>44621.299814814818</v>
      </c>
      <c r="K872" s="32" t="s">
        <v>7473</v>
      </c>
      <c r="L872" s="8" t="str">
        <f t="shared" si="288"/>
        <v/>
      </c>
      <c r="M872" s="7">
        <v>44667.299814814818</v>
      </c>
      <c r="N872" t="s">
        <v>72</v>
      </c>
      <c r="O872" s="34" t="s">
        <v>7474</v>
      </c>
      <c r="R872" s="32" t="s">
        <v>7472</v>
      </c>
      <c r="S872" t="s">
        <v>7476</v>
      </c>
      <c r="T872" s="34" t="s">
        <v>7476</v>
      </c>
      <c r="U872" s="34" t="s">
        <v>7476</v>
      </c>
      <c r="V872" s="32" t="s">
        <v>7476</v>
      </c>
      <c r="W872" s="32" t="s">
        <v>7476</v>
      </c>
      <c r="X872">
        <v>0</v>
      </c>
      <c r="Y872" s="34" t="s">
        <v>7476</v>
      </c>
      <c r="Z872" s="34" t="s">
        <v>7476</v>
      </c>
      <c r="AA872" s="34" t="s">
        <v>7476</v>
      </c>
      <c r="AB872" s="36" t="s">
        <v>7476</v>
      </c>
      <c r="AD872" t="s">
        <v>2748</v>
      </c>
      <c r="AE872" t="s">
        <v>2749</v>
      </c>
      <c r="AG872" t="s">
        <v>93</v>
      </c>
      <c r="AH872">
        <v>6</v>
      </c>
      <c r="AK872" s="38" t="str">
        <f t="shared" si="289"/>
        <v/>
      </c>
    </row>
    <row r="873" spans="1:43" x14ac:dyDescent="0.35">
      <c r="A873">
        <v>2812</v>
      </c>
      <c r="B873" t="s">
        <v>2750</v>
      </c>
      <c r="C873" t="s">
        <v>2260</v>
      </c>
      <c r="D873" t="str">
        <f t="shared" si="287"/>
        <v>M and E</v>
      </c>
      <c r="E873" t="s">
        <v>2741</v>
      </c>
      <c r="F873" t="s">
        <v>46</v>
      </c>
      <c r="G873" t="s">
        <v>2477</v>
      </c>
      <c r="H873" t="s">
        <v>48</v>
      </c>
      <c r="I873" s="32" t="s">
        <v>7471</v>
      </c>
      <c r="J873" s="32">
        <v>44894.862592592603</v>
      </c>
      <c r="K873" s="32">
        <v>44898.862592592603</v>
      </c>
      <c r="L873" s="8" t="str">
        <f t="shared" si="288"/>
        <v/>
      </c>
      <c r="M873" s="7">
        <v>44909.862592592603</v>
      </c>
      <c r="N873" t="s">
        <v>49</v>
      </c>
      <c r="O873" s="34">
        <v>44905.862592592603</v>
      </c>
      <c r="P873" t="s">
        <v>50</v>
      </c>
      <c r="Q873" t="s">
        <v>198</v>
      </c>
      <c r="R873" s="32" t="s">
        <v>7472</v>
      </c>
      <c r="S873" t="s">
        <v>7476</v>
      </c>
      <c r="T873" s="34" t="s">
        <v>7476</v>
      </c>
      <c r="U873" s="34" t="s">
        <v>7476</v>
      </c>
      <c r="V873" s="32" t="s">
        <v>7476</v>
      </c>
      <c r="W873" s="32" t="s">
        <v>7476</v>
      </c>
      <c r="X873">
        <v>0</v>
      </c>
      <c r="Y873" s="34" t="s">
        <v>7476</v>
      </c>
      <c r="Z873" s="34" t="s">
        <v>7476</v>
      </c>
      <c r="AA873" s="34" t="s">
        <v>7476</v>
      </c>
      <c r="AB873" s="36" t="s">
        <v>95</v>
      </c>
      <c r="AD873" t="s">
        <v>2751</v>
      </c>
      <c r="AE873" t="s">
        <v>2752</v>
      </c>
      <c r="AF873" s="16">
        <v>44891</v>
      </c>
      <c r="AG873" t="s">
        <v>93</v>
      </c>
      <c r="AH873">
        <v>3</v>
      </c>
      <c r="AK873" s="38" t="str">
        <f t="shared" si="289"/>
        <v/>
      </c>
    </row>
    <row r="874" spans="1:43" x14ac:dyDescent="0.35">
      <c r="A874">
        <v>2720</v>
      </c>
      <c r="B874" t="s">
        <v>2753</v>
      </c>
      <c r="C874" t="s">
        <v>2260</v>
      </c>
      <c r="D874" t="str">
        <f t="shared" si="287"/>
        <v>M and E</v>
      </c>
      <c r="E874" t="s">
        <v>2741</v>
      </c>
      <c r="F874" t="s">
        <v>46</v>
      </c>
      <c r="G874" t="s">
        <v>2477</v>
      </c>
      <c r="H874" t="s">
        <v>48</v>
      </c>
      <c r="I874" s="32">
        <v>44952.0546412037</v>
      </c>
      <c r="J874" s="32" t="s">
        <v>7471</v>
      </c>
      <c r="K874" s="32">
        <v>44958.0546412037</v>
      </c>
      <c r="L874" s="8">
        <f t="shared" si="288"/>
        <v>6</v>
      </c>
      <c r="M874" s="7">
        <v>44988.0546412037</v>
      </c>
      <c r="N874" t="s">
        <v>49</v>
      </c>
      <c r="O874" s="34">
        <v>44973.0546412037</v>
      </c>
      <c r="P874" t="s">
        <v>60</v>
      </c>
      <c r="R874" s="32">
        <v>44980.0546412037</v>
      </c>
      <c r="S874" t="s">
        <v>61</v>
      </c>
      <c r="T874" s="34" t="s">
        <v>7476</v>
      </c>
      <c r="U874" s="34" t="s">
        <v>7476</v>
      </c>
      <c r="V874" s="32">
        <v>44977.0546412037</v>
      </c>
      <c r="W874" s="32" t="s">
        <v>7476</v>
      </c>
      <c r="X874">
        <v>0</v>
      </c>
      <c r="Y874" s="34" t="s">
        <v>7476</v>
      </c>
      <c r="Z874" s="34" t="s">
        <v>7476</v>
      </c>
      <c r="AA874" s="34" t="s">
        <v>7476</v>
      </c>
      <c r="AB874" s="36" t="s">
        <v>7476</v>
      </c>
      <c r="AD874" t="s">
        <v>2754</v>
      </c>
      <c r="AE874" t="s">
        <v>2755</v>
      </c>
      <c r="AF874" s="16">
        <v>44964</v>
      </c>
      <c r="AG874" t="s">
        <v>64</v>
      </c>
      <c r="AH874">
        <v>6</v>
      </c>
      <c r="AK874" s="38">
        <f t="shared" si="289"/>
        <v>45157.0546412037</v>
      </c>
    </row>
    <row r="875" spans="1:43" x14ac:dyDescent="0.35">
      <c r="A875">
        <v>2719</v>
      </c>
      <c r="B875" t="s">
        <v>2756</v>
      </c>
      <c r="C875" t="s">
        <v>2325</v>
      </c>
      <c r="D875" t="str">
        <f t="shared" si="287"/>
        <v>M and E</v>
      </c>
      <c r="E875" t="s">
        <v>2741</v>
      </c>
      <c r="F875" t="s">
        <v>46</v>
      </c>
      <c r="G875" t="s">
        <v>2477</v>
      </c>
      <c r="H875" t="s">
        <v>48</v>
      </c>
      <c r="I875" s="32">
        <v>44952.0546412037</v>
      </c>
      <c r="J875" s="32">
        <v>44956.0546412037</v>
      </c>
      <c r="K875" s="32">
        <v>44958.0546412037</v>
      </c>
      <c r="L875" s="8">
        <f t="shared" si="288"/>
        <v>6</v>
      </c>
      <c r="M875" s="7">
        <v>44980.0546412037</v>
      </c>
      <c r="N875" t="s">
        <v>49</v>
      </c>
      <c r="O875" s="34">
        <v>44962.0546412037</v>
      </c>
      <c r="P875" t="s">
        <v>60</v>
      </c>
      <c r="R875" s="32">
        <v>44964.0546412037</v>
      </c>
      <c r="S875" t="s">
        <v>61</v>
      </c>
      <c r="T875" s="34" t="s">
        <v>7476</v>
      </c>
      <c r="U875" s="34" t="s">
        <v>7476</v>
      </c>
      <c r="V875" s="32">
        <v>44963.0546412037</v>
      </c>
      <c r="W875" s="32" t="s">
        <v>7476</v>
      </c>
      <c r="X875">
        <v>0</v>
      </c>
      <c r="Y875" s="34" t="s">
        <v>7476</v>
      </c>
      <c r="Z875" s="34" t="s">
        <v>7476</v>
      </c>
      <c r="AA875" s="34" t="s">
        <v>7476</v>
      </c>
      <c r="AB875" s="36" t="s">
        <v>7476</v>
      </c>
      <c r="AD875" t="s">
        <v>2757</v>
      </c>
      <c r="AE875" t="s">
        <v>2758</v>
      </c>
      <c r="AF875" s="16">
        <v>44944</v>
      </c>
      <c r="AG875" t="s">
        <v>68</v>
      </c>
      <c r="AH875">
        <v>6</v>
      </c>
      <c r="AI875" s="8">
        <f>IFERROR(R875-AF875,"")</f>
        <v>20.054641203700157</v>
      </c>
      <c r="AJ875" s="8">
        <f>IFERROR(O875-AF875,"")</f>
        <v>18.054641203700157</v>
      </c>
      <c r="AK875" s="38">
        <f t="shared" si="289"/>
        <v>45143.0546412037</v>
      </c>
      <c r="AL875" t="str">
        <f>IFERROR(Z875-W875,"")</f>
        <v/>
      </c>
      <c r="AM875">
        <f>IFERROR(R875-J875,"")</f>
        <v>8</v>
      </c>
      <c r="AN875">
        <f>IFERROR(V875-O875,"")</f>
        <v>1</v>
      </c>
      <c r="AO875">
        <f>IFERROR(J875-I875,"")</f>
        <v>4</v>
      </c>
      <c r="AP875">
        <f>IFERROR(AC875-X875,"")</f>
        <v>0</v>
      </c>
      <c r="AQ875" t="str">
        <f>IFERROR(AA875-W875,"")</f>
        <v/>
      </c>
    </row>
    <row r="876" spans="1:43" x14ac:dyDescent="0.35">
      <c r="A876">
        <v>2693</v>
      </c>
      <c r="B876" t="s">
        <v>2759</v>
      </c>
      <c r="C876" t="s">
        <v>2260</v>
      </c>
      <c r="D876" t="str">
        <f t="shared" si="287"/>
        <v>M and E</v>
      </c>
      <c r="E876" t="s">
        <v>2741</v>
      </c>
      <c r="F876" t="s">
        <v>46</v>
      </c>
      <c r="G876" t="s">
        <v>2477</v>
      </c>
      <c r="H876" t="s">
        <v>48</v>
      </c>
      <c r="I876" s="32">
        <v>45017.99291666667</v>
      </c>
      <c r="J876" s="32">
        <v>45019.99291666667</v>
      </c>
      <c r="K876" s="32">
        <v>45023.99291666667</v>
      </c>
      <c r="L876" s="8">
        <f t="shared" si="288"/>
        <v>6</v>
      </c>
      <c r="M876" s="7">
        <v>45049.99291666667</v>
      </c>
      <c r="N876" t="s">
        <v>49</v>
      </c>
      <c r="O876" s="34">
        <v>45035.99291666667</v>
      </c>
      <c r="P876" t="s">
        <v>392</v>
      </c>
      <c r="R876" s="32">
        <v>45039.99291666667</v>
      </c>
      <c r="S876" t="s">
        <v>392</v>
      </c>
      <c r="T876" s="34" t="s">
        <v>7476</v>
      </c>
      <c r="U876" s="34" t="s">
        <v>7476</v>
      </c>
      <c r="V876" s="32">
        <v>45036.99291666667</v>
      </c>
      <c r="W876" s="32" t="s">
        <v>7476</v>
      </c>
      <c r="X876">
        <v>0</v>
      </c>
      <c r="Y876" s="34" t="s">
        <v>7476</v>
      </c>
      <c r="Z876" s="34" t="s">
        <v>7476</v>
      </c>
      <c r="AA876" s="34" t="s">
        <v>7476</v>
      </c>
      <c r="AB876" s="36" t="s">
        <v>7476</v>
      </c>
      <c r="AD876" t="s">
        <v>2760</v>
      </c>
      <c r="AE876" t="s">
        <v>2761</v>
      </c>
      <c r="AF876" s="16">
        <v>45203</v>
      </c>
      <c r="AG876" t="s">
        <v>98</v>
      </c>
      <c r="AH876">
        <v>6</v>
      </c>
      <c r="AI876" s="8">
        <f>IFERROR(R876-AF876,"")</f>
        <v>-163.00708333333023</v>
      </c>
      <c r="AJ876" s="8">
        <f>IFERROR(O876-AF876,"")</f>
        <v>-167.00708333333023</v>
      </c>
      <c r="AK876" s="38">
        <f t="shared" si="289"/>
        <v>45216.99291666667</v>
      </c>
      <c r="AL876" t="str">
        <f>IFERROR(Z876-W876,"")</f>
        <v/>
      </c>
      <c r="AM876">
        <f>IFERROR(R876-J876,"")</f>
        <v>20</v>
      </c>
      <c r="AN876">
        <f>IFERROR(V876-O876,"")</f>
        <v>1</v>
      </c>
      <c r="AO876">
        <f>IFERROR(J876-I876,"")</f>
        <v>2</v>
      </c>
      <c r="AP876">
        <f>IFERROR(AC876-X876,"")</f>
        <v>0</v>
      </c>
      <c r="AQ876" t="str">
        <f>IFERROR(AA876-W876,"")</f>
        <v/>
      </c>
    </row>
    <row r="877" spans="1:43" x14ac:dyDescent="0.35">
      <c r="A877">
        <v>2659</v>
      </c>
      <c r="B877" t="s">
        <v>2762</v>
      </c>
      <c r="C877" t="s">
        <v>2287</v>
      </c>
      <c r="D877" t="str">
        <f t="shared" si="287"/>
        <v>M and E</v>
      </c>
      <c r="E877" t="s">
        <v>2741</v>
      </c>
      <c r="F877" t="s">
        <v>46</v>
      </c>
      <c r="G877" t="s">
        <v>2477</v>
      </c>
      <c r="H877" t="s">
        <v>48</v>
      </c>
      <c r="I877" s="32">
        <v>44599.417025462957</v>
      </c>
      <c r="J877" s="32">
        <v>44600.417025462957</v>
      </c>
      <c r="K877" s="32">
        <v>44605.417025462957</v>
      </c>
      <c r="L877" s="8">
        <f t="shared" si="288"/>
        <v>6</v>
      </c>
      <c r="M877" s="7">
        <v>44624.417025462957</v>
      </c>
      <c r="N877" t="s">
        <v>49</v>
      </c>
      <c r="O877" s="34">
        <v>44618.417025462957</v>
      </c>
      <c r="P877" t="s">
        <v>60</v>
      </c>
      <c r="R877" s="32">
        <v>44624.417025462957</v>
      </c>
      <c r="S877" t="s">
        <v>61</v>
      </c>
      <c r="T877" s="34" t="s">
        <v>7476</v>
      </c>
      <c r="U877" s="34" t="s">
        <v>7476</v>
      </c>
      <c r="V877" s="32">
        <v>44622.417025462957</v>
      </c>
      <c r="W877" s="32" t="s">
        <v>7476</v>
      </c>
      <c r="X877">
        <v>0</v>
      </c>
      <c r="Y877" s="34" t="s">
        <v>7476</v>
      </c>
      <c r="Z877" s="34" t="s">
        <v>7476</v>
      </c>
      <c r="AA877" s="34" t="s">
        <v>7476</v>
      </c>
      <c r="AB877" s="36" t="s">
        <v>7476</v>
      </c>
      <c r="AD877" t="s">
        <v>2763</v>
      </c>
      <c r="AE877" t="s">
        <v>2764</v>
      </c>
      <c r="AF877" s="16">
        <v>44610</v>
      </c>
      <c r="AG877" t="s">
        <v>98</v>
      </c>
      <c r="AH877">
        <v>6</v>
      </c>
      <c r="AI877" s="8">
        <f>IFERROR(R877-AF877,"")</f>
        <v>14.417025462957099</v>
      </c>
      <c r="AJ877" s="8">
        <f>IFERROR(O877-AF877,"")</f>
        <v>8.4170254629570991</v>
      </c>
      <c r="AK877" s="38">
        <f t="shared" si="289"/>
        <v>44802.417025462957</v>
      </c>
      <c r="AL877" t="str">
        <f>IFERROR(Z877-W877,"")</f>
        <v/>
      </c>
      <c r="AM877">
        <f>IFERROR(R877-J877,"")</f>
        <v>24</v>
      </c>
      <c r="AN877">
        <f>IFERROR(V877-O877,"")</f>
        <v>4</v>
      </c>
      <c r="AO877">
        <f>IFERROR(J877-I877,"")</f>
        <v>1</v>
      </c>
      <c r="AP877">
        <f>IFERROR(AC877-X877,"")</f>
        <v>0</v>
      </c>
      <c r="AQ877" t="str">
        <f>IFERROR(AA877-W877,"")</f>
        <v/>
      </c>
    </row>
    <row r="878" spans="1:43" x14ac:dyDescent="0.35">
      <c r="A878">
        <v>2658</v>
      </c>
      <c r="B878" t="s">
        <v>2765</v>
      </c>
      <c r="C878" t="s">
        <v>2260</v>
      </c>
      <c r="D878" t="str">
        <f t="shared" si="287"/>
        <v>M and E</v>
      </c>
      <c r="E878" t="s">
        <v>2741</v>
      </c>
      <c r="F878" t="s">
        <v>46</v>
      </c>
      <c r="G878" t="s">
        <v>2477</v>
      </c>
      <c r="H878" t="s">
        <v>48</v>
      </c>
      <c r="I878" s="32">
        <v>44600.417025462957</v>
      </c>
      <c r="J878" s="32">
        <v>44602.417025462957</v>
      </c>
      <c r="K878" s="32">
        <v>44605.417025462957</v>
      </c>
      <c r="L878" s="8">
        <f t="shared" si="288"/>
        <v>5</v>
      </c>
      <c r="M878" s="7">
        <v>44610.417025462957</v>
      </c>
      <c r="N878" t="s">
        <v>49</v>
      </c>
      <c r="O878" s="34">
        <v>44606.417025462957</v>
      </c>
      <c r="P878" t="s">
        <v>101</v>
      </c>
      <c r="R878" s="32">
        <v>44611.417025462957</v>
      </c>
      <c r="S878" t="s">
        <v>101</v>
      </c>
      <c r="T878" s="34">
        <v>44608.417025462957</v>
      </c>
      <c r="U878" s="34">
        <v>44612.417025462957</v>
      </c>
      <c r="V878" s="32">
        <v>44608.417025462957</v>
      </c>
      <c r="W878" s="32">
        <v>44617.417025462957</v>
      </c>
      <c r="X878">
        <v>1</v>
      </c>
      <c r="Y878" s="34">
        <v>44621.417025462957</v>
      </c>
      <c r="Z878" s="34">
        <v>44622.417025462957</v>
      </c>
      <c r="AA878" s="34">
        <v>44625.417025462957</v>
      </c>
      <c r="AB878" s="36" t="s">
        <v>7476</v>
      </c>
      <c r="AC878" s="10">
        <v>44638.417025462957</v>
      </c>
      <c r="AD878" t="s">
        <v>2766</v>
      </c>
      <c r="AE878" t="s">
        <v>2767</v>
      </c>
      <c r="AF878" s="16">
        <v>44589</v>
      </c>
      <c r="AG878" t="s">
        <v>64</v>
      </c>
      <c r="AH878">
        <v>6</v>
      </c>
      <c r="AI878" s="8">
        <f>IFERROR(R878-AF878,"")</f>
        <v>22.417025462957099</v>
      </c>
      <c r="AJ878" s="8">
        <f>IFERROR(O878-AF878,"")</f>
        <v>17.417025462957099</v>
      </c>
      <c r="AK878" s="38">
        <f t="shared" si="289"/>
        <v>44788.417025462957</v>
      </c>
      <c r="AL878">
        <f>IFERROR(Z878-W878,"")</f>
        <v>5</v>
      </c>
      <c r="AM878">
        <f>IFERROR(R878-J878,"")</f>
        <v>9</v>
      </c>
      <c r="AN878">
        <f>IFERROR(V878-O878,"")</f>
        <v>2</v>
      </c>
      <c r="AO878">
        <f>IFERROR(J878-I878,"")</f>
        <v>2</v>
      </c>
      <c r="AP878">
        <f>IFERROR(AC878-X878,"")</f>
        <v>44637.417025462957</v>
      </c>
      <c r="AQ878">
        <f>IFERROR(AA878-W878,"")</f>
        <v>8</v>
      </c>
    </row>
    <row r="879" spans="1:43" x14ac:dyDescent="0.35">
      <c r="A879">
        <v>2656</v>
      </c>
      <c r="B879" t="s">
        <v>2768</v>
      </c>
      <c r="C879" t="s">
        <v>2287</v>
      </c>
      <c r="D879" t="str">
        <f t="shared" si="287"/>
        <v>M and E</v>
      </c>
      <c r="E879" t="s">
        <v>2741</v>
      </c>
      <c r="F879" t="s">
        <v>46</v>
      </c>
      <c r="G879" t="s">
        <v>2477</v>
      </c>
      <c r="H879" t="s">
        <v>48</v>
      </c>
      <c r="I879" s="32">
        <v>44601.417025462957</v>
      </c>
      <c r="J879" s="32" t="s">
        <v>7471</v>
      </c>
      <c r="K879" s="32">
        <v>44605.417025462957</v>
      </c>
      <c r="L879" s="8">
        <f t="shared" si="288"/>
        <v>4</v>
      </c>
      <c r="M879" s="7">
        <v>44633.417025462957</v>
      </c>
      <c r="N879" t="s">
        <v>49</v>
      </c>
      <c r="O879" s="34">
        <v>44612.417025462957</v>
      </c>
      <c r="P879" t="s">
        <v>101</v>
      </c>
      <c r="R879" s="32">
        <v>44618.417025462957</v>
      </c>
      <c r="S879" t="s">
        <v>101</v>
      </c>
      <c r="T879" s="34">
        <v>44613.417025462957</v>
      </c>
      <c r="U879" s="34">
        <v>44615.417025462957</v>
      </c>
      <c r="V879" s="32">
        <v>44614.417025462957</v>
      </c>
      <c r="W879" s="32">
        <v>44617.417025462957</v>
      </c>
      <c r="X879">
        <v>1</v>
      </c>
      <c r="Y879" s="34">
        <v>44618.417025462957</v>
      </c>
      <c r="Z879" s="34">
        <v>44619.417025462957</v>
      </c>
      <c r="AA879" s="34">
        <v>44622.417025462957</v>
      </c>
      <c r="AB879" s="36" t="s">
        <v>7476</v>
      </c>
      <c r="AC879" s="10">
        <v>44637.417025462957</v>
      </c>
      <c r="AD879" t="s">
        <v>2769</v>
      </c>
      <c r="AE879" t="s">
        <v>2770</v>
      </c>
      <c r="AF879" s="16">
        <v>44604</v>
      </c>
      <c r="AG879" t="s">
        <v>68</v>
      </c>
      <c r="AH879">
        <v>3</v>
      </c>
      <c r="AK879" s="38">
        <f t="shared" si="289"/>
        <v>44704.417025462957</v>
      </c>
    </row>
    <row r="880" spans="1:43" x14ac:dyDescent="0.35">
      <c r="A880">
        <v>2655</v>
      </c>
      <c r="B880" t="s">
        <v>2771</v>
      </c>
      <c r="C880" t="s">
        <v>2287</v>
      </c>
      <c r="D880" t="str">
        <f t="shared" si="287"/>
        <v>M and E</v>
      </c>
      <c r="E880" t="s">
        <v>2741</v>
      </c>
      <c r="F880" t="s">
        <v>46</v>
      </c>
      <c r="G880" t="s">
        <v>2477</v>
      </c>
      <c r="H880" t="s">
        <v>48</v>
      </c>
      <c r="I880" s="32">
        <v>44599.417025462957</v>
      </c>
      <c r="J880" s="32">
        <v>44601.417025462957</v>
      </c>
      <c r="K880" s="32">
        <v>44605.417025462957</v>
      </c>
      <c r="L880" s="8">
        <f t="shared" si="288"/>
        <v>6</v>
      </c>
      <c r="M880" s="7">
        <v>44618.417025462957</v>
      </c>
      <c r="N880" t="s">
        <v>49</v>
      </c>
      <c r="O880" s="34">
        <v>44609.417025462957</v>
      </c>
      <c r="P880" t="s">
        <v>101</v>
      </c>
      <c r="R880" s="32">
        <v>44613.417025462957</v>
      </c>
      <c r="S880" t="s">
        <v>101</v>
      </c>
      <c r="T880" s="34">
        <v>44610.417025462957</v>
      </c>
      <c r="U880" s="34">
        <v>44611.417025462957</v>
      </c>
      <c r="V880" s="32">
        <v>44610.417025462957</v>
      </c>
      <c r="W880" s="32">
        <v>44620.417025462957</v>
      </c>
      <c r="X880">
        <v>1</v>
      </c>
      <c r="Y880" s="34">
        <v>44623.417025462957</v>
      </c>
      <c r="Z880" s="34">
        <v>44626.417025462957</v>
      </c>
      <c r="AA880" s="34">
        <v>44629.417025462957</v>
      </c>
      <c r="AB880" s="36" t="s">
        <v>7476</v>
      </c>
      <c r="AC880" s="10">
        <v>44639.417025462957</v>
      </c>
      <c r="AD880" t="s">
        <v>2772</v>
      </c>
      <c r="AE880" t="s">
        <v>2773</v>
      </c>
      <c r="AF880" s="16">
        <v>44598</v>
      </c>
      <c r="AG880" t="s">
        <v>68</v>
      </c>
      <c r="AH880">
        <v>3</v>
      </c>
      <c r="AI880" s="8">
        <f>IFERROR(R880-AF880,"")</f>
        <v>15.417025462957099</v>
      </c>
      <c r="AJ880" s="8">
        <f>IFERROR(O880-AF880,"")</f>
        <v>11.417025462957099</v>
      </c>
      <c r="AK880" s="38">
        <f t="shared" si="289"/>
        <v>44700.417025462957</v>
      </c>
      <c r="AL880">
        <f>IFERROR(Z880-W880,"")</f>
        <v>6</v>
      </c>
      <c r="AM880">
        <f>IFERROR(R880-J880,"")</f>
        <v>12</v>
      </c>
      <c r="AN880">
        <f>IFERROR(V880-O880,"")</f>
        <v>1</v>
      </c>
      <c r="AO880">
        <f>IFERROR(J880-I880,"")</f>
        <v>2</v>
      </c>
      <c r="AP880">
        <f>IFERROR(AC880-X880,"")</f>
        <v>44638.417025462957</v>
      </c>
      <c r="AQ880">
        <f>IFERROR(AA880-W880,"")</f>
        <v>9</v>
      </c>
    </row>
    <row r="881" spans="1:43" x14ac:dyDescent="0.35">
      <c r="A881">
        <v>2610</v>
      </c>
      <c r="B881" t="s">
        <v>2774</v>
      </c>
      <c r="C881" t="s">
        <v>2260</v>
      </c>
      <c r="D881" t="str">
        <f t="shared" si="287"/>
        <v>M and E</v>
      </c>
      <c r="E881" t="s">
        <v>2741</v>
      </c>
      <c r="F881" t="s">
        <v>1046</v>
      </c>
      <c r="G881" t="s">
        <v>2775</v>
      </c>
      <c r="H881" t="s">
        <v>48</v>
      </c>
      <c r="I881" s="32">
        <v>45041.692673611113</v>
      </c>
      <c r="J881" s="32">
        <v>45042.692673611113</v>
      </c>
      <c r="K881" s="32">
        <v>45046.692673611113</v>
      </c>
      <c r="L881" s="8">
        <f t="shared" si="288"/>
        <v>5</v>
      </c>
      <c r="M881" s="7">
        <v>45072.692673611113</v>
      </c>
      <c r="N881" t="s">
        <v>49</v>
      </c>
      <c r="O881" s="34">
        <v>45058.692673611113</v>
      </c>
      <c r="P881" t="s">
        <v>60</v>
      </c>
      <c r="R881" s="32">
        <v>45064.692673611113</v>
      </c>
      <c r="S881" t="s">
        <v>61</v>
      </c>
      <c r="T881" s="34" t="s">
        <v>7476</v>
      </c>
      <c r="U881" s="34" t="s">
        <v>7476</v>
      </c>
      <c r="V881" s="32">
        <v>45062.692673611113</v>
      </c>
      <c r="W881" s="32" t="s">
        <v>7476</v>
      </c>
      <c r="X881">
        <v>0</v>
      </c>
      <c r="Y881" s="34" t="s">
        <v>7476</v>
      </c>
      <c r="Z881" s="34" t="s">
        <v>7476</v>
      </c>
      <c r="AA881" s="34" t="s">
        <v>7476</v>
      </c>
      <c r="AB881" s="36" t="s">
        <v>7476</v>
      </c>
      <c r="AD881" t="s">
        <v>2776</v>
      </c>
      <c r="AE881" t="s">
        <v>2777</v>
      </c>
      <c r="AF881" s="16">
        <v>45053</v>
      </c>
      <c r="AG881" t="s">
        <v>64</v>
      </c>
      <c r="AH881">
        <v>6</v>
      </c>
      <c r="AI881" s="8">
        <f>IFERROR(R881-AF881,"")</f>
        <v>11.692673611112696</v>
      </c>
      <c r="AJ881" s="8">
        <f>IFERROR(O881-AF881,"")</f>
        <v>5.6926736111126957</v>
      </c>
      <c r="AK881" s="38">
        <f t="shared" si="289"/>
        <v>45242.692673611113</v>
      </c>
      <c r="AL881" t="str">
        <f>IFERROR(Z881-W881,"")</f>
        <v/>
      </c>
      <c r="AM881">
        <f>IFERROR(R881-J881,"")</f>
        <v>22</v>
      </c>
      <c r="AN881">
        <f>IFERROR(V881-O881,"")</f>
        <v>4</v>
      </c>
      <c r="AO881">
        <f>IFERROR(J881-I881,"")</f>
        <v>1</v>
      </c>
      <c r="AP881">
        <f>IFERROR(AC881-X881,"")</f>
        <v>0</v>
      </c>
      <c r="AQ881" t="str">
        <f>IFERROR(AA881-W881,"")</f>
        <v/>
      </c>
    </row>
    <row r="882" spans="1:43" x14ac:dyDescent="0.35">
      <c r="A882">
        <v>2609</v>
      </c>
      <c r="B882" t="s">
        <v>2778</v>
      </c>
      <c r="C882" t="s">
        <v>2260</v>
      </c>
      <c r="D882" t="str">
        <f t="shared" si="287"/>
        <v>M and E</v>
      </c>
      <c r="E882" t="s">
        <v>2741</v>
      </c>
      <c r="F882" t="s">
        <v>1046</v>
      </c>
      <c r="G882" t="s">
        <v>2775</v>
      </c>
      <c r="H882" t="s">
        <v>48</v>
      </c>
      <c r="I882" s="32">
        <v>45037.692673611113</v>
      </c>
      <c r="J882" s="32" t="s">
        <v>7471</v>
      </c>
      <c r="K882" s="32">
        <v>45046.692673611113</v>
      </c>
      <c r="L882" s="8">
        <f t="shared" si="288"/>
        <v>9</v>
      </c>
      <c r="M882" s="7">
        <v>45053.692673611113</v>
      </c>
      <c r="N882" t="s">
        <v>49</v>
      </c>
      <c r="O882" s="34">
        <v>45056.692673611113</v>
      </c>
      <c r="P882" t="s">
        <v>60</v>
      </c>
      <c r="R882" s="32">
        <v>45061.692673611113</v>
      </c>
      <c r="S882" t="s">
        <v>61</v>
      </c>
      <c r="T882" s="34" t="s">
        <v>7476</v>
      </c>
      <c r="U882" s="34" t="s">
        <v>7476</v>
      </c>
      <c r="V882" s="32">
        <v>45057.692673611113</v>
      </c>
      <c r="W882" s="32" t="s">
        <v>7476</v>
      </c>
      <c r="X882">
        <v>0</v>
      </c>
      <c r="Y882" s="34" t="s">
        <v>7476</v>
      </c>
      <c r="Z882" s="34" t="s">
        <v>7476</v>
      </c>
      <c r="AA882" s="34" t="s">
        <v>7476</v>
      </c>
      <c r="AB882" s="36" t="s">
        <v>7476</v>
      </c>
      <c r="AD882" t="s">
        <v>2779</v>
      </c>
      <c r="AE882" t="s">
        <v>2780</v>
      </c>
      <c r="AF882" s="16">
        <v>45042</v>
      </c>
      <c r="AG882" t="s">
        <v>64</v>
      </c>
      <c r="AH882">
        <v>3</v>
      </c>
      <c r="AK882" s="38">
        <f t="shared" si="289"/>
        <v>45147.692673611113</v>
      </c>
    </row>
    <row r="883" spans="1:43" x14ac:dyDescent="0.35">
      <c r="A883">
        <v>2606</v>
      </c>
      <c r="B883" t="s">
        <v>2781</v>
      </c>
      <c r="C883" t="s">
        <v>2325</v>
      </c>
      <c r="D883" t="str">
        <f t="shared" si="287"/>
        <v>M and E</v>
      </c>
      <c r="E883" t="s">
        <v>2741</v>
      </c>
      <c r="F883" t="s">
        <v>1046</v>
      </c>
      <c r="G883" t="s">
        <v>2775</v>
      </c>
      <c r="H883" t="s">
        <v>48</v>
      </c>
      <c r="I883" s="32">
        <v>45040.692673611113</v>
      </c>
      <c r="J883" s="32">
        <v>45043.692673611113</v>
      </c>
      <c r="K883" s="32">
        <v>45046.692673611113</v>
      </c>
      <c r="L883" s="8">
        <f t="shared" si="288"/>
        <v>6</v>
      </c>
      <c r="M883" s="7">
        <v>45051.692673611113</v>
      </c>
      <c r="N883" t="s">
        <v>49</v>
      </c>
      <c r="O883" s="34">
        <v>45052.692673611113</v>
      </c>
      <c r="P883" t="s">
        <v>60</v>
      </c>
      <c r="R883" s="32">
        <v>45056.692673611113</v>
      </c>
      <c r="S883" t="s">
        <v>61</v>
      </c>
      <c r="T883" s="34" t="s">
        <v>7476</v>
      </c>
      <c r="U883" s="34" t="s">
        <v>7476</v>
      </c>
      <c r="V883" s="32">
        <v>45055.692673611113</v>
      </c>
      <c r="W883" s="32" t="s">
        <v>7476</v>
      </c>
      <c r="X883">
        <v>0</v>
      </c>
      <c r="Y883" s="34" t="s">
        <v>7476</v>
      </c>
      <c r="Z883" s="34" t="s">
        <v>7476</v>
      </c>
      <c r="AA883" s="34" t="s">
        <v>7476</v>
      </c>
      <c r="AB883" s="36" t="s">
        <v>7476</v>
      </c>
      <c r="AD883" t="s">
        <v>2782</v>
      </c>
      <c r="AE883" t="s">
        <v>2783</v>
      </c>
      <c r="AF883" s="16">
        <v>45047</v>
      </c>
      <c r="AG883" t="s">
        <v>98</v>
      </c>
      <c r="AH883">
        <v>3</v>
      </c>
      <c r="AI883" s="8">
        <f>IFERROR(R883-AF883,"")</f>
        <v>9.6926736111126957</v>
      </c>
      <c r="AJ883" s="8">
        <f>IFERROR(O883-AF883,"")</f>
        <v>5.6926736111126957</v>
      </c>
      <c r="AK883" s="38">
        <f t="shared" si="289"/>
        <v>45145.692673611113</v>
      </c>
      <c r="AL883" t="str">
        <f>IFERROR(Z883-W883,"")</f>
        <v/>
      </c>
      <c r="AM883">
        <f>IFERROR(R883-J883,"")</f>
        <v>13</v>
      </c>
      <c r="AN883">
        <f>IFERROR(V883-O883,"")</f>
        <v>3</v>
      </c>
      <c r="AO883">
        <f>IFERROR(J883-I883,"")</f>
        <v>3</v>
      </c>
      <c r="AP883">
        <f>IFERROR(AC883-X883,"")</f>
        <v>0</v>
      </c>
      <c r="AQ883" t="str">
        <f>IFERROR(AA883-W883,"")</f>
        <v/>
      </c>
    </row>
    <row r="884" spans="1:43" x14ac:dyDescent="0.35">
      <c r="A884">
        <v>2603</v>
      </c>
      <c r="B884" t="s">
        <v>2784</v>
      </c>
      <c r="C884" t="s">
        <v>2325</v>
      </c>
      <c r="D884" t="str">
        <f t="shared" si="287"/>
        <v>M and E</v>
      </c>
      <c r="E884" t="s">
        <v>2741</v>
      </c>
      <c r="F884" t="s">
        <v>1046</v>
      </c>
      <c r="G884" t="s">
        <v>2775</v>
      </c>
      <c r="H884" t="s">
        <v>48</v>
      </c>
      <c r="I884" s="32">
        <v>45041.692673611113</v>
      </c>
      <c r="J884" s="32">
        <v>45045.692673611113</v>
      </c>
      <c r="K884" s="32">
        <v>45046.692673611113</v>
      </c>
      <c r="L884" s="8">
        <f t="shared" si="288"/>
        <v>5</v>
      </c>
      <c r="M884" s="7">
        <v>45072.692673611113</v>
      </c>
      <c r="N884" t="s">
        <v>49</v>
      </c>
      <c r="O884" s="34">
        <v>45059.692673611113</v>
      </c>
      <c r="P884" t="s">
        <v>50</v>
      </c>
      <c r="Q884" t="s">
        <v>236</v>
      </c>
      <c r="R884" s="32" t="s">
        <v>7472</v>
      </c>
      <c r="S884" t="s">
        <v>7476</v>
      </c>
      <c r="T884" s="34" t="s">
        <v>7476</v>
      </c>
      <c r="U884" s="34" t="s">
        <v>7476</v>
      </c>
      <c r="V884" s="32">
        <v>45060.692673611113</v>
      </c>
      <c r="W884" s="32" t="s">
        <v>7476</v>
      </c>
      <c r="X884">
        <v>0</v>
      </c>
      <c r="Y884" s="34" t="s">
        <v>7476</v>
      </c>
      <c r="Z884" s="34" t="s">
        <v>7476</v>
      </c>
      <c r="AA884" s="34" t="s">
        <v>7476</v>
      </c>
      <c r="AB884" s="36" t="s">
        <v>95</v>
      </c>
      <c r="AD884" t="s">
        <v>2785</v>
      </c>
      <c r="AE884" t="s">
        <v>2786</v>
      </c>
      <c r="AF884" s="16">
        <v>45040</v>
      </c>
      <c r="AG884" t="s">
        <v>64</v>
      </c>
      <c r="AH884">
        <v>6</v>
      </c>
      <c r="AI884" s="8" t="str">
        <f>IFERROR(R884-AF884,"")</f>
        <v/>
      </c>
      <c r="AJ884" s="8">
        <f>IFERROR(O884-AF884,"")</f>
        <v>19.692673611112696</v>
      </c>
      <c r="AK884" s="38">
        <f t="shared" si="289"/>
        <v>45240.692673611113</v>
      </c>
      <c r="AL884" t="str">
        <f>IFERROR(Z884-W884,"")</f>
        <v/>
      </c>
      <c r="AM884" t="str">
        <f>IFERROR(R884-J884,"")</f>
        <v/>
      </c>
      <c r="AN884">
        <f>IFERROR(V884-O884,"")</f>
        <v>1</v>
      </c>
      <c r="AO884">
        <f>IFERROR(J884-I884,"")</f>
        <v>4</v>
      </c>
      <c r="AP884">
        <f>IFERROR(AC884-X884,"")</f>
        <v>0</v>
      </c>
      <c r="AQ884" t="str">
        <f>IFERROR(AA884-W884,"")</f>
        <v/>
      </c>
    </row>
    <row r="885" spans="1:43" x14ac:dyDescent="0.35">
      <c r="A885">
        <v>2602</v>
      </c>
      <c r="B885" t="s">
        <v>2787</v>
      </c>
      <c r="C885" t="s">
        <v>2287</v>
      </c>
      <c r="D885" t="str">
        <f t="shared" si="287"/>
        <v>M and E</v>
      </c>
      <c r="E885" t="s">
        <v>2741</v>
      </c>
      <c r="F885" t="s">
        <v>1046</v>
      </c>
      <c r="G885" t="s">
        <v>2775</v>
      </c>
      <c r="H885" t="s">
        <v>48</v>
      </c>
      <c r="I885" s="32">
        <v>45039.692673611113</v>
      </c>
      <c r="J885" s="32">
        <v>45041.692673611113</v>
      </c>
      <c r="K885" s="32">
        <v>45046.692673611113</v>
      </c>
      <c r="L885" s="8">
        <f t="shared" si="288"/>
        <v>7</v>
      </c>
      <c r="M885" s="7">
        <v>45061.692673611113</v>
      </c>
      <c r="N885" t="s">
        <v>49</v>
      </c>
      <c r="O885" s="34">
        <v>45055.692673611113</v>
      </c>
      <c r="P885" t="s">
        <v>392</v>
      </c>
      <c r="R885" s="32">
        <v>45059.692673611113</v>
      </c>
      <c r="S885" t="s">
        <v>392</v>
      </c>
      <c r="T885" s="34" t="s">
        <v>7476</v>
      </c>
      <c r="U885" s="34" t="s">
        <v>7476</v>
      </c>
      <c r="V885" s="32">
        <v>45058.692673611113</v>
      </c>
      <c r="W885" s="32" t="s">
        <v>7476</v>
      </c>
      <c r="X885">
        <v>0</v>
      </c>
      <c r="Y885" s="34" t="s">
        <v>7476</v>
      </c>
      <c r="Z885" s="34" t="s">
        <v>7476</v>
      </c>
      <c r="AA885" s="34" t="s">
        <v>7476</v>
      </c>
      <c r="AB885" s="36" t="s">
        <v>7476</v>
      </c>
      <c r="AD885" t="s">
        <v>2788</v>
      </c>
      <c r="AE885" t="s">
        <v>2789</v>
      </c>
      <c r="AF885" s="16">
        <v>45038</v>
      </c>
      <c r="AG885" t="s">
        <v>64</v>
      </c>
      <c r="AH885">
        <v>6</v>
      </c>
      <c r="AI885" s="8">
        <f>IFERROR(R885-AF885,"")</f>
        <v>21.692673611112696</v>
      </c>
      <c r="AJ885" s="8">
        <f>IFERROR(O885-AF885,"")</f>
        <v>17.692673611112696</v>
      </c>
      <c r="AK885" s="38">
        <f t="shared" si="289"/>
        <v>45238.692673611113</v>
      </c>
      <c r="AL885" t="str">
        <f>IFERROR(Z885-W885,"")</f>
        <v/>
      </c>
      <c r="AM885">
        <f>IFERROR(R885-J885,"")</f>
        <v>18</v>
      </c>
      <c r="AN885">
        <f>IFERROR(V885-O885,"")</f>
        <v>3</v>
      </c>
      <c r="AO885">
        <f>IFERROR(J885-I885,"")</f>
        <v>2</v>
      </c>
      <c r="AP885">
        <f>IFERROR(AC885-X885,"")</f>
        <v>0</v>
      </c>
      <c r="AQ885" t="str">
        <f>IFERROR(AA885-W885,"")</f>
        <v/>
      </c>
    </row>
    <row r="886" spans="1:43" x14ac:dyDescent="0.35">
      <c r="A886">
        <v>2496</v>
      </c>
      <c r="B886" t="s">
        <v>2790</v>
      </c>
      <c r="C886" t="s">
        <v>2260</v>
      </c>
      <c r="D886" t="str">
        <f t="shared" si="287"/>
        <v>M and E</v>
      </c>
      <c r="E886" t="s">
        <v>2741</v>
      </c>
      <c r="F886" t="s">
        <v>1046</v>
      </c>
      <c r="G886" t="s">
        <v>2775</v>
      </c>
      <c r="H886" t="s">
        <v>48</v>
      </c>
      <c r="I886" s="32">
        <v>44589.546469907407</v>
      </c>
      <c r="J886" s="32">
        <v>44592.546469907407</v>
      </c>
      <c r="K886" s="32">
        <v>44597.546469907407</v>
      </c>
      <c r="L886" s="8">
        <f t="shared" si="288"/>
        <v>8</v>
      </c>
      <c r="M886" s="7">
        <v>44609.546469907407</v>
      </c>
      <c r="N886" t="s">
        <v>49</v>
      </c>
      <c r="O886" s="34">
        <v>44603.546469907407</v>
      </c>
      <c r="P886" t="s">
        <v>50</v>
      </c>
      <c r="Q886" t="s">
        <v>125</v>
      </c>
      <c r="R886" s="32" t="s">
        <v>7472</v>
      </c>
      <c r="S886" t="s">
        <v>7476</v>
      </c>
      <c r="T886" s="34" t="s">
        <v>7476</v>
      </c>
      <c r="U886" s="34" t="s">
        <v>7476</v>
      </c>
      <c r="V886" s="32" t="s">
        <v>7476</v>
      </c>
      <c r="W886" s="32" t="s">
        <v>7476</v>
      </c>
      <c r="X886">
        <v>0</v>
      </c>
      <c r="Y886" s="34" t="s">
        <v>7476</v>
      </c>
      <c r="Z886" s="34" t="s">
        <v>7476</v>
      </c>
      <c r="AA886" s="34" t="s">
        <v>7476</v>
      </c>
      <c r="AB886" s="36" t="s">
        <v>52</v>
      </c>
      <c r="AD886" t="s">
        <v>2791</v>
      </c>
      <c r="AE886" t="s">
        <v>2792</v>
      </c>
      <c r="AF886" s="16">
        <v>44595</v>
      </c>
      <c r="AG886" t="s">
        <v>64</v>
      </c>
      <c r="AH886">
        <v>6</v>
      </c>
      <c r="AI886" s="8" t="str">
        <f>IFERROR(R886-AF886,"")</f>
        <v/>
      </c>
      <c r="AJ886" s="8">
        <f>IFERROR(O886-AF886,"")</f>
        <v>8.5464699074072996</v>
      </c>
      <c r="AK886" s="38" t="str">
        <f t="shared" si="289"/>
        <v/>
      </c>
      <c r="AL886" t="str">
        <f>IFERROR(Z886-W886,"")</f>
        <v/>
      </c>
      <c r="AM886" t="str">
        <f>IFERROR(R886-J886,"")</f>
        <v/>
      </c>
      <c r="AN886" t="str">
        <f>IFERROR(V886-O886,"")</f>
        <v/>
      </c>
      <c r="AO886">
        <f>IFERROR(J886-I886,"")</f>
        <v>3</v>
      </c>
      <c r="AP886">
        <f>IFERROR(AC886-X886,"")</f>
        <v>0</v>
      </c>
      <c r="AQ886" t="str">
        <f>IFERROR(AA886-W886,"")</f>
        <v/>
      </c>
    </row>
    <row r="887" spans="1:43" x14ac:dyDescent="0.35">
      <c r="A887">
        <v>2492</v>
      </c>
      <c r="B887" t="s">
        <v>2793</v>
      </c>
      <c r="C887" t="s">
        <v>2260</v>
      </c>
      <c r="D887" t="str">
        <f t="shared" si="287"/>
        <v>M and E</v>
      </c>
      <c r="E887" t="s">
        <v>2741</v>
      </c>
      <c r="F887" t="s">
        <v>1046</v>
      </c>
      <c r="G887" t="s">
        <v>2775</v>
      </c>
      <c r="H887" t="s">
        <v>48</v>
      </c>
      <c r="I887" s="32" t="s">
        <v>7471</v>
      </c>
      <c r="J887" s="32">
        <v>44593.546469907407</v>
      </c>
      <c r="K887" s="32">
        <v>44597.546469907407</v>
      </c>
      <c r="L887" s="8" t="str">
        <f t="shared" si="288"/>
        <v/>
      </c>
      <c r="M887" s="7">
        <v>44610.546469907407</v>
      </c>
      <c r="N887" t="s">
        <v>49</v>
      </c>
      <c r="O887" s="34">
        <v>44604.546469907407</v>
      </c>
      <c r="P887" t="s">
        <v>101</v>
      </c>
      <c r="R887" s="32">
        <v>44609.546469907407</v>
      </c>
      <c r="S887" t="s">
        <v>101</v>
      </c>
      <c r="T887" s="34">
        <v>44606.546469907407</v>
      </c>
      <c r="U887" s="34">
        <v>44607.546469907407</v>
      </c>
      <c r="V887" s="32">
        <v>44608.546469907407</v>
      </c>
      <c r="W887" s="32">
        <v>44613.546469907407</v>
      </c>
      <c r="X887">
        <v>1</v>
      </c>
      <c r="Y887" s="34">
        <v>44616.546469907407</v>
      </c>
      <c r="Z887" s="34">
        <v>44617.546469907407</v>
      </c>
      <c r="AA887" s="34">
        <v>44618.546469907407</v>
      </c>
      <c r="AB887" s="36" t="s">
        <v>7476</v>
      </c>
      <c r="AC887" s="10">
        <v>44638.546469907407</v>
      </c>
      <c r="AD887" t="s">
        <v>2794</v>
      </c>
      <c r="AE887" t="s">
        <v>2795</v>
      </c>
      <c r="AF887" s="16">
        <v>44589</v>
      </c>
      <c r="AG887" t="s">
        <v>64</v>
      </c>
      <c r="AH887">
        <v>3</v>
      </c>
      <c r="AK887" s="38">
        <f t="shared" si="289"/>
        <v>44698.546469907407</v>
      </c>
    </row>
    <row r="888" spans="1:43" x14ac:dyDescent="0.35">
      <c r="A888">
        <v>2469</v>
      </c>
      <c r="B888" t="s">
        <v>2796</v>
      </c>
      <c r="C888" t="s">
        <v>2260</v>
      </c>
      <c r="D888" t="str">
        <f t="shared" si="287"/>
        <v>M and E</v>
      </c>
      <c r="E888" t="s">
        <v>2741</v>
      </c>
      <c r="F888" t="s">
        <v>1046</v>
      </c>
      <c r="G888" t="s">
        <v>2775</v>
      </c>
      <c r="H888" t="s">
        <v>48</v>
      </c>
      <c r="I888" s="32">
        <v>45016.841874999998</v>
      </c>
      <c r="J888" s="32">
        <v>45017.841874999998</v>
      </c>
      <c r="K888" s="32">
        <v>45022.841874999998</v>
      </c>
      <c r="L888" s="8">
        <f t="shared" si="288"/>
        <v>6</v>
      </c>
      <c r="M888" s="7">
        <v>45047.841874999998</v>
      </c>
      <c r="N888" t="s">
        <v>49</v>
      </c>
      <c r="O888" s="34">
        <v>45038.841874999998</v>
      </c>
      <c r="P888" t="s">
        <v>50</v>
      </c>
      <c r="Q888" t="s">
        <v>125</v>
      </c>
      <c r="R888" s="32" t="s">
        <v>7472</v>
      </c>
      <c r="S888" t="s">
        <v>7476</v>
      </c>
      <c r="T888" s="34" t="s">
        <v>7476</v>
      </c>
      <c r="U888" s="34" t="s">
        <v>7476</v>
      </c>
      <c r="V888" s="32" t="s">
        <v>7476</v>
      </c>
      <c r="W888" s="32" t="s">
        <v>7476</v>
      </c>
      <c r="X888">
        <v>0</v>
      </c>
      <c r="Y888" s="34" t="s">
        <v>7476</v>
      </c>
      <c r="Z888" s="34" t="s">
        <v>7476</v>
      </c>
      <c r="AA888" s="34" t="s">
        <v>7476</v>
      </c>
      <c r="AB888" s="36" t="s">
        <v>52</v>
      </c>
      <c r="AD888" t="s">
        <v>2797</v>
      </c>
      <c r="AE888" t="s">
        <v>2798</v>
      </c>
      <c r="AF888" s="16">
        <v>45173</v>
      </c>
      <c r="AG888" t="s">
        <v>64</v>
      </c>
      <c r="AH888">
        <v>6</v>
      </c>
      <c r="AI888" s="8" t="str">
        <f t="shared" ref="AI888:AI897" si="298">IFERROR(R888-AF888,"")</f>
        <v/>
      </c>
      <c r="AJ888" s="8">
        <f t="shared" ref="AJ888:AJ897" si="299">IFERROR(O888-AF888,"")</f>
        <v>-134.15812500000175</v>
      </c>
      <c r="AK888" s="38" t="str">
        <f t="shared" si="289"/>
        <v/>
      </c>
      <c r="AL888" t="str">
        <f t="shared" ref="AL888:AL897" si="300">IFERROR(Z888-W888,"")</f>
        <v/>
      </c>
      <c r="AM888" t="str">
        <f t="shared" ref="AM888:AM897" si="301">IFERROR(R888-J888,"")</f>
        <v/>
      </c>
      <c r="AN888" t="str">
        <f t="shared" ref="AN888:AN897" si="302">IFERROR(V888-O888,"")</f>
        <v/>
      </c>
      <c r="AO888">
        <f t="shared" ref="AO888:AO897" si="303">IFERROR(J888-I888,"")</f>
        <v>1</v>
      </c>
      <c r="AP888">
        <f t="shared" ref="AP888:AP897" si="304">IFERROR(AC888-X888,"")</f>
        <v>0</v>
      </c>
      <c r="AQ888" t="str">
        <f t="shared" ref="AQ888:AQ897" si="305">IFERROR(AA888-W888,"")</f>
        <v/>
      </c>
    </row>
    <row r="889" spans="1:43" x14ac:dyDescent="0.35">
      <c r="A889">
        <v>2464</v>
      </c>
      <c r="B889" t="s">
        <v>2799</v>
      </c>
      <c r="C889" t="s">
        <v>2260</v>
      </c>
      <c r="D889" t="str">
        <f t="shared" si="287"/>
        <v>M and E</v>
      </c>
      <c r="E889" t="s">
        <v>2741</v>
      </c>
      <c r="F889" t="s">
        <v>1046</v>
      </c>
      <c r="G889" t="s">
        <v>2775</v>
      </c>
      <c r="H889" t="s">
        <v>48</v>
      </c>
      <c r="I889" s="32">
        <v>45017.841874999998</v>
      </c>
      <c r="J889" s="32">
        <v>45021.841874999998</v>
      </c>
      <c r="K889" s="32">
        <v>45022.841874999998</v>
      </c>
      <c r="L889" s="8">
        <f t="shared" si="288"/>
        <v>5</v>
      </c>
      <c r="M889" s="7">
        <v>45038.841874999998</v>
      </c>
      <c r="N889" t="s">
        <v>49</v>
      </c>
      <c r="O889" s="34">
        <v>45027.841874999998</v>
      </c>
      <c r="P889" t="s">
        <v>60</v>
      </c>
      <c r="R889" s="32">
        <v>45034.841874999998</v>
      </c>
      <c r="S889" t="s">
        <v>61</v>
      </c>
      <c r="T889" s="34" t="s">
        <v>7476</v>
      </c>
      <c r="U889" s="34" t="s">
        <v>7476</v>
      </c>
      <c r="V889" s="32">
        <v>45031.841874999998</v>
      </c>
      <c r="W889" s="32" t="s">
        <v>7476</v>
      </c>
      <c r="X889">
        <v>0</v>
      </c>
      <c r="Y889" s="34" t="s">
        <v>7476</v>
      </c>
      <c r="Z889" s="34" t="s">
        <v>7476</v>
      </c>
      <c r="AA889" s="34" t="s">
        <v>7476</v>
      </c>
      <c r="AB889" s="36" t="s">
        <v>7476</v>
      </c>
      <c r="AD889" t="s">
        <v>2800</v>
      </c>
      <c r="AE889" t="s">
        <v>2801</v>
      </c>
      <c r="AF889" s="16">
        <v>45009</v>
      </c>
      <c r="AG889" t="s">
        <v>68</v>
      </c>
      <c r="AH889">
        <v>3</v>
      </c>
      <c r="AI889" s="8">
        <f t="shared" si="298"/>
        <v>25.841874999998254</v>
      </c>
      <c r="AJ889" s="8">
        <f t="shared" si="299"/>
        <v>18.841874999998254</v>
      </c>
      <c r="AK889" s="38">
        <f t="shared" si="289"/>
        <v>45121.841874999998</v>
      </c>
      <c r="AL889" t="str">
        <f t="shared" si="300"/>
        <v/>
      </c>
      <c r="AM889">
        <f t="shared" si="301"/>
        <v>13</v>
      </c>
      <c r="AN889">
        <f t="shared" si="302"/>
        <v>4</v>
      </c>
      <c r="AO889">
        <f t="shared" si="303"/>
        <v>4</v>
      </c>
      <c r="AP889">
        <f t="shared" si="304"/>
        <v>0</v>
      </c>
      <c r="AQ889" t="str">
        <f t="shared" si="305"/>
        <v/>
      </c>
    </row>
    <row r="890" spans="1:43" x14ac:dyDescent="0.35">
      <c r="A890">
        <v>2432</v>
      </c>
      <c r="B890" t="s">
        <v>2802</v>
      </c>
      <c r="C890" t="s">
        <v>2260</v>
      </c>
      <c r="D890" t="str">
        <f t="shared" si="287"/>
        <v>M and E</v>
      </c>
      <c r="E890" t="s">
        <v>2741</v>
      </c>
      <c r="F890" t="s">
        <v>1046</v>
      </c>
      <c r="G890" t="s">
        <v>2775</v>
      </c>
      <c r="H890" t="s">
        <v>48</v>
      </c>
      <c r="I890" s="32">
        <v>44747.126967592587</v>
      </c>
      <c r="J890" s="32">
        <v>44748.126967592587</v>
      </c>
      <c r="K890" s="32">
        <v>44749.126967592587</v>
      </c>
      <c r="L890" s="8">
        <f t="shared" si="288"/>
        <v>2</v>
      </c>
      <c r="M890" s="7">
        <v>44759.126967592587</v>
      </c>
      <c r="N890" t="s">
        <v>49</v>
      </c>
      <c r="O890" s="34">
        <v>44754.126967592587</v>
      </c>
      <c r="P890" t="s">
        <v>60</v>
      </c>
      <c r="R890" s="32">
        <v>44758.126967592587</v>
      </c>
      <c r="S890" t="s">
        <v>61</v>
      </c>
      <c r="T890" s="34" t="s">
        <v>7476</v>
      </c>
      <c r="U890" s="34" t="s">
        <v>7476</v>
      </c>
      <c r="V890" s="32">
        <v>44755.126967592587</v>
      </c>
      <c r="W890" s="32" t="s">
        <v>7476</v>
      </c>
      <c r="X890">
        <v>0</v>
      </c>
      <c r="Y890" s="34" t="s">
        <v>7476</v>
      </c>
      <c r="Z890" s="34" t="s">
        <v>7476</v>
      </c>
      <c r="AA890" s="34" t="s">
        <v>7476</v>
      </c>
      <c r="AB890" s="36" t="s">
        <v>7476</v>
      </c>
      <c r="AD890" t="s">
        <v>2803</v>
      </c>
      <c r="AE890" t="s">
        <v>2804</v>
      </c>
      <c r="AF890" s="16">
        <v>44741</v>
      </c>
      <c r="AG890" t="s">
        <v>68</v>
      </c>
      <c r="AH890">
        <v>3</v>
      </c>
      <c r="AI890" s="8">
        <f t="shared" si="298"/>
        <v>17.12696759258688</v>
      </c>
      <c r="AJ890" s="8">
        <f t="shared" si="299"/>
        <v>13.12696759258688</v>
      </c>
      <c r="AK890" s="38">
        <f t="shared" si="289"/>
        <v>44845.126967592587</v>
      </c>
      <c r="AL890" t="str">
        <f t="shared" si="300"/>
        <v/>
      </c>
      <c r="AM890">
        <f t="shared" si="301"/>
        <v>10</v>
      </c>
      <c r="AN890">
        <f t="shared" si="302"/>
        <v>1</v>
      </c>
      <c r="AO890">
        <f t="shared" si="303"/>
        <v>1</v>
      </c>
      <c r="AP890">
        <f t="shared" si="304"/>
        <v>0</v>
      </c>
      <c r="AQ890" t="str">
        <f t="shared" si="305"/>
        <v/>
      </c>
    </row>
    <row r="891" spans="1:43" x14ac:dyDescent="0.35">
      <c r="A891">
        <v>2344</v>
      </c>
      <c r="B891" t="s">
        <v>2805</v>
      </c>
      <c r="C891" t="s">
        <v>2260</v>
      </c>
      <c r="D891" t="str">
        <f t="shared" si="287"/>
        <v>M and E</v>
      </c>
      <c r="E891" t="s">
        <v>2741</v>
      </c>
      <c r="F891" t="s">
        <v>1046</v>
      </c>
      <c r="G891" t="s">
        <v>2775</v>
      </c>
      <c r="H891" t="s">
        <v>48</v>
      </c>
      <c r="I891" s="32">
        <v>45052.364525462966</v>
      </c>
      <c r="J891" s="32">
        <v>45054.364525462966</v>
      </c>
      <c r="K891" s="32">
        <v>45060.364525462966</v>
      </c>
      <c r="L891" s="8">
        <f t="shared" si="288"/>
        <v>8</v>
      </c>
      <c r="M891" s="7">
        <v>45077.364525462966</v>
      </c>
      <c r="N891" t="s">
        <v>49</v>
      </c>
      <c r="O891" s="34">
        <v>45068.364525462966</v>
      </c>
      <c r="P891" t="s">
        <v>50</v>
      </c>
      <c r="Q891" t="s">
        <v>51</v>
      </c>
      <c r="R891" s="32" t="s">
        <v>7472</v>
      </c>
      <c r="S891" t="s">
        <v>7476</v>
      </c>
      <c r="T891" s="34" t="s">
        <v>7476</v>
      </c>
      <c r="U891" s="34" t="s">
        <v>7476</v>
      </c>
      <c r="V891" s="32">
        <v>45070.364525462966</v>
      </c>
      <c r="W891" s="32" t="s">
        <v>7476</v>
      </c>
      <c r="X891">
        <v>0</v>
      </c>
      <c r="Y891" s="34" t="s">
        <v>7476</v>
      </c>
      <c r="Z891" s="34" t="s">
        <v>7476</v>
      </c>
      <c r="AA891" s="34" t="s">
        <v>7476</v>
      </c>
      <c r="AB891" s="36" t="s">
        <v>52</v>
      </c>
      <c r="AD891" t="s">
        <v>2806</v>
      </c>
      <c r="AE891" t="s">
        <v>2807</v>
      </c>
      <c r="AF891" s="16">
        <v>45056</v>
      </c>
      <c r="AG891" t="s">
        <v>64</v>
      </c>
      <c r="AH891">
        <v>3</v>
      </c>
      <c r="AI891" s="8" t="str">
        <f t="shared" si="298"/>
        <v/>
      </c>
      <c r="AJ891" s="8">
        <f t="shared" si="299"/>
        <v>12.364525462966412</v>
      </c>
      <c r="AK891" s="38">
        <f t="shared" si="289"/>
        <v>45160.364525462966</v>
      </c>
      <c r="AL891" t="str">
        <f t="shared" si="300"/>
        <v/>
      </c>
      <c r="AM891" t="str">
        <f t="shared" si="301"/>
        <v/>
      </c>
      <c r="AN891">
        <f t="shared" si="302"/>
        <v>2</v>
      </c>
      <c r="AO891">
        <f t="shared" si="303"/>
        <v>2</v>
      </c>
      <c r="AP891">
        <f t="shared" si="304"/>
        <v>0</v>
      </c>
      <c r="AQ891" t="str">
        <f t="shared" si="305"/>
        <v/>
      </c>
    </row>
    <row r="892" spans="1:43" x14ac:dyDescent="0.35">
      <c r="A892">
        <v>2209</v>
      </c>
      <c r="B892" t="s">
        <v>2808</v>
      </c>
      <c r="C892" t="s">
        <v>2260</v>
      </c>
      <c r="D892" t="str">
        <f t="shared" si="287"/>
        <v>M and E</v>
      </c>
      <c r="E892" t="s">
        <v>2741</v>
      </c>
      <c r="F892" t="s">
        <v>1046</v>
      </c>
      <c r="G892" t="s">
        <v>2775</v>
      </c>
      <c r="H892" t="s">
        <v>48</v>
      </c>
      <c r="I892" s="32">
        <v>45096.202615740738</v>
      </c>
      <c r="J892" s="32">
        <v>45097.202615740738</v>
      </c>
      <c r="K892" s="32">
        <v>45098.202615740738</v>
      </c>
      <c r="L892" s="8">
        <f t="shared" si="288"/>
        <v>2</v>
      </c>
      <c r="M892" s="7">
        <v>45115.202615740738</v>
      </c>
      <c r="N892" t="s">
        <v>49</v>
      </c>
      <c r="O892" s="34">
        <v>45113.202615740738</v>
      </c>
      <c r="P892" t="s">
        <v>101</v>
      </c>
      <c r="R892" s="32">
        <v>45119.202615740738</v>
      </c>
      <c r="S892" t="s">
        <v>101</v>
      </c>
      <c r="T892" s="34">
        <v>45115.202615740738</v>
      </c>
      <c r="U892" s="34">
        <v>45117.202615740738</v>
      </c>
      <c r="V892" s="32">
        <v>45116.202615740738</v>
      </c>
      <c r="W892" s="32">
        <v>45117.202615740738</v>
      </c>
      <c r="X892">
        <v>1</v>
      </c>
      <c r="Y892" s="34">
        <v>45119.202615740738</v>
      </c>
      <c r="Z892" s="34">
        <v>45120.202615740738</v>
      </c>
      <c r="AA892" s="34">
        <v>45123.202615740738</v>
      </c>
      <c r="AB892" s="36" t="s">
        <v>7476</v>
      </c>
      <c r="AC892" s="10">
        <v>45138.202615740738</v>
      </c>
      <c r="AD892" t="s">
        <v>2809</v>
      </c>
      <c r="AE892" t="s">
        <v>2810</v>
      </c>
      <c r="AF892" s="16">
        <v>45107</v>
      </c>
      <c r="AG892" t="s">
        <v>64</v>
      </c>
      <c r="AH892">
        <v>3</v>
      </c>
      <c r="AI892" s="8">
        <f t="shared" si="298"/>
        <v>12.202615740738111</v>
      </c>
      <c r="AJ892" s="8">
        <f t="shared" si="299"/>
        <v>6.2026157407381106</v>
      </c>
      <c r="AK892" s="38">
        <f t="shared" si="289"/>
        <v>45206.202615740738</v>
      </c>
      <c r="AL892">
        <f t="shared" si="300"/>
        <v>3</v>
      </c>
      <c r="AM892">
        <f t="shared" si="301"/>
        <v>22</v>
      </c>
      <c r="AN892">
        <f t="shared" si="302"/>
        <v>3</v>
      </c>
      <c r="AO892">
        <f t="shared" si="303"/>
        <v>1</v>
      </c>
      <c r="AP892">
        <f t="shared" si="304"/>
        <v>45137.202615740738</v>
      </c>
      <c r="AQ892">
        <f t="shared" si="305"/>
        <v>6</v>
      </c>
    </row>
    <row r="893" spans="1:43" x14ac:dyDescent="0.35">
      <c r="A893">
        <v>2206</v>
      </c>
      <c r="B893" t="s">
        <v>2811</v>
      </c>
      <c r="C893" t="s">
        <v>2287</v>
      </c>
      <c r="D893" t="str">
        <f t="shared" si="287"/>
        <v>M and E</v>
      </c>
      <c r="E893" t="s">
        <v>2741</v>
      </c>
      <c r="F893" t="s">
        <v>1046</v>
      </c>
      <c r="G893" t="s">
        <v>2775</v>
      </c>
      <c r="H893" t="s">
        <v>48</v>
      </c>
      <c r="I893" s="32">
        <v>45091.202615740738</v>
      </c>
      <c r="J893" s="32">
        <v>45093.202615740738</v>
      </c>
      <c r="K893" s="32">
        <v>45098.202615740738</v>
      </c>
      <c r="L893" s="8">
        <f t="shared" si="288"/>
        <v>7</v>
      </c>
      <c r="M893" s="7">
        <v>45116.202615740738</v>
      </c>
      <c r="N893" t="s">
        <v>49</v>
      </c>
      <c r="O893" s="34">
        <v>45102.202615740738</v>
      </c>
      <c r="P893" t="s">
        <v>50</v>
      </c>
      <c r="Q893" t="s">
        <v>84</v>
      </c>
      <c r="R893" s="32" t="s">
        <v>7472</v>
      </c>
      <c r="S893" t="s">
        <v>7476</v>
      </c>
      <c r="T893" s="34" t="s">
        <v>7476</v>
      </c>
      <c r="U893" s="34" t="s">
        <v>7476</v>
      </c>
      <c r="V893" s="32">
        <v>45103.202615740738</v>
      </c>
      <c r="W893" s="32" t="s">
        <v>7476</v>
      </c>
      <c r="X893">
        <v>0</v>
      </c>
      <c r="Y893" s="34" t="s">
        <v>7476</v>
      </c>
      <c r="Z893" s="34" t="s">
        <v>7476</v>
      </c>
      <c r="AA893" s="34" t="s">
        <v>7476</v>
      </c>
      <c r="AB893" s="36" t="s">
        <v>52</v>
      </c>
      <c r="AD893" t="s">
        <v>2812</v>
      </c>
      <c r="AE893" t="s">
        <v>2813</v>
      </c>
      <c r="AF893" s="16">
        <v>45088</v>
      </c>
      <c r="AG893" t="s">
        <v>98</v>
      </c>
      <c r="AH893">
        <v>6</v>
      </c>
      <c r="AI893" s="8" t="str">
        <f t="shared" si="298"/>
        <v/>
      </c>
      <c r="AJ893" s="8">
        <f t="shared" si="299"/>
        <v>14.202615740738111</v>
      </c>
      <c r="AK893" s="38">
        <f t="shared" si="289"/>
        <v>45283.202615740738</v>
      </c>
      <c r="AL893" t="str">
        <f t="shared" si="300"/>
        <v/>
      </c>
      <c r="AM893" t="str">
        <f t="shared" si="301"/>
        <v/>
      </c>
      <c r="AN893">
        <f t="shared" si="302"/>
        <v>1</v>
      </c>
      <c r="AO893">
        <f t="shared" si="303"/>
        <v>2</v>
      </c>
      <c r="AP893">
        <f t="shared" si="304"/>
        <v>0</v>
      </c>
      <c r="AQ893" t="str">
        <f t="shared" si="305"/>
        <v/>
      </c>
    </row>
    <row r="894" spans="1:43" x14ac:dyDescent="0.35">
      <c r="A894">
        <v>2188</v>
      </c>
      <c r="B894" t="s">
        <v>2814</v>
      </c>
      <c r="C894" t="s">
        <v>2287</v>
      </c>
      <c r="D894" t="str">
        <f t="shared" si="287"/>
        <v>M and E</v>
      </c>
      <c r="E894" t="s">
        <v>2741</v>
      </c>
      <c r="F894" t="s">
        <v>1046</v>
      </c>
      <c r="G894" t="s">
        <v>2775</v>
      </c>
      <c r="H894" t="s">
        <v>48</v>
      </c>
      <c r="I894" s="32">
        <v>44996.531736111108</v>
      </c>
      <c r="J894" s="32">
        <v>44997.531736111108</v>
      </c>
      <c r="K894" s="32">
        <v>45000.531736111108</v>
      </c>
      <c r="L894" s="8">
        <f t="shared" si="288"/>
        <v>4</v>
      </c>
      <c r="M894" s="7">
        <v>45024.531736111108</v>
      </c>
      <c r="N894" t="s">
        <v>49</v>
      </c>
      <c r="O894" s="34">
        <v>45015.531736111108</v>
      </c>
      <c r="P894" t="s">
        <v>50</v>
      </c>
      <c r="Q894" t="s">
        <v>198</v>
      </c>
      <c r="R894" s="32" t="s">
        <v>7472</v>
      </c>
      <c r="S894" t="s">
        <v>7476</v>
      </c>
      <c r="T894" s="34" t="s">
        <v>7476</v>
      </c>
      <c r="U894" s="34" t="s">
        <v>7476</v>
      </c>
      <c r="V894" s="32">
        <v>45016.531736111108</v>
      </c>
      <c r="W894" s="32" t="s">
        <v>7476</v>
      </c>
      <c r="X894">
        <v>0</v>
      </c>
      <c r="Y894" s="34" t="s">
        <v>7476</v>
      </c>
      <c r="Z894" s="34" t="s">
        <v>7476</v>
      </c>
      <c r="AA894" s="34" t="s">
        <v>7476</v>
      </c>
      <c r="AB894" s="36" t="s">
        <v>95</v>
      </c>
      <c r="AD894" t="s">
        <v>2815</v>
      </c>
      <c r="AE894" t="s">
        <v>2816</v>
      </c>
      <c r="AF894" s="16">
        <v>45009</v>
      </c>
      <c r="AG894" t="s">
        <v>68</v>
      </c>
      <c r="AH894">
        <v>3</v>
      </c>
      <c r="AI894" s="8" t="str">
        <f t="shared" si="298"/>
        <v/>
      </c>
      <c r="AJ894" s="8">
        <f t="shared" si="299"/>
        <v>6.5317361111083301</v>
      </c>
      <c r="AK894" s="38">
        <f t="shared" si="289"/>
        <v>45106.531736111108</v>
      </c>
      <c r="AL894" t="str">
        <f t="shared" si="300"/>
        <v/>
      </c>
      <c r="AM894" t="str">
        <f t="shared" si="301"/>
        <v/>
      </c>
      <c r="AN894">
        <f t="shared" si="302"/>
        <v>1</v>
      </c>
      <c r="AO894">
        <f t="shared" si="303"/>
        <v>1</v>
      </c>
      <c r="AP894">
        <f t="shared" si="304"/>
        <v>0</v>
      </c>
      <c r="AQ894" t="str">
        <f t="shared" si="305"/>
        <v/>
      </c>
    </row>
    <row r="895" spans="1:43" x14ac:dyDescent="0.35">
      <c r="A895">
        <v>2186</v>
      </c>
      <c r="B895" t="s">
        <v>2817</v>
      </c>
      <c r="C895" t="s">
        <v>2260</v>
      </c>
      <c r="D895" t="str">
        <f t="shared" si="287"/>
        <v>M and E</v>
      </c>
      <c r="E895" t="s">
        <v>2741</v>
      </c>
      <c r="F895" t="s">
        <v>1046</v>
      </c>
      <c r="G895" t="s">
        <v>2775</v>
      </c>
      <c r="H895" t="s">
        <v>48</v>
      </c>
      <c r="I895" s="32">
        <v>44996.531736111108</v>
      </c>
      <c r="J895" s="32">
        <v>44997.531736111108</v>
      </c>
      <c r="K895" s="32">
        <v>45000.531736111108</v>
      </c>
      <c r="L895" s="8">
        <f t="shared" si="288"/>
        <v>4</v>
      </c>
      <c r="M895" s="7">
        <v>45019.531736111108</v>
      </c>
      <c r="N895" t="s">
        <v>49</v>
      </c>
      <c r="O895" s="34">
        <v>45012.531736111108</v>
      </c>
      <c r="P895" t="s">
        <v>50</v>
      </c>
      <c r="Q895" t="s">
        <v>198</v>
      </c>
      <c r="R895" s="32" t="s">
        <v>7472</v>
      </c>
      <c r="S895" t="s">
        <v>7476</v>
      </c>
      <c r="T895" s="34" t="s">
        <v>7476</v>
      </c>
      <c r="U895" s="34" t="s">
        <v>7476</v>
      </c>
      <c r="V895" s="32" t="s">
        <v>7476</v>
      </c>
      <c r="W895" s="32" t="s">
        <v>7476</v>
      </c>
      <c r="X895">
        <v>0</v>
      </c>
      <c r="Y895" s="34" t="s">
        <v>7476</v>
      </c>
      <c r="Z895" s="34" t="s">
        <v>7476</v>
      </c>
      <c r="AA895" s="34" t="s">
        <v>7476</v>
      </c>
      <c r="AB895" s="36" t="s">
        <v>52</v>
      </c>
      <c r="AD895" t="s">
        <v>2818</v>
      </c>
      <c r="AE895" t="s">
        <v>2819</v>
      </c>
      <c r="AF895" s="16">
        <v>45233</v>
      </c>
      <c r="AG895" t="s">
        <v>98</v>
      </c>
      <c r="AH895">
        <v>6</v>
      </c>
      <c r="AI895" s="8" t="str">
        <f t="shared" si="298"/>
        <v/>
      </c>
      <c r="AJ895" s="8">
        <f t="shared" si="299"/>
        <v>-220.46826388889167</v>
      </c>
      <c r="AK895" s="38" t="str">
        <f t="shared" si="289"/>
        <v/>
      </c>
      <c r="AL895" t="str">
        <f t="shared" si="300"/>
        <v/>
      </c>
      <c r="AM895" t="str">
        <f t="shared" si="301"/>
        <v/>
      </c>
      <c r="AN895" t="str">
        <f t="shared" si="302"/>
        <v/>
      </c>
      <c r="AO895">
        <f t="shared" si="303"/>
        <v>1</v>
      </c>
      <c r="AP895">
        <f t="shared" si="304"/>
        <v>0</v>
      </c>
      <c r="AQ895" t="str">
        <f t="shared" si="305"/>
        <v/>
      </c>
    </row>
    <row r="896" spans="1:43" x14ac:dyDescent="0.35">
      <c r="A896">
        <v>2185</v>
      </c>
      <c r="B896" t="s">
        <v>2820</v>
      </c>
      <c r="C896" t="s">
        <v>2287</v>
      </c>
      <c r="D896" t="str">
        <f t="shared" si="287"/>
        <v>M and E</v>
      </c>
      <c r="E896" t="s">
        <v>2741</v>
      </c>
      <c r="F896" t="s">
        <v>1046</v>
      </c>
      <c r="G896" t="s">
        <v>2775</v>
      </c>
      <c r="H896" t="s">
        <v>48</v>
      </c>
      <c r="I896" s="32">
        <v>44997.531736111108</v>
      </c>
      <c r="J896" s="32">
        <v>44999.531736111108</v>
      </c>
      <c r="K896" s="32">
        <v>45000.531736111108</v>
      </c>
      <c r="L896" s="8">
        <f t="shared" si="288"/>
        <v>3</v>
      </c>
      <c r="M896" s="7">
        <v>45028.531736111108</v>
      </c>
      <c r="N896" t="s">
        <v>49</v>
      </c>
      <c r="O896" s="34">
        <v>45006.531736111108</v>
      </c>
      <c r="P896" t="s">
        <v>60</v>
      </c>
      <c r="R896" s="32">
        <v>45011.531736111108</v>
      </c>
      <c r="S896" t="s">
        <v>61</v>
      </c>
      <c r="T896" s="34" t="s">
        <v>7476</v>
      </c>
      <c r="U896" s="34" t="s">
        <v>7476</v>
      </c>
      <c r="V896" s="32">
        <v>45008.531736111108</v>
      </c>
      <c r="W896" s="32" t="s">
        <v>7476</v>
      </c>
      <c r="X896">
        <v>0</v>
      </c>
      <c r="Y896" s="34" t="s">
        <v>7476</v>
      </c>
      <c r="Z896" s="34" t="s">
        <v>7476</v>
      </c>
      <c r="AA896" s="34" t="s">
        <v>7476</v>
      </c>
      <c r="AB896" s="36" t="s">
        <v>7476</v>
      </c>
      <c r="AD896" t="s">
        <v>2821</v>
      </c>
      <c r="AE896" t="s">
        <v>2822</v>
      </c>
      <c r="AF896" s="16">
        <v>45110</v>
      </c>
      <c r="AG896" t="s">
        <v>98</v>
      </c>
      <c r="AH896">
        <v>3</v>
      </c>
      <c r="AI896" s="8">
        <f t="shared" si="298"/>
        <v>-98.46826388889167</v>
      </c>
      <c r="AJ896" s="8">
        <f t="shared" si="299"/>
        <v>-103.46826388889167</v>
      </c>
      <c r="AK896" s="38">
        <f t="shared" si="289"/>
        <v>45098.531736111108</v>
      </c>
      <c r="AL896" t="str">
        <f t="shared" si="300"/>
        <v/>
      </c>
      <c r="AM896">
        <f t="shared" si="301"/>
        <v>12</v>
      </c>
      <c r="AN896">
        <f t="shared" si="302"/>
        <v>2</v>
      </c>
      <c r="AO896">
        <f t="shared" si="303"/>
        <v>2</v>
      </c>
      <c r="AP896">
        <f t="shared" si="304"/>
        <v>0</v>
      </c>
      <c r="AQ896" t="str">
        <f t="shared" si="305"/>
        <v/>
      </c>
    </row>
    <row r="897" spans="1:43" x14ac:dyDescent="0.35">
      <c r="A897">
        <v>2077</v>
      </c>
      <c r="B897" t="s">
        <v>2823</v>
      </c>
      <c r="C897" t="s">
        <v>2260</v>
      </c>
      <c r="D897" t="str">
        <f t="shared" si="287"/>
        <v>M and E</v>
      </c>
      <c r="E897" t="s">
        <v>2741</v>
      </c>
      <c r="F897" t="s">
        <v>1046</v>
      </c>
      <c r="G897" t="s">
        <v>2775</v>
      </c>
      <c r="H897" t="s">
        <v>48</v>
      </c>
      <c r="I897" s="32">
        <v>44916.441053240742</v>
      </c>
      <c r="J897" s="32">
        <v>44918.441053240742</v>
      </c>
      <c r="K897" s="32">
        <v>44923.441053240742</v>
      </c>
      <c r="L897" s="8">
        <f t="shared" si="288"/>
        <v>7</v>
      </c>
      <c r="M897" s="7">
        <v>44938.441053240742</v>
      </c>
      <c r="N897" t="s">
        <v>49</v>
      </c>
      <c r="O897" s="34">
        <v>44930.441053240742</v>
      </c>
      <c r="P897" t="s">
        <v>101</v>
      </c>
      <c r="R897" s="32">
        <v>44934.441053240742</v>
      </c>
      <c r="S897" t="s">
        <v>101</v>
      </c>
      <c r="T897" s="34">
        <v>44931.441053240742</v>
      </c>
      <c r="U897" s="34">
        <v>44934.441053240742</v>
      </c>
      <c r="V897" s="32">
        <v>44931.441053240742</v>
      </c>
      <c r="W897" s="32">
        <v>44940.441053240742</v>
      </c>
      <c r="X897">
        <v>1</v>
      </c>
      <c r="Y897" s="34">
        <v>44944.441053240742</v>
      </c>
      <c r="Z897" s="34">
        <v>44947.441053240742</v>
      </c>
      <c r="AA897" s="34">
        <v>44950.441053240742</v>
      </c>
      <c r="AB897" s="36" t="s">
        <v>7476</v>
      </c>
      <c r="AC897" s="10">
        <v>44971.441053240742</v>
      </c>
      <c r="AD897" t="s">
        <v>2824</v>
      </c>
      <c r="AE897" t="s">
        <v>2825</v>
      </c>
      <c r="AF897" s="16">
        <v>44920</v>
      </c>
      <c r="AG897" t="s">
        <v>64</v>
      </c>
      <c r="AH897">
        <v>6</v>
      </c>
      <c r="AI897" s="8">
        <f t="shared" si="298"/>
        <v>14.441053240741894</v>
      </c>
      <c r="AJ897" s="8">
        <f t="shared" si="299"/>
        <v>10.441053240741894</v>
      </c>
      <c r="AK897" s="38">
        <f t="shared" si="289"/>
        <v>45111.441053240742</v>
      </c>
      <c r="AL897">
        <f t="shared" si="300"/>
        <v>7</v>
      </c>
      <c r="AM897">
        <f t="shared" si="301"/>
        <v>16</v>
      </c>
      <c r="AN897">
        <f t="shared" si="302"/>
        <v>1</v>
      </c>
      <c r="AO897">
        <f t="shared" si="303"/>
        <v>2</v>
      </c>
      <c r="AP897">
        <f t="shared" si="304"/>
        <v>44970.441053240742</v>
      </c>
      <c r="AQ897">
        <f t="shared" si="305"/>
        <v>10</v>
      </c>
    </row>
    <row r="898" spans="1:43" x14ac:dyDescent="0.35">
      <c r="A898">
        <v>2016</v>
      </c>
      <c r="B898" t="s">
        <v>2826</v>
      </c>
      <c r="C898" t="s">
        <v>2287</v>
      </c>
      <c r="D898" t="str">
        <f t="shared" ref="D898:D961" si="306">TRIM(C898)</f>
        <v>M and E</v>
      </c>
      <c r="E898" t="s">
        <v>2741</v>
      </c>
      <c r="F898" t="s">
        <v>1046</v>
      </c>
      <c r="G898" t="s">
        <v>2775</v>
      </c>
      <c r="H898" t="s">
        <v>48</v>
      </c>
      <c r="I898" s="32">
        <v>45079.58390046296</v>
      </c>
      <c r="J898" s="32">
        <v>45083.58390046296</v>
      </c>
      <c r="K898" s="32" t="s">
        <v>7473</v>
      </c>
      <c r="L898" s="8" t="str">
        <f t="shared" ref="L898:L961" si="307">IFERROR(K898-I898,"")</f>
        <v/>
      </c>
      <c r="M898" s="7">
        <v>45111.58390046296</v>
      </c>
      <c r="N898" t="s">
        <v>49</v>
      </c>
      <c r="O898" s="34">
        <v>45090.58390046296</v>
      </c>
      <c r="P898" t="s">
        <v>50</v>
      </c>
      <c r="Q898" t="s">
        <v>236</v>
      </c>
      <c r="R898" s="32" t="s">
        <v>7472</v>
      </c>
      <c r="S898" t="s">
        <v>7476</v>
      </c>
      <c r="T898" s="34" t="s">
        <v>7476</v>
      </c>
      <c r="U898" s="34" t="s">
        <v>7476</v>
      </c>
      <c r="V898" s="32">
        <v>45094.58390046296</v>
      </c>
      <c r="W898" s="32" t="s">
        <v>7476</v>
      </c>
      <c r="X898">
        <v>0</v>
      </c>
      <c r="Y898" s="34" t="s">
        <v>7476</v>
      </c>
      <c r="Z898" s="34" t="s">
        <v>7476</v>
      </c>
      <c r="AA898" s="34" t="s">
        <v>7476</v>
      </c>
      <c r="AB898" s="36" t="s">
        <v>52</v>
      </c>
      <c r="AD898" t="s">
        <v>2827</v>
      </c>
      <c r="AE898" t="s">
        <v>2828</v>
      </c>
      <c r="AF898" s="16">
        <v>44932</v>
      </c>
      <c r="AG898" t="s">
        <v>93</v>
      </c>
      <c r="AH898">
        <v>3</v>
      </c>
      <c r="AK898" s="38">
        <f t="shared" si="289"/>
        <v>45184.58390046296</v>
      </c>
    </row>
    <row r="899" spans="1:43" x14ac:dyDescent="0.35">
      <c r="A899">
        <v>2013</v>
      </c>
      <c r="B899" t="s">
        <v>2829</v>
      </c>
      <c r="C899" t="s">
        <v>2260</v>
      </c>
      <c r="D899" t="str">
        <f t="shared" si="306"/>
        <v>M and E</v>
      </c>
      <c r="E899" t="s">
        <v>2741</v>
      </c>
      <c r="F899" t="s">
        <v>1046</v>
      </c>
      <c r="G899" t="s">
        <v>2775</v>
      </c>
      <c r="H899" t="s">
        <v>48</v>
      </c>
      <c r="I899" s="32">
        <v>45082.58390046296</v>
      </c>
      <c r="J899" s="32">
        <v>45084.58390046296</v>
      </c>
      <c r="K899" s="32">
        <v>45086.58390046296</v>
      </c>
      <c r="L899" s="8">
        <f t="shared" si="307"/>
        <v>4</v>
      </c>
      <c r="M899" s="7">
        <v>45091.58390046296</v>
      </c>
      <c r="N899" t="s">
        <v>49</v>
      </c>
      <c r="O899" s="34">
        <v>45094.58390046296</v>
      </c>
      <c r="P899" t="s">
        <v>60</v>
      </c>
      <c r="R899" s="32">
        <v>45099.58390046296</v>
      </c>
      <c r="S899" t="s">
        <v>61</v>
      </c>
      <c r="T899" s="34" t="s">
        <v>7476</v>
      </c>
      <c r="U899" s="34" t="s">
        <v>7476</v>
      </c>
      <c r="V899" s="32">
        <v>45097.58390046296</v>
      </c>
      <c r="W899" s="32" t="s">
        <v>7476</v>
      </c>
      <c r="X899">
        <v>0</v>
      </c>
      <c r="Y899" s="34" t="s">
        <v>7476</v>
      </c>
      <c r="Z899" s="34" t="s">
        <v>7476</v>
      </c>
      <c r="AA899" s="34" t="s">
        <v>7476</v>
      </c>
      <c r="AB899" s="36" t="s">
        <v>7476</v>
      </c>
      <c r="AD899" t="s">
        <v>2830</v>
      </c>
      <c r="AE899" t="s">
        <v>2831</v>
      </c>
      <c r="AF899" s="16">
        <v>45081</v>
      </c>
      <c r="AG899" t="s">
        <v>98</v>
      </c>
      <c r="AH899">
        <v>6</v>
      </c>
      <c r="AI899" s="8">
        <f t="shared" ref="AI899:AI905" si="308">IFERROR(R899-AF899,"")</f>
        <v>18.583900462959718</v>
      </c>
      <c r="AJ899" s="8">
        <f t="shared" ref="AJ899:AJ905" si="309">IFERROR(O899-AF899,"")</f>
        <v>13.583900462959718</v>
      </c>
      <c r="AK899" s="38">
        <f t="shared" ref="AK899:AK962" si="310">IFERROR(V899+(AH899*30),"")</f>
        <v>45277.58390046296</v>
      </c>
      <c r="AL899" t="str">
        <f t="shared" ref="AL899:AL905" si="311">IFERROR(Z899-W899,"")</f>
        <v/>
      </c>
      <c r="AM899">
        <f t="shared" ref="AM899:AM905" si="312">IFERROR(R899-J899,"")</f>
        <v>15</v>
      </c>
      <c r="AN899">
        <f t="shared" ref="AN899:AN905" si="313">IFERROR(V899-O899,"")</f>
        <v>3</v>
      </c>
      <c r="AO899">
        <f t="shared" ref="AO899:AO905" si="314">IFERROR(J899-I899,"")</f>
        <v>2</v>
      </c>
      <c r="AP899">
        <f t="shared" ref="AP899:AP905" si="315">IFERROR(AC899-X899,"")</f>
        <v>0</v>
      </c>
      <c r="AQ899" t="str">
        <f t="shared" ref="AQ899:AQ905" si="316">IFERROR(AA899-W899,"")</f>
        <v/>
      </c>
    </row>
    <row r="900" spans="1:43" x14ac:dyDescent="0.35">
      <c r="A900">
        <v>1944</v>
      </c>
      <c r="B900" t="s">
        <v>2832</v>
      </c>
      <c r="C900" t="s">
        <v>2325</v>
      </c>
      <c r="D900" t="str">
        <f t="shared" si="306"/>
        <v>M and E</v>
      </c>
      <c r="E900" t="s">
        <v>2741</v>
      </c>
      <c r="F900" t="s">
        <v>1046</v>
      </c>
      <c r="G900" t="s">
        <v>2775</v>
      </c>
      <c r="H900" t="s">
        <v>48</v>
      </c>
      <c r="I900" s="32">
        <v>44986.264120370368</v>
      </c>
      <c r="J900" s="32">
        <v>44989.264120370368</v>
      </c>
      <c r="K900" s="32">
        <v>44990.264120370368</v>
      </c>
      <c r="L900" s="8">
        <f t="shared" si="307"/>
        <v>4</v>
      </c>
      <c r="M900" s="7">
        <v>45011.264120370368</v>
      </c>
      <c r="N900" t="s">
        <v>49</v>
      </c>
      <c r="O900" s="34">
        <v>44998.264120370368</v>
      </c>
      <c r="P900" t="s">
        <v>50</v>
      </c>
      <c r="Q900" t="s">
        <v>198</v>
      </c>
      <c r="R900" s="32" t="s">
        <v>7472</v>
      </c>
      <c r="S900" t="s">
        <v>7476</v>
      </c>
      <c r="T900" s="34" t="s">
        <v>7476</v>
      </c>
      <c r="U900" s="34" t="s">
        <v>7476</v>
      </c>
      <c r="V900" s="32" t="s">
        <v>7476</v>
      </c>
      <c r="W900" s="32" t="s">
        <v>7476</v>
      </c>
      <c r="X900">
        <v>0</v>
      </c>
      <c r="Y900" s="34" t="s">
        <v>7476</v>
      </c>
      <c r="Z900" s="34" t="s">
        <v>7476</v>
      </c>
      <c r="AA900" s="34" t="s">
        <v>7476</v>
      </c>
      <c r="AB900" s="36" t="s">
        <v>52</v>
      </c>
      <c r="AD900" t="s">
        <v>2833</v>
      </c>
      <c r="AE900" t="s">
        <v>2834</v>
      </c>
      <c r="AF900" s="16">
        <v>44992</v>
      </c>
      <c r="AG900" t="s">
        <v>64</v>
      </c>
      <c r="AH900">
        <v>6</v>
      </c>
      <c r="AI900" s="8" t="str">
        <f t="shared" si="308"/>
        <v/>
      </c>
      <c r="AJ900" s="8">
        <f t="shared" si="309"/>
        <v>6.2641203703678912</v>
      </c>
      <c r="AK900" s="38" t="str">
        <f t="shared" si="310"/>
        <v/>
      </c>
      <c r="AL900" t="str">
        <f t="shared" si="311"/>
        <v/>
      </c>
      <c r="AM900" t="str">
        <f t="shared" si="312"/>
        <v/>
      </c>
      <c r="AN900" t="str">
        <f t="shared" si="313"/>
        <v/>
      </c>
      <c r="AO900">
        <f t="shared" si="314"/>
        <v>3</v>
      </c>
      <c r="AP900">
        <f t="shared" si="315"/>
        <v>0</v>
      </c>
      <c r="AQ900" t="str">
        <f t="shared" si="316"/>
        <v/>
      </c>
    </row>
    <row r="901" spans="1:43" x14ac:dyDescent="0.35">
      <c r="A901">
        <v>1922</v>
      </c>
      <c r="B901" t="s">
        <v>2835</v>
      </c>
      <c r="C901" t="s">
        <v>2287</v>
      </c>
      <c r="D901" t="str">
        <f t="shared" si="306"/>
        <v>M and E</v>
      </c>
      <c r="E901" t="s">
        <v>2741</v>
      </c>
      <c r="F901" t="s">
        <v>1046</v>
      </c>
      <c r="G901" t="s">
        <v>2775</v>
      </c>
      <c r="H901" t="s">
        <v>48</v>
      </c>
      <c r="I901" s="32">
        <v>44793.391932870371</v>
      </c>
      <c r="J901" s="32">
        <v>44794.391932870371</v>
      </c>
      <c r="K901" s="32">
        <v>44798.391932870371</v>
      </c>
      <c r="L901" s="8">
        <f t="shared" si="307"/>
        <v>5</v>
      </c>
      <c r="M901" s="7">
        <v>44809.391932870371</v>
      </c>
      <c r="N901" t="s">
        <v>49</v>
      </c>
      <c r="O901" s="34">
        <v>44801.391932870371</v>
      </c>
      <c r="P901" t="s">
        <v>392</v>
      </c>
      <c r="R901" s="32">
        <v>44805.391932870371</v>
      </c>
      <c r="S901" t="s">
        <v>392</v>
      </c>
      <c r="T901" s="34" t="s">
        <v>7476</v>
      </c>
      <c r="U901" s="34" t="s">
        <v>7476</v>
      </c>
      <c r="V901" s="32">
        <v>44803.391932870371</v>
      </c>
      <c r="W901" s="32" t="s">
        <v>7476</v>
      </c>
      <c r="X901">
        <v>0</v>
      </c>
      <c r="Y901" s="34" t="s">
        <v>7476</v>
      </c>
      <c r="Z901" s="34" t="s">
        <v>7476</v>
      </c>
      <c r="AA901" s="34" t="s">
        <v>7476</v>
      </c>
      <c r="AB901" s="36" t="s">
        <v>7476</v>
      </c>
      <c r="AD901" t="s">
        <v>2836</v>
      </c>
      <c r="AE901" t="s">
        <v>2837</v>
      </c>
      <c r="AF901" s="16">
        <v>44791</v>
      </c>
      <c r="AG901" t="s">
        <v>64</v>
      </c>
      <c r="AH901">
        <v>3</v>
      </c>
      <c r="AI901" s="8">
        <f t="shared" si="308"/>
        <v>14.39193287037051</v>
      </c>
      <c r="AJ901" s="8">
        <f t="shared" si="309"/>
        <v>10.39193287037051</v>
      </c>
      <c r="AK901" s="38">
        <f t="shared" si="310"/>
        <v>44893.391932870371</v>
      </c>
      <c r="AL901" t="str">
        <f t="shared" si="311"/>
        <v/>
      </c>
      <c r="AM901">
        <f t="shared" si="312"/>
        <v>11</v>
      </c>
      <c r="AN901">
        <f t="shared" si="313"/>
        <v>2</v>
      </c>
      <c r="AO901">
        <f t="shared" si="314"/>
        <v>1</v>
      </c>
      <c r="AP901">
        <f t="shared" si="315"/>
        <v>0</v>
      </c>
      <c r="AQ901" t="str">
        <f t="shared" si="316"/>
        <v/>
      </c>
    </row>
    <row r="902" spans="1:43" x14ac:dyDescent="0.35">
      <c r="A902">
        <v>1834</v>
      </c>
      <c r="B902" t="s">
        <v>2838</v>
      </c>
      <c r="C902" t="s">
        <v>2325</v>
      </c>
      <c r="D902" t="str">
        <f t="shared" si="306"/>
        <v>M and E</v>
      </c>
      <c r="E902" t="s">
        <v>2741</v>
      </c>
      <c r="F902" t="s">
        <v>1046</v>
      </c>
      <c r="G902" t="s">
        <v>2775</v>
      </c>
      <c r="H902" t="s">
        <v>48</v>
      </c>
      <c r="I902" s="32">
        <v>45036.367280092592</v>
      </c>
      <c r="J902" s="32">
        <v>45037.367280092592</v>
      </c>
      <c r="K902" s="32">
        <v>45040.367280092592</v>
      </c>
      <c r="L902" s="8">
        <f t="shared" si="307"/>
        <v>4</v>
      </c>
      <c r="M902" s="7">
        <v>45048.367280092592</v>
      </c>
      <c r="N902" t="s">
        <v>49</v>
      </c>
      <c r="O902" s="34">
        <v>45056.367280092592</v>
      </c>
      <c r="P902" t="s">
        <v>50</v>
      </c>
      <c r="Q902" t="s">
        <v>125</v>
      </c>
      <c r="R902" s="32" t="s">
        <v>7472</v>
      </c>
      <c r="S902" t="s">
        <v>7476</v>
      </c>
      <c r="T902" s="34" t="s">
        <v>7476</v>
      </c>
      <c r="U902" s="34" t="s">
        <v>7476</v>
      </c>
      <c r="V902" s="32" t="s">
        <v>7476</v>
      </c>
      <c r="W902" s="32" t="s">
        <v>7476</v>
      </c>
      <c r="X902">
        <v>0</v>
      </c>
      <c r="Y902" s="34" t="s">
        <v>7476</v>
      </c>
      <c r="Z902" s="34" t="s">
        <v>7476</v>
      </c>
      <c r="AA902" s="34" t="s">
        <v>7476</v>
      </c>
      <c r="AB902" s="36" t="s">
        <v>52</v>
      </c>
      <c r="AD902" t="s">
        <v>2839</v>
      </c>
      <c r="AE902" t="s">
        <v>2840</v>
      </c>
      <c r="AF902" s="16">
        <v>45045</v>
      </c>
      <c r="AG902" t="s">
        <v>68</v>
      </c>
      <c r="AH902">
        <v>3</v>
      </c>
      <c r="AI902" s="8" t="str">
        <f t="shared" si="308"/>
        <v/>
      </c>
      <c r="AJ902" s="8">
        <f t="shared" si="309"/>
        <v>11.367280092592409</v>
      </c>
      <c r="AK902" s="38" t="str">
        <f t="shared" si="310"/>
        <v/>
      </c>
      <c r="AL902" t="str">
        <f t="shared" si="311"/>
        <v/>
      </c>
      <c r="AM902" t="str">
        <f t="shared" si="312"/>
        <v/>
      </c>
      <c r="AN902" t="str">
        <f t="shared" si="313"/>
        <v/>
      </c>
      <c r="AO902">
        <f t="shared" si="314"/>
        <v>1</v>
      </c>
      <c r="AP902">
        <f t="shared" si="315"/>
        <v>0</v>
      </c>
      <c r="AQ902" t="str">
        <f t="shared" si="316"/>
        <v/>
      </c>
    </row>
    <row r="903" spans="1:43" x14ac:dyDescent="0.35">
      <c r="A903">
        <v>1789</v>
      </c>
      <c r="B903" t="s">
        <v>2841</v>
      </c>
      <c r="C903" t="s">
        <v>2287</v>
      </c>
      <c r="D903" t="str">
        <f t="shared" si="306"/>
        <v>M and E</v>
      </c>
      <c r="E903" t="s">
        <v>2741</v>
      </c>
      <c r="F903" t="s">
        <v>1046</v>
      </c>
      <c r="G903" t="s">
        <v>2775</v>
      </c>
      <c r="H903" t="s">
        <v>48</v>
      </c>
      <c r="I903" s="32">
        <v>44661.356493055559</v>
      </c>
      <c r="J903" s="32">
        <v>44662.356493055559</v>
      </c>
      <c r="K903" s="32">
        <v>44665.356493055559</v>
      </c>
      <c r="L903" s="8">
        <f t="shared" si="307"/>
        <v>4</v>
      </c>
      <c r="M903" s="7">
        <v>44680.356493055559</v>
      </c>
      <c r="N903" t="s">
        <v>49</v>
      </c>
      <c r="O903" s="34">
        <v>44668.356493055559</v>
      </c>
      <c r="P903" t="s">
        <v>101</v>
      </c>
      <c r="R903" s="32">
        <v>44673.356493055559</v>
      </c>
      <c r="S903" t="s">
        <v>101</v>
      </c>
      <c r="T903" s="34">
        <v>44670.356493055559</v>
      </c>
      <c r="U903" s="34">
        <v>44673.356493055559</v>
      </c>
      <c r="V903" s="32">
        <v>44671.356493055559</v>
      </c>
      <c r="W903" s="32">
        <v>44677.356493055559</v>
      </c>
      <c r="X903">
        <v>1</v>
      </c>
      <c r="Y903" s="34">
        <v>44681.356493055559</v>
      </c>
      <c r="Z903" s="34">
        <v>44684.356493055559</v>
      </c>
      <c r="AA903" s="34">
        <v>44686.356493055559</v>
      </c>
      <c r="AB903" s="36" t="s">
        <v>7476</v>
      </c>
      <c r="AC903" s="10">
        <v>44703.356493055559</v>
      </c>
      <c r="AD903" t="s">
        <v>2842</v>
      </c>
      <c r="AE903" t="s">
        <v>2843</v>
      </c>
      <c r="AF903" s="16">
        <v>44659</v>
      </c>
      <c r="AG903" t="s">
        <v>98</v>
      </c>
      <c r="AH903">
        <v>3</v>
      </c>
      <c r="AI903" s="8">
        <f t="shared" si="308"/>
        <v>14.356493055558531</v>
      </c>
      <c r="AJ903" s="8">
        <f t="shared" si="309"/>
        <v>9.3564930555585306</v>
      </c>
      <c r="AK903" s="38">
        <f t="shared" si="310"/>
        <v>44761.356493055559</v>
      </c>
      <c r="AL903">
        <f t="shared" si="311"/>
        <v>7</v>
      </c>
      <c r="AM903">
        <f t="shared" si="312"/>
        <v>11</v>
      </c>
      <c r="AN903">
        <f t="shared" si="313"/>
        <v>3</v>
      </c>
      <c r="AO903">
        <f t="shared" si="314"/>
        <v>1</v>
      </c>
      <c r="AP903">
        <f t="shared" si="315"/>
        <v>44702.356493055559</v>
      </c>
      <c r="AQ903">
        <f t="shared" si="316"/>
        <v>9</v>
      </c>
    </row>
    <row r="904" spans="1:43" x14ac:dyDescent="0.35">
      <c r="A904">
        <v>1786</v>
      </c>
      <c r="B904" t="s">
        <v>2844</v>
      </c>
      <c r="C904" t="s">
        <v>2287</v>
      </c>
      <c r="D904" t="str">
        <f t="shared" si="306"/>
        <v>M and E</v>
      </c>
      <c r="E904" t="s">
        <v>2741</v>
      </c>
      <c r="F904" t="s">
        <v>1046</v>
      </c>
      <c r="G904" t="s">
        <v>2775</v>
      </c>
      <c r="H904" t="s">
        <v>48</v>
      </c>
      <c r="I904" s="32">
        <v>44662.356493055559</v>
      </c>
      <c r="J904" s="32">
        <v>44664.356493055559</v>
      </c>
      <c r="K904" s="32">
        <v>44665.356493055559</v>
      </c>
      <c r="L904" s="8">
        <f t="shared" si="307"/>
        <v>3</v>
      </c>
      <c r="M904" s="7">
        <v>44690.356493055559</v>
      </c>
      <c r="N904" t="s">
        <v>72</v>
      </c>
      <c r="O904" s="34" t="s">
        <v>7474</v>
      </c>
      <c r="R904" s="32" t="s">
        <v>7472</v>
      </c>
      <c r="S904" t="s">
        <v>7476</v>
      </c>
      <c r="T904" s="34" t="s">
        <v>7476</v>
      </c>
      <c r="U904" s="34" t="s">
        <v>7476</v>
      </c>
      <c r="V904" s="32" t="s">
        <v>7476</v>
      </c>
      <c r="W904" s="32" t="s">
        <v>7476</v>
      </c>
      <c r="X904">
        <v>0</v>
      </c>
      <c r="Y904" s="34" t="s">
        <v>7476</v>
      </c>
      <c r="Z904" s="34" t="s">
        <v>7476</v>
      </c>
      <c r="AA904" s="34" t="s">
        <v>7476</v>
      </c>
      <c r="AB904" s="36" t="s">
        <v>7476</v>
      </c>
      <c r="AD904" t="s">
        <v>2845</v>
      </c>
      <c r="AE904" t="s">
        <v>2846</v>
      </c>
      <c r="AG904" t="s">
        <v>64</v>
      </c>
      <c r="AH904">
        <v>6</v>
      </c>
      <c r="AI904" s="8" t="str">
        <f t="shared" si="308"/>
        <v/>
      </c>
      <c r="AJ904" s="8" t="str">
        <f t="shared" si="309"/>
        <v/>
      </c>
      <c r="AK904" s="38" t="str">
        <f t="shared" si="310"/>
        <v/>
      </c>
      <c r="AL904" t="str">
        <f t="shared" si="311"/>
        <v/>
      </c>
      <c r="AM904" t="str">
        <f t="shared" si="312"/>
        <v/>
      </c>
      <c r="AN904" t="str">
        <f t="shared" si="313"/>
        <v/>
      </c>
      <c r="AO904">
        <f t="shared" si="314"/>
        <v>2</v>
      </c>
      <c r="AP904">
        <f t="shared" si="315"/>
        <v>0</v>
      </c>
      <c r="AQ904" t="str">
        <f t="shared" si="316"/>
        <v/>
      </c>
    </row>
    <row r="905" spans="1:43" x14ac:dyDescent="0.35">
      <c r="A905">
        <v>1783</v>
      </c>
      <c r="B905" t="s">
        <v>2847</v>
      </c>
      <c r="C905" t="s">
        <v>2325</v>
      </c>
      <c r="D905" t="str">
        <f t="shared" si="306"/>
        <v>M and E</v>
      </c>
      <c r="E905" t="s">
        <v>2741</v>
      </c>
      <c r="F905" t="s">
        <v>1046</v>
      </c>
      <c r="G905" t="s">
        <v>2775</v>
      </c>
      <c r="H905" t="s">
        <v>48</v>
      </c>
      <c r="I905" s="32">
        <v>44659.356493055559</v>
      </c>
      <c r="J905" s="32">
        <v>44663.356493055559</v>
      </c>
      <c r="K905" s="32">
        <v>44665.356493055559</v>
      </c>
      <c r="L905" s="8">
        <f t="shared" si="307"/>
        <v>6</v>
      </c>
      <c r="M905" s="7">
        <v>44686.356493055559</v>
      </c>
      <c r="N905" t="s">
        <v>49</v>
      </c>
      <c r="O905" s="34">
        <v>44673.356493055559</v>
      </c>
      <c r="P905" t="s">
        <v>60</v>
      </c>
      <c r="R905" s="32">
        <v>44678.356493055559</v>
      </c>
      <c r="S905" t="s">
        <v>61</v>
      </c>
      <c r="T905" s="34" t="s">
        <v>7476</v>
      </c>
      <c r="U905" s="34" t="s">
        <v>7476</v>
      </c>
      <c r="V905" s="32">
        <v>44674.356493055559</v>
      </c>
      <c r="W905" s="32" t="s">
        <v>7476</v>
      </c>
      <c r="X905">
        <v>0</v>
      </c>
      <c r="Y905" s="34" t="s">
        <v>7476</v>
      </c>
      <c r="Z905" s="34" t="s">
        <v>7476</v>
      </c>
      <c r="AA905" s="34" t="s">
        <v>7476</v>
      </c>
      <c r="AB905" s="36" t="s">
        <v>7476</v>
      </c>
      <c r="AD905" t="s">
        <v>2848</v>
      </c>
      <c r="AE905" t="s">
        <v>2849</v>
      </c>
      <c r="AF905" s="16">
        <v>44624</v>
      </c>
      <c r="AG905" t="s">
        <v>68</v>
      </c>
      <c r="AH905">
        <v>6</v>
      </c>
      <c r="AI905" s="8">
        <f t="shared" si="308"/>
        <v>54.356493055558531</v>
      </c>
      <c r="AJ905" s="8">
        <f t="shared" si="309"/>
        <v>49.356493055558531</v>
      </c>
      <c r="AK905" s="38">
        <f t="shared" si="310"/>
        <v>44854.356493055559</v>
      </c>
      <c r="AL905" t="str">
        <f t="shared" si="311"/>
        <v/>
      </c>
      <c r="AM905">
        <f t="shared" si="312"/>
        <v>15</v>
      </c>
      <c r="AN905">
        <f t="shared" si="313"/>
        <v>1</v>
      </c>
      <c r="AO905">
        <f t="shared" si="314"/>
        <v>4</v>
      </c>
      <c r="AP905">
        <f t="shared" si="315"/>
        <v>0</v>
      </c>
      <c r="AQ905" t="str">
        <f t="shared" si="316"/>
        <v/>
      </c>
    </row>
    <row r="906" spans="1:43" x14ac:dyDescent="0.35">
      <c r="A906">
        <v>1769</v>
      </c>
      <c r="B906" t="s">
        <v>2850</v>
      </c>
      <c r="C906" t="s">
        <v>2260</v>
      </c>
      <c r="D906" t="str">
        <f t="shared" si="306"/>
        <v>M and E</v>
      </c>
      <c r="E906" t="s">
        <v>2741</v>
      </c>
      <c r="F906" t="s">
        <v>1046</v>
      </c>
      <c r="G906" t="s">
        <v>2775</v>
      </c>
      <c r="H906" t="s">
        <v>48</v>
      </c>
      <c r="I906" s="32">
        <v>45099.652581018519</v>
      </c>
      <c r="J906" s="32" t="s">
        <v>7471</v>
      </c>
      <c r="K906" s="32">
        <v>45105.652581018519</v>
      </c>
      <c r="L906" s="8">
        <f t="shared" si="307"/>
        <v>6</v>
      </c>
      <c r="M906" s="7">
        <v>45115.652581018519</v>
      </c>
      <c r="N906" t="s">
        <v>49</v>
      </c>
      <c r="O906" s="34">
        <v>45109.652581018519</v>
      </c>
      <c r="P906" t="s">
        <v>101</v>
      </c>
      <c r="R906" s="32">
        <v>45115.652581018519</v>
      </c>
      <c r="S906" t="s">
        <v>101</v>
      </c>
      <c r="T906" s="34">
        <v>45111.652581018519</v>
      </c>
      <c r="U906" s="34">
        <v>45115.652581018519</v>
      </c>
      <c r="V906" s="32">
        <v>45111.652581018519</v>
      </c>
      <c r="W906" s="32">
        <v>45121.652581018519</v>
      </c>
      <c r="X906">
        <v>1</v>
      </c>
      <c r="Y906" s="34">
        <v>45123.652581018519</v>
      </c>
      <c r="Z906" s="34">
        <v>45126.652581018519</v>
      </c>
      <c r="AA906" s="34">
        <v>45127.652581018519</v>
      </c>
      <c r="AB906" s="36" t="s">
        <v>7476</v>
      </c>
      <c r="AC906" s="10">
        <v>45149.652581018519</v>
      </c>
      <c r="AD906" t="s">
        <v>2851</v>
      </c>
      <c r="AE906" t="s">
        <v>2852</v>
      </c>
      <c r="AF906" s="16">
        <v>45094</v>
      </c>
      <c r="AG906" t="s">
        <v>75</v>
      </c>
      <c r="AH906">
        <v>6</v>
      </c>
      <c r="AK906" s="38">
        <f t="shared" si="310"/>
        <v>45291.652581018519</v>
      </c>
    </row>
    <row r="907" spans="1:43" x14ac:dyDescent="0.35">
      <c r="A907">
        <v>1762</v>
      </c>
      <c r="B907" t="s">
        <v>2853</v>
      </c>
      <c r="C907" t="s">
        <v>2260</v>
      </c>
      <c r="D907" t="str">
        <f t="shared" si="306"/>
        <v>M and E</v>
      </c>
      <c r="E907" t="s">
        <v>2741</v>
      </c>
      <c r="F907" t="s">
        <v>1046</v>
      </c>
      <c r="G907" t="s">
        <v>2775</v>
      </c>
      <c r="H907" t="s">
        <v>48</v>
      </c>
      <c r="I907" s="32">
        <v>45102.652581018519</v>
      </c>
      <c r="J907" s="32">
        <v>45103.652581018519</v>
      </c>
      <c r="K907" s="32">
        <v>45105.652581018519</v>
      </c>
      <c r="L907" s="8">
        <f t="shared" si="307"/>
        <v>3</v>
      </c>
      <c r="M907" s="7">
        <v>45114.652581018519</v>
      </c>
      <c r="N907" t="s">
        <v>49</v>
      </c>
      <c r="O907" s="34">
        <v>45111.652581018519</v>
      </c>
      <c r="P907" t="s">
        <v>50</v>
      </c>
      <c r="Q907" t="s">
        <v>236</v>
      </c>
      <c r="R907" s="32" t="s">
        <v>7472</v>
      </c>
      <c r="S907" t="s">
        <v>7476</v>
      </c>
      <c r="T907" s="34" t="s">
        <v>7476</v>
      </c>
      <c r="U907" s="34" t="s">
        <v>7476</v>
      </c>
      <c r="V907" s="32" t="s">
        <v>7476</v>
      </c>
      <c r="W907" s="32" t="s">
        <v>7476</v>
      </c>
      <c r="X907">
        <v>0</v>
      </c>
      <c r="Y907" s="34" t="s">
        <v>7476</v>
      </c>
      <c r="Z907" s="34" t="s">
        <v>7476</v>
      </c>
      <c r="AA907" s="34" t="s">
        <v>7476</v>
      </c>
      <c r="AB907" s="36" t="s">
        <v>95</v>
      </c>
      <c r="AD907" t="s">
        <v>2854</v>
      </c>
      <c r="AE907" t="s">
        <v>2855</v>
      </c>
      <c r="AF907" s="16">
        <v>45097</v>
      </c>
      <c r="AG907" t="s">
        <v>68</v>
      </c>
      <c r="AH907">
        <v>3</v>
      </c>
      <c r="AI907" s="8" t="str">
        <f>IFERROR(R907-AF907,"")</f>
        <v/>
      </c>
      <c r="AJ907" s="8">
        <f>IFERROR(O907-AF907,"")</f>
        <v>14.652581018519413</v>
      </c>
      <c r="AK907" s="38" t="str">
        <f t="shared" si="310"/>
        <v/>
      </c>
      <c r="AL907" t="str">
        <f>IFERROR(Z907-W907,"")</f>
        <v/>
      </c>
      <c r="AM907" t="str">
        <f>IFERROR(R907-J907,"")</f>
        <v/>
      </c>
      <c r="AN907" t="str">
        <f>IFERROR(V907-O907,"")</f>
        <v/>
      </c>
      <c r="AO907">
        <f>IFERROR(J907-I907,"")</f>
        <v>1</v>
      </c>
      <c r="AP907">
        <f>IFERROR(AC907-X907,"")</f>
        <v>0</v>
      </c>
      <c r="AQ907" t="str">
        <f>IFERROR(AA907-W907,"")</f>
        <v/>
      </c>
    </row>
    <row r="908" spans="1:43" x14ac:dyDescent="0.35">
      <c r="A908">
        <v>1725</v>
      </c>
      <c r="B908" t="s">
        <v>2856</v>
      </c>
      <c r="C908" t="s">
        <v>2325</v>
      </c>
      <c r="D908" t="str">
        <f t="shared" si="306"/>
        <v>M and E</v>
      </c>
      <c r="E908" t="s">
        <v>2741</v>
      </c>
      <c r="F908" t="s">
        <v>1046</v>
      </c>
      <c r="G908" t="s">
        <v>2775</v>
      </c>
      <c r="H908" t="s">
        <v>48</v>
      </c>
      <c r="I908" s="32">
        <v>44860.500428240739</v>
      </c>
      <c r="J908" s="32">
        <v>44863.500428240739</v>
      </c>
      <c r="K908" s="32" t="s">
        <v>7473</v>
      </c>
      <c r="L908" s="8" t="str">
        <f t="shared" si="307"/>
        <v/>
      </c>
      <c r="M908" s="7">
        <v>44892.500428240739</v>
      </c>
      <c r="N908" t="s">
        <v>49</v>
      </c>
      <c r="O908" s="34">
        <v>44882.500428240739</v>
      </c>
      <c r="P908" t="s">
        <v>50</v>
      </c>
      <c r="Q908" t="s">
        <v>236</v>
      </c>
      <c r="R908" s="32" t="s">
        <v>7472</v>
      </c>
      <c r="S908" t="s">
        <v>7476</v>
      </c>
      <c r="T908" s="34" t="s">
        <v>7476</v>
      </c>
      <c r="U908" s="34" t="s">
        <v>7476</v>
      </c>
      <c r="V908" s="32" t="s">
        <v>7476</v>
      </c>
      <c r="W908" s="32" t="s">
        <v>7476</v>
      </c>
      <c r="X908">
        <v>0</v>
      </c>
      <c r="Y908" s="34" t="s">
        <v>7476</v>
      </c>
      <c r="Z908" s="34" t="s">
        <v>7476</v>
      </c>
      <c r="AA908" s="34" t="s">
        <v>7476</v>
      </c>
      <c r="AB908" s="36" t="s">
        <v>52</v>
      </c>
      <c r="AD908" t="s">
        <v>2857</v>
      </c>
      <c r="AE908" t="s">
        <v>2858</v>
      </c>
      <c r="AF908" s="16">
        <v>44871</v>
      </c>
      <c r="AG908" t="s">
        <v>75</v>
      </c>
      <c r="AH908">
        <v>3</v>
      </c>
      <c r="AK908" s="38" t="str">
        <f t="shared" si="310"/>
        <v/>
      </c>
    </row>
    <row r="909" spans="1:43" x14ac:dyDescent="0.35">
      <c r="A909">
        <v>1723</v>
      </c>
      <c r="B909" t="s">
        <v>2859</v>
      </c>
      <c r="C909" t="s">
        <v>2287</v>
      </c>
      <c r="D909" t="str">
        <f t="shared" si="306"/>
        <v>M and E</v>
      </c>
      <c r="E909" t="s">
        <v>2741</v>
      </c>
      <c r="F909" t="s">
        <v>1046</v>
      </c>
      <c r="G909" t="s">
        <v>2775</v>
      </c>
      <c r="H909" t="s">
        <v>48</v>
      </c>
      <c r="I909" s="32">
        <v>44861.500428240739</v>
      </c>
      <c r="J909" s="32">
        <v>44863.500428240739</v>
      </c>
      <c r="K909" s="32">
        <v>44868.500428240739</v>
      </c>
      <c r="L909" s="8">
        <f t="shared" si="307"/>
        <v>7</v>
      </c>
      <c r="M909" s="7">
        <v>44878.500428240739</v>
      </c>
      <c r="N909" t="s">
        <v>72</v>
      </c>
      <c r="O909" s="34" t="s">
        <v>7474</v>
      </c>
      <c r="R909" s="32" t="s">
        <v>7472</v>
      </c>
      <c r="S909" t="s">
        <v>7476</v>
      </c>
      <c r="T909" s="34" t="s">
        <v>7476</v>
      </c>
      <c r="U909" s="34" t="s">
        <v>7476</v>
      </c>
      <c r="V909" s="32" t="s">
        <v>7476</v>
      </c>
      <c r="W909" s="32" t="s">
        <v>7476</v>
      </c>
      <c r="X909">
        <v>0</v>
      </c>
      <c r="Y909" s="34" t="s">
        <v>7476</v>
      </c>
      <c r="Z909" s="34" t="s">
        <v>7476</v>
      </c>
      <c r="AA909" s="34" t="s">
        <v>7476</v>
      </c>
      <c r="AB909" s="36" t="s">
        <v>7476</v>
      </c>
      <c r="AD909" t="s">
        <v>2860</v>
      </c>
      <c r="AE909" t="s">
        <v>2861</v>
      </c>
      <c r="AG909" t="s">
        <v>98</v>
      </c>
      <c r="AH909">
        <v>3</v>
      </c>
      <c r="AI909" s="8" t="str">
        <f>IFERROR(R909-AF909,"")</f>
        <v/>
      </c>
      <c r="AJ909" s="8" t="str">
        <f>IFERROR(O909-AF909,"")</f>
        <v/>
      </c>
      <c r="AK909" s="38" t="str">
        <f t="shared" si="310"/>
        <v/>
      </c>
      <c r="AL909" t="str">
        <f>IFERROR(Z909-W909,"")</f>
        <v/>
      </c>
      <c r="AM909" t="str">
        <f>IFERROR(R909-J909,"")</f>
        <v/>
      </c>
      <c r="AN909" t="str">
        <f>IFERROR(V909-O909,"")</f>
        <v/>
      </c>
      <c r="AO909">
        <f>IFERROR(J909-I909,"")</f>
        <v>2</v>
      </c>
      <c r="AP909">
        <f>IFERROR(AC909-X909,"")</f>
        <v>0</v>
      </c>
      <c r="AQ909" t="str">
        <f>IFERROR(AA909-W909,"")</f>
        <v/>
      </c>
    </row>
    <row r="910" spans="1:43" x14ac:dyDescent="0.35">
      <c r="A910">
        <v>1622</v>
      </c>
      <c r="B910" t="s">
        <v>2862</v>
      </c>
      <c r="C910" t="s">
        <v>2287</v>
      </c>
      <c r="D910" t="str">
        <f t="shared" si="306"/>
        <v>M and E</v>
      </c>
      <c r="E910" t="s">
        <v>2741</v>
      </c>
      <c r="F910" t="s">
        <v>1046</v>
      </c>
      <c r="G910" t="s">
        <v>2775</v>
      </c>
      <c r="H910" t="s">
        <v>48</v>
      </c>
      <c r="I910" s="32">
        <v>44639.297905092593</v>
      </c>
      <c r="J910" s="32">
        <v>44640.297905092593</v>
      </c>
      <c r="K910" s="32">
        <v>44645.297905092593</v>
      </c>
      <c r="L910" s="8">
        <f t="shared" si="307"/>
        <v>6</v>
      </c>
      <c r="M910" s="7">
        <v>44653.297905092593</v>
      </c>
      <c r="N910" t="s">
        <v>49</v>
      </c>
      <c r="O910" s="34">
        <v>44655.297905092593</v>
      </c>
      <c r="P910" t="s">
        <v>392</v>
      </c>
      <c r="R910" s="32">
        <v>44658.297905092593</v>
      </c>
      <c r="S910" t="s">
        <v>392</v>
      </c>
      <c r="T910" s="34" t="s">
        <v>7476</v>
      </c>
      <c r="U910" s="34" t="s">
        <v>7476</v>
      </c>
      <c r="V910" s="32">
        <v>44657.297905092593</v>
      </c>
      <c r="W910" s="32" t="s">
        <v>7476</v>
      </c>
      <c r="X910">
        <v>0</v>
      </c>
      <c r="Y910" s="34" t="s">
        <v>7476</v>
      </c>
      <c r="Z910" s="34" t="s">
        <v>7476</v>
      </c>
      <c r="AA910" s="34" t="s">
        <v>7476</v>
      </c>
      <c r="AB910" s="36" t="s">
        <v>7476</v>
      </c>
      <c r="AD910" t="s">
        <v>2863</v>
      </c>
      <c r="AE910" t="s">
        <v>2864</v>
      </c>
      <c r="AF910" s="16">
        <v>44640</v>
      </c>
      <c r="AG910" t="s">
        <v>64</v>
      </c>
      <c r="AH910">
        <v>3</v>
      </c>
      <c r="AI910" s="8">
        <f>IFERROR(R910-AF910,"")</f>
        <v>18.297905092593282</v>
      </c>
      <c r="AJ910" s="8">
        <f>IFERROR(O910-AF910,"")</f>
        <v>15.297905092593282</v>
      </c>
      <c r="AK910" s="38">
        <f t="shared" si="310"/>
        <v>44747.297905092593</v>
      </c>
      <c r="AL910" t="str">
        <f>IFERROR(Z910-W910,"")</f>
        <v/>
      </c>
      <c r="AM910">
        <f>IFERROR(R910-J910,"")</f>
        <v>18</v>
      </c>
      <c r="AN910">
        <f>IFERROR(V910-O910,"")</f>
        <v>2</v>
      </c>
      <c r="AO910">
        <f>IFERROR(J910-I910,"")</f>
        <v>1</v>
      </c>
      <c r="AP910">
        <f>IFERROR(AC910-X910,"")</f>
        <v>0</v>
      </c>
      <c r="AQ910" t="str">
        <f>IFERROR(AA910-W910,"")</f>
        <v/>
      </c>
    </row>
    <row r="911" spans="1:43" x14ac:dyDescent="0.35">
      <c r="A911">
        <v>1607</v>
      </c>
      <c r="B911" t="s">
        <v>2865</v>
      </c>
      <c r="C911" t="s">
        <v>2287</v>
      </c>
      <c r="D911" t="str">
        <f t="shared" si="306"/>
        <v>M and E</v>
      </c>
      <c r="E911" t="s">
        <v>2741</v>
      </c>
      <c r="F911" t="s">
        <v>1046</v>
      </c>
      <c r="G911" t="s">
        <v>2775</v>
      </c>
      <c r="H911" t="s">
        <v>48</v>
      </c>
      <c r="I911" s="32">
        <v>44561.819027777783</v>
      </c>
      <c r="J911" s="32">
        <v>44564.819027777783</v>
      </c>
      <c r="K911" s="32">
        <v>44569.819027777783</v>
      </c>
      <c r="L911" s="8">
        <f t="shared" si="307"/>
        <v>8</v>
      </c>
      <c r="M911" s="7">
        <v>44578.819027777783</v>
      </c>
      <c r="N911" t="s">
        <v>49</v>
      </c>
      <c r="O911" s="34">
        <v>44581.819027777783</v>
      </c>
      <c r="P911" t="s">
        <v>50</v>
      </c>
      <c r="Q911" t="s">
        <v>198</v>
      </c>
      <c r="R911" s="32" t="s">
        <v>7472</v>
      </c>
      <c r="S911" t="s">
        <v>7476</v>
      </c>
      <c r="T911" s="34" t="s">
        <v>7476</v>
      </c>
      <c r="U911" s="34" t="s">
        <v>7476</v>
      </c>
      <c r="V911" s="32">
        <v>44584.819027777783</v>
      </c>
      <c r="W911" s="32" t="s">
        <v>7476</v>
      </c>
      <c r="X911">
        <v>0</v>
      </c>
      <c r="Y911" s="34" t="s">
        <v>7476</v>
      </c>
      <c r="Z911" s="34" t="s">
        <v>7476</v>
      </c>
      <c r="AA911" s="34" t="s">
        <v>7476</v>
      </c>
      <c r="AB911" s="36" t="s">
        <v>95</v>
      </c>
      <c r="AD911" t="s">
        <v>2866</v>
      </c>
      <c r="AE911" t="s">
        <v>2867</v>
      </c>
      <c r="AF911" s="16">
        <v>44568</v>
      </c>
      <c r="AG911" t="s">
        <v>98</v>
      </c>
      <c r="AH911">
        <v>3</v>
      </c>
      <c r="AI911" s="8" t="str">
        <f>IFERROR(R911-AF911,"")</f>
        <v/>
      </c>
      <c r="AJ911" s="8">
        <f>IFERROR(O911-AF911,"")</f>
        <v>13.819027777783049</v>
      </c>
      <c r="AK911" s="38">
        <f t="shared" si="310"/>
        <v>44674.819027777783</v>
      </c>
      <c r="AL911" t="str">
        <f>IFERROR(Z911-W911,"")</f>
        <v/>
      </c>
      <c r="AM911" t="str">
        <f>IFERROR(R911-J911,"")</f>
        <v/>
      </c>
      <c r="AN911">
        <f>IFERROR(V911-O911,"")</f>
        <v>3</v>
      </c>
      <c r="AO911">
        <f>IFERROR(J911-I911,"")</f>
        <v>3</v>
      </c>
      <c r="AP911">
        <f>IFERROR(AC911-X911,"")</f>
        <v>0</v>
      </c>
      <c r="AQ911" t="str">
        <f>IFERROR(AA911-W911,"")</f>
        <v/>
      </c>
    </row>
    <row r="912" spans="1:43" x14ac:dyDescent="0.35">
      <c r="A912">
        <v>1606</v>
      </c>
      <c r="B912" t="s">
        <v>2868</v>
      </c>
      <c r="C912" t="s">
        <v>2260</v>
      </c>
      <c r="D912" t="str">
        <f t="shared" si="306"/>
        <v>M and E</v>
      </c>
      <c r="E912" t="s">
        <v>2741</v>
      </c>
      <c r="F912" t="s">
        <v>1046</v>
      </c>
      <c r="G912" t="s">
        <v>2775</v>
      </c>
      <c r="H912" t="s">
        <v>48</v>
      </c>
      <c r="I912" s="32">
        <v>44563.819027777783</v>
      </c>
      <c r="J912" s="32">
        <v>44565.819027777783</v>
      </c>
      <c r="K912" s="32">
        <v>44569.819027777783</v>
      </c>
      <c r="L912" s="8">
        <f t="shared" si="307"/>
        <v>6</v>
      </c>
      <c r="M912" s="7">
        <v>44599.819027777783</v>
      </c>
      <c r="N912" t="s">
        <v>49</v>
      </c>
      <c r="O912" s="34">
        <v>44572.819027777783</v>
      </c>
      <c r="P912" t="s">
        <v>60</v>
      </c>
      <c r="R912" s="32">
        <v>44574.819027777783</v>
      </c>
      <c r="S912" t="s">
        <v>61</v>
      </c>
      <c r="T912" s="34" t="s">
        <v>7476</v>
      </c>
      <c r="U912" s="34" t="s">
        <v>7476</v>
      </c>
      <c r="V912" s="32">
        <v>44573.819027777783</v>
      </c>
      <c r="W912" s="32" t="s">
        <v>7476</v>
      </c>
      <c r="X912">
        <v>0</v>
      </c>
      <c r="Y912" s="34" t="s">
        <v>7476</v>
      </c>
      <c r="Z912" s="34" t="s">
        <v>7476</v>
      </c>
      <c r="AA912" s="34" t="s">
        <v>7476</v>
      </c>
      <c r="AB912" s="36" t="s">
        <v>7476</v>
      </c>
      <c r="AD912" t="s">
        <v>2869</v>
      </c>
      <c r="AE912" t="s">
        <v>2870</v>
      </c>
      <c r="AF912" s="16">
        <v>44554</v>
      </c>
      <c r="AG912" t="s">
        <v>98</v>
      </c>
      <c r="AH912">
        <v>3</v>
      </c>
      <c r="AI912" s="8">
        <f>IFERROR(R912-AF912,"")</f>
        <v>20.819027777783049</v>
      </c>
      <c r="AJ912" s="8">
        <f>IFERROR(O912-AF912,"")</f>
        <v>18.819027777783049</v>
      </c>
      <c r="AK912" s="38">
        <f t="shared" si="310"/>
        <v>44663.819027777783</v>
      </c>
      <c r="AL912" t="str">
        <f>IFERROR(Z912-W912,"")</f>
        <v/>
      </c>
      <c r="AM912">
        <f>IFERROR(R912-J912,"")</f>
        <v>9</v>
      </c>
      <c r="AN912">
        <f>IFERROR(V912-O912,"")</f>
        <v>1</v>
      </c>
      <c r="AO912">
        <f>IFERROR(J912-I912,"")</f>
        <v>2</v>
      </c>
      <c r="AP912">
        <f>IFERROR(AC912-X912,"")</f>
        <v>0</v>
      </c>
      <c r="AQ912" t="str">
        <f>IFERROR(AA912-W912,"")</f>
        <v/>
      </c>
    </row>
    <row r="913" spans="1:43" x14ac:dyDescent="0.35">
      <c r="A913">
        <v>1605</v>
      </c>
      <c r="B913" t="s">
        <v>2871</v>
      </c>
      <c r="C913" t="s">
        <v>2260</v>
      </c>
      <c r="D913" t="str">
        <f t="shared" si="306"/>
        <v>M and E</v>
      </c>
      <c r="E913" t="s">
        <v>2741</v>
      </c>
      <c r="F913" t="s">
        <v>1046</v>
      </c>
      <c r="G913" t="s">
        <v>2775</v>
      </c>
      <c r="H913" t="s">
        <v>48</v>
      </c>
      <c r="I913" s="32" t="s">
        <v>7471</v>
      </c>
      <c r="J913" s="32">
        <v>44564.819027777783</v>
      </c>
      <c r="K913" s="32">
        <v>44569.819027777783</v>
      </c>
      <c r="L913" s="8" t="str">
        <f t="shared" si="307"/>
        <v/>
      </c>
      <c r="M913" s="7">
        <v>44577.819027777783</v>
      </c>
      <c r="N913" t="s">
        <v>72</v>
      </c>
      <c r="O913" s="34" t="s">
        <v>7474</v>
      </c>
      <c r="R913" s="32" t="s">
        <v>7472</v>
      </c>
      <c r="S913" t="s">
        <v>7476</v>
      </c>
      <c r="T913" s="34" t="s">
        <v>7476</v>
      </c>
      <c r="U913" s="34" t="s">
        <v>7476</v>
      </c>
      <c r="V913" s="32" t="s">
        <v>7476</v>
      </c>
      <c r="W913" s="32" t="s">
        <v>7476</v>
      </c>
      <c r="X913">
        <v>0</v>
      </c>
      <c r="Y913" s="34" t="s">
        <v>7476</v>
      </c>
      <c r="Z913" s="34" t="s">
        <v>7476</v>
      </c>
      <c r="AA913" s="34" t="s">
        <v>7476</v>
      </c>
      <c r="AB913" s="36" t="s">
        <v>7476</v>
      </c>
      <c r="AD913" t="s">
        <v>2872</v>
      </c>
      <c r="AE913" t="s">
        <v>2873</v>
      </c>
      <c r="AG913" t="s">
        <v>55</v>
      </c>
      <c r="AH913">
        <v>3</v>
      </c>
      <c r="AK913" s="38" t="str">
        <f t="shared" si="310"/>
        <v/>
      </c>
    </row>
    <row r="914" spans="1:43" x14ac:dyDescent="0.35">
      <c r="A914">
        <v>1601</v>
      </c>
      <c r="B914" t="s">
        <v>2874</v>
      </c>
      <c r="C914" t="s">
        <v>2325</v>
      </c>
      <c r="D914" t="str">
        <f t="shared" si="306"/>
        <v>M and E</v>
      </c>
      <c r="E914" t="s">
        <v>2741</v>
      </c>
      <c r="F914" t="s">
        <v>1046</v>
      </c>
      <c r="G914" t="s">
        <v>2775</v>
      </c>
      <c r="H914" t="s">
        <v>48</v>
      </c>
      <c r="I914" s="32">
        <v>44563.819027777783</v>
      </c>
      <c r="J914" s="32">
        <v>44565.819027777783</v>
      </c>
      <c r="K914" s="32">
        <v>44569.819027777783</v>
      </c>
      <c r="L914" s="8">
        <f t="shared" si="307"/>
        <v>6</v>
      </c>
      <c r="M914" s="7">
        <v>44596.819027777783</v>
      </c>
      <c r="N914" t="s">
        <v>49</v>
      </c>
      <c r="O914" s="34">
        <v>44583.819027777783</v>
      </c>
      <c r="P914" t="s">
        <v>50</v>
      </c>
      <c r="Q914" t="s">
        <v>51</v>
      </c>
      <c r="R914" s="32" t="s">
        <v>7472</v>
      </c>
      <c r="S914" t="s">
        <v>7476</v>
      </c>
      <c r="T914" s="34" t="s">
        <v>7476</v>
      </c>
      <c r="U914" s="34" t="s">
        <v>7476</v>
      </c>
      <c r="V914" s="32">
        <v>44587.819027777783</v>
      </c>
      <c r="W914" s="32" t="s">
        <v>7476</v>
      </c>
      <c r="X914">
        <v>0</v>
      </c>
      <c r="Y914" s="34" t="s">
        <v>7476</v>
      </c>
      <c r="Z914" s="34" t="s">
        <v>7476</v>
      </c>
      <c r="AA914" s="34" t="s">
        <v>7476</v>
      </c>
      <c r="AB914" s="36" t="s">
        <v>52</v>
      </c>
      <c r="AD914" t="s">
        <v>2875</v>
      </c>
      <c r="AE914" t="s">
        <v>2876</v>
      </c>
      <c r="AF914" s="16">
        <v>44571</v>
      </c>
      <c r="AG914" t="s">
        <v>98</v>
      </c>
      <c r="AH914">
        <v>6</v>
      </c>
      <c r="AI914" s="8" t="str">
        <f t="shared" ref="AI914:AI932" si="317">IFERROR(R914-AF914,"")</f>
        <v/>
      </c>
      <c r="AJ914" s="8">
        <f t="shared" ref="AJ914:AJ932" si="318">IFERROR(O914-AF914,"")</f>
        <v>12.819027777783049</v>
      </c>
      <c r="AK914" s="38">
        <f t="shared" si="310"/>
        <v>44767.819027777783</v>
      </c>
      <c r="AL914" t="str">
        <f t="shared" ref="AL914:AL932" si="319">IFERROR(Z914-W914,"")</f>
        <v/>
      </c>
      <c r="AM914" t="str">
        <f t="shared" ref="AM914:AM932" si="320">IFERROR(R914-J914,"")</f>
        <v/>
      </c>
      <c r="AN914">
        <f t="shared" ref="AN914:AN932" si="321">IFERROR(V914-O914,"")</f>
        <v>4</v>
      </c>
      <c r="AO914">
        <f t="shared" ref="AO914:AO932" si="322">IFERROR(J914-I914,"")</f>
        <v>2</v>
      </c>
      <c r="AP914">
        <f t="shared" ref="AP914:AP932" si="323">IFERROR(AC914-X914,"")</f>
        <v>0</v>
      </c>
      <c r="AQ914" t="str">
        <f t="shared" ref="AQ914:AQ932" si="324">IFERROR(AA914-W914,"")</f>
        <v/>
      </c>
    </row>
    <row r="915" spans="1:43" x14ac:dyDescent="0.35">
      <c r="A915">
        <v>1479</v>
      </c>
      <c r="B915" t="s">
        <v>2877</v>
      </c>
      <c r="C915" t="s">
        <v>2287</v>
      </c>
      <c r="D915" t="str">
        <f t="shared" si="306"/>
        <v>M and E</v>
      </c>
      <c r="E915" t="s">
        <v>2741</v>
      </c>
      <c r="F915" t="s">
        <v>1046</v>
      </c>
      <c r="G915" t="s">
        <v>2775</v>
      </c>
      <c r="H915" t="s">
        <v>48</v>
      </c>
      <c r="I915" s="32">
        <v>44951.278946759259</v>
      </c>
      <c r="J915" s="32">
        <v>44952.278946759259</v>
      </c>
      <c r="K915" s="32">
        <v>44954.278946759259</v>
      </c>
      <c r="L915" s="8">
        <f t="shared" si="307"/>
        <v>3</v>
      </c>
      <c r="M915" s="7">
        <v>44979.278946759259</v>
      </c>
      <c r="N915" t="s">
        <v>49</v>
      </c>
      <c r="O915" s="34">
        <v>44958.278946759259</v>
      </c>
      <c r="P915" t="s">
        <v>50</v>
      </c>
      <c r="Q915" t="s">
        <v>198</v>
      </c>
      <c r="R915" s="32" t="s">
        <v>7472</v>
      </c>
      <c r="S915" t="s">
        <v>7476</v>
      </c>
      <c r="T915" s="34" t="s">
        <v>7476</v>
      </c>
      <c r="U915" s="34" t="s">
        <v>7476</v>
      </c>
      <c r="V915" s="32" t="s">
        <v>7476</v>
      </c>
      <c r="W915" s="32" t="s">
        <v>7476</v>
      </c>
      <c r="X915">
        <v>0</v>
      </c>
      <c r="Y915" s="34" t="s">
        <v>7476</v>
      </c>
      <c r="Z915" s="34" t="s">
        <v>7476</v>
      </c>
      <c r="AA915" s="34" t="s">
        <v>7476</v>
      </c>
      <c r="AB915" s="36" t="s">
        <v>95</v>
      </c>
      <c r="AD915" t="s">
        <v>2878</v>
      </c>
      <c r="AE915" t="s">
        <v>2879</v>
      </c>
      <c r="AF915" s="16">
        <v>44949</v>
      </c>
      <c r="AG915" t="s">
        <v>68</v>
      </c>
      <c r="AH915">
        <v>6</v>
      </c>
      <c r="AI915" s="8" t="str">
        <f t="shared" si="317"/>
        <v/>
      </c>
      <c r="AJ915" s="8">
        <f t="shared" si="318"/>
        <v>9.27894675925927</v>
      </c>
      <c r="AK915" s="38" t="str">
        <f t="shared" si="310"/>
        <v/>
      </c>
      <c r="AL915" t="str">
        <f t="shared" si="319"/>
        <v/>
      </c>
      <c r="AM915" t="str">
        <f t="shared" si="320"/>
        <v/>
      </c>
      <c r="AN915" t="str">
        <f t="shared" si="321"/>
        <v/>
      </c>
      <c r="AO915">
        <f t="shared" si="322"/>
        <v>1</v>
      </c>
      <c r="AP915">
        <f t="shared" si="323"/>
        <v>0</v>
      </c>
      <c r="AQ915" t="str">
        <f t="shared" si="324"/>
        <v/>
      </c>
    </row>
    <row r="916" spans="1:43" x14ac:dyDescent="0.35">
      <c r="A916">
        <v>1379</v>
      </c>
      <c r="B916" t="s">
        <v>2880</v>
      </c>
      <c r="C916" t="s">
        <v>2287</v>
      </c>
      <c r="D916" t="str">
        <f t="shared" si="306"/>
        <v>M and E</v>
      </c>
      <c r="E916" t="s">
        <v>2741</v>
      </c>
      <c r="F916" t="s">
        <v>1046</v>
      </c>
      <c r="G916" t="s">
        <v>2775</v>
      </c>
      <c r="H916" t="s">
        <v>48</v>
      </c>
      <c r="I916" s="32">
        <v>44864.130648148152</v>
      </c>
      <c r="J916" s="32">
        <v>44865.130648148152</v>
      </c>
      <c r="K916" s="32">
        <v>44869.130648148152</v>
      </c>
      <c r="L916" s="8">
        <f t="shared" si="307"/>
        <v>5</v>
      </c>
      <c r="M916" s="7">
        <v>44888.130648148152</v>
      </c>
      <c r="N916" t="s">
        <v>49</v>
      </c>
      <c r="O916" s="34">
        <v>44877.130648148152</v>
      </c>
      <c r="P916" t="s">
        <v>50</v>
      </c>
      <c r="Q916" t="s">
        <v>84</v>
      </c>
      <c r="R916" s="32" t="s">
        <v>7472</v>
      </c>
      <c r="S916" t="s">
        <v>7476</v>
      </c>
      <c r="T916" s="34" t="s">
        <v>7476</v>
      </c>
      <c r="U916" s="34" t="s">
        <v>7476</v>
      </c>
      <c r="V916" s="32" t="s">
        <v>7476</v>
      </c>
      <c r="W916" s="32" t="s">
        <v>7476</v>
      </c>
      <c r="X916">
        <v>0</v>
      </c>
      <c r="Y916" s="34" t="s">
        <v>7476</v>
      </c>
      <c r="Z916" s="34" t="s">
        <v>7476</v>
      </c>
      <c r="AA916" s="34" t="s">
        <v>7476</v>
      </c>
      <c r="AB916" s="36" t="s">
        <v>95</v>
      </c>
      <c r="AD916" t="s">
        <v>2881</v>
      </c>
      <c r="AE916" t="s">
        <v>2882</v>
      </c>
      <c r="AF916" s="16">
        <v>44862</v>
      </c>
      <c r="AG916" t="s">
        <v>98</v>
      </c>
      <c r="AH916">
        <v>6</v>
      </c>
      <c r="AI916" s="8" t="str">
        <f t="shared" si="317"/>
        <v/>
      </c>
      <c r="AJ916" s="8">
        <f t="shared" si="318"/>
        <v>15.130648148151522</v>
      </c>
      <c r="AK916" s="38" t="str">
        <f t="shared" si="310"/>
        <v/>
      </c>
      <c r="AL916" t="str">
        <f t="shared" si="319"/>
        <v/>
      </c>
      <c r="AM916" t="str">
        <f t="shared" si="320"/>
        <v/>
      </c>
      <c r="AN916" t="str">
        <f t="shared" si="321"/>
        <v/>
      </c>
      <c r="AO916">
        <f t="shared" si="322"/>
        <v>1</v>
      </c>
      <c r="AP916">
        <f t="shared" si="323"/>
        <v>0</v>
      </c>
      <c r="AQ916" t="str">
        <f t="shared" si="324"/>
        <v/>
      </c>
    </row>
    <row r="917" spans="1:43" x14ac:dyDescent="0.35">
      <c r="A917">
        <v>1377</v>
      </c>
      <c r="B917" t="s">
        <v>2883</v>
      </c>
      <c r="C917" t="s">
        <v>2325</v>
      </c>
      <c r="D917" t="str">
        <f t="shared" si="306"/>
        <v>M and E</v>
      </c>
      <c r="E917" t="s">
        <v>2741</v>
      </c>
      <c r="F917" t="s">
        <v>1046</v>
      </c>
      <c r="G917" t="s">
        <v>2775</v>
      </c>
      <c r="H917" t="s">
        <v>48</v>
      </c>
      <c r="I917" s="32">
        <v>44866.130648148152</v>
      </c>
      <c r="J917" s="32">
        <v>44868.130648148152</v>
      </c>
      <c r="K917" s="32">
        <v>44869.130648148152</v>
      </c>
      <c r="L917" s="8">
        <f t="shared" si="307"/>
        <v>3</v>
      </c>
      <c r="M917" s="7">
        <v>44881.130648148152</v>
      </c>
      <c r="N917" t="s">
        <v>49</v>
      </c>
      <c r="O917" s="34">
        <v>44886.130648148152</v>
      </c>
      <c r="P917" t="s">
        <v>50</v>
      </c>
      <c r="Q917" t="s">
        <v>198</v>
      </c>
      <c r="R917" s="32" t="s">
        <v>7472</v>
      </c>
      <c r="S917" t="s">
        <v>7476</v>
      </c>
      <c r="T917" s="34" t="s">
        <v>7476</v>
      </c>
      <c r="U917" s="34" t="s">
        <v>7476</v>
      </c>
      <c r="V917" s="32" t="s">
        <v>7476</v>
      </c>
      <c r="W917" s="32" t="s">
        <v>7476</v>
      </c>
      <c r="X917">
        <v>0</v>
      </c>
      <c r="Y917" s="34" t="s">
        <v>7476</v>
      </c>
      <c r="Z917" s="34" t="s">
        <v>7476</v>
      </c>
      <c r="AA917" s="34" t="s">
        <v>7476</v>
      </c>
      <c r="AB917" s="36" t="s">
        <v>95</v>
      </c>
      <c r="AD917" t="s">
        <v>2884</v>
      </c>
      <c r="AE917" t="s">
        <v>2885</v>
      </c>
      <c r="AF917" s="16">
        <v>44881</v>
      </c>
      <c r="AG917" t="s">
        <v>98</v>
      </c>
      <c r="AH917">
        <v>3</v>
      </c>
      <c r="AI917" s="8" t="str">
        <f t="shared" si="317"/>
        <v/>
      </c>
      <c r="AJ917" s="8">
        <f t="shared" si="318"/>
        <v>5.130648148151522</v>
      </c>
      <c r="AK917" s="38" t="str">
        <f t="shared" si="310"/>
        <v/>
      </c>
      <c r="AL917" t="str">
        <f t="shared" si="319"/>
        <v/>
      </c>
      <c r="AM917" t="str">
        <f t="shared" si="320"/>
        <v/>
      </c>
      <c r="AN917" t="str">
        <f t="shared" si="321"/>
        <v/>
      </c>
      <c r="AO917">
        <f t="shared" si="322"/>
        <v>2</v>
      </c>
      <c r="AP917">
        <f t="shared" si="323"/>
        <v>0</v>
      </c>
      <c r="AQ917" t="str">
        <f t="shared" si="324"/>
        <v/>
      </c>
    </row>
    <row r="918" spans="1:43" x14ac:dyDescent="0.35">
      <c r="A918">
        <v>1350</v>
      </c>
      <c r="B918" t="s">
        <v>2886</v>
      </c>
      <c r="C918" t="s">
        <v>2287</v>
      </c>
      <c r="D918" t="str">
        <f t="shared" si="306"/>
        <v>M and E</v>
      </c>
      <c r="E918" t="s">
        <v>2741</v>
      </c>
      <c r="F918" t="s">
        <v>1046</v>
      </c>
      <c r="G918" t="s">
        <v>2775</v>
      </c>
      <c r="H918" t="s">
        <v>48</v>
      </c>
      <c r="I918" s="32">
        <v>45092.039097222223</v>
      </c>
      <c r="J918" s="32">
        <v>45095.039097222223</v>
      </c>
      <c r="K918" s="32">
        <v>45100.039097222223</v>
      </c>
      <c r="L918" s="8">
        <f t="shared" si="307"/>
        <v>8</v>
      </c>
      <c r="M918" s="7">
        <v>45114.039097222223</v>
      </c>
      <c r="N918" t="s">
        <v>49</v>
      </c>
      <c r="O918" s="34">
        <v>45104.039097222223</v>
      </c>
      <c r="P918" t="s">
        <v>50</v>
      </c>
      <c r="Q918" t="s">
        <v>51</v>
      </c>
      <c r="R918" s="32" t="s">
        <v>7472</v>
      </c>
      <c r="S918" t="s">
        <v>7476</v>
      </c>
      <c r="T918" s="34" t="s">
        <v>7476</v>
      </c>
      <c r="U918" s="34" t="s">
        <v>7476</v>
      </c>
      <c r="V918" s="32">
        <v>45105.039097222223</v>
      </c>
      <c r="W918" s="32" t="s">
        <v>7476</v>
      </c>
      <c r="X918">
        <v>0</v>
      </c>
      <c r="Y918" s="34" t="s">
        <v>7476</v>
      </c>
      <c r="Z918" s="34" t="s">
        <v>7476</v>
      </c>
      <c r="AA918" s="34" t="s">
        <v>7476</v>
      </c>
      <c r="AB918" s="36" t="s">
        <v>95</v>
      </c>
      <c r="AD918" t="s">
        <v>2887</v>
      </c>
      <c r="AE918" t="s">
        <v>2888</v>
      </c>
      <c r="AF918" s="16">
        <v>45098</v>
      </c>
      <c r="AG918" t="s">
        <v>68</v>
      </c>
      <c r="AH918">
        <v>6</v>
      </c>
      <c r="AI918" s="8" t="str">
        <f t="shared" si="317"/>
        <v/>
      </c>
      <c r="AJ918" s="8">
        <f t="shared" si="318"/>
        <v>6.039097222223063</v>
      </c>
      <c r="AK918" s="38">
        <f t="shared" si="310"/>
        <v>45285.039097222223</v>
      </c>
      <c r="AL918" t="str">
        <f t="shared" si="319"/>
        <v/>
      </c>
      <c r="AM918" t="str">
        <f t="shared" si="320"/>
        <v/>
      </c>
      <c r="AN918">
        <f t="shared" si="321"/>
        <v>1</v>
      </c>
      <c r="AO918">
        <f t="shared" si="322"/>
        <v>3</v>
      </c>
      <c r="AP918">
        <f t="shared" si="323"/>
        <v>0</v>
      </c>
      <c r="AQ918" t="str">
        <f t="shared" si="324"/>
        <v/>
      </c>
    </row>
    <row r="919" spans="1:43" x14ac:dyDescent="0.35">
      <c r="A919">
        <v>1347</v>
      </c>
      <c r="B919" t="s">
        <v>2889</v>
      </c>
      <c r="C919" t="s">
        <v>2260</v>
      </c>
      <c r="D919" t="str">
        <f t="shared" si="306"/>
        <v>M and E</v>
      </c>
      <c r="E919" t="s">
        <v>2741</v>
      </c>
      <c r="F919" t="s">
        <v>1046</v>
      </c>
      <c r="G919" t="s">
        <v>2775</v>
      </c>
      <c r="H919" t="s">
        <v>48</v>
      </c>
      <c r="I919" s="32">
        <v>45094.039097222223</v>
      </c>
      <c r="J919" s="32">
        <v>45097.039097222223</v>
      </c>
      <c r="K919" s="32">
        <v>45100.039097222223</v>
      </c>
      <c r="L919" s="8">
        <f t="shared" si="307"/>
        <v>6</v>
      </c>
      <c r="M919" s="7">
        <v>45124.039097222223</v>
      </c>
      <c r="N919" t="s">
        <v>49</v>
      </c>
      <c r="O919" s="34">
        <v>45105.039097222223</v>
      </c>
      <c r="P919" t="s">
        <v>101</v>
      </c>
      <c r="R919" s="32">
        <v>45109.039097222223</v>
      </c>
      <c r="S919" t="s">
        <v>101</v>
      </c>
      <c r="T919" s="34">
        <v>45106.039097222223</v>
      </c>
      <c r="U919" s="34">
        <v>45108.039097222223</v>
      </c>
      <c r="V919" s="32">
        <v>45108.039097222223</v>
      </c>
      <c r="W919" s="32">
        <v>45117.039097222223</v>
      </c>
      <c r="X919">
        <v>1</v>
      </c>
      <c r="Y919" s="34">
        <v>45119.039097222223</v>
      </c>
      <c r="Z919" s="34">
        <v>45121.039097222223</v>
      </c>
      <c r="AA919" s="34">
        <v>45124.039097222223</v>
      </c>
      <c r="AB919" s="36" t="s">
        <v>7476</v>
      </c>
      <c r="AC919" s="10">
        <v>45141.039097222223</v>
      </c>
      <c r="AD919" t="s">
        <v>2890</v>
      </c>
      <c r="AE919" t="s">
        <v>2891</v>
      </c>
      <c r="AF919" s="16">
        <v>45100</v>
      </c>
      <c r="AG919" t="s">
        <v>64</v>
      </c>
      <c r="AH919">
        <v>3</v>
      </c>
      <c r="AI919" s="8">
        <f t="shared" si="317"/>
        <v>9.039097222223063</v>
      </c>
      <c r="AJ919" s="8">
        <f t="shared" si="318"/>
        <v>5.039097222223063</v>
      </c>
      <c r="AK919" s="38">
        <f t="shared" si="310"/>
        <v>45198.039097222223</v>
      </c>
      <c r="AL919">
        <f t="shared" si="319"/>
        <v>4</v>
      </c>
      <c r="AM919">
        <f t="shared" si="320"/>
        <v>12</v>
      </c>
      <c r="AN919">
        <f t="shared" si="321"/>
        <v>3</v>
      </c>
      <c r="AO919">
        <f t="shared" si="322"/>
        <v>3</v>
      </c>
      <c r="AP919">
        <f t="shared" si="323"/>
        <v>45140.039097222223</v>
      </c>
      <c r="AQ919">
        <f t="shared" si="324"/>
        <v>7</v>
      </c>
    </row>
    <row r="920" spans="1:43" x14ac:dyDescent="0.35">
      <c r="A920">
        <v>1346</v>
      </c>
      <c r="B920" t="s">
        <v>2892</v>
      </c>
      <c r="C920" t="s">
        <v>2260</v>
      </c>
      <c r="D920" t="str">
        <f t="shared" si="306"/>
        <v>M and E</v>
      </c>
      <c r="E920" t="s">
        <v>2741</v>
      </c>
      <c r="F920" t="s">
        <v>1046</v>
      </c>
      <c r="G920" t="s">
        <v>2775</v>
      </c>
      <c r="H920" t="s">
        <v>48</v>
      </c>
      <c r="I920" s="32">
        <v>45097.039097222223</v>
      </c>
      <c r="J920" s="32">
        <v>45099.039097222223</v>
      </c>
      <c r="K920" s="32">
        <v>45100.039097222223</v>
      </c>
      <c r="L920" s="8">
        <f t="shared" si="307"/>
        <v>3</v>
      </c>
      <c r="M920" s="7">
        <v>45117.039097222223</v>
      </c>
      <c r="N920" t="s">
        <v>72</v>
      </c>
      <c r="O920" s="34" t="s">
        <v>7474</v>
      </c>
      <c r="R920" s="32" t="s">
        <v>7472</v>
      </c>
      <c r="S920" t="s">
        <v>7476</v>
      </c>
      <c r="T920" s="34" t="s">
        <v>7476</v>
      </c>
      <c r="U920" s="34" t="s">
        <v>7476</v>
      </c>
      <c r="V920" s="32" t="s">
        <v>7476</v>
      </c>
      <c r="W920" s="32" t="s">
        <v>7476</v>
      </c>
      <c r="X920">
        <v>0</v>
      </c>
      <c r="Y920" s="34" t="s">
        <v>7476</v>
      </c>
      <c r="Z920" s="34" t="s">
        <v>7476</v>
      </c>
      <c r="AA920" s="34" t="s">
        <v>7476</v>
      </c>
      <c r="AB920" s="36" t="s">
        <v>7476</v>
      </c>
      <c r="AD920" t="s">
        <v>2893</v>
      </c>
      <c r="AE920" t="s">
        <v>2894</v>
      </c>
      <c r="AG920" t="s">
        <v>98</v>
      </c>
      <c r="AH920">
        <v>6</v>
      </c>
      <c r="AI920" s="8" t="str">
        <f t="shared" si="317"/>
        <v/>
      </c>
      <c r="AJ920" s="8" t="str">
        <f t="shared" si="318"/>
        <v/>
      </c>
      <c r="AK920" s="38" t="str">
        <f t="shared" si="310"/>
        <v/>
      </c>
      <c r="AL920" t="str">
        <f t="shared" si="319"/>
        <v/>
      </c>
      <c r="AM920" t="str">
        <f t="shared" si="320"/>
        <v/>
      </c>
      <c r="AN920" t="str">
        <f t="shared" si="321"/>
        <v/>
      </c>
      <c r="AO920">
        <f t="shared" si="322"/>
        <v>2</v>
      </c>
      <c r="AP920">
        <f t="shared" si="323"/>
        <v>0</v>
      </c>
      <c r="AQ920" t="str">
        <f t="shared" si="324"/>
        <v/>
      </c>
    </row>
    <row r="921" spans="1:43" x14ac:dyDescent="0.35">
      <c r="A921">
        <v>1341</v>
      </c>
      <c r="B921" t="s">
        <v>2895</v>
      </c>
      <c r="C921" t="s">
        <v>2260</v>
      </c>
      <c r="D921" t="str">
        <f t="shared" si="306"/>
        <v>M and E</v>
      </c>
      <c r="E921" t="s">
        <v>2741</v>
      </c>
      <c r="F921" t="s">
        <v>1046</v>
      </c>
      <c r="G921" t="s">
        <v>2775</v>
      </c>
      <c r="H921" t="s">
        <v>48</v>
      </c>
      <c r="I921" s="32">
        <v>45096.039097222223</v>
      </c>
      <c r="J921" s="32">
        <v>45097.039097222223</v>
      </c>
      <c r="K921" s="32">
        <v>45100.039097222223</v>
      </c>
      <c r="L921" s="8">
        <f t="shared" si="307"/>
        <v>4</v>
      </c>
      <c r="M921" s="7">
        <v>45113.039097222223</v>
      </c>
      <c r="N921" t="s">
        <v>49</v>
      </c>
      <c r="O921" s="34">
        <v>45110.039097222223</v>
      </c>
      <c r="P921" t="s">
        <v>50</v>
      </c>
      <c r="Q921" t="s">
        <v>236</v>
      </c>
      <c r="R921" s="32" t="s">
        <v>7472</v>
      </c>
      <c r="S921" t="s">
        <v>7476</v>
      </c>
      <c r="T921" s="34" t="s">
        <v>7476</v>
      </c>
      <c r="U921" s="34" t="s">
        <v>7476</v>
      </c>
      <c r="V921" s="32">
        <v>45112.039097222223</v>
      </c>
      <c r="W921" s="32" t="s">
        <v>7476</v>
      </c>
      <c r="X921">
        <v>0</v>
      </c>
      <c r="Y921" s="34" t="s">
        <v>7476</v>
      </c>
      <c r="Z921" s="34" t="s">
        <v>7476</v>
      </c>
      <c r="AA921" s="34" t="s">
        <v>7476</v>
      </c>
      <c r="AB921" s="36" t="s">
        <v>52</v>
      </c>
      <c r="AD921" t="s">
        <v>2896</v>
      </c>
      <c r="AE921" t="s">
        <v>2897</v>
      </c>
      <c r="AF921" s="16">
        <v>45095</v>
      </c>
      <c r="AG921" t="s">
        <v>68</v>
      </c>
      <c r="AH921">
        <v>3</v>
      </c>
      <c r="AI921" s="8" t="str">
        <f t="shared" si="317"/>
        <v/>
      </c>
      <c r="AJ921" s="8">
        <f t="shared" si="318"/>
        <v>15.039097222223063</v>
      </c>
      <c r="AK921" s="38">
        <f t="shared" si="310"/>
        <v>45202.039097222223</v>
      </c>
      <c r="AL921" t="str">
        <f t="shared" si="319"/>
        <v/>
      </c>
      <c r="AM921" t="str">
        <f t="shared" si="320"/>
        <v/>
      </c>
      <c r="AN921">
        <f t="shared" si="321"/>
        <v>2</v>
      </c>
      <c r="AO921">
        <f t="shared" si="322"/>
        <v>1</v>
      </c>
      <c r="AP921">
        <f t="shared" si="323"/>
        <v>0</v>
      </c>
      <c r="AQ921" t="str">
        <f t="shared" si="324"/>
        <v/>
      </c>
    </row>
    <row r="922" spans="1:43" x14ac:dyDescent="0.35">
      <c r="A922">
        <v>1095</v>
      </c>
      <c r="B922" t="s">
        <v>2898</v>
      </c>
      <c r="C922" t="s">
        <v>2325</v>
      </c>
      <c r="D922" t="str">
        <f t="shared" si="306"/>
        <v>M and E</v>
      </c>
      <c r="E922" t="s">
        <v>2741</v>
      </c>
      <c r="F922" t="s">
        <v>1046</v>
      </c>
      <c r="G922" t="s">
        <v>2775</v>
      </c>
      <c r="H922" t="s">
        <v>48</v>
      </c>
      <c r="I922" s="32">
        <v>45038.26462962963</v>
      </c>
      <c r="J922" s="32">
        <v>45042.26462962963</v>
      </c>
      <c r="K922" s="32">
        <v>45046.26462962963</v>
      </c>
      <c r="L922" s="8">
        <f t="shared" si="307"/>
        <v>8</v>
      </c>
      <c r="M922" s="7">
        <v>45070.26462962963</v>
      </c>
      <c r="N922" t="s">
        <v>49</v>
      </c>
      <c r="O922" s="34">
        <v>45056.26462962963</v>
      </c>
      <c r="P922" t="s">
        <v>50</v>
      </c>
      <c r="Q922" t="s">
        <v>236</v>
      </c>
      <c r="R922" s="32" t="s">
        <v>7472</v>
      </c>
      <c r="S922" t="s">
        <v>7476</v>
      </c>
      <c r="T922" s="34" t="s">
        <v>7476</v>
      </c>
      <c r="U922" s="34" t="s">
        <v>7476</v>
      </c>
      <c r="V922" s="32">
        <v>45060.26462962963</v>
      </c>
      <c r="W922" s="32" t="s">
        <v>7476</v>
      </c>
      <c r="X922">
        <v>0</v>
      </c>
      <c r="Y922" s="34" t="s">
        <v>7476</v>
      </c>
      <c r="Z922" s="34" t="s">
        <v>7476</v>
      </c>
      <c r="AA922" s="34" t="s">
        <v>7476</v>
      </c>
      <c r="AB922" s="36" t="s">
        <v>52</v>
      </c>
      <c r="AD922" t="s">
        <v>2899</v>
      </c>
      <c r="AE922" t="s">
        <v>2900</v>
      </c>
      <c r="AF922" s="16">
        <v>45048</v>
      </c>
      <c r="AG922" t="s">
        <v>68</v>
      </c>
      <c r="AH922">
        <v>3</v>
      </c>
      <c r="AI922" s="8" t="str">
        <f t="shared" si="317"/>
        <v/>
      </c>
      <c r="AJ922" s="8">
        <f t="shared" si="318"/>
        <v>8.2646296296297805</v>
      </c>
      <c r="AK922" s="38">
        <f t="shared" si="310"/>
        <v>45150.26462962963</v>
      </c>
      <c r="AL922" t="str">
        <f t="shared" si="319"/>
        <v/>
      </c>
      <c r="AM922" t="str">
        <f t="shared" si="320"/>
        <v/>
      </c>
      <c r="AN922">
        <f t="shared" si="321"/>
        <v>4</v>
      </c>
      <c r="AO922">
        <f t="shared" si="322"/>
        <v>4</v>
      </c>
      <c r="AP922">
        <f t="shared" si="323"/>
        <v>0</v>
      </c>
      <c r="AQ922" t="str">
        <f t="shared" si="324"/>
        <v/>
      </c>
    </row>
    <row r="923" spans="1:43" x14ac:dyDescent="0.35">
      <c r="A923">
        <v>1053</v>
      </c>
      <c r="B923" t="s">
        <v>2901</v>
      </c>
      <c r="C923" t="s">
        <v>2260</v>
      </c>
      <c r="D923" t="str">
        <f t="shared" si="306"/>
        <v>M and E</v>
      </c>
      <c r="E923" t="s">
        <v>2741</v>
      </c>
      <c r="F923" t="s">
        <v>1046</v>
      </c>
      <c r="G923" t="s">
        <v>2775</v>
      </c>
      <c r="H923" t="s">
        <v>48</v>
      </c>
      <c r="I923" s="32">
        <v>45155.180486111109</v>
      </c>
      <c r="J923" s="32">
        <v>45158.180486111109</v>
      </c>
      <c r="K923" s="32">
        <v>45163.180486111109</v>
      </c>
      <c r="L923" s="8">
        <f t="shared" si="307"/>
        <v>8</v>
      </c>
      <c r="M923" s="7">
        <v>45173.180486111109</v>
      </c>
      <c r="N923" t="s">
        <v>49</v>
      </c>
      <c r="O923" s="34">
        <v>45176.180486111109</v>
      </c>
      <c r="P923" t="s">
        <v>60</v>
      </c>
      <c r="R923" s="32">
        <v>45181.180486111109</v>
      </c>
      <c r="S923" t="s">
        <v>61</v>
      </c>
      <c r="T923" s="34" t="s">
        <v>7476</v>
      </c>
      <c r="U923" s="34" t="s">
        <v>7476</v>
      </c>
      <c r="V923" s="32">
        <v>45180.180486111109</v>
      </c>
      <c r="W923" s="32" t="s">
        <v>7476</v>
      </c>
      <c r="X923">
        <v>0</v>
      </c>
      <c r="Y923" s="34" t="s">
        <v>7476</v>
      </c>
      <c r="Z923" s="34" t="s">
        <v>7476</v>
      </c>
      <c r="AA923" s="34" t="s">
        <v>7476</v>
      </c>
      <c r="AB923" s="36" t="s">
        <v>7476</v>
      </c>
      <c r="AD923" t="s">
        <v>2902</v>
      </c>
      <c r="AE923" t="s">
        <v>2903</v>
      </c>
      <c r="AF923" s="16">
        <v>45161</v>
      </c>
      <c r="AG923" t="s">
        <v>64</v>
      </c>
      <c r="AH923">
        <v>3</v>
      </c>
      <c r="AI923" s="8">
        <f t="shared" si="317"/>
        <v>20.180486111108621</v>
      </c>
      <c r="AJ923" s="8">
        <f t="shared" si="318"/>
        <v>15.180486111108621</v>
      </c>
      <c r="AK923" s="38">
        <f t="shared" si="310"/>
        <v>45270.180486111109</v>
      </c>
      <c r="AL923" t="str">
        <f t="shared" si="319"/>
        <v/>
      </c>
      <c r="AM923">
        <f t="shared" si="320"/>
        <v>23</v>
      </c>
      <c r="AN923">
        <f t="shared" si="321"/>
        <v>4</v>
      </c>
      <c r="AO923">
        <f t="shared" si="322"/>
        <v>3</v>
      </c>
      <c r="AP923">
        <f t="shared" si="323"/>
        <v>0</v>
      </c>
      <c r="AQ923" t="str">
        <f t="shared" si="324"/>
        <v/>
      </c>
    </row>
    <row r="924" spans="1:43" x14ac:dyDescent="0.35">
      <c r="A924">
        <v>1002</v>
      </c>
      <c r="B924" t="s">
        <v>2904</v>
      </c>
      <c r="C924" t="s">
        <v>2260</v>
      </c>
      <c r="D924" t="str">
        <f t="shared" si="306"/>
        <v>M and E</v>
      </c>
      <c r="E924" t="s">
        <v>2741</v>
      </c>
      <c r="F924" t="s">
        <v>1046</v>
      </c>
      <c r="G924" t="s">
        <v>2775</v>
      </c>
      <c r="H924" t="s">
        <v>48</v>
      </c>
      <c r="I924" s="32">
        <v>44918.68855324074</v>
      </c>
      <c r="J924" s="32">
        <v>44919.68855324074</v>
      </c>
      <c r="K924" s="32">
        <v>44923.68855324074</v>
      </c>
      <c r="L924" s="8">
        <f t="shared" si="307"/>
        <v>5</v>
      </c>
      <c r="M924" s="7">
        <v>44946.68855324074</v>
      </c>
      <c r="N924" t="s">
        <v>72</v>
      </c>
      <c r="O924" s="34" t="s">
        <v>7474</v>
      </c>
      <c r="R924" s="32" t="s">
        <v>7472</v>
      </c>
      <c r="S924" t="s">
        <v>7476</v>
      </c>
      <c r="T924" s="34" t="s">
        <v>7476</v>
      </c>
      <c r="U924" s="34" t="s">
        <v>7476</v>
      </c>
      <c r="V924" s="32" t="s">
        <v>7476</v>
      </c>
      <c r="W924" s="32" t="s">
        <v>7476</v>
      </c>
      <c r="X924">
        <v>0</v>
      </c>
      <c r="Y924" s="34" t="s">
        <v>7476</v>
      </c>
      <c r="Z924" s="34" t="s">
        <v>7476</v>
      </c>
      <c r="AA924" s="34" t="s">
        <v>7476</v>
      </c>
      <c r="AB924" s="36" t="s">
        <v>7476</v>
      </c>
      <c r="AD924" t="s">
        <v>2905</v>
      </c>
      <c r="AE924" t="s">
        <v>2906</v>
      </c>
      <c r="AG924" t="s">
        <v>98</v>
      </c>
      <c r="AH924">
        <v>6</v>
      </c>
      <c r="AI924" s="8" t="str">
        <f t="shared" si="317"/>
        <v/>
      </c>
      <c r="AJ924" s="8" t="str">
        <f t="shared" si="318"/>
        <v/>
      </c>
      <c r="AK924" s="38" t="str">
        <f t="shared" si="310"/>
        <v/>
      </c>
      <c r="AL924" t="str">
        <f t="shared" si="319"/>
        <v/>
      </c>
      <c r="AM924" t="str">
        <f t="shared" si="320"/>
        <v/>
      </c>
      <c r="AN924" t="str">
        <f t="shared" si="321"/>
        <v/>
      </c>
      <c r="AO924">
        <f t="shared" si="322"/>
        <v>1</v>
      </c>
      <c r="AP924">
        <f t="shared" si="323"/>
        <v>0</v>
      </c>
      <c r="AQ924" t="str">
        <f t="shared" si="324"/>
        <v/>
      </c>
    </row>
    <row r="925" spans="1:43" x14ac:dyDescent="0.35">
      <c r="A925">
        <v>984</v>
      </c>
      <c r="B925" t="s">
        <v>2907</v>
      </c>
      <c r="C925" t="s">
        <v>2287</v>
      </c>
      <c r="D925" t="str">
        <f t="shared" si="306"/>
        <v>M and E</v>
      </c>
      <c r="E925" t="s">
        <v>2741</v>
      </c>
      <c r="F925" t="s">
        <v>1046</v>
      </c>
      <c r="G925" t="s">
        <v>2775</v>
      </c>
      <c r="H925" t="s">
        <v>48</v>
      </c>
      <c r="I925" s="32">
        <v>44795.241203703707</v>
      </c>
      <c r="J925" s="32">
        <v>44797.241203703707</v>
      </c>
      <c r="K925" s="32">
        <v>44803.241203703707</v>
      </c>
      <c r="L925" s="8">
        <f t="shared" si="307"/>
        <v>8</v>
      </c>
      <c r="M925" s="7">
        <v>44818.241203703707</v>
      </c>
      <c r="N925" t="s">
        <v>72</v>
      </c>
      <c r="O925" s="34" t="s">
        <v>7474</v>
      </c>
      <c r="R925" s="32" t="s">
        <v>7472</v>
      </c>
      <c r="S925" t="s">
        <v>7476</v>
      </c>
      <c r="T925" s="34" t="s">
        <v>7476</v>
      </c>
      <c r="U925" s="34" t="s">
        <v>7476</v>
      </c>
      <c r="V925" s="32" t="s">
        <v>7476</v>
      </c>
      <c r="W925" s="32" t="s">
        <v>7476</v>
      </c>
      <c r="X925">
        <v>0</v>
      </c>
      <c r="Y925" s="34" t="s">
        <v>7476</v>
      </c>
      <c r="Z925" s="34" t="s">
        <v>7476</v>
      </c>
      <c r="AA925" s="34" t="s">
        <v>7476</v>
      </c>
      <c r="AB925" s="36" t="s">
        <v>7476</v>
      </c>
      <c r="AD925" t="s">
        <v>2908</v>
      </c>
      <c r="AE925" t="s">
        <v>2909</v>
      </c>
      <c r="AG925" t="s">
        <v>64</v>
      </c>
      <c r="AH925">
        <v>3</v>
      </c>
      <c r="AI925" s="8" t="str">
        <f t="shared" si="317"/>
        <v/>
      </c>
      <c r="AJ925" s="8" t="str">
        <f t="shared" si="318"/>
        <v/>
      </c>
      <c r="AK925" s="38" t="str">
        <f t="shared" si="310"/>
        <v/>
      </c>
      <c r="AL925" t="str">
        <f t="shared" si="319"/>
        <v/>
      </c>
      <c r="AM925" t="str">
        <f t="shared" si="320"/>
        <v/>
      </c>
      <c r="AN925" t="str">
        <f t="shared" si="321"/>
        <v/>
      </c>
      <c r="AO925">
        <f t="shared" si="322"/>
        <v>2</v>
      </c>
      <c r="AP925">
        <f t="shared" si="323"/>
        <v>0</v>
      </c>
      <c r="AQ925" t="str">
        <f t="shared" si="324"/>
        <v/>
      </c>
    </row>
    <row r="926" spans="1:43" x14ac:dyDescent="0.35">
      <c r="A926">
        <v>880</v>
      </c>
      <c r="B926" t="s">
        <v>2910</v>
      </c>
      <c r="C926" t="s">
        <v>2325</v>
      </c>
      <c r="D926" t="str">
        <f t="shared" si="306"/>
        <v>M and E</v>
      </c>
      <c r="E926" t="s">
        <v>2741</v>
      </c>
      <c r="F926" t="s">
        <v>1046</v>
      </c>
      <c r="G926" t="s">
        <v>2775</v>
      </c>
      <c r="H926" t="s">
        <v>48</v>
      </c>
      <c r="I926" s="32">
        <v>44759.80777777778</v>
      </c>
      <c r="J926" s="32">
        <v>44763.80777777778</v>
      </c>
      <c r="K926" s="32">
        <v>44768.80777777778</v>
      </c>
      <c r="L926" s="8">
        <f t="shared" si="307"/>
        <v>9</v>
      </c>
      <c r="M926" s="7">
        <v>44781.80777777778</v>
      </c>
      <c r="N926" t="s">
        <v>49</v>
      </c>
      <c r="O926" s="34">
        <v>44774.80777777778</v>
      </c>
      <c r="P926" t="s">
        <v>50</v>
      </c>
      <c r="Q926" t="s">
        <v>84</v>
      </c>
      <c r="R926" s="32" t="s">
        <v>7472</v>
      </c>
      <c r="S926" t="s">
        <v>7476</v>
      </c>
      <c r="T926" s="34" t="s">
        <v>7476</v>
      </c>
      <c r="U926" s="34" t="s">
        <v>7476</v>
      </c>
      <c r="V926" s="32" t="s">
        <v>7476</v>
      </c>
      <c r="W926" s="32" t="s">
        <v>7476</v>
      </c>
      <c r="X926">
        <v>0</v>
      </c>
      <c r="Y926" s="34" t="s">
        <v>7476</v>
      </c>
      <c r="Z926" s="34" t="s">
        <v>7476</v>
      </c>
      <c r="AA926" s="34" t="s">
        <v>7476</v>
      </c>
      <c r="AB926" s="36" t="s">
        <v>52</v>
      </c>
      <c r="AD926" t="s">
        <v>2911</v>
      </c>
      <c r="AE926" t="s">
        <v>2912</v>
      </c>
      <c r="AF926" s="16">
        <v>44760</v>
      </c>
      <c r="AG926" t="s">
        <v>68</v>
      </c>
      <c r="AH926">
        <v>6</v>
      </c>
      <c r="AI926" s="8" t="str">
        <f t="shared" si="317"/>
        <v/>
      </c>
      <c r="AJ926" s="8">
        <f t="shared" si="318"/>
        <v>14.807777777779847</v>
      </c>
      <c r="AK926" s="38" t="str">
        <f t="shared" si="310"/>
        <v/>
      </c>
      <c r="AL926" t="str">
        <f t="shared" si="319"/>
        <v/>
      </c>
      <c r="AM926" t="str">
        <f t="shared" si="320"/>
        <v/>
      </c>
      <c r="AN926" t="str">
        <f t="shared" si="321"/>
        <v/>
      </c>
      <c r="AO926">
        <f t="shared" si="322"/>
        <v>4</v>
      </c>
      <c r="AP926">
        <f t="shared" si="323"/>
        <v>0</v>
      </c>
      <c r="AQ926" t="str">
        <f t="shared" si="324"/>
        <v/>
      </c>
    </row>
    <row r="927" spans="1:43" x14ac:dyDescent="0.35">
      <c r="A927">
        <v>758</v>
      </c>
      <c r="B927" t="s">
        <v>2913</v>
      </c>
      <c r="C927" t="s">
        <v>2325</v>
      </c>
      <c r="D927" t="str">
        <f t="shared" si="306"/>
        <v>M and E</v>
      </c>
      <c r="E927" t="s">
        <v>2741</v>
      </c>
      <c r="F927" t="s">
        <v>1046</v>
      </c>
      <c r="G927" t="s">
        <v>2775</v>
      </c>
      <c r="H927" t="s">
        <v>48</v>
      </c>
      <c r="I927" s="32">
        <v>44940.883877314824</v>
      </c>
      <c r="J927" s="32">
        <v>44943.883877314824</v>
      </c>
      <c r="K927" s="32">
        <v>44947.883877314824</v>
      </c>
      <c r="L927" s="8">
        <f t="shared" si="307"/>
        <v>7</v>
      </c>
      <c r="M927" s="7">
        <v>44973.883877314824</v>
      </c>
      <c r="N927" t="s">
        <v>49</v>
      </c>
      <c r="O927" s="34">
        <v>44956.883877314824</v>
      </c>
      <c r="P927" t="s">
        <v>392</v>
      </c>
      <c r="R927" s="32">
        <v>44962.883877314824</v>
      </c>
      <c r="S927" t="s">
        <v>392</v>
      </c>
      <c r="T927" s="34" t="s">
        <v>7476</v>
      </c>
      <c r="U927" s="34" t="s">
        <v>7476</v>
      </c>
      <c r="V927" s="32">
        <v>44959.883877314824</v>
      </c>
      <c r="W927" s="32" t="s">
        <v>7476</v>
      </c>
      <c r="X927">
        <v>0</v>
      </c>
      <c r="Y927" s="34" t="s">
        <v>7476</v>
      </c>
      <c r="Z927" s="34" t="s">
        <v>7476</v>
      </c>
      <c r="AA927" s="34" t="s">
        <v>7476</v>
      </c>
      <c r="AB927" s="36" t="s">
        <v>7476</v>
      </c>
      <c r="AD927" t="s">
        <v>2914</v>
      </c>
      <c r="AE927" t="s">
        <v>2915</v>
      </c>
      <c r="AF927" s="16">
        <v>44940</v>
      </c>
      <c r="AG927" t="s">
        <v>98</v>
      </c>
      <c r="AH927">
        <v>6</v>
      </c>
      <c r="AI927" s="8">
        <f t="shared" si="317"/>
        <v>22.883877314823621</v>
      </c>
      <c r="AJ927" s="8">
        <f t="shared" si="318"/>
        <v>16.883877314823621</v>
      </c>
      <c r="AK927" s="38">
        <f t="shared" si="310"/>
        <v>45139.883877314824</v>
      </c>
      <c r="AL927" t="str">
        <f t="shared" si="319"/>
        <v/>
      </c>
      <c r="AM927">
        <f t="shared" si="320"/>
        <v>19</v>
      </c>
      <c r="AN927">
        <f t="shared" si="321"/>
        <v>3</v>
      </c>
      <c r="AO927">
        <f t="shared" si="322"/>
        <v>3</v>
      </c>
      <c r="AP927">
        <f t="shared" si="323"/>
        <v>0</v>
      </c>
      <c r="AQ927" t="str">
        <f t="shared" si="324"/>
        <v/>
      </c>
    </row>
    <row r="928" spans="1:43" x14ac:dyDescent="0.35">
      <c r="A928">
        <v>755</v>
      </c>
      <c r="B928" t="s">
        <v>2916</v>
      </c>
      <c r="C928" t="s">
        <v>2287</v>
      </c>
      <c r="D928" t="str">
        <f t="shared" si="306"/>
        <v>M and E</v>
      </c>
      <c r="E928" t="s">
        <v>2741</v>
      </c>
      <c r="F928" t="s">
        <v>1046</v>
      </c>
      <c r="G928" t="s">
        <v>2775</v>
      </c>
      <c r="H928" t="s">
        <v>48</v>
      </c>
      <c r="I928" s="32">
        <v>44942.883877314824</v>
      </c>
      <c r="J928" s="32">
        <v>44946.883877314824</v>
      </c>
      <c r="K928" s="32">
        <v>44947.883877314824</v>
      </c>
      <c r="L928" s="8">
        <f t="shared" si="307"/>
        <v>5</v>
      </c>
      <c r="M928" s="7">
        <v>44958.883877314824</v>
      </c>
      <c r="N928" t="s">
        <v>49</v>
      </c>
      <c r="O928" s="34">
        <v>44965.883877314824</v>
      </c>
      <c r="P928" t="s">
        <v>60</v>
      </c>
      <c r="R928" s="32">
        <v>44970.883877314824</v>
      </c>
      <c r="S928" t="s">
        <v>61</v>
      </c>
      <c r="T928" s="34" t="s">
        <v>7476</v>
      </c>
      <c r="U928" s="34" t="s">
        <v>7476</v>
      </c>
      <c r="V928" s="32">
        <v>44967.883877314824</v>
      </c>
      <c r="W928" s="32" t="s">
        <v>7476</v>
      </c>
      <c r="X928">
        <v>0</v>
      </c>
      <c r="Y928" s="34" t="s">
        <v>7476</v>
      </c>
      <c r="Z928" s="34" t="s">
        <v>7476</v>
      </c>
      <c r="AA928" s="34" t="s">
        <v>7476</v>
      </c>
      <c r="AB928" s="36" t="s">
        <v>7476</v>
      </c>
      <c r="AD928" t="s">
        <v>2917</v>
      </c>
      <c r="AE928" t="s">
        <v>2918</v>
      </c>
      <c r="AF928" s="16">
        <v>44960</v>
      </c>
      <c r="AG928" t="s">
        <v>64</v>
      </c>
      <c r="AH928">
        <v>3</v>
      </c>
      <c r="AI928" s="8">
        <f t="shared" si="317"/>
        <v>10.883877314823621</v>
      </c>
      <c r="AJ928" s="8">
        <f t="shared" si="318"/>
        <v>5.8838773148236214</v>
      </c>
      <c r="AK928" s="38">
        <f t="shared" si="310"/>
        <v>45057.883877314824</v>
      </c>
      <c r="AL928" t="str">
        <f t="shared" si="319"/>
        <v/>
      </c>
      <c r="AM928">
        <f t="shared" si="320"/>
        <v>24</v>
      </c>
      <c r="AN928">
        <f t="shared" si="321"/>
        <v>2</v>
      </c>
      <c r="AO928">
        <f t="shared" si="322"/>
        <v>4</v>
      </c>
      <c r="AP928">
        <f t="shared" si="323"/>
        <v>0</v>
      </c>
      <c r="AQ928" t="str">
        <f t="shared" si="324"/>
        <v/>
      </c>
    </row>
    <row r="929" spans="1:43" x14ac:dyDescent="0.35">
      <c r="A929">
        <v>754</v>
      </c>
      <c r="B929" t="s">
        <v>2919</v>
      </c>
      <c r="C929" t="s">
        <v>2260</v>
      </c>
      <c r="D929" t="str">
        <f t="shared" si="306"/>
        <v>M and E</v>
      </c>
      <c r="E929" t="s">
        <v>2741</v>
      </c>
      <c r="F929" t="s">
        <v>1046</v>
      </c>
      <c r="G929" t="s">
        <v>2775</v>
      </c>
      <c r="H929" t="s">
        <v>48</v>
      </c>
      <c r="I929" s="32">
        <v>44943.883877314824</v>
      </c>
      <c r="J929" s="32">
        <v>44944.883877314824</v>
      </c>
      <c r="K929" s="32">
        <v>44947.883877314824</v>
      </c>
      <c r="L929" s="8">
        <f t="shared" si="307"/>
        <v>4</v>
      </c>
      <c r="M929" s="7">
        <v>44962.883877314824</v>
      </c>
      <c r="N929" t="s">
        <v>49</v>
      </c>
      <c r="O929" s="34">
        <v>44954.883877314824</v>
      </c>
      <c r="P929" t="s">
        <v>60</v>
      </c>
      <c r="R929" s="32">
        <v>44959.883877314824</v>
      </c>
      <c r="S929" t="s">
        <v>61</v>
      </c>
      <c r="T929" s="34" t="s">
        <v>7476</v>
      </c>
      <c r="U929" s="34" t="s">
        <v>7476</v>
      </c>
      <c r="V929" s="32">
        <v>44957.883877314824</v>
      </c>
      <c r="W929" s="32" t="s">
        <v>7476</v>
      </c>
      <c r="X929">
        <v>0</v>
      </c>
      <c r="Y929" s="34" t="s">
        <v>7476</v>
      </c>
      <c r="Z929" s="34" t="s">
        <v>7476</v>
      </c>
      <c r="AA929" s="34" t="s">
        <v>7476</v>
      </c>
      <c r="AB929" s="36" t="s">
        <v>7476</v>
      </c>
      <c r="AD929" t="s">
        <v>2920</v>
      </c>
      <c r="AE929" t="s">
        <v>2921</v>
      </c>
      <c r="AF929" s="16">
        <v>44948</v>
      </c>
      <c r="AG929" t="s">
        <v>68</v>
      </c>
      <c r="AH929">
        <v>3</v>
      </c>
      <c r="AI929" s="8">
        <f t="shared" si="317"/>
        <v>11.883877314823621</v>
      </c>
      <c r="AJ929" s="8">
        <f t="shared" si="318"/>
        <v>6.8838773148236214</v>
      </c>
      <c r="AK929" s="38">
        <f t="shared" si="310"/>
        <v>45047.883877314824</v>
      </c>
      <c r="AL929" t="str">
        <f t="shared" si="319"/>
        <v/>
      </c>
      <c r="AM929">
        <f t="shared" si="320"/>
        <v>15</v>
      </c>
      <c r="AN929">
        <f t="shared" si="321"/>
        <v>3</v>
      </c>
      <c r="AO929">
        <f t="shared" si="322"/>
        <v>1</v>
      </c>
      <c r="AP929">
        <f t="shared" si="323"/>
        <v>0</v>
      </c>
      <c r="AQ929" t="str">
        <f t="shared" si="324"/>
        <v/>
      </c>
    </row>
    <row r="930" spans="1:43" x14ac:dyDescent="0.35">
      <c r="A930">
        <v>692</v>
      </c>
      <c r="B930" t="s">
        <v>2922</v>
      </c>
      <c r="C930" t="s">
        <v>2325</v>
      </c>
      <c r="D930" t="str">
        <f t="shared" si="306"/>
        <v>M and E</v>
      </c>
      <c r="E930" t="s">
        <v>2741</v>
      </c>
      <c r="F930" t="s">
        <v>1046</v>
      </c>
      <c r="G930" t="s">
        <v>2775</v>
      </c>
      <c r="H930" t="s">
        <v>48</v>
      </c>
      <c r="I930" s="32">
        <v>44865.289201388892</v>
      </c>
      <c r="J930" s="32">
        <v>44869.289201388892</v>
      </c>
      <c r="K930" s="32">
        <v>44875.289201388892</v>
      </c>
      <c r="L930" s="8">
        <f t="shared" si="307"/>
        <v>10</v>
      </c>
      <c r="M930" s="7">
        <v>44899.289201388892</v>
      </c>
      <c r="N930" t="s">
        <v>49</v>
      </c>
      <c r="O930" s="34">
        <v>44890.289201388892</v>
      </c>
      <c r="P930" t="s">
        <v>50</v>
      </c>
      <c r="Q930" t="s">
        <v>84</v>
      </c>
      <c r="R930" s="32" t="s">
        <v>7472</v>
      </c>
      <c r="S930" t="s">
        <v>7476</v>
      </c>
      <c r="T930" s="34" t="s">
        <v>7476</v>
      </c>
      <c r="U930" s="34" t="s">
        <v>7476</v>
      </c>
      <c r="V930" s="32" t="s">
        <v>7476</v>
      </c>
      <c r="W930" s="32" t="s">
        <v>7476</v>
      </c>
      <c r="X930">
        <v>0</v>
      </c>
      <c r="Y930" s="34" t="s">
        <v>7476</v>
      </c>
      <c r="Z930" s="34" t="s">
        <v>7476</v>
      </c>
      <c r="AA930" s="34" t="s">
        <v>7476</v>
      </c>
      <c r="AB930" s="36" t="s">
        <v>52</v>
      </c>
      <c r="AD930" t="s">
        <v>2923</v>
      </c>
      <c r="AE930" t="s">
        <v>2924</v>
      </c>
      <c r="AF930" s="16">
        <v>44845</v>
      </c>
      <c r="AG930" t="s">
        <v>98</v>
      </c>
      <c r="AH930">
        <v>6</v>
      </c>
      <c r="AI930" s="8" t="str">
        <f t="shared" si="317"/>
        <v/>
      </c>
      <c r="AJ930" s="8">
        <f t="shared" si="318"/>
        <v>45.289201388892252</v>
      </c>
      <c r="AK930" s="38" t="str">
        <f t="shared" si="310"/>
        <v/>
      </c>
      <c r="AL930" t="str">
        <f t="shared" si="319"/>
        <v/>
      </c>
      <c r="AM930" t="str">
        <f t="shared" si="320"/>
        <v/>
      </c>
      <c r="AN930" t="str">
        <f t="shared" si="321"/>
        <v/>
      </c>
      <c r="AO930">
        <f t="shared" si="322"/>
        <v>4</v>
      </c>
      <c r="AP930">
        <f t="shared" si="323"/>
        <v>0</v>
      </c>
      <c r="AQ930" t="str">
        <f t="shared" si="324"/>
        <v/>
      </c>
    </row>
    <row r="931" spans="1:43" x14ac:dyDescent="0.35">
      <c r="A931">
        <v>559</v>
      </c>
      <c r="B931" t="s">
        <v>2925</v>
      </c>
      <c r="C931" t="s">
        <v>2287</v>
      </c>
      <c r="D931" t="str">
        <f t="shared" si="306"/>
        <v>M and E</v>
      </c>
      <c r="E931" t="s">
        <v>2741</v>
      </c>
      <c r="F931" t="s">
        <v>1046</v>
      </c>
      <c r="G931" t="s">
        <v>2775</v>
      </c>
      <c r="H931" t="s">
        <v>48</v>
      </c>
      <c r="I931" s="32">
        <v>45086.01053240741</v>
      </c>
      <c r="J931" s="32">
        <v>45088.01053240741</v>
      </c>
      <c r="K931" s="32">
        <v>45091.01053240741</v>
      </c>
      <c r="L931" s="8">
        <f t="shared" si="307"/>
        <v>5</v>
      </c>
      <c r="M931" s="7">
        <v>45107.01053240741</v>
      </c>
      <c r="N931" t="s">
        <v>49</v>
      </c>
      <c r="O931" s="34">
        <v>45093.01053240741</v>
      </c>
      <c r="P931" t="s">
        <v>50</v>
      </c>
      <c r="Q931" t="s">
        <v>198</v>
      </c>
      <c r="R931" s="32" t="s">
        <v>7472</v>
      </c>
      <c r="S931" t="s">
        <v>7476</v>
      </c>
      <c r="T931" s="34" t="s">
        <v>7476</v>
      </c>
      <c r="U931" s="34" t="s">
        <v>7476</v>
      </c>
      <c r="V931" s="32" t="s">
        <v>7476</v>
      </c>
      <c r="W931" s="32" t="s">
        <v>7476</v>
      </c>
      <c r="X931">
        <v>0</v>
      </c>
      <c r="Y931" s="34" t="s">
        <v>7476</v>
      </c>
      <c r="Z931" s="34" t="s">
        <v>7476</v>
      </c>
      <c r="AA931" s="34" t="s">
        <v>7476</v>
      </c>
      <c r="AB931" s="36" t="s">
        <v>95</v>
      </c>
      <c r="AD931" t="s">
        <v>2926</v>
      </c>
      <c r="AE931" t="s">
        <v>2927</v>
      </c>
      <c r="AF931" s="16">
        <v>45075</v>
      </c>
      <c r="AG931" t="s">
        <v>64</v>
      </c>
      <c r="AH931">
        <v>3</v>
      </c>
      <c r="AI931" s="8" t="str">
        <f t="shared" si="317"/>
        <v/>
      </c>
      <c r="AJ931" s="8">
        <f t="shared" si="318"/>
        <v>18.01053240741021</v>
      </c>
      <c r="AK931" s="38" t="str">
        <f t="shared" si="310"/>
        <v/>
      </c>
      <c r="AL931" t="str">
        <f t="shared" si="319"/>
        <v/>
      </c>
      <c r="AM931" t="str">
        <f t="shared" si="320"/>
        <v/>
      </c>
      <c r="AN931" t="str">
        <f t="shared" si="321"/>
        <v/>
      </c>
      <c r="AO931">
        <f t="shared" si="322"/>
        <v>2</v>
      </c>
      <c r="AP931">
        <f t="shared" si="323"/>
        <v>0</v>
      </c>
      <c r="AQ931" t="str">
        <f t="shared" si="324"/>
        <v/>
      </c>
    </row>
    <row r="932" spans="1:43" x14ac:dyDescent="0.35">
      <c r="A932">
        <v>553</v>
      </c>
      <c r="B932" t="s">
        <v>2928</v>
      </c>
      <c r="C932" t="s">
        <v>2325</v>
      </c>
      <c r="D932" t="str">
        <f t="shared" si="306"/>
        <v>M and E</v>
      </c>
      <c r="E932" t="s">
        <v>2741</v>
      </c>
      <c r="F932" t="s">
        <v>1046</v>
      </c>
      <c r="G932" t="s">
        <v>2775</v>
      </c>
      <c r="H932" t="s">
        <v>48</v>
      </c>
      <c r="I932" s="32">
        <v>45082.01053240741</v>
      </c>
      <c r="J932" s="32">
        <v>45086.01053240741</v>
      </c>
      <c r="K932" s="32">
        <v>45091.01053240741</v>
      </c>
      <c r="L932" s="8">
        <f t="shared" si="307"/>
        <v>9</v>
      </c>
      <c r="M932" s="7">
        <v>45103.01053240741</v>
      </c>
      <c r="N932" t="s">
        <v>49</v>
      </c>
      <c r="O932" s="34">
        <v>45100.01053240741</v>
      </c>
      <c r="P932" t="s">
        <v>392</v>
      </c>
      <c r="R932" s="32">
        <v>45107.01053240741</v>
      </c>
      <c r="S932" t="s">
        <v>392</v>
      </c>
      <c r="T932" s="34" t="s">
        <v>7476</v>
      </c>
      <c r="U932" s="34" t="s">
        <v>7476</v>
      </c>
      <c r="V932" s="32">
        <v>45104.01053240741</v>
      </c>
      <c r="W932" s="32" t="s">
        <v>7476</v>
      </c>
      <c r="X932">
        <v>0</v>
      </c>
      <c r="Y932" s="34" t="s">
        <v>7476</v>
      </c>
      <c r="Z932" s="34" t="s">
        <v>7476</v>
      </c>
      <c r="AA932" s="34" t="s">
        <v>7476</v>
      </c>
      <c r="AB932" s="36" t="s">
        <v>7476</v>
      </c>
      <c r="AD932" t="s">
        <v>2929</v>
      </c>
      <c r="AE932" t="s">
        <v>2930</v>
      </c>
      <c r="AF932" s="16">
        <v>45090</v>
      </c>
      <c r="AG932" t="s">
        <v>98</v>
      </c>
      <c r="AH932">
        <v>3</v>
      </c>
      <c r="AI932" s="8">
        <f t="shared" si="317"/>
        <v>17.01053240741021</v>
      </c>
      <c r="AJ932" s="8">
        <f t="shared" si="318"/>
        <v>10.01053240741021</v>
      </c>
      <c r="AK932" s="38">
        <f t="shared" si="310"/>
        <v>45194.01053240741</v>
      </c>
      <c r="AL932" t="str">
        <f t="shared" si="319"/>
        <v/>
      </c>
      <c r="AM932">
        <f t="shared" si="320"/>
        <v>21</v>
      </c>
      <c r="AN932">
        <f t="shared" si="321"/>
        <v>4</v>
      </c>
      <c r="AO932">
        <f t="shared" si="322"/>
        <v>4</v>
      </c>
      <c r="AP932">
        <f t="shared" si="323"/>
        <v>0</v>
      </c>
      <c r="AQ932" t="str">
        <f t="shared" si="324"/>
        <v/>
      </c>
    </row>
    <row r="933" spans="1:43" x14ac:dyDescent="0.35">
      <c r="A933">
        <v>552</v>
      </c>
      <c r="B933" t="s">
        <v>2931</v>
      </c>
      <c r="C933" t="s">
        <v>2260</v>
      </c>
      <c r="D933" t="str">
        <f t="shared" si="306"/>
        <v>M and E</v>
      </c>
      <c r="E933" t="s">
        <v>2741</v>
      </c>
      <c r="F933" t="s">
        <v>1046</v>
      </c>
      <c r="G933" t="s">
        <v>2775</v>
      </c>
      <c r="H933" t="s">
        <v>48</v>
      </c>
      <c r="I933" s="32">
        <v>45084.01053240741</v>
      </c>
      <c r="J933" s="32" t="s">
        <v>7471</v>
      </c>
      <c r="K933" s="32">
        <v>45091.01053240741</v>
      </c>
      <c r="L933" s="8">
        <f t="shared" si="307"/>
        <v>7</v>
      </c>
      <c r="M933" s="7">
        <v>45109.01053240741</v>
      </c>
      <c r="N933" t="s">
        <v>49</v>
      </c>
      <c r="O933" s="34">
        <v>45098.01053240741</v>
      </c>
      <c r="P933" t="s">
        <v>50</v>
      </c>
      <c r="Q933" t="s">
        <v>198</v>
      </c>
      <c r="R933" s="32" t="s">
        <v>7472</v>
      </c>
      <c r="S933" t="s">
        <v>7476</v>
      </c>
      <c r="T933" s="34" t="s">
        <v>7476</v>
      </c>
      <c r="U933" s="34" t="s">
        <v>7476</v>
      </c>
      <c r="V933" s="32">
        <v>45101.01053240741</v>
      </c>
      <c r="W933" s="32" t="s">
        <v>7476</v>
      </c>
      <c r="X933">
        <v>0</v>
      </c>
      <c r="Y933" s="34" t="s">
        <v>7476</v>
      </c>
      <c r="Z933" s="34" t="s">
        <v>7476</v>
      </c>
      <c r="AA933" s="34" t="s">
        <v>7476</v>
      </c>
      <c r="AB933" s="36" t="s">
        <v>95</v>
      </c>
      <c r="AD933" t="s">
        <v>2932</v>
      </c>
      <c r="AE933" t="s">
        <v>2933</v>
      </c>
      <c r="AF933" s="16">
        <v>45266</v>
      </c>
      <c r="AG933" t="s">
        <v>64</v>
      </c>
      <c r="AH933">
        <v>3</v>
      </c>
      <c r="AK933" s="38">
        <f t="shared" si="310"/>
        <v>45191.01053240741</v>
      </c>
    </row>
    <row r="934" spans="1:43" x14ac:dyDescent="0.35">
      <c r="A934">
        <v>551</v>
      </c>
      <c r="B934" t="s">
        <v>2934</v>
      </c>
      <c r="C934" t="s">
        <v>2260</v>
      </c>
      <c r="D934" t="str">
        <f t="shared" si="306"/>
        <v>M and E</v>
      </c>
      <c r="E934" t="s">
        <v>2741</v>
      </c>
      <c r="F934" t="s">
        <v>1046</v>
      </c>
      <c r="G934" t="s">
        <v>2775</v>
      </c>
      <c r="H934" t="s">
        <v>48</v>
      </c>
      <c r="I934" s="32">
        <v>45088.01053240741</v>
      </c>
      <c r="J934" s="32">
        <v>45090.01053240741</v>
      </c>
      <c r="K934" s="32">
        <v>45091.01053240741</v>
      </c>
      <c r="L934" s="8">
        <f t="shared" si="307"/>
        <v>3</v>
      </c>
      <c r="M934" s="7">
        <v>45108.01053240741</v>
      </c>
      <c r="N934" t="s">
        <v>49</v>
      </c>
      <c r="O934" s="34">
        <v>45107.01053240741</v>
      </c>
      <c r="P934" t="s">
        <v>60</v>
      </c>
      <c r="R934" s="32">
        <v>45112.01053240741</v>
      </c>
      <c r="S934" t="s">
        <v>61</v>
      </c>
      <c r="T934" s="34" t="s">
        <v>7476</v>
      </c>
      <c r="U934" s="34" t="s">
        <v>7476</v>
      </c>
      <c r="V934" s="32">
        <v>45110.01053240741</v>
      </c>
      <c r="W934" s="32" t="s">
        <v>7476</v>
      </c>
      <c r="X934">
        <v>0</v>
      </c>
      <c r="Y934" s="34" t="s">
        <v>7476</v>
      </c>
      <c r="Z934" s="34" t="s">
        <v>7476</v>
      </c>
      <c r="AA934" s="34" t="s">
        <v>7476</v>
      </c>
      <c r="AB934" s="36" t="s">
        <v>7476</v>
      </c>
      <c r="AD934" t="s">
        <v>2935</v>
      </c>
      <c r="AE934" t="s">
        <v>2936</v>
      </c>
      <c r="AF934" s="16">
        <v>45094</v>
      </c>
      <c r="AG934" t="s">
        <v>64</v>
      </c>
      <c r="AH934">
        <v>3</v>
      </c>
      <c r="AI934" s="8">
        <f>IFERROR(R934-AF934,"")</f>
        <v>18.01053240741021</v>
      </c>
      <c r="AJ934" s="8">
        <f>IFERROR(O934-AF934,"")</f>
        <v>13.01053240741021</v>
      </c>
      <c r="AK934" s="38">
        <f t="shared" si="310"/>
        <v>45200.01053240741</v>
      </c>
      <c r="AL934" t="str">
        <f>IFERROR(Z934-W934,"")</f>
        <v/>
      </c>
      <c r="AM934">
        <f>IFERROR(R934-J934,"")</f>
        <v>22</v>
      </c>
      <c r="AN934">
        <f>IFERROR(V934-O934,"")</f>
        <v>3</v>
      </c>
      <c r="AO934">
        <f>IFERROR(J934-I934,"")</f>
        <v>2</v>
      </c>
      <c r="AP934">
        <f>IFERROR(AC934-X934,"")</f>
        <v>0</v>
      </c>
      <c r="AQ934" t="str">
        <f>IFERROR(AA934-W934,"")</f>
        <v/>
      </c>
    </row>
    <row r="935" spans="1:43" x14ac:dyDescent="0.35">
      <c r="A935">
        <v>547</v>
      </c>
      <c r="B935" t="s">
        <v>2937</v>
      </c>
      <c r="C935" t="s">
        <v>2287</v>
      </c>
      <c r="D935" t="str">
        <f t="shared" si="306"/>
        <v>M and E</v>
      </c>
      <c r="E935" t="s">
        <v>2741</v>
      </c>
      <c r="F935" t="s">
        <v>1046</v>
      </c>
      <c r="G935" t="s">
        <v>2775</v>
      </c>
      <c r="H935" t="s">
        <v>48</v>
      </c>
      <c r="I935" s="32">
        <v>44958.651087962957</v>
      </c>
      <c r="J935" s="32">
        <v>44959.651087962957</v>
      </c>
      <c r="K935" s="32">
        <v>44964.651087962957</v>
      </c>
      <c r="L935" s="8">
        <f t="shared" si="307"/>
        <v>6</v>
      </c>
      <c r="M935" s="7">
        <v>44976.651087962957</v>
      </c>
      <c r="N935" t="s">
        <v>49</v>
      </c>
      <c r="O935" s="34">
        <v>44968.651087962957</v>
      </c>
      <c r="P935" t="s">
        <v>60</v>
      </c>
      <c r="R935" s="32">
        <v>44973.651087962957</v>
      </c>
      <c r="S935" t="s">
        <v>61</v>
      </c>
      <c r="T935" s="34" t="s">
        <v>7476</v>
      </c>
      <c r="U935" s="34" t="s">
        <v>7476</v>
      </c>
      <c r="V935" s="32">
        <v>44971.651087962957</v>
      </c>
      <c r="W935" s="32" t="s">
        <v>7476</v>
      </c>
      <c r="X935">
        <v>0</v>
      </c>
      <c r="Y935" s="34" t="s">
        <v>7476</v>
      </c>
      <c r="Z935" s="34" t="s">
        <v>7476</v>
      </c>
      <c r="AA935" s="34" t="s">
        <v>7476</v>
      </c>
      <c r="AB935" s="36" t="s">
        <v>7476</v>
      </c>
      <c r="AD935" t="s">
        <v>2938</v>
      </c>
      <c r="AE935" t="s">
        <v>2939</v>
      </c>
      <c r="AF935" s="16">
        <v>44950</v>
      </c>
      <c r="AG935" t="s">
        <v>64</v>
      </c>
      <c r="AH935">
        <v>3</v>
      </c>
      <c r="AI935" s="8">
        <f>IFERROR(R935-AF935,"")</f>
        <v>23.651087962956808</v>
      </c>
      <c r="AJ935" s="8">
        <f>IFERROR(O935-AF935,"")</f>
        <v>18.651087962956808</v>
      </c>
      <c r="AK935" s="38">
        <f t="shared" si="310"/>
        <v>45061.651087962957</v>
      </c>
      <c r="AL935" t="str">
        <f>IFERROR(Z935-W935,"")</f>
        <v/>
      </c>
      <c r="AM935">
        <f>IFERROR(R935-J935,"")</f>
        <v>14</v>
      </c>
      <c r="AN935">
        <f>IFERROR(V935-O935,"")</f>
        <v>3</v>
      </c>
      <c r="AO935">
        <f>IFERROR(J935-I935,"")</f>
        <v>1</v>
      </c>
      <c r="AP935">
        <f>IFERROR(AC935-X935,"")</f>
        <v>0</v>
      </c>
      <c r="AQ935" t="str">
        <f>IFERROR(AA935-W935,"")</f>
        <v/>
      </c>
    </row>
    <row r="936" spans="1:43" x14ac:dyDescent="0.35">
      <c r="A936">
        <v>545</v>
      </c>
      <c r="B936" t="s">
        <v>2940</v>
      </c>
      <c r="C936" t="s">
        <v>2325</v>
      </c>
      <c r="D936" t="str">
        <f t="shared" si="306"/>
        <v>M and E</v>
      </c>
      <c r="E936" t="s">
        <v>2741</v>
      </c>
      <c r="F936" t="s">
        <v>1046</v>
      </c>
      <c r="G936" t="s">
        <v>2775</v>
      </c>
      <c r="H936" t="s">
        <v>48</v>
      </c>
      <c r="I936" s="32">
        <v>44958.651087962957</v>
      </c>
      <c r="J936" s="32" t="s">
        <v>7471</v>
      </c>
      <c r="K936" s="32">
        <v>44964.651087962957</v>
      </c>
      <c r="L936" s="8">
        <f t="shared" si="307"/>
        <v>6</v>
      </c>
      <c r="M936" s="7">
        <v>44982.651087962957</v>
      </c>
      <c r="N936" t="s">
        <v>49</v>
      </c>
      <c r="O936" s="34">
        <v>44971.651087962957</v>
      </c>
      <c r="P936" t="s">
        <v>50</v>
      </c>
      <c r="Q936" t="s">
        <v>84</v>
      </c>
      <c r="R936" s="32" t="s">
        <v>7472</v>
      </c>
      <c r="S936" t="s">
        <v>7476</v>
      </c>
      <c r="T936" s="34" t="s">
        <v>7476</v>
      </c>
      <c r="U936" s="34" t="s">
        <v>7476</v>
      </c>
      <c r="V936" s="32" t="s">
        <v>7476</v>
      </c>
      <c r="W936" s="32" t="s">
        <v>7476</v>
      </c>
      <c r="X936">
        <v>0</v>
      </c>
      <c r="Y936" s="34" t="s">
        <v>7476</v>
      </c>
      <c r="Z936" s="34" t="s">
        <v>7476</v>
      </c>
      <c r="AA936" s="34" t="s">
        <v>7476</v>
      </c>
      <c r="AB936" s="36" t="s">
        <v>95</v>
      </c>
      <c r="AD936" t="s">
        <v>2941</v>
      </c>
      <c r="AE936" t="s">
        <v>2942</v>
      </c>
      <c r="AF936" s="16">
        <v>44960</v>
      </c>
      <c r="AG936" t="s">
        <v>75</v>
      </c>
      <c r="AH936">
        <v>3</v>
      </c>
      <c r="AK936" s="38" t="str">
        <f t="shared" si="310"/>
        <v/>
      </c>
    </row>
    <row r="937" spans="1:43" x14ac:dyDescent="0.35">
      <c r="A937">
        <v>541</v>
      </c>
      <c r="B937" t="s">
        <v>2943</v>
      </c>
      <c r="C937" t="s">
        <v>2287</v>
      </c>
      <c r="D937" t="str">
        <f t="shared" si="306"/>
        <v>M and E</v>
      </c>
      <c r="E937" t="s">
        <v>2741</v>
      </c>
      <c r="F937" t="s">
        <v>1046</v>
      </c>
      <c r="G937" t="s">
        <v>2775</v>
      </c>
      <c r="H937" t="s">
        <v>48</v>
      </c>
      <c r="I937" s="32">
        <v>44958.651087962957</v>
      </c>
      <c r="J937" s="32">
        <v>44960.651087962957</v>
      </c>
      <c r="K937" s="32">
        <v>44964.651087962957</v>
      </c>
      <c r="L937" s="8">
        <f t="shared" si="307"/>
        <v>6</v>
      </c>
      <c r="M937" s="7">
        <v>44981.651087962957</v>
      </c>
      <c r="N937" t="s">
        <v>49</v>
      </c>
      <c r="O937" s="34">
        <v>44978.651087962957</v>
      </c>
      <c r="P937" t="s">
        <v>50</v>
      </c>
      <c r="Q937" t="s">
        <v>236</v>
      </c>
      <c r="R937" s="32" t="s">
        <v>7472</v>
      </c>
      <c r="S937" t="s">
        <v>7476</v>
      </c>
      <c r="T937" s="34" t="s">
        <v>7476</v>
      </c>
      <c r="U937" s="34" t="s">
        <v>7476</v>
      </c>
      <c r="V937" s="32">
        <v>44980.651087962957</v>
      </c>
      <c r="W937" s="32" t="s">
        <v>7476</v>
      </c>
      <c r="X937">
        <v>0</v>
      </c>
      <c r="Y937" s="34" t="s">
        <v>7476</v>
      </c>
      <c r="Z937" s="34" t="s">
        <v>7476</v>
      </c>
      <c r="AA937" s="34" t="s">
        <v>7476</v>
      </c>
      <c r="AB937" s="36" t="s">
        <v>52</v>
      </c>
      <c r="AD937" t="s">
        <v>2944</v>
      </c>
      <c r="AE937" t="s">
        <v>2945</v>
      </c>
      <c r="AF937" s="16">
        <v>44969</v>
      </c>
      <c r="AG937" t="s">
        <v>68</v>
      </c>
      <c r="AH937">
        <v>3</v>
      </c>
      <c r="AI937" s="8" t="str">
        <f t="shared" ref="AI937:AI942" si="325">IFERROR(R937-AF937,"")</f>
        <v/>
      </c>
      <c r="AJ937" s="8">
        <f t="shared" ref="AJ937:AJ942" si="326">IFERROR(O937-AF937,"")</f>
        <v>9.651087962956808</v>
      </c>
      <c r="AK937" s="38">
        <f t="shared" si="310"/>
        <v>45070.651087962957</v>
      </c>
      <c r="AL937" t="str">
        <f t="shared" ref="AL937:AL942" si="327">IFERROR(Z937-W937,"")</f>
        <v/>
      </c>
      <c r="AM937" t="str">
        <f t="shared" ref="AM937:AM942" si="328">IFERROR(R937-J937,"")</f>
        <v/>
      </c>
      <c r="AN937">
        <f t="shared" ref="AN937:AN942" si="329">IFERROR(V937-O937,"")</f>
        <v>2</v>
      </c>
      <c r="AO937">
        <f t="shared" ref="AO937:AO942" si="330">IFERROR(J937-I937,"")</f>
        <v>2</v>
      </c>
      <c r="AP937">
        <f t="shared" ref="AP937:AP942" si="331">IFERROR(AC937-X937,"")</f>
        <v>0</v>
      </c>
      <c r="AQ937" t="str">
        <f t="shared" ref="AQ937:AQ942" si="332">IFERROR(AA937-W937,"")</f>
        <v/>
      </c>
    </row>
    <row r="938" spans="1:43" x14ac:dyDescent="0.35">
      <c r="A938">
        <v>2982</v>
      </c>
      <c r="B938" t="s">
        <v>2946</v>
      </c>
      <c r="C938" t="s">
        <v>2260</v>
      </c>
      <c r="D938" t="str">
        <f t="shared" si="306"/>
        <v>M and E</v>
      </c>
      <c r="E938" t="s">
        <v>2947</v>
      </c>
      <c r="F938" t="s">
        <v>2000</v>
      </c>
      <c r="G938" t="s">
        <v>2262</v>
      </c>
      <c r="H938" t="s">
        <v>80</v>
      </c>
      <c r="I938" s="32">
        <v>44922.987974537027</v>
      </c>
      <c r="J938" s="32">
        <v>44926.987974537027</v>
      </c>
      <c r="K938" s="32">
        <v>44934.987974537027</v>
      </c>
      <c r="L938" s="8">
        <f t="shared" si="307"/>
        <v>12</v>
      </c>
      <c r="M938" s="7">
        <v>44943.987974537027</v>
      </c>
      <c r="N938" t="s">
        <v>72</v>
      </c>
      <c r="O938" s="34" t="s">
        <v>7474</v>
      </c>
      <c r="R938" s="32" t="s">
        <v>7472</v>
      </c>
      <c r="S938" t="s">
        <v>7476</v>
      </c>
      <c r="T938" s="34" t="s">
        <v>7476</v>
      </c>
      <c r="U938" s="34" t="s">
        <v>7476</v>
      </c>
      <c r="V938" s="32" t="s">
        <v>7476</v>
      </c>
      <c r="W938" s="32" t="s">
        <v>7476</v>
      </c>
      <c r="X938">
        <v>0</v>
      </c>
      <c r="Y938" s="34" t="s">
        <v>7476</v>
      </c>
      <c r="Z938" s="34" t="s">
        <v>7476</v>
      </c>
      <c r="AA938" s="34" t="s">
        <v>7476</v>
      </c>
      <c r="AB938" s="36" t="s">
        <v>7476</v>
      </c>
      <c r="AD938" t="s">
        <v>2948</v>
      </c>
      <c r="AE938" t="s">
        <v>2949</v>
      </c>
      <c r="AG938" t="s">
        <v>68</v>
      </c>
      <c r="AH938">
        <v>6</v>
      </c>
      <c r="AI938" s="8" t="str">
        <f t="shared" si="325"/>
        <v/>
      </c>
      <c r="AJ938" s="8" t="str">
        <f t="shared" si="326"/>
        <v/>
      </c>
      <c r="AK938" s="38" t="str">
        <f t="shared" si="310"/>
        <v/>
      </c>
      <c r="AL938" t="str">
        <f t="shared" si="327"/>
        <v/>
      </c>
      <c r="AM938" t="str">
        <f t="shared" si="328"/>
        <v/>
      </c>
      <c r="AN938" t="str">
        <f t="shared" si="329"/>
        <v/>
      </c>
      <c r="AO938">
        <f t="shared" si="330"/>
        <v>4</v>
      </c>
      <c r="AP938">
        <f t="shared" si="331"/>
        <v>0</v>
      </c>
      <c r="AQ938" t="str">
        <f t="shared" si="332"/>
        <v/>
      </c>
    </row>
    <row r="939" spans="1:43" x14ac:dyDescent="0.35">
      <c r="A939">
        <v>2462</v>
      </c>
      <c r="B939" t="s">
        <v>2950</v>
      </c>
      <c r="C939" t="s">
        <v>2287</v>
      </c>
      <c r="D939" t="str">
        <f t="shared" si="306"/>
        <v>M and E</v>
      </c>
      <c r="E939" t="s">
        <v>2947</v>
      </c>
      <c r="F939" t="s">
        <v>2000</v>
      </c>
      <c r="G939" t="s">
        <v>2262</v>
      </c>
      <c r="H939" t="s">
        <v>80</v>
      </c>
      <c r="I939" s="32">
        <v>45016.841874999998</v>
      </c>
      <c r="J939" s="32">
        <v>45019.841874999998</v>
      </c>
      <c r="K939" s="32">
        <v>45022.841874999998</v>
      </c>
      <c r="L939" s="8">
        <f t="shared" si="307"/>
        <v>6</v>
      </c>
      <c r="M939" s="7">
        <v>45041.841874999998</v>
      </c>
      <c r="N939" t="s">
        <v>72</v>
      </c>
      <c r="O939" s="34" t="s">
        <v>7474</v>
      </c>
      <c r="R939" s="32" t="s">
        <v>7472</v>
      </c>
      <c r="S939" t="s">
        <v>7476</v>
      </c>
      <c r="T939" s="34" t="s">
        <v>7476</v>
      </c>
      <c r="U939" s="34" t="s">
        <v>7476</v>
      </c>
      <c r="V939" s="32" t="s">
        <v>7476</v>
      </c>
      <c r="W939" s="32" t="s">
        <v>7476</v>
      </c>
      <c r="X939">
        <v>0</v>
      </c>
      <c r="Y939" s="34" t="s">
        <v>7476</v>
      </c>
      <c r="Z939" s="34" t="s">
        <v>7476</v>
      </c>
      <c r="AA939" s="34" t="s">
        <v>7476</v>
      </c>
      <c r="AB939" s="36" t="s">
        <v>7476</v>
      </c>
      <c r="AD939" t="s">
        <v>2951</v>
      </c>
      <c r="AE939" t="s">
        <v>2952</v>
      </c>
      <c r="AG939" t="s">
        <v>68</v>
      </c>
      <c r="AH939">
        <v>3</v>
      </c>
      <c r="AI939" s="8" t="str">
        <f t="shared" si="325"/>
        <v/>
      </c>
      <c r="AJ939" s="8" t="str">
        <f t="shared" si="326"/>
        <v/>
      </c>
      <c r="AK939" s="38" t="str">
        <f t="shared" si="310"/>
        <v/>
      </c>
      <c r="AL939" t="str">
        <f t="shared" si="327"/>
        <v/>
      </c>
      <c r="AM939" t="str">
        <f t="shared" si="328"/>
        <v/>
      </c>
      <c r="AN939" t="str">
        <f t="shared" si="329"/>
        <v/>
      </c>
      <c r="AO939">
        <f t="shared" si="330"/>
        <v>3</v>
      </c>
      <c r="AP939">
        <f t="shared" si="331"/>
        <v>0</v>
      </c>
      <c r="AQ939" t="str">
        <f t="shared" si="332"/>
        <v/>
      </c>
    </row>
    <row r="940" spans="1:43" x14ac:dyDescent="0.35">
      <c r="A940">
        <v>2341</v>
      </c>
      <c r="B940" t="s">
        <v>2953</v>
      </c>
      <c r="C940" t="s">
        <v>2325</v>
      </c>
      <c r="D940" t="str">
        <f t="shared" si="306"/>
        <v>M and E</v>
      </c>
      <c r="E940" t="s">
        <v>2947</v>
      </c>
      <c r="F940" t="s">
        <v>2000</v>
      </c>
      <c r="G940" t="s">
        <v>2262</v>
      </c>
      <c r="H940" t="s">
        <v>80</v>
      </c>
      <c r="I940" s="32">
        <v>45054.364525462966</v>
      </c>
      <c r="J940" s="32">
        <v>45056.364525462966</v>
      </c>
      <c r="K940" s="32">
        <v>45060.364525462966</v>
      </c>
      <c r="L940" s="8">
        <f t="shared" si="307"/>
        <v>6</v>
      </c>
      <c r="M940" s="7">
        <v>45080.364525462966</v>
      </c>
      <c r="N940" t="s">
        <v>72</v>
      </c>
      <c r="O940" s="34" t="s">
        <v>7474</v>
      </c>
      <c r="R940" s="32" t="s">
        <v>7472</v>
      </c>
      <c r="S940" t="s">
        <v>7476</v>
      </c>
      <c r="T940" s="34" t="s">
        <v>7476</v>
      </c>
      <c r="U940" s="34" t="s">
        <v>7476</v>
      </c>
      <c r="V940" s="32" t="s">
        <v>7476</v>
      </c>
      <c r="W940" s="32" t="s">
        <v>7476</v>
      </c>
      <c r="X940">
        <v>0</v>
      </c>
      <c r="Y940" s="34" t="s">
        <v>7476</v>
      </c>
      <c r="Z940" s="34" t="s">
        <v>7476</v>
      </c>
      <c r="AA940" s="34" t="s">
        <v>7476</v>
      </c>
      <c r="AB940" s="36" t="s">
        <v>7476</v>
      </c>
      <c r="AD940" t="s">
        <v>2954</v>
      </c>
      <c r="AE940" t="s">
        <v>2955</v>
      </c>
      <c r="AG940" t="s">
        <v>64</v>
      </c>
      <c r="AH940">
        <v>3</v>
      </c>
      <c r="AI940" s="8" t="str">
        <f t="shared" si="325"/>
        <v/>
      </c>
      <c r="AJ940" s="8" t="str">
        <f t="shared" si="326"/>
        <v/>
      </c>
      <c r="AK940" s="38" t="str">
        <f t="shared" si="310"/>
        <v/>
      </c>
      <c r="AL940" t="str">
        <f t="shared" si="327"/>
        <v/>
      </c>
      <c r="AM940" t="str">
        <f t="shared" si="328"/>
        <v/>
      </c>
      <c r="AN940" t="str">
        <f t="shared" si="329"/>
        <v/>
      </c>
      <c r="AO940">
        <f t="shared" si="330"/>
        <v>2</v>
      </c>
      <c r="AP940">
        <f t="shared" si="331"/>
        <v>0</v>
      </c>
      <c r="AQ940" t="str">
        <f t="shared" si="332"/>
        <v/>
      </c>
    </row>
    <row r="941" spans="1:43" x14ac:dyDescent="0.35">
      <c r="A941">
        <v>2291</v>
      </c>
      <c r="B941" t="s">
        <v>2956</v>
      </c>
      <c r="C941" t="s">
        <v>2287</v>
      </c>
      <c r="D941" t="str">
        <f t="shared" si="306"/>
        <v>M and E</v>
      </c>
      <c r="E941" t="s">
        <v>2947</v>
      </c>
      <c r="F941" t="s">
        <v>2000</v>
      </c>
      <c r="G941" t="s">
        <v>2262</v>
      </c>
      <c r="H941" t="s">
        <v>80</v>
      </c>
      <c r="I941" s="32">
        <v>45104.656666666669</v>
      </c>
      <c r="J941" s="32">
        <v>45108.656666666669</v>
      </c>
      <c r="K941" s="32">
        <v>45113.656666666669</v>
      </c>
      <c r="L941" s="8">
        <f t="shared" si="307"/>
        <v>9</v>
      </c>
      <c r="M941" s="7">
        <v>45130.656666666669</v>
      </c>
      <c r="N941" t="s">
        <v>72</v>
      </c>
      <c r="O941" s="34" t="s">
        <v>7474</v>
      </c>
      <c r="R941" s="32" t="s">
        <v>7472</v>
      </c>
      <c r="S941" t="s">
        <v>7476</v>
      </c>
      <c r="T941" s="34" t="s">
        <v>7476</v>
      </c>
      <c r="U941" s="34" t="s">
        <v>7476</v>
      </c>
      <c r="V941" s="32" t="s">
        <v>7476</v>
      </c>
      <c r="W941" s="32" t="s">
        <v>7476</v>
      </c>
      <c r="X941">
        <v>0</v>
      </c>
      <c r="Y941" s="34" t="s">
        <v>7476</v>
      </c>
      <c r="Z941" s="34" t="s">
        <v>7476</v>
      </c>
      <c r="AA941" s="34" t="s">
        <v>7476</v>
      </c>
      <c r="AB941" s="36" t="s">
        <v>7476</v>
      </c>
      <c r="AD941" t="s">
        <v>2957</v>
      </c>
      <c r="AE941" t="s">
        <v>2958</v>
      </c>
      <c r="AG941" t="s">
        <v>68</v>
      </c>
      <c r="AH941">
        <v>3</v>
      </c>
      <c r="AI941" s="8" t="str">
        <f t="shared" si="325"/>
        <v/>
      </c>
      <c r="AJ941" s="8" t="str">
        <f t="shared" si="326"/>
        <v/>
      </c>
      <c r="AK941" s="38" t="str">
        <f t="shared" si="310"/>
        <v/>
      </c>
      <c r="AL941" t="str">
        <f t="shared" si="327"/>
        <v/>
      </c>
      <c r="AM941" t="str">
        <f t="shared" si="328"/>
        <v/>
      </c>
      <c r="AN941" t="str">
        <f t="shared" si="329"/>
        <v/>
      </c>
      <c r="AO941">
        <f t="shared" si="330"/>
        <v>4</v>
      </c>
      <c r="AP941">
        <f t="shared" si="331"/>
        <v>0</v>
      </c>
      <c r="AQ941" t="str">
        <f t="shared" si="332"/>
        <v/>
      </c>
    </row>
    <row r="942" spans="1:43" x14ac:dyDescent="0.35">
      <c r="A942">
        <v>2201</v>
      </c>
      <c r="B942" t="s">
        <v>2959</v>
      </c>
      <c r="C942" t="s">
        <v>2260</v>
      </c>
      <c r="D942" t="str">
        <f t="shared" si="306"/>
        <v>M and E</v>
      </c>
      <c r="E942" t="s">
        <v>2947</v>
      </c>
      <c r="F942" t="s">
        <v>2000</v>
      </c>
      <c r="G942" t="s">
        <v>2262</v>
      </c>
      <c r="H942" t="s">
        <v>80</v>
      </c>
      <c r="I942" s="32">
        <v>45090.202615740738</v>
      </c>
      <c r="J942" s="32">
        <v>45092.202615740738</v>
      </c>
      <c r="K942" s="32">
        <v>45098.202615740738</v>
      </c>
      <c r="L942" s="8">
        <f t="shared" si="307"/>
        <v>8</v>
      </c>
      <c r="M942" s="7">
        <v>45120.202615740738</v>
      </c>
      <c r="N942" t="s">
        <v>72</v>
      </c>
      <c r="O942" s="34" t="s">
        <v>7474</v>
      </c>
      <c r="R942" s="32" t="s">
        <v>7472</v>
      </c>
      <c r="S942" t="s">
        <v>7476</v>
      </c>
      <c r="T942" s="34" t="s">
        <v>7476</v>
      </c>
      <c r="U942" s="34" t="s">
        <v>7476</v>
      </c>
      <c r="V942" s="32" t="s">
        <v>7476</v>
      </c>
      <c r="W942" s="32" t="s">
        <v>7476</v>
      </c>
      <c r="X942">
        <v>0</v>
      </c>
      <c r="Y942" s="34" t="s">
        <v>7476</v>
      </c>
      <c r="Z942" s="34" t="s">
        <v>7476</v>
      </c>
      <c r="AA942" s="34" t="s">
        <v>7476</v>
      </c>
      <c r="AB942" s="36" t="s">
        <v>7476</v>
      </c>
      <c r="AD942" t="s">
        <v>2960</v>
      </c>
      <c r="AE942" t="s">
        <v>2961</v>
      </c>
      <c r="AG942" t="s">
        <v>68</v>
      </c>
      <c r="AH942">
        <v>3</v>
      </c>
      <c r="AI942" s="8" t="str">
        <f t="shared" si="325"/>
        <v/>
      </c>
      <c r="AJ942" s="8" t="str">
        <f t="shared" si="326"/>
        <v/>
      </c>
      <c r="AK942" s="38" t="str">
        <f t="shared" si="310"/>
        <v/>
      </c>
      <c r="AL942" t="str">
        <f t="shared" si="327"/>
        <v/>
      </c>
      <c r="AM942" t="str">
        <f t="shared" si="328"/>
        <v/>
      </c>
      <c r="AN942" t="str">
        <f t="shared" si="329"/>
        <v/>
      </c>
      <c r="AO942">
        <f t="shared" si="330"/>
        <v>2</v>
      </c>
      <c r="AP942">
        <f t="shared" si="331"/>
        <v>0</v>
      </c>
      <c r="AQ942" t="str">
        <f t="shared" si="332"/>
        <v/>
      </c>
    </row>
    <row r="943" spans="1:43" x14ac:dyDescent="0.35">
      <c r="A943">
        <v>2078</v>
      </c>
      <c r="B943" t="s">
        <v>2962</v>
      </c>
      <c r="C943" t="s">
        <v>2260</v>
      </c>
      <c r="D943" t="str">
        <f t="shared" si="306"/>
        <v>M and E</v>
      </c>
      <c r="E943" t="s">
        <v>2947</v>
      </c>
      <c r="F943" t="s">
        <v>2000</v>
      </c>
      <c r="G943" t="s">
        <v>2262</v>
      </c>
      <c r="H943" t="s">
        <v>80</v>
      </c>
      <c r="I943" s="32">
        <v>44913.441053240742</v>
      </c>
      <c r="J943" s="32" t="s">
        <v>7471</v>
      </c>
      <c r="K943" s="32" t="s">
        <v>7473</v>
      </c>
      <c r="L943" s="8" t="str">
        <f t="shared" si="307"/>
        <v/>
      </c>
      <c r="M943" s="7">
        <v>44941.441053240742</v>
      </c>
      <c r="N943" t="s">
        <v>72</v>
      </c>
      <c r="O943" s="34" t="s">
        <v>7474</v>
      </c>
      <c r="R943" s="32" t="s">
        <v>7472</v>
      </c>
      <c r="S943" t="s">
        <v>7476</v>
      </c>
      <c r="T943" s="34" t="s">
        <v>7476</v>
      </c>
      <c r="U943" s="34" t="s">
        <v>7476</v>
      </c>
      <c r="V943" s="32" t="s">
        <v>7476</v>
      </c>
      <c r="W943" s="32" t="s">
        <v>7476</v>
      </c>
      <c r="X943">
        <v>0</v>
      </c>
      <c r="Y943" s="34" t="s">
        <v>7476</v>
      </c>
      <c r="Z943" s="34" t="s">
        <v>7476</v>
      </c>
      <c r="AA943" s="34" t="s">
        <v>7476</v>
      </c>
      <c r="AB943" s="36" t="s">
        <v>7476</v>
      </c>
      <c r="AD943" t="s">
        <v>2963</v>
      </c>
      <c r="AE943" t="s">
        <v>2964</v>
      </c>
      <c r="AG943" t="s">
        <v>75</v>
      </c>
      <c r="AH943">
        <v>3</v>
      </c>
      <c r="AK943" s="38" t="str">
        <f t="shared" si="310"/>
        <v/>
      </c>
    </row>
    <row r="944" spans="1:43" x14ac:dyDescent="0.35">
      <c r="A944">
        <v>2073</v>
      </c>
      <c r="B944" t="s">
        <v>2965</v>
      </c>
      <c r="C944" t="s">
        <v>2260</v>
      </c>
      <c r="D944" t="str">
        <f t="shared" si="306"/>
        <v>M and E</v>
      </c>
      <c r="E944" t="s">
        <v>2947</v>
      </c>
      <c r="F944" t="s">
        <v>2000</v>
      </c>
      <c r="G944" t="s">
        <v>2262</v>
      </c>
      <c r="H944" t="s">
        <v>80</v>
      </c>
      <c r="I944" s="32">
        <v>44921.441053240742</v>
      </c>
      <c r="J944" s="32" t="s">
        <v>7471</v>
      </c>
      <c r="K944" s="32" t="s">
        <v>7473</v>
      </c>
      <c r="L944" s="8" t="str">
        <f t="shared" si="307"/>
        <v/>
      </c>
      <c r="M944" s="7">
        <v>44951.441053240742</v>
      </c>
      <c r="N944" t="s">
        <v>72</v>
      </c>
      <c r="O944" s="34" t="s">
        <v>7474</v>
      </c>
      <c r="R944" s="32" t="s">
        <v>7472</v>
      </c>
      <c r="S944" t="s">
        <v>7476</v>
      </c>
      <c r="T944" s="34" t="s">
        <v>7476</v>
      </c>
      <c r="U944" s="34" t="s">
        <v>7476</v>
      </c>
      <c r="V944" s="32" t="s">
        <v>7476</v>
      </c>
      <c r="W944" s="32" t="s">
        <v>7476</v>
      </c>
      <c r="X944">
        <v>0</v>
      </c>
      <c r="Y944" s="34" t="s">
        <v>7476</v>
      </c>
      <c r="Z944" s="34" t="s">
        <v>7476</v>
      </c>
      <c r="AA944" s="34" t="s">
        <v>7476</v>
      </c>
      <c r="AB944" s="36" t="s">
        <v>7476</v>
      </c>
      <c r="AD944" t="s">
        <v>2966</v>
      </c>
      <c r="AE944" t="s">
        <v>2967</v>
      </c>
      <c r="AG944" t="s">
        <v>98</v>
      </c>
      <c r="AH944">
        <v>3</v>
      </c>
      <c r="AK944" s="38" t="str">
        <f t="shared" si="310"/>
        <v/>
      </c>
    </row>
    <row r="945" spans="1:43" x14ac:dyDescent="0.35">
      <c r="A945">
        <v>2050</v>
      </c>
      <c r="B945" t="s">
        <v>2968</v>
      </c>
      <c r="C945" t="s">
        <v>2260</v>
      </c>
      <c r="D945" t="str">
        <f t="shared" si="306"/>
        <v>M and E</v>
      </c>
      <c r="E945" t="s">
        <v>2947</v>
      </c>
      <c r="F945" t="s">
        <v>2000</v>
      </c>
      <c r="G945" t="s">
        <v>2262</v>
      </c>
      <c r="H945" t="s">
        <v>80</v>
      </c>
      <c r="I945" s="32">
        <v>44759.200532407413</v>
      </c>
      <c r="J945" s="32">
        <v>44762.200532407413</v>
      </c>
      <c r="K945" s="32" t="s">
        <v>7473</v>
      </c>
      <c r="L945" s="8" t="str">
        <f t="shared" si="307"/>
        <v/>
      </c>
      <c r="M945" s="7">
        <v>44785.200532407413</v>
      </c>
      <c r="N945" t="s">
        <v>72</v>
      </c>
      <c r="O945" s="34" t="s">
        <v>7474</v>
      </c>
      <c r="R945" s="32" t="s">
        <v>7472</v>
      </c>
      <c r="S945" t="s">
        <v>7476</v>
      </c>
      <c r="T945" s="34" t="s">
        <v>7476</v>
      </c>
      <c r="U945" s="34" t="s">
        <v>7476</v>
      </c>
      <c r="V945" s="32" t="s">
        <v>7476</v>
      </c>
      <c r="W945" s="32" t="s">
        <v>7476</v>
      </c>
      <c r="X945">
        <v>0</v>
      </c>
      <c r="Y945" s="34" t="s">
        <v>7476</v>
      </c>
      <c r="Z945" s="34" t="s">
        <v>7476</v>
      </c>
      <c r="AA945" s="34" t="s">
        <v>7476</v>
      </c>
      <c r="AB945" s="36" t="s">
        <v>7476</v>
      </c>
      <c r="AD945" t="s">
        <v>2969</v>
      </c>
      <c r="AE945" t="s">
        <v>2970</v>
      </c>
      <c r="AG945" t="s">
        <v>93</v>
      </c>
      <c r="AH945">
        <v>6</v>
      </c>
      <c r="AK945" s="38" t="str">
        <f t="shared" si="310"/>
        <v/>
      </c>
    </row>
    <row r="946" spans="1:43" x14ac:dyDescent="0.35">
      <c r="A946">
        <v>1929</v>
      </c>
      <c r="B946" t="s">
        <v>2971</v>
      </c>
      <c r="C946" t="s">
        <v>2287</v>
      </c>
      <c r="D946" t="str">
        <f t="shared" si="306"/>
        <v>M and E</v>
      </c>
      <c r="E946" t="s">
        <v>2947</v>
      </c>
      <c r="F946" t="s">
        <v>2000</v>
      </c>
      <c r="G946" t="s">
        <v>2262</v>
      </c>
      <c r="H946" t="s">
        <v>80</v>
      </c>
      <c r="I946" s="32">
        <v>44793.391932870371</v>
      </c>
      <c r="J946" s="32">
        <v>44796.391932870371</v>
      </c>
      <c r="K946" s="32">
        <v>44798.391932870371</v>
      </c>
      <c r="L946" s="8">
        <f t="shared" si="307"/>
        <v>5</v>
      </c>
      <c r="M946" s="7">
        <v>44808.391932870371</v>
      </c>
      <c r="N946" t="s">
        <v>72</v>
      </c>
      <c r="O946" s="34" t="s">
        <v>7474</v>
      </c>
      <c r="R946" s="32" t="s">
        <v>7472</v>
      </c>
      <c r="S946" t="s">
        <v>7476</v>
      </c>
      <c r="T946" s="34" t="s">
        <v>7476</v>
      </c>
      <c r="U946" s="34" t="s">
        <v>7476</v>
      </c>
      <c r="V946" s="32" t="s">
        <v>7476</v>
      </c>
      <c r="W946" s="32" t="s">
        <v>7476</v>
      </c>
      <c r="X946">
        <v>0</v>
      </c>
      <c r="Y946" s="34" t="s">
        <v>7476</v>
      </c>
      <c r="Z946" s="34" t="s">
        <v>7476</v>
      </c>
      <c r="AA946" s="34" t="s">
        <v>7476</v>
      </c>
      <c r="AB946" s="36" t="s">
        <v>7476</v>
      </c>
      <c r="AD946" t="s">
        <v>2972</v>
      </c>
      <c r="AE946" t="s">
        <v>2973</v>
      </c>
      <c r="AG946" t="s">
        <v>68</v>
      </c>
      <c r="AH946">
        <v>3</v>
      </c>
      <c r="AI946" s="8" t="str">
        <f>IFERROR(R946-AF946,"")</f>
        <v/>
      </c>
      <c r="AJ946" s="8" t="str">
        <f>IFERROR(O946-AF946,"")</f>
        <v/>
      </c>
      <c r="AK946" s="38" t="str">
        <f t="shared" si="310"/>
        <v/>
      </c>
      <c r="AL946" t="str">
        <f>IFERROR(Z946-W946,"")</f>
        <v/>
      </c>
      <c r="AM946" t="str">
        <f>IFERROR(R946-J946,"")</f>
        <v/>
      </c>
      <c r="AN946" t="str">
        <f>IFERROR(V946-O946,"")</f>
        <v/>
      </c>
      <c r="AO946">
        <f>IFERROR(J946-I946,"")</f>
        <v>3</v>
      </c>
      <c r="AP946">
        <f>IFERROR(AC946-X946,"")</f>
        <v>0</v>
      </c>
      <c r="AQ946" t="str">
        <f>IFERROR(AA946-W946,"")</f>
        <v/>
      </c>
    </row>
    <row r="947" spans="1:43" x14ac:dyDescent="0.35">
      <c r="A947">
        <v>875</v>
      </c>
      <c r="B947" t="s">
        <v>2974</v>
      </c>
      <c r="C947" t="s">
        <v>2260</v>
      </c>
      <c r="D947" t="str">
        <f t="shared" si="306"/>
        <v>M and E</v>
      </c>
      <c r="E947" t="s">
        <v>2947</v>
      </c>
      <c r="F947" t="s">
        <v>2000</v>
      </c>
      <c r="G947" t="s">
        <v>2262</v>
      </c>
      <c r="H947" t="s">
        <v>80</v>
      </c>
      <c r="I947" s="32">
        <v>44765.80777777778</v>
      </c>
      <c r="J947" s="32">
        <v>44766.80777777778</v>
      </c>
      <c r="K947" s="32">
        <v>44768.80777777778</v>
      </c>
      <c r="L947" s="8">
        <f t="shared" si="307"/>
        <v>3</v>
      </c>
      <c r="M947" s="7">
        <v>44788.80777777778</v>
      </c>
      <c r="N947" t="s">
        <v>49</v>
      </c>
      <c r="O947" s="34">
        <v>44770.80777777778</v>
      </c>
      <c r="P947" t="s">
        <v>101</v>
      </c>
      <c r="R947" s="32">
        <v>44776.80777777778</v>
      </c>
      <c r="S947" t="s">
        <v>101</v>
      </c>
      <c r="T947" s="34">
        <v>44772.80777777778</v>
      </c>
      <c r="U947" s="34">
        <v>44773.80777777778</v>
      </c>
      <c r="V947" s="32">
        <v>44773.80777777778</v>
      </c>
      <c r="W947" s="32">
        <v>44780.80777777778</v>
      </c>
      <c r="X947">
        <v>1</v>
      </c>
      <c r="Y947" s="34">
        <v>44782.80777777778</v>
      </c>
      <c r="Z947" s="34">
        <v>44783.80777777778</v>
      </c>
      <c r="AA947" s="34">
        <v>44785.80777777778</v>
      </c>
      <c r="AB947" s="36" t="s">
        <v>7476</v>
      </c>
      <c r="AC947" s="10">
        <v>44804.80777777778</v>
      </c>
      <c r="AD947" t="s">
        <v>2975</v>
      </c>
      <c r="AE947" t="s">
        <v>2976</v>
      </c>
      <c r="AF947" s="16">
        <v>44757</v>
      </c>
      <c r="AG947" t="s">
        <v>98</v>
      </c>
      <c r="AH947">
        <v>6</v>
      </c>
      <c r="AI947" s="8">
        <f>IFERROR(R947-AF947,"")</f>
        <v>19.807777777779847</v>
      </c>
      <c r="AJ947" s="8">
        <f>IFERROR(O947-AF947,"")</f>
        <v>13.807777777779847</v>
      </c>
      <c r="AK947" s="38">
        <f t="shared" si="310"/>
        <v>44953.80777777778</v>
      </c>
      <c r="AL947">
        <f>IFERROR(Z947-W947,"")</f>
        <v>3</v>
      </c>
      <c r="AM947">
        <f>IFERROR(R947-J947,"")</f>
        <v>10</v>
      </c>
      <c r="AN947">
        <f>IFERROR(V947-O947,"")</f>
        <v>3</v>
      </c>
      <c r="AO947">
        <f>IFERROR(J947-I947,"")</f>
        <v>1</v>
      </c>
      <c r="AP947">
        <f>IFERROR(AC947-X947,"")</f>
        <v>44803.80777777778</v>
      </c>
      <c r="AQ947">
        <f>IFERROR(AA947-W947,"")</f>
        <v>5</v>
      </c>
    </row>
    <row r="948" spans="1:43" x14ac:dyDescent="0.35">
      <c r="A948">
        <v>756</v>
      </c>
      <c r="B948" t="s">
        <v>2977</v>
      </c>
      <c r="C948" t="s">
        <v>2287</v>
      </c>
      <c r="D948" t="str">
        <f t="shared" si="306"/>
        <v>M and E</v>
      </c>
      <c r="E948" t="s">
        <v>2947</v>
      </c>
      <c r="F948" t="s">
        <v>2000</v>
      </c>
      <c r="G948" t="s">
        <v>2262</v>
      </c>
      <c r="H948" t="s">
        <v>80</v>
      </c>
      <c r="I948" s="32">
        <v>44941.883877314824</v>
      </c>
      <c r="J948" s="32">
        <v>44945.883877314824</v>
      </c>
      <c r="K948" s="32" t="s">
        <v>7473</v>
      </c>
      <c r="L948" s="8" t="str">
        <f t="shared" si="307"/>
        <v/>
      </c>
      <c r="M948" s="7">
        <v>44958.883877314824</v>
      </c>
      <c r="N948" t="s">
        <v>49</v>
      </c>
      <c r="O948" s="34">
        <v>44964.883877314824</v>
      </c>
      <c r="P948" t="s">
        <v>60</v>
      </c>
      <c r="R948" s="32">
        <v>44971.883877314824</v>
      </c>
      <c r="S948" t="s">
        <v>61</v>
      </c>
      <c r="T948" s="34" t="s">
        <v>7476</v>
      </c>
      <c r="U948" s="34" t="s">
        <v>7476</v>
      </c>
      <c r="V948" s="32">
        <v>44968.883877314824</v>
      </c>
      <c r="W948" s="32" t="s">
        <v>7476</v>
      </c>
      <c r="X948">
        <v>0</v>
      </c>
      <c r="Y948" s="34" t="s">
        <v>7476</v>
      </c>
      <c r="Z948" s="34" t="s">
        <v>7476</v>
      </c>
      <c r="AA948" s="34" t="s">
        <v>7476</v>
      </c>
      <c r="AB948" s="36" t="s">
        <v>7476</v>
      </c>
      <c r="AD948" t="s">
        <v>2978</v>
      </c>
      <c r="AE948" t="s">
        <v>2979</v>
      </c>
      <c r="AF948" s="16">
        <v>44947</v>
      </c>
      <c r="AG948" t="s">
        <v>55</v>
      </c>
      <c r="AH948">
        <v>3</v>
      </c>
      <c r="AK948" s="38">
        <f t="shared" si="310"/>
        <v>45058.883877314824</v>
      </c>
    </row>
    <row r="949" spans="1:43" x14ac:dyDescent="0.35">
      <c r="A949">
        <v>697</v>
      </c>
      <c r="B949" t="s">
        <v>2980</v>
      </c>
      <c r="C949" t="s">
        <v>2325</v>
      </c>
      <c r="D949" t="str">
        <f t="shared" si="306"/>
        <v>M and E</v>
      </c>
      <c r="E949" t="s">
        <v>2947</v>
      </c>
      <c r="F949" t="s">
        <v>2000</v>
      </c>
      <c r="G949" t="s">
        <v>2262</v>
      </c>
      <c r="H949" t="s">
        <v>80</v>
      </c>
      <c r="I949" s="32" t="s">
        <v>7471</v>
      </c>
      <c r="J949" s="32" t="s">
        <v>7471</v>
      </c>
      <c r="K949" s="32">
        <v>44875.289201388892</v>
      </c>
      <c r="L949" s="8" t="str">
        <f t="shared" si="307"/>
        <v/>
      </c>
      <c r="M949" s="7">
        <v>44894.289201388892</v>
      </c>
      <c r="N949" t="s">
        <v>49</v>
      </c>
      <c r="O949" s="34">
        <v>44883.289201388892</v>
      </c>
      <c r="P949" t="s">
        <v>50</v>
      </c>
      <c r="Q949" t="s">
        <v>198</v>
      </c>
      <c r="R949" s="32" t="s">
        <v>7472</v>
      </c>
      <c r="S949" t="s">
        <v>7476</v>
      </c>
      <c r="T949" s="34" t="s">
        <v>7476</v>
      </c>
      <c r="U949" s="34" t="s">
        <v>7476</v>
      </c>
      <c r="V949" s="32">
        <v>44886.289201388892</v>
      </c>
      <c r="W949" s="32" t="s">
        <v>7476</v>
      </c>
      <c r="X949">
        <v>0</v>
      </c>
      <c r="Y949" s="34" t="s">
        <v>7476</v>
      </c>
      <c r="Z949" s="34" t="s">
        <v>7476</v>
      </c>
      <c r="AA949" s="34" t="s">
        <v>7476</v>
      </c>
      <c r="AB949" s="36" t="s">
        <v>52</v>
      </c>
      <c r="AD949" t="s">
        <v>2981</v>
      </c>
      <c r="AE949" t="s">
        <v>2982</v>
      </c>
      <c r="AF949" s="16">
        <v>44874</v>
      </c>
      <c r="AG949" t="s">
        <v>68</v>
      </c>
      <c r="AH949">
        <v>6</v>
      </c>
      <c r="AK949" s="38">
        <f t="shared" si="310"/>
        <v>45066.289201388892</v>
      </c>
    </row>
    <row r="950" spans="1:43" x14ac:dyDescent="0.35">
      <c r="A950">
        <v>649</v>
      </c>
      <c r="B950" t="s">
        <v>2983</v>
      </c>
      <c r="C950" t="s">
        <v>2325</v>
      </c>
      <c r="D950" t="str">
        <f t="shared" si="306"/>
        <v>M and E</v>
      </c>
      <c r="E950" t="s">
        <v>2947</v>
      </c>
      <c r="F950" t="s">
        <v>2984</v>
      </c>
      <c r="G950" t="s">
        <v>2985</v>
      </c>
      <c r="H950" t="s">
        <v>80</v>
      </c>
      <c r="I950" s="32">
        <v>44783.760729166657</v>
      </c>
      <c r="J950" s="32">
        <v>44787.760729166657</v>
      </c>
      <c r="K950" s="32">
        <v>44788.760729166657</v>
      </c>
      <c r="L950" s="8">
        <f t="shared" si="307"/>
        <v>5</v>
      </c>
      <c r="M950" s="7">
        <v>44803.760729166657</v>
      </c>
      <c r="N950" t="s">
        <v>49</v>
      </c>
      <c r="O950" s="34">
        <v>44800.760729166657</v>
      </c>
      <c r="P950" t="s">
        <v>50</v>
      </c>
      <c r="Q950" t="s">
        <v>51</v>
      </c>
      <c r="R950" s="32" t="s">
        <v>7472</v>
      </c>
      <c r="S950" t="s">
        <v>7476</v>
      </c>
      <c r="T950" s="34" t="s">
        <v>7476</v>
      </c>
      <c r="U950" s="34" t="s">
        <v>7476</v>
      </c>
      <c r="V950" s="32" t="s">
        <v>7476</v>
      </c>
      <c r="W950" s="32" t="s">
        <v>7476</v>
      </c>
      <c r="X950">
        <v>0</v>
      </c>
      <c r="Y950" s="34" t="s">
        <v>7476</v>
      </c>
      <c r="Z950" s="34" t="s">
        <v>7476</v>
      </c>
      <c r="AA950" s="34" t="s">
        <v>7476</v>
      </c>
      <c r="AB950" s="36" t="s">
        <v>95</v>
      </c>
      <c r="AD950" t="s">
        <v>2986</v>
      </c>
      <c r="AE950" t="s">
        <v>2987</v>
      </c>
      <c r="AF950" s="16">
        <v>44790</v>
      </c>
      <c r="AG950" t="s">
        <v>98</v>
      </c>
      <c r="AH950">
        <v>6</v>
      </c>
      <c r="AI950" s="8" t="str">
        <f>IFERROR(R950-AF950,"")</f>
        <v/>
      </c>
      <c r="AJ950" s="8">
        <f>IFERROR(O950-AF950,"")</f>
        <v>10.760729166657256</v>
      </c>
      <c r="AK950" s="38" t="str">
        <f t="shared" si="310"/>
        <v/>
      </c>
      <c r="AL950" t="str">
        <f>IFERROR(Z950-W950,"")</f>
        <v/>
      </c>
      <c r="AM950" t="str">
        <f>IFERROR(R950-J950,"")</f>
        <v/>
      </c>
      <c r="AN950" t="str">
        <f>IFERROR(V950-O950,"")</f>
        <v/>
      </c>
      <c r="AO950">
        <f>IFERROR(J950-I950,"")</f>
        <v>4</v>
      </c>
      <c r="AP950">
        <f>IFERROR(AC950-X950,"")</f>
        <v>0</v>
      </c>
      <c r="AQ950" t="str">
        <f>IFERROR(AA950-W950,"")</f>
        <v/>
      </c>
    </row>
    <row r="951" spans="1:43" x14ac:dyDescent="0.35">
      <c r="A951">
        <v>647</v>
      </c>
      <c r="B951" t="s">
        <v>2988</v>
      </c>
      <c r="C951" t="s">
        <v>2260</v>
      </c>
      <c r="D951" t="str">
        <f t="shared" si="306"/>
        <v>M and E</v>
      </c>
      <c r="E951" t="s">
        <v>2947</v>
      </c>
      <c r="F951" t="s">
        <v>2984</v>
      </c>
      <c r="G951" t="s">
        <v>2985</v>
      </c>
      <c r="H951" t="s">
        <v>80</v>
      </c>
      <c r="I951" s="32">
        <v>44782.760729166657</v>
      </c>
      <c r="J951" s="32">
        <v>44785.760729166657</v>
      </c>
      <c r="K951" s="32">
        <v>44788.760729166657</v>
      </c>
      <c r="L951" s="8">
        <f t="shared" si="307"/>
        <v>6</v>
      </c>
      <c r="M951" s="7">
        <v>44809.760729166657</v>
      </c>
      <c r="N951" t="s">
        <v>72</v>
      </c>
      <c r="O951" s="34" t="s">
        <v>7474</v>
      </c>
      <c r="R951" s="32" t="s">
        <v>7472</v>
      </c>
      <c r="S951" t="s">
        <v>7476</v>
      </c>
      <c r="T951" s="34" t="s">
        <v>7476</v>
      </c>
      <c r="U951" s="34" t="s">
        <v>7476</v>
      </c>
      <c r="V951" s="32" t="s">
        <v>7476</v>
      </c>
      <c r="W951" s="32" t="s">
        <v>7476</v>
      </c>
      <c r="X951">
        <v>0</v>
      </c>
      <c r="Y951" s="34" t="s">
        <v>7476</v>
      </c>
      <c r="Z951" s="34" t="s">
        <v>7476</v>
      </c>
      <c r="AA951" s="34" t="s">
        <v>7476</v>
      </c>
      <c r="AB951" s="36" t="s">
        <v>7476</v>
      </c>
      <c r="AD951" t="s">
        <v>2989</v>
      </c>
      <c r="AE951" t="s">
        <v>2990</v>
      </c>
      <c r="AG951" t="s">
        <v>98</v>
      </c>
      <c r="AH951">
        <v>3</v>
      </c>
      <c r="AI951" s="8" t="str">
        <f>IFERROR(R951-AF951,"")</f>
        <v/>
      </c>
      <c r="AJ951" s="8" t="str">
        <f>IFERROR(O951-AF951,"")</f>
        <v/>
      </c>
      <c r="AK951" s="38" t="str">
        <f t="shared" si="310"/>
        <v/>
      </c>
      <c r="AL951" t="str">
        <f>IFERROR(Z951-W951,"")</f>
        <v/>
      </c>
      <c r="AM951" t="str">
        <f>IFERROR(R951-J951,"")</f>
        <v/>
      </c>
      <c r="AN951" t="str">
        <f>IFERROR(V951-O951,"")</f>
        <v/>
      </c>
      <c r="AO951">
        <f>IFERROR(J951-I951,"")</f>
        <v>3</v>
      </c>
      <c r="AP951">
        <f>IFERROR(AC951-X951,"")</f>
        <v>0</v>
      </c>
      <c r="AQ951" t="str">
        <f>IFERROR(AA951-W951,"")</f>
        <v/>
      </c>
    </row>
    <row r="952" spans="1:43" x14ac:dyDescent="0.35">
      <c r="A952">
        <v>582</v>
      </c>
      <c r="B952" t="s">
        <v>2991</v>
      </c>
      <c r="C952" t="s">
        <v>2287</v>
      </c>
      <c r="D952" t="str">
        <f t="shared" si="306"/>
        <v>M and E</v>
      </c>
      <c r="E952" t="s">
        <v>2947</v>
      </c>
      <c r="F952" t="s">
        <v>2984</v>
      </c>
      <c r="G952" t="s">
        <v>2985</v>
      </c>
      <c r="H952" t="s">
        <v>80</v>
      </c>
      <c r="I952" s="32">
        <v>44893.41333333333</v>
      </c>
      <c r="J952" s="32">
        <v>44894.41333333333</v>
      </c>
      <c r="K952" s="32">
        <v>44896.41333333333</v>
      </c>
      <c r="L952" s="8">
        <f t="shared" si="307"/>
        <v>3</v>
      </c>
      <c r="M952" s="7">
        <v>44905.41333333333</v>
      </c>
      <c r="N952" t="s">
        <v>72</v>
      </c>
      <c r="O952" s="34" t="s">
        <v>7474</v>
      </c>
      <c r="R952" s="32" t="s">
        <v>7472</v>
      </c>
      <c r="S952" t="s">
        <v>7476</v>
      </c>
      <c r="T952" s="34" t="s">
        <v>7476</v>
      </c>
      <c r="U952" s="34" t="s">
        <v>7476</v>
      </c>
      <c r="V952" s="32" t="s">
        <v>7476</v>
      </c>
      <c r="W952" s="32" t="s">
        <v>7476</v>
      </c>
      <c r="X952">
        <v>0</v>
      </c>
      <c r="Y952" s="34" t="s">
        <v>7476</v>
      </c>
      <c r="Z952" s="34" t="s">
        <v>7476</v>
      </c>
      <c r="AA952" s="34" t="s">
        <v>7476</v>
      </c>
      <c r="AB952" s="36" t="s">
        <v>7476</v>
      </c>
      <c r="AD952" t="s">
        <v>2992</v>
      </c>
      <c r="AE952" t="s">
        <v>2993</v>
      </c>
      <c r="AG952" t="s">
        <v>68</v>
      </c>
      <c r="AH952">
        <v>3</v>
      </c>
      <c r="AI952" s="8" t="str">
        <f>IFERROR(R952-AF952,"")</f>
        <v/>
      </c>
      <c r="AJ952" s="8" t="str">
        <f>IFERROR(O952-AF952,"")</f>
        <v/>
      </c>
      <c r="AK952" s="38" t="str">
        <f t="shared" si="310"/>
        <v/>
      </c>
      <c r="AL952" t="str">
        <f>IFERROR(Z952-W952,"")</f>
        <v/>
      </c>
      <c r="AM952" t="str">
        <f>IFERROR(R952-J952,"")</f>
        <v/>
      </c>
      <c r="AN952" t="str">
        <f>IFERROR(V952-O952,"")</f>
        <v/>
      </c>
      <c r="AO952">
        <f>IFERROR(J952-I952,"")</f>
        <v>1</v>
      </c>
      <c r="AP952">
        <f>IFERROR(AC952-X952,"")</f>
        <v>0</v>
      </c>
      <c r="AQ952" t="str">
        <f>IFERROR(AA952-W952,"")</f>
        <v/>
      </c>
    </row>
    <row r="953" spans="1:43" x14ac:dyDescent="0.35">
      <c r="A953">
        <v>560</v>
      </c>
      <c r="B953" t="s">
        <v>2994</v>
      </c>
      <c r="C953" t="s">
        <v>2260</v>
      </c>
      <c r="D953" t="str">
        <f t="shared" si="306"/>
        <v>M and E</v>
      </c>
      <c r="E953" t="s">
        <v>2947</v>
      </c>
      <c r="F953" t="s">
        <v>2984</v>
      </c>
      <c r="G953" t="s">
        <v>2985</v>
      </c>
      <c r="H953" t="s">
        <v>80</v>
      </c>
      <c r="I953" s="32">
        <v>45086.01053240741</v>
      </c>
      <c r="J953" s="32">
        <v>45088.01053240741</v>
      </c>
      <c r="K953" s="32">
        <v>45091.01053240741</v>
      </c>
      <c r="L953" s="8">
        <f t="shared" si="307"/>
        <v>5</v>
      </c>
      <c r="M953" s="7">
        <v>45112.01053240741</v>
      </c>
      <c r="N953" t="s">
        <v>49</v>
      </c>
      <c r="O953" s="34">
        <v>45097.01053240741</v>
      </c>
      <c r="P953" t="s">
        <v>101</v>
      </c>
      <c r="R953" s="32">
        <v>45101.01053240741</v>
      </c>
      <c r="S953" t="s">
        <v>101</v>
      </c>
      <c r="T953" s="34">
        <v>45099.01053240741</v>
      </c>
      <c r="U953" s="34">
        <v>45100.01053240741</v>
      </c>
      <c r="V953" s="32">
        <v>45098.01053240741</v>
      </c>
      <c r="W953" s="32">
        <v>45100.01053240741</v>
      </c>
      <c r="X953">
        <v>1</v>
      </c>
      <c r="Y953" s="34">
        <v>45101.01053240741</v>
      </c>
      <c r="Z953" s="34">
        <v>45104.01053240741</v>
      </c>
      <c r="AA953" s="34">
        <v>45105.01053240741</v>
      </c>
      <c r="AB953" s="36" t="s">
        <v>7476</v>
      </c>
      <c r="AC953" s="10">
        <v>45119.01053240741</v>
      </c>
      <c r="AD953" t="s">
        <v>2995</v>
      </c>
      <c r="AE953" t="s">
        <v>2996</v>
      </c>
      <c r="AF953" s="16">
        <v>45080</v>
      </c>
      <c r="AG953" t="s">
        <v>64</v>
      </c>
      <c r="AH953">
        <v>6</v>
      </c>
      <c r="AI953" s="8">
        <f>IFERROR(R953-AF953,"")</f>
        <v>21.01053240741021</v>
      </c>
      <c r="AJ953" s="8">
        <f>IFERROR(O953-AF953,"")</f>
        <v>17.01053240741021</v>
      </c>
      <c r="AK953" s="38">
        <f t="shared" si="310"/>
        <v>45278.01053240741</v>
      </c>
      <c r="AL953">
        <f>IFERROR(Z953-W953,"")</f>
        <v>4</v>
      </c>
      <c r="AM953">
        <f>IFERROR(R953-J953,"")</f>
        <v>13</v>
      </c>
      <c r="AN953">
        <f>IFERROR(V953-O953,"")</f>
        <v>1</v>
      </c>
      <c r="AO953">
        <f>IFERROR(J953-I953,"")</f>
        <v>2</v>
      </c>
      <c r="AP953">
        <f>IFERROR(AC953-X953,"")</f>
        <v>45118.01053240741</v>
      </c>
      <c r="AQ953">
        <f>IFERROR(AA953-W953,"")</f>
        <v>5</v>
      </c>
    </row>
    <row r="954" spans="1:43" x14ac:dyDescent="0.35">
      <c r="A954">
        <v>556</v>
      </c>
      <c r="B954" t="s">
        <v>2997</v>
      </c>
      <c r="C954" t="s">
        <v>2287</v>
      </c>
      <c r="D954" t="str">
        <f t="shared" si="306"/>
        <v>M and E</v>
      </c>
      <c r="E954" t="s">
        <v>2947</v>
      </c>
      <c r="F954" t="s">
        <v>2984</v>
      </c>
      <c r="G954" t="s">
        <v>2985</v>
      </c>
      <c r="H954" t="s">
        <v>80</v>
      </c>
      <c r="I954" s="32">
        <v>45084.01053240741</v>
      </c>
      <c r="J954" s="32" t="s">
        <v>7471</v>
      </c>
      <c r="K954" s="32">
        <v>45091.01053240741</v>
      </c>
      <c r="L954" s="8">
        <f t="shared" si="307"/>
        <v>7</v>
      </c>
      <c r="M954" s="7">
        <v>45096.01053240741</v>
      </c>
      <c r="N954" t="s">
        <v>49</v>
      </c>
      <c r="O954" s="34">
        <v>45094.01053240741</v>
      </c>
      <c r="P954" t="s">
        <v>50</v>
      </c>
      <c r="Q954" t="s">
        <v>84</v>
      </c>
      <c r="R954" s="32" t="s">
        <v>7472</v>
      </c>
      <c r="S954" t="s">
        <v>7476</v>
      </c>
      <c r="T954" s="34" t="s">
        <v>7476</v>
      </c>
      <c r="U954" s="34" t="s">
        <v>7476</v>
      </c>
      <c r="V954" s="32" t="s">
        <v>7476</v>
      </c>
      <c r="W954" s="32" t="s">
        <v>7476</v>
      </c>
      <c r="X954">
        <v>0</v>
      </c>
      <c r="Y954" s="34" t="s">
        <v>7476</v>
      </c>
      <c r="Z954" s="34" t="s">
        <v>7476</v>
      </c>
      <c r="AA954" s="34" t="s">
        <v>7476</v>
      </c>
      <c r="AB954" s="36" t="s">
        <v>52</v>
      </c>
      <c r="AD954" t="s">
        <v>2998</v>
      </c>
      <c r="AE954" t="s">
        <v>2999</v>
      </c>
      <c r="AF954" s="16">
        <v>45081</v>
      </c>
      <c r="AG954" t="s">
        <v>75</v>
      </c>
      <c r="AH954">
        <v>6</v>
      </c>
      <c r="AK954" s="38" t="str">
        <f t="shared" si="310"/>
        <v/>
      </c>
    </row>
    <row r="955" spans="1:43" x14ac:dyDescent="0.35">
      <c r="A955">
        <v>544</v>
      </c>
      <c r="B955" t="s">
        <v>3000</v>
      </c>
      <c r="C955" t="s">
        <v>2260</v>
      </c>
      <c r="D955" t="str">
        <f t="shared" si="306"/>
        <v>M and E</v>
      </c>
      <c r="E955" t="s">
        <v>2947</v>
      </c>
      <c r="F955" t="s">
        <v>2984</v>
      </c>
      <c r="G955" t="s">
        <v>2985</v>
      </c>
      <c r="H955" t="s">
        <v>80</v>
      </c>
      <c r="I955" s="32">
        <v>44956.651087962957</v>
      </c>
      <c r="J955" s="32">
        <v>44958.651087962957</v>
      </c>
      <c r="K955" s="32">
        <v>44964.651087962957</v>
      </c>
      <c r="L955" s="8">
        <f t="shared" si="307"/>
        <v>8</v>
      </c>
      <c r="M955" s="7">
        <v>44977.651087962957</v>
      </c>
      <c r="N955" t="s">
        <v>49</v>
      </c>
      <c r="O955" s="34">
        <v>44980.651087962957</v>
      </c>
      <c r="P955" t="s">
        <v>101</v>
      </c>
      <c r="R955" s="32">
        <v>44982.651087962957</v>
      </c>
      <c r="S955" t="s">
        <v>101</v>
      </c>
      <c r="T955" s="34">
        <v>44981.651087962957</v>
      </c>
      <c r="U955" s="34">
        <v>44982.651087962957</v>
      </c>
      <c r="V955" s="32">
        <v>44981.651087962957</v>
      </c>
      <c r="W955" s="32">
        <v>44988.651087962957</v>
      </c>
      <c r="X955">
        <v>1</v>
      </c>
      <c r="Y955" s="34">
        <v>44991.651087962957</v>
      </c>
      <c r="Z955" s="34">
        <v>44992.651087962957</v>
      </c>
      <c r="AA955" s="34">
        <v>44995.651087962957</v>
      </c>
      <c r="AB955" s="36" t="s">
        <v>7476</v>
      </c>
      <c r="AC955" s="10">
        <v>45013.651087962957</v>
      </c>
      <c r="AD955" t="s">
        <v>3001</v>
      </c>
      <c r="AE955" t="s">
        <v>3002</v>
      </c>
      <c r="AF955" s="16">
        <v>44972</v>
      </c>
      <c r="AG955" t="s">
        <v>64</v>
      </c>
      <c r="AH955">
        <v>6</v>
      </c>
      <c r="AI955" s="8">
        <f>IFERROR(R955-AF955,"")</f>
        <v>10.651087962956808</v>
      </c>
      <c r="AJ955" s="8">
        <f>IFERROR(O955-AF955,"")</f>
        <v>8.651087962956808</v>
      </c>
      <c r="AK955" s="38">
        <f t="shared" si="310"/>
        <v>45161.651087962957</v>
      </c>
      <c r="AL955">
        <f>IFERROR(Z955-W955,"")</f>
        <v>4</v>
      </c>
      <c r="AM955">
        <f>IFERROR(R955-J955,"")</f>
        <v>24</v>
      </c>
      <c r="AN955">
        <f>IFERROR(V955-O955,"")</f>
        <v>1</v>
      </c>
      <c r="AO955">
        <f>IFERROR(J955-I955,"")</f>
        <v>2</v>
      </c>
      <c r="AP955">
        <f>IFERROR(AC955-X955,"")</f>
        <v>45012.651087962957</v>
      </c>
      <c r="AQ955">
        <f>IFERROR(AA955-W955,"")</f>
        <v>7</v>
      </c>
    </row>
    <row r="956" spans="1:43" x14ac:dyDescent="0.35">
      <c r="A956">
        <v>2878</v>
      </c>
      <c r="B956" t="s">
        <v>3003</v>
      </c>
      <c r="C956" t="s">
        <v>2287</v>
      </c>
      <c r="D956" t="str">
        <f t="shared" si="306"/>
        <v>M and E</v>
      </c>
      <c r="E956" t="s">
        <v>3004</v>
      </c>
      <c r="F956" t="s">
        <v>1046</v>
      </c>
      <c r="G956" t="s">
        <v>2775</v>
      </c>
      <c r="H956" t="s">
        <v>59</v>
      </c>
      <c r="I956" s="32">
        <v>45114.164652777778</v>
      </c>
      <c r="J956" s="32">
        <v>45115.164652777778</v>
      </c>
      <c r="K956" s="32">
        <v>45122.164652777778</v>
      </c>
      <c r="L956" s="8">
        <f t="shared" si="307"/>
        <v>8</v>
      </c>
      <c r="M956" s="7">
        <v>45141.164652777778</v>
      </c>
      <c r="N956" t="s">
        <v>49</v>
      </c>
      <c r="O956" s="34">
        <v>45125.164652777778</v>
      </c>
      <c r="P956" t="s">
        <v>50</v>
      </c>
      <c r="Q956" t="s">
        <v>236</v>
      </c>
      <c r="R956" s="32" t="s">
        <v>7472</v>
      </c>
      <c r="S956" t="s">
        <v>7476</v>
      </c>
      <c r="T956" s="34" t="s">
        <v>7476</v>
      </c>
      <c r="U956" s="34" t="s">
        <v>7476</v>
      </c>
      <c r="V956" s="32">
        <v>45128.164652777778</v>
      </c>
      <c r="W956" s="32" t="s">
        <v>7476</v>
      </c>
      <c r="X956">
        <v>0</v>
      </c>
      <c r="Y956" s="34" t="s">
        <v>7476</v>
      </c>
      <c r="Z956" s="34" t="s">
        <v>7476</v>
      </c>
      <c r="AA956" s="34" t="s">
        <v>7476</v>
      </c>
      <c r="AB956" s="36" t="s">
        <v>95</v>
      </c>
      <c r="AD956" t="s">
        <v>3005</v>
      </c>
      <c r="AE956" t="s">
        <v>3006</v>
      </c>
      <c r="AF956" s="16">
        <v>45206</v>
      </c>
      <c r="AG956" t="s">
        <v>98</v>
      </c>
      <c r="AH956">
        <v>3</v>
      </c>
      <c r="AI956" s="8" t="str">
        <f>IFERROR(R956-AF956,"")</f>
        <v/>
      </c>
      <c r="AJ956" s="8">
        <f>IFERROR(O956-AF956,"")</f>
        <v>-80.835347222222481</v>
      </c>
      <c r="AK956" s="38">
        <f t="shared" si="310"/>
        <v>45218.164652777778</v>
      </c>
      <c r="AL956" t="str">
        <f>IFERROR(Z956-W956,"")</f>
        <v/>
      </c>
      <c r="AM956" t="str">
        <f>IFERROR(R956-J956,"")</f>
        <v/>
      </c>
      <c r="AN956">
        <f>IFERROR(V956-O956,"")</f>
        <v>3</v>
      </c>
      <c r="AO956">
        <f>IFERROR(J956-I956,"")</f>
        <v>1</v>
      </c>
      <c r="AP956">
        <f>IFERROR(AC956-X956,"")</f>
        <v>0</v>
      </c>
      <c r="AQ956" t="str">
        <f>IFERROR(AA956-W956,"")</f>
        <v/>
      </c>
    </row>
    <row r="957" spans="1:43" x14ac:dyDescent="0.35">
      <c r="A957">
        <v>2874</v>
      </c>
      <c r="B957" t="s">
        <v>3007</v>
      </c>
      <c r="C957" t="s">
        <v>2287</v>
      </c>
      <c r="D957" t="str">
        <f t="shared" si="306"/>
        <v>M and E</v>
      </c>
      <c r="E957" t="s">
        <v>3004</v>
      </c>
      <c r="F957" t="s">
        <v>1046</v>
      </c>
      <c r="G957" t="s">
        <v>2775</v>
      </c>
      <c r="H957" t="s">
        <v>59</v>
      </c>
      <c r="I957" s="32">
        <v>45113.164652777778</v>
      </c>
      <c r="J957" s="32">
        <v>45116.164652777778</v>
      </c>
      <c r="K957" s="32">
        <v>45123.164652777778</v>
      </c>
      <c r="L957" s="8">
        <f t="shared" si="307"/>
        <v>10</v>
      </c>
      <c r="M957" s="7">
        <v>45138.164652777778</v>
      </c>
      <c r="N957" t="s">
        <v>49</v>
      </c>
      <c r="O957" s="34">
        <v>45125.164652777778</v>
      </c>
      <c r="P957" t="s">
        <v>60</v>
      </c>
      <c r="R957" s="32">
        <v>45130.164652777778</v>
      </c>
      <c r="S957" t="s">
        <v>61</v>
      </c>
      <c r="T957" s="34" t="s">
        <v>7476</v>
      </c>
      <c r="U957" s="34" t="s">
        <v>7476</v>
      </c>
      <c r="V957" s="32">
        <v>45126.164652777778</v>
      </c>
      <c r="W957" s="32" t="s">
        <v>7476</v>
      </c>
      <c r="X957">
        <v>0</v>
      </c>
      <c r="Y957" s="34" t="s">
        <v>7476</v>
      </c>
      <c r="Z957" s="34" t="s">
        <v>7476</v>
      </c>
      <c r="AA957" s="34" t="s">
        <v>7476</v>
      </c>
      <c r="AB957" s="36" t="s">
        <v>7476</v>
      </c>
      <c r="AD957" t="s">
        <v>3008</v>
      </c>
      <c r="AE957" t="s">
        <v>3009</v>
      </c>
      <c r="AF957" s="16">
        <v>45108</v>
      </c>
      <c r="AG957" t="s">
        <v>68</v>
      </c>
      <c r="AH957">
        <v>6</v>
      </c>
      <c r="AI957" s="8">
        <f>IFERROR(R957-AF957,"")</f>
        <v>22.164652777777519</v>
      </c>
      <c r="AJ957" s="8">
        <f>IFERROR(O957-AF957,"")</f>
        <v>17.164652777777519</v>
      </c>
      <c r="AK957" s="38">
        <f t="shared" si="310"/>
        <v>45306.164652777778</v>
      </c>
      <c r="AL957" t="str">
        <f>IFERROR(Z957-W957,"")</f>
        <v/>
      </c>
      <c r="AM957">
        <f>IFERROR(R957-J957,"")</f>
        <v>14</v>
      </c>
      <c r="AN957">
        <f>IFERROR(V957-O957,"")</f>
        <v>1</v>
      </c>
      <c r="AO957">
        <f>IFERROR(J957-I957,"")</f>
        <v>3</v>
      </c>
      <c r="AP957">
        <f>IFERROR(AC957-X957,"")</f>
        <v>0</v>
      </c>
      <c r="AQ957" t="str">
        <f>IFERROR(AA957-W957,"")</f>
        <v/>
      </c>
    </row>
    <row r="958" spans="1:43" x14ac:dyDescent="0.35">
      <c r="A958">
        <v>2818</v>
      </c>
      <c r="B958" t="s">
        <v>3010</v>
      </c>
      <c r="C958" t="s">
        <v>2260</v>
      </c>
      <c r="D958" t="str">
        <f t="shared" si="306"/>
        <v>M and E</v>
      </c>
      <c r="E958" t="s">
        <v>3004</v>
      </c>
      <c r="F958" t="s">
        <v>1046</v>
      </c>
      <c r="G958" t="s">
        <v>2775</v>
      </c>
      <c r="H958" t="s">
        <v>59</v>
      </c>
      <c r="I958" s="32">
        <v>44890.862592592603</v>
      </c>
      <c r="J958" s="32">
        <v>44893.862592592603</v>
      </c>
      <c r="K958" s="32">
        <v>44898.862592592603</v>
      </c>
      <c r="L958" s="8">
        <f t="shared" si="307"/>
        <v>8</v>
      </c>
      <c r="M958" s="7">
        <v>44918.862592592603</v>
      </c>
      <c r="N958" t="s">
        <v>49</v>
      </c>
      <c r="O958" s="34">
        <v>44914.862592592603</v>
      </c>
      <c r="P958" t="s">
        <v>50</v>
      </c>
      <c r="Q958" t="s">
        <v>198</v>
      </c>
      <c r="R958" s="32" t="s">
        <v>7472</v>
      </c>
      <c r="S958" t="s">
        <v>7476</v>
      </c>
      <c r="T958" s="34" t="s">
        <v>7476</v>
      </c>
      <c r="U958" s="34" t="s">
        <v>7476</v>
      </c>
      <c r="V958" s="32">
        <v>44915.862592592603</v>
      </c>
      <c r="W958" s="32" t="s">
        <v>7476</v>
      </c>
      <c r="X958">
        <v>0</v>
      </c>
      <c r="Y958" s="34" t="s">
        <v>7476</v>
      </c>
      <c r="Z958" s="34" t="s">
        <v>7476</v>
      </c>
      <c r="AA958" s="34" t="s">
        <v>7476</v>
      </c>
      <c r="AB958" s="36" t="s">
        <v>52</v>
      </c>
      <c r="AD958" t="s">
        <v>3011</v>
      </c>
      <c r="AE958" t="s">
        <v>3012</v>
      </c>
      <c r="AF958" s="16">
        <v>44816</v>
      </c>
      <c r="AG958" t="s">
        <v>68</v>
      </c>
      <c r="AH958">
        <v>3</v>
      </c>
      <c r="AI958" s="8" t="str">
        <f>IFERROR(R958-AF958,"")</f>
        <v/>
      </c>
      <c r="AJ958" s="8">
        <f>IFERROR(O958-AF958,"")</f>
        <v>98.862592592602596</v>
      </c>
      <c r="AK958" s="38">
        <f t="shared" si="310"/>
        <v>45005.862592592603</v>
      </c>
      <c r="AL958" t="str">
        <f>IFERROR(Z958-W958,"")</f>
        <v/>
      </c>
      <c r="AM958" t="str">
        <f>IFERROR(R958-J958,"")</f>
        <v/>
      </c>
      <c r="AN958">
        <f>IFERROR(V958-O958,"")</f>
        <v>1</v>
      </c>
      <c r="AO958">
        <f>IFERROR(J958-I958,"")</f>
        <v>3</v>
      </c>
      <c r="AP958">
        <f>IFERROR(AC958-X958,"")</f>
        <v>0</v>
      </c>
      <c r="AQ958" t="str">
        <f>IFERROR(AA958-W958,"")</f>
        <v/>
      </c>
    </row>
    <row r="959" spans="1:43" x14ac:dyDescent="0.35">
      <c r="A959">
        <v>2815</v>
      </c>
      <c r="B959" t="s">
        <v>3013</v>
      </c>
      <c r="C959" t="s">
        <v>2260</v>
      </c>
      <c r="D959" t="str">
        <f t="shared" si="306"/>
        <v>M and E</v>
      </c>
      <c r="E959" t="s">
        <v>3004</v>
      </c>
      <c r="F959" t="s">
        <v>1046</v>
      </c>
      <c r="G959" t="s">
        <v>2775</v>
      </c>
      <c r="H959" t="s">
        <v>59</v>
      </c>
      <c r="I959" s="32">
        <v>44894.862592592603</v>
      </c>
      <c r="J959" s="32">
        <v>44897.862592592603</v>
      </c>
      <c r="K959" s="32">
        <v>44898.862592592603</v>
      </c>
      <c r="L959" s="8">
        <f t="shared" si="307"/>
        <v>4</v>
      </c>
      <c r="M959" s="7">
        <v>44917.862592592603</v>
      </c>
      <c r="N959" t="s">
        <v>49</v>
      </c>
      <c r="O959" s="34">
        <v>44910.862592592603</v>
      </c>
      <c r="P959" t="s">
        <v>50</v>
      </c>
      <c r="Q959" t="s">
        <v>51</v>
      </c>
      <c r="R959" s="32" t="s">
        <v>7472</v>
      </c>
      <c r="S959" t="s">
        <v>7476</v>
      </c>
      <c r="T959" s="34" t="s">
        <v>7476</v>
      </c>
      <c r="U959" s="34" t="s">
        <v>7476</v>
      </c>
      <c r="V959" s="32" t="s">
        <v>7476</v>
      </c>
      <c r="W959" s="32" t="s">
        <v>7476</v>
      </c>
      <c r="X959">
        <v>0</v>
      </c>
      <c r="Y959" s="34" t="s">
        <v>7476</v>
      </c>
      <c r="Z959" s="34" t="s">
        <v>7476</v>
      </c>
      <c r="AA959" s="34" t="s">
        <v>7476</v>
      </c>
      <c r="AB959" s="36" t="s">
        <v>52</v>
      </c>
      <c r="AD959" t="s">
        <v>3014</v>
      </c>
      <c r="AE959" t="s">
        <v>3015</v>
      </c>
      <c r="AF959" s="16">
        <v>44897</v>
      </c>
      <c r="AG959" t="s">
        <v>68</v>
      </c>
      <c r="AH959">
        <v>6</v>
      </c>
      <c r="AI959" s="8" t="str">
        <f>IFERROR(R959-AF959,"")</f>
        <v/>
      </c>
      <c r="AJ959" s="8">
        <f>IFERROR(O959-AF959,"")</f>
        <v>13.862592592602596</v>
      </c>
      <c r="AK959" s="38" t="str">
        <f t="shared" si="310"/>
        <v/>
      </c>
      <c r="AL959" t="str">
        <f>IFERROR(Z959-W959,"")</f>
        <v/>
      </c>
      <c r="AM959" t="str">
        <f>IFERROR(R959-J959,"")</f>
        <v/>
      </c>
      <c r="AN959" t="str">
        <f>IFERROR(V959-O959,"")</f>
        <v/>
      </c>
      <c r="AO959">
        <f>IFERROR(J959-I959,"")</f>
        <v>3</v>
      </c>
      <c r="AP959">
        <f>IFERROR(AC959-X959,"")</f>
        <v>0</v>
      </c>
      <c r="AQ959" t="str">
        <f>IFERROR(AA959-W959,"")</f>
        <v/>
      </c>
    </row>
    <row r="960" spans="1:43" x14ac:dyDescent="0.35">
      <c r="A960">
        <v>2717</v>
      </c>
      <c r="B960" t="s">
        <v>3016</v>
      </c>
      <c r="C960" t="s">
        <v>2287</v>
      </c>
      <c r="D960" t="str">
        <f t="shared" si="306"/>
        <v>M and E</v>
      </c>
      <c r="E960" t="s">
        <v>3004</v>
      </c>
      <c r="F960" t="s">
        <v>1046</v>
      </c>
      <c r="G960" t="s">
        <v>2775</v>
      </c>
      <c r="H960" t="s">
        <v>59</v>
      </c>
      <c r="I960" s="32" t="s">
        <v>7471</v>
      </c>
      <c r="J960" s="32">
        <v>44956.0546412037</v>
      </c>
      <c r="K960" s="32">
        <v>44958.0546412037</v>
      </c>
      <c r="L960" s="8" t="str">
        <f t="shared" si="307"/>
        <v/>
      </c>
      <c r="M960" s="7">
        <v>44963.0546412037</v>
      </c>
      <c r="N960" t="s">
        <v>49</v>
      </c>
      <c r="O960" s="34">
        <v>44970.0546412037</v>
      </c>
      <c r="P960" t="s">
        <v>392</v>
      </c>
      <c r="R960" s="32">
        <v>44974.0546412037</v>
      </c>
      <c r="S960" t="s">
        <v>392</v>
      </c>
      <c r="T960" s="34" t="s">
        <v>7476</v>
      </c>
      <c r="U960" s="34" t="s">
        <v>7476</v>
      </c>
      <c r="V960" s="32">
        <v>44973.0546412037</v>
      </c>
      <c r="W960" s="32" t="s">
        <v>7476</v>
      </c>
      <c r="X960">
        <v>0</v>
      </c>
      <c r="Y960" s="34" t="s">
        <v>7476</v>
      </c>
      <c r="Z960" s="34" t="s">
        <v>7476</v>
      </c>
      <c r="AA960" s="34" t="s">
        <v>7476</v>
      </c>
      <c r="AB960" s="36" t="s">
        <v>7476</v>
      </c>
      <c r="AD960" t="s">
        <v>3017</v>
      </c>
      <c r="AE960" t="s">
        <v>3018</v>
      </c>
      <c r="AF960" s="16">
        <v>44928</v>
      </c>
      <c r="AG960" t="s">
        <v>64</v>
      </c>
      <c r="AH960">
        <v>3</v>
      </c>
      <c r="AK960" s="38">
        <f t="shared" si="310"/>
        <v>45063.0546412037</v>
      </c>
    </row>
    <row r="961" spans="1:43" x14ac:dyDescent="0.35">
      <c r="A961">
        <v>2716</v>
      </c>
      <c r="B961" t="s">
        <v>3019</v>
      </c>
      <c r="C961" t="s">
        <v>2287</v>
      </c>
      <c r="D961" t="str">
        <f t="shared" si="306"/>
        <v>M and E</v>
      </c>
      <c r="E961" t="s">
        <v>3004</v>
      </c>
      <c r="F961" t="s">
        <v>1046</v>
      </c>
      <c r="G961" t="s">
        <v>2775</v>
      </c>
      <c r="H961" t="s">
        <v>59</v>
      </c>
      <c r="I961" s="32">
        <v>44952.0546412037</v>
      </c>
      <c r="J961" s="32">
        <v>44955.0546412037</v>
      </c>
      <c r="K961" s="32" t="s">
        <v>7473</v>
      </c>
      <c r="L961" s="8" t="str">
        <f t="shared" si="307"/>
        <v/>
      </c>
      <c r="M961" s="7">
        <v>44981.0546412037</v>
      </c>
      <c r="N961" t="s">
        <v>49</v>
      </c>
      <c r="O961" s="34">
        <v>44974.0546412037</v>
      </c>
      <c r="P961" t="s">
        <v>50</v>
      </c>
      <c r="Q961" t="s">
        <v>84</v>
      </c>
      <c r="R961" s="32" t="s">
        <v>7472</v>
      </c>
      <c r="S961" t="s">
        <v>7476</v>
      </c>
      <c r="T961" s="34" t="s">
        <v>7476</v>
      </c>
      <c r="U961" s="34" t="s">
        <v>7476</v>
      </c>
      <c r="V961" s="32">
        <v>44976.0546412037</v>
      </c>
      <c r="W961" s="32" t="s">
        <v>7476</v>
      </c>
      <c r="X961">
        <v>0</v>
      </c>
      <c r="Y961" s="34" t="s">
        <v>7476</v>
      </c>
      <c r="Z961" s="34" t="s">
        <v>7476</v>
      </c>
      <c r="AA961" s="34" t="s">
        <v>7476</v>
      </c>
      <c r="AB961" s="36" t="s">
        <v>52</v>
      </c>
      <c r="AD961" t="s">
        <v>3020</v>
      </c>
      <c r="AE961" t="s">
        <v>3021</v>
      </c>
      <c r="AF961" s="16">
        <v>44965</v>
      </c>
      <c r="AG961" t="s">
        <v>68</v>
      </c>
      <c r="AH961">
        <v>6</v>
      </c>
      <c r="AK961" s="38">
        <f t="shared" si="310"/>
        <v>45156.0546412037</v>
      </c>
    </row>
    <row r="962" spans="1:43" x14ac:dyDescent="0.35">
      <c r="A962">
        <v>2713</v>
      </c>
      <c r="B962" t="s">
        <v>3022</v>
      </c>
      <c r="C962" t="s">
        <v>2260</v>
      </c>
      <c r="D962" t="str">
        <f t="shared" ref="D962:D1025" si="333">TRIM(C962)</f>
        <v>M and E</v>
      </c>
      <c r="E962" t="s">
        <v>3004</v>
      </c>
      <c r="F962" t="s">
        <v>1046</v>
      </c>
      <c r="G962" t="s">
        <v>2775</v>
      </c>
      <c r="H962" t="s">
        <v>59</v>
      </c>
      <c r="I962" s="32">
        <v>44954.0546412037</v>
      </c>
      <c r="J962" s="32">
        <v>44957.0546412037</v>
      </c>
      <c r="K962" s="32">
        <v>44958.0546412037</v>
      </c>
      <c r="L962" s="8">
        <f t="shared" ref="L962:L1025" si="334">IFERROR(K962-I962,"")</f>
        <v>4</v>
      </c>
      <c r="M962" s="7">
        <v>44977.0546412037</v>
      </c>
      <c r="N962" t="s">
        <v>49</v>
      </c>
      <c r="O962" s="34">
        <v>44961.0546412037</v>
      </c>
      <c r="P962" t="s">
        <v>50</v>
      </c>
      <c r="Q962" t="s">
        <v>84</v>
      </c>
      <c r="R962" s="32" t="s">
        <v>7472</v>
      </c>
      <c r="S962" t="s">
        <v>7476</v>
      </c>
      <c r="T962" s="34" t="s">
        <v>7476</v>
      </c>
      <c r="U962" s="34" t="s">
        <v>7476</v>
      </c>
      <c r="V962" s="32" t="s">
        <v>7476</v>
      </c>
      <c r="W962" s="32" t="s">
        <v>7476</v>
      </c>
      <c r="X962">
        <v>0</v>
      </c>
      <c r="Y962" s="34" t="s">
        <v>7476</v>
      </c>
      <c r="Z962" s="34" t="s">
        <v>7476</v>
      </c>
      <c r="AA962" s="34" t="s">
        <v>7476</v>
      </c>
      <c r="AB962" s="36" t="s">
        <v>95</v>
      </c>
      <c r="AD962" t="s">
        <v>3023</v>
      </c>
      <c r="AE962" t="s">
        <v>3024</v>
      </c>
      <c r="AF962" s="16">
        <v>44955</v>
      </c>
      <c r="AG962" t="s">
        <v>64</v>
      </c>
      <c r="AH962">
        <v>3</v>
      </c>
      <c r="AI962" s="8" t="str">
        <f>IFERROR(R962-AF962,"")</f>
        <v/>
      </c>
      <c r="AJ962" s="8">
        <f>IFERROR(O962-AF962,"")</f>
        <v>6.0546412037001573</v>
      </c>
      <c r="AK962" s="38" t="str">
        <f t="shared" si="310"/>
        <v/>
      </c>
      <c r="AL962" t="str">
        <f>IFERROR(Z962-W962,"")</f>
        <v/>
      </c>
      <c r="AM962" t="str">
        <f>IFERROR(R962-J962,"")</f>
        <v/>
      </c>
      <c r="AN962" t="str">
        <f>IFERROR(V962-O962,"")</f>
        <v/>
      </c>
      <c r="AO962">
        <f>IFERROR(J962-I962,"")</f>
        <v>3</v>
      </c>
      <c r="AP962">
        <f>IFERROR(AC962-X962,"")</f>
        <v>0</v>
      </c>
      <c r="AQ962" t="str">
        <f>IFERROR(AA962-W962,"")</f>
        <v/>
      </c>
    </row>
    <row r="963" spans="1:43" x14ac:dyDescent="0.35">
      <c r="A963">
        <v>2699</v>
      </c>
      <c r="B963" t="s">
        <v>3025</v>
      </c>
      <c r="C963" t="s">
        <v>2287</v>
      </c>
      <c r="D963" t="str">
        <f t="shared" si="333"/>
        <v>M and E</v>
      </c>
      <c r="E963" t="s">
        <v>3004</v>
      </c>
      <c r="F963" t="s">
        <v>1046</v>
      </c>
      <c r="G963" t="s">
        <v>2775</v>
      </c>
      <c r="H963" t="s">
        <v>59</v>
      </c>
      <c r="I963" s="32">
        <v>45021.99291666667</v>
      </c>
      <c r="J963" s="32">
        <v>45022.99291666667</v>
      </c>
      <c r="K963" s="32">
        <v>45023.99291666667</v>
      </c>
      <c r="L963" s="8">
        <f t="shared" si="334"/>
        <v>2</v>
      </c>
      <c r="M963" s="7">
        <v>45041.99291666667</v>
      </c>
      <c r="N963" t="s">
        <v>49</v>
      </c>
      <c r="O963" s="34">
        <v>45033.99291666667</v>
      </c>
      <c r="P963" t="s">
        <v>60</v>
      </c>
      <c r="R963" s="32">
        <v>45039.99291666667</v>
      </c>
      <c r="S963" t="s">
        <v>61</v>
      </c>
      <c r="T963" s="34" t="s">
        <v>7476</v>
      </c>
      <c r="U963" s="34" t="s">
        <v>7476</v>
      </c>
      <c r="V963" s="32">
        <v>45035.99291666667</v>
      </c>
      <c r="W963" s="32" t="s">
        <v>7476</v>
      </c>
      <c r="X963">
        <v>0</v>
      </c>
      <c r="Y963" s="34" t="s">
        <v>7476</v>
      </c>
      <c r="Z963" s="34" t="s">
        <v>7476</v>
      </c>
      <c r="AA963" s="34" t="s">
        <v>7476</v>
      </c>
      <c r="AB963" s="36" t="s">
        <v>7476</v>
      </c>
      <c r="AD963" t="s">
        <v>3026</v>
      </c>
      <c r="AE963" t="s">
        <v>3027</v>
      </c>
      <c r="AF963" s="16">
        <v>45020</v>
      </c>
      <c r="AG963" t="s">
        <v>98</v>
      </c>
      <c r="AH963">
        <v>3</v>
      </c>
      <c r="AI963" s="8">
        <f>IFERROR(R963-AF963,"")</f>
        <v>19.992916666669771</v>
      </c>
      <c r="AJ963" s="8">
        <f>IFERROR(O963-AF963,"")</f>
        <v>13.992916666669771</v>
      </c>
      <c r="AK963" s="38">
        <f t="shared" ref="AK963:AK1026" si="335">IFERROR(V963+(AH963*30),"")</f>
        <v>45125.99291666667</v>
      </c>
      <c r="AL963" t="str">
        <f>IFERROR(Z963-W963,"")</f>
        <v/>
      </c>
      <c r="AM963">
        <f>IFERROR(R963-J963,"")</f>
        <v>17</v>
      </c>
      <c r="AN963">
        <f>IFERROR(V963-O963,"")</f>
        <v>2</v>
      </c>
      <c r="AO963">
        <f>IFERROR(J963-I963,"")</f>
        <v>1</v>
      </c>
      <c r="AP963">
        <f>IFERROR(AC963-X963,"")</f>
        <v>0</v>
      </c>
      <c r="AQ963" t="str">
        <f>IFERROR(AA963-W963,"")</f>
        <v/>
      </c>
    </row>
    <row r="964" spans="1:43" x14ac:dyDescent="0.35">
      <c r="A964">
        <v>2694</v>
      </c>
      <c r="B964" t="s">
        <v>3028</v>
      </c>
      <c r="C964" t="s">
        <v>2325</v>
      </c>
      <c r="D964" t="str">
        <f t="shared" si="333"/>
        <v>M and E</v>
      </c>
      <c r="E964" t="s">
        <v>3004</v>
      </c>
      <c r="F964" t="s">
        <v>1046</v>
      </c>
      <c r="G964" t="s">
        <v>2775</v>
      </c>
      <c r="H964" t="s">
        <v>59</v>
      </c>
      <c r="I964" s="32">
        <v>45015.99291666667</v>
      </c>
      <c r="J964" s="32">
        <v>45019.99291666667</v>
      </c>
      <c r="K964" s="32">
        <v>45023.99291666667</v>
      </c>
      <c r="L964" s="8">
        <f t="shared" si="334"/>
        <v>8</v>
      </c>
      <c r="M964" s="7">
        <v>45053.99291666667</v>
      </c>
      <c r="N964" t="s">
        <v>49</v>
      </c>
      <c r="O964" s="34">
        <v>45026.99291666667</v>
      </c>
      <c r="P964" t="s">
        <v>60</v>
      </c>
      <c r="R964" s="32">
        <v>45032.99291666667</v>
      </c>
      <c r="S964" t="s">
        <v>61</v>
      </c>
      <c r="T964" s="34" t="s">
        <v>7476</v>
      </c>
      <c r="U964" s="34" t="s">
        <v>7476</v>
      </c>
      <c r="V964" s="32">
        <v>45028.99291666667</v>
      </c>
      <c r="W964" s="32" t="s">
        <v>7476</v>
      </c>
      <c r="X964">
        <v>0</v>
      </c>
      <c r="Y964" s="34" t="s">
        <v>7476</v>
      </c>
      <c r="Z964" s="34" t="s">
        <v>7476</v>
      </c>
      <c r="AA964" s="34" t="s">
        <v>7476</v>
      </c>
      <c r="AB964" s="36" t="s">
        <v>7476</v>
      </c>
      <c r="AD964" t="s">
        <v>3029</v>
      </c>
      <c r="AE964" t="s">
        <v>3030</v>
      </c>
      <c r="AF964" s="16">
        <v>45020</v>
      </c>
      <c r="AG964" t="s">
        <v>68</v>
      </c>
      <c r="AH964">
        <v>6</v>
      </c>
      <c r="AI964" s="8">
        <f>IFERROR(R964-AF964,"")</f>
        <v>12.992916666669771</v>
      </c>
      <c r="AJ964" s="8">
        <f>IFERROR(O964-AF964,"")</f>
        <v>6.9929166666697711</v>
      </c>
      <c r="AK964" s="38">
        <f t="shared" si="335"/>
        <v>45208.99291666667</v>
      </c>
      <c r="AL964" t="str">
        <f>IFERROR(Z964-W964,"")</f>
        <v/>
      </c>
      <c r="AM964">
        <f>IFERROR(R964-J964,"")</f>
        <v>13</v>
      </c>
      <c r="AN964">
        <f>IFERROR(V964-O964,"")</f>
        <v>2</v>
      </c>
      <c r="AO964">
        <f>IFERROR(J964-I964,"")</f>
        <v>4</v>
      </c>
      <c r="AP964">
        <f>IFERROR(AC964-X964,"")</f>
        <v>0</v>
      </c>
      <c r="AQ964" t="str">
        <f>IFERROR(AA964-W964,"")</f>
        <v/>
      </c>
    </row>
    <row r="965" spans="1:43" x14ac:dyDescent="0.35">
      <c r="A965">
        <v>2660</v>
      </c>
      <c r="B965" t="s">
        <v>3031</v>
      </c>
      <c r="C965" t="s">
        <v>2260</v>
      </c>
      <c r="D965" t="str">
        <f t="shared" si="333"/>
        <v>M and E</v>
      </c>
      <c r="E965" t="s">
        <v>3004</v>
      </c>
      <c r="F965" t="s">
        <v>1300</v>
      </c>
      <c r="G965" t="s">
        <v>3032</v>
      </c>
      <c r="H965" t="s">
        <v>59</v>
      </c>
      <c r="I965" s="32">
        <v>44595.417025462957</v>
      </c>
      <c r="J965" s="32" t="s">
        <v>7471</v>
      </c>
      <c r="K965" s="32">
        <v>44605.417025462957</v>
      </c>
      <c r="L965" s="8">
        <f t="shared" si="334"/>
        <v>10</v>
      </c>
      <c r="M965" s="7">
        <v>44635.417025462957</v>
      </c>
      <c r="N965" t="s">
        <v>49</v>
      </c>
      <c r="O965" s="34">
        <v>44620.417025462957</v>
      </c>
      <c r="P965" t="s">
        <v>50</v>
      </c>
      <c r="Q965" t="s">
        <v>198</v>
      </c>
      <c r="R965" s="32" t="s">
        <v>7472</v>
      </c>
      <c r="S965" t="s">
        <v>7476</v>
      </c>
      <c r="T965" s="34" t="s">
        <v>7476</v>
      </c>
      <c r="U965" s="34" t="s">
        <v>7476</v>
      </c>
      <c r="V965" s="32">
        <v>44624.417025462957</v>
      </c>
      <c r="W965" s="32" t="s">
        <v>7476</v>
      </c>
      <c r="X965">
        <v>0</v>
      </c>
      <c r="Y965" s="34" t="s">
        <v>7476</v>
      </c>
      <c r="Z965" s="34" t="s">
        <v>7476</v>
      </c>
      <c r="AA965" s="34" t="s">
        <v>7476</v>
      </c>
      <c r="AB965" s="36" t="s">
        <v>95</v>
      </c>
      <c r="AD965" t="s">
        <v>3033</v>
      </c>
      <c r="AE965" t="s">
        <v>3034</v>
      </c>
      <c r="AF965" s="16">
        <v>44605</v>
      </c>
      <c r="AG965" t="s">
        <v>93</v>
      </c>
      <c r="AH965">
        <v>3</v>
      </c>
      <c r="AK965" s="38">
        <f t="shared" si="335"/>
        <v>44714.417025462957</v>
      </c>
    </row>
    <row r="966" spans="1:43" x14ac:dyDescent="0.35">
      <c r="A966">
        <v>2657</v>
      </c>
      <c r="B966" t="s">
        <v>3035</v>
      </c>
      <c r="C966" t="s">
        <v>2260</v>
      </c>
      <c r="D966" t="str">
        <f t="shared" si="333"/>
        <v>M and E</v>
      </c>
      <c r="E966" t="s">
        <v>3004</v>
      </c>
      <c r="F966" t="s">
        <v>1300</v>
      </c>
      <c r="G966" t="s">
        <v>3032</v>
      </c>
      <c r="H966" t="s">
        <v>59</v>
      </c>
      <c r="I966" s="32">
        <v>44600.417025462957</v>
      </c>
      <c r="J966" s="32">
        <v>44601.417025462957</v>
      </c>
      <c r="K966" s="32">
        <v>44605.417025462957</v>
      </c>
      <c r="L966" s="8">
        <f t="shared" si="334"/>
        <v>5</v>
      </c>
      <c r="M966" s="7">
        <v>44610.417025462957</v>
      </c>
      <c r="N966" t="s">
        <v>49</v>
      </c>
      <c r="O966" s="34">
        <v>44615.417025462957</v>
      </c>
      <c r="P966" t="s">
        <v>50</v>
      </c>
      <c r="Q966" t="s">
        <v>51</v>
      </c>
      <c r="R966" s="32" t="s">
        <v>7472</v>
      </c>
      <c r="S966" t="s">
        <v>7476</v>
      </c>
      <c r="T966" s="34" t="s">
        <v>7476</v>
      </c>
      <c r="U966" s="34" t="s">
        <v>7476</v>
      </c>
      <c r="V966" s="32">
        <v>44618.417025462957</v>
      </c>
      <c r="W966" s="32" t="s">
        <v>7476</v>
      </c>
      <c r="X966">
        <v>0</v>
      </c>
      <c r="Y966" s="34" t="s">
        <v>7476</v>
      </c>
      <c r="Z966" s="34" t="s">
        <v>7476</v>
      </c>
      <c r="AA966" s="34" t="s">
        <v>7476</v>
      </c>
      <c r="AB966" s="36" t="s">
        <v>52</v>
      </c>
      <c r="AD966" t="s">
        <v>3036</v>
      </c>
      <c r="AE966" t="s">
        <v>3037</v>
      </c>
      <c r="AF966" s="16">
        <v>44653</v>
      </c>
      <c r="AG966" t="s">
        <v>68</v>
      </c>
      <c r="AH966">
        <v>3</v>
      </c>
      <c r="AI966" s="8" t="str">
        <f>IFERROR(R966-AF966,"")</f>
        <v/>
      </c>
      <c r="AJ966" s="8">
        <f>IFERROR(O966-AF966,"")</f>
        <v>-37.582974537042901</v>
      </c>
      <c r="AK966" s="38">
        <f t="shared" si="335"/>
        <v>44708.417025462957</v>
      </c>
      <c r="AL966" t="str">
        <f>IFERROR(Z966-W966,"")</f>
        <v/>
      </c>
      <c r="AM966" t="str">
        <f>IFERROR(R966-J966,"")</f>
        <v/>
      </c>
      <c r="AN966">
        <f>IFERROR(V966-O966,"")</f>
        <v>3</v>
      </c>
      <c r="AO966">
        <f>IFERROR(J966-I966,"")</f>
        <v>1</v>
      </c>
      <c r="AP966">
        <f>IFERROR(AC966-X966,"")</f>
        <v>0</v>
      </c>
      <c r="AQ966" t="str">
        <f>IFERROR(AA966-W966,"")</f>
        <v/>
      </c>
    </row>
    <row r="967" spans="1:43" x14ac:dyDescent="0.35">
      <c r="A967">
        <v>2653</v>
      </c>
      <c r="B967" t="s">
        <v>3038</v>
      </c>
      <c r="C967" t="s">
        <v>2325</v>
      </c>
      <c r="D967" t="str">
        <f t="shared" si="333"/>
        <v>M and E</v>
      </c>
      <c r="E967" t="s">
        <v>3004</v>
      </c>
      <c r="F967" t="s">
        <v>1300</v>
      </c>
      <c r="G967" t="s">
        <v>3032</v>
      </c>
      <c r="H967" t="s">
        <v>59</v>
      </c>
      <c r="I967" s="32">
        <v>44599.417025462957</v>
      </c>
      <c r="J967" s="32">
        <v>44600.417025462957</v>
      </c>
      <c r="K967" s="32">
        <v>44605.417025462957</v>
      </c>
      <c r="L967" s="8">
        <f t="shared" si="334"/>
        <v>6</v>
      </c>
      <c r="M967" s="7">
        <v>44631.417025462957</v>
      </c>
      <c r="N967" t="s">
        <v>49</v>
      </c>
      <c r="O967" s="34">
        <v>44620.417025462957</v>
      </c>
      <c r="P967" t="s">
        <v>101</v>
      </c>
      <c r="R967" s="32">
        <v>44625.417025462957</v>
      </c>
      <c r="S967" t="s">
        <v>101</v>
      </c>
      <c r="T967" s="34">
        <v>44621.417025462957</v>
      </c>
      <c r="U967" s="34">
        <v>44623.417025462957</v>
      </c>
      <c r="V967" s="32">
        <v>44624.417025462957</v>
      </c>
      <c r="W967" s="32">
        <v>44629.417025462957</v>
      </c>
      <c r="X967">
        <v>1</v>
      </c>
      <c r="Y967" s="34">
        <v>44633.417025462957</v>
      </c>
      <c r="Z967" s="34">
        <v>44634.417025462957</v>
      </c>
      <c r="AA967" s="34">
        <v>44637.417025462957</v>
      </c>
      <c r="AB967" s="36" t="s">
        <v>7476</v>
      </c>
      <c r="AC967" s="10">
        <v>44656.417025462957</v>
      </c>
      <c r="AD967" t="s">
        <v>3039</v>
      </c>
      <c r="AE967" t="s">
        <v>3040</v>
      </c>
      <c r="AF967" s="16">
        <v>44610</v>
      </c>
      <c r="AG967" t="s">
        <v>64</v>
      </c>
      <c r="AH967">
        <v>6</v>
      </c>
      <c r="AI967" s="8">
        <f>IFERROR(R967-AF967,"")</f>
        <v>15.417025462957099</v>
      </c>
      <c r="AJ967" s="8">
        <f>IFERROR(O967-AF967,"")</f>
        <v>10.417025462957099</v>
      </c>
      <c r="AK967" s="38">
        <f t="shared" si="335"/>
        <v>44804.417025462957</v>
      </c>
      <c r="AL967">
        <f>IFERROR(Z967-W967,"")</f>
        <v>5</v>
      </c>
      <c r="AM967">
        <f>IFERROR(R967-J967,"")</f>
        <v>25</v>
      </c>
      <c r="AN967">
        <f>IFERROR(V967-O967,"")</f>
        <v>4</v>
      </c>
      <c r="AO967">
        <f>IFERROR(J967-I967,"")</f>
        <v>1</v>
      </c>
      <c r="AP967">
        <f>IFERROR(AC967-X967,"")</f>
        <v>44655.417025462957</v>
      </c>
      <c r="AQ967">
        <f>IFERROR(AA967-W967,"")</f>
        <v>8</v>
      </c>
    </row>
    <row r="968" spans="1:43" x14ac:dyDescent="0.35">
      <c r="A968">
        <v>2604</v>
      </c>
      <c r="B968" t="s">
        <v>3041</v>
      </c>
      <c r="C968" t="s">
        <v>2287</v>
      </c>
      <c r="D968" t="str">
        <f t="shared" si="333"/>
        <v>M and E</v>
      </c>
      <c r="E968" t="s">
        <v>3004</v>
      </c>
      <c r="F968" t="s">
        <v>1300</v>
      </c>
      <c r="G968" t="s">
        <v>3032</v>
      </c>
      <c r="H968" t="s">
        <v>59</v>
      </c>
      <c r="I968" s="32">
        <v>45036.692673611113</v>
      </c>
      <c r="J968" s="32">
        <v>45040.692673611113</v>
      </c>
      <c r="K968" s="32">
        <v>45046.692673611113</v>
      </c>
      <c r="L968" s="8">
        <f t="shared" si="334"/>
        <v>10</v>
      </c>
      <c r="M968" s="7">
        <v>45074.692673611113</v>
      </c>
      <c r="N968" t="s">
        <v>49</v>
      </c>
      <c r="O968" s="34">
        <v>45056.692673611113</v>
      </c>
      <c r="P968" t="s">
        <v>50</v>
      </c>
      <c r="Q968" t="s">
        <v>84</v>
      </c>
      <c r="R968" s="32" t="s">
        <v>7472</v>
      </c>
      <c r="S968" t="s">
        <v>7476</v>
      </c>
      <c r="T968" s="34" t="s">
        <v>7476</v>
      </c>
      <c r="U968" s="34" t="s">
        <v>7476</v>
      </c>
      <c r="V968" s="32">
        <v>45057.692673611113</v>
      </c>
      <c r="W968" s="32" t="s">
        <v>7476</v>
      </c>
      <c r="X968">
        <v>0</v>
      </c>
      <c r="Y968" s="34" t="s">
        <v>7476</v>
      </c>
      <c r="Z968" s="34" t="s">
        <v>7476</v>
      </c>
      <c r="AA968" s="34" t="s">
        <v>7476</v>
      </c>
      <c r="AB968" s="36" t="s">
        <v>52</v>
      </c>
      <c r="AD968" t="s">
        <v>3042</v>
      </c>
      <c r="AE968" t="s">
        <v>3043</v>
      </c>
      <c r="AF968" s="16">
        <v>45046</v>
      </c>
      <c r="AG968" t="s">
        <v>98</v>
      </c>
      <c r="AH968">
        <v>3</v>
      </c>
      <c r="AI968" s="8" t="str">
        <f>IFERROR(R968-AF968,"")</f>
        <v/>
      </c>
      <c r="AJ968" s="8">
        <f>IFERROR(O968-AF968,"")</f>
        <v>10.692673611112696</v>
      </c>
      <c r="AK968" s="38">
        <f t="shared" si="335"/>
        <v>45147.692673611113</v>
      </c>
      <c r="AL968" t="str">
        <f>IFERROR(Z968-W968,"")</f>
        <v/>
      </c>
      <c r="AM968" t="str">
        <f>IFERROR(R968-J968,"")</f>
        <v/>
      </c>
      <c r="AN968">
        <f>IFERROR(V968-O968,"")</f>
        <v>1</v>
      </c>
      <c r="AO968">
        <f>IFERROR(J968-I968,"")</f>
        <v>4</v>
      </c>
      <c r="AP968">
        <f>IFERROR(AC968-X968,"")</f>
        <v>0</v>
      </c>
      <c r="AQ968" t="str">
        <f>IFERROR(AA968-W968,"")</f>
        <v/>
      </c>
    </row>
    <row r="969" spans="1:43" x14ac:dyDescent="0.35">
      <c r="A969">
        <v>2601</v>
      </c>
      <c r="B969" t="s">
        <v>3044</v>
      </c>
      <c r="C969" t="s">
        <v>2325</v>
      </c>
      <c r="D969" t="str">
        <f t="shared" si="333"/>
        <v>M and E</v>
      </c>
      <c r="E969" t="s">
        <v>3004</v>
      </c>
      <c r="F969" t="s">
        <v>1300</v>
      </c>
      <c r="G969" t="s">
        <v>3032</v>
      </c>
      <c r="H969" t="s">
        <v>59</v>
      </c>
      <c r="I969" s="32">
        <v>45039.692673611113</v>
      </c>
      <c r="J969" s="32">
        <v>45043.692673611113</v>
      </c>
      <c r="K969" s="32">
        <v>45046.692673611113</v>
      </c>
      <c r="L969" s="8">
        <f t="shared" si="334"/>
        <v>7</v>
      </c>
      <c r="M969" s="7">
        <v>45062.692673611113</v>
      </c>
      <c r="N969" t="s">
        <v>49</v>
      </c>
      <c r="O969" s="34">
        <v>45051.692673611113</v>
      </c>
      <c r="P969" t="s">
        <v>101</v>
      </c>
      <c r="R969" s="32">
        <v>45057.692673611113</v>
      </c>
      <c r="S969" t="s">
        <v>101</v>
      </c>
      <c r="T969" s="34">
        <v>45053.692673611113</v>
      </c>
      <c r="U969" s="34">
        <v>45054.692673611113</v>
      </c>
      <c r="V969" s="32">
        <v>45053.692673611113</v>
      </c>
      <c r="W969" s="32">
        <v>45057.692673611113</v>
      </c>
      <c r="X969">
        <v>1</v>
      </c>
      <c r="Y969" s="34">
        <v>45058.692673611113</v>
      </c>
      <c r="Z969" s="34">
        <v>45061.692673611113</v>
      </c>
      <c r="AA969" s="34">
        <v>45063.692673611113</v>
      </c>
      <c r="AB969" s="36" t="s">
        <v>7476</v>
      </c>
      <c r="AC969" s="10">
        <v>45082.692673611113</v>
      </c>
      <c r="AD969" t="s">
        <v>3045</v>
      </c>
      <c r="AE969" t="s">
        <v>3046</v>
      </c>
      <c r="AF969" s="16">
        <v>45039</v>
      </c>
      <c r="AG969" t="s">
        <v>98</v>
      </c>
      <c r="AH969">
        <v>3</v>
      </c>
      <c r="AI969" s="8">
        <f>IFERROR(R969-AF969,"")</f>
        <v>18.692673611112696</v>
      </c>
      <c r="AJ969" s="8">
        <f>IFERROR(O969-AF969,"")</f>
        <v>12.692673611112696</v>
      </c>
      <c r="AK969" s="38">
        <f t="shared" si="335"/>
        <v>45143.692673611113</v>
      </c>
      <c r="AL969">
        <f>IFERROR(Z969-W969,"")</f>
        <v>4</v>
      </c>
      <c r="AM969">
        <f>IFERROR(R969-J969,"")</f>
        <v>14</v>
      </c>
      <c r="AN969">
        <f>IFERROR(V969-O969,"")</f>
        <v>2</v>
      </c>
      <c r="AO969">
        <f>IFERROR(J969-I969,"")</f>
        <v>4</v>
      </c>
      <c r="AP969">
        <f>IFERROR(AC969-X969,"")</f>
        <v>45081.692673611113</v>
      </c>
      <c r="AQ969">
        <f>IFERROR(AA969-W969,"")</f>
        <v>6</v>
      </c>
    </row>
    <row r="970" spans="1:43" x14ac:dyDescent="0.35">
      <c r="A970">
        <v>2497</v>
      </c>
      <c r="B970" t="s">
        <v>3047</v>
      </c>
      <c r="C970" t="s">
        <v>2260</v>
      </c>
      <c r="D970" t="str">
        <f t="shared" si="333"/>
        <v>M and E</v>
      </c>
      <c r="E970" t="s">
        <v>3004</v>
      </c>
      <c r="F970" t="s">
        <v>1300</v>
      </c>
      <c r="G970" t="s">
        <v>3032</v>
      </c>
      <c r="H970" t="s">
        <v>59</v>
      </c>
      <c r="I970" s="32" t="s">
        <v>7471</v>
      </c>
      <c r="J970" s="32">
        <v>44593.546469907407</v>
      </c>
      <c r="K970" s="32">
        <v>44597.546469907407</v>
      </c>
      <c r="L970" s="8" t="str">
        <f t="shared" si="334"/>
        <v/>
      </c>
      <c r="M970" s="7">
        <v>44617.546469907407</v>
      </c>
      <c r="N970" t="s">
        <v>49</v>
      </c>
      <c r="O970" s="34">
        <v>44608.546469907407</v>
      </c>
      <c r="P970" t="s">
        <v>50</v>
      </c>
      <c r="Q970" t="s">
        <v>198</v>
      </c>
      <c r="R970" s="32" t="s">
        <v>7472</v>
      </c>
      <c r="S970" t="s">
        <v>7476</v>
      </c>
      <c r="T970" s="34" t="s">
        <v>7476</v>
      </c>
      <c r="U970" s="34" t="s">
        <v>7476</v>
      </c>
      <c r="V970" s="32">
        <v>44612.546469907407</v>
      </c>
      <c r="W970" s="32" t="s">
        <v>7476</v>
      </c>
      <c r="X970">
        <v>0</v>
      </c>
      <c r="Y970" s="34" t="s">
        <v>7476</v>
      </c>
      <c r="Z970" s="34" t="s">
        <v>7476</v>
      </c>
      <c r="AA970" s="34" t="s">
        <v>7476</v>
      </c>
      <c r="AB970" s="36" t="s">
        <v>52</v>
      </c>
      <c r="AD970" t="s">
        <v>3048</v>
      </c>
      <c r="AE970" t="s">
        <v>3049</v>
      </c>
      <c r="AF970" s="16">
        <v>44595</v>
      </c>
      <c r="AG970" t="s">
        <v>75</v>
      </c>
      <c r="AH970">
        <v>6</v>
      </c>
      <c r="AK970" s="38">
        <f t="shared" si="335"/>
        <v>44792.546469907407</v>
      </c>
    </row>
    <row r="971" spans="1:43" x14ac:dyDescent="0.35">
      <c r="A971">
        <v>2493</v>
      </c>
      <c r="B971" t="s">
        <v>3050</v>
      </c>
      <c r="C971" t="s">
        <v>2287</v>
      </c>
      <c r="D971" t="str">
        <f t="shared" si="333"/>
        <v>M and E</v>
      </c>
      <c r="E971" t="s">
        <v>3004</v>
      </c>
      <c r="F971" t="s">
        <v>1300</v>
      </c>
      <c r="G971" t="s">
        <v>3032</v>
      </c>
      <c r="H971" t="s">
        <v>59</v>
      </c>
      <c r="I971" s="32">
        <v>44589.546469907407</v>
      </c>
      <c r="J971" s="32">
        <v>44593.546469907407</v>
      </c>
      <c r="K971" s="32">
        <v>44597.546469907407</v>
      </c>
      <c r="L971" s="8">
        <f t="shared" si="334"/>
        <v>8</v>
      </c>
      <c r="M971" s="7">
        <v>44621.546469907407</v>
      </c>
      <c r="N971" t="s">
        <v>49</v>
      </c>
      <c r="O971" s="34">
        <v>44604.546469907407</v>
      </c>
      <c r="P971" t="s">
        <v>50</v>
      </c>
      <c r="Q971" t="s">
        <v>84</v>
      </c>
      <c r="R971" s="32" t="s">
        <v>7472</v>
      </c>
      <c r="S971" t="s">
        <v>7476</v>
      </c>
      <c r="T971" s="34" t="s">
        <v>7476</v>
      </c>
      <c r="U971" s="34" t="s">
        <v>7476</v>
      </c>
      <c r="V971" s="32">
        <v>44608.546469907407</v>
      </c>
      <c r="W971" s="32" t="s">
        <v>7476</v>
      </c>
      <c r="X971">
        <v>0</v>
      </c>
      <c r="Y971" s="34" t="s">
        <v>7476</v>
      </c>
      <c r="Z971" s="34" t="s">
        <v>7476</v>
      </c>
      <c r="AA971" s="34" t="s">
        <v>7476</v>
      </c>
      <c r="AB971" s="36" t="s">
        <v>95</v>
      </c>
      <c r="AD971" t="s">
        <v>3051</v>
      </c>
      <c r="AE971" t="s">
        <v>3052</v>
      </c>
      <c r="AF971" s="16">
        <v>44592</v>
      </c>
      <c r="AG971" t="s">
        <v>98</v>
      </c>
      <c r="AH971">
        <v>6</v>
      </c>
      <c r="AI971" s="8" t="str">
        <f t="shared" ref="AI971:AI976" si="336">IFERROR(R971-AF971,"")</f>
        <v/>
      </c>
      <c r="AJ971" s="8">
        <f t="shared" ref="AJ971:AJ976" si="337">IFERROR(O971-AF971,"")</f>
        <v>12.5464699074073</v>
      </c>
      <c r="AK971" s="38">
        <f t="shared" si="335"/>
        <v>44788.546469907407</v>
      </c>
      <c r="AL971" t="str">
        <f t="shared" ref="AL971:AL976" si="338">IFERROR(Z971-W971,"")</f>
        <v/>
      </c>
      <c r="AM971" t="str">
        <f t="shared" ref="AM971:AM976" si="339">IFERROR(R971-J971,"")</f>
        <v/>
      </c>
      <c r="AN971">
        <f t="shared" ref="AN971:AN976" si="340">IFERROR(V971-O971,"")</f>
        <v>4</v>
      </c>
      <c r="AO971">
        <f t="shared" ref="AO971:AO976" si="341">IFERROR(J971-I971,"")</f>
        <v>4</v>
      </c>
      <c r="AP971">
        <f t="shared" ref="AP971:AP976" si="342">IFERROR(AC971-X971,"")</f>
        <v>0</v>
      </c>
      <c r="AQ971" t="str">
        <f t="shared" ref="AQ971:AQ976" si="343">IFERROR(AA971-W971,"")</f>
        <v/>
      </c>
    </row>
    <row r="972" spans="1:43" x14ac:dyDescent="0.35">
      <c r="A972">
        <v>2491</v>
      </c>
      <c r="B972" t="s">
        <v>3053</v>
      </c>
      <c r="C972" t="s">
        <v>2325</v>
      </c>
      <c r="D972" t="str">
        <f t="shared" si="333"/>
        <v>M and E</v>
      </c>
      <c r="E972" t="s">
        <v>3004</v>
      </c>
      <c r="F972" t="s">
        <v>1300</v>
      </c>
      <c r="G972" t="s">
        <v>3032</v>
      </c>
      <c r="H972" t="s">
        <v>59</v>
      </c>
      <c r="I972" s="32">
        <v>44587.546469907407</v>
      </c>
      <c r="J972" s="32">
        <v>44591.546469907407</v>
      </c>
      <c r="K972" s="32">
        <v>44597.546469907407</v>
      </c>
      <c r="L972" s="8">
        <f t="shared" si="334"/>
        <v>10</v>
      </c>
      <c r="M972" s="7">
        <v>44613.546469907407</v>
      </c>
      <c r="N972" t="s">
        <v>49</v>
      </c>
      <c r="O972" s="34">
        <v>44605.546469907407</v>
      </c>
      <c r="P972" t="s">
        <v>50</v>
      </c>
      <c r="Q972" t="s">
        <v>236</v>
      </c>
      <c r="R972" s="32" t="s">
        <v>7472</v>
      </c>
      <c r="S972" t="s">
        <v>7476</v>
      </c>
      <c r="T972" s="34" t="s">
        <v>7476</v>
      </c>
      <c r="U972" s="34" t="s">
        <v>7476</v>
      </c>
      <c r="V972" s="32">
        <v>44608.546469907407</v>
      </c>
      <c r="W972" s="32" t="s">
        <v>7476</v>
      </c>
      <c r="X972">
        <v>0</v>
      </c>
      <c r="Y972" s="34" t="s">
        <v>7476</v>
      </c>
      <c r="Z972" s="34" t="s">
        <v>7476</v>
      </c>
      <c r="AA972" s="34" t="s">
        <v>7476</v>
      </c>
      <c r="AB972" s="36" t="s">
        <v>52</v>
      </c>
      <c r="AD972" t="s">
        <v>3054</v>
      </c>
      <c r="AE972" t="s">
        <v>3055</v>
      </c>
      <c r="AF972" s="16">
        <v>44775</v>
      </c>
      <c r="AG972" t="s">
        <v>98</v>
      </c>
      <c r="AH972">
        <v>6</v>
      </c>
      <c r="AI972" s="8" t="str">
        <f t="shared" si="336"/>
        <v/>
      </c>
      <c r="AJ972" s="8">
        <f t="shared" si="337"/>
        <v>-169.4535300925927</v>
      </c>
      <c r="AK972" s="38">
        <f t="shared" si="335"/>
        <v>44788.546469907407</v>
      </c>
      <c r="AL972" t="str">
        <f t="shared" si="338"/>
        <v/>
      </c>
      <c r="AM972" t="str">
        <f t="shared" si="339"/>
        <v/>
      </c>
      <c r="AN972">
        <f t="shared" si="340"/>
        <v>3</v>
      </c>
      <c r="AO972">
        <f t="shared" si="341"/>
        <v>4</v>
      </c>
      <c r="AP972">
        <f t="shared" si="342"/>
        <v>0</v>
      </c>
      <c r="AQ972" t="str">
        <f t="shared" si="343"/>
        <v/>
      </c>
    </row>
    <row r="973" spans="1:43" x14ac:dyDescent="0.35">
      <c r="A973">
        <v>2467</v>
      </c>
      <c r="B973" t="s">
        <v>3056</v>
      </c>
      <c r="C973" t="s">
        <v>2260</v>
      </c>
      <c r="D973" t="str">
        <f t="shared" si="333"/>
        <v>M and E</v>
      </c>
      <c r="E973" t="s">
        <v>3004</v>
      </c>
      <c r="F973" t="s">
        <v>1300</v>
      </c>
      <c r="G973" t="s">
        <v>3032</v>
      </c>
      <c r="H973" t="s">
        <v>59</v>
      </c>
      <c r="I973" s="32">
        <v>45017.841874999998</v>
      </c>
      <c r="J973" s="32">
        <v>45021.841874999998</v>
      </c>
      <c r="K973" s="32">
        <v>45022.841874999998</v>
      </c>
      <c r="L973" s="8">
        <f t="shared" si="334"/>
        <v>5</v>
      </c>
      <c r="M973" s="7">
        <v>45049.841874999998</v>
      </c>
      <c r="N973" t="s">
        <v>72</v>
      </c>
      <c r="O973" s="34" t="s">
        <v>7474</v>
      </c>
      <c r="R973" s="32" t="s">
        <v>7472</v>
      </c>
      <c r="S973" t="s">
        <v>7476</v>
      </c>
      <c r="T973" s="34" t="s">
        <v>7476</v>
      </c>
      <c r="U973" s="34" t="s">
        <v>7476</v>
      </c>
      <c r="V973" s="32" t="s">
        <v>7476</v>
      </c>
      <c r="W973" s="32" t="s">
        <v>7476</v>
      </c>
      <c r="X973">
        <v>0</v>
      </c>
      <c r="Y973" s="34" t="s">
        <v>7476</v>
      </c>
      <c r="Z973" s="34" t="s">
        <v>7476</v>
      </c>
      <c r="AA973" s="34" t="s">
        <v>7476</v>
      </c>
      <c r="AB973" s="36" t="s">
        <v>7476</v>
      </c>
      <c r="AD973" t="s">
        <v>3057</v>
      </c>
      <c r="AE973" t="s">
        <v>3058</v>
      </c>
      <c r="AG973" t="s">
        <v>64</v>
      </c>
      <c r="AH973">
        <v>3</v>
      </c>
      <c r="AI973" s="8" t="str">
        <f t="shared" si="336"/>
        <v/>
      </c>
      <c r="AJ973" s="8" t="str">
        <f t="shared" si="337"/>
        <v/>
      </c>
      <c r="AK973" s="38" t="str">
        <f t="shared" si="335"/>
        <v/>
      </c>
      <c r="AL973" t="str">
        <f t="shared" si="338"/>
        <v/>
      </c>
      <c r="AM973" t="str">
        <f t="shared" si="339"/>
        <v/>
      </c>
      <c r="AN973" t="str">
        <f t="shared" si="340"/>
        <v/>
      </c>
      <c r="AO973">
        <f t="shared" si="341"/>
        <v>4</v>
      </c>
      <c r="AP973">
        <f t="shared" si="342"/>
        <v>0</v>
      </c>
      <c r="AQ973" t="str">
        <f t="shared" si="343"/>
        <v/>
      </c>
    </row>
    <row r="974" spans="1:43" x14ac:dyDescent="0.35">
      <c r="A974">
        <v>2463</v>
      </c>
      <c r="B974" t="s">
        <v>3059</v>
      </c>
      <c r="C974" t="s">
        <v>2260</v>
      </c>
      <c r="D974" t="str">
        <f t="shared" si="333"/>
        <v>M and E</v>
      </c>
      <c r="E974" t="s">
        <v>3004</v>
      </c>
      <c r="F974" t="s">
        <v>1300</v>
      </c>
      <c r="G974" t="s">
        <v>3032</v>
      </c>
      <c r="H974" t="s">
        <v>59</v>
      </c>
      <c r="I974" s="32">
        <v>45016.841874999998</v>
      </c>
      <c r="J974" s="32">
        <v>45020.841874999998</v>
      </c>
      <c r="K974" s="32">
        <v>45022.841874999998</v>
      </c>
      <c r="L974" s="8">
        <f t="shared" si="334"/>
        <v>6</v>
      </c>
      <c r="M974" s="7">
        <v>45052.841874999998</v>
      </c>
      <c r="N974" t="s">
        <v>49</v>
      </c>
      <c r="O974" s="34">
        <v>45031.841874999998</v>
      </c>
      <c r="P974" t="s">
        <v>101</v>
      </c>
      <c r="R974" s="32">
        <v>45036.841874999998</v>
      </c>
      <c r="S974" t="s">
        <v>101</v>
      </c>
      <c r="T974" s="34">
        <v>45033.841874999998</v>
      </c>
      <c r="U974" s="34">
        <v>45036.841874999998</v>
      </c>
      <c r="V974" s="32">
        <v>45035.841874999998</v>
      </c>
      <c r="W974" s="32">
        <v>45043.841874999998</v>
      </c>
      <c r="X974">
        <v>1</v>
      </c>
      <c r="Y974" s="34">
        <v>45047.841874999998</v>
      </c>
      <c r="Z974" s="34">
        <v>45049.841874999998</v>
      </c>
      <c r="AA974" s="34">
        <v>45052.841874999998</v>
      </c>
      <c r="AB974" s="36" t="s">
        <v>7476</v>
      </c>
      <c r="AC974" s="10">
        <v>45067.841874999998</v>
      </c>
      <c r="AD974" t="s">
        <v>3060</v>
      </c>
      <c r="AE974" t="s">
        <v>3061</v>
      </c>
      <c r="AF974" s="16">
        <v>45015</v>
      </c>
      <c r="AG974" t="s">
        <v>64</v>
      </c>
      <c r="AH974">
        <v>3</v>
      </c>
      <c r="AI974" s="8">
        <f t="shared" si="336"/>
        <v>21.841874999998254</v>
      </c>
      <c r="AJ974" s="8">
        <f t="shared" si="337"/>
        <v>16.841874999998254</v>
      </c>
      <c r="AK974" s="38">
        <f t="shared" si="335"/>
        <v>45125.841874999998</v>
      </c>
      <c r="AL974">
        <f t="shared" si="338"/>
        <v>6</v>
      </c>
      <c r="AM974">
        <f t="shared" si="339"/>
        <v>16</v>
      </c>
      <c r="AN974">
        <f t="shared" si="340"/>
        <v>4</v>
      </c>
      <c r="AO974">
        <f t="shared" si="341"/>
        <v>4</v>
      </c>
      <c r="AP974">
        <f t="shared" si="342"/>
        <v>45066.841874999998</v>
      </c>
      <c r="AQ974">
        <f t="shared" si="343"/>
        <v>9</v>
      </c>
    </row>
    <row r="975" spans="1:43" x14ac:dyDescent="0.35">
      <c r="A975">
        <v>2440</v>
      </c>
      <c r="B975" t="s">
        <v>3062</v>
      </c>
      <c r="C975" t="s">
        <v>2325</v>
      </c>
      <c r="D975" t="str">
        <f t="shared" si="333"/>
        <v>M and E</v>
      </c>
      <c r="E975" t="s">
        <v>3004</v>
      </c>
      <c r="F975" t="s">
        <v>1300</v>
      </c>
      <c r="G975" t="s">
        <v>3032</v>
      </c>
      <c r="H975" t="s">
        <v>59</v>
      </c>
      <c r="I975" s="32">
        <v>44746.126967592587</v>
      </c>
      <c r="J975" s="32">
        <v>44747.126967592587</v>
      </c>
      <c r="K975" s="32">
        <v>44749.126967592587</v>
      </c>
      <c r="L975" s="8">
        <f t="shared" si="334"/>
        <v>3</v>
      </c>
      <c r="M975" s="7">
        <v>44761.126967592587</v>
      </c>
      <c r="N975" t="s">
        <v>49</v>
      </c>
      <c r="O975" s="34">
        <v>44760.126967592587</v>
      </c>
      <c r="P975" t="s">
        <v>60</v>
      </c>
      <c r="R975" s="32">
        <v>44768.126967592587</v>
      </c>
      <c r="S975" t="s">
        <v>61</v>
      </c>
      <c r="T975" s="34" t="s">
        <v>7476</v>
      </c>
      <c r="U975" s="34" t="s">
        <v>7476</v>
      </c>
      <c r="V975" s="32">
        <v>44764.126967592587</v>
      </c>
      <c r="W975" s="32" t="s">
        <v>7476</v>
      </c>
      <c r="X975">
        <v>0</v>
      </c>
      <c r="Y975" s="34" t="s">
        <v>7476</v>
      </c>
      <c r="Z975" s="34" t="s">
        <v>7476</v>
      </c>
      <c r="AA975" s="34" t="s">
        <v>7476</v>
      </c>
      <c r="AB975" s="36" t="s">
        <v>7476</v>
      </c>
      <c r="AD975" t="s">
        <v>3063</v>
      </c>
      <c r="AE975" t="s">
        <v>3064</v>
      </c>
      <c r="AF975" s="16">
        <v>44872</v>
      </c>
      <c r="AG975" t="s">
        <v>68</v>
      </c>
      <c r="AH975">
        <v>6</v>
      </c>
      <c r="AI975" s="8">
        <f t="shared" si="336"/>
        <v>-103.87303240741312</v>
      </c>
      <c r="AJ975" s="8">
        <f t="shared" si="337"/>
        <v>-111.87303240741312</v>
      </c>
      <c r="AK975" s="38">
        <f t="shared" si="335"/>
        <v>44944.126967592587</v>
      </c>
      <c r="AL975" t="str">
        <f t="shared" si="338"/>
        <v/>
      </c>
      <c r="AM975">
        <f t="shared" si="339"/>
        <v>21</v>
      </c>
      <c r="AN975">
        <f t="shared" si="340"/>
        <v>4</v>
      </c>
      <c r="AO975">
        <f t="shared" si="341"/>
        <v>1</v>
      </c>
      <c r="AP975">
        <f t="shared" si="342"/>
        <v>0</v>
      </c>
      <c r="AQ975" t="str">
        <f t="shared" si="343"/>
        <v/>
      </c>
    </row>
    <row r="976" spans="1:43" x14ac:dyDescent="0.35">
      <c r="A976">
        <v>2439</v>
      </c>
      <c r="B976" t="s">
        <v>3065</v>
      </c>
      <c r="C976" t="s">
        <v>2260</v>
      </c>
      <c r="D976" t="str">
        <f t="shared" si="333"/>
        <v>M and E</v>
      </c>
      <c r="E976" t="s">
        <v>3004</v>
      </c>
      <c r="F976" t="s">
        <v>1300</v>
      </c>
      <c r="G976" t="s">
        <v>3032</v>
      </c>
      <c r="H976" t="s">
        <v>59</v>
      </c>
      <c r="I976" s="32">
        <v>44743.126967592587</v>
      </c>
      <c r="J976" s="32">
        <v>44745.126967592587</v>
      </c>
      <c r="K976" s="32">
        <v>44749.126967592587</v>
      </c>
      <c r="L976" s="8">
        <f t="shared" si="334"/>
        <v>6</v>
      </c>
      <c r="M976" s="7">
        <v>44759.126967592587</v>
      </c>
      <c r="N976" t="s">
        <v>72</v>
      </c>
      <c r="O976" s="34" t="s">
        <v>7474</v>
      </c>
      <c r="R976" s="32" t="s">
        <v>7472</v>
      </c>
      <c r="S976" t="s">
        <v>7476</v>
      </c>
      <c r="T976" s="34" t="s">
        <v>7476</v>
      </c>
      <c r="U976" s="34" t="s">
        <v>7476</v>
      </c>
      <c r="V976" s="32" t="s">
        <v>7476</v>
      </c>
      <c r="W976" s="32" t="s">
        <v>7476</v>
      </c>
      <c r="X976">
        <v>0</v>
      </c>
      <c r="Y976" s="34" t="s">
        <v>7476</v>
      </c>
      <c r="Z976" s="34" t="s">
        <v>7476</v>
      </c>
      <c r="AA976" s="34" t="s">
        <v>7476</v>
      </c>
      <c r="AB976" s="36" t="s">
        <v>7476</v>
      </c>
      <c r="AD976" t="s">
        <v>3066</v>
      </c>
      <c r="AE976" t="s">
        <v>3067</v>
      </c>
      <c r="AG976" t="s">
        <v>64</v>
      </c>
      <c r="AH976">
        <v>6</v>
      </c>
      <c r="AI976" s="8" t="str">
        <f t="shared" si="336"/>
        <v/>
      </c>
      <c r="AJ976" s="8" t="str">
        <f t="shared" si="337"/>
        <v/>
      </c>
      <c r="AK976" s="38" t="str">
        <f t="shared" si="335"/>
        <v/>
      </c>
      <c r="AL976" t="str">
        <f t="shared" si="338"/>
        <v/>
      </c>
      <c r="AM976" t="str">
        <f t="shared" si="339"/>
        <v/>
      </c>
      <c r="AN976" t="str">
        <f t="shared" si="340"/>
        <v/>
      </c>
      <c r="AO976">
        <f t="shared" si="341"/>
        <v>2</v>
      </c>
      <c r="AP976">
        <f t="shared" si="342"/>
        <v>0</v>
      </c>
      <c r="AQ976" t="str">
        <f t="shared" si="343"/>
        <v/>
      </c>
    </row>
    <row r="977" spans="1:43" x14ac:dyDescent="0.35">
      <c r="A977">
        <v>2438</v>
      </c>
      <c r="B977" t="s">
        <v>3068</v>
      </c>
      <c r="C977" t="s">
        <v>2260</v>
      </c>
      <c r="D977" t="str">
        <f t="shared" si="333"/>
        <v>M and E</v>
      </c>
      <c r="E977" t="s">
        <v>3004</v>
      </c>
      <c r="F977" t="s">
        <v>1300</v>
      </c>
      <c r="G977" t="s">
        <v>3032</v>
      </c>
      <c r="H977" t="s">
        <v>59</v>
      </c>
      <c r="I977" s="32">
        <v>44746.126967592587</v>
      </c>
      <c r="J977" s="32">
        <v>44747.126967592587</v>
      </c>
      <c r="K977" s="32" t="s">
        <v>7473</v>
      </c>
      <c r="L977" s="8" t="str">
        <f t="shared" si="334"/>
        <v/>
      </c>
      <c r="M977" s="7">
        <v>44776.126967592587</v>
      </c>
      <c r="N977" t="s">
        <v>49</v>
      </c>
      <c r="O977" s="34">
        <v>44755.126967592587</v>
      </c>
      <c r="P977" t="s">
        <v>50</v>
      </c>
      <c r="Q977" t="s">
        <v>198</v>
      </c>
      <c r="R977" s="32" t="s">
        <v>7472</v>
      </c>
      <c r="S977" t="s">
        <v>7476</v>
      </c>
      <c r="T977" s="34" t="s">
        <v>7476</v>
      </c>
      <c r="U977" s="34" t="s">
        <v>7476</v>
      </c>
      <c r="V977" s="32" t="s">
        <v>7476</v>
      </c>
      <c r="W977" s="32" t="s">
        <v>7476</v>
      </c>
      <c r="X977">
        <v>0</v>
      </c>
      <c r="Y977" s="34" t="s">
        <v>7476</v>
      </c>
      <c r="Z977" s="34" t="s">
        <v>7476</v>
      </c>
      <c r="AA977" s="34" t="s">
        <v>7476</v>
      </c>
      <c r="AB977" s="36" t="s">
        <v>52</v>
      </c>
      <c r="AD977" t="s">
        <v>3069</v>
      </c>
      <c r="AE977" t="s">
        <v>3070</v>
      </c>
      <c r="AF977" s="16">
        <v>44746</v>
      </c>
      <c r="AG977" t="s">
        <v>55</v>
      </c>
      <c r="AH977">
        <v>3</v>
      </c>
      <c r="AK977" s="38" t="str">
        <f t="shared" si="335"/>
        <v/>
      </c>
    </row>
    <row r="978" spans="1:43" x14ac:dyDescent="0.35">
      <c r="A978">
        <v>2437</v>
      </c>
      <c r="B978" t="s">
        <v>3071</v>
      </c>
      <c r="C978" t="s">
        <v>2325</v>
      </c>
      <c r="D978" t="str">
        <f t="shared" si="333"/>
        <v>M and E</v>
      </c>
      <c r="E978" t="s">
        <v>3004</v>
      </c>
      <c r="F978" t="s">
        <v>1300</v>
      </c>
      <c r="G978" t="s">
        <v>3032</v>
      </c>
      <c r="H978" t="s">
        <v>59</v>
      </c>
      <c r="I978" s="32">
        <v>44744.126967592587</v>
      </c>
      <c r="J978" s="32">
        <v>44748.126967592587</v>
      </c>
      <c r="K978" s="32">
        <v>44749.126967592587</v>
      </c>
      <c r="L978" s="8">
        <f t="shared" si="334"/>
        <v>5</v>
      </c>
      <c r="M978" s="7">
        <v>44770.126967592587</v>
      </c>
      <c r="N978" t="s">
        <v>49</v>
      </c>
      <c r="O978" s="34">
        <v>44758.126967592587</v>
      </c>
      <c r="P978" t="s">
        <v>60</v>
      </c>
      <c r="R978" s="32">
        <v>44761.126967592587</v>
      </c>
      <c r="S978" t="s">
        <v>61</v>
      </c>
      <c r="T978" s="34" t="s">
        <v>7476</v>
      </c>
      <c r="U978" s="34" t="s">
        <v>7476</v>
      </c>
      <c r="V978" s="32">
        <v>44759.126967592587</v>
      </c>
      <c r="W978" s="32" t="s">
        <v>7476</v>
      </c>
      <c r="X978">
        <v>0</v>
      </c>
      <c r="Y978" s="34" t="s">
        <v>7476</v>
      </c>
      <c r="Z978" s="34" t="s">
        <v>7476</v>
      </c>
      <c r="AA978" s="34" t="s">
        <v>7476</v>
      </c>
      <c r="AB978" s="36" t="s">
        <v>7476</v>
      </c>
      <c r="AD978" t="s">
        <v>3072</v>
      </c>
      <c r="AE978" t="s">
        <v>3073</v>
      </c>
      <c r="AF978" s="16">
        <v>44740</v>
      </c>
      <c r="AG978" t="s">
        <v>98</v>
      </c>
      <c r="AH978">
        <v>6</v>
      </c>
      <c r="AI978" s="8">
        <f t="shared" ref="AI978:AI986" si="344">IFERROR(R978-AF978,"")</f>
        <v>21.12696759258688</v>
      </c>
      <c r="AJ978" s="8">
        <f t="shared" ref="AJ978:AJ986" si="345">IFERROR(O978-AF978,"")</f>
        <v>18.12696759258688</v>
      </c>
      <c r="AK978" s="38">
        <f t="shared" si="335"/>
        <v>44939.126967592587</v>
      </c>
      <c r="AL978" t="str">
        <f t="shared" ref="AL978:AL986" si="346">IFERROR(Z978-W978,"")</f>
        <v/>
      </c>
      <c r="AM978">
        <f t="shared" ref="AM978:AM986" si="347">IFERROR(R978-J978,"")</f>
        <v>13</v>
      </c>
      <c r="AN978">
        <f t="shared" ref="AN978:AN986" si="348">IFERROR(V978-O978,"")</f>
        <v>1</v>
      </c>
      <c r="AO978">
        <f t="shared" ref="AO978:AO986" si="349">IFERROR(J978-I978,"")</f>
        <v>4</v>
      </c>
      <c r="AP978">
        <f t="shared" ref="AP978:AP986" si="350">IFERROR(AC978-X978,"")</f>
        <v>0</v>
      </c>
      <c r="AQ978" t="str">
        <f t="shared" ref="AQ978:AQ986" si="351">IFERROR(AA978-W978,"")</f>
        <v/>
      </c>
    </row>
    <row r="979" spans="1:43" x14ac:dyDescent="0.35">
      <c r="A979">
        <v>2436</v>
      </c>
      <c r="B979" t="s">
        <v>3074</v>
      </c>
      <c r="C979" t="s">
        <v>2325</v>
      </c>
      <c r="D979" t="str">
        <f t="shared" si="333"/>
        <v>M and E</v>
      </c>
      <c r="E979" t="s">
        <v>3004</v>
      </c>
      <c r="F979" t="s">
        <v>1300</v>
      </c>
      <c r="G979" t="s">
        <v>3032</v>
      </c>
      <c r="H979" t="s">
        <v>59</v>
      </c>
      <c r="I979" s="32">
        <v>44742.126967592587</v>
      </c>
      <c r="J979" s="32">
        <v>44743.126967592587</v>
      </c>
      <c r="K979" s="32">
        <v>44749.126967592587</v>
      </c>
      <c r="L979" s="8">
        <f t="shared" si="334"/>
        <v>7</v>
      </c>
      <c r="M979" s="7">
        <v>44776.126967592587</v>
      </c>
      <c r="N979" t="s">
        <v>49</v>
      </c>
      <c r="O979" s="34">
        <v>44757.126967592587</v>
      </c>
      <c r="P979" t="s">
        <v>60</v>
      </c>
      <c r="R979" s="32">
        <v>44765.126967592587</v>
      </c>
      <c r="S979" t="s">
        <v>61</v>
      </c>
      <c r="T979" s="34" t="s">
        <v>7476</v>
      </c>
      <c r="U979" s="34" t="s">
        <v>7476</v>
      </c>
      <c r="V979" s="32">
        <v>44761.126967592587</v>
      </c>
      <c r="W979" s="32" t="s">
        <v>7476</v>
      </c>
      <c r="X979">
        <v>0</v>
      </c>
      <c r="Y979" s="34" t="s">
        <v>7476</v>
      </c>
      <c r="Z979" s="34" t="s">
        <v>7476</v>
      </c>
      <c r="AA979" s="34" t="s">
        <v>7476</v>
      </c>
      <c r="AB979" s="36" t="s">
        <v>7476</v>
      </c>
      <c r="AD979" t="s">
        <v>3075</v>
      </c>
      <c r="AE979" t="s">
        <v>3076</v>
      </c>
      <c r="AF979" s="16">
        <v>44742</v>
      </c>
      <c r="AG979" t="s">
        <v>64</v>
      </c>
      <c r="AH979">
        <v>6</v>
      </c>
      <c r="AI979" s="8">
        <f t="shared" si="344"/>
        <v>23.12696759258688</v>
      </c>
      <c r="AJ979" s="8">
        <f t="shared" si="345"/>
        <v>15.12696759258688</v>
      </c>
      <c r="AK979" s="38">
        <f t="shared" si="335"/>
        <v>44941.126967592587</v>
      </c>
      <c r="AL979" t="str">
        <f t="shared" si="346"/>
        <v/>
      </c>
      <c r="AM979">
        <f t="shared" si="347"/>
        <v>22</v>
      </c>
      <c r="AN979">
        <f t="shared" si="348"/>
        <v>4</v>
      </c>
      <c r="AO979">
        <f t="shared" si="349"/>
        <v>1</v>
      </c>
      <c r="AP979">
        <f t="shared" si="350"/>
        <v>0</v>
      </c>
      <c r="AQ979" t="str">
        <f t="shared" si="351"/>
        <v/>
      </c>
    </row>
    <row r="980" spans="1:43" x14ac:dyDescent="0.35">
      <c r="A980">
        <v>2349</v>
      </c>
      <c r="B980" t="s">
        <v>3077</v>
      </c>
      <c r="C980" t="s">
        <v>2260</v>
      </c>
      <c r="D980" t="str">
        <f t="shared" si="333"/>
        <v>M and E</v>
      </c>
      <c r="E980" t="s">
        <v>3004</v>
      </c>
      <c r="F980" t="s">
        <v>1300</v>
      </c>
      <c r="G980" t="s">
        <v>3032</v>
      </c>
      <c r="H980" t="s">
        <v>59</v>
      </c>
      <c r="I980" s="32">
        <v>45053.364525462966</v>
      </c>
      <c r="J980" s="32">
        <v>45056.364525462966</v>
      </c>
      <c r="K980" s="32">
        <v>45060.364525462966</v>
      </c>
      <c r="L980" s="8">
        <f t="shared" si="334"/>
        <v>7</v>
      </c>
      <c r="M980" s="7">
        <v>45085.364525462966</v>
      </c>
      <c r="N980" t="s">
        <v>49</v>
      </c>
      <c r="O980" s="34">
        <v>45068.364525462966</v>
      </c>
      <c r="P980" t="s">
        <v>50</v>
      </c>
      <c r="Q980" t="s">
        <v>236</v>
      </c>
      <c r="R980" s="32" t="s">
        <v>7472</v>
      </c>
      <c r="S980" t="s">
        <v>7476</v>
      </c>
      <c r="T980" s="34" t="s">
        <v>7476</v>
      </c>
      <c r="U980" s="34" t="s">
        <v>7476</v>
      </c>
      <c r="V980" s="32" t="s">
        <v>7476</v>
      </c>
      <c r="W980" s="32" t="s">
        <v>7476</v>
      </c>
      <c r="X980">
        <v>0</v>
      </c>
      <c r="Y980" s="34" t="s">
        <v>7476</v>
      </c>
      <c r="Z980" s="34" t="s">
        <v>7476</v>
      </c>
      <c r="AA980" s="34" t="s">
        <v>7476</v>
      </c>
      <c r="AB980" s="36" t="s">
        <v>52</v>
      </c>
      <c r="AD980" t="s">
        <v>3078</v>
      </c>
      <c r="AE980" t="s">
        <v>3079</v>
      </c>
      <c r="AF980" s="16">
        <v>45055</v>
      </c>
      <c r="AG980" t="s">
        <v>98</v>
      </c>
      <c r="AH980">
        <v>3</v>
      </c>
      <c r="AI980" s="8" t="str">
        <f t="shared" si="344"/>
        <v/>
      </c>
      <c r="AJ980" s="8">
        <f t="shared" si="345"/>
        <v>13.364525462966412</v>
      </c>
      <c r="AK980" s="38" t="str">
        <f t="shared" si="335"/>
        <v/>
      </c>
      <c r="AL980" t="str">
        <f t="shared" si="346"/>
        <v/>
      </c>
      <c r="AM980" t="str">
        <f t="shared" si="347"/>
        <v/>
      </c>
      <c r="AN980" t="str">
        <f t="shared" si="348"/>
        <v/>
      </c>
      <c r="AO980">
        <f t="shared" si="349"/>
        <v>3</v>
      </c>
      <c r="AP980">
        <f t="shared" si="350"/>
        <v>0</v>
      </c>
      <c r="AQ980" t="str">
        <f t="shared" si="351"/>
        <v/>
      </c>
    </row>
    <row r="981" spans="1:43" x14ac:dyDescent="0.35">
      <c r="A981">
        <v>2300</v>
      </c>
      <c r="B981" t="s">
        <v>3080</v>
      </c>
      <c r="C981" t="s">
        <v>2260</v>
      </c>
      <c r="D981" t="str">
        <f t="shared" si="333"/>
        <v>M and E</v>
      </c>
      <c r="E981" t="s">
        <v>3004</v>
      </c>
      <c r="F981" t="s">
        <v>1300</v>
      </c>
      <c r="G981" t="s">
        <v>3032</v>
      </c>
      <c r="H981" t="s">
        <v>59</v>
      </c>
      <c r="I981" s="32">
        <v>45108.656666666669</v>
      </c>
      <c r="J981" s="32">
        <v>45110.656666666669</v>
      </c>
      <c r="K981" s="32">
        <v>45113.656666666669</v>
      </c>
      <c r="L981" s="8">
        <f t="shared" si="334"/>
        <v>5</v>
      </c>
      <c r="M981" s="7">
        <v>45120.656666666669</v>
      </c>
      <c r="N981" t="s">
        <v>49</v>
      </c>
      <c r="O981" s="34">
        <v>45124.656666666669</v>
      </c>
      <c r="P981" t="s">
        <v>50</v>
      </c>
      <c r="Q981" t="s">
        <v>51</v>
      </c>
      <c r="R981" s="32" t="s">
        <v>7472</v>
      </c>
      <c r="S981" t="s">
        <v>7476</v>
      </c>
      <c r="T981" s="34" t="s">
        <v>7476</v>
      </c>
      <c r="U981" s="34" t="s">
        <v>7476</v>
      </c>
      <c r="V981" s="32" t="s">
        <v>7476</v>
      </c>
      <c r="W981" s="32" t="s">
        <v>7476</v>
      </c>
      <c r="X981">
        <v>0</v>
      </c>
      <c r="Y981" s="34" t="s">
        <v>7476</v>
      </c>
      <c r="Z981" s="34" t="s">
        <v>7476</v>
      </c>
      <c r="AA981" s="34" t="s">
        <v>7476</v>
      </c>
      <c r="AB981" s="36" t="s">
        <v>95</v>
      </c>
      <c r="AD981" t="s">
        <v>3081</v>
      </c>
      <c r="AE981" t="s">
        <v>3082</v>
      </c>
      <c r="AF981" s="16">
        <v>44964</v>
      </c>
      <c r="AG981" t="s">
        <v>68</v>
      </c>
      <c r="AH981">
        <v>3</v>
      </c>
      <c r="AI981" s="8" t="str">
        <f t="shared" si="344"/>
        <v/>
      </c>
      <c r="AJ981" s="8">
        <f t="shared" si="345"/>
        <v>160.65666666666948</v>
      </c>
      <c r="AK981" s="38" t="str">
        <f t="shared" si="335"/>
        <v/>
      </c>
      <c r="AL981" t="str">
        <f t="shared" si="346"/>
        <v/>
      </c>
      <c r="AM981" t="str">
        <f t="shared" si="347"/>
        <v/>
      </c>
      <c r="AN981" t="str">
        <f t="shared" si="348"/>
        <v/>
      </c>
      <c r="AO981">
        <f t="shared" si="349"/>
        <v>2</v>
      </c>
      <c r="AP981">
        <f t="shared" si="350"/>
        <v>0</v>
      </c>
      <c r="AQ981" t="str">
        <f t="shared" si="351"/>
        <v/>
      </c>
    </row>
    <row r="982" spans="1:43" x14ac:dyDescent="0.35">
      <c r="A982">
        <v>2296</v>
      </c>
      <c r="B982" t="s">
        <v>3083</v>
      </c>
      <c r="C982" t="s">
        <v>2287</v>
      </c>
      <c r="D982" t="str">
        <f t="shared" si="333"/>
        <v>M and E</v>
      </c>
      <c r="E982" t="s">
        <v>3004</v>
      </c>
      <c r="F982" t="s">
        <v>1300</v>
      </c>
      <c r="G982" t="s">
        <v>3032</v>
      </c>
      <c r="H982" t="s">
        <v>59</v>
      </c>
      <c r="I982" s="32">
        <v>45105.656666666669</v>
      </c>
      <c r="J982" s="32">
        <v>45108.656666666669</v>
      </c>
      <c r="K982" s="32">
        <v>45113.656666666669</v>
      </c>
      <c r="L982" s="8">
        <f t="shared" si="334"/>
        <v>8</v>
      </c>
      <c r="M982" s="7">
        <v>45131.656666666669</v>
      </c>
      <c r="N982" t="s">
        <v>72</v>
      </c>
      <c r="O982" s="34" t="s">
        <v>7474</v>
      </c>
      <c r="R982" s="32" t="s">
        <v>7472</v>
      </c>
      <c r="S982" t="s">
        <v>7476</v>
      </c>
      <c r="T982" s="34" t="s">
        <v>7476</v>
      </c>
      <c r="U982" s="34" t="s">
        <v>7476</v>
      </c>
      <c r="V982" s="32" t="s">
        <v>7476</v>
      </c>
      <c r="W982" s="32" t="s">
        <v>7476</v>
      </c>
      <c r="X982">
        <v>0</v>
      </c>
      <c r="Y982" s="34" t="s">
        <v>7476</v>
      </c>
      <c r="Z982" s="34" t="s">
        <v>7476</v>
      </c>
      <c r="AA982" s="34" t="s">
        <v>7476</v>
      </c>
      <c r="AB982" s="36" t="s">
        <v>7476</v>
      </c>
      <c r="AD982" t="s">
        <v>3084</v>
      </c>
      <c r="AE982" t="s">
        <v>3085</v>
      </c>
      <c r="AG982" t="s">
        <v>98</v>
      </c>
      <c r="AH982">
        <v>3</v>
      </c>
      <c r="AI982" s="8" t="str">
        <f t="shared" si="344"/>
        <v/>
      </c>
      <c r="AJ982" s="8" t="str">
        <f t="shared" si="345"/>
        <v/>
      </c>
      <c r="AK982" s="38" t="str">
        <f t="shared" si="335"/>
        <v/>
      </c>
      <c r="AL982" t="str">
        <f t="shared" si="346"/>
        <v/>
      </c>
      <c r="AM982" t="str">
        <f t="shared" si="347"/>
        <v/>
      </c>
      <c r="AN982" t="str">
        <f t="shared" si="348"/>
        <v/>
      </c>
      <c r="AO982">
        <f t="shared" si="349"/>
        <v>3</v>
      </c>
      <c r="AP982">
        <f t="shared" si="350"/>
        <v>0</v>
      </c>
      <c r="AQ982" t="str">
        <f t="shared" si="351"/>
        <v/>
      </c>
    </row>
    <row r="983" spans="1:43" x14ac:dyDescent="0.35">
      <c r="A983">
        <v>2293</v>
      </c>
      <c r="B983" t="s">
        <v>3086</v>
      </c>
      <c r="C983" t="s">
        <v>2260</v>
      </c>
      <c r="D983" t="str">
        <f t="shared" si="333"/>
        <v>M and E</v>
      </c>
      <c r="E983" t="s">
        <v>3004</v>
      </c>
      <c r="F983" t="s">
        <v>1300</v>
      </c>
      <c r="G983" t="s">
        <v>3032</v>
      </c>
      <c r="H983" t="s">
        <v>59</v>
      </c>
      <c r="I983" s="32">
        <v>45109.656666666669</v>
      </c>
      <c r="J983" s="32">
        <v>45110.656666666669</v>
      </c>
      <c r="K983" s="32">
        <v>45113.656666666669</v>
      </c>
      <c r="L983" s="8">
        <f t="shared" si="334"/>
        <v>4</v>
      </c>
      <c r="M983" s="7">
        <v>45125.656666666669</v>
      </c>
      <c r="N983" t="s">
        <v>49</v>
      </c>
      <c r="O983" s="34">
        <v>45121.656666666669</v>
      </c>
      <c r="P983" t="s">
        <v>50</v>
      </c>
      <c r="Q983" t="s">
        <v>84</v>
      </c>
      <c r="R983" s="32" t="s">
        <v>7472</v>
      </c>
      <c r="S983" t="s">
        <v>7476</v>
      </c>
      <c r="T983" s="34" t="s">
        <v>7476</v>
      </c>
      <c r="U983" s="34" t="s">
        <v>7476</v>
      </c>
      <c r="V983" s="32">
        <v>45122.656666666669</v>
      </c>
      <c r="W983" s="32" t="s">
        <v>7476</v>
      </c>
      <c r="X983">
        <v>0</v>
      </c>
      <c r="Y983" s="34" t="s">
        <v>7476</v>
      </c>
      <c r="Z983" s="34" t="s">
        <v>7476</v>
      </c>
      <c r="AA983" s="34" t="s">
        <v>7476</v>
      </c>
      <c r="AB983" s="36" t="s">
        <v>52</v>
      </c>
      <c r="AD983" t="s">
        <v>3087</v>
      </c>
      <c r="AE983" t="s">
        <v>3088</v>
      </c>
      <c r="AF983" s="16">
        <v>45113</v>
      </c>
      <c r="AG983" t="s">
        <v>64</v>
      </c>
      <c r="AH983">
        <v>6</v>
      </c>
      <c r="AI983" s="8" t="str">
        <f t="shared" si="344"/>
        <v/>
      </c>
      <c r="AJ983" s="8">
        <f t="shared" si="345"/>
        <v>8.65666666666948</v>
      </c>
      <c r="AK983" s="38">
        <f t="shared" si="335"/>
        <v>45302.656666666669</v>
      </c>
      <c r="AL983" t="str">
        <f t="shared" si="346"/>
        <v/>
      </c>
      <c r="AM983" t="str">
        <f t="shared" si="347"/>
        <v/>
      </c>
      <c r="AN983">
        <f t="shared" si="348"/>
        <v>1</v>
      </c>
      <c r="AO983">
        <f t="shared" si="349"/>
        <v>1</v>
      </c>
      <c r="AP983">
        <f t="shared" si="350"/>
        <v>0</v>
      </c>
      <c r="AQ983" t="str">
        <f t="shared" si="351"/>
        <v/>
      </c>
    </row>
    <row r="984" spans="1:43" x14ac:dyDescent="0.35">
      <c r="A984">
        <v>2292</v>
      </c>
      <c r="B984" t="s">
        <v>3089</v>
      </c>
      <c r="C984" t="s">
        <v>2260</v>
      </c>
      <c r="D984" t="str">
        <f t="shared" si="333"/>
        <v>M and E</v>
      </c>
      <c r="E984" t="s">
        <v>3004</v>
      </c>
      <c r="F984" t="s">
        <v>1300</v>
      </c>
      <c r="G984" t="s">
        <v>3032</v>
      </c>
      <c r="H984" t="s">
        <v>59</v>
      </c>
      <c r="I984" s="32">
        <v>45105.656666666669</v>
      </c>
      <c r="J984" s="32">
        <v>45109.656666666669</v>
      </c>
      <c r="K984" s="32">
        <v>45113.656666666669</v>
      </c>
      <c r="L984" s="8">
        <f t="shared" si="334"/>
        <v>8</v>
      </c>
      <c r="M984" s="7">
        <v>45143.656666666669</v>
      </c>
      <c r="N984" t="s">
        <v>72</v>
      </c>
      <c r="O984" s="34" t="s">
        <v>7474</v>
      </c>
      <c r="R984" s="32" t="s">
        <v>7472</v>
      </c>
      <c r="S984" t="s">
        <v>7476</v>
      </c>
      <c r="T984" s="34" t="s">
        <v>7476</v>
      </c>
      <c r="U984" s="34" t="s">
        <v>7476</v>
      </c>
      <c r="V984" s="32" t="s">
        <v>7476</v>
      </c>
      <c r="W984" s="32" t="s">
        <v>7476</v>
      </c>
      <c r="X984">
        <v>0</v>
      </c>
      <c r="Y984" s="34" t="s">
        <v>7476</v>
      </c>
      <c r="Z984" s="34" t="s">
        <v>7476</v>
      </c>
      <c r="AA984" s="34" t="s">
        <v>7476</v>
      </c>
      <c r="AB984" s="36" t="s">
        <v>7476</v>
      </c>
      <c r="AD984" t="s">
        <v>3090</v>
      </c>
      <c r="AE984" t="s">
        <v>3091</v>
      </c>
      <c r="AG984" t="s">
        <v>64</v>
      </c>
      <c r="AH984">
        <v>3</v>
      </c>
      <c r="AI984" s="8" t="str">
        <f t="shared" si="344"/>
        <v/>
      </c>
      <c r="AJ984" s="8" t="str">
        <f t="shared" si="345"/>
        <v/>
      </c>
      <c r="AK984" s="38" t="str">
        <f t="shared" si="335"/>
        <v/>
      </c>
      <c r="AL984" t="str">
        <f t="shared" si="346"/>
        <v/>
      </c>
      <c r="AM984" t="str">
        <f t="shared" si="347"/>
        <v/>
      </c>
      <c r="AN984" t="str">
        <f t="shared" si="348"/>
        <v/>
      </c>
      <c r="AO984">
        <f t="shared" si="349"/>
        <v>4</v>
      </c>
      <c r="AP984">
        <f t="shared" si="350"/>
        <v>0</v>
      </c>
      <c r="AQ984" t="str">
        <f t="shared" si="351"/>
        <v/>
      </c>
    </row>
    <row r="985" spans="1:43" x14ac:dyDescent="0.35">
      <c r="A985">
        <v>2204</v>
      </c>
      <c r="B985" t="s">
        <v>3092</v>
      </c>
      <c r="C985" t="s">
        <v>2325</v>
      </c>
      <c r="D985" t="str">
        <f t="shared" si="333"/>
        <v>M and E</v>
      </c>
      <c r="E985" t="s">
        <v>3004</v>
      </c>
      <c r="F985" t="s">
        <v>1300</v>
      </c>
      <c r="G985" t="s">
        <v>3032</v>
      </c>
      <c r="H985" t="s">
        <v>59</v>
      </c>
      <c r="I985" s="32">
        <v>45092.202615740738</v>
      </c>
      <c r="J985" s="32">
        <v>45093.202615740738</v>
      </c>
      <c r="K985" s="32">
        <v>45098.202615740738</v>
      </c>
      <c r="L985" s="8">
        <f t="shared" si="334"/>
        <v>6</v>
      </c>
      <c r="M985" s="7">
        <v>45105.202615740738</v>
      </c>
      <c r="N985" t="s">
        <v>49</v>
      </c>
      <c r="O985" s="34">
        <v>45115.202615740738</v>
      </c>
      <c r="P985" t="s">
        <v>50</v>
      </c>
      <c r="Q985" t="s">
        <v>51</v>
      </c>
      <c r="R985" s="32" t="s">
        <v>7472</v>
      </c>
      <c r="S985" t="s">
        <v>7476</v>
      </c>
      <c r="T985" s="34" t="s">
        <v>7476</v>
      </c>
      <c r="U985" s="34" t="s">
        <v>7476</v>
      </c>
      <c r="V985" s="32">
        <v>45118.202615740738</v>
      </c>
      <c r="W985" s="32" t="s">
        <v>7476</v>
      </c>
      <c r="X985">
        <v>0</v>
      </c>
      <c r="Y985" s="34" t="s">
        <v>7476</v>
      </c>
      <c r="Z985" s="34" t="s">
        <v>7476</v>
      </c>
      <c r="AA985" s="34" t="s">
        <v>7476</v>
      </c>
      <c r="AB985" s="36" t="s">
        <v>52</v>
      </c>
      <c r="AD985" t="s">
        <v>3093</v>
      </c>
      <c r="AE985" t="s">
        <v>3094</v>
      </c>
      <c r="AF985" s="16">
        <v>45103</v>
      </c>
      <c r="AG985" t="s">
        <v>68</v>
      </c>
      <c r="AH985">
        <v>6</v>
      </c>
      <c r="AI985" s="8" t="str">
        <f t="shared" si="344"/>
        <v/>
      </c>
      <c r="AJ985" s="8">
        <f t="shared" si="345"/>
        <v>12.202615740738111</v>
      </c>
      <c r="AK985" s="38">
        <f t="shared" si="335"/>
        <v>45298.202615740738</v>
      </c>
      <c r="AL985" t="str">
        <f t="shared" si="346"/>
        <v/>
      </c>
      <c r="AM985" t="str">
        <f t="shared" si="347"/>
        <v/>
      </c>
      <c r="AN985">
        <f t="shared" si="348"/>
        <v>3</v>
      </c>
      <c r="AO985">
        <f t="shared" si="349"/>
        <v>1</v>
      </c>
      <c r="AP985">
        <f t="shared" si="350"/>
        <v>0</v>
      </c>
      <c r="AQ985" t="str">
        <f t="shared" si="351"/>
        <v/>
      </c>
    </row>
    <row r="986" spans="1:43" x14ac:dyDescent="0.35">
      <c r="A986">
        <v>2202</v>
      </c>
      <c r="B986" t="s">
        <v>3095</v>
      </c>
      <c r="C986" t="s">
        <v>2287</v>
      </c>
      <c r="D986" t="str">
        <f t="shared" si="333"/>
        <v>M and E</v>
      </c>
      <c r="E986" t="s">
        <v>3004</v>
      </c>
      <c r="F986" t="s">
        <v>1300</v>
      </c>
      <c r="G986" t="s">
        <v>3032</v>
      </c>
      <c r="H986" t="s">
        <v>59</v>
      </c>
      <c r="I986" s="32">
        <v>45092.202615740738</v>
      </c>
      <c r="J986" s="32">
        <v>45096.202615740738</v>
      </c>
      <c r="K986" s="32">
        <v>45098.202615740738</v>
      </c>
      <c r="L986" s="8">
        <f t="shared" si="334"/>
        <v>6</v>
      </c>
      <c r="M986" s="7">
        <v>45113.202615740738</v>
      </c>
      <c r="N986" t="s">
        <v>49</v>
      </c>
      <c r="O986" s="34">
        <v>45108.202615740738</v>
      </c>
      <c r="P986" t="s">
        <v>60</v>
      </c>
      <c r="R986" s="32">
        <v>45114.202615740738</v>
      </c>
      <c r="S986" t="s">
        <v>61</v>
      </c>
      <c r="T986" s="34" t="s">
        <v>7476</v>
      </c>
      <c r="U986" s="34" t="s">
        <v>7476</v>
      </c>
      <c r="V986" s="32">
        <v>45112.202615740738</v>
      </c>
      <c r="W986" s="32" t="s">
        <v>7476</v>
      </c>
      <c r="X986">
        <v>0</v>
      </c>
      <c r="Y986" s="34" t="s">
        <v>7476</v>
      </c>
      <c r="Z986" s="34" t="s">
        <v>7476</v>
      </c>
      <c r="AA986" s="34" t="s">
        <v>7476</v>
      </c>
      <c r="AB986" s="36" t="s">
        <v>7476</v>
      </c>
      <c r="AD986" t="s">
        <v>3096</v>
      </c>
      <c r="AE986" t="s">
        <v>3097</v>
      </c>
      <c r="AF986" s="16">
        <v>45092</v>
      </c>
      <c r="AG986" t="s">
        <v>68</v>
      </c>
      <c r="AH986">
        <v>3</v>
      </c>
      <c r="AI986" s="8">
        <f t="shared" si="344"/>
        <v>22.202615740738111</v>
      </c>
      <c r="AJ986" s="8">
        <f t="shared" si="345"/>
        <v>16.202615740738111</v>
      </c>
      <c r="AK986" s="38">
        <f t="shared" si="335"/>
        <v>45202.202615740738</v>
      </c>
      <c r="AL986" t="str">
        <f t="shared" si="346"/>
        <v/>
      </c>
      <c r="AM986">
        <f t="shared" si="347"/>
        <v>18</v>
      </c>
      <c r="AN986">
        <f t="shared" si="348"/>
        <v>4</v>
      </c>
      <c r="AO986">
        <f t="shared" si="349"/>
        <v>4</v>
      </c>
      <c r="AP986">
        <f t="shared" si="350"/>
        <v>0</v>
      </c>
      <c r="AQ986" t="str">
        <f t="shared" si="351"/>
        <v/>
      </c>
    </row>
    <row r="987" spans="1:43" x14ac:dyDescent="0.35">
      <c r="A987">
        <v>2187</v>
      </c>
      <c r="B987" t="s">
        <v>3098</v>
      </c>
      <c r="C987" t="s">
        <v>2287</v>
      </c>
      <c r="D987" t="str">
        <f t="shared" si="333"/>
        <v>M and E</v>
      </c>
      <c r="E987" t="s">
        <v>3004</v>
      </c>
      <c r="F987" t="s">
        <v>1300</v>
      </c>
      <c r="G987" t="s">
        <v>3032</v>
      </c>
      <c r="H987" t="s">
        <v>59</v>
      </c>
      <c r="I987" s="32">
        <v>44995.531736111108</v>
      </c>
      <c r="J987" s="32">
        <v>44996.531736111108</v>
      </c>
      <c r="K987" s="32" t="s">
        <v>7473</v>
      </c>
      <c r="L987" s="8" t="str">
        <f t="shared" si="334"/>
        <v/>
      </c>
      <c r="M987" s="7">
        <v>45016.531736111108</v>
      </c>
      <c r="N987" t="s">
        <v>49</v>
      </c>
      <c r="O987" s="34">
        <v>45016.531736111108</v>
      </c>
      <c r="P987" t="s">
        <v>50</v>
      </c>
      <c r="Q987" t="s">
        <v>125</v>
      </c>
      <c r="R987" s="32" t="s">
        <v>7472</v>
      </c>
      <c r="S987" t="s">
        <v>7476</v>
      </c>
      <c r="T987" s="34" t="s">
        <v>7476</v>
      </c>
      <c r="U987" s="34" t="s">
        <v>7476</v>
      </c>
      <c r="V987" s="32">
        <v>45020.531736111108</v>
      </c>
      <c r="W987" s="32" t="s">
        <v>7476</v>
      </c>
      <c r="X987">
        <v>0</v>
      </c>
      <c r="Y987" s="34" t="s">
        <v>7476</v>
      </c>
      <c r="Z987" s="34" t="s">
        <v>7476</v>
      </c>
      <c r="AA987" s="34" t="s">
        <v>7476</v>
      </c>
      <c r="AB987" s="36" t="s">
        <v>52</v>
      </c>
      <c r="AD987" t="s">
        <v>3099</v>
      </c>
      <c r="AE987" t="s">
        <v>3100</v>
      </c>
      <c r="AF987" s="16">
        <v>44997</v>
      </c>
      <c r="AG987" t="s">
        <v>75</v>
      </c>
      <c r="AH987">
        <v>3</v>
      </c>
      <c r="AK987" s="38">
        <f t="shared" si="335"/>
        <v>45110.531736111108</v>
      </c>
    </row>
    <row r="988" spans="1:43" x14ac:dyDescent="0.35">
      <c r="A988">
        <v>2072</v>
      </c>
      <c r="B988" t="s">
        <v>3101</v>
      </c>
      <c r="C988" t="s">
        <v>2260</v>
      </c>
      <c r="D988" t="str">
        <f t="shared" si="333"/>
        <v>M and E</v>
      </c>
      <c r="E988" t="s">
        <v>3004</v>
      </c>
      <c r="F988" t="s">
        <v>1300</v>
      </c>
      <c r="G988" t="s">
        <v>3032</v>
      </c>
      <c r="H988" t="s">
        <v>59</v>
      </c>
      <c r="I988" s="32">
        <v>44918.441053240742</v>
      </c>
      <c r="J988" s="32">
        <v>44920.441053240742</v>
      </c>
      <c r="K988" s="32" t="s">
        <v>7473</v>
      </c>
      <c r="L988" s="8" t="str">
        <f t="shared" si="334"/>
        <v/>
      </c>
      <c r="M988" s="7">
        <v>44928.441053240742</v>
      </c>
      <c r="N988" t="s">
        <v>49</v>
      </c>
      <c r="O988" s="34">
        <v>44927.441053240742</v>
      </c>
      <c r="P988" t="s">
        <v>60</v>
      </c>
      <c r="R988" s="32">
        <v>44934.441053240742</v>
      </c>
      <c r="S988" t="s">
        <v>61</v>
      </c>
      <c r="T988" s="34" t="s">
        <v>7476</v>
      </c>
      <c r="U988" s="34" t="s">
        <v>7476</v>
      </c>
      <c r="V988" s="32">
        <v>44930.441053240742</v>
      </c>
      <c r="W988" s="32" t="s">
        <v>7476</v>
      </c>
      <c r="X988">
        <v>0</v>
      </c>
      <c r="Y988" s="34" t="s">
        <v>7476</v>
      </c>
      <c r="Z988" s="34" t="s">
        <v>7476</v>
      </c>
      <c r="AA988" s="34" t="s">
        <v>7476</v>
      </c>
      <c r="AB988" s="36" t="s">
        <v>7476</v>
      </c>
      <c r="AD988" t="s">
        <v>3102</v>
      </c>
      <c r="AE988" t="s">
        <v>3103</v>
      </c>
      <c r="AF988" s="16">
        <v>44919</v>
      </c>
      <c r="AG988" t="s">
        <v>98</v>
      </c>
      <c r="AH988">
        <v>3</v>
      </c>
      <c r="AK988" s="38">
        <f t="shared" si="335"/>
        <v>45020.441053240742</v>
      </c>
    </row>
    <row r="989" spans="1:43" x14ac:dyDescent="0.35">
      <c r="A989">
        <v>2047</v>
      </c>
      <c r="B989" t="s">
        <v>3104</v>
      </c>
      <c r="C989" t="s">
        <v>2260</v>
      </c>
      <c r="D989" t="str">
        <f t="shared" si="333"/>
        <v>M and E</v>
      </c>
      <c r="E989" t="s">
        <v>3004</v>
      </c>
      <c r="F989" t="s">
        <v>1300</v>
      </c>
      <c r="G989" t="s">
        <v>3032</v>
      </c>
      <c r="H989" t="s">
        <v>59</v>
      </c>
      <c r="I989" s="32">
        <v>44758.200532407413</v>
      </c>
      <c r="J989" s="32">
        <v>44761.200532407413</v>
      </c>
      <c r="K989" s="32" t="s">
        <v>7473</v>
      </c>
      <c r="L989" s="8" t="str">
        <f t="shared" si="334"/>
        <v/>
      </c>
      <c r="M989" s="7">
        <v>44777.200532407413</v>
      </c>
      <c r="N989" t="s">
        <v>72</v>
      </c>
      <c r="O989" s="34" t="s">
        <v>7474</v>
      </c>
      <c r="R989" s="32" t="s">
        <v>7472</v>
      </c>
      <c r="S989" t="s">
        <v>7476</v>
      </c>
      <c r="T989" s="34" t="s">
        <v>7476</v>
      </c>
      <c r="U989" s="34" t="s">
        <v>7476</v>
      </c>
      <c r="V989" s="32" t="s">
        <v>7476</v>
      </c>
      <c r="W989" s="32" t="s">
        <v>7476</v>
      </c>
      <c r="X989">
        <v>0</v>
      </c>
      <c r="Y989" s="34" t="s">
        <v>7476</v>
      </c>
      <c r="Z989" s="34" t="s">
        <v>7476</v>
      </c>
      <c r="AA989" s="34" t="s">
        <v>7476</v>
      </c>
      <c r="AB989" s="36" t="s">
        <v>7476</v>
      </c>
      <c r="AD989" t="s">
        <v>3105</v>
      </c>
      <c r="AE989" t="s">
        <v>3106</v>
      </c>
      <c r="AG989" t="s">
        <v>98</v>
      </c>
      <c r="AH989">
        <v>3</v>
      </c>
      <c r="AK989" s="38" t="str">
        <f t="shared" si="335"/>
        <v/>
      </c>
    </row>
    <row r="990" spans="1:43" x14ac:dyDescent="0.35">
      <c r="A990">
        <v>2015</v>
      </c>
      <c r="B990" t="s">
        <v>3107</v>
      </c>
      <c r="C990" t="s">
        <v>2260</v>
      </c>
      <c r="D990" t="str">
        <f t="shared" si="333"/>
        <v>M and E</v>
      </c>
      <c r="E990" t="s">
        <v>3004</v>
      </c>
      <c r="F990" t="s">
        <v>1300</v>
      </c>
      <c r="G990" t="s">
        <v>3032</v>
      </c>
      <c r="H990" t="s">
        <v>59</v>
      </c>
      <c r="I990" s="32">
        <v>45084.58390046296</v>
      </c>
      <c r="J990" s="32">
        <v>45085.58390046296</v>
      </c>
      <c r="K990" s="32">
        <v>45086.58390046296</v>
      </c>
      <c r="L990" s="8">
        <f t="shared" si="334"/>
        <v>2</v>
      </c>
      <c r="M990" s="7">
        <v>45092.58390046296</v>
      </c>
      <c r="N990" t="s">
        <v>72</v>
      </c>
      <c r="O990" s="34" t="s">
        <v>7474</v>
      </c>
      <c r="R990" s="32" t="s">
        <v>7472</v>
      </c>
      <c r="S990" t="s">
        <v>7476</v>
      </c>
      <c r="T990" s="34" t="s">
        <v>7476</v>
      </c>
      <c r="U990" s="34" t="s">
        <v>7476</v>
      </c>
      <c r="V990" s="32" t="s">
        <v>7476</v>
      </c>
      <c r="W990" s="32" t="s">
        <v>7476</v>
      </c>
      <c r="X990">
        <v>0</v>
      </c>
      <c r="Y990" s="34" t="s">
        <v>7476</v>
      </c>
      <c r="Z990" s="34" t="s">
        <v>7476</v>
      </c>
      <c r="AA990" s="34" t="s">
        <v>7476</v>
      </c>
      <c r="AB990" s="36" t="s">
        <v>7476</v>
      </c>
      <c r="AD990" t="s">
        <v>3108</v>
      </c>
      <c r="AE990" t="s">
        <v>3109</v>
      </c>
      <c r="AG990" t="s">
        <v>68</v>
      </c>
      <c r="AH990">
        <v>3</v>
      </c>
      <c r="AI990" s="8" t="str">
        <f>IFERROR(R990-AF990,"")</f>
        <v/>
      </c>
      <c r="AJ990" s="8" t="str">
        <f>IFERROR(O990-AF990,"")</f>
        <v/>
      </c>
      <c r="AK990" s="38" t="str">
        <f t="shared" si="335"/>
        <v/>
      </c>
      <c r="AL990" t="str">
        <f>IFERROR(Z990-W990,"")</f>
        <v/>
      </c>
      <c r="AM990" t="str">
        <f>IFERROR(R990-J990,"")</f>
        <v/>
      </c>
      <c r="AN990" t="str">
        <f>IFERROR(V990-O990,"")</f>
        <v/>
      </c>
      <c r="AO990">
        <f>IFERROR(J990-I990,"")</f>
        <v>1</v>
      </c>
      <c r="AP990">
        <f>IFERROR(AC990-X990,"")</f>
        <v>0</v>
      </c>
      <c r="AQ990" t="str">
        <f>IFERROR(AA990-W990,"")</f>
        <v/>
      </c>
    </row>
    <row r="991" spans="1:43" x14ac:dyDescent="0.35">
      <c r="A991">
        <v>1943</v>
      </c>
      <c r="B991" t="s">
        <v>3110</v>
      </c>
      <c r="C991" t="s">
        <v>2260</v>
      </c>
      <c r="D991" t="str">
        <f t="shared" si="333"/>
        <v>M and E</v>
      </c>
      <c r="E991" t="s">
        <v>3004</v>
      </c>
      <c r="F991" t="s">
        <v>1300</v>
      </c>
      <c r="G991" t="s">
        <v>3032</v>
      </c>
      <c r="H991" t="s">
        <v>59</v>
      </c>
      <c r="I991" s="32">
        <v>44987.264120370368</v>
      </c>
      <c r="J991" s="32">
        <v>44988.264120370368</v>
      </c>
      <c r="K991" s="32">
        <v>44990.264120370368</v>
      </c>
      <c r="L991" s="8">
        <f t="shared" si="334"/>
        <v>3</v>
      </c>
      <c r="M991" s="7">
        <v>45013.264120370368</v>
      </c>
      <c r="N991" t="s">
        <v>72</v>
      </c>
      <c r="O991" s="34" t="s">
        <v>7474</v>
      </c>
      <c r="R991" s="32" t="s">
        <v>7472</v>
      </c>
      <c r="S991" t="s">
        <v>7476</v>
      </c>
      <c r="T991" s="34" t="s">
        <v>7476</v>
      </c>
      <c r="U991" s="34" t="s">
        <v>7476</v>
      </c>
      <c r="V991" s="32" t="s">
        <v>7476</v>
      </c>
      <c r="W991" s="32" t="s">
        <v>7476</v>
      </c>
      <c r="X991">
        <v>0</v>
      </c>
      <c r="Y991" s="34" t="s">
        <v>7476</v>
      </c>
      <c r="Z991" s="34" t="s">
        <v>7476</v>
      </c>
      <c r="AA991" s="34" t="s">
        <v>7476</v>
      </c>
      <c r="AB991" s="36" t="s">
        <v>7476</v>
      </c>
      <c r="AD991" t="s">
        <v>3111</v>
      </c>
      <c r="AE991" t="s">
        <v>3112</v>
      </c>
      <c r="AG991" t="s">
        <v>64</v>
      </c>
      <c r="AH991">
        <v>6</v>
      </c>
      <c r="AI991" s="8" t="str">
        <f>IFERROR(R991-AF991,"")</f>
        <v/>
      </c>
      <c r="AJ991" s="8" t="str">
        <f>IFERROR(O991-AF991,"")</f>
        <v/>
      </c>
      <c r="AK991" s="38" t="str">
        <f t="shared" si="335"/>
        <v/>
      </c>
      <c r="AL991" t="str">
        <f>IFERROR(Z991-W991,"")</f>
        <v/>
      </c>
      <c r="AM991" t="str">
        <f>IFERROR(R991-J991,"")</f>
        <v/>
      </c>
      <c r="AN991" t="str">
        <f>IFERROR(V991-O991,"")</f>
        <v/>
      </c>
      <c r="AO991">
        <f>IFERROR(J991-I991,"")</f>
        <v>1</v>
      </c>
      <c r="AP991">
        <f>IFERROR(AC991-X991,"")</f>
        <v>0</v>
      </c>
      <c r="AQ991" t="str">
        <f>IFERROR(AA991-W991,"")</f>
        <v/>
      </c>
    </row>
    <row r="992" spans="1:43" x14ac:dyDescent="0.35">
      <c r="A992">
        <v>1926</v>
      </c>
      <c r="B992" t="s">
        <v>3113</v>
      </c>
      <c r="C992" t="s">
        <v>2287</v>
      </c>
      <c r="D992" t="str">
        <f t="shared" si="333"/>
        <v>M and E</v>
      </c>
      <c r="E992" t="s">
        <v>3004</v>
      </c>
      <c r="F992" t="s">
        <v>1300</v>
      </c>
      <c r="G992" t="s">
        <v>3032</v>
      </c>
      <c r="H992" t="s">
        <v>59</v>
      </c>
      <c r="I992" s="32" t="s">
        <v>7471</v>
      </c>
      <c r="J992" s="32">
        <v>44797.391932870371</v>
      </c>
      <c r="K992" s="32">
        <v>44798.391932870371</v>
      </c>
      <c r="L992" s="8" t="str">
        <f t="shared" si="334"/>
        <v/>
      </c>
      <c r="M992" s="7">
        <v>44810.391932870371</v>
      </c>
      <c r="N992" t="s">
        <v>49</v>
      </c>
      <c r="O992" s="34">
        <v>44807.391932870371</v>
      </c>
      <c r="P992" t="s">
        <v>50</v>
      </c>
      <c r="Q992" t="s">
        <v>51</v>
      </c>
      <c r="R992" s="32" t="s">
        <v>7472</v>
      </c>
      <c r="S992" t="s">
        <v>7476</v>
      </c>
      <c r="T992" s="34" t="s">
        <v>7476</v>
      </c>
      <c r="U992" s="34" t="s">
        <v>7476</v>
      </c>
      <c r="V992" s="32" t="s">
        <v>7476</v>
      </c>
      <c r="W992" s="32" t="s">
        <v>7476</v>
      </c>
      <c r="X992">
        <v>0</v>
      </c>
      <c r="Y992" s="34" t="s">
        <v>7476</v>
      </c>
      <c r="Z992" s="34" t="s">
        <v>7476</v>
      </c>
      <c r="AA992" s="34" t="s">
        <v>7476</v>
      </c>
      <c r="AB992" s="36" t="s">
        <v>52</v>
      </c>
      <c r="AD992" t="s">
        <v>3114</v>
      </c>
      <c r="AE992" t="s">
        <v>3115</v>
      </c>
      <c r="AF992" s="16">
        <v>44797</v>
      </c>
      <c r="AG992" t="s">
        <v>55</v>
      </c>
      <c r="AH992">
        <v>6</v>
      </c>
      <c r="AK992" s="38" t="str">
        <f t="shared" si="335"/>
        <v/>
      </c>
    </row>
    <row r="993" spans="1:43" x14ac:dyDescent="0.35">
      <c r="A993">
        <v>1924</v>
      </c>
      <c r="B993" t="s">
        <v>3116</v>
      </c>
      <c r="C993" t="s">
        <v>2287</v>
      </c>
      <c r="D993" t="str">
        <f t="shared" si="333"/>
        <v>M and E</v>
      </c>
      <c r="E993" t="s">
        <v>3004</v>
      </c>
      <c r="F993" t="s">
        <v>1300</v>
      </c>
      <c r="G993" t="s">
        <v>3032</v>
      </c>
      <c r="H993" t="s">
        <v>59</v>
      </c>
      <c r="I993" s="32">
        <v>44788.391932870371</v>
      </c>
      <c r="J993" s="32">
        <v>44792.391932870371</v>
      </c>
      <c r="K993" s="32" t="s">
        <v>7473</v>
      </c>
      <c r="L993" s="8" t="str">
        <f t="shared" si="334"/>
        <v/>
      </c>
      <c r="M993" s="7">
        <v>44827.391932870371</v>
      </c>
      <c r="N993" t="s">
        <v>49</v>
      </c>
      <c r="O993" s="34">
        <v>44814.391932870371</v>
      </c>
      <c r="P993" t="s">
        <v>101</v>
      </c>
      <c r="R993" s="32">
        <v>44817.391932870371</v>
      </c>
      <c r="S993" t="s">
        <v>101</v>
      </c>
      <c r="T993" s="34">
        <v>44815.391932870371</v>
      </c>
      <c r="U993" s="34">
        <v>44817.391932870371</v>
      </c>
      <c r="V993" s="32">
        <v>44815.391932870371</v>
      </c>
      <c r="W993" s="32">
        <v>44817.391932870371</v>
      </c>
      <c r="X993">
        <v>1</v>
      </c>
      <c r="Y993" s="34">
        <v>44819.391932870371</v>
      </c>
      <c r="Z993" s="34">
        <v>44821.391932870371</v>
      </c>
      <c r="AA993" s="34">
        <v>44823.391932870371</v>
      </c>
      <c r="AB993" s="36" t="s">
        <v>7476</v>
      </c>
      <c r="AC993" s="10">
        <v>44844.391932870371</v>
      </c>
      <c r="AD993" t="s">
        <v>3117</v>
      </c>
      <c r="AE993" t="s">
        <v>3118</v>
      </c>
      <c r="AF993" s="16">
        <v>44803</v>
      </c>
      <c r="AG993" t="s">
        <v>68</v>
      </c>
      <c r="AH993">
        <v>3</v>
      </c>
      <c r="AK993" s="38">
        <f t="shared" si="335"/>
        <v>44905.391932870371</v>
      </c>
    </row>
    <row r="994" spans="1:43" x14ac:dyDescent="0.35">
      <c r="A994">
        <v>1835</v>
      </c>
      <c r="B994" t="s">
        <v>3119</v>
      </c>
      <c r="C994" t="s">
        <v>2287</v>
      </c>
      <c r="D994" t="str">
        <f t="shared" si="333"/>
        <v>M and E</v>
      </c>
      <c r="E994" t="s">
        <v>3004</v>
      </c>
      <c r="F994" t="s">
        <v>1300</v>
      </c>
      <c r="G994" t="s">
        <v>3032</v>
      </c>
      <c r="H994" t="s">
        <v>59</v>
      </c>
      <c r="I994" s="32">
        <v>45037.367280092592</v>
      </c>
      <c r="J994" s="32">
        <v>45038.367280092592</v>
      </c>
      <c r="K994" s="32">
        <v>45040.367280092592</v>
      </c>
      <c r="L994" s="8">
        <f t="shared" si="334"/>
        <v>3</v>
      </c>
      <c r="M994" s="7">
        <v>45055.367280092592</v>
      </c>
      <c r="N994" t="s">
        <v>49</v>
      </c>
      <c r="O994" s="34">
        <v>45054.367280092592</v>
      </c>
      <c r="P994" t="s">
        <v>50</v>
      </c>
      <c r="Q994" t="s">
        <v>198</v>
      </c>
      <c r="R994" s="32" t="s">
        <v>7472</v>
      </c>
      <c r="S994" t="s">
        <v>7476</v>
      </c>
      <c r="T994" s="34" t="s">
        <v>7476</v>
      </c>
      <c r="U994" s="34" t="s">
        <v>7476</v>
      </c>
      <c r="V994" s="32" t="s">
        <v>7476</v>
      </c>
      <c r="W994" s="32" t="s">
        <v>7476</v>
      </c>
      <c r="X994">
        <v>0</v>
      </c>
      <c r="Y994" s="34" t="s">
        <v>7476</v>
      </c>
      <c r="Z994" s="34" t="s">
        <v>7476</v>
      </c>
      <c r="AA994" s="34" t="s">
        <v>7476</v>
      </c>
      <c r="AB994" s="36" t="s">
        <v>52</v>
      </c>
      <c r="AD994" t="s">
        <v>3120</v>
      </c>
      <c r="AE994" t="s">
        <v>3121</v>
      </c>
      <c r="AF994" s="16">
        <v>45045</v>
      </c>
      <c r="AG994" t="s">
        <v>68</v>
      </c>
      <c r="AH994">
        <v>6</v>
      </c>
      <c r="AI994" s="8" t="str">
        <f t="shared" ref="AI994:AI1002" si="352">IFERROR(R994-AF994,"")</f>
        <v/>
      </c>
      <c r="AJ994" s="8">
        <f t="shared" ref="AJ994:AJ1002" si="353">IFERROR(O994-AF994,"")</f>
        <v>9.3672800925924093</v>
      </c>
      <c r="AK994" s="38" t="str">
        <f t="shared" si="335"/>
        <v/>
      </c>
      <c r="AL994" t="str">
        <f t="shared" ref="AL994:AL1002" si="354">IFERROR(Z994-W994,"")</f>
        <v/>
      </c>
      <c r="AM994" t="str">
        <f t="shared" ref="AM994:AM1002" si="355">IFERROR(R994-J994,"")</f>
        <v/>
      </c>
      <c r="AN994" t="str">
        <f t="shared" ref="AN994:AN1002" si="356">IFERROR(V994-O994,"")</f>
        <v/>
      </c>
      <c r="AO994">
        <f t="shared" ref="AO994:AO1002" si="357">IFERROR(J994-I994,"")</f>
        <v>1</v>
      </c>
      <c r="AP994">
        <f t="shared" ref="AP994:AP1002" si="358">IFERROR(AC994-X994,"")</f>
        <v>0</v>
      </c>
      <c r="AQ994" t="str">
        <f t="shared" ref="AQ994:AQ1002" si="359">IFERROR(AA994-W994,"")</f>
        <v/>
      </c>
    </row>
    <row r="995" spans="1:43" x14ac:dyDescent="0.35">
      <c r="A995">
        <v>1833</v>
      </c>
      <c r="B995" t="s">
        <v>3122</v>
      </c>
      <c r="C995" t="s">
        <v>2260</v>
      </c>
      <c r="D995" t="str">
        <f t="shared" si="333"/>
        <v>M and E</v>
      </c>
      <c r="E995" t="s">
        <v>3004</v>
      </c>
      <c r="F995" t="s">
        <v>1300</v>
      </c>
      <c r="G995" t="s">
        <v>3032</v>
      </c>
      <c r="H995" t="s">
        <v>59</v>
      </c>
      <c r="I995" s="32">
        <v>45031.367280092592</v>
      </c>
      <c r="J995" s="32">
        <v>45035.367280092592</v>
      </c>
      <c r="K995" s="32">
        <v>45040.367280092592</v>
      </c>
      <c r="L995" s="8">
        <f t="shared" si="334"/>
        <v>9</v>
      </c>
      <c r="M995" s="7">
        <v>45069.367280092592</v>
      </c>
      <c r="N995" t="s">
        <v>49</v>
      </c>
      <c r="O995" s="34">
        <v>45043.367280092592</v>
      </c>
      <c r="P995" t="s">
        <v>101</v>
      </c>
      <c r="R995" s="32">
        <v>45046.367280092592</v>
      </c>
      <c r="S995" t="s">
        <v>101</v>
      </c>
      <c r="T995" s="34">
        <v>45044.367280092592</v>
      </c>
      <c r="U995" s="34">
        <v>45045.367280092592</v>
      </c>
      <c r="V995" s="32">
        <v>45045.367280092592</v>
      </c>
      <c r="W995" s="32">
        <v>45050.367280092592</v>
      </c>
      <c r="X995">
        <v>1</v>
      </c>
      <c r="Y995" s="34">
        <v>45051.367280092592</v>
      </c>
      <c r="Z995" s="34">
        <v>45054.367280092592</v>
      </c>
      <c r="AA995" s="34">
        <v>45055.367280092592</v>
      </c>
      <c r="AB995" s="36" t="s">
        <v>7476</v>
      </c>
      <c r="AC995" s="10">
        <v>45071.367280092592</v>
      </c>
      <c r="AD995" t="s">
        <v>3123</v>
      </c>
      <c r="AE995" t="s">
        <v>3124</v>
      </c>
      <c r="AF995" s="16">
        <v>45033</v>
      </c>
      <c r="AG995" t="s">
        <v>64</v>
      </c>
      <c r="AH995">
        <v>3</v>
      </c>
      <c r="AI995" s="8">
        <f t="shared" si="352"/>
        <v>13.367280092592409</v>
      </c>
      <c r="AJ995" s="8">
        <f t="shared" si="353"/>
        <v>10.367280092592409</v>
      </c>
      <c r="AK995" s="38">
        <f t="shared" si="335"/>
        <v>45135.367280092592</v>
      </c>
      <c r="AL995">
        <f t="shared" si="354"/>
        <v>4</v>
      </c>
      <c r="AM995">
        <f t="shared" si="355"/>
        <v>11</v>
      </c>
      <c r="AN995">
        <f t="shared" si="356"/>
        <v>2</v>
      </c>
      <c r="AO995">
        <f t="shared" si="357"/>
        <v>4</v>
      </c>
      <c r="AP995">
        <f t="shared" si="358"/>
        <v>45070.367280092592</v>
      </c>
      <c r="AQ995">
        <f t="shared" si="359"/>
        <v>5</v>
      </c>
    </row>
    <row r="996" spans="1:43" x14ac:dyDescent="0.35">
      <c r="A996">
        <v>1787</v>
      </c>
      <c r="B996" t="s">
        <v>3125</v>
      </c>
      <c r="C996" t="s">
        <v>2260</v>
      </c>
      <c r="D996" t="str">
        <f t="shared" si="333"/>
        <v>M and E</v>
      </c>
      <c r="E996" t="s">
        <v>3004</v>
      </c>
      <c r="F996" t="s">
        <v>1300</v>
      </c>
      <c r="G996" t="s">
        <v>3032</v>
      </c>
      <c r="H996" t="s">
        <v>59</v>
      </c>
      <c r="I996" s="32">
        <v>44661.356493055559</v>
      </c>
      <c r="J996" s="32">
        <v>44664.356493055559</v>
      </c>
      <c r="K996" s="32">
        <v>44665.356493055559</v>
      </c>
      <c r="L996" s="8">
        <f t="shared" si="334"/>
        <v>4</v>
      </c>
      <c r="M996" s="7">
        <v>44687.356493055559</v>
      </c>
      <c r="N996" t="s">
        <v>49</v>
      </c>
      <c r="O996" s="34">
        <v>44674.356493055559</v>
      </c>
      <c r="P996" t="s">
        <v>60</v>
      </c>
      <c r="R996" s="32">
        <v>44681.356493055559</v>
      </c>
      <c r="S996" t="s">
        <v>61</v>
      </c>
      <c r="T996" s="34" t="s">
        <v>7476</v>
      </c>
      <c r="U996" s="34" t="s">
        <v>7476</v>
      </c>
      <c r="V996" s="32">
        <v>44678.356493055559</v>
      </c>
      <c r="W996" s="32" t="s">
        <v>7476</v>
      </c>
      <c r="X996">
        <v>0</v>
      </c>
      <c r="Y996" s="34" t="s">
        <v>7476</v>
      </c>
      <c r="Z996" s="34" t="s">
        <v>7476</v>
      </c>
      <c r="AA996" s="34" t="s">
        <v>7476</v>
      </c>
      <c r="AB996" s="36" t="s">
        <v>7476</v>
      </c>
      <c r="AD996" t="s">
        <v>3126</v>
      </c>
      <c r="AE996" t="s">
        <v>3127</v>
      </c>
      <c r="AF996" s="16">
        <v>44685</v>
      </c>
      <c r="AG996" t="s">
        <v>68</v>
      </c>
      <c r="AH996">
        <v>3</v>
      </c>
      <c r="AI996" s="8">
        <f t="shared" si="352"/>
        <v>-3.6435069444414694</v>
      </c>
      <c r="AJ996" s="8">
        <f t="shared" si="353"/>
        <v>-10.643506944441469</v>
      </c>
      <c r="AK996" s="38">
        <f t="shared" si="335"/>
        <v>44768.356493055559</v>
      </c>
      <c r="AL996" t="str">
        <f t="shared" si="354"/>
        <v/>
      </c>
      <c r="AM996">
        <f t="shared" si="355"/>
        <v>17</v>
      </c>
      <c r="AN996">
        <f t="shared" si="356"/>
        <v>4</v>
      </c>
      <c r="AO996">
        <f t="shared" si="357"/>
        <v>3</v>
      </c>
      <c r="AP996">
        <f t="shared" si="358"/>
        <v>0</v>
      </c>
      <c r="AQ996" t="str">
        <f t="shared" si="359"/>
        <v/>
      </c>
    </row>
    <row r="997" spans="1:43" x14ac:dyDescent="0.35">
      <c r="A997">
        <v>1730</v>
      </c>
      <c r="B997" t="s">
        <v>3128</v>
      </c>
      <c r="C997" t="s">
        <v>2260</v>
      </c>
      <c r="D997" t="str">
        <f t="shared" si="333"/>
        <v>M and E</v>
      </c>
      <c r="E997" t="s">
        <v>3004</v>
      </c>
      <c r="F997" t="s">
        <v>1892</v>
      </c>
      <c r="G997" t="s">
        <v>3129</v>
      </c>
      <c r="H997" t="s">
        <v>59</v>
      </c>
      <c r="I997" s="32">
        <v>44861.500428240739</v>
      </c>
      <c r="J997" s="32">
        <v>44864.500428240739</v>
      </c>
      <c r="K997" s="32">
        <v>44868.500428240739</v>
      </c>
      <c r="L997" s="8">
        <f t="shared" si="334"/>
        <v>7</v>
      </c>
      <c r="M997" s="7">
        <v>44887.500428240739</v>
      </c>
      <c r="N997" t="s">
        <v>49</v>
      </c>
      <c r="O997" s="34">
        <v>44879.500428240739</v>
      </c>
      <c r="P997" t="s">
        <v>50</v>
      </c>
      <c r="Q997" t="s">
        <v>84</v>
      </c>
      <c r="R997" s="32" t="s">
        <v>7472</v>
      </c>
      <c r="S997" t="s">
        <v>7476</v>
      </c>
      <c r="T997" s="34" t="s">
        <v>7476</v>
      </c>
      <c r="U997" s="34" t="s">
        <v>7476</v>
      </c>
      <c r="V997" s="32" t="s">
        <v>7476</v>
      </c>
      <c r="W997" s="32" t="s">
        <v>7476</v>
      </c>
      <c r="X997">
        <v>0</v>
      </c>
      <c r="Y997" s="34" t="s">
        <v>7476</v>
      </c>
      <c r="Z997" s="34" t="s">
        <v>7476</v>
      </c>
      <c r="AA997" s="34" t="s">
        <v>7476</v>
      </c>
      <c r="AB997" s="36" t="s">
        <v>52</v>
      </c>
      <c r="AD997" t="s">
        <v>3130</v>
      </c>
      <c r="AE997" t="s">
        <v>3131</v>
      </c>
      <c r="AF997" s="16">
        <v>44692</v>
      </c>
      <c r="AG997" t="s">
        <v>64</v>
      </c>
      <c r="AH997">
        <v>6</v>
      </c>
      <c r="AI997" s="8" t="str">
        <f t="shared" si="352"/>
        <v/>
      </c>
      <c r="AJ997" s="8">
        <f t="shared" si="353"/>
        <v>187.50042824073898</v>
      </c>
      <c r="AK997" s="38" t="str">
        <f t="shared" si="335"/>
        <v/>
      </c>
      <c r="AL997" t="str">
        <f t="shared" si="354"/>
        <v/>
      </c>
      <c r="AM997" t="str">
        <f t="shared" si="355"/>
        <v/>
      </c>
      <c r="AN997" t="str">
        <f t="shared" si="356"/>
        <v/>
      </c>
      <c r="AO997">
        <f t="shared" si="357"/>
        <v>3</v>
      </c>
      <c r="AP997">
        <f t="shared" si="358"/>
        <v>0</v>
      </c>
      <c r="AQ997" t="str">
        <f t="shared" si="359"/>
        <v/>
      </c>
    </row>
    <row r="998" spans="1:43" x14ac:dyDescent="0.35">
      <c r="A998">
        <v>1726</v>
      </c>
      <c r="B998" t="s">
        <v>3132</v>
      </c>
      <c r="C998" t="s">
        <v>2325</v>
      </c>
      <c r="D998" t="str">
        <f t="shared" si="333"/>
        <v>M and E</v>
      </c>
      <c r="E998" t="s">
        <v>3004</v>
      </c>
      <c r="F998" t="s">
        <v>1892</v>
      </c>
      <c r="G998" t="s">
        <v>3129</v>
      </c>
      <c r="H998" t="s">
        <v>59</v>
      </c>
      <c r="I998" s="32">
        <v>44866.500428240739</v>
      </c>
      <c r="J998" s="32">
        <v>44867.500428240739</v>
      </c>
      <c r="K998" s="32">
        <v>44868.500428240739</v>
      </c>
      <c r="L998" s="8">
        <f t="shared" si="334"/>
        <v>2</v>
      </c>
      <c r="M998" s="7">
        <v>44885.500428240739</v>
      </c>
      <c r="N998" t="s">
        <v>49</v>
      </c>
      <c r="O998" s="34">
        <v>44874.500428240739</v>
      </c>
      <c r="P998" t="s">
        <v>50</v>
      </c>
      <c r="Q998" t="s">
        <v>198</v>
      </c>
      <c r="R998" s="32" t="s">
        <v>7472</v>
      </c>
      <c r="S998" t="s">
        <v>7476</v>
      </c>
      <c r="T998" s="34" t="s">
        <v>7476</v>
      </c>
      <c r="U998" s="34" t="s">
        <v>7476</v>
      </c>
      <c r="V998" s="32">
        <v>44875.500428240739</v>
      </c>
      <c r="W998" s="32" t="s">
        <v>7476</v>
      </c>
      <c r="X998">
        <v>0</v>
      </c>
      <c r="Y998" s="34" t="s">
        <v>7476</v>
      </c>
      <c r="Z998" s="34" t="s">
        <v>7476</v>
      </c>
      <c r="AA998" s="34" t="s">
        <v>7476</v>
      </c>
      <c r="AB998" s="36" t="s">
        <v>95</v>
      </c>
      <c r="AD998" t="s">
        <v>3133</v>
      </c>
      <c r="AE998" t="s">
        <v>3134</v>
      </c>
      <c r="AF998" s="16">
        <v>44861</v>
      </c>
      <c r="AG998" t="s">
        <v>68</v>
      </c>
      <c r="AH998">
        <v>3</v>
      </c>
      <c r="AI998" s="8" t="str">
        <f t="shared" si="352"/>
        <v/>
      </c>
      <c r="AJ998" s="8">
        <f t="shared" si="353"/>
        <v>13.500428240738984</v>
      </c>
      <c r="AK998" s="38">
        <f t="shared" si="335"/>
        <v>44965.500428240739</v>
      </c>
      <c r="AL998" t="str">
        <f t="shared" si="354"/>
        <v/>
      </c>
      <c r="AM998" t="str">
        <f t="shared" si="355"/>
        <v/>
      </c>
      <c r="AN998">
        <f t="shared" si="356"/>
        <v>1</v>
      </c>
      <c r="AO998">
        <f t="shared" si="357"/>
        <v>1</v>
      </c>
      <c r="AP998">
        <f t="shared" si="358"/>
        <v>0</v>
      </c>
      <c r="AQ998" t="str">
        <f t="shared" si="359"/>
        <v/>
      </c>
    </row>
    <row r="999" spans="1:43" x14ac:dyDescent="0.35">
      <c r="A999">
        <v>1658</v>
      </c>
      <c r="B999" t="s">
        <v>3135</v>
      </c>
      <c r="C999" t="s">
        <v>2260</v>
      </c>
      <c r="D999" t="str">
        <f t="shared" si="333"/>
        <v>M and E</v>
      </c>
      <c r="E999" t="s">
        <v>3004</v>
      </c>
      <c r="F999" t="s">
        <v>1892</v>
      </c>
      <c r="G999" t="s">
        <v>3129</v>
      </c>
      <c r="H999" t="s">
        <v>59</v>
      </c>
      <c r="I999" s="32">
        <v>44875.194988425923</v>
      </c>
      <c r="J999" s="32">
        <v>44877.194988425923</v>
      </c>
      <c r="K999" s="32">
        <v>44883.194988425923</v>
      </c>
      <c r="L999" s="8">
        <f t="shared" si="334"/>
        <v>8</v>
      </c>
      <c r="M999" s="7">
        <v>44906.194988425923</v>
      </c>
      <c r="N999" t="s">
        <v>49</v>
      </c>
      <c r="O999" s="34">
        <v>44900.194988425923</v>
      </c>
      <c r="P999" t="s">
        <v>60</v>
      </c>
      <c r="R999" s="32">
        <v>44903.194988425923</v>
      </c>
      <c r="S999" t="s">
        <v>61</v>
      </c>
      <c r="T999" s="34" t="s">
        <v>7476</v>
      </c>
      <c r="U999" s="34" t="s">
        <v>7476</v>
      </c>
      <c r="V999" s="32">
        <v>44902.194988425923</v>
      </c>
      <c r="W999" s="32" t="s">
        <v>7476</v>
      </c>
      <c r="X999">
        <v>0</v>
      </c>
      <c r="Y999" s="34" t="s">
        <v>7476</v>
      </c>
      <c r="Z999" s="34" t="s">
        <v>7476</v>
      </c>
      <c r="AA999" s="34" t="s">
        <v>7476</v>
      </c>
      <c r="AB999" s="36" t="s">
        <v>7476</v>
      </c>
      <c r="AD999" t="s">
        <v>3136</v>
      </c>
      <c r="AE999" t="s">
        <v>3137</v>
      </c>
      <c r="AF999" s="16">
        <v>44883</v>
      </c>
      <c r="AG999" t="s">
        <v>68</v>
      </c>
      <c r="AH999">
        <v>6</v>
      </c>
      <c r="AI999" s="8">
        <f t="shared" si="352"/>
        <v>20.194988425922929</v>
      </c>
      <c r="AJ999" s="8">
        <f t="shared" si="353"/>
        <v>17.194988425922929</v>
      </c>
      <c r="AK999" s="38">
        <f t="shared" si="335"/>
        <v>45082.194988425923</v>
      </c>
      <c r="AL999" t="str">
        <f t="shared" si="354"/>
        <v/>
      </c>
      <c r="AM999">
        <f t="shared" si="355"/>
        <v>26</v>
      </c>
      <c r="AN999">
        <f t="shared" si="356"/>
        <v>2</v>
      </c>
      <c r="AO999">
        <f t="shared" si="357"/>
        <v>2</v>
      </c>
      <c r="AP999">
        <f t="shared" si="358"/>
        <v>0</v>
      </c>
      <c r="AQ999" t="str">
        <f t="shared" si="359"/>
        <v/>
      </c>
    </row>
    <row r="1000" spans="1:43" x14ac:dyDescent="0.35">
      <c r="A1000">
        <v>1656</v>
      </c>
      <c r="B1000" t="s">
        <v>3138</v>
      </c>
      <c r="C1000" t="s">
        <v>2260</v>
      </c>
      <c r="D1000" t="str">
        <f t="shared" si="333"/>
        <v>M and E</v>
      </c>
      <c r="E1000" t="s">
        <v>3004</v>
      </c>
      <c r="F1000" t="s">
        <v>1892</v>
      </c>
      <c r="G1000" t="s">
        <v>3129</v>
      </c>
      <c r="H1000" t="s">
        <v>59</v>
      </c>
      <c r="I1000" s="32">
        <v>44879.194988425923</v>
      </c>
      <c r="J1000" s="32">
        <v>44880.194988425923</v>
      </c>
      <c r="K1000" s="32">
        <v>44883.194988425923</v>
      </c>
      <c r="L1000" s="8">
        <f t="shared" si="334"/>
        <v>4</v>
      </c>
      <c r="M1000" s="7">
        <v>44904.194988425923</v>
      </c>
      <c r="N1000" t="s">
        <v>49</v>
      </c>
      <c r="O1000" s="34">
        <v>44894.194988425923</v>
      </c>
      <c r="P1000" t="s">
        <v>50</v>
      </c>
      <c r="Q1000" t="s">
        <v>198</v>
      </c>
      <c r="R1000" s="32" t="s">
        <v>7472</v>
      </c>
      <c r="S1000" t="s">
        <v>7476</v>
      </c>
      <c r="T1000" s="34" t="s">
        <v>7476</v>
      </c>
      <c r="U1000" s="34" t="s">
        <v>7476</v>
      </c>
      <c r="V1000" s="32" t="s">
        <v>7476</v>
      </c>
      <c r="W1000" s="32" t="s">
        <v>7476</v>
      </c>
      <c r="X1000">
        <v>0</v>
      </c>
      <c r="Y1000" s="34" t="s">
        <v>7476</v>
      </c>
      <c r="Z1000" s="34" t="s">
        <v>7476</v>
      </c>
      <c r="AA1000" s="34" t="s">
        <v>7476</v>
      </c>
      <c r="AB1000" s="36" t="s">
        <v>52</v>
      </c>
      <c r="AD1000" t="s">
        <v>3139</v>
      </c>
      <c r="AE1000" t="s">
        <v>3140</v>
      </c>
      <c r="AF1000" s="16">
        <v>44880</v>
      </c>
      <c r="AG1000" t="s">
        <v>64</v>
      </c>
      <c r="AH1000">
        <v>3</v>
      </c>
      <c r="AI1000" s="8" t="str">
        <f t="shared" si="352"/>
        <v/>
      </c>
      <c r="AJ1000" s="8">
        <f t="shared" si="353"/>
        <v>14.194988425922929</v>
      </c>
      <c r="AK1000" s="38" t="str">
        <f t="shared" si="335"/>
        <v/>
      </c>
      <c r="AL1000" t="str">
        <f t="shared" si="354"/>
        <v/>
      </c>
      <c r="AM1000" t="str">
        <f t="shared" si="355"/>
        <v/>
      </c>
      <c r="AN1000" t="str">
        <f t="shared" si="356"/>
        <v/>
      </c>
      <c r="AO1000">
        <f t="shared" si="357"/>
        <v>1</v>
      </c>
      <c r="AP1000">
        <f t="shared" si="358"/>
        <v>0</v>
      </c>
      <c r="AQ1000" t="str">
        <f t="shared" si="359"/>
        <v/>
      </c>
    </row>
    <row r="1001" spans="1:43" x14ac:dyDescent="0.35">
      <c r="A1001">
        <v>1654</v>
      </c>
      <c r="B1001" t="s">
        <v>3141</v>
      </c>
      <c r="C1001" t="s">
        <v>2260</v>
      </c>
      <c r="D1001" t="str">
        <f t="shared" si="333"/>
        <v>M and E</v>
      </c>
      <c r="E1001" t="s">
        <v>3004</v>
      </c>
      <c r="F1001" t="s">
        <v>1892</v>
      </c>
      <c r="G1001" t="s">
        <v>3129</v>
      </c>
      <c r="H1001" t="s">
        <v>59</v>
      </c>
      <c r="I1001" s="32">
        <v>44879.194988425923</v>
      </c>
      <c r="J1001" s="32">
        <v>44880.194988425923</v>
      </c>
      <c r="K1001" s="32">
        <v>44883.194988425923</v>
      </c>
      <c r="L1001" s="8">
        <f t="shared" si="334"/>
        <v>4</v>
      </c>
      <c r="M1001" s="7">
        <v>44899.194988425923</v>
      </c>
      <c r="N1001" t="s">
        <v>49</v>
      </c>
      <c r="O1001" s="34">
        <v>44886.194988425923</v>
      </c>
      <c r="P1001" t="s">
        <v>50</v>
      </c>
      <c r="Q1001" t="s">
        <v>51</v>
      </c>
      <c r="R1001" s="32" t="s">
        <v>7472</v>
      </c>
      <c r="S1001" t="s">
        <v>7476</v>
      </c>
      <c r="T1001" s="34" t="s">
        <v>7476</v>
      </c>
      <c r="U1001" s="34" t="s">
        <v>7476</v>
      </c>
      <c r="V1001" s="32" t="s">
        <v>7476</v>
      </c>
      <c r="W1001" s="32" t="s">
        <v>7476</v>
      </c>
      <c r="X1001">
        <v>0</v>
      </c>
      <c r="Y1001" s="34" t="s">
        <v>7476</v>
      </c>
      <c r="Z1001" s="34" t="s">
        <v>7476</v>
      </c>
      <c r="AA1001" s="34" t="s">
        <v>7476</v>
      </c>
      <c r="AB1001" s="36" t="s">
        <v>95</v>
      </c>
      <c r="AD1001" t="s">
        <v>3142</v>
      </c>
      <c r="AE1001" t="s">
        <v>3143</v>
      </c>
      <c r="AF1001" s="16">
        <v>44784</v>
      </c>
      <c r="AG1001" t="s">
        <v>68</v>
      </c>
      <c r="AH1001">
        <v>6</v>
      </c>
      <c r="AI1001" s="8" t="str">
        <f t="shared" si="352"/>
        <v/>
      </c>
      <c r="AJ1001" s="8">
        <f t="shared" si="353"/>
        <v>102.19498842592293</v>
      </c>
      <c r="AK1001" s="38" t="str">
        <f t="shared" si="335"/>
        <v/>
      </c>
      <c r="AL1001" t="str">
        <f t="shared" si="354"/>
        <v/>
      </c>
      <c r="AM1001" t="str">
        <f t="shared" si="355"/>
        <v/>
      </c>
      <c r="AN1001" t="str">
        <f t="shared" si="356"/>
        <v/>
      </c>
      <c r="AO1001">
        <f t="shared" si="357"/>
        <v>1</v>
      </c>
      <c r="AP1001">
        <f t="shared" si="358"/>
        <v>0</v>
      </c>
      <c r="AQ1001" t="str">
        <f t="shared" si="359"/>
        <v/>
      </c>
    </row>
    <row r="1002" spans="1:43" x14ac:dyDescent="0.35">
      <c r="A1002">
        <v>1628</v>
      </c>
      <c r="B1002" t="s">
        <v>3144</v>
      </c>
      <c r="C1002" t="s">
        <v>2260</v>
      </c>
      <c r="D1002" t="str">
        <f t="shared" si="333"/>
        <v>M and E</v>
      </c>
      <c r="E1002" t="s">
        <v>3004</v>
      </c>
      <c r="F1002" t="s">
        <v>1892</v>
      </c>
      <c r="G1002" t="s">
        <v>3129</v>
      </c>
      <c r="H1002" t="s">
        <v>59</v>
      </c>
      <c r="I1002" s="32">
        <v>44636.297905092593</v>
      </c>
      <c r="J1002" s="32">
        <v>44639.297905092593</v>
      </c>
      <c r="K1002" s="32">
        <v>44645.297905092593</v>
      </c>
      <c r="L1002" s="8">
        <f t="shared" si="334"/>
        <v>9</v>
      </c>
      <c r="M1002" s="7">
        <v>44658.297905092593</v>
      </c>
      <c r="N1002" t="s">
        <v>72</v>
      </c>
      <c r="O1002" s="34" t="s">
        <v>7474</v>
      </c>
      <c r="R1002" s="32" t="s">
        <v>7472</v>
      </c>
      <c r="S1002" t="s">
        <v>7476</v>
      </c>
      <c r="T1002" s="34" t="s">
        <v>7476</v>
      </c>
      <c r="U1002" s="34" t="s">
        <v>7476</v>
      </c>
      <c r="V1002" s="32" t="s">
        <v>7476</v>
      </c>
      <c r="W1002" s="32" t="s">
        <v>7476</v>
      </c>
      <c r="X1002">
        <v>0</v>
      </c>
      <c r="Y1002" s="34" t="s">
        <v>7476</v>
      </c>
      <c r="Z1002" s="34" t="s">
        <v>7476</v>
      </c>
      <c r="AA1002" s="34" t="s">
        <v>7476</v>
      </c>
      <c r="AB1002" s="36" t="s">
        <v>7476</v>
      </c>
      <c r="AD1002" t="s">
        <v>3145</v>
      </c>
      <c r="AE1002" t="s">
        <v>3146</v>
      </c>
      <c r="AG1002" t="s">
        <v>68</v>
      </c>
      <c r="AH1002">
        <v>3</v>
      </c>
      <c r="AI1002" s="8" t="str">
        <f t="shared" si="352"/>
        <v/>
      </c>
      <c r="AJ1002" s="8" t="str">
        <f t="shared" si="353"/>
        <v/>
      </c>
      <c r="AK1002" s="38" t="str">
        <f t="shared" si="335"/>
        <v/>
      </c>
      <c r="AL1002" t="str">
        <f t="shared" si="354"/>
        <v/>
      </c>
      <c r="AM1002" t="str">
        <f t="shared" si="355"/>
        <v/>
      </c>
      <c r="AN1002" t="str">
        <f t="shared" si="356"/>
        <v/>
      </c>
      <c r="AO1002">
        <f t="shared" si="357"/>
        <v>3</v>
      </c>
      <c r="AP1002">
        <f t="shared" si="358"/>
        <v>0</v>
      </c>
      <c r="AQ1002" t="str">
        <f t="shared" si="359"/>
        <v/>
      </c>
    </row>
    <row r="1003" spans="1:43" x14ac:dyDescent="0.35">
      <c r="A1003">
        <v>1625</v>
      </c>
      <c r="B1003" t="s">
        <v>3147</v>
      </c>
      <c r="C1003" t="s">
        <v>2260</v>
      </c>
      <c r="D1003" t="str">
        <f t="shared" si="333"/>
        <v>M and E</v>
      </c>
      <c r="E1003" t="s">
        <v>3004</v>
      </c>
      <c r="F1003" t="s">
        <v>1892</v>
      </c>
      <c r="G1003" t="s">
        <v>3129</v>
      </c>
      <c r="H1003" t="s">
        <v>59</v>
      </c>
      <c r="I1003" s="32">
        <v>44639.297905092593</v>
      </c>
      <c r="J1003" s="32">
        <v>44643.297905092593</v>
      </c>
      <c r="K1003" s="32" t="s">
        <v>7473</v>
      </c>
      <c r="L1003" s="8" t="str">
        <f t="shared" si="334"/>
        <v/>
      </c>
      <c r="M1003" s="7">
        <v>44655.297905092593</v>
      </c>
      <c r="N1003" t="s">
        <v>49</v>
      </c>
      <c r="O1003" s="34">
        <v>44649.297905092593</v>
      </c>
      <c r="P1003" t="s">
        <v>50</v>
      </c>
      <c r="Q1003" t="s">
        <v>125</v>
      </c>
      <c r="R1003" s="32" t="s">
        <v>7472</v>
      </c>
      <c r="S1003" t="s">
        <v>7476</v>
      </c>
      <c r="T1003" s="34" t="s">
        <v>7476</v>
      </c>
      <c r="U1003" s="34" t="s">
        <v>7476</v>
      </c>
      <c r="V1003" s="32" t="s">
        <v>7476</v>
      </c>
      <c r="W1003" s="32" t="s">
        <v>7476</v>
      </c>
      <c r="X1003">
        <v>0</v>
      </c>
      <c r="Y1003" s="34" t="s">
        <v>7476</v>
      </c>
      <c r="Z1003" s="34" t="s">
        <v>7476</v>
      </c>
      <c r="AA1003" s="34" t="s">
        <v>7476</v>
      </c>
      <c r="AB1003" s="36" t="s">
        <v>95</v>
      </c>
      <c r="AD1003" t="s">
        <v>3148</v>
      </c>
      <c r="AE1003" t="s">
        <v>3149</v>
      </c>
      <c r="AF1003" s="16">
        <v>44632</v>
      </c>
      <c r="AG1003" t="s">
        <v>64</v>
      </c>
      <c r="AH1003">
        <v>3</v>
      </c>
      <c r="AK1003" s="38" t="str">
        <f t="shared" si="335"/>
        <v/>
      </c>
    </row>
    <row r="1004" spans="1:43" x14ac:dyDescent="0.35">
      <c r="A1004">
        <v>1623</v>
      </c>
      <c r="B1004" t="s">
        <v>3150</v>
      </c>
      <c r="C1004" t="s">
        <v>2325</v>
      </c>
      <c r="D1004" t="str">
        <f t="shared" si="333"/>
        <v>M and E</v>
      </c>
      <c r="E1004" t="s">
        <v>3004</v>
      </c>
      <c r="F1004" t="s">
        <v>1892</v>
      </c>
      <c r="G1004" t="s">
        <v>3129</v>
      </c>
      <c r="H1004" t="s">
        <v>59</v>
      </c>
      <c r="I1004" s="32">
        <v>44639.297905092593</v>
      </c>
      <c r="J1004" s="32">
        <v>44643.297905092593</v>
      </c>
      <c r="K1004" s="32">
        <v>44645.297905092593</v>
      </c>
      <c r="L1004" s="8">
        <f t="shared" si="334"/>
        <v>6</v>
      </c>
      <c r="M1004" s="7">
        <v>44671.297905092593</v>
      </c>
      <c r="N1004" t="s">
        <v>49</v>
      </c>
      <c r="O1004" s="34">
        <v>44661.297905092593</v>
      </c>
      <c r="P1004" t="s">
        <v>60</v>
      </c>
      <c r="R1004" s="32">
        <v>44665.297905092593</v>
      </c>
      <c r="S1004" t="s">
        <v>61</v>
      </c>
      <c r="T1004" s="34" t="s">
        <v>7476</v>
      </c>
      <c r="U1004" s="34" t="s">
        <v>7476</v>
      </c>
      <c r="V1004" s="32">
        <v>44663.297905092593</v>
      </c>
      <c r="W1004" s="32" t="s">
        <v>7476</v>
      </c>
      <c r="X1004">
        <v>0</v>
      </c>
      <c r="Y1004" s="34" t="s">
        <v>7476</v>
      </c>
      <c r="Z1004" s="34" t="s">
        <v>7476</v>
      </c>
      <c r="AA1004" s="34" t="s">
        <v>7476</v>
      </c>
      <c r="AB1004" s="36" t="s">
        <v>7476</v>
      </c>
      <c r="AD1004" t="s">
        <v>3151</v>
      </c>
      <c r="AE1004" t="s">
        <v>3152</v>
      </c>
      <c r="AF1004" s="16">
        <v>44655</v>
      </c>
      <c r="AG1004" t="s">
        <v>64</v>
      </c>
      <c r="AH1004">
        <v>6</v>
      </c>
      <c r="AI1004" s="8">
        <f>IFERROR(R1004-AF1004,"")</f>
        <v>10.297905092593282</v>
      </c>
      <c r="AJ1004" s="8">
        <f>IFERROR(O1004-AF1004,"")</f>
        <v>6.2979050925932825</v>
      </c>
      <c r="AK1004" s="38">
        <f t="shared" si="335"/>
        <v>44843.297905092593</v>
      </c>
      <c r="AL1004" t="str">
        <f>IFERROR(Z1004-W1004,"")</f>
        <v/>
      </c>
      <c r="AM1004">
        <f>IFERROR(R1004-J1004,"")</f>
        <v>22</v>
      </c>
      <c r="AN1004">
        <f>IFERROR(V1004-O1004,"")</f>
        <v>2</v>
      </c>
      <c r="AO1004">
        <f>IFERROR(J1004-I1004,"")</f>
        <v>4</v>
      </c>
      <c r="AP1004">
        <f>IFERROR(AC1004-X1004,"")</f>
        <v>0</v>
      </c>
      <c r="AQ1004" t="str">
        <f>IFERROR(AA1004-W1004,"")</f>
        <v/>
      </c>
    </row>
    <row r="1005" spans="1:43" x14ac:dyDescent="0.35">
      <c r="A1005">
        <v>1602</v>
      </c>
      <c r="B1005" t="s">
        <v>3153</v>
      </c>
      <c r="C1005" t="s">
        <v>2260</v>
      </c>
      <c r="D1005" t="str">
        <f t="shared" si="333"/>
        <v>M and E</v>
      </c>
      <c r="E1005" t="s">
        <v>3004</v>
      </c>
      <c r="F1005" t="s">
        <v>1892</v>
      </c>
      <c r="G1005" t="s">
        <v>3129</v>
      </c>
      <c r="H1005" t="s">
        <v>59</v>
      </c>
      <c r="I1005" s="32">
        <v>44564.819027777783</v>
      </c>
      <c r="J1005" s="32">
        <v>44566.819027777783</v>
      </c>
      <c r="K1005" s="32">
        <v>44569.819027777783</v>
      </c>
      <c r="L1005" s="8">
        <f t="shared" si="334"/>
        <v>5</v>
      </c>
      <c r="M1005" s="7">
        <v>44592.819027777783</v>
      </c>
      <c r="N1005" t="s">
        <v>49</v>
      </c>
      <c r="O1005" s="34">
        <v>44571.819027777783</v>
      </c>
      <c r="P1005" t="s">
        <v>101</v>
      </c>
      <c r="R1005" s="32">
        <v>44575.819027777783</v>
      </c>
      <c r="S1005" t="s">
        <v>101</v>
      </c>
      <c r="T1005" s="34">
        <v>44573.819027777783</v>
      </c>
      <c r="U1005" s="34">
        <v>44577.819027777783</v>
      </c>
      <c r="V1005" s="32">
        <v>44574.819027777783</v>
      </c>
      <c r="W1005" s="32">
        <v>44583.819027777783</v>
      </c>
      <c r="X1005">
        <v>1</v>
      </c>
      <c r="Y1005" s="34">
        <v>44587.819027777783</v>
      </c>
      <c r="Z1005" s="34">
        <v>44589.819027777783</v>
      </c>
      <c r="AA1005" s="34">
        <v>44592.819027777783</v>
      </c>
      <c r="AB1005" s="36" t="s">
        <v>7476</v>
      </c>
      <c r="AC1005" s="10">
        <v>44604.819027777783</v>
      </c>
      <c r="AD1005" t="s">
        <v>3154</v>
      </c>
      <c r="AE1005" t="s">
        <v>3155</v>
      </c>
      <c r="AF1005" s="16">
        <v>44554</v>
      </c>
      <c r="AG1005" t="s">
        <v>64</v>
      </c>
      <c r="AH1005">
        <v>6</v>
      </c>
      <c r="AI1005" s="8">
        <f>IFERROR(R1005-AF1005,"")</f>
        <v>21.819027777783049</v>
      </c>
      <c r="AJ1005" s="8">
        <f>IFERROR(O1005-AF1005,"")</f>
        <v>17.819027777783049</v>
      </c>
      <c r="AK1005" s="38">
        <f t="shared" si="335"/>
        <v>44754.819027777783</v>
      </c>
      <c r="AL1005">
        <f>IFERROR(Z1005-W1005,"")</f>
        <v>6</v>
      </c>
      <c r="AM1005">
        <f>IFERROR(R1005-J1005,"")</f>
        <v>9</v>
      </c>
      <c r="AN1005">
        <f>IFERROR(V1005-O1005,"")</f>
        <v>3</v>
      </c>
      <c r="AO1005">
        <f>IFERROR(J1005-I1005,"")</f>
        <v>2</v>
      </c>
      <c r="AP1005">
        <f>IFERROR(AC1005-X1005,"")</f>
        <v>44603.819027777783</v>
      </c>
      <c r="AQ1005">
        <f>IFERROR(AA1005-W1005,"")</f>
        <v>9</v>
      </c>
    </row>
    <row r="1006" spans="1:43" x14ac:dyDescent="0.35">
      <c r="A1006">
        <v>1478</v>
      </c>
      <c r="B1006" t="s">
        <v>3156</v>
      </c>
      <c r="C1006" t="s">
        <v>2260</v>
      </c>
      <c r="D1006" t="str">
        <f t="shared" si="333"/>
        <v>M and E</v>
      </c>
      <c r="E1006" t="s">
        <v>3004</v>
      </c>
      <c r="F1006" t="s">
        <v>1892</v>
      </c>
      <c r="G1006" t="s">
        <v>3129</v>
      </c>
      <c r="H1006" t="s">
        <v>59</v>
      </c>
      <c r="I1006" s="32">
        <v>44947.278946759259</v>
      </c>
      <c r="J1006" s="32">
        <v>44949.278946759259</v>
      </c>
      <c r="K1006" s="32">
        <v>44954.278946759259</v>
      </c>
      <c r="L1006" s="8">
        <f t="shared" si="334"/>
        <v>7</v>
      </c>
      <c r="M1006" s="7">
        <v>44970.278946759259</v>
      </c>
      <c r="N1006" t="s">
        <v>49</v>
      </c>
      <c r="O1006" s="34">
        <v>44962.278946759259</v>
      </c>
      <c r="P1006" t="s">
        <v>101</v>
      </c>
      <c r="R1006" s="32">
        <v>44969.278946759259</v>
      </c>
      <c r="S1006" t="s">
        <v>101</v>
      </c>
      <c r="T1006" s="34">
        <v>44963.278946759259</v>
      </c>
      <c r="U1006" s="34">
        <v>44965.278946759259</v>
      </c>
      <c r="V1006" s="32">
        <v>44966.278946759259</v>
      </c>
      <c r="W1006" s="32">
        <v>44971.278946759259</v>
      </c>
      <c r="X1006">
        <v>1</v>
      </c>
      <c r="Y1006" s="34">
        <v>44973.278946759259</v>
      </c>
      <c r="Z1006" s="34">
        <v>44976.278946759259</v>
      </c>
      <c r="AA1006" s="34">
        <v>44978.278946759259</v>
      </c>
      <c r="AB1006" s="36" t="s">
        <v>7476</v>
      </c>
      <c r="AC1006" s="10">
        <v>44988.278946759259</v>
      </c>
      <c r="AD1006" t="s">
        <v>3157</v>
      </c>
      <c r="AE1006" t="s">
        <v>3158</v>
      </c>
      <c r="AF1006" s="16">
        <v>44950</v>
      </c>
      <c r="AG1006" t="s">
        <v>98</v>
      </c>
      <c r="AH1006">
        <v>6</v>
      </c>
      <c r="AI1006" s="8">
        <f>IFERROR(R1006-AF1006,"")</f>
        <v>19.27894675925927</v>
      </c>
      <c r="AJ1006" s="8">
        <f>IFERROR(O1006-AF1006,"")</f>
        <v>12.27894675925927</v>
      </c>
      <c r="AK1006" s="38">
        <f t="shared" si="335"/>
        <v>45146.278946759259</v>
      </c>
      <c r="AL1006">
        <f>IFERROR(Z1006-W1006,"")</f>
        <v>5</v>
      </c>
      <c r="AM1006">
        <f>IFERROR(R1006-J1006,"")</f>
        <v>20</v>
      </c>
      <c r="AN1006">
        <f>IFERROR(V1006-O1006,"")</f>
        <v>4</v>
      </c>
      <c r="AO1006">
        <f>IFERROR(J1006-I1006,"")</f>
        <v>2</v>
      </c>
      <c r="AP1006">
        <f>IFERROR(AC1006-X1006,"")</f>
        <v>44987.278946759259</v>
      </c>
      <c r="AQ1006">
        <f>IFERROR(AA1006-W1006,"")</f>
        <v>7</v>
      </c>
    </row>
    <row r="1007" spans="1:43" x14ac:dyDescent="0.35">
      <c r="A1007">
        <v>1343</v>
      </c>
      <c r="B1007" t="s">
        <v>3159</v>
      </c>
      <c r="C1007" t="s">
        <v>2325</v>
      </c>
      <c r="D1007" t="str">
        <f t="shared" si="333"/>
        <v>M and E</v>
      </c>
      <c r="E1007" t="s">
        <v>3004</v>
      </c>
      <c r="F1007" t="s">
        <v>1892</v>
      </c>
      <c r="G1007" t="s">
        <v>3129</v>
      </c>
      <c r="H1007" t="s">
        <v>59</v>
      </c>
      <c r="I1007" s="32">
        <v>45096.039097222223</v>
      </c>
      <c r="J1007" s="32">
        <v>45098.039097222223</v>
      </c>
      <c r="K1007" s="32">
        <v>45100.039097222223</v>
      </c>
      <c r="L1007" s="8">
        <f t="shared" si="334"/>
        <v>4</v>
      </c>
      <c r="M1007" s="7">
        <v>45113.039097222223</v>
      </c>
      <c r="N1007" t="s">
        <v>49</v>
      </c>
      <c r="O1007" s="34">
        <v>45113.039097222223</v>
      </c>
      <c r="P1007" t="s">
        <v>60</v>
      </c>
      <c r="R1007" s="32">
        <v>45119.039097222223</v>
      </c>
      <c r="S1007" t="s">
        <v>61</v>
      </c>
      <c r="T1007" s="34" t="s">
        <v>7476</v>
      </c>
      <c r="U1007" s="34" t="s">
        <v>7476</v>
      </c>
      <c r="V1007" s="32">
        <v>45115.039097222223</v>
      </c>
      <c r="W1007" s="32" t="s">
        <v>7476</v>
      </c>
      <c r="X1007">
        <v>0</v>
      </c>
      <c r="Y1007" s="34" t="s">
        <v>7476</v>
      </c>
      <c r="Z1007" s="34" t="s">
        <v>7476</v>
      </c>
      <c r="AA1007" s="34" t="s">
        <v>7476</v>
      </c>
      <c r="AB1007" s="36" t="s">
        <v>7476</v>
      </c>
      <c r="AD1007" t="s">
        <v>3160</v>
      </c>
      <c r="AE1007" t="s">
        <v>3161</v>
      </c>
      <c r="AF1007" s="16">
        <v>45104</v>
      </c>
      <c r="AG1007" t="s">
        <v>68</v>
      </c>
      <c r="AH1007">
        <v>6</v>
      </c>
      <c r="AI1007" s="8">
        <f>IFERROR(R1007-AF1007,"")</f>
        <v>15.039097222223063</v>
      </c>
      <c r="AJ1007" s="8">
        <f>IFERROR(O1007-AF1007,"")</f>
        <v>9.039097222223063</v>
      </c>
      <c r="AK1007" s="38">
        <f t="shared" si="335"/>
        <v>45295.039097222223</v>
      </c>
      <c r="AL1007" t="str">
        <f>IFERROR(Z1007-W1007,"")</f>
        <v/>
      </c>
      <c r="AM1007">
        <f>IFERROR(R1007-J1007,"")</f>
        <v>21</v>
      </c>
      <c r="AN1007">
        <f>IFERROR(V1007-O1007,"")</f>
        <v>2</v>
      </c>
      <c r="AO1007">
        <f>IFERROR(J1007-I1007,"")</f>
        <v>2</v>
      </c>
      <c r="AP1007">
        <f>IFERROR(AC1007-X1007,"")</f>
        <v>0</v>
      </c>
      <c r="AQ1007" t="str">
        <f>IFERROR(AA1007-W1007,"")</f>
        <v/>
      </c>
    </row>
    <row r="1008" spans="1:43" x14ac:dyDescent="0.35">
      <c r="A1008">
        <v>1096</v>
      </c>
      <c r="B1008" t="s">
        <v>3162</v>
      </c>
      <c r="C1008" t="s">
        <v>2287</v>
      </c>
      <c r="D1008" t="str">
        <f t="shared" si="333"/>
        <v>M and E</v>
      </c>
      <c r="E1008" t="s">
        <v>3004</v>
      </c>
      <c r="F1008" t="s">
        <v>1892</v>
      </c>
      <c r="G1008" t="s">
        <v>3129</v>
      </c>
      <c r="H1008" t="s">
        <v>59</v>
      </c>
      <c r="I1008" s="32">
        <v>45040.26462962963</v>
      </c>
      <c r="J1008" s="32" t="s">
        <v>7471</v>
      </c>
      <c r="K1008" s="32">
        <v>45046.26462962963</v>
      </c>
      <c r="L1008" s="8">
        <f t="shared" si="334"/>
        <v>6</v>
      </c>
      <c r="M1008" s="7">
        <v>45061.26462962963</v>
      </c>
      <c r="N1008" t="s">
        <v>49</v>
      </c>
      <c r="O1008" s="34">
        <v>45058.26462962963</v>
      </c>
      <c r="P1008" t="s">
        <v>392</v>
      </c>
      <c r="R1008" s="32">
        <v>45064.26462962963</v>
      </c>
      <c r="S1008" t="s">
        <v>392</v>
      </c>
      <c r="T1008" s="34" t="s">
        <v>7476</v>
      </c>
      <c r="U1008" s="34" t="s">
        <v>7476</v>
      </c>
      <c r="V1008" s="32">
        <v>45060.26462962963</v>
      </c>
      <c r="W1008" s="32" t="s">
        <v>7476</v>
      </c>
      <c r="X1008">
        <v>0</v>
      </c>
      <c r="Y1008" s="34" t="s">
        <v>7476</v>
      </c>
      <c r="Z1008" s="34" t="s">
        <v>7476</v>
      </c>
      <c r="AA1008" s="34" t="s">
        <v>7476</v>
      </c>
      <c r="AB1008" s="36" t="s">
        <v>7476</v>
      </c>
      <c r="AD1008" t="s">
        <v>3163</v>
      </c>
      <c r="AE1008" t="s">
        <v>3164</v>
      </c>
      <c r="AF1008" s="16">
        <v>45048</v>
      </c>
      <c r="AG1008" t="s">
        <v>68</v>
      </c>
      <c r="AH1008">
        <v>6</v>
      </c>
      <c r="AK1008" s="38">
        <f t="shared" si="335"/>
        <v>45240.26462962963</v>
      </c>
    </row>
    <row r="1009" spans="1:43" x14ac:dyDescent="0.35">
      <c r="A1009">
        <v>1093</v>
      </c>
      <c r="B1009" t="s">
        <v>3165</v>
      </c>
      <c r="C1009" t="s">
        <v>2260</v>
      </c>
      <c r="D1009" t="str">
        <f t="shared" si="333"/>
        <v>M and E</v>
      </c>
      <c r="E1009" t="s">
        <v>3004</v>
      </c>
      <c r="F1009" t="s">
        <v>1892</v>
      </c>
      <c r="G1009" t="s">
        <v>3129</v>
      </c>
      <c r="H1009" t="s">
        <v>59</v>
      </c>
      <c r="I1009" s="32" t="s">
        <v>7471</v>
      </c>
      <c r="J1009" s="32">
        <v>45040.26462962963</v>
      </c>
      <c r="K1009" s="32">
        <v>45046.26462962963</v>
      </c>
      <c r="L1009" s="8" t="str">
        <f t="shared" si="334"/>
        <v/>
      </c>
      <c r="M1009" s="7">
        <v>45068.26462962963</v>
      </c>
      <c r="N1009" t="s">
        <v>49</v>
      </c>
      <c r="O1009" s="34">
        <v>45061.26462962963</v>
      </c>
      <c r="P1009" t="s">
        <v>60</v>
      </c>
      <c r="R1009" s="32">
        <v>45067.26462962963</v>
      </c>
      <c r="S1009" t="s">
        <v>61</v>
      </c>
      <c r="T1009" s="34" t="s">
        <v>7476</v>
      </c>
      <c r="U1009" s="34" t="s">
        <v>7476</v>
      </c>
      <c r="V1009" s="32">
        <v>45065.26462962963</v>
      </c>
      <c r="W1009" s="32" t="s">
        <v>7476</v>
      </c>
      <c r="X1009">
        <v>0</v>
      </c>
      <c r="Y1009" s="34" t="s">
        <v>7476</v>
      </c>
      <c r="Z1009" s="34" t="s">
        <v>7476</v>
      </c>
      <c r="AA1009" s="34" t="s">
        <v>7476</v>
      </c>
      <c r="AB1009" s="36" t="s">
        <v>7476</v>
      </c>
      <c r="AD1009" t="s">
        <v>3166</v>
      </c>
      <c r="AE1009" t="s">
        <v>3167</v>
      </c>
      <c r="AF1009" s="16">
        <v>45053</v>
      </c>
      <c r="AG1009" t="s">
        <v>64</v>
      </c>
      <c r="AH1009">
        <v>3</v>
      </c>
      <c r="AK1009" s="38">
        <f t="shared" si="335"/>
        <v>45155.26462962963</v>
      </c>
    </row>
    <row r="1010" spans="1:43" x14ac:dyDescent="0.35">
      <c r="A1010">
        <v>1060</v>
      </c>
      <c r="B1010" t="s">
        <v>3168</v>
      </c>
      <c r="C1010" t="s">
        <v>2287</v>
      </c>
      <c r="D1010" t="str">
        <f t="shared" si="333"/>
        <v>M and E</v>
      </c>
      <c r="E1010" t="s">
        <v>3004</v>
      </c>
      <c r="F1010" t="s">
        <v>1892</v>
      </c>
      <c r="G1010" t="s">
        <v>3129</v>
      </c>
      <c r="H1010" t="s">
        <v>59</v>
      </c>
      <c r="I1010" s="32">
        <v>45159.180486111109</v>
      </c>
      <c r="J1010" s="32">
        <v>45162.180486111109</v>
      </c>
      <c r="K1010" s="32">
        <v>45163.180486111109</v>
      </c>
      <c r="L1010" s="8">
        <f t="shared" si="334"/>
        <v>4</v>
      </c>
      <c r="M1010" s="7">
        <v>45185.180486111109</v>
      </c>
      <c r="N1010" t="s">
        <v>49</v>
      </c>
      <c r="O1010" s="34">
        <v>45174.180486111109</v>
      </c>
      <c r="P1010" t="s">
        <v>101</v>
      </c>
      <c r="R1010" s="32">
        <v>45180.180486111109</v>
      </c>
      <c r="S1010" t="s">
        <v>101</v>
      </c>
      <c r="T1010" s="34">
        <v>45176.180486111109</v>
      </c>
      <c r="U1010" s="34">
        <v>45177.180486111109</v>
      </c>
      <c r="V1010" s="32">
        <v>45176.180486111109</v>
      </c>
      <c r="W1010" s="32">
        <v>45181.180486111109</v>
      </c>
      <c r="X1010">
        <v>1</v>
      </c>
      <c r="Y1010" s="34">
        <v>45185.180486111109</v>
      </c>
      <c r="Z1010" s="34">
        <v>45188.180486111109</v>
      </c>
      <c r="AA1010" s="34">
        <v>45190.180486111109</v>
      </c>
      <c r="AB1010" s="36" t="s">
        <v>7476</v>
      </c>
      <c r="AC1010" s="10">
        <v>45200.180486111109</v>
      </c>
      <c r="AD1010" t="s">
        <v>3169</v>
      </c>
      <c r="AE1010" t="s">
        <v>3170</v>
      </c>
      <c r="AF1010" s="16">
        <v>45164</v>
      </c>
      <c r="AG1010" t="s">
        <v>68</v>
      </c>
      <c r="AH1010">
        <v>3</v>
      </c>
      <c r="AI1010" s="8">
        <f>IFERROR(R1010-AF1010,"")</f>
        <v>16.180486111108621</v>
      </c>
      <c r="AJ1010" s="8">
        <f>IFERROR(O1010-AF1010,"")</f>
        <v>10.180486111108621</v>
      </c>
      <c r="AK1010" s="38">
        <f t="shared" si="335"/>
        <v>45266.180486111109</v>
      </c>
      <c r="AL1010">
        <f>IFERROR(Z1010-W1010,"")</f>
        <v>7</v>
      </c>
      <c r="AM1010">
        <f>IFERROR(R1010-J1010,"")</f>
        <v>18</v>
      </c>
      <c r="AN1010">
        <f>IFERROR(V1010-O1010,"")</f>
        <v>2</v>
      </c>
      <c r="AO1010">
        <f>IFERROR(J1010-I1010,"")</f>
        <v>3</v>
      </c>
      <c r="AP1010">
        <f>IFERROR(AC1010-X1010,"")</f>
        <v>45199.180486111109</v>
      </c>
      <c r="AQ1010">
        <f>IFERROR(AA1010-W1010,"")</f>
        <v>9</v>
      </c>
    </row>
    <row r="1011" spans="1:43" x14ac:dyDescent="0.35">
      <c r="A1011">
        <v>1059</v>
      </c>
      <c r="B1011" t="s">
        <v>3171</v>
      </c>
      <c r="C1011" t="s">
        <v>2260</v>
      </c>
      <c r="D1011" t="str">
        <f t="shared" si="333"/>
        <v>M and E</v>
      </c>
      <c r="E1011" t="s">
        <v>3004</v>
      </c>
      <c r="F1011" t="s">
        <v>1892</v>
      </c>
      <c r="G1011" t="s">
        <v>3129</v>
      </c>
      <c r="H1011" t="s">
        <v>59</v>
      </c>
      <c r="I1011" s="32">
        <v>45159.180486111109</v>
      </c>
      <c r="J1011" s="32">
        <v>45162.180486111109</v>
      </c>
      <c r="K1011" s="32">
        <v>45163.180486111109</v>
      </c>
      <c r="L1011" s="8">
        <f t="shared" si="334"/>
        <v>4</v>
      </c>
      <c r="M1011" s="7">
        <v>45186.180486111109</v>
      </c>
      <c r="N1011" t="s">
        <v>49</v>
      </c>
      <c r="O1011" s="34">
        <v>45180.180486111109</v>
      </c>
      <c r="P1011" t="s">
        <v>101</v>
      </c>
      <c r="R1011" s="32">
        <v>45187.180486111109</v>
      </c>
      <c r="S1011" t="s">
        <v>101</v>
      </c>
      <c r="T1011" s="34">
        <v>45182.180486111109</v>
      </c>
      <c r="U1011" s="34">
        <v>45185.180486111109</v>
      </c>
      <c r="V1011" s="32">
        <v>45183.180486111109</v>
      </c>
      <c r="W1011" s="32">
        <v>45192.180486111109</v>
      </c>
      <c r="X1011">
        <v>1</v>
      </c>
      <c r="Y1011" s="34">
        <v>45196.180486111109</v>
      </c>
      <c r="Z1011" s="34">
        <v>45197.180486111109</v>
      </c>
      <c r="AA1011" s="34">
        <v>45199.180486111109</v>
      </c>
      <c r="AB1011" s="36" t="s">
        <v>7476</v>
      </c>
      <c r="AC1011" s="10">
        <v>45211.180486111109</v>
      </c>
      <c r="AD1011" t="s">
        <v>3172</v>
      </c>
      <c r="AE1011" t="s">
        <v>3173</v>
      </c>
      <c r="AF1011" s="16">
        <v>45169</v>
      </c>
      <c r="AG1011" t="s">
        <v>68</v>
      </c>
      <c r="AH1011">
        <v>6</v>
      </c>
      <c r="AI1011" s="8">
        <f>IFERROR(R1011-AF1011,"")</f>
        <v>18.180486111108621</v>
      </c>
      <c r="AJ1011" s="8">
        <f>IFERROR(O1011-AF1011,"")</f>
        <v>11.180486111108621</v>
      </c>
      <c r="AK1011" s="38">
        <f t="shared" si="335"/>
        <v>45363.180486111109</v>
      </c>
      <c r="AL1011">
        <f>IFERROR(Z1011-W1011,"")</f>
        <v>5</v>
      </c>
      <c r="AM1011">
        <f>IFERROR(R1011-J1011,"")</f>
        <v>25</v>
      </c>
      <c r="AN1011">
        <f>IFERROR(V1011-O1011,"")</f>
        <v>3</v>
      </c>
      <c r="AO1011">
        <f>IFERROR(J1011-I1011,"")</f>
        <v>3</v>
      </c>
      <c r="AP1011">
        <f>IFERROR(AC1011-X1011,"")</f>
        <v>45210.180486111109</v>
      </c>
      <c r="AQ1011">
        <f>IFERROR(AA1011-W1011,"")</f>
        <v>7</v>
      </c>
    </row>
    <row r="1012" spans="1:43" x14ac:dyDescent="0.35">
      <c r="A1012">
        <v>1057</v>
      </c>
      <c r="B1012" t="s">
        <v>3174</v>
      </c>
      <c r="C1012" t="s">
        <v>2260</v>
      </c>
      <c r="D1012" t="str">
        <f t="shared" si="333"/>
        <v>M and E</v>
      </c>
      <c r="E1012" t="s">
        <v>3004</v>
      </c>
      <c r="F1012" t="s">
        <v>1669</v>
      </c>
      <c r="G1012" t="s">
        <v>2407</v>
      </c>
      <c r="H1012" t="s">
        <v>59</v>
      </c>
      <c r="I1012" s="32">
        <v>45157.180486111109</v>
      </c>
      <c r="J1012" s="32">
        <v>45158.180486111109</v>
      </c>
      <c r="K1012" s="32">
        <v>45163.180486111109</v>
      </c>
      <c r="L1012" s="8">
        <f t="shared" si="334"/>
        <v>6</v>
      </c>
      <c r="M1012" s="7">
        <v>45183.180486111109</v>
      </c>
      <c r="N1012" t="s">
        <v>49</v>
      </c>
      <c r="O1012" s="34">
        <v>45172.180486111109</v>
      </c>
      <c r="P1012" t="s">
        <v>50</v>
      </c>
      <c r="Q1012" t="s">
        <v>125</v>
      </c>
      <c r="R1012" s="32" t="s">
        <v>7472</v>
      </c>
      <c r="S1012" t="s">
        <v>7476</v>
      </c>
      <c r="T1012" s="34" t="s">
        <v>7476</v>
      </c>
      <c r="U1012" s="34" t="s">
        <v>7476</v>
      </c>
      <c r="V1012" s="32" t="s">
        <v>7476</v>
      </c>
      <c r="W1012" s="32" t="s">
        <v>7476</v>
      </c>
      <c r="X1012">
        <v>0</v>
      </c>
      <c r="Y1012" s="34" t="s">
        <v>7476</v>
      </c>
      <c r="Z1012" s="34" t="s">
        <v>7476</v>
      </c>
      <c r="AA1012" s="34" t="s">
        <v>7476</v>
      </c>
      <c r="AB1012" s="36" t="s">
        <v>52</v>
      </c>
      <c r="AD1012" t="s">
        <v>3175</v>
      </c>
      <c r="AE1012" t="s">
        <v>3176</v>
      </c>
      <c r="AF1012" s="16">
        <v>45154</v>
      </c>
      <c r="AG1012" t="s">
        <v>64</v>
      </c>
      <c r="AH1012">
        <v>3</v>
      </c>
      <c r="AI1012" s="8" t="str">
        <f>IFERROR(R1012-AF1012,"")</f>
        <v/>
      </c>
      <c r="AJ1012" s="8">
        <f>IFERROR(O1012-AF1012,"")</f>
        <v>18.180486111108621</v>
      </c>
      <c r="AK1012" s="38" t="str">
        <f t="shared" si="335"/>
        <v/>
      </c>
      <c r="AL1012" t="str">
        <f>IFERROR(Z1012-W1012,"")</f>
        <v/>
      </c>
      <c r="AM1012" t="str">
        <f>IFERROR(R1012-J1012,"")</f>
        <v/>
      </c>
      <c r="AN1012" t="str">
        <f>IFERROR(V1012-O1012,"")</f>
        <v/>
      </c>
      <c r="AO1012">
        <f>IFERROR(J1012-I1012,"")</f>
        <v>1</v>
      </c>
      <c r="AP1012">
        <f>IFERROR(AC1012-X1012,"")</f>
        <v>0</v>
      </c>
      <c r="AQ1012" t="str">
        <f>IFERROR(AA1012-W1012,"")</f>
        <v/>
      </c>
    </row>
    <row r="1013" spans="1:43" x14ac:dyDescent="0.35">
      <c r="A1013">
        <v>1056</v>
      </c>
      <c r="B1013" t="s">
        <v>3177</v>
      </c>
      <c r="C1013" t="s">
        <v>2287</v>
      </c>
      <c r="D1013" t="str">
        <f t="shared" si="333"/>
        <v>M and E</v>
      </c>
      <c r="E1013" t="s">
        <v>3004</v>
      </c>
      <c r="F1013" t="s">
        <v>1669</v>
      </c>
      <c r="G1013" t="s">
        <v>2407</v>
      </c>
      <c r="H1013" t="s">
        <v>59</v>
      </c>
      <c r="I1013" s="32" t="s">
        <v>7471</v>
      </c>
      <c r="J1013" s="32" t="s">
        <v>7471</v>
      </c>
      <c r="K1013" s="32">
        <v>45163.180486111109</v>
      </c>
      <c r="L1013" s="8" t="str">
        <f t="shared" si="334"/>
        <v/>
      </c>
      <c r="M1013" s="7">
        <v>45179.180486111109</v>
      </c>
      <c r="N1013" t="s">
        <v>49</v>
      </c>
      <c r="O1013" s="34">
        <v>45172.180486111109</v>
      </c>
      <c r="P1013" t="s">
        <v>50</v>
      </c>
      <c r="Q1013" t="s">
        <v>125</v>
      </c>
      <c r="R1013" s="32" t="s">
        <v>7472</v>
      </c>
      <c r="S1013" t="s">
        <v>7476</v>
      </c>
      <c r="T1013" s="34" t="s">
        <v>7476</v>
      </c>
      <c r="U1013" s="34" t="s">
        <v>7476</v>
      </c>
      <c r="V1013" s="32">
        <v>45174.180486111109</v>
      </c>
      <c r="W1013" s="32" t="s">
        <v>7476</v>
      </c>
      <c r="X1013">
        <v>0</v>
      </c>
      <c r="Y1013" s="34" t="s">
        <v>7476</v>
      </c>
      <c r="Z1013" s="34" t="s">
        <v>7476</v>
      </c>
      <c r="AA1013" s="34" t="s">
        <v>7476</v>
      </c>
      <c r="AB1013" s="36" t="s">
        <v>52</v>
      </c>
      <c r="AD1013" t="s">
        <v>3178</v>
      </c>
      <c r="AE1013" t="s">
        <v>3179</v>
      </c>
      <c r="AF1013" s="16">
        <v>45155</v>
      </c>
      <c r="AG1013" t="s">
        <v>55</v>
      </c>
      <c r="AH1013">
        <v>6</v>
      </c>
      <c r="AK1013" s="38">
        <f t="shared" si="335"/>
        <v>45354.180486111109</v>
      </c>
    </row>
    <row r="1014" spans="1:43" x14ac:dyDescent="0.35">
      <c r="A1014">
        <v>1009</v>
      </c>
      <c r="B1014" t="s">
        <v>3180</v>
      </c>
      <c r="C1014" t="s">
        <v>2260</v>
      </c>
      <c r="D1014" t="str">
        <f t="shared" si="333"/>
        <v>M and E</v>
      </c>
      <c r="E1014" t="s">
        <v>3004</v>
      </c>
      <c r="F1014" t="s">
        <v>1669</v>
      </c>
      <c r="G1014" t="s">
        <v>2407</v>
      </c>
      <c r="H1014" t="s">
        <v>59</v>
      </c>
      <c r="I1014" s="32">
        <v>44916.68855324074</v>
      </c>
      <c r="J1014" s="32">
        <v>44918.68855324074</v>
      </c>
      <c r="K1014" s="32">
        <v>44923.68855324074</v>
      </c>
      <c r="L1014" s="8">
        <f t="shared" si="334"/>
        <v>7</v>
      </c>
      <c r="M1014" s="7">
        <v>44939.68855324074</v>
      </c>
      <c r="N1014" t="s">
        <v>49</v>
      </c>
      <c r="O1014" s="34">
        <v>44925.68855324074</v>
      </c>
      <c r="P1014" t="s">
        <v>50</v>
      </c>
      <c r="Q1014" t="s">
        <v>236</v>
      </c>
      <c r="R1014" s="32" t="s">
        <v>7472</v>
      </c>
      <c r="S1014" t="s">
        <v>7476</v>
      </c>
      <c r="T1014" s="34" t="s">
        <v>7476</v>
      </c>
      <c r="U1014" s="34" t="s">
        <v>7476</v>
      </c>
      <c r="V1014" s="32">
        <v>44928.68855324074</v>
      </c>
      <c r="W1014" s="32" t="s">
        <v>7476</v>
      </c>
      <c r="X1014">
        <v>0</v>
      </c>
      <c r="Y1014" s="34" t="s">
        <v>7476</v>
      </c>
      <c r="Z1014" s="34" t="s">
        <v>7476</v>
      </c>
      <c r="AA1014" s="34" t="s">
        <v>7476</v>
      </c>
      <c r="AB1014" s="36" t="s">
        <v>95</v>
      </c>
      <c r="AD1014" t="s">
        <v>3181</v>
      </c>
      <c r="AE1014" t="s">
        <v>3182</v>
      </c>
      <c r="AF1014" s="16">
        <v>44914</v>
      </c>
      <c r="AG1014" t="s">
        <v>68</v>
      </c>
      <c r="AH1014">
        <v>3</v>
      </c>
      <c r="AI1014" s="8" t="str">
        <f>IFERROR(R1014-AF1014,"")</f>
        <v/>
      </c>
      <c r="AJ1014" s="8">
        <f>IFERROR(O1014-AF1014,"")</f>
        <v>11.688553240739566</v>
      </c>
      <c r="AK1014" s="38">
        <f t="shared" si="335"/>
        <v>45018.68855324074</v>
      </c>
      <c r="AL1014" t="str">
        <f>IFERROR(Z1014-W1014,"")</f>
        <v/>
      </c>
      <c r="AM1014" t="str">
        <f>IFERROR(R1014-J1014,"")</f>
        <v/>
      </c>
      <c r="AN1014">
        <f>IFERROR(V1014-O1014,"")</f>
        <v>3</v>
      </c>
      <c r="AO1014">
        <f>IFERROR(J1014-I1014,"")</f>
        <v>2</v>
      </c>
      <c r="AP1014">
        <f>IFERROR(AC1014-X1014,"")</f>
        <v>0</v>
      </c>
      <c r="AQ1014" t="str">
        <f>IFERROR(AA1014-W1014,"")</f>
        <v/>
      </c>
    </row>
    <row r="1015" spans="1:43" x14ac:dyDescent="0.35">
      <c r="A1015">
        <v>1008</v>
      </c>
      <c r="B1015" t="s">
        <v>3183</v>
      </c>
      <c r="C1015" t="s">
        <v>2260</v>
      </c>
      <c r="D1015" t="str">
        <f t="shared" si="333"/>
        <v>M and E</v>
      </c>
      <c r="E1015" t="s">
        <v>3004</v>
      </c>
      <c r="F1015" t="s">
        <v>1669</v>
      </c>
      <c r="G1015" t="s">
        <v>2407</v>
      </c>
      <c r="H1015" t="s">
        <v>59</v>
      </c>
      <c r="I1015" s="32">
        <v>44915.68855324074</v>
      </c>
      <c r="J1015" s="32">
        <v>44919.68855324074</v>
      </c>
      <c r="K1015" s="32">
        <v>44923.68855324074</v>
      </c>
      <c r="L1015" s="8">
        <f t="shared" si="334"/>
        <v>8</v>
      </c>
      <c r="M1015" s="7">
        <v>44944.68855324074</v>
      </c>
      <c r="N1015" t="s">
        <v>72</v>
      </c>
      <c r="O1015" s="34" t="s">
        <v>7474</v>
      </c>
      <c r="R1015" s="32" t="s">
        <v>7472</v>
      </c>
      <c r="S1015" t="s">
        <v>7476</v>
      </c>
      <c r="T1015" s="34" t="s">
        <v>7476</v>
      </c>
      <c r="U1015" s="34" t="s">
        <v>7476</v>
      </c>
      <c r="V1015" s="32" t="s">
        <v>7476</v>
      </c>
      <c r="W1015" s="32" t="s">
        <v>7476</v>
      </c>
      <c r="X1015">
        <v>0</v>
      </c>
      <c r="Y1015" s="34" t="s">
        <v>7476</v>
      </c>
      <c r="Z1015" s="34" t="s">
        <v>7476</v>
      </c>
      <c r="AA1015" s="34" t="s">
        <v>7476</v>
      </c>
      <c r="AB1015" s="36" t="s">
        <v>7476</v>
      </c>
      <c r="AD1015" t="s">
        <v>3184</v>
      </c>
      <c r="AE1015" t="s">
        <v>3185</v>
      </c>
      <c r="AG1015" t="s">
        <v>64</v>
      </c>
      <c r="AH1015">
        <v>3</v>
      </c>
      <c r="AI1015" s="8" t="str">
        <f>IFERROR(R1015-AF1015,"")</f>
        <v/>
      </c>
      <c r="AJ1015" s="8" t="str">
        <f>IFERROR(O1015-AF1015,"")</f>
        <v/>
      </c>
      <c r="AK1015" s="38" t="str">
        <f t="shared" si="335"/>
        <v/>
      </c>
      <c r="AL1015" t="str">
        <f>IFERROR(Z1015-W1015,"")</f>
        <v/>
      </c>
      <c r="AM1015" t="str">
        <f>IFERROR(R1015-J1015,"")</f>
        <v/>
      </c>
      <c r="AN1015" t="str">
        <f>IFERROR(V1015-O1015,"")</f>
        <v/>
      </c>
      <c r="AO1015">
        <f>IFERROR(J1015-I1015,"")</f>
        <v>4</v>
      </c>
      <c r="AP1015">
        <f>IFERROR(AC1015-X1015,"")</f>
        <v>0</v>
      </c>
      <c r="AQ1015" t="str">
        <f>IFERROR(AA1015-W1015,"")</f>
        <v/>
      </c>
    </row>
    <row r="1016" spans="1:43" x14ac:dyDescent="0.35">
      <c r="A1016">
        <v>987</v>
      </c>
      <c r="B1016" t="s">
        <v>3186</v>
      </c>
      <c r="C1016" t="s">
        <v>2287</v>
      </c>
      <c r="D1016" t="str">
        <f t="shared" si="333"/>
        <v>M and E</v>
      </c>
      <c r="E1016" t="s">
        <v>3004</v>
      </c>
      <c r="F1016" t="s">
        <v>1669</v>
      </c>
      <c r="G1016" t="s">
        <v>2407</v>
      </c>
      <c r="H1016" t="s">
        <v>59</v>
      </c>
      <c r="I1016" s="32">
        <v>44795.241203703707</v>
      </c>
      <c r="J1016" s="32">
        <v>44798.241203703707</v>
      </c>
      <c r="K1016" s="32">
        <v>44803.241203703707</v>
      </c>
      <c r="L1016" s="8">
        <f t="shared" si="334"/>
        <v>8</v>
      </c>
      <c r="M1016" s="7">
        <v>44817.241203703707</v>
      </c>
      <c r="N1016" t="s">
        <v>49</v>
      </c>
      <c r="O1016" s="34">
        <v>44818.241203703707</v>
      </c>
      <c r="P1016" t="s">
        <v>60</v>
      </c>
      <c r="R1016" s="32">
        <v>44824.241203703707</v>
      </c>
      <c r="S1016" t="s">
        <v>61</v>
      </c>
      <c r="T1016" s="34" t="s">
        <v>7476</v>
      </c>
      <c r="U1016" s="34" t="s">
        <v>7476</v>
      </c>
      <c r="V1016" s="32">
        <v>44820.241203703707</v>
      </c>
      <c r="W1016" s="32" t="s">
        <v>7476</v>
      </c>
      <c r="X1016">
        <v>0</v>
      </c>
      <c r="Y1016" s="34" t="s">
        <v>7476</v>
      </c>
      <c r="Z1016" s="34" t="s">
        <v>7476</v>
      </c>
      <c r="AA1016" s="34" t="s">
        <v>7476</v>
      </c>
      <c r="AB1016" s="36" t="s">
        <v>7476</v>
      </c>
      <c r="AD1016" t="s">
        <v>3187</v>
      </c>
      <c r="AE1016" t="s">
        <v>3188</v>
      </c>
      <c r="AF1016" s="16">
        <v>44809</v>
      </c>
      <c r="AG1016" t="s">
        <v>98</v>
      </c>
      <c r="AH1016">
        <v>6</v>
      </c>
      <c r="AI1016" s="8">
        <f>IFERROR(R1016-AF1016,"")</f>
        <v>15.24120370370656</v>
      </c>
      <c r="AJ1016" s="8">
        <f>IFERROR(O1016-AF1016,"")</f>
        <v>9.2412037037065602</v>
      </c>
      <c r="AK1016" s="38">
        <f t="shared" si="335"/>
        <v>45000.241203703707</v>
      </c>
      <c r="AL1016" t="str">
        <f>IFERROR(Z1016-W1016,"")</f>
        <v/>
      </c>
      <c r="AM1016">
        <f>IFERROR(R1016-J1016,"")</f>
        <v>26</v>
      </c>
      <c r="AN1016">
        <f>IFERROR(V1016-O1016,"")</f>
        <v>2</v>
      </c>
      <c r="AO1016">
        <f>IFERROR(J1016-I1016,"")</f>
        <v>3</v>
      </c>
      <c r="AP1016">
        <f>IFERROR(AC1016-X1016,"")</f>
        <v>0</v>
      </c>
      <c r="AQ1016" t="str">
        <f>IFERROR(AA1016-W1016,"")</f>
        <v/>
      </c>
    </row>
    <row r="1017" spans="1:43" x14ac:dyDescent="0.35">
      <c r="A1017">
        <v>981</v>
      </c>
      <c r="B1017" t="s">
        <v>3189</v>
      </c>
      <c r="C1017" t="s">
        <v>2287</v>
      </c>
      <c r="D1017" t="str">
        <f t="shared" si="333"/>
        <v>M and E</v>
      </c>
      <c r="E1017" t="s">
        <v>3004</v>
      </c>
      <c r="F1017" t="s">
        <v>1669</v>
      </c>
      <c r="G1017" t="s">
        <v>2407</v>
      </c>
      <c r="H1017" t="s">
        <v>59</v>
      </c>
      <c r="I1017" s="32">
        <v>44794.241203703707</v>
      </c>
      <c r="J1017" s="32">
        <v>44798.241203703707</v>
      </c>
      <c r="K1017" s="32">
        <v>44803.241203703707</v>
      </c>
      <c r="L1017" s="8">
        <f t="shared" si="334"/>
        <v>9</v>
      </c>
      <c r="M1017" s="7">
        <v>44824.241203703707</v>
      </c>
      <c r="N1017" t="s">
        <v>49</v>
      </c>
      <c r="O1017" s="34">
        <v>44820.241203703707</v>
      </c>
      <c r="P1017" t="s">
        <v>60</v>
      </c>
      <c r="R1017" s="32">
        <v>44825.241203703707</v>
      </c>
      <c r="S1017" t="s">
        <v>61</v>
      </c>
      <c r="T1017" s="34" t="s">
        <v>7476</v>
      </c>
      <c r="U1017" s="34" t="s">
        <v>7476</v>
      </c>
      <c r="V1017" s="32">
        <v>44821.241203703707</v>
      </c>
      <c r="W1017" s="32" t="s">
        <v>7476</v>
      </c>
      <c r="X1017">
        <v>0</v>
      </c>
      <c r="Y1017" s="34" t="s">
        <v>7476</v>
      </c>
      <c r="Z1017" s="34" t="s">
        <v>7476</v>
      </c>
      <c r="AA1017" s="34" t="s">
        <v>7476</v>
      </c>
      <c r="AB1017" s="36" t="s">
        <v>7476</v>
      </c>
      <c r="AD1017" t="s">
        <v>3190</v>
      </c>
      <c r="AE1017" t="s">
        <v>3191</v>
      </c>
      <c r="AF1017" s="16">
        <v>44811</v>
      </c>
      <c r="AG1017" t="s">
        <v>64</v>
      </c>
      <c r="AH1017">
        <v>3</v>
      </c>
      <c r="AI1017" s="8">
        <f>IFERROR(R1017-AF1017,"")</f>
        <v>14.24120370370656</v>
      </c>
      <c r="AJ1017" s="8">
        <f>IFERROR(O1017-AF1017,"")</f>
        <v>9.2412037037065602</v>
      </c>
      <c r="AK1017" s="38">
        <f t="shared" si="335"/>
        <v>44911.241203703707</v>
      </c>
      <c r="AL1017" t="str">
        <f>IFERROR(Z1017-W1017,"")</f>
        <v/>
      </c>
      <c r="AM1017">
        <f>IFERROR(R1017-J1017,"")</f>
        <v>27</v>
      </c>
      <c r="AN1017">
        <f>IFERROR(V1017-O1017,"")</f>
        <v>1</v>
      </c>
      <c r="AO1017">
        <f>IFERROR(J1017-I1017,"")</f>
        <v>4</v>
      </c>
      <c r="AP1017">
        <f>IFERROR(AC1017-X1017,"")</f>
        <v>0</v>
      </c>
      <c r="AQ1017" t="str">
        <f>IFERROR(AA1017-W1017,"")</f>
        <v/>
      </c>
    </row>
    <row r="1018" spans="1:43" x14ac:dyDescent="0.35">
      <c r="A1018">
        <v>872</v>
      </c>
      <c r="B1018" t="s">
        <v>3192</v>
      </c>
      <c r="C1018" t="s">
        <v>2325</v>
      </c>
      <c r="D1018" t="str">
        <f t="shared" si="333"/>
        <v>M and E</v>
      </c>
      <c r="E1018" t="s">
        <v>3004</v>
      </c>
      <c r="F1018" t="s">
        <v>1669</v>
      </c>
      <c r="G1018" t="s">
        <v>2407</v>
      </c>
      <c r="H1018" t="s">
        <v>59</v>
      </c>
      <c r="I1018" s="32">
        <v>44760.80777777778</v>
      </c>
      <c r="J1018" s="32">
        <v>44764.80777777778</v>
      </c>
      <c r="K1018" s="32">
        <v>44768.80777777778</v>
      </c>
      <c r="L1018" s="8">
        <f t="shared" si="334"/>
        <v>8</v>
      </c>
      <c r="M1018" s="7">
        <v>44784.80777777778</v>
      </c>
      <c r="N1018" t="s">
        <v>49</v>
      </c>
      <c r="O1018" s="34">
        <v>44770.80777777778</v>
      </c>
      <c r="P1018" t="s">
        <v>60</v>
      </c>
      <c r="R1018" s="32">
        <v>44774.80777777778</v>
      </c>
      <c r="S1018" t="s">
        <v>61</v>
      </c>
      <c r="T1018" s="34" t="s">
        <v>7476</v>
      </c>
      <c r="U1018" s="34" t="s">
        <v>7476</v>
      </c>
      <c r="V1018" s="32">
        <v>44772.80777777778</v>
      </c>
      <c r="W1018" s="32" t="s">
        <v>7476</v>
      </c>
      <c r="X1018">
        <v>0</v>
      </c>
      <c r="Y1018" s="34" t="s">
        <v>7476</v>
      </c>
      <c r="Z1018" s="34" t="s">
        <v>7476</v>
      </c>
      <c r="AA1018" s="34" t="s">
        <v>7476</v>
      </c>
      <c r="AB1018" s="36" t="s">
        <v>7476</v>
      </c>
      <c r="AD1018" t="s">
        <v>3193</v>
      </c>
      <c r="AE1018" t="s">
        <v>3194</v>
      </c>
      <c r="AF1018" s="16">
        <v>44765</v>
      </c>
      <c r="AG1018" t="s">
        <v>64</v>
      </c>
      <c r="AH1018">
        <v>6</v>
      </c>
      <c r="AI1018" s="8">
        <f>IFERROR(R1018-AF1018,"")</f>
        <v>9.8077777777798474</v>
      </c>
      <c r="AJ1018" s="8">
        <f>IFERROR(O1018-AF1018,"")</f>
        <v>5.8077777777798474</v>
      </c>
      <c r="AK1018" s="38">
        <f t="shared" si="335"/>
        <v>44952.80777777778</v>
      </c>
      <c r="AL1018" t="str">
        <f>IFERROR(Z1018-W1018,"")</f>
        <v/>
      </c>
      <c r="AM1018">
        <f>IFERROR(R1018-J1018,"")</f>
        <v>10</v>
      </c>
      <c r="AN1018">
        <f>IFERROR(V1018-O1018,"")</f>
        <v>2</v>
      </c>
      <c r="AO1018">
        <f>IFERROR(J1018-I1018,"")</f>
        <v>4</v>
      </c>
      <c r="AP1018">
        <f>IFERROR(AC1018-X1018,"")</f>
        <v>0</v>
      </c>
      <c r="AQ1018" t="str">
        <f>IFERROR(AA1018-W1018,"")</f>
        <v/>
      </c>
    </row>
    <row r="1019" spans="1:43" x14ac:dyDescent="0.35">
      <c r="A1019">
        <v>760</v>
      </c>
      <c r="B1019" t="s">
        <v>3195</v>
      </c>
      <c r="C1019" t="s">
        <v>2260</v>
      </c>
      <c r="D1019" t="str">
        <f t="shared" si="333"/>
        <v>M and E</v>
      </c>
      <c r="E1019" t="s">
        <v>3004</v>
      </c>
      <c r="F1019" t="s">
        <v>1669</v>
      </c>
      <c r="G1019" t="s">
        <v>2407</v>
      </c>
      <c r="H1019" t="s">
        <v>59</v>
      </c>
      <c r="I1019" s="32">
        <v>44942.883877314824</v>
      </c>
      <c r="J1019" s="32">
        <v>44943.883877314824</v>
      </c>
      <c r="K1019" s="32" t="s">
        <v>7473</v>
      </c>
      <c r="L1019" s="8" t="str">
        <f t="shared" si="334"/>
        <v/>
      </c>
      <c r="M1019" s="7">
        <v>44954.883877314824</v>
      </c>
      <c r="N1019" t="s">
        <v>49</v>
      </c>
      <c r="O1019" s="34">
        <v>44960.883877314824</v>
      </c>
      <c r="P1019" t="s">
        <v>392</v>
      </c>
      <c r="R1019" s="32">
        <v>44964.883877314824</v>
      </c>
      <c r="S1019" t="s">
        <v>392</v>
      </c>
      <c r="T1019" s="34" t="s">
        <v>7476</v>
      </c>
      <c r="U1019" s="34" t="s">
        <v>7476</v>
      </c>
      <c r="V1019" s="32">
        <v>44962.883877314824</v>
      </c>
      <c r="W1019" s="32" t="s">
        <v>7476</v>
      </c>
      <c r="X1019">
        <v>0</v>
      </c>
      <c r="Y1019" s="34" t="s">
        <v>7476</v>
      </c>
      <c r="Z1019" s="34" t="s">
        <v>7476</v>
      </c>
      <c r="AA1019" s="34" t="s">
        <v>7476</v>
      </c>
      <c r="AB1019" s="36" t="s">
        <v>7476</v>
      </c>
      <c r="AD1019" t="s">
        <v>3196</v>
      </c>
      <c r="AE1019" t="s">
        <v>3197</v>
      </c>
      <c r="AF1019" s="16">
        <v>44955</v>
      </c>
      <c r="AG1019" t="s">
        <v>75</v>
      </c>
      <c r="AH1019">
        <v>3</v>
      </c>
      <c r="AK1019" s="38">
        <f t="shared" si="335"/>
        <v>45052.883877314824</v>
      </c>
    </row>
    <row r="1020" spans="1:43" x14ac:dyDescent="0.35">
      <c r="A1020">
        <v>757</v>
      </c>
      <c r="B1020" t="s">
        <v>3198</v>
      </c>
      <c r="C1020" t="s">
        <v>2260</v>
      </c>
      <c r="D1020" t="str">
        <f t="shared" si="333"/>
        <v>M and E</v>
      </c>
      <c r="E1020" t="s">
        <v>3004</v>
      </c>
      <c r="F1020" t="s">
        <v>1669</v>
      </c>
      <c r="G1020" t="s">
        <v>2407</v>
      </c>
      <c r="H1020" t="s">
        <v>59</v>
      </c>
      <c r="I1020" s="32">
        <v>44943.883877314824</v>
      </c>
      <c r="J1020" s="32">
        <v>44945.883877314824</v>
      </c>
      <c r="K1020" s="32">
        <v>44947.883877314824</v>
      </c>
      <c r="L1020" s="8">
        <f t="shared" si="334"/>
        <v>4</v>
      </c>
      <c r="M1020" s="7">
        <v>44972.883877314824</v>
      </c>
      <c r="N1020" t="s">
        <v>72</v>
      </c>
      <c r="O1020" s="34" t="s">
        <v>7474</v>
      </c>
      <c r="R1020" s="32" t="s">
        <v>7472</v>
      </c>
      <c r="S1020" t="s">
        <v>7476</v>
      </c>
      <c r="T1020" s="34" t="s">
        <v>7476</v>
      </c>
      <c r="U1020" s="34" t="s">
        <v>7476</v>
      </c>
      <c r="V1020" s="32" t="s">
        <v>7476</v>
      </c>
      <c r="W1020" s="32" t="s">
        <v>7476</v>
      </c>
      <c r="X1020">
        <v>0</v>
      </c>
      <c r="Y1020" s="34" t="s">
        <v>7476</v>
      </c>
      <c r="Z1020" s="34" t="s">
        <v>7476</v>
      </c>
      <c r="AA1020" s="34" t="s">
        <v>7476</v>
      </c>
      <c r="AB1020" s="36" t="s">
        <v>7476</v>
      </c>
      <c r="AD1020" t="s">
        <v>3199</v>
      </c>
      <c r="AE1020" t="s">
        <v>3200</v>
      </c>
      <c r="AG1020" t="s">
        <v>64</v>
      </c>
      <c r="AH1020">
        <v>3</v>
      </c>
      <c r="AI1020" s="8" t="str">
        <f t="shared" ref="AI1020:AI1029" si="360">IFERROR(R1020-AF1020,"")</f>
        <v/>
      </c>
      <c r="AJ1020" s="8" t="str">
        <f t="shared" ref="AJ1020:AJ1029" si="361">IFERROR(O1020-AF1020,"")</f>
        <v/>
      </c>
      <c r="AK1020" s="38" t="str">
        <f t="shared" si="335"/>
        <v/>
      </c>
      <c r="AL1020" t="str">
        <f t="shared" ref="AL1020:AL1029" si="362">IFERROR(Z1020-W1020,"")</f>
        <v/>
      </c>
      <c r="AM1020" t="str">
        <f t="shared" ref="AM1020:AM1029" si="363">IFERROR(R1020-J1020,"")</f>
        <v/>
      </c>
      <c r="AN1020" t="str">
        <f t="shared" ref="AN1020:AN1029" si="364">IFERROR(V1020-O1020,"")</f>
        <v/>
      </c>
      <c r="AO1020">
        <f t="shared" ref="AO1020:AO1029" si="365">IFERROR(J1020-I1020,"")</f>
        <v>2</v>
      </c>
      <c r="AP1020">
        <f t="shared" ref="AP1020:AP1029" si="366">IFERROR(AC1020-X1020,"")</f>
        <v>0</v>
      </c>
      <c r="AQ1020" t="str">
        <f t="shared" ref="AQ1020:AQ1029" si="367">IFERROR(AA1020-W1020,"")</f>
        <v/>
      </c>
    </row>
    <row r="1021" spans="1:43" x14ac:dyDescent="0.35">
      <c r="A1021">
        <v>751</v>
      </c>
      <c r="B1021" t="s">
        <v>3201</v>
      </c>
      <c r="C1021" t="s">
        <v>2260</v>
      </c>
      <c r="D1021" t="str">
        <f t="shared" si="333"/>
        <v>M and E</v>
      </c>
      <c r="E1021" t="s">
        <v>3004</v>
      </c>
      <c r="F1021" t="s">
        <v>1669</v>
      </c>
      <c r="G1021" t="s">
        <v>2407</v>
      </c>
      <c r="H1021" t="s">
        <v>59</v>
      </c>
      <c r="I1021" s="32">
        <v>44937.883877314824</v>
      </c>
      <c r="J1021" s="32">
        <v>44941.883877314824</v>
      </c>
      <c r="K1021" s="32">
        <v>44947.883877314824</v>
      </c>
      <c r="L1021" s="8">
        <f t="shared" si="334"/>
        <v>10</v>
      </c>
      <c r="M1021" s="7">
        <v>44968.883877314824</v>
      </c>
      <c r="N1021" t="s">
        <v>49</v>
      </c>
      <c r="O1021" s="34">
        <v>44962.883877314824</v>
      </c>
      <c r="P1021" t="s">
        <v>60</v>
      </c>
      <c r="R1021" s="32">
        <v>44967.883877314824</v>
      </c>
      <c r="S1021" t="s">
        <v>61</v>
      </c>
      <c r="T1021" s="34" t="s">
        <v>7476</v>
      </c>
      <c r="U1021" s="34" t="s">
        <v>7476</v>
      </c>
      <c r="V1021" s="32">
        <v>44964.883877314824</v>
      </c>
      <c r="W1021" s="32" t="s">
        <v>7476</v>
      </c>
      <c r="X1021">
        <v>0</v>
      </c>
      <c r="Y1021" s="34" t="s">
        <v>7476</v>
      </c>
      <c r="Z1021" s="34" t="s">
        <v>7476</v>
      </c>
      <c r="AA1021" s="34" t="s">
        <v>7476</v>
      </c>
      <c r="AB1021" s="36" t="s">
        <v>7476</v>
      </c>
      <c r="AD1021" t="s">
        <v>3202</v>
      </c>
      <c r="AE1021" t="s">
        <v>3203</v>
      </c>
      <c r="AF1021" s="16">
        <v>44956</v>
      </c>
      <c r="AG1021" t="s">
        <v>98</v>
      </c>
      <c r="AH1021">
        <v>3</v>
      </c>
      <c r="AI1021" s="8">
        <f t="shared" si="360"/>
        <v>11.883877314823621</v>
      </c>
      <c r="AJ1021" s="8">
        <f t="shared" si="361"/>
        <v>6.8838773148236214</v>
      </c>
      <c r="AK1021" s="38">
        <f t="shared" si="335"/>
        <v>45054.883877314824</v>
      </c>
      <c r="AL1021" t="str">
        <f t="shared" si="362"/>
        <v/>
      </c>
      <c r="AM1021">
        <f t="shared" si="363"/>
        <v>26</v>
      </c>
      <c r="AN1021">
        <f t="shared" si="364"/>
        <v>2</v>
      </c>
      <c r="AO1021">
        <f t="shared" si="365"/>
        <v>4</v>
      </c>
      <c r="AP1021">
        <f t="shared" si="366"/>
        <v>0</v>
      </c>
      <c r="AQ1021" t="str">
        <f t="shared" si="367"/>
        <v/>
      </c>
    </row>
    <row r="1022" spans="1:43" x14ac:dyDescent="0.35">
      <c r="A1022">
        <v>694</v>
      </c>
      <c r="B1022" t="s">
        <v>3204</v>
      </c>
      <c r="C1022" t="s">
        <v>2287</v>
      </c>
      <c r="D1022" t="str">
        <f t="shared" si="333"/>
        <v>M and E</v>
      </c>
      <c r="E1022" t="s">
        <v>3004</v>
      </c>
      <c r="F1022" t="s">
        <v>1669</v>
      </c>
      <c r="G1022" t="s">
        <v>2407</v>
      </c>
      <c r="H1022" t="s">
        <v>59</v>
      </c>
      <c r="I1022" s="32">
        <v>44868.289201388892</v>
      </c>
      <c r="J1022" s="32">
        <v>44870.289201388892</v>
      </c>
      <c r="K1022" s="32">
        <v>44875.289201388892</v>
      </c>
      <c r="L1022" s="8">
        <f t="shared" si="334"/>
        <v>7</v>
      </c>
      <c r="M1022" s="7">
        <v>44896.289201388892</v>
      </c>
      <c r="N1022" t="s">
        <v>49</v>
      </c>
      <c r="O1022" s="34">
        <v>44883.289201388892</v>
      </c>
      <c r="P1022" t="s">
        <v>101</v>
      </c>
      <c r="R1022" s="32">
        <v>44888.289201388892</v>
      </c>
      <c r="S1022" t="s">
        <v>101</v>
      </c>
      <c r="T1022" s="34">
        <v>44884.289201388892</v>
      </c>
      <c r="U1022" s="34">
        <v>44885.289201388892</v>
      </c>
      <c r="V1022" s="32">
        <v>44886.289201388892</v>
      </c>
      <c r="W1022" s="32">
        <v>44894.289201388892</v>
      </c>
      <c r="X1022">
        <v>1</v>
      </c>
      <c r="Y1022" s="34">
        <v>44896.289201388892</v>
      </c>
      <c r="Z1022" s="34">
        <v>44897.289201388892</v>
      </c>
      <c r="AA1022" s="34">
        <v>44900.289201388892</v>
      </c>
      <c r="AB1022" s="36" t="s">
        <v>7476</v>
      </c>
      <c r="AC1022" s="10">
        <v>44910.289201388892</v>
      </c>
      <c r="AD1022" t="s">
        <v>3205</v>
      </c>
      <c r="AE1022" t="s">
        <v>3206</v>
      </c>
      <c r="AF1022" s="16">
        <v>44872</v>
      </c>
      <c r="AG1022" t="s">
        <v>98</v>
      </c>
      <c r="AH1022">
        <v>6</v>
      </c>
      <c r="AI1022" s="8">
        <f t="shared" si="360"/>
        <v>16.289201388892252</v>
      </c>
      <c r="AJ1022" s="8">
        <f t="shared" si="361"/>
        <v>11.289201388892252</v>
      </c>
      <c r="AK1022" s="38">
        <f t="shared" si="335"/>
        <v>45066.289201388892</v>
      </c>
      <c r="AL1022">
        <f t="shared" si="362"/>
        <v>3</v>
      </c>
      <c r="AM1022">
        <f t="shared" si="363"/>
        <v>18</v>
      </c>
      <c r="AN1022">
        <f t="shared" si="364"/>
        <v>3</v>
      </c>
      <c r="AO1022">
        <f t="shared" si="365"/>
        <v>2</v>
      </c>
      <c r="AP1022">
        <f t="shared" si="366"/>
        <v>44909.289201388892</v>
      </c>
      <c r="AQ1022">
        <f t="shared" si="367"/>
        <v>6</v>
      </c>
    </row>
    <row r="1023" spans="1:43" x14ac:dyDescent="0.35">
      <c r="A1023">
        <v>650</v>
      </c>
      <c r="B1023" t="s">
        <v>3207</v>
      </c>
      <c r="C1023" t="s">
        <v>2325</v>
      </c>
      <c r="D1023" t="str">
        <f t="shared" si="333"/>
        <v>M and E</v>
      </c>
      <c r="E1023" t="s">
        <v>3004</v>
      </c>
      <c r="F1023" t="s">
        <v>1669</v>
      </c>
      <c r="G1023" t="s">
        <v>2407</v>
      </c>
      <c r="H1023" t="s">
        <v>59</v>
      </c>
      <c r="I1023" s="32">
        <v>44782.760729166657</v>
      </c>
      <c r="J1023" s="32">
        <v>44786.760729166657</v>
      </c>
      <c r="K1023" s="32">
        <v>44788.760729166657</v>
      </c>
      <c r="L1023" s="8">
        <f t="shared" si="334"/>
        <v>6</v>
      </c>
      <c r="M1023" s="7">
        <v>44803.760729166657</v>
      </c>
      <c r="N1023" t="s">
        <v>49</v>
      </c>
      <c r="O1023" s="34">
        <v>44792.760729166657</v>
      </c>
      <c r="P1023" t="s">
        <v>50</v>
      </c>
      <c r="Q1023" t="s">
        <v>51</v>
      </c>
      <c r="R1023" s="32" t="s">
        <v>7472</v>
      </c>
      <c r="S1023" t="s">
        <v>7476</v>
      </c>
      <c r="T1023" s="34" t="s">
        <v>7476</v>
      </c>
      <c r="U1023" s="34" t="s">
        <v>7476</v>
      </c>
      <c r="V1023" s="32" t="s">
        <v>7476</v>
      </c>
      <c r="W1023" s="32" t="s">
        <v>7476</v>
      </c>
      <c r="X1023">
        <v>0</v>
      </c>
      <c r="Y1023" s="34" t="s">
        <v>7476</v>
      </c>
      <c r="Z1023" s="34" t="s">
        <v>7476</v>
      </c>
      <c r="AA1023" s="34" t="s">
        <v>7476</v>
      </c>
      <c r="AB1023" s="36" t="s">
        <v>95</v>
      </c>
      <c r="AD1023" t="s">
        <v>3208</v>
      </c>
      <c r="AE1023" t="s">
        <v>3209</v>
      </c>
      <c r="AF1023" s="16">
        <v>44842</v>
      </c>
      <c r="AG1023" t="s">
        <v>68</v>
      </c>
      <c r="AH1023">
        <v>6</v>
      </c>
      <c r="AI1023" s="8" t="str">
        <f t="shared" si="360"/>
        <v/>
      </c>
      <c r="AJ1023" s="8">
        <f t="shared" si="361"/>
        <v>-49.239270833342744</v>
      </c>
      <c r="AK1023" s="38" t="str">
        <f t="shared" si="335"/>
        <v/>
      </c>
      <c r="AL1023" t="str">
        <f t="shared" si="362"/>
        <v/>
      </c>
      <c r="AM1023" t="str">
        <f t="shared" si="363"/>
        <v/>
      </c>
      <c r="AN1023" t="str">
        <f t="shared" si="364"/>
        <v/>
      </c>
      <c r="AO1023">
        <f t="shared" si="365"/>
        <v>4</v>
      </c>
      <c r="AP1023">
        <f t="shared" si="366"/>
        <v>0</v>
      </c>
      <c r="AQ1023" t="str">
        <f t="shared" si="367"/>
        <v/>
      </c>
    </row>
    <row r="1024" spans="1:43" x14ac:dyDescent="0.35">
      <c r="A1024">
        <v>588</v>
      </c>
      <c r="B1024" t="s">
        <v>3210</v>
      </c>
      <c r="C1024" t="s">
        <v>2325</v>
      </c>
      <c r="D1024" t="str">
        <f t="shared" si="333"/>
        <v>M and E</v>
      </c>
      <c r="E1024" t="s">
        <v>3004</v>
      </c>
      <c r="F1024" t="s">
        <v>1669</v>
      </c>
      <c r="G1024" t="s">
        <v>2407</v>
      </c>
      <c r="H1024" t="s">
        <v>59</v>
      </c>
      <c r="I1024" s="32">
        <v>44894.41333333333</v>
      </c>
      <c r="J1024" s="32">
        <v>44895.41333333333</v>
      </c>
      <c r="K1024" s="32">
        <v>44896.41333333333</v>
      </c>
      <c r="L1024" s="8">
        <f t="shared" si="334"/>
        <v>2</v>
      </c>
      <c r="M1024" s="7">
        <v>44913.41333333333</v>
      </c>
      <c r="N1024" t="s">
        <v>49</v>
      </c>
      <c r="O1024" s="34">
        <v>44908.41333333333</v>
      </c>
      <c r="P1024" t="s">
        <v>50</v>
      </c>
      <c r="Q1024" t="s">
        <v>84</v>
      </c>
      <c r="R1024" s="32" t="s">
        <v>7472</v>
      </c>
      <c r="S1024" t="s">
        <v>7476</v>
      </c>
      <c r="T1024" s="34" t="s">
        <v>7476</v>
      </c>
      <c r="U1024" s="34" t="s">
        <v>7476</v>
      </c>
      <c r="V1024" s="32" t="s">
        <v>7476</v>
      </c>
      <c r="W1024" s="32" t="s">
        <v>7476</v>
      </c>
      <c r="X1024">
        <v>0</v>
      </c>
      <c r="Y1024" s="34" t="s">
        <v>7476</v>
      </c>
      <c r="Z1024" s="34" t="s">
        <v>7476</v>
      </c>
      <c r="AA1024" s="34" t="s">
        <v>7476</v>
      </c>
      <c r="AB1024" s="36" t="s">
        <v>95</v>
      </c>
      <c r="AD1024" t="s">
        <v>3211</v>
      </c>
      <c r="AE1024" t="s">
        <v>3212</v>
      </c>
      <c r="AF1024" s="16">
        <v>44893</v>
      </c>
      <c r="AG1024" t="s">
        <v>68</v>
      </c>
      <c r="AH1024">
        <v>3</v>
      </c>
      <c r="AI1024" s="8" t="str">
        <f t="shared" si="360"/>
        <v/>
      </c>
      <c r="AJ1024" s="8">
        <f t="shared" si="361"/>
        <v>15.413333333330229</v>
      </c>
      <c r="AK1024" s="38" t="str">
        <f t="shared" si="335"/>
        <v/>
      </c>
      <c r="AL1024" t="str">
        <f t="shared" si="362"/>
        <v/>
      </c>
      <c r="AM1024" t="str">
        <f t="shared" si="363"/>
        <v/>
      </c>
      <c r="AN1024" t="str">
        <f t="shared" si="364"/>
        <v/>
      </c>
      <c r="AO1024">
        <f t="shared" si="365"/>
        <v>1</v>
      </c>
      <c r="AP1024">
        <f t="shared" si="366"/>
        <v>0</v>
      </c>
      <c r="AQ1024" t="str">
        <f t="shared" si="367"/>
        <v/>
      </c>
    </row>
    <row r="1025" spans="1:43" x14ac:dyDescent="0.35">
      <c r="A1025">
        <v>587</v>
      </c>
      <c r="B1025" t="s">
        <v>3213</v>
      </c>
      <c r="C1025" t="s">
        <v>2260</v>
      </c>
      <c r="D1025" t="str">
        <f t="shared" si="333"/>
        <v>M and E</v>
      </c>
      <c r="E1025" t="s">
        <v>3004</v>
      </c>
      <c r="F1025" t="s">
        <v>1669</v>
      </c>
      <c r="G1025" t="s">
        <v>2407</v>
      </c>
      <c r="H1025" t="s">
        <v>59</v>
      </c>
      <c r="I1025" s="32">
        <v>44891.41333333333</v>
      </c>
      <c r="J1025" s="32">
        <v>44895.41333333333</v>
      </c>
      <c r="K1025" s="32">
        <v>44896.41333333333</v>
      </c>
      <c r="L1025" s="8">
        <f t="shared" si="334"/>
        <v>5</v>
      </c>
      <c r="M1025" s="7">
        <v>44925.41333333333</v>
      </c>
      <c r="N1025" t="s">
        <v>49</v>
      </c>
      <c r="O1025" s="34">
        <v>44905.41333333333</v>
      </c>
      <c r="P1025" t="s">
        <v>60</v>
      </c>
      <c r="R1025" s="32">
        <v>44910.41333333333</v>
      </c>
      <c r="S1025" t="s">
        <v>61</v>
      </c>
      <c r="T1025" s="34" t="s">
        <v>7476</v>
      </c>
      <c r="U1025" s="34" t="s">
        <v>7476</v>
      </c>
      <c r="V1025" s="32">
        <v>44907.41333333333</v>
      </c>
      <c r="W1025" s="32" t="s">
        <v>7476</v>
      </c>
      <c r="X1025">
        <v>0</v>
      </c>
      <c r="Y1025" s="34" t="s">
        <v>7476</v>
      </c>
      <c r="Z1025" s="34" t="s">
        <v>7476</v>
      </c>
      <c r="AA1025" s="34" t="s">
        <v>7476</v>
      </c>
      <c r="AB1025" s="36" t="s">
        <v>7476</v>
      </c>
      <c r="AD1025" t="s">
        <v>3214</v>
      </c>
      <c r="AE1025" t="s">
        <v>3215</v>
      </c>
      <c r="AF1025" s="16">
        <v>44887</v>
      </c>
      <c r="AG1025" t="s">
        <v>68</v>
      </c>
      <c r="AH1025">
        <v>6</v>
      </c>
      <c r="AI1025" s="8">
        <f t="shared" si="360"/>
        <v>23.413333333330229</v>
      </c>
      <c r="AJ1025" s="8">
        <f t="shared" si="361"/>
        <v>18.413333333330229</v>
      </c>
      <c r="AK1025" s="38">
        <f t="shared" si="335"/>
        <v>45087.41333333333</v>
      </c>
      <c r="AL1025" t="str">
        <f t="shared" si="362"/>
        <v/>
      </c>
      <c r="AM1025">
        <f t="shared" si="363"/>
        <v>15</v>
      </c>
      <c r="AN1025">
        <f t="shared" si="364"/>
        <v>2</v>
      </c>
      <c r="AO1025">
        <f t="shared" si="365"/>
        <v>4</v>
      </c>
      <c r="AP1025">
        <f t="shared" si="366"/>
        <v>0</v>
      </c>
      <c r="AQ1025" t="str">
        <f t="shared" si="367"/>
        <v/>
      </c>
    </row>
    <row r="1026" spans="1:43" x14ac:dyDescent="0.35">
      <c r="A1026">
        <v>583</v>
      </c>
      <c r="B1026" t="s">
        <v>3216</v>
      </c>
      <c r="C1026" t="s">
        <v>2260</v>
      </c>
      <c r="D1026" t="str">
        <f t="shared" ref="D1026:D1089" si="368">TRIM(C1026)</f>
        <v>M and E</v>
      </c>
      <c r="E1026" t="s">
        <v>3004</v>
      </c>
      <c r="F1026" t="s">
        <v>1669</v>
      </c>
      <c r="G1026" t="s">
        <v>2407</v>
      </c>
      <c r="H1026" t="s">
        <v>59</v>
      </c>
      <c r="I1026" s="32">
        <v>44892.41333333333</v>
      </c>
      <c r="J1026" s="32">
        <v>44894.41333333333</v>
      </c>
      <c r="K1026" s="32">
        <v>44896.41333333333</v>
      </c>
      <c r="L1026" s="8">
        <f t="shared" ref="L1026:L1089" si="369">IFERROR(K1026-I1026,"")</f>
        <v>4</v>
      </c>
      <c r="M1026" s="7">
        <v>44908.41333333333</v>
      </c>
      <c r="N1026" t="s">
        <v>49</v>
      </c>
      <c r="O1026" s="34">
        <v>44909.41333333333</v>
      </c>
      <c r="P1026" t="s">
        <v>50</v>
      </c>
      <c r="Q1026" t="s">
        <v>84</v>
      </c>
      <c r="R1026" s="32" t="s">
        <v>7472</v>
      </c>
      <c r="S1026" t="s">
        <v>7476</v>
      </c>
      <c r="T1026" s="34" t="s">
        <v>7476</v>
      </c>
      <c r="U1026" s="34" t="s">
        <v>7476</v>
      </c>
      <c r="V1026" s="32" t="s">
        <v>7476</v>
      </c>
      <c r="W1026" s="32" t="s">
        <v>7476</v>
      </c>
      <c r="X1026">
        <v>0</v>
      </c>
      <c r="Y1026" s="34" t="s">
        <v>7476</v>
      </c>
      <c r="Z1026" s="34" t="s">
        <v>7476</v>
      </c>
      <c r="AA1026" s="34" t="s">
        <v>7476</v>
      </c>
      <c r="AB1026" s="36" t="s">
        <v>52</v>
      </c>
      <c r="AD1026" t="s">
        <v>3217</v>
      </c>
      <c r="AE1026" t="s">
        <v>3218</v>
      </c>
      <c r="AF1026" s="16">
        <v>44896</v>
      </c>
      <c r="AG1026" t="s">
        <v>98</v>
      </c>
      <c r="AH1026">
        <v>6</v>
      </c>
      <c r="AI1026" s="8" t="str">
        <f t="shared" si="360"/>
        <v/>
      </c>
      <c r="AJ1026" s="8">
        <f t="shared" si="361"/>
        <v>13.413333333330229</v>
      </c>
      <c r="AK1026" s="38" t="str">
        <f t="shared" si="335"/>
        <v/>
      </c>
      <c r="AL1026" t="str">
        <f t="shared" si="362"/>
        <v/>
      </c>
      <c r="AM1026" t="str">
        <f t="shared" si="363"/>
        <v/>
      </c>
      <c r="AN1026" t="str">
        <f t="shared" si="364"/>
        <v/>
      </c>
      <c r="AO1026">
        <f t="shared" si="365"/>
        <v>2</v>
      </c>
      <c r="AP1026">
        <f t="shared" si="366"/>
        <v>0</v>
      </c>
      <c r="AQ1026" t="str">
        <f t="shared" si="367"/>
        <v/>
      </c>
    </row>
    <row r="1027" spans="1:43" x14ac:dyDescent="0.35">
      <c r="A1027">
        <v>557</v>
      </c>
      <c r="B1027" t="s">
        <v>3219</v>
      </c>
      <c r="C1027" t="s">
        <v>2260</v>
      </c>
      <c r="D1027" t="str">
        <f t="shared" si="368"/>
        <v>M and E</v>
      </c>
      <c r="E1027" t="s">
        <v>3004</v>
      </c>
      <c r="F1027" t="s">
        <v>1669</v>
      </c>
      <c r="G1027" t="s">
        <v>2407</v>
      </c>
      <c r="H1027" t="s">
        <v>59</v>
      </c>
      <c r="I1027" s="32">
        <v>45086.01053240741</v>
      </c>
      <c r="J1027" s="32">
        <v>45089.01053240741</v>
      </c>
      <c r="K1027" s="32">
        <v>45091.01053240741</v>
      </c>
      <c r="L1027" s="8">
        <f t="shared" si="369"/>
        <v>5</v>
      </c>
      <c r="M1027" s="7">
        <v>45110.01053240741</v>
      </c>
      <c r="N1027" t="s">
        <v>49</v>
      </c>
      <c r="O1027" s="34">
        <v>45100.01053240741</v>
      </c>
      <c r="P1027" t="s">
        <v>60</v>
      </c>
      <c r="R1027" s="32">
        <v>45108.01053240741</v>
      </c>
      <c r="S1027" t="s">
        <v>61</v>
      </c>
      <c r="T1027" s="34" t="s">
        <v>7476</v>
      </c>
      <c r="U1027" s="34" t="s">
        <v>7476</v>
      </c>
      <c r="V1027" s="32">
        <v>45104.01053240741</v>
      </c>
      <c r="W1027" s="32" t="s">
        <v>7476</v>
      </c>
      <c r="X1027">
        <v>0</v>
      </c>
      <c r="Y1027" s="34" t="s">
        <v>7476</v>
      </c>
      <c r="Z1027" s="34" t="s">
        <v>7476</v>
      </c>
      <c r="AA1027" s="34" t="s">
        <v>7476</v>
      </c>
      <c r="AB1027" s="36" t="s">
        <v>7476</v>
      </c>
      <c r="AD1027" t="s">
        <v>3220</v>
      </c>
      <c r="AE1027" t="s">
        <v>3221</v>
      </c>
      <c r="AF1027" s="16">
        <v>45091</v>
      </c>
      <c r="AG1027" t="s">
        <v>98</v>
      </c>
      <c r="AH1027">
        <v>6</v>
      </c>
      <c r="AI1027" s="8">
        <f t="shared" si="360"/>
        <v>17.01053240741021</v>
      </c>
      <c r="AJ1027" s="8">
        <f t="shared" si="361"/>
        <v>9.01053240741021</v>
      </c>
      <c r="AK1027" s="38">
        <f t="shared" ref="AK1027:AK1090" si="370">IFERROR(V1027+(AH1027*30),"")</f>
        <v>45284.01053240741</v>
      </c>
      <c r="AL1027" t="str">
        <f t="shared" si="362"/>
        <v/>
      </c>
      <c r="AM1027">
        <f t="shared" si="363"/>
        <v>19</v>
      </c>
      <c r="AN1027">
        <f t="shared" si="364"/>
        <v>4</v>
      </c>
      <c r="AO1027">
        <f t="shared" si="365"/>
        <v>3</v>
      </c>
      <c r="AP1027">
        <f t="shared" si="366"/>
        <v>0</v>
      </c>
      <c r="AQ1027" t="str">
        <f t="shared" si="367"/>
        <v/>
      </c>
    </row>
    <row r="1028" spans="1:43" x14ac:dyDescent="0.35">
      <c r="A1028">
        <v>549</v>
      </c>
      <c r="B1028" t="s">
        <v>3222</v>
      </c>
      <c r="C1028" t="s">
        <v>2260</v>
      </c>
      <c r="D1028" t="str">
        <f t="shared" si="368"/>
        <v>M and E</v>
      </c>
      <c r="E1028" t="s">
        <v>3004</v>
      </c>
      <c r="F1028" t="s">
        <v>1669</v>
      </c>
      <c r="G1028" t="s">
        <v>2407</v>
      </c>
      <c r="H1028" t="s">
        <v>59</v>
      </c>
      <c r="I1028" s="32">
        <v>44956.651087962957</v>
      </c>
      <c r="J1028" s="32">
        <v>44958.651087962957</v>
      </c>
      <c r="K1028" s="32">
        <v>44964.651087962957</v>
      </c>
      <c r="L1028" s="8">
        <f t="shared" si="369"/>
        <v>8</v>
      </c>
      <c r="M1028" s="7">
        <v>44972.651087962957</v>
      </c>
      <c r="N1028" t="s">
        <v>49</v>
      </c>
      <c r="O1028" s="34">
        <v>44980.651087962957</v>
      </c>
      <c r="P1028" t="s">
        <v>50</v>
      </c>
      <c r="Q1028" t="s">
        <v>84</v>
      </c>
      <c r="R1028" s="32" t="s">
        <v>7472</v>
      </c>
      <c r="S1028" t="s">
        <v>7476</v>
      </c>
      <c r="T1028" s="34" t="s">
        <v>7476</v>
      </c>
      <c r="U1028" s="34" t="s">
        <v>7476</v>
      </c>
      <c r="V1028" s="32">
        <v>44982.651087962957</v>
      </c>
      <c r="W1028" s="32" t="s">
        <v>7476</v>
      </c>
      <c r="X1028">
        <v>0</v>
      </c>
      <c r="Y1028" s="34" t="s">
        <v>7476</v>
      </c>
      <c r="Z1028" s="34" t="s">
        <v>7476</v>
      </c>
      <c r="AA1028" s="34" t="s">
        <v>7476</v>
      </c>
      <c r="AB1028" s="36" t="s">
        <v>52</v>
      </c>
      <c r="AD1028" t="s">
        <v>3223</v>
      </c>
      <c r="AE1028" t="s">
        <v>3224</v>
      </c>
      <c r="AF1028" s="16">
        <v>44963</v>
      </c>
      <c r="AG1028" t="s">
        <v>68</v>
      </c>
      <c r="AH1028">
        <v>6</v>
      </c>
      <c r="AI1028" s="8" t="str">
        <f t="shared" si="360"/>
        <v/>
      </c>
      <c r="AJ1028" s="8">
        <f t="shared" si="361"/>
        <v>17.651087962956808</v>
      </c>
      <c r="AK1028" s="38">
        <f t="shared" si="370"/>
        <v>45162.651087962957</v>
      </c>
      <c r="AL1028" t="str">
        <f t="shared" si="362"/>
        <v/>
      </c>
      <c r="AM1028" t="str">
        <f t="shared" si="363"/>
        <v/>
      </c>
      <c r="AN1028">
        <f t="shared" si="364"/>
        <v>2</v>
      </c>
      <c r="AO1028">
        <f t="shared" si="365"/>
        <v>2</v>
      </c>
      <c r="AP1028">
        <f t="shared" si="366"/>
        <v>0</v>
      </c>
      <c r="AQ1028" t="str">
        <f t="shared" si="367"/>
        <v/>
      </c>
    </row>
    <row r="1029" spans="1:43" x14ac:dyDescent="0.35">
      <c r="A1029">
        <v>548</v>
      </c>
      <c r="B1029" t="s">
        <v>3225</v>
      </c>
      <c r="C1029" t="s">
        <v>2325</v>
      </c>
      <c r="D1029" t="str">
        <f t="shared" si="368"/>
        <v>M and E</v>
      </c>
      <c r="E1029" t="s">
        <v>3004</v>
      </c>
      <c r="F1029" t="s">
        <v>1669</v>
      </c>
      <c r="G1029" t="s">
        <v>2407</v>
      </c>
      <c r="H1029" t="s">
        <v>59</v>
      </c>
      <c r="I1029" s="32">
        <v>44960.651087962957</v>
      </c>
      <c r="J1029" s="32">
        <v>44963.651087962957</v>
      </c>
      <c r="K1029" s="32">
        <v>44964.651087962957</v>
      </c>
      <c r="L1029" s="8">
        <f t="shared" si="369"/>
        <v>4</v>
      </c>
      <c r="M1029" s="7">
        <v>44969.651087962957</v>
      </c>
      <c r="N1029" t="s">
        <v>72</v>
      </c>
      <c r="O1029" s="34" t="s">
        <v>7474</v>
      </c>
      <c r="R1029" s="32" t="s">
        <v>7472</v>
      </c>
      <c r="S1029" t="s">
        <v>7476</v>
      </c>
      <c r="T1029" s="34" t="s">
        <v>7476</v>
      </c>
      <c r="U1029" s="34" t="s">
        <v>7476</v>
      </c>
      <c r="V1029" s="32" t="s">
        <v>7476</v>
      </c>
      <c r="W1029" s="32" t="s">
        <v>7476</v>
      </c>
      <c r="X1029">
        <v>0</v>
      </c>
      <c r="Y1029" s="34" t="s">
        <v>7476</v>
      </c>
      <c r="Z1029" s="34" t="s">
        <v>7476</v>
      </c>
      <c r="AA1029" s="34" t="s">
        <v>7476</v>
      </c>
      <c r="AB1029" s="36" t="s">
        <v>7476</v>
      </c>
      <c r="AD1029" t="s">
        <v>3226</v>
      </c>
      <c r="AE1029" t="s">
        <v>3227</v>
      </c>
      <c r="AG1029" t="s">
        <v>64</v>
      </c>
      <c r="AH1029">
        <v>3</v>
      </c>
      <c r="AI1029" s="8" t="str">
        <f t="shared" si="360"/>
        <v/>
      </c>
      <c r="AJ1029" s="8" t="str">
        <f t="shared" si="361"/>
        <v/>
      </c>
      <c r="AK1029" s="38" t="str">
        <f t="shared" si="370"/>
        <v/>
      </c>
      <c r="AL1029" t="str">
        <f t="shared" si="362"/>
        <v/>
      </c>
      <c r="AM1029" t="str">
        <f t="shared" si="363"/>
        <v/>
      </c>
      <c r="AN1029" t="str">
        <f t="shared" si="364"/>
        <v/>
      </c>
      <c r="AO1029">
        <f t="shared" si="365"/>
        <v>3</v>
      </c>
      <c r="AP1029">
        <f t="shared" si="366"/>
        <v>0</v>
      </c>
      <c r="AQ1029" t="str">
        <f t="shared" si="367"/>
        <v/>
      </c>
    </row>
    <row r="1030" spans="1:43" x14ac:dyDescent="0.35">
      <c r="A1030">
        <v>530</v>
      </c>
      <c r="B1030" t="s">
        <v>3228</v>
      </c>
      <c r="C1030" t="s">
        <v>2287</v>
      </c>
      <c r="D1030" t="str">
        <f t="shared" si="368"/>
        <v>M and E</v>
      </c>
      <c r="E1030" t="s">
        <v>3004</v>
      </c>
      <c r="F1030" t="s">
        <v>1669</v>
      </c>
      <c r="G1030" t="s">
        <v>2407</v>
      </c>
      <c r="H1030" t="s">
        <v>59</v>
      </c>
      <c r="I1030" s="32" t="s">
        <v>7471</v>
      </c>
      <c r="J1030" s="32">
        <v>44609.83390046296</v>
      </c>
      <c r="K1030" s="32">
        <v>44611.83390046296</v>
      </c>
      <c r="L1030" s="8" t="str">
        <f t="shared" si="369"/>
        <v/>
      </c>
      <c r="M1030" s="7">
        <v>44620.83390046296</v>
      </c>
      <c r="N1030" t="s">
        <v>49</v>
      </c>
      <c r="O1030" s="34">
        <v>44618.83390046296</v>
      </c>
      <c r="P1030" t="s">
        <v>101</v>
      </c>
      <c r="R1030" s="32">
        <v>44622.83390046296</v>
      </c>
      <c r="S1030" t="s">
        <v>101</v>
      </c>
      <c r="T1030" s="34">
        <v>44620.83390046296</v>
      </c>
      <c r="U1030" s="34">
        <v>44624.83390046296</v>
      </c>
      <c r="V1030" s="32">
        <v>44620.83390046296</v>
      </c>
      <c r="W1030" s="32">
        <v>44623.83390046296</v>
      </c>
      <c r="X1030">
        <v>1</v>
      </c>
      <c r="Y1030" s="34">
        <v>44624.83390046296</v>
      </c>
      <c r="Z1030" s="34">
        <v>44625.83390046296</v>
      </c>
      <c r="AA1030" s="34">
        <v>44627.83390046296</v>
      </c>
      <c r="AB1030" s="36" t="s">
        <v>7476</v>
      </c>
      <c r="AC1030" s="10">
        <v>44638.83390046296</v>
      </c>
      <c r="AD1030" t="s">
        <v>3229</v>
      </c>
      <c r="AE1030" t="s">
        <v>3230</v>
      </c>
      <c r="AF1030" s="16">
        <v>44606</v>
      </c>
      <c r="AG1030" t="s">
        <v>64</v>
      </c>
      <c r="AH1030">
        <v>3</v>
      </c>
      <c r="AK1030" s="38">
        <f t="shared" si="370"/>
        <v>44710.83390046296</v>
      </c>
    </row>
    <row r="1031" spans="1:43" x14ac:dyDescent="0.35">
      <c r="A1031">
        <v>2947</v>
      </c>
      <c r="B1031" t="s">
        <v>3231</v>
      </c>
      <c r="C1031" t="s">
        <v>3232</v>
      </c>
      <c r="D1031" t="str">
        <f t="shared" si="368"/>
        <v>IT</v>
      </c>
      <c r="E1031" t="s">
        <v>3233</v>
      </c>
      <c r="F1031" t="s">
        <v>204</v>
      </c>
      <c r="G1031" t="s">
        <v>3234</v>
      </c>
      <c r="H1031" t="s">
        <v>206</v>
      </c>
      <c r="I1031" s="32">
        <v>44725.484722222223</v>
      </c>
      <c r="J1031" s="32">
        <v>44729.484722222223</v>
      </c>
      <c r="K1031" s="32">
        <v>44737.484722222223</v>
      </c>
      <c r="L1031" s="8">
        <f t="shared" si="369"/>
        <v>12</v>
      </c>
      <c r="M1031" s="7">
        <v>44782.484722222223</v>
      </c>
      <c r="N1031" t="s">
        <v>49</v>
      </c>
      <c r="O1031" s="34">
        <v>44744.484722222223</v>
      </c>
      <c r="P1031" t="s">
        <v>50</v>
      </c>
      <c r="Q1031" t="s">
        <v>198</v>
      </c>
      <c r="R1031" s="32" t="s">
        <v>7472</v>
      </c>
      <c r="S1031" t="s">
        <v>7476</v>
      </c>
      <c r="T1031" s="34" t="s">
        <v>7476</v>
      </c>
      <c r="U1031" s="34" t="s">
        <v>7476</v>
      </c>
      <c r="V1031" s="32" t="s">
        <v>7476</v>
      </c>
      <c r="W1031" s="32" t="s">
        <v>7476</v>
      </c>
      <c r="X1031">
        <v>0</v>
      </c>
      <c r="Y1031" s="34" t="s">
        <v>7476</v>
      </c>
      <c r="Z1031" s="34" t="s">
        <v>7476</v>
      </c>
      <c r="AA1031" s="34" t="s">
        <v>7476</v>
      </c>
      <c r="AB1031" s="36" t="s">
        <v>52</v>
      </c>
      <c r="AD1031" t="s">
        <v>3235</v>
      </c>
      <c r="AE1031" t="s">
        <v>3236</v>
      </c>
      <c r="AF1031" s="16">
        <v>44738</v>
      </c>
      <c r="AG1031" t="s">
        <v>98</v>
      </c>
      <c r="AH1031">
        <v>3</v>
      </c>
      <c r="AI1031" s="8" t="str">
        <f>IFERROR(R1031-AF1031,"")</f>
        <v/>
      </c>
      <c r="AJ1031" s="8">
        <f>IFERROR(O1031-AF1031,"")</f>
        <v>6.484722222223354</v>
      </c>
      <c r="AK1031" s="38" t="str">
        <f t="shared" si="370"/>
        <v/>
      </c>
      <c r="AL1031" t="str">
        <f>IFERROR(Z1031-W1031,"")</f>
        <v/>
      </c>
      <c r="AM1031" t="str">
        <f>IFERROR(R1031-J1031,"")</f>
        <v/>
      </c>
      <c r="AN1031" t="str">
        <f>IFERROR(V1031-O1031,"")</f>
        <v/>
      </c>
      <c r="AO1031">
        <f>IFERROR(J1031-I1031,"")</f>
        <v>4</v>
      </c>
      <c r="AP1031">
        <f>IFERROR(AC1031-X1031,"")</f>
        <v>0</v>
      </c>
      <c r="AQ1031" t="str">
        <f>IFERROR(AA1031-W1031,"")</f>
        <v/>
      </c>
    </row>
    <row r="1032" spans="1:43" x14ac:dyDescent="0.35">
      <c r="A1032">
        <v>2943</v>
      </c>
      <c r="B1032" t="s">
        <v>3237</v>
      </c>
      <c r="C1032" t="s">
        <v>3238</v>
      </c>
      <c r="D1032" t="str">
        <f t="shared" si="368"/>
        <v>IT</v>
      </c>
      <c r="E1032" t="s">
        <v>3233</v>
      </c>
      <c r="F1032" t="s">
        <v>204</v>
      </c>
      <c r="G1032" t="s">
        <v>3234</v>
      </c>
      <c r="H1032" t="s">
        <v>206</v>
      </c>
      <c r="I1032" s="32">
        <v>44724.484722222223</v>
      </c>
      <c r="J1032" s="32">
        <v>44725.484722222223</v>
      </c>
      <c r="K1032" s="32">
        <v>44733.484722222223</v>
      </c>
      <c r="L1032" s="8">
        <f t="shared" si="369"/>
        <v>9</v>
      </c>
      <c r="M1032" s="7">
        <v>44778.484722222223</v>
      </c>
      <c r="N1032" t="s">
        <v>49</v>
      </c>
      <c r="O1032" s="34">
        <v>44744.484722222223</v>
      </c>
      <c r="P1032" t="s">
        <v>50</v>
      </c>
      <c r="Q1032" t="s">
        <v>236</v>
      </c>
      <c r="R1032" s="32" t="s">
        <v>7472</v>
      </c>
      <c r="S1032" t="s">
        <v>7476</v>
      </c>
      <c r="T1032" s="34" t="s">
        <v>7476</v>
      </c>
      <c r="U1032" s="34" t="s">
        <v>7476</v>
      </c>
      <c r="V1032" s="32">
        <v>44748.484722222223</v>
      </c>
      <c r="W1032" s="32" t="s">
        <v>7476</v>
      </c>
      <c r="X1032">
        <v>0</v>
      </c>
      <c r="Y1032" s="34" t="s">
        <v>7476</v>
      </c>
      <c r="Z1032" s="34" t="s">
        <v>7476</v>
      </c>
      <c r="AA1032" s="34" t="s">
        <v>7476</v>
      </c>
      <c r="AB1032" s="36" t="s">
        <v>95</v>
      </c>
      <c r="AD1032" t="s">
        <v>3239</v>
      </c>
      <c r="AE1032" t="s">
        <v>3240</v>
      </c>
      <c r="AF1032" s="16">
        <v>44731</v>
      </c>
      <c r="AG1032" t="s">
        <v>68</v>
      </c>
      <c r="AH1032">
        <v>6</v>
      </c>
      <c r="AI1032" s="8" t="str">
        <f>IFERROR(R1032-AF1032,"")</f>
        <v/>
      </c>
      <c r="AJ1032" s="8">
        <f>IFERROR(O1032-AF1032,"")</f>
        <v>13.484722222223354</v>
      </c>
      <c r="AK1032" s="38">
        <f t="shared" si="370"/>
        <v>44928.484722222223</v>
      </c>
      <c r="AL1032" t="str">
        <f>IFERROR(Z1032-W1032,"")</f>
        <v/>
      </c>
      <c r="AM1032" t="str">
        <f>IFERROR(R1032-J1032,"")</f>
        <v/>
      </c>
      <c r="AN1032">
        <f>IFERROR(V1032-O1032,"")</f>
        <v>4</v>
      </c>
      <c r="AO1032">
        <f>IFERROR(J1032-I1032,"")</f>
        <v>1</v>
      </c>
      <c r="AP1032">
        <f>IFERROR(AC1032-X1032,"")</f>
        <v>0</v>
      </c>
      <c r="AQ1032" t="str">
        <f>IFERROR(AA1032-W1032,"")</f>
        <v/>
      </c>
    </row>
    <row r="1033" spans="1:43" x14ac:dyDescent="0.35">
      <c r="A1033">
        <v>2896</v>
      </c>
      <c r="B1033" t="s">
        <v>3241</v>
      </c>
      <c r="C1033" t="s">
        <v>3238</v>
      </c>
      <c r="D1033" t="str">
        <f t="shared" si="368"/>
        <v>IT</v>
      </c>
      <c r="E1033" t="s">
        <v>3233</v>
      </c>
      <c r="F1033" t="s">
        <v>204</v>
      </c>
      <c r="G1033" t="s">
        <v>3234</v>
      </c>
      <c r="H1033" t="s">
        <v>206</v>
      </c>
      <c r="I1033" s="32">
        <v>44963.681840277779</v>
      </c>
      <c r="J1033" s="32">
        <v>44966.681840277779</v>
      </c>
      <c r="K1033" s="32">
        <v>44973.681840277779</v>
      </c>
      <c r="L1033" s="8">
        <f t="shared" si="369"/>
        <v>10</v>
      </c>
      <c r="M1033" s="7">
        <v>45018.681840277779</v>
      </c>
      <c r="N1033" t="s">
        <v>49</v>
      </c>
      <c r="O1033" s="34">
        <v>44969.681840277779</v>
      </c>
      <c r="P1033" t="s">
        <v>50</v>
      </c>
      <c r="Q1033" t="s">
        <v>236</v>
      </c>
      <c r="R1033" s="32" t="s">
        <v>7472</v>
      </c>
      <c r="S1033" t="s">
        <v>7476</v>
      </c>
      <c r="T1033" s="34" t="s">
        <v>7476</v>
      </c>
      <c r="U1033" s="34" t="s">
        <v>7476</v>
      </c>
      <c r="V1033" s="32">
        <v>44970.681840277779</v>
      </c>
      <c r="W1033" s="32" t="s">
        <v>7476</v>
      </c>
      <c r="X1033">
        <v>0</v>
      </c>
      <c r="Y1033" s="34" t="s">
        <v>7476</v>
      </c>
      <c r="Z1033" s="34" t="s">
        <v>7476</v>
      </c>
      <c r="AA1033" s="34" t="s">
        <v>7476</v>
      </c>
      <c r="AB1033" s="36" t="s">
        <v>52</v>
      </c>
      <c r="AD1033" t="s">
        <v>3242</v>
      </c>
      <c r="AE1033" t="s">
        <v>3243</v>
      </c>
      <c r="AF1033" s="16">
        <v>44958</v>
      </c>
      <c r="AG1033" t="s">
        <v>98</v>
      </c>
      <c r="AH1033">
        <v>6</v>
      </c>
      <c r="AI1033" s="8" t="str">
        <f>IFERROR(R1033-AF1033,"")</f>
        <v/>
      </c>
      <c r="AJ1033" s="8">
        <f>IFERROR(O1033-AF1033,"")</f>
        <v>11.681840277778974</v>
      </c>
      <c r="AK1033" s="38">
        <f t="shared" si="370"/>
        <v>45150.681840277779</v>
      </c>
      <c r="AL1033" t="str">
        <f>IFERROR(Z1033-W1033,"")</f>
        <v/>
      </c>
      <c r="AM1033" t="str">
        <f>IFERROR(R1033-J1033,"")</f>
        <v/>
      </c>
      <c r="AN1033">
        <f>IFERROR(V1033-O1033,"")</f>
        <v>1</v>
      </c>
      <c r="AO1033">
        <f>IFERROR(J1033-I1033,"")</f>
        <v>3</v>
      </c>
      <c r="AP1033">
        <f>IFERROR(AC1033-X1033,"")</f>
        <v>0</v>
      </c>
      <c r="AQ1033" t="str">
        <f>IFERROR(AA1033-W1033,"")</f>
        <v/>
      </c>
    </row>
    <row r="1034" spans="1:43" x14ac:dyDescent="0.35">
      <c r="A1034">
        <v>2723</v>
      </c>
      <c r="B1034" t="s">
        <v>3244</v>
      </c>
      <c r="C1034" t="s">
        <v>3245</v>
      </c>
      <c r="D1034" t="str">
        <f t="shared" si="368"/>
        <v>IT</v>
      </c>
      <c r="E1034" t="s">
        <v>3233</v>
      </c>
      <c r="F1034" t="s">
        <v>204</v>
      </c>
      <c r="G1034" t="s">
        <v>3234</v>
      </c>
      <c r="H1034" t="s">
        <v>206</v>
      </c>
      <c r="I1034" s="32">
        <v>45067.24894675926</v>
      </c>
      <c r="J1034" s="32">
        <v>45069.24894675926</v>
      </c>
      <c r="K1034" s="32" t="s">
        <v>7473</v>
      </c>
      <c r="L1034" s="8" t="str">
        <f t="shared" si="369"/>
        <v/>
      </c>
      <c r="M1034" s="7">
        <v>45091.24894675926</v>
      </c>
      <c r="N1034" t="s">
        <v>49</v>
      </c>
      <c r="O1034" s="34">
        <v>45072.24894675926</v>
      </c>
      <c r="P1034" t="s">
        <v>50</v>
      </c>
      <c r="Q1034" t="s">
        <v>84</v>
      </c>
      <c r="R1034" s="32" t="s">
        <v>7472</v>
      </c>
      <c r="S1034" t="s">
        <v>7476</v>
      </c>
      <c r="T1034" s="34" t="s">
        <v>7476</v>
      </c>
      <c r="U1034" s="34" t="s">
        <v>7476</v>
      </c>
      <c r="V1034" s="32">
        <v>45076.24894675926</v>
      </c>
      <c r="W1034" s="32" t="s">
        <v>7476</v>
      </c>
      <c r="X1034">
        <v>0</v>
      </c>
      <c r="Y1034" s="34" t="s">
        <v>7476</v>
      </c>
      <c r="Z1034" s="34" t="s">
        <v>7476</v>
      </c>
      <c r="AA1034" s="34" t="s">
        <v>7476</v>
      </c>
      <c r="AB1034" s="36" t="s">
        <v>52</v>
      </c>
      <c r="AD1034" t="s">
        <v>3246</v>
      </c>
      <c r="AE1034" t="s">
        <v>3247</v>
      </c>
      <c r="AF1034" s="16">
        <v>45066</v>
      </c>
      <c r="AG1034" t="s">
        <v>55</v>
      </c>
      <c r="AH1034">
        <v>3</v>
      </c>
      <c r="AK1034" s="38">
        <f t="shared" si="370"/>
        <v>45166.24894675926</v>
      </c>
    </row>
    <row r="1035" spans="1:43" x14ac:dyDescent="0.35">
      <c r="A1035">
        <v>2583</v>
      </c>
      <c r="B1035" t="s">
        <v>3248</v>
      </c>
      <c r="C1035" t="s">
        <v>3232</v>
      </c>
      <c r="D1035" t="str">
        <f t="shared" si="368"/>
        <v>IT</v>
      </c>
      <c r="E1035" t="s">
        <v>3233</v>
      </c>
      <c r="F1035" t="s">
        <v>204</v>
      </c>
      <c r="G1035" t="s">
        <v>3234</v>
      </c>
      <c r="H1035" t="s">
        <v>206</v>
      </c>
      <c r="I1035" s="32">
        <v>44784.038506944453</v>
      </c>
      <c r="J1035" s="32">
        <v>44786.038506944453</v>
      </c>
      <c r="K1035" s="32">
        <v>44791.038506944453</v>
      </c>
      <c r="L1035" s="8">
        <f t="shared" si="369"/>
        <v>7</v>
      </c>
      <c r="M1035" s="7">
        <v>44801.038506944453</v>
      </c>
      <c r="N1035" t="s">
        <v>49</v>
      </c>
      <c r="O1035" s="34">
        <v>44800.038506944453</v>
      </c>
      <c r="P1035" t="s">
        <v>50</v>
      </c>
      <c r="Q1035" t="s">
        <v>84</v>
      </c>
      <c r="R1035" s="32" t="s">
        <v>7472</v>
      </c>
      <c r="S1035" t="s">
        <v>7476</v>
      </c>
      <c r="T1035" s="34" t="s">
        <v>7476</v>
      </c>
      <c r="U1035" s="34" t="s">
        <v>7476</v>
      </c>
      <c r="V1035" s="32" t="s">
        <v>7476</v>
      </c>
      <c r="W1035" s="32" t="s">
        <v>7476</v>
      </c>
      <c r="X1035">
        <v>0</v>
      </c>
      <c r="Y1035" s="34" t="s">
        <v>7476</v>
      </c>
      <c r="Z1035" s="34" t="s">
        <v>7476</v>
      </c>
      <c r="AA1035" s="34" t="s">
        <v>7476</v>
      </c>
      <c r="AB1035" s="36" t="s">
        <v>52</v>
      </c>
      <c r="AD1035" t="s">
        <v>3249</v>
      </c>
      <c r="AE1035" t="s">
        <v>3250</v>
      </c>
      <c r="AF1035" s="16">
        <v>44785</v>
      </c>
      <c r="AG1035" t="s">
        <v>68</v>
      </c>
      <c r="AH1035">
        <v>3</v>
      </c>
      <c r="AI1035" s="8" t="str">
        <f>IFERROR(R1035-AF1035,"")</f>
        <v/>
      </c>
      <c r="AJ1035" s="8">
        <f>IFERROR(O1035-AF1035,"")</f>
        <v>15.03850694445282</v>
      </c>
      <c r="AK1035" s="38" t="str">
        <f t="shared" si="370"/>
        <v/>
      </c>
      <c r="AL1035" t="str">
        <f>IFERROR(Z1035-W1035,"")</f>
        <v/>
      </c>
      <c r="AM1035" t="str">
        <f>IFERROR(R1035-J1035,"")</f>
        <v/>
      </c>
      <c r="AN1035" t="str">
        <f>IFERROR(V1035-O1035,"")</f>
        <v/>
      </c>
      <c r="AO1035">
        <f>IFERROR(J1035-I1035,"")</f>
        <v>2</v>
      </c>
      <c r="AP1035">
        <f>IFERROR(AC1035-X1035,"")</f>
        <v>0</v>
      </c>
      <c r="AQ1035" t="str">
        <f>IFERROR(AA1035-W1035,"")</f>
        <v/>
      </c>
    </row>
    <row r="1036" spans="1:43" x14ac:dyDescent="0.35">
      <c r="A1036">
        <v>2581</v>
      </c>
      <c r="B1036" t="s">
        <v>3251</v>
      </c>
      <c r="C1036" t="s">
        <v>3238</v>
      </c>
      <c r="D1036" t="str">
        <f t="shared" si="368"/>
        <v>IT</v>
      </c>
      <c r="E1036" t="s">
        <v>3233</v>
      </c>
      <c r="F1036" t="s">
        <v>204</v>
      </c>
      <c r="G1036" t="s">
        <v>3234</v>
      </c>
      <c r="H1036" t="s">
        <v>206</v>
      </c>
      <c r="I1036" s="32">
        <v>44787.038506944453</v>
      </c>
      <c r="J1036" s="32" t="s">
        <v>7471</v>
      </c>
      <c r="K1036" s="32">
        <v>44791.038506944453</v>
      </c>
      <c r="L1036" s="8">
        <f t="shared" si="369"/>
        <v>4</v>
      </c>
      <c r="M1036" s="7">
        <v>44800.038506944453</v>
      </c>
      <c r="N1036" t="s">
        <v>49</v>
      </c>
      <c r="O1036" s="34">
        <v>44805.038506944453</v>
      </c>
      <c r="P1036" t="s">
        <v>50</v>
      </c>
      <c r="Q1036" t="s">
        <v>198</v>
      </c>
      <c r="R1036" s="32" t="s">
        <v>7472</v>
      </c>
      <c r="S1036" t="s">
        <v>7476</v>
      </c>
      <c r="T1036" s="34" t="s">
        <v>7476</v>
      </c>
      <c r="U1036" s="34" t="s">
        <v>7476</v>
      </c>
      <c r="V1036" s="32">
        <v>44807.038506944453</v>
      </c>
      <c r="W1036" s="32" t="s">
        <v>7476</v>
      </c>
      <c r="X1036">
        <v>0</v>
      </c>
      <c r="Y1036" s="34" t="s">
        <v>7476</v>
      </c>
      <c r="Z1036" s="34" t="s">
        <v>7476</v>
      </c>
      <c r="AA1036" s="34" t="s">
        <v>7476</v>
      </c>
      <c r="AB1036" s="36" t="s">
        <v>95</v>
      </c>
      <c r="AD1036" t="s">
        <v>3252</v>
      </c>
      <c r="AE1036" t="s">
        <v>3253</v>
      </c>
      <c r="AF1036" s="16">
        <v>44798</v>
      </c>
      <c r="AG1036" t="s">
        <v>68</v>
      </c>
      <c r="AH1036">
        <v>3</v>
      </c>
      <c r="AK1036" s="38">
        <f t="shared" si="370"/>
        <v>44897.038506944453</v>
      </c>
    </row>
    <row r="1037" spans="1:43" x14ac:dyDescent="0.35">
      <c r="A1037">
        <v>2377</v>
      </c>
      <c r="B1037" t="s">
        <v>3254</v>
      </c>
      <c r="C1037" t="s">
        <v>3245</v>
      </c>
      <c r="D1037" t="str">
        <f t="shared" si="368"/>
        <v>IT</v>
      </c>
      <c r="E1037" t="s">
        <v>3233</v>
      </c>
      <c r="F1037" t="s">
        <v>204</v>
      </c>
      <c r="G1037" t="s">
        <v>3234</v>
      </c>
      <c r="H1037" t="s">
        <v>206</v>
      </c>
      <c r="I1037" s="32">
        <v>45032.917395833327</v>
      </c>
      <c r="J1037" s="32">
        <v>45033.917395833327</v>
      </c>
      <c r="K1037" s="32">
        <v>45036.917395833327</v>
      </c>
      <c r="L1037" s="8">
        <f t="shared" si="369"/>
        <v>4</v>
      </c>
      <c r="M1037" s="7">
        <v>45049.917395833327</v>
      </c>
      <c r="N1037" t="s">
        <v>49</v>
      </c>
      <c r="O1037" s="34">
        <v>45051.917395833327</v>
      </c>
      <c r="P1037" t="s">
        <v>50</v>
      </c>
      <c r="Q1037" t="s">
        <v>236</v>
      </c>
      <c r="R1037" s="32" t="s">
        <v>7472</v>
      </c>
      <c r="S1037" t="s">
        <v>7476</v>
      </c>
      <c r="T1037" s="34" t="s">
        <v>7476</v>
      </c>
      <c r="U1037" s="34" t="s">
        <v>7476</v>
      </c>
      <c r="V1037" s="32">
        <v>45054.917395833327</v>
      </c>
      <c r="W1037" s="32" t="s">
        <v>7476</v>
      </c>
      <c r="X1037">
        <v>0</v>
      </c>
      <c r="Y1037" s="34" t="s">
        <v>7476</v>
      </c>
      <c r="Z1037" s="34" t="s">
        <v>7476</v>
      </c>
      <c r="AA1037" s="34" t="s">
        <v>7476</v>
      </c>
      <c r="AB1037" s="36" t="s">
        <v>95</v>
      </c>
      <c r="AD1037" t="s">
        <v>3255</v>
      </c>
      <c r="AE1037" t="s">
        <v>3256</v>
      </c>
      <c r="AF1037" s="16">
        <v>45040</v>
      </c>
      <c r="AG1037" t="s">
        <v>64</v>
      </c>
      <c r="AH1037">
        <v>6</v>
      </c>
      <c r="AI1037" s="8" t="str">
        <f>IFERROR(R1037-AF1037,"")</f>
        <v/>
      </c>
      <c r="AJ1037" s="8">
        <f>IFERROR(O1037-AF1037,"")</f>
        <v>11.917395833326736</v>
      </c>
      <c r="AK1037" s="38">
        <f t="shared" si="370"/>
        <v>45234.917395833327</v>
      </c>
      <c r="AL1037" t="str">
        <f>IFERROR(Z1037-W1037,"")</f>
        <v/>
      </c>
      <c r="AM1037" t="str">
        <f>IFERROR(R1037-J1037,"")</f>
        <v/>
      </c>
      <c r="AN1037">
        <f>IFERROR(V1037-O1037,"")</f>
        <v>3</v>
      </c>
      <c r="AO1037">
        <f>IFERROR(J1037-I1037,"")</f>
        <v>1</v>
      </c>
      <c r="AP1037">
        <f>IFERROR(AC1037-X1037,"")</f>
        <v>0</v>
      </c>
      <c r="AQ1037" t="str">
        <f>IFERROR(AA1037-W1037,"")</f>
        <v/>
      </c>
    </row>
    <row r="1038" spans="1:43" x14ac:dyDescent="0.35">
      <c r="A1038">
        <v>2254</v>
      </c>
      <c r="B1038" t="s">
        <v>3257</v>
      </c>
      <c r="C1038" t="s">
        <v>3232</v>
      </c>
      <c r="D1038" t="str">
        <f t="shared" si="368"/>
        <v>IT</v>
      </c>
      <c r="E1038" t="s">
        <v>3233</v>
      </c>
      <c r="F1038" t="s">
        <v>204</v>
      </c>
      <c r="G1038" t="s">
        <v>3234</v>
      </c>
      <c r="H1038" t="s">
        <v>206</v>
      </c>
      <c r="I1038" s="32">
        <v>44783.68608796296</v>
      </c>
      <c r="J1038" s="32">
        <v>44784.68608796296</v>
      </c>
      <c r="K1038" s="32">
        <v>44787.68608796296</v>
      </c>
      <c r="L1038" s="8">
        <f t="shared" si="369"/>
        <v>4</v>
      </c>
      <c r="M1038" s="7">
        <v>44813.68608796296</v>
      </c>
      <c r="N1038" t="s">
        <v>49</v>
      </c>
      <c r="O1038" s="34">
        <v>44798.68608796296</v>
      </c>
      <c r="P1038" t="s">
        <v>50</v>
      </c>
      <c r="Q1038" t="s">
        <v>51</v>
      </c>
      <c r="R1038" s="32" t="s">
        <v>7472</v>
      </c>
      <c r="S1038" t="s">
        <v>7476</v>
      </c>
      <c r="T1038" s="34" t="s">
        <v>7476</v>
      </c>
      <c r="U1038" s="34" t="s">
        <v>7476</v>
      </c>
      <c r="V1038" s="32" t="s">
        <v>7476</v>
      </c>
      <c r="W1038" s="32" t="s">
        <v>7476</v>
      </c>
      <c r="X1038">
        <v>0</v>
      </c>
      <c r="Y1038" s="34" t="s">
        <v>7476</v>
      </c>
      <c r="Z1038" s="34" t="s">
        <v>7476</v>
      </c>
      <c r="AA1038" s="34" t="s">
        <v>7476</v>
      </c>
      <c r="AB1038" s="36" t="s">
        <v>95</v>
      </c>
      <c r="AD1038" t="s">
        <v>3258</v>
      </c>
      <c r="AE1038" t="s">
        <v>3259</v>
      </c>
      <c r="AF1038" s="16">
        <v>44787</v>
      </c>
      <c r="AG1038" t="s">
        <v>98</v>
      </c>
      <c r="AH1038">
        <v>6</v>
      </c>
      <c r="AI1038" s="8" t="str">
        <f>IFERROR(R1038-AF1038,"")</f>
        <v/>
      </c>
      <c r="AJ1038" s="8">
        <f>IFERROR(O1038-AF1038,"")</f>
        <v>11.686087962960301</v>
      </c>
      <c r="AK1038" s="38" t="str">
        <f t="shared" si="370"/>
        <v/>
      </c>
      <c r="AL1038" t="str">
        <f>IFERROR(Z1038-W1038,"")</f>
        <v/>
      </c>
      <c r="AM1038" t="str">
        <f>IFERROR(R1038-J1038,"")</f>
        <v/>
      </c>
      <c r="AN1038" t="str">
        <f>IFERROR(V1038-O1038,"")</f>
        <v/>
      </c>
      <c r="AO1038">
        <f>IFERROR(J1038-I1038,"")</f>
        <v>1</v>
      </c>
      <c r="AP1038">
        <f>IFERROR(AC1038-X1038,"")</f>
        <v>0</v>
      </c>
      <c r="AQ1038" t="str">
        <f>IFERROR(AA1038-W1038,"")</f>
        <v/>
      </c>
    </row>
    <row r="1039" spans="1:43" x14ac:dyDescent="0.35">
      <c r="A1039">
        <v>2055</v>
      </c>
      <c r="B1039" t="s">
        <v>3260</v>
      </c>
      <c r="C1039" t="s">
        <v>3232</v>
      </c>
      <c r="D1039" t="str">
        <f t="shared" si="368"/>
        <v>IT</v>
      </c>
      <c r="E1039" t="s">
        <v>3233</v>
      </c>
      <c r="F1039" t="s">
        <v>204</v>
      </c>
      <c r="G1039" t="s">
        <v>3234</v>
      </c>
      <c r="H1039" t="s">
        <v>206</v>
      </c>
      <c r="I1039" s="32">
        <v>44574.831099537027</v>
      </c>
      <c r="J1039" s="32">
        <v>44577.831099537027</v>
      </c>
      <c r="K1039" s="32">
        <v>44580.831099537027</v>
      </c>
      <c r="L1039" s="8">
        <f t="shared" si="369"/>
        <v>6</v>
      </c>
      <c r="M1039" s="7">
        <v>44591.831099537027</v>
      </c>
      <c r="N1039" t="s">
        <v>49</v>
      </c>
      <c r="O1039" s="34">
        <v>44583.831099537027</v>
      </c>
      <c r="P1039" t="s">
        <v>50</v>
      </c>
      <c r="Q1039" t="s">
        <v>51</v>
      </c>
      <c r="R1039" s="32" t="s">
        <v>7472</v>
      </c>
      <c r="S1039" t="s">
        <v>7476</v>
      </c>
      <c r="T1039" s="34" t="s">
        <v>7476</v>
      </c>
      <c r="U1039" s="34" t="s">
        <v>7476</v>
      </c>
      <c r="V1039" s="32" t="s">
        <v>7476</v>
      </c>
      <c r="W1039" s="32" t="s">
        <v>7476</v>
      </c>
      <c r="X1039">
        <v>0</v>
      </c>
      <c r="Y1039" s="34" t="s">
        <v>7476</v>
      </c>
      <c r="Z1039" s="34" t="s">
        <v>7476</v>
      </c>
      <c r="AA1039" s="34" t="s">
        <v>7476</v>
      </c>
      <c r="AB1039" s="36" t="s">
        <v>52</v>
      </c>
      <c r="AD1039" t="s">
        <v>3261</v>
      </c>
      <c r="AE1039" t="s">
        <v>3262</v>
      </c>
      <c r="AF1039" s="16">
        <v>44572</v>
      </c>
      <c r="AG1039" t="s">
        <v>68</v>
      </c>
      <c r="AH1039">
        <v>6</v>
      </c>
      <c r="AI1039" s="8" t="str">
        <f>IFERROR(R1039-AF1039,"")</f>
        <v/>
      </c>
      <c r="AJ1039" s="8">
        <f>IFERROR(O1039-AF1039,"")</f>
        <v>11.831099537026603</v>
      </c>
      <c r="AK1039" s="38" t="str">
        <f t="shared" si="370"/>
        <v/>
      </c>
      <c r="AL1039" t="str">
        <f>IFERROR(Z1039-W1039,"")</f>
        <v/>
      </c>
      <c r="AM1039" t="str">
        <f>IFERROR(R1039-J1039,"")</f>
        <v/>
      </c>
      <c r="AN1039" t="str">
        <f>IFERROR(V1039-O1039,"")</f>
        <v/>
      </c>
      <c r="AO1039">
        <f>IFERROR(J1039-I1039,"")</f>
        <v>3</v>
      </c>
      <c r="AP1039">
        <f>IFERROR(AC1039-X1039,"")</f>
        <v>0</v>
      </c>
      <c r="AQ1039" t="str">
        <f>IFERROR(AA1039-W1039,"")</f>
        <v/>
      </c>
    </row>
    <row r="1040" spans="1:43" x14ac:dyDescent="0.35">
      <c r="A1040">
        <v>1958</v>
      </c>
      <c r="B1040" t="s">
        <v>3263</v>
      </c>
      <c r="C1040" t="s">
        <v>3238</v>
      </c>
      <c r="D1040" t="str">
        <f t="shared" si="368"/>
        <v>IT</v>
      </c>
      <c r="E1040" t="s">
        <v>3233</v>
      </c>
      <c r="F1040" t="s">
        <v>204</v>
      </c>
      <c r="G1040" t="s">
        <v>3234</v>
      </c>
      <c r="H1040" t="s">
        <v>206</v>
      </c>
      <c r="I1040" s="32">
        <v>44821.042395833327</v>
      </c>
      <c r="J1040" s="32">
        <v>44824.042395833327</v>
      </c>
      <c r="K1040" s="32">
        <v>44825.042395833327</v>
      </c>
      <c r="L1040" s="8">
        <f t="shared" si="369"/>
        <v>4</v>
      </c>
      <c r="M1040" s="7">
        <v>44854.042395833327</v>
      </c>
      <c r="N1040" t="s">
        <v>49</v>
      </c>
      <c r="O1040" s="34">
        <v>44838.042395833327</v>
      </c>
      <c r="P1040" t="s">
        <v>50</v>
      </c>
      <c r="Q1040" t="s">
        <v>198</v>
      </c>
      <c r="R1040" s="32" t="s">
        <v>7472</v>
      </c>
      <c r="S1040" t="s">
        <v>7476</v>
      </c>
      <c r="T1040" s="34" t="s">
        <v>7476</v>
      </c>
      <c r="U1040" s="34" t="s">
        <v>7476</v>
      </c>
      <c r="V1040" s="32" t="s">
        <v>7476</v>
      </c>
      <c r="W1040" s="32" t="s">
        <v>7476</v>
      </c>
      <c r="X1040">
        <v>0</v>
      </c>
      <c r="Y1040" s="34" t="s">
        <v>7476</v>
      </c>
      <c r="Z1040" s="34" t="s">
        <v>7476</v>
      </c>
      <c r="AA1040" s="34" t="s">
        <v>7476</v>
      </c>
      <c r="AB1040" s="36" t="s">
        <v>95</v>
      </c>
      <c r="AD1040" t="s">
        <v>3264</v>
      </c>
      <c r="AE1040" t="s">
        <v>3265</v>
      </c>
      <c r="AF1040" s="16">
        <v>44831</v>
      </c>
      <c r="AG1040" t="s">
        <v>68</v>
      </c>
      <c r="AH1040">
        <v>3</v>
      </c>
      <c r="AI1040" s="8" t="str">
        <f>IFERROR(R1040-AF1040,"")</f>
        <v/>
      </c>
      <c r="AJ1040" s="8">
        <f>IFERROR(O1040-AF1040,"")</f>
        <v>7.0423958333267365</v>
      </c>
      <c r="AK1040" s="38" t="str">
        <f t="shared" si="370"/>
        <v/>
      </c>
      <c r="AL1040" t="str">
        <f>IFERROR(Z1040-W1040,"")</f>
        <v/>
      </c>
      <c r="AM1040" t="str">
        <f>IFERROR(R1040-J1040,"")</f>
        <v/>
      </c>
      <c r="AN1040" t="str">
        <f>IFERROR(V1040-O1040,"")</f>
        <v/>
      </c>
      <c r="AO1040">
        <f>IFERROR(J1040-I1040,"")</f>
        <v>3</v>
      </c>
      <c r="AP1040">
        <f>IFERROR(AC1040-X1040,"")</f>
        <v>0</v>
      </c>
      <c r="AQ1040" t="str">
        <f>IFERROR(AA1040-W1040,"")</f>
        <v/>
      </c>
    </row>
    <row r="1041" spans="1:43" x14ac:dyDescent="0.35">
      <c r="A1041">
        <v>1957</v>
      </c>
      <c r="B1041" t="s">
        <v>3266</v>
      </c>
      <c r="C1041" t="s">
        <v>3232</v>
      </c>
      <c r="D1041" t="str">
        <f t="shared" si="368"/>
        <v>IT</v>
      </c>
      <c r="E1041" t="s">
        <v>3233</v>
      </c>
      <c r="F1041" t="s">
        <v>204</v>
      </c>
      <c r="G1041" t="s">
        <v>3234</v>
      </c>
      <c r="H1041" t="s">
        <v>206</v>
      </c>
      <c r="I1041" s="32">
        <v>44817.042395833327</v>
      </c>
      <c r="J1041" s="32">
        <v>44820.042395833327</v>
      </c>
      <c r="K1041" s="32">
        <v>44825.042395833327</v>
      </c>
      <c r="L1041" s="8">
        <f t="shared" si="369"/>
        <v>8</v>
      </c>
      <c r="M1041" s="7">
        <v>44848.042395833327</v>
      </c>
      <c r="N1041" t="s">
        <v>49</v>
      </c>
      <c r="O1041" s="34">
        <v>44839.042395833327</v>
      </c>
      <c r="P1041" t="s">
        <v>50</v>
      </c>
      <c r="Q1041" t="s">
        <v>198</v>
      </c>
      <c r="R1041" s="32" t="s">
        <v>7472</v>
      </c>
      <c r="S1041" t="s">
        <v>7476</v>
      </c>
      <c r="T1041" s="34" t="s">
        <v>7476</v>
      </c>
      <c r="U1041" s="34" t="s">
        <v>7476</v>
      </c>
      <c r="V1041" s="32" t="s">
        <v>7476</v>
      </c>
      <c r="W1041" s="32" t="s">
        <v>7476</v>
      </c>
      <c r="X1041">
        <v>0</v>
      </c>
      <c r="Y1041" s="34" t="s">
        <v>7476</v>
      </c>
      <c r="Z1041" s="34" t="s">
        <v>7476</v>
      </c>
      <c r="AA1041" s="34" t="s">
        <v>7476</v>
      </c>
      <c r="AB1041" s="36" t="s">
        <v>52</v>
      </c>
      <c r="AD1041" t="s">
        <v>3267</v>
      </c>
      <c r="AE1041" t="s">
        <v>3268</v>
      </c>
      <c r="AF1041" s="16">
        <v>44830</v>
      </c>
      <c r="AG1041" t="s">
        <v>64</v>
      </c>
      <c r="AH1041">
        <v>3</v>
      </c>
      <c r="AI1041" s="8" t="str">
        <f>IFERROR(R1041-AF1041,"")</f>
        <v/>
      </c>
      <c r="AJ1041" s="8">
        <f>IFERROR(O1041-AF1041,"")</f>
        <v>9.0423958333267365</v>
      </c>
      <c r="AK1041" s="38" t="str">
        <f t="shared" si="370"/>
        <v/>
      </c>
      <c r="AL1041" t="str">
        <f>IFERROR(Z1041-W1041,"")</f>
        <v/>
      </c>
      <c r="AM1041" t="str">
        <f>IFERROR(R1041-J1041,"")</f>
        <v/>
      </c>
      <c r="AN1041" t="str">
        <f>IFERROR(V1041-O1041,"")</f>
        <v/>
      </c>
      <c r="AO1041">
        <f>IFERROR(J1041-I1041,"")</f>
        <v>3</v>
      </c>
      <c r="AP1041">
        <f>IFERROR(AC1041-X1041,"")</f>
        <v>0</v>
      </c>
      <c r="AQ1041" t="str">
        <f>IFERROR(AA1041-W1041,"")</f>
        <v/>
      </c>
    </row>
    <row r="1042" spans="1:43" x14ac:dyDescent="0.35">
      <c r="A1042">
        <v>1918</v>
      </c>
      <c r="B1042" t="s">
        <v>3269</v>
      </c>
      <c r="C1042" t="s">
        <v>3245</v>
      </c>
      <c r="D1042" t="str">
        <f t="shared" si="368"/>
        <v>IT</v>
      </c>
      <c r="E1042" t="s">
        <v>3233</v>
      </c>
      <c r="F1042" t="s">
        <v>204</v>
      </c>
      <c r="G1042" t="s">
        <v>3234</v>
      </c>
      <c r="H1042" t="s">
        <v>206</v>
      </c>
      <c r="I1042" s="32">
        <v>44679.892118055563</v>
      </c>
      <c r="J1042" s="32" t="s">
        <v>7471</v>
      </c>
      <c r="K1042" s="32">
        <v>44689.892118055563</v>
      </c>
      <c r="L1042" s="8">
        <f t="shared" si="369"/>
        <v>10</v>
      </c>
      <c r="M1042" s="7">
        <v>44705.892118055563</v>
      </c>
      <c r="N1042" t="s">
        <v>49</v>
      </c>
      <c r="O1042" s="34">
        <v>44693.892118055563</v>
      </c>
      <c r="P1042" t="s">
        <v>50</v>
      </c>
      <c r="Q1042" t="s">
        <v>84</v>
      </c>
      <c r="R1042" s="32" t="s">
        <v>7472</v>
      </c>
      <c r="S1042" t="s">
        <v>7476</v>
      </c>
      <c r="T1042" s="34" t="s">
        <v>7476</v>
      </c>
      <c r="U1042" s="34" t="s">
        <v>7476</v>
      </c>
      <c r="V1042" s="32" t="s">
        <v>7476</v>
      </c>
      <c r="W1042" s="32" t="s">
        <v>7476</v>
      </c>
      <c r="X1042">
        <v>0</v>
      </c>
      <c r="Y1042" s="34" t="s">
        <v>7476</v>
      </c>
      <c r="Z1042" s="34" t="s">
        <v>7476</v>
      </c>
      <c r="AA1042" s="34" t="s">
        <v>7476</v>
      </c>
      <c r="AB1042" s="36" t="s">
        <v>52</v>
      </c>
      <c r="AD1042" t="s">
        <v>3270</v>
      </c>
      <c r="AE1042" t="s">
        <v>3271</v>
      </c>
      <c r="AF1042" s="16">
        <v>44625</v>
      </c>
      <c r="AG1042" t="s">
        <v>64</v>
      </c>
      <c r="AH1042">
        <v>6</v>
      </c>
      <c r="AK1042" s="38" t="str">
        <f t="shared" si="370"/>
        <v/>
      </c>
    </row>
    <row r="1043" spans="1:43" x14ac:dyDescent="0.35">
      <c r="A1043">
        <v>1916</v>
      </c>
      <c r="B1043" t="s">
        <v>3272</v>
      </c>
      <c r="C1043" t="s">
        <v>3238</v>
      </c>
      <c r="D1043" t="str">
        <f t="shared" si="368"/>
        <v>IT</v>
      </c>
      <c r="E1043" t="s">
        <v>3233</v>
      </c>
      <c r="F1043" t="s">
        <v>204</v>
      </c>
      <c r="G1043" t="s">
        <v>3234</v>
      </c>
      <c r="H1043" t="s">
        <v>206</v>
      </c>
      <c r="I1043" s="32" t="s">
        <v>7471</v>
      </c>
      <c r="J1043" s="32">
        <v>44684.892118055563</v>
      </c>
      <c r="K1043" s="32">
        <v>44689.892118055563</v>
      </c>
      <c r="L1043" s="8" t="str">
        <f t="shared" si="369"/>
        <v/>
      </c>
      <c r="M1043" s="7">
        <v>44713.892118055563</v>
      </c>
      <c r="N1043" t="s">
        <v>49</v>
      </c>
      <c r="O1043" s="34">
        <v>44700.892118055563</v>
      </c>
      <c r="P1043" t="s">
        <v>50</v>
      </c>
      <c r="Q1043" t="s">
        <v>125</v>
      </c>
      <c r="R1043" s="32" t="s">
        <v>7472</v>
      </c>
      <c r="S1043" t="s">
        <v>7476</v>
      </c>
      <c r="T1043" s="34" t="s">
        <v>7476</v>
      </c>
      <c r="U1043" s="34" t="s">
        <v>7476</v>
      </c>
      <c r="V1043" s="32">
        <v>44702.892118055563</v>
      </c>
      <c r="W1043" s="32" t="s">
        <v>7476</v>
      </c>
      <c r="X1043">
        <v>0</v>
      </c>
      <c r="Y1043" s="34" t="s">
        <v>7476</v>
      </c>
      <c r="Z1043" s="34" t="s">
        <v>7476</v>
      </c>
      <c r="AA1043" s="34" t="s">
        <v>7476</v>
      </c>
      <c r="AB1043" s="36" t="s">
        <v>52</v>
      </c>
      <c r="AD1043" t="s">
        <v>3273</v>
      </c>
      <c r="AE1043" t="s">
        <v>3274</v>
      </c>
      <c r="AF1043" s="16">
        <v>44681</v>
      </c>
      <c r="AG1043" t="s">
        <v>75</v>
      </c>
      <c r="AH1043">
        <v>3</v>
      </c>
      <c r="AK1043" s="38">
        <f t="shared" si="370"/>
        <v>44792.892118055563</v>
      </c>
    </row>
    <row r="1044" spans="1:43" x14ac:dyDescent="0.35">
      <c r="A1044">
        <v>1645</v>
      </c>
      <c r="B1044" t="s">
        <v>3275</v>
      </c>
      <c r="C1044" t="s">
        <v>3232</v>
      </c>
      <c r="D1044" t="str">
        <f t="shared" si="368"/>
        <v>IT</v>
      </c>
      <c r="E1044" t="s">
        <v>3233</v>
      </c>
      <c r="F1044" t="s">
        <v>204</v>
      </c>
      <c r="G1044" t="s">
        <v>3234</v>
      </c>
      <c r="H1044" t="s">
        <v>206</v>
      </c>
      <c r="I1044" s="32" t="s">
        <v>7471</v>
      </c>
      <c r="J1044" s="32">
        <v>44916.661261574067</v>
      </c>
      <c r="K1044" s="32">
        <v>44920.661261574067</v>
      </c>
      <c r="L1044" s="8" t="str">
        <f t="shared" si="369"/>
        <v/>
      </c>
      <c r="M1044" s="7">
        <v>44947.661261574067</v>
      </c>
      <c r="N1044" t="s">
        <v>49</v>
      </c>
      <c r="O1044" s="34">
        <v>44927.661261574067</v>
      </c>
      <c r="P1044" t="s">
        <v>50</v>
      </c>
      <c r="Q1044" t="s">
        <v>198</v>
      </c>
      <c r="R1044" s="32" t="s">
        <v>7472</v>
      </c>
      <c r="S1044" t="s">
        <v>7476</v>
      </c>
      <c r="T1044" s="34" t="s">
        <v>7476</v>
      </c>
      <c r="U1044" s="34" t="s">
        <v>7476</v>
      </c>
      <c r="V1044" s="32">
        <v>44930.661261574067</v>
      </c>
      <c r="W1044" s="32" t="s">
        <v>7476</v>
      </c>
      <c r="X1044">
        <v>0</v>
      </c>
      <c r="Y1044" s="34" t="s">
        <v>7476</v>
      </c>
      <c r="Z1044" s="34" t="s">
        <v>7476</v>
      </c>
      <c r="AA1044" s="34" t="s">
        <v>7476</v>
      </c>
      <c r="AB1044" s="36" t="s">
        <v>52</v>
      </c>
      <c r="AD1044" t="s">
        <v>3276</v>
      </c>
      <c r="AE1044" t="s">
        <v>3277</v>
      </c>
      <c r="AF1044" s="16">
        <v>44913</v>
      </c>
      <c r="AG1044" t="s">
        <v>75</v>
      </c>
      <c r="AH1044">
        <v>6</v>
      </c>
      <c r="AK1044" s="38">
        <f t="shared" si="370"/>
        <v>45110.661261574067</v>
      </c>
    </row>
    <row r="1045" spans="1:43" x14ac:dyDescent="0.35">
      <c r="A1045">
        <v>1452</v>
      </c>
      <c r="B1045" t="s">
        <v>3278</v>
      </c>
      <c r="C1045" t="s">
        <v>3238</v>
      </c>
      <c r="D1045" t="str">
        <f t="shared" si="368"/>
        <v>IT</v>
      </c>
      <c r="E1045" t="s">
        <v>3233</v>
      </c>
      <c r="F1045" t="s">
        <v>204</v>
      </c>
      <c r="G1045" t="s">
        <v>3234</v>
      </c>
      <c r="H1045" t="s">
        <v>206</v>
      </c>
      <c r="I1045" s="32" t="s">
        <v>7471</v>
      </c>
      <c r="J1045" s="32">
        <v>45023.57240740741</v>
      </c>
      <c r="K1045" s="32">
        <v>45029.57240740741</v>
      </c>
      <c r="L1045" s="8" t="str">
        <f t="shared" si="369"/>
        <v/>
      </c>
      <c r="M1045" s="7">
        <v>45057.57240740741</v>
      </c>
      <c r="N1045" t="s">
        <v>49</v>
      </c>
      <c r="O1045" s="34">
        <v>45043.57240740741</v>
      </c>
      <c r="P1045" t="s">
        <v>50</v>
      </c>
      <c r="Q1045" t="s">
        <v>84</v>
      </c>
      <c r="R1045" s="32" t="s">
        <v>7472</v>
      </c>
      <c r="S1045" t="s">
        <v>7476</v>
      </c>
      <c r="T1045" s="34" t="s">
        <v>7476</v>
      </c>
      <c r="U1045" s="34" t="s">
        <v>7476</v>
      </c>
      <c r="V1045" s="32" t="s">
        <v>7476</v>
      </c>
      <c r="W1045" s="32" t="s">
        <v>7476</v>
      </c>
      <c r="X1045">
        <v>0</v>
      </c>
      <c r="Y1045" s="34" t="s">
        <v>7476</v>
      </c>
      <c r="Z1045" s="34" t="s">
        <v>7476</v>
      </c>
      <c r="AA1045" s="34" t="s">
        <v>7476</v>
      </c>
      <c r="AB1045" s="36" t="s">
        <v>52</v>
      </c>
      <c r="AD1045" t="s">
        <v>3279</v>
      </c>
      <c r="AE1045" t="s">
        <v>3280</v>
      </c>
      <c r="AF1045" s="16">
        <v>45030</v>
      </c>
      <c r="AG1045" t="s">
        <v>75</v>
      </c>
      <c r="AH1045">
        <v>6</v>
      </c>
      <c r="AK1045" s="38" t="str">
        <f t="shared" si="370"/>
        <v/>
      </c>
    </row>
    <row r="1046" spans="1:43" x14ac:dyDescent="0.35">
      <c r="A1046">
        <v>1273</v>
      </c>
      <c r="B1046" t="s">
        <v>3281</v>
      </c>
      <c r="C1046" t="s">
        <v>3232</v>
      </c>
      <c r="D1046" t="str">
        <f t="shared" si="368"/>
        <v>IT</v>
      </c>
      <c r="E1046" t="s">
        <v>3233</v>
      </c>
      <c r="F1046" t="s">
        <v>204</v>
      </c>
      <c r="G1046" t="s">
        <v>3234</v>
      </c>
      <c r="H1046" t="s">
        <v>206</v>
      </c>
      <c r="I1046" s="32">
        <v>44710.107928240737</v>
      </c>
      <c r="J1046" s="32">
        <v>44713.107928240737</v>
      </c>
      <c r="K1046" s="32">
        <v>44717.107928240737</v>
      </c>
      <c r="L1046" s="8">
        <f t="shared" si="369"/>
        <v>7</v>
      </c>
      <c r="M1046" s="7">
        <v>44746.107928240737</v>
      </c>
      <c r="N1046" t="s">
        <v>49</v>
      </c>
      <c r="O1046" s="34">
        <v>44722.107928240737</v>
      </c>
      <c r="P1046" t="s">
        <v>50</v>
      </c>
      <c r="Q1046" t="s">
        <v>198</v>
      </c>
      <c r="R1046" s="32" t="s">
        <v>7472</v>
      </c>
      <c r="S1046" t="s">
        <v>7476</v>
      </c>
      <c r="T1046" s="34" t="s">
        <v>7476</v>
      </c>
      <c r="U1046" s="34" t="s">
        <v>7476</v>
      </c>
      <c r="V1046" s="32" t="s">
        <v>7476</v>
      </c>
      <c r="W1046" s="32" t="s">
        <v>7476</v>
      </c>
      <c r="X1046">
        <v>0</v>
      </c>
      <c r="Y1046" s="34" t="s">
        <v>7476</v>
      </c>
      <c r="Z1046" s="34" t="s">
        <v>7476</v>
      </c>
      <c r="AA1046" s="34" t="s">
        <v>7476</v>
      </c>
      <c r="AB1046" s="36" t="s">
        <v>52</v>
      </c>
      <c r="AD1046" t="s">
        <v>3282</v>
      </c>
      <c r="AE1046" t="s">
        <v>3283</v>
      </c>
      <c r="AF1046" s="16">
        <v>44709</v>
      </c>
      <c r="AG1046" t="s">
        <v>98</v>
      </c>
      <c r="AH1046">
        <v>3</v>
      </c>
      <c r="AI1046" s="8" t="str">
        <f>IFERROR(R1046-AF1046,"")</f>
        <v/>
      </c>
      <c r="AJ1046" s="8">
        <f>IFERROR(O1046-AF1046,"")</f>
        <v>13.107928240737238</v>
      </c>
      <c r="AK1046" s="38" t="str">
        <f t="shared" si="370"/>
        <v/>
      </c>
      <c r="AL1046" t="str">
        <f>IFERROR(Z1046-W1046,"")</f>
        <v/>
      </c>
      <c r="AM1046" t="str">
        <f>IFERROR(R1046-J1046,"")</f>
        <v/>
      </c>
      <c r="AN1046" t="str">
        <f>IFERROR(V1046-O1046,"")</f>
        <v/>
      </c>
      <c r="AO1046">
        <f>IFERROR(J1046-I1046,"")</f>
        <v>3</v>
      </c>
      <c r="AP1046">
        <f>IFERROR(AC1046-X1046,"")</f>
        <v>0</v>
      </c>
      <c r="AQ1046" t="str">
        <f>IFERROR(AA1046-W1046,"")</f>
        <v/>
      </c>
    </row>
    <row r="1047" spans="1:43" x14ac:dyDescent="0.35">
      <c r="A1047">
        <v>1220</v>
      </c>
      <c r="B1047" t="s">
        <v>3284</v>
      </c>
      <c r="C1047" t="s">
        <v>3238</v>
      </c>
      <c r="D1047" t="str">
        <f t="shared" si="368"/>
        <v>IT</v>
      </c>
      <c r="E1047" t="s">
        <v>3233</v>
      </c>
      <c r="F1047" t="s">
        <v>204</v>
      </c>
      <c r="G1047" t="s">
        <v>3234</v>
      </c>
      <c r="H1047" t="s">
        <v>206</v>
      </c>
      <c r="I1047" s="32">
        <v>45132.004317129627</v>
      </c>
      <c r="J1047" s="32">
        <v>45135.004317129627</v>
      </c>
      <c r="K1047" s="32" t="s">
        <v>7473</v>
      </c>
      <c r="L1047" s="8" t="str">
        <f t="shared" si="369"/>
        <v/>
      </c>
      <c r="M1047" s="7">
        <v>45167.004317129627</v>
      </c>
      <c r="N1047" t="s">
        <v>49</v>
      </c>
      <c r="O1047" s="34">
        <v>45156.004317129627</v>
      </c>
      <c r="P1047" t="s">
        <v>50</v>
      </c>
      <c r="Q1047" t="s">
        <v>198</v>
      </c>
      <c r="R1047" s="32" t="s">
        <v>7472</v>
      </c>
      <c r="S1047" t="s">
        <v>7476</v>
      </c>
      <c r="T1047" s="34" t="s">
        <v>7476</v>
      </c>
      <c r="U1047" s="34" t="s">
        <v>7476</v>
      </c>
      <c r="V1047" s="32" t="s">
        <v>7476</v>
      </c>
      <c r="W1047" s="32" t="s">
        <v>7476</v>
      </c>
      <c r="X1047">
        <v>0</v>
      </c>
      <c r="Y1047" s="34" t="s">
        <v>7476</v>
      </c>
      <c r="Z1047" s="34" t="s">
        <v>7476</v>
      </c>
      <c r="AA1047" s="34" t="s">
        <v>7476</v>
      </c>
      <c r="AB1047" s="36" t="s">
        <v>52</v>
      </c>
      <c r="AD1047" t="s">
        <v>3285</v>
      </c>
      <c r="AE1047" t="s">
        <v>3286</v>
      </c>
      <c r="AF1047" s="16">
        <v>45138</v>
      </c>
      <c r="AG1047" t="s">
        <v>75</v>
      </c>
      <c r="AH1047">
        <v>6</v>
      </c>
      <c r="AK1047" s="38" t="str">
        <f t="shared" si="370"/>
        <v/>
      </c>
    </row>
    <row r="1048" spans="1:43" x14ac:dyDescent="0.35">
      <c r="A1048">
        <v>1165</v>
      </c>
      <c r="B1048" t="s">
        <v>3287</v>
      </c>
      <c r="C1048" t="s">
        <v>3238</v>
      </c>
      <c r="D1048" t="str">
        <f t="shared" si="368"/>
        <v>IT</v>
      </c>
      <c r="E1048" t="s">
        <v>3233</v>
      </c>
      <c r="F1048" t="s">
        <v>204</v>
      </c>
      <c r="G1048" t="s">
        <v>3234</v>
      </c>
      <c r="H1048" t="s">
        <v>206</v>
      </c>
      <c r="I1048" s="32">
        <v>44966.866122685176</v>
      </c>
      <c r="J1048" s="32">
        <v>44970.866122685176</v>
      </c>
      <c r="K1048" s="32">
        <v>44973.866122685176</v>
      </c>
      <c r="L1048" s="8">
        <f t="shared" si="369"/>
        <v>7</v>
      </c>
      <c r="M1048" s="7">
        <v>44992.866122685176</v>
      </c>
      <c r="N1048" t="s">
        <v>49</v>
      </c>
      <c r="O1048" s="34">
        <v>44977.866122685176</v>
      </c>
      <c r="P1048" t="s">
        <v>50</v>
      </c>
      <c r="Q1048" t="s">
        <v>198</v>
      </c>
      <c r="R1048" s="32" t="s">
        <v>7472</v>
      </c>
      <c r="S1048" t="s">
        <v>7476</v>
      </c>
      <c r="T1048" s="34" t="s">
        <v>7476</v>
      </c>
      <c r="U1048" s="34" t="s">
        <v>7476</v>
      </c>
      <c r="V1048" s="32" t="s">
        <v>7476</v>
      </c>
      <c r="W1048" s="32" t="s">
        <v>7476</v>
      </c>
      <c r="X1048">
        <v>0</v>
      </c>
      <c r="Y1048" s="34" t="s">
        <v>7476</v>
      </c>
      <c r="Z1048" s="34" t="s">
        <v>7476</v>
      </c>
      <c r="AA1048" s="34" t="s">
        <v>7476</v>
      </c>
      <c r="AB1048" s="36" t="s">
        <v>95</v>
      </c>
      <c r="AD1048" t="s">
        <v>3288</v>
      </c>
      <c r="AE1048" t="s">
        <v>3289</v>
      </c>
      <c r="AF1048" s="16">
        <v>45109</v>
      </c>
      <c r="AG1048" t="s">
        <v>98</v>
      </c>
      <c r="AH1048">
        <v>3</v>
      </c>
      <c r="AI1048" s="8" t="str">
        <f t="shared" ref="AI1048:AI1055" si="371">IFERROR(R1048-AF1048,"")</f>
        <v/>
      </c>
      <c r="AJ1048" s="8">
        <f t="shared" ref="AJ1048:AJ1055" si="372">IFERROR(O1048-AF1048,"")</f>
        <v>-131.13387731482362</v>
      </c>
      <c r="AK1048" s="38" t="str">
        <f t="shared" si="370"/>
        <v/>
      </c>
      <c r="AL1048" t="str">
        <f t="shared" ref="AL1048:AL1055" si="373">IFERROR(Z1048-W1048,"")</f>
        <v/>
      </c>
      <c r="AM1048" t="str">
        <f t="shared" ref="AM1048:AM1055" si="374">IFERROR(R1048-J1048,"")</f>
        <v/>
      </c>
      <c r="AN1048" t="str">
        <f t="shared" ref="AN1048:AN1055" si="375">IFERROR(V1048-O1048,"")</f>
        <v/>
      </c>
      <c r="AO1048">
        <f t="shared" ref="AO1048:AO1055" si="376">IFERROR(J1048-I1048,"")</f>
        <v>4</v>
      </c>
      <c r="AP1048">
        <f t="shared" ref="AP1048:AP1055" si="377">IFERROR(AC1048-X1048,"")</f>
        <v>0</v>
      </c>
      <c r="AQ1048" t="str">
        <f t="shared" ref="AQ1048:AQ1055" si="378">IFERROR(AA1048-W1048,"")</f>
        <v/>
      </c>
    </row>
    <row r="1049" spans="1:43" x14ac:dyDescent="0.35">
      <c r="A1049">
        <v>1089</v>
      </c>
      <c r="B1049" t="s">
        <v>3290</v>
      </c>
      <c r="C1049" t="s">
        <v>3238</v>
      </c>
      <c r="D1049" t="str">
        <f t="shared" si="368"/>
        <v>IT</v>
      </c>
      <c r="E1049" t="s">
        <v>3233</v>
      </c>
      <c r="F1049" t="s">
        <v>204</v>
      </c>
      <c r="G1049" t="s">
        <v>3234</v>
      </c>
      <c r="H1049" t="s">
        <v>206</v>
      </c>
      <c r="I1049" s="32">
        <v>44892.976215277777</v>
      </c>
      <c r="J1049" s="32">
        <v>44894.976215277777</v>
      </c>
      <c r="K1049" s="32">
        <v>44899.976215277777</v>
      </c>
      <c r="L1049" s="8">
        <f t="shared" si="369"/>
        <v>7</v>
      </c>
      <c r="M1049" s="7">
        <v>44906.976215277777</v>
      </c>
      <c r="N1049" t="s">
        <v>49</v>
      </c>
      <c r="O1049" s="34">
        <v>44917.976215277777</v>
      </c>
      <c r="P1049" t="s">
        <v>50</v>
      </c>
      <c r="Q1049" t="s">
        <v>198</v>
      </c>
      <c r="R1049" s="32" t="s">
        <v>7472</v>
      </c>
      <c r="S1049" t="s">
        <v>7476</v>
      </c>
      <c r="T1049" s="34" t="s">
        <v>7476</v>
      </c>
      <c r="U1049" s="34" t="s">
        <v>7476</v>
      </c>
      <c r="V1049" s="32">
        <v>44920.976215277777</v>
      </c>
      <c r="W1049" s="32" t="s">
        <v>7476</v>
      </c>
      <c r="X1049">
        <v>0</v>
      </c>
      <c r="Y1049" s="34" t="s">
        <v>7476</v>
      </c>
      <c r="Z1049" s="34" t="s">
        <v>7476</v>
      </c>
      <c r="AA1049" s="34" t="s">
        <v>7476</v>
      </c>
      <c r="AB1049" s="36" t="s">
        <v>95</v>
      </c>
      <c r="AD1049" t="s">
        <v>3291</v>
      </c>
      <c r="AE1049" t="s">
        <v>3292</v>
      </c>
      <c r="AF1049" s="16">
        <v>44905</v>
      </c>
      <c r="AG1049" t="s">
        <v>64</v>
      </c>
      <c r="AH1049">
        <v>3</v>
      </c>
      <c r="AI1049" s="8" t="str">
        <f t="shared" si="371"/>
        <v/>
      </c>
      <c r="AJ1049" s="8">
        <f t="shared" si="372"/>
        <v>12.976215277776646</v>
      </c>
      <c r="AK1049" s="38">
        <f t="shared" si="370"/>
        <v>45010.976215277777</v>
      </c>
      <c r="AL1049" t="str">
        <f t="shared" si="373"/>
        <v/>
      </c>
      <c r="AM1049" t="str">
        <f t="shared" si="374"/>
        <v/>
      </c>
      <c r="AN1049">
        <f t="shared" si="375"/>
        <v>3</v>
      </c>
      <c r="AO1049">
        <f t="shared" si="376"/>
        <v>2</v>
      </c>
      <c r="AP1049">
        <f t="shared" si="377"/>
        <v>0</v>
      </c>
      <c r="AQ1049" t="str">
        <f t="shared" si="378"/>
        <v/>
      </c>
    </row>
    <row r="1050" spans="1:43" x14ac:dyDescent="0.35">
      <c r="A1050">
        <v>1050</v>
      </c>
      <c r="B1050" t="s">
        <v>3293</v>
      </c>
      <c r="C1050" t="s">
        <v>3232</v>
      </c>
      <c r="D1050" t="str">
        <f t="shared" si="368"/>
        <v>IT</v>
      </c>
      <c r="E1050" t="s">
        <v>3233</v>
      </c>
      <c r="F1050" t="s">
        <v>204</v>
      </c>
      <c r="G1050" t="s">
        <v>3234</v>
      </c>
      <c r="H1050" t="s">
        <v>206</v>
      </c>
      <c r="I1050" s="32">
        <v>44886.960578703707</v>
      </c>
      <c r="J1050" s="32">
        <v>44888.960578703707</v>
      </c>
      <c r="K1050" s="32">
        <v>44891.960578703707</v>
      </c>
      <c r="L1050" s="8">
        <f t="shared" si="369"/>
        <v>5</v>
      </c>
      <c r="M1050" s="7">
        <v>44901.960578703707</v>
      </c>
      <c r="N1050" t="s">
        <v>49</v>
      </c>
      <c r="O1050" s="34">
        <v>44900.960578703707</v>
      </c>
      <c r="P1050" t="s">
        <v>50</v>
      </c>
      <c r="Q1050" t="s">
        <v>84</v>
      </c>
      <c r="R1050" s="32" t="s">
        <v>7472</v>
      </c>
      <c r="S1050" t="s">
        <v>7476</v>
      </c>
      <c r="T1050" s="34" t="s">
        <v>7476</v>
      </c>
      <c r="U1050" s="34" t="s">
        <v>7476</v>
      </c>
      <c r="V1050" s="32">
        <v>44904.960578703707</v>
      </c>
      <c r="W1050" s="32" t="s">
        <v>7476</v>
      </c>
      <c r="X1050">
        <v>0</v>
      </c>
      <c r="Y1050" s="34" t="s">
        <v>7476</v>
      </c>
      <c r="Z1050" s="34" t="s">
        <v>7476</v>
      </c>
      <c r="AA1050" s="34" t="s">
        <v>7476</v>
      </c>
      <c r="AB1050" s="36" t="s">
        <v>52</v>
      </c>
      <c r="AD1050" t="s">
        <v>3294</v>
      </c>
      <c r="AE1050" t="s">
        <v>3295</v>
      </c>
      <c r="AF1050" s="16">
        <v>44888</v>
      </c>
      <c r="AG1050" t="s">
        <v>98</v>
      </c>
      <c r="AH1050">
        <v>6</v>
      </c>
      <c r="AI1050" s="8" t="str">
        <f t="shared" si="371"/>
        <v/>
      </c>
      <c r="AJ1050" s="8">
        <f t="shared" si="372"/>
        <v>12.960578703707142</v>
      </c>
      <c r="AK1050" s="38">
        <f t="shared" si="370"/>
        <v>45084.960578703707</v>
      </c>
      <c r="AL1050" t="str">
        <f t="shared" si="373"/>
        <v/>
      </c>
      <c r="AM1050" t="str">
        <f t="shared" si="374"/>
        <v/>
      </c>
      <c r="AN1050">
        <f t="shared" si="375"/>
        <v>4</v>
      </c>
      <c r="AO1050">
        <f t="shared" si="376"/>
        <v>2</v>
      </c>
      <c r="AP1050">
        <f t="shared" si="377"/>
        <v>0</v>
      </c>
      <c r="AQ1050" t="str">
        <f t="shared" si="378"/>
        <v/>
      </c>
    </row>
    <row r="1051" spans="1:43" x14ac:dyDescent="0.35">
      <c r="A1051">
        <v>1029</v>
      </c>
      <c r="B1051" t="s">
        <v>3296</v>
      </c>
      <c r="C1051" t="s">
        <v>3245</v>
      </c>
      <c r="D1051" t="str">
        <f t="shared" si="368"/>
        <v>IT</v>
      </c>
      <c r="E1051" t="s">
        <v>3233</v>
      </c>
      <c r="F1051" t="s">
        <v>204</v>
      </c>
      <c r="G1051" t="s">
        <v>3234</v>
      </c>
      <c r="H1051" t="s">
        <v>206</v>
      </c>
      <c r="I1051" s="32">
        <v>44954.791134259263</v>
      </c>
      <c r="J1051" s="32">
        <v>44955.791134259263</v>
      </c>
      <c r="K1051" s="32">
        <v>44958.791134259263</v>
      </c>
      <c r="L1051" s="8">
        <f t="shared" si="369"/>
        <v>4</v>
      </c>
      <c r="M1051" s="7">
        <v>44977.791134259263</v>
      </c>
      <c r="N1051" t="s">
        <v>49</v>
      </c>
      <c r="O1051" s="34">
        <v>44966.791134259263</v>
      </c>
      <c r="P1051" t="s">
        <v>50</v>
      </c>
      <c r="Q1051" t="s">
        <v>51</v>
      </c>
      <c r="R1051" s="32" t="s">
        <v>7472</v>
      </c>
      <c r="S1051" t="s">
        <v>7476</v>
      </c>
      <c r="T1051" s="34" t="s">
        <v>7476</v>
      </c>
      <c r="U1051" s="34" t="s">
        <v>7476</v>
      </c>
      <c r="V1051" s="32">
        <v>44968.791134259263</v>
      </c>
      <c r="W1051" s="32" t="s">
        <v>7476</v>
      </c>
      <c r="X1051">
        <v>0</v>
      </c>
      <c r="Y1051" s="34" t="s">
        <v>7476</v>
      </c>
      <c r="Z1051" s="34" t="s">
        <v>7476</v>
      </c>
      <c r="AA1051" s="34" t="s">
        <v>7476</v>
      </c>
      <c r="AB1051" s="36" t="s">
        <v>95</v>
      </c>
      <c r="AD1051" t="s">
        <v>3297</v>
      </c>
      <c r="AE1051" t="s">
        <v>3298</v>
      </c>
      <c r="AF1051" s="16">
        <v>44948</v>
      </c>
      <c r="AG1051" t="s">
        <v>98</v>
      </c>
      <c r="AH1051">
        <v>3</v>
      </c>
      <c r="AI1051" s="8" t="str">
        <f t="shared" si="371"/>
        <v/>
      </c>
      <c r="AJ1051" s="8">
        <f t="shared" si="372"/>
        <v>18.791134259263345</v>
      </c>
      <c r="AK1051" s="38">
        <f t="shared" si="370"/>
        <v>45058.791134259263</v>
      </c>
      <c r="AL1051" t="str">
        <f t="shared" si="373"/>
        <v/>
      </c>
      <c r="AM1051" t="str">
        <f t="shared" si="374"/>
        <v/>
      </c>
      <c r="AN1051">
        <f t="shared" si="375"/>
        <v>2</v>
      </c>
      <c r="AO1051">
        <f t="shared" si="376"/>
        <v>1</v>
      </c>
      <c r="AP1051">
        <f t="shared" si="377"/>
        <v>0</v>
      </c>
      <c r="AQ1051" t="str">
        <f t="shared" si="378"/>
        <v/>
      </c>
    </row>
    <row r="1052" spans="1:43" x14ac:dyDescent="0.35">
      <c r="A1052">
        <v>2942</v>
      </c>
      <c r="B1052" t="s">
        <v>3299</v>
      </c>
      <c r="C1052" t="s">
        <v>3238</v>
      </c>
      <c r="D1052" t="str">
        <f t="shared" si="368"/>
        <v>IT</v>
      </c>
      <c r="E1052" t="s">
        <v>3300</v>
      </c>
      <c r="F1052" t="s">
        <v>3301</v>
      </c>
      <c r="G1052" t="s">
        <v>3302</v>
      </c>
      <c r="H1052" t="s">
        <v>334</v>
      </c>
      <c r="I1052" s="32">
        <v>44727.484722222223</v>
      </c>
      <c r="J1052" s="32">
        <v>44730.484722222223</v>
      </c>
      <c r="K1052" s="32">
        <v>44738.484722222223</v>
      </c>
      <c r="L1052" s="8">
        <f t="shared" si="369"/>
        <v>11</v>
      </c>
      <c r="M1052" s="7">
        <v>44783.484722222223</v>
      </c>
      <c r="N1052" t="s">
        <v>49</v>
      </c>
      <c r="O1052" s="34">
        <v>44739.484722222223</v>
      </c>
      <c r="P1052" t="s">
        <v>50</v>
      </c>
      <c r="Q1052" t="s">
        <v>51</v>
      </c>
      <c r="R1052" s="32" t="s">
        <v>7472</v>
      </c>
      <c r="S1052" t="s">
        <v>7476</v>
      </c>
      <c r="T1052" s="34" t="s">
        <v>7476</v>
      </c>
      <c r="U1052" s="34" t="s">
        <v>7476</v>
      </c>
      <c r="V1052" s="32" t="s">
        <v>7476</v>
      </c>
      <c r="W1052" s="32" t="s">
        <v>7476</v>
      </c>
      <c r="X1052">
        <v>0</v>
      </c>
      <c r="Y1052" s="34" t="s">
        <v>7476</v>
      </c>
      <c r="Z1052" s="34" t="s">
        <v>7476</v>
      </c>
      <c r="AA1052" s="34" t="s">
        <v>7476</v>
      </c>
      <c r="AB1052" s="36" t="s">
        <v>52</v>
      </c>
      <c r="AD1052" t="s">
        <v>3303</v>
      </c>
      <c r="AE1052" t="s">
        <v>3304</v>
      </c>
      <c r="AF1052" s="16">
        <v>44901</v>
      </c>
      <c r="AG1052" t="s">
        <v>64</v>
      </c>
      <c r="AH1052">
        <v>6</v>
      </c>
      <c r="AI1052" s="8" t="str">
        <f t="shared" si="371"/>
        <v/>
      </c>
      <c r="AJ1052" s="8">
        <f t="shared" si="372"/>
        <v>-161.51527777777665</v>
      </c>
      <c r="AK1052" s="38" t="str">
        <f t="shared" si="370"/>
        <v/>
      </c>
      <c r="AL1052" t="str">
        <f t="shared" si="373"/>
        <v/>
      </c>
      <c r="AM1052" t="str">
        <f t="shared" si="374"/>
        <v/>
      </c>
      <c r="AN1052" t="str">
        <f t="shared" si="375"/>
        <v/>
      </c>
      <c r="AO1052">
        <f t="shared" si="376"/>
        <v>3</v>
      </c>
      <c r="AP1052">
        <f t="shared" si="377"/>
        <v>0</v>
      </c>
      <c r="AQ1052" t="str">
        <f t="shared" si="378"/>
        <v/>
      </c>
    </row>
    <row r="1053" spans="1:43" x14ac:dyDescent="0.35">
      <c r="A1053">
        <v>2900</v>
      </c>
      <c r="B1053" t="s">
        <v>3305</v>
      </c>
      <c r="C1053" t="s">
        <v>3245</v>
      </c>
      <c r="D1053" t="str">
        <f t="shared" si="368"/>
        <v>IT</v>
      </c>
      <c r="E1053" t="s">
        <v>3300</v>
      </c>
      <c r="F1053" t="s">
        <v>3301</v>
      </c>
      <c r="G1053" t="s">
        <v>3302</v>
      </c>
      <c r="H1053" t="s">
        <v>334</v>
      </c>
      <c r="I1053" s="32">
        <v>44962.681840277779</v>
      </c>
      <c r="J1053" s="32">
        <v>44964.681840277779</v>
      </c>
      <c r="K1053" s="32">
        <v>44971.681840277779</v>
      </c>
      <c r="L1053" s="8">
        <f t="shared" si="369"/>
        <v>9</v>
      </c>
      <c r="M1053" s="7">
        <v>45016.681840277779</v>
      </c>
      <c r="N1053" t="s">
        <v>49</v>
      </c>
      <c r="O1053" s="34">
        <v>44973.681840277779</v>
      </c>
      <c r="P1053" t="s">
        <v>50</v>
      </c>
      <c r="Q1053" t="s">
        <v>84</v>
      </c>
      <c r="R1053" s="32" t="s">
        <v>7472</v>
      </c>
      <c r="S1053" t="s">
        <v>7476</v>
      </c>
      <c r="T1053" s="34" t="s">
        <v>7476</v>
      </c>
      <c r="U1053" s="34" t="s">
        <v>7476</v>
      </c>
      <c r="V1053" s="32" t="s">
        <v>7476</v>
      </c>
      <c r="W1053" s="32" t="s">
        <v>7476</v>
      </c>
      <c r="X1053">
        <v>0</v>
      </c>
      <c r="Y1053" s="34" t="s">
        <v>7476</v>
      </c>
      <c r="Z1053" s="34" t="s">
        <v>7476</v>
      </c>
      <c r="AA1053" s="34" t="s">
        <v>7476</v>
      </c>
      <c r="AB1053" s="36" t="s">
        <v>52</v>
      </c>
      <c r="AD1053" t="s">
        <v>3306</v>
      </c>
      <c r="AE1053" t="s">
        <v>3307</v>
      </c>
      <c r="AF1053" s="16">
        <v>45109</v>
      </c>
      <c r="AG1053" t="s">
        <v>98</v>
      </c>
      <c r="AH1053">
        <v>6</v>
      </c>
      <c r="AI1053" s="8" t="str">
        <f t="shared" si="371"/>
        <v/>
      </c>
      <c r="AJ1053" s="8">
        <f t="shared" si="372"/>
        <v>-135.31815972222103</v>
      </c>
      <c r="AK1053" s="38" t="str">
        <f t="shared" si="370"/>
        <v/>
      </c>
      <c r="AL1053" t="str">
        <f t="shared" si="373"/>
        <v/>
      </c>
      <c r="AM1053" t="str">
        <f t="shared" si="374"/>
        <v/>
      </c>
      <c r="AN1053" t="str">
        <f t="shared" si="375"/>
        <v/>
      </c>
      <c r="AO1053">
        <f t="shared" si="376"/>
        <v>2</v>
      </c>
      <c r="AP1053">
        <f t="shared" si="377"/>
        <v>0</v>
      </c>
      <c r="AQ1053" t="str">
        <f t="shared" si="378"/>
        <v/>
      </c>
    </row>
    <row r="1054" spans="1:43" x14ac:dyDescent="0.35">
      <c r="A1054">
        <v>2584</v>
      </c>
      <c r="B1054" t="s">
        <v>3308</v>
      </c>
      <c r="C1054" t="s">
        <v>3238</v>
      </c>
      <c r="D1054" t="str">
        <f t="shared" si="368"/>
        <v>IT</v>
      </c>
      <c r="E1054" t="s">
        <v>3300</v>
      </c>
      <c r="F1054" t="s">
        <v>3301</v>
      </c>
      <c r="G1054" t="s">
        <v>3302</v>
      </c>
      <c r="H1054" t="s">
        <v>334</v>
      </c>
      <c r="I1054" s="32">
        <v>44785.038506944453</v>
      </c>
      <c r="J1054" s="32">
        <v>44787.038506944453</v>
      </c>
      <c r="K1054" s="32">
        <v>44791.038506944453</v>
      </c>
      <c r="L1054" s="8">
        <f t="shared" si="369"/>
        <v>6</v>
      </c>
      <c r="M1054" s="7">
        <v>44817.038506944453</v>
      </c>
      <c r="N1054" t="s">
        <v>49</v>
      </c>
      <c r="O1054" s="34">
        <v>44798.038506944453</v>
      </c>
      <c r="P1054" t="s">
        <v>50</v>
      </c>
      <c r="Q1054" t="s">
        <v>198</v>
      </c>
      <c r="R1054" s="32" t="s">
        <v>7472</v>
      </c>
      <c r="S1054" t="s">
        <v>7476</v>
      </c>
      <c r="T1054" s="34" t="s">
        <v>7476</v>
      </c>
      <c r="U1054" s="34" t="s">
        <v>7476</v>
      </c>
      <c r="V1054" s="32" t="s">
        <v>7476</v>
      </c>
      <c r="W1054" s="32" t="s">
        <v>7476</v>
      </c>
      <c r="X1054">
        <v>0</v>
      </c>
      <c r="Y1054" s="34" t="s">
        <v>7476</v>
      </c>
      <c r="Z1054" s="34" t="s">
        <v>7476</v>
      </c>
      <c r="AA1054" s="34" t="s">
        <v>7476</v>
      </c>
      <c r="AB1054" s="36" t="s">
        <v>95</v>
      </c>
      <c r="AD1054" t="s">
        <v>3309</v>
      </c>
      <c r="AE1054" t="s">
        <v>3310</v>
      </c>
      <c r="AF1054" s="16">
        <v>44787</v>
      </c>
      <c r="AG1054" t="s">
        <v>98</v>
      </c>
      <c r="AH1054">
        <v>6</v>
      </c>
      <c r="AI1054" s="8" t="str">
        <f t="shared" si="371"/>
        <v/>
      </c>
      <c r="AJ1054" s="8">
        <f t="shared" si="372"/>
        <v>11.03850694445282</v>
      </c>
      <c r="AK1054" s="38" t="str">
        <f t="shared" si="370"/>
        <v/>
      </c>
      <c r="AL1054" t="str">
        <f t="shared" si="373"/>
        <v/>
      </c>
      <c r="AM1054" t="str">
        <f t="shared" si="374"/>
        <v/>
      </c>
      <c r="AN1054" t="str">
        <f t="shared" si="375"/>
        <v/>
      </c>
      <c r="AO1054">
        <f t="shared" si="376"/>
        <v>2</v>
      </c>
      <c r="AP1054">
        <f t="shared" si="377"/>
        <v>0</v>
      </c>
      <c r="AQ1054" t="str">
        <f t="shared" si="378"/>
        <v/>
      </c>
    </row>
    <row r="1055" spans="1:43" x14ac:dyDescent="0.35">
      <c r="A1055">
        <v>2582</v>
      </c>
      <c r="B1055" t="s">
        <v>3311</v>
      </c>
      <c r="C1055" t="s">
        <v>3238</v>
      </c>
      <c r="D1055" t="str">
        <f t="shared" si="368"/>
        <v>IT</v>
      </c>
      <c r="E1055" t="s">
        <v>3300</v>
      </c>
      <c r="F1055" t="s">
        <v>3301</v>
      </c>
      <c r="G1055" t="s">
        <v>3302</v>
      </c>
      <c r="H1055" t="s">
        <v>334</v>
      </c>
      <c r="I1055" s="32">
        <v>44786.038506944453</v>
      </c>
      <c r="J1055" s="32">
        <v>44788.038506944453</v>
      </c>
      <c r="K1055" s="32">
        <v>44791.038506944453</v>
      </c>
      <c r="L1055" s="8">
        <f t="shared" si="369"/>
        <v>5</v>
      </c>
      <c r="M1055" s="7">
        <v>44796.038506944453</v>
      </c>
      <c r="N1055" t="s">
        <v>49</v>
      </c>
      <c r="O1055" s="34">
        <v>44806.038506944453</v>
      </c>
      <c r="P1055" t="s">
        <v>60</v>
      </c>
      <c r="R1055" s="32">
        <v>44812.038506944453</v>
      </c>
      <c r="S1055" t="s">
        <v>61</v>
      </c>
      <c r="T1055" s="34" t="s">
        <v>7476</v>
      </c>
      <c r="U1055" s="34" t="s">
        <v>7476</v>
      </c>
      <c r="V1055" s="32">
        <v>44808.038506944453</v>
      </c>
      <c r="W1055" s="32" t="s">
        <v>7476</v>
      </c>
      <c r="X1055">
        <v>0</v>
      </c>
      <c r="Y1055" s="34" t="s">
        <v>7476</v>
      </c>
      <c r="Z1055" s="34" t="s">
        <v>7476</v>
      </c>
      <c r="AA1055" s="34" t="s">
        <v>7476</v>
      </c>
      <c r="AB1055" s="36" t="s">
        <v>7476</v>
      </c>
      <c r="AD1055" t="s">
        <v>3312</v>
      </c>
      <c r="AE1055" t="s">
        <v>3313</v>
      </c>
      <c r="AF1055" s="16">
        <v>44790</v>
      </c>
      <c r="AG1055" t="s">
        <v>64</v>
      </c>
      <c r="AH1055">
        <v>3</v>
      </c>
      <c r="AI1055" s="8">
        <f t="shared" si="371"/>
        <v>22.03850694445282</v>
      </c>
      <c r="AJ1055" s="8">
        <f t="shared" si="372"/>
        <v>16.03850694445282</v>
      </c>
      <c r="AK1055" s="38">
        <f t="shared" si="370"/>
        <v>44898.038506944453</v>
      </c>
      <c r="AL1055" t="str">
        <f t="shared" si="373"/>
        <v/>
      </c>
      <c r="AM1055">
        <f t="shared" si="374"/>
        <v>24</v>
      </c>
      <c r="AN1055">
        <f t="shared" si="375"/>
        <v>2</v>
      </c>
      <c r="AO1055">
        <f t="shared" si="376"/>
        <v>2</v>
      </c>
      <c r="AP1055">
        <f t="shared" si="377"/>
        <v>0</v>
      </c>
      <c r="AQ1055" t="str">
        <f t="shared" si="378"/>
        <v/>
      </c>
    </row>
    <row r="1056" spans="1:43" x14ac:dyDescent="0.35">
      <c r="A1056">
        <v>2415</v>
      </c>
      <c r="B1056" t="s">
        <v>3314</v>
      </c>
      <c r="C1056" t="s">
        <v>3232</v>
      </c>
      <c r="D1056" t="str">
        <f t="shared" si="368"/>
        <v>IT</v>
      </c>
      <c r="E1056" t="s">
        <v>3300</v>
      </c>
      <c r="F1056" t="s">
        <v>3301</v>
      </c>
      <c r="G1056" t="s">
        <v>3302</v>
      </c>
      <c r="H1056" t="s">
        <v>334</v>
      </c>
      <c r="I1056" s="32" t="s">
        <v>7471</v>
      </c>
      <c r="J1056" s="32">
        <v>45010.608229166668</v>
      </c>
      <c r="K1056" s="32">
        <v>45015.608229166668</v>
      </c>
      <c r="L1056" s="8" t="str">
        <f t="shared" si="369"/>
        <v/>
      </c>
      <c r="M1056" s="7">
        <v>45034.608229166668</v>
      </c>
      <c r="N1056" t="s">
        <v>49</v>
      </c>
      <c r="O1056" s="34">
        <v>45027.608229166668</v>
      </c>
      <c r="P1056" t="s">
        <v>60</v>
      </c>
      <c r="R1056" s="32">
        <v>45031.608229166668</v>
      </c>
      <c r="S1056" t="s">
        <v>61</v>
      </c>
      <c r="T1056" s="34" t="s">
        <v>7476</v>
      </c>
      <c r="U1056" s="34" t="s">
        <v>7476</v>
      </c>
      <c r="V1056" s="32">
        <v>45028.608229166668</v>
      </c>
      <c r="W1056" s="32" t="s">
        <v>7476</v>
      </c>
      <c r="X1056">
        <v>0</v>
      </c>
      <c r="Y1056" s="34" t="s">
        <v>7476</v>
      </c>
      <c r="Z1056" s="34" t="s">
        <v>7476</v>
      </c>
      <c r="AA1056" s="34" t="s">
        <v>7476</v>
      </c>
      <c r="AB1056" s="36" t="s">
        <v>7476</v>
      </c>
      <c r="AD1056" t="s">
        <v>3315</v>
      </c>
      <c r="AE1056" t="s">
        <v>3316</v>
      </c>
      <c r="AF1056" s="16">
        <v>45014</v>
      </c>
      <c r="AG1056" t="s">
        <v>68</v>
      </c>
      <c r="AH1056">
        <v>3</v>
      </c>
      <c r="AK1056" s="38">
        <f t="shared" si="370"/>
        <v>45118.608229166668</v>
      </c>
    </row>
    <row r="1057" spans="1:43" x14ac:dyDescent="0.35">
      <c r="A1057">
        <v>2412</v>
      </c>
      <c r="B1057" t="s">
        <v>3317</v>
      </c>
      <c r="C1057" t="s">
        <v>3238</v>
      </c>
      <c r="D1057" t="str">
        <f t="shared" si="368"/>
        <v>IT</v>
      </c>
      <c r="E1057" t="s">
        <v>3300</v>
      </c>
      <c r="F1057" t="s">
        <v>3301</v>
      </c>
      <c r="G1057" t="s">
        <v>3302</v>
      </c>
      <c r="H1057" t="s">
        <v>334</v>
      </c>
      <c r="I1057" s="32">
        <v>45010.608229166668</v>
      </c>
      <c r="J1057" s="32">
        <v>45011.608229166668</v>
      </c>
      <c r="K1057" s="32">
        <v>45015.608229166668</v>
      </c>
      <c r="L1057" s="8">
        <f t="shared" si="369"/>
        <v>5</v>
      </c>
      <c r="M1057" s="7">
        <v>45040.608229166668</v>
      </c>
      <c r="N1057" t="s">
        <v>49</v>
      </c>
      <c r="O1057" s="34">
        <v>45019.608229166668</v>
      </c>
      <c r="P1057" t="s">
        <v>60</v>
      </c>
      <c r="R1057" s="32">
        <v>45027.608229166668</v>
      </c>
      <c r="S1057" t="s">
        <v>61</v>
      </c>
      <c r="T1057" s="34" t="s">
        <v>7476</v>
      </c>
      <c r="U1057" s="34" t="s">
        <v>7476</v>
      </c>
      <c r="V1057" s="32">
        <v>45023.608229166668</v>
      </c>
      <c r="W1057" s="32" t="s">
        <v>7476</v>
      </c>
      <c r="X1057">
        <v>0</v>
      </c>
      <c r="Y1057" s="34" t="s">
        <v>7476</v>
      </c>
      <c r="Z1057" s="34" t="s">
        <v>7476</v>
      </c>
      <c r="AA1057" s="34" t="s">
        <v>7476</v>
      </c>
      <c r="AB1057" s="36" t="s">
        <v>7476</v>
      </c>
      <c r="AD1057" t="s">
        <v>3318</v>
      </c>
      <c r="AE1057" t="s">
        <v>3319</v>
      </c>
      <c r="AF1057" s="16">
        <v>45008</v>
      </c>
      <c r="AG1057" t="s">
        <v>68</v>
      </c>
      <c r="AH1057">
        <v>3</v>
      </c>
      <c r="AI1057" s="8">
        <f>IFERROR(R1057-AF1057,"")</f>
        <v>19.608229166668025</v>
      </c>
      <c r="AJ1057" s="8">
        <f>IFERROR(O1057-AF1057,"")</f>
        <v>11.608229166668025</v>
      </c>
      <c r="AK1057" s="38">
        <f t="shared" si="370"/>
        <v>45113.608229166668</v>
      </c>
      <c r="AL1057" t="str">
        <f>IFERROR(Z1057-W1057,"")</f>
        <v/>
      </c>
      <c r="AM1057">
        <f>IFERROR(R1057-J1057,"")</f>
        <v>16</v>
      </c>
      <c r="AN1057">
        <f>IFERROR(V1057-O1057,"")</f>
        <v>4</v>
      </c>
      <c r="AO1057">
        <f>IFERROR(J1057-I1057,"")</f>
        <v>1</v>
      </c>
      <c r="AP1057">
        <f>IFERROR(AC1057-X1057,"")</f>
        <v>0</v>
      </c>
      <c r="AQ1057" t="str">
        <f>IFERROR(AA1057-W1057,"")</f>
        <v/>
      </c>
    </row>
    <row r="1058" spans="1:43" x14ac:dyDescent="0.35">
      <c r="A1058">
        <v>2374</v>
      </c>
      <c r="B1058" t="s">
        <v>3320</v>
      </c>
      <c r="C1058" t="s">
        <v>3232</v>
      </c>
      <c r="D1058" t="str">
        <f t="shared" si="368"/>
        <v>IT</v>
      </c>
      <c r="E1058" t="s">
        <v>3300</v>
      </c>
      <c r="F1058" t="s">
        <v>3301</v>
      </c>
      <c r="G1058" t="s">
        <v>3302</v>
      </c>
      <c r="H1058" t="s">
        <v>334</v>
      </c>
      <c r="I1058" s="32" t="s">
        <v>7471</v>
      </c>
      <c r="J1058" s="32">
        <v>45035.917395833327</v>
      </c>
      <c r="K1058" s="32">
        <v>45036.917395833327</v>
      </c>
      <c r="L1058" s="8" t="str">
        <f t="shared" si="369"/>
        <v/>
      </c>
      <c r="M1058" s="7">
        <v>45044.917395833327</v>
      </c>
      <c r="N1058" t="s">
        <v>49</v>
      </c>
      <c r="O1058" s="34">
        <v>45050.917395833327</v>
      </c>
      <c r="P1058" t="s">
        <v>50</v>
      </c>
      <c r="Q1058" t="s">
        <v>84</v>
      </c>
      <c r="R1058" s="32" t="s">
        <v>7472</v>
      </c>
      <c r="S1058" t="s">
        <v>7476</v>
      </c>
      <c r="T1058" s="34" t="s">
        <v>7476</v>
      </c>
      <c r="U1058" s="34" t="s">
        <v>7476</v>
      </c>
      <c r="V1058" s="32" t="s">
        <v>7476</v>
      </c>
      <c r="W1058" s="32" t="s">
        <v>7476</v>
      </c>
      <c r="X1058">
        <v>0</v>
      </c>
      <c r="Y1058" s="34" t="s">
        <v>7476</v>
      </c>
      <c r="Z1058" s="34" t="s">
        <v>7476</v>
      </c>
      <c r="AA1058" s="34" t="s">
        <v>7476</v>
      </c>
      <c r="AB1058" s="36" t="s">
        <v>52</v>
      </c>
      <c r="AD1058" t="s">
        <v>3321</v>
      </c>
      <c r="AE1058" t="s">
        <v>3322</v>
      </c>
      <c r="AF1058" s="16">
        <v>45045</v>
      </c>
      <c r="AG1058" t="s">
        <v>75</v>
      </c>
      <c r="AH1058">
        <v>6</v>
      </c>
      <c r="AK1058" s="38" t="str">
        <f t="shared" si="370"/>
        <v/>
      </c>
    </row>
    <row r="1059" spans="1:43" x14ac:dyDescent="0.35">
      <c r="A1059">
        <v>2339</v>
      </c>
      <c r="B1059" t="s">
        <v>3323</v>
      </c>
      <c r="C1059" t="s">
        <v>3232</v>
      </c>
      <c r="D1059" t="str">
        <f t="shared" si="368"/>
        <v>IT</v>
      </c>
      <c r="E1059" t="s">
        <v>3300</v>
      </c>
      <c r="F1059" t="s">
        <v>3301</v>
      </c>
      <c r="G1059" t="s">
        <v>3302</v>
      </c>
      <c r="H1059" t="s">
        <v>334</v>
      </c>
      <c r="I1059" s="32">
        <v>44692.386030092603</v>
      </c>
      <c r="J1059" s="32">
        <v>44696.386030092603</v>
      </c>
      <c r="K1059" s="32">
        <v>44700.386030092603</v>
      </c>
      <c r="L1059" s="8">
        <f t="shared" si="369"/>
        <v>8</v>
      </c>
      <c r="M1059" s="7">
        <v>44711.386030092603</v>
      </c>
      <c r="N1059" t="s">
        <v>49</v>
      </c>
      <c r="O1059" s="34">
        <v>44702.386030092603</v>
      </c>
      <c r="P1059" t="s">
        <v>50</v>
      </c>
      <c r="Q1059" t="s">
        <v>84</v>
      </c>
      <c r="R1059" s="32" t="s">
        <v>7472</v>
      </c>
      <c r="S1059" t="s">
        <v>7476</v>
      </c>
      <c r="T1059" s="34" t="s">
        <v>7476</v>
      </c>
      <c r="U1059" s="34" t="s">
        <v>7476</v>
      </c>
      <c r="V1059" s="32">
        <v>44703.386030092603</v>
      </c>
      <c r="W1059" s="32" t="s">
        <v>7476</v>
      </c>
      <c r="X1059">
        <v>0</v>
      </c>
      <c r="Y1059" s="34" t="s">
        <v>7476</v>
      </c>
      <c r="Z1059" s="34" t="s">
        <v>7476</v>
      </c>
      <c r="AA1059" s="34" t="s">
        <v>7476</v>
      </c>
      <c r="AB1059" s="36" t="s">
        <v>52</v>
      </c>
      <c r="AD1059" t="s">
        <v>3324</v>
      </c>
      <c r="AE1059" t="s">
        <v>3325</v>
      </c>
      <c r="AF1059" s="16">
        <v>44697</v>
      </c>
      <c r="AG1059" t="s">
        <v>98</v>
      </c>
      <c r="AH1059">
        <v>3</v>
      </c>
      <c r="AI1059" s="8" t="str">
        <f>IFERROR(R1059-AF1059,"")</f>
        <v/>
      </c>
      <c r="AJ1059" s="8">
        <f>IFERROR(O1059-AF1059,"")</f>
        <v>5.3860300926025957</v>
      </c>
      <c r="AK1059" s="38">
        <f t="shared" si="370"/>
        <v>44793.386030092603</v>
      </c>
      <c r="AL1059" t="str">
        <f>IFERROR(Z1059-W1059,"")</f>
        <v/>
      </c>
      <c r="AM1059" t="str">
        <f>IFERROR(R1059-J1059,"")</f>
        <v/>
      </c>
      <c r="AN1059">
        <f>IFERROR(V1059-O1059,"")</f>
        <v>1</v>
      </c>
      <c r="AO1059">
        <f>IFERROR(J1059-I1059,"")</f>
        <v>4</v>
      </c>
      <c r="AP1059">
        <f>IFERROR(AC1059-X1059,"")</f>
        <v>0</v>
      </c>
      <c r="AQ1059" t="str">
        <f>IFERROR(AA1059-W1059,"")</f>
        <v/>
      </c>
    </row>
    <row r="1060" spans="1:43" x14ac:dyDescent="0.35">
      <c r="A1060">
        <v>2337</v>
      </c>
      <c r="B1060" t="s">
        <v>3326</v>
      </c>
      <c r="C1060" t="s">
        <v>3238</v>
      </c>
      <c r="D1060" t="str">
        <f t="shared" si="368"/>
        <v>IT</v>
      </c>
      <c r="E1060" t="s">
        <v>3300</v>
      </c>
      <c r="F1060" t="s">
        <v>3301</v>
      </c>
      <c r="G1060" t="s">
        <v>3302</v>
      </c>
      <c r="H1060" t="s">
        <v>334</v>
      </c>
      <c r="I1060" s="32">
        <v>44696.386030092603</v>
      </c>
      <c r="J1060" s="32">
        <v>44698.386030092603</v>
      </c>
      <c r="K1060" s="32">
        <v>44700.386030092603</v>
      </c>
      <c r="L1060" s="8">
        <f t="shared" si="369"/>
        <v>4</v>
      </c>
      <c r="M1060" s="7">
        <v>44714.386030092603</v>
      </c>
      <c r="N1060" t="s">
        <v>49</v>
      </c>
      <c r="O1060" s="34">
        <v>44709.386030092603</v>
      </c>
      <c r="P1060" t="s">
        <v>60</v>
      </c>
      <c r="R1060" s="32">
        <v>44716.386030092603</v>
      </c>
      <c r="S1060" t="s">
        <v>61</v>
      </c>
      <c r="T1060" s="34" t="s">
        <v>7476</v>
      </c>
      <c r="U1060" s="34" t="s">
        <v>7476</v>
      </c>
      <c r="V1060" s="32">
        <v>44713.386030092603</v>
      </c>
      <c r="W1060" s="32" t="s">
        <v>7476</v>
      </c>
      <c r="X1060">
        <v>0</v>
      </c>
      <c r="Y1060" s="34" t="s">
        <v>7476</v>
      </c>
      <c r="Z1060" s="34" t="s">
        <v>7476</v>
      </c>
      <c r="AA1060" s="34" t="s">
        <v>7476</v>
      </c>
      <c r="AB1060" s="36" t="s">
        <v>7476</v>
      </c>
      <c r="AD1060" t="s">
        <v>3327</v>
      </c>
      <c r="AE1060" t="s">
        <v>3328</v>
      </c>
      <c r="AF1060" s="16">
        <v>44697</v>
      </c>
      <c r="AG1060" t="s">
        <v>64</v>
      </c>
      <c r="AH1060">
        <v>3</v>
      </c>
      <c r="AI1060" s="8">
        <f>IFERROR(R1060-AF1060,"")</f>
        <v>19.386030092602596</v>
      </c>
      <c r="AJ1060" s="8">
        <f>IFERROR(O1060-AF1060,"")</f>
        <v>12.386030092602596</v>
      </c>
      <c r="AK1060" s="38">
        <f t="shared" si="370"/>
        <v>44803.386030092603</v>
      </c>
      <c r="AL1060" t="str">
        <f>IFERROR(Z1060-W1060,"")</f>
        <v/>
      </c>
      <c r="AM1060">
        <f>IFERROR(R1060-J1060,"")</f>
        <v>18</v>
      </c>
      <c r="AN1060">
        <f>IFERROR(V1060-O1060,"")</f>
        <v>4</v>
      </c>
      <c r="AO1060">
        <f>IFERROR(J1060-I1060,"")</f>
        <v>2</v>
      </c>
      <c r="AP1060">
        <f>IFERROR(AC1060-X1060,"")</f>
        <v>0</v>
      </c>
      <c r="AQ1060" t="str">
        <f>IFERROR(AA1060-W1060,"")</f>
        <v/>
      </c>
    </row>
    <row r="1061" spans="1:43" x14ac:dyDescent="0.35">
      <c r="A1061">
        <v>2256</v>
      </c>
      <c r="B1061" t="s">
        <v>3329</v>
      </c>
      <c r="C1061" t="s">
        <v>3245</v>
      </c>
      <c r="D1061" t="str">
        <f t="shared" si="368"/>
        <v>IT</v>
      </c>
      <c r="E1061" t="s">
        <v>3300</v>
      </c>
      <c r="F1061" t="s">
        <v>3301</v>
      </c>
      <c r="G1061" t="s">
        <v>3302</v>
      </c>
      <c r="H1061" t="s">
        <v>334</v>
      </c>
      <c r="I1061" s="32" t="s">
        <v>7471</v>
      </c>
      <c r="J1061" s="32">
        <v>44781.68608796296</v>
      </c>
      <c r="K1061" s="32">
        <v>44787.68608796296</v>
      </c>
      <c r="L1061" s="8" t="str">
        <f t="shared" si="369"/>
        <v/>
      </c>
      <c r="M1061" s="7">
        <v>44809.68608796296</v>
      </c>
      <c r="N1061" t="s">
        <v>49</v>
      </c>
      <c r="O1061" s="34">
        <v>44790.68608796296</v>
      </c>
      <c r="P1061" t="s">
        <v>60</v>
      </c>
      <c r="R1061" s="32">
        <v>44795.68608796296</v>
      </c>
      <c r="S1061" t="s">
        <v>61</v>
      </c>
      <c r="T1061" s="34" t="s">
        <v>7476</v>
      </c>
      <c r="U1061" s="34" t="s">
        <v>7476</v>
      </c>
      <c r="V1061" s="32">
        <v>44793.68608796296</v>
      </c>
      <c r="W1061" s="32" t="s">
        <v>7476</v>
      </c>
      <c r="X1061">
        <v>0</v>
      </c>
      <c r="Y1061" s="34" t="s">
        <v>7476</v>
      </c>
      <c r="Z1061" s="34" t="s">
        <v>7476</v>
      </c>
      <c r="AA1061" s="34" t="s">
        <v>7476</v>
      </c>
      <c r="AB1061" s="36" t="s">
        <v>7476</v>
      </c>
      <c r="AD1061" t="s">
        <v>3330</v>
      </c>
      <c r="AE1061" t="s">
        <v>3331</v>
      </c>
      <c r="AF1061" s="16">
        <v>44779</v>
      </c>
      <c r="AG1061" t="s">
        <v>55</v>
      </c>
      <c r="AH1061">
        <v>3</v>
      </c>
      <c r="AK1061" s="38">
        <f t="shared" si="370"/>
        <v>44883.68608796296</v>
      </c>
    </row>
    <row r="1062" spans="1:43" x14ac:dyDescent="0.35">
      <c r="A1062">
        <v>2252</v>
      </c>
      <c r="B1062" t="s">
        <v>3332</v>
      </c>
      <c r="C1062" t="s">
        <v>3238</v>
      </c>
      <c r="D1062" t="str">
        <f t="shared" si="368"/>
        <v>IT</v>
      </c>
      <c r="E1062" t="s">
        <v>3300</v>
      </c>
      <c r="F1062" t="s">
        <v>3301</v>
      </c>
      <c r="G1062" t="s">
        <v>3302</v>
      </c>
      <c r="H1062" t="s">
        <v>334</v>
      </c>
      <c r="I1062" s="32">
        <v>44781.68608796296</v>
      </c>
      <c r="J1062" s="32">
        <v>44782.68608796296</v>
      </c>
      <c r="K1062" s="32">
        <v>44787.68608796296</v>
      </c>
      <c r="L1062" s="8">
        <f t="shared" si="369"/>
        <v>6</v>
      </c>
      <c r="M1062" s="7">
        <v>44797.68608796296</v>
      </c>
      <c r="N1062" t="s">
        <v>49</v>
      </c>
      <c r="O1062" s="34">
        <v>44798.68608796296</v>
      </c>
      <c r="P1062" t="s">
        <v>101</v>
      </c>
      <c r="R1062" s="32">
        <v>44802.68608796296</v>
      </c>
      <c r="S1062" t="s">
        <v>101</v>
      </c>
      <c r="T1062" s="34">
        <v>44799.68608796296</v>
      </c>
      <c r="U1062" s="34">
        <v>44802.68608796296</v>
      </c>
      <c r="V1062" s="32">
        <v>44801.68608796296</v>
      </c>
      <c r="W1062" s="32">
        <v>44809.68608796296</v>
      </c>
      <c r="X1062">
        <v>1</v>
      </c>
      <c r="Y1062" s="34">
        <v>44812.68608796296</v>
      </c>
      <c r="Z1062" s="34">
        <v>44813.68608796296</v>
      </c>
      <c r="AA1062" s="34">
        <v>44815.68608796296</v>
      </c>
      <c r="AB1062" s="36" t="s">
        <v>7476</v>
      </c>
      <c r="AC1062" s="10">
        <v>44833.68608796296</v>
      </c>
      <c r="AD1062" t="s">
        <v>3333</v>
      </c>
      <c r="AE1062" t="s">
        <v>3334</v>
      </c>
      <c r="AF1062" s="16">
        <v>44791</v>
      </c>
      <c r="AG1062" t="s">
        <v>68</v>
      </c>
      <c r="AH1062">
        <v>6</v>
      </c>
      <c r="AI1062" s="8">
        <f>IFERROR(R1062-AF1062,"")</f>
        <v>11.686087962960301</v>
      </c>
      <c r="AJ1062" s="8">
        <f>IFERROR(O1062-AF1062,"")</f>
        <v>7.6860879629603005</v>
      </c>
      <c r="AK1062" s="38">
        <f t="shared" si="370"/>
        <v>44981.68608796296</v>
      </c>
      <c r="AL1062">
        <f>IFERROR(Z1062-W1062,"")</f>
        <v>4</v>
      </c>
      <c r="AM1062">
        <f>IFERROR(R1062-J1062,"")</f>
        <v>20</v>
      </c>
      <c r="AN1062">
        <f>IFERROR(V1062-O1062,"")</f>
        <v>3</v>
      </c>
      <c r="AO1062">
        <f>IFERROR(J1062-I1062,"")</f>
        <v>1</v>
      </c>
      <c r="AP1062">
        <f>IFERROR(AC1062-X1062,"")</f>
        <v>44832.68608796296</v>
      </c>
      <c r="AQ1062">
        <f>IFERROR(AA1062-W1062,"")</f>
        <v>6</v>
      </c>
    </row>
    <row r="1063" spans="1:43" x14ac:dyDescent="0.35">
      <c r="A1063">
        <v>2251</v>
      </c>
      <c r="B1063" t="s">
        <v>3335</v>
      </c>
      <c r="C1063" t="s">
        <v>3238</v>
      </c>
      <c r="D1063" t="str">
        <f t="shared" si="368"/>
        <v>IT</v>
      </c>
      <c r="E1063" t="s">
        <v>3300</v>
      </c>
      <c r="F1063" t="s">
        <v>3301</v>
      </c>
      <c r="G1063" t="s">
        <v>3302</v>
      </c>
      <c r="H1063" t="s">
        <v>334</v>
      </c>
      <c r="I1063" s="32">
        <v>44784.68608796296</v>
      </c>
      <c r="J1063" s="32">
        <v>44785.68608796296</v>
      </c>
      <c r="K1063" s="32">
        <v>44787.68608796296</v>
      </c>
      <c r="L1063" s="8">
        <f t="shared" si="369"/>
        <v>3</v>
      </c>
      <c r="M1063" s="7">
        <v>44815.68608796296</v>
      </c>
      <c r="N1063" t="s">
        <v>49</v>
      </c>
      <c r="O1063" s="34">
        <v>44793.68608796296</v>
      </c>
      <c r="P1063" t="s">
        <v>50</v>
      </c>
      <c r="Q1063" t="s">
        <v>84</v>
      </c>
      <c r="R1063" s="32" t="s">
        <v>7472</v>
      </c>
      <c r="S1063" t="s">
        <v>7476</v>
      </c>
      <c r="T1063" s="34" t="s">
        <v>7476</v>
      </c>
      <c r="U1063" s="34" t="s">
        <v>7476</v>
      </c>
      <c r="V1063" s="32" t="s">
        <v>7476</v>
      </c>
      <c r="W1063" s="32" t="s">
        <v>7476</v>
      </c>
      <c r="X1063">
        <v>0</v>
      </c>
      <c r="Y1063" s="34" t="s">
        <v>7476</v>
      </c>
      <c r="Z1063" s="34" t="s">
        <v>7476</v>
      </c>
      <c r="AA1063" s="34" t="s">
        <v>7476</v>
      </c>
      <c r="AB1063" s="36" t="s">
        <v>95</v>
      </c>
      <c r="AD1063" t="s">
        <v>3336</v>
      </c>
      <c r="AE1063" t="s">
        <v>3337</v>
      </c>
      <c r="AF1063" s="16">
        <v>44788</v>
      </c>
      <c r="AG1063" t="s">
        <v>98</v>
      </c>
      <c r="AH1063">
        <v>6</v>
      </c>
      <c r="AI1063" s="8" t="str">
        <f>IFERROR(R1063-AF1063,"")</f>
        <v/>
      </c>
      <c r="AJ1063" s="8">
        <f>IFERROR(O1063-AF1063,"")</f>
        <v>5.6860879629603005</v>
      </c>
      <c r="AK1063" s="38" t="str">
        <f t="shared" si="370"/>
        <v/>
      </c>
      <c r="AL1063" t="str">
        <f>IFERROR(Z1063-W1063,"")</f>
        <v/>
      </c>
      <c r="AM1063" t="str">
        <f>IFERROR(R1063-J1063,"")</f>
        <v/>
      </c>
      <c r="AN1063" t="str">
        <f>IFERROR(V1063-O1063,"")</f>
        <v/>
      </c>
      <c r="AO1063">
        <f>IFERROR(J1063-I1063,"")</f>
        <v>1</v>
      </c>
      <c r="AP1063">
        <f>IFERROR(AC1063-X1063,"")</f>
        <v>0</v>
      </c>
      <c r="AQ1063" t="str">
        <f>IFERROR(AA1063-W1063,"")</f>
        <v/>
      </c>
    </row>
    <row r="1064" spans="1:43" x14ac:dyDescent="0.35">
      <c r="A1064">
        <v>1954</v>
      </c>
      <c r="B1064" t="s">
        <v>3338</v>
      </c>
      <c r="C1064" t="s">
        <v>3238</v>
      </c>
      <c r="D1064" t="str">
        <f t="shared" si="368"/>
        <v>IT</v>
      </c>
      <c r="E1064" t="s">
        <v>3300</v>
      </c>
      <c r="F1064" t="s">
        <v>3301</v>
      </c>
      <c r="G1064" t="s">
        <v>3302</v>
      </c>
      <c r="H1064" t="s">
        <v>334</v>
      </c>
      <c r="I1064" s="32">
        <v>44818.042395833327</v>
      </c>
      <c r="J1064" s="32">
        <v>44820.042395833327</v>
      </c>
      <c r="K1064" s="32">
        <v>44825.042395833327</v>
      </c>
      <c r="L1064" s="8">
        <f t="shared" si="369"/>
        <v>7</v>
      </c>
      <c r="M1064" s="7">
        <v>44851.042395833327</v>
      </c>
      <c r="N1064" t="s">
        <v>49</v>
      </c>
      <c r="O1064" s="34">
        <v>44838.042395833327</v>
      </c>
      <c r="P1064" t="s">
        <v>60</v>
      </c>
      <c r="R1064" s="32">
        <v>44844.042395833327</v>
      </c>
      <c r="S1064" t="s">
        <v>61</v>
      </c>
      <c r="T1064" s="34" t="s">
        <v>7476</v>
      </c>
      <c r="U1064" s="34" t="s">
        <v>7476</v>
      </c>
      <c r="V1064" s="32">
        <v>44841.042395833327</v>
      </c>
      <c r="W1064" s="32" t="s">
        <v>7476</v>
      </c>
      <c r="X1064">
        <v>0</v>
      </c>
      <c r="Y1064" s="34" t="s">
        <v>7476</v>
      </c>
      <c r="Z1064" s="34" t="s">
        <v>7476</v>
      </c>
      <c r="AA1064" s="34" t="s">
        <v>7476</v>
      </c>
      <c r="AB1064" s="36" t="s">
        <v>7476</v>
      </c>
      <c r="AD1064" t="s">
        <v>3339</v>
      </c>
      <c r="AE1064" t="s">
        <v>3340</v>
      </c>
      <c r="AF1064" s="16">
        <v>44824</v>
      </c>
      <c r="AG1064" t="s">
        <v>64</v>
      </c>
      <c r="AH1064">
        <v>6</v>
      </c>
      <c r="AI1064" s="8">
        <f>IFERROR(R1064-AF1064,"")</f>
        <v>20.042395833326736</v>
      </c>
      <c r="AJ1064" s="8">
        <f>IFERROR(O1064-AF1064,"")</f>
        <v>14.042395833326736</v>
      </c>
      <c r="AK1064" s="38">
        <f t="shared" si="370"/>
        <v>45021.042395833327</v>
      </c>
      <c r="AL1064" t="str">
        <f>IFERROR(Z1064-W1064,"")</f>
        <v/>
      </c>
      <c r="AM1064">
        <f>IFERROR(R1064-J1064,"")</f>
        <v>24</v>
      </c>
      <c r="AN1064">
        <f>IFERROR(V1064-O1064,"")</f>
        <v>3</v>
      </c>
      <c r="AO1064">
        <f>IFERROR(J1064-I1064,"")</f>
        <v>2</v>
      </c>
      <c r="AP1064">
        <f>IFERROR(AC1064-X1064,"")</f>
        <v>0</v>
      </c>
      <c r="AQ1064" t="str">
        <f>IFERROR(AA1064-W1064,"")</f>
        <v/>
      </c>
    </row>
    <row r="1065" spans="1:43" x14ac:dyDescent="0.35">
      <c r="A1065">
        <v>1951</v>
      </c>
      <c r="B1065" t="s">
        <v>3341</v>
      </c>
      <c r="C1065" t="s">
        <v>3245</v>
      </c>
      <c r="D1065" t="str">
        <f t="shared" si="368"/>
        <v>IT</v>
      </c>
      <c r="E1065" t="s">
        <v>3300</v>
      </c>
      <c r="F1065" t="s">
        <v>3301</v>
      </c>
      <c r="G1065" t="s">
        <v>3302</v>
      </c>
      <c r="H1065" t="s">
        <v>334</v>
      </c>
      <c r="I1065" s="32">
        <v>44821.042395833327</v>
      </c>
      <c r="J1065" s="32">
        <v>44823.042395833327</v>
      </c>
      <c r="K1065" s="32">
        <v>44825.042395833327</v>
      </c>
      <c r="L1065" s="8">
        <f t="shared" si="369"/>
        <v>4</v>
      </c>
      <c r="M1065" s="7">
        <v>44839.042395833327</v>
      </c>
      <c r="N1065" t="s">
        <v>49</v>
      </c>
      <c r="O1065" s="34">
        <v>44835.042395833327</v>
      </c>
      <c r="P1065" t="s">
        <v>50</v>
      </c>
      <c r="Q1065" t="s">
        <v>51</v>
      </c>
      <c r="R1065" s="32" t="s">
        <v>7472</v>
      </c>
      <c r="S1065" t="s">
        <v>7476</v>
      </c>
      <c r="T1065" s="34" t="s">
        <v>7476</v>
      </c>
      <c r="U1065" s="34" t="s">
        <v>7476</v>
      </c>
      <c r="V1065" s="32" t="s">
        <v>7476</v>
      </c>
      <c r="W1065" s="32" t="s">
        <v>7476</v>
      </c>
      <c r="X1065">
        <v>0</v>
      </c>
      <c r="Y1065" s="34" t="s">
        <v>7476</v>
      </c>
      <c r="Z1065" s="34" t="s">
        <v>7476</v>
      </c>
      <c r="AA1065" s="34" t="s">
        <v>7476</v>
      </c>
      <c r="AB1065" s="36" t="s">
        <v>52</v>
      </c>
      <c r="AD1065" t="s">
        <v>3342</v>
      </c>
      <c r="AE1065" t="s">
        <v>3343</v>
      </c>
      <c r="AF1065" s="16">
        <v>44826</v>
      </c>
      <c r="AG1065" t="s">
        <v>98</v>
      </c>
      <c r="AH1065">
        <v>3</v>
      </c>
      <c r="AI1065" s="8" t="str">
        <f>IFERROR(R1065-AF1065,"")</f>
        <v/>
      </c>
      <c r="AJ1065" s="8">
        <f>IFERROR(O1065-AF1065,"")</f>
        <v>9.0423958333267365</v>
      </c>
      <c r="AK1065" s="38" t="str">
        <f t="shared" si="370"/>
        <v/>
      </c>
      <c r="AL1065" t="str">
        <f>IFERROR(Z1065-W1065,"")</f>
        <v/>
      </c>
      <c r="AM1065" t="str">
        <f>IFERROR(R1065-J1065,"")</f>
        <v/>
      </c>
      <c r="AN1065" t="str">
        <f>IFERROR(V1065-O1065,"")</f>
        <v/>
      </c>
      <c r="AO1065">
        <f>IFERROR(J1065-I1065,"")</f>
        <v>2</v>
      </c>
      <c r="AP1065">
        <f>IFERROR(AC1065-X1065,"")</f>
        <v>0</v>
      </c>
      <c r="AQ1065" t="str">
        <f>IFERROR(AA1065-W1065,"")</f>
        <v/>
      </c>
    </row>
    <row r="1066" spans="1:43" x14ac:dyDescent="0.35">
      <c r="A1066">
        <v>1915</v>
      </c>
      <c r="B1066" t="s">
        <v>3344</v>
      </c>
      <c r="C1066" t="s">
        <v>3232</v>
      </c>
      <c r="D1066" t="str">
        <f t="shared" si="368"/>
        <v>IT</v>
      </c>
      <c r="E1066" t="s">
        <v>3300</v>
      </c>
      <c r="F1066" t="s">
        <v>3301</v>
      </c>
      <c r="G1066" t="s">
        <v>3302</v>
      </c>
      <c r="H1066" t="s">
        <v>334</v>
      </c>
      <c r="I1066" s="32" t="s">
        <v>7471</v>
      </c>
      <c r="J1066" s="32">
        <v>44688.892118055563</v>
      </c>
      <c r="K1066" s="32">
        <v>44689.892118055563</v>
      </c>
      <c r="L1066" s="8" t="str">
        <f t="shared" si="369"/>
        <v/>
      </c>
      <c r="M1066" s="7">
        <v>44708.892118055563</v>
      </c>
      <c r="N1066" t="s">
        <v>49</v>
      </c>
      <c r="O1066" s="34">
        <v>44697.892118055563</v>
      </c>
      <c r="P1066" t="s">
        <v>50</v>
      </c>
      <c r="Q1066" t="s">
        <v>51</v>
      </c>
      <c r="R1066" s="32" t="s">
        <v>7472</v>
      </c>
      <c r="S1066" t="s">
        <v>7476</v>
      </c>
      <c r="T1066" s="34" t="s">
        <v>7476</v>
      </c>
      <c r="U1066" s="34" t="s">
        <v>7476</v>
      </c>
      <c r="V1066" s="32">
        <v>44700.892118055563</v>
      </c>
      <c r="W1066" s="32" t="s">
        <v>7476</v>
      </c>
      <c r="X1066">
        <v>0</v>
      </c>
      <c r="Y1066" s="34" t="s">
        <v>7476</v>
      </c>
      <c r="Z1066" s="34" t="s">
        <v>7476</v>
      </c>
      <c r="AA1066" s="34" t="s">
        <v>7476</v>
      </c>
      <c r="AB1066" s="36" t="s">
        <v>52</v>
      </c>
      <c r="AD1066" t="s">
        <v>3345</v>
      </c>
      <c r="AE1066" t="s">
        <v>3346</v>
      </c>
      <c r="AF1066" s="16">
        <v>44686</v>
      </c>
      <c r="AG1066" t="s">
        <v>98</v>
      </c>
      <c r="AH1066">
        <v>3</v>
      </c>
      <c r="AK1066" s="38">
        <f t="shared" si="370"/>
        <v>44790.892118055563</v>
      </c>
    </row>
    <row r="1067" spans="1:43" x14ac:dyDescent="0.35">
      <c r="A1067">
        <v>1914</v>
      </c>
      <c r="B1067" t="s">
        <v>3347</v>
      </c>
      <c r="C1067" t="s">
        <v>3238</v>
      </c>
      <c r="D1067" t="str">
        <f t="shared" si="368"/>
        <v>IT</v>
      </c>
      <c r="E1067" t="s">
        <v>3300</v>
      </c>
      <c r="F1067" t="s">
        <v>3301</v>
      </c>
      <c r="G1067" t="s">
        <v>3302</v>
      </c>
      <c r="H1067" t="s">
        <v>334</v>
      </c>
      <c r="I1067" s="32">
        <v>44683.892118055563</v>
      </c>
      <c r="J1067" s="32">
        <v>44686.892118055563</v>
      </c>
      <c r="K1067" s="32">
        <v>44689.892118055563</v>
      </c>
      <c r="L1067" s="8">
        <f t="shared" si="369"/>
        <v>6</v>
      </c>
      <c r="M1067" s="7">
        <v>44712.892118055563</v>
      </c>
      <c r="N1067" t="s">
        <v>49</v>
      </c>
      <c r="O1067" s="34">
        <v>44691.892118055563</v>
      </c>
      <c r="P1067" t="s">
        <v>392</v>
      </c>
      <c r="R1067" s="32">
        <v>44696.892118055563</v>
      </c>
      <c r="S1067" t="s">
        <v>392</v>
      </c>
      <c r="T1067" s="34" t="s">
        <v>7476</v>
      </c>
      <c r="U1067" s="34" t="s">
        <v>7476</v>
      </c>
      <c r="V1067" s="32">
        <v>44695.892118055563</v>
      </c>
      <c r="W1067" s="32" t="s">
        <v>7476</v>
      </c>
      <c r="X1067">
        <v>0</v>
      </c>
      <c r="Y1067" s="34" t="s">
        <v>7476</v>
      </c>
      <c r="Z1067" s="34" t="s">
        <v>7476</v>
      </c>
      <c r="AA1067" s="34" t="s">
        <v>7476</v>
      </c>
      <c r="AB1067" s="36" t="s">
        <v>7476</v>
      </c>
      <c r="AD1067" t="s">
        <v>3348</v>
      </c>
      <c r="AE1067" t="s">
        <v>3349</v>
      </c>
      <c r="AF1067" s="16">
        <v>44680</v>
      </c>
      <c r="AG1067" t="s">
        <v>68</v>
      </c>
      <c r="AH1067">
        <v>3</v>
      </c>
      <c r="AI1067" s="8">
        <f t="shared" ref="AI1067:AI1074" si="379">IFERROR(R1067-AF1067,"")</f>
        <v>16.892118055562605</v>
      </c>
      <c r="AJ1067" s="8">
        <f t="shared" ref="AJ1067:AJ1074" si="380">IFERROR(O1067-AF1067,"")</f>
        <v>11.892118055562605</v>
      </c>
      <c r="AK1067" s="38">
        <f t="shared" si="370"/>
        <v>44785.892118055563</v>
      </c>
      <c r="AL1067" t="str">
        <f t="shared" ref="AL1067:AL1074" si="381">IFERROR(Z1067-W1067,"")</f>
        <v/>
      </c>
      <c r="AM1067">
        <f t="shared" ref="AM1067:AM1074" si="382">IFERROR(R1067-J1067,"")</f>
        <v>10</v>
      </c>
      <c r="AN1067">
        <f t="shared" ref="AN1067:AN1074" si="383">IFERROR(V1067-O1067,"")</f>
        <v>4</v>
      </c>
      <c r="AO1067">
        <f t="shared" ref="AO1067:AO1074" si="384">IFERROR(J1067-I1067,"")</f>
        <v>3</v>
      </c>
      <c r="AP1067">
        <f t="shared" ref="AP1067:AP1074" si="385">IFERROR(AC1067-X1067,"")</f>
        <v>0</v>
      </c>
      <c r="AQ1067" t="str">
        <f t="shared" ref="AQ1067:AQ1074" si="386">IFERROR(AA1067-W1067,"")</f>
        <v/>
      </c>
    </row>
    <row r="1068" spans="1:43" x14ac:dyDescent="0.35">
      <c r="A1068">
        <v>1909</v>
      </c>
      <c r="B1068" t="s">
        <v>3350</v>
      </c>
      <c r="C1068" t="s">
        <v>3238</v>
      </c>
      <c r="D1068" t="str">
        <f t="shared" si="368"/>
        <v>IT</v>
      </c>
      <c r="E1068" t="s">
        <v>3300</v>
      </c>
      <c r="F1068" t="s">
        <v>3301</v>
      </c>
      <c r="G1068" t="s">
        <v>3302</v>
      </c>
      <c r="H1068" t="s">
        <v>334</v>
      </c>
      <c r="I1068" s="32">
        <v>44994.686469907407</v>
      </c>
      <c r="J1068" s="32">
        <v>44998.686469907407</v>
      </c>
      <c r="K1068" s="32">
        <v>45001.686469907407</v>
      </c>
      <c r="L1068" s="8">
        <f t="shared" si="369"/>
        <v>7</v>
      </c>
      <c r="M1068" s="7">
        <v>45022.686469907407</v>
      </c>
      <c r="N1068" t="s">
        <v>49</v>
      </c>
      <c r="O1068" s="34">
        <v>45013.686469907407</v>
      </c>
      <c r="P1068" t="s">
        <v>50</v>
      </c>
      <c r="Q1068" t="s">
        <v>236</v>
      </c>
      <c r="R1068" s="32" t="s">
        <v>7472</v>
      </c>
      <c r="S1068" t="s">
        <v>7476</v>
      </c>
      <c r="T1068" s="34" t="s">
        <v>7476</v>
      </c>
      <c r="U1068" s="34" t="s">
        <v>7476</v>
      </c>
      <c r="V1068" s="32">
        <v>45015.686469907407</v>
      </c>
      <c r="W1068" s="32" t="s">
        <v>7476</v>
      </c>
      <c r="X1068">
        <v>0</v>
      </c>
      <c r="Y1068" s="34" t="s">
        <v>7476</v>
      </c>
      <c r="Z1068" s="34" t="s">
        <v>7476</v>
      </c>
      <c r="AA1068" s="34" t="s">
        <v>7476</v>
      </c>
      <c r="AB1068" s="36" t="s">
        <v>95</v>
      </c>
      <c r="AD1068" t="s">
        <v>3351</v>
      </c>
      <c r="AE1068" t="s">
        <v>3352</v>
      </c>
      <c r="AF1068" s="16">
        <v>45003</v>
      </c>
      <c r="AG1068" t="s">
        <v>98</v>
      </c>
      <c r="AH1068">
        <v>6</v>
      </c>
      <c r="AI1068" s="8" t="str">
        <f t="shared" si="379"/>
        <v/>
      </c>
      <c r="AJ1068" s="8">
        <f t="shared" si="380"/>
        <v>10.686469907406718</v>
      </c>
      <c r="AK1068" s="38">
        <f t="shared" si="370"/>
        <v>45195.686469907407</v>
      </c>
      <c r="AL1068" t="str">
        <f t="shared" si="381"/>
        <v/>
      </c>
      <c r="AM1068" t="str">
        <f t="shared" si="382"/>
        <v/>
      </c>
      <c r="AN1068">
        <f t="shared" si="383"/>
        <v>2</v>
      </c>
      <c r="AO1068">
        <f t="shared" si="384"/>
        <v>4</v>
      </c>
      <c r="AP1068">
        <f t="shared" si="385"/>
        <v>0</v>
      </c>
      <c r="AQ1068" t="str">
        <f t="shared" si="386"/>
        <v/>
      </c>
    </row>
    <row r="1069" spans="1:43" x14ac:dyDescent="0.35">
      <c r="A1069">
        <v>1905</v>
      </c>
      <c r="B1069" t="s">
        <v>3353</v>
      </c>
      <c r="C1069" t="s">
        <v>3238</v>
      </c>
      <c r="D1069" t="str">
        <f t="shared" si="368"/>
        <v>IT</v>
      </c>
      <c r="E1069" t="s">
        <v>3300</v>
      </c>
      <c r="F1069" t="s">
        <v>3301</v>
      </c>
      <c r="G1069" t="s">
        <v>3302</v>
      </c>
      <c r="H1069" t="s">
        <v>334</v>
      </c>
      <c r="I1069" s="32">
        <v>44993.686469907407</v>
      </c>
      <c r="J1069" s="32">
        <v>44996.686469907407</v>
      </c>
      <c r="K1069" s="32">
        <v>45001.686469907407</v>
      </c>
      <c r="L1069" s="8">
        <f t="shared" si="369"/>
        <v>8</v>
      </c>
      <c r="M1069" s="7">
        <v>45022.686469907407</v>
      </c>
      <c r="N1069" t="s">
        <v>49</v>
      </c>
      <c r="O1069" s="34">
        <v>45017.686469907407</v>
      </c>
      <c r="P1069" t="s">
        <v>60</v>
      </c>
      <c r="R1069" s="32">
        <v>45022.686469907407</v>
      </c>
      <c r="S1069" t="s">
        <v>61</v>
      </c>
      <c r="T1069" s="34" t="s">
        <v>7476</v>
      </c>
      <c r="U1069" s="34" t="s">
        <v>7476</v>
      </c>
      <c r="V1069" s="32">
        <v>45020.686469907407</v>
      </c>
      <c r="W1069" s="32" t="s">
        <v>7476</v>
      </c>
      <c r="X1069">
        <v>0</v>
      </c>
      <c r="Y1069" s="34" t="s">
        <v>7476</v>
      </c>
      <c r="Z1069" s="34" t="s">
        <v>7476</v>
      </c>
      <c r="AA1069" s="34" t="s">
        <v>7476</v>
      </c>
      <c r="AB1069" s="36" t="s">
        <v>7476</v>
      </c>
      <c r="AD1069" t="s">
        <v>3354</v>
      </c>
      <c r="AE1069" t="s">
        <v>3355</v>
      </c>
      <c r="AF1069" s="16">
        <v>45006</v>
      </c>
      <c r="AG1069" t="s">
        <v>64</v>
      </c>
      <c r="AH1069">
        <v>3</v>
      </c>
      <c r="AI1069" s="8">
        <f t="shared" si="379"/>
        <v>16.686469907406718</v>
      </c>
      <c r="AJ1069" s="8">
        <f t="shared" si="380"/>
        <v>11.686469907406718</v>
      </c>
      <c r="AK1069" s="38">
        <f t="shared" si="370"/>
        <v>45110.686469907407</v>
      </c>
      <c r="AL1069" t="str">
        <f t="shared" si="381"/>
        <v/>
      </c>
      <c r="AM1069">
        <f t="shared" si="382"/>
        <v>26</v>
      </c>
      <c r="AN1069">
        <f t="shared" si="383"/>
        <v>3</v>
      </c>
      <c r="AO1069">
        <f t="shared" si="384"/>
        <v>3</v>
      </c>
      <c r="AP1069">
        <f t="shared" si="385"/>
        <v>0</v>
      </c>
      <c r="AQ1069" t="str">
        <f t="shared" si="386"/>
        <v/>
      </c>
    </row>
    <row r="1070" spans="1:43" x14ac:dyDescent="0.35">
      <c r="A1070">
        <v>1777</v>
      </c>
      <c r="B1070" t="s">
        <v>3356</v>
      </c>
      <c r="C1070" t="s">
        <v>3232</v>
      </c>
      <c r="D1070" t="str">
        <f t="shared" si="368"/>
        <v>IT</v>
      </c>
      <c r="E1070" t="s">
        <v>3300</v>
      </c>
      <c r="F1070" t="s">
        <v>3301</v>
      </c>
      <c r="G1070" t="s">
        <v>3302</v>
      </c>
      <c r="H1070" t="s">
        <v>334</v>
      </c>
      <c r="I1070" s="32">
        <v>44709.825856481482</v>
      </c>
      <c r="J1070" s="32">
        <v>44712.825856481482</v>
      </c>
      <c r="K1070" s="32">
        <v>44718.825856481482</v>
      </c>
      <c r="L1070" s="8">
        <f t="shared" si="369"/>
        <v>9</v>
      </c>
      <c r="M1070" s="7">
        <v>44725.825856481482</v>
      </c>
      <c r="N1070" t="s">
        <v>49</v>
      </c>
      <c r="O1070" s="34">
        <v>44733.825856481482</v>
      </c>
      <c r="P1070" t="s">
        <v>50</v>
      </c>
      <c r="Q1070" t="s">
        <v>51</v>
      </c>
      <c r="R1070" s="32" t="s">
        <v>7472</v>
      </c>
      <c r="S1070" t="s">
        <v>7476</v>
      </c>
      <c r="T1070" s="34" t="s">
        <v>7476</v>
      </c>
      <c r="U1070" s="34" t="s">
        <v>7476</v>
      </c>
      <c r="V1070" s="32" t="s">
        <v>7476</v>
      </c>
      <c r="W1070" s="32" t="s">
        <v>7476</v>
      </c>
      <c r="X1070">
        <v>0</v>
      </c>
      <c r="Y1070" s="34" t="s">
        <v>7476</v>
      </c>
      <c r="Z1070" s="34" t="s">
        <v>7476</v>
      </c>
      <c r="AA1070" s="34" t="s">
        <v>7476</v>
      </c>
      <c r="AB1070" s="36" t="s">
        <v>95</v>
      </c>
      <c r="AD1070" t="s">
        <v>3357</v>
      </c>
      <c r="AE1070" t="s">
        <v>3358</v>
      </c>
      <c r="AF1070" s="16">
        <v>44723</v>
      </c>
      <c r="AG1070" t="s">
        <v>68</v>
      </c>
      <c r="AH1070">
        <v>3</v>
      </c>
      <c r="AI1070" s="8" t="str">
        <f t="shared" si="379"/>
        <v/>
      </c>
      <c r="AJ1070" s="8">
        <f t="shared" si="380"/>
        <v>10.825856481482333</v>
      </c>
      <c r="AK1070" s="38" t="str">
        <f t="shared" si="370"/>
        <v/>
      </c>
      <c r="AL1070" t="str">
        <f t="shared" si="381"/>
        <v/>
      </c>
      <c r="AM1070" t="str">
        <f t="shared" si="382"/>
        <v/>
      </c>
      <c r="AN1070" t="str">
        <f t="shared" si="383"/>
        <v/>
      </c>
      <c r="AO1070">
        <f t="shared" si="384"/>
        <v>3</v>
      </c>
      <c r="AP1070">
        <f t="shared" si="385"/>
        <v>0</v>
      </c>
      <c r="AQ1070" t="str">
        <f t="shared" si="386"/>
        <v/>
      </c>
    </row>
    <row r="1071" spans="1:43" x14ac:dyDescent="0.35">
      <c r="A1071">
        <v>1649</v>
      </c>
      <c r="B1071" t="s">
        <v>3359</v>
      </c>
      <c r="C1071" t="s">
        <v>3245</v>
      </c>
      <c r="D1071" t="str">
        <f t="shared" si="368"/>
        <v>IT</v>
      </c>
      <c r="E1071" t="s">
        <v>3300</v>
      </c>
      <c r="F1071" t="s">
        <v>3301</v>
      </c>
      <c r="G1071" t="s">
        <v>3302</v>
      </c>
      <c r="H1071" t="s">
        <v>334</v>
      </c>
      <c r="I1071" s="32">
        <v>44912.661261574067</v>
      </c>
      <c r="J1071" s="32">
        <v>44915.661261574067</v>
      </c>
      <c r="K1071" s="32">
        <v>44920.661261574067</v>
      </c>
      <c r="L1071" s="8">
        <f t="shared" si="369"/>
        <v>8</v>
      </c>
      <c r="M1071" s="7">
        <v>44944.661261574067</v>
      </c>
      <c r="N1071" t="s">
        <v>49</v>
      </c>
      <c r="O1071" s="34">
        <v>44934.661261574067</v>
      </c>
      <c r="P1071" t="s">
        <v>60</v>
      </c>
      <c r="R1071" s="32">
        <v>44939.661261574067</v>
      </c>
      <c r="S1071" t="s">
        <v>61</v>
      </c>
      <c r="T1071" s="34" t="s">
        <v>7476</v>
      </c>
      <c r="U1071" s="34" t="s">
        <v>7476</v>
      </c>
      <c r="V1071" s="32">
        <v>44938.661261574067</v>
      </c>
      <c r="W1071" s="32" t="s">
        <v>7476</v>
      </c>
      <c r="X1071">
        <v>0</v>
      </c>
      <c r="Y1071" s="34" t="s">
        <v>7476</v>
      </c>
      <c r="Z1071" s="34" t="s">
        <v>7476</v>
      </c>
      <c r="AA1071" s="34" t="s">
        <v>7476</v>
      </c>
      <c r="AB1071" s="36" t="s">
        <v>7476</v>
      </c>
      <c r="AD1071" t="s">
        <v>3360</v>
      </c>
      <c r="AE1071" t="s">
        <v>3361</v>
      </c>
      <c r="AF1071" s="16">
        <v>44915</v>
      </c>
      <c r="AG1071" t="s">
        <v>68</v>
      </c>
      <c r="AH1071">
        <v>6</v>
      </c>
      <c r="AI1071" s="8">
        <f t="shared" si="379"/>
        <v>24.661261574066884</v>
      </c>
      <c r="AJ1071" s="8">
        <f t="shared" si="380"/>
        <v>19.661261574066884</v>
      </c>
      <c r="AK1071" s="38">
        <f t="shared" si="370"/>
        <v>45118.661261574067</v>
      </c>
      <c r="AL1071" t="str">
        <f t="shared" si="381"/>
        <v/>
      </c>
      <c r="AM1071">
        <f t="shared" si="382"/>
        <v>24</v>
      </c>
      <c r="AN1071">
        <f t="shared" si="383"/>
        <v>4</v>
      </c>
      <c r="AO1071">
        <f t="shared" si="384"/>
        <v>3</v>
      </c>
      <c r="AP1071">
        <f t="shared" si="385"/>
        <v>0</v>
      </c>
      <c r="AQ1071" t="str">
        <f t="shared" si="386"/>
        <v/>
      </c>
    </row>
    <row r="1072" spans="1:43" x14ac:dyDescent="0.35">
      <c r="A1072">
        <v>1591</v>
      </c>
      <c r="B1072" t="s">
        <v>3362</v>
      </c>
      <c r="C1072" t="s">
        <v>3232</v>
      </c>
      <c r="D1072" t="str">
        <f t="shared" si="368"/>
        <v>IT</v>
      </c>
      <c r="E1072" t="s">
        <v>3300</v>
      </c>
      <c r="F1072" t="s">
        <v>46</v>
      </c>
      <c r="G1072" t="s">
        <v>3363</v>
      </c>
      <c r="H1072" t="s">
        <v>334</v>
      </c>
      <c r="I1072" s="32">
        <v>44993.164201388892</v>
      </c>
      <c r="J1072" s="32">
        <v>44994.164201388892</v>
      </c>
      <c r="K1072" s="32">
        <v>45000.164201388892</v>
      </c>
      <c r="L1072" s="8">
        <f t="shared" si="369"/>
        <v>7</v>
      </c>
      <c r="M1072" s="7">
        <v>45018.164201388892</v>
      </c>
      <c r="N1072" t="s">
        <v>49</v>
      </c>
      <c r="O1072" s="34">
        <v>45013.164201388892</v>
      </c>
      <c r="P1072" t="s">
        <v>50</v>
      </c>
      <c r="Q1072" t="s">
        <v>125</v>
      </c>
      <c r="R1072" s="32" t="s">
        <v>7472</v>
      </c>
      <c r="S1072" t="s">
        <v>7476</v>
      </c>
      <c r="T1072" s="34" t="s">
        <v>7476</v>
      </c>
      <c r="U1072" s="34" t="s">
        <v>7476</v>
      </c>
      <c r="V1072" s="32">
        <v>45015.164201388892</v>
      </c>
      <c r="W1072" s="32" t="s">
        <v>7476</v>
      </c>
      <c r="X1072">
        <v>0</v>
      </c>
      <c r="Y1072" s="34" t="s">
        <v>7476</v>
      </c>
      <c r="Z1072" s="34" t="s">
        <v>7476</v>
      </c>
      <c r="AA1072" s="34" t="s">
        <v>7476</v>
      </c>
      <c r="AB1072" s="36" t="s">
        <v>52</v>
      </c>
      <c r="AD1072" t="s">
        <v>3364</v>
      </c>
      <c r="AE1072" t="s">
        <v>3365</v>
      </c>
      <c r="AF1072" s="16">
        <v>45000</v>
      </c>
      <c r="AG1072" t="s">
        <v>68</v>
      </c>
      <c r="AH1072">
        <v>6</v>
      </c>
      <c r="AI1072" s="8" t="str">
        <f t="shared" si="379"/>
        <v/>
      </c>
      <c r="AJ1072" s="8">
        <f t="shared" si="380"/>
        <v>13.164201388892252</v>
      </c>
      <c r="AK1072" s="38">
        <f t="shared" si="370"/>
        <v>45195.164201388892</v>
      </c>
      <c r="AL1072" t="str">
        <f t="shared" si="381"/>
        <v/>
      </c>
      <c r="AM1072" t="str">
        <f t="shared" si="382"/>
        <v/>
      </c>
      <c r="AN1072">
        <f t="shared" si="383"/>
        <v>2</v>
      </c>
      <c r="AO1072">
        <f t="shared" si="384"/>
        <v>1</v>
      </c>
      <c r="AP1072">
        <f t="shared" si="385"/>
        <v>0</v>
      </c>
      <c r="AQ1072" t="str">
        <f t="shared" si="386"/>
        <v/>
      </c>
    </row>
    <row r="1073" spans="1:43" x14ac:dyDescent="0.35">
      <c r="A1073">
        <v>1531</v>
      </c>
      <c r="B1073" t="s">
        <v>3366</v>
      </c>
      <c r="C1073" t="s">
        <v>3238</v>
      </c>
      <c r="D1073" t="str">
        <f t="shared" si="368"/>
        <v>IT</v>
      </c>
      <c r="E1073" t="s">
        <v>3300</v>
      </c>
      <c r="F1073" t="s">
        <v>46</v>
      </c>
      <c r="G1073" t="s">
        <v>3363</v>
      </c>
      <c r="H1073" t="s">
        <v>334</v>
      </c>
      <c r="I1073" s="32">
        <v>45057.546423611107</v>
      </c>
      <c r="J1073" s="32">
        <v>45058.546423611107</v>
      </c>
      <c r="K1073" s="32">
        <v>45060.546423611107</v>
      </c>
      <c r="L1073" s="8">
        <f t="shared" si="369"/>
        <v>3</v>
      </c>
      <c r="M1073" s="7">
        <v>45067.546423611107</v>
      </c>
      <c r="N1073" t="s">
        <v>49</v>
      </c>
      <c r="O1073" s="34">
        <v>45072.546423611107</v>
      </c>
      <c r="P1073" t="s">
        <v>50</v>
      </c>
      <c r="Q1073" t="s">
        <v>198</v>
      </c>
      <c r="R1073" s="32" t="s">
        <v>7472</v>
      </c>
      <c r="S1073" t="s">
        <v>7476</v>
      </c>
      <c r="T1073" s="34" t="s">
        <v>7476</v>
      </c>
      <c r="U1073" s="34" t="s">
        <v>7476</v>
      </c>
      <c r="V1073" s="32">
        <v>45075.546423611107</v>
      </c>
      <c r="W1073" s="32" t="s">
        <v>7476</v>
      </c>
      <c r="X1073">
        <v>0</v>
      </c>
      <c r="Y1073" s="34" t="s">
        <v>7476</v>
      </c>
      <c r="Z1073" s="34" t="s">
        <v>7476</v>
      </c>
      <c r="AA1073" s="34" t="s">
        <v>7476</v>
      </c>
      <c r="AB1073" s="36" t="s">
        <v>95</v>
      </c>
      <c r="AD1073" t="s">
        <v>3367</v>
      </c>
      <c r="AE1073" t="s">
        <v>3368</v>
      </c>
      <c r="AF1073" s="16">
        <v>45057</v>
      </c>
      <c r="AG1073" t="s">
        <v>68</v>
      </c>
      <c r="AH1073">
        <v>3</v>
      </c>
      <c r="AI1073" s="8" t="str">
        <f t="shared" si="379"/>
        <v/>
      </c>
      <c r="AJ1073" s="8">
        <f t="shared" si="380"/>
        <v>15.546423611107457</v>
      </c>
      <c r="AK1073" s="38">
        <f t="shared" si="370"/>
        <v>45165.546423611107</v>
      </c>
      <c r="AL1073" t="str">
        <f t="shared" si="381"/>
        <v/>
      </c>
      <c r="AM1073" t="str">
        <f t="shared" si="382"/>
        <v/>
      </c>
      <c r="AN1073">
        <f t="shared" si="383"/>
        <v>3</v>
      </c>
      <c r="AO1073">
        <f t="shared" si="384"/>
        <v>1</v>
      </c>
      <c r="AP1073">
        <f t="shared" si="385"/>
        <v>0</v>
      </c>
      <c r="AQ1073" t="str">
        <f t="shared" si="386"/>
        <v/>
      </c>
    </row>
    <row r="1074" spans="1:43" x14ac:dyDescent="0.35">
      <c r="A1074">
        <v>1510</v>
      </c>
      <c r="B1074" t="s">
        <v>3369</v>
      </c>
      <c r="C1074" t="s">
        <v>3238</v>
      </c>
      <c r="D1074" t="str">
        <f t="shared" si="368"/>
        <v>IT</v>
      </c>
      <c r="E1074" t="s">
        <v>3300</v>
      </c>
      <c r="F1074" t="s">
        <v>46</v>
      </c>
      <c r="G1074" t="s">
        <v>3363</v>
      </c>
      <c r="H1074" t="s">
        <v>334</v>
      </c>
      <c r="I1074" s="32">
        <v>44759.346215277779</v>
      </c>
      <c r="J1074" s="32">
        <v>44760.346215277779</v>
      </c>
      <c r="K1074" s="32">
        <v>44762.346215277779</v>
      </c>
      <c r="L1074" s="8">
        <f t="shared" si="369"/>
        <v>3</v>
      </c>
      <c r="M1074" s="7">
        <v>44788.346215277779</v>
      </c>
      <c r="N1074" t="s">
        <v>49</v>
      </c>
      <c r="O1074" s="34">
        <v>44778.346215277779</v>
      </c>
      <c r="P1074" t="s">
        <v>101</v>
      </c>
      <c r="R1074" s="32">
        <v>44782.346215277779</v>
      </c>
      <c r="S1074" t="s">
        <v>101</v>
      </c>
      <c r="T1074" s="34">
        <v>44779.346215277779</v>
      </c>
      <c r="U1074" s="34">
        <v>44783.346215277779</v>
      </c>
      <c r="V1074" s="32">
        <v>44780.346215277779</v>
      </c>
      <c r="W1074" s="32">
        <v>44788.346215277779</v>
      </c>
      <c r="X1074">
        <v>1</v>
      </c>
      <c r="Y1074" s="34">
        <v>44789.346215277779</v>
      </c>
      <c r="Z1074" s="34">
        <v>44791.346215277779</v>
      </c>
      <c r="AA1074" s="34">
        <v>44793.346215277779</v>
      </c>
      <c r="AB1074" s="36" t="s">
        <v>7476</v>
      </c>
      <c r="AC1074" s="10">
        <v>44804.346215277779</v>
      </c>
      <c r="AD1074" t="s">
        <v>3370</v>
      </c>
      <c r="AE1074" t="s">
        <v>3371</v>
      </c>
      <c r="AF1074" s="16">
        <v>44764</v>
      </c>
      <c r="AG1074" t="s">
        <v>64</v>
      </c>
      <c r="AH1074">
        <v>6</v>
      </c>
      <c r="AI1074" s="8">
        <f t="shared" si="379"/>
        <v>18.346215277779265</v>
      </c>
      <c r="AJ1074" s="8">
        <f t="shared" si="380"/>
        <v>14.346215277779265</v>
      </c>
      <c r="AK1074" s="38">
        <f t="shared" si="370"/>
        <v>44960.346215277779</v>
      </c>
      <c r="AL1074">
        <f t="shared" si="381"/>
        <v>3</v>
      </c>
      <c r="AM1074">
        <f t="shared" si="382"/>
        <v>22</v>
      </c>
      <c r="AN1074">
        <f t="shared" si="383"/>
        <v>2</v>
      </c>
      <c r="AO1074">
        <f t="shared" si="384"/>
        <v>1</v>
      </c>
      <c r="AP1074">
        <f t="shared" si="385"/>
        <v>44803.346215277779</v>
      </c>
      <c r="AQ1074">
        <f t="shared" si="386"/>
        <v>5</v>
      </c>
    </row>
    <row r="1075" spans="1:43" x14ac:dyDescent="0.35">
      <c r="A1075">
        <v>1491</v>
      </c>
      <c r="B1075" t="s">
        <v>3372</v>
      </c>
      <c r="C1075" t="s">
        <v>3238</v>
      </c>
      <c r="D1075" t="str">
        <f t="shared" si="368"/>
        <v>IT</v>
      </c>
      <c r="E1075" t="s">
        <v>3300</v>
      </c>
      <c r="F1075" t="s">
        <v>46</v>
      </c>
      <c r="G1075" t="s">
        <v>3363</v>
      </c>
      <c r="H1075" t="s">
        <v>334</v>
      </c>
      <c r="I1075" s="32" t="s">
        <v>7471</v>
      </c>
      <c r="J1075" s="32" t="s">
        <v>7471</v>
      </c>
      <c r="K1075" s="32">
        <v>44701.569456018522</v>
      </c>
      <c r="L1075" s="8" t="str">
        <f t="shared" si="369"/>
        <v/>
      </c>
      <c r="M1075" s="7">
        <v>44722.569456018522</v>
      </c>
      <c r="N1075" t="s">
        <v>49</v>
      </c>
      <c r="O1075" s="34">
        <v>44710.569456018522</v>
      </c>
      <c r="P1075" t="s">
        <v>60</v>
      </c>
      <c r="R1075" s="32">
        <v>44713.569456018522</v>
      </c>
      <c r="S1075" t="s">
        <v>61</v>
      </c>
      <c r="T1075" s="34" t="s">
        <v>7476</v>
      </c>
      <c r="U1075" s="34" t="s">
        <v>7476</v>
      </c>
      <c r="V1075" s="32">
        <v>44711.569456018522</v>
      </c>
      <c r="W1075" s="32" t="s">
        <v>7476</v>
      </c>
      <c r="X1075">
        <v>0</v>
      </c>
      <c r="Y1075" s="34" t="s">
        <v>7476</v>
      </c>
      <c r="Z1075" s="34" t="s">
        <v>7476</v>
      </c>
      <c r="AA1075" s="34" t="s">
        <v>7476</v>
      </c>
      <c r="AB1075" s="36" t="s">
        <v>7476</v>
      </c>
      <c r="AD1075" t="s">
        <v>3373</v>
      </c>
      <c r="AE1075" t="s">
        <v>3374</v>
      </c>
      <c r="AF1075" s="16">
        <v>44695</v>
      </c>
      <c r="AG1075" t="s">
        <v>98</v>
      </c>
      <c r="AH1075">
        <v>6</v>
      </c>
      <c r="AK1075" s="38">
        <f t="shared" si="370"/>
        <v>44891.569456018522</v>
      </c>
    </row>
    <row r="1076" spans="1:43" x14ac:dyDescent="0.35">
      <c r="A1076">
        <v>1460</v>
      </c>
      <c r="B1076" t="s">
        <v>3375</v>
      </c>
      <c r="C1076" t="s">
        <v>3245</v>
      </c>
      <c r="D1076" t="str">
        <f t="shared" si="368"/>
        <v>IT</v>
      </c>
      <c r="E1076" t="s">
        <v>3300</v>
      </c>
      <c r="F1076" t="s">
        <v>46</v>
      </c>
      <c r="G1076" t="s">
        <v>3363</v>
      </c>
      <c r="H1076" t="s">
        <v>334</v>
      </c>
      <c r="I1076" s="32">
        <v>45022.57240740741</v>
      </c>
      <c r="J1076" s="32">
        <v>45024.57240740741</v>
      </c>
      <c r="K1076" s="32">
        <v>45029.57240740741</v>
      </c>
      <c r="L1076" s="8">
        <f t="shared" si="369"/>
        <v>7</v>
      </c>
      <c r="M1076" s="7">
        <v>45036.57240740741</v>
      </c>
      <c r="N1076" t="s">
        <v>49</v>
      </c>
      <c r="O1076" s="34">
        <v>45040.57240740741</v>
      </c>
      <c r="P1076" t="s">
        <v>60</v>
      </c>
      <c r="R1076" s="32">
        <v>45045.57240740741</v>
      </c>
      <c r="S1076" t="s">
        <v>61</v>
      </c>
      <c r="T1076" s="34" t="s">
        <v>7476</v>
      </c>
      <c r="U1076" s="34" t="s">
        <v>7476</v>
      </c>
      <c r="V1076" s="32">
        <v>45042.57240740741</v>
      </c>
      <c r="W1076" s="32" t="s">
        <v>7476</v>
      </c>
      <c r="X1076">
        <v>0</v>
      </c>
      <c r="Y1076" s="34" t="s">
        <v>7476</v>
      </c>
      <c r="Z1076" s="34" t="s">
        <v>7476</v>
      </c>
      <c r="AA1076" s="34" t="s">
        <v>7476</v>
      </c>
      <c r="AB1076" s="36" t="s">
        <v>7476</v>
      </c>
      <c r="AD1076" t="s">
        <v>3376</v>
      </c>
      <c r="AE1076" t="s">
        <v>3377</v>
      </c>
      <c r="AF1076" s="16">
        <v>45027</v>
      </c>
      <c r="AG1076" t="s">
        <v>98</v>
      </c>
      <c r="AH1076">
        <v>6</v>
      </c>
      <c r="AI1076" s="8">
        <f>IFERROR(R1076-AF1076,"")</f>
        <v>18.572407407409628</v>
      </c>
      <c r="AJ1076" s="8">
        <f>IFERROR(O1076-AF1076,"")</f>
        <v>13.572407407409628</v>
      </c>
      <c r="AK1076" s="38">
        <f t="shared" si="370"/>
        <v>45222.57240740741</v>
      </c>
      <c r="AL1076" t="str">
        <f>IFERROR(Z1076-W1076,"")</f>
        <v/>
      </c>
      <c r="AM1076">
        <f>IFERROR(R1076-J1076,"")</f>
        <v>21</v>
      </c>
      <c r="AN1076">
        <f>IFERROR(V1076-O1076,"")</f>
        <v>2</v>
      </c>
      <c r="AO1076">
        <f>IFERROR(J1076-I1076,"")</f>
        <v>2</v>
      </c>
      <c r="AP1076">
        <f>IFERROR(AC1076-X1076,"")</f>
        <v>0</v>
      </c>
      <c r="AQ1076" t="str">
        <f>IFERROR(AA1076-W1076,"")</f>
        <v/>
      </c>
    </row>
    <row r="1077" spans="1:43" x14ac:dyDescent="0.35">
      <c r="A1077">
        <v>1456</v>
      </c>
      <c r="B1077" t="s">
        <v>3378</v>
      </c>
      <c r="C1077" t="s">
        <v>3232</v>
      </c>
      <c r="D1077" t="str">
        <f t="shared" si="368"/>
        <v>IT</v>
      </c>
      <c r="E1077" t="s">
        <v>3300</v>
      </c>
      <c r="F1077" t="s">
        <v>46</v>
      </c>
      <c r="G1077" t="s">
        <v>3363</v>
      </c>
      <c r="H1077" t="s">
        <v>334</v>
      </c>
      <c r="I1077" s="32">
        <v>45020.57240740741</v>
      </c>
      <c r="J1077" s="32">
        <v>45024.57240740741</v>
      </c>
      <c r="K1077" s="32">
        <v>45029.57240740741</v>
      </c>
      <c r="L1077" s="8">
        <f t="shared" si="369"/>
        <v>9</v>
      </c>
      <c r="M1077" s="7">
        <v>45045.57240740741</v>
      </c>
      <c r="N1077" t="s">
        <v>49</v>
      </c>
      <c r="O1077" s="34">
        <v>45040.57240740741</v>
      </c>
      <c r="P1077" t="s">
        <v>101</v>
      </c>
      <c r="R1077" s="32">
        <v>45048.57240740741</v>
      </c>
      <c r="S1077" t="s">
        <v>101</v>
      </c>
      <c r="T1077" s="34">
        <v>45041.57240740741</v>
      </c>
      <c r="U1077" s="34">
        <v>45044.57240740741</v>
      </c>
      <c r="V1077" s="32">
        <v>45044.57240740741</v>
      </c>
      <c r="W1077" s="32">
        <v>45051.57240740741</v>
      </c>
      <c r="X1077">
        <v>1</v>
      </c>
      <c r="Y1077" s="34">
        <v>45054.57240740741</v>
      </c>
      <c r="Z1077" s="34">
        <v>45055.57240740741</v>
      </c>
      <c r="AA1077" s="34">
        <v>45057.57240740741</v>
      </c>
      <c r="AB1077" s="36" t="s">
        <v>7476</v>
      </c>
      <c r="AC1077" s="10">
        <v>45079.57240740741</v>
      </c>
      <c r="AD1077" t="s">
        <v>3379</v>
      </c>
      <c r="AE1077" t="s">
        <v>3380</v>
      </c>
      <c r="AF1077" s="16">
        <v>45024</v>
      </c>
      <c r="AG1077" t="s">
        <v>68</v>
      </c>
      <c r="AH1077">
        <v>6</v>
      </c>
      <c r="AI1077" s="8">
        <f>IFERROR(R1077-AF1077,"")</f>
        <v>24.572407407409628</v>
      </c>
      <c r="AJ1077" s="8">
        <f>IFERROR(O1077-AF1077,"")</f>
        <v>16.572407407409628</v>
      </c>
      <c r="AK1077" s="38">
        <f t="shared" si="370"/>
        <v>45224.57240740741</v>
      </c>
      <c r="AL1077">
        <f>IFERROR(Z1077-W1077,"")</f>
        <v>4</v>
      </c>
      <c r="AM1077">
        <f>IFERROR(R1077-J1077,"")</f>
        <v>24</v>
      </c>
      <c r="AN1077">
        <f>IFERROR(V1077-O1077,"")</f>
        <v>4</v>
      </c>
      <c r="AO1077">
        <f>IFERROR(J1077-I1077,"")</f>
        <v>4</v>
      </c>
      <c r="AP1077">
        <f>IFERROR(AC1077-X1077,"")</f>
        <v>45078.57240740741</v>
      </c>
      <c r="AQ1077">
        <f>IFERROR(AA1077-W1077,"")</f>
        <v>6</v>
      </c>
    </row>
    <row r="1078" spans="1:43" x14ac:dyDescent="0.35">
      <c r="A1078">
        <v>1429</v>
      </c>
      <c r="B1078" t="s">
        <v>3381</v>
      </c>
      <c r="C1078" t="s">
        <v>3238</v>
      </c>
      <c r="D1078" t="str">
        <f t="shared" si="368"/>
        <v>IT</v>
      </c>
      <c r="E1078" t="s">
        <v>3300</v>
      </c>
      <c r="F1078" t="s">
        <v>46</v>
      </c>
      <c r="G1078" t="s">
        <v>3363</v>
      </c>
      <c r="H1078" t="s">
        <v>334</v>
      </c>
      <c r="I1078" s="32">
        <v>44661.11314814815</v>
      </c>
      <c r="J1078" s="32">
        <v>44662.11314814815</v>
      </c>
      <c r="K1078" s="32" t="s">
        <v>7473</v>
      </c>
      <c r="L1078" s="8" t="str">
        <f t="shared" si="369"/>
        <v/>
      </c>
      <c r="M1078" s="7">
        <v>44682.11314814815</v>
      </c>
      <c r="N1078" t="s">
        <v>49</v>
      </c>
      <c r="O1078" s="34">
        <v>44683.11314814815</v>
      </c>
      <c r="P1078" t="s">
        <v>50</v>
      </c>
      <c r="Q1078" t="s">
        <v>236</v>
      </c>
      <c r="R1078" s="32" t="s">
        <v>7472</v>
      </c>
      <c r="S1078" t="s">
        <v>7476</v>
      </c>
      <c r="T1078" s="34" t="s">
        <v>7476</v>
      </c>
      <c r="U1078" s="34" t="s">
        <v>7476</v>
      </c>
      <c r="V1078" s="32">
        <v>44684.11314814815</v>
      </c>
      <c r="W1078" s="32" t="s">
        <v>7476</v>
      </c>
      <c r="X1078">
        <v>0</v>
      </c>
      <c r="Y1078" s="34" t="s">
        <v>7476</v>
      </c>
      <c r="Z1078" s="34" t="s">
        <v>7476</v>
      </c>
      <c r="AA1078" s="34" t="s">
        <v>7476</v>
      </c>
      <c r="AB1078" s="36" t="s">
        <v>95</v>
      </c>
      <c r="AD1078" t="s">
        <v>3382</v>
      </c>
      <c r="AE1078" t="s">
        <v>3383</v>
      </c>
      <c r="AF1078" s="16">
        <v>44673</v>
      </c>
      <c r="AG1078" t="s">
        <v>55</v>
      </c>
      <c r="AH1078">
        <v>6</v>
      </c>
      <c r="AK1078" s="38">
        <f t="shared" si="370"/>
        <v>44864.11314814815</v>
      </c>
    </row>
    <row r="1079" spans="1:43" x14ac:dyDescent="0.35">
      <c r="A1079">
        <v>1424</v>
      </c>
      <c r="B1079" t="s">
        <v>3384</v>
      </c>
      <c r="C1079" t="s">
        <v>3245</v>
      </c>
      <c r="D1079" t="str">
        <f t="shared" si="368"/>
        <v>IT</v>
      </c>
      <c r="E1079" t="s">
        <v>3300</v>
      </c>
      <c r="F1079" t="s">
        <v>46</v>
      </c>
      <c r="G1079" t="s">
        <v>3363</v>
      </c>
      <c r="H1079" t="s">
        <v>334</v>
      </c>
      <c r="I1079" s="32" t="s">
        <v>7471</v>
      </c>
      <c r="J1079" s="32">
        <v>44660.11314814815</v>
      </c>
      <c r="K1079" s="32">
        <v>44666.11314814815</v>
      </c>
      <c r="L1079" s="8" t="str">
        <f t="shared" si="369"/>
        <v/>
      </c>
      <c r="M1079" s="7">
        <v>44679.11314814815</v>
      </c>
      <c r="N1079" t="s">
        <v>49</v>
      </c>
      <c r="O1079" s="34">
        <v>44677.11314814815</v>
      </c>
      <c r="P1079" t="s">
        <v>50</v>
      </c>
      <c r="Q1079" t="s">
        <v>198</v>
      </c>
      <c r="R1079" s="32" t="s">
        <v>7472</v>
      </c>
      <c r="S1079" t="s">
        <v>7476</v>
      </c>
      <c r="T1079" s="34" t="s">
        <v>7476</v>
      </c>
      <c r="U1079" s="34" t="s">
        <v>7476</v>
      </c>
      <c r="V1079" s="32" t="s">
        <v>7476</v>
      </c>
      <c r="W1079" s="32" t="s">
        <v>7476</v>
      </c>
      <c r="X1079">
        <v>0</v>
      </c>
      <c r="Y1079" s="34" t="s">
        <v>7476</v>
      </c>
      <c r="Z1079" s="34" t="s">
        <v>7476</v>
      </c>
      <c r="AA1079" s="34" t="s">
        <v>7476</v>
      </c>
      <c r="AB1079" s="36" t="s">
        <v>95</v>
      </c>
      <c r="AD1079" t="s">
        <v>3385</v>
      </c>
      <c r="AE1079" t="s">
        <v>3386</v>
      </c>
      <c r="AF1079" s="16">
        <v>44672</v>
      </c>
      <c r="AG1079" t="s">
        <v>98</v>
      </c>
      <c r="AH1079">
        <v>3</v>
      </c>
      <c r="AK1079" s="38" t="str">
        <f t="shared" si="370"/>
        <v/>
      </c>
    </row>
    <row r="1080" spans="1:43" x14ac:dyDescent="0.35">
      <c r="A1080">
        <v>1370</v>
      </c>
      <c r="B1080" t="s">
        <v>3387</v>
      </c>
      <c r="C1080" t="s">
        <v>3238</v>
      </c>
      <c r="D1080" t="str">
        <f t="shared" si="368"/>
        <v>IT</v>
      </c>
      <c r="E1080" t="s">
        <v>3300</v>
      </c>
      <c r="F1080" t="s">
        <v>46</v>
      </c>
      <c r="G1080" t="s">
        <v>3363</v>
      </c>
      <c r="H1080" t="s">
        <v>334</v>
      </c>
      <c r="I1080" s="32">
        <v>44849.163807870369</v>
      </c>
      <c r="J1080" s="32">
        <v>44851.163807870369</v>
      </c>
      <c r="K1080" s="32">
        <v>44856.163807870369</v>
      </c>
      <c r="L1080" s="8">
        <f t="shared" si="369"/>
        <v>7</v>
      </c>
      <c r="M1080" s="7">
        <v>44886.163807870369</v>
      </c>
      <c r="N1080" t="s">
        <v>49</v>
      </c>
      <c r="O1080" s="34">
        <v>44863.163807870369</v>
      </c>
      <c r="P1080" t="s">
        <v>392</v>
      </c>
      <c r="R1080" s="32">
        <v>44871.163807870369</v>
      </c>
      <c r="S1080" t="s">
        <v>392</v>
      </c>
      <c r="T1080" s="34" t="s">
        <v>7476</v>
      </c>
      <c r="U1080" s="34" t="s">
        <v>7476</v>
      </c>
      <c r="V1080" s="32">
        <v>44867.163807870369</v>
      </c>
      <c r="W1080" s="32" t="s">
        <v>7476</v>
      </c>
      <c r="X1080">
        <v>0</v>
      </c>
      <c r="Y1080" s="34" t="s">
        <v>7476</v>
      </c>
      <c r="Z1080" s="34" t="s">
        <v>7476</v>
      </c>
      <c r="AA1080" s="34" t="s">
        <v>7476</v>
      </c>
      <c r="AB1080" s="36" t="s">
        <v>7476</v>
      </c>
      <c r="AD1080" t="s">
        <v>3388</v>
      </c>
      <c r="AE1080" t="s">
        <v>3389</v>
      </c>
      <c r="AF1080" s="16">
        <v>44845</v>
      </c>
      <c r="AG1080" t="s">
        <v>64</v>
      </c>
      <c r="AH1080">
        <v>6</v>
      </c>
      <c r="AI1080" s="8">
        <f>IFERROR(R1080-AF1080,"")</f>
        <v>26.163807870369055</v>
      </c>
      <c r="AJ1080" s="8">
        <f>IFERROR(O1080-AF1080,"")</f>
        <v>18.163807870369055</v>
      </c>
      <c r="AK1080" s="38">
        <f t="shared" si="370"/>
        <v>45047.163807870369</v>
      </c>
      <c r="AL1080" t="str">
        <f>IFERROR(Z1080-W1080,"")</f>
        <v/>
      </c>
      <c r="AM1080">
        <f>IFERROR(R1080-J1080,"")</f>
        <v>20</v>
      </c>
      <c r="AN1080">
        <f>IFERROR(V1080-O1080,"")</f>
        <v>4</v>
      </c>
      <c r="AO1080">
        <f>IFERROR(J1080-I1080,"")</f>
        <v>2</v>
      </c>
      <c r="AP1080">
        <f>IFERROR(AC1080-X1080,"")</f>
        <v>0</v>
      </c>
      <c r="AQ1080" t="str">
        <f>IFERROR(AA1080-W1080,"")</f>
        <v/>
      </c>
    </row>
    <row r="1081" spans="1:43" x14ac:dyDescent="0.35">
      <c r="A1081">
        <v>1367</v>
      </c>
      <c r="B1081" t="s">
        <v>3390</v>
      </c>
      <c r="C1081" t="s">
        <v>3232</v>
      </c>
      <c r="D1081" t="str">
        <f t="shared" si="368"/>
        <v>IT</v>
      </c>
      <c r="E1081" t="s">
        <v>3300</v>
      </c>
      <c r="F1081" t="s">
        <v>46</v>
      </c>
      <c r="G1081" t="s">
        <v>3363</v>
      </c>
      <c r="H1081" t="s">
        <v>334</v>
      </c>
      <c r="I1081" s="32">
        <v>44849.163807870369</v>
      </c>
      <c r="J1081" s="32">
        <v>44853.163807870369</v>
      </c>
      <c r="K1081" s="32" t="s">
        <v>7473</v>
      </c>
      <c r="L1081" s="8" t="str">
        <f t="shared" si="369"/>
        <v/>
      </c>
      <c r="M1081" s="7">
        <v>44880.163807870369</v>
      </c>
      <c r="N1081" t="s">
        <v>49</v>
      </c>
      <c r="O1081" s="34">
        <v>44866.163807870369</v>
      </c>
      <c r="P1081" t="s">
        <v>50</v>
      </c>
      <c r="Q1081" t="s">
        <v>125</v>
      </c>
      <c r="R1081" s="32" t="s">
        <v>7472</v>
      </c>
      <c r="S1081" t="s">
        <v>7476</v>
      </c>
      <c r="T1081" s="34" t="s">
        <v>7476</v>
      </c>
      <c r="U1081" s="34" t="s">
        <v>7476</v>
      </c>
      <c r="V1081" s="32">
        <v>44867.163807870369</v>
      </c>
      <c r="W1081" s="32" t="s">
        <v>7476</v>
      </c>
      <c r="X1081">
        <v>0</v>
      </c>
      <c r="Y1081" s="34" t="s">
        <v>7476</v>
      </c>
      <c r="Z1081" s="34" t="s">
        <v>7476</v>
      </c>
      <c r="AA1081" s="34" t="s">
        <v>7476</v>
      </c>
      <c r="AB1081" s="36" t="s">
        <v>95</v>
      </c>
      <c r="AD1081" t="s">
        <v>3391</v>
      </c>
      <c r="AE1081" t="s">
        <v>3392</v>
      </c>
      <c r="AF1081" s="16">
        <v>44859</v>
      </c>
      <c r="AG1081" t="s">
        <v>93</v>
      </c>
      <c r="AH1081">
        <v>6</v>
      </c>
      <c r="AK1081" s="38">
        <f t="shared" si="370"/>
        <v>45047.163807870369</v>
      </c>
    </row>
    <row r="1082" spans="1:43" x14ac:dyDescent="0.35">
      <c r="A1082">
        <v>1312</v>
      </c>
      <c r="B1082" t="s">
        <v>3393</v>
      </c>
      <c r="C1082" t="s">
        <v>3245</v>
      </c>
      <c r="D1082" t="str">
        <f t="shared" si="368"/>
        <v>IT</v>
      </c>
      <c r="E1082" t="s">
        <v>3300</v>
      </c>
      <c r="F1082" t="s">
        <v>46</v>
      </c>
      <c r="G1082" t="s">
        <v>3363</v>
      </c>
      <c r="H1082" t="s">
        <v>334</v>
      </c>
      <c r="I1082" s="32">
        <v>45149.233067129629</v>
      </c>
      <c r="J1082" s="32">
        <v>45151.233067129629</v>
      </c>
      <c r="K1082" s="32" t="s">
        <v>7473</v>
      </c>
      <c r="L1082" s="8" t="str">
        <f t="shared" si="369"/>
        <v/>
      </c>
      <c r="M1082" s="7">
        <v>45163.233067129629</v>
      </c>
      <c r="N1082" t="s">
        <v>49</v>
      </c>
      <c r="O1082" s="34">
        <v>45170.233067129629</v>
      </c>
      <c r="P1082" t="s">
        <v>50</v>
      </c>
      <c r="Q1082" t="s">
        <v>125</v>
      </c>
      <c r="R1082" s="32" t="s">
        <v>7472</v>
      </c>
      <c r="S1082" t="s">
        <v>7476</v>
      </c>
      <c r="T1082" s="34" t="s">
        <v>7476</v>
      </c>
      <c r="U1082" s="34" t="s">
        <v>7476</v>
      </c>
      <c r="V1082" s="32" t="s">
        <v>7476</v>
      </c>
      <c r="W1082" s="32" t="s">
        <v>7476</v>
      </c>
      <c r="X1082">
        <v>0</v>
      </c>
      <c r="Y1082" s="34" t="s">
        <v>7476</v>
      </c>
      <c r="Z1082" s="34" t="s">
        <v>7476</v>
      </c>
      <c r="AA1082" s="34" t="s">
        <v>7476</v>
      </c>
      <c r="AB1082" s="36" t="s">
        <v>95</v>
      </c>
      <c r="AD1082" t="s">
        <v>3394</v>
      </c>
      <c r="AE1082" t="s">
        <v>3395</v>
      </c>
      <c r="AF1082" s="16">
        <v>45160</v>
      </c>
      <c r="AG1082" t="s">
        <v>64</v>
      </c>
      <c r="AH1082">
        <v>3</v>
      </c>
      <c r="AK1082" s="38" t="str">
        <f t="shared" si="370"/>
        <v/>
      </c>
    </row>
    <row r="1083" spans="1:43" x14ac:dyDescent="0.35">
      <c r="A1083">
        <v>1280</v>
      </c>
      <c r="B1083" t="s">
        <v>3396</v>
      </c>
      <c r="C1083" t="s">
        <v>3238</v>
      </c>
      <c r="D1083" t="str">
        <f t="shared" si="368"/>
        <v>IT</v>
      </c>
      <c r="E1083" t="s">
        <v>3300</v>
      </c>
      <c r="F1083" t="s">
        <v>46</v>
      </c>
      <c r="G1083" t="s">
        <v>3363</v>
      </c>
      <c r="H1083" t="s">
        <v>334</v>
      </c>
      <c r="I1083" s="32">
        <v>44712.107928240737</v>
      </c>
      <c r="J1083" s="32">
        <v>44713.107928240737</v>
      </c>
      <c r="K1083" s="32">
        <v>44717.107928240737</v>
      </c>
      <c r="L1083" s="8">
        <f t="shared" si="369"/>
        <v>5</v>
      </c>
      <c r="M1083" s="7">
        <v>44740.107928240737</v>
      </c>
      <c r="N1083" t="s">
        <v>49</v>
      </c>
      <c r="O1083" s="34">
        <v>44727.107928240737</v>
      </c>
      <c r="P1083" t="s">
        <v>392</v>
      </c>
      <c r="R1083" s="32">
        <v>44730.107928240737</v>
      </c>
      <c r="S1083" t="s">
        <v>392</v>
      </c>
      <c r="T1083" s="34" t="s">
        <v>7476</v>
      </c>
      <c r="U1083" s="34" t="s">
        <v>7476</v>
      </c>
      <c r="V1083" s="32">
        <v>44728.107928240737</v>
      </c>
      <c r="W1083" s="32" t="s">
        <v>7476</v>
      </c>
      <c r="X1083">
        <v>0</v>
      </c>
      <c r="Y1083" s="34" t="s">
        <v>7476</v>
      </c>
      <c r="Z1083" s="34" t="s">
        <v>7476</v>
      </c>
      <c r="AA1083" s="34" t="s">
        <v>7476</v>
      </c>
      <c r="AB1083" s="36" t="s">
        <v>7476</v>
      </c>
      <c r="AD1083" t="s">
        <v>3397</v>
      </c>
      <c r="AE1083" t="s">
        <v>3398</v>
      </c>
      <c r="AF1083" s="16">
        <v>44712</v>
      </c>
      <c r="AG1083" t="s">
        <v>98</v>
      </c>
      <c r="AH1083">
        <v>3</v>
      </c>
      <c r="AI1083" s="8">
        <f>IFERROR(R1083-AF1083,"")</f>
        <v>18.107928240737238</v>
      </c>
      <c r="AJ1083" s="8">
        <f>IFERROR(O1083-AF1083,"")</f>
        <v>15.107928240737238</v>
      </c>
      <c r="AK1083" s="38">
        <f t="shared" si="370"/>
        <v>44818.107928240737</v>
      </c>
      <c r="AL1083" t="str">
        <f>IFERROR(Z1083-W1083,"")</f>
        <v/>
      </c>
      <c r="AM1083">
        <f>IFERROR(R1083-J1083,"")</f>
        <v>17</v>
      </c>
      <c r="AN1083">
        <f>IFERROR(V1083-O1083,"")</f>
        <v>1</v>
      </c>
      <c r="AO1083">
        <f>IFERROR(J1083-I1083,"")</f>
        <v>1</v>
      </c>
      <c r="AP1083">
        <f>IFERROR(AC1083-X1083,"")</f>
        <v>0</v>
      </c>
      <c r="AQ1083" t="str">
        <f>IFERROR(AA1083-W1083,"")</f>
        <v/>
      </c>
    </row>
    <row r="1084" spans="1:43" x14ac:dyDescent="0.35">
      <c r="A1084">
        <v>1276</v>
      </c>
      <c r="B1084" t="s">
        <v>3399</v>
      </c>
      <c r="C1084" t="s">
        <v>3245</v>
      </c>
      <c r="D1084" t="str">
        <f t="shared" si="368"/>
        <v>IT</v>
      </c>
      <c r="E1084" t="s">
        <v>3300</v>
      </c>
      <c r="F1084" t="s">
        <v>46</v>
      </c>
      <c r="G1084" t="s">
        <v>3363</v>
      </c>
      <c r="H1084" t="s">
        <v>334</v>
      </c>
      <c r="I1084" s="32" t="s">
        <v>7471</v>
      </c>
      <c r="J1084" s="32">
        <v>44714.107928240737</v>
      </c>
      <c r="K1084" s="32">
        <v>44717.107928240737</v>
      </c>
      <c r="L1084" s="8" t="str">
        <f t="shared" si="369"/>
        <v/>
      </c>
      <c r="M1084" s="7">
        <v>44746.107928240737</v>
      </c>
      <c r="N1084" t="s">
        <v>49</v>
      </c>
      <c r="O1084" s="34">
        <v>44728.107928240737</v>
      </c>
      <c r="P1084" t="s">
        <v>50</v>
      </c>
      <c r="Q1084" t="s">
        <v>198</v>
      </c>
      <c r="R1084" s="32" t="s">
        <v>7472</v>
      </c>
      <c r="S1084" t="s">
        <v>7476</v>
      </c>
      <c r="T1084" s="34" t="s">
        <v>7476</v>
      </c>
      <c r="U1084" s="34" t="s">
        <v>7476</v>
      </c>
      <c r="V1084" s="32" t="s">
        <v>7476</v>
      </c>
      <c r="W1084" s="32" t="s">
        <v>7476</v>
      </c>
      <c r="X1084">
        <v>0</v>
      </c>
      <c r="Y1084" s="34" t="s">
        <v>7476</v>
      </c>
      <c r="Z1084" s="34" t="s">
        <v>7476</v>
      </c>
      <c r="AA1084" s="34" t="s">
        <v>7476</v>
      </c>
      <c r="AB1084" s="36" t="s">
        <v>95</v>
      </c>
      <c r="AD1084" t="s">
        <v>3400</v>
      </c>
      <c r="AE1084" t="s">
        <v>3401</v>
      </c>
      <c r="AF1084" s="16">
        <v>44598</v>
      </c>
      <c r="AG1084" t="s">
        <v>75</v>
      </c>
      <c r="AH1084">
        <v>3</v>
      </c>
      <c r="AK1084" s="38" t="str">
        <f t="shared" si="370"/>
        <v/>
      </c>
    </row>
    <row r="1085" spans="1:43" x14ac:dyDescent="0.35">
      <c r="A1085">
        <v>1214</v>
      </c>
      <c r="B1085" t="s">
        <v>3402</v>
      </c>
      <c r="C1085" t="s">
        <v>3232</v>
      </c>
      <c r="D1085" t="str">
        <f t="shared" si="368"/>
        <v>IT</v>
      </c>
      <c r="E1085" t="s">
        <v>3300</v>
      </c>
      <c r="F1085" t="s">
        <v>46</v>
      </c>
      <c r="G1085" t="s">
        <v>3363</v>
      </c>
      <c r="H1085" t="s">
        <v>334</v>
      </c>
      <c r="I1085" s="32">
        <v>45133.004317129627</v>
      </c>
      <c r="J1085" s="32" t="s">
        <v>7471</v>
      </c>
      <c r="K1085" s="32">
        <v>45138.004317129627</v>
      </c>
      <c r="L1085" s="8">
        <f t="shared" si="369"/>
        <v>5</v>
      </c>
      <c r="M1085" s="7">
        <v>45163.004317129627</v>
      </c>
      <c r="N1085" t="s">
        <v>49</v>
      </c>
      <c r="O1085" s="34">
        <v>45141.004317129627</v>
      </c>
      <c r="P1085" t="s">
        <v>60</v>
      </c>
      <c r="R1085" s="32">
        <v>45148.004317129627</v>
      </c>
      <c r="S1085" t="s">
        <v>61</v>
      </c>
      <c r="T1085" s="34" t="s">
        <v>7476</v>
      </c>
      <c r="U1085" s="34" t="s">
        <v>7476</v>
      </c>
      <c r="V1085" s="32">
        <v>45145.004317129627</v>
      </c>
      <c r="W1085" s="32" t="s">
        <v>7476</v>
      </c>
      <c r="X1085">
        <v>0</v>
      </c>
      <c r="Y1085" s="34" t="s">
        <v>7476</v>
      </c>
      <c r="Z1085" s="34" t="s">
        <v>7476</v>
      </c>
      <c r="AA1085" s="34" t="s">
        <v>7476</v>
      </c>
      <c r="AB1085" s="36" t="s">
        <v>7476</v>
      </c>
      <c r="AD1085" t="s">
        <v>3403</v>
      </c>
      <c r="AE1085" t="s">
        <v>3404</v>
      </c>
      <c r="AF1085" s="16">
        <v>45135</v>
      </c>
      <c r="AG1085" t="s">
        <v>64</v>
      </c>
      <c r="AH1085">
        <v>6</v>
      </c>
      <c r="AK1085" s="38">
        <f t="shared" si="370"/>
        <v>45325.004317129627</v>
      </c>
    </row>
    <row r="1086" spans="1:43" x14ac:dyDescent="0.35">
      <c r="A1086">
        <v>1188</v>
      </c>
      <c r="B1086" t="s">
        <v>3405</v>
      </c>
      <c r="C1086" t="s">
        <v>3238</v>
      </c>
      <c r="D1086" t="str">
        <f t="shared" si="368"/>
        <v>IT</v>
      </c>
      <c r="E1086" t="s">
        <v>3300</v>
      </c>
      <c r="F1086" t="s">
        <v>46</v>
      </c>
      <c r="G1086" t="s">
        <v>3363</v>
      </c>
      <c r="H1086" t="s">
        <v>334</v>
      </c>
      <c r="I1086" s="32">
        <v>45072.784872685188</v>
      </c>
      <c r="J1086" s="32" t="s">
        <v>7471</v>
      </c>
      <c r="K1086" s="32">
        <v>45080.784872685188</v>
      </c>
      <c r="L1086" s="8">
        <f t="shared" si="369"/>
        <v>8</v>
      </c>
      <c r="M1086" s="7">
        <v>45090.784872685188</v>
      </c>
      <c r="N1086" t="s">
        <v>49</v>
      </c>
      <c r="O1086" s="34">
        <v>45091.784872685188</v>
      </c>
      <c r="P1086" t="s">
        <v>60</v>
      </c>
      <c r="R1086" s="32">
        <v>45096.784872685188</v>
      </c>
      <c r="S1086" t="s">
        <v>61</v>
      </c>
      <c r="T1086" s="34" t="s">
        <v>7476</v>
      </c>
      <c r="U1086" s="34" t="s">
        <v>7476</v>
      </c>
      <c r="V1086" s="32">
        <v>45092.784872685188</v>
      </c>
      <c r="W1086" s="32" t="s">
        <v>7476</v>
      </c>
      <c r="X1086">
        <v>0</v>
      </c>
      <c r="Y1086" s="34" t="s">
        <v>7476</v>
      </c>
      <c r="Z1086" s="34" t="s">
        <v>7476</v>
      </c>
      <c r="AA1086" s="34" t="s">
        <v>7476</v>
      </c>
      <c r="AB1086" s="36" t="s">
        <v>7476</v>
      </c>
      <c r="AD1086" t="s">
        <v>3406</v>
      </c>
      <c r="AE1086" t="s">
        <v>3407</v>
      </c>
      <c r="AF1086" s="16">
        <v>45084</v>
      </c>
      <c r="AG1086" t="s">
        <v>55</v>
      </c>
      <c r="AH1086">
        <v>6</v>
      </c>
      <c r="AK1086" s="38">
        <f t="shared" si="370"/>
        <v>45272.784872685188</v>
      </c>
    </row>
    <row r="1087" spans="1:43" x14ac:dyDescent="0.35">
      <c r="A1087">
        <v>1168</v>
      </c>
      <c r="B1087" t="s">
        <v>3408</v>
      </c>
      <c r="C1087" t="s">
        <v>3238</v>
      </c>
      <c r="D1087" t="str">
        <f t="shared" si="368"/>
        <v>IT</v>
      </c>
      <c r="E1087" t="s">
        <v>3300</v>
      </c>
      <c r="F1087" t="s">
        <v>46</v>
      </c>
      <c r="G1087" t="s">
        <v>3363</v>
      </c>
      <c r="H1087" t="s">
        <v>334</v>
      </c>
      <c r="I1087" s="32">
        <v>44966.866122685176</v>
      </c>
      <c r="J1087" s="32">
        <v>44969.866122685176</v>
      </c>
      <c r="K1087" s="32">
        <v>44973.866122685176</v>
      </c>
      <c r="L1087" s="8">
        <f t="shared" si="369"/>
        <v>7</v>
      </c>
      <c r="M1087" s="7">
        <v>44994.866122685176</v>
      </c>
      <c r="N1087" t="s">
        <v>49</v>
      </c>
      <c r="O1087" s="34">
        <v>44976.866122685176</v>
      </c>
      <c r="P1087" t="s">
        <v>50</v>
      </c>
      <c r="Q1087" t="s">
        <v>236</v>
      </c>
      <c r="R1087" s="32" t="s">
        <v>7472</v>
      </c>
      <c r="S1087" t="s">
        <v>7476</v>
      </c>
      <c r="T1087" s="34" t="s">
        <v>7476</v>
      </c>
      <c r="U1087" s="34" t="s">
        <v>7476</v>
      </c>
      <c r="V1087" s="32">
        <v>44979.866122685176</v>
      </c>
      <c r="W1087" s="32" t="s">
        <v>7476</v>
      </c>
      <c r="X1087">
        <v>0</v>
      </c>
      <c r="Y1087" s="34" t="s">
        <v>7476</v>
      </c>
      <c r="Z1087" s="34" t="s">
        <v>7476</v>
      </c>
      <c r="AA1087" s="34" t="s">
        <v>7476</v>
      </c>
      <c r="AB1087" s="36" t="s">
        <v>52</v>
      </c>
      <c r="AD1087" t="s">
        <v>3409</v>
      </c>
      <c r="AE1087" t="s">
        <v>3410</v>
      </c>
      <c r="AF1087" s="16">
        <v>44965</v>
      </c>
      <c r="AG1087" t="s">
        <v>98</v>
      </c>
      <c r="AH1087">
        <v>3</v>
      </c>
      <c r="AI1087" s="8" t="str">
        <f>IFERROR(R1087-AF1087,"")</f>
        <v/>
      </c>
      <c r="AJ1087" s="8">
        <f>IFERROR(O1087-AF1087,"")</f>
        <v>11.866122685176379</v>
      </c>
      <c r="AK1087" s="38">
        <f t="shared" si="370"/>
        <v>45069.866122685176</v>
      </c>
      <c r="AL1087" t="str">
        <f>IFERROR(Z1087-W1087,"")</f>
        <v/>
      </c>
      <c r="AM1087" t="str">
        <f>IFERROR(R1087-J1087,"")</f>
        <v/>
      </c>
      <c r="AN1087">
        <f>IFERROR(V1087-O1087,"")</f>
        <v>3</v>
      </c>
      <c r="AO1087">
        <f>IFERROR(J1087-I1087,"")</f>
        <v>3</v>
      </c>
      <c r="AP1087">
        <f>IFERROR(AC1087-X1087,"")</f>
        <v>0</v>
      </c>
      <c r="AQ1087" t="str">
        <f>IFERROR(AA1087-W1087,"")</f>
        <v/>
      </c>
    </row>
    <row r="1088" spans="1:43" x14ac:dyDescent="0.35">
      <c r="A1088">
        <v>1163</v>
      </c>
      <c r="B1088" t="s">
        <v>3411</v>
      </c>
      <c r="C1088" t="s">
        <v>3238</v>
      </c>
      <c r="D1088" t="str">
        <f t="shared" si="368"/>
        <v>IT</v>
      </c>
      <c r="E1088" t="s">
        <v>3300</v>
      </c>
      <c r="F1088" t="s">
        <v>46</v>
      </c>
      <c r="G1088" t="s">
        <v>3363</v>
      </c>
      <c r="H1088" t="s">
        <v>334</v>
      </c>
      <c r="I1088" s="32">
        <v>44966.866122685176</v>
      </c>
      <c r="J1088" s="32">
        <v>44967.866122685176</v>
      </c>
      <c r="K1088" s="32">
        <v>44973.866122685176</v>
      </c>
      <c r="L1088" s="8">
        <f t="shared" si="369"/>
        <v>7</v>
      </c>
      <c r="M1088" s="7">
        <v>44996.866122685176</v>
      </c>
      <c r="N1088" t="s">
        <v>49</v>
      </c>
      <c r="O1088" s="34">
        <v>44976.866122685176</v>
      </c>
      <c r="P1088" t="s">
        <v>50</v>
      </c>
      <c r="Q1088" t="s">
        <v>198</v>
      </c>
      <c r="R1088" s="32" t="s">
        <v>7472</v>
      </c>
      <c r="S1088" t="s">
        <v>7476</v>
      </c>
      <c r="T1088" s="34" t="s">
        <v>7476</v>
      </c>
      <c r="U1088" s="34" t="s">
        <v>7476</v>
      </c>
      <c r="V1088" s="32" t="s">
        <v>7476</v>
      </c>
      <c r="W1088" s="32" t="s">
        <v>7476</v>
      </c>
      <c r="X1088">
        <v>0</v>
      </c>
      <c r="Y1088" s="34" t="s">
        <v>7476</v>
      </c>
      <c r="Z1088" s="34" t="s">
        <v>7476</v>
      </c>
      <c r="AA1088" s="34" t="s">
        <v>7476</v>
      </c>
      <c r="AB1088" s="36" t="s">
        <v>95</v>
      </c>
      <c r="AD1088" t="s">
        <v>3412</v>
      </c>
      <c r="AE1088" t="s">
        <v>3413</v>
      </c>
      <c r="AF1088" s="16">
        <v>44965</v>
      </c>
      <c r="AG1088" t="s">
        <v>68</v>
      </c>
      <c r="AH1088">
        <v>3</v>
      </c>
      <c r="AI1088" s="8" t="str">
        <f>IFERROR(R1088-AF1088,"")</f>
        <v/>
      </c>
      <c r="AJ1088" s="8">
        <f>IFERROR(O1088-AF1088,"")</f>
        <v>11.866122685176379</v>
      </c>
      <c r="AK1088" s="38" t="str">
        <f t="shared" si="370"/>
        <v/>
      </c>
      <c r="AL1088" t="str">
        <f>IFERROR(Z1088-W1088,"")</f>
        <v/>
      </c>
      <c r="AM1088" t="str">
        <f>IFERROR(R1088-J1088,"")</f>
        <v/>
      </c>
      <c r="AN1088" t="str">
        <f>IFERROR(V1088-O1088,"")</f>
        <v/>
      </c>
      <c r="AO1088">
        <f>IFERROR(J1088-I1088,"")</f>
        <v>1</v>
      </c>
      <c r="AP1088">
        <f>IFERROR(AC1088-X1088,"")</f>
        <v>0</v>
      </c>
      <c r="AQ1088" t="str">
        <f>IFERROR(AA1088-W1088,"")</f>
        <v/>
      </c>
    </row>
    <row r="1089" spans="1:43" x14ac:dyDescent="0.35">
      <c r="A1089">
        <v>1135</v>
      </c>
      <c r="B1089" t="s">
        <v>3414</v>
      </c>
      <c r="C1089" t="s">
        <v>3238</v>
      </c>
      <c r="D1089" t="str">
        <f t="shared" si="368"/>
        <v>IT</v>
      </c>
      <c r="E1089" t="s">
        <v>3300</v>
      </c>
      <c r="F1089" t="s">
        <v>46</v>
      </c>
      <c r="G1089" t="s">
        <v>3363</v>
      </c>
      <c r="H1089" t="s">
        <v>334</v>
      </c>
      <c r="I1089" s="32">
        <v>44635.796018518522</v>
      </c>
      <c r="J1089" s="32">
        <v>44638.796018518522</v>
      </c>
      <c r="K1089" s="32">
        <v>44639.796018518522</v>
      </c>
      <c r="L1089" s="8">
        <f t="shared" si="369"/>
        <v>4</v>
      </c>
      <c r="M1089" s="7">
        <v>44648.796018518522</v>
      </c>
      <c r="N1089" t="s">
        <v>49</v>
      </c>
      <c r="O1089" s="34">
        <v>44651.796018518522</v>
      </c>
      <c r="P1089" t="s">
        <v>60</v>
      </c>
      <c r="R1089" s="32">
        <v>44653.796018518522</v>
      </c>
      <c r="S1089" t="s">
        <v>61</v>
      </c>
      <c r="T1089" s="34" t="s">
        <v>7476</v>
      </c>
      <c r="U1089" s="34" t="s">
        <v>7476</v>
      </c>
      <c r="V1089" s="32">
        <v>44652.796018518522</v>
      </c>
      <c r="W1089" s="32" t="s">
        <v>7476</v>
      </c>
      <c r="X1089">
        <v>0</v>
      </c>
      <c r="Y1089" s="34" t="s">
        <v>7476</v>
      </c>
      <c r="Z1089" s="34" t="s">
        <v>7476</v>
      </c>
      <c r="AA1089" s="34" t="s">
        <v>7476</v>
      </c>
      <c r="AB1089" s="36" t="s">
        <v>7476</v>
      </c>
      <c r="AD1089" t="s">
        <v>3415</v>
      </c>
      <c r="AE1089" t="s">
        <v>3416</v>
      </c>
      <c r="AF1089" s="16">
        <v>44645</v>
      </c>
      <c r="AG1089" t="s">
        <v>64</v>
      </c>
      <c r="AH1089">
        <v>6</v>
      </c>
      <c r="AI1089" s="8">
        <f>IFERROR(R1089-AF1089,"")</f>
        <v>8.7960185185220325</v>
      </c>
      <c r="AJ1089" s="8">
        <f>IFERROR(O1089-AF1089,"")</f>
        <v>6.7960185185220325</v>
      </c>
      <c r="AK1089" s="38">
        <f t="shared" si="370"/>
        <v>44832.796018518522</v>
      </c>
      <c r="AL1089" t="str">
        <f>IFERROR(Z1089-W1089,"")</f>
        <v/>
      </c>
      <c r="AM1089">
        <f>IFERROR(R1089-J1089,"")</f>
        <v>15</v>
      </c>
      <c r="AN1089">
        <f>IFERROR(V1089-O1089,"")</f>
        <v>1</v>
      </c>
      <c r="AO1089">
        <f>IFERROR(J1089-I1089,"")</f>
        <v>3</v>
      </c>
      <c r="AP1089">
        <f>IFERROR(AC1089-X1089,"")</f>
        <v>0</v>
      </c>
      <c r="AQ1089" t="str">
        <f>IFERROR(AA1089-W1089,"")</f>
        <v/>
      </c>
    </row>
    <row r="1090" spans="1:43" x14ac:dyDescent="0.35">
      <c r="A1090">
        <v>1128</v>
      </c>
      <c r="B1090" t="s">
        <v>3417</v>
      </c>
      <c r="C1090" t="s">
        <v>3238</v>
      </c>
      <c r="D1090" t="str">
        <f t="shared" ref="D1090:D1153" si="387">TRIM(C1090)</f>
        <v>IT</v>
      </c>
      <c r="E1090" t="s">
        <v>3300</v>
      </c>
      <c r="F1090" t="s">
        <v>46</v>
      </c>
      <c r="G1090" t="s">
        <v>3363</v>
      </c>
      <c r="H1090" t="s">
        <v>334</v>
      </c>
      <c r="I1090" s="32" t="s">
        <v>7471</v>
      </c>
      <c r="J1090" s="32">
        <v>45096.561550925922</v>
      </c>
      <c r="K1090" s="32">
        <v>45102.561550925922</v>
      </c>
      <c r="L1090" s="8" t="str">
        <f t="shared" ref="L1090:L1153" si="388">IFERROR(K1090-I1090,"")</f>
        <v/>
      </c>
      <c r="M1090" s="7">
        <v>45116.561550925922</v>
      </c>
      <c r="N1090" t="s">
        <v>49</v>
      </c>
      <c r="O1090" s="34">
        <v>45108.561550925922</v>
      </c>
      <c r="P1090" t="s">
        <v>60</v>
      </c>
      <c r="R1090" s="32">
        <v>45110.561550925922</v>
      </c>
      <c r="S1090" t="s">
        <v>61</v>
      </c>
      <c r="T1090" s="34" t="s">
        <v>7476</v>
      </c>
      <c r="U1090" s="34" t="s">
        <v>7476</v>
      </c>
      <c r="V1090" s="32">
        <v>45109.561550925922</v>
      </c>
      <c r="W1090" s="32" t="s">
        <v>7476</v>
      </c>
      <c r="X1090">
        <v>0</v>
      </c>
      <c r="Y1090" s="34" t="s">
        <v>7476</v>
      </c>
      <c r="Z1090" s="34" t="s">
        <v>7476</v>
      </c>
      <c r="AA1090" s="34" t="s">
        <v>7476</v>
      </c>
      <c r="AB1090" s="36" t="s">
        <v>7476</v>
      </c>
      <c r="AD1090" t="s">
        <v>3418</v>
      </c>
      <c r="AE1090" t="s">
        <v>3419</v>
      </c>
      <c r="AF1090" s="16">
        <v>45097</v>
      </c>
      <c r="AG1090" t="s">
        <v>75</v>
      </c>
      <c r="AH1090">
        <v>6</v>
      </c>
      <c r="AK1090" s="38">
        <f t="shared" si="370"/>
        <v>45289.561550925922</v>
      </c>
    </row>
    <row r="1091" spans="1:43" x14ac:dyDescent="0.35">
      <c r="A1091">
        <v>1081</v>
      </c>
      <c r="B1091" t="s">
        <v>3420</v>
      </c>
      <c r="C1091" t="s">
        <v>3238</v>
      </c>
      <c r="D1091" t="str">
        <f t="shared" si="387"/>
        <v>IT</v>
      </c>
      <c r="E1091" t="s">
        <v>3300</v>
      </c>
      <c r="F1091" t="s">
        <v>46</v>
      </c>
      <c r="G1091" t="s">
        <v>3363</v>
      </c>
      <c r="H1091" t="s">
        <v>334</v>
      </c>
      <c r="I1091" s="32">
        <v>44891.976215277777</v>
      </c>
      <c r="J1091" s="32">
        <v>44895.976215277777</v>
      </c>
      <c r="K1091" s="32" t="s">
        <v>7473</v>
      </c>
      <c r="L1091" s="8" t="str">
        <f t="shared" si="388"/>
        <v/>
      </c>
      <c r="M1091" s="7">
        <v>44907.976215277777</v>
      </c>
      <c r="N1091" t="s">
        <v>49</v>
      </c>
      <c r="O1091" s="34">
        <v>44907.976215277777</v>
      </c>
      <c r="P1091" t="s">
        <v>50</v>
      </c>
      <c r="Q1091" t="s">
        <v>125</v>
      </c>
      <c r="R1091" s="32" t="s">
        <v>7472</v>
      </c>
      <c r="S1091" t="s">
        <v>7476</v>
      </c>
      <c r="T1091" s="34" t="s">
        <v>7476</v>
      </c>
      <c r="U1091" s="34" t="s">
        <v>7476</v>
      </c>
      <c r="V1091" s="32" t="s">
        <v>7476</v>
      </c>
      <c r="W1091" s="32" t="s">
        <v>7476</v>
      </c>
      <c r="X1091">
        <v>0</v>
      </c>
      <c r="Y1091" s="34" t="s">
        <v>7476</v>
      </c>
      <c r="Z1091" s="34" t="s">
        <v>7476</v>
      </c>
      <c r="AA1091" s="34" t="s">
        <v>7476</v>
      </c>
      <c r="AB1091" s="36" t="s">
        <v>95</v>
      </c>
      <c r="AD1091" t="s">
        <v>3421</v>
      </c>
      <c r="AE1091" t="s">
        <v>3422</v>
      </c>
      <c r="AF1091" s="16">
        <v>44893</v>
      </c>
      <c r="AG1091" t="s">
        <v>64</v>
      </c>
      <c r="AH1091">
        <v>6</v>
      </c>
      <c r="AK1091" s="38" t="str">
        <f t="shared" ref="AK1091:AK1154" si="389">IFERROR(V1091+(AH1091*30),"")</f>
        <v/>
      </c>
    </row>
    <row r="1092" spans="1:43" x14ac:dyDescent="0.35">
      <c r="A1092">
        <v>1049</v>
      </c>
      <c r="B1092" t="s">
        <v>3423</v>
      </c>
      <c r="C1092" t="s">
        <v>3245</v>
      </c>
      <c r="D1092" t="str">
        <f t="shared" si="387"/>
        <v>IT</v>
      </c>
      <c r="E1092" t="s">
        <v>3300</v>
      </c>
      <c r="F1092" t="s">
        <v>46</v>
      </c>
      <c r="G1092" t="s">
        <v>3363</v>
      </c>
      <c r="H1092" t="s">
        <v>334</v>
      </c>
      <c r="I1092" s="32">
        <v>44884.960578703707</v>
      </c>
      <c r="J1092" s="32">
        <v>44885.960578703707</v>
      </c>
      <c r="K1092" s="32">
        <v>44891.960578703707</v>
      </c>
      <c r="L1092" s="8">
        <f t="shared" si="388"/>
        <v>7</v>
      </c>
      <c r="M1092" s="7">
        <v>44918.960578703707</v>
      </c>
      <c r="N1092" t="s">
        <v>49</v>
      </c>
      <c r="O1092" s="34">
        <v>44905.960578703707</v>
      </c>
      <c r="P1092" t="s">
        <v>50</v>
      </c>
      <c r="Q1092" t="s">
        <v>198</v>
      </c>
      <c r="R1092" s="32" t="s">
        <v>7472</v>
      </c>
      <c r="S1092" t="s">
        <v>7476</v>
      </c>
      <c r="T1092" s="34" t="s">
        <v>7476</v>
      </c>
      <c r="U1092" s="34" t="s">
        <v>7476</v>
      </c>
      <c r="V1092" s="32" t="s">
        <v>7476</v>
      </c>
      <c r="W1092" s="32" t="s">
        <v>7476</v>
      </c>
      <c r="X1092">
        <v>0</v>
      </c>
      <c r="Y1092" s="34" t="s">
        <v>7476</v>
      </c>
      <c r="Z1092" s="34" t="s">
        <v>7476</v>
      </c>
      <c r="AA1092" s="34" t="s">
        <v>7476</v>
      </c>
      <c r="AB1092" s="36" t="s">
        <v>52</v>
      </c>
      <c r="AD1092" t="s">
        <v>3424</v>
      </c>
      <c r="AE1092" t="s">
        <v>3425</v>
      </c>
      <c r="AF1092" s="16">
        <v>44890</v>
      </c>
      <c r="AG1092" t="s">
        <v>64</v>
      </c>
      <c r="AH1092">
        <v>3</v>
      </c>
      <c r="AI1092" s="8" t="str">
        <f>IFERROR(R1092-AF1092,"")</f>
        <v/>
      </c>
      <c r="AJ1092" s="8">
        <f>IFERROR(O1092-AF1092,"")</f>
        <v>15.960578703707142</v>
      </c>
      <c r="AK1092" s="38" t="str">
        <f t="shared" si="389"/>
        <v/>
      </c>
      <c r="AL1092" t="str">
        <f>IFERROR(Z1092-W1092,"")</f>
        <v/>
      </c>
      <c r="AM1092" t="str">
        <f>IFERROR(R1092-J1092,"")</f>
        <v/>
      </c>
      <c r="AN1092" t="str">
        <f>IFERROR(V1092-O1092,"")</f>
        <v/>
      </c>
      <c r="AO1092">
        <f>IFERROR(J1092-I1092,"")</f>
        <v>1</v>
      </c>
      <c r="AP1092">
        <f>IFERROR(AC1092-X1092,"")</f>
        <v>0</v>
      </c>
      <c r="AQ1092" t="str">
        <f>IFERROR(AA1092-W1092,"")</f>
        <v/>
      </c>
    </row>
    <row r="1093" spans="1:43" x14ac:dyDescent="0.35">
      <c r="A1093">
        <v>1044</v>
      </c>
      <c r="B1093" t="s">
        <v>3426</v>
      </c>
      <c r="C1093" t="s">
        <v>3245</v>
      </c>
      <c r="D1093" t="str">
        <f t="shared" si="387"/>
        <v>IT</v>
      </c>
      <c r="E1093" t="s">
        <v>3300</v>
      </c>
      <c r="F1093" t="s">
        <v>46</v>
      </c>
      <c r="G1093" t="s">
        <v>3363</v>
      </c>
      <c r="H1093" t="s">
        <v>334</v>
      </c>
      <c r="I1093" s="32">
        <v>44886.960578703707</v>
      </c>
      <c r="J1093" s="32">
        <v>44887.960578703707</v>
      </c>
      <c r="K1093" s="32">
        <v>44891.960578703707</v>
      </c>
      <c r="L1093" s="8">
        <f t="shared" si="388"/>
        <v>5</v>
      </c>
      <c r="M1093" s="7">
        <v>44920.960578703707</v>
      </c>
      <c r="N1093" t="s">
        <v>49</v>
      </c>
      <c r="O1093" s="34">
        <v>44908.960578703707</v>
      </c>
      <c r="P1093" t="s">
        <v>60</v>
      </c>
      <c r="R1093" s="32">
        <v>44911.960578703707</v>
      </c>
      <c r="S1093" t="s">
        <v>61</v>
      </c>
      <c r="T1093" s="34" t="s">
        <v>7476</v>
      </c>
      <c r="U1093" s="34" t="s">
        <v>7476</v>
      </c>
      <c r="V1093" s="32">
        <v>44909.960578703707</v>
      </c>
      <c r="W1093" s="32" t="s">
        <v>7476</v>
      </c>
      <c r="X1093">
        <v>0</v>
      </c>
      <c r="Y1093" s="34" t="s">
        <v>7476</v>
      </c>
      <c r="Z1093" s="34" t="s">
        <v>7476</v>
      </c>
      <c r="AA1093" s="34" t="s">
        <v>7476</v>
      </c>
      <c r="AB1093" s="36" t="s">
        <v>7476</v>
      </c>
      <c r="AD1093" t="s">
        <v>3427</v>
      </c>
      <c r="AE1093" t="s">
        <v>3428</v>
      </c>
      <c r="AF1093" s="16">
        <v>44900</v>
      </c>
      <c r="AG1093" t="s">
        <v>64</v>
      </c>
      <c r="AH1093">
        <v>3</v>
      </c>
      <c r="AI1093" s="8">
        <f>IFERROR(R1093-AF1093,"")</f>
        <v>11.960578703707142</v>
      </c>
      <c r="AJ1093" s="8">
        <f>IFERROR(O1093-AF1093,"")</f>
        <v>8.9605787037071423</v>
      </c>
      <c r="AK1093" s="38">
        <f t="shared" si="389"/>
        <v>44999.960578703707</v>
      </c>
      <c r="AL1093" t="str">
        <f>IFERROR(Z1093-W1093,"")</f>
        <v/>
      </c>
      <c r="AM1093">
        <f>IFERROR(R1093-J1093,"")</f>
        <v>24</v>
      </c>
      <c r="AN1093">
        <f>IFERROR(V1093-O1093,"")</f>
        <v>1</v>
      </c>
      <c r="AO1093">
        <f>IFERROR(J1093-I1093,"")</f>
        <v>1</v>
      </c>
      <c r="AP1093">
        <f>IFERROR(AC1093-X1093,"")</f>
        <v>0</v>
      </c>
      <c r="AQ1093" t="str">
        <f>IFERROR(AA1093-W1093,"")</f>
        <v/>
      </c>
    </row>
    <row r="1094" spans="1:43" x14ac:dyDescent="0.35">
      <c r="A1094">
        <v>1041</v>
      </c>
      <c r="B1094" t="s">
        <v>3429</v>
      </c>
      <c r="C1094" t="s">
        <v>3232</v>
      </c>
      <c r="D1094" t="str">
        <f t="shared" si="387"/>
        <v>IT</v>
      </c>
      <c r="E1094" t="s">
        <v>3300</v>
      </c>
      <c r="F1094" t="s">
        <v>46</v>
      </c>
      <c r="G1094" t="s">
        <v>3363</v>
      </c>
      <c r="H1094" t="s">
        <v>334</v>
      </c>
      <c r="I1094" s="32">
        <v>44886.960578703707</v>
      </c>
      <c r="J1094" s="32">
        <v>44888.960578703707</v>
      </c>
      <c r="K1094" s="32">
        <v>44891.960578703707</v>
      </c>
      <c r="L1094" s="8">
        <f t="shared" si="388"/>
        <v>5</v>
      </c>
      <c r="M1094" s="7">
        <v>44920.960578703707</v>
      </c>
      <c r="N1094" t="s">
        <v>49</v>
      </c>
      <c r="O1094" s="34">
        <v>44903.960578703707</v>
      </c>
      <c r="P1094" t="s">
        <v>60</v>
      </c>
      <c r="R1094" s="32">
        <v>44908.960578703707</v>
      </c>
      <c r="S1094" t="s">
        <v>61</v>
      </c>
      <c r="T1094" s="34" t="s">
        <v>7476</v>
      </c>
      <c r="U1094" s="34" t="s">
        <v>7476</v>
      </c>
      <c r="V1094" s="32">
        <v>44905.960578703707</v>
      </c>
      <c r="W1094" s="32" t="s">
        <v>7476</v>
      </c>
      <c r="X1094">
        <v>0</v>
      </c>
      <c r="Y1094" s="34" t="s">
        <v>7476</v>
      </c>
      <c r="Z1094" s="34" t="s">
        <v>7476</v>
      </c>
      <c r="AA1094" s="34" t="s">
        <v>7476</v>
      </c>
      <c r="AB1094" s="36" t="s">
        <v>7476</v>
      </c>
      <c r="AD1094" t="s">
        <v>3430</v>
      </c>
      <c r="AE1094" t="s">
        <v>3431</v>
      </c>
      <c r="AF1094" s="16">
        <v>44891</v>
      </c>
      <c r="AG1094" t="s">
        <v>98</v>
      </c>
      <c r="AH1094">
        <v>6</v>
      </c>
      <c r="AI1094" s="8">
        <f>IFERROR(R1094-AF1094,"")</f>
        <v>17.960578703707142</v>
      </c>
      <c r="AJ1094" s="8">
        <f>IFERROR(O1094-AF1094,"")</f>
        <v>12.960578703707142</v>
      </c>
      <c r="AK1094" s="38">
        <f t="shared" si="389"/>
        <v>45085.960578703707</v>
      </c>
      <c r="AL1094" t="str">
        <f>IFERROR(Z1094-W1094,"")</f>
        <v/>
      </c>
      <c r="AM1094">
        <f>IFERROR(R1094-J1094,"")</f>
        <v>20</v>
      </c>
      <c r="AN1094">
        <f>IFERROR(V1094-O1094,"")</f>
        <v>2</v>
      </c>
      <c r="AO1094">
        <f>IFERROR(J1094-I1094,"")</f>
        <v>2</v>
      </c>
      <c r="AP1094">
        <f>IFERROR(AC1094-X1094,"")</f>
        <v>0</v>
      </c>
      <c r="AQ1094" t="str">
        <f>IFERROR(AA1094-W1094,"")</f>
        <v/>
      </c>
    </row>
    <row r="1095" spans="1:43" x14ac:dyDescent="0.35">
      <c r="A1095">
        <v>1024</v>
      </c>
      <c r="B1095" t="s">
        <v>3432</v>
      </c>
      <c r="C1095" t="s">
        <v>3238</v>
      </c>
      <c r="D1095" t="str">
        <f t="shared" si="387"/>
        <v>IT</v>
      </c>
      <c r="E1095" t="s">
        <v>3300</v>
      </c>
      <c r="F1095" t="s">
        <v>46</v>
      </c>
      <c r="G1095" t="s">
        <v>3363</v>
      </c>
      <c r="H1095" t="s">
        <v>334</v>
      </c>
      <c r="I1095" s="32">
        <v>44954.791134259263</v>
      </c>
      <c r="J1095" s="32" t="s">
        <v>7471</v>
      </c>
      <c r="K1095" s="32">
        <v>44958.791134259263</v>
      </c>
      <c r="L1095" s="8">
        <f t="shared" si="388"/>
        <v>4</v>
      </c>
      <c r="M1095" s="7">
        <v>44985.791134259263</v>
      </c>
      <c r="N1095" t="s">
        <v>49</v>
      </c>
      <c r="O1095" s="34">
        <v>44974.791134259263</v>
      </c>
      <c r="P1095" t="s">
        <v>392</v>
      </c>
      <c r="R1095" s="32">
        <v>44982.791134259263</v>
      </c>
      <c r="S1095" t="s">
        <v>392</v>
      </c>
      <c r="T1095" s="34" t="s">
        <v>7476</v>
      </c>
      <c r="U1095" s="34" t="s">
        <v>7476</v>
      </c>
      <c r="V1095" s="32">
        <v>44978.791134259263</v>
      </c>
      <c r="W1095" s="32" t="s">
        <v>7476</v>
      </c>
      <c r="X1095">
        <v>0</v>
      </c>
      <c r="Y1095" s="34" t="s">
        <v>7476</v>
      </c>
      <c r="Z1095" s="34" t="s">
        <v>7476</v>
      </c>
      <c r="AA1095" s="34" t="s">
        <v>7476</v>
      </c>
      <c r="AB1095" s="36" t="s">
        <v>7476</v>
      </c>
      <c r="AD1095" t="s">
        <v>3433</v>
      </c>
      <c r="AE1095" t="s">
        <v>3434</v>
      </c>
      <c r="AF1095" s="16">
        <v>44960</v>
      </c>
      <c r="AG1095" t="s">
        <v>55</v>
      </c>
      <c r="AH1095">
        <v>3</v>
      </c>
      <c r="AK1095" s="38">
        <f t="shared" si="389"/>
        <v>45068.791134259263</v>
      </c>
    </row>
    <row r="1096" spans="1:43" x14ac:dyDescent="0.35">
      <c r="A1096">
        <v>2950</v>
      </c>
      <c r="B1096" t="s">
        <v>3435</v>
      </c>
      <c r="C1096" t="s">
        <v>3245</v>
      </c>
      <c r="D1096" t="str">
        <f t="shared" si="387"/>
        <v>IT</v>
      </c>
      <c r="E1096" t="s">
        <v>3436</v>
      </c>
      <c r="F1096" t="s">
        <v>695</v>
      </c>
      <c r="G1096" t="s">
        <v>3437</v>
      </c>
      <c r="H1096" t="s">
        <v>697</v>
      </c>
      <c r="I1096" s="32" t="s">
        <v>7471</v>
      </c>
      <c r="J1096" s="32">
        <v>44728.484722222223</v>
      </c>
      <c r="K1096" s="32">
        <v>44736.484722222223</v>
      </c>
      <c r="L1096" s="8" t="str">
        <f t="shared" si="388"/>
        <v/>
      </c>
      <c r="M1096" s="7">
        <v>44781.484722222223</v>
      </c>
      <c r="N1096" t="s">
        <v>49</v>
      </c>
      <c r="O1096" s="34">
        <v>44739.484722222223</v>
      </c>
      <c r="P1096" t="s">
        <v>50</v>
      </c>
      <c r="Q1096" t="s">
        <v>51</v>
      </c>
      <c r="R1096" s="32" t="s">
        <v>7472</v>
      </c>
      <c r="S1096" t="s">
        <v>7476</v>
      </c>
      <c r="T1096" s="34" t="s">
        <v>7476</v>
      </c>
      <c r="U1096" s="34" t="s">
        <v>7476</v>
      </c>
      <c r="V1096" s="32">
        <v>44741.484722222223</v>
      </c>
      <c r="W1096" s="32" t="s">
        <v>7476</v>
      </c>
      <c r="X1096">
        <v>0</v>
      </c>
      <c r="Y1096" s="34" t="s">
        <v>7476</v>
      </c>
      <c r="Z1096" s="34" t="s">
        <v>7476</v>
      </c>
      <c r="AA1096" s="34" t="s">
        <v>7476</v>
      </c>
      <c r="AB1096" s="36" t="s">
        <v>95</v>
      </c>
      <c r="AD1096" t="s">
        <v>3438</v>
      </c>
      <c r="AE1096" t="s">
        <v>3439</v>
      </c>
      <c r="AF1096" s="16">
        <v>44729</v>
      </c>
      <c r="AG1096" t="s">
        <v>64</v>
      </c>
      <c r="AH1096">
        <v>3</v>
      </c>
      <c r="AK1096" s="38">
        <f t="shared" si="389"/>
        <v>44831.484722222223</v>
      </c>
    </row>
    <row r="1097" spans="1:43" x14ac:dyDescent="0.35">
      <c r="A1097">
        <v>2893</v>
      </c>
      <c r="B1097" t="s">
        <v>3440</v>
      </c>
      <c r="C1097" t="s">
        <v>3238</v>
      </c>
      <c r="D1097" t="str">
        <f t="shared" si="387"/>
        <v>IT</v>
      </c>
      <c r="E1097" t="s">
        <v>3436</v>
      </c>
      <c r="F1097" t="s">
        <v>695</v>
      </c>
      <c r="G1097" t="s">
        <v>3437</v>
      </c>
      <c r="H1097" t="s">
        <v>697</v>
      </c>
      <c r="I1097" s="32">
        <v>44962.681840277779</v>
      </c>
      <c r="J1097" s="32">
        <v>44964.681840277779</v>
      </c>
      <c r="K1097" s="32">
        <v>44971.681840277779</v>
      </c>
      <c r="L1097" s="8">
        <f t="shared" si="388"/>
        <v>9</v>
      </c>
      <c r="M1097" s="7">
        <v>45016.681840277779</v>
      </c>
      <c r="N1097" t="s">
        <v>49</v>
      </c>
      <c r="O1097" s="34">
        <v>44980.681840277779</v>
      </c>
      <c r="P1097" t="s">
        <v>50</v>
      </c>
      <c r="Q1097" t="s">
        <v>198</v>
      </c>
      <c r="R1097" s="32" t="s">
        <v>7472</v>
      </c>
      <c r="S1097" t="s">
        <v>7476</v>
      </c>
      <c r="T1097" s="34" t="s">
        <v>7476</v>
      </c>
      <c r="U1097" s="34" t="s">
        <v>7476</v>
      </c>
      <c r="V1097" s="32">
        <v>44981.681840277779</v>
      </c>
      <c r="W1097" s="32" t="s">
        <v>7476</v>
      </c>
      <c r="X1097">
        <v>0</v>
      </c>
      <c r="Y1097" s="34" t="s">
        <v>7476</v>
      </c>
      <c r="Z1097" s="34" t="s">
        <v>7476</v>
      </c>
      <c r="AA1097" s="34" t="s">
        <v>7476</v>
      </c>
      <c r="AB1097" s="36" t="s">
        <v>95</v>
      </c>
      <c r="AD1097" t="s">
        <v>3441</v>
      </c>
      <c r="AE1097" t="s">
        <v>3442</v>
      </c>
      <c r="AF1097" s="16">
        <v>44971</v>
      </c>
      <c r="AG1097" t="s">
        <v>64</v>
      </c>
      <c r="AH1097">
        <v>6</v>
      </c>
      <c r="AI1097" s="8" t="str">
        <f>IFERROR(R1097-AF1097,"")</f>
        <v/>
      </c>
      <c r="AJ1097" s="8">
        <f>IFERROR(O1097-AF1097,"")</f>
        <v>9.6818402777789743</v>
      </c>
      <c r="AK1097" s="38">
        <f t="shared" si="389"/>
        <v>45161.681840277779</v>
      </c>
      <c r="AL1097" t="str">
        <f>IFERROR(Z1097-W1097,"")</f>
        <v/>
      </c>
      <c r="AM1097" t="str">
        <f>IFERROR(R1097-J1097,"")</f>
        <v/>
      </c>
      <c r="AN1097">
        <f>IFERROR(V1097-O1097,"")</f>
        <v>1</v>
      </c>
      <c r="AO1097">
        <f>IFERROR(J1097-I1097,"")</f>
        <v>2</v>
      </c>
      <c r="AP1097">
        <f>IFERROR(AC1097-X1097,"")</f>
        <v>0</v>
      </c>
      <c r="AQ1097" t="str">
        <f>IFERROR(AA1097-W1097,"")</f>
        <v/>
      </c>
    </row>
    <row r="1098" spans="1:43" x14ac:dyDescent="0.35">
      <c r="A1098">
        <v>2588</v>
      </c>
      <c r="B1098" t="s">
        <v>3443</v>
      </c>
      <c r="C1098" t="s">
        <v>3232</v>
      </c>
      <c r="D1098" t="str">
        <f t="shared" si="387"/>
        <v>IT</v>
      </c>
      <c r="E1098" t="s">
        <v>3436</v>
      </c>
      <c r="F1098" t="s">
        <v>695</v>
      </c>
      <c r="G1098" t="s">
        <v>3437</v>
      </c>
      <c r="H1098" t="s">
        <v>697</v>
      </c>
      <c r="I1098" s="32">
        <v>44782.038506944453</v>
      </c>
      <c r="J1098" s="32">
        <v>44786.038506944453</v>
      </c>
      <c r="K1098" s="32">
        <v>44791.038506944453</v>
      </c>
      <c r="L1098" s="8">
        <f t="shared" si="388"/>
        <v>9</v>
      </c>
      <c r="M1098" s="7">
        <v>44816.038506944453</v>
      </c>
      <c r="N1098" t="s">
        <v>49</v>
      </c>
      <c r="O1098" s="34">
        <v>44796.038506944453</v>
      </c>
      <c r="P1098" t="s">
        <v>60</v>
      </c>
      <c r="R1098" s="32">
        <v>44801.038506944453</v>
      </c>
      <c r="S1098" t="s">
        <v>61</v>
      </c>
      <c r="T1098" s="34" t="s">
        <v>7476</v>
      </c>
      <c r="U1098" s="34" t="s">
        <v>7476</v>
      </c>
      <c r="V1098" s="32">
        <v>44797.038506944453</v>
      </c>
      <c r="W1098" s="32" t="s">
        <v>7476</v>
      </c>
      <c r="X1098">
        <v>0</v>
      </c>
      <c r="Y1098" s="34" t="s">
        <v>7476</v>
      </c>
      <c r="Z1098" s="34" t="s">
        <v>7476</v>
      </c>
      <c r="AA1098" s="34" t="s">
        <v>7476</v>
      </c>
      <c r="AB1098" s="36" t="s">
        <v>7476</v>
      </c>
      <c r="AD1098" t="s">
        <v>3444</v>
      </c>
      <c r="AE1098" t="s">
        <v>3445</v>
      </c>
      <c r="AF1098" s="16">
        <v>44788</v>
      </c>
      <c r="AG1098" t="s">
        <v>64</v>
      </c>
      <c r="AH1098">
        <v>3</v>
      </c>
      <c r="AI1098" s="8">
        <f>IFERROR(R1098-AF1098,"")</f>
        <v>13.03850694445282</v>
      </c>
      <c r="AJ1098" s="8">
        <f>IFERROR(O1098-AF1098,"")</f>
        <v>8.0385069444528199</v>
      </c>
      <c r="AK1098" s="38">
        <f t="shared" si="389"/>
        <v>44887.038506944453</v>
      </c>
      <c r="AL1098" t="str">
        <f>IFERROR(Z1098-W1098,"")</f>
        <v/>
      </c>
      <c r="AM1098">
        <f>IFERROR(R1098-J1098,"")</f>
        <v>15</v>
      </c>
      <c r="AN1098">
        <f>IFERROR(V1098-O1098,"")</f>
        <v>1</v>
      </c>
      <c r="AO1098">
        <f>IFERROR(J1098-I1098,"")</f>
        <v>4</v>
      </c>
      <c r="AP1098">
        <f>IFERROR(AC1098-X1098,"")</f>
        <v>0</v>
      </c>
      <c r="AQ1098" t="str">
        <f>IFERROR(AA1098-W1098,"")</f>
        <v/>
      </c>
    </row>
    <row r="1099" spans="1:43" x14ac:dyDescent="0.35">
      <c r="A1099">
        <v>2419</v>
      </c>
      <c r="B1099" t="s">
        <v>3446</v>
      </c>
      <c r="C1099" t="s">
        <v>3238</v>
      </c>
      <c r="D1099" t="str">
        <f t="shared" si="387"/>
        <v>IT</v>
      </c>
      <c r="E1099" t="s">
        <v>3436</v>
      </c>
      <c r="F1099" t="s">
        <v>695</v>
      </c>
      <c r="G1099" t="s">
        <v>3437</v>
      </c>
      <c r="H1099" t="s">
        <v>697</v>
      </c>
      <c r="I1099" s="32">
        <v>45006.608229166668</v>
      </c>
      <c r="J1099" s="32">
        <v>45009.608229166668</v>
      </c>
      <c r="K1099" s="32">
        <v>45015.608229166668</v>
      </c>
      <c r="L1099" s="8">
        <f t="shared" si="388"/>
        <v>9</v>
      </c>
      <c r="M1099" s="7">
        <v>45036.608229166668</v>
      </c>
      <c r="N1099" t="s">
        <v>49</v>
      </c>
      <c r="O1099" s="34">
        <v>45019.608229166668</v>
      </c>
      <c r="P1099" t="s">
        <v>60</v>
      </c>
      <c r="R1099" s="32">
        <v>45021.608229166668</v>
      </c>
      <c r="S1099" t="s">
        <v>61</v>
      </c>
      <c r="T1099" s="34" t="s">
        <v>7476</v>
      </c>
      <c r="U1099" s="34" t="s">
        <v>7476</v>
      </c>
      <c r="V1099" s="32">
        <v>45020.608229166668</v>
      </c>
      <c r="W1099" s="32" t="s">
        <v>7476</v>
      </c>
      <c r="X1099">
        <v>0</v>
      </c>
      <c r="Y1099" s="34" t="s">
        <v>7476</v>
      </c>
      <c r="Z1099" s="34" t="s">
        <v>7476</v>
      </c>
      <c r="AA1099" s="34" t="s">
        <v>7476</v>
      </c>
      <c r="AB1099" s="36" t="s">
        <v>7476</v>
      </c>
      <c r="AD1099" t="s">
        <v>3447</v>
      </c>
      <c r="AE1099" t="s">
        <v>3448</v>
      </c>
      <c r="AF1099" s="16">
        <v>45001</v>
      </c>
      <c r="AG1099" t="s">
        <v>64</v>
      </c>
      <c r="AH1099">
        <v>6</v>
      </c>
      <c r="AI1099" s="8">
        <f>IFERROR(R1099-AF1099,"")</f>
        <v>20.608229166668025</v>
      </c>
      <c r="AJ1099" s="8">
        <f>IFERROR(O1099-AF1099,"")</f>
        <v>18.608229166668025</v>
      </c>
      <c r="AK1099" s="38">
        <f t="shared" si="389"/>
        <v>45200.608229166668</v>
      </c>
      <c r="AL1099" t="str">
        <f>IFERROR(Z1099-W1099,"")</f>
        <v/>
      </c>
      <c r="AM1099">
        <f>IFERROR(R1099-J1099,"")</f>
        <v>12</v>
      </c>
      <c r="AN1099">
        <f>IFERROR(V1099-O1099,"")</f>
        <v>1</v>
      </c>
      <c r="AO1099">
        <f>IFERROR(J1099-I1099,"")</f>
        <v>3</v>
      </c>
      <c r="AP1099">
        <f>IFERROR(AC1099-X1099,"")</f>
        <v>0</v>
      </c>
      <c r="AQ1099" t="str">
        <f>IFERROR(AA1099-W1099,"")</f>
        <v/>
      </c>
    </row>
    <row r="1100" spans="1:43" x14ac:dyDescent="0.35">
      <c r="A1100">
        <v>2411</v>
      </c>
      <c r="B1100" t="s">
        <v>3449</v>
      </c>
      <c r="C1100" t="s">
        <v>3238</v>
      </c>
      <c r="D1100" t="str">
        <f t="shared" si="387"/>
        <v>IT</v>
      </c>
      <c r="E1100" t="s">
        <v>3436</v>
      </c>
      <c r="F1100" t="s">
        <v>695</v>
      </c>
      <c r="G1100" t="s">
        <v>3437</v>
      </c>
      <c r="H1100" t="s">
        <v>697</v>
      </c>
      <c r="I1100" s="32">
        <v>45006.608229166668</v>
      </c>
      <c r="J1100" s="32">
        <v>45010.608229166668</v>
      </c>
      <c r="K1100" s="32">
        <v>45015.608229166668</v>
      </c>
      <c r="L1100" s="8">
        <f t="shared" si="388"/>
        <v>9</v>
      </c>
      <c r="M1100" s="7">
        <v>45024.608229166668</v>
      </c>
      <c r="N1100" t="s">
        <v>49</v>
      </c>
      <c r="O1100" s="34">
        <v>45022.608229166668</v>
      </c>
      <c r="P1100" t="s">
        <v>60</v>
      </c>
      <c r="R1100" s="32">
        <v>45027.608229166668</v>
      </c>
      <c r="S1100" t="s">
        <v>61</v>
      </c>
      <c r="T1100" s="34" t="s">
        <v>7476</v>
      </c>
      <c r="U1100" s="34" t="s">
        <v>7476</v>
      </c>
      <c r="V1100" s="32">
        <v>45023.608229166668</v>
      </c>
      <c r="W1100" s="32" t="s">
        <v>7476</v>
      </c>
      <c r="X1100">
        <v>0</v>
      </c>
      <c r="Y1100" s="34" t="s">
        <v>7476</v>
      </c>
      <c r="Z1100" s="34" t="s">
        <v>7476</v>
      </c>
      <c r="AA1100" s="34" t="s">
        <v>7476</v>
      </c>
      <c r="AB1100" s="36" t="s">
        <v>7476</v>
      </c>
      <c r="AD1100" t="s">
        <v>3450</v>
      </c>
      <c r="AE1100" t="s">
        <v>3451</v>
      </c>
      <c r="AF1100" s="16">
        <v>45011</v>
      </c>
      <c r="AG1100" t="s">
        <v>64</v>
      </c>
      <c r="AH1100">
        <v>6</v>
      </c>
      <c r="AI1100" s="8">
        <f>IFERROR(R1100-AF1100,"")</f>
        <v>16.608229166668025</v>
      </c>
      <c r="AJ1100" s="8">
        <f>IFERROR(O1100-AF1100,"")</f>
        <v>11.608229166668025</v>
      </c>
      <c r="AK1100" s="38">
        <f t="shared" si="389"/>
        <v>45203.608229166668</v>
      </c>
      <c r="AL1100" t="str">
        <f>IFERROR(Z1100-W1100,"")</f>
        <v/>
      </c>
      <c r="AM1100">
        <f>IFERROR(R1100-J1100,"")</f>
        <v>17</v>
      </c>
      <c r="AN1100">
        <f>IFERROR(V1100-O1100,"")</f>
        <v>1</v>
      </c>
      <c r="AO1100">
        <f>IFERROR(J1100-I1100,"")</f>
        <v>4</v>
      </c>
      <c r="AP1100">
        <f>IFERROR(AC1100-X1100,"")</f>
        <v>0</v>
      </c>
      <c r="AQ1100" t="str">
        <f>IFERROR(AA1100-W1100,"")</f>
        <v/>
      </c>
    </row>
    <row r="1101" spans="1:43" x14ac:dyDescent="0.35">
      <c r="A1101">
        <v>1960</v>
      </c>
      <c r="B1101" t="s">
        <v>3452</v>
      </c>
      <c r="C1101" t="s">
        <v>3232</v>
      </c>
      <c r="D1101" t="str">
        <f t="shared" si="387"/>
        <v>IT</v>
      </c>
      <c r="E1101" t="s">
        <v>3436</v>
      </c>
      <c r="F1101" t="s">
        <v>695</v>
      </c>
      <c r="G1101" t="s">
        <v>3437</v>
      </c>
      <c r="H1101" t="s">
        <v>697</v>
      </c>
      <c r="I1101" s="32">
        <v>44819.042395833327</v>
      </c>
      <c r="J1101" s="32">
        <v>44820.042395833327</v>
      </c>
      <c r="K1101" s="32">
        <v>44825.042395833327</v>
      </c>
      <c r="L1101" s="8">
        <f t="shared" si="388"/>
        <v>6</v>
      </c>
      <c r="M1101" s="7">
        <v>44849.042395833327</v>
      </c>
      <c r="N1101" t="s">
        <v>49</v>
      </c>
      <c r="O1101" s="34">
        <v>44837.042395833327</v>
      </c>
      <c r="P1101" t="s">
        <v>60</v>
      </c>
      <c r="R1101" s="32">
        <v>44840.042395833327</v>
      </c>
      <c r="S1101" t="s">
        <v>61</v>
      </c>
      <c r="T1101" s="34" t="s">
        <v>7476</v>
      </c>
      <c r="U1101" s="34" t="s">
        <v>7476</v>
      </c>
      <c r="V1101" s="32">
        <v>44838.042395833327</v>
      </c>
      <c r="W1101" s="32" t="s">
        <v>7476</v>
      </c>
      <c r="X1101">
        <v>0</v>
      </c>
      <c r="Y1101" s="34" t="s">
        <v>7476</v>
      </c>
      <c r="Z1101" s="34" t="s">
        <v>7476</v>
      </c>
      <c r="AA1101" s="34" t="s">
        <v>7476</v>
      </c>
      <c r="AB1101" s="36" t="s">
        <v>7476</v>
      </c>
      <c r="AD1101" t="s">
        <v>3453</v>
      </c>
      <c r="AE1101" t="s">
        <v>3454</v>
      </c>
      <c r="AF1101" s="16">
        <v>44819</v>
      </c>
      <c r="AG1101" t="s">
        <v>64</v>
      </c>
      <c r="AH1101">
        <v>3</v>
      </c>
      <c r="AI1101" s="8">
        <f>IFERROR(R1101-AF1101,"")</f>
        <v>21.042395833326736</v>
      </c>
      <c r="AJ1101" s="8">
        <f>IFERROR(O1101-AF1101,"")</f>
        <v>18.042395833326736</v>
      </c>
      <c r="AK1101" s="38">
        <f t="shared" si="389"/>
        <v>44928.042395833327</v>
      </c>
      <c r="AL1101" t="str">
        <f>IFERROR(Z1101-W1101,"")</f>
        <v/>
      </c>
      <c r="AM1101">
        <f>IFERROR(R1101-J1101,"")</f>
        <v>20</v>
      </c>
      <c r="AN1101">
        <f>IFERROR(V1101-O1101,"")</f>
        <v>1</v>
      </c>
      <c r="AO1101">
        <f>IFERROR(J1101-I1101,"")</f>
        <v>1</v>
      </c>
      <c r="AP1101">
        <f>IFERROR(AC1101-X1101,"")</f>
        <v>0</v>
      </c>
      <c r="AQ1101" t="str">
        <f>IFERROR(AA1101-W1101,"")</f>
        <v/>
      </c>
    </row>
    <row r="1102" spans="1:43" x14ac:dyDescent="0.35">
      <c r="A1102">
        <v>1902</v>
      </c>
      <c r="B1102" t="s">
        <v>3455</v>
      </c>
      <c r="C1102" t="s">
        <v>3245</v>
      </c>
      <c r="D1102" t="str">
        <f t="shared" si="387"/>
        <v>IT</v>
      </c>
      <c r="E1102" t="s">
        <v>3436</v>
      </c>
      <c r="F1102" t="s">
        <v>695</v>
      </c>
      <c r="G1102" t="s">
        <v>3437</v>
      </c>
      <c r="H1102" t="s">
        <v>697</v>
      </c>
      <c r="I1102" s="32" t="s">
        <v>7471</v>
      </c>
      <c r="J1102" s="32" t="s">
        <v>7471</v>
      </c>
      <c r="K1102" s="32" t="s">
        <v>7473</v>
      </c>
      <c r="L1102" s="8" t="str">
        <f t="shared" si="388"/>
        <v/>
      </c>
      <c r="M1102" s="7">
        <v>45009.686469907407</v>
      </c>
      <c r="N1102" t="s">
        <v>49</v>
      </c>
      <c r="O1102" s="34">
        <v>45004.686469907407</v>
      </c>
      <c r="P1102" t="s">
        <v>60</v>
      </c>
      <c r="R1102" s="32">
        <v>45009.686469907407</v>
      </c>
      <c r="S1102" t="s">
        <v>61</v>
      </c>
      <c r="T1102" s="34" t="s">
        <v>7476</v>
      </c>
      <c r="U1102" s="34" t="s">
        <v>7476</v>
      </c>
      <c r="V1102" s="32">
        <v>45007.686469907407</v>
      </c>
      <c r="W1102" s="32" t="s">
        <v>7476</v>
      </c>
      <c r="X1102">
        <v>0</v>
      </c>
      <c r="Y1102" s="34" t="s">
        <v>7476</v>
      </c>
      <c r="Z1102" s="34" t="s">
        <v>7476</v>
      </c>
      <c r="AA1102" s="34" t="s">
        <v>7476</v>
      </c>
      <c r="AB1102" s="36" t="s">
        <v>7476</v>
      </c>
      <c r="AD1102" t="s">
        <v>3456</v>
      </c>
      <c r="AE1102" t="s">
        <v>3457</v>
      </c>
      <c r="AF1102" s="16">
        <v>44929</v>
      </c>
      <c r="AG1102" t="s">
        <v>75</v>
      </c>
      <c r="AH1102">
        <v>3</v>
      </c>
      <c r="AK1102" s="38">
        <f t="shared" si="389"/>
        <v>45097.686469907407</v>
      </c>
    </row>
    <row r="1103" spans="1:43" x14ac:dyDescent="0.35">
      <c r="A1103">
        <v>1896</v>
      </c>
      <c r="B1103" t="s">
        <v>3458</v>
      </c>
      <c r="C1103" t="s">
        <v>3232</v>
      </c>
      <c r="D1103" t="str">
        <f t="shared" si="387"/>
        <v>IT</v>
      </c>
      <c r="E1103" t="s">
        <v>3436</v>
      </c>
      <c r="F1103" t="s">
        <v>695</v>
      </c>
      <c r="G1103" t="s">
        <v>3437</v>
      </c>
      <c r="H1103" t="s">
        <v>697</v>
      </c>
      <c r="I1103" s="32">
        <v>44592.278043981481</v>
      </c>
      <c r="J1103" s="32" t="s">
        <v>7471</v>
      </c>
      <c r="K1103" s="32">
        <v>44599.278043981481</v>
      </c>
      <c r="L1103" s="8">
        <f t="shared" si="388"/>
        <v>7</v>
      </c>
      <c r="M1103" s="7">
        <v>44613.278043981481</v>
      </c>
      <c r="N1103" t="s">
        <v>49</v>
      </c>
      <c r="O1103" s="34">
        <v>44616.278043981481</v>
      </c>
      <c r="P1103" t="s">
        <v>60</v>
      </c>
      <c r="R1103" s="32">
        <v>44621.278043981481</v>
      </c>
      <c r="S1103" t="s">
        <v>61</v>
      </c>
      <c r="T1103" s="34" t="s">
        <v>7476</v>
      </c>
      <c r="U1103" s="34" t="s">
        <v>7476</v>
      </c>
      <c r="V1103" s="32">
        <v>44618.278043981481</v>
      </c>
      <c r="W1103" s="32" t="s">
        <v>7476</v>
      </c>
      <c r="X1103">
        <v>0</v>
      </c>
      <c r="Y1103" s="34" t="s">
        <v>7476</v>
      </c>
      <c r="Z1103" s="34" t="s">
        <v>7476</v>
      </c>
      <c r="AA1103" s="34" t="s">
        <v>7476</v>
      </c>
      <c r="AB1103" s="36" t="s">
        <v>7476</v>
      </c>
      <c r="AD1103" t="s">
        <v>3459</v>
      </c>
      <c r="AE1103" t="s">
        <v>3460</v>
      </c>
      <c r="AF1103" s="16">
        <v>44606</v>
      </c>
      <c r="AG1103" t="s">
        <v>64</v>
      </c>
      <c r="AH1103">
        <v>3</v>
      </c>
      <c r="AK1103" s="38">
        <f t="shared" si="389"/>
        <v>44708.278043981481</v>
      </c>
    </row>
    <row r="1104" spans="1:43" x14ac:dyDescent="0.35">
      <c r="A1104">
        <v>1891</v>
      </c>
      <c r="B1104" t="s">
        <v>3461</v>
      </c>
      <c r="C1104" t="s">
        <v>3238</v>
      </c>
      <c r="D1104" t="str">
        <f t="shared" si="387"/>
        <v>IT</v>
      </c>
      <c r="E1104" t="s">
        <v>3436</v>
      </c>
      <c r="F1104" t="s">
        <v>695</v>
      </c>
      <c r="G1104" t="s">
        <v>3437</v>
      </c>
      <c r="H1104" t="s">
        <v>697</v>
      </c>
      <c r="I1104" s="32">
        <v>44591.278043981481</v>
      </c>
      <c r="J1104" s="32" t="s">
        <v>7471</v>
      </c>
      <c r="K1104" s="32" t="s">
        <v>7473</v>
      </c>
      <c r="L1104" s="8" t="str">
        <f t="shared" si="388"/>
        <v/>
      </c>
      <c r="M1104" s="7">
        <v>44625.278043981481</v>
      </c>
      <c r="N1104" t="s">
        <v>49</v>
      </c>
      <c r="O1104" s="34">
        <v>44613.278043981481</v>
      </c>
      <c r="P1104" t="s">
        <v>60</v>
      </c>
      <c r="R1104" s="32">
        <v>44618.278043981481</v>
      </c>
      <c r="S1104" t="s">
        <v>61</v>
      </c>
      <c r="T1104" s="34" t="s">
        <v>7476</v>
      </c>
      <c r="U1104" s="34" t="s">
        <v>7476</v>
      </c>
      <c r="V1104" s="32">
        <v>44617.278043981481</v>
      </c>
      <c r="W1104" s="32" t="s">
        <v>7476</v>
      </c>
      <c r="X1104">
        <v>0</v>
      </c>
      <c r="Y1104" s="34" t="s">
        <v>7476</v>
      </c>
      <c r="Z1104" s="34" t="s">
        <v>7476</v>
      </c>
      <c r="AA1104" s="34" t="s">
        <v>7476</v>
      </c>
      <c r="AB1104" s="36" t="s">
        <v>7476</v>
      </c>
      <c r="AD1104" t="s">
        <v>3462</v>
      </c>
      <c r="AE1104" t="s">
        <v>3463</v>
      </c>
      <c r="AF1104" s="16">
        <v>44598</v>
      </c>
      <c r="AG1104" t="s">
        <v>93</v>
      </c>
      <c r="AH1104">
        <v>3</v>
      </c>
      <c r="AK1104" s="38">
        <f t="shared" si="389"/>
        <v>44707.278043981481</v>
      </c>
    </row>
    <row r="1105" spans="1:43" x14ac:dyDescent="0.35">
      <c r="A1105">
        <v>1780</v>
      </c>
      <c r="B1105" t="s">
        <v>3464</v>
      </c>
      <c r="C1105" t="s">
        <v>3238</v>
      </c>
      <c r="D1105" t="str">
        <f t="shared" si="387"/>
        <v>IT</v>
      </c>
      <c r="E1105" t="s">
        <v>3436</v>
      </c>
      <c r="F1105" t="s">
        <v>695</v>
      </c>
      <c r="G1105" t="s">
        <v>3437</v>
      </c>
      <c r="H1105" t="s">
        <v>697</v>
      </c>
      <c r="I1105" s="32">
        <v>44712.825856481482</v>
      </c>
      <c r="J1105" s="32">
        <v>44713.825856481482</v>
      </c>
      <c r="K1105" s="32">
        <v>44718.825856481482</v>
      </c>
      <c r="L1105" s="8">
        <f t="shared" si="388"/>
        <v>6</v>
      </c>
      <c r="M1105" s="7">
        <v>44729.825856481482</v>
      </c>
      <c r="N1105" t="s">
        <v>49</v>
      </c>
      <c r="O1105" s="34">
        <v>44729.825856481482</v>
      </c>
      <c r="P1105" t="s">
        <v>50</v>
      </c>
      <c r="Q1105" t="s">
        <v>84</v>
      </c>
      <c r="R1105" s="32" t="s">
        <v>7472</v>
      </c>
      <c r="S1105" t="s">
        <v>7476</v>
      </c>
      <c r="T1105" s="34" t="s">
        <v>7476</v>
      </c>
      <c r="U1105" s="34" t="s">
        <v>7476</v>
      </c>
      <c r="V1105" s="32" t="s">
        <v>7476</v>
      </c>
      <c r="W1105" s="32" t="s">
        <v>7476</v>
      </c>
      <c r="X1105">
        <v>0</v>
      </c>
      <c r="Y1105" s="34" t="s">
        <v>7476</v>
      </c>
      <c r="Z1105" s="34" t="s">
        <v>7476</v>
      </c>
      <c r="AA1105" s="34" t="s">
        <v>7476</v>
      </c>
      <c r="AB1105" s="36" t="s">
        <v>95</v>
      </c>
      <c r="AD1105" t="s">
        <v>3465</v>
      </c>
      <c r="AE1105" t="s">
        <v>3466</v>
      </c>
      <c r="AF1105" s="16">
        <v>44723</v>
      </c>
      <c r="AG1105" t="s">
        <v>64</v>
      </c>
      <c r="AH1105">
        <v>3</v>
      </c>
      <c r="AI1105" s="8" t="str">
        <f>IFERROR(R1105-AF1105,"")</f>
        <v/>
      </c>
      <c r="AJ1105" s="8">
        <f>IFERROR(O1105-AF1105,"")</f>
        <v>6.825856481482333</v>
      </c>
      <c r="AK1105" s="38" t="str">
        <f t="shared" si="389"/>
        <v/>
      </c>
      <c r="AL1105" t="str">
        <f>IFERROR(Z1105-W1105,"")</f>
        <v/>
      </c>
      <c r="AM1105" t="str">
        <f>IFERROR(R1105-J1105,"")</f>
        <v/>
      </c>
      <c r="AN1105" t="str">
        <f>IFERROR(V1105-O1105,"")</f>
        <v/>
      </c>
      <c r="AO1105">
        <f>IFERROR(J1105-I1105,"")</f>
        <v>1</v>
      </c>
      <c r="AP1105">
        <f>IFERROR(AC1105-X1105,"")</f>
        <v>0</v>
      </c>
      <c r="AQ1105" t="str">
        <f>IFERROR(AA1105-W1105,"")</f>
        <v/>
      </c>
    </row>
    <row r="1106" spans="1:43" x14ac:dyDescent="0.35">
      <c r="A1106">
        <v>1776</v>
      </c>
      <c r="B1106" t="s">
        <v>3467</v>
      </c>
      <c r="C1106" t="s">
        <v>3238</v>
      </c>
      <c r="D1106" t="str">
        <f t="shared" si="387"/>
        <v>IT</v>
      </c>
      <c r="E1106" t="s">
        <v>3436</v>
      </c>
      <c r="F1106" t="s">
        <v>695</v>
      </c>
      <c r="G1106" t="s">
        <v>3437</v>
      </c>
      <c r="H1106" t="s">
        <v>697</v>
      </c>
      <c r="I1106" s="32">
        <v>44711.825856481482</v>
      </c>
      <c r="J1106" s="32" t="s">
        <v>7471</v>
      </c>
      <c r="K1106" s="32">
        <v>44718.825856481482</v>
      </c>
      <c r="L1106" s="8">
        <f t="shared" si="388"/>
        <v>7</v>
      </c>
      <c r="M1106" s="7">
        <v>44736.825856481482</v>
      </c>
      <c r="N1106" t="s">
        <v>49</v>
      </c>
      <c r="O1106" s="34">
        <v>44734.825856481482</v>
      </c>
      <c r="P1106" t="s">
        <v>50</v>
      </c>
      <c r="Q1106" t="s">
        <v>236</v>
      </c>
      <c r="R1106" s="32" t="s">
        <v>7472</v>
      </c>
      <c r="S1106" t="s">
        <v>7476</v>
      </c>
      <c r="T1106" s="34" t="s">
        <v>7476</v>
      </c>
      <c r="U1106" s="34" t="s">
        <v>7476</v>
      </c>
      <c r="V1106" s="32" t="s">
        <v>7476</v>
      </c>
      <c r="W1106" s="32" t="s">
        <v>7476</v>
      </c>
      <c r="X1106">
        <v>0</v>
      </c>
      <c r="Y1106" s="34" t="s">
        <v>7476</v>
      </c>
      <c r="Z1106" s="34" t="s">
        <v>7476</v>
      </c>
      <c r="AA1106" s="34" t="s">
        <v>7476</v>
      </c>
      <c r="AB1106" s="36" t="s">
        <v>95</v>
      </c>
      <c r="AD1106" t="s">
        <v>3468</v>
      </c>
      <c r="AE1106" t="s">
        <v>3469</v>
      </c>
      <c r="AF1106" s="16">
        <v>44687</v>
      </c>
      <c r="AG1106" t="s">
        <v>64</v>
      </c>
      <c r="AH1106">
        <v>6</v>
      </c>
      <c r="AK1106" s="38" t="str">
        <f t="shared" si="389"/>
        <v/>
      </c>
    </row>
    <row r="1107" spans="1:43" x14ac:dyDescent="0.35">
      <c r="A1107">
        <v>1748</v>
      </c>
      <c r="B1107" t="s">
        <v>3470</v>
      </c>
      <c r="C1107" t="s">
        <v>3238</v>
      </c>
      <c r="D1107" t="str">
        <f t="shared" si="387"/>
        <v>IT</v>
      </c>
      <c r="E1107" t="s">
        <v>3436</v>
      </c>
      <c r="F1107" t="s">
        <v>695</v>
      </c>
      <c r="G1107" t="s">
        <v>3437</v>
      </c>
      <c r="H1107" t="s">
        <v>697</v>
      </c>
      <c r="I1107" s="32">
        <v>44947.798078703701</v>
      </c>
      <c r="J1107" s="32" t="s">
        <v>7471</v>
      </c>
      <c r="K1107" s="32">
        <v>44953.798078703701</v>
      </c>
      <c r="L1107" s="8">
        <f t="shared" si="388"/>
        <v>6</v>
      </c>
      <c r="M1107" s="7">
        <v>44983.798078703701</v>
      </c>
      <c r="N1107" t="s">
        <v>49</v>
      </c>
      <c r="O1107" s="34">
        <v>44962.798078703701</v>
      </c>
      <c r="P1107" t="s">
        <v>101</v>
      </c>
      <c r="R1107" s="32">
        <v>44970.798078703701</v>
      </c>
      <c r="S1107" t="s">
        <v>101</v>
      </c>
      <c r="T1107" s="34">
        <v>44964.798078703701</v>
      </c>
      <c r="U1107" s="34">
        <v>44967.798078703701</v>
      </c>
      <c r="V1107" s="32">
        <v>44966.798078703701</v>
      </c>
      <c r="W1107" s="32">
        <v>44972.798078703701</v>
      </c>
      <c r="X1107">
        <v>1</v>
      </c>
      <c r="Y1107" s="34">
        <v>44974.798078703701</v>
      </c>
      <c r="Z1107" s="34">
        <v>44975.798078703701</v>
      </c>
      <c r="AA1107" s="34">
        <v>44976.798078703701</v>
      </c>
      <c r="AB1107" s="36" t="s">
        <v>7476</v>
      </c>
      <c r="AC1107" s="10">
        <v>44990.798078703701</v>
      </c>
      <c r="AD1107" t="s">
        <v>3471</v>
      </c>
      <c r="AE1107" t="s">
        <v>3472</v>
      </c>
      <c r="AF1107" s="16">
        <v>44956</v>
      </c>
      <c r="AG1107" t="s">
        <v>93</v>
      </c>
      <c r="AH1107">
        <v>3</v>
      </c>
      <c r="AK1107" s="38">
        <f t="shared" si="389"/>
        <v>45056.798078703701</v>
      </c>
    </row>
    <row r="1108" spans="1:43" x14ac:dyDescent="0.35">
      <c r="A1108">
        <v>1619</v>
      </c>
      <c r="B1108" t="s">
        <v>3473</v>
      </c>
      <c r="C1108" t="s">
        <v>3238</v>
      </c>
      <c r="D1108" t="str">
        <f t="shared" si="387"/>
        <v>IT</v>
      </c>
      <c r="E1108" t="s">
        <v>3436</v>
      </c>
      <c r="F1108" t="s">
        <v>695</v>
      </c>
      <c r="G1108" t="s">
        <v>3437</v>
      </c>
      <c r="H1108" t="s">
        <v>697</v>
      </c>
      <c r="I1108" s="32">
        <v>44848.951192129629</v>
      </c>
      <c r="J1108" s="32">
        <v>44852.951192129629</v>
      </c>
      <c r="K1108" s="32" t="s">
        <v>7473</v>
      </c>
      <c r="L1108" s="8" t="str">
        <f t="shared" si="388"/>
        <v/>
      </c>
      <c r="M1108" s="7">
        <v>44883.951192129629</v>
      </c>
      <c r="N1108" t="s">
        <v>49</v>
      </c>
      <c r="O1108" s="34">
        <v>44863.951192129629</v>
      </c>
      <c r="P1108" t="s">
        <v>50</v>
      </c>
      <c r="Q1108" t="s">
        <v>125</v>
      </c>
      <c r="R1108" s="32" t="s">
        <v>7472</v>
      </c>
      <c r="S1108" t="s">
        <v>7476</v>
      </c>
      <c r="T1108" s="34" t="s">
        <v>7476</v>
      </c>
      <c r="U1108" s="34" t="s">
        <v>7476</v>
      </c>
      <c r="V1108" s="32">
        <v>44864.951192129629</v>
      </c>
      <c r="W1108" s="32" t="s">
        <v>7476</v>
      </c>
      <c r="X1108">
        <v>0</v>
      </c>
      <c r="Y1108" s="34" t="s">
        <v>7476</v>
      </c>
      <c r="Z1108" s="34" t="s">
        <v>7476</v>
      </c>
      <c r="AA1108" s="34" t="s">
        <v>7476</v>
      </c>
      <c r="AB1108" s="36" t="s">
        <v>95</v>
      </c>
      <c r="AD1108" t="s">
        <v>3474</v>
      </c>
      <c r="AE1108" t="s">
        <v>3475</v>
      </c>
      <c r="AF1108" s="16">
        <v>44848</v>
      </c>
      <c r="AG1108" t="s">
        <v>64</v>
      </c>
      <c r="AH1108">
        <v>3</v>
      </c>
      <c r="AK1108" s="38">
        <f t="shared" si="389"/>
        <v>44954.951192129629</v>
      </c>
    </row>
    <row r="1109" spans="1:43" x14ac:dyDescent="0.35">
      <c r="A1109">
        <v>1574</v>
      </c>
      <c r="B1109" t="s">
        <v>3476</v>
      </c>
      <c r="C1109" t="s">
        <v>3245</v>
      </c>
      <c r="D1109" t="str">
        <f t="shared" si="387"/>
        <v>IT</v>
      </c>
      <c r="E1109" t="s">
        <v>3436</v>
      </c>
      <c r="F1109" t="s">
        <v>695</v>
      </c>
      <c r="G1109" t="s">
        <v>3437</v>
      </c>
      <c r="H1109" t="s">
        <v>697</v>
      </c>
      <c r="I1109" s="32">
        <v>44809.733078703714</v>
      </c>
      <c r="J1109" s="32">
        <v>44810.733078703714</v>
      </c>
      <c r="K1109" s="32">
        <v>44813.733078703714</v>
      </c>
      <c r="L1109" s="8">
        <f t="shared" si="388"/>
        <v>4</v>
      </c>
      <c r="M1109" s="7">
        <v>44831.733078703714</v>
      </c>
      <c r="N1109" t="s">
        <v>49</v>
      </c>
      <c r="O1109" s="34">
        <v>44824.733078703714</v>
      </c>
      <c r="P1109" t="s">
        <v>60</v>
      </c>
      <c r="R1109" s="32">
        <v>44831.733078703714</v>
      </c>
      <c r="S1109" t="s">
        <v>61</v>
      </c>
      <c r="T1109" s="34" t="s">
        <v>7476</v>
      </c>
      <c r="U1109" s="34" t="s">
        <v>7476</v>
      </c>
      <c r="V1109" s="32">
        <v>44828.733078703714</v>
      </c>
      <c r="W1109" s="32" t="s">
        <v>7476</v>
      </c>
      <c r="X1109">
        <v>0</v>
      </c>
      <c r="Y1109" s="34" t="s">
        <v>7476</v>
      </c>
      <c r="Z1109" s="34" t="s">
        <v>7476</v>
      </c>
      <c r="AA1109" s="34" t="s">
        <v>7476</v>
      </c>
      <c r="AB1109" s="36" t="s">
        <v>7476</v>
      </c>
      <c r="AD1109" t="s">
        <v>3477</v>
      </c>
      <c r="AE1109" t="s">
        <v>3478</v>
      </c>
      <c r="AF1109" s="16">
        <v>44782</v>
      </c>
      <c r="AG1109" t="s">
        <v>64</v>
      </c>
      <c r="AH1109">
        <v>6</v>
      </c>
      <c r="AI1109" s="8">
        <f>IFERROR(R1109-AF1109,"")</f>
        <v>49.733078703713545</v>
      </c>
      <c r="AJ1109" s="8">
        <f>IFERROR(O1109-AF1109,"")</f>
        <v>42.733078703713545</v>
      </c>
      <c r="AK1109" s="38">
        <f t="shared" si="389"/>
        <v>45008.733078703714</v>
      </c>
      <c r="AL1109" t="str">
        <f>IFERROR(Z1109-W1109,"")</f>
        <v/>
      </c>
      <c r="AM1109">
        <f>IFERROR(R1109-J1109,"")</f>
        <v>21</v>
      </c>
      <c r="AN1109">
        <f>IFERROR(V1109-O1109,"")</f>
        <v>4</v>
      </c>
      <c r="AO1109">
        <f>IFERROR(J1109-I1109,"")</f>
        <v>1</v>
      </c>
      <c r="AP1109">
        <f>IFERROR(AC1109-X1109,"")</f>
        <v>0</v>
      </c>
      <c r="AQ1109" t="str">
        <f>IFERROR(AA1109-W1109,"")</f>
        <v/>
      </c>
    </row>
    <row r="1110" spans="1:43" x14ac:dyDescent="0.35">
      <c r="A1110">
        <v>1532</v>
      </c>
      <c r="B1110" t="s">
        <v>3479</v>
      </c>
      <c r="C1110" t="s">
        <v>3238</v>
      </c>
      <c r="D1110" t="str">
        <f t="shared" si="387"/>
        <v>IT</v>
      </c>
      <c r="E1110" t="s">
        <v>3436</v>
      </c>
      <c r="F1110" t="s">
        <v>695</v>
      </c>
      <c r="G1110" t="s">
        <v>3437</v>
      </c>
      <c r="H1110" t="s">
        <v>697</v>
      </c>
      <c r="I1110" s="32">
        <v>45055.546423611107</v>
      </c>
      <c r="J1110" s="32" t="s">
        <v>7471</v>
      </c>
      <c r="K1110" s="32">
        <v>45060.546423611107</v>
      </c>
      <c r="L1110" s="8">
        <f t="shared" si="388"/>
        <v>5</v>
      </c>
      <c r="M1110" s="7">
        <v>45079.546423611107</v>
      </c>
      <c r="N1110" t="s">
        <v>49</v>
      </c>
      <c r="O1110" s="34">
        <v>45074.546423611107</v>
      </c>
      <c r="P1110" t="s">
        <v>392</v>
      </c>
      <c r="R1110" s="32">
        <v>45077.546423611107</v>
      </c>
      <c r="S1110" t="s">
        <v>392</v>
      </c>
      <c r="T1110" s="34" t="s">
        <v>7476</v>
      </c>
      <c r="U1110" s="34" t="s">
        <v>7476</v>
      </c>
      <c r="V1110" s="32">
        <v>45075.546423611107</v>
      </c>
      <c r="W1110" s="32" t="s">
        <v>7476</v>
      </c>
      <c r="X1110">
        <v>0</v>
      </c>
      <c r="Y1110" s="34" t="s">
        <v>7476</v>
      </c>
      <c r="Z1110" s="34" t="s">
        <v>7476</v>
      </c>
      <c r="AA1110" s="34" t="s">
        <v>7476</v>
      </c>
      <c r="AB1110" s="36" t="s">
        <v>7476</v>
      </c>
      <c r="AD1110" t="s">
        <v>3480</v>
      </c>
      <c r="AE1110" t="s">
        <v>3481</v>
      </c>
      <c r="AF1110" s="16">
        <v>45062</v>
      </c>
      <c r="AG1110" t="s">
        <v>93</v>
      </c>
      <c r="AH1110">
        <v>6</v>
      </c>
      <c r="AK1110" s="38">
        <f t="shared" si="389"/>
        <v>45255.546423611107</v>
      </c>
    </row>
    <row r="1111" spans="1:43" x14ac:dyDescent="0.35">
      <c r="A1111">
        <v>1459</v>
      </c>
      <c r="B1111" t="s">
        <v>3482</v>
      </c>
      <c r="C1111" t="s">
        <v>3238</v>
      </c>
      <c r="D1111" t="str">
        <f t="shared" si="387"/>
        <v>IT</v>
      </c>
      <c r="E1111" t="s">
        <v>3436</v>
      </c>
      <c r="F1111" t="s">
        <v>695</v>
      </c>
      <c r="G1111" t="s">
        <v>3437</v>
      </c>
      <c r="H1111" t="s">
        <v>697</v>
      </c>
      <c r="I1111" s="32">
        <v>45023.57240740741</v>
      </c>
      <c r="J1111" s="32">
        <v>45024.57240740741</v>
      </c>
      <c r="K1111" s="32" t="s">
        <v>7473</v>
      </c>
      <c r="L1111" s="8" t="str">
        <f t="shared" si="388"/>
        <v/>
      </c>
      <c r="M1111" s="7">
        <v>45034.57240740741</v>
      </c>
      <c r="N1111" t="s">
        <v>49</v>
      </c>
      <c r="O1111" s="34">
        <v>45040.57240740741</v>
      </c>
      <c r="P1111" t="s">
        <v>50</v>
      </c>
      <c r="Q1111" t="s">
        <v>236</v>
      </c>
      <c r="R1111" s="32" t="s">
        <v>7472</v>
      </c>
      <c r="S1111" t="s">
        <v>7476</v>
      </c>
      <c r="T1111" s="34" t="s">
        <v>7476</v>
      </c>
      <c r="U1111" s="34" t="s">
        <v>7476</v>
      </c>
      <c r="V1111" s="32">
        <v>45044.57240740741</v>
      </c>
      <c r="W1111" s="32" t="s">
        <v>7476</v>
      </c>
      <c r="X1111">
        <v>0</v>
      </c>
      <c r="Y1111" s="34" t="s">
        <v>7476</v>
      </c>
      <c r="Z1111" s="34" t="s">
        <v>7476</v>
      </c>
      <c r="AA1111" s="34" t="s">
        <v>7476</v>
      </c>
      <c r="AB1111" s="36" t="s">
        <v>95</v>
      </c>
      <c r="AD1111" t="s">
        <v>3483</v>
      </c>
      <c r="AE1111" t="s">
        <v>3484</v>
      </c>
      <c r="AF1111" s="16">
        <v>45034</v>
      </c>
      <c r="AG1111" t="s">
        <v>93</v>
      </c>
      <c r="AH1111">
        <v>6</v>
      </c>
      <c r="AK1111" s="38">
        <f t="shared" si="389"/>
        <v>45224.57240740741</v>
      </c>
    </row>
    <row r="1112" spans="1:43" x14ac:dyDescent="0.35">
      <c r="A1112">
        <v>1453</v>
      </c>
      <c r="B1112" t="s">
        <v>3485</v>
      </c>
      <c r="C1112" t="s">
        <v>3232</v>
      </c>
      <c r="D1112" t="str">
        <f t="shared" si="387"/>
        <v>IT</v>
      </c>
      <c r="E1112" t="s">
        <v>3436</v>
      </c>
      <c r="F1112" t="s">
        <v>695</v>
      </c>
      <c r="G1112" t="s">
        <v>3437</v>
      </c>
      <c r="H1112" t="s">
        <v>697</v>
      </c>
      <c r="I1112" s="32">
        <v>45022.57240740741</v>
      </c>
      <c r="J1112" s="32">
        <v>45024.57240740741</v>
      </c>
      <c r="K1112" s="32">
        <v>45029.57240740741</v>
      </c>
      <c r="L1112" s="8">
        <f t="shared" si="388"/>
        <v>7</v>
      </c>
      <c r="M1112" s="7">
        <v>45058.57240740741</v>
      </c>
      <c r="N1112" t="s">
        <v>49</v>
      </c>
      <c r="O1112" s="34">
        <v>45033.57240740741</v>
      </c>
      <c r="P1112" t="s">
        <v>60</v>
      </c>
      <c r="R1112" s="32">
        <v>45040.57240740741</v>
      </c>
      <c r="S1112" t="s">
        <v>61</v>
      </c>
      <c r="T1112" s="34" t="s">
        <v>7476</v>
      </c>
      <c r="U1112" s="34" t="s">
        <v>7476</v>
      </c>
      <c r="V1112" s="32">
        <v>45036.57240740741</v>
      </c>
      <c r="W1112" s="32" t="s">
        <v>7476</v>
      </c>
      <c r="X1112">
        <v>0</v>
      </c>
      <c r="Y1112" s="34" t="s">
        <v>7476</v>
      </c>
      <c r="Z1112" s="34" t="s">
        <v>7476</v>
      </c>
      <c r="AA1112" s="34" t="s">
        <v>7476</v>
      </c>
      <c r="AB1112" s="36" t="s">
        <v>7476</v>
      </c>
      <c r="AD1112" t="s">
        <v>3486</v>
      </c>
      <c r="AE1112" t="s">
        <v>3487</v>
      </c>
      <c r="AF1112" s="16">
        <v>45021</v>
      </c>
      <c r="AG1112" t="s">
        <v>64</v>
      </c>
      <c r="AH1112">
        <v>6</v>
      </c>
      <c r="AI1112" s="8">
        <f t="shared" ref="AI1112:AI1118" si="390">IFERROR(R1112-AF1112,"")</f>
        <v>19.572407407409628</v>
      </c>
      <c r="AJ1112" s="8">
        <f t="shared" ref="AJ1112:AJ1118" si="391">IFERROR(O1112-AF1112,"")</f>
        <v>12.572407407409628</v>
      </c>
      <c r="AK1112" s="38">
        <f t="shared" si="389"/>
        <v>45216.57240740741</v>
      </c>
      <c r="AL1112" t="str">
        <f t="shared" ref="AL1112:AL1118" si="392">IFERROR(Z1112-W1112,"")</f>
        <v/>
      </c>
      <c r="AM1112">
        <f t="shared" ref="AM1112:AM1118" si="393">IFERROR(R1112-J1112,"")</f>
        <v>16</v>
      </c>
      <c r="AN1112">
        <f t="shared" ref="AN1112:AN1118" si="394">IFERROR(V1112-O1112,"")</f>
        <v>3</v>
      </c>
      <c r="AO1112">
        <f t="shared" ref="AO1112:AO1118" si="395">IFERROR(J1112-I1112,"")</f>
        <v>2</v>
      </c>
      <c r="AP1112">
        <f t="shared" ref="AP1112:AP1118" si="396">IFERROR(AC1112-X1112,"")</f>
        <v>0</v>
      </c>
      <c r="AQ1112" t="str">
        <f t="shared" ref="AQ1112:AQ1118" si="397">IFERROR(AA1112-W1112,"")</f>
        <v/>
      </c>
    </row>
    <row r="1113" spans="1:43" x14ac:dyDescent="0.35">
      <c r="A1113">
        <v>1426</v>
      </c>
      <c r="B1113" t="s">
        <v>3488</v>
      </c>
      <c r="C1113" t="s">
        <v>3245</v>
      </c>
      <c r="D1113" t="str">
        <f t="shared" si="387"/>
        <v>IT</v>
      </c>
      <c r="E1113" t="s">
        <v>3436</v>
      </c>
      <c r="F1113" t="s">
        <v>3301</v>
      </c>
      <c r="G1113" t="s">
        <v>3302</v>
      </c>
      <c r="H1113" t="s">
        <v>697</v>
      </c>
      <c r="I1113" s="32">
        <v>44657.11314814815</v>
      </c>
      <c r="J1113" s="32">
        <v>44661.11314814815</v>
      </c>
      <c r="K1113" s="32">
        <v>44666.11314814815</v>
      </c>
      <c r="L1113" s="8">
        <f t="shared" si="388"/>
        <v>9</v>
      </c>
      <c r="M1113" s="7">
        <v>44689.11314814815</v>
      </c>
      <c r="N1113" t="s">
        <v>49</v>
      </c>
      <c r="O1113" s="34">
        <v>44674.11314814815</v>
      </c>
      <c r="P1113" t="s">
        <v>50</v>
      </c>
      <c r="Q1113" t="s">
        <v>84</v>
      </c>
      <c r="R1113" s="32" t="s">
        <v>7472</v>
      </c>
      <c r="S1113" t="s">
        <v>7476</v>
      </c>
      <c r="T1113" s="34" t="s">
        <v>7476</v>
      </c>
      <c r="U1113" s="34" t="s">
        <v>7476</v>
      </c>
      <c r="V1113" s="32">
        <v>44678.11314814815</v>
      </c>
      <c r="W1113" s="32" t="s">
        <v>7476</v>
      </c>
      <c r="X1113">
        <v>0</v>
      </c>
      <c r="Y1113" s="34" t="s">
        <v>7476</v>
      </c>
      <c r="Z1113" s="34" t="s">
        <v>7476</v>
      </c>
      <c r="AA1113" s="34" t="s">
        <v>7476</v>
      </c>
      <c r="AB1113" s="36" t="s">
        <v>95</v>
      </c>
      <c r="AD1113" t="s">
        <v>3489</v>
      </c>
      <c r="AE1113" t="s">
        <v>3490</v>
      </c>
      <c r="AF1113" s="16">
        <v>44657</v>
      </c>
      <c r="AG1113" t="s">
        <v>98</v>
      </c>
      <c r="AH1113">
        <v>6</v>
      </c>
      <c r="AI1113" s="8" t="str">
        <f t="shared" si="390"/>
        <v/>
      </c>
      <c r="AJ1113" s="8">
        <f t="shared" si="391"/>
        <v>17.113148148149776</v>
      </c>
      <c r="AK1113" s="38">
        <f t="shared" si="389"/>
        <v>44858.11314814815</v>
      </c>
      <c r="AL1113" t="str">
        <f t="shared" si="392"/>
        <v/>
      </c>
      <c r="AM1113" t="str">
        <f t="shared" si="393"/>
        <v/>
      </c>
      <c r="AN1113">
        <f t="shared" si="394"/>
        <v>4</v>
      </c>
      <c r="AO1113">
        <f t="shared" si="395"/>
        <v>4</v>
      </c>
      <c r="AP1113">
        <f t="shared" si="396"/>
        <v>0</v>
      </c>
      <c r="AQ1113" t="str">
        <f t="shared" si="397"/>
        <v/>
      </c>
    </row>
    <row r="1114" spans="1:43" x14ac:dyDescent="0.35">
      <c r="A1114">
        <v>1316</v>
      </c>
      <c r="B1114" t="s">
        <v>3491</v>
      </c>
      <c r="C1114" t="s">
        <v>3238</v>
      </c>
      <c r="D1114" t="str">
        <f t="shared" si="387"/>
        <v>IT</v>
      </c>
      <c r="E1114" t="s">
        <v>3436</v>
      </c>
      <c r="F1114" t="s">
        <v>3301</v>
      </c>
      <c r="G1114" t="s">
        <v>3302</v>
      </c>
      <c r="H1114" t="s">
        <v>697</v>
      </c>
      <c r="I1114" s="32">
        <v>45151.233067129629</v>
      </c>
      <c r="J1114" s="32">
        <v>45152.233067129629</v>
      </c>
      <c r="K1114" s="32">
        <v>45155.233067129629</v>
      </c>
      <c r="L1114" s="8">
        <f t="shared" si="388"/>
        <v>4</v>
      </c>
      <c r="M1114" s="7">
        <v>45170.233067129629</v>
      </c>
      <c r="N1114" t="s">
        <v>49</v>
      </c>
      <c r="O1114" s="34">
        <v>45172.233067129629</v>
      </c>
      <c r="P1114" t="s">
        <v>101</v>
      </c>
      <c r="R1114" s="32">
        <v>45178.233067129629</v>
      </c>
      <c r="S1114" t="s">
        <v>101</v>
      </c>
      <c r="T1114" s="34">
        <v>45173.233067129629</v>
      </c>
      <c r="U1114" s="34">
        <v>45175.233067129629</v>
      </c>
      <c r="V1114" s="32">
        <v>45175.233067129629</v>
      </c>
      <c r="W1114" s="32">
        <v>45182.233067129629</v>
      </c>
      <c r="X1114">
        <v>1</v>
      </c>
      <c r="Y1114" s="34">
        <v>45184.233067129629</v>
      </c>
      <c r="Z1114" s="34">
        <v>45187.233067129629</v>
      </c>
      <c r="AA1114" s="34">
        <v>45188.233067129629</v>
      </c>
      <c r="AB1114" s="36" t="s">
        <v>7476</v>
      </c>
      <c r="AC1114" s="10">
        <v>45209.233067129629</v>
      </c>
      <c r="AD1114" t="s">
        <v>3492</v>
      </c>
      <c r="AE1114" t="s">
        <v>3493</v>
      </c>
      <c r="AF1114" s="16">
        <v>45165</v>
      </c>
      <c r="AG1114" t="s">
        <v>98</v>
      </c>
      <c r="AH1114">
        <v>6</v>
      </c>
      <c r="AI1114" s="8">
        <f t="shared" si="390"/>
        <v>13.23306712962949</v>
      </c>
      <c r="AJ1114" s="8">
        <f t="shared" si="391"/>
        <v>7.2330671296294895</v>
      </c>
      <c r="AK1114" s="38">
        <f t="shared" si="389"/>
        <v>45355.233067129629</v>
      </c>
      <c r="AL1114">
        <f t="shared" si="392"/>
        <v>5</v>
      </c>
      <c r="AM1114">
        <f t="shared" si="393"/>
        <v>26</v>
      </c>
      <c r="AN1114">
        <f t="shared" si="394"/>
        <v>3</v>
      </c>
      <c r="AO1114">
        <f t="shared" si="395"/>
        <v>1</v>
      </c>
      <c r="AP1114">
        <f t="shared" si="396"/>
        <v>45208.233067129629</v>
      </c>
      <c r="AQ1114">
        <f t="shared" si="397"/>
        <v>6</v>
      </c>
    </row>
    <row r="1115" spans="1:43" x14ac:dyDescent="0.35">
      <c r="A1115">
        <v>1314</v>
      </c>
      <c r="B1115" t="s">
        <v>3494</v>
      </c>
      <c r="C1115" t="s">
        <v>3232</v>
      </c>
      <c r="D1115" t="str">
        <f t="shared" si="387"/>
        <v>IT</v>
      </c>
      <c r="E1115" t="s">
        <v>3436</v>
      </c>
      <c r="F1115" t="s">
        <v>3301</v>
      </c>
      <c r="G1115" t="s">
        <v>3302</v>
      </c>
      <c r="H1115" t="s">
        <v>697</v>
      </c>
      <c r="I1115" s="32">
        <v>45151.233067129629</v>
      </c>
      <c r="J1115" s="32">
        <v>45154.233067129629</v>
      </c>
      <c r="K1115" s="32">
        <v>45155.233067129629</v>
      </c>
      <c r="L1115" s="8">
        <f t="shared" si="388"/>
        <v>4</v>
      </c>
      <c r="M1115" s="7">
        <v>45160.233067129629</v>
      </c>
      <c r="N1115" t="s">
        <v>49</v>
      </c>
      <c r="O1115" s="34">
        <v>45166.233067129629</v>
      </c>
      <c r="P1115" t="s">
        <v>60</v>
      </c>
      <c r="R1115" s="32">
        <v>45174.233067129629</v>
      </c>
      <c r="S1115" t="s">
        <v>61</v>
      </c>
      <c r="T1115" s="34" t="s">
        <v>7476</v>
      </c>
      <c r="U1115" s="34" t="s">
        <v>7476</v>
      </c>
      <c r="V1115" s="32">
        <v>45170.233067129629</v>
      </c>
      <c r="W1115" s="32" t="s">
        <v>7476</v>
      </c>
      <c r="X1115">
        <v>0</v>
      </c>
      <c r="Y1115" s="34" t="s">
        <v>7476</v>
      </c>
      <c r="Z1115" s="34" t="s">
        <v>7476</v>
      </c>
      <c r="AA1115" s="34" t="s">
        <v>7476</v>
      </c>
      <c r="AB1115" s="36" t="s">
        <v>7476</v>
      </c>
      <c r="AD1115" t="s">
        <v>3495</v>
      </c>
      <c r="AE1115" t="s">
        <v>3496</v>
      </c>
      <c r="AF1115" s="16">
        <v>45159</v>
      </c>
      <c r="AG1115" t="s">
        <v>64</v>
      </c>
      <c r="AH1115">
        <v>3</v>
      </c>
      <c r="AI1115" s="8">
        <f t="shared" si="390"/>
        <v>15.23306712962949</v>
      </c>
      <c r="AJ1115" s="8">
        <f t="shared" si="391"/>
        <v>7.2330671296294895</v>
      </c>
      <c r="AK1115" s="38">
        <f t="shared" si="389"/>
        <v>45260.233067129629</v>
      </c>
      <c r="AL1115" t="str">
        <f t="shared" si="392"/>
        <v/>
      </c>
      <c r="AM1115">
        <f t="shared" si="393"/>
        <v>20</v>
      </c>
      <c r="AN1115">
        <f t="shared" si="394"/>
        <v>4</v>
      </c>
      <c r="AO1115">
        <f t="shared" si="395"/>
        <v>3</v>
      </c>
      <c r="AP1115">
        <f t="shared" si="396"/>
        <v>0</v>
      </c>
      <c r="AQ1115" t="str">
        <f t="shared" si="397"/>
        <v/>
      </c>
    </row>
    <row r="1116" spans="1:43" x14ac:dyDescent="0.35">
      <c r="A1116">
        <v>1275</v>
      </c>
      <c r="B1116" t="s">
        <v>3497</v>
      </c>
      <c r="C1116" t="s">
        <v>3238</v>
      </c>
      <c r="D1116" t="str">
        <f t="shared" si="387"/>
        <v>IT</v>
      </c>
      <c r="E1116" t="s">
        <v>3436</v>
      </c>
      <c r="F1116" t="s">
        <v>3301</v>
      </c>
      <c r="G1116" t="s">
        <v>3302</v>
      </c>
      <c r="H1116" t="s">
        <v>697</v>
      </c>
      <c r="I1116" s="32">
        <v>44711.107928240737</v>
      </c>
      <c r="J1116" s="32">
        <v>44712.107928240737</v>
      </c>
      <c r="K1116" s="32">
        <v>44717.107928240737</v>
      </c>
      <c r="L1116" s="8">
        <f t="shared" si="388"/>
        <v>6</v>
      </c>
      <c r="M1116" s="7">
        <v>44743.107928240737</v>
      </c>
      <c r="N1116" t="s">
        <v>49</v>
      </c>
      <c r="O1116" s="34">
        <v>44723.107928240737</v>
      </c>
      <c r="P1116" t="s">
        <v>50</v>
      </c>
      <c r="Q1116" t="s">
        <v>51</v>
      </c>
      <c r="R1116" s="32" t="s">
        <v>7472</v>
      </c>
      <c r="S1116" t="s">
        <v>7476</v>
      </c>
      <c r="T1116" s="34" t="s">
        <v>7476</v>
      </c>
      <c r="U1116" s="34" t="s">
        <v>7476</v>
      </c>
      <c r="V1116" s="32">
        <v>44725.107928240737</v>
      </c>
      <c r="W1116" s="32" t="s">
        <v>7476</v>
      </c>
      <c r="X1116">
        <v>0</v>
      </c>
      <c r="Y1116" s="34" t="s">
        <v>7476</v>
      </c>
      <c r="Z1116" s="34" t="s">
        <v>7476</v>
      </c>
      <c r="AA1116" s="34" t="s">
        <v>7476</v>
      </c>
      <c r="AB1116" s="36" t="s">
        <v>95</v>
      </c>
      <c r="AD1116" t="s">
        <v>3498</v>
      </c>
      <c r="AE1116" t="s">
        <v>3499</v>
      </c>
      <c r="AF1116" s="16">
        <v>44709</v>
      </c>
      <c r="AG1116" t="s">
        <v>98</v>
      </c>
      <c r="AH1116">
        <v>3</v>
      </c>
      <c r="AI1116" s="8" t="str">
        <f t="shared" si="390"/>
        <v/>
      </c>
      <c r="AJ1116" s="8">
        <f t="shared" si="391"/>
        <v>14.107928240737238</v>
      </c>
      <c r="AK1116" s="38">
        <f t="shared" si="389"/>
        <v>44815.107928240737</v>
      </c>
      <c r="AL1116" t="str">
        <f t="shared" si="392"/>
        <v/>
      </c>
      <c r="AM1116" t="str">
        <f t="shared" si="393"/>
        <v/>
      </c>
      <c r="AN1116">
        <f t="shared" si="394"/>
        <v>2</v>
      </c>
      <c r="AO1116">
        <f t="shared" si="395"/>
        <v>1</v>
      </c>
      <c r="AP1116">
        <f t="shared" si="396"/>
        <v>0</v>
      </c>
      <c r="AQ1116" t="str">
        <f t="shared" si="397"/>
        <v/>
      </c>
    </row>
    <row r="1117" spans="1:43" x14ac:dyDescent="0.35">
      <c r="A1117">
        <v>1042</v>
      </c>
      <c r="B1117" t="s">
        <v>3500</v>
      </c>
      <c r="C1117" t="s">
        <v>3238</v>
      </c>
      <c r="D1117" t="str">
        <f t="shared" si="387"/>
        <v>IT</v>
      </c>
      <c r="E1117" t="s">
        <v>3436</v>
      </c>
      <c r="F1117" t="s">
        <v>3301</v>
      </c>
      <c r="G1117" t="s">
        <v>3302</v>
      </c>
      <c r="H1117" t="s">
        <v>697</v>
      </c>
      <c r="I1117" s="32">
        <v>44883.960578703707</v>
      </c>
      <c r="J1117" s="32">
        <v>44886.960578703707</v>
      </c>
      <c r="K1117" s="32">
        <v>44891.960578703707</v>
      </c>
      <c r="L1117" s="8">
        <f t="shared" si="388"/>
        <v>8</v>
      </c>
      <c r="M1117" s="7">
        <v>44914.960578703707</v>
      </c>
      <c r="N1117" t="s">
        <v>49</v>
      </c>
      <c r="O1117" s="34">
        <v>44899.960578703707</v>
      </c>
      <c r="P1117" t="s">
        <v>392</v>
      </c>
      <c r="R1117" s="32">
        <v>44902.960578703707</v>
      </c>
      <c r="S1117" t="s">
        <v>392</v>
      </c>
      <c r="T1117" s="34" t="s">
        <v>7476</v>
      </c>
      <c r="U1117" s="34" t="s">
        <v>7476</v>
      </c>
      <c r="V1117" s="32">
        <v>44900.960578703707</v>
      </c>
      <c r="W1117" s="32" t="s">
        <v>7476</v>
      </c>
      <c r="X1117">
        <v>0</v>
      </c>
      <c r="Y1117" s="34" t="s">
        <v>7476</v>
      </c>
      <c r="Z1117" s="34" t="s">
        <v>7476</v>
      </c>
      <c r="AA1117" s="34" t="s">
        <v>7476</v>
      </c>
      <c r="AB1117" s="36" t="s">
        <v>7476</v>
      </c>
      <c r="AD1117" t="s">
        <v>3501</v>
      </c>
      <c r="AE1117" t="s">
        <v>3502</v>
      </c>
      <c r="AF1117" s="16">
        <v>44894</v>
      </c>
      <c r="AG1117" t="s">
        <v>98</v>
      </c>
      <c r="AH1117">
        <v>6</v>
      </c>
      <c r="AI1117" s="8">
        <f t="shared" si="390"/>
        <v>8.9605787037071423</v>
      </c>
      <c r="AJ1117" s="8">
        <f t="shared" si="391"/>
        <v>5.9605787037071423</v>
      </c>
      <c r="AK1117" s="38">
        <f t="shared" si="389"/>
        <v>45080.960578703707</v>
      </c>
      <c r="AL1117" t="str">
        <f t="shared" si="392"/>
        <v/>
      </c>
      <c r="AM1117">
        <f t="shared" si="393"/>
        <v>16</v>
      </c>
      <c r="AN1117">
        <f t="shared" si="394"/>
        <v>1</v>
      </c>
      <c r="AO1117">
        <f t="shared" si="395"/>
        <v>3</v>
      </c>
      <c r="AP1117">
        <f t="shared" si="396"/>
        <v>0</v>
      </c>
      <c r="AQ1117" t="str">
        <f t="shared" si="397"/>
        <v/>
      </c>
    </row>
    <row r="1118" spans="1:43" x14ac:dyDescent="0.35">
      <c r="A1118">
        <v>1026</v>
      </c>
      <c r="B1118" t="s">
        <v>3503</v>
      </c>
      <c r="C1118" t="s">
        <v>3245</v>
      </c>
      <c r="D1118" t="str">
        <f t="shared" si="387"/>
        <v>IT</v>
      </c>
      <c r="E1118" t="s">
        <v>3436</v>
      </c>
      <c r="F1118" t="s">
        <v>3301</v>
      </c>
      <c r="G1118" t="s">
        <v>3302</v>
      </c>
      <c r="H1118" t="s">
        <v>697</v>
      </c>
      <c r="I1118" s="32">
        <v>44949.791134259263</v>
      </c>
      <c r="J1118" s="32">
        <v>44953.791134259263</v>
      </c>
      <c r="K1118" s="32">
        <v>44958.791134259263</v>
      </c>
      <c r="L1118" s="8">
        <f t="shared" si="388"/>
        <v>9</v>
      </c>
      <c r="M1118" s="7">
        <v>44979.791134259263</v>
      </c>
      <c r="N1118" t="s">
        <v>49</v>
      </c>
      <c r="O1118" s="34">
        <v>44973.791134259263</v>
      </c>
      <c r="P1118" t="s">
        <v>60</v>
      </c>
      <c r="R1118" s="32">
        <v>44977.791134259263</v>
      </c>
      <c r="S1118" t="s">
        <v>61</v>
      </c>
      <c r="T1118" s="34" t="s">
        <v>7476</v>
      </c>
      <c r="U1118" s="34" t="s">
        <v>7476</v>
      </c>
      <c r="V1118" s="32">
        <v>44975.791134259263</v>
      </c>
      <c r="W1118" s="32" t="s">
        <v>7476</v>
      </c>
      <c r="X1118">
        <v>0</v>
      </c>
      <c r="Y1118" s="34" t="s">
        <v>7476</v>
      </c>
      <c r="Z1118" s="34" t="s">
        <v>7476</v>
      </c>
      <c r="AA1118" s="34" t="s">
        <v>7476</v>
      </c>
      <c r="AB1118" s="36" t="s">
        <v>7476</v>
      </c>
      <c r="AD1118" t="s">
        <v>3504</v>
      </c>
      <c r="AE1118" t="s">
        <v>3505</v>
      </c>
      <c r="AF1118" s="16">
        <v>44962</v>
      </c>
      <c r="AG1118" t="s">
        <v>64</v>
      </c>
      <c r="AH1118">
        <v>6</v>
      </c>
      <c r="AI1118" s="8">
        <f t="shared" si="390"/>
        <v>15.791134259263345</v>
      </c>
      <c r="AJ1118" s="8">
        <f t="shared" si="391"/>
        <v>11.791134259263345</v>
      </c>
      <c r="AK1118" s="38">
        <f t="shared" si="389"/>
        <v>45155.791134259263</v>
      </c>
      <c r="AL1118" t="str">
        <f t="shared" si="392"/>
        <v/>
      </c>
      <c r="AM1118">
        <f t="shared" si="393"/>
        <v>24</v>
      </c>
      <c r="AN1118">
        <f t="shared" si="394"/>
        <v>2</v>
      </c>
      <c r="AO1118">
        <f t="shared" si="395"/>
        <v>4</v>
      </c>
      <c r="AP1118">
        <f t="shared" si="396"/>
        <v>0</v>
      </c>
      <c r="AQ1118" t="str">
        <f t="shared" si="397"/>
        <v/>
      </c>
    </row>
    <row r="1119" spans="1:43" x14ac:dyDescent="0.35">
      <c r="A1119">
        <v>2661</v>
      </c>
      <c r="B1119" t="s">
        <v>3506</v>
      </c>
      <c r="C1119" t="s">
        <v>3507</v>
      </c>
      <c r="D1119" t="str">
        <f t="shared" si="387"/>
        <v>HR</v>
      </c>
      <c r="E1119" t="s">
        <v>3508</v>
      </c>
      <c r="F1119" t="s">
        <v>3509</v>
      </c>
      <c r="G1119" t="s">
        <v>3510</v>
      </c>
      <c r="H1119" t="s">
        <v>697</v>
      </c>
      <c r="I1119" s="32">
        <v>44894.903680555559</v>
      </c>
      <c r="J1119" s="32" t="s">
        <v>7471</v>
      </c>
      <c r="K1119" s="32">
        <v>44903.903680555559</v>
      </c>
      <c r="L1119" s="8">
        <f t="shared" si="388"/>
        <v>9</v>
      </c>
      <c r="M1119" s="7">
        <v>44928.903680555559</v>
      </c>
      <c r="N1119" t="s">
        <v>49</v>
      </c>
      <c r="O1119" s="34">
        <v>44916.903680555559</v>
      </c>
      <c r="P1119" t="s">
        <v>50</v>
      </c>
      <c r="Q1119" t="s">
        <v>125</v>
      </c>
      <c r="R1119" s="32" t="s">
        <v>7472</v>
      </c>
      <c r="S1119" t="s">
        <v>7476</v>
      </c>
      <c r="T1119" s="34" t="s">
        <v>7476</v>
      </c>
      <c r="U1119" s="34" t="s">
        <v>7476</v>
      </c>
      <c r="V1119" s="32">
        <v>44920.903680555559</v>
      </c>
      <c r="W1119" s="32" t="s">
        <v>7476</v>
      </c>
      <c r="X1119">
        <v>0</v>
      </c>
      <c r="Y1119" s="34" t="s">
        <v>7476</v>
      </c>
      <c r="Z1119" s="34" t="s">
        <v>7476</v>
      </c>
      <c r="AA1119" s="34" t="s">
        <v>7476</v>
      </c>
      <c r="AB1119" s="36" t="s">
        <v>95</v>
      </c>
      <c r="AD1119" t="s">
        <v>3511</v>
      </c>
      <c r="AE1119" t="s">
        <v>3512</v>
      </c>
      <c r="AF1119" s="16">
        <v>44906</v>
      </c>
      <c r="AG1119" t="s">
        <v>68</v>
      </c>
      <c r="AH1119">
        <v>6</v>
      </c>
      <c r="AK1119" s="38">
        <f t="shared" si="389"/>
        <v>45100.903680555559</v>
      </c>
    </row>
    <row r="1120" spans="1:43" x14ac:dyDescent="0.35">
      <c r="A1120">
        <v>2649</v>
      </c>
      <c r="B1120" t="s">
        <v>3513</v>
      </c>
      <c r="C1120" t="s">
        <v>3514</v>
      </c>
      <c r="D1120" t="str">
        <f t="shared" si="387"/>
        <v>HR</v>
      </c>
      <c r="E1120" t="s">
        <v>3508</v>
      </c>
      <c r="F1120" t="s">
        <v>3509</v>
      </c>
      <c r="G1120" t="s">
        <v>3510</v>
      </c>
      <c r="H1120" t="s">
        <v>697</v>
      </c>
      <c r="I1120" s="32" t="s">
        <v>7471</v>
      </c>
      <c r="J1120" s="32">
        <v>44588.587569444448</v>
      </c>
      <c r="K1120" s="32">
        <v>44593.587569444448</v>
      </c>
      <c r="L1120" s="8" t="str">
        <f t="shared" si="388"/>
        <v/>
      </c>
      <c r="M1120" s="7">
        <v>44602.587569444448</v>
      </c>
      <c r="N1120" t="s">
        <v>49</v>
      </c>
      <c r="O1120" s="34">
        <v>44604.587569444448</v>
      </c>
      <c r="P1120" t="s">
        <v>50</v>
      </c>
      <c r="Q1120" t="s">
        <v>236</v>
      </c>
      <c r="R1120" s="32" t="s">
        <v>7472</v>
      </c>
      <c r="S1120" t="s">
        <v>7476</v>
      </c>
      <c r="T1120" s="34" t="s">
        <v>7476</v>
      </c>
      <c r="U1120" s="34" t="s">
        <v>7476</v>
      </c>
      <c r="V1120" s="32">
        <v>44607.587569444448</v>
      </c>
      <c r="W1120" s="32" t="s">
        <v>7476</v>
      </c>
      <c r="X1120">
        <v>0</v>
      </c>
      <c r="Y1120" s="34" t="s">
        <v>7476</v>
      </c>
      <c r="Z1120" s="34" t="s">
        <v>7476</v>
      </c>
      <c r="AA1120" s="34" t="s">
        <v>7476</v>
      </c>
      <c r="AB1120" s="36" t="s">
        <v>95</v>
      </c>
      <c r="AD1120" t="s">
        <v>3515</v>
      </c>
      <c r="AE1120" t="s">
        <v>3516</v>
      </c>
      <c r="AF1120" s="16">
        <v>44588</v>
      </c>
      <c r="AG1120" t="s">
        <v>98</v>
      </c>
      <c r="AH1120">
        <v>3</v>
      </c>
      <c r="AK1120" s="38">
        <f t="shared" si="389"/>
        <v>44697.587569444448</v>
      </c>
    </row>
    <row r="1121" spans="1:43" x14ac:dyDescent="0.35">
      <c r="A1121">
        <v>2643</v>
      </c>
      <c r="B1121" t="s">
        <v>3517</v>
      </c>
      <c r="C1121" t="s">
        <v>3514</v>
      </c>
      <c r="D1121" t="str">
        <f t="shared" si="387"/>
        <v>HR</v>
      </c>
      <c r="E1121" t="s">
        <v>3508</v>
      </c>
      <c r="F1121" t="s">
        <v>3509</v>
      </c>
      <c r="G1121" t="s">
        <v>3510</v>
      </c>
      <c r="H1121" t="s">
        <v>697</v>
      </c>
      <c r="I1121" s="32" t="s">
        <v>7471</v>
      </c>
      <c r="J1121" s="32">
        <v>44587.587569444448</v>
      </c>
      <c r="K1121" s="32">
        <v>44593.587569444448</v>
      </c>
      <c r="L1121" s="8" t="str">
        <f t="shared" si="388"/>
        <v/>
      </c>
      <c r="M1121" s="7">
        <v>44601.587569444448</v>
      </c>
      <c r="N1121" t="s">
        <v>49</v>
      </c>
      <c r="O1121" s="34">
        <v>44607.587569444448</v>
      </c>
      <c r="P1121" t="s">
        <v>50</v>
      </c>
      <c r="Q1121" t="s">
        <v>51</v>
      </c>
      <c r="R1121" s="32" t="s">
        <v>7472</v>
      </c>
      <c r="S1121" t="s">
        <v>7476</v>
      </c>
      <c r="T1121" s="34" t="s">
        <v>7476</v>
      </c>
      <c r="U1121" s="34" t="s">
        <v>7476</v>
      </c>
      <c r="V1121" s="32" t="s">
        <v>7476</v>
      </c>
      <c r="W1121" s="32" t="s">
        <v>7476</v>
      </c>
      <c r="X1121">
        <v>0</v>
      </c>
      <c r="Y1121" s="34" t="s">
        <v>7476</v>
      </c>
      <c r="Z1121" s="34" t="s">
        <v>7476</v>
      </c>
      <c r="AA1121" s="34" t="s">
        <v>7476</v>
      </c>
      <c r="AB1121" s="36" t="s">
        <v>52</v>
      </c>
      <c r="AD1121" t="s">
        <v>3518</v>
      </c>
      <c r="AE1121" t="s">
        <v>3519</v>
      </c>
      <c r="AF1121" s="16">
        <v>44588</v>
      </c>
      <c r="AG1121" t="s">
        <v>98</v>
      </c>
      <c r="AH1121">
        <v>6</v>
      </c>
      <c r="AK1121" s="38" t="str">
        <f t="shared" si="389"/>
        <v/>
      </c>
    </row>
    <row r="1122" spans="1:43" x14ac:dyDescent="0.35">
      <c r="A1122">
        <v>2642</v>
      </c>
      <c r="B1122" t="s">
        <v>3520</v>
      </c>
      <c r="C1122" t="s">
        <v>3514</v>
      </c>
      <c r="D1122" t="str">
        <f t="shared" si="387"/>
        <v>HR</v>
      </c>
      <c r="E1122" t="s">
        <v>3508</v>
      </c>
      <c r="F1122" t="s">
        <v>3509</v>
      </c>
      <c r="G1122" t="s">
        <v>3510</v>
      </c>
      <c r="H1122" t="s">
        <v>697</v>
      </c>
      <c r="I1122" s="32">
        <v>44586.587569444448</v>
      </c>
      <c r="J1122" s="32">
        <v>44588.587569444448</v>
      </c>
      <c r="K1122" s="32" t="s">
        <v>7473</v>
      </c>
      <c r="L1122" s="8" t="str">
        <f t="shared" si="388"/>
        <v/>
      </c>
      <c r="M1122" s="7">
        <v>44602.587569444448</v>
      </c>
      <c r="N1122" t="s">
        <v>49</v>
      </c>
      <c r="O1122" s="34">
        <v>44597.587569444448</v>
      </c>
      <c r="P1122" t="s">
        <v>50</v>
      </c>
      <c r="Q1122" t="s">
        <v>51</v>
      </c>
      <c r="R1122" s="32" t="s">
        <v>7472</v>
      </c>
      <c r="S1122" t="s">
        <v>7476</v>
      </c>
      <c r="T1122" s="34" t="s">
        <v>7476</v>
      </c>
      <c r="U1122" s="34" t="s">
        <v>7476</v>
      </c>
      <c r="V1122" s="32">
        <v>44599.587569444448</v>
      </c>
      <c r="W1122" s="32" t="s">
        <v>7476</v>
      </c>
      <c r="X1122">
        <v>0</v>
      </c>
      <c r="Y1122" s="34" t="s">
        <v>7476</v>
      </c>
      <c r="Z1122" s="34" t="s">
        <v>7476</v>
      </c>
      <c r="AA1122" s="34" t="s">
        <v>7476</v>
      </c>
      <c r="AB1122" s="36" t="s">
        <v>95</v>
      </c>
      <c r="AD1122" t="s">
        <v>3521</v>
      </c>
      <c r="AE1122" t="s">
        <v>3522</v>
      </c>
      <c r="AF1122" s="16">
        <v>44581</v>
      </c>
      <c r="AG1122" t="s">
        <v>93</v>
      </c>
      <c r="AH1122">
        <v>3</v>
      </c>
      <c r="AK1122" s="38">
        <f t="shared" si="389"/>
        <v>44689.587569444448</v>
      </c>
    </row>
    <row r="1123" spans="1:43" x14ac:dyDescent="0.35">
      <c r="A1123">
        <v>2375</v>
      </c>
      <c r="B1123" t="s">
        <v>3523</v>
      </c>
      <c r="C1123" t="s">
        <v>3507</v>
      </c>
      <c r="D1123" t="str">
        <f t="shared" si="387"/>
        <v>HR</v>
      </c>
      <c r="E1123" t="s">
        <v>3508</v>
      </c>
      <c r="F1123" t="s">
        <v>3509</v>
      </c>
      <c r="G1123" t="s">
        <v>3510</v>
      </c>
      <c r="H1123" t="s">
        <v>697</v>
      </c>
      <c r="I1123" s="32">
        <v>45032.917395833327</v>
      </c>
      <c r="J1123" s="32">
        <v>45033.917395833327</v>
      </c>
      <c r="K1123" s="32">
        <v>45036.917395833327</v>
      </c>
      <c r="L1123" s="8">
        <f t="shared" si="388"/>
        <v>4</v>
      </c>
      <c r="M1123" s="7">
        <v>45045.917395833327</v>
      </c>
      <c r="N1123" t="s">
        <v>49</v>
      </c>
      <c r="O1123" s="34">
        <v>45043.917395833327</v>
      </c>
      <c r="P1123" t="s">
        <v>50</v>
      </c>
      <c r="Q1123" t="s">
        <v>84</v>
      </c>
      <c r="R1123" s="32" t="s">
        <v>7472</v>
      </c>
      <c r="S1123" t="s">
        <v>7476</v>
      </c>
      <c r="T1123" s="34" t="s">
        <v>7476</v>
      </c>
      <c r="U1123" s="34" t="s">
        <v>7476</v>
      </c>
      <c r="V1123" s="32" t="s">
        <v>7476</v>
      </c>
      <c r="W1123" s="32" t="s">
        <v>7476</v>
      </c>
      <c r="X1123">
        <v>0</v>
      </c>
      <c r="Y1123" s="34" t="s">
        <v>7476</v>
      </c>
      <c r="Z1123" s="34" t="s">
        <v>7476</v>
      </c>
      <c r="AA1123" s="34" t="s">
        <v>7476</v>
      </c>
      <c r="AB1123" s="36" t="s">
        <v>52</v>
      </c>
      <c r="AD1123" t="s">
        <v>3524</v>
      </c>
      <c r="AE1123" t="s">
        <v>3525</v>
      </c>
      <c r="AF1123" s="16">
        <v>45028</v>
      </c>
      <c r="AG1123" t="s">
        <v>68</v>
      </c>
      <c r="AH1123">
        <v>3</v>
      </c>
      <c r="AI1123" s="8" t="str">
        <f t="shared" ref="AI1123:AI1132" si="398">IFERROR(R1123-AF1123,"")</f>
        <v/>
      </c>
      <c r="AJ1123" s="8">
        <f t="shared" ref="AJ1123:AJ1132" si="399">IFERROR(O1123-AF1123,"")</f>
        <v>15.917395833326736</v>
      </c>
      <c r="AK1123" s="38" t="str">
        <f t="shared" si="389"/>
        <v/>
      </c>
      <c r="AL1123" t="str">
        <f t="shared" ref="AL1123:AL1132" si="400">IFERROR(Z1123-W1123,"")</f>
        <v/>
      </c>
      <c r="AM1123" t="str">
        <f t="shared" ref="AM1123:AM1132" si="401">IFERROR(R1123-J1123,"")</f>
        <v/>
      </c>
      <c r="AN1123" t="str">
        <f t="shared" ref="AN1123:AN1132" si="402">IFERROR(V1123-O1123,"")</f>
        <v/>
      </c>
      <c r="AO1123">
        <f t="shared" ref="AO1123:AO1132" si="403">IFERROR(J1123-I1123,"")</f>
        <v>1</v>
      </c>
      <c r="AP1123">
        <f t="shared" ref="AP1123:AP1132" si="404">IFERROR(AC1123-X1123,"")</f>
        <v>0</v>
      </c>
      <c r="AQ1123" t="str">
        <f t="shared" ref="AQ1123:AQ1132" si="405">IFERROR(AA1123-W1123,"")</f>
        <v/>
      </c>
    </row>
    <row r="1124" spans="1:43" x14ac:dyDescent="0.35">
      <c r="A1124">
        <v>2340</v>
      </c>
      <c r="B1124" t="s">
        <v>3526</v>
      </c>
      <c r="C1124" t="s">
        <v>3514</v>
      </c>
      <c r="D1124" t="str">
        <f t="shared" si="387"/>
        <v>HR</v>
      </c>
      <c r="E1124" t="s">
        <v>3508</v>
      </c>
      <c r="F1124" t="s">
        <v>3509</v>
      </c>
      <c r="G1124" t="s">
        <v>3510</v>
      </c>
      <c r="H1124" t="s">
        <v>697</v>
      </c>
      <c r="I1124" s="32">
        <v>44691.386030092603</v>
      </c>
      <c r="J1124" s="32">
        <v>44694.386030092603</v>
      </c>
      <c r="K1124" s="32">
        <v>44700.386030092603</v>
      </c>
      <c r="L1124" s="8">
        <f t="shared" si="388"/>
        <v>9</v>
      </c>
      <c r="M1124" s="7">
        <v>44722.386030092603</v>
      </c>
      <c r="N1124" t="s">
        <v>49</v>
      </c>
      <c r="O1124" s="34">
        <v>44710.386030092603</v>
      </c>
      <c r="P1124" t="s">
        <v>50</v>
      </c>
      <c r="Q1124" t="s">
        <v>198</v>
      </c>
      <c r="R1124" s="32" t="s">
        <v>7472</v>
      </c>
      <c r="S1124" t="s">
        <v>7476</v>
      </c>
      <c r="T1124" s="34" t="s">
        <v>7476</v>
      </c>
      <c r="U1124" s="34" t="s">
        <v>7476</v>
      </c>
      <c r="V1124" s="32">
        <v>44714.386030092603</v>
      </c>
      <c r="W1124" s="32" t="s">
        <v>7476</v>
      </c>
      <c r="X1124">
        <v>0</v>
      </c>
      <c r="Y1124" s="34" t="s">
        <v>7476</v>
      </c>
      <c r="Z1124" s="34" t="s">
        <v>7476</v>
      </c>
      <c r="AA1124" s="34" t="s">
        <v>7476</v>
      </c>
      <c r="AB1124" s="36" t="s">
        <v>52</v>
      </c>
      <c r="AD1124" t="s">
        <v>3527</v>
      </c>
      <c r="AE1124" t="s">
        <v>3528</v>
      </c>
      <c r="AF1124" s="16">
        <v>44704</v>
      </c>
      <c r="AG1124" t="s">
        <v>68</v>
      </c>
      <c r="AH1124">
        <v>3</v>
      </c>
      <c r="AI1124" s="8" t="str">
        <f t="shared" si="398"/>
        <v/>
      </c>
      <c r="AJ1124" s="8">
        <f t="shared" si="399"/>
        <v>6.3860300926025957</v>
      </c>
      <c r="AK1124" s="38">
        <f t="shared" si="389"/>
        <v>44804.386030092603</v>
      </c>
      <c r="AL1124" t="str">
        <f t="shared" si="400"/>
        <v/>
      </c>
      <c r="AM1124" t="str">
        <f t="shared" si="401"/>
        <v/>
      </c>
      <c r="AN1124">
        <f t="shared" si="402"/>
        <v>4</v>
      </c>
      <c r="AO1124">
        <f t="shared" si="403"/>
        <v>3</v>
      </c>
      <c r="AP1124">
        <f t="shared" si="404"/>
        <v>0</v>
      </c>
      <c r="AQ1124" t="str">
        <f t="shared" si="405"/>
        <v/>
      </c>
    </row>
    <row r="1125" spans="1:43" x14ac:dyDescent="0.35">
      <c r="A1125">
        <v>2338</v>
      </c>
      <c r="B1125" t="s">
        <v>3529</v>
      </c>
      <c r="C1125" t="s">
        <v>3507</v>
      </c>
      <c r="D1125" t="str">
        <f t="shared" si="387"/>
        <v>HR</v>
      </c>
      <c r="E1125" t="s">
        <v>3508</v>
      </c>
      <c r="F1125" t="s">
        <v>3509</v>
      </c>
      <c r="G1125" t="s">
        <v>3510</v>
      </c>
      <c r="H1125" t="s">
        <v>697</v>
      </c>
      <c r="I1125" s="32">
        <v>44693.386030092603</v>
      </c>
      <c r="J1125" s="32">
        <v>44694.386030092603</v>
      </c>
      <c r="K1125" s="32">
        <v>44700.386030092603</v>
      </c>
      <c r="L1125" s="8">
        <f t="shared" si="388"/>
        <v>7</v>
      </c>
      <c r="M1125" s="7">
        <v>44725.386030092603</v>
      </c>
      <c r="N1125" t="s">
        <v>49</v>
      </c>
      <c r="O1125" s="34">
        <v>44714.386030092603</v>
      </c>
      <c r="P1125" t="s">
        <v>50</v>
      </c>
      <c r="Q1125" t="s">
        <v>198</v>
      </c>
      <c r="R1125" s="32" t="s">
        <v>7472</v>
      </c>
      <c r="S1125" t="s">
        <v>7476</v>
      </c>
      <c r="T1125" s="34" t="s">
        <v>7476</v>
      </c>
      <c r="U1125" s="34" t="s">
        <v>7476</v>
      </c>
      <c r="V1125" s="32">
        <v>44715.386030092603</v>
      </c>
      <c r="W1125" s="32" t="s">
        <v>7476</v>
      </c>
      <c r="X1125">
        <v>0</v>
      </c>
      <c r="Y1125" s="34" t="s">
        <v>7476</v>
      </c>
      <c r="Z1125" s="34" t="s">
        <v>7476</v>
      </c>
      <c r="AA1125" s="34" t="s">
        <v>7476</v>
      </c>
      <c r="AB1125" s="36" t="s">
        <v>52</v>
      </c>
      <c r="AD1125" t="s">
        <v>3530</v>
      </c>
      <c r="AE1125" t="s">
        <v>3531</v>
      </c>
      <c r="AF1125" s="16">
        <v>44701</v>
      </c>
      <c r="AG1125" t="s">
        <v>98</v>
      </c>
      <c r="AH1125">
        <v>6</v>
      </c>
      <c r="AI1125" s="8" t="str">
        <f t="shared" si="398"/>
        <v/>
      </c>
      <c r="AJ1125" s="8">
        <f t="shared" si="399"/>
        <v>13.386030092602596</v>
      </c>
      <c r="AK1125" s="38">
        <f t="shared" si="389"/>
        <v>44895.386030092603</v>
      </c>
      <c r="AL1125" t="str">
        <f t="shared" si="400"/>
        <v/>
      </c>
      <c r="AM1125" t="str">
        <f t="shared" si="401"/>
        <v/>
      </c>
      <c r="AN1125">
        <f t="shared" si="402"/>
        <v>1</v>
      </c>
      <c r="AO1125">
        <f t="shared" si="403"/>
        <v>1</v>
      </c>
      <c r="AP1125">
        <f t="shared" si="404"/>
        <v>0</v>
      </c>
      <c r="AQ1125" t="str">
        <f t="shared" si="405"/>
        <v/>
      </c>
    </row>
    <row r="1126" spans="1:43" x14ac:dyDescent="0.35">
      <c r="A1126">
        <v>2259</v>
      </c>
      <c r="B1126" t="s">
        <v>3532</v>
      </c>
      <c r="C1126" t="s">
        <v>3514</v>
      </c>
      <c r="D1126" t="str">
        <f t="shared" si="387"/>
        <v>HR</v>
      </c>
      <c r="E1126" t="s">
        <v>3508</v>
      </c>
      <c r="F1126" t="s">
        <v>3509</v>
      </c>
      <c r="G1126" t="s">
        <v>3510</v>
      </c>
      <c r="H1126" t="s">
        <v>697</v>
      </c>
      <c r="I1126" s="32">
        <v>44777.68608796296</v>
      </c>
      <c r="J1126" s="32">
        <v>44781.68608796296</v>
      </c>
      <c r="K1126" s="32">
        <v>44787.68608796296</v>
      </c>
      <c r="L1126" s="8">
        <f t="shared" si="388"/>
        <v>10</v>
      </c>
      <c r="M1126" s="7">
        <v>44798.68608796296</v>
      </c>
      <c r="N1126" t="s">
        <v>49</v>
      </c>
      <c r="O1126" s="34">
        <v>44795.68608796296</v>
      </c>
      <c r="P1126" t="s">
        <v>50</v>
      </c>
      <c r="Q1126" t="s">
        <v>84</v>
      </c>
      <c r="R1126" s="32" t="s">
        <v>7472</v>
      </c>
      <c r="S1126" t="s">
        <v>7476</v>
      </c>
      <c r="T1126" s="34" t="s">
        <v>7476</v>
      </c>
      <c r="U1126" s="34" t="s">
        <v>7476</v>
      </c>
      <c r="V1126" s="32">
        <v>44798.68608796296</v>
      </c>
      <c r="W1126" s="32" t="s">
        <v>7476</v>
      </c>
      <c r="X1126">
        <v>0</v>
      </c>
      <c r="Y1126" s="34" t="s">
        <v>7476</v>
      </c>
      <c r="Z1126" s="34" t="s">
        <v>7476</v>
      </c>
      <c r="AA1126" s="34" t="s">
        <v>7476</v>
      </c>
      <c r="AB1126" s="36" t="s">
        <v>95</v>
      </c>
      <c r="AD1126" t="s">
        <v>3533</v>
      </c>
      <c r="AE1126" t="s">
        <v>3534</v>
      </c>
      <c r="AF1126" s="16">
        <v>44786</v>
      </c>
      <c r="AG1126" t="s">
        <v>98</v>
      </c>
      <c r="AH1126">
        <v>6</v>
      </c>
      <c r="AI1126" s="8" t="str">
        <f t="shared" si="398"/>
        <v/>
      </c>
      <c r="AJ1126" s="8">
        <f t="shared" si="399"/>
        <v>9.6860879629603005</v>
      </c>
      <c r="AK1126" s="38">
        <f t="shared" si="389"/>
        <v>44978.68608796296</v>
      </c>
      <c r="AL1126" t="str">
        <f t="shared" si="400"/>
        <v/>
      </c>
      <c r="AM1126" t="str">
        <f t="shared" si="401"/>
        <v/>
      </c>
      <c r="AN1126">
        <f t="shared" si="402"/>
        <v>3</v>
      </c>
      <c r="AO1126">
        <f t="shared" si="403"/>
        <v>4</v>
      </c>
      <c r="AP1126">
        <f t="shared" si="404"/>
        <v>0</v>
      </c>
      <c r="AQ1126" t="str">
        <f t="shared" si="405"/>
        <v/>
      </c>
    </row>
    <row r="1127" spans="1:43" x14ac:dyDescent="0.35">
      <c r="A1127">
        <v>2148</v>
      </c>
      <c r="B1127" t="s">
        <v>3535</v>
      </c>
      <c r="C1127" t="s">
        <v>3507</v>
      </c>
      <c r="D1127" t="str">
        <f t="shared" si="387"/>
        <v>HR</v>
      </c>
      <c r="E1127" t="s">
        <v>3508</v>
      </c>
      <c r="F1127" t="s">
        <v>3509</v>
      </c>
      <c r="G1127" t="s">
        <v>3510</v>
      </c>
      <c r="H1127" t="s">
        <v>697</v>
      </c>
      <c r="I1127" s="32">
        <v>44747.830833333333</v>
      </c>
      <c r="J1127" s="32">
        <v>44748.830833333333</v>
      </c>
      <c r="K1127" s="32">
        <v>44754.830833333333</v>
      </c>
      <c r="L1127" s="8">
        <f t="shared" si="388"/>
        <v>7</v>
      </c>
      <c r="M1127" s="7">
        <v>44771.830833333333</v>
      </c>
      <c r="N1127" t="s">
        <v>49</v>
      </c>
      <c r="O1127" s="34">
        <v>44769.830833333333</v>
      </c>
      <c r="P1127" t="s">
        <v>50</v>
      </c>
      <c r="Q1127" t="s">
        <v>51</v>
      </c>
      <c r="R1127" s="32" t="s">
        <v>7472</v>
      </c>
      <c r="S1127" t="s">
        <v>7476</v>
      </c>
      <c r="T1127" s="34" t="s">
        <v>7476</v>
      </c>
      <c r="U1127" s="34" t="s">
        <v>7476</v>
      </c>
      <c r="V1127" s="32">
        <v>44772.830833333333</v>
      </c>
      <c r="W1127" s="32" t="s">
        <v>7476</v>
      </c>
      <c r="X1127">
        <v>0</v>
      </c>
      <c r="Y1127" s="34" t="s">
        <v>7476</v>
      </c>
      <c r="Z1127" s="34" t="s">
        <v>7476</v>
      </c>
      <c r="AA1127" s="34" t="s">
        <v>7476</v>
      </c>
      <c r="AB1127" s="36" t="s">
        <v>95</v>
      </c>
      <c r="AD1127" t="s">
        <v>3536</v>
      </c>
      <c r="AE1127" t="s">
        <v>3537</v>
      </c>
      <c r="AF1127" s="16">
        <v>44764</v>
      </c>
      <c r="AG1127" t="s">
        <v>98</v>
      </c>
      <c r="AH1127">
        <v>6</v>
      </c>
      <c r="AI1127" s="8" t="str">
        <f t="shared" si="398"/>
        <v/>
      </c>
      <c r="AJ1127" s="8">
        <f t="shared" si="399"/>
        <v>5.8308333333334303</v>
      </c>
      <c r="AK1127" s="38">
        <f t="shared" si="389"/>
        <v>44952.830833333333</v>
      </c>
      <c r="AL1127" t="str">
        <f t="shared" si="400"/>
        <v/>
      </c>
      <c r="AM1127" t="str">
        <f t="shared" si="401"/>
        <v/>
      </c>
      <c r="AN1127">
        <f t="shared" si="402"/>
        <v>3</v>
      </c>
      <c r="AO1127">
        <f t="shared" si="403"/>
        <v>1</v>
      </c>
      <c r="AP1127">
        <f t="shared" si="404"/>
        <v>0</v>
      </c>
      <c r="AQ1127" t="str">
        <f t="shared" si="405"/>
        <v/>
      </c>
    </row>
    <row r="1128" spans="1:43" x14ac:dyDescent="0.35">
      <c r="A1128">
        <v>2059</v>
      </c>
      <c r="B1128" t="s">
        <v>3538</v>
      </c>
      <c r="C1128" t="s">
        <v>3514</v>
      </c>
      <c r="D1128" t="str">
        <f t="shared" si="387"/>
        <v>HR</v>
      </c>
      <c r="E1128" t="s">
        <v>3508</v>
      </c>
      <c r="F1128" t="s">
        <v>3509</v>
      </c>
      <c r="G1128" t="s">
        <v>3510</v>
      </c>
      <c r="H1128" t="s">
        <v>697</v>
      </c>
      <c r="I1128" s="32">
        <v>44572.831099537027</v>
      </c>
      <c r="J1128" s="32">
        <v>44575.831099537027</v>
      </c>
      <c r="K1128" s="32">
        <v>44580.831099537027</v>
      </c>
      <c r="L1128" s="8">
        <f t="shared" si="388"/>
        <v>8</v>
      </c>
      <c r="M1128" s="7">
        <v>44588.831099537027</v>
      </c>
      <c r="N1128" t="s">
        <v>49</v>
      </c>
      <c r="O1128" s="34">
        <v>44593.831099537027</v>
      </c>
      <c r="P1128" t="s">
        <v>50</v>
      </c>
      <c r="Q1128" t="s">
        <v>198</v>
      </c>
      <c r="R1128" s="32" t="s">
        <v>7472</v>
      </c>
      <c r="S1128" t="s">
        <v>7476</v>
      </c>
      <c r="T1128" s="34" t="s">
        <v>7476</v>
      </c>
      <c r="U1128" s="34" t="s">
        <v>7476</v>
      </c>
      <c r="V1128" s="32" t="s">
        <v>7476</v>
      </c>
      <c r="W1128" s="32" t="s">
        <v>7476</v>
      </c>
      <c r="X1128">
        <v>0</v>
      </c>
      <c r="Y1128" s="34" t="s">
        <v>7476</v>
      </c>
      <c r="Z1128" s="34" t="s">
        <v>7476</v>
      </c>
      <c r="AA1128" s="34" t="s">
        <v>7476</v>
      </c>
      <c r="AB1128" s="36" t="s">
        <v>95</v>
      </c>
      <c r="AD1128" t="s">
        <v>3539</v>
      </c>
      <c r="AE1128" t="s">
        <v>3540</v>
      </c>
      <c r="AF1128" s="16">
        <v>44580</v>
      </c>
      <c r="AG1128" t="s">
        <v>64</v>
      </c>
      <c r="AH1128">
        <v>3</v>
      </c>
      <c r="AI1128" s="8" t="str">
        <f t="shared" si="398"/>
        <v/>
      </c>
      <c r="AJ1128" s="8">
        <f t="shared" si="399"/>
        <v>13.831099537026603</v>
      </c>
      <c r="AK1128" s="38" t="str">
        <f t="shared" si="389"/>
        <v/>
      </c>
      <c r="AL1128" t="str">
        <f t="shared" si="400"/>
        <v/>
      </c>
      <c r="AM1128" t="str">
        <f t="shared" si="401"/>
        <v/>
      </c>
      <c r="AN1128" t="str">
        <f t="shared" si="402"/>
        <v/>
      </c>
      <c r="AO1128">
        <f t="shared" si="403"/>
        <v>3</v>
      </c>
      <c r="AP1128">
        <f t="shared" si="404"/>
        <v>0</v>
      </c>
      <c r="AQ1128" t="str">
        <f t="shared" si="405"/>
        <v/>
      </c>
    </row>
    <row r="1129" spans="1:43" x14ac:dyDescent="0.35">
      <c r="A1129">
        <v>1953</v>
      </c>
      <c r="B1129" t="s">
        <v>3541</v>
      </c>
      <c r="C1129" t="s">
        <v>3514</v>
      </c>
      <c r="D1129" t="str">
        <f t="shared" si="387"/>
        <v>HR</v>
      </c>
      <c r="E1129" t="s">
        <v>3508</v>
      </c>
      <c r="F1129" t="s">
        <v>3509</v>
      </c>
      <c r="G1129" t="s">
        <v>3510</v>
      </c>
      <c r="H1129" t="s">
        <v>697</v>
      </c>
      <c r="I1129" s="32">
        <v>44817.042395833327</v>
      </c>
      <c r="J1129" s="32">
        <v>44820.042395833327</v>
      </c>
      <c r="K1129" s="32">
        <v>44825.042395833327</v>
      </c>
      <c r="L1129" s="8">
        <f t="shared" si="388"/>
        <v>8</v>
      </c>
      <c r="M1129" s="7">
        <v>44840.042395833327</v>
      </c>
      <c r="N1129" t="s">
        <v>49</v>
      </c>
      <c r="O1129" s="34">
        <v>44842.042395833327</v>
      </c>
      <c r="P1129" t="s">
        <v>50</v>
      </c>
      <c r="Q1129" t="s">
        <v>84</v>
      </c>
      <c r="R1129" s="32" t="s">
        <v>7472</v>
      </c>
      <c r="S1129" t="s">
        <v>7476</v>
      </c>
      <c r="T1129" s="34" t="s">
        <v>7476</v>
      </c>
      <c r="U1129" s="34" t="s">
        <v>7476</v>
      </c>
      <c r="V1129" s="32">
        <v>44843.042395833327</v>
      </c>
      <c r="W1129" s="32" t="s">
        <v>7476</v>
      </c>
      <c r="X1129">
        <v>0</v>
      </c>
      <c r="Y1129" s="34" t="s">
        <v>7476</v>
      </c>
      <c r="Z1129" s="34" t="s">
        <v>7476</v>
      </c>
      <c r="AA1129" s="34" t="s">
        <v>7476</v>
      </c>
      <c r="AB1129" s="36" t="s">
        <v>95</v>
      </c>
      <c r="AD1129" t="s">
        <v>3542</v>
      </c>
      <c r="AE1129" t="s">
        <v>3543</v>
      </c>
      <c r="AF1129" s="16">
        <v>44824</v>
      </c>
      <c r="AG1129" t="s">
        <v>68</v>
      </c>
      <c r="AH1129">
        <v>3</v>
      </c>
      <c r="AI1129" s="8" t="str">
        <f t="shared" si="398"/>
        <v/>
      </c>
      <c r="AJ1129" s="8">
        <f t="shared" si="399"/>
        <v>18.042395833326736</v>
      </c>
      <c r="AK1129" s="38">
        <f t="shared" si="389"/>
        <v>44933.042395833327</v>
      </c>
      <c r="AL1129" t="str">
        <f t="shared" si="400"/>
        <v/>
      </c>
      <c r="AM1129" t="str">
        <f t="shared" si="401"/>
        <v/>
      </c>
      <c r="AN1129">
        <f t="shared" si="402"/>
        <v>1</v>
      </c>
      <c r="AO1129">
        <f t="shared" si="403"/>
        <v>3</v>
      </c>
      <c r="AP1129">
        <f t="shared" si="404"/>
        <v>0</v>
      </c>
      <c r="AQ1129" t="str">
        <f t="shared" si="405"/>
        <v/>
      </c>
    </row>
    <row r="1130" spans="1:43" x14ac:dyDescent="0.35">
      <c r="A1130">
        <v>1917</v>
      </c>
      <c r="B1130" t="s">
        <v>3544</v>
      </c>
      <c r="C1130" t="s">
        <v>3514</v>
      </c>
      <c r="D1130" t="str">
        <f t="shared" si="387"/>
        <v>HR</v>
      </c>
      <c r="E1130" t="s">
        <v>3508</v>
      </c>
      <c r="F1130" t="s">
        <v>3509</v>
      </c>
      <c r="G1130" t="s">
        <v>3510</v>
      </c>
      <c r="H1130" t="s">
        <v>697</v>
      </c>
      <c r="I1130" s="32">
        <v>44679.892118055563</v>
      </c>
      <c r="J1130" s="32">
        <v>44683.892118055563</v>
      </c>
      <c r="K1130" s="32">
        <v>44689.892118055563</v>
      </c>
      <c r="L1130" s="8">
        <f t="shared" si="388"/>
        <v>10</v>
      </c>
      <c r="M1130" s="7">
        <v>44694.892118055563</v>
      </c>
      <c r="N1130" t="s">
        <v>49</v>
      </c>
      <c r="O1130" s="34">
        <v>44693.892118055563</v>
      </c>
      <c r="P1130" t="s">
        <v>50</v>
      </c>
      <c r="Q1130" t="s">
        <v>236</v>
      </c>
      <c r="R1130" s="32" t="s">
        <v>7472</v>
      </c>
      <c r="S1130" t="s">
        <v>7476</v>
      </c>
      <c r="T1130" s="34" t="s">
        <v>7476</v>
      </c>
      <c r="U1130" s="34" t="s">
        <v>7476</v>
      </c>
      <c r="V1130" s="32">
        <v>44694.892118055563</v>
      </c>
      <c r="W1130" s="32" t="s">
        <v>7476</v>
      </c>
      <c r="X1130">
        <v>0</v>
      </c>
      <c r="Y1130" s="34" t="s">
        <v>7476</v>
      </c>
      <c r="Z1130" s="34" t="s">
        <v>7476</v>
      </c>
      <c r="AA1130" s="34" t="s">
        <v>7476</v>
      </c>
      <c r="AB1130" s="36" t="s">
        <v>52</v>
      </c>
      <c r="AD1130" t="s">
        <v>3545</v>
      </c>
      <c r="AE1130" t="s">
        <v>3546</v>
      </c>
      <c r="AF1130" s="16">
        <v>44625</v>
      </c>
      <c r="AG1130" t="s">
        <v>98</v>
      </c>
      <c r="AH1130">
        <v>6</v>
      </c>
      <c r="AI1130" s="8" t="str">
        <f t="shared" si="398"/>
        <v/>
      </c>
      <c r="AJ1130" s="8">
        <f t="shared" si="399"/>
        <v>68.892118055562605</v>
      </c>
      <c r="AK1130" s="38">
        <f t="shared" si="389"/>
        <v>44874.892118055563</v>
      </c>
      <c r="AL1130" t="str">
        <f t="shared" si="400"/>
        <v/>
      </c>
      <c r="AM1130" t="str">
        <f t="shared" si="401"/>
        <v/>
      </c>
      <c r="AN1130">
        <f t="shared" si="402"/>
        <v>1</v>
      </c>
      <c r="AO1130">
        <f t="shared" si="403"/>
        <v>4</v>
      </c>
      <c r="AP1130">
        <f t="shared" si="404"/>
        <v>0</v>
      </c>
      <c r="AQ1130" t="str">
        <f t="shared" si="405"/>
        <v/>
      </c>
    </row>
    <row r="1131" spans="1:43" x14ac:dyDescent="0.35">
      <c r="A1131">
        <v>1620</v>
      </c>
      <c r="B1131" t="s">
        <v>3547</v>
      </c>
      <c r="C1131" t="s">
        <v>3514</v>
      </c>
      <c r="D1131" t="str">
        <f t="shared" si="387"/>
        <v>HR</v>
      </c>
      <c r="E1131" t="s">
        <v>3508</v>
      </c>
      <c r="F1131" t="s">
        <v>3509</v>
      </c>
      <c r="G1131" t="s">
        <v>3510</v>
      </c>
      <c r="H1131" t="s">
        <v>697</v>
      </c>
      <c r="I1131" s="32">
        <v>44856.951192129629</v>
      </c>
      <c r="J1131" s="32">
        <v>44857.951192129629</v>
      </c>
      <c r="K1131" s="32">
        <v>44858.951192129629</v>
      </c>
      <c r="L1131" s="8">
        <f t="shared" si="388"/>
        <v>2</v>
      </c>
      <c r="M1131" s="7">
        <v>44865.951192129629</v>
      </c>
      <c r="N1131" t="s">
        <v>49</v>
      </c>
      <c r="O1131" s="34">
        <v>44871.951192129629</v>
      </c>
      <c r="P1131" t="s">
        <v>50</v>
      </c>
      <c r="Q1131" t="s">
        <v>84</v>
      </c>
      <c r="R1131" s="32" t="s">
        <v>7472</v>
      </c>
      <c r="S1131" t="s">
        <v>7476</v>
      </c>
      <c r="T1131" s="34" t="s">
        <v>7476</v>
      </c>
      <c r="U1131" s="34" t="s">
        <v>7476</v>
      </c>
      <c r="V1131" s="32">
        <v>44875.951192129629</v>
      </c>
      <c r="W1131" s="32" t="s">
        <v>7476</v>
      </c>
      <c r="X1131">
        <v>0</v>
      </c>
      <c r="Y1131" s="34" t="s">
        <v>7476</v>
      </c>
      <c r="Z1131" s="34" t="s">
        <v>7476</v>
      </c>
      <c r="AA1131" s="34" t="s">
        <v>7476</v>
      </c>
      <c r="AB1131" s="36" t="s">
        <v>52</v>
      </c>
      <c r="AD1131" t="s">
        <v>3548</v>
      </c>
      <c r="AE1131" t="s">
        <v>3549</v>
      </c>
      <c r="AF1131" s="16">
        <v>44853</v>
      </c>
      <c r="AG1131" t="s">
        <v>98</v>
      </c>
      <c r="AH1131">
        <v>3</v>
      </c>
      <c r="AI1131" s="8" t="str">
        <f t="shared" si="398"/>
        <v/>
      </c>
      <c r="AJ1131" s="8">
        <f t="shared" si="399"/>
        <v>18.951192129628907</v>
      </c>
      <c r="AK1131" s="38">
        <f t="shared" si="389"/>
        <v>44965.951192129629</v>
      </c>
      <c r="AL1131" t="str">
        <f t="shared" si="400"/>
        <v/>
      </c>
      <c r="AM1131" t="str">
        <f t="shared" si="401"/>
        <v/>
      </c>
      <c r="AN1131">
        <f t="shared" si="402"/>
        <v>4</v>
      </c>
      <c r="AO1131">
        <f t="shared" si="403"/>
        <v>1</v>
      </c>
      <c r="AP1131">
        <f t="shared" si="404"/>
        <v>0</v>
      </c>
      <c r="AQ1131" t="str">
        <f t="shared" si="405"/>
        <v/>
      </c>
    </row>
    <row r="1132" spans="1:43" x14ac:dyDescent="0.35">
      <c r="A1132">
        <v>1617</v>
      </c>
      <c r="B1132" t="s">
        <v>3550</v>
      </c>
      <c r="C1132" t="s">
        <v>3507</v>
      </c>
      <c r="D1132" t="str">
        <f t="shared" si="387"/>
        <v>HR</v>
      </c>
      <c r="E1132" t="s">
        <v>3508</v>
      </c>
      <c r="F1132" t="s">
        <v>3509</v>
      </c>
      <c r="G1132" t="s">
        <v>3510</v>
      </c>
      <c r="H1132" t="s">
        <v>697</v>
      </c>
      <c r="I1132" s="32">
        <v>44852.951192129629</v>
      </c>
      <c r="J1132" s="32">
        <v>44853.951192129629</v>
      </c>
      <c r="K1132" s="32">
        <v>44858.951192129629</v>
      </c>
      <c r="L1132" s="8">
        <f t="shared" si="388"/>
        <v>6</v>
      </c>
      <c r="M1132" s="7">
        <v>44881.951192129629</v>
      </c>
      <c r="N1132" t="s">
        <v>49</v>
      </c>
      <c r="O1132" s="34">
        <v>44873.951192129629</v>
      </c>
      <c r="P1132" t="s">
        <v>50</v>
      </c>
      <c r="Q1132" t="s">
        <v>125</v>
      </c>
      <c r="R1132" s="32" t="s">
        <v>7472</v>
      </c>
      <c r="S1132" t="s">
        <v>7476</v>
      </c>
      <c r="T1132" s="34" t="s">
        <v>7476</v>
      </c>
      <c r="U1132" s="34" t="s">
        <v>7476</v>
      </c>
      <c r="V1132" s="32">
        <v>44875.951192129629</v>
      </c>
      <c r="W1132" s="32" t="s">
        <v>7476</v>
      </c>
      <c r="X1132">
        <v>0</v>
      </c>
      <c r="Y1132" s="34" t="s">
        <v>7476</v>
      </c>
      <c r="Z1132" s="34" t="s">
        <v>7476</v>
      </c>
      <c r="AA1132" s="34" t="s">
        <v>7476</v>
      </c>
      <c r="AB1132" s="36" t="s">
        <v>52</v>
      </c>
      <c r="AD1132" t="s">
        <v>3551</v>
      </c>
      <c r="AE1132" t="s">
        <v>3552</v>
      </c>
      <c r="AF1132" s="16">
        <v>44854</v>
      </c>
      <c r="AG1132" t="s">
        <v>98</v>
      </c>
      <c r="AH1132">
        <v>3</v>
      </c>
      <c r="AI1132" s="8" t="str">
        <f t="shared" si="398"/>
        <v/>
      </c>
      <c r="AJ1132" s="8">
        <f t="shared" si="399"/>
        <v>19.951192129628907</v>
      </c>
      <c r="AK1132" s="38">
        <f t="shared" si="389"/>
        <v>44965.951192129629</v>
      </c>
      <c r="AL1132" t="str">
        <f t="shared" si="400"/>
        <v/>
      </c>
      <c r="AM1132" t="str">
        <f t="shared" si="401"/>
        <v/>
      </c>
      <c r="AN1132">
        <f t="shared" si="402"/>
        <v>2</v>
      </c>
      <c r="AO1132">
        <f t="shared" si="403"/>
        <v>1</v>
      </c>
      <c r="AP1132">
        <f t="shared" si="404"/>
        <v>0</v>
      </c>
      <c r="AQ1132" t="str">
        <f t="shared" si="405"/>
        <v/>
      </c>
    </row>
    <row r="1133" spans="1:43" x14ac:dyDescent="0.35">
      <c r="A1133">
        <v>1614</v>
      </c>
      <c r="B1133" t="s">
        <v>3553</v>
      </c>
      <c r="C1133" t="s">
        <v>3554</v>
      </c>
      <c r="D1133" t="str">
        <f t="shared" si="387"/>
        <v>HR</v>
      </c>
      <c r="E1133" t="s">
        <v>3508</v>
      </c>
      <c r="F1133" t="s">
        <v>3509</v>
      </c>
      <c r="G1133" t="s">
        <v>3510</v>
      </c>
      <c r="H1133" t="s">
        <v>697</v>
      </c>
      <c r="I1133" s="32">
        <v>44848.951192129629</v>
      </c>
      <c r="J1133" s="32" t="s">
        <v>7471</v>
      </c>
      <c r="K1133" s="32">
        <v>44858.951192129629</v>
      </c>
      <c r="L1133" s="8">
        <f t="shared" si="388"/>
        <v>10</v>
      </c>
      <c r="M1133" s="7">
        <v>44865.951192129629</v>
      </c>
      <c r="N1133" t="s">
        <v>49</v>
      </c>
      <c r="O1133" s="34">
        <v>44863.951192129629</v>
      </c>
      <c r="P1133" t="s">
        <v>50</v>
      </c>
      <c r="Q1133" t="s">
        <v>84</v>
      </c>
      <c r="R1133" s="32" t="s">
        <v>7472</v>
      </c>
      <c r="S1133" t="s">
        <v>7476</v>
      </c>
      <c r="T1133" s="34" t="s">
        <v>7476</v>
      </c>
      <c r="U1133" s="34" t="s">
        <v>7476</v>
      </c>
      <c r="V1133" s="32">
        <v>44867.951192129629</v>
      </c>
      <c r="W1133" s="32" t="s">
        <v>7476</v>
      </c>
      <c r="X1133">
        <v>0</v>
      </c>
      <c r="Y1133" s="34" t="s">
        <v>7476</v>
      </c>
      <c r="Z1133" s="34" t="s">
        <v>7476</v>
      </c>
      <c r="AA1133" s="34" t="s">
        <v>7476</v>
      </c>
      <c r="AB1133" s="36" t="s">
        <v>52</v>
      </c>
      <c r="AD1133" t="s">
        <v>3555</v>
      </c>
      <c r="AE1133" t="s">
        <v>3556</v>
      </c>
      <c r="AF1133" s="16">
        <v>44847</v>
      </c>
      <c r="AG1133" t="s">
        <v>68</v>
      </c>
      <c r="AH1133">
        <v>6</v>
      </c>
      <c r="AK1133" s="38">
        <f t="shared" si="389"/>
        <v>45047.951192129629</v>
      </c>
    </row>
    <row r="1134" spans="1:43" x14ac:dyDescent="0.35">
      <c r="A1134">
        <v>1600</v>
      </c>
      <c r="B1134" t="s">
        <v>3557</v>
      </c>
      <c r="C1134" t="s">
        <v>3554</v>
      </c>
      <c r="D1134" t="str">
        <f t="shared" si="387"/>
        <v>HR</v>
      </c>
      <c r="E1134" t="s">
        <v>3508</v>
      </c>
      <c r="F1134" t="s">
        <v>695</v>
      </c>
      <c r="G1134" t="s">
        <v>3558</v>
      </c>
      <c r="H1134" t="s">
        <v>697</v>
      </c>
      <c r="I1134" s="32">
        <v>44993.164201388892</v>
      </c>
      <c r="J1134" s="32">
        <v>44997.164201388892</v>
      </c>
      <c r="K1134" s="32">
        <v>45000.164201388892</v>
      </c>
      <c r="L1134" s="8">
        <f t="shared" si="388"/>
        <v>7</v>
      </c>
      <c r="M1134" s="7">
        <v>45014.164201388892</v>
      </c>
      <c r="N1134" t="s">
        <v>49</v>
      </c>
      <c r="O1134" s="34">
        <v>45012.164201388892</v>
      </c>
      <c r="P1134" t="s">
        <v>50</v>
      </c>
      <c r="Q1134" t="s">
        <v>198</v>
      </c>
      <c r="R1134" s="32" t="s">
        <v>7472</v>
      </c>
      <c r="S1134" t="s">
        <v>7476</v>
      </c>
      <c r="T1134" s="34" t="s">
        <v>7476</v>
      </c>
      <c r="U1134" s="34" t="s">
        <v>7476</v>
      </c>
      <c r="V1134" s="32">
        <v>45015.164201388892</v>
      </c>
      <c r="W1134" s="32" t="s">
        <v>7476</v>
      </c>
      <c r="X1134">
        <v>0</v>
      </c>
      <c r="Y1134" s="34" t="s">
        <v>7476</v>
      </c>
      <c r="Z1134" s="34" t="s">
        <v>7476</v>
      </c>
      <c r="AA1134" s="34" t="s">
        <v>7476</v>
      </c>
      <c r="AB1134" s="36" t="s">
        <v>95</v>
      </c>
      <c r="AD1134" t="s">
        <v>3559</v>
      </c>
      <c r="AE1134" t="s">
        <v>3560</v>
      </c>
      <c r="AF1134" s="16">
        <v>44994</v>
      </c>
      <c r="AG1134" t="s">
        <v>64</v>
      </c>
      <c r="AH1134">
        <v>6</v>
      </c>
      <c r="AI1134" s="8" t="str">
        <f t="shared" ref="AI1134:AI1140" si="406">IFERROR(R1134-AF1134,"")</f>
        <v/>
      </c>
      <c r="AJ1134" s="8">
        <f t="shared" ref="AJ1134:AJ1140" si="407">IFERROR(O1134-AF1134,"")</f>
        <v>18.164201388892252</v>
      </c>
      <c r="AK1134" s="38">
        <f t="shared" si="389"/>
        <v>45195.164201388892</v>
      </c>
      <c r="AL1134" t="str">
        <f t="shared" ref="AL1134:AL1140" si="408">IFERROR(Z1134-W1134,"")</f>
        <v/>
      </c>
      <c r="AM1134" t="str">
        <f t="shared" ref="AM1134:AM1140" si="409">IFERROR(R1134-J1134,"")</f>
        <v/>
      </c>
      <c r="AN1134">
        <f t="shared" ref="AN1134:AN1140" si="410">IFERROR(V1134-O1134,"")</f>
        <v>3</v>
      </c>
      <c r="AO1134">
        <f t="shared" ref="AO1134:AO1140" si="411">IFERROR(J1134-I1134,"")</f>
        <v>4</v>
      </c>
      <c r="AP1134">
        <f t="shared" ref="AP1134:AP1140" si="412">IFERROR(AC1134-X1134,"")</f>
        <v>0</v>
      </c>
      <c r="AQ1134" t="str">
        <f t="shared" ref="AQ1134:AQ1140" si="413">IFERROR(AA1134-W1134,"")</f>
        <v/>
      </c>
    </row>
    <row r="1135" spans="1:43" x14ac:dyDescent="0.35">
      <c r="A1135">
        <v>1598</v>
      </c>
      <c r="B1135" t="s">
        <v>3561</v>
      </c>
      <c r="C1135" t="s">
        <v>3507</v>
      </c>
      <c r="D1135" t="str">
        <f t="shared" si="387"/>
        <v>HR</v>
      </c>
      <c r="E1135" t="s">
        <v>3508</v>
      </c>
      <c r="F1135" t="s">
        <v>695</v>
      </c>
      <c r="G1135" t="s">
        <v>3558</v>
      </c>
      <c r="H1135" t="s">
        <v>697</v>
      </c>
      <c r="I1135" s="32">
        <v>44995.164201388892</v>
      </c>
      <c r="J1135" s="32">
        <v>44998.164201388892</v>
      </c>
      <c r="K1135" s="32">
        <v>45000.164201388892</v>
      </c>
      <c r="L1135" s="8">
        <f t="shared" si="388"/>
        <v>5</v>
      </c>
      <c r="M1135" s="7">
        <v>45021.164201388892</v>
      </c>
      <c r="N1135" t="s">
        <v>49</v>
      </c>
      <c r="O1135" s="34">
        <v>45011.164201388892</v>
      </c>
      <c r="P1135" t="s">
        <v>50</v>
      </c>
      <c r="Q1135" t="s">
        <v>51</v>
      </c>
      <c r="R1135" s="32" t="s">
        <v>7472</v>
      </c>
      <c r="S1135" t="s">
        <v>7476</v>
      </c>
      <c r="T1135" s="34" t="s">
        <v>7476</v>
      </c>
      <c r="U1135" s="34" t="s">
        <v>7476</v>
      </c>
      <c r="V1135" s="32">
        <v>45014.164201388892</v>
      </c>
      <c r="W1135" s="32" t="s">
        <v>7476</v>
      </c>
      <c r="X1135">
        <v>0</v>
      </c>
      <c r="Y1135" s="34" t="s">
        <v>7476</v>
      </c>
      <c r="Z1135" s="34" t="s">
        <v>7476</v>
      </c>
      <c r="AA1135" s="34" t="s">
        <v>7476</v>
      </c>
      <c r="AB1135" s="36" t="s">
        <v>52</v>
      </c>
      <c r="AD1135" t="s">
        <v>3562</v>
      </c>
      <c r="AE1135" t="s">
        <v>3563</v>
      </c>
      <c r="AF1135" s="16">
        <v>45001</v>
      </c>
      <c r="AG1135" t="s">
        <v>68</v>
      </c>
      <c r="AH1135">
        <v>6</v>
      </c>
      <c r="AI1135" s="8" t="str">
        <f t="shared" si="406"/>
        <v/>
      </c>
      <c r="AJ1135" s="8">
        <f t="shared" si="407"/>
        <v>10.164201388892252</v>
      </c>
      <c r="AK1135" s="38">
        <f t="shared" si="389"/>
        <v>45194.164201388892</v>
      </c>
      <c r="AL1135" t="str">
        <f t="shared" si="408"/>
        <v/>
      </c>
      <c r="AM1135" t="str">
        <f t="shared" si="409"/>
        <v/>
      </c>
      <c r="AN1135">
        <f t="shared" si="410"/>
        <v>3</v>
      </c>
      <c r="AO1135">
        <f t="shared" si="411"/>
        <v>3</v>
      </c>
      <c r="AP1135">
        <f t="shared" si="412"/>
        <v>0</v>
      </c>
      <c r="AQ1135" t="str">
        <f t="shared" si="413"/>
        <v/>
      </c>
    </row>
    <row r="1136" spans="1:43" x14ac:dyDescent="0.35">
      <c r="A1136">
        <v>1580</v>
      </c>
      <c r="B1136" t="s">
        <v>3564</v>
      </c>
      <c r="C1136" t="s">
        <v>3507</v>
      </c>
      <c r="D1136" t="str">
        <f t="shared" si="387"/>
        <v>HR</v>
      </c>
      <c r="E1136" t="s">
        <v>3508</v>
      </c>
      <c r="F1136" t="s">
        <v>695</v>
      </c>
      <c r="G1136" t="s">
        <v>3558</v>
      </c>
      <c r="H1136" t="s">
        <v>697</v>
      </c>
      <c r="I1136" s="32">
        <v>44807.733078703714</v>
      </c>
      <c r="J1136" s="32">
        <v>44811.733078703714</v>
      </c>
      <c r="K1136" s="32">
        <v>44813.733078703714</v>
      </c>
      <c r="L1136" s="8">
        <f t="shared" si="388"/>
        <v>6</v>
      </c>
      <c r="M1136" s="7">
        <v>44841.733078703714</v>
      </c>
      <c r="N1136" t="s">
        <v>49</v>
      </c>
      <c r="O1136" s="34">
        <v>44818.733078703714</v>
      </c>
      <c r="P1136" t="s">
        <v>50</v>
      </c>
      <c r="Q1136" t="s">
        <v>236</v>
      </c>
      <c r="R1136" s="32" t="s">
        <v>7472</v>
      </c>
      <c r="S1136" t="s">
        <v>7476</v>
      </c>
      <c r="T1136" s="34" t="s">
        <v>7476</v>
      </c>
      <c r="U1136" s="34" t="s">
        <v>7476</v>
      </c>
      <c r="V1136" s="32">
        <v>44820.733078703714</v>
      </c>
      <c r="W1136" s="32" t="s">
        <v>7476</v>
      </c>
      <c r="X1136">
        <v>0</v>
      </c>
      <c r="Y1136" s="34" t="s">
        <v>7476</v>
      </c>
      <c r="Z1136" s="34" t="s">
        <v>7476</v>
      </c>
      <c r="AA1136" s="34" t="s">
        <v>7476</v>
      </c>
      <c r="AB1136" s="36" t="s">
        <v>95</v>
      </c>
      <c r="AD1136" t="s">
        <v>3565</v>
      </c>
      <c r="AE1136" t="s">
        <v>3566</v>
      </c>
      <c r="AF1136" s="16">
        <v>44751</v>
      </c>
      <c r="AG1136" t="s">
        <v>68</v>
      </c>
      <c r="AH1136">
        <v>6</v>
      </c>
      <c r="AI1136" s="8" t="str">
        <f t="shared" si="406"/>
        <v/>
      </c>
      <c r="AJ1136" s="8">
        <f t="shared" si="407"/>
        <v>67.733078703713545</v>
      </c>
      <c r="AK1136" s="38">
        <f t="shared" si="389"/>
        <v>45000.733078703714</v>
      </c>
      <c r="AL1136" t="str">
        <f t="shared" si="408"/>
        <v/>
      </c>
      <c r="AM1136" t="str">
        <f t="shared" si="409"/>
        <v/>
      </c>
      <c r="AN1136">
        <f t="shared" si="410"/>
        <v>2</v>
      </c>
      <c r="AO1136">
        <f t="shared" si="411"/>
        <v>4</v>
      </c>
      <c r="AP1136">
        <f t="shared" si="412"/>
        <v>0</v>
      </c>
      <c r="AQ1136" t="str">
        <f t="shared" si="413"/>
        <v/>
      </c>
    </row>
    <row r="1137" spans="1:43" x14ac:dyDescent="0.35">
      <c r="A1137">
        <v>1571</v>
      </c>
      <c r="B1137" t="s">
        <v>3567</v>
      </c>
      <c r="C1137" t="s">
        <v>3514</v>
      </c>
      <c r="D1137" t="str">
        <f t="shared" si="387"/>
        <v>HR</v>
      </c>
      <c r="E1137" t="s">
        <v>3508</v>
      </c>
      <c r="F1137" t="s">
        <v>695</v>
      </c>
      <c r="G1137" t="s">
        <v>3558</v>
      </c>
      <c r="H1137" t="s">
        <v>697</v>
      </c>
      <c r="I1137" s="32">
        <v>44808.733078703714</v>
      </c>
      <c r="J1137" s="32">
        <v>44812.733078703714</v>
      </c>
      <c r="K1137" s="32">
        <v>44813.733078703714</v>
      </c>
      <c r="L1137" s="8">
        <f t="shared" si="388"/>
        <v>5</v>
      </c>
      <c r="M1137" s="7">
        <v>44843.733078703714</v>
      </c>
      <c r="N1137" t="s">
        <v>49</v>
      </c>
      <c r="O1137" s="34">
        <v>44827.733078703714</v>
      </c>
      <c r="P1137" t="s">
        <v>50</v>
      </c>
      <c r="Q1137" t="s">
        <v>84</v>
      </c>
      <c r="R1137" s="32" t="s">
        <v>7472</v>
      </c>
      <c r="S1137" t="s">
        <v>7476</v>
      </c>
      <c r="T1137" s="34" t="s">
        <v>7476</v>
      </c>
      <c r="U1137" s="34" t="s">
        <v>7476</v>
      </c>
      <c r="V1137" s="32" t="s">
        <v>7476</v>
      </c>
      <c r="W1137" s="32" t="s">
        <v>7476</v>
      </c>
      <c r="X1137">
        <v>0</v>
      </c>
      <c r="Y1137" s="34" t="s">
        <v>7476</v>
      </c>
      <c r="Z1137" s="34" t="s">
        <v>7476</v>
      </c>
      <c r="AA1137" s="34" t="s">
        <v>7476</v>
      </c>
      <c r="AB1137" s="36" t="s">
        <v>52</v>
      </c>
      <c r="AD1137" t="s">
        <v>3568</v>
      </c>
      <c r="AE1137" t="s">
        <v>3569</v>
      </c>
      <c r="AF1137" s="16">
        <v>44817</v>
      </c>
      <c r="AG1137" t="s">
        <v>68</v>
      </c>
      <c r="AH1137">
        <v>3</v>
      </c>
      <c r="AI1137" s="8" t="str">
        <f t="shared" si="406"/>
        <v/>
      </c>
      <c r="AJ1137" s="8">
        <f t="shared" si="407"/>
        <v>10.733078703713545</v>
      </c>
      <c r="AK1137" s="38" t="str">
        <f t="shared" si="389"/>
        <v/>
      </c>
      <c r="AL1137" t="str">
        <f t="shared" si="408"/>
        <v/>
      </c>
      <c r="AM1137" t="str">
        <f t="shared" si="409"/>
        <v/>
      </c>
      <c r="AN1137" t="str">
        <f t="shared" si="410"/>
        <v/>
      </c>
      <c r="AO1137">
        <f t="shared" si="411"/>
        <v>4</v>
      </c>
      <c r="AP1137">
        <f t="shared" si="412"/>
        <v>0</v>
      </c>
      <c r="AQ1137" t="str">
        <f t="shared" si="413"/>
        <v/>
      </c>
    </row>
    <row r="1138" spans="1:43" x14ac:dyDescent="0.35">
      <c r="A1138">
        <v>1537</v>
      </c>
      <c r="B1138" t="s">
        <v>3570</v>
      </c>
      <c r="C1138" t="s">
        <v>3514</v>
      </c>
      <c r="D1138" t="str">
        <f t="shared" si="387"/>
        <v>HR</v>
      </c>
      <c r="E1138" t="s">
        <v>3508</v>
      </c>
      <c r="F1138" t="s">
        <v>695</v>
      </c>
      <c r="G1138" t="s">
        <v>3558</v>
      </c>
      <c r="H1138" t="s">
        <v>697</v>
      </c>
      <c r="I1138" s="32">
        <v>45050.546423611107</v>
      </c>
      <c r="J1138" s="32">
        <v>45054.546423611107</v>
      </c>
      <c r="K1138" s="32">
        <v>45060.546423611107</v>
      </c>
      <c r="L1138" s="8">
        <f t="shared" si="388"/>
        <v>10</v>
      </c>
      <c r="M1138" s="7">
        <v>45076.546423611107</v>
      </c>
      <c r="N1138" t="s">
        <v>49</v>
      </c>
      <c r="O1138" s="34">
        <v>45065.546423611107</v>
      </c>
      <c r="P1138" t="s">
        <v>50</v>
      </c>
      <c r="Q1138" t="s">
        <v>84</v>
      </c>
      <c r="R1138" s="32" t="s">
        <v>7472</v>
      </c>
      <c r="S1138" t="s">
        <v>7476</v>
      </c>
      <c r="T1138" s="34" t="s">
        <v>7476</v>
      </c>
      <c r="U1138" s="34" t="s">
        <v>7476</v>
      </c>
      <c r="V1138" s="32">
        <v>45068.546423611107</v>
      </c>
      <c r="W1138" s="32" t="s">
        <v>7476</v>
      </c>
      <c r="X1138">
        <v>0</v>
      </c>
      <c r="Y1138" s="34" t="s">
        <v>7476</v>
      </c>
      <c r="Z1138" s="34" t="s">
        <v>7476</v>
      </c>
      <c r="AA1138" s="34" t="s">
        <v>7476</v>
      </c>
      <c r="AB1138" s="36" t="s">
        <v>95</v>
      </c>
      <c r="AD1138" t="s">
        <v>3571</v>
      </c>
      <c r="AE1138" t="s">
        <v>3572</v>
      </c>
      <c r="AF1138" s="16">
        <v>45053</v>
      </c>
      <c r="AG1138" t="s">
        <v>64</v>
      </c>
      <c r="AH1138">
        <v>6</v>
      </c>
      <c r="AI1138" s="8" t="str">
        <f t="shared" si="406"/>
        <v/>
      </c>
      <c r="AJ1138" s="8">
        <f t="shared" si="407"/>
        <v>12.546423611107457</v>
      </c>
      <c r="AK1138" s="38">
        <f t="shared" si="389"/>
        <v>45248.546423611107</v>
      </c>
      <c r="AL1138" t="str">
        <f t="shared" si="408"/>
        <v/>
      </c>
      <c r="AM1138" t="str">
        <f t="shared" si="409"/>
        <v/>
      </c>
      <c r="AN1138">
        <f t="shared" si="410"/>
        <v>3</v>
      </c>
      <c r="AO1138">
        <f t="shared" si="411"/>
        <v>4</v>
      </c>
      <c r="AP1138">
        <f t="shared" si="412"/>
        <v>0</v>
      </c>
      <c r="AQ1138" t="str">
        <f t="shared" si="413"/>
        <v/>
      </c>
    </row>
    <row r="1139" spans="1:43" x14ac:dyDescent="0.35">
      <c r="A1139">
        <v>1535</v>
      </c>
      <c r="B1139" t="s">
        <v>3573</v>
      </c>
      <c r="C1139" t="s">
        <v>3514</v>
      </c>
      <c r="D1139" t="str">
        <f t="shared" si="387"/>
        <v>HR</v>
      </c>
      <c r="E1139" t="s">
        <v>3508</v>
      </c>
      <c r="F1139" t="s">
        <v>695</v>
      </c>
      <c r="G1139" t="s">
        <v>3558</v>
      </c>
      <c r="H1139" t="s">
        <v>697</v>
      </c>
      <c r="I1139" s="32">
        <v>45056.546423611107</v>
      </c>
      <c r="J1139" s="32">
        <v>45059.546423611107</v>
      </c>
      <c r="K1139" s="32">
        <v>45060.546423611107</v>
      </c>
      <c r="L1139" s="8">
        <f t="shared" si="388"/>
        <v>4</v>
      </c>
      <c r="M1139" s="7">
        <v>45083.546423611107</v>
      </c>
      <c r="N1139" t="s">
        <v>49</v>
      </c>
      <c r="O1139" s="34">
        <v>45071.546423611107</v>
      </c>
      <c r="P1139" t="s">
        <v>50</v>
      </c>
      <c r="Q1139" t="s">
        <v>125</v>
      </c>
      <c r="R1139" s="32" t="s">
        <v>7472</v>
      </c>
      <c r="S1139" t="s">
        <v>7476</v>
      </c>
      <c r="T1139" s="34" t="s">
        <v>7476</v>
      </c>
      <c r="U1139" s="34" t="s">
        <v>7476</v>
      </c>
      <c r="V1139" s="32">
        <v>45073.546423611107</v>
      </c>
      <c r="W1139" s="32" t="s">
        <v>7476</v>
      </c>
      <c r="X1139">
        <v>0</v>
      </c>
      <c r="Y1139" s="34" t="s">
        <v>7476</v>
      </c>
      <c r="Z1139" s="34" t="s">
        <v>7476</v>
      </c>
      <c r="AA1139" s="34" t="s">
        <v>7476</v>
      </c>
      <c r="AB1139" s="36" t="s">
        <v>95</v>
      </c>
      <c r="AD1139" t="s">
        <v>3574</v>
      </c>
      <c r="AE1139" t="s">
        <v>3575</v>
      </c>
      <c r="AF1139" s="16">
        <v>45062</v>
      </c>
      <c r="AG1139" t="s">
        <v>68</v>
      </c>
      <c r="AH1139">
        <v>6</v>
      </c>
      <c r="AI1139" s="8" t="str">
        <f t="shared" si="406"/>
        <v/>
      </c>
      <c r="AJ1139" s="8">
        <f t="shared" si="407"/>
        <v>9.546423611107457</v>
      </c>
      <c r="AK1139" s="38">
        <f t="shared" si="389"/>
        <v>45253.546423611107</v>
      </c>
      <c r="AL1139" t="str">
        <f t="shared" si="408"/>
        <v/>
      </c>
      <c r="AM1139" t="str">
        <f t="shared" si="409"/>
        <v/>
      </c>
      <c r="AN1139">
        <f t="shared" si="410"/>
        <v>2</v>
      </c>
      <c r="AO1139">
        <f t="shared" si="411"/>
        <v>3</v>
      </c>
      <c r="AP1139">
        <f t="shared" si="412"/>
        <v>0</v>
      </c>
      <c r="AQ1139" t="str">
        <f t="shared" si="413"/>
        <v/>
      </c>
    </row>
    <row r="1140" spans="1:43" x14ac:dyDescent="0.35">
      <c r="A1140">
        <v>1496</v>
      </c>
      <c r="B1140" t="s">
        <v>3576</v>
      </c>
      <c r="C1140" t="s">
        <v>3514</v>
      </c>
      <c r="D1140" t="str">
        <f t="shared" si="387"/>
        <v>HR</v>
      </c>
      <c r="E1140" t="s">
        <v>3508</v>
      </c>
      <c r="F1140" t="s">
        <v>695</v>
      </c>
      <c r="G1140" t="s">
        <v>3558</v>
      </c>
      <c r="H1140" t="s">
        <v>697</v>
      </c>
      <c r="I1140" s="32">
        <v>44695.569456018522</v>
      </c>
      <c r="J1140" s="32">
        <v>44696.569456018522</v>
      </c>
      <c r="K1140" s="32">
        <v>44701.569456018522</v>
      </c>
      <c r="L1140" s="8">
        <f t="shared" si="388"/>
        <v>6</v>
      </c>
      <c r="M1140" s="7">
        <v>44723.569456018522</v>
      </c>
      <c r="N1140" t="s">
        <v>49</v>
      </c>
      <c r="O1140" s="34">
        <v>44704.569456018522</v>
      </c>
      <c r="P1140" t="s">
        <v>50</v>
      </c>
      <c r="Q1140" t="s">
        <v>236</v>
      </c>
      <c r="R1140" s="32" t="s">
        <v>7472</v>
      </c>
      <c r="S1140" t="s">
        <v>7476</v>
      </c>
      <c r="T1140" s="34" t="s">
        <v>7476</v>
      </c>
      <c r="U1140" s="34" t="s">
        <v>7476</v>
      </c>
      <c r="V1140" s="32">
        <v>44708.569456018522</v>
      </c>
      <c r="W1140" s="32" t="s">
        <v>7476</v>
      </c>
      <c r="X1140">
        <v>0</v>
      </c>
      <c r="Y1140" s="34" t="s">
        <v>7476</v>
      </c>
      <c r="Z1140" s="34" t="s">
        <v>7476</v>
      </c>
      <c r="AA1140" s="34" t="s">
        <v>7476</v>
      </c>
      <c r="AB1140" s="36" t="s">
        <v>52</v>
      </c>
      <c r="AD1140" t="s">
        <v>3577</v>
      </c>
      <c r="AE1140" t="s">
        <v>3578</v>
      </c>
      <c r="AF1140" s="16">
        <v>44689</v>
      </c>
      <c r="AG1140" t="s">
        <v>64</v>
      </c>
      <c r="AH1140">
        <v>3</v>
      </c>
      <c r="AI1140" s="8" t="str">
        <f t="shared" si="406"/>
        <v/>
      </c>
      <c r="AJ1140" s="8">
        <f t="shared" si="407"/>
        <v>15.569456018522033</v>
      </c>
      <c r="AK1140" s="38">
        <f t="shared" si="389"/>
        <v>44798.569456018522</v>
      </c>
      <c r="AL1140" t="str">
        <f t="shared" si="408"/>
        <v/>
      </c>
      <c r="AM1140" t="str">
        <f t="shared" si="409"/>
        <v/>
      </c>
      <c r="AN1140">
        <f t="shared" si="410"/>
        <v>4</v>
      </c>
      <c r="AO1140">
        <f t="shared" si="411"/>
        <v>1</v>
      </c>
      <c r="AP1140">
        <f t="shared" si="412"/>
        <v>0</v>
      </c>
      <c r="AQ1140" t="str">
        <f t="shared" si="413"/>
        <v/>
      </c>
    </row>
    <row r="1141" spans="1:43" x14ac:dyDescent="0.35">
      <c r="A1141">
        <v>1493</v>
      </c>
      <c r="B1141" t="s">
        <v>3579</v>
      </c>
      <c r="C1141" t="s">
        <v>3514</v>
      </c>
      <c r="D1141" t="str">
        <f t="shared" si="387"/>
        <v>HR</v>
      </c>
      <c r="E1141" t="s">
        <v>3508</v>
      </c>
      <c r="F1141" t="s">
        <v>695</v>
      </c>
      <c r="G1141" t="s">
        <v>3558</v>
      </c>
      <c r="H1141" t="s">
        <v>697</v>
      </c>
      <c r="I1141" s="32">
        <v>44697.569456018522</v>
      </c>
      <c r="J1141" s="32" t="s">
        <v>7471</v>
      </c>
      <c r="K1141" s="32">
        <v>44701.569456018522</v>
      </c>
      <c r="L1141" s="8">
        <f t="shared" si="388"/>
        <v>4</v>
      </c>
      <c r="M1141" s="7">
        <v>44730.569456018522</v>
      </c>
      <c r="N1141" t="s">
        <v>49</v>
      </c>
      <c r="O1141" s="34">
        <v>44708.569456018522</v>
      </c>
      <c r="P1141" t="s">
        <v>50</v>
      </c>
      <c r="Q1141" t="s">
        <v>236</v>
      </c>
      <c r="R1141" s="32" t="s">
        <v>7472</v>
      </c>
      <c r="S1141" t="s">
        <v>7476</v>
      </c>
      <c r="T1141" s="34" t="s">
        <v>7476</v>
      </c>
      <c r="U1141" s="34" t="s">
        <v>7476</v>
      </c>
      <c r="V1141" s="32" t="s">
        <v>7476</v>
      </c>
      <c r="W1141" s="32" t="s">
        <v>7476</v>
      </c>
      <c r="X1141">
        <v>0</v>
      </c>
      <c r="Y1141" s="34" t="s">
        <v>7476</v>
      </c>
      <c r="Z1141" s="34" t="s">
        <v>7476</v>
      </c>
      <c r="AA1141" s="34" t="s">
        <v>7476</v>
      </c>
      <c r="AB1141" s="36" t="s">
        <v>52</v>
      </c>
      <c r="AD1141" t="s">
        <v>3580</v>
      </c>
      <c r="AE1141" t="s">
        <v>3581</v>
      </c>
      <c r="AF1141" s="16">
        <v>44703</v>
      </c>
      <c r="AG1141" t="s">
        <v>98</v>
      </c>
      <c r="AH1141">
        <v>6</v>
      </c>
      <c r="AK1141" s="38" t="str">
        <f t="shared" si="389"/>
        <v/>
      </c>
    </row>
    <row r="1142" spans="1:43" x14ac:dyDescent="0.35">
      <c r="A1142">
        <v>1492</v>
      </c>
      <c r="B1142" t="s">
        <v>3582</v>
      </c>
      <c r="C1142" t="s">
        <v>3507</v>
      </c>
      <c r="D1142" t="str">
        <f t="shared" si="387"/>
        <v>HR</v>
      </c>
      <c r="E1142" t="s">
        <v>3508</v>
      </c>
      <c r="F1142" t="s">
        <v>695</v>
      </c>
      <c r="G1142" t="s">
        <v>3558</v>
      </c>
      <c r="H1142" t="s">
        <v>697</v>
      </c>
      <c r="I1142" s="32" t="s">
        <v>7471</v>
      </c>
      <c r="J1142" s="32">
        <v>44699.569456018522</v>
      </c>
      <c r="K1142" s="32">
        <v>44701.569456018522</v>
      </c>
      <c r="L1142" s="8" t="str">
        <f t="shared" si="388"/>
        <v/>
      </c>
      <c r="M1142" s="7">
        <v>44730.569456018522</v>
      </c>
      <c r="N1142" t="s">
        <v>49</v>
      </c>
      <c r="O1142" s="34">
        <v>44716.569456018522</v>
      </c>
      <c r="P1142" t="s">
        <v>50</v>
      </c>
      <c r="Q1142" t="s">
        <v>51</v>
      </c>
      <c r="R1142" s="32" t="s">
        <v>7472</v>
      </c>
      <c r="S1142" t="s">
        <v>7476</v>
      </c>
      <c r="T1142" s="34" t="s">
        <v>7476</v>
      </c>
      <c r="U1142" s="34" t="s">
        <v>7476</v>
      </c>
      <c r="V1142" s="32">
        <v>44719.569456018522</v>
      </c>
      <c r="W1142" s="32" t="s">
        <v>7476</v>
      </c>
      <c r="X1142">
        <v>0</v>
      </c>
      <c r="Y1142" s="34" t="s">
        <v>7476</v>
      </c>
      <c r="Z1142" s="34" t="s">
        <v>7476</v>
      </c>
      <c r="AA1142" s="34" t="s">
        <v>7476</v>
      </c>
      <c r="AB1142" s="36" t="s">
        <v>52</v>
      </c>
      <c r="AD1142" t="s">
        <v>3583</v>
      </c>
      <c r="AE1142" t="s">
        <v>3584</v>
      </c>
      <c r="AF1142" s="16">
        <v>44702</v>
      </c>
      <c r="AG1142" t="s">
        <v>55</v>
      </c>
      <c r="AH1142">
        <v>6</v>
      </c>
      <c r="AK1142" s="38">
        <f t="shared" si="389"/>
        <v>44899.569456018522</v>
      </c>
    </row>
    <row r="1143" spans="1:43" x14ac:dyDescent="0.35">
      <c r="A1143">
        <v>1362</v>
      </c>
      <c r="B1143" t="s">
        <v>3585</v>
      </c>
      <c r="C1143" t="s">
        <v>3554</v>
      </c>
      <c r="D1143" t="str">
        <f t="shared" si="387"/>
        <v>HR</v>
      </c>
      <c r="E1143" t="s">
        <v>3508</v>
      </c>
      <c r="F1143" t="s">
        <v>695</v>
      </c>
      <c r="G1143" t="s">
        <v>3558</v>
      </c>
      <c r="H1143" t="s">
        <v>697</v>
      </c>
      <c r="I1143" s="32">
        <v>44852.163807870369</v>
      </c>
      <c r="J1143" s="32">
        <v>44853.163807870369</v>
      </c>
      <c r="K1143" s="32">
        <v>44856.163807870369</v>
      </c>
      <c r="L1143" s="8">
        <f t="shared" si="388"/>
        <v>4</v>
      </c>
      <c r="M1143" s="7">
        <v>44875.163807870369</v>
      </c>
      <c r="N1143" t="s">
        <v>49</v>
      </c>
      <c r="O1143" s="34">
        <v>44868.163807870369</v>
      </c>
      <c r="P1143" t="s">
        <v>50</v>
      </c>
      <c r="Q1143" t="s">
        <v>198</v>
      </c>
      <c r="R1143" s="32" t="s">
        <v>7472</v>
      </c>
      <c r="S1143" t="s">
        <v>7476</v>
      </c>
      <c r="T1143" s="34" t="s">
        <v>7476</v>
      </c>
      <c r="U1143" s="34" t="s">
        <v>7476</v>
      </c>
      <c r="V1143" s="32" t="s">
        <v>7476</v>
      </c>
      <c r="W1143" s="32" t="s">
        <v>7476</v>
      </c>
      <c r="X1143">
        <v>0</v>
      </c>
      <c r="Y1143" s="34" t="s">
        <v>7476</v>
      </c>
      <c r="Z1143" s="34" t="s">
        <v>7476</v>
      </c>
      <c r="AA1143" s="34" t="s">
        <v>7476</v>
      </c>
      <c r="AB1143" s="36" t="s">
        <v>52</v>
      </c>
      <c r="AD1143" t="s">
        <v>3586</v>
      </c>
      <c r="AE1143" t="s">
        <v>3587</v>
      </c>
      <c r="AF1143" s="16">
        <v>44849</v>
      </c>
      <c r="AG1143" t="s">
        <v>64</v>
      </c>
      <c r="AH1143">
        <v>3</v>
      </c>
      <c r="AI1143" s="8" t="str">
        <f t="shared" ref="AI1143:AI1148" si="414">IFERROR(R1143-AF1143,"")</f>
        <v/>
      </c>
      <c r="AJ1143" s="8">
        <f t="shared" ref="AJ1143:AJ1148" si="415">IFERROR(O1143-AF1143,"")</f>
        <v>19.163807870369055</v>
      </c>
      <c r="AK1143" s="38" t="str">
        <f t="shared" si="389"/>
        <v/>
      </c>
      <c r="AL1143" t="str">
        <f t="shared" ref="AL1143:AL1148" si="416">IFERROR(Z1143-W1143,"")</f>
        <v/>
      </c>
      <c r="AM1143" t="str">
        <f t="shared" ref="AM1143:AM1148" si="417">IFERROR(R1143-J1143,"")</f>
        <v/>
      </c>
      <c r="AN1143" t="str">
        <f t="shared" ref="AN1143:AN1148" si="418">IFERROR(V1143-O1143,"")</f>
        <v/>
      </c>
      <c r="AO1143">
        <f t="shared" ref="AO1143:AO1148" si="419">IFERROR(J1143-I1143,"")</f>
        <v>1</v>
      </c>
      <c r="AP1143">
        <f t="shared" ref="AP1143:AP1148" si="420">IFERROR(AC1143-X1143,"")</f>
        <v>0</v>
      </c>
      <c r="AQ1143" t="str">
        <f t="shared" ref="AQ1143:AQ1148" si="421">IFERROR(AA1143-W1143,"")</f>
        <v/>
      </c>
    </row>
    <row r="1144" spans="1:43" x14ac:dyDescent="0.35">
      <c r="A1144">
        <v>1361</v>
      </c>
      <c r="B1144" t="s">
        <v>3588</v>
      </c>
      <c r="C1144" t="s">
        <v>3514</v>
      </c>
      <c r="D1144" t="str">
        <f t="shared" si="387"/>
        <v>HR</v>
      </c>
      <c r="E1144" t="s">
        <v>3508</v>
      </c>
      <c r="F1144" t="s">
        <v>695</v>
      </c>
      <c r="G1144" t="s">
        <v>3558</v>
      </c>
      <c r="H1144" t="s">
        <v>697</v>
      </c>
      <c r="I1144" s="32">
        <v>44849.163807870369</v>
      </c>
      <c r="J1144" s="32">
        <v>44850.163807870369</v>
      </c>
      <c r="K1144" s="32">
        <v>44856.163807870369</v>
      </c>
      <c r="L1144" s="8">
        <f t="shared" si="388"/>
        <v>7</v>
      </c>
      <c r="M1144" s="7">
        <v>44875.163807870369</v>
      </c>
      <c r="N1144" t="s">
        <v>49</v>
      </c>
      <c r="O1144" s="34">
        <v>44864.163807870369</v>
      </c>
      <c r="P1144" t="s">
        <v>50</v>
      </c>
      <c r="Q1144" t="s">
        <v>236</v>
      </c>
      <c r="R1144" s="32" t="s">
        <v>7472</v>
      </c>
      <c r="S1144" t="s">
        <v>7476</v>
      </c>
      <c r="T1144" s="34" t="s">
        <v>7476</v>
      </c>
      <c r="U1144" s="34" t="s">
        <v>7476</v>
      </c>
      <c r="V1144" s="32" t="s">
        <v>7476</v>
      </c>
      <c r="W1144" s="32" t="s">
        <v>7476</v>
      </c>
      <c r="X1144">
        <v>0</v>
      </c>
      <c r="Y1144" s="34" t="s">
        <v>7476</v>
      </c>
      <c r="Z1144" s="34" t="s">
        <v>7476</v>
      </c>
      <c r="AA1144" s="34" t="s">
        <v>7476</v>
      </c>
      <c r="AB1144" s="36" t="s">
        <v>95</v>
      </c>
      <c r="AD1144" t="s">
        <v>3589</v>
      </c>
      <c r="AE1144" t="s">
        <v>3590</v>
      </c>
      <c r="AF1144" s="16">
        <v>44853</v>
      </c>
      <c r="AG1144" t="s">
        <v>64</v>
      </c>
      <c r="AH1144">
        <v>6</v>
      </c>
      <c r="AI1144" s="8" t="str">
        <f t="shared" si="414"/>
        <v/>
      </c>
      <c r="AJ1144" s="8">
        <f t="shared" si="415"/>
        <v>11.163807870369055</v>
      </c>
      <c r="AK1144" s="38" t="str">
        <f t="shared" si="389"/>
        <v/>
      </c>
      <c r="AL1144" t="str">
        <f t="shared" si="416"/>
        <v/>
      </c>
      <c r="AM1144" t="str">
        <f t="shared" si="417"/>
        <v/>
      </c>
      <c r="AN1144" t="str">
        <f t="shared" si="418"/>
        <v/>
      </c>
      <c r="AO1144">
        <f t="shared" si="419"/>
        <v>1</v>
      </c>
      <c r="AP1144">
        <f t="shared" si="420"/>
        <v>0</v>
      </c>
      <c r="AQ1144" t="str">
        <f t="shared" si="421"/>
        <v/>
      </c>
    </row>
    <row r="1145" spans="1:43" x14ac:dyDescent="0.35">
      <c r="A1145">
        <v>1218</v>
      </c>
      <c r="B1145" t="s">
        <v>3591</v>
      </c>
      <c r="C1145" t="s">
        <v>3507</v>
      </c>
      <c r="D1145" t="str">
        <f t="shared" si="387"/>
        <v>HR</v>
      </c>
      <c r="E1145" t="s">
        <v>3508</v>
      </c>
      <c r="F1145" t="s">
        <v>695</v>
      </c>
      <c r="G1145" t="s">
        <v>3558</v>
      </c>
      <c r="H1145" t="s">
        <v>697</v>
      </c>
      <c r="I1145" s="32">
        <v>45135.004317129627</v>
      </c>
      <c r="J1145" s="32">
        <v>45137.004317129627</v>
      </c>
      <c r="K1145" s="32">
        <v>45138.004317129627</v>
      </c>
      <c r="L1145" s="8">
        <f t="shared" si="388"/>
        <v>3</v>
      </c>
      <c r="M1145" s="7">
        <v>45144.004317129627</v>
      </c>
      <c r="N1145" t="s">
        <v>49</v>
      </c>
      <c r="O1145" s="34">
        <v>45154.004317129627</v>
      </c>
      <c r="P1145" t="s">
        <v>50</v>
      </c>
      <c r="Q1145" t="s">
        <v>198</v>
      </c>
      <c r="R1145" s="32" t="s">
        <v>7472</v>
      </c>
      <c r="S1145" t="s">
        <v>7476</v>
      </c>
      <c r="T1145" s="34" t="s">
        <v>7476</v>
      </c>
      <c r="U1145" s="34" t="s">
        <v>7476</v>
      </c>
      <c r="V1145" s="32">
        <v>45156.004317129627</v>
      </c>
      <c r="W1145" s="32" t="s">
        <v>7476</v>
      </c>
      <c r="X1145">
        <v>0</v>
      </c>
      <c r="Y1145" s="34" t="s">
        <v>7476</v>
      </c>
      <c r="Z1145" s="34" t="s">
        <v>7476</v>
      </c>
      <c r="AA1145" s="34" t="s">
        <v>7476</v>
      </c>
      <c r="AB1145" s="36" t="s">
        <v>52</v>
      </c>
      <c r="AD1145" t="s">
        <v>3592</v>
      </c>
      <c r="AE1145" t="s">
        <v>3593</v>
      </c>
      <c r="AF1145" s="16">
        <v>45136</v>
      </c>
      <c r="AG1145" t="s">
        <v>68</v>
      </c>
      <c r="AH1145">
        <v>3</v>
      </c>
      <c r="AI1145" s="8" t="str">
        <f t="shared" si="414"/>
        <v/>
      </c>
      <c r="AJ1145" s="8">
        <f t="shared" si="415"/>
        <v>18.004317129627452</v>
      </c>
      <c r="AK1145" s="38">
        <f t="shared" si="389"/>
        <v>45246.004317129627</v>
      </c>
      <c r="AL1145" t="str">
        <f t="shared" si="416"/>
        <v/>
      </c>
      <c r="AM1145" t="str">
        <f t="shared" si="417"/>
        <v/>
      </c>
      <c r="AN1145">
        <f t="shared" si="418"/>
        <v>2</v>
      </c>
      <c r="AO1145">
        <f t="shared" si="419"/>
        <v>2</v>
      </c>
      <c r="AP1145">
        <f t="shared" si="420"/>
        <v>0</v>
      </c>
      <c r="AQ1145" t="str">
        <f t="shared" si="421"/>
        <v/>
      </c>
    </row>
    <row r="1146" spans="1:43" x14ac:dyDescent="0.35">
      <c r="A1146">
        <v>1190</v>
      </c>
      <c r="B1146" t="s">
        <v>3594</v>
      </c>
      <c r="C1146" t="s">
        <v>3514</v>
      </c>
      <c r="D1146" t="str">
        <f t="shared" si="387"/>
        <v>HR</v>
      </c>
      <c r="E1146" t="s">
        <v>3508</v>
      </c>
      <c r="F1146" t="s">
        <v>695</v>
      </c>
      <c r="G1146" t="s">
        <v>3558</v>
      </c>
      <c r="H1146" t="s">
        <v>697</v>
      </c>
      <c r="I1146" s="32">
        <v>45072.784872685188</v>
      </c>
      <c r="J1146" s="32">
        <v>45074.784872685188</v>
      </c>
      <c r="K1146" s="32">
        <v>45080.784872685188</v>
      </c>
      <c r="L1146" s="8">
        <f t="shared" si="388"/>
        <v>8</v>
      </c>
      <c r="M1146" s="7">
        <v>45094.784872685188</v>
      </c>
      <c r="N1146" t="s">
        <v>49</v>
      </c>
      <c r="O1146" s="34">
        <v>45086.784872685188</v>
      </c>
      <c r="P1146" t="s">
        <v>50</v>
      </c>
      <c r="Q1146" t="s">
        <v>51</v>
      </c>
      <c r="R1146" s="32" t="s">
        <v>7472</v>
      </c>
      <c r="S1146" t="s">
        <v>7476</v>
      </c>
      <c r="T1146" s="34" t="s">
        <v>7476</v>
      </c>
      <c r="U1146" s="34" t="s">
        <v>7476</v>
      </c>
      <c r="V1146" s="32">
        <v>45087.784872685188</v>
      </c>
      <c r="W1146" s="32" t="s">
        <v>7476</v>
      </c>
      <c r="X1146">
        <v>0</v>
      </c>
      <c r="Y1146" s="34" t="s">
        <v>7476</v>
      </c>
      <c r="Z1146" s="34" t="s">
        <v>7476</v>
      </c>
      <c r="AA1146" s="34" t="s">
        <v>7476</v>
      </c>
      <c r="AB1146" s="36" t="s">
        <v>52</v>
      </c>
      <c r="AD1146" t="s">
        <v>3595</v>
      </c>
      <c r="AE1146" t="s">
        <v>3596</v>
      </c>
      <c r="AF1146" s="16">
        <v>45069</v>
      </c>
      <c r="AG1146" t="s">
        <v>68</v>
      </c>
      <c r="AH1146">
        <v>3</v>
      </c>
      <c r="AI1146" s="8" t="str">
        <f t="shared" si="414"/>
        <v/>
      </c>
      <c r="AJ1146" s="8">
        <f t="shared" si="415"/>
        <v>17.78487268518802</v>
      </c>
      <c r="AK1146" s="38">
        <f t="shared" si="389"/>
        <v>45177.784872685188</v>
      </c>
      <c r="AL1146" t="str">
        <f t="shared" si="416"/>
        <v/>
      </c>
      <c r="AM1146" t="str">
        <f t="shared" si="417"/>
        <v/>
      </c>
      <c r="AN1146">
        <f t="shared" si="418"/>
        <v>1</v>
      </c>
      <c r="AO1146">
        <f t="shared" si="419"/>
        <v>2</v>
      </c>
      <c r="AP1146">
        <f t="shared" si="420"/>
        <v>0</v>
      </c>
      <c r="AQ1146" t="str">
        <f t="shared" si="421"/>
        <v/>
      </c>
    </row>
    <row r="1147" spans="1:43" x14ac:dyDescent="0.35">
      <c r="A1147">
        <v>1187</v>
      </c>
      <c r="B1147" t="s">
        <v>3597</v>
      </c>
      <c r="C1147" t="s">
        <v>3514</v>
      </c>
      <c r="D1147" t="str">
        <f t="shared" si="387"/>
        <v>HR</v>
      </c>
      <c r="E1147" t="s">
        <v>3508</v>
      </c>
      <c r="F1147" t="s">
        <v>695</v>
      </c>
      <c r="G1147" t="s">
        <v>3558</v>
      </c>
      <c r="H1147" t="s">
        <v>697</v>
      </c>
      <c r="I1147" s="32">
        <v>45077.784872685188</v>
      </c>
      <c r="J1147" s="32">
        <v>45078.784872685188</v>
      </c>
      <c r="K1147" s="32">
        <v>45080.784872685188</v>
      </c>
      <c r="L1147" s="8">
        <f t="shared" si="388"/>
        <v>3</v>
      </c>
      <c r="M1147" s="7">
        <v>45100.784872685188</v>
      </c>
      <c r="N1147" t="s">
        <v>49</v>
      </c>
      <c r="O1147" s="34">
        <v>45087.784872685188</v>
      </c>
      <c r="P1147" t="s">
        <v>50</v>
      </c>
      <c r="Q1147" t="s">
        <v>84</v>
      </c>
      <c r="R1147" s="32" t="s">
        <v>7472</v>
      </c>
      <c r="S1147" t="s">
        <v>7476</v>
      </c>
      <c r="T1147" s="34" t="s">
        <v>7476</v>
      </c>
      <c r="U1147" s="34" t="s">
        <v>7476</v>
      </c>
      <c r="V1147" s="32">
        <v>45091.784872685188</v>
      </c>
      <c r="W1147" s="32" t="s">
        <v>7476</v>
      </c>
      <c r="X1147">
        <v>0</v>
      </c>
      <c r="Y1147" s="34" t="s">
        <v>7476</v>
      </c>
      <c r="Z1147" s="34" t="s">
        <v>7476</v>
      </c>
      <c r="AA1147" s="34" t="s">
        <v>7476</v>
      </c>
      <c r="AB1147" s="36" t="s">
        <v>95</v>
      </c>
      <c r="AD1147" t="s">
        <v>3598</v>
      </c>
      <c r="AE1147" t="s">
        <v>3599</v>
      </c>
      <c r="AF1147" s="16">
        <v>45079</v>
      </c>
      <c r="AG1147" t="s">
        <v>98</v>
      </c>
      <c r="AH1147">
        <v>6</v>
      </c>
      <c r="AI1147" s="8" t="str">
        <f t="shared" si="414"/>
        <v/>
      </c>
      <c r="AJ1147" s="8">
        <f t="shared" si="415"/>
        <v>8.7848726851880201</v>
      </c>
      <c r="AK1147" s="38">
        <f t="shared" si="389"/>
        <v>45271.784872685188</v>
      </c>
      <c r="AL1147" t="str">
        <f t="shared" si="416"/>
        <v/>
      </c>
      <c r="AM1147" t="str">
        <f t="shared" si="417"/>
        <v/>
      </c>
      <c r="AN1147">
        <f t="shared" si="418"/>
        <v>4</v>
      </c>
      <c r="AO1147">
        <f t="shared" si="419"/>
        <v>1</v>
      </c>
      <c r="AP1147">
        <f t="shared" si="420"/>
        <v>0</v>
      </c>
      <c r="AQ1147" t="str">
        <f t="shared" si="421"/>
        <v/>
      </c>
    </row>
    <row r="1148" spans="1:43" x14ac:dyDescent="0.35">
      <c r="A1148">
        <v>1121</v>
      </c>
      <c r="B1148" t="s">
        <v>3600</v>
      </c>
      <c r="C1148" t="s">
        <v>3554</v>
      </c>
      <c r="D1148" t="str">
        <f t="shared" si="387"/>
        <v>HR</v>
      </c>
      <c r="E1148" t="s">
        <v>3508</v>
      </c>
      <c r="F1148" t="s">
        <v>695</v>
      </c>
      <c r="G1148" t="s">
        <v>3558</v>
      </c>
      <c r="H1148" t="s">
        <v>697</v>
      </c>
      <c r="I1148" s="32">
        <v>45098.561550925922</v>
      </c>
      <c r="J1148" s="32">
        <v>45100.561550925922</v>
      </c>
      <c r="K1148" s="32">
        <v>45102.561550925922</v>
      </c>
      <c r="L1148" s="8">
        <f t="shared" si="388"/>
        <v>4</v>
      </c>
      <c r="M1148" s="7">
        <v>45110.561550925922</v>
      </c>
      <c r="N1148" t="s">
        <v>49</v>
      </c>
      <c r="O1148" s="34">
        <v>45108.561550925922</v>
      </c>
      <c r="P1148" t="s">
        <v>50</v>
      </c>
      <c r="Q1148" t="s">
        <v>236</v>
      </c>
      <c r="R1148" s="32" t="s">
        <v>7472</v>
      </c>
      <c r="S1148" t="s">
        <v>7476</v>
      </c>
      <c r="T1148" s="34" t="s">
        <v>7476</v>
      </c>
      <c r="U1148" s="34" t="s">
        <v>7476</v>
      </c>
      <c r="V1148" s="32" t="s">
        <v>7476</v>
      </c>
      <c r="W1148" s="32" t="s">
        <v>7476</v>
      </c>
      <c r="X1148">
        <v>0</v>
      </c>
      <c r="Y1148" s="34" t="s">
        <v>7476</v>
      </c>
      <c r="Z1148" s="34" t="s">
        <v>7476</v>
      </c>
      <c r="AA1148" s="34" t="s">
        <v>7476</v>
      </c>
      <c r="AB1148" s="36" t="s">
        <v>52</v>
      </c>
      <c r="AD1148" t="s">
        <v>3601</v>
      </c>
      <c r="AE1148" t="s">
        <v>3602</v>
      </c>
      <c r="AF1148" s="16">
        <v>45266</v>
      </c>
      <c r="AG1148" t="s">
        <v>68</v>
      </c>
      <c r="AH1148">
        <v>3</v>
      </c>
      <c r="AI1148" s="8" t="str">
        <f t="shared" si="414"/>
        <v/>
      </c>
      <c r="AJ1148" s="8">
        <f t="shared" si="415"/>
        <v>-157.43844907407765</v>
      </c>
      <c r="AK1148" s="38" t="str">
        <f t="shared" si="389"/>
        <v/>
      </c>
      <c r="AL1148" t="str">
        <f t="shared" si="416"/>
        <v/>
      </c>
      <c r="AM1148" t="str">
        <f t="shared" si="417"/>
        <v/>
      </c>
      <c r="AN1148" t="str">
        <f t="shared" si="418"/>
        <v/>
      </c>
      <c r="AO1148">
        <f t="shared" si="419"/>
        <v>2</v>
      </c>
      <c r="AP1148">
        <f t="shared" si="420"/>
        <v>0</v>
      </c>
      <c r="AQ1148" t="str">
        <f t="shared" si="421"/>
        <v/>
      </c>
    </row>
    <row r="1149" spans="1:43" x14ac:dyDescent="0.35">
      <c r="A1149">
        <v>1083</v>
      </c>
      <c r="B1149" t="s">
        <v>3603</v>
      </c>
      <c r="C1149" t="s">
        <v>3507</v>
      </c>
      <c r="D1149" t="str">
        <f t="shared" si="387"/>
        <v>HR</v>
      </c>
      <c r="E1149" t="s">
        <v>3508</v>
      </c>
      <c r="F1149" t="s">
        <v>695</v>
      </c>
      <c r="G1149" t="s">
        <v>3558</v>
      </c>
      <c r="H1149" t="s">
        <v>697</v>
      </c>
      <c r="I1149" s="32" t="s">
        <v>7471</v>
      </c>
      <c r="J1149" s="32">
        <v>44897.976215277777</v>
      </c>
      <c r="K1149" s="32">
        <v>44899.976215277777</v>
      </c>
      <c r="L1149" s="8" t="str">
        <f t="shared" si="388"/>
        <v/>
      </c>
      <c r="M1149" s="7">
        <v>44911.976215277777</v>
      </c>
      <c r="N1149" t="s">
        <v>49</v>
      </c>
      <c r="O1149" s="34">
        <v>44903.976215277777</v>
      </c>
      <c r="P1149" t="s">
        <v>50</v>
      </c>
      <c r="Q1149" t="s">
        <v>236</v>
      </c>
      <c r="R1149" s="32" t="s">
        <v>7472</v>
      </c>
      <c r="S1149" t="s">
        <v>7476</v>
      </c>
      <c r="T1149" s="34" t="s">
        <v>7476</v>
      </c>
      <c r="U1149" s="34" t="s">
        <v>7476</v>
      </c>
      <c r="V1149" s="32" t="s">
        <v>7476</v>
      </c>
      <c r="W1149" s="32" t="s">
        <v>7476</v>
      </c>
      <c r="X1149">
        <v>0</v>
      </c>
      <c r="Y1149" s="34" t="s">
        <v>7476</v>
      </c>
      <c r="Z1149" s="34" t="s">
        <v>7476</v>
      </c>
      <c r="AA1149" s="34" t="s">
        <v>7476</v>
      </c>
      <c r="AB1149" s="36" t="s">
        <v>95</v>
      </c>
      <c r="AD1149" t="s">
        <v>3604</v>
      </c>
      <c r="AE1149" t="s">
        <v>3605</v>
      </c>
      <c r="AF1149" s="16">
        <v>44891</v>
      </c>
      <c r="AG1149" t="s">
        <v>93</v>
      </c>
      <c r="AH1149">
        <v>6</v>
      </c>
      <c r="AK1149" s="38" t="str">
        <f t="shared" si="389"/>
        <v/>
      </c>
    </row>
    <row r="1150" spans="1:43" x14ac:dyDescent="0.35">
      <c r="A1150">
        <v>2949</v>
      </c>
      <c r="B1150" t="s">
        <v>3606</v>
      </c>
      <c r="C1150" t="s">
        <v>3514</v>
      </c>
      <c r="D1150" t="str">
        <f t="shared" si="387"/>
        <v>HR</v>
      </c>
      <c r="E1150" t="s">
        <v>3607</v>
      </c>
      <c r="F1150" t="s">
        <v>3608</v>
      </c>
      <c r="G1150" t="s">
        <v>3609</v>
      </c>
      <c r="H1150" t="s">
        <v>48</v>
      </c>
      <c r="I1150" s="32">
        <v>44724.484722222223</v>
      </c>
      <c r="J1150" s="32">
        <v>44727.484722222223</v>
      </c>
      <c r="K1150" s="32">
        <v>44735.484722222223</v>
      </c>
      <c r="L1150" s="8">
        <f t="shared" si="388"/>
        <v>11</v>
      </c>
      <c r="M1150" s="7">
        <v>44780.484722222223</v>
      </c>
      <c r="N1150" t="s">
        <v>49</v>
      </c>
      <c r="O1150" s="34">
        <v>44743.484722222223</v>
      </c>
      <c r="P1150" t="s">
        <v>50</v>
      </c>
      <c r="Q1150" t="s">
        <v>198</v>
      </c>
      <c r="R1150" s="32" t="s">
        <v>7472</v>
      </c>
      <c r="S1150" t="s">
        <v>7476</v>
      </c>
      <c r="T1150" s="34" t="s">
        <v>7476</v>
      </c>
      <c r="U1150" s="34" t="s">
        <v>7476</v>
      </c>
      <c r="V1150" s="32">
        <v>44746.484722222223</v>
      </c>
      <c r="W1150" s="32" t="s">
        <v>7476</v>
      </c>
      <c r="X1150">
        <v>0</v>
      </c>
      <c r="Y1150" s="34" t="s">
        <v>7476</v>
      </c>
      <c r="Z1150" s="34" t="s">
        <v>7476</v>
      </c>
      <c r="AA1150" s="34" t="s">
        <v>7476</v>
      </c>
      <c r="AB1150" s="36" t="s">
        <v>52</v>
      </c>
      <c r="AD1150" t="s">
        <v>3610</v>
      </c>
      <c r="AE1150" t="s">
        <v>3611</v>
      </c>
      <c r="AF1150" s="16">
        <v>44731</v>
      </c>
      <c r="AG1150" t="s">
        <v>98</v>
      </c>
      <c r="AH1150">
        <v>6</v>
      </c>
      <c r="AI1150" s="8" t="str">
        <f t="shared" ref="AI1150:AI1156" si="422">IFERROR(R1150-AF1150,"")</f>
        <v/>
      </c>
      <c r="AJ1150" s="8">
        <f t="shared" ref="AJ1150:AJ1156" si="423">IFERROR(O1150-AF1150,"")</f>
        <v>12.484722222223354</v>
      </c>
      <c r="AK1150" s="38">
        <f t="shared" si="389"/>
        <v>44926.484722222223</v>
      </c>
      <c r="AL1150" t="str">
        <f t="shared" ref="AL1150:AL1156" si="424">IFERROR(Z1150-W1150,"")</f>
        <v/>
      </c>
      <c r="AM1150" t="str">
        <f t="shared" ref="AM1150:AM1156" si="425">IFERROR(R1150-J1150,"")</f>
        <v/>
      </c>
      <c r="AN1150">
        <f t="shared" ref="AN1150:AN1156" si="426">IFERROR(V1150-O1150,"")</f>
        <v>3</v>
      </c>
      <c r="AO1150">
        <f t="shared" ref="AO1150:AO1156" si="427">IFERROR(J1150-I1150,"")</f>
        <v>3</v>
      </c>
      <c r="AP1150">
        <f t="shared" ref="AP1150:AP1156" si="428">IFERROR(AC1150-X1150,"")</f>
        <v>0</v>
      </c>
      <c r="AQ1150" t="str">
        <f t="shared" ref="AQ1150:AQ1156" si="429">IFERROR(AA1150-W1150,"")</f>
        <v/>
      </c>
    </row>
    <row r="1151" spans="1:43" x14ac:dyDescent="0.35">
      <c r="A1151">
        <v>2945</v>
      </c>
      <c r="B1151" t="s">
        <v>3612</v>
      </c>
      <c r="C1151" t="s">
        <v>3507</v>
      </c>
      <c r="D1151" t="str">
        <f t="shared" si="387"/>
        <v>HR</v>
      </c>
      <c r="E1151" t="s">
        <v>3607</v>
      </c>
      <c r="F1151" t="s">
        <v>3608</v>
      </c>
      <c r="G1151" t="s">
        <v>3609</v>
      </c>
      <c r="H1151" t="s">
        <v>48</v>
      </c>
      <c r="I1151" s="32">
        <v>44724.484722222223</v>
      </c>
      <c r="J1151" s="32">
        <v>44726.484722222223</v>
      </c>
      <c r="K1151" s="32">
        <v>44734.484722222223</v>
      </c>
      <c r="L1151" s="8">
        <f t="shared" si="388"/>
        <v>10</v>
      </c>
      <c r="M1151" s="7">
        <v>44779.484722222223</v>
      </c>
      <c r="N1151" t="s">
        <v>49</v>
      </c>
      <c r="O1151" s="34">
        <v>44747.484722222223</v>
      </c>
      <c r="P1151" t="s">
        <v>60</v>
      </c>
      <c r="R1151" s="32">
        <v>44753.484722222223</v>
      </c>
      <c r="S1151" t="s">
        <v>61</v>
      </c>
      <c r="T1151" s="34" t="s">
        <v>7476</v>
      </c>
      <c r="U1151" s="34" t="s">
        <v>7476</v>
      </c>
      <c r="V1151" s="32">
        <v>44751.484722222223</v>
      </c>
      <c r="W1151" s="32" t="s">
        <v>7476</v>
      </c>
      <c r="X1151">
        <v>0</v>
      </c>
      <c r="Y1151" s="34" t="s">
        <v>7476</v>
      </c>
      <c r="Z1151" s="34" t="s">
        <v>7476</v>
      </c>
      <c r="AA1151" s="34" t="s">
        <v>7476</v>
      </c>
      <c r="AB1151" s="36" t="s">
        <v>7476</v>
      </c>
      <c r="AD1151" t="s">
        <v>3613</v>
      </c>
      <c r="AE1151" t="s">
        <v>3614</v>
      </c>
      <c r="AF1151" s="16">
        <v>44741</v>
      </c>
      <c r="AG1151" t="s">
        <v>68</v>
      </c>
      <c r="AH1151">
        <v>3</v>
      </c>
      <c r="AI1151" s="8">
        <f t="shared" si="422"/>
        <v>12.484722222223354</v>
      </c>
      <c r="AJ1151" s="8">
        <f t="shared" si="423"/>
        <v>6.484722222223354</v>
      </c>
      <c r="AK1151" s="38">
        <f t="shared" si="389"/>
        <v>44841.484722222223</v>
      </c>
      <c r="AL1151" t="str">
        <f t="shared" si="424"/>
        <v/>
      </c>
      <c r="AM1151">
        <f t="shared" si="425"/>
        <v>27</v>
      </c>
      <c r="AN1151">
        <f t="shared" si="426"/>
        <v>4</v>
      </c>
      <c r="AO1151">
        <f t="shared" si="427"/>
        <v>2</v>
      </c>
      <c r="AP1151">
        <f t="shared" si="428"/>
        <v>0</v>
      </c>
      <c r="AQ1151" t="str">
        <f t="shared" si="429"/>
        <v/>
      </c>
    </row>
    <row r="1152" spans="1:43" x14ac:dyDescent="0.35">
      <c r="A1152">
        <v>2944</v>
      </c>
      <c r="B1152" t="s">
        <v>3615</v>
      </c>
      <c r="C1152" t="s">
        <v>3554</v>
      </c>
      <c r="D1152" t="str">
        <f t="shared" si="387"/>
        <v>HR</v>
      </c>
      <c r="E1152" t="s">
        <v>3607</v>
      </c>
      <c r="F1152" t="s">
        <v>3608</v>
      </c>
      <c r="G1152" t="s">
        <v>3609</v>
      </c>
      <c r="H1152" t="s">
        <v>48</v>
      </c>
      <c r="I1152" s="32">
        <v>44726.484722222223</v>
      </c>
      <c r="J1152" s="32">
        <v>44730.484722222223</v>
      </c>
      <c r="K1152" s="32">
        <v>44738.484722222223</v>
      </c>
      <c r="L1152" s="8">
        <f t="shared" si="388"/>
        <v>12</v>
      </c>
      <c r="M1152" s="7">
        <v>44783.484722222223</v>
      </c>
      <c r="N1152" t="s">
        <v>49</v>
      </c>
      <c r="O1152" s="34">
        <v>44738.484722222223</v>
      </c>
      <c r="P1152" t="s">
        <v>392</v>
      </c>
      <c r="R1152" s="32">
        <v>44744.484722222223</v>
      </c>
      <c r="S1152" t="s">
        <v>392</v>
      </c>
      <c r="T1152" s="34" t="s">
        <v>7476</v>
      </c>
      <c r="U1152" s="34" t="s">
        <v>7476</v>
      </c>
      <c r="V1152" s="32">
        <v>44741.484722222223</v>
      </c>
      <c r="W1152" s="32" t="s">
        <v>7476</v>
      </c>
      <c r="X1152">
        <v>0</v>
      </c>
      <c r="Y1152" s="34" t="s">
        <v>7476</v>
      </c>
      <c r="Z1152" s="34" t="s">
        <v>7476</v>
      </c>
      <c r="AA1152" s="34" t="s">
        <v>7476</v>
      </c>
      <c r="AB1152" s="36" t="s">
        <v>7476</v>
      </c>
      <c r="AD1152" t="s">
        <v>3616</v>
      </c>
      <c r="AE1152" t="s">
        <v>3617</v>
      </c>
      <c r="AF1152" s="16">
        <v>44901</v>
      </c>
      <c r="AG1152" t="s">
        <v>68</v>
      </c>
      <c r="AH1152">
        <v>3</v>
      </c>
      <c r="AI1152" s="8">
        <f t="shared" si="422"/>
        <v>-156.51527777777665</v>
      </c>
      <c r="AJ1152" s="8">
        <f t="shared" si="423"/>
        <v>-162.51527777777665</v>
      </c>
      <c r="AK1152" s="38">
        <f t="shared" si="389"/>
        <v>44831.484722222223</v>
      </c>
      <c r="AL1152" t="str">
        <f t="shared" si="424"/>
        <v/>
      </c>
      <c r="AM1152">
        <f t="shared" si="425"/>
        <v>14</v>
      </c>
      <c r="AN1152">
        <f t="shared" si="426"/>
        <v>3</v>
      </c>
      <c r="AO1152">
        <f t="shared" si="427"/>
        <v>4</v>
      </c>
      <c r="AP1152">
        <f t="shared" si="428"/>
        <v>0</v>
      </c>
      <c r="AQ1152" t="str">
        <f t="shared" si="429"/>
        <v/>
      </c>
    </row>
    <row r="1153" spans="1:43" x14ac:dyDescent="0.35">
      <c r="A1153">
        <v>2899</v>
      </c>
      <c r="B1153" t="s">
        <v>3618</v>
      </c>
      <c r="C1153" t="s">
        <v>3554</v>
      </c>
      <c r="D1153" t="str">
        <f t="shared" si="387"/>
        <v>HR</v>
      </c>
      <c r="E1153" t="s">
        <v>3607</v>
      </c>
      <c r="F1153" t="s">
        <v>3608</v>
      </c>
      <c r="G1153" t="s">
        <v>3609</v>
      </c>
      <c r="H1153" t="s">
        <v>48</v>
      </c>
      <c r="I1153" s="32">
        <v>44963.681840277779</v>
      </c>
      <c r="J1153" s="32">
        <v>44965.681840277779</v>
      </c>
      <c r="K1153" s="32">
        <v>44972.681840277779</v>
      </c>
      <c r="L1153" s="8">
        <f t="shared" si="388"/>
        <v>9</v>
      </c>
      <c r="M1153" s="7">
        <v>45017.681840277779</v>
      </c>
      <c r="N1153" t="s">
        <v>49</v>
      </c>
      <c r="O1153" s="34">
        <v>44985.681840277779</v>
      </c>
      <c r="P1153" t="s">
        <v>60</v>
      </c>
      <c r="R1153" s="32">
        <v>44990.681840277779</v>
      </c>
      <c r="S1153" t="s">
        <v>61</v>
      </c>
      <c r="T1153" s="34" t="s">
        <v>7476</v>
      </c>
      <c r="U1153" s="34" t="s">
        <v>7476</v>
      </c>
      <c r="V1153" s="32">
        <v>44987.681840277779</v>
      </c>
      <c r="W1153" s="32" t="s">
        <v>7476</v>
      </c>
      <c r="X1153">
        <v>0</v>
      </c>
      <c r="Y1153" s="34" t="s">
        <v>7476</v>
      </c>
      <c r="Z1153" s="34" t="s">
        <v>7476</v>
      </c>
      <c r="AA1153" s="34" t="s">
        <v>7476</v>
      </c>
      <c r="AB1153" s="36" t="s">
        <v>7476</v>
      </c>
      <c r="AD1153" t="s">
        <v>3619</v>
      </c>
      <c r="AE1153" t="s">
        <v>3620</v>
      </c>
      <c r="AF1153" s="16">
        <v>44974</v>
      </c>
      <c r="AG1153" t="s">
        <v>98</v>
      </c>
      <c r="AH1153">
        <v>6</v>
      </c>
      <c r="AI1153" s="8">
        <f t="shared" si="422"/>
        <v>16.681840277778974</v>
      </c>
      <c r="AJ1153" s="8">
        <f t="shared" si="423"/>
        <v>11.681840277778974</v>
      </c>
      <c r="AK1153" s="38">
        <f t="shared" si="389"/>
        <v>45167.681840277779</v>
      </c>
      <c r="AL1153" t="str">
        <f t="shared" si="424"/>
        <v/>
      </c>
      <c r="AM1153">
        <f t="shared" si="425"/>
        <v>25</v>
      </c>
      <c r="AN1153">
        <f t="shared" si="426"/>
        <v>2</v>
      </c>
      <c r="AO1153">
        <f t="shared" si="427"/>
        <v>2</v>
      </c>
      <c r="AP1153">
        <f t="shared" si="428"/>
        <v>0</v>
      </c>
      <c r="AQ1153" t="str">
        <f t="shared" si="429"/>
        <v/>
      </c>
    </row>
    <row r="1154" spans="1:43" x14ac:dyDescent="0.35">
      <c r="A1154">
        <v>2898</v>
      </c>
      <c r="B1154" t="s">
        <v>3621</v>
      </c>
      <c r="C1154" t="s">
        <v>3554</v>
      </c>
      <c r="D1154" t="str">
        <f t="shared" ref="D1154:D1217" si="430">TRIM(C1154)</f>
        <v>HR</v>
      </c>
      <c r="E1154" t="s">
        <v>3607</v>
      </c>
      <c r="F1154" t="s">
        <v>3608</v>
      </c>
      <c r="G1154" t="s">
        <v>3609</v>
      </c>
      <c r="H1154" t="s">
        <v>48</v>
      </c>
      <c r="I1154" s="32">
        <v>44960.681840277779</v>
      </c>
      <c r="J1154" s="32">
        <v>44963.681840277779</v>
      </c>
      <c r="K1154" s="32">
        <v>44970.681840277779</v>
      </c>
      <c r="L1154" s="8">
        <f t="shared" ref="L1154:L1217" si="431">IFERROR(K1154-I1154,"")</f>
        <v>10</v>
      </c>
      <c r="M1154" s="7">
        <v>45015.681840277779</v>
      </c>
      <c r="N1154" t="s">
        <v>49</v>
      </c>
      <c r="O1154" s="34">
        <v>44974.681840277779</v>
      </c>
      <c r="P1154" t="s">
        <v>60</v>
      </c>
      <c r="R1154" s="32">
        <v>44979.681840277779</v>
      </c>
      <c r="S1154" t="s">
        <v>61</v>
      </c>
      <c r="T1154" s="34" t="s">
        <v>7476</v>
      </c>
      <c r="U1154" s="34" t="s">
        <v>7476</v>
      </c>
      <c r="V1154" s="32">
        <v>44976.681840277779</v>
      </c>
      <c r="W1154" s="32" t="s">
        <v>7476</v>
      </c>
      <c r="X1154">
        <v>0</v>
      </c>
      <c r="Y1154" s="34" t="s">
        <v>7476</v>
      </c>
      <c r="Z1154" s="34" t="s">
        <v>7476</v>
      </c>
      <c r="AA1154" s="34" t="s">
        <v>7476</v>
      </c>
      <c r="AB1154" s="36" t="s">
        <v>7476</v>
      </c>
      <c r="AD1154" t="s">
        <v>3622</v>
      </c>
      <c r="AE1154" t="s">
        <v>3623</v>
      </c>
      <c r="AF1154" s="16">
        <v>44966</v>
      </c>
      <c r="AG1154" t="s">
        <v>68</v>
      </c>
      <c r="AH1154">
        <v>3</v>
      </c>
      <c r="AI1154" s="8">
        <f t="shared" si="422"/>
        <v>13.681840277778974</v>
      </c>
      <c r="AJ1154" s="8">
        <f t="shared" si="423"/>
        <v>8.6818402777789743</v>
      </c>
      <c r="AK1154" s="38">
        <f t="shared" si="389"/>
        <v>45066.681840277779</v>
      </c>
      <c r="AL1154" t="str">
        <f t="shared" si="424"/>
        <v/>
      </c>
      <c r="AM1154">
        <f t="shared" si="425"/>
        <v>16</v>
      </c>
      <c r="AN1154">
        <f t="shared" si="426"/>
        <v>2</v>
      </c>
      <c r="AO1154">
        <f t="shared" si="427"/>
        <v>3</v>
      </c>
      <c r="AP1154">
        <f t="shared" si="428"/>
        <v>0</v>
      </c>
      <c r="AQ1154" t="str">
        <f t="shared" si="429"/>
        <v/>
      </c>
    </row>
    <row r="1155" spans="1:43" x14ac:dyDescent="0.35">
      <c r="A1155">
        <v>2727</v>
      </c>
      <c r="B1155" t="s">
        <v>3624</v>
      </c>
      <c r="C1155" t="s">
        <v>3507</v>
      </c>
      <c r="D1155" t="str">
        <f t="shared" si="430"/>
        <v>HR</v>
      </c>
      <c r="E1155" t="s">
        <v>3607</v>
      </c>
      <c r="F1155" t="s">
        <v>3608</v>
      </c>
      <c r="G1155" t="s">
        <v>3609</v>
      </c>
      <c r="H1155" t="s">
        <v>48</v>
      </c>
      <c r="I1155" s="32">
        <v>45063.24894675926</v>
      </c>
      <c r="J1155" s="32">
        <v>45065.24894675926</v>
      </c>
      <c r="K1155" s="32">
        <v>45071.24894675926</v>
      </c>
      <c r="L1155" s="8">
        <f t="shared" si="431"/>
        <v>8</v>
      </c>
      <c r="M1155" s="7">
        <v>45093.24894675926</v>
      </c>
      <c r="N1155" t="s">
        <v>49</v>
      </c>
      <c r="O1155" s="34">
        <v>45084.24894675926</v>
      </c>
      <c r="P1155" t="s">
        <v>60</v>
      </c>
      <c r="R1155" s="32">
        <v>45087.24894675926</v>
      </c>
      <c r="S1155" t="s">
        <v>61</v>
      </c>
      <c r="T1155" s="34" t="s">
        <v>7476</v>
      </c>
      <c r="U1155" s="34" t="s">
        <v>7476</v>
      </c>
      <c r="V1155" s="32">
        <v>45086.24894675926</v>
      </c>
      <c r="W1155" s="32" t="s">
        <v>7476</v>
      </c>
      <c r="X1155">
        <v>0</v>
      </c>
      <c r="Y1155" s="34" t="s">
        <v>7476</v>
      </c>
      <c r="Z1155" s="34" t="s">
        <v>7476</v>
      </c>
      <c r="AA1155" s="34" t="s">
        <v>7476</v>
      </c>
      <c r="AB1155" s="36" t="s">
        <v>7476</v>
      </c>
      <c r="AD1155" t="s">
        <v>3625</v>
      </c>
      <c r="AE1155" t="s">
        <v>3626</v>
      </c>
      <c r="AF1155" s="16">
        <v>45065</v>
      </c>
      <c r="AG1155" t="s">
        <v>98</v>
      </c>
      <c r="AH1155">
        <v>6</v>
      </c>
      <c r="AI1155" s="8">
        <f t="shared" si="422"/>
        <v>22.248946759260434</v>
      </c>
      <c r="AJ1155" s="8">
        <f t="shared" si="423"/>
        <v>19.248946759260434</v>
      </c>
      <c r="AK1155" s="38">
        <f t="shared" ref="AK1155:AK1218" si="432">IFERROR(V1155+(AH1155*30),"")</f>
        <v>45266.24894675926</v>
      </c>
      <c r="AL1155" t="str">
        <f t="shared" si="424"/>
        <v/>
      </c>
      <c r="AM1155">
        <f t="shared" si="425"/>
        <v>22</v>
      </c>
      <c r="AN1155">
        <f t="shared" si="426"/>
        <v>2</v>
      </c>
      <c r="AO1155">
        <f t="shared" si="427"/>
        <v>2</v>
      </c>
      <c r="AP1155">
        <f t="shared" si="428"/>
        <v>0</v>
      </c>
      <c r="AQ1155" t="str">
        <f t="shared" si="429"/>
        <v/>
      </c>
    </row>
    <row r="1156" spans="1:43" x14ac:dyDescent="0.35">
      <c r="A1156">
        <v>2722</v>
      </c>
      <c r="B1156" t="s">
        <v>3627</v>
      </c>
      <c r="C1156" t="s">
        <v>3554</v>
      </c>
      <c r="D1156" t="str">
        <f t="shared" si="430"/>
        <v>HR</v>
      </c>
      <c r="E1156" t="s">
        <v>3607</v>
      </c>
      <c r="F1156" t="s">
        <v>3608</v>
      </c>
      <c r="G1156" t="s">
        <v>3609</v>
      </c>
      <c r="H1156" t="s">
        <v>48</v>
      </c>
      <c r="I1156" s="32">
        <v>45061.24894675926</v>
      </c>
      <c r="J1156" s="32">
        <v>45065.24894675926</v>
      </c>
      <c r="K1156" s="32">
        <v>45071.24894675926</v>
      </c>
      <c r="L1156" s="8">
        <f t="shared" si="431"/>
        <v>10</v>
      </c>
      <c r="M1156" s="7">
        <v>45098.24894675926</v>
      </c>
      <c r="N1156" t="s">
        <v>49</v>
      </c>
      <c r="O1156" s="34">
        <v>45075.24894675926</v>
      </c>
      <c r="P1156" t="s">
        <v>50</v>
      </c>
      <c r="Q1156" t="s">
        <v>84</v>
      </c>
      <c r="R1156" s="32" t="s">
        <v>7472</v>
      </c>
      <c r="S1156" t="s">
        <v>7476</v>
      </c>
      <c r="T1156" s="34" t="s">
        <v>7476</v>
      </c>
      <c r="U1156" s="34" t="s">
        <v>7476</v>
      </c>
      <c r="V1156" s="32" t="s">
        <v>7476</v>
      </c>
      <c r="W1156" s="32" t="s">
        <v>7476</v>
      </c>
      <c r="X1156">
        <v>0</v>
      </c>
      <c r="Y1156" s="34" t="s">
        <v>7476</v>
      </c>
      <c r="Z1156" s="34" t="s">
        <v>7476</v>
      </c>
      <c r="AA1156" s="34" t="s">
        <v>7476</v>
      </c>
      <c r="AB1156" s="36" t="s">
        <v>52</v>
      </c>
      <c r="AD1156" t="s">
        <v>3628</v>
      </c>
      <c r="AE1156" t="s">
        <v>3629</v>
      </c>
      <c r="AF1156" s="16">
        <v>45069</v>
      </c>
      <c r="AG1156" t="s">
        <v>64</v>
      </c>
      <c r="AH1156">
        <v>3</v>
      </c>
      <c r="AI1156" s="8" t="str">
        <f t="shared" si="422"/>
        <v/>
      </c>
      <c r="AJ1156" s="8">
        <f t="shared" si="423"/>
        <v>6.2489467592604342</v>
      </c>
      <c r="AK1156" s="38" t="str">
        <f t="shared" si="432"/>
        <v/>
      </c>
      <c r="AL1156" t="str">
        <f t="shared" si="424"/>
        <v/>
      </c>
      <c r="AM1156" t="str">
        <f t="shared" si="425"/>
        <v/>
      </c>
      <c r="AN1156" t="str">
        <f t="shared" si="426"/>
        <v/>
      </c>
      <c r="AO1156">
        <f t="shared" si="427"/>
        <v>4</v>
      </c>
      <c r="AP1156">
        <f t="shared" si="428"/>
        <v>0</v>
      </c>
      <c r="AQ1156" t="str">
        <f t="shared" si="429"/>
        <v/>
      </c>
    </row>
    <row r="1157" spans="1:43" x14ac:dyDescent="0.35">
      <c r="A1157">
        <v>2646</v>
      </c>
      <c r="B1157" t="s">
        <v>3630</v>
      </c>
      <c r="C1157" t="s">
        <v>3514</v>
      </c>
      <c r="D1157" t="str">
        <f t="shared" si="430"/>
        <v>HR</v>
      </c>
      <c r="E1157" t="s">
        <v>3607</v>
      </c>
      <c r="F1157" t="s">
        <v>3608</v>
      </c>
      <c r="G1157" t="s">
        <v>3609</v>
      </c>
      <c r="H1157" t="s">
        <v>48</v>
      </c>
      <c r="I1157" s="32" t="s">
        <v>7471</v>
      </c>
      <c r="J1157" s="32">
        <v>44587.587569444448</v>
      </c>
      <c r="K1157" s="32">
        <v>44593.587569444448</v>
      </c>
      <c r="L1157" s="8" t="str">
        <f t="shared" si="431"/>
        <v/>
      </c>
      <c r="M1157" s="7">
        <v>44608.587569444448</v>
      </c>
      <c r="N1157" t="s">
        <v>49</v>
      </c>
      <c r="O1157" s="34">
        <v>44601.587569444448</v>
      </c>
      <c r="P1157" t="s">
        <v>101</v>
      </c>
      <c r="R1157" s="32">
        <v>44607.587569444448</v>
      </c>
      <c r="S1157" t="s">
        <v>101</v>
      </c>
      <c r="T1157" s="34">
        <v>44603.587569444448</v>
      </c>
      <c r="U1157" s="34">
        <v>44606.587569444448</v>
      </c>
      <c r="V1157" s="32">
        <v>44603.587569444448</v>
      </c>
      <c r="W1157" s="32">
        <v>44607.587569444448</v>
      </c>
      <c r="X1157">
        <v>1</v>
      </c>
      <c r="Y1157" s="34">
        <v>44608.587569444448</v>
      </c>
      <c r="Z1157" s="34">
        <v>44610.587569444448</v>
      </c>
      <c r="AA1157" s="34">
        <v>44612.587569444448</v>
      </c>
      <c r="AB1157" s="36" t="s">
        <v>7476</v>
      </c>
      <c r="AC1157" s="10">
        <v>44624.587569444448</v>
      </c>
      <c r="AD1157" t="s">
        <v>3631</v>
      </c>
      <c r="AE1157" t="s">
        <v>3632</v>
      </c>
      <c r="AF1157" s="16">
        <v>44593</v>
      </c>
      <c r="AG1157" t="s">
        <v>98</v>
      </c>
      <c r="AH1157">
        <v>6</v>
      </c>
      <c r="AK1157" s="38">
        <f t="shared" si="432"/>
        <v>44783.587569444448</v>
      </c>
    </row>
    <row r="1158" spans="1:43" x14ac:dyDescent="0.35">
      <c r="A1158">
        <v>2586</v>
      </c>
      <c r="B1158" t="s">
        <v>3633</v>
      </c>
      <c r="C1158" t="s">
        <v>3554</v>
      </c>
      <c r="D1158" t="str">
        <f t="shared" si="430"/>
        <v>HR</v>
      </c>
      <c r="E1158" t="s">
        <v>3607</v>
      </c>
      <c r="F1158" t="s">
        <v>3608</v>
      </c>
      <c r="G1158" t="s">
        <v>3609</v>
      </c>
      <c r="H1158" t="s">
        <v>48</v>
      </c>
      <c r="I1158" s="32">
        <v>44784.038506944453</v>
      </c>
      <c r="J1158" s="32">
        <v>44786.038506944453</v>
      </c>
      <c r="K1158" s="32">
        <v>44791.038506944453</v>
      </c>
      <c r="L1158" s="8">
        <f t="shared" si="431"/>
        <v>7</v>
      </c>
      <c r="M1158" s="7">
        <v>44811.038506944453</v>
      </c>
      <c r="N1158" t="s">
        <v>49</v>
      </c>
      <c r="O1158" s="34">
        <v>44797.038506944453</v>
      </c>
      <c r="P1158" t="s">
        <v>50</v>
      </c>
      <c r="Q1158" t="s">
        <v>84</v>
      </c>
      <c r="R1158" s="32" t="s">
        <v>7472</v>
      </c>
      <c r="S1158" t="s">
        <v>7476</v>
      </c>
      <c r="T1158" s="34" t="s">
        <v>7476</v>
      </c>
      <c r="U1158" s="34" t="s">
        <v>7476</v>
      </c>
      <c r="V1158" s="32">
        <v>44800.038506944453</v>
      </c>
      <c r="W1158" s="32" t="s">
        <v>7476</v>
      </c>
      <c r="X1158">
        <v>0</v>
      </c>
      <c r="Y1158" s="34" t="s">
        <v>7476</v>
      </c>
      <c r="Z1158" s="34" t="s">
        <v>7476</v>
      </c>
      <c r="AA1158" s="34" t="s">
        <v>7476</v>
      </c>
      <c r="AB1158" s="36" t="s">
        <v>95</v>
      </c>
      <c r="AD1158" t="s">
        <v>3634</v>
      </c>
      <c r="AE1158" t="s">
        <v>3635</v>
      </c>
      <c r="AF1158" s="16">
        <v>44792</v>
      </c>
      <c r="AG1158" t="s">
        <v>64</v>
      </c>
      <c r="AH1158">
        <v>6</v>
      </c>
      <c r="AI1158" s="8" t="str">
        <f>IFERROR(R1158-AF1158,"")</f>
        <v/>
      </c>
      <c r="AJ1158" s="8">
        <f>IFERROR(O1158-AF1158,"")</f>
        <v>5.0385069444528199</v>
      </c>
      <c r="AK1158" s="38">
        <f t="shared" si="432"/>
        <v>44980.038506944453</v>
      </c>
      <c r="AL1158" t="str">
        <f>IFERROR(Z1158-W1158,"")</f>
        <v/>
      </c>
      <c r="AM1158" t="str">
        <f>IFERROR(R1158-J1158,"")</f>
        <v/>
      </c>
      <c r="AN1158">
        <f>IFERROR(V1158-O1158,"")</f>
        <v>3</v>
      </c>
      <c r="AO1158">
        <f>IFERROR(J1158-I1158,"")</f>
        <v>2</v>
      </c>
      <c r="AP1158">
        <f>IFERROR(AC1158-X1158,"")</f>
        <v>0</v>
      </c>
      <c r="AQ1158" t="str">
        <f>IFERROR(AA1158-W1158,"")</f>
        <v/>
      </c>
    </row>
    <row r="1159" spans="1:43" x14ac:dyDescent="0.35">
      <c r="A1159">
        <v>2414</v>
      </c>
      <c r="B1159" t="s">
        <v>3636</v>
      </c>
      <c r="C1159" t="s">
        <v>3507</v>
      </c>
      <c r="D1159" t="str">
        <f t="shared" si="430"/>
        <v>HR</v>
      </c>
      <c r="E1159" t="s">
        <v>3607</v>
      </c>
      <c r="F1159" t="s">
        <v>3608</v>
      </c>
      <c r="G1159" t="s">
        <v>3609</v>
      </c>
      <c r="H1159" t="s">
        <v>48</v>
      </c>
      <c r="I1159" s="32">
        <v>45008.608229166668</v>
      </c>
      <c r="J1159" s="32">
        <v>45012.608229166668</v>
      </c>
      <c r="K1159" s="32">
        <v>45015.608229166668</v>
      </c>
      <c r="L1159" s="8">
        <f t="shared" si="431"/>
        <v>7</v>
      </c>
      <c r="M1159" s="7">
        <v>45026.608229166668</v>
      </c>
      <c r="N1159" t="s">
        <v>49</v>
      </c>
      <c r="O1159" s="34">
        <v>45032.608229166668</v>
      </c>
      <c r="P1159" t="s">
        <v>50</v>
      </c>
      <c r="Q1159" t="s">
        <v>51</v>
      </c>
      <c r="R1159" s="32" t="s">
        <v>7472</v>
      </c>
      <c r="S1159" t="s">
        <v>7476</v>
      </c>
      <c r="T1159" s="34" t="s">
        <v>7476</v>
      </c>
      <c r="U1159" s="34" t="s">
        <v>7476</v>
      </c>
      <c r="V1159" s="32" t="s">
        <v>7476</v>
      </c>
      <c r="W1159" s="32" t="s">
        <v>7476</v>
      </c>
      <c r="X1159">
        <v>0</v>
      </c>
      <c r="Y1159" s="34" t="s">
        <v>7476</v>
      </c>
      <c r="Z1159" s="34" t="s">
        <v>7476</v>
      </c>
      <c r="AA1159" s="34" t="s">
        <v>7476</v>
      </c>
      <c r="AB1159" s="36" t="s">
        <v>52</v>
      </c>
      <c r="AD1159" t="s">
        <v>3637</v>
      </c>
      <c r="AE1159" t="s">
        <v>3638</v>
      </c>
      <c r="AF1159" s="16">
        <v>45020</v>
      </c>
      <c r="AG1159" t="s">
        <v>98</v>
      </c>
      <c r="AH1159">
        <v>6</v>
      </c>
      <c r="AI1159" s="8" t="str">
        <f>IFERROR(R1159-AF1159,"")</f>
        <v/>
      </c>
      <c r="AJ1159" s="8">
        <f>IFERROR(O1159-AF1159,"")</f>
        <v>12.608229166668025</v>
      </c>
      <c r="AK1159" s="38" t="str">
        <f t="shared" si="432"/>
        <v/>
      </c>
      <c r="AL1159" t="str">
        <f>IFERROR(Z1159-W1159,"")</f>
        <v/>
      </c>
      <c r="AM1159" t="str">
        <f>IFERROR(R1159-J1159,"")</f>
        <v/>
      </c>
      <c r="AN1159" t="str">
        <f>IFERROR(V1159-O1159,"")</f>
        <v/>
      </c>
      <c r="AO1159">
        <f>IFERROR(J1159-I1159,"")</f>
        <v>4</v>
      </c>
      <c r="AP1159">
        <f>IFERROR(AC1159-X1159,"")</f>
        <v>0</v>
      </c>
      <c r="AQ1159" t="str">
        <f>IFERROR(AA1159-W1159,"")</f>
        <v/>
      </c>
    </row>
    <row r="1160" spans="1:43" x14ac:dyDescent="0.35">
      <c r="A1160">
        <v>2145</v>
      </c>
      <c r="B1160" t="s">
        <v>3639</v>
      </c>
      <c r="C1160" t="s">
        <v>3554</v>
      </c>
      <c r="D1160" t="str">
        <f t="shared" si="430"/>
        <v>HR</v>
      </c>
      <c r="E1160" t="s">
        <v>3607</v>
      </c>
      <c r="F1160" t="s">
        <v>3608</v>
      </c>
      <c r="G1160" t="s">
        <v>3609</v>
      </c>
      <c r="H1160" t="s">
        <v>48</v>
      </c>
      <c r="I1160" s="32">
        <v>44747.830833333333</v>
      </c>
      <c r="J1160" s="32">
        <v>44749.830833333333</v>
      </c>
      <c r="K1160" s="32">
        <v>44754.830833333333</v>
      </c>
      <c r="L1160" s="8">
        <f t="shared" si="431"/>
        <v>7</v>
      </c>
      <c r="M1160" s="7">
        <v>44763.830833333333</v>
      </c>
      <c r="N1160" t="s">
        <v>49</v>
      </c>
      <c r="O1160" s="34">
        <v>44767.830833333333</v>
      </c>
      <c r="P1160" t="s">
        <v>50</v>
      </c>
      <c r="Q1160" t="s">
        <v>198</v>
      </c>
      <c r="R1160" s="32" t="s">
        <v>7472</v>
      </c>
      <c r="S1160" t="s">
        <v>7476</v>
      </c>
      <c r="T1160" s="34" t="s">
        <v>7476</v>
      </c>
      <c r="U1160" s="34" t="s">
        <v>7476</v>
      </c>
      <c r="V1160" s="32">
        <v>44768.830833333333</v>
      </c>
      <c r="W1160" s="32" t="s">
        <v>7476</v>
      </c>
      <c r="X1160">
        <v>0</v>
      </c>
      <c r="Y1160" s="34" t="s">
        <v>7476</v>
      </c>
      <c r="Z1160" s="34" t="s">
        <v>7476</v>
      </c>
      <c r="AA1160" s="34" t="s">
        <v>7476</v>
      </c>
      <c r="AB1160" s="36" t="s">
        <v>52</v>
      </c>
      <c r="AD1160" t="s">
        <v>3640</v>
      </c>
      <c r="AE1160" t="s">
        <v>3641</v>
      </c>
      <c r="AF1160" s="16">
        <v>44751</v>
      </c>
      <c r="AG1160" t="s">
        <v>68</v>
      </c>
      <c r="AH1160">
        <v>3</v>
      </c>
      <c r="AI1160" s="8" t="str">
        <f>IFERROR(R1160-AF1160,"")</f>
        <v/>
      </c>
      <c r="AJ1160" s="8">
        <f>IFERROR(O1160-AF1160,"")</f>
        <v>16.83083333333343</v>
      </c>
      <c r="AK1160" s="38">
        <f t="shared" si="432"/>
        <v>44858.830833333333</v>
      </c>
      <c r="AL1160" t="str">
        <f>IFERROR(Z1160-W1160,"")</f>
        <v/>
      </c>
      <c r="AM1160" t="str">
        <f>IFERROR(R1160-J1160,"")</f>
        <v/>
      </c>
      <c r="AN1160">
        <f>IFERROR(V1160-O1160,"")</f>
        <v>1</v>
      </c>
      <c r="AO1160">
        <f>IFERROR(J1160-I1160,"")</f>
        <v>2</v>
      </c>
      <c r="AP1160">
        <f>IFERROR(AC1160-X1160,"")</f>
        <v>0</v>
      </c>
      <c r="AQ1160" t="str">
        <f>IFERROR(AA1160-W1160,"")</f>
        <v/>
      </c>
    </row>
    <row r="1161" spans="1:43" x14ac:dyDescent="0.35">
      <c r="A1161">
        <v>1912</v>
      </c>
      <c r="B1161" t="s">
        <v>3642</v>
      </c>
      <c r="C1161" t="s">
        <v>3514</v>
      </c>
      <c r="D1161" t="str">
        <f t="shared" si="430"/>
        <v>HR</v>
      </c>
      <c r="E1161" t="s">
        <v>3607</v>
      </c>
      <c r="F1161" t="s">
        <v>3608</v>
      </c>
      <c r="G1161" t="s">
        <v>3609</v>
      </c>
      <c r="H1161" t="s">
        <v>48</v>
      </c>
      <c r="I1161" s="32">
        <v>44684.892118055563</v>
      </c>
      <c r="J1161" s="32">
        <v>44685.892118055563</v>
      </c>
      <c r="K1161" s="32">
        <v>44689.892118055563</v>
      </c>
      <c r="L1161" s="8">
        <f t="shared" si="431"/>
        <v>5</v>
      </c>
      <c r="M1161" s="7">
        <v>44707.892118055563</v>
      </c>
      <c r="N1161" t="s">
        <v>49</v>
      </c>
      <c r="O1161" s="34">
        <v>44696.892118055563</v>
      </c>
      <c r="P1161" t="s">
        <v>50</v>
      </c>
      <c r="Q1161" t="s">
        <v>236</v>
      </c>
      <c r="R1161" s="32" t="s">
        <v>7472</v>
      </c>
      <c r="S1161" t="s">
        <v>7476</v>
      </c>
      <c r="T1161" s="34" t="s">
        <v>7476</v>
      </c>
      <c r="U1161" s="34" t="s">
        <v>7476</v>
      </c>
      <c r="V1161" s="32">
        <v>44697.892118055563</v>
      </c>
      <c r="W1161" s="32" t="s">
        <v>7476</v>
      </c>
      <c r="X1161">
        <v>0</v>
      </c>
      <c r="Y1161" s="34" t="s">
        <v>7476</v>
      </c>
      <c r="Z1161" s="34" t="s">
        <v>7476</v>
      </c>
      <c r="AA1161" s="34" t="s">
        <v>7476</v>
      </c>
      <c r="AB1161" s="36" t="s">
        <v>52</v>
      </c>
      <c r="AD1161" t="s">
        <v>3643</v>
      </c>
      <c r="AE1161" t="s">
        <v>3644</v>
      </c>
      <c r="AF1161" s="16">
        <v>44690</v>
      </c>
      <c r="AG1161" t="s">
        <v>64</v>
      </c>
      <c r="AH1161">
        <v>3</v>
      </c>
      <c r="AI1161" s="8" t="str">
        <f>IFERROR(R1161-AF1161,"")</f>
        <v/>
      </c>
      <c r="AJ1161" s="8">
        <f>IFERROR(O1161-AF1161,"")</f>
        <v>6.8921180555626052</v>
      </c>
      <c r="AK1161" s="38">
        <f t="shared" si="432"/>
        <v>44787.892118055563</v>
      </c>
      <c r="AL1161" t="str">
        <f>IFERROR(Z1161-W1161,"")</f>
        <v/>
      </c>
      <c r="AM1161" t="str">
        <f>IFERROR(R1161-J1161,"")</f>
        <v/>
      </c>
      <c r="AN1161">
        <f>IFERROR(V1161-O1161,"")</f>
        <v>1</v>
      </c>
      <c r="AO1161">
        <f>IFERROR(J1161-I1161,"")</f>
        <v>1</v>
      </c>
      <c r="AP1161">
        <f>IFERROR(AC1161-X1161,"")</f>
        <v>0</v>
      </c>
      <c r="AQ1161" t="str">
        <f>IFERROR(AA1161-W1161,"")</f>
        <v/>
      </c>
    </row>
    <row r="1162" spans="1:43" x14ac:dyDescent="0.35">
      <c r="A1162">
        <v>1908</v>
      </c>
      <c r="B1162" t="s">
        <v>3645</v>
      </c>
      <c r="C1162" t="s">
        <v>3554</v>
      </c>
      <c r="D1162" t="str">
        <f t="shared" si="430"/>
        <v>HR</v>
      </c>
      <c r="E1162" t="s">
        <v>3607</v>
      </c>
      <c r="F1162" t="s">
        <v>3608</v>
      </c>
      <c r="G1162" t="s">
        <v>3609</v>
      </c>
      <c r="H1162" t="s">
        <v>48</v>
      </c>
      <c r="I1162" s="32" t="s">
        <v>7471</v>
      </c>
      <c r="J1162" s="32">
        <v>44998.686469907407</v>
      </c>
      <c r="K1162" s="32">
        <v>45001.686469907407</v>
      </c>
      <c r="L1162" s="8" t="str">
        <f t="shared" si="431"/>
        <v/>
      </c>
      <c r="M1162" s="7">
        <v>45018.686469907407</v>
      </c>
      <c r="N1162" t="s">
        <v>49</v>
      </c>
      <c r="O1162" s="34">
        <v>45014.686469907407</v>
      </c>
      <c r="P1162" t="s">
        <v>50</v>
      </c>
      <c r="Q1162" t="s">
        <v>51</v>
      </c>
      <c r="R1162" s="32" t="s">
        <v>7472</v>
      </c>
      <c r="S1162" t="s">
        <v>7476</v>
      </c>
      <c r="T1162" s="34" t="s">
        <v>7476</v>
      </c>
      <c r="U1162" s="34" t="s">
        <v>7476</v>
      </c>
      <c r="V1162" s="32" t="s">
        <v>7476</v>
      </c>
      <c r="W1162" s="32" t="s">
        <v>7476</v>
      </c>
      <c r="X1162">
        <v>0</v>
      </c>
      <c r="Y1162" s="34" t="s">
        <v>7476</v>
      </c>
      <c r="Z1162" s="34" t="s">
        <v>7476</v>
      </c>
      <c r="AA1162" s="34" t="s">
        <v>7476</v>
      </c>
      <c r="AB1162" s="36" t="s">
        <v>52</v>
      </c>
      <c r="AD1162" t="s">
        <v>3646</v>
      </c>
      <c r="AE1162" t="s">
        <v>3647</v>
      </c>
      <c r="AF1162" s="16">
        <v>45000</v>
      </c>
      <c r="AG1162" t="s">
        <v>75</v>
      </c>
      <c r="AH1162">
        <v>3</v>
      </c>
      <c r="AK1162" s="38" t="str">
        <f t="shared" si="432"/>
        <v/>
      </c>
    </row>
    <row r="1163" spans="1:43" x14ac:dyDescent="0.35">
      <c r="A1163">
        <v>1741</v>
      </c>
      <c r="B1163" t="s">
        <v>3648</v>
      </c>
      <c r="C1163" t="s">
        <v>3554</v>
      </c>
      <c r="D1163" t="str">
        <f t="shared" si="430"/>
        <v>HR</v>
      </c>
      <c r="E1163" t="s">
        <v>3607</v>
      </c>
      <c r="F1163" t="s">
        <v>3608</v>
      </c>
      <c r="G1163" t="s">
        <v>3609</v>
      </c>
      <c r="H1163" t="s">
        <v>48</v>
      </c>
      <c r="I1163" s="32" t="s">
        <v>7471</v>
      </c>
      <c r="J1163" s="32">
        <v>44949.798078703701</v>
      </c>
      <c r="K1163" s="32">
        <v>44953.798078703701</v>
      </c>
      <c r="L1163" s="8" t="str">
        <f t="shared" si="431"/>
        <v/>
      </c>
      <c r="M1163" s="7">
        <v>44973.798078703701</v>
      </c>
      <c r="N1163" t="s">
        <v>49</v>
      </c>
      <c r="O1163" s="34">
        <v>44968.798078703701</v>
      </c>
      <c r="P1163" t="s">
        <v>50</v>
      </c>
      <c r="Q1163" t="s">
        <v>198</v>
      </c>
      <c r="R1163" s="32" t="s">
        <v>7472</v>
      </c>
      <c r="S1163" t="s">
        <v>7476</v>
      </c>
      <c r="T1163" s="34" t="s">
        <v>7476</v>
      </c>
      <c r="U1163" s="34" t="s">
        <v>7476</v>
      </c>
      <c r="V1163" s="32">
        <v>44970.798078703701</v>
      </c>
      <c r="W1163" s="32" t="s">
        <v>7476</v>
      </c>
      <c r="X1163">
        <v>0</v>
      </c>
      <c r="Y1163" s="34" t="s">
        <v>7476</v>
      </c>
      <c r="Z1163" s="34" t="s">
        <v>7476</v>
      </c>
      <c r="AA1163" s="34" t="s">
        <v>7476</v>
      </c>
      <c r="AB1163" s="36" t="s">
        <v>95</v>
      </c>
      <c r="AD1163" t="s">
        <v>3649</v>
      </c>
      <c r="AE1163" t="s">
        <v>3650</v>
      </c>
      <c r="AF1163" s="16">
        <v>44959</v>
      </c>
      <c r="AG1163" t="s">
        <v>55</v>
      </c>
      <c r="AH1163">
        <v>3</v>
      </c>
      <c r="AK1163" s="38">
        <f t="shared" si="432"/>
        <v>45060.798078703701</v>
      </c>
    </row>
    <row r="1164" spans="1:43" x14ac:dyDescent="0.35">
      <c r="A1164">
        <v>1611</v>
      </c>
      <c r="B1164" t="s">
        <v>3651</v>
      </c>
      <c r="C1164" t="s">
        <v>3507</v>
      </c>
      <c r="D1164" t="str">
        <f t="shared" si="430"/>
        <v>HR</v>
      </c>
      <c r="E1164" t="s">
        <v>3607</v>
      </c>
      <c r="F1164" t="s">
        <v>3608</v>
      </c>
      <c r="G1164" t="s">
        <v>3609</v>
      </c>
      <c r="H1164" t="s">
        <v>48</v>
      </c>
      <c r="I1164" s="32">
        <v>44851.951192129629</v>
      </c>
      <c r="J1164" s="32">
        <v>44854.951192129629</v>
      </c>
      <c r="K1164" s="32">
        <v>44858.951192129629</v>
      </c>
      <c r="L1164" s="8">
        <f t="shared" si="431"/>
        <v>7</v>
      </c>
      <c r="M1164" s="7">
        <v>44885.951192129629</v>
      </c>
      <c r="N1164" t="s">
        <v>49</v>
      </c>
      <c r="O1164" s="34">
        <v>44870.951192129629</v>
      </c>
      <c r="P1164" t="s">
        <v>50</v>
      </c>
      <c r="Q1164" t="s">
        <v>125</v>
      </c>
      <c r="R1164" s="32" t="s">
        <v>7472</v>
      </c>
      <c r="S1164" t="s">
        <v>7476</v>
      </c>
      <c r="T1164" s="34" t="s">
        <v>7476</v>
      </c>
      <c r="U1164" s="34" t="s">
        <v>7476</v>
      </c>
      <c r="V1164" s="32">
        <v>44872.951192129629</v>
      </c>
      <c r="W1164" s="32" t="s">
        <v>7476</v>
      </c>
      <c r="X1164">
        <v>0</v>
      </c>
      <c r="Y1164" s="34" t="s">
        <v>7476</v>
      </c>
      <c r="Z1164" s="34" t="s">
        <v>7476</v>
      </c>
      <c r="AA1164" s="34" t="s">
        <v>7476</v>
      </c>
      <c r="AB1164" s="36" t="s">
        <v>95</v>
      </c>
      <c r="AD1164" t="s">
        <v>3652</v>
      </c>
      <c r="AE1164" t="s">
        <v>3653</v>
      </c>
      <c r="AF1164" s="16">
        <v>44856</v>
      </c>
      <c r="AG1164" t="s">
        <v>98</v>
      </c>
      <c r="AH1164">
        <v>6</v>
      </c>
      <c r="AI1164" s="8" t="str">
        <f>IFERROR(R1164-AF1164,"")</f>
        <v/>
      </c>
      <c r="AJ1164" s="8">
        <f>IFERROR(O1164-AF1164,"")</f>
        <v>14.951192129628907</v>
      </c>
      <c r="AK1164" s="38">
        <f t="shared" si="432"/>
        <v>45052.951192129629</v>
      </c>
      <c r="AL1164" t="str">
        <f>IFERROR(Z1164-W1164,"")</f>
        <v/>
      </c>
      <c r="AM1164" t="str">
        <f>IFERROR(R1164-J1164,"")</f>
        <v/>
      </c>
      <c r="AN1164">
        <f>IFERROR(V1164-O1164,"")</f>
        <v>2</v>
      </c>
      <c r="AO1164">
        <f>IFERROR(J1164-I1164,"")</f>
        <v>3</v>
      </c>
      <c r="AP1164">
        <f>IFERROR(AC1164-X1164,"")</f>
        <v>0</v>
      </c>
      <c r="AQ1164" t="str">
        <f>IFERROR(AA1164-W1164,"")</f>
        <v/>
      </c>
    </row>
    <row r="1165" spans="1:43" x14ac:dyDescent="0.35">
      <c r="A1165">
        <v>1540</v>
      </c>
      <c r="B1165" t="s">
        <v>3654</v>
      </c>
      <c r="C1165" t="s">
        <v>3554</v>
      </c>
      <c r="D1165" t="str">
        <f t="shared" si="430"/>
        <v>HR</v>
      </c>
      <c r="E1165" t="s">
        <v>3607</v>
      </c>
      <c r="F1165" t="s">
        <v>3608</v>
      </c>
      <c r="G1165" t="s">
        <v>3609</v>
      </c>
      <c r="H1165" t="s">
        <v>48</v>
      </c>
      <c r="I1165" s="32">
        <v>45053.546423611107</v>
      </c>
      <c r="J1165" s="32">
        <v>45056.546423611107</v>
      </c>
      <c r="K1165" s="32">
        <v>45060.546423611107</v>
      </c>
      <c r="L1165" s="8">
        <f t="shared" si="431"/>
        <v>7</v>
      </c>
      <c r="M1165" s="7">
        <v>45069.546423611107</v>
      </c>
      <c r="N1165" t="s">
        <v>49</v>
      </c>
      <c r="O1165" s="34">
        <v>45069.546423611107</v>
      </c>
      <c r="P1165" t="s">
        <v>60</v>
      </c>
      <c r="R1165" s="32">
        <v>45073.546423611107</v>
      </c>
      <c r="S1165" t="s">
        <v>61</v>
      </c>
      <c r="T1165" s="34" t="s">
        <v>7476</v>
      </c>
      <c r="U1165" s="34" t="s">
        <v>7476</v>
      </c>
      <c r="V1165" s="32">
        <v>45072.546423611107</v>
      </c>
      <c r="W1165" s="32" t="s">
        <v>7476</v>
      </c>
      <c r="X1165">
        <v>0</v>
      </c>
      <c r="Y1165" s="34" t="s">
        <v>7476</v>
      </c>
      <c r="Z1165" s="34" t="s">
        <v>7476</v>
      </c>
      <c r="AA1165" s="34" t="s">
        <v>7476</v>
      </c>
      <c r="AB1165" s="36" t="s">
        <v>7476</v>
      </c>
      <c r="AD1165" t="s">
        <v>3655</v>
      </c>
      <c r="AE1165" t="s">
        <v>3656</v>
      </c>
      <c r="AF1165" s="16">
        <v>45064</v>
      </c>
      <c r="AG1165" t="s">
        <v>64</v>
      </c>
      <c r="AH1165">
        <v>3</v>
      </c>
      <c r="AI1165" s="8">
        <f>IFERROR(R1165-AF1165,"")</f>
        <v>9.546423611107457</v>
      </c>
      <c r="AJ1165" s="8">
        <f>IFERROR(O1165-AF1165,"")</f>
        <v>5.546423611107457</v>
      </c>
      <c r="AK1165" s="38">
        <f t="shared" si="432"/>
        <v>45162.546423611107</v>
      </c>
      <c r="AL1165" t="str">
        <f>IFERROR(Z1165-W1165,"")</f>
        <v/>
      </c>
      <c r="AM1165">
        <f>IFERROR(R1165-J1165,"")</f>
        <v>17</v>
      </c>
      <c r="AN1165">
        <f>IFERROR(V1165-O1165,"")</f>
        <v>3</v>
      </c>
      <c r="AO1165">
        <f>IFERROR(J1165-I1165,"")</f>
        <v>3</v>
      </c>
      <c r="AP1165">
        <f>IFERROR(AC1165-X1165,"")</f>
        <v>0</v>
      </c>
      <c r="AQ1165" t="str">
        <f>IFERROR(AA1165-W1165,"")</f>
        <v/>
      </c>
    </row>
    <row r="1166" spans="1:43" x14ac:dyDescent="0.35">
      <c r="A1166">
        <v>1508</v>
      </c>
      <c r="B1166" t="s">
        <v>3657</v>
      </c>
      <c r="C1166" t="s">
        <v>3554</v>
      </c>
      <c r="D1166" t="str">
        <f t="shared" si="430"/>
        <v>HR</v>
      </c>
      <c r="E1166" t="s">
        <v>3607</v>
      </c>
      <c r="F1166" t="s">
        <v>3608</v>
      </c>
      <c r="G1166" t="s">
        <v>3609</v>
      </c>
      <c r="H1166" t="s">
        <v>48</v>
      </c>
      <c r="I1166" s="32" t="s">
        <v>7471</v>
      </c>
      <c r="J1166" s="32">
        <v>44757.346215277779</v>
      </c>
      <c r="K1166" s="32">
        <v>44762.346215277779</v>
      </c>
      <c r="L1166" s="8" t="str">
        <f t="shared" si="431"/>
        <v/>
      </c>
      <c r="M1166" s="7">
        <v>44790.346215277779</v>
      </c>
      <c r="N1166" t="s">
        <v>49</v>
      </c>
      <c r="O1166" s="34">
        <v>44777.346215277779</v>
      </c>
      <c r="P1166" t="s">
        <v>50</v>
      </c>
      <c r="Q1166" t="s">
        <v>84</v>
      </c>
      <c r="R1166" s="32" t="s">
        <v>7472</v>
      </c>
      <c r="S1166" t="s">
        <v>7476</v>
      </c>
      <c r="T1166" s="34" t="s">
        <v>7476</v>
      </c>
      <c r="U1166" s="34" t="s">
        <v>7476</v>
      </c>
      <c r="V1166" s="32" t="s">
        <v>7476</v>
      </c>
      <c r="W1166" s="32" t="s">
        <v>7476</v>
      </c>
      <c r="X1166">
        <v>0</v>
      </c>
      <c r="Y1166" s="34" t="s">
        <v>7476</v>
      </c>
      <c r="Z1166" s="34" t="s">
        <v>7476</v>
      </c>
      <c r="AA1166" s="34" t="s">
        <v>7476</v>
      </c>
      <c r="AB1166" s="36" t="s">
        <v>95</v>
      </c>
      <c r="AD1166" t="s">
        <v>3658</v>
      </c>
      <c r="AE1166" t="s">
        <v>3659</v>
      </c>
      <c r="AF1166" s="16">
        <v>44771</v>
      </c>
      <c r="AG1166" t="s">
        <v>75</v>
      </c>
      <c r="AH1166">
        <v>3</v>
      </c>
      <c r="AK1166" s="38" t="str">
        <f t="shared" si="432"/>
        <v/>
      </c>
    </row>
    <row r="1167" spans="1:43" x14ac:dyDescent="0.35">
      <c r="A1167">
        <v>1505</v>
      </c>
      <c r="B1167" t="s">
        <v>3660</v>
      </c>
      <c r="C1167" t="s">
        <v>3514</v>
      </c>
      <c r="D1167" t="str">
        <f t="shared" si="430"/>
        <v>HR</v>
      </c>
      <c r="E1167" t="s">
        <v>3607</v>
      </c>
      <c r="F1167" t="s">
        <v>3608</v>
      </c>
      <c r="G1167" t="s">
        <v>3609</v>
      </c>
      <c r="H1167" t="s">
        <v>48</v>
      </c>
      <c r="I1167" s="32" t="s">
        <v>7471</v>
      </c>
      <c r="J1167" s="32" t="s">
        <v>7471</v>
      </c>
      <c r="K1167" s="32">
        <v>44762.346215277779</v>
      </c>
      <c r="L1167" s="8" t="str">
        <f t="shared" si="431"/>
        <v/>
      </c>
      <c r="M1167" s="7">
        <v>44772.346215277779</v>
      </c>
      <c r="N1167" t="s">
        <v>49</v>
      </c>
      <c r="O1167" s="34">
        <v>44774.346215277779</v>
      </c>
      <c r="P1167" t="s">
        <v>50</v>
      </c>
      <c r="Q1167" t="s">
        <v>125</v>
      </c>
      <c r="R1167" s="32" t="s">
        <v>7472</v>
      </c>
      <c r="S1167" t="s">
        <v>7476</v>
      </c>
      <c r="T1167" s="34" t="s">
        <v>7476</v>
      </c>
      <c r="U1167" s="34" t="s">
        <v>7476</v>
      </c>
      <c r="V1167" s="32">
        <v>44776.346215277779</v>
      </c>
      <c r="W1167" s="32" t="s">
        <v>7476</v>
      </c>
      <c r="X1167">
        <v>0</v>
      </c>
      <c r="Y1167" s="34" t="s">
        <v>7476</v>
      </c>
      <c r="Z1167" s="34" t="s">
        <v>7476</v>
      </c>
      <c r="AA1167" s="34" t="s">
        <v>7476</v>
      </c>
      <c r="AB1167" s="36" t="s">
        <v>52</v>
      </c>
      <c r="AD1167" t="s">
        <v>3661</v>
      </c>
      <c r="AE1167" t="s">
        <v>3662</v>
      </c>
      <c r="AF1167" s="16">
        <v>44758</v>
      </c>
      <c r="AG1167" t="s">
        <v>68</v>
      </c>
      <c r="AH1167">
        <v>3</v>
      </c>
      <c r="AK1167" s="38">
        <f t="shared" si="432"/>
        <v>44866.346215277779</v>
      </c>
    </row>
    <row r="1168" spans="1:43" x14ac:dyDescent="0.35">
      <c r="A1168">
        <v>1500</v>
      </c>
      <c r="B1168" t="s">
        <v>3663</v>
      </c>
      <c r="C1168" t="s">
        <v>3514</v>
      </c>
      <c r="D1168" t="str">
        <f t="shared" si="430"/>
        <v>HR</v>
      </c>
      <c r="E1168" t="s">
        <v>3607</v>
      </c>
      <c r="F1168" t="s">
        <v>3608</v>
      </c>
      <c r="G1168" t="s">
        <v>3609</v>
      </c>
      <c r="H1168" t="s">
        <v>48</v>
      </c>
      <c r="I1168" s="32">
        <v>44694.569456018522</v>
      </c>
      <c r="J1168" s="32" t="s">
        <v>7471</v>
      </c>
      <c r="K1168" s="32" t="s">
        <v>7473</v>
      </c>
      <c r="L1168" s="8" t="str">
        <f t="shared" si="431"/>
        <v/>
      </c>
      <c r="M1168" s="7">
        <v>44715.569456018522</v>
      </c>
      <c r="N1168" t="s">
        <v>49</v>
      </c>
      <c r="O1168" s="34">
        <v>44709.569456018522</v>
      </c>
      <c r="P1168" t="s">
        <v>50</v>
      </c>
      <c r="Q1168" t="s">
        <v>125</v>
      </c>
      <c r="R1168" s="32" t="s">
        <v>7472</v>
      </c>
      <c r="S1168" t="s">
        <v>7476</v>
      </c>
      <c r="T1168" s="34" t="s">
        <v>7476</v>
      </c>
      <c r="U1168" s="34" t="s">
        <v>7476</v>
      </c>
      <c r="V1168" s="32">
        <v>44711.569456018522</v>
      </c>
      <c r="W1168" s="32" t="s">
        <v>7476</v>
      </c>
      <c r="X1168">
        <v>0</v>
      </c>
      <c r="Y1168" s="34" t="s">
        <v>7476</v>
      </c>
      <c r="Z1168" s="34" t="s">
        <v>7476</v>
      </c>
      <c r="AA1168" s="34" t="s">
        <v>7476</v>
      </c>
      <c r="AB1168" s="36" t="s">
        <v>52</v>
      </c>
      <c r="AD1168" t="s">
        <v>3664</v>
      </c>
      <c r="AE1168" t="s">
        <v>3665</v>
      </c>
      <c r="AF1168" s="16">
        <v>44701</v>
      </c>
      <c r="AG1168" t="s">
        <v>75</v>
      </c>
      <c r="AH1168">
        <v>6</v>
      </c>
      <c r="AK1168" s="38">
        <f t="shared" si="432"/>
        <v>44891.569456018522</v>
      </c>
    </row>
    <row r="1169" spans="1:43" x14ac:dyDescent="0.35">
      <c r="A1169">
        <v>1499</v>
      </c>
      <c r="B1169" t="s">
        <v>3666</v>
      </c>
      <c r="C1169" t="s">
        <v>3554</v>
      </c>
      <c r="D1169" t="str">
        <f t="shared" si="430"/>
        <v>HR</v>
      </c>
      <c r="E1169" t="s">
        <v>3607</v>
      </c>
      <c r="F1169" t="s">
        <v>3608</v>
      </c>
      <c r="G1169" t="s">
        <v>3609</v>
      </c>
      <c r="H1169" t="s">
        <v>48</v>
      </c>
      <c r="I1169" s="32" t="s">
        <v>7471</v>
      </c>
      <c r="J1169" s="32">
        <v>44700.569456018522</v>
      </c>
      <c r="K1169" s="32">
        <v>44701.569456018522</v>
      </c>
      <c r="L1169" s="8" t="str">
        <f t="shared" si="431"/>
        <v/>
      </c>
      <c r="M1169" s="7">
        <v>44726.569456018522</v>
      </c>
      <c r="N1169" t="s">
        <v>49</v>
      </c>
      <c r="O1169" s="34">
        <v>44709.569456018522</v>
      </c>
      <c r="P1169" t="s">
        <v>50</v>
      </c>
      <c r="Q1169" t="s">
        <v>236</v>
      </c>
      <c r="R1169" s="32" t="s">
        <v>7472</v>
      </c>
      <c r="S1169" t="s">
        <v>7476</v>
      </c>
      <c r="T1169" s="34" t="s">
        <v>7476</v>
      </c>
      <c r="U1169" s="34" t="s">
        <v>7476</v>
      </c>
      <c r="V1169" s="32">
        <v>44711.569456018522</v>
      </c>
      <c r="W1169" s="32" t="s">
        <v>7476</v>
      </c>
      <c r="X1169">
        <v>0</v>
      </c>
      <c r="Y1169" s="34" t="s">
        <v>7476</v>
      </c>
      <c r="Z1169" s="34" t="s">
        <v>7476</v>
      </c>
      <c r="AA1169" s="34" t="s">
        <v>7476</v>
      </c>
      <c r="AB1169" s="36" t="s">
        <v>95</v>
      </c>
      <c r="AD1169" t="s">
        <v>3667</v>
      </c>
      <c r="AE1169" t="s">
        <v>3668</v>
      </c>
      <c r="AF1169" s="16">
        <v>44698</v>
      </c>
      <c r="AG1169" t="s">
        <v>64</v>
      </c>
      <c r="AH1169">
        <v>6</v>
      </c>
      <c r="AK1169" s="38">
        <f t="shared" si="432"/>
        <v>44891.569456018522</v>
      </c>
    </row>
    <row r="1170" spans="1:43" x14ac:dyDescent="0.35">
      <c r="A1170">
        <v>1451</v>
      </c>
      <c r="B1170" t="s">
        <v>3669</v>
      </c>
      <c r="C1170" t="s">
        <v>3514</v>
      </c>
      <c r="D1170" t="str">
        <f t="shared" si="430"/>
        <v>HR</v>
      </c>
      <c r="E1170" t="s">
        <v>3607</v>
      </c>
      <c r="F1170" t="s">
        <v>3608</v>
      </c>
      <c r="G1170" t="s">
        <v>3609</v>
      </c>
      <c r="H1170" t="s">
        <v>48</v>
      </c>
      <c r="I1170" s="32">
        <v>45024.57240740741</v>
      </c>
      <c r="J1170" s="32">
        <v>45027.57240740741</v>
      </c>
      <c r="K1170" s="32">
        <v>45029.57240740741</v>
      </c>
      <c r="L1170" s="8">
        <f t="shared" si="431"/>
        <v>5</v>
      </c>
      <c r="M1170" s="7">
        <v>45041.57240740741</v>
      </c>
      <c r="N1170" t="s">
        <v>49</v>
      </c>
      <c r="O1170" s="34">
        <v>45041.57240740741</v>
      </c>
      <c r="P1170" t="s">
        <v>50</v>
      </c>
      <c r="Q1170" t="s">
        <v>236</v>
      </c>
      <c r="R1170" s="32" t="s">
        <v>7472</v>
      </c>
      <c r="S1170" t="s">
        <v>7476</v>
      </c>
      <c r="T1170" s="34" t="s">
        <v>7476</v>
      </c>
      <c r="U1170" s="34" t="s">
        <v>7476</v>
      </c>
      <c r="V1170" s="32">
        <v>45045.57240740741</v>
      </c>
      <c r="W1170" s="32" t="s">
        <v>7476</v>
      </c>
      <c r="X1170">
        <v>0</v>
      </c>
      <c r="Y1170" s="34" t="s">
        <v>7476</v>
      </c>
      <c r="Z1170" s="34" t="s">
        <v>7476</v>
      </c>
      <c r="AA1170" s="34" t="s">
        <v>7476</v>
      </c>
      <c r="AB1170" s="36" t="s">
        <v>52</v>
      </c>
      <c r="AD1170" t="s">
        <v>3670</v>
      </c>
      <c r="AE1170" t="s">
        <v>3671</v>
      </c>
      <c r="AF1170" s="16">
        <v>45035</v>
      </c>
      <c r="AG1170" t="s">
        <v>98</v>
      </c>
      <c r="AH1170">
        <v>3</v>
      </c>
      <c r="AI1170" s="8" t="str">
        <f t="shared" ref="AI1170:AI1177" si="433">IFERROR(R1170-AF1170,"")</f>
        <v/>
      </c>
      <c r="AJ1170" s="8">
        <f t="shared" ref="AJ1170:AJ1177" si="434">IFERROR(O1170-AF1170,"")</f>
        <v>6.5724074074096279</v>
      </c>
      <c r="AK1170" s="38">
        <f t="shared" si="432"/>
        <v>45135.57240740741</v>
      </c>
      <c r="AL1170" t="str">
        <f t="shared" ref="AL1170:AL1177" si="435">IFERROR(Z1170-W1170,"")</f>
        <v/>
      </c>
      <c r="AM1170" t="str">
        <f t="shared" ref="AM1170:AM1177" si="436">IFERROR(R1170-J1170,"")</f>
        <v/>
      </c>
      <c r="AN1170">
        <f t="shared" ref="AN1170:AN1177" si="437">IFERROR(V1170-O1170,"")</f>
        <v>4</v>
      </c>
      <c r="AO1170">
        <f t="shared" ref="AO1170:AO1177" si="438">IFERROR(J1170-I1170,"")</f>
        <v>3</v>
      </c>
      <c r="AP1170">
        <f t="shared" ref="AP1170:AP1177" si="439">IFERROR(AC1170-X1170,"")</f>
        <v>0</v>
      </c>
      <c r="AQ1170" t="str">
        <f t="shared" ref="AQ1170:AQ1177" si="440">IFERROR(AA1170-W1170,"")</f>
        <v/>
      </c>
    </row>
    <row r="1171" spans="1:43" x14ac:dyDescent="0.35">
      <c r="A1171">
        <v>1366</v>
      </c>
      <c r="B1171" t="s">
        <v>3672</v>
      </c>
      <c r="C1171" t="s">
        <v>3514</v>
      </c>
      <c r="D1171" t="str">
        <f t="shared" si="430"/>
        <v>HR</v>
      </c>
      <c r="E1171" t="s">
        <v>3607</v>
      </c>
      <c r="F1171" t="s">
        <v>3608</v>
      </c>
      <c r="G1171" t="s">
        <v>3609</v>
      </c>
      <c r="H1171" t="s">
        <v>48</v>
      </c>
      <c r="I1171" s="32">
        <v>44854.163807870369</v>
      </c>
      <c r="J1171" s="32">
        <v>44855.163807870369</v>
      </c>
      <c r="K1171" s="32">
        <v>44856.163807870369</v>
      </c>
      <c r="L1171" s="8">
        <f t="shared" si="431"/>
        <v>2</v>
      </c>
      <c r="M1171" s="7">
        <v>44863.163807870369</v>
      </c>
      <c r="N1171" t="s">
        <v>49</v>
      </c>
      <c r="O1171" s="34">
        <v>44865.163807870369</v>
      </c>
      <c r="P1171" t="s">
        <v>50</v>
      </c>
      <c r="Q1171" t="s">
        <v>51</v>
      </c>
      <c r="R1171" s="32" t="s">
        <v>7472</v>
      </c>
      <c r="S1171" t="s">
        <v>7476</v>
      </c>
      <c r="T1171" s="34" t="s">
        <v>7476</v>
      </c>
      <c r="U1171" s="34" t="s">
        <v>7476</v>
      </c>
      <c r="V1171" s="32">
        <v>44867.163807870369</v>
      </c>
      <c r="W1171" s="32" t="s">
        <v>7476</v>
      </c>
      <c r="X1171">
        <v>0</v>
      </c>
      <c r="Y1171" s="34" t="s">
        <v>7476</v>
      </c>
      <c r="Z1171" s="34" t="s">
        <v>7476</v>
      </c>
      <c r="AA1171" s="34" t="s">
        <v>7476</v>
      </c>
      <c r="AB1171" s="36" t="s">
        <v>95</v>
      </c>
      <c r="AD1171" t="s">
        <v>3673</v>
      </c>
      <c r="AE1171" t="s">
        <v>3674</v>
      </c>
      <c r="AF1171" s="16">
        <v>44851</v>
      </c>
      <c r="AG1171" t="s">
        <v>68</v>
      </c>
      <c r="AH1171">
        <v>6</v>
      </c>
      <c r="AI1171" s="8" t="str">
        <f t="shared" si="433"/>
        <v/>
      </c>
      <c r="AJ1171" s="8">
        <f t="shared" si="434"/>
        <v>14.163807870369055</v>
      </c>
      <c r="AK1171" s="38">
        <f t="shared" si="432"/>
        <v>45047.163807870369</v>
      </c>
      <c r="AL1171" t="str">
        <f t="shared" si="435"/>
        <v/>
      </c>
      <c r="AM1171" t="str">
        <f t="shared" si="436"/>
        <v/>
      </c>
      <c r="AN1171">
        <f t="shared" si="437"/>
        <v>2</v>
      </c>
      <c r="AO1171">
        <f t="shared" si="438"/>
        <v>1</v>
      </c>
      <c r="AP1171">
        <f t="shared" si="439"/>
        <v>0</v>
      </c>
      <c r="AQ1171" t="str">
        <f t="shared" si="440"/>
        <v/>
      </c>
    </row>
    <row r="1172" spans="1:43" x14ac:dyDescent="0.35">
      <c r="A1172">
        <v>1319</v>
      </c>
      <c r="B1172" t="s">
        <v>3675</v>
      </c>
      <c r="C1172" t="s">
        <v>3514</v>
      </c>
      <c r="D1172" t="str">
        <f t="shared" si="430"/>
        <v>HR</v>
      </c>
      <c r="E1172" t="s">
        <v>3607</v>
      </c>
      <c r="F1172" t="s">
        <v>3608</v>
      </c>
      <c r="G1172" t="s">
        <v>3609</v>
      </c>
      <c r="H1172" t="s">
        <v>48</v>
      </c>
      <c r="I1172" s="32">
        <v>45147.233067129629</v>
      </c>
      <c r="J1172" s="32">
        <v>45151.233067129629</v>
      </c>
      <c r="K1172" s="32">
        <v>45155.233067129629</v>
      </c>
      <c r="L1172" s="8">
        <f t="shared" si="431"/>
        <v>8</v>
      </c>
      <c r="M1172" s="7">
        <v>45175.233067129629</v>
      </c>
      <c r="N1172" t="s">
        <v>49</v>
      </c>
      <c r="O1172" s="34">
        <v>45165.233067129629</v>
      </c>
      <c r="P1172" t="s">
        <v>50</v>
      </c>
      <c r="Q1172" t="s">
        <v>125</v>
      </c>
      <c r="R1172" s="32" t="s">
        <v>7472</v>
      </c>
      <c r="S1172" t="s">
        <v>7476</v>
      </c>
      <c r="T1172" s="34" t="s">
        <v>7476</v>
      </c>
      <c r="U1172" s="34" t="s">
        <v>7476</v>
      </c>
      <c r="V1172" s="32">
        <v>45169.233067129629</v>
      </c>
      <c r="W1172" s="32" t="s">
        <v>7476</v>
      </c>
      <c r="X1172">
        <v>0</v>
      </c>
      <c r="Y1172" s="34" t="s">
        <v>7476</v>
      </c>
      <c r="Z1172" s="34" t="s">
        <v>7476</v>
      </c>
      <c r="AA1172" s="34" t="s">
        <v>7476</v>
      </c>
      <c r="AB1172" s="36" t="s">
        <v>52</v>
      </c>
      <c r="AD1172" t="s">
        <v>3676</v>
      </c>
      <c r="AE1172" t="s">
        <v>3677</v>
      </c>
      <c r="AF1172" s="16">
        <v>45154</v>
      </c>
      <c r="AG1172" t="s">
        <v>68</v>
      </c>
      <c r="AH1172">
        <v>6</v>
      </c>
      <c r="AI1172" s="8" t="str">
        <f t="shared" si="433"/>
        <v/>
      </c>
      <c r="AJ1172" s="8">
        <f t="shared" si="434"/>
        <v>11.23306712962949</v>
      </c>
      <c r="AK1172" s="38">
        <f t="shared" si="432"/>
        <v>45349.233067129629</v>
      </c>
      <c r="AL1172" t="str">
        <f t="shared" si="435"/>
        <v/>
      </c>
      <c r="AM1172" t="str">
        <f t="shared" si="436"/>
        <v/>
      </c>
      <c r="AN1172">
        <f t="shared" si="437"/>
        <v>4</v>
      </c>
      <c r="AO1172">
        <f t="shared" si="438"/>
        <v>4</v>
      </c>
      <c r="AP1172">
        <f t="shared" si="439"/>
        <v>0</v>
      </c>
      <c r="AQ1172" t="str">
        <f t="shared" si="440"/>
        <v/>
      </c>
    </row>
    <row r="1173" spans="1:43" x14ac:dyDescent="0.35">
      <c r="A1173">
        <v>1311</v>
      </c>
      <c r="B1173" t="s">
        <v>3678</v>
      </c>
      <c r="C1173" t="s">
        <v>3507</v>
      </c>
      <c r="D1173" t="str">
        <f t="shared" si="430"/>
        <v>HR</v>
      </c>
      <c r="E1173" t="s">
        <v>3607</v>
      </c>
      <c r="F1173" t="s">
        <v>3608</v>
      </c>
      <c r="G1173" t="s">
        <v>3609</v>
      </c>
      <c r="H1173" t="s">
        <v>48</v>
      </c>
      <c r="I1173" s="32">
        <v>45150.233067129629</v>
      </c>
      <c r="J1173" s="32">
        <v>45151.233067129629</v>
      </c>
      <c r="K1173" s="32">
        <v>45155.233067129629</v>
      </c>
      <c r="L1173" s="8">
        <f t="shared" si="431"/>
        <v>5</v>
      </c>
      <c r="M1173" s="7">
        <v>45165.233067129629</v>
      </c>
      <c r="N1173" t="s">
        <v>49</v>
      </c>
      <c r="O1173" s="34">
        <v>45165.233067129629</v>
      </c>
      <c r="P1173" t="s">
        <v>50</v>
      </c>
      <c r="Q1173" t="s">
        <v>125</v>
      </c>
      <c r="R1173" s="32" t="s">
        <v>7472</v>
      </c>
      <c r="S1173" t="s">
        <v>7476</v>
      </c>
      <c r="T1173" s="34" t="s">
        <v>7476</v>
      </c>
      <c r="U1173" s="34" t="s">
        <v>7476</v>
      </c>
      <c r="V1173" s="32" t="s">
        <v>7476</v>
      </c>
      <c r="W1173" s="32" t="s">
        <v>7476</v>
      </c>
      <c r="X1173">
        <v>0</v>
      </c>
      <c r="Y1173" s="34" t="s">
        <v>7476</v>
      </c>
      <c r="Z1173" s="34" t="s">
        <v>7476</v>
      </c>
      <c r="AA1173" s="34" t="s">
        <v>7476</v>
      </c>
      <c r="AB1173" s="36" t="s">
        <v>52</v>
      </c>
      <c r="AD1173" t="s">
        <v>3679</v>
      </c>
      <c r="AE1173" t="s">
        <v>3680</v>
      </c>
      <c r="AF1173" s="16">
        <v>45150</v>
      </c>
      <c r="AG1173" t="s">
        <v>64</v>
      </c>
      <c r="AH1173">
        <v>3</v>
      </c>
      <c r="AI1173" s="8" t="str">
        <f t="shared" si="433"/>
        <v/>
      </c>
      <c r="AJ1173" s="8">
        <f t="shared" si="434"/>
        <v>15.23306712962949</v>
      </c>
      <c r="AK1173" s="38" t="str">
        <f t="shared" si="432"/>
        <v/>
      </c>
      <c r="AL1173" t="str">
        <f t="shared" si="435"/>
        <v/>
      </c>
      <c r="AM1173" t="str">
        <f t="shared" si="436"/>
        <v/>
      </c>
      <c r="AN1173" t="str">
        <f t="shared" si="437"/>
        <v/>
      </c>
      <c r="AO1173">
        <f t="shared" si="438"/>
        <v>1</v>
      </c>
      <c r="AP1173">
        <f t="shared" si="439"/>
        <v>0</v>
      </c>
      <c r="AQ1173" t="str">
        <f t="shared" si="440"/>
        <v/>
      </c>
    </row>
    <row r="1174" spans="1:43" x14ac:dyDescent="0.35">
      <c r="A1174">
        <v>1279</v>
      </c>
      <c r="B1174" t="s">
        <v>3681</v>
      </c>
      <c r="C1174" t="s">
        <v>3507</v>
      </c>
      <c r="D1174" t="str">
        <f t="shared" si="430"/>
        <v>HR</v>
      </c>
      <c r="E1174" t="s">
        <v>3607</v>
      </c>
      <c r="F1174" t="s">
        <v>3608</v>
      </c>
      <c r="G1174" t="s">
        <v>3609</v>
      </c>
      <c r="H1174" t="s">
        <v>48</v>
      </c>
      <c r="I1174" s="32">
        <v>44712.107928240737</v>
      </c>
      <c r="J1174" s="32">
        <v>44715.107928240737</v>
      </c>
      <c r="K1174" s="32">
        <v>44717.107928240737</v>
      </c>
      <c r="L1174" s="8">
        <f t="shared" si="431"/>
        <v>5</v>
      </c>
      <c r="M1174" s="7">
        <v>44726.107928240737</v>
      </c>
      <c r="N1174" t="s">
        <v>49</v>
      </c>
      <c r="O1174" s="34">
        <v>44723.107928240737</v>
      </c>
      <c r="P1174" t="s">
        <v>50</v>
      </c>
      <c r="Q1174" t="s">
        <v>51</v>
      </c>
      <c r="R1174" s="32" t="s">
        <v>7472</v>
      </c>
      <c r="S1174" t="s">
        <v>7476</v>
      </c>
      <c r="T1174" s="34" t="s">
        <v>7476</v>
      </c>
      <c r="U1174" s="34" t="s">
        <v>7476</v>
      </c>
      <c r="V1174" s="32">
        <v>44725.107928240737</v>
      </c>
      <c r="W1174" s="32" t="s">
        <v>7476</v>
      </c>
      <c r="X1174">
        <v>0</v>
      </c>
      <c r="Y1174" s="34" t="s">
        <v>7476</v>
      </c>
      <c r="Z1174" s="34" t="s">
        <v>7476</v>
      </c>
      <c r="AA1174" s="34" t="s">
        <v>7476</v>
      </c>
      <c r="AB1174" s="36" t="s">
        <v>95</v>
      </c>
      <c r="AD1174" t="s">
        <v>3682</v>
      </c>
      <c r="AE1174" t="s">
        <v>3683</v>
      </c>
      <c r="AF1174" s="16">
        <v>44717</v>
      </c>
      <c r="AG1174" t="s">
        <v>98</v>
      </c>
      <c r="AH1174">
        <v>3</v>
      </c>
      <c r="AI1174" s="8" t="str">
        <f t="shared" si="433"/>
        <v/>
      </c>
      <c r="AJ1174" s="8">
        <f t="shared" si="434"/>
        <v>6.1079282407372375</v>
      </c>
      <c r="AK1174" s="38">
        <f t="shared" si="432"/>
        <v>44815.107928240737</v>
      </c>
      <c r="AL1174" t="str">
        <f t="shared" si="435"/>
        <v/>
      </c>
      <c r="AM1174" t="str">
        <f t="shared" si="436"/>
        <v/>
      </c>
      <c r="AN1174">
        <f t="shared" si="437"/>
        <v>2</v>
      </c>
      <c r="AO1174">
        <f t="shared" si="438"/>
        <v>3</v>
      </c>
      <c r="AP1174">
        <f t="shared" si="439"/>
        <v>0</v>
      </c>
      <c r="AQ1174" t="str">
        <f t="shared" si="440"/>
        <v/>
      </c>
    </row>
    <row r="1175" spans="1:43" x14ac:dyDescent="0.35">
      <c r="A1175">
        <v>1169</v>
      </c>
      <c r="B1175" t="s">
        <v>3684</v>
      </c>
      <c r="C1175" t="s">
        <v>3554</v>
      </c>
      <c r="D1175" t="str">
        <f t="shared" si="430"/>
        <v>HR</v>
      </c>
      <c r="E1175" t="s">
        <v>3607</v>
      </c>
      <c r="F1175" t="s">
        <v>3608</v>
      </c>
      <c r="G1175" t="s">
        <v>3609</v>
      </c>
      <c r="H1175" t="s">
        <v>48</v>
      </c>
      <c r="I1175" s="32">
        <v>44968.866122685176</v>
      </c>
      <c r="J1175" s="32">
        <v>44972.866122685176</v>
      </c>
      <c r="K1175" s="32">
        <v>44973.866122685176</v>
      </c>
      <c r="L1175" s="8">
        <f t="shared" si="431"/>
        <v>5</v>
      </c>
      <c r="M1175" s="7">
        <v>44990.866122685176</v>
      </c>
      <c r="N1175" t="s">
        <v>49</v>
      </c>
      <c r="O1175" s="34">
        <v>44985.866122685176</v>
      </c>
      <c r="P1175" t="s">
        <v>50</v>
      </c>
      <c r="Q1175" t="s">
        <v>125</v>
      </c>
      <c r="R1175" s="32" t="s">
        <v>7472</v>
      </c>
      <c r="S1175" t="s">
        <v>7476</v>
      </c>
      <c r="T1175" s="34" t="s">
        <v>7476</v>
      </c>
      <c r="U1175" s="34" t="s">
        <v>7476</v>
      </c>
      <c r="V1175" s="32" t="s">
        <v>7476</v>
      </c>
      <c r="W1175" s="32" t="s">
        <v>7476</v>
      </c>
      <c r="X1175">
        <v>0</v>
      </c>
      <c r="Y1175" s="34" t="s">
        <v>7476</v>
      </c>
      <c r="Z1175" s="34" t="s">
        <v>7476</v>
      </c>
      <c r="AA1175" s="34" t="s">
        <v>7476</v>
      </c>
      <c r="AB1175" s="36" t="s">
        <v>52</v>
      </c>
      <c r="AD1175" t="s">
        <v>3685</v>
      </c>
      <c r="AE1175" t="s">
        <v>3686</v>
      </c>
      <c r="AF1175" s="16">
        <v>44979</v>
      </c>
      <c r="AG1175" t="s">
        <v>64</v>
      </c>
      <c r="AH1175">
        <v>3</v>
      </c>
      <c r="AI1175" s="8" t="str">
        <f t="shared" si="433"/>
        <v/>
      </c>
      <c r="AJ1175" s="8">
        <f t="shared" si="434"/>
        <v>6.8661226851763786</v>
      </c>
      <c r="AK1175" s="38" t="str">
        <f t="shared" si="432"/>
        <v/>
      </c>
      <c r="AL1175" t="str">
        <f t="shared" si="435"/>
        <v/>
      </c>
      <c r="AM1175" t="str">
        <f t="shared" si="436"/>
        <v/>
      </c>
      <c r="AN1175" t="str">
        <f t="shared" si="437"/>
        <v/>
      </c>
      <c r="AO1175">
        <f t="shared" si="438"/>
        <v>4</v>
      </c>
      <c r="AP1175">
        <f t="shared" si="439"/>
        <v>0</v>
      </c>
      <c r="AQ1175" t="str">
        <f t="shared" si="440"/>
        <v/>
      </c>
    </row>
    <row r="1176" spans="1:43" x14ac:dyDescent="0.35">
      <c r="A1176">
        <v>1166</v>
      </c>
      <c r="B1176" t="s">
        <v>3687</v>
      </c>
      <c r="C1176" t="s">
        <v>3507</v>
      </c>
      <c r="D1176" t="str">
        <f t="shared" si="430"/>
        <v>HR</v>
      </c>
      <c r="E1176" t="s">
        <v>3607</v>
      </c>
      <c r="F1176" t="s">
        <v>3608</v>
      </c>
      <c r="G1176" t="s">
        <v>3609</v>
      </c>
      <c r="H1176" t="s">
        <v>48</v>
      </c>
      <c r="I1176" s="32">
        <v>44964.866122685176</v>
      </c>
      <c r="J1176" s="32">
        <v>44968.866122685176</v>
      </c>
      <c r="K1176" s="32">
        <v>44973.866122685176</v>
      </c>
      <c r="L1176" s="8">
        <f t="shared" si="431"/>
        <v>9</v>
      </c>
      <c r="M1176" s="7">
        <v>45002.866122685176</v>
      </c>
      <c r="N1176" t="s">
        <v>49</v>
      </c>
      <c r="O1176" s="34">
        <v>44981.866122685176</v>
      </c>
      <c r="P1176" t="s">
        <v>60</v>
      </c>
      <c r="R1176" s="32">
        <v>44986.866122685176</v>
      </c>
      <c r="S1176" t="s">
        <v>61</v>
      </c>
      <c r="T1176" s="34" t="s">
        <v>7476</v>
      </c>
      <c r="U1176" s="34" t="s">
        <v>7476</v>
      </c>
      <c r="V1176" s="32">
        <v>44983.866122685176</v>
      </c>
      <c r="W1176" s="32" t="s">
        <v>7476</v>
      </c>
      <c r="X1176">
        <v>0</v>
      </c>
      <c r="Y1176" s="34" t="s">
        <v>7476</v>
      </c>
      <c r="Z1176" s="34" t="s">
        <v>7476</v>
      </c>
      <c r="AA1176" s="34" t="s">
        <v>7476</v>
      </c>
      <c r="AB1176" s="36" t="s">
        <v>7476</v>
      </c>
      <c r="AD1176" t="s">
        <v>3688</v>
      </c>
      <c r="AE1176" t="s">
        <v>3689</v>
      </c>
      <c r="AF1176" s="16">
        <v>44971</v>
      </c>
      <c r="AG1176" t="s">
        <v>64</v>
      </c>
      <c r="AH1176">
        <v>3</v>
      </c>
      <c r="AI1176" s="8">
        <f t="shared" si="433"/>
        <v>15.866122685176379</v>
      </c>
      <c r="AJ1176" s="8">
        <f t="shared" si="434"/>
        <v>10.866122685176379</v>
      </c>
      <c r="AK1176" s="38">
        <f t="shared" si="432"/>
        <v>45073.866122685176</v>
      </c>
      <c r="AL1176" t="str">
        <f t="shared" si="435"/>
        <v/>
      </c>
      <c r="AM1176">
        <f t="shared" si="436"/>
        <v>18</v>
      </c>
      <c r="AN1176">
        <f t="shared" si="437"/>
        <v>2</v>
      </c>
      <c r="AO1176">
        <f t="shared" si="438"/>
        <v>4</v>
      </c>
      <c r="AP1176">
        <f t="shared" si="439"/>
        <v>0</v>
      </c>
      <c r="AQ1176" t="str">
        <f t="shared" si="440"/>
        <v/>
      </c>
    </row>
    <row r="1177" spans="1:43" x14ac:dyDescent="0.35">
      <c r="A1177">
        <v>1137</v>
      </c>
      <c r="B1177" t="s">
        <v>3690</v>
      </c>
      <c r="C1177" t="s">
        <v>3514</v>
      </c>
      <c r="D1177" t="str">
        <f t="shared" si="430"/>
        <v>HR</v>
      </c>
      <c r="E1177" t="s">
        <v>3607</v>
      </c>
      <c r="F1177" t="s">
        <v>3608</v>
      </c>
      <c r="G1177" t="s">
        <v>3609</v>
      </c>
      <c r="H1177" t="s">
        <v>48</v>
      </c>
      <c r="I1177" s="32">
        <v>44635.796018518522</v>
      </c>
      <c r="J1177" s="32">
        <v>44637.796018518522</v>
      </c>
      <c r="K1177" s="32">
        <v>44639.796018518522</v>
      </c>
      <c r="L1177" s="8">
        <f t="shared" si="431"/>
        <v>4</v>
      </c>
      <c r="M1177" s="7">
        <v>44644.796018518522</v>
      </c>
      <c r="N1177" t="s">
        <v>49</v>
      </c>
      <c r="O1177" s="34">
        <v>44647.796018518522</v>
      </c>
      <c r="P1177" t="s">
        <v>60</v>
      </c>
      <c r="R1177" s="32">
        <v>44650.796018518522</v>
      </c>
      <c r="S1177" t="s">
        <v>61</v>
      </c>
      <c r="T1177" s="34" t="s">
        <v>7476</v>
      </c>
      <c r="U1177" s="34" t="s">
        <v>7476</v>
      </c>
      <c r="V1177" s="32">
        <v>44649.796018518522</v>
      </c>
      <c r="W1177" s="32" t="s">
        <v>7476</v>
      </c>
      <c r="X1177">
        <v>0</v>
      </c>
      <c r="Y1177" s="34" t="s">
        <v>7476</v>
      </c>
      <c r="Z1177" s="34" t="s">
        <v>7476</v>
      </c>
      <c r="AA1177" s="34" t="s">
        <v>7476</v>
      </c>
      <c r="AB1177" s="36" t="s">
        <v>7476</v>
      </c>
      <c r="AD1177" t="s">
        <v>3691</v>
      </c>
      <c r="AE1177" t="s">
        <v>3692</v>
      </c>
      <c r="AF1177" s="16">
        <v>44631</v>
      </c>
      <c r="AG1177" t="s">
        <v>68</v>
      </c>
      <c r="AH1177">
        <v>3</v>
      </c>
      <c r="AI1177" s="8">
        <f t="shared" si="433"/>
        <v>19.796018518522033</v>
      </c>
      <c r="AJ1177" s="8">
        <f t="shared" si="434"/>
        <v>16.796018518522033</v>
      </c>
      <c r="AK1177" s="38">
        <f t="shared" si="432"/>
        <v>44739.796018518522</v>
      </c>
      <c r="AL1177" t="str">
        <f t="shared" si="435"/>
        <v/>
      </c>
      <c r="AM1177">
        <f t="shared" si="436"/>
        <v>13</v>
      </c>
      <c r="AN1177">
        <f t="shared" si="437"/>
        <v>2</v>
      </c>
      <c r="AO1177">
        <f t="shared" si="438"/>
        <v>2</v>
      </c>
      <c r="AP1177">
        <f t="shared" si="439"/>
        <v>0</v>
      </c>
      <c r="AQ1177" t="str">
        <f t="shared" si="440"/>
        <v/>
      </c>
    </row>
    <row r="1178" spans="1:43" x14ac:dyDescent="0.35">
      <c r="A1178">
        <v>1133</v>
      </c>
      <c r="B1178" t="s">
        <v>3693</v>
      </c>
      <c r="C1178" t="s">
        <v>3554</v>
      </c>
      <c r="D1178" t="str">
        <f t="shared" si="430"/>
        <v>HR</v>
      </c>
      <c r="E1178" t="s">
        <v>3607</v>
      </c>
      <c r="F1178" t="s">
        <v>3608</v>
      </c>
      <c r="G1178" t="s">
        <v>3609</v>
      </c>
      <c r="H1178" t="s">
        <v>48</v>
      </c>
      <c r="I1178" s="32">
        <v>44634.796018518522</v>
      </c>
      <c r="J1178" s="32">
        <v>44636.796018518522</v>
      </c>
      <c r="K1178" s="32" t="s">
        <v>7473</v>
      </c>
      <c r="L1178" s="8" t="str">
        <f t="shared" si="431"/>
        <v/>
      </c>
      <c r="M1178" s="7">
        <v>44660.796018518522</v>
      </c>
      <c r="N1178" t="s">
        <v>49</v>
      </c>
      <c r="O1178" s="34">
        <v>44649.796018518522</v>
      </c>
      <c r="P1178" t="s">
        <v>60</v>
      </c>
      <c r="R1178" s="32">
        <v>44653.796018518522</v>
      </c>
      <c r="S1178" t="s">
        <v>61</v>
      </c>
      <c r="T1178" s="34" t="s">
        <v>7476</v>
      </c>
      <c r="U1178" s="34" t="s">
        <v>7476</v>
      </c>
      <c r="V1178" s="32">
        <v>44652.796018518522</v>
      </c>
      <c r="W1178" s="32" t="s">
        <v>7476</v>
      </c>
      <c r="X1178">
        <v>0</v>
      </c>
      <c r="Y1178" s="34" t="s">
        <v>7476</v>
      </c>
      <c r="Z1178" s="34" t="s">
        <v>7476</v>
      </c>
      <c r="AA1178" s="34" t="s">
        <v>7476</v>
      </c>
      <c r="AB1178" s="36" t="s">
        <v>7476</v>
      </c>
      <c r="AD1178" t="s">
        <v>3694</v>
      </c>
      <c r="AE1178" t="s">
        <v>3695</v>
      </c>
      <c r="AF1178" s="16">
        <v>44638</v>
      </c>
      <c r="AG1178" t="s">
        <v>64</v>
      </c>
      <c r="AH1178">
        <v>3</v>
      </c>
      <c r="AK1178" s="38">
        <f t="shared" si="432"/>
        <v>44742.796018518522</v>
      </c>
    </row>
    <row r="1179" spans="1:43" x14ac:dyDescent="0.35">
      <c r="A1179">
        <v>1125</v>
      </c>
      <c r="B1179" t="s">
        <v>3696</v>
      </c>
      <c r="C1179" t="s">
        <v>3514</v>
      </c>
      <c r="D1179" t="str">
        <f t="shared" si="430"/>
        <v>HR</v>
      </c>
      <c r="E1179" t="s">
        <v>3607</v>
      </c>
      <c r="F1179" t="s">
        <v>3608</v>
      </c>
      <c r="G1179" t="s">
        <v>3609</v>
      </c>
      <c r="H1179" t="s">
        <v>48</v>
      </c>
      <c r="I1179" s="32">
        <v>45097.561550925922</v>
      </c>
      <c r="J1179" s="32">
        <v>45099.561550925922</v>
      </c>
      <c r="K1179" s="32">
        <v>45102.561550925922</v>
      </c>
      <c r="L1179" s="8">
        <f t="shared" si="431"/>
        <v>5</v>
      </c>
      <c r="M1179" s="7">
        <v>45108.561550925922</v>
      </c>
      <c r="N1179" t="s">
        <v>49</v>
      </c>
      <c r="O1179" s="34">
        <v>45109.561550925922</v>
      </c>
      <c r="P1179" t="s">
        <v>101</v>
      </c>
      <c r="R1179" s="32">
        <v>45115.561550925922</v>
      </c>
      <c r="S1179" t="s">
        <v>101</v>
      </c>
      <c r="T1179" s="34">
        <v>45110.561550925922</v>
      </c>
      <c r="U1179" s="34">
        <v>45113.561550925922</v>
      </c>
      <c r="V1179" s="32">
        <v>45112.561550925922</v>
      </c>
      <c r="W1179" s="32">
        <v>45114.561550925922</v>
      </c>
      <c r="X1179">
        <v>1</v>
      </c>
      <c r="Y1179" s="34">
        <v>45116.561550925922</v>
      </c>
      <c r="Z1179" s="34">
        <v>45118.561550925922</v>
      </c>
      <c r="AA1179" s="34">
        <v>45119.561550925922</v>
      </c>
      <c r="AB1179" s="36" t="s">
        <v>7476</v>
      </c>
      <c r="AC1179" s="10">
        <v>45135.561550925922</v>
      </c>
      <c r="AD1179" t="s">
        <v>3697</v>
      </c>
      <c r="AE1179" t="s">
        <v>3698</v>
      </c>
      <c r="AF1179" s="16">
        <v>45092</v>
      </c>
      <c r="AG1179" t="s">
        <v>98</v>
      </c>
      <c r="AH1179">
        <v>6</v>
      </c>
      <c r="AI1179" s="8">
        <f>IFERROR(R1179-AF1179,"")</f>
        <v>23.561550925922347</v>
      </c>
      <c r="AJ1179" s="8">
        <f>IFERROR(O1179-AF1179,"")</f>
        <v>17.561550925922347</v>
      </c>
      <c r="AK1179" s="38">
        <f t="shared" si="432"/>
        <v>45292.561550925922</v>
      </c>
      <c r="AL1179">
        <f>IFERROR(Z1179-W1179,"")</f>
        <v>4</v>
      </c>
      <c r="AM1179">
        <f>IFERROR(R1179-J1179,"")</f>
        <v>16</v>
      </c>
      <c r="AN1179">
        <f>IFERROR(V1179-O1179,"")</f>
        <v>3</v>
      </c>
      <c r="AO1179">
        <f>IFERROR(J1179-I1179,"")</f>
        <v>2</v>
      </c>
      <c r="AP1179">
        <f>IFERROR(AC1179-X1179,"")</f>
        <v>45134.561550925922</v>
      </c>
      <c r="AQ1179">
        <f>IFERROR(AA1179-W1179,"")</f>
        <v>5</v>
      </c>
    </row>
    <row r="1180" spans="1:43" x14ac:dyDescent="0.35">
      <c r="A1180">
        <v>1124</v>
      </c>
      <c r="B1180" t="s">
        <v>3699</v>
      </c>
      <c r="C1180" t="s">
        <v>3514</v>
      </c>
      <c r="D1180" t="str">
        <f t="shared" si="430"/>
        <v>HR</v>
      </c>
      <c r="E1180" t="s">
        <v>3607</v>
      </c>
      <c r="F1180" t="s">
        <v>46</v>
      </c>
      <c r="G1180" t="s">
        <v>3700</v>
      </c>
      <c r="H1180" t="s">
        <v>48</v>
      </c>
      <c r="I1180" s="32">
        <v>45096.561550925922</v>
      </c>
      <c r="J1180" s="32">
        <v>45099.561550925922</v>
      </c>
      <c r="K1180" s="32" t="s">
        <v>7473</v>
      </c>
      <c r="L1180" s="8" t="str">
        <f t="shared" si="431"/>
        <v/>
      </c>
      <c r="M1180" s="7">
        <v>45111.561550925922</v>
      </c>
      <c r="N1180" t="s">
        <v>49</v>
      </c>
      <c r="O1180" s="34">
        <v>45105.561550925922</v>
      </c>
      <c r="P1180" t="s">
        <v>50</v>
      </c>
      <c r="Q1180" t="s">
        <v>51</v>
      </c>
      <c r="R1180" s="32" t="s">
        <v>7472</v>
      </c>
      <c r="S1180" t="s">
        <v>7476</v>
      </c>
      <c r="T1180" s="34" t="s">
        <v>7476</v>
      </c>
      <c r="U1180" s="34" t="s">
        <v>7476</v>
      </c>
      <c r="V1180" s="32" t="s">
        <v>7476</v>
      </c>
      <c r="W1180" s="32" t="s">
        <v>7476</v>
      </c>
      <c r="X1180">
        <v>0</v>
      </c>
      <c r="Y1180" s="34" t="s">
        <v>7476</v>
      </c>
      <c r="Z1180" s="34" t="s">
        <v>7476</v>
      </c>
      <c r="AA1180" s="34" t="s">
        <v>7476</v>
      </c>
      <c r="AB1180" s="36" t="s">
        <v>95</v>
      </c>
      <c r="AD1180" t="s">
        <v>3701</v>
      </c>
      <c r="AE1180" t="s">
        <v>3702</v>
      </c>
      <c r="AF1180" s="16">
        <v>45090</v>
      </c>
      <c r="AG1180" t="s">
        <v>93</v>
      </c>
      <c r="AH1180">
        <v>3</v>
      </c>
      <c r="AK1180" s="38" t="str">
        <f t="shared" si="432"/>
        <v/>
      </c>
    </row>
    <row r="1181" spans="1:43" x14ac:dyDescent="0.35">
      <c r="A1181">
        <v>1090</v>
      </c>
      <c r="B1181" t="s">
        <v>3703</v>
      </c>
      <c r="C1181" t="s">
        <v>3514</v>
      </c>
      <c r="D1181" t="str">
        <f t="shared" si="430"/>
        <v>HR</v>
      </c>
      <c r="E1181" t="s">
        <v>3607</v>
      </c>
      <c r="F1181" t="s">
        <v>46</v>
      </c>
      <c r="G1181" t="s">
        <v>3700</v>
      </c>
      <c r="H1181" t="s">
        <v>48</v>
      </c>
      <c r="I1181" s="32">
        <v>44891.976215277777</v>
      </c>
      <c r="J1181" s="32">
        <v>44893.976215277777</v>
      </c>
      <c r="K1181" s="32">
        <v>44899.976215277777</v>
      </c>
      <c r="L1181" s="8">
        <f t="shared" si="431"/>
        <v>8</v>
      </c>
      <c r="M1181" s="7">
        <v>44918.976215277777</v>
      </c>
      <c r="N1181" t="s">
        <v>49</v>
      </c>
      <c r="O1181" s="34">
        <v>44914.976215277777</v>
      </c>
      <c r="P1181" t="s">
        <v>60</v>
      </c>
      <c r="R1181" s="32">
        <v>44921.976215277777</v>
      </c>
      <c r="S1181" t="s">
        <v>61</v>
      </c>
      <c r="T1181" s="34" t="s">
        <v>7476</v>
      </c>
      <c r="U1181" s="34" t="s">
        <v>7476</v>
      </c>
      <c r="V1181" s="32">
        <v>44917.976215277777</v>
      </c>
      <c r="W1181" s="32" t="s">
        <v>7476</v>
      </c>
      <c r="X1181">
        <v>0</v>
      </c>
      <c r="Y1181" s="34" t="s">
        <v>7476</v>
      </c>
      <c r="Z1181" s="34" t="s">
        <v>7476</v>
      </c>
      <c r="AA1181" s="34" t="s">
        <v>7476</v>
      </c>
      <c r="AB1181" s="36" t="s">
        <v>7476</v>
      </c>
      <c r="AD1181" t="s">
        <v>3704</v>
      </c>
      <c r="AE1181" t="s">
        <v>3705</v>
      </c>
      <c r="AF1181" s="16">
        <v>44903</v>
      </c>
      <c r="AG1181" t="s">
        <v>98</v>
      </c>
      <c r="AH1181">
        <v>3</v>
      </c>
      <c r="AI1181" s="8">
        <f>IFERROR(R1181-AF1181,"")</f>
        <v>18.976215277776646</v>
      </c>
      <c r="AJ1181" s="8">
        <f>IFERROR(O1181-AF1181,"")</f>
        <v>11.976215277776646</v>
      </c>
      <c r="AK1181" s="38">
        <f t="shared" si="432"/>
        <v>45007.976215277777</v>
      </c>
      <c r="AL1181" t="str">
        <f>IFERROR(Z1181-W1181,"")</f>
        <v/>
      </c>
      <c r="AM1181">
        <f>IFERROR(R1181-J1181,"")</f>
        <v>28</v>
      </c>
      <c r="AN1181">
        <f>IFERROR(V1181-O1181,"")</f>
        <v>3</v>
      </c>
      <c r="AO1181">
        <f>IFERROR(J1181-I1181,"")</f>
        <v>2</v>
      </c>
      <c r="AP1181">
        <f>IFERROR(AC1181-X1181,"")</f>
        <v>0</v>
      </c>
      <c r="AQ1181" t="str">
        <f>IFERROR(AA1181-W1181,"")</f>
        <v/>
      </c>
    </row>
    <row r="1182" spans="1:43" x14ac:dyDescent="0.35">
      <c r="A1182">
        <v>1086</v>
      </c>
      <c r="B1182" t="s">
        <v>3706</v>
      </c>
      <c r="C1182" t="s">
        <v>3554</v>
      </c>
      <c r="D1182" t="str">
        <f t="shared" si="430"/>
        <v>HR</v>
      </c>
      <c r="E1182" t="s">
        <v>3607</v>
      </c>
      <c r="F1182" t="s">
        <v>46</v>
      </c>
      <c r="G1182" t="s">
        <v>3700</v>
      </c>
      <c r="H1182" t="s">
        <v>48</v>
      </c>
      <c r="I1182" s="32">
        <v>44893.976215277777</v>
      </c>
      <c r="J1182" s="32">
        <v>44896.976215277777</v>
      </c>
      <c r="K1182" s="32">
        <v>44899.976215277777</v>
      </c>
      <c r="L1182" s="8">
        <f t="shared" si="431"/>
        <v>6</v>
      </c>
      <c r="M1182" s="7">
        <v>44912.976215277777</v>
      </c>
      <c r="N1182" t="s">
        <v>49</v>
      </c>
      <c r="O1182" s="34">
        <v>44906.976215277777</v>
      </c>
      <c r="P1182" t="s">
        <v>50</v>
      </c>
      <c r="Q1182" t="s">
        <v>125</v>
      </c>
      <c r="R1182" s="32" t="s">
        <v>7472</v>
      </c>
      <c r="S1182" t="s">
        <v>7476</v>
      </c>
      <c r="T1182" s="34" t="s">
        <v>7476</v>
      </c>
      <c r="U1182" s="34" t="s">
        <v>7476</v>
      </c>
      <c r="V1182" s="32" t="s">
        <v>7476</v>
      </c>
      <c r="W1182" s="32" t="s">
        <v>7476</v>
      </c>
      <c r="X1182">
        <v>0</v>
      </c>
      <c r="Y1182" s="34" t="s">
        <v>7476</v>
      </c>
      <c r="Z1182" s="34" t="s">
        <v>7476</v>
      </c>
      <c r="AA1182" s="34" t="s">
        <v>7476</v>
      </c>
      <c r="AB1182" s="36" t="s">
        <v>52</v>
      </c>
      <c r="AD1182" t="s">
        <v>3707</v>
      </c>
      <c r="AE1182" t="s">
        <v>3708</v>
      </c>
      <c r="AF1182" s="16">
        <v>44887</v>
      </c>
      <c r="AG1182" t="s">
        <v>98</v>
      </c>
      <c r="AH1182">
        <v>6</v>
      </c>
      <c r="AI1182" s="8" t="str">
        <f>IFERROR(R1182-AF1182,"")</f>
        <v/>
      </c>
      <c r="AJ1182" s="8">
        <f>IFERROR(O1182-AF1182,"")</f>
        <v>19.976215277776646</v>
      </c>
      <c r="AK1182" s="38" t="str">
        <f t="shared" si="432"/>
        <v/>
      </c>
      <c r="AL1182" t="str">
        <f>IFERROR(Z1182-W1182,"")</f>
        <v/>
      </c>
      <c r="AM1182" t="str">
        <f>IFERROR(R1182-J1182,"")</f>
        <v/>
      </c>
      <c r="AN1182" t="str">
        <f>IFERROR(V1182-O1182,"")</f>
        <v/>
      </c>
      <c r="AO1182">
        <f>IFERROR(J1182-I1182,"")</f>
        <v>3</v>
      </c>
      <c r="AP1182">
        <f>IFERROR(AC1182-X1182,"")</f>
        <v>0</v>
      </c>
      <c r="AQ1182" t="str">
        <f>IFERROR(AA1182-W1182,"")</f>
        <v/>
      </c>
    </row>
    <row r="1183" spans="1:43" x14ac:dyDescent="0.35">
      <c r="A1183">
        <v>1045</v>
      </c>
      <c r="B1183" t="s">
        <v>3709</v>
      </c>
      <c r="C1183" t="s">
        <v>3514</v>
      </c>
      <c r="D1183" t="str">
        <f t="shared" si="430"/>
        <v>HR</v>
      </c>
      <c r="E1183" t="s">
        <v>3607</v>
      </c>
      <c r="F1183" t="s">
        <v>46</v>
      </c>
      <c r="G1183" t="s">
        <v>3700</v>
      </c>
      <c r="H1183" t="s">
        <v>48</v>
      </c>
      <c r="I1183" s="32">
        <v>44886.960578703707</v>
      </c>
      <c r="J1183" s="32">
        <v>44888.960578703707</v>
      </c>
      <c r="K1183" s="32">
        <v>44891.960578703707</v>
      </c>
      <c r="L1183" s="8">
        <f t="shared" si="431"/>
        <v>5</v>
      </c>
      <c r="M1183" s="7">
        <v>44899.960578703707</v>
      </c>
      <c r="N1183" t="s">
        <v>49</v>
      </c>
      <c r="O1183" s="34">
        <v>44902.960578703707</v>
      </c>
      <c r="P1183" t="s">
        <v>50</v>
      </c>
      <c r="Q1183" t="s">
        <v>125</v>
      </c>
      <c r="R1183" s="32" t="s">
        <v>7472</v>
      </c>
      <c r="S1183" t="s">
        <v>7476</v>
      </c>
      <c r="T1183" s="34" t="s">
        <v>7476</v>
      </c>
      <c r="U1183" s="34" t="s">
        <v>7476</v>
      </c>
      <c r="V1183" s="32">
        <v>44906.960578703707</v>
      </c>
      <c r="W1183" s="32" t="s">
        <v>7476</v>
      </c>
      <c r="X1183">
        <v>0</v>
      </c>
      <c r="Y1183" s="34" t="s">
        <v>7476</v>
      </c>
      <c r="Z1183" s="34" t="s">
        <v>7476</v>
      </c>
      <c r="AA1183" s="34" t="s">
        <v>7476</v>
      </c>
      <c r="AB1183" s="36" t="s">
        <v>95</v>
      </c>
      <c r="AD1183" t="s">
        <v>3710</v>
      </c>
      <c r="AE1183" t="s">
        <v>3711</v>
      </c>
      <c r="AF1183" s="16">
        <v>44883</v>
      </c>
      <c r="AG1183" t="s">
        <v>68</v>
      </c>
      <c r="AH1183">
        <v>3</v>
      </c>
      <c r="AI1183" s="8" t="str">
        <f>IFERROR(R1183-AF1183,"")</f>
        <v/>
      </c>
      <c r="AJ1183" s="8">
        <f>IFERROR(O1183-AF1183,"")</f>
        <v>19.960578703707142</v>
      </c>
      <c r="AK1183" s="38">
        <f t="shared" si="432"/>
        <v>44996.960578703707</v>
      </c>
      <c r="AL1183" t="str">
        <f>IFERROR(Z1183-W1183,"")</f>
        <v/>
      </c>
      <c r="AM1183" t="str">
        <f>IFERROR(R1183-J1183,"")</f>
        <v/>
      </c>
      <c r="AN1183">
        <f>IFERROR(V1183-O1183,"")</f>
        <v>4</v>
      </c>
      <c r="AO1183">
        <f>IFERROR(J1183-I1183,"")</f>
        <v>2</v>
      </c>
      <c r="AP1183">
        <f>IFERROR(AC1183-X1183,"")</f>
        <v>0</v>
      </c>
      <c r="AQ1183" t="str">
        <f>IFERROR(AA1183-W1183,"")</f>
        <v/>
      </c>
    </row>
    <row r="1184" spans="1:43" x14ac:dyDescent="0.35">
      <c r="A1184">
        <v>1025</v>
      </c>
      <c r="B1184" t="s">
        <v>3712</v>
      </c>
      <c r="C1184" t="s">
        <v>3554</v>
      </c>
      <c r="D1184" t="str">
        <f t="shared" si="430"/>
        <v>HR</v>
      </c>
      <c r="E1184" t="s">
        <v>3607</v>
      </c>
      <c r="F1184" t="s">
        <v>46</v>
      </c>
      <c r="G1184" t="s">
        <v>3700</v>
      </c>
      <c r="H1184" t="s">
        <v>48</v>
      </c>
      <c r="I1184" s="32">
        <v>44954.791134259263</v>
      </c>
      <c r="J1184" s="32">
        <v>44957.791134259263</v>
      </c>
      <c r="K1184" s="32">
        <v>44958.791134259263</v>
      </c>
      <c r="L1184" s="8">
        <f t="shared" si="431"/>
        <v>4</v>
      </c>
      <c r="M1184" s="7">
        <v>44983.791134259263</v>
      </c>
      <c r="N1184" t="s">
        <v>49</v>
      </c>
      <c r="O1184" s="34">
        <v>44965.791134259263</v>
      </c>
      <c r="P1184" t="s">
        <v>392</v>
      </c>
      <c r="R1184" s="32">
        <v>44968.791134259263</v>
      </c>
      <c r="S1184" t="s">
        <v>392</v>
      </c>
      <c r="T1184" s="34" t="s">
        <v>7476</v>
      </c>
      <c r="U1184" s="34" t="s">
        <v>7476</v>
      </c>
      <c r="V1184" s="32">
        <v>44967.791134259263</v>
      </c>
      <c r="W1184" s="32" t="s">
        <v>7476</v>
      </c>
      <c r="X1184">
        <v>0</v>
      </c>
      <c r="Y1184" s="34" t="s">
        <v>7476</v>
      </c>
      <c r="Z1184" s="34" t="s">
        <v>7476</v>
      </c>
      <c r="AA1184" s="34" t="s">
        <v>7476</v>
      </c>
      <c r="AB1184" s="36" t="s">
        <v>7476</v>
      </c>
      <c r="AD1184" t="s">
        <v>3713</v>
      </c>
      <c r="AE1184" t="s">
        <v>3714</v>
      </c>
      <c r="AF1184" s="16">
        <v>44953</v>
      </c>
      <c r="AG1184" t="s">
        <v>64</v>
      </c>
      <c r="AH1184">
        <v>6</v>
      </c>
      <c r="AI1184" s="8">
        <f>IFERROR(R1184-AF1184,"")</f>
        <v>15.791134259263345</v>
      </c>
      <c r="AJ1184" s="8">
        <f>IFERROR(O1184-AF1184,"")</f>
        <v>12.791134259263345</v>
      </c>
      <c r="AK1184" s="38">
        <f t="shared" si="432"/>
        <v>45147.791134259263</v>
      </c>
      <c r="AL1184" t="str">
        <f>IFERROR(Z1184-W1184,"")</f>
        <v/>
      </c>
      <c r="AM1184">
        <f>IFERROR(R1184-J1184,"")</f>
        <v>11</v>
      </c>
      <c r="AN1184">
        <f>IFERROR(V1184-O1184,"")</f>
        <v>2</v>
      </c>
      <c r="AO1184">
        <f>IFERROR(J1184-I1184,"")</f>
        <v>3</v>
      </c>
      <c r="AP1184">
        <f>IFERROR(AC1184-X1184,"")</f>
        <v>0</v>
      </c>
      <c r="AQ1184" t="str">
        <f>IFERROR(AA1184-W1184,"")</f>
        <v/>
      </c>
    </row>
    <row r="1185" spans="1:43" x14ac:dyDescent="0.35">
      <c r="A1185">
        <v>1021</v>
      </c>
      <c r="B1185" t="s">
        <v>3715</v>
      </c>
      <c r="C1185" t="s">
        <v>3507</v>
      </c>
      <c r="D1185" t="str">
        <f t="shared" si="430"/>
        <v>HR</v>
      </c>
      <c r="E1185" t="s">
        <v>3607</v>
      </c>
      <c r="F1185" t="s">
        <v>46</v>
      </c>
      <c r="G1185" t="s">
        <v>3700</v>
      </c>
      <c r="H1185" t="s">
        <v>48</v>
      </c>
      <c r="I1185" s="32" t="s">
        <v>7471</v>
      </c>
      <c r="J1185" s="32">
        <v>44956.791134259263</v>
      </c>
      <c r="K1185" s="32">
        <v>44958.791134259263</v>
      </c>
      <c r="L1185" s="8" t="str">
        <f t="shared" si="431"/>
        <v/>
      </c>
      <c r="M1185" s="7">
        <v>44969.791134259263</v>
      </c>
      <c r="N1185" t="s">
        <v>49</v>
      </c>
      <c r="O1185" s="34">
        <v>44973.791134259263</v>
      </c>
      <c r="P1185" t="s">
        <v>50</v>
      </c>
      <c r="Q1185" t="s">
        <v>236</v>
      </c>
      <c r="R1185" s="32" t="s">
        <v>7472</v>
      </c>
      <c r="S1185" t="s">
        <v>7476</v>
      </c>
      <c r="T1185" s="34" t="s">
        <v>7476</v>
      </c>
      <c r="U1185" s="34" t="s">
        <v>7476</v>
      </c>
      <c r="V1185" s="32">
        <v>44975.791134259263</v>
      </c>
      <c r="W1185" s="32" t="s">
        <v>7476</v>
      </c>
      <c r="X1185">
        <v>0</v>
      </c>
      <c r="Y1185" s="34" t="s">
        <v>7476</v>
      </c>
      <c r="Z1185" s="34" t="s">
        <v>7476</v>
      </c>
      <c r="AA1185" s="34" t="s">
        <v>7476</v>
      </c>
      <c r="AB1185" s="36" t="s">
        <v>52</v>
      </c>
      <c r="AD1185" t="s">
        <v>3716</v>
      </c>
      <c r="AE1185" t="s">
        <v>3717</v>
      </c>
      <c r="AF1185" s="16">
        <v>45109</v>
      </c>
      <c r="AG1185" t="s">
        <v>64</v>
      </c>
      <c r="AH1185">
        <v>3</v>
      </c>
      <c r="AK1185" s="38">
        <f t="shared" si="432"/>
        <v>45065.791134259263</v>
      </c>
    </row>
    <row r="1186" spans="1:43" x14ac:dyDescent="0.35">
      <c r="A1186">
        <v>2894</v>
      </c>
      <c r="B1186" t="s">
        <v>3718</v>
      </c>
      <c r="C1186" t="s">
        <v>3554</v>
      </c>
      <c r="D1186" t="str">
        <f t="shared" si="430"/>
        <v>HR</v>
      </c>
      <c r="E1186" t="s">
        <v>3719</v>
      </c>
      <c r="F1186" t="s">
        <v>3301</v>
      </c>
      <c r="G1186" t="s">
        <v>3720</v>
      </c>
      <c r="H1186" t="s">
        <v>59</v>
      </c>
      <c r="I1186" s="32">
        <v>44959.681840277779</v>
      </c>
      <c r="J1186" s="32">
        <v>44961.681840277779</v>
      </c>
      <c r="K1186" s="32">
        <v>44968.681840277779</v>
      </c>
      <c r="L1186" s="8">
        <f t="shared" si="431"/>
        <v>9</v>
      </c>
      <c r="M1186" s="7">
        <v>45013.681840277779</v>
      </c>
      <c r="N1186" t="s">
        <v>49</v>
      </c>
      <c r="O1186" s="34">
        <v>44972.681840277779</v>
      </c>
      <c r="P1186" t="s">
        <v>101</v>
      </c>
      <c r="R1186" s="32">
        <v>44977.681840277779</v>
      </c>
      <c r="S1186" t="s">
        <v>101</v>
      </c>
      <c r="T1186" s="34">
        <v>44974.681840277779</v>
      </c>
      <c r="U1186" s="34">
        <v>44977.681840277779</v>
      </c>
      <c r="V1186" s="32">
        <v>44974.681840277779</v>
      </c>
      <c r="W1186" s="32">
        <v>44977.681840277779</v>
      </c>
      <c r="X1186">
        <v>1</v>
      </c>
      <c r="Y1186" s="34">
        <v>44980.681840277779</v>
      </c>
      <c r="Z1186" s="34">
        <v>44981.681840277779</v>
      </c>
      <c r="AA1186" s="34">
        <v>44983.681840277779</v>
      </c>
      <c r="AB1186" s="36" t="s">
        <v>7476</v>
      </c>
      <c r="AC1186" s="10">
        <v>44997.681840277779</v>
      </c>
      <c r="AD1186" t="s">
        <v>3721</v>
      </c>
      <c r="AE1186" t="s">
        <v>3722</v>
      </c>
      <c r="AF1186" s="16">
        <v>44953</v>
      </c>
      <c r="AG1186" t="s">
        <v>64</v>
      </c>
      <c r="AH1186">
        <v>3</v>
      </c>
      <c r="AI1186" s="8">
        <f>IFERROR(R1186-AF1186,"")</f>
        <v>24.681840277778974</v>
      </c>
      <c r="AJ1186" s="8">
        <f>IFERROR(O1186-AF1186,"")</f>
        <v>19.681840277778974</v>
      </c>
      <c r="AK1186" s="38">
        <f t="shared" si="432"/>
        <v>45064.681840277779</v>
      </c>
      <c r="AL1186">
        <f>IFERROR(Z1186-W1186,"")</f>
        <v>4</v>
      </c>
      <c r="AM1186">
        <f>IFERROR(R1186-J1186,"")</f>
        <v>16</v>
      </c>
      <c r="AN1186">
        <f>IFERROR(V1186-O1186,"")</f>
        <v>2</v>
      </c>
      <c r="AO1186">
        <f>IFERROR(J1186-I1186,"")</f>
        <v>2</v>
      </c>
      <c r="AP1186">
        <f>IFERROR(AC1186-X1186,"")</f>
        <v>44996.681840277779</v>
      </c>
      <c r="AQ1186">
        <f>IFERROR(AA1186-W1186,"")</f>
        <v>6</v>
      </c>
    </row>
    <row r="1187" spans="1:43" x14ac:dyDescent="0.35">
      <c r="A1187">
        <v>2891</v>
      </c>
      <c r="B1187" t="s">
        <v>3723</v>
      </c>
      <c r="C1187" t="s">
        <v>3507</v>
      </c>
      <c r="D1187" t="str">
        <f t="shared" si="430"/>
        <v>HR</v>
      </c>
      <c r="E1187" t="s">
        <v>3719</v>
      </c>
      <c r="F1187" t="s">
        <v>3301</v>
      </c>
      <c r="G1187" t="s">
        <v>3720</v>
      </c>
      <c r="H1187" t="s">
        <v>59</v>
      </c>
      <c r="I1187" s="32">
        <v>44962.681840277779</v>
      </c>
      <c r="J1187" s="32" t="s">
        <v>7471</v>
      </c>
      <c r="K1187" s="32">
        <v>44970.681840277779</v>
      </c>
      <c r="L1187" s="8">
        <f t="shared" si="431"/>
        <v>8</v>
      </c>
      <c r="M1187" s="7">
        <v>45015.681840277779</v>
      </c>
      <c r="N1187" t="s">
        <v>49</v>
      </c>
      <c r="O1187" s="34">
        <v>44972.681840277779</v>
      </c>
      <c r="P1187" t="s">
        <v>60</v>
      </c>
      <c r="R1187" s="32">
        <v>44974.681840277779</v>
      </c>
      <c r="S1187" t="s">
        <v>61</v>
      </c>
      <c r="T1187" s="34" t="s">
        <v>7476</v>
      </c>
      <c r="U1187" s="34" t="s">
        <v>7476</v>
      </c>
      <c r="V1187" s="32">
        <v>44973.681840277779</v>
      </c>
      <c r="W1187" s="32" t="s">
        <v>7476</v>
      </c>
      <c r="X1187">
        <v>0</v>
      </c>
      <c r="Y1187" s="34" t="s">
        <v>7476</v>
      </c>
      <c r="Z1187" s="34" t="s">
        <v>7476</v>
      </c>
      <c r="AA1187" s="34" t="s">
        <v>7476</v>
      </c>
      <c r="AB1187" s="36" t="s">
        <v>7476</v>
      </c>
      <c r="AD1187" t="s">
        <v>3724</v>
      </c>
      <c r="AE1187" t="s">
        <v>3725</v>
      </c>
      <c r="AF1187" s="16">
        <v>44953</v>
      </c>
      <c r="AG1187" t="s">
        <v>75</v>
      </c>
      <c r="AH1187">
        <v>6</v>
      </c>
      <c r="AK1187" s="38">
        <f t="shared" si="432"/>
        <v>45153.681840277779</v>
      </c>
    </row>
    <row r="1188" spans="1:43" x14ac:dyDescent="0.35">
      <c r="A1188">
        <v>2729</v>
      </c>
      <c r="B1188" t="s">
        <v>3726</v>
      </c>
      <c r="C1188" t="s">
        <v>3554</v>
      </c>
      <c r="D1188" t="str">
        <f t="shared" si="430"/>
        <v>HR</v>
      </c>
      <c r="E1188" t="s">
        <v>3719</v>
      </c>
      <c r="F1188" t="s">
        <v>3301</v>
      </c>
      <c r="G1188" t="s">
        <v>3720</v>
      </c>
      <c r="H1188" t="s">
        <v>59</v>
      </c>
      <c r="I1188" s="32">
        <v>45067.24894675926</v>
      </c>
      <c r="J1188" s="32">
        <v>45068.24894675926</v>
      </c>
      <c r="K1188" s="32" t="s">
        <v>7473</v>
      </c>
      <c r="L1188" s="8" t="str">
        <f t="shared" si="431"/>
        <v/>
      </c>
      <c r="M1188" s="7">
        <v>45081.24894675926</v>
      </c>
      <c r="N1188" t="s">
        <v>49</v>
      </c>
      <c r="O1188" s="34">
        <v>45087.24894675926</v>
      </c>
      <c r="P1188" t="s">
        <v>50</v>
      </c>
      <c r="Q1188" t="s">
        <v>84</v>
      </c>
      <c r="R1188" s="32" t="s">
        <v>7472</v>
      </c>
      <c r="S1188" t="s">
        <v>7476</v>
      </c>
      <c r="T1188" s="34" t="s">
        <v>7476</v>
      </c>
      <c r="U1188" s="34" t="s">
        <v>7476</v>
      </c>
      <c r="V1188" s="32">
        <v>45089.24894675926</v>
      </c>
      <c r="W1188" s="32" t="s">
        <v>7476</v>
      </c>
      <c r="X1188">
        <v>0</v>
      </c>
      <c r="Y1188" s="34" t="s">
        <v>7476</v>
      </c>
      <c r="Z1188" s="34" t="s">
        <v>7476</v>
      </c>
      <c r="AA1188" s="34" t="s">
        <v>7476</v>
      </c>
      <c r="AB1188" s="36" t="s">
        <v>52</v>
      </c>
      <c r="AD1188" t="s">
        <v>3727</v>
      </c>
      <c r="AE1188" t="s">
        <v>3728</v>
      </c>
      <c r="AF1188" s="16">
        <v>45068</v>
      </c>
      <c r="AG1188" t="s">
        <v>98</v>
      </c>
      <c r="AH1188">
        <v>6</v>
      </c>
      <c r="AK1188" s="38">
        <f t="shared" si="432"/>
        <v>45269.24894675926</v>
      </c>
    </row>
    <row r="1189" spans="1:43" x14ac:dyDescent="0.35">
      <c r="A1189">
        <v>2668</v>
      </c>
      <c r="B1189" t="s">
        <v>3729</v>
      </c>
      <c r="C1189" t="s">
        <v>3514</v>
      </c>
      <c r="D1189" t="str">
        <f t="shared" si="430"/>
        <v>HR</v>
      </c>
      <c r="E1189" t="s">
        <v>3719</v>
      </c>
      <c r="F1189" t="s">
        <v>3301</v>
      </c>
      <c r="G1189" t="s">
        <v>3720</v>
      </c>
      <c r="H1189" t="s">
        <v>59</v>
      </c>
      <c r="I1189" s="32">
        <v>44897.903680555559</v>
      </c>
      <c r="J1189" s="32">
        <v>44899.903680555559</v>
      </c>
      <c r="K1189" s="32">
        <v>44903.903680555559</v>
      </c>
      <c r="L1189" s="8">
        <f t="shared" si="431"/>
        <v>6</v>
      </c>
      <c r="M1189" s="7">
        <v>44924.903680555559</v>
      </c>
      <c r="N1189" t="s">
        <v>49</v>
      </c>
      <c r="O1189" s="34">
        <v>44915.903680555559</v>
      </c>
      <c r="P1189" t="s">
        <v>50</v>
      </c>
      <c r="Q1189" t="s">
        <v>198</v>
      </c>
      <c r="R1189" s="32" t="s">
        <v>7472</v>
      </c>
      <c r="S1189" t="s">
        <v>7476</v>
      </c>
      <c r="T1189" s="34" t="s">
        <v>7476</v>
      </c>
      <c r="U1189" s="34" t="s">
        <v>7476</v>
      </c>
      <c r="V1189" s="32" t="s">
        <v>7476</v>
      </c>
      <c r="W1189" s="32" t="s">
        <v>7476</v>
      </c>
      <c r="X1189">
        <v>0</v>
      </c>
      <c r="Y1189" s="34" t="s">
        <v>7476</v>
      </c>
      <c r="Z1189" s="34" t="s">
        <v>7476</v>
      </c>
      <c r="AA1189" s="34" t="s">
        <v>7476</v>
      </c>
      <c r="AB1189" s="36" t="s">
        <v>52</v>
      </c>
      <c r="AD1189" t="s">
        <v>3730</v>
      </c>
      <c r="AE1189" t="s">
        <v>3731</v>
      </c>
      <c r="AF1189" s="16">
        <v>44754</v>
      </c>
      <c r="AG1189" t="s">
        <v>64</v>
      </c>
      <c r="AH1189">
        <v>6</v>
      </c>
      <c r="AI1189" s="8" t="str">
        <f t="shared" ref="AI1189:AI1194" si="441">IFERROR(R1189-AF1189,"")</f>
        <v/>
      </c>
      <c r="AJ1189" s="8">
        <f t="shared" ref="AJ1189:AJ1194" si="442">IFERROR(O1189-AF1189,"")</f>
        <v>161.90368055555882</v>
      </c>
      <c r="AK1189" s="38" t="str">
        <f t="shared" si="432"/>
        <v/>
      </c>
      <c r="AL1189" t="str">
        <f t="shared" ref="AL1189:AL1194" si="443">IFERROR(Z1189-W1189,"")</f>
        <v/>
      </c>
      <c r="AM1189" t="str">
        <f t="shared" ref="AM1189:AM1194" si="444">IFERROR(R1189-J1189,"")</f>
        <v/>
      </c>
      <c r="AN1189" t="str">
        <f t="shared" ref="AN1189:AN1194" si="445">IFERROR(V1189-O1189,"")</f>
        <v/>
      </c>
      <c r="AO1189">
        <f t="shared" ref="AO1189:AO1194" si="446">IFERROR(J1189-I1189,"")</f>
        <v>2</v>
      </c>
      <c r="AP1189">
        <f t="shared" ref="AP1189:AP1194" si="447">IFERROR(AC1189-X1189,"")</f>
        <v>0</v>
      </c>
      <c r="AQ1189" t="str">
        <f t="shared" ref="AQ1189:AQ1194" si="448">IFERROR(AA1189-W1189,"")</f>
        <v/>
      </c>
    </row>
    <row r="1190" spans="1:43" x14ac:dyDescent="0.35">
      <c r="A1190">
        <v>2662</v>
      </c>
      <c r="B1190" t="s">
        <v>3732</v>
      </c>
      <c r="C1190" t="s">
        <v>3554</v>
      </c>
      <c r="D1190" t="str">
        <f t="shared" si="430"/>
        <v>HR</v>
      </c>
      <c r="E1190" t="s">
        <v>3719</v>
      </c>
      <c r="F1190" t="s">
        <v>3301</v>
      </c>
      <c r="G1190" t="s">
        <v>3720</v>
      </c>
      <c r="H1190" t="s">
        <v>59</v>
      </c>
      <c r="I1190" s="32">
        <v>44900.903680555559</v>
      </c>
      <c r="J1190" s="32">
        <v>44901.903680555559</v>
      </c>
      <c r="K1190" s="32">
        <v>44903.903680555559</v>
      </c>
      <c r="L1190" s="8">
        <f t="shared" si="431"/>
        <v>3</v>
      </c>
      <c r="M1190" s="7">
        <v>44925.903680555559</v>
      </c>
      <c r="N1190" t="s">
        <v>49</v>
      </c>
      <c r="O1190" s="34">
        <v>44906.903680555559</v>
      </c>
      <c r="P1190" t="s">
        <v>50</v>
      </c>
      <c r="Q1190" t="s">
        <v>51</v>
      </c>
      <c r="R1190" s="32" t="s">
        <v>7472</v>
      </c>
      <c r="S1190" t="s">
        <v>7476</v>
      </c>
      <c r="T1190" s="34" t="s">
        <v>7476</v>
      </c>
      <c r="U1190" s="34" t="s">
        <v>7476</v>
      </c>
      <c r="V1190" s="32">
        <v>44907.903680555559</v>
      </c>
      <c r="W1190" s="32" t="s">
        <v>7476</v>
      </c>
      <c r="X1190">
        <v>0</v>
      </c>
      <c r="Y1190" s="34" t="s">
        <v>7476</v>
      </c>
      <c r="Z1190" s="34" t="s">
        <v>7476</v>
      </c>
      <c r="AA1190" s="34" t="s">
        <v>7476</v>
      </c>
      <c r="AB1190" s="36" t="s">
        <v>95</v>
      </c>
      <c r="AD1190" t="s">
        <v>3733</v>
      </c>
      <c r="AE1190" t="s">
        <v>3734</v>
      </c>
      <c r="AF1190" s="16">
        <v>44889</v>
      </c>
      <c r="AG1190" t="s">
        <v>98</v>
      </c>
      <c r="AH1190">
        <v>6</v>
      </c>
      <c r="AI1190" s="8" t="str">
        <f t="shared" si="441"/>
        <v/>
      </c>
      <c r="AJ1190" s="8">
        <f t="shared" si="442"/>
        <v>17.903680555558822</v>
      </c>
      <c r="AK1190" s="38">
        <f t="shared" si="432"/>
        <v>45087.903680555559</v>
      </c>
      <c r="AL1190" t="str">
        <f t="shared" si="443"/>
        <v/>
      </c>
      <c r="AM1190" t="str">
        <f t="shared" si="444"/>
        <v/>
      </c>
      <c r="AN1190">
        <f t="shared" si="445"/>
        <v>1</v>
      </c>
      <c r="AO1190">
        <f t="shared" si="446"/>
        <v>1</v>
      </c>
      <c r="AP1190">
        <f t="shared" si="447"/>
        <v>0</v>
      </c>
      <c r="AQ1190" t="str">
        <f t="shared" si="448"/>
        <v/>
      </c>
    </row>
    <row r="1191" spans="1:43" x14ac:dyDescent="0.35">
      <c r="A1191">
        <v>2650</v>
      </c>
      <c r="B1191" t="s">
        <v>3735</v>
      </c>
      <c r="C1191" t="s">
        <v>3554</v>
      </c>
      <c r="D1191" t="str">
        <f t="shared" si="430"/>
        <v>HR</v>
      </c>
      <c r="E1191" t="s">
        <v>3719</v>
      </c>
      <c r="F1191" t="s">
        <v>3301</v>
      </c>
      <c r="G1191" t="s">
        <v>3720</v>
      </c>
      <c r="H1191" t="s">
        <v>59</v>
      </c>
      <c r="I1191" s="32">
        <v>44583.587569444448</v>
      </c>
      <c r="J1191" s="32">
        <v>44587.587569444448</v>
      </c>
      <c r="K1191" s="32">
        <v>44593.587569444448</v>
      </c>
      <c r="L1191" s="8">
        <f t="shared" si="431"/>
        <v>10</v>
      </c>
      <c r="M1191" s="7">
        <v>44604.587569444448</v>
      </c>
      <c r="N1191" t="s">
        <v>49</v>
      </c>
      <c r="O1191" s="34">
        <v>44605.587569444448</v>
      </c>
      <c r="P1191" t="s">
        <v>50</v>
      </c>
      <c r="Q1191" t="s">
        <v>198</v>
      </c>
      <c r="R1191" s="32" t="s">
        <v>7472</v>
      </c>
      <c r="S1191" t="s">
        <v>7476</v>
      </c>
      <c r="T1191" s="34" t="s">
        <v>7476</v>
      </c>
      <c r="U1191" s="34" t="s">
        <v>7476</v>
      </c>
      <c r="V1191" s="32" t="s">
        <v>7476</v>
      </c>
      <c r="W1191" s="32" t="s">
        <v>7476</v>
      </c>
      <c r="X1191">
        <v>0</v>
      </c>
      <c r="Y1191" s="34" t="s">
        <v>7476</v>
      </c>
      <c r="Z1191" s="34" t="s">
        <v>7476</v>
      </c>
      <c r="AA1191" s="34" t="s">
        <v>7476</v>
      </c>
      <c r="AB1191" s="36" t="s">
        <v>95</v>
      </c>
      <c r="AD1191" t="s">
        <v>3736</v>
      </c>
      <c r="AE1191" t="s">
        <v>3737</v>
      </c>
      <c r="AF1191" s="16">
        <v>44586</v>
      </c>
      <c r="AG1191" t="s">
        <v>64</v>
      </c>
      <c r="AH1191">
        <v>3</v>
      </c>
      <c r="AI1191" s="8" t="str">
        <f t="shared" si="441"/>
        <v/>
      </c>
      <c r="AJ1191" s="8">
        <f t="shared" si="442"/>
        <v>19.587569444447581</v>
      </c>
      <c r="AK1191" s="38" t="str">
        <f t="shared" si="432"/>
        <v/>
      </c>
      <c r="AL1191" t="str">
        <f t="shared" si="443"/>
        <v/>
      </c>
      <c r="AM1191" t="str">
        <f t="shared" si="444"/>
        <v/>
      </c>
      <c r="AN1191" t="str">
        <f t="shared" si="445"/>
        <v/>
      </c>
      <c r="AO1191">
        <f t="shared" si="446"/>
        <v>4</v>
      </c>
      <c r="AP1191">
        <f t="shared" si="447"/>
        <v>0</v>
      </c>
      <c r="AQ1191" t="str">
        <f t="shared" si="448"/>
        <v/>
      </c>
    </row>
    <row r="1192" spans="1:43" x14ac:dyDescent="0.35">
      <c r="A1192">
        <v>2378</v>
      </c>
      <c r="B1192" t="s">
        <v>3738</v>
      </c>
      <c r="C1192" t="s">
        <v>3514</v>
      </c>
      <c r="D1192" t="str">
        <f t="shared" si="430"/>
        <v>HR</v>
      </c>
      <c r="E1192" t="s">
        <v>3719</v>
      </c>
      <c r="F1192" t="s">
        <v>3301</v>
      </c>
      <c r="G1192" t="s">
        <v>3720</v>
      </c>
      <c r="H1192" t="s">
        <v>59</v>
      </c>
      <c r="I1192" s="32">
        <v>45027.917395833327</v>
      </c>
      <c r="J1192" s="32">
        <v>45031.917395833327</v>
      </c>
      <c r="K1192" s="32">
        <v>45036.917395833327</v>
      </c>
      <c r="L1192" s="8">
        <f t="shared" si="431"/>
        <v>9</v>
      </c>
      <c r="M1192" s="7">
        <v>45046.917395833327</v>
      </c>
      <c r="N1192" t="s">
        <v>49</v>
      </c>
      <c r="O1192" s="34">
        <v>45047.917395833327</v>
      </c>
      <c r="P1192" t="s">
        <v>60</v>
      </c>
      <c r="R1192" s="32">
        <v>45053.917395833327</v>
      </c>
      <c r="S1192" t="s">
        <v>61</v>
      </c>
      <c r="T1192" s="34" t="s">
        <v>7476</v>
      </c>
      <c r="U1192" s="34" t="s">
        <v>7476</v>
      </c>
      <c r="V1192" s="32">
        <v>45049.917395833327</v>
      </c>
      <c r="W1192" s="32" t="s">
        <v>7476</v>
      </c>
      <c r="X1192">
        <v>0</v>
      </c>
      <c r="Y1192" s="34" t="s">
        <v>7476</v>
      </c>
      <c r="Z1192" s="34" t="s">
        <v>7476</v>
      </c>
      <c r="AA1192" s="34" t="s">
        <v>7476</v>
      </c>
      <c r="AB1192" s="36" t="s">
        <v>7476</v>
      </c>
      <c r="AD1192" t="s">
        <v>3739</v>
      </c>
      <c r="AE1192" t="s">
        <v>3740</v>
      </c>
      <c r="AF1192" s="16">
        <v>45029</v>
      </c>
      <c r="AG1192" t="s">
        <v>68</v>
      </c>
      <c r="AH1192">
        <v>3</v>
      </c>
      <c r="AI1192" s="8">
        <f t="shared" si="441"/>
        <v>24.917395833326736</v>
      </c>
      <c r="AJ1192" s="8">
        <f t="shared" si="442"/>
        <v>18.917395833326736</v>
      </c>
      <c r="AK1192" s="38">
        <f t="shared" si="432"/>
        <v>45139.917395833327</v>
      </c>
      <c r="AL1192" t="str">
        <f t="shared" si="443"/>
        <v/>
      </c>
      <c r="AM1192">
        <f t="shared" si="444"/>
        <v>22</v>
      </c>
      <c r="AN1192">
        <f t="shared" si="445"/>
        <v>2</v>
      </c>
      <c r="AO1192">
        <f t="shared" si="446"/>
        <v>4</v>
      </c>
      <c r="AP1192">
        <f t="shared" si="447"/>
        <v>0</v>
      </c>
      <c r="AQ1192" t="str">
        <f t="shared" si="448"/>
        <v/>
      </c>
    </row>
    <row r="1193" spans="1:43" x14ac:dyDescent="0.35">
      <c r="A1193">
        <v>2373</v>
      </c>
      <c r="B1193" t="s">
        <v>3741</v>
      </c>
      <c r="C1193" t="s">
        <v>3554</v>
      </c>
      <c r="D1193" t="str">
        <f t="shared" si="430"/>
        <v>HR</v>
      </c>
      <c r="E1193" t="s">
        <v>3719</v>
      </c>
      <c r="F1193" t="s">
        <v>3301</v>
      </c>
      <c r="G1193" t="s">
        <v>3720</v>
      </c>
      <c r="H1193" t="s">
        <v>59</v>
      </c>
      <c r="I1193" s="32">
        <v>45030.917395833327</v>
      </c>
      <c r="J1193" s="32">
        <v>45033.917395833327</v>
      </c>
      <c r="K1193" s="32">
        <v>45036.917395833327</v>
      </c>
      <c r="L1193" s="8">
        <f t="shared" si="431"/>
        <v>6</v>
      </c>
      <c r="M1193" s="7">
        <v>45058.917395833327</v>
      </c>
      <c r="N1193" t="s">
        <v>49</v>
      </c>
      <c r="O1193" s="34">
        <v>45046.917395833327</v>
      </c>
      <c r="P1193" t="s">
        <v>50</v>
      </c>
      <c r="Q1193" t="s">
        <v>84</v>
      </c>
      <c r="R1193" s="32" t="s">
        <v>7472</v>
      </c>
      <c r="S1193" t="s">
        <v>7476</v>
      </c>
      <c r="T1193" s="34" t="s">
        <v>7476</v>
      </c>
      <c r="U1193" s="34" t="s">
        <v>7476</v>
      </c>
      <c r="V1193" s="32">
        <v>45049.917395833327</v>
      </c>
      <c r="W1193" s="32" t="s">
        <v>7476</v>
      </c>
      <c r="X1193">
        <v>0</v>
      </c>
      <c r="Y1193" s="34" t="s">
        <v>7476</v>
      </c>
      <c r="Z1193" s="34" t="s">
        <v>7476</v>
      </c>
      <c r="AA1193" s="34" t="s">
        <v>7476</v>
      </c>
      <c r="AB1193" s="36" t="s">
        <v>52</v>
      </c>
      <c r="AD1193" t="s">
        <v>3742</v>
      </c>
      <c r="AE1193" t="s">
        <v>3743</v>
      </c>
      <c r="AF1193" s="16">
        <v>45030</v>
      </c>
      <c r="AG1193" t="s">
        <v>98</v>
      </c>
      <c r="AH1193">
        <v>3</v>
      </c>
      <c r="AI1193" s="8" t="str">
        <f t="shared" si="441"/>
        <v/>
      </c>
      <c r="AJ1193" s="8">
        <f t="shared" si="442"/>
        <v>16.917395833326736</v>
      </c>
      <c r="AK1193" s="38">
        <f t="shared" si="432"/>
        <v>45139.917395833327</v>
      </c>
      <c r="AL1193" t="str">
        <f t="shared" si="443"/>
        <v/>
      </c>
      <c r="AM1193" t="str">
        <f t="shared" si="444"/>
        <v/>
      </c>
      <c r="AN1193">
        <f t="shared" si="445"/>
        <v>3</v>
      </c>
      <c r="AO1193">
        <f t="shared" si="446"/>
        <v>3</v>
      </c>
      <c r="AP1193">
        <f t="shared" si="447"/>
        <v>0</v>
      </c>
      <c r="AQ1193" t="str">
        <f t="shared" si="448"/>
        <v/>
      </c>
    </row>
    <row r="1194" spans="1:43" x14ac:dyDescent="0.35">
      <c r="A1194">
        <v>2258</v>
      </c>
      <c r="B1194" t="s">
        <v>3744</v>
      </c>
      <c r="C1194" t="s">
        <v>3554</v>
      </c>
      <c r="D1194" t="str">
        <f t="shared" si="430"/>
        <v>HR</v>
      </c>
      <c r="E1194" t="s">
        <v>3719</v>
      </c>
      <c r="F1194" t="s">
        <v>3301</v>
      </c>
      <c r="G1194" t="s">
        <v>3720</v>
      </c>
      <c r="H1194" t="s">
        <v>59</v>
      </c>
      <c r="I1194" s="32">
        <v>44780.68608796296</v>
      </c>
      <c r="J1194" s="32">
        <v>44781.68608796296</v>
      </c>
      <c r="K1194" s="32">
        <v>44787.68608796296</v>
      </c>
      <c r="L1194" s="8">
        <f t="shared" si="431"/>
        <v>7</v>
      </c>
      <c r="M1194" s="7">
        <v>44817.68608796296</v>
      </c>
      <c r="N1194" t="s">
        <v>49</v>
      </c>
      <c r="O1194" s="34">
        <v>44801.68608796296</v>
      </c>
      <c r="P1194" t="s">
        <v>50</v>
      </c>
      <c r="Q1194" t="s">
        <v>125</v>
      </c>
      <c r="R1194" s="32" t="s">
        <v>7472</v>
      </c>
      <c r="S1194" t="s">
        <v>7476</v>
      </c>
      <c r="T1194" s="34" t="s">
        <v>7476</v>
      </c>
      <c r="U1194" s="34" t="s">
        <v>7476</v>
      </c>
      <c r="V1194" s="32" t="s">
        <v>7476</v>
      </c>
      <c r="W1194" s="32" t="s">
        <v>7476</v>
      </c>
      <c r="X1194">
        <v>0</v>
      </c>
      <c r="Y1194" s="34" t="s">
        <v>7476</v>
      </c>
      <c r="Z1194" s="34" t="s">
        <v>7476</v>
      </c>
      <c r="AA1194" s="34" t="s">
        <v>7476</v>
      </c>
      <c r="AB1194" s="36" t="s">
        <v>95</v>
      </c>
      <c r="AD1194" t="s">
        <v>3745</v>
      </c>
      <c r="AE1194" t="s">
        <v>3746</v>
      </c>
      <c r="AF1194" s="16">
        <v>44793</v>
      </c>
      <c r="AG1194" t="s">
        <v>98</v>
      </c>
      <c r="AH1194">
        <v>3</v>
      </c>
      <c r="AI1194" s="8" t="str">
        <f t="shared" si="441"/>
        <v/>
      </c>
      <c r="AJ1194" s="8">
        <f t="shared" si="442"/>
        <v>8.6860879629603005</v>
      </c>
      <c r="AK1194" s="38" t="str">
        <f t="shared" si="432"/>
        <v/>
      </c>
      <c r="AL1194" t="str">
        <f t="shared" si="443"/>
        <v/>
      </c>
      <c r="AM1194" t="str">
        <f t="shared" si="444"/>
        <v/>
      </c>
      <c r="AN1194" t="str">
        <f t="shared" si="445"/>
        <v/>
      </c>
      <c r="AO1194">
        <f t="shared" si="446"/>
        <v>1</v>
      </c>
      <c r="AP1194">
        <f t="shared" si="447"/>
        <v>0</v>
      </c>
      <c r="AQ1194" t="str">
        <f t="shared" si="448"/>
        <v/>
      </c>
    </row>
    <row r="1195" spans="1:43" x14ac:dyDescent="0.35">
      <c r="A1195">
        <v>2257</v>
      </c>
      <c r="B1195" t="s">
        <v>3747</v>
      </c>
      <c r="C1195" t="s">
        <v>3514</v>
      </c>
      <c r="D1195" t="str">
        <f t="shared" si="430"/>
        <v>HR</v>
      </c>
      <c r="E1195" t="s">
        <v>3719</v>
      </c>
      <c r="F1195" t="s">
        <v>3301</v>
      </c>
      <c r="G1195" t="s">
        <v>3720</v>
      </c>
      <c r="H1195" t="s">
        <v>59</v>
      </c>
      <c r="I1195" s="32">
        <v>44781.68608796296</v>
      </c>
      <c r="J1195" s="32">
        <v>44782.68608796296</v>
      </c>
      <c r="K1195" s="32" t="s">
        <v>7473</v>
      </c>
      <c r="L1195" s="8" t="str">
        <f t="shared" si="431"/>
        <v/>
      </c>
      <c r="M1195" s="7">
        <v>44808.68608796296</v>
      </c>
      <c r="N1195" t="s">
        <v>49</v>
      </c>
      <c r="O1195" s="34">
        <v>44796.68608796296</v>
      </c>
      <c r="P1195" t="s">
        <v>101</v>
      </c>
      <c r="R1195" s="32">
        <v>44801.68608796296</v>
      </c>
      <c r="S1195" t="s">
        <v>101</v>
      </c>
      <c r="T1195" s="34">
        <v>44797.68608796296</v>
      </c>
      <c r="U1195" s="34">
        <v>44798.68608796296</v>
      </c>
      <c r="V1195" s="32">
        <v>44799.68608796296</v>
      </c>
      <c r="W1195" s="32">
        <v>44802.68608796296</v>
      </c>
      <c r="X1195">
        <v>1</v>
      </c>
      <c r="Y1195" s="34">
        <v>44806.68608796296</v>
      </c>
      <c r="Z1195" s="34">
        <v>44809.68608796296</v>
      </c>
      <c r="AA1195" s="34">
        <v>44810.68608796296</v>
      </c>
      <c r="AB1195" s="36" t="s">
        <v>7476</v>
      </c>
      <c r="AC1195" s="10">
        <v>44822.68608796296</v>
      </c>
      <c r="AD1195" t="s">
        <v>3748</v>
      </c>
      <c r="AE1195" t="s">
        <v>3749</v>
      </c>
      <c r="AF1195" s="16">
        <v>44812</v>
      </c>
      <c r="AG1195" t="s">
        <v>64</v>
      </c>
      <c r="AH1195">
        <v>3</v>
      </c>
      <c r="AK1195" s="38">
        <f t="shared" si="432"/>
        <v>44889.68608796296</v>
      </c>
    </row>
    <row r="1196" spans="1:43" x14ac:dyDescent="0.35">
      <c r="A1196">
        <v>2051</v>
      </c>
      <c r="B1196" t="s">
        <v>3750</v>
      </c>
      <c r="C1196" t="s">
        <v>3507</v>
      </c>
      <c r="D1196" t="str">
        <f t="shared" si="430"/>
        <v>HR</v>
      </c>
      <c r="E1196" t="s">
        <v>3719</v>
      </c>
      <c r="F1196" t="s">
        <v>3301</v>
      </c>
      <c r="G1196" t="s">
        <v>3720</v>
      </c>
      <c r="H1196" t="s">
        <v>59</v>
      </c>
      <c r="I1196" s="32">
        <v>44577.831099537027</v>
      </c>
      <c r="J1196" s="32">
        <v>44578.831099537027</v>
      </c>
      <c r="K1196" s="32">
        <v>44580.831099537027</v>
      </c>
      <c r="L1196" s="8">
        <f t="shared" si="431"/>
        <v>3</v>
      </c>
      <c r="M1196" s="7">
        <v>44588.831099537027</v>
      </c>
      <c r="N1196" t="s">
        <v>49</v>
      </c>
      <c r="O1196" s="34">
        <v>44585.831099537027</v>
      </c>
      <c r="P1196" t="s">
        <v>60</v>
      </c>
      <c r="R1196" s="32">
        <v>44591.831099537027</v>
      </c>
      <c r="S1196" t="s">
        <v>61</v>
      </c>
      <c r="T1196" s="34" t="s">
        <v>7476</v>
      </c>
      <c r="U1196" s="34" t="s">
        <v>7476</v>
      </c>
      <c r="V1196" s="32">
        <v>44588.831099537027</v>
      </c>
      <c r="W1196" s="32" t="s">
        <v>7476</v>
      </c>
      <c r="X1196">
        <v>0</v>
      </c>
      <c r="Y1196" s="34" t="s">
        <v>7476</v>
      </c>
      <c r="Z1196" s="34" t="s">
        <v>7476</v>
      </c>
      <c r="AA1196" s="34" t="s">
        <v>7476</v>
      </c>
      <c r="AB1196" s="36" t="s">
        <v>7476</v>
      </c>
      <c r="AD1196" t="s">
        <v>3751</v>
      </c>
      <c r="AE1196" t="s">
        <v>3752</v>
      </c>
      <c r="AF1196" s="16">
        <v>44574</v>
      </c>
      <c r="AG1196" t="s">
        <v>68</v>
      </c>
      <c r="AH1196">
        <v>3</v>
      </c>
      <c r="AI1196" s="8">
        <f>IFERROR(R1196-AF1196,"")</f>
        <v>17.831099537026603</v>
      </c>
      <c r="AJ1196" s="8">
        <f>IFERROR(O1196-AF1196,"")</f>
        <v>11.831099537026603</v>
      </c>
      <c r="AK1196" s="38">
        <f t="shared" si="432"/>
        <v>44678.831099537027</v>
      </c>
      <c r="AL1196" t="str">
        <f>IFERROR(Z1196-W1196,"")</f>
        <v/>
      </c>
      <c r="AM1196">
        <f>IFERROR(R1196-J1196,"")</f>
        <v>13</v>
      </c>
      <c r="AN1196">
        <f>IFERROR(V1196-O1196,"")</f>
        <v>3</v>
      </c>
      <c r="AO1196">
        <f>IFERROR(J1196-I1196,"")</f>
        <v>1</v>
      </c>
      <c r="AP1196">
        <f>IFERROR(AC1196-X1196,"")</f>
        <v>0</v>
      </c>
      <c r="AQ1196" t="str">
        <f>IFERROR(AA1196-W1196,"")</f>
        <v/>
      </c>
    </row>
    <row r="1197" spans="1:43" x14ac:dyDescent="0.35">
      <c r="A1197">
        <v>1959</v>
      </c>
      <c r="B1197" t="s">
        <v>3753</v>
      </c>
      <c r="C1197" t="s">
        <v>3507</v>
      </c>
      <c r="D1197" t="str">
        <f t="shared" si="430"/>
        <v>HR</v>
      </c>
      <c r="E1197" t="s">
        <v>3719</v>
      </c>
      <c r="F1197" t="s">
        <v>3301</v>
      </c>
      <c r="G1197" t="s">
        <v>3720</v>
      </c>
      <c r="H1197" t="s">
        <v>59</v>
      </c>
      <c r="I1197" s="32">
        <v>44815.042395833327</v>
      </c>
      <c r="J1197" s="32">
        <v>44819.042395833327</v>
      </c>
      <c r="K1197" s="32">
        <v>44825.042395833327</v>
      </c>
      <c r="L1197" s="8">
        <f t="shared" si="431"/>
        <v>10</v>
      </c>
      <c r="M1197" s="7">
        <v>44848.042395833327</v>
      </c>
      <c r="N1197" t="s">
        <v>49</v>
      </c>
      <c r="O1197" s="34">
        <v>44842.042395833327</v>
      </c>
      <c r="P1197" t="s">
        <v>392</v>
      </c>
      <c r="R1197" s="32">
        <v>44847.042395833327</v>
      </c>
      <c r="S1197" t="s">
        <v>392</v>
      </c>
      <c r="T1197" s="34" t="s">
        <v>7476</v>
      </c>
      <c r="U1197" s="34" t="s">
        <v>7476</v>
      </c>
      <c r="V1197" s="32">
        <v>44846.042395833327</v>
      </c>
      <c r="W1197" s="32" t="s">
        <v>7476</v>
      </c>
      <c r="X1197">
        <v>0</v>
      </c>
      <c r="Y1197" s="34" t="s">
        <v>7476</v>
      </c>
      <c r="Z1197" s="34" t="s">
        <v>7476</v>
      </c>
      <c r="AA1197" s="34" t="s">
        <v>7476</v>
      </c>
      <c r="AB1197" s="36" t="s">
        <v>7476</v>
      </c>
      <c r="AD1197" t="s">
        <v>3754</v>
      </c>
      <c r="AE1197" t="s">
        <v>3755</v>
      </c>
      <c r="AF1197" s="16">
        <v>44823</v>
      </c>
      <c r="AG1197" t="s">
        <v>64</v>
      </c>
      <c r="AH1197">
        <v>3</v>
      </c>
      <c r="AI1197" s="8">
        <f>IFERROR(R1197-AF1197,"")</f>
        <v>24.042395833326736</v>
      </c>
      <c r="AJ1197" s="8">
        <f>IFERROR(O1197-AF1197,"")</f>
        <v>19.042395833326736</v>
      </c>
      <c r="AK1197" s="38">
        <f t="shared" si="432"/>
        <v>44936.042395833327</v>
      </c>
      <c r="AL1197" t="str">
        <f>IFERROR(Z1197-W1197,"")</f>
        <v/>
      </c>
      <c r="AM1197">
        <f>IFERROR(R1197-J1197,"")</f>
        <v>28</v>
      </c>
      <c r="AN1197">
        <f>IFERROR(V1197-O1197,"")</f>
        <v>4</v>
      </c>
      <c r="AO1197">
        <f>IFERROR(J1197-I1197,"")</f>
        <v>4</v>
      </c>
      <c r="AP1197">
        <f>IFERROR(AC1197-X1197,"")</f>
        <v>0</v>
      </c>
      <c r="AQ1197" t="str">
        <f>IFERROR(AA1197-W1197,"")</f>
        <v/>
      </c>
    </row>
    <row r="1198" spans="1:43" x14ac:dyDescent="0.35">
      <c r="A1198">
        <v>1904</v>
      </c>
      <c r="B1198" t="s">
        <v>3756</v>
      </c>
      <c r="C1198" t="s">
        <v>3554</v>
      </c>
      <c r="D1198" t="str">
        <f t="shared" si="430"/>
        <v>HR</v>
      </c>
      <c r="E1198" t="s">
        <v>3719</v>
      </c>
      <c r="F1198" t="s">
        <v>3301</v>
      </c>
      <c r="G1198" t="s">
        <v>3720</v>
      </c>
      <c r="H1198" t="s">
        <v>59</v>
      </c>
      <c r="I1198" s="32">
        <v>44995.686469907407</v>
      </c>
      <c r="J1198" s="32">
        <v>44997.686469907407</v>
      </c>
      <c r="K1198" s="32">
        <v>45001.686469907407</v>
      </c>
      <c r="L1198" s="8">
        <f t="shared" si="431"/>
        <v>6</v>
      </c>
      <c r="M1198" s="7">
        <v>45029.686469907407</v>
      </c>
      <c r="N1198" t="s">
        <v>49</v>
      </c>
      <c r="O1198" s="34">
        <v>45016.686469907407</v>
      </c>
      <c r="P1198" t="s">
        <v>50</v>
      </c>
      <c r="Q1198" t="s">
        <v>198</v>
      </c>
      <c r="R1198" s="32" t="s">
        <v>7472</v>
      </c>
      <c r="S1198" t="s">
        <v>7476</v>
      </c>
      <c r="T1198" s="34" t="s">
        <v>7476</v>
      </c>
      <c r="U1198" s="34" t="s">
        <v>7476</v>
      </c>
      <c r="V1198" s="32" t="s">
        <v>7476</v>
      </c>
      <c r="W1198" s="32" t="s">
        <v>7476</v>
      </c>
      <c r="X1198">
        <v>0</v>
      </c>
      <c r="Y1198" s="34" t="s">
        <v>7476</v>
      </c>
      <c r="Z1198" s="34" t="s">
        <v>7476</v>
      </c>
      <c r="AA1198" s="34" t="s">
        <v>7476</v>
      </c>
      <c r="AB1198" s="36" t="s">
        <v>95</v>
      </c>
      <c r="AD1198" t="s">
        <v>3757</v>
      </c>
      <c r="AE1198" t="s">
        <v>3758</v>
      </c>
      <c r="AF1198" s="16">
        <v>45010</v>
      </c>
      <c r="AG1198" t="s">
        <v>64</v>
      </c>
      <c r="AH1198">
        <v>3</v>
      </c>
      <c r="AI1198" s="8" t="str">
        <f>IFERROR(R1198-AF1198,"")</f>
        <v/>
      </c>
      <c r="AJ1198" s="8">
        <f>IFERROR(O1198-AF1198,"")</f>
        <v>6.6864699074067175</v>
      </c>
      <c r="AK1198" s="38" t="str">
        <f t="shared" si="432"/>
        <v/>
      </c>
      <c r="AL1198" t="str">
        <f>IFERROR(Z1198-W1198,"")</f>
        <v/>
      </c>
      <c r="AM1198" t="str">
        <f>IFERROR(R1198-J1198,"")</f>
        <v/>
      </c>
      <c r="AN1198" t="str">
        <f>IFERROR(V1198-O1198,"")</f>
        <v/>
      </c>
      <c r="AO1198">
        <f>IFERROR(J1198-I1198,"")</f>
        <v>2</v>
      </c>
      <c r="AP1198">
        <f>IFERROR(AC1198-X1198,"")</f>
        <v>0</v>
      </c>
      <c r="AQ1198" t="str">
        <f>IFERROR(AA1198-W1198,"")</f>
        <v/>
      </c>
    </row>
    <row r="1199" spans="1:43" x14ac:dyDescent="0.35">
      <c r="A1199">
        <v>1895</v>
      </c>
      <c r="B1199" t="s">
        <v>3759</v>
      </c>
      <c r="C1199" t="s">
        <v>3554</v>
      </c>
      <c r="D1199" t="str">
        <f t="shared" si="430"/>
        <v>HR</v>
      </c>
      <c r="E1199" t="s">
        <v>3719</v>
      </c>
      <c r="F1199" t="s">
        <v>3301</v>
      </c>
      <c r="G1199" t="s">
        <v>3720</v>
      </c>
      <c r="H1199" t="s">
        <v>59</v>
      </c>
      <c r="I1199" s="32">
        <v>44593.278043981481</v>
      </c>
      <c r="J1199" s="32">
        <v>44596.278043981481</v>
      </c>
      <c r="K1199" s="32">
        <v>44599.278043981481</v>
      </c>
      <c r="L1199" s="8">
        <f t="shared" si="431"/>
        <v>6</v>
      </c>
      <c r="M1199" s="7">
        <v>44606.278043981481</v>
      </c>
      <c r="N1199" t="s">
        <v>49</v>
      </c>
      <c r="O1199" s="34">
        <v>44607.278043981481</v>
      </c>
      <c r="P1199" t="s">
        <v>50</v>
      </c>
      <c r="Q1199" t="s">
        <v>198</v>
      </c>
      <c r="R1199" s="32" t="s">
        <v>7472</v>
      </c>
      <c r="S1199" t="s">
        <v>7476</v>
      </c>
      <c r="T1199" s="34" t="s">
        <v>7476</v>
      </c>
      <c r="U1199" s="34" t="s">
        <v>7476</v>
      </c>
      <c r="V1199" s="32" t="s">
        <v>7476</v>
      </c>
      <c r="W1199" s="32" t="s">
        <v>7476</v>
      </c>
      <c r="X1199">
        <v>0</v>
      </c>
      <c r="Y1199" s="34" t="s">
        <v>7476</v>
      </c>
      <c r="Z1199" s="34" t="s">
        <v>7476</v>
      </c>
      <c r="AA1199" s="34" t="s">
        <v>7476</v>
      </c>
      <c r="AB1199" s="36" t="s">
        <v>95</v>
      </c>
      <c r="AD1199" t="s">
        <v>3760</v>
      </c>
      <c r="AE1199" t="s">
        <v>3761</v>
      </c>
      <c r="AF1199" s="16">
        <v>44594</v>
      </c>
      <c r="AG1199" t="s">
        <v>64</v>
      </c>
      <c r="AH1199">
        <v>3</v>
      </c>
      <c r="AI1199" s="8" t="str">
        <f>IFERROR(R1199-AF1199,"")</f>
        <v/>
      </c>
      <c r="AJ1199" s="8">
        <f>IFERROR(O1199-AF1199,"")</f>
        <v>13.27804398148146</v>
      </c>
      <c r="AK1199" s="38" t="str">
        <f t="shared" si="432"/>
        <v/>
      </c>
      <c r="AL1199" t="str">
        <f>IFERROR(Z1199-W1199,"")</f>
        <v/>
      </c>
      <c r="AM1199" t="str">
        <f>IFERROR(R1199-J1199,"")</f>
        <v/>
      </c>
      <c r="AN1199" t="str">
        <f>IFERROR(V1199-O1199,"")</f>
        <v/>
      </c>
      <c r="AO1199">
        <f>IFERROR(J1199-I1199,"")</f>
        <v>3</v>
      </c>
      <c r="AP1199">
        <f>IFERROR(AC1199-X1199,"")</f>
        <v>0</v>
      </c>
      <c r="AQ1199" t="str">
        <f>IFERROR(AA1199-W1199,"")</f>
        <v/>
      </c>
    </row>
    <row r="1200" spans="1:43" x14ac:dyDescent="0.35">
      <c r="A1200">
        <v>1774</v>
      </c>
      <c r="B1200" t="s">
        <v>3762</v>
      </c>
      <c r="C1200" t="s">
        <v>3514</v>
      </c>
      <c r="D1200" t="str">
        <f t="shared" si="430"/>
        <v>HR</v>
      </c>
      <c r="E1200" t="s">
        <v>3719</v>
      </c>
      <c r="F1200" t="s">
        <v>3301</v>
      </c>
      <c r="G1200" t="s">
        <v>3720</v>
      </c>
      <c r="H1200" t="s">
        <v>59</v>
      </c>
      <c r="I1200" s="32">
        <v>44712.825856481482</v>
      </c>
      <c r="J1200" s="32">
        <v>44716.825856481482</v>
      </c>
      <c r="K1200" s="32" t="s">
        <v>7473</v>
      </c>
      <c r="L1200" s="8" t="str">
        <f t="shared" si="431"/>
        <v/>
      </c>
      <c r="M1200" s="7">
        <v>44726.825856481482</v>
      </c>
      <c r="N1200" t="s">
        <v>49</v>
      </c>
      <c r="O1200" s="34">
        <v>44729.825856481482</v>
      </c>
      <c r="P1200" t="s">
        <v>50</v>
      </c>
      <c r="Q1200" t="s">
        <v>125</v>
      </c>
      <c r="R1200" s="32" t="s">
        <v>7472</v>
      </c>
      <c r="S1200" t="s">
        <v>7476</v>
      </c>
      <c r="T1200" s="34" t="s">
        <v>7476</v>
      </c>
      <c r="U1200" s="34" t="s">
        <v>7476</v>
      </c>
      <c r="V1200" s="32" t="s">
        <v>7476</v>
      </c>
      <c r="W1200" s="32" t="s">
        <v>7476</v>
      </c>
      <c r="X1200">
        <v>0</v>
      </c>
      <c r="Y1200" s="34" t="s">
        <v>7476</v>
      </c>
      <c r="Z1200" s="34" t="s">
        <v>7476</v>
      </c>
      <c r="AA1200" s="34" t="s">
        <v>7476</v>
      </c>
      <c r="AB1200" s="36" t="s">
        <v>95</v>
      </c>
      <c r="AD1200" t="s">
        <v>3763</v>
      </c>
      <c r="AE1200" t="s">
        <v>3764</v>
      </c>
      <c r="AF1200" s="16">
        <v>44687</v>
      </c>
      <c r="AG1200" t="s">
        <v>93</v>
      </c>
      <c r="AH1200">
        <v>3</v>
      </c>
      <c r="AK1200" s="38" t="str">
        <f t="shared" si="432"/>
        <v/>
      </c>
    </row>
    <row r="1201" spans="1:43" x14ac:dyDescent="0.35">
      <c r="A1201">
        <v>1743</v>
      </c>
      <c r="B1201" t="s">
        <v>3765</v>
      </c>
      <c r="C1201" t="s">
        <v>3554</v>
      </c>
      <c r="D1201" t="str">
        <f t="shared" si="430"/>
        <v>HR</v>
      </c>
      <c r="E1201" t="s">
        <v>3719</v>
      </c>
      <c r="F1201" t="s">
        <v>3301</v>
      </c>
      <c r="G1201" t="s">
        <v>3720</v>
      </c>
      <c r="H1201" t="s">
        <v>59</v>
      </c>
      <c r="I1201" s="32">
        <v>44948.798078703701</v>
      </c>
      <c r="J1201" s="32">
        <v>44949.798078703701</v>
      </c>
      <c r="K1201" s="32">
        <v>44953.798078703701</v>
      </c>
      <c r="L1201" s="8">
        <f t="shared" si="431"/>
        <v>5</v>
      </c>
      <c r="M1201" s="7">
        <v>44964.798078703701</v>
      </c>
      <c r="N1201" t="s">
        <v>49</v>
      </c>
      <c r="O1201" s="34">
        <v>44964.798078703701</v>
      </c>
      <c r="P1201" t="s">
        <v>60</v>
      </c>
      <c r="R1201" s="32">
        <v>44967.798078703701</v>
      </c>
      <c r="S1201" t="s">
        <v>61</v>
      </c>
      <c r="T1201" s="34" t="s">
        <v>7476</v>
      </c>
      <c r="U1201" s="34" t="s">
        <v>7476</v>
      </c>
      <c r="V1201" s="32">
        <v>44966.798078703701</v>
      </c>
      <c r="W1201" s="32" t="s">
        <v>7476</v>
      </c>
      <c r="X1201">
        <v>0</v>
      </c>
      <c r="Y1201" s="34" t="s">
        <v>7476</v>
      </c>
      <c r="Z1201" s="34" t="s">
        <v>7476</v>
      </c>
      <c r="AA1201" s="34" t="s">
        <v>7476</v>
      </c>
      <c r="AB1201" s="36" t="s">
        <v>7476</v>
      </c>
      <c r="AD1201" t="s">
        <v>3766</v>
      </c>
      <c r="AE1201" t="s">
        <v>3767</v>
      </c>
      <c r="AF1201" s="16">
        <v>44954</v>
      </c>
      <c r="AG1201" t="s">
        <v>64</v>
      </c>
      <c r="AH1201">
        <v>6</v>
      </c>
      <c r="AI1201" s="8">
        <f t="shared" ref="AI1201:AI1206" si="449">IFERROR(R1201-AF1201,"")</f>
        <v>13.798078703701322</v>
      </c>
      <c r="AJ1201" s="8">
        <f t="shared" ref="AJ1201:AJ1206" si="450">IFERROR(O1201-AF1201,"")</f>
        <v>10.798078703701322</v>
      </c>
      <c r="AK1201" s="38">
        <f t="shared" si="432"/>
        <v>45146.798078703701</v>
      </c>
      <c r="AL1201" t="str">
        <f t="shared" ref="AL1201:AL1206" si="451">IFERROR(Z1201-W1201,"")</f>
        <v/>
      </c>
      <c r="AM1201">
        <f t="shared" ref="AM1201:AM1206" si="452">IFERROR(R1201-J1201,"")</f>
        <v>18</v>
      </c>
      <c r="AN1201">
        <f t="shared" ref="AN1201:AN1206" si="453">IFERROR(V1201-O1201,"")</f>
        <v>2</v>
      </c>
      <c r="AO1201">
        <f t="shared" ref="AO1201:AO1206" si="454">IFERROR(J1201-I1201,"")</f>
        <v>1</v>
      </c>
      <c r="AP1201">
        <f t="shared" ref="AP1201:AP1206" si="455">IFERROR(AC1201-X1201,"")</f>
        <v>0</v>
      </c>
      <c r="AQ1201" t="str">
        <f t="shared" ref="AQ1201:AQ1206" si="456">IFERROR(AA1201-W1201,"")</f>
        <v/>
      </c>
    </row>
    <row r="1202" spans="1:43" x14ac:dyDescent="0.35">
      <c r="A1202">
        <v>1648</v>
      </c>
      <c r="B1202" t="s">
        <v>3768</v>
      </c>
      <c r="C1202" t="s">
        <v>3554</v>
      </c>
      <c r="D1202" t="str">
        <f t="shared" si="430"/>
        <v>HR</v>
      </c>
      <c r="E1202" t="s">
        <v>3719</v>
      </c>
      <c r="F1202" t="s">
        <v>3301</v>
      </c>
      <c r="G1202" t="s">
        <v>3720</v>
      </c>
      <c r="H1202" t="s">
        <v>59</v>
      </c>
      <c r="I1202" s="32">
        <v>44914.661261574067</v>
      </c>
      <c r="J1202" s="32">
        <v>44915.661261574067</v>
      </c>
      <c r="K1202" s="32">
        <v>44920.661261574067</v>
      </c>
      <c r="L1202" s="8">
        <f t="shared" si="431"/>
        <v>6</v>
      </c>
      <c r="M1202" s="7">
        <v>44938.661261574067</v>
      </c>
      <c r="N1202" t="s">
        <v>49</v>
      </c>
      <c r="O1202" s="34">
        <v>44935.661261574067</v>
      </c>
      <c r="P1202" t="s">
        <v>50</v>
      </c>
      <c r="Q1202" t="s">
        <v>125</v>
      </c>
      <c r="R1202" s="32" t="s">
        <v>7472</v>
      </c>
      <c r="S1202" t="s">
        <v>7476</v>
      </c>
      <c r="T1202" s="34" t="s">
        <v>7476</v>
      </c>
      <c r="U1202" s="34" t="s">
        <v>7476</v>
      </c>
      <c r="V1202" s="32" t="s">
        <v>7476</v>
      </c>
      <c r="W1202" s="32" t="s">
        <v>7476</v>
      </c>
      <c r="X1202">
        <v>0</v>
      </c>
      <c r="Y1202" s="34" t="s">
        <v>7476</v>
      </c>
      <c r="Z1202" s="34" t="s">
        <v>7476</v>
      </c>
      <c r="AA1202" s="34" t="s">
        <v>7476</v>
      </c>
      <c r="AB1202" s="36" t="s">
        <v>95</v>
      </c>
      <c r="AD1202" t="s">
        <v>3769</v>
      </c>
      <c r="AE1202" t="s">
        <v>3770</v>
      </c>
      <c r="AF1202" s="16">
        <v>44920</v>
      </c>
      <c r="AG1202" t="s">
        <v>68</v>
      </c>
      <c r="AH1202">
        <v>3</v>
      </c>
      <c r="AI1202" s="8" t="str">
        <f t="shared" si="449"/>
        <v/>
      </c>
      <c r="AJ1202" s="8">
        <f t="shared" si="450"/>
        <v>15.661261574066884</v>
      </c>
      <c r="AK1202" s="38" t="str">
        <f t="shared" si="432"/>
        <v/>
      </c>
      <c r="AL1202" t="str">
        <f t="shared" si="451"/>
        <v/>
      </c>
      <c r="AM1202" t="str">
        <f t="shared" si="452"/>
        <v/>
      </c>
      <c r="AN1202" t="str">
        <f t="shared" si="453"/>
        <v/>
      </c>
      <c r="AO1202">
        <f t="shared" si="454"/>
        <v>1</v>
      </c>
      <c r="AP1202">
        <f t="shared" si="455"/>
        <v>0</v>
      </c>
      <c r="AQ1202" t="str">
        <f t="shared" si="456"/>
        <v/>
      </c>
    </row>
    <row r="1203" spans="1:43" x14ac:dyDescent="0.35">
      <c r="A1203">
        <v>1643</v>
      </c>
      <c r="B1203" t="s">
        <v>3771</v>
      </c>
      <c r="C1203" t="s">
        <v>3514</v>
      </c>
      <c r="D1203" t="str">
        <f t="shared" si="430"/>
        <v>HR</v>
      </c>
      <c r="E1203" t="s">
        <v>3719</v>
      </c>
      <c r="F1203" t="s">
        <v>3301</v>
      </c>
      <c r="G1203" t="s">
        <v>3720</v>
      </c>
      <c r="H1203" t="s">
        <v>59</v>
      </c>
      <c r="I1203" s="32">
        <v>44917.661261574067</v>
      </c>
      <c r="J1203" s="32">
        <v>44919.661261574067</v>
      </c>
      <c r="K1203" s="32">
        <v>44920.661261574067</v>
      </c>
      <c r="L1203" s="8">
        <f t="shared" si="431"/>
        <v>3</v>
      </c>
      <c r="M1203" s="7">
        <v>44930.661261574067</v>
      </c>
      <c r="N1203" t="s">
        <v>49</v>
      </c>
      <c r="O1203" s="34">
        <v>44928.661261574067</v>
      </c>
      <c r="P1203" t="s">
        <v>101</v>
      </c>
      <c r="R1203" s="32">
        <v>44931.661261574067</v>
      </c>
      <c r="S1203" t="s">
        <v>101</v>
      </c>
      <c r="T1203" s="34">
        <v>44930.661261574067</v>
      </c>
      <c r="U1203" s="34">
        <v>44933.661261574067</v>
      </c>
      <c r="V1203" s="32">
        <v>44930.661261574067</v>
      </c>
      <c r="W1203" s="32">
        <v>44935.661261574067</v>
      </c>
      <c r="X1203">
        <v>1</v>
      </c>
      <c r="Y1203" s="34">
        <v>44938.661261574067</v>
      </c>
      <c r="Z1203" s="34">
        <v>44939.661261574067</v>
      </c>
      <c r="AA1203" s="34">
        <v>44940.661261574067</v>
      </c>
      <c r="AB1203" s="36" t="s">
        <v>7476</v>
      </c>
      <c r="AC1203" s="10">
        <v>44954.661261574067</v>
      </c>
      <c r="AD1203" t="s">
        <v>3772</v>
      </c>
      <c r="AE1203" t="s">
        <v>3773</v>
      </c>
      <c r="AF1203" s="16">
        <v>44921</v>
      </c>
      <c r="AG1203" t="s">
        <v>64</v>
      </c>
      <c r="AH1203">
        <v>3</v>
      </c>
      <c r="AI1203" s="8">
        <f t="shared" si="449"/>
        <v>10.661261574066884</v>
      </c>
      <c r="AJ1203" s="8">
        <f t="shared" si="450"/>
        <v>7.6612615740668844</v>
      </c>
      <c r="AK1203" s="38">
        <f t="shared" si="432"/>
        <v>45020.661261574067</v>
      </c>
      <c r="AL1203">
        <f t="shared" si="451"/>
        <v>4</v>
      </c>
      <c r="AM1203">
        <f t="shared" si="452"/>
        <v>12</v>
      </c>
      <c r="AN1203">
        <f t="shared" si="453"/>
        <v>2</v>
      </c>
      <c r="AO1203">
        <f t="shared" si="454"/>
        <v>2</v>
      </c>
      <c r="AP1203">
        <f t="shared" si="455"/>
        <v>44953.661261574067</v>
      </c>
      <c r="AQ1203">
        <f t="shared" si="456"/>
        <v>5</v>
      </c>
    </row>
    <row r="1204" spans="1:43" x14ac:dyDescent="0.35">
      <c r="A1204">
        <v>1618</v>
      </c>
      <c r="B1204" t="s">
        <v>3774</v>
      </c>
      <c r="C1204" t="s">
        <v>3507</v>
      </c>
      <c r="D1204" t="str">
        <f t="shared" si="430"/>
        <v>HR</v>
      </c>
      <c r="E1204" t="s">
        <v>3719</v>
      </c>
      <c r="F1204" t="s">
        <v>3301</v>
      </c>
      <c r="G1204" t="s">
        <v>3720</v>
      </c>
      <c r="H1204" t="s">
        <v>59</v>
      </c>
      <c r="I1204" s="32">
        <v>44850.951192129629</v>
      </c>
      <c r="J1204" s="32">
        <v>44854.951192129629</v>
      </c>
      <c r="K1204" s="32">
        <v>44858.951192129629</v>
      </c>
      <c r="L1204" s="8">
        <f t="shared" si="431"/>
        <v>8</v>
      </c>
      <c r="M1204" s="7">
        <v>44873.951192129629</v>
      </c>
      <c r="N1204" t="s">
        <v>49</v>
      </c>
      <c r="O1204" s="34">
        <v>44871.951192129629</v>
      </c>
      <c r="P1204" t="s">
        <v>50</v>
      </c>
      <c r="Q1204" t="s">
        <v>125</v>
      </c>
      <c r="R1204" s="32" t="s">
        <v>7472</v>
      </c>
      <c r="S1204" t="s">
        <v>7476</v>
      </c>
      <c r="T1204" s="34" t="s">
        <v>7476</v>
      </c>
      <c r="U1204" s="34" t="s">
        <v>7476</v>
      </c>
      <c r="V1204" s="32" t="s">
        <v>7476</v>
      </c>
      <c r="W1204" s="32" t="s">
        <v>7476</v>
      </c>
      <c r="X1204">
        <v>0</v>
      </c>
      <c r="Y1204" s="34" t="s">
        <v>7476</v>
      </c>
      <c r="Z1204" s="34" t="s">
        <v>7476</v>
      </c>
      <c r="AA1204" s="34" t="s">
        <v>7476</v>
      </c>
      <c r="AB1204" s="36" t="s">
        <v>95</v>
      </c>
      <c r="AD1204" t="s">
        <v>3775</v>
      </c>
      <c r="AE1204" t="s">
        <v>3776</v>
      </c>
      <c r="AF1204" s="16">
        <v>44853</v>
      </c>
      <c r="AG1204" t="s">
        <v>68</v>
      </c>
      <c r="AH1204">
        <v>3</v>
      </c>
      <c r="AI1204" s="8" t="str">
        <f t="shared" si="449"/>
        <v/>
      </c>
      <c r="AJ1204" s="8">
        <f t="shared" si="450"/>
        <v>18.951192129628907</v>
      </c>
      <c r="AK1204" s="38" t="str">
        <f t="shared" si="432"/>
        <v/>
      </c>
      <c r="AL1204" t="str">
        <f t="shared" si="451"/>
        <v/>
      </c>
      <c r="AM1204" t="str">
        <f t="shared" si="452"/>
        <v/>
      </c>
      <c r="AN1204" t="str">
        <f t="shared" si="453"/>
        <v/>
      </c>
      <c r="AO1204">
        <f t="shared" si="454"/>
        <v>4</v>
      </c>
      <c r="AP1204">
        <f t="shared" si="455"/>
        <v>0</v>
      </c>
      <c r="AQ1204" t="str">
        <f t="shared" si="456"/>
        <v/>
      </c>
    </row>
    <row r="1205" spans="1:43" x14ac:dyDescent="0.35">
      <c r="A1205">
        <v>1593</v>
      </c>
      <c r="B1205" t="s">
        <v>3777</v>
      </c>
      <c r="C1205" t="s">
        <v>3514</v>
      </c>
      <c r="D1205" t="str">
        <f t="shared" si="430"/>
        <v>HR</v>
      </c>
      <c r="E1205" t="s">
        <v>3719</v>
      </c>
      <c r="F1205" t="s">
        <v>3301</v>
      </c>
      <c r="G1205" t="s">
        <v>3720</v>
      </c>
      <c r="H1205" t="s">
        <v>59</v>
      </c>
      <c r="I1205" s="32">
        <v>44996.164201388892</v>
      </c>
      <c r="J1205" s="32">
        <v>44997.164201388892</v>
      </c>
      <c r="K1205" s="32">
        <v>45000.164201388892</v>
      </c>
      <c r="L1205" s="8">
        <f t="shared" si="431"/>
        <v>4</v>
      </c>
      <c r="M1205" s="7">
        <v>45029.164201388892</v>
      </c>
      <c r="N1205" t="s">
        <v>49</v>
      </c>
      <c r="O1205" s="34">
        <v>45011.164201388892</v>
      </c>
      <c r="P1205" t="s">
        <v>392</v>
      </c>
      <c r="R1205" s="32">
        <v>45019.164201388892</v>
      </c>
      <c r="S1205" t="s">
        <v>392</v>
      </c>
      <c r="T1205" s="34" t="s">
        <v>7476</v>
      </c>
      <c r="U1205" s="34" t="s">
        <v>7476</v>
      </c>
      <c r="V1205" s="32">
        <v>45015.164201388892</v>
      </c>
      <c r="W1205" s="32" t="s">
        <v>7476</v>
      </c>
      <c r="X1205">
        <v>0</v>
      </c>
      <c r="Y1205" s="34" t="s">
        <v>7476</v>
      </c>
      <c r="Z1205" s="34" t="s">
        <v>7476</v>
      </c>
      <c r="AA1205" s="34" t="s">
        <v>7476</v>
      </c>
      <c r="AB1205" s="36" t="s">
        <v>7476</v>
      </c>
      <c r="AD1205" t="s">
        <v>3778</v>
      </c>
      <c r="AE1205" t="s">
        <v>3779</v>
      </c>
      <c r="AF1205" s="16">
        <v>45202</v>
      </c>
      <c r="AG1205" t="s">
        <v>98</v>
      </c>
      <c r="AH1205">
        <v>3</v>
      </c>
      <c r="AI1205" s="8">
        <f t="shared" si="449"/>
        <v>-182.83579861110775</v>
      </c>
      <c r="AJ1205" s="8">
        <f t="shared" si="450"/>
        <v>-190.83579861110775</v>
      </c>
      <c r="AK1205" s="38">
        <f t="shared" si="432"/>
        <v>45105.164201388892</v>
      </c>
      <c r="AL1205" t="str">
        <f t="shared" si="451"/>
        <v/>
      </c>
      <c r="AM1205">
        <f t="shared" si="452"/>
        <v>22</v>
      </c>
      <c r="AN1205">
        <f t="shared" si="453"/>
        <v>4</v>
      </c>
      <c r="AO1205">
        <f t="shared" si="454"/>
        <v>1</v>
      </c>
      <c r="AP1205">
        <f t="shared" si="455"/>
        <v>0</v>
      </c>
      <c r="AQ1205" t="str">
        <f t="shared" si="456"/>
        <v/>
      </c>
    </row>
    <row r="1206" spans="1:43" x14ac:dyDescent="0.35">
      <c r="A1206">
        <v>1536</v>
      </c>
      <c r="B1206" t="s">
        <v>3780</v>
      </c>
      <c r="C1206" t="s">
        <v>3514</v>
      </c>
      <c r="D1206" t="str">
        <f t="shared" si="430"/>
        <v>HR</v>
      </c>
      <c r="E1206" t="s">
        <v>3719</v>
      </c>
      <c r="F1206" t="s">
        <v>3301</v>
      </c>
      <c r="G1206" t="s">
        <v>3720</v>
      </c>
      <c r="H1206" t="s">
        <v>59</v>
      </c>
      <c r="I1206" s="32">
        <v>45055.546423611107</v>
      </c>
      <c r="J1206" s="32">
        <v>45057.546423611107</v>
      </c>
      <c r="K1206" s="32">
        <v>45060.546423611107</v>
      </c>
      <c r="L1206" s="8">
        <f t="shared" si="431"/>
        <v>5</v>
      </c>
      <c r="M1206" s="7">
        <v>45066.546423611107</v>
      </c>
      <c r="N1206" t="s">
        <v>49</v>
      </c>
      <c r="O1206" s="34">
        <v>45075.546423611107</v>
      </c>
      <c r="P1206" t="s">
        <v>50</v>
      </c>
      <c r="Q1206" t="s">
        <v>236</v>
      </c>
      <c r="R1206" s="32" t="s">
        <v>7472</v>
      </c>
      <c r="S1206" t="s">
        <v>7476</v>
      </c>
      <c r="T1206" s="34" t="s">
        <v>7476</v>
      </c>
      <c r="U1206" s="34" t="s">
        <v>7476</v>
      </c>
      <c r="V1206" s="32" t="s">
        <v>7476</v>
      </c>
      <c r="W1206" s="32" t="s">
        <v>7476</v>
      </c>
      <c r="X1206">
        <v>0</v>
      </c>
      <c r="Y1206" s="34" t="s">
        <v>7476</v>
      </c>
      <c r="Z1206" s="34" t="s">
        <v>7476</v>
      </c>
      <c r="AA1206" s="34" t="s">
        <v>7476</v>
      </c>
      <c r="AB1206" s="36" t="s">
        <v>52</v>
      </c>
      <c r="AD1206" t="s">
        <v>3781</v>
      </c>
      <c r="AE1206" t="s">
        <v>3782</v>
      </c>
      <c r="AF1206" s="16">
        <v>45066</v>
      </c>
      <c r="AG1206" t="s">
        <v>64</v>
      </c>
      <c r="AH1206">
        <v>3</v>
      </c>
      <c r="AI1206" s="8" t="str">
        <f t="shared" si="449"/>
        <v/>
      </c>
      <c r="AJ1206" s="8">
        <f t="shared" si="450"/>
        <v>9.546423611107457</v>
      </c>
      <c r="AK1206" s="38" t="str">
        <f t="shared" si="432"/>
        <v/>
      </c>
      <c r="AL1206" t="str">
        <f t="shared" si="451"/>
        <v/>
      </c>
      <c r="AM1206" t="str">
        <f t="shared" si="452"/>
        <v/>
      </c>
      <c r="AN1206" t="str">
        <f t="shared" si="453"/>
        <v/>
      </c>
      <c r="AO1206">
        <f t="shared" si="454"/>
        <v>2</v>
      </c>
      <c r="AP1206">
        <f t="shared" si="455"/>
        <v>0</v>
      </c>
      <c r="AQ1206" t="str">
        <f t="shared" si="456"/>
        <v/>
      </c>
    </row>
    <row r="1207" spans="1:43" x14ac:dyDescent="0.35">
      <c r="A1207">
        <v>1502</v>
      </c>
      <c r="B1207" t="s">
        <v>3783</v>
      </c>
      <c r="C1207" t="s">
        <v>3507</v>
      </c>
      <c r="D1207" t="str">
        <f t="shared" si="430"/>
        <v>HR</v>
      </c>
      <c r="E1207" t="s">
        <v>3719</v>
      </c>
      <c r="F1207" t="s">
        <v>3301</v>
      </c>
      <c r="G1207" t="s">
        <v>3720</v>
      </c>
      <c r="H1207" t="s">
        <v>59</v>
      </c>
      <c r="I1207" s="32" t="s">
        <v>7471</v>
      </c>
      <c r="J1207" s="32">
        <v>44760.346215277779</v>
      </c>
      <c r="K1207" s="32" t="s">
        <v>7473</v>
      </c>
      <c r="L1207" s="8" t="str">
        <f t="shared" si="431"/>
        <v/>
      </c>
      <c r="M1207" s="7">
        <v>44780.346215277779</v>
      </c>
      <c r="N1207" t="s">
        <v>49</v>
      </c>
      <c r="O1207" s="34">
        <v>44767.346215277779</v>
      </c>
      <c r="P1207" t="s">
        <v>50</v>
      </c>
      <c r="Q1207" t="s">
        <v>51</v>
      </c>
      <c r="R1207" s="32" t="s">
        <v>7472</v>
      </c>
      <c r="S1207" t="s">
        <v>7476</v>
      </c>
      <c r="T1207" s="34" t="s">
        <v>7476</v>
      </c>
      <c r="U1207" s="34" t="s">
        <v>7476</v>
      </c>
      <c r="V1207" s="32" t="s">
        <v>7476</v>
      </c>
      <c r="W1207" s="32" t="s">
        <v>7476</v>
      </c>
      <c r="X1207">
        <v>0</v>
      </c>
      <c r="Y1207" s="34" t="s">
        <v>7476</v>
      </c>
      <c r="Z1207" s="34" t="s">
        <v>7476</v>
      </c>
      <c r="AA1207" s="34" t="s">
        <v>7476</v>
      </c>
      <c r="AB1207" s="36" t="s">
        <v>95</v>
      </c>
      <c r="AD1207" t="s">
        <v>3784</v>
      </c>
      <c r="AE1207" t="s">
        <v>3785</v>
      </c>
      <c r="AF1207" s="16">
        <v>44719</v>
      </c>
      <c r="AG1207" t="s">
        <v>68</v>
      </c>
      <c r="AH1207">
        <v>3</v>
      </c>
      <c r="AK1207" s="38" t="str">
        <f t="shared" si="432"/>
        <v/>
      </c>
    </row>
    <row r="1208" spans="1:43" x14ac:dyDescent="0.35">
      <c r="A1208">
        <v>1501</v>
      </c>
      <c r="B1208" t="s">
        <v>3786</v>
      </c>
      <c r="C1208" t="s">
        <v>3514</v>
      </c>
      <c r="D1208" t="str">
        <f t="shared" si="430"/>
        <v>HR</v>
      </c>
      <c r="E1208" t="s">
        <v>3719</v>
      </c>
      <c r="F1208" t="s">
        <v>3301</v>
      </c>
      <c r="G1208" t="s">
        <v>3720</v>
      </c>
      <c r="H1208" t="s">
        <v>59</v>
      </c>
      <c r="I1208" s="32">
        <v>44753.346215277779</v>
      </c>
      <c r="J1208" s="32">
        <v>44757.346215277779</v>
      </c>
      <c r="K1208" s="32">
        <v>44762.346215277779</v>
      </c>
      <c r="L1208" s="8">
        <f t="shared" si="431"/>
        <v>9</v>
      </c>
      <c r="M1208" s="7">
        <v>44782.346215277779</v>
      </c>
      <c r="N1208" t="s">
        <v>49</v>
      </c>
      <c r="O1208" s="34">
        <v>44778.346215277779</v>
      </c>
      <c r="P1208" t="s">
        <v>50</v>
      </c>
      <c r="Q1208" t="s">
        <v>125</v>
      </c>
      <c r="R1208" s="32" t="s">
        <v>7472</v>
      </c>
      <c r="S1208" t="s">
        <v>7476</v>
      </c>
      <c r="T1208" s="34" t="s">
        <v>7476</v>
      </c>
      <c r="U1208" s="34" t="s">
        <v>7476</v>
      </c>
      <c r="V1208" s="32">
        <v>44780.346215277779</v>
      </c>
      <c r="W1208" s="32" t="s">
        <v>7476</v>
      </c>
      <c r="X1208">
        <v>0</v>
      </c>
      <c r="Y1208" s="34" t="s">
        <v>7476</v>
      </c>
      <c r="Z1208" s="34" t="s">
        <v>7476</v>
      </c>
      <c r="AA1208" s="34" t="s">
        <v>7476</v>
      </c>
      <c r="AB1208" s="36" t="s">
        <v>95</v>
      </c>
      <c r="AD1208" t="s">
        <v>3787</v>
      </c>
      <c r="AE1208" t="s">
        <v>3788</v>
      </c>
      <c r="AF1208" s="16">
        <v>44772</v>
      </c>
      <c r="AG1208" t="s">
        <v>64</v>
      </c>
      <c r="AH1208">
        <v>3</v>
      </c>
      <c r="AI1208" s="8" t="str">
        <f>IFERROR(R1208-AF1208,"")</f>
        <v/>
      </c>
      <c r="AJ1208" s="8">
        <f>IFERROR(O1208-AF1208,"")</f>
        <v>6.3462152777792653</v>
      </c>
      <c r="AK1208" s="38">
        <f t="shared" si="432"/>
        <v>44870.346215277779</v>
      </c>
      <c r="AL1208" t="str">
        <f>IFERROR(Z1208-W1208,"")</f>
        <v/>
      </c>
      <c r="AM1208" t="str">
        <f>IFERROR(R1208-J1208,"")</f>
        <v/>
      </c>
      <c r="AN1208">
        <f>IFERROR(V1208-O1208,"")</f>
        <v>2</v>
      </c>
      <c r="AO1208">
        <f>IFERROR(J1208-I1208,"")</f>
        <v>4</v>
      </c>
      <c r="AP1208">
        <f>IFERROR(AC1208-X1208,"")</f>
        <v>0</v>
      </c>
      <c r="AQ1208" t="str">
        <f>IFERROR(AA1208-W1208,"")</f>
        <v/>
      </c>
    </row>
    <row r="1209" spans="1:43" x14ac:dyDescent="0.35">
      <c r="A1209">
        <v>1495</v>
      </c>
      <c r="B1209" t="s">
        <v>3789</v>
      </c>
      <c r="C1209" t="s">
        <v>3554</v>
      </c>
      <c r="D1209" t="str">
        <f t="shared" si="430"/>
        <v>HR</v>
      </c>
      <c r="E1209" t="s">
        <v>3719</v>
      </c>
      <c r="F1209" t="s">
        <v>3301</v>
      </c>
      <c r="G1209" t="s">
        <v>3720</v>
      </c>
      <c r="H1209" t="s">
        <v>59</v>
      </c>
      <c r="I1209" s="32">
        <v>44695.569456018522</v>
      </c>
      <c r="J1209" s="32" t="s">
        <v>7471</v>
      </c>
      <c r="K1209" s="32">
        <v>44701.569456018522</v>
      </c>
      <c r="L1209" s="8">
        <f t="shared" si="431"/>
        <v>6</v>
      </c>
      <c r="M1209" s="7">
        <v>44727.569456018522</v>
      </c>
      <c r="N1209" t="s">
        <v>49</v>
      </c>
      <c r="O1209" s="34">
        <v>44712.569456018522</v>
      </c>
      <c r="P1209" t="s">
        <v>50</v>
      </c>
      <c r="Q1209" t="s">
        <v>51</v>
      </c>
      <c r="R1209" s="32" t="s">
        <v>7472</v>
      </c>
      <c r="S1209" t="s">
        <v>7476</v>
      </c>
      <c r="T1209" s="34" t="s">
        <v>7476</v>
      </c>
      <c r="U1209" s="34" t="s">
        <v>7476</v>
      </c>
      <c r="V1209" s="32">
        <v>44715.569456018522</v>
      </c>
      <c r="W1209" s="32" t="s">
        <v>7476</v>
      </c>
      <c r="X1209">
        <v>0</v>
      </c>
      <c r="Y1209" s="34" t="s">
        <v>7476</v>
      </c>
      <c r="Z1209" s="34" t="s">
        <v>7476</v>
      </c>
      <c r="AA1209" s="34" t="s">
        <v>7476</v>
      </c>
      <c r="AB1209" s="36" t="s">
        <v>95</v>
      </c>
      <c r="AD1209" t="s">
        <v>3790</v>
      </c>
      <c r="AE1209" t="s">
        <v>3791</v>
      </c>
      <c r="AF1209" s="16">
        <v>44702</v>
      </c>
      <c r="AG1209" t="s">
        <v>55</v>
      </c>
      <c r="AH1209">
        <v>6</v>
      </c>
      <c r="AK1209" s="38">
        <f t="shared" si="432"/>
        <v>44895.569456018522</v>
      </c>
    </row>
    <row r="1210" spans="1:43" x14ac:dyDescent="0.35">
      <c r="A1210">
        <v>1458</v>
      </c>
      <c r="B1210" t="s">
        <v>3792</v>
      </c>
      <c r="C1210" t="s">
        <v>3514</v>
      </c>
      <c r="D1210" t="str">
        <f t="shared" si="430"/>
        <v>HR</v>
      </c>
      <c r="E1210" t="s">
        <v>3719</v>
      </c>
      <c r="F1210" t="s">
        <v>3301</v>
      </c>
      <c r="G1210" t="s">
        <v>3720</v>
      </c>
      <c r="H1210" t="s">
        <v>59</v>
      </c>
      <c r="I1210" s="32">
        <v>45024.57240740741</v>
      </c>
      <c r="J1210" s="32">
        <v>45025.57240740741</v>
      </c>
      <c r="K1210" s="32" t="s">
        <v>7473</v>
      </c>
      <c r="L1210" s="8" t="str">
        <f t="shared" si="431"/>
        <v/>
      </c>
      <c r="M1210" s="7">
        <v>45058.57240740741</v>
      </c>
      <c r="N1210" t="s">
        <v>49</v>
      </c>
      <c r="O1210" s="34">
        <v>45038.57240740741</v>
      </c>
      <c r="P1210" t="s">
        <v>50</v>
      </c>
      <c r="Q1210" t="s">
        <v>125</v>
      </c>
      <c r="R1210" s="32" t="s">
        <v>7472</v>
      </c>
      <c r="S1210" t="s">
        <v>7476</v>
      </c>
      <c r="T1210" s="34" t="s">
        <v>7476</v>
      </c>
      <c r="U1210" s="34" t="s">
        <v>7476</v>
      </c>
      <c r="V1210" s="32" t="s">
        <v>7476</v>
      </c>
      <c r="W1210" s="32" t="s">
        <v>7476</v>
      </c>
      <c r="X1210">
        <v>0</v>
      </c>
      <c r="Y1210" s="34" t="s">
        <v>7476</v>
      </c>
      <c r="Z1210" s="34" t="s">
        <v>7476</v>
      </c>
      <c r="AA1210" s="34" t="s">
        <v>7476</v>
      </c>
      <c r="AB1210" s="36" t="s">
        <v>52</v>
      </c>
      <c r="AD1210" t="s">
        <v>3793</v>
      </c>
      <c r="AE1210" t="s">
        <v>3794</v>
      </c>
      <c r="AF1210" s="16">
        <v>45033</v>
      </c>
      <c r="AG1210" t="s">
        <v>55</v>
      </c>
      <c r="AH1210">
        <v>3</v>
      </c>
      <c r="AK1210" s="38" t="str">
        <f t="shared" si="432"/>
        <v/>
      </c>
    </row>
    <row r="1211" spans="1:43" x14ac:dyDescent="0.35">
      <c r="A1211">
        <v>1455</v>
      </c>
      <c r="B1211" t="s">
        <v>3795</v>
      </c>
      <c r="C1211" t="s">
        <v>3514</v>
      </c>
      <c r="D1211" t="str">
        <f t="shared" si="430"/>
        <v>HR</v>
      </c>
      <c r="E1211" t="s">
        <v>3719</v>
      </c>
      <c r="F1211" t="s">
        <v>3301</v>
      </c>
      <c r="G1211" t="s">
        <v>3720</v>
      </c>
      <c r="H1211" t="s">
        <v>59</v>
      </c>
      <c r="I1211" s="32">
        <v>45024.57240740741</v>
      </c>
      <c r="J1211" s="32">
        <v>45027.57240740741</v>
      </c>
      <c r="K1211" s="32">
        <v>45029.57240740741</v>
      </c>
      <c r="L1211" s="8">
        <f t="shared" si="431"/>
        <v>5</v>
      </c>
      <c r="M1211" s="7">
        <v>45039.57240740741</v>
      </c>
      <c r="N1211" t="s">
        <v>49</v>
      </c>
      <c r="O1211" s="34">
        <v>45038.57240740741</v>
      </c>
      <c r="P1211" t="s">
        <v>50</v>
      </c>
      <c r="Q1211" t="s">
        <v>236</v>
      </c>
      <c r="R1211" s="32" t="s">
        <v>7472</v>
      </c>
      <c r="S1211" t="s">
        <v>7476</v>
      </c>
      <c r="T1211" s="34" t="s">
        <v>7476</v>
      </c>
      <c r="U1211" s="34" t="s">
        <v>7476</v>
      </c>
      <c r="V1211" s="32" t="s">
        <v>7476</v>
      </c>
      <c r="W1211" s="32" t="s">
        <v>7476</v>
      </c>
      <c r="X1211">
        <v>0</v>
      </c>
      <c r="Y1211" s="34" t="s">
        <v>7476</v>
      </c>
      <c r="Z1211" s="34" t="s">
        <v>7476</v>
      </c>
      <c r="AA1211" s="34" t="s">
        <v>7476</v>
      </c>
      <c r="AB1211" s="36" t="s">
        <v>95</v>
      </c>
      <c r="AD1211" t="s">
        <v>3796</v>
      </c>
      <c r="AE1211" t="s">
        <v>3797</v>
      </c>
      <c r="AF1211" s="16">
        <v>45031</v>
      </c>
      <c r="AG1211" t="s">
        <v>98</v>
      </c>
      <c r="AH1211">
        <v>3</v>
      </c>
      <c r="AI1211" s="8" t="str">
        <f t="shared" ref="AI1211:AI1222" si="457">IFERROR(R1211-AF1211,"")</f>
        <v/>
      </c>
      <c r="AJ1211" s="8">
        <f t="shared" ref="AJ1211:AJ1222" si="458">IFERROR(O1211-AF1211,"")</f>
        <v>7.5724074074096279</v>
      </c>
      <c r="AK1211" s="38" t="str">
        <f t="shared" si="432"/>
        <v/>
      </c>
      <c r="AL1211" t="str">
        <f t="shared" ref="AL1211:AL1222" si="459">IFERROR(Z1211-W1211,"")</f>
        <v/>
      </c>
      <c r="AM1211" t="str">
        <f t="shared" ref="AM1211:AM1222" si="460">IFERROR(R1211-J1211,"")</f>
        <v/>
      </c>
      <c r="AN1211" t="str">
        <f t="shared" ref="AN1211:AN1222" si="461">IFERROR(V1211-O1211,"")</f>
        <v/>
      </c>
      <c r="AO1211">
        <f t="shared" ref="AO1211:AO1222" si="462">IFERROR(J1211-I1211,"")</f>
        <v>3</v>
      </c>
      <c r="AP1211">
        <f t="shared" ref="AP1211:AP1222" si="463">IFERROR(AC1211-X1211,"")</f>
        <v>0</v>
      </c>
      <c r="AQ1211" t="str">
        <f t="shared" ref="AQ1211:AQ1222" si="464">IFERROR(AA1211-W1211,"")</f>
        <v/>
      </c>
    </row>
    <row r="1212" spans="1:43" x14ac:dyDescent="0.35">
      <c r="A1212">
        <v>1427</v>
      </c>
      <c r="B1212" t="s">
        <v>3798</v>
      </c>
      <c r="C1212" t="s">
        <v>3514</v>
      </c>
      <c r="D1212" t="str">
        <f t="shared" si="430"/>
        <v>HR</v>
      </c>
      <c r="E1212" t="s">
        <v>3719</v>
      </c>
      <c r="F1212" t="s">
        <v>3301</v>
      </c>
      <c r="G1212" t="s">
        <v>3720</v>
      </c>
      <c r="H1212" t="s">
        <v>59</v>
      </c>
      <c r="I1212" s="32">
        <v>44660.11314814815</v>
      </c>
      <c r="J1212" s="32">
        <v>44662.11314814815</v>
      </c>
      <c r="K1212" s="32">
        <v>44666.11314814815</v>
      </c>
      <c r="L1212" s="8">
        <f t="shared" si="431"/>
        <v>6</v>
      </c>
      <c r="M1212" s="7">
        <v>44678.11314814815</v>
      </c>
      <c r="N1212" t="s">
        <v>49</v>
      </c>
      <c r="O1212" s="34">
        <v>44672.11314814815</v>
      </c>
      <c r="P1212" t="s">
        <v>50</v>
      </c>
      <c r="Q1212" t="s">
        <v>84</v>
      </c>
      <c r="R1212" s="32" t="s">
        <v>7472</v>
      </c>
      <c r="S1212" t="s">
        <v>7476</v>
      </c>
      <c r="T1212" s="34" t="s">
        <v>7476</v>
      </c>
      <c r="U1212" s="34" t="s">
        <v>7476</v>
      </c>
      <c r="V1212" s="32" t="s">
        <v>7476</v>
      </c>
      <c r="W1212" s="32" t="s">
        <v>7476</v>
      </c>
      <c r="X1212">
        <v>0</v>
      </c>
      <c r="Y1212" s="34" t="s">
        <v>7476</v>
      </c>
      <c r="Z1212" s="34" t="s">
        <v>7476</v>
      </c>
      <c r="AA1212" s="34" t="s">
        <v>7476</v>
      </c>
      <c r="AB1212" s="36" t="s">
        <v>95</v>
      </c>
      <c r="AD1212" t="s">
        <v>3799</v>
      </c>
      <c r="AE1212" t="s">
        <v>3800</v>
      </c>
      <c r="AF1212" s="16">
        <v>44653</v>
      </c>
      <c r="AG1212" t="s">
        <v>98</v>
      </c>
      <c r="AH1212">
        <v>6</v>
      </c>
      <c r="AI1212" s="8" t="str">
        <f t="shared" si="457"/>
        <v/>
      </c>
      <c r="AJ1212" s="8">
        <f t="shared" si="458"/>
        <v>19.113148148149776</v>
      </c>
      <c r="AK1212" s="38" t="str">
        <f t="shared" si="432"/>
        <v/>
      </c>
      <c r="AL1212" t="str">
        <f t="shared" si="459"/>
        <v/>
      </c>
      <c r="AM1212" t="str">
        <f t="shared" si="460"/>
        <v/>
      </c>
      <c r="AN1212" t="str">
        <f t="shared" si="461"/>
        <v/>
      </c>
      <c r="AO1212">
        <f t="shared" si="462"/>
        <v>2</v>
      </c>
      <c r="AP1212">
        <f t="shared" si="463"/>
        <v>0</v>
      </c>
      <c r="AQ1212" t="str">
        <f t="shared" si="464"/>
        <v/>
      </c>
    </row>
    <row r="1213" spans="1:43" x14ac:dyDescent="0.35">
      <c r="A1213">
        <v>1421</v>
      </c>
      <c r="B1213" t="s">
        <v>3801</v>
      </c>
      <c r="C1213" t="s">
        <v>3554</v>
      </c>
      <c r="D1213" t="str">
        <f t="shared" si="430"/>
        <v>HR</v>
      </c>
      <c r="E1213" t="s">
        <v>3719</v>
      </c>
      <c r="F1213" t="s">
        <v>3301</v>
      </c>
      <c r="G1213" t="s">
        <v>3720</v>
      </c>
      <c r="H1213" t="s">
        <v>59</v>
      </c>
      <c r="I1213" s="32">
        <v>44658.11314814815</v>
      </c>
      <c r="J1213" s="32">
        <v>44660.11314814815</v>
      </c>
      <c r="K1213" s="32">
        <v>44666.11314814815</v>
      </c>
      <c r="L1213" s="8">
        <f t="shared" si="431"/>
        <v>8</v>
      </c>
      <c r="M1213" s="7">
        <v>44688.11314814815</v>
      </c>
      <c r="N1213" t="s">
        <v>49</v>
      </c>
      <c r="O1213" s="34">
        <v>44677.11314814815</v>
      </c>
      <c r="P1213" t="s">
        <v>101</v>
      </c>
      <c r="R1213" s="32">
        <v>44683.11314814815</v>
      </c>
      <c r="S1213" t="s">
        <v>101</v>
      </c>
      <c r="T1213" s="34">
        <v>44679.11314814815</v>
      </c>
      <c r="U1213" s="34">
        <v>44682.11314814815</v>
      </c>
      <c r="V1213" s="32">
        <v>44680.11314814815</v>
      </c>
      <c r="W1213" s="32">
        <v>44682.11314814815</v>
      </c>
      <c r="X1213">
        <v>1</v>
      </c>
      <c r="Y1213" s="34">
        <v>44683.11314814815</v>
      </c>
      <c r="Z1213" s="34">
        <v>44686.11314814815</v>
      </c>
      <c r="AA1213" s="34">
        <v>44689.11314814815</v>
      </c>
      <c r="AB1213" s="36" t="s">
        <v>7476</v>
      </c>
      <c r="AC1213" s="10">
        <v>44698.11314814815</v>
      </c>
      <c r="AD1213" t="s">
        <v>3802</v>
      </c>
      <c r="AE1213" t="s">
        <v>3803</v>
      </c>
      <c r="AF1213" s="16">
        <v>44670</v>
      </c>
      <c r="AG1213" t="s">
        <v>64</v>
      </c>
      <c r="AH1213">
        <v>6</v>
      </c>
      <c r="AI1213" s="8">
        <f t="shared" si="457"/>
        <v>13.113148148149776</v>
      </c>
      <c r="AJ1213" s="8">
        <f t="shared" si="458"/>
        <v>7.1131481481497758</v>
      </c>
      <c r="AK1213" s="38">
        <f t="shared" si="432"/>
        <v>44860.11314814815</v>
      </c>
      <c r="AL1213">
        <f t="shared" si="459"/>
        <v>4</v>
      </c>
      <c r="AM1213">
        <f t="shared" si="460"/>
        <v>23</v>
      </c>
      <c r="AN1213">
        <f t="shared" si="461"/>
        <v>3</v>
      </c>
      <c r="AO1213">
        <f t="shared" si="462"/>
        <v>2</v>
      </c>
      <c r="AP1213">
        <f t="shared" si="463"/>
        <v>44697.11314814815</v>
      </c>
      <c r="AQ1213">
        <f t="shared" si="464"/>
        <v>7</v>
      </c>
    </row>
    <row r="1214" spans="1:43" x14ac:dyDescent="0.35">
      <c r="A1214">
        <v>1363</v>
      </c>
      <c r="B1214" t="s">
        <v>3804</v>
      </c>
      <c r="C1214" t="s">
        <v>3514</v>
      </c>
      <c r="D1214" t="str">
        <f t="shared" si="430"/>
        <v>HR</v>
      </c>
      <c r="E1214" t="s">
        <v>3719</v>
      </c>
      <c r="F1214" t="s">
        <v>3301</v>
      </c>
      <c r="G1214" t="s">
        <v>3720</v>
      </c>
      <c r="H1214" t="s">
        <v>59</v>
      </c>
      <c r="I1214" s="32">
        <v>44850.163807870369</v>
      </c>
      <c r="J1214" s="32">
        <v>44854.163807870369</v>
      </c>
      <c r="K1214" s="32">
        <v>44856.163807870369</v>
      </c>
      <c r="L1214" s="8">
        <f t="shared" si="431"/>
        <v>6</v>
      </c>
      <c r="M1214" s="7">
        <v>44877.163807870369</v>
      </c>
      <c r="N1214" t="s">
        <v>49</v>
      </c>
      <c r="O1214" s="34">
        <v>44873.163807870369</v>
      </c>
      <c r="P1214" t="s">
        <v>50</v>
      </c>
      <c r="Q1214" t="s">
        <v>236</v>
      </c>
      <c r="R1214" s="32" t="s">
        <v>7472</v>
      </c>
      <c r="S1214" t="s">
        <v>7476</v>
      </c>
      <c r="T1214" s="34" t="s">
        <v>7476</v>
      </c>
      <c r="U1214" s="34" t="s">
        <v>7476</v>
      </c>
      <c r="V1214" s="32">
        <v>44877.163807870369</v>
      </c>
      <c r="W1214" s="32" t="s">
        <v>7476</v>
      </c>
      <c r="X1214">
        <v>0</v>
      </c>
      <c r="Y1214" s="34" t="s">
        <v>7476</v>
      </c>
      <c r="Z1214" s="34" t="s">
        <v>7476</v>
      </c>
      <c r="AA1214" s="34" t="s">
        <v>7476</v>
      </c>
      <c r="AB1214" s="36" t="s">
        <v>95</v>
      </c>
      <c r="AD1214" t="s">
        <v>3805</v>
      </c>
      <c r="AE1214" t="s">
        <v>3806</v>
      </c>
      <c r="AF1214" s="16">
        <v>44854</v>
      </c>
      <c r="AG1214" t="s">
        <v>68</v>
      </c>
      <c r="AH1214">
        <v>6</v>
      </c>
      <c r="AI1214" s="8" t="str">
        <f t="shared" si="457"/>
        <v/>
      </c>
      <c r="AJ1214" s="8">
        <f t="shared" si="458"/>
        <v>19.163807870369055</v>
      </c>
      <c r="AK1214" s="38">
        <f t="shared" si="432"/>
        <v>45057.163807870369</v>
      </c>
      <c r="AL1214" t="str">
        <f t="shared" si="459"/>
        <v/>
      </c>
      <c r="AM1214" t="str">
        <f t="shared" si="460"/>
        <v/>
      </c>
      <c r="AN1214">
        <f t="shared" si="461"/>
        <v>4</v>
      </c>
      <c r="AO1214">
        <f t="shared" si="462"/>
        <v>4</v>
      </c>
      <c r="AP1214">
        <f t="shared" si="463"/>
        <v>0</v>
      </c>
      <c r="AQ1214" t="str">
        <f t="shared" si="464"/>
        <v/>
      </c>
    </row>
    <row r="1215" spans="1:43" x14ac:dyDescent="0.35">
      <c r="A1215">
        <v>1318</v>
      </c>
      <c r="B1215" t="s">
        <v>3807</v>
      </c>
      <c r="C1215" t="s">
        <v>3507</v>
      </c>
      <c r="D1215" t="str">
        <f t="shared" si="430"/>
        <v>HR</v>
      </c>
      <c r="E1215" t="s">
        <v>3719</v>
      </c>
      <c r="F1215" t="s">
        <v>3301</v>
      </c>
      <c r="G1215" t="s">
        <v>3720</v>
      </c>
      <c r="H1215" t="s">
        <v>59</v>
      </c>
      <c r="I1215" s="32">
        <v>45152.233067129629</v>
      </c>
      <c r="J1215" s="32">
        <v>45153.233067129629</v>
      </c>
      <c r="K1215" s="32">
        <v>45155.233067129629</v>
      </c>
      <c r="L1215" s="8">
        <f t="shared" si="431"/>
        <v>3</v>
      </c>
      <c r="M1215" s="7">
        <v>45178.233067129629</v>
      </c>
      <c r="N1215" t="s">
        <v>49</v>
      </c>
      <c r="O1215" s="34">
        <v>45160.233067129629</v>
      </c>
      <c r="P1215" t="s">
        <v>50</v>
      </c>
      <c r="Q1215" t="s">
        <v>84</v>
      </c>
      <c r="R1215" s="32" t="s">
        <v>7472</v>
      </c>
      <c r="S1215" t="s">
        <v>7476</v>
      </c>
      <c r="T1215" s="34" t="s">
        <v>7476</v>
      </c>
      <c r="U1215" s="34" t="s">
        <v>7476</v>
      </c>
      <c r="V1215" s="32">
        <v>45162.233067129629</v>
      </c>
      <c r="W1215" s="32" t="s">
        <v>7476</v>
      </c>
      <c r="X1215">
        <v>0</v>
      </c>
      <c r="Y1215" s="34" t="s">
        <v>7476</v>
      </c>
      <c r="Z1215" s="34" t="s">
        <v>7476</v>
      </c>
      <c r="AA1215" s="34" t="s">
        <v>7476</v>
      </c>
      <c r="AB1215" s="36" t="s">
        <v>52</v>
      </c>
      <c r="AD1215" t="s">
        <v>3808</v>
      </c>
      <c r="AE1215" t="s">
        <v>3809</v>
      </c>
      <c r="AF1215" s="16">
        <v>45146</v>
      </c>
      <c r="AG1215" t="s">
        <v>64</v>
      </c>
      <c r="AH1215">
        <v>3</v>
      </c>
      <c r="AI1215" s="8" t="str">
        <f t="shared" si="457"/>
        <v/>
      </c>
      <c r="AJ1215" s="8">
        <f t="shared" si="458"/>
        <v>14.23306712962949</v>
      </c>
      <c r="AK1215" s="38">
        <f t="shared" si="432"/>
        <v>45252.233067129629</v>
      </c>
      <c r="AL1215" t="str">
        <f t="shared" si="459"/>
        <v/>
      </c>
      <c r="AM1215" t="str">
        <f t="shared" si="460"/>
        <v/>
      </c>
      <c r="AN1215">
        <f t="shared" si="461"/>
        <v>2</v>
      </c>
      <c r="AO1215">
        <f t="shared" si="462"/>
        <v>1</v>
      </c>
      <c r="AP1215">
        <f t="shared" si="463"/>
        <v>0</v>
      </c>
      <c r="AQ1215" t="str">
        <f t="shared" si="464"/>
        <v/>
      </c>
    </row>
    <row r="1216" spans="1:43" x14ac:dyDescent="0.35">
      <c r="A1216">
        <v>1277</v>
      </c>
      <c r="B1216" t="s">
        <v>3810</v>
      </c>
      <c r="C1216" t="s">
        <v>3514</v>
      </c>
      <c r="D1216" t="str">
        <f t="shared" si="430"/>
        <v>HR</v>
      </c>
      <c r="E1216" t="s">
        <v>3719</v>
      </c>
      <c r="F1216" t="s">
        <v>3301</v>
      </c>
      <c r="G1216" t="s">
        <v>3720</v>
      </c>
      <c r="H1216" t="s">
        <v>59</v>
      </c>
      <c r="I1216" s="32">
        <v>44713.107928240737</v>
      </c>
      <c r="J1216" s="32">
        <v>44716.107928240737</v>
      </c>
      <c r="K1216" s="32">
        <v>44717.107928240737</v>
      </c>
      <c r="L1216" s="8">
        <f t="shared" si="431"/>
        <v>4</v>
      </c>
      <c r="M1216" s="7">
        <v>44732.107928240737</v>
      </c>
      <c r="N1216" t="s">
        <v>49</v>
      </c>
      <c r="O1216" s="34">
        <v>44734.107928240737</v>
      </c>
      <c r="P1216" t="s">
        <v>50</v>
      </c>
      <c r="Q1216" t="s">
        <v>51</v>
      </c>
      <c r="R1216" s="32" t="s">
        <v>7472</v>
      </c>
      <c r="S1216" t="s">
        <v>7476</v>
      </c>
      <c r="T1216" s="34" t="s">
        <v>7476</v>
      </c>
      <c r="U1216" s="34" t="s">
        <v>7476</v>
      </c>
      <c r="V1216" s="32">
        <v>44738.107928240737</v>
      </c>
      <c r="W1216" s="32" t="s">
        <v>7476</v>
      </c>
      <c r="X1216">
        <v>0</v>
      </c>
      <c r="Y1216" s="34" t="s">
        <v>7476</v>
      </c>
      <c r="Z1216" s="34" t="s">
        <v>7476</v>
      </c>
      <c r="AA1216" s="34" t="s">
        <v>7476</v>
      </c>
      <c r="AB1216" s="36" t="s">
        <v>52</v>
      </c>
      <c r="AD1216" t="s">
        <v>3811</v>
      </c>
      <c r="AE1216" t="s">
        <v>3812</v>
      </c>
      <c r="AF1216" s="16">
        <v>44727</v>
      </c>
      <c r="AG1216" t="s">
        <v>68</v>
      </c>
      <c r="AH1216">
        <v>3</v>
      </c>
      <c r="AI1216" s="8" t="str">
        <f t="shared" si="457"/>
        <v/>
      </c>
      <c r="AJ1216" s="8">
        <f t="shared" si="458"/>
        <v>7.1079282407372375</v>
      </c>
      <c r="AK1216" s="38">
        <f t="shared" si="432"/>
        <v>44828.107928240737</v>
      </c>
      <c r="AL1216" t="str">
        <f t="shared" si="459"/>
        <v/>
      </c>
      <c r="AM1216" t="str">
        <f t="shared" si="460"/>
        <v/>
      </c>
      <c r="AN1216">
        <f t="shared" si="461"/>
        <v>4</v>
      </c>
      <c r="AO1216">
        <f t="shared" si="462"/>
        <v>3</v>
      </c>
      <c r="AP1216">
        <f t="shared" si="463"/>
        <v>0</v>
      </c>
      <c r="AQ1216" t="str">
        <f t="shared" si="464"/>
        <v/>
      </c>
    </row>
    <row r="1217" spans="1:43" x14ac:dyDescent="0.35">
      <c r="A1217">
        <v>1271</v>
      </c>
      <c r="B1217" t="s">
        <v>3813</v>
      </c>
      <c r="C1217" t="s">
        <v>3554</v>
      </c>
      <c r="D1217" t="str">
        <f t="shared" si="430"/>
        <v>HR</v>
      </c>
      <c r="E1217" t="s">
        <v>3719</v>
      </c>
      <c r="F1217" t="s">
        <v>3301</v>
      </c>
      <c r="G1217" t="s">
        <v>3720</v>
      </c>
      <c r="H1217" t="s">
        <v>59</v>
      </c>
      <c r="I1217" s="32">
        <v>44714.107928240737</v>
      </c>
      <c r="J1217" s="32">
        <v>44716.107928240737</v>
      </c>
      <c r="K1217" s="32">
        <v>44717.107928240737</v>
      </c>
      <c r="L1217" s="8">
        <f t="shared" si="431"/>
        <v>3</v>
      </c>
      <c r="M1217" s="7">
        <v>44736.107928240737</v>
      </c>
      <c r="N1217" t="s">
        <v>49</v>
      </c>
      <c r="O1217" s="34">
        <v>44732.107928240737</v>
      </c>
      <c r="P1217" t="s">
        <v>50</v>
      </c>
      <c r="Q1217" t="s">
        <v>51</v>
      </c>
      <c r="R1217" s="32" t="s">
        <v>7472</v>
      </c>
      <c r="S1217" t="s">
        <v>7476</v>
      </c>
      <c r="T1217" s="34" t="s">
        <v>7476</v>
      </c>
      <c r="U1217" s="34" t="s">
        <v>7476</v>
      </c>
      <c r="V1217" s="32">
        <v>44734.107928240737</v>
      </c>
      <c r="W1217" s="32" t="s">
        <v>7476</v>
      </c>
      <c r="X1217">
        <v>0</v>
      </c>
      <c r="Y1217" s="34" t="s">
        <v>7476</v>
      </c>
      <c r="Z1217" s="34" t="s">
        <v>7476</v>
      </c>
      <c r="AA1217" s="34" t="s">
        <v>7476</v>
      </c>
      <c r="AB1217" s="36" t="s">
        <v>95</v>
      </c>
      <c r="AD1217" t="s">
        <v>3814</v>
      </c>
      <c r="AE1217" t="s">
        <v>3815</v>
      </c>
      <c r="AF1217" s="16">
        <v>44840</v>
      </c>
      <c r="AG1217" t="s">
        <v>98</v>
      </c>
      <c r="AH1217">
        <v>6</v>
      </c>
      <c r="AI1217" s="8" t="str">
        <f t="shared" si="457"/>
        <v/>
      </c>
      <c r="AJ1217" s="8">
        <f t="shared" si="458"/>
        <v>-107.89207175926276</v>
      </c>
      <c r="AK1217" s="38">
        <f t="shared" si="432"/>
        <v>44914.107928240737</v>
      </c>
      <c r="AL1217" t="str">
        <f t="shared" si="459"/>
        <v/>
      </c>
      <c r="AM1217" t="str">
        <f t="shared" si="460"/>
        <v/>
      </c>
      <c r="AN1217">
        <f t="shared" si="461"/>
        <v>2</v>
      </c>
      <c r="AO1217">
        <f t="shared" si="462"/>
        <v>2</v>
      </c>
      <c r="AP1217">
        <f t="shared" si="463"/>
        <v>0</v>
      </c>
      <c r="AQ1217" t="str">
        <f t="shared" si="464"/>
        <v/>
      </c>
    </row>
    <row r="1218" spans="1:43" x14ac:dyDescent="0.35">
      <c r="A1218">
        <v>1217</v>
      </c>
      <c r="B1218" t="s">
        <v>3816</v>
      </c>
      <c r="C1218" t="s">
        <v>3514</v>
      </c>
      <c r="D1218" t="str">
        <f t="shared" ref="D1218:D1281" si="465">TRIM(C1218)</f>
        <v>HR</v>
      </c>
      <c r="E1218" t="s">
        <v>3719</v>
      </c>
      <c r="F1218" t="s">
        <v>3301</v>
      </c>
      <c r="G1218" t="s">
        <v>3720</v>
      </c>
      <c r="H1218" t="s">
        <v>59</v>
      </c>
      <c r="I1218" s="32">
        <v>45132.004317129627</v>
      </c>
      <c r="J1218" s="32">
        <v>45133.004317129627</v>
      </c>
      <c r="K1218" s="32">
        <v>45138.004317129627</v>
      </c>
      <c r="L1218" s="8">
        <f t="shared" ref="L1218:L1281" si="466">IFERROR(K1218-I1218,"")</f>
        <v>6</v>
      </c>
      <c r="M1218" s="7">
        <v>45165.004317129627</v>
      </c>
      <c r="N1218" t="s">
        <v>49</v>
      </c>
      <c r="O1218" s="34">
        <v>45143.004317129627</v>
      </c>
      <c r="P1218" t="s">
        <v>101</v>
      </c>
      <c r="R1218" s="32">
        <v>45147.004317129627</v>
      </c>
      <c r="S1218" t="s">
        <v>101</v>
      </c>
      <c r="T1218" s="34">
        <v>45144.004317129627</v>
      </c>
      <c r="U1218" s="34">
        <v>45147.004317129627</v>
      </c>
      <c r="V1218" s="32">
        <v>45144.004317129627</v>
      </c>
      <c r="W1218" s="32">
        <v>45149.004317129627</v>
      </c>
      <c r="X1218">
        <v>1</v>
      </c>
      <c r="Y1218" s="34">
        <v>45152.004317129627</v>
      </c>
      <c r="Z1218" s="34">
        <v>45155.004317129627</v>
      </c>
      <c r="AA1218" s="34">
        <v>45156.004317129627</v>
      </c>
      <c r="AB1218" s="36" t="s">
        <v>7476</v>
      </c>
      <c r="AC1218" s="10">
        <v>45172.004317129627</v>
      </c>
      <c r="AD1218" t="s">
        <v>3817</v>
      </c>
      <c r="AE1218" t="s">
        <v>3818</v>
      </c>
      <c r="AF1218" s="16">
        <v>45128</v>
      </c>
      <c r="AG1218" t="s">
        <v>68</v>
      </c>
      <c r="AH1218">
        <v>3</v>
      </c>
      <c r="AI1218" s="8">
        <f t="shared" si="457"/>
        <v>19.004317129627452</v>
      </c>
      <c r="AJ1218" s="8">
        <f t="shared" si="458"/>
        <v>15.004317129627452</v>
      </c>
      <c r="AK1218" s="38">
        <f t="shared" si="432"/>
        <v>45234.004317129627</v>
      </c>
      <c r="AL1218">
        <f t="shared" si="459"/>
        <v>6</v>
      </c>
      <c r="AM1218">
        <f t="shared" si="460"/>
        <v>14</v>
      </c>
      <c r="AN1218">
        <f t="shared" si="461"/>
        <v>1</v>
      </c>
      <c r="AO1218">
        <f t="shared" si="462"/>
        <v>1</v>
      </c>
      <c r="AP1218">
        <f t="shared" si="463"/>
        <v>45171.004317129627</v>
      </c>
      <c r="AQ1218">
        <f t="shared" si="464"/>
        <v>7</v>
      </c>
    </row>
    <row r="1219" spans="1:43" x14ac:dyDescent="0.35">
      <c r="A1219">
        <v>1184</v>
      </c>
      <c r="B1219" t="s">
        <v>3819</v>
      </c>
      <c r="C1219" t="s">
        <v>3507</v>
      </c>
      <c r="D1219" t="str">
        <f t="shared" si="465"/>
        <v>HR</v>
      </c>
      <c r="E1219" t="s">
        <v>3719</v>
      </c>
      <c r="F1219" t="s">
        <v>3301</v>
      </c>
      <c r="G1219" t="s">
        <v>3720</v>
      </c>
      <c r="H1219" t="s">
        <v>59</v>
      </c>
      <c r="I1219" s="32">
        <v>45071.784872685188</v>
      </c>
      <c r="J1219" s="32">
        <v>45074.784872685188</v>
      </c>
      <c r="K1219" s="32">
        <v>45080.784872685188</v>
      </c>
      <c r="L1219" s="8">
        <f t="shared" si="466"/>
        <v>9</v>
      </c>
      <c r="M1219" s="7">
        <v>45086.784872685188</v>
      </c>
      <c r="N1219" t="s">
        <v>49</v>
      </c>
      <c r="O1219" s="34">
        <v>45089.784872685188</v>
      </c>
      <c r="P1219" t="s">
        <v>50</v>
      </c>
      <c r="Q1219" t="s">
        <v>84</v>
      </c>
      <c r="R1219" s="32" t="s">
        <v>7472</v>
      </c>
      <c r="S1219" t="s">
        <v>7476</v>
      </c>
      <c r="T1219" s="34" t="s">
        <v>7476</v>
      </c>
      <c r="U1219" s="34" t="s">
        <v>7476</v>
      </c>
      <c r="V1219" s="32">
        <v>45091.784872685188</v>
      </c>
      <c r="W1219" s="32" t="s">
        <v>7476</v>
      </c>
      <c r="X1219">
        <v>0</v>
      </c>
      <c r="Y1219" s="34" t="s">
        <v>7476</v>
      </c>
      <c r="Z1219" s="34" t="s">
        <v>7476</v>
      </c>
      <c r="AA1219" s="34" t="s">
        <v>7476</v>
      </c>
      <c r="AB1219" s="36" t="s">
        <v>95</v>
      </c>
      <c r="AD1219" t="s">
        <v>3820</v>
      </c>
      <c r="AE1219" t="s">
        <v>3821</v>
      </c>
      <c r="AF1219" s="16">
        <v>45078</v>
      </c>
      <c r="AG1219" t="s">
        <v>98</v>
      </c>
      <c r="AH1219">
        <v>3</v>
      </c>
      <c r="AI1219" s="8" t="str">
        <f t="shared" si="457"/>
        <v/>
      </c>
      <c r="AJ1219" s="8">
        <f t="shared" si="458"/>
        <v>11.78487268518802</v>
      </c>
      <c r="AK1219" s="38">
        <f t="shared" ref="AK1219:AK1282" si="467">IFERROR(V1219+(AH1219*30),"")</f>
        <v>45181.784872685188</v>
      </c>
      <c r="AL1219" t="str">
        <f t="shared" si="459"/>
        <v/>
      </c>
      <c r="AM1219" t="str">
        <f t="shared" si="460"/>
        <v/>
      </c>
      <c r="AN1219">
        <f t="shared" si="461"/>
        <v>2</v>
      </c>
      <c r="AO1219">
        <f t="shared" si="462"/>
        <v>3</v>
      </c>
      <c r="AP1219">
        <f t="shared" si="463"/>
        <v>0</v>
      </c>
      <c r="AQ1219" t="str">
        <f t="shared" si="464"/>
        <v/>
      </c>
    </row>
    <row r="1220" spans="1:43" x14ac:dyDescent="0.35">
      <c r="A1220">
        <v>1183</v>
      </c>
      <c r="B1220" t="s">
        <v>3822</v>
      </c>
      <c r="C1220" t="s">
        <v>3507</v>
      </c>
      <c r="D1220" t="str">
        <f t="shared" si="465"/>
        <v>HR</v>
      </c>
      <c r="E1220" t="s">
        <v>3719</v>
      </c>
      <c r="F1220" t="s">
        <v>1669</v>
      </c>
      <c r="G1220" t="s">
        <v>3823</v>
      </c>
      <c r="H1220" t="s">
        <v>59</v>
      </c>
      <c r="I1220" s="32">
        <v>45071.784872685188</v>
      </c>
      <c r="J1220" s="32">
        <v>45074.784872685188</v>
      </c>
      <c r="K1220" s="32">
        <v>45080.784872685188</v>
      </c>
      <c r="L1220" s="8">
        <f t="shared" si="466"/>
        <v>9</v>
      </c>
      <c r="M1220" s="7">
        <v>45094.784872685188</v>
      </c>
      <c r="N1220" t="s">
        <v>49</v>
      </c>
      <c r="O1220" s="34">
        <v>45081.784872685188</v>
      </c>
      <c r="P1220" t="s">
        <v>50</v>
      </c>
      <c r="Q1220" t="s">
        <v>236</v>
      </c>
      <c r="R1220" s="32" t="s">
        <v>7472</v>
      </c>
      <c r="S1220" t="s">
        <v>7476</v>
      </c>
      <c r="T1220" s="34" t="s">
        <v>7476</v>
      </c>
      <c r="U1220" s="34" t="s">
        <v>7476</v>
      </c>
      <c r="V1220" s="32">
        <v>45085.784872685188</v>
      </c>
      <c r="W1220" s="32" t="s">
        <v>7476</v>
      </c>
      <c r="X1220">
        <v>0</v>
      </c>
      <c r="Y1220" s="34" t="s">
        <v>7476</v>
      </c>
      <c r="Z1220" s="34" t="s">
        <v>7476</v>
      </c>
      <c r="AA1220" s="34" t="s">
        <v>7476</v>
      </c>
      <c r="AB1220" s="36" t="s">
        <v>95</v>
      </c>
      <c r="AD1220" t="s">
        <v>3824</v>
      </c>
      <c r="AE1220" t="s">
        <v>3825</v>
      </c>
      <c r="AF1220" s="16">
        <v>45075</v>
      </c>
      <c r="AG1220" t="s">
        <v>68</v>
      </c>
      <c r="AH1220">
        <v>3</v>
      </c>
      <c r="AI1220" s="8" t="str">
        <f t="shared" si="457"/>
        <v/>
      </c>
      <c r="AJ1220" s="8">
        <f t="shared" si="458"/>
        <v>6.7848726851880201</v>
      </c>
      <c r="AK1220" s="38">
        <f t="shared" si="467"/>
        <v>45175.784872685188</v>
      </c>
      <c r="AL1220" t="str">
        <f t="shared" si="459"/>
        <v/>
      </c>
      <c r="AM1220" t="str">
        <f t="shared" si="460"/>
        <v/>
      </c>
      <c r="AN1220">
        <f t="shared" si="461"/>
        <v>4</v>
      </c>
      <c r="AO1220">
        <f t="shared" si="462"/>
        <v>3</v>
      </c>
      <c r="AP1220">
        <f t="shared" si="463"/>
        <v>0</v>
      </c>
      <c r="AQ1220" t="str">
        <f t="shared" si="464"/>
        <v/>
      </c>
    </row>
    <row r="1221" spans="1:43" x14ac:dyDescent="0.35">
      <c r="A1221">
        <v>1181</v>
      </c>
      <c r="B1221" t="s">
        <v>3826</v>
      </c>
      <c r="C1221" t="s">
        <v>3514</v>
      </c>
      <c r="D1221" t="str">
        <f t="shared" si="465"/>
        <v>HR</v>
      </c>
      <c r="E1221" t="s">
        <v>3719</v>
      </c>
      <c r="F1221" t="s">
        <v>1669</v>
      </c>
      <c r="G1221" t="s">
        <v>3823</v>
      </c>
      <c r="H1221" t="s">
        <v>59</v>
      </c>
      <c r="I1221" s="32">
        <v>45076.784872685188</v>
      </c>
      <c r="J1221" s="32">
        <v>45079.784872685188</v>
      </c>
      <c r="K1221" s="32">
        <v>45080.784872685188</v>
      </c>
      <c r="L1221" s="8">
        <f t="shared" si="466"/>
        <v>4</v>
      </c>
      <c r="M1221" s="7">
        <v>45089.784872685188</v>
      </c>
      <c r="N1221" t="s">
        <v>49</v>
      </c>
      <c r="O1221" s="34">
        <v>45083.784872685188</v>
      </c>
      <c r="P1221" t="s">
        <v>60</v>
      </c>
      <c r="R1221" s="32">
        <v>45087.784872685188</v>
      </c>
      <c r="S1221" t="s">
        <v>61</v>
      </c>
      <c r="T1221" s="34" t="s">
        <v>7476</v>
      </c>
      <c r="U1221" s="34" t="s">
        <v>7476</v>
      </c>
      <c r="V1221" s="32">
        <v>45084.784872685188</v>
      </c>
      <c r="W1221" s="32" t="s">
        <v>7476</v>
      </c>
      <c r="X1221">
        <v>0</v>
      </c>
      <c r="Y1221" s="34" t="s">
        <v>7476</v>
      </c>
      <c r="Z1221" s="34" t="s">
        <v>7476</v>
      </c>
      <c r="AA1221" s="34" t="s">
        <v>7476</v>
      </c>
      <c r="AB1221" s="36" t="s">
        <v>7476</v>
      </c>
      <c r="AD1221" t="s">
        <v>3827</v>
      </c>
      <c r="AE1221" t="s">
        <v>3828</v>
      </c>
      <c r="AF1221" s="16">
        <v>45071</v>
      </c>
      <c r="AG1221" t="s">
        <v>64</v>
      </c>
      <c r="AH1221">
        <v>3</v>
      </c>
      <c r="AI1221" s="8">
        <f t="shared" si="457"/>
        <v>16.78487268518802</v>
      </c>
      <c r="AJ1221" s="8">
        <f t="shared" si="458"/>
        <v>12.78487268518802</v>
      </c>
      <c r="AK1221" s="38">
        <f t="shared" si="467"/>
        <v>45174.784872685188</v>
      </c>
      <c r="AL1221" t="str">
        <f t="shared" si="459"/>
        <v/>
      </c>
      <c r="AM1221">
        <f t="shared" si="460"/>
        <v>8</v>
      </c>
      <c r="AN1221">
        <f t="shared" si="461"/>
        <v>1</v>
      </c>
      <c r="AO1221">
        <f t="shared" si="462"/>
        <v>3</v>
      </c>
      <c r="AP1221">
        <f t="shared" si="463"/>
        <v>0</v>
      </c>
      <c r="AQ1221" t="str">
        <f t="shared" si="464"/>
        <v/>
      </c>
    </row>
    <row r="1222" spans="1:43" x14ac:dyDescent="0.35">
      <c r="A1222">
        <v>1167</v>
      </c>
      <c r="B1222" t="s">
        <v>3829</v>
      </c>
      <c r="C1222" t="s">
        <v>3514</v>
      </c>
      <c r="D1222" t="str">
        <f t="shared" si="465"/>
        <v>HR</v>
      </c>
      <c r="E1222" t="s">
        <v>3719</v>
      </c>
      <c r="F1222" t="s">
        <v>1669</v>
      </c>
      <c r="G1222" t="s">
        <v>3823</v>
      </c>
      <c r="H1222" t="s">
        <v>59</v>
      </c>
      <c r="I1222" s="32">
        <v>44964.866122685176</v>
      </c>
      <c r="J1222" s="32">
        <v>44967.866122685176</v>
      </c>
      <c r="K1222" s="32">
        <v>44973.866122685176</v>
      </c>
      <c r="L1222" s="8">
        <f t="shared" si="466"/>
        <v>9</v>
      </c>
      <c r="M1222" s="7">
        <v>44990.866122685176</v>
      </c>
      <c r="N1222" t="s">
        <v>49</v>
      </c>
      <c r="O1222" s="34">
        <v>44985.866122685176</v>
      </c>
      <c r="P1222" t="s">
        <v>50</v>
      </c>
      <c r="Q1222" t="s">
        <v>236</v>
      </c>
      <c r="R1222" s="32" t="s">
        <v>7472</v>
      </c>
      <c r="S1222" t="s">
        <v>7476</v>
      </c>
      <c r="T1222" s="34" t="s">
        <v>7476</v>
      </c>
      <c r="U1222" s="34" t="s">
        <v>7476</v>
      </c>
      <c r="V1222" s="32">
        <v>44986.866122685176</v>
      </c>
      <c r="W1222" s="32" t="s">
        <v>7476</v>
      </c>
      <c r="X1222">
        <v>0</v>
      </c>
      <c r="Y1222" s="34" t="s">
        <v>7476</v>
      </c>
      <c r="Z1222" s="34" t="s">
        <v>7476</v>
      </c>
      <c r="AA1222" s="34" t="s">
        <v>7476</v>
      </c>
      <c r="AB1222" s="36" t="s">
        <v>95</v>
      </c>
      <c r="AD1222" t="s">
        <v>3830</v>
      </c>
      <c r="AE1222" t="s">
        <v>3831</v>
      </c>
      <c r="AF1222" s="16">
        <v>44969</v>
      </c>
      <c r="AG1222" t="s">
        <v>98</v>
      </c>
      <c r="AH1222">
        <v>3</v>
      </c>
      <c r="AI1222" s="8" t="str">
        <f t="shared" si="457"/>
        <v/>
      </c>
      <c r="AJ1222" s="8">
        <f t="shared" si="458"/>
        <v>16.866122685176379</v>
      </c>
      <c r="AK1222" s="38">
        <f t="shared" si="467"/>
        <v>45076.866122685176</v>
      </c>
      <c r="AL1222" t="str">
        <f t="shared" si="459"/>
        <v/>
      </c>
      <c r="AM1222" t="str">
        <f t="shared" si="460"/>
        <v/>
      </c>
      <c r="AN1222">
        <f t="shared" si="461"/>
        <v>1</v>
      </c>
      <c r="AO1222">
        <f t="shared" si="462"/>
        <v>3</v>
      </c>
      <c r="AP1222">
        <f t="shared" si="463"/>
        <v>0</v>
      </c>
      <c r="AQ1222" t="str">
        <f t="shared" si="464"/>
        <v/>
      </c>
    </row>
    <row r="1223" spans="1:43" x14ac:dyDescent="0.35">
      <c r="A1223">
        <v>1162</v>
      </c>
      <c r="B1223" t="s">
        <v>3832</v>
      </c>
      <c r="C1223" t="s">
        <v>3507</v>
      </c>
      <c r="D1223" t="str">
        <f t="shared" si="465"/>
        <v>HR</v>
      </c>
      <c r="E1223" t="s">
        <v>3719</v>
      </c>
      <c r="F1223" t="s">
        <v>1669</v>
      </c>
      <c r="G1223" t="s">
        <v>3823</v>
      </c>
      <c r="H1223" t="s">
        <v>59</v>
      </c>
      <c r="I1223" s="32" t="s">
        <v>7471</v>
      </c>
      <c r="J1223" s="32">
        <v>44968.866122685176</v>
      </c>
      <c r="K1223" s="32">
        <v>44973.866122685176</v>
      </c>
      <c r="L1223" s="8" t="str">
        <f t="shared" si="466"/>
        <v/>
      </c>
      <c r="M1223" s="7">
        <v>44996.866122685176</v>
      </c>
      <c r="N1223" t="s">
        <v>49</v>
      </c>
      <c r="O1223" s="34">
        <v>44976.866122685176</v>
      </c>
      <c r="P1223" t="s">
        <v>50</v>
      </c>
      <c r="Q1223" t="s">
        <v>125</v>
      </c>
      <c r="R1223" s="32" t="s">
        <v>7472</v>
      </c>
      <c r="S1223" t="s">
        <v>7476</v>
      </c>
      <c r="T1223" s="34" t="s">
        <v>7476</v>
      </c>
      <c r="U1223" s="34" t="s">
        <v>7476</v>
      </c>
      <c r="V1223" s="32" t="s">
        <v>7476</v>
      </c>
      <c r="W1223" s="32" t="s">
        <v>7476</v>
      </c>
      <c r="X1223">
        <v>0</v>
      </c>
      <c r="Y1223" s="34" t="s">
        <v>7476</v>
      </c>
      <c r="Z1223" s="34" t="s">
        <v>7476</v>
      </c>
      <c r="AA1223" s="34" t="s">
        <v>7476</v>
      </c>
      <c r="AB1223" s="36" t="s">
        <v>52</v>
      </c>
      <c r="AD1223" t="s">
        <v>3833</v>
      </c>
      <c r="AE1223" t="s">
        <v>3834</v>
      </c>
      <c r="AF1223" s="16">
        <v>44957</v>
      </c>
      <c r="AG1223" t="s">
        <v>93</v>
      </c>
      <c r="AH1223">
        <v>6</v>
      </c>
      <c r="AK1223" s="38" t="str">
        <f t="shared" si="467"/>
        <v/>
      </c>
    </row>
    <row r="1224" spans="1:43" x14ac:dyDescent="0.35">
      <c r="A1224">
        <v>1132</v>
      </c>
      <c r="B1224" t="s">
        <v>3835</v>
      </c>
      <c r="C1224" t="s">
        <v>3514</v>
      </c>
      <c r="D1224" t="str">
        <f t="shared" si="465"/>
        <v>HR</v>
      </c>
      <c r="E1224" t="s">
        <v>3719</v>
      </c>
      <c r="F1224" t="s">
        <v>1669</v>
      </c>
      <c r="G1224" t="s">
        <v>3823</v>
      </c>
      <c r="H1224" t="s">
        <v>59</v>
      </c>
      <c r="I1224" s="32">
        <v>44635.796018518522</v>
      </c>
      <c r="J1224" s="32">
        <v>44637.796018518522</v>
      </c>
      <c r="K1224" s="32">
        <v>44639.796018518522</v>
      </c>
      <c r="L1224" s="8">
        <f t="shared" si="466"/>
        <v>4</v>
      </c>
      <c r="M1224" s="7">
        <v>44665.796018518522</v>
      </c>
      <c r="N1224" t="s">
        <v>49</v>
      </c>
      <c r="O1224" s="34">
        <v>44656.796018518522</v>
      </c>
      <c r="P1224" t="s">
        <v>101</v>
      </c>
      <c r="R1224" s="32">
        <v>44660.796018518522</v>
      </c>
      <c r="S1224" t="s">
        <v>101</v>
      </c>
      <c r="T1224" s="34">
        <v>44658.796018518522</v>
      </c>
      <c r="U1224" s="34">
        <v>44662.796018518522</v>
      </c>
      <c r="V1224" s="32">
        <v>44657.796018518522</v>
      </c>
      <c r="W1224" s="32">
        <v>44667.796018518522</v>
      </c>
      <c r="X1224">
        <v>1</v>
      </c>
      <c r="Y1224" s="34">
        <v>44669.796018518522</v>
      </c>
      <c r="Z1224" s="34">
        <v>44671.796018518522</v>
      </c>
      <c r="AA1224" s="34">
        <v>44674.796018518522</v>
      </c>
      <c r="AB1224" s="36" t="s">
        <v>7476</v>
      </c>
      <c r="AC1224" s="10">
        <v>44686.796018518522</v>
      </c>
      <c r="AD1224" t="s">
        <v>3836</v>
      </c>
      <c r="AE1224" t="s">
        <v>3837</v>
      </c>
      <c r="AF1224" s="16">
        <v>44644</v>
      </c>
      <c r="AG1224" t="s">
        <v>68</v>
      </c>
      <c r="AH1224">
        <v>6</v>
      </c>
      <c r="AI1224" s="8">
        <f>IFERROR(R1224-AF1224,"")</f>
        <v>16.796018518522033</v>
      </c>
      <c r="AJ1224" s="8">
        <f>IFERROR(O1224-AF1224,"")</f>
        <v>12.796018518522033</v>
      </c>
      <c r="AK1224" s="38">
        <f t="shared" si="467"/>
        <v>44837.796018518522</v>
      </c>
      <c r="AL1224">
        <f>IFERROR(Z1224-W1224,"")</f>
        <v>4</v>
      </c>
      <c r="AM1224">
        <f>IFERROR(R1224-J1224,"")</f>
        <v>23</v>
      </c>
      <c r="AN1224">
        <f>IFERROR(V1224-O1224,"")</f>
        <v>1</v>
      </c>
      <c r="AO1224">
        <f>IFERROR(J1224-I1224,"")</f>
        <v>2</v>
      </c>
      <c r="AP1224">
        <f>IFERROR(AC1224-X1224,"")</f>
        <v>44685.796018518522</v>
      </c>
      <c r="AQ1224">
        <f>IFERROR(AA1224-W1224,"")</f>
        <v>7</v>
      </c>
    </row>
    <row r="1225" spans="1:43" x14ac:dyDescent="0.35">
      <c r="A1225">
        <v>1087</v>
      </c>
      <c r="B1225" t="s">
        <v>3838</v>
      </c>
      <c r="C1225" t="s">
        <v>3554</v>
      </c>
      <c r="D1225" t="str">
        <f t="shared" si="465"/>
        <v>HR</v>
      </c>
      <c r="E1225" t="s">
        <v>3719</v>
      </c>
      <c r="F1225" t="s">
        <v>1669</v>
      </c>
      <c r="G1225" t="s">
        <v>3823</v>
      </c>
      <c r="H1225" t="s">
        <v>59</v>
      </c>
      <c r="I1225" s="32" t="s">
        <v>7471</v>
      </c>
      <c r="J1225" s="32">
        <v>44896.976215277777</v>
      </c>
      <c r="K1225" s="32">
        <v>44899.976215277777</v>
      </c>
      <c r="L1225" s="8" t="str">
        <f t="shared" si="466"/>
        <v/>
      </c>
      <c r="M1225" s="7">
        <v>44905.976215277777</v>
      </c>
      <c r="N1225" t="s">
        <v>49</v>
      </c>
      <c r="O1225" s="34">
        <v>44903.976215277777</v>
      </c>
      <c r="P1225" t="s">
        <v>101</v>
      </c>
      <c r="R1225" s="32">
        <v>44909.976215277777</v>
      </c>
      <c r="S1225" t="s">
        <v>101</v>
      </c>
      <c r="T1225" s="34">
        <v>44904.976215277777</v>
      </c>
      <c r="U1225" s="34">
        <v>44908.976215277777</v>
      </c>
      <c r="V1225" s="32">
        <v>44906.976215277777</v>
      </c>
      <c r="W1225" s="32">
        <v>44911.976215277777</v>
      </c>
      <c r="X1225">
        <v>1</v>
      </c>
      <c r="Y1225" s="34">
        <v>44914.976215277777</v>
      </c>
      <c r="Z1225" s="34">
        <v>44915.976215277777</v>
      </c>
      <c r="AA1225" s="34">
        <v>44916.976215277777</v>
      </c>
      <c r="AB1225" s="36" t="s">
        <v>7476</v>
      </c>
      <c r="AC1225" s="10">
        <v>44936.976215277777</v>
      </c>
      <c r="AD1225" t="s">
        <v>3839</v>
      </c>
      <c r="AE1225" t="s">
        <v>3840</v>
      </c>
      <c r="AF1225" s="16">
        <v>44892</v>
      </c>
      <c r="AG1225" t="s">
        <v>55</v>
      </c>
      <c r="AH1225">
        <v>6</v>
      </c>
      <c r="AK1225" s="38">
        <f t="shared" si="467"/>
        <v>45086.976215277777</v>
      </c>
    </row>
    <row r="1226" spans="1:43" x14ac:dyDescent="0.35">
      <c r="A1226">
        <v>1048</v>
      </c>
      <c r="B1226" t="s">
        <v>3841</v>
      </c>
      <c r="C1226" t="s">
        <v>3507</v>
      </c>
      <c r="D1226" t="str">
        <f t="shared" si="465"/>
        <v>HR</v>
      </c>
      <c r="E1226" t="s">
        <v>3719</v>
      </c>
      <c r="F1226" t="s">
        <v>1669</v>
      </c>
      <c r="G1226" t="s">
        <v>3823</v>
      </c>
      <c r="H1226" t="s">
        <v>59</v>
      </c>
      <c r="I1226" s="32">
        <v>44882.960578703707</v>
      </c>
      <c r="J1226" s="32">
        <v>44886.960578703707</v>
      </c>
      <c r="K1226" s="32">
        <v>44891.960578703707</v>
      </c>
      <c r="L1226" s="8">
        <f t="shared" si="466"/>
        <v>9</v>
      </c>
      <c r="M1226" s="7">
        <v>44918.960578703707</v>
      </c>
      <c r="N1226" t="s">
        <v>49</v>
      </c>
      <c r="O1226" s="34">
        <v>44902.960578703707</v>
      </c>
      <c r="P1226" t="s">
        <v>50</v>
      </c>
      <c r="Q1226" t="s">
        <v>51</v>
      </c>
      <c r="R1226" s="32" t="s">
        <v>7472</v>
      </c>
      <c r="S1226" t="s">
        <v>7476</v>
      </c>
      <c r="T1226" s="34" t="s">
        <v>7476</v>
      </c>
      <c r="U1226" s="34" t="s">
        <v>7476</v>
      </c>
      <c r="V1226" s="32" t="s">
        <v>7476</v>
      </c>
      <c r="W1226" s="32" t="s">
        <v>7476</v>
      </c>
      <c r="X1226">
        <v>0</v>
      </c>
      <c r="Y1226" s="34" t="s">
        <v>7476</v>
      </c>
      <c r="Z1226" s="34" t="s">
        <v>7476</v>
      </c>
      <c r="AA1226" s="34" t="s">
        <v>7476</v>
      </c>
      <c r="AB1226" s="36" t="s">
        <v>95</v>
      </c>
      <c r="AD1226" t="s">
        <v>3842</v>
      </c>
      <c r="AE1226" t="s">
        <v>3843</v>
      </c>
      <c r="AF1226" s="16">
        <v>44897</v>
      </c>
      <c r="AG1226" t="s">
        <v>98</v>
      </c>
      <c r="AH1226">
        <v>6</v>
      </c>
      <c r="AI1226" s="8" t="str">
        <f>IFERROR(R1226-AF1226,"")</f>
        <v/>
      </c>
      <c r="AJ1226" s="8">
        <f>IFERROR(O1226-AF1226,"")</f>
        <v>5.9605787037071423</v>
      </c>
      <c r="AK1226" s="38" t="str">
        <f t="shared" si="467"/>
        <v/>
      </c>
      <c r="AL1226" t="str">
        <f>IFERROR(Z1226-W1226,"")</f>
        <v/>
      </c>
      <c r="AM1226" t="str">
        <f>IFERROR(R1226-J1226,"")</f>
        <v/>
      </c>
      <c r="AN1226" t="str">
        <f>IFERROR(V1226-O1226,"")</f>
        <v/>
      </c>
      <c r="AO1226">
        <f>IFERROR(J1226-I1226,"")</f>
        <v>4</v>
      </c>
      <c r="AP1226">
        <f>IFERROR(AC1226-X1226,"")</f>
        <v>0</v>
      </c>
      <c r="AQ1226" t="str">
        <f>IFERROR(AA1226-W1226,"")</f>
        <v/>
      </c>
    </row>
    <row r="1227" spans="1:43" x14ac:dyDescent="0.35">
      <c r="A1227">
        <v>1043</v>
      </c>
      <c r="B1227" t="s">
        <v>3844</v>
      </c>
      <c r="C1227" t="s">
        <v>3514</v>
      </c>
      <c r="D1227" t="str">
        <f t="shared" si="465"/>
        <v>HR</v>
      </c>
      <c r="E1227" t="s">
        <v>3719</v>
      </c>
      <c r="F1227" t="s">
        <v>1669</v>
      </c>
      <c r="G1227" t="s">
        <v>3823</v>
      </c>
      <c r="H1227" t="s">
        <v>59</v>
      </c>
      <c r="I1227" s="32">
        <v>44882.960578703707</v>
      </c>
      <c r="J1227" s="32">
        <v>44886.960578703707</v>
      </c>
      <c r="K1227" s="32">
        <v>44891.960578703707</v>
      </c>
      <c r="L1227" s="8">
        <f t="shared" si="466"/>
        <v>9</v>
      </c>
      <c r="M1227" s="7">
        <v>44896.960578703707</v>
      </c>
      <c r="N1227" t="s">
        <v>49</v>
      </c>
      <c r="O1227" s="34">
        <v>44898.960578703707</v>
      </c>
      <c r="P1227" t="s">
        <v>60</v>
      </c>
      <c r="R1227" s="32">
        <v>44902.960578703707</v>
      </c>
      <c r="S1227" t="s">
        <v>61</v>
      </c>
      <c r="T1227" s="34" t="s">
        <v>7476</v>
      </c>
      <c r="U1227" s="34" t="s">
        <v>7476</v>
      </c>
      <c r="V1227" s="32">
        <v>44901.960578703707</v>
      </c>
      <c r="W1227" s="32" t="s">
        <v>7476</v>
      </c>
      <c r="X1227">
        <v>0</v>
      </c>
      <c r="Y1227" s="34" t="s">
        <v>7476</v>
      </c>
      <c r="Z1227" s="34" t="s">
        <v>7476</v>
      </c>
      <c r="AA1227" s="34" t="s">
        <v>7476</v>
      </c>
      <c r="AB1227" s="36" t="s">
        <v>7476</v>
      </c>
      <c r="AD1227" t="s">
        <v>3845</v>
      </c>
      <c r="AE1227" t="s">
        <v>3846</v>
      </c>
      <c r="AF1227" s="16">
        <v>44879</v>
      </c>
      <c r="AG1227" t="s">
        <v>64</v>
      </c>
      <c r="AH1227">
        <v>3</v>
      </c>
      <c r="AI1227" s="8">
        <f>IFERROR(R1227-AF1227,"")</f>
        <v>23.960578703707142</v>
      </c>
      <c r="AJ1227" s="8">
        <f>IFERROR(O1227-AF1227,"")</f>
        <v>19.960578703707142</v>
      </c>
      <c r="AK1227" s="38">
        <f t="shared" si="467"/>
        <v>44991.960578703707</v>
      </c>
      <c r="AL1227" t="str">
        <f>IFERROR(Z1227-W1227,"")</f>
        <v/>
      </c>
      <c r="AM1227">
        <f>IFERROR(R1227-J1227,"")</f>
        <v>16</v>
      </c>
      <c r="AN1227">
        <f>IFERROR(V1227-O1227,"")</f>
        <v>3</v>
      </c>
      <c r="AO1227">
        <f>IFERROR(J1227-I1227,"")</f>
        <v>4</v>
      </c>
      <c r="AP1227">
        <f>IFERROR(AC1227-X1227,"")</f>
        <v>0</v>
      </c>
      <c r="AQ1227" t="str">
        <f>IFERROR(AA1227-W1227,"")</f>
        <v/>
      </c>
    </row>
    <row r="1228" spans="1:43" x14ac:dyDescent="0.35">
      <c r="A1228">
        <v>1028</v>
      </c>
      <c r="B1228" t="s">
        <v>3847</v>
      </c>
      <c r="C1228" t="s">
        <v>3514</v>
      </c>
      <c r="D1228" t="str">
        <f t="shared" si="465"/>
        <v>HR</v>
      </c>
      <c r="E1228" t="s">
        <v>3719</v>
      </c>
      <c r="F1228" t="s">
        <v>1669</v>
      </c>
      <c r="G1228" t="s">
        <v>3823</v>
      </c>
      <c r="H1228" t="s">
        <v>59</v>
      </c>
      <c r="I1228" s="32">
        <v>44952.791134259263</v>
      </c>
      <c r="J1228" s="32">
        <v>44953.791134259263</v>
      </c>
      <c r="K1228" s="32">
        <v>44958.791134259263</v>
      </c>
      <c r="L1228" s="8">
        <f t="shared" si="466"/>
        <v>6</v>
      </c>
      <c r="M1228" s="7">
        <v>44972.791134259263</v>
      </c>
      <c r="N1228" t="s">
        <v>49</v>
      </c>
      <c r="O1228" s="34">
        <v>44968.791134259263</v>
      </c>
      <c r="P1228" t="s">
        <v>50</v>
      </c>
      <c r="Q1228" t="s">
        <v>125</v>
      </c>
      <c r="R1228" s="32" t="s">
        <v>7472</v>
      </c>
      <c r="S1228" t="s">
        <v>7476</v>
      </c>
      <c r="T1228" s="34" t="s">
        <v>7476</v>
      </c>
      <c r="U1228" s="34" t="s">
        <v>7476</v>
      </c>
      <c r="V1228" s="32">
        <v>44970.791134259263</v>
      </c>
      <c r="W1228" s="32" t="s">
        <v>7476</v>
      </c>
      <c r="X1228">
        <v>0</v>
      </c>
      <c r="Y1228" s="34" t="s">
        <v>7476</v>
      </c>
      <c r="Z1228" s="34" t="s">
        <v>7476</v>
      </c>
      <c r="AA1228" s="34" t="s">
        <v>7476</v>
      </c>
      <c r="AB1228" s="36" t="s">
        <v>52</v>
      </c>
      <c r="AD1228" t="s">
        <v>3848</v>
      </c>
      <c r="AE1228" t="s">
        <v>3849</v>
      </c>
      <c r="AF1228" s="16">
        <v>44949</v>
      </c>
      <c r="AG1228" t="s">
        <v>68</v>
      </c>
      <c r="AH1228">
        <v>6</v>
      </c>
      <c r="AI1228" s="8" t="str">
        <f>IFERROR(R1228-AF1228,"")</f>
        <v/>
      </c>
      <c r="AJ1228" s="8">
        <f>IFERROR(O1228-AF1228,"")</f>
        <v>19.791134259263345</v>
      </c>
      <c r="AK1228" s="38">
        <f t="shared" si="467"/>
        <v>45150.791134259263</v>
      </c>
      <c r="AL1228" t="str">
        <f>IFERROR(Z1228-W1228,"")</f>
        <v/>
      </c>
      <c r="AM1228" t="str">
        <f>IFERROR(R1228-J1228,"")</f>
        <v/>
      </c>
      <c r="AN1228">
        <f>IFERROR(V1228-O1228,"")</f>
        <v>2</v>
      </c>
      <c r="AO1228">
        <f>IFERROR(J1228-I1228,"")</f>
        <v>1</v>
      </c>
      <c r="AP1228">
        <f>IFERROR(AC1228-X1228,"")</f>
        <v>0</v>
      </c>
      <c r="AQ1228" t="str">
        <f>IFERROR(AA1228-W1228,"")</f>
        <v/>
      </c>
    </row>
    <row r="1229" spans="1:43" x14ac:dyDescent="0.35">
      <c r="A1229">
        <v>1027</v>
      </c>
      <c r="B1229" t="s">
        <v>3850</v>
      </c>
      <c r="C1229" t="s">
        <v>3507</v>
      </c>
      <c r="D1229" t="str">
        <f t="shared" si="465"/>
        <v>HR</v>
      </c>
      <c r="E1229" t="s">
        <v>3719</v>
      </c>
      <c r="F1229" t="s">
        <v>1669</v>
      </c>
      <c r="G1229" t="s">
        <v>3823</v>
      </c>
      <c r="H1229" t="s">
        <v>59</v>
      </c>
      <c r="I1229" s="32">
        <v>44951.791134259263</v>
      </c>
      <c r="J1229" s="32" t="s">
        <v>7471</v>
      </c>
      <c r="K1229" s="32">
        <v>44958.791134259263</v>
      </c>
      <c r="L1229" s="8">
        <f t="shared" si="466"/>
        <v>7</v>
      </c>
      <c r="M1229" s="7">
        <v>44972.791134259263</v>
      </c>
      <c r="N1229" t="s">
        <v>49</v>
      </c>
      <c r="O1229" s="34">
        <v>44960.791134259263</v>
      </c>
      <c r="P1229" t="s">
        <v>101</v>
      </c>
      <c r="R1229" s="32">
        <v>44965.791134259263</v>
      </c>
      <c r="S1229" t="s">
        <v>101</v>
      </c>
      <c r="T1229" s="34">
        <v>44962.791134259263</v>
      </c>
      <c r="U1229" s="34">
        <v>44964.791134259263</v>
      </c>
      <c r="V1229" s="32">
        <v>44963.791134259263</v>
      </c>
      <c r="W1229" s="32">
        <v>44969.791134259263</v>
      </c>
      <c r="X1229">
        <v>1</v>
      </c>
      <c r="Y1229" s="34">
        <v>44972.791134259263</v>
      </c>
      <c r="Z1229" s="34">
        <v>44973.791134259263</v>
      </c>
      <c r="AA1229" s="34">
        <v>44975.791134259263</v>
      </c>
      <c r="AB1229" s="36" t="s">
        <v>7476</v>
      </c>
      <c r="AC1229" s="10">
        <v>44991.791134259263</v>
      </c>
      <c r="AD1229" t="s">
        <v>3851</v>
      </c>
      <c r="AE1229" t="s">
        <v>3852</v>
      </c>
      <c r="AF1229" s="16">
        <v>44954</v>
      </c>
      <c r="AG1229" t="s">
        <v>68</v>
      </c>
      <c r="AH1229">
        <v>6</v>
      </c>
      <c r="AK1229" s="38">
        <f t="shared" si="467"/>
        <v>45143.791134259263</v>
      </c>
    </row>
    <row r="1230" spans="1:43" x14ac:dyDescent="0.35">
      <c r="A1230">
        <v>2993</v>
      </c>
      <c r="B1230" t="s">
        <v>3853</v>
      </c>
      <c r="C1230" t="s">
        <v>3854</v>
      </c>
      <c r="D1230" t="str">
        <f t="shared" si="465"/>
        <v>Fundraising</v>
      </c>
      <c r="E1230" t="s">
        <v>3855</v>
      </c>
      <c r="F1230" t="s">
        <v>204</v>
      </c>
      <c r="G1230" t="s">
        <v>3856</v>
      </c>
      <c r="H1230" t="s">
        <v>206</v>
      </c>
      <c r="I1230" s="32">
        <v>44985.039479166669</v>
      </c>
      <c r="J1230" s="32">
        <v>44988.039479166669</v>
      </c>
      <c r="K1230" s="32">
        <v>44996.039479166669</v>
      </c>
      <c r="L1230" s="8">
        <f t="shared" si="466"/>
        <v>11</v>
      </c>
      <c r="M1230" s="7">
        <v>45004.039479166669</v>
      </c>
      <c r="N1230" t="s">
        <v>49</v>
      </c>
      <c r="O1230" s="34">
        <v>45009.039479166669</v>
      </c>
      <c r="P1230" t="s">
        <v>50</v>
      </c>
      <c r="Q1230" t="s">
        <v>125</v>
      </c>
      <c r="R1230" s="32" t="s">
        <v>7472</v>
      </c>
      <c r="S1230" t="s">
        <v>7476</v>
      </c>
      <c r="T1230" s="34" t="s">
        <v>7476</v>
      </c>
      <c r="U1230" s="34" t="s">
        <v>7476</v>
      </c>
      <c r="V1230" s="32">
        <v>45011.039479166669</v>
      </c>
      <c r="W1230" s="32" t="s">
        <v>7476</v>
      </c>
      <c r="X1230">
        <v>0</v>
      </c>
      <c r="Y1230" s="34" t="s">
        <v>7476</v>
      </c>
      <c r="Z1230" s="34" t="s">
        <v>7476</v>
      </c>
      <c r="AA1230" s="34" t="s">
        <v>7476</v>
      </c>
      <c r="AB1230" s="36" t="s">
        <v>52</v>
      </c>
      <c r="AD1230" t="s">
        <v>3857</v>
      </c>
      <c r="AE1230" t="s">
        <v>3858</v>
      </c>
      <c r="AF1230" s="16">
        <v>45002</v>
      </c>
      <c r="AG1230" t="s">
        <v>64</v>
      </c>
      <c r="AH1230">
        <v>3</v>
      </c>
      <c r="AI1230" s="8" t="str">
        <f>IFERROR(R1230-AF1230,"")</f>
        <v/>
      </c>
      <c r="AJ1230" s="8">
        <f>IFERROR(O1230-AF1230,"")</f>
        <v>7.03947916666948</v>
      </c>
      <c r="AK1230" s="38">
        <f t="shared" si="467"/>
        <v>45101.039479166669</v>
      </c>
      <c r="AL1230" t="str">
        <f>IFERROR(Z1230-W1230,"")</f>
        <v/>
      </c>
      <c r="AM1230" t="str">
        <f>IFERROR(R1230-J1230,"")</f>
        <v/>
      </c>
      <c r="AN1230">
        <f>IFERROR(V1230-O1230,"")</f>
        <v>2</v>
      </c>
      <c r="AO1230">
        <f>IFERROR(J1230-I1230,"")</f>
        <v>3</v>
      </c>
      <c r="AP1230">
        <f>IFERROR(AC1230-X1230,"")</f>
        <v>0</v>
      </c>
      <c r="AQ1230" t="str">
        <f>IFERROR(AA1230-W1230,"")</f>
        <v/>
      </c>
    </row>
    <row r="1231" spans="1:43" x14ac:dyDescent="0.35">
      <c r="A1231">
        <v>2830</v>
      </c>
      <c r="B1231" t="s">
        <v>3859</v>
      </c>
      <c r="C1231" t="s">
        <v>3860</v>
      </c>
      <c r="D1231" t="str">
        <f t="shared" si="465"/>
        <v>Fundraising</v>
      </c>
      <c r="E1231" t="s">
        <v>3855</v>
      </c>
      <c r="F1231" t="s">
        <v>204</v>
      </c>
      <c r="G1231" t="s">
        <v>3856</v>
      </c>
      <c r="H1231" t="s">
        <v>206</v>
      </c>
      <c r="I1231" s="32">
        <v>44568.055902777778</v>
      </c>
      <c r="J1231" s="32">
        <v>44569.055902777778</v>
      </c>
      <c r="K1231" s="32">
        <v>44571.055902777778</v>
      </c>
      <c r="L1231" s="8">
        <f t="shared" si="466"/>
        <v>3</v>
      </c>
      <c r="M1231" s="7">
        <v>44577.055902777778</v>
      </c>
      <c r="N1231" t="s">
        <v>49</v>
      </c>
      <c r="O1231" s="34">
        <v>44578.055902777778</v>
      </c>
      <c r="P1231" t="s">
        <v>50</v>
      </c>
      <c r="Q1231" t="s">
        <v>125</v>
      </c>
      <c r="R1231" s="32" t="s">
        <v>7472</v>
      </c>
      <c r="S1231" t="s">
        <v>7476</v>
      </c>
      <c r="T1231" s="34" t="s">
        <v>7476</v>
      </c>
      <c r="U1231" s="34" t="s">
        <v>7476</v>
      </c>
      <c r="V1231" s="32">
        <v>44579.055902777778</v>
      </c>
      <c r="W1231" s="32" t="s">
        <v>7476</v>
      </c>
      <c r="X1231">
        <v>0</v>
      </c>
      <c r="Y1231" s="34" t="s">
        <v>7476</v>
      </c>
      <c r="Z1231" s="34" t="s">
        <v>7476</v>
      </c>
      <c r="AA1231" s="34" t="s">
        <v>7476</v>
      </c>
      <c r="AB1231" s="36" t="s">
        <v>52</v>
      </c>
      <c r="AD1231" t="s">
        <v>3861</v>
      </c>
      <c r="AE1231" t="s">
        <v>3862</v>
      </c>
      <c r="AF1231" s="16">
        <v>44563</v>
      </c>
      <c r="AG1231" t="s">
        <v>68</v>
      </c>
      <c r="AH1231">
        <v>6</v>
      </c>
      <c r="AI1231" s="8" t="str">
        <f>IFERROR(R1231-AF1231,"")</f>
        <v/>
      </c>
      <c r="AJ1231" s="8">
        <f>IFERROR(O1231-AF1231,"")</f>
        <v>15.055902777778101</v>
      </c>
      <c r="AK1231" s="38">
        <f t="shared" si="467"/>
        <v>44759.055902777778</v>
      </c>
      <c r="AL1231" t="str">
        <f>IFERROR(Z1231-W1231,"")</f>
        <v/>
      </c>
      <c r="AM1231" t="str">
        <f>IFERROR(R1231-J1231,"")</f>
        <v/>
      </c>
      <c r="AN1231">
        <f>IFERROR(V1231-O1231,"")</f>
        <v>1</v>
      </c>
      <c r="AO1231">
        <f>IFERROR(J1231-I1231,"")</f>
        <v>1</v>
      </c>
      <c r="AP1231">
        <f>IFERROR(AC1231-X1231,"")</f>
        <v>0</v>
      </c>
      <c r="AQ1231" t="str">
        <f>IFERROR(AA1231-W1231,"")</f>
        <v/>
      </c>
    </row>
    <row r="1232" spans="1:43" x14ac:dyDescent="0.35">
      <c r="A1232">
        <v>2801</v>
      </c>
      <c r="B1232" t="s">
        <v>3863</v>
      </c>
      <c r="C1232" t="s">
        <v>3864</v>
      </c>
      <c r="D1232" t="str">
        <f t="shared" si="465"/>
        <v>Fundraising</v>
      </c>
      <c r="E1232" t="s">
        <v>3855</v>
      </c>
      <c r="F1232" t="s">
        <v>204</v>
      </c>
      <c r="G1232" t="s">
        <v>3856</v>
      </c>
      <c r="H1232" t="s">
        <v>206</v>
      </c>
      <c r="I1232" s="32">
        <v>45081.778425925928</v>
      </c>
      <c r="J1232" s="32">
        <v>45084.778425925928</v>
      </c>
      <c r="K1232" s="32">
        <v>45085.778425925928</v>
      </c>
      <c r="L1232" s="8">
        <f t="shared" si="466"/>
        <v>4</v>
      </c>
      <c r="M1232" s="7">
        <v>45099.778425925928</v>
      </c>
      <c r="N1232" t="s">
        <v>49</v>
      </c>
      <c r="O1232" s="34">
        <v>45096.778425925928</v>
      </c>
      <c r="P1232" t="s">
        <v>50</v>
      </c>
      <c r="Q1232" t="s">
        <v>236</v>
      </c>
      <c r="R1232" s="32" t="s">
        <v>7472</v>
      </c>
      <c r="S1232" t="s">
        <v>7476</v>
      </c>
      <c r="T1232" s="34" t="s">
        <v>7476</v>
      </c>
      <c r="U1232" s="34" t="s">
        <v>7476</v>
      </c>
      <c r="V1232" s="32" t="s">
        <v>7476</v>
      </c>
      <c r="W1232" s="32" t="s">
        <v>7476</v>
      </c>
      <c r="X1232">
        <v>0</v>
      </c>
      <c r="Y1232" s="34" t="s">
        <v>7476</v>
      </c>
      <c r="Z1232" s="34" t="s">
        <v>7476</v>
      </c>
      <c r="AA1232" s="34" t="s">
        <v>7476</v>
      </c>
      <c r="AB1232" s="36" t="s">
        <v>52</v>
      </c>
      <c r="AD1232" t="s">
        <v>3865</v>
      </c>
      <c r="AE1232" t="s">
        <v>3866</v>
      </c>
      <c r="AF1232" s="16">
        <v>45079</v>
      </c>
      <c r="AG1232" t="s">
        <v>98</v>
      </c>
      <c r="AH1232">
        <v>3</v>
      </c>
      <c r="AI1232" s="8" t="str">
        <f>IFERROR(R1232-AF1232,"")</f>
        <v/>
      </c>
      <c r="AJ1232" s="8">
        <f>IFERROR(O1232-AF1232,"")</f>
        <v>17.778425925927877</v>
      </c>
      <c r="AK1232" s="38" t="str">
        <f t="shared" si="467"/>
        <v/>
      </c>
      <c r="AL1232" t="str">
        <f>IFERROR(Z1232-W1232,"")</f>
        <v/>
      </c>
      <c r="AM1232" t="str">
        <f>IFERROR(R1232-J1232,"")</f>
        <v/>
      </c>
      <c r="AN1232" t="str">
        <f>IFERROR(V1232-O1232,"")</f>
        <v/>
      </c>
      <c r="AO1232">
        <f>IFERROR(J1232-I1232,"")</f>
        <v>3</v>
      </c>
      <c r="AP1232">
        <f>IFERROR(AC1232-X1232,"")</f>
        <v>0</v>
      </c>
      <c r="AQ1232" t="str">
        <f>IFERROR(AA1232-W1232,"")</f>
        <v/>
      </c>
    </row>
    <row r="1233" spans="1:43" x14ac:dyDescent="0.35">
      <c r="A1233">
        <v>2767</v>
      </c>
      <c r="B1233" t="s">
        <v>3867</v>
      </c>
      <c r="C1233" t="s">
        <v>3864</v>
      </c>
      <c r="D1233" t="str">
        <f t="shared" si="465"/>
        <v>Fundraising</v>
      </c>
      <c r="E1233" t="s">
        <v>3855</v>
      </c>
      <c r="F1233" t="s">
        <v>204</v>
      </c>
      <c r="G1233" t="s">
        <v>3856</v>
      </c>
      <c r="H1233" t="s">
        <v>206</v>
      </c>
      <c r="I1233" s="32">
        <v>44809.301701388889</v>
      </c>
      <c r="J1233" s="32">
        <v>44812.301701388889</v>
      </c>
      <c r="K1233" s="32">
        <v>44813.301701388889</v>
      </c>
      <c r="L1233" s="8">
        <f t="shared" si="466"/>
        <v>4</v>
      </c>
      <c r="M1233" s="7">
        <v>44825.301701388889</v>
      </c>
      <c r="N1233" t="s">
        <v>49</v>
      </c>
      <c r="O1233" s="34">
        <v>44825.301701388889</v>
      </c>
      <c r="P1233" t="s">
        <v>50</v>
      </c>
      <c r="Q1233" t="s">
        <v>84</v>
      </c>
      <c r="R1233" s="32" t="s">
        <v>7472</v>
      </c>
      <c r="S1233" t="s">
        <v>7476</v>
      </c>
      <c r="T1233" s="34" t="s">
        <v>7476</v>
      </c>
      <c r="U1233" s="34" t="s">
        <v>7476</v>
      </c>
      <c r="V1233" s="32" t="s">
        <v>7476</v>
      </c>
      <c r="W1233" s="32" t="s">
        <v>7476</v>
      </c>
      <c r="X1233">
        <v>0</v>
      </c>
      <c r="Y1233" s="34" t="s">
        <v>7476</v>
      </c>
      <c r="Z1233" s="34" t="s">
        <v>7476</v>
      </c>
      <c r="AA1233" s="34" t="s">
        <v>7476</v>
      </c>
      <c r="AB1233" s="36" t="s">
        <v>52</v>
      </c>
      <c r="AD1233" t="s">
        <v>3868</v>
      </c>
      <c r="AE1233" t="s">
        <v>3869</v>
      </c>
      <c r="AF1233" s="16">
        <v>44807</v>
      </c>
      <c r="AG1233" t="s">
        <v>68</v>
      </c>
      <c r="AH1233">
        <v>6</v>
      </c>
      <c r="AI1233" s="8" t="str">
        <f>IFERROR(R1233-AF1233,"")</f>
        <v/>
      </c>
      <c r="AJ1233" s="8">
        <f>IFERROR(O1233-AF1233,"")</f>
        <v>18.301701388889342</v>
      </c>
      <c r="AK1233" s="38" t="str">
        <f t="shared" si="467"/>
        <v/>
      </c>
      <c r="AL1233" t="str">
        <f>IFERROR(Z1233-W1233,"")</f>
        <v/>
      </c>
      <c r="AM1233" t="str">
        <f>IFERROR(R1233-J1233,"")</f>
        <v/>
      </c>
      <c r="AN1233" t="str">
        <f>IFERROR(V1233-O1233,"")</f>
        <v/>
      </c>
      <c r="AO1233">
        <f>IFERROR(J1233-I1233,"")</f>
        <v>3</v>
      </c>
      <c r="AP1233">
        <f>IFERROR(AC1233-X1233,"")</f>
        <v>0</v>
      </c>
      <c r="AQ1233" t="str">
        <f>IFERROR(AA1233-W1233,"")</f>
        <v/>
      </c>
    </row>
    <row r="1234" spans="1:43" x14ac:dyDescent="0.35">
      <c r="A1234">
        <v>2762</v>
      </c>
      <c r="B1234" t="s">
        <v>3870</v>
      </c>
      <c r="C1234" t="s">
        <v>3864</v>
      </c>
      <c r="D1234" t="str">
        <f t="shared" si="465"/>
        <v>Fundraising</v>
      </c>
      <c r="E1234" t="s">
        <v>3855</v>
      </c>
      <c r="F1234" t="s">
        <v>204</v>
      </c>
      <c r="G1234" t="s">
        <v>3856</v>
      </c>
      <c r="H1234" t="s">
        <v>206</v>
      </c>
      <c r="I1234" s="32">
        <v>44807.301701388889</v>
      </c>
      <c r="J1234" s="32">
        <v>44809.301701388889</v>
      </c>
      <c r="K1234" s="32" t="s">
        <v>7473</v>
      </c>
      <c r="L1234" s="8" t="str">
        <f t="shared" si="466"/>
        <v/>
      </c>
      <c r="M1234" s="7">
        <v>44826.301701388889</v>
      </c>
      <c r="N1234" t="s">
        <v>49</v>
      </c>
      <c r="O1234" s="34">
        <v>44816.301701388889</v>
      </c>
      <c r="P1234" t="s">
        <v>50</v>
      </c>
      <c r="Q1234" t="s">
        <v>51</v>
      </c>
      <c r="R1234" s="32" t="s">
        <v>7472</v>
      </c>
      <c r="S1234" t="s">
        <v>7476</v>
      </c>
      <c r="T1234" s="34" t="s">
        <v>7476</v>
      </c>
      <c r="U1234" s="34" t="s">
        <v>7476</v>
      </c>
      <c r="V1234" s="32">
        <v>44818.301701388889</v>
      </c>
      <c r="W1234" s="32" t="s">
        <v>7476</v>
      </c>
      <c r="X1234">
        <v>0</v>
      </c>
      <c r="Y1234" s="34" t="s">
        <v>7476</v>
      </c>
      <c r="Z1234" s="34" t="s">
        <v>7476</v>
      </c>
      <c r="AA1234" s="34" t="s">
        <v>7476</v>
      </c>
      <c r="AB1234" s="36" t="s">
        <v>52</v>
      </c>
      <c r="AD1234" t="s">
        <v>3871</v>
      </c>
      <c r="AE1234" t="s">
        <v>3872</v>
      </c>
      <c r="AF1234" s="16">
        <v>44811</v>
      </c>
      <c r="AG1234" t="s">
        <v>75</v>
      </c>
      <c r="AH1234">
        <v>3</v>
      </c>
      <c r="AK1234" s="38">
        <f t="shared" si="467"/>
        <v>44908.301701388889</v>
      </c>
    </row>
    <row r="1235" spans="1:43" x14ac:dyDescent="0.35">
      <c r="A1235">
        <v>2629</v>
      </c>
      <c r="B1235" t="s">
        <v>3873</v>
      </c>
      <c r="C1235" t="s">
        <v>3860</v>
      </c>
      <c r="D1235" t="str">
        <f t="shared" si="465"/>
        <v>Fundraising</v>
      </c>
      <c r="E1235" t="s">
        <v>3855</v>
      </c>
      <c r="F1235" t="s">
        <v>204</v>
      </c>
      <c r="G1235" t="s">
        <v>3856</v>
      </c>
      <c r="H1235" t="s">
        <v>206</v>
      </c>
      <c r="I1235" s="32">
        <v>45097.668356481481</v>
      </c>
      <c r="J1235" s="32">
        <v>45100.668356481481</v>
      </c>
      <c r="K1235" s="32">
        <v>45102.668356481481</v>
      </c>
      <c r="L1235" s="8">
        <f t="shared" si="466"/>
        <v>5</v>
      </c>
      <c r="M1235" s="7">
        <v>45117.668356481481</v>
      </c>
      <c r="N1235" t="s">
        <v>49</v>
      </c>
      <c r="O1235" s="34">
        <v>45119.668356481481</v>
      </c>
      <c r="P1235" t="s">
        <v>50</v>
      </c>
      <c r="Q1235" t="s">
        <v>51</v>
      </c>
      <c r="R1235" s="32" t="s">
        <v>7472</v>
      </c>
      <c r="S1235" t="s">
        <v>7476</v>
      </c>
      <c r="T1235" s="34" t="s">
        <v>7476</v>
      </c>
      <c r="U1235" s="34" t="s">
        <v>7476</v>
      </c>
      <c r="V1235" s="32">
        <v>45121.668356481481</v>
      </c>
      <c r="W1235" s="32" t="s">
        <v>7476</v>
      </c>
      <c r="X1235">
        <v>0</v>
      </c>
      <c r="Y1235" s="34" t="s">
        <v>7476</v>
      </c>
      <c r="Z1235" s="34" t="s">
        <v>7476</v>
      </c>
      <c r="AA1235" s="34" t="s">
        <v>7476</v>
      </c>
      <c r="AB1235" s="36" t="s">
        <v>52</v>
      </c>
      <c r="AD1235" t="s">
        <v>3874</v>
      </c>
      <c r="AE1235" t="s">
        <v>3875</v>
      </c>
      <c r="AF1235" s="16">
        <v>45113</v>
      </c>
      <c r="AG1235" t="s">
        <v>98</v>
      </c>
      <c r="AH1235">
        <v>6</v>
      </c>
      <c r="AI1235" s="8" t="str">
        <f>IFERROR(R1235-AF1235,"")</f>
        <v/>
      </c>
      <c r="AJ1235" s="8">
        <f>IFERROR(O1235-AF1235,"")</f>
        <v>6.6683564814811689</v>
      </c>
      <c r="AK1235" s="38">
        <f t="shared" si="467"/>
        <v>45301.668356481481</v>
      </c>
      <c r="AL1235" t="str">
        <f>IFERROR(Z1235-W1235,"")</f>
        <v/>
      </c>
      <c r="AM1235" t="str">
        <f>IFERROR(R1235-J1235,"")</f>
        <v/>
      </c>
      <c r="AN1235">
        <f>IFERROR(V1235-O1235,"")</f>
        <v>2</v>
      </c>
      <c r="AO1235">
        <f>IFERROR(J1235-I1235,"")</f>
        <v>3</v>
      </c>
      <c r="AP1235">
        <f>IFERROR(AC1235-X1235,"")</f>
        <v>0</v>
      </c>
      <c r="AQ1235" t="str">
        <f>IFERROR(AA1235-W1235,"")</f>
        <v/>
      </c>
    </row>
    <row r="1236" spans="1:43" x14ac:dyDescent="0.35">
      <c r="A1236">
        <v>2486</v>
      </c>
      <c r="B1236" t="s">
        <v>3876</v>
      </c>
      <c r="C1236" t="s">
        <v>3860</v>
      </c>
      <c r="D1236" t="str">
        <f t="shared" si="465"/>
        <v>Fundraising</v>
      </c>
      <c r="E1236" t="s">
        <v>3855</v>
      </c>
      <c r="F1236" t="s">
        <v>204</v>
      </c>
      <c r="G1236" t="s">
        <v>3856</v>
      </c>
      <c r="H1236" t="s">
        <v>206</v>
      </c>
      <c r="I1236" s="32">
        <v>44972.901273148149</v>
      </c>
      <c r="J1236" s="32">
        <v>44975.901273148149</v>
      </c>
      <c r="K1236" s="32">
        <v>44977.901273148149</v>
      </c>
      <c r="L1236" s="8">
        <f t="shared" si="466"/>
        <v>5</v>
      </c>
      <c r="M1236" s="7">
        <v>44991.901273148149</v>
      </c>
      <c r="N1236" t="s">
        <v>49</v>
      </c>
      <c r="O1236" s="34">
        <v>44981.901273148149</v>
      </c>
      <c r="P1236" t="s">
        <v>50</v>
      </c>
      <c r="Q1236" t="s">
        <v>51</v>
      </c>
      <c r="R1236" s="32" t="s">
        <v>7472</v>
      </c>
      <c r="S1236" t="s">
        <v>7476</v>
      </c>
      <c r="T1236" s="34" t="s">
        <v>7476</v>
      </c>
      <c r="U1236" s="34" t="s">
        <v>7476</v>
      </c>
      <c r="V1236" s="32">
        <v>44982.901273148149</v>
      </c>
      <c r="W1236" s="32" t="s">
        <v>7476</v>
      </c>
      <c r="X1236">
        <v>0</v>
      </c>
      <c r="Y1236" s="34" t="s">
        <v>7476</v>
      </c>
      <c r="Z1236" s="34" t="s">
        <v>7476</v>
      </c>
      <c r="AA1236" s="34" t="s">
        <v>7476</v>
      </c>
      <c r="AB1236" s="36" t="s">
        <v>52</v>
      </c>
      <c r="AD1236" t="s">
        <v>3877</v>
      </c>
      <c r="AE1236" t="s">
        <v>3878</v>
      </c>
      <c r="AF1236" s="16">
        <v>44967</v>
      </c>
      <c r="AG1236" t="s">
        <v>64</v>
      </c>
      <c r="AH1236">
        <v>3</v>
      </c>
      <c r="AI1236" s="8" t="str">
        <f>IFERROR(R1236-AF1236,"")</f>
        <v/>
      </c>
      <c r="AJ1236" s="8">
        <f>IFERROR(O1236-AF1236,"")</f>
        <v>14.901273148148903</v>
      </c>
      <c r="AK1236" s="38">
        <f t="shared" si="467"/>
        <v>45072.901273148149</v>
      </c>
      <c r="AL1236" t="str">
        <f>IFERROR(Z1236-W1236,"")</f>
        <v/>
      </c>
      <c r="AM1236" t="str">
        <f>IFERROR(R1236-J1236,"")</f>
        <v/>
      </c>
      <c r="AN1236">
        <f>IFERROR(V1236-O1236,"")</f>
        <v>1</v>
      </c>
      <c r="AO1236">
        <f>IFERROR(J1236-I1236,"")</f>
        <v>3</v>
      </c>
      <c r="AP1236">
        <f>IFERROR(AC1236-X1236,"")</f>
        <v>0</v>
      </c>
      <c r="AQ1236" t="str">
        <f>IFERROR(AA1236-W1236,"")</f>
        <v/>
      </c>
    </row>
    <row r="1237" spans="1:43" x14ac:dyDescent="0.35">
      <c r="A1237">
        <v>2482</v>
      </c>
      <c r="B1237" t="s">
        <v>3879</v>
      </c>
      <c r="C1237" t="s">
        <v>3864</v>
      </c>
      <c r="D1237" t="str">
        <f t="shared" si="465"/>
        <v>Fundraising</v>
      </c>
      <c r="E1237" t="s">
        <v>3855</v>
      </c>
      <c r="F1237" t="s">
        <v>204</v>
      </c>
      <c r="G1237" t="s">
        <v>3856</v>
      </c>
      <c r="H1237" t="s">
        <v>206</v>
      </c>
      <c r="I1237" s="32">
        <v>44974.901273148149</v>
      </c>
      <c r="J1237" s="32">
        <v>44976.901273148149</v>
      </c>
      <c r="K1237" s="32">
        <v>44977.901273148149</v>
      </c>
      <c r="L1237" s="8">
        <f t="shared" si="466"/>
        <v>3</v>
      </c>
      <c r="M1237" s="7">
        <v>45004.901273148149</v>
      </c>
      <c r="N1237" t="s">
        <v>49</v>
      </c>
      <c r="O1237" s="34">
        <v>44982.901273148149</v>
      </c>
      <c r="P1237" t="s">
        <v>50</v>
      </c>
      <c r="Q1237" t="s">
        <v>84</v>
      </c>
      <c r="R1237" s="32" t="s">
        <v>7472</v>
      </c>
      <c r="S1237" t="s">
        <v>7476</v>
      </c>
      <c r="T1237" s="34" t="s">
        <v>7476</v>
      </c>
      <c r="U1237" s="34" t="s">
        <v>7476</v>
      </c>
      <c r="V1237" s="32">
        <v>44984.901273148149</v>
      </c>
      <c r="W1237" s="32" t="s">
        <v>7476</v>
      </c>
      <c r="X1237">
        <v>0</v>
      </c>
      <c r="Y1237" s="34" t="s">
        <v>7476</v>
      </c>
      <c r="Z1237" s="34" t="s">
        <v>7476</v>
      </c>
      <c r="AA1237" s="34" t="s">
        <v>7476</v>
      </c>
      <c r="AB1237" s="36" t="s">
        <v>52</v>
      </c>
      <c r="AD1237" t="s">
        <v>3880</v>
      </c>
      <c r="AE1237" t="s">
        <v>3881</v>
      </c>
      <c r="AF1237" s="16">
        <v>44971</v>
      </c>
      <c r="AG1237" t="s">
        <v>98</v>
      </c>
      <c r="AH1237">
        <v>6</v>
      </c>
      <c r="AI1237" s="8" t="str">
        <f>IFERROR(R1237-AF1237,"")</f>
        <v/>
      </c>
      <c r="AJ1237" s="8">
        <f>IFERROR(O1237-AF1237,"")</f>
        <v>11.901273148148903</v>
      </c>
      <c r="AK1237" s="38">
        <f t="shared" si="467"/>
        <v>45164.901273148149</v>
      </c>
      <c r="AL1237" t="str">
        <f>IFERROR(Z1237-W1237,"")</f>
        <v/>
      </c>
      <c r="AM1237" t="str">
        <f>IFERROR(R1237-J1237,"")</f>
        <v/>
      </c>
      <c r="AN1237">
        <f>IFERROR(V1237-O1237,"")</f>
        <v>2</v>
      </c>
      <c r="AO1237">
        <f>IFERROR(J1237-I1237,"")</f>
        <v>2</v>
      </c>
      <c r="AP1237">
        <f>IFERROR(AC1237-X1237,"")</f>
        <v>0</v>
      </c>
      <c r="AQ1237" t="str">
        <f>IFERROR(AA1237-W1237,"")</f>
        <v/>
      </c>
    </row>
    <row r="1238" spans="1:43" x14ac:dyDescent="0.35">
      <c r="A1238">
        <v>1874</v>
      </c>
      <c r="B1238" t="s">
        <v>3882</v>
      </c>
      <c r="C1238" t="s">
        <v>3860</v>
      </c>
      <c r="D1238" t="str">
        <f t="shared" si="465"/>
        <v>Fundraising</v>
      </c>
      <c r="E1238" t="s">
        <v>3855</v>
      </c>
      <c r="F1238" t="s">
        <v>204</v>
      </c>
      <c r="G1238" t="s">
        <v>3856</v>
      </c>
      <c r="H1238" t="s">
        <v>206</v>
      </c>
      <c r="I1238" s="32" t="s">
        <v>7471</v>
      </c>
      <c r="J1238" s="32">
        <v>44578.732974537037</v>
      </c>
      <c r="K1238" s="32">
        <v>44581.732974537037</v>
      </c>
      <c r="L1238" s="8" t="str">
        <f t="shared" si="466"/>
        <v/>
      </c>
      <c r="M1238" s="7">
        <v>44606.732974537037</v>
      </c>
      <c r="N1238" t="s">
        <v>49</v>
      </c>
      <c r="O1238" s="34">
        <v>44599.732974537037</v>
      </c>
      <c r="P1238" t="s">
        <v>50</v>
      </c>
      <c r="Q1238" t="s">
        <v>84</v>
      </c>
      <c r="R1238" s="32" t="s">
        <v>7472</v>
      </c>
      <c r="S1238" t="s">
        <v>7476</v>
      </c>
      <c r="T1238" s="34" t="s">
        <v>7476</v>
      </c>
      <c r="U1238" s="34" t="s">
        <v>7476</v>
      </c>
      <c r="V1238" s="32" t="s">
        <v>7476</v>
      </c>
      <c r="W1238" s="32" t="s">
        <v>7476</v>
      </c>
      <c r="X1238">
        <v>0</v>
      </c>
      <c r="Y1238" s="34" t="s">
        <v>7476</v>
      </c>
      <c r="Z1238" s="34" t="s">
        <v>7476</v>
      </c>
      <c r="AA1238" s="34" t="s">
        <v>7476</v>
      </c>
      <c r="AB1238" s="36" t="s">
        <v>95</v>
      </c>
      <c r="AD1238" t="s">
        <v>3883</v>
      </c>
      <c r="AE1238" t="s">
        <v>3884</v>
      </c>
      <c r="AF1238" s="16">
        <v>44588</v>
      </c>
      <c r="AG1238" t="s">
        <v>93</v>
      </c>
      <c r="AH1238">
        <v>3</v>
      </c>
      <c r="AK1238" s="38" t="str">
        <f t="shared" si="467"/>
        <v/>
      </c>
    </row>
    <row r="1239" spans="1:43" x14ac:dyDescent="0.35">
      <c r="A1239">
        <v>1692</v>
      </c>
      <c r="B1239" t="s">
        <v>3885</v>
      </c>
      <c r="C1239" t="s">
        <v>3854</v>
      </c>
      <c r="D1239" t="str">
        <f t="shared" si="465"/>
        <v>Fundraising</v>
      </c>
      <c r="E1239" t="s">
        <v>3855</v>
      </c>
      <c r="F1239" t="s">
        <v>204</v>
      </c>
      <c r="G1239" t="s">
        <v>3856</v>
      </c>
      <c r="H1239" t="s">
        <v>206</v>
      </c>
      <c r="I1239" s="32">
        <v>44980.764687499999</v>
      </c>
      <c r="J1239" s="32">
        <v>44983.764687499999</v>
      </c>
      <c r="K1239" s="32">
        <v>44989.764687499999</v>
      </c>
      <c r="L1239" s="8">
        <f t="shared" si="466"/>
        <v>9</v>
      </c>
      <c r="M1239" s="7">
        <v>45013.764687499999</v>
      </c>
      <c r="N1239" t="s">
        <v>49</v>
      </c>
      <c r="O1239" s="34">
        <v>44995.764687499999</v>
      </c>
      <c r="P1239" t="s">
        <v>50</v>
      </c>
      <c r="Q1239" t="s">
        <v>236</v>
      </c>
      <c r="R1239" s="32" t="s">
        <v>7472</v>
      </c>
      <c r="S1239" t="s">
        <v>7476</v>
      </c>
      <c r="T1239" s="34" t="s">
        <v>7476</v>
      </c>
      <c r="U1239" s="34" t="s">
        <v>7476</v>
      </c>
      <c r="V1239" s="32">
        <v>44996.764687499999</v>
      </c>
      <c r="W1239" s="32" t="s">
        <v>7476</v>
      </c>
      <c r="X1239">
        <v>0</v>
      </c>
      <c r="Y1239" s="34" t="s">
        <v>7476</v>
      </c>
      <c r="Z1239" s="34" t="s">
        <v>7476</v>
      </c>
      <c r="AA1239" s="34" t="s">
        <v>7476</v>
      </c>
      <c r="AB1239" s="36" t="s">
        <v>95</v>
      </c>
      <c r="AD1239" t="s">
        <v>3886</v>
      </c>
      <c r="AE1239" t="s">
        <v>3887</v>
      </c>
      <c r="AF1239" s="16">
        <v>44980</v>
      </c>
      <c r="AG1239" t="s">
        <v>68</v>
      </c>
      <c r="AH1239">
        <v>3</v>
      </c>
      <c r="AI1239" s="8" t="str">
        <f>IFERROR(R1239-AF1239,"")</f>
        <v/>
      </c>
      <c r="AJ1239" s="8">
        <f>IFERROR(O1239-AF1239,"")</f>
        <v>15.764687499999127</v>
      </c>
      <c r="AK1239" s="38">
        <f t="shared" si="467"/>
        <v>45086.764687499999</v>
      </c>
      <c r="AL1239" t="str">
        <f>IFERROR(Z1239-W1239,"")</f>
        <v/>
      </c>
      <c r="AM1239" t="str">
        <f>IFERROR(R1239-J1239,"")</f>
        <v/>
      </c>
      <c r="AN1239">
        <f>IFERROR(V1239-O1239,"")</f>
        <v>1</v>
      </c>
      <c r="AO1239">
        <f>IFERROR(J1239-I1239,"")</f>
        <v>3</v>
      </c>
      <c r="AP1239">
        <f>IFERROR(AC1239-X1239,"")</f>
        <v>0</v>
      </c>
      <c r="AQ1239" t="str">
        <f>IFERROR(AA1239-W1239,"")</f>
        <v/>
      </c>
    </row>
    <row r="1240" spans="1:43" x14ac:dyDescent="0.35">
      <c r="A1240">
        <v>1551</v>
      </c>
      <c r="B1240" t="s">
        <v>3888</v>
      </c>
      <c r="C1240" t="s">
        <v>3860</v>
      </c>
      <c r="D1240" t="str">
        <f t="shared" si="465"/>
        <v>Fundraising</v>
      </c>
      <c r="E1240" t="s">
        <v>3855</v>
      </c>
      <c r="F1240" t="s">
        <v>204</v>
      </c>
      <c r="G1240" t="s">
        <v>3856</v>
      </c>
      <c r="H1240" t="s">
        <v>206</v>
      </c>
      <c r="I1240" s="32">
        <v>44903.597222222219</v>
      </c>
      <c r="J1240" s="32">
        <v>44905.597222222219</v>
      </c>
      <c r="K1240" s="32">
        <v>44907.597222222219</v>
      </c>
      <c r="L1240" s="8">
        <f t="shared" si="466"/>
        <v>4</v>
      </c>
      <c r="M1240" s="7">
        <v>44913.597222222219</v>
      </c>
      <c r="N1240" t="s">
        <v>49</v>
      </c>
      <c r="O1240" s="34">
        <v>44917.597222222219</v>
      </c>
      <c r="P1240" t="s">
        <v>50</v>
      </c>
      <c r="Q1240" t="s">
        <v>236</v>
      </c>
      <c r="R1240" s="32" t="s">
        <v>7472</v>
      </c>
      <c r="S1240" t="s">
        <v>7476</v>
      </c>
      <c r="T1240" s="34" t="s">
        <v>7476</v>
      </c>
      <c r="U1240" s="34" t="s">
        <v>7476</v>
      </c>
      <c r="V1240" s="32" t="s">
        <v>7476</v>
      </c>
      <c r="W1240" s="32" t="s">
        <v>7476</v>
      </c>
      <c r="X1240">
        <v>0</v>
      </c>
      <c r="Y1240" s="34" t="s">
        <v>7476</v>
      </c>
      <c r="Z1240" s="34" t="s">
        <v>7476</v>
      </c>
      <c r="AA1240" s="34" t="s">
        <v>7476</v>
      </c>
      <c r="AB1240" s="36" t="s">
        <v>52</v>
      </c>
      <c r="AD1240" t="s">
        <v>3889</v>
      </c>
      <c r="AE1240" t="s">
        <v>3890</v>
      </c>
      <c r="AF1240" s="16">
        <v>44909</v>
      </c>
      <c r="AG1240" t="s">
        <v>64</v>
      </c>
      <c r="AH1240">
        <v>6</v>
      </c>
      <c r="AI1240" s="8" t="str">
        <f>IFERROR(R1240-AF1240,"")</f>
        <v/>
      </c>
      <c r="AJ1240" s="8">
        <f>IFERROR(O1240-AF1240,"")</f>
        <v>8.5972222222189885</v>
      </c>
      <c r="AK1240" s="38" t="str">
        <f t="shared" si="467"/>
        <v/>
      </c>
      <c r="AL1240" t="str">
        <f>IFERROR(Z1240-W1240,"")</f>
        <v/>
      </c>
      <c r="AM1240" t="str">
        <f>IFERROR(R1240-J1240,"")</f>
        <v/>
      </c>
      <c r="AN1240" t="str">
        <f>IFERROR(V1240-O1240,"")</f>
        <v/>
      </c>
      <c r="AO1240">
        <f>IFERROR(J1240-I1240,"")</f>
        <v>2</v>
      </c>
      <c r="AP1240">
        <f>IFERROR(AC1240-X1240,"")</f>
        <v>0</v>
      </c>
      <c r="AQ1240" t="str">
        <f>IFERROR(AA1240-W1240,"")</f>
        <v/>
      </c>
    </row>
    <row r="1241" spans="1:43" x14ac:dyDescent="0.35">
      <c r="A1241">
        <v>1489</v>
      </c>
      <c r="B1241" t="s">
        <v>3891</v>
      </c>
      <c r="C1241" t="s">
        <v>3864</v>
      </c>
      <c r="D1241" t="str">
        <f t="shared" si="465"/>
        <v>Fundraising</v>
      </c>
      <c r="E1241" t="s">
        <v>3855</v>
      </c>
      <c r="F1241" t="s">
        <v>204</v>
      </c>
      <c r="G1241" t="s">
        <v>3856</v>
      </c>
      <c r="H1241" t="s">
        <v>206</v>
      </c>
      <c r="I1241" s="32">
        <v>45113.542164351849</v>
      </c>
      <c r="J1241" s="32">
        <v>45114.542164351849</v>
      </c>
      <c r="K1241" s="32">
        <v>45119.542164351849</v>
      </c>
      <c r="L1241" s="8">
        <f t="shared" si="466"/>
        <v>6</v>
      </c>
      <c r="M1241" s="7">
        <v>45125.542164351849</v>
      </c>
      <c r="N1241" t="s">
        <v>49</v>
      </c>
      <c r="O1241" s="34">
        <v>45133.542164351849</v>
      </c>
      <c r="P1241" t="s">
        <v>50</v>
      </c>
      <c r="Q1241" t="s">
        <v>51</v>
      </c>
      <c r="R1241" s="32" t="s">
        <v>7472</v>
      </c>
      <c r="S1241" t="s">
        <v>7476</v>
      </c>
      <c r="T1241" s="34" t="s">
        <v>7476</v>
      </c>
      <c r="U1241" s="34" t="s">
        <v>7476</v>
      </c>
      <c r="V1241" s="32" t="s">
        <v>7476</v>
      </c>
      <c r="W1241" s="32" t="s">
        <v>7476</v>
      </c>
      <c r="X1241">
        <v>0</v>
      </c>
      <c r="Y1241" s="34" t="s">
        <v>7476</v>
      </c>
      <c r="Z1241" s="34" t="s">
        <v>7476</v>
      </c>
      <c r="AA1241" s="34" t="s">
        <v>7476</v>
      </c>
      <c r="AB1241" s="36" t="s">
        <v>52</v>
      </c>
      <c r="AD1241" t="s">
        <v>3892</v>
      </c>
      <c r="AE1241" t="s">
        <v>3893</v>
      </c>
      <c r="AF1241" s="16">
        <v>45115</v>
      </c>
      <c r="AG1241" t="s">
        <v>68</v>
      </c>
      <c r="AH1241">
        <v>6</v>
      </c>
      <c r="AI1241" s="8" t="str">
        <f>IFERROR(R1241-AF1241,"")</f>
        <v/>
      </c>
      <c r="AJ1241" s="8">
        <f>IFERROR(O1241-AF1241,"")</f>
        <v>18.542164351849351</v>
      </c>
      <c r="AK1241" s="38" t="str">
        <f t="shared" si="467"/>
        <v/>
      </c>
      <c r="AL1241" t="str">
        <f>IFERROR(Z1241-W1241,"")</f>
        <v/>
      </c>
      <c r="AM1241" t="str">
        <f>IFERROR(R1241-J1241,"")</f>
        <v/>
      </c>
      <c r="AN1241" t="str">
        <f>IFERROR(V1241-O1241,"")</f>
        <v/>
      </c>
      <c r="AO1241">
        <f>IFERROR(J1241-I1241,"")</f>
        <v>1</v>
      </c>
      <c r="AP1241">
        <f>IFERROR(AC1241-X1241,"")</f>
        <v>0</v>
      </c>
      <c r="AQ1241" t="str">
        <f>IFERROR(AA1241-W1241,"")</f>
        <v/>
      </c>
    </row>
    <row r="1242" spans="1:43" x14ac:dyDescent="0.35">
      <c r="A1242">
        <v>1486</v>
      </c>
      <c r="B1242" t="s">
        <v>3894</v>
      </c>
      <c r="C1242" t="s">
        <v>3860</v>
      </c>
      <c r="D1242" t="str">
        <f t="shared" si="465"/>
        <v>Fundraising</v>
      </c>
      <c r="E1242" t="s">
        <v>3855</v>
      </c>
      <c r="F1242" t="s">
        <v>204</v>
      </c>
      <c r="G1242" t="s">
        <v>3856</v>
      </c>
      <c r="H1242" t="s">
        <v>206</v>
      </c>
      <c r="I1242" s="32">
        <v>45111.542164351849</v>
      </c>
      <c r="J1242" s="32">
        <v>45114.542164351849</v>
      </c>
      <c r="K1242" s="32" t="s">
        <v>7473</v>
      </c>
      <c r="L1242" s="8" t="str">
        <f t="shared" si="466"/>
        <v/>
      </c>
      <c r="M1242" s="7">
        <v>45135.542164351849</v>
      </c>
      <c r="N1242" t="s">
        <v>49</v>
      </c>
      <c r="O1242" s="34">
        <v>45128.542164351849</v>
      </c>
      <c r="P1242" t="s">
        <v>50</v>
      </c>
      <c r="Q1242" t="s">
        <v>236</v>
      </c>
      <c r="R1242" s="32" t="s">
        <v>7472</v>
      </c>
      <c r="S1242" t="s">
        <v>7476</v>
      </c>
      <c r="T1242" s="34" t="s">
        <v>7476</v>
      </c>
      <c r="U1242" s="34" t="s">
        <v>7476</v>
      </c>
      <c r="V1242" s="32">
        <v>45131.542164351849</v>
      </c>
      <c r="W1242" s="32" t="s">
        <v>7476</v>
      </c>
      <c r="X1242">
        <v>0</v>
      </c>
      <c r="Y1242" s="34" t="s">
        <v>7476</v>
      </c>
      <c r="Z1242" s="34" t="s">
        <v>7476</v>
      </c>
      <c r="AA1242" s="34" t="s">
        <v>7476</v>
      </c>
      <c r="AB1242" s="36" t="s">
        <v>95</v>
      </c>
      <c r="AD1242" t="s">
        <v>3895</v>
      </c>
      <c r="AE1242" t="s">
        <v>3896</v>
      </c>
      <c r="AF1242" s="16">
        <v>45206</v>
      </c>
      <c r="AG1242" t="s">
        <v>55</v>
      </c>
      <c r="AH1242">
        <v>6</v>
      </c>
      <c r="AK1242" s="38">
        <f t="shared" si="467"/>
        <v>45311.542164351849</v>
      </c>
    </row>
    <row r="1243" spans="1:43" x14ac:dyDescent="0.35">
      <c r="A1243">
        <v>1481</v>
      </c>
      <c r="B1243" t="s">
        <v>3897</v>
      </c>
      <c r="C1243" t="s">
        <v>3854</v>
      </c>
      <c r="D1243" t="str">
        <f t="shared" si="465"/>
        <v>Fundraising</v>
      </c>
      <c r="E1243" t="s">
        <v>3855</v>
      </c>
      <c r="F1243" t="s">
        <v>204</v>
      </c>
      <c r="G1243" t="s">
        <v>3856</v>
      </c>
      <c r="H1243" t="s">
        <v>206</v>
      </c>
      <c r="I1243" s="32">
        <v>45113.542164351849</v>
      </c>
      <c r="J1243" s="32">
        <v>45117.542164351849</v>
      </c>
      <c r="K1243" s="32">
        <v>45119.542164351849</v>
      </c>
      <c r="L1243" s="8">
        <f t="shared" si="466"/>
        <v>6</v>
      </c>
      <c r="M1243" s="7">
        <v>45132.542164351849</v>
      </c>
      <c r="N1243" t="s">
        <v>49</v>
      </c>
      <c r="O1243" s="34">
        <v>45128.542164351849</v>
      </c>
      <c r="P1243" t="s">
        <v>50</v>
      </c>
      <c r="Q1243" t="s">
        <v>51</v>
      </c>
      <c r="R1243" s="32" t="s">
        <v>7472</v>
      </c>
      <c r="S1243" t="s">
        <v>7476</v>
      </c>
      <c r="T1243" s="34" t="s">
        <v>7476</v>
      </c>
      <c r="U1243" s="34" t="s">
        <v>7476</v>
      </c>
      <c r="V1243" s="32">
        <v>45130.542164351849</v>
      </c>
      <c r="W1243" s="32" t="s">
        <v>7476</v>
      </c>
      <c r="X1243">
        <v>0</v>
      </c>
      <c r="Y1243" s="34" t="s">
        <v>7476</v>
      </c>
      <c r="Z1243" s="34" t="s">
        <v>7476</v>
      </c>
      <c r="AA1243" s="34" t="s">
        <v>7476</v>
      </c>
      <c r="AB1243" s="36" t="s">
        <v>52</v>
      </c>
      <c r="AD1243" t="s">
        <v>3898</v>
      </c>
      <c r="AE1243" t="s">
        <v>3899</v>
      </c>
      <c r="AF1243" s="16">
        <v>44964</v>
      </c>
      <c r="AG1243" t="s">
        <v>64</v>
      </c>
      <c r="AH1243">
        <v>6</v>
      </c>
      <c r="AI1243" s="8" t="str">
        <f t="shared" ref="AI1243:AI1256" si="468">IFERROR(R1243-AF1243,"")</f>
        <v/>
      </c>
      <c r="AJ1243" s="8">
        <f t="shared" ref="AJ1243:AJ1256" si="469">IFERROR(O1243-AF1243,"")</f>
        <v>164.54216435184935</v>
      </c>
      <c r="AK1243" s="38">
        <f t="shared" si="467"/>
        <v>45310.542164351849</v>
      </c>
      <c r="AL1243" t="str">
        <f t="shared" ref="AL1243:AL1256" si="470">IFERROR(Z1243-W1243,"")</f>
        <v/>
      </c>
      <c r="AM1243" t="str">
        <f t="shared" ref="AM1243:AM1256" si="471">IFERROR(R1243-J1243,"")</f>
        <v/>
      </c>
      <c r="AN1243">
        <f t="shared" ref="AN1243:AN1256" si="472">IFERROR(V1243-O1243,"")</f>
        <v>2</v>
      </c>
      <c r="AO1243">
        <f t="shared" ref="AO1243:AO1256" si="473">IFERROR(J1243-I1243,"")</f>
        <v>4</v>
      </c>
      <c r="AP1243">
        <f t="shared" ref="AP1243:AP1256" si="474">IFERROR(AC1243-X1243,"")</f>
        <v>0</v>
      </c>
      <c r="AQ1243" t="str">
        <f t="shared" ref="AQ1243:AQ1256" si="475">IFERROR(AA1243-W1243,"")</f>
        <v/>
      </c>
    </row>
    <row r="1244" spans="1:43" x14ac:dyDescent="0.35">
      <c r="A1244">
        <v>1466</v>
      </c>
      <c r="B1244" t="s">
        <v>3900</v>
      </c>
      <c r="C1244" t="s">
        <v>3860</v>
      </c>
      <c r="D1244" t="str">
        <f t="shared" si="465"/>
        <v>Fundraising</v>
      </c>
      <c r="E1244" t="s">
        <v>3855</v>
      </c>
      <c r="F1244" t="s">
        <v>204</v>
      </c>
      <c r="G1244" t="s">
        <v>3856</v>
      </c>
      <c r="H1244" t="s">
        <v>206</v>
      </c>
      <c r="I1244" s="32">
        <v>45002.141805555562</v>
      </c>
      <c r="J1244" s="32">
        <v>45005.141805555562</v>
      </c>
      <c r="K1244" s="32">
        <v>45008.141805555562</v>
      </c>
      <c r="L1244" s="8">
        <f t="shared" si="466"/>
        <v>6</v>
      </c>
      <c r="M1244" s="7">
        <v>45014.141805555562</v>
      </c>
      <c r="N1244" t="s">
        <v>49</v>
      </c>
      <c r="O1244" s="34">
        <v>45021.141805555562</v>
      </c>
      <c r="P1244" t="s">
        <v>50</v>
      </c>
      <c r="Q1244" t="s">
        <v>84</v>
      </c>
      <c r="R1244" s="32" t="s">
        <v>7472</v>
      </c>
      <c r="S1244" t="s">
        <v>7476</v>
      </c>
      <c r="T1244" s="34" t="s">
        <v>7476</v>
      </c>
      <c r="U1244" s="34" t="s">
        <v>7476</v>
      </c>
      <c r="V1244" s="32">
        <v>45024.141805555562</v>
      </c>
      <c r="W1244" s="32" t="s">
        <v>7476</v>
      </c>
      <c r="X1244">
        <v>0</v>
      </c>
      <c r="Y1244" s="34" t="s">
        <v>7476</v>
      </c>
      <c r="Z1244" s="34" t="s">
        <v>7476</v>
      </c>
      <c r="AA1244" s="34" t="s">
        <v>7476</v>
      </c>
      <c r="AB1244" s="36" t="s">
        <v>95</v>
      </c>
      <c r="AD1244" t="s">
        <v>3901</v>
      </c>
      <c r="AE1244" t="s">
        <v>3902</v>
      </c>
      <c r="AF1244" s="16">
        <v>45006</v>
      </c>
      <c r="AG1244" t="s">
        <v>98</v>
      </c>
      <c r="AH1244">
        <v>6</v>
      </c>
      <c r="AI1244" s="8" t="str">
        <f t="shared" si="468"/>
        <v/>
      </c>
      <c r="AJ1244" s="8">
        <f t="shared" si="469"/>
        <v>15.141805555562314</v>
      </c>
      <c r="AK1244" s="38">
        <f t="shared" si="467"/>
        <v>45204.141805555562</v>
      </c>
      <c r="AL1244" t="str">
        <f t="shared" si="470"/>
        <v/>
      </c>
      <c r="AM1244" t="str">
        <f t="shared" si="471"/>
        <v/>
      </c>
      <c r="AN1244">
        <f t="shared" si="472"/>
        <v>3</v>
      </c>
      <c r="AO1244">
        <f t="shared" si="473"/>
        <v>3</v>
      </c>
      <c r="AP1244">
        <f t="shared" si="474"/>
        <v>0</v>
      </c>
      <c r="AQ1244" t="str">
        <f t="shared" si="475"/>
        <v/>
      </c>
    </row>
    <row r="1245" spans="1:43" x14ac:dyDescent="0.35">
      <c r="A1245">
        <v>1359</v>
      </c>
      <c r="B1245" t="s">
        <v>3903</v>
      </c>
      <c r="C1245" t="s">
        <v>3854</v>
      </c>
      <c r="D1245" t="str">
        <f t="shared" si="465"/>
        <v>Fundraising</v>
      </c>
      <c r="E1245" t="s">
        <v>3855</v>
      </c>
      <c r="F1245" t="s">
        <v>204</v>
      </c>
      <c r="G1245" t="s">
        <v>3856</v>
      </c>
      <c r="H1245" t="s">
        <v>206</v>
      </c>
      <c r="I1245" s="32">
        <v>44766.055451388893</v>
      </c>
      <c r="J1245" s="32">
        <v>44770.055451388893</v>
      </c>
      <c r="K1245" s="32">
        <v>44771.055451388893</v>
      </c>
      <c r="L1245" s="8">
        <f t="shared" si="466"/>
        <v>5</v>
      </c>
      <c r="M1245" s="7">
        <v>44794.055451388893</v>
      </c>
      <c r="N1245" t="s">
        <v>49</v>
      </c>
      <c r="O1245" s="34">
        <v>44786.055451388893</v>
      </c>
      <c r="P1245" t="s">
        <v>50</v>
      </c>
      <c r="Q1245" t="s">
        <v>51</v>
      </c>
      <c r="R1245" s="32" t="s">
        <v>7472</v>
      </c>
      <c r="S1245" t="s">
        <v>7476</v>
      </c>
      <c r="T1245" s="34" t="s">
        <v>7476</v>
      </c>
      <c r="U1245" s="34" t="s">
        <v>7476</v>
      </c>
      <c r="V1245" s="32" t="s">
        <v>7476</v>
      </c>
      <c r="W1245" s="32" t="s">
        <v>7476</v>
      </c>
      <c r="X1245">
        <v>0</v>
      </c>
      <c r="Y1245" s="34" t="s">
        <v>7476</v>
      </c>
      <c r="Z1245" s="34" t="s">
        <v>7476</v>
      </c>
      <c r="AA1245" s="34" t="s">
        <v>7476</v>
      </c>
      <c r="AB1245" s="36" t="s">
        <v>52</v>
      </c>
      <c r="AD1245" t="s">
        <v>3904</v>
      </c>
      <c r="AE1245" t="s">
        <v>3905</v>
      </c>
      <c r="AF1245" s="16">
        <v>44770</v>
      </c>
      <c r="AG1245" t="s">
        <v>98</v>
      </c>
      <c r="AH1245">
        <v>3</v>
      </c>
      <c r="AI1245" s="8" t="str">
        <f t="shared" si="468"/>
        <v/>
      </c>
      <c r="AJ1245" s="8">
        <f t="shared" si="469"/>
        <v>16.055451388892834</v>
      </c>
      <c r="AK1245" s="38" t="str">
        <f t="shared" si="467"/>
        <v/>
      </c>
      <c r="AL1245" t="str">
        <f t="shared" si="470"/>
        <v/>
      </c>
      <c r="AM1245" t="str">
        <f t="shared" si="471"/>
        <v/>
      </c>
      <c r="AN1245" t="str">
        <f t="shared" si="472"/>
        <v/>
      </c>
      <c r="AO1245">
        <f t="shared" si="473"/>
        <v>4</v>
      </c>
      <c r="AP1245">
        <f t="shared" si="474"/>
        <v>0</v>
      </c>
      <c r="AQ1245" t="str">
        <f t="shared" si="475"/>
        <v/>
      </c>
    </row>
    <row r="1246" spans="1:43" x14ac:dyDescent="0.35">
      <c r="A1246">
        <v>1353</v>
      </c>
      <c r="B1246" t="s">
        <v>3906</v>
      </c>
      <c r="C1246" t="s">
        <v>3860</v>
      </c>
      <c r="D1246" t="str">
        <f t="shared" si="465"/>
        <v>Fundraising</v>
      </c>
      <c r="E1246" t="s">
        <v>3855</v>
      </c>
      <c r="F1246" t="s">
        <v>204</v>
      </c>
      <c r="G1246" t="s">
        <v>3856</v>
      </c>
      <c r="H1246" t="s">
        <v>206</v>
      </c>
      <c r="I1246" s="32">
        <v>44767.055451388893</v>
      </c>
      <c r="J1246" s="32">
        <v>44769.055451388893</v>
      </c>
      <c r="K1246" s="32">
        <v>44771.055451388893</v>
      </c>
      <c r="L1246" s="8">
        <f t="shared" si="466"/>
        <v>4</v>
      </c>
      <c r="M1246" s="7">
        <v>44800.055451388893</v>
      </c>
      <c r="N1246" t="s">
        <v>49</v>
      </c>
      <c r="O1246" s="34">
        <v>44774.055451388893</v>
      </c>
      <c r="P1246" t="s">
        <v>50</v>
      </c>
      <c r="Q1246" t="s">
        <v>84</v>
      </c>
      <c r="R1246" s="32" t="s">
        <v>7472</v>
      </c>
      <c r="S1246" t="s">
        <v>7476</v>
      </c>
      <c r="T1246" s="34" t="s">
        <v>7476</v>
      </c>
      <c r="U1246" s="34" t="s">
        <v>7476</v>
      </c>
      <c r="V1246" s="32" t="s">
        <v>7476</v>
      </c>
      <c r="W1246" s="32" t="s">
        <v>7476</v>
      </c>
      <c r="X1246">
        <v>0</v>
      </c>
      <c r="Y1246" s="34" t="s">
        <v>7476</v>
      </c>
      <c r="Z1246" s="34" t="s">
        <v>7476</v>
      </c>
      <c r="AA1246" s="34" t="s">
        <v>7476</v>
      </c>
      <c r="AB1246" s="36" t="s">
        <v>52</v>
      </c>
      <c r="AD1246" t="s">
        <v>3907</v>
      </c>
      <c r="AE1246" t="s">
        <v>3908</v>
      </c>
      <c r="AF1246" s="16">
        <v>44759</v>
      </c>
      <c r="AG1246" t="s">
        <v>64</v>
      </c>
      <c r="AH1246">
        <v>6</v>
      </c>
      <c r="AI1246" s="8" t="str">
        <f t="shared" si="468"/>
        <v/>
      </c>
      <c r="AJ1246" s="8">
        <f t="shared" si="469"/>
        <v>15.055451388892834</v>
      </c>
      <c r="AK1246" s="38" t="str">
        <f t="shared" si="467"/>
        <v/>
      </c>
      <c r="AL1246" t="str">
        <f t="shared" si="470"/>
        <v/>
      </c>
      <c r="AM1246" t="str">
        <f t="shared" si="471"/>
        <v/>
      </c>
      <c r="AN1246" t="str">
        <f t="shared" si="472"/>
        <v/>
      </c>
      <c r="AO1246">
        <f t="shared" si="473"/>
        <v>2</v>
      </c>
      <c r="AP1246">
        <f t="shared" si="474"/>
        <v>0</v>
      </c>
      <c r="AQ1246" t="str">
        <f t="shared" si="475"/>
        <v/>
      </c>
    </row>
    <row r="1247" spans="1:43" x14ac:dyDescent="0.35">
      <c r="A1247">
        <v>1243</v>
      </c>
      <c r="B1247" t="s">
        <v>3909</v>
      </c>
      <c r="C1247" t="s">
        <v>3864</v>
      </c>
      <c r="D1247" t="str">
        <f t="shared" si="465"/>
        <v>Fundraising</v>
      </c>
      <c r="E1247" t="s">
        <v>3855</v>
      </c>
      <c r="F1247" t="s">
        <v>204</v>
      </c>
      <c r="G1247" t="s">
        <v>3856</v>
      </c>
      <c r="H1247" t="s">
        <v>206</v>
      </c>
      <c r="I1247" s="32">
        <v>44734.839942129627</v>
      </c>
      <c r="J1247" s="32">
        <v>44738.839942129627</v>
      </c>
      <c r="K1247" s="32">
        <v>44741.839942129627</v>
      </c>
      <c r="L1247" s="8">
        <f t="shared" si="466"/>
        <v>7</v>
      </c>
      <c r="M1247" s="7">
        <v>44766.839942129627</v>
      </c>
      <c r="N1247" t="s">
        <v>49</v>
      </c>
      <c r="O1247" s="34">
        <v>44756.839942129627</v>
      </c>
      <c r="P1247" t="s">
        <v>50</v>
      </c>
      <c r="Q1247" t="s">
        <v>51</v>
      </c>
      <c r="R1247" s="32" t="s">
        <v>7472</v>
      </c>
      <c r="S1247" t="s">
        <v>7476</v>
      </c>
      <c r="T1247" s="34" t="s">
        <v>7476</v>
      </c>
      <c r="U1247" s="34" t="s">
        <v>7476</v>
      </c>
      <c r="V1247" s="32">
        <v>44760.839942129627</v>
      </c>
      <c r="W1247" s="32" t="s">
        <v>7476</v>
      </c>
      <c r="X1247">
        <v>0</v>
      </c>
      <c r="Y1247" s="34" t="s">
        <v>7476</v>
      </c>
      <c r="Z1247" s="34" t="s">
        <v>7476</v>
      </c>
      <c r="AA1247" s="34" t="s">
        <v>7476</v>
      </c>
      <c r="AB1247" s="36" t="s">
        <v>95</v>
      </c>
      <c r="AD1247" t="s">
        <v>3910</v>
      </c>
      <c r="AE1247" t="s">
        <v>3911</v>
      </c>
      <c r="AF1247" s="16">
        <v>44742</v>
      </c>
      <c r="AG1247" t="s">
        <v>68</v>
      </c>
      <c r="AH1247">
        <v>3</v>
      </c>
      <c r="AI1247" s="8" t="str">
        <f t="shared" si="468"/>
        <v/>
      </c>
      <c r="AJ1247" s="8">
        <f t="shared" si="469"/>
        <v>14.839942129627161</v>
      </c>
      <c r="AK1247" s="38">
        <f t="shared" si="467"/>
        <v>44850.839942129627</v>
      </c>
      <c r="AL1247" t="str">
        <f t="shared" si="470"/>
        <v/>
      </c>
      <c r="AM1247" t="str">
        <f t="shared" si="471"/>
        <v/>
      </c>
      <c r="AN1247">
        <f t="shared" si="472"/>
        <v>4</v>
      </c>
      <c r="AO1247">
        <f t="shared" si="473"/>
        <v>4</v>
      </c>
      <c r="AP1247">
        <f t="shared" si="474"/>
        <v>0</v>
      </c>
      <c r="AQ1247" t="str">
        <f t="shared" si="475"/>
        <v/>
      </c>
    </row>
    <row r="1248" spans="1:43" x14ac:dyDescent="0.35">
      <c r="A1248">
        <v>1209</v>
      </c>
      <c r="B1248" t="s">
        <v>3912</v>
      </c>
      <c r="C1248" t="s">
        <v>3854</v>
      </c>
      <c r="D1248" t="str">
        <f t="shared" si="465"/>
        <v>Fundraising</v>
      </c>
      <c r="E1248" t="s">
        <v>3855</v>
      </c>
      <c r="F1248" t="s">
        <v>204</v>
      </c>
      <c r="G1248" t="s">
        <v>3856</v>
      </c>
      <c r="H1248" t="s">
        <v>206</v>
      </c>
      <c r="I1248" s="32">
        <v>44768.205266203702</v>
      </c>
      <c r="J1248" s="32">
        <v>44769.205266203702</v>
      </c>
      <c r="K1248" s="32">
        <v>44770.205266203702</v>
      </c>
      <c r="L1248" s="8">
        <f t="shared" si="466"/>
        <v>2</v>
      </c>
      <c r="M1248" s="7">
        <v>44796.205266203702</v>
      </c>
      <c r="N1248" t="s">
        <v>49</v>
      </c>
      <c r="O1248" s="34">
        <v>44776.205266203702</v>
      </c>
      <c r="P1248" t="s">
        <v>50</v>
      </c>
      <c r="Q1248" t="s">
        <v>198</v>
      </c>
      <c r="R1248" s="32" t="s">
        <v>7472</v>
      </c>
      <c r="S1248" t="s">
        <v>7476</v>
      </c>
      <c r="T1248" s="34" t="s">
        <v>7476</v>
      </c>
      <c r="U1248" s="34" t="s">
        <v>7476</v>
      </c>
      <c r="V1248" s="32">
        <v>44779.205266203702</v>
      </c>
      <c r="W1248" s="32" t="s">
        <v>7476</v>
      </c>
      <c r="X1248">
        <v>0</v>
      </c>
      <c r="Y1248" s="34" t="s">
        <v>7476</v>
      </c>
      <c r="Z1248" s="34" t="s">
        <v>7476</v>
      </c>
      <c r="AA1248" s="34" t="s">
        <v>7476</v>
      </c>
      <c r="AB1248" s="36" t="s">
        <v>95</v>
      </c>
      <c r="AD1248" t="s">
        <v>3913</v>
      </c>
      <c r="AE1248" t="s">
        <v>3914</v>
      </c>
      <c r="AF1248" s="16">
        <v>44770</v>
      </c>
      <c r="AG1248" t="s">
        <v>68</v>
      </c>
      <c r="AH1248">
        <v>6</v>
      </c>
      <c r="AI1248" s="8" t="str">
        <f t="shared" si="468"/>
        <v/>
      </c>
      <c r="AJ1248" s="8">
        <f t="shared" si="469"/>
        <v>6.2052662037021946</v>
      </c>
      <c r="AK1248" s="38">
        <f t="shared" si="467"/>
        <v>44959.205266203702</v>
      </c>
      <c r="AL1248" t="str">
        <f t="shared" si="470"/>
        <v/>
      </c>
      <c r="AM1248" t="str">
        <f t="shared" si="471"/>
        <v/>
      </c>
      <c r="AN1248">
        <f t="shared" si="472"/>
        <v>3</v>
      </c>
      <c r="AO1248">
        <f t="shared" si="473"/>
        <v>1</v>
      </c>
      <c r="AP1248">
        <f t="shared" si="474"/>
        <v>0</v>
      </c>
      <c r="AQ1248" t="str">
        <f t="shared" si="475"/>
        <v/>
      </c>
    </row>
    <row r="1249" spans="1:43" x14ac:dyDescent="0.35">
      <c r="A1249">
        <v>1205</v>
      </c>
      <c r="B1249" t="s">
        <v>3915</v>
      </c>
      <c r="C1249" t="s">
        <v>3854</v>
      </c>
      <c r="D1249" t="str">
        <f t="shared" si="465"/>
        <v>Fundraising</v>
      </c>
      <c r="E1249" t="s">
        <v>3855</v>
      </c>
      <c r="F1249" t="s">
        <v>204</v>
      </c>
      <c r="G1249" t="s">
        <v>3856</v>
      </c>
      <c r="H1249" t="s">
        <v>206</v>
      </c>
      <c r="I1249" s="32">
        <v>44764.205266203702</v>
      </c>
      <c r="J1249" s="32">
        <v>44767.205266203702</v>
      </c>
      <c r="K1249" s="32">
        <v>44770.205266203702</v>
      </c>
      <c r="L1249" s="8">
        <f t="shared" si="466"/>
        <v>6</v>
      </c>
      <c r="M1249" s="7">
        <v>44776.205266203702</v>
      </c>
      <c r="N1249" t="s">
        <v>49</v>
      </c>
      <c r="O1249" s="34">
        <v>44774.205266203702</v>
      </c>
      <c r="P1249" t="s">
        <v>50</v>
      </c>
      <c r="Q1249" t="s">
        <v>125</v>
      </c>
      <c r="R1249" s="32" t="s">
        <v>7472</v>
      </c>
      <c r="S1249" t="s">
        <v>7476</v>
      </c>
      <c r="T1249" s="34" t="s">
        <v>7476</v>
      </c>
      <c r="U1249" s="34" t="s">
        <v>7476</v>
      </c>
      <c r="V1249" s="32">
        <v>44777.205266203702</v>
      </c>
      <c r="W1249" s="32" t="s">
        <v>7476</v>
      </c>
      <c r="X1249">
        <v>0</v>
      </c>
      <c r="Y1249" s="34" t="s">
        <v>7476</v>
      </c>
      <c r="Z1249" s="34" t="s">
        <v>7476</v>
      </c>
      <c r="AA1249" s="34" t="s">
        <v>7476</v>
      </c>
      <c r="AB1249" s="36" t="s">
        <v>52</v>
      </c>
      <c r="AD1249" t="s">
        <v>3916</v>
      </c>
      <c r="AE1249" t="s">
        <v>3917</v>
      </c>
      <c r="AF1249" s="16">
        <v>44757</v>
      </c>
      <c r="AG1249" t="s">
        <v>64</v>
      </c>
      <c r="AH1249">
        <v>6</v>
      </c>
      <c r="AI1249" s="8" t="str">
        <f t="shared" si="468"/>
        <v/>
      </c>
      <c r="AJ1249" s="8">
        <f t="shared" si="469"/>
        <v>17.205266203702195</v>
      </c>
      <c r="AK1249" s="38">
        <f t="shared" si="467"/>
        <v>44957.205266203702</v>
      </c>
      <c r="AL1249" t="str">
        <f t="shared" si="470"/>
        <v/>
      </c>
      <c r="AM1249" t="str">
        <f t="shared" si="471"/>
        <v/>
      </c>
      <c r="AN1249">
        <f t="shared" si="472"/>
        <v>3</v>
      </c>
      <c r="AO1249">
        <f t="shared" si="473"/>
        <v>3</v>
      </c>
      <c r="AP1249">
        <f t="shared" si="474"/>
        <v>0</v>
      </c>
      <c r="AQ1249" t="str">
        <f t="shared" si="475"/>
        <v/>
      </c>
    </row>
    <row r="1250" spans="1:43" x14ac:dyDescent="0.35">
      <c r="A1250">
        <v>1198</v>
      </c>
      <c r="B1250" t="s">
        <v>3918</v>
      </c>
      <c r="C1250" t="s">
        <v>3864</v>
      </c>
      <c r="D1250" t="str">
        <f t="shared" si="465"/>
        <v>Fundraising</v>
      </c>
      <c r="E1250" t="s">
        <v>3855</v>
      </c>
      <c r="F1250" t="s">
        <v>204</v>
      </c>
      <c r="G1250" t="s">
        <v>3856</v>
      </c>
      <c r="H1250" t="s">
        <v>206</v>
      </c>
      <c r="I1250" s="32">
        <v>44764.966006944444</v>
      </c>
      <c r="J1250" s="32">
        <v>44766.966006944444</v>
      </c>
      <c r="K1250" s="32">
        <v>44771.966006944444</v>
      </c>
      <c r="L1250" s="8">
        <f t="shared" si="466"/>
        <v>7</v>
      </c>
      <c r="M1250" s="7">
        <v>44779.966006944444</v>
      </c>
      <c r="N1250" t="s">
        <v>49</v>
      </c>
      <c r="O1250" s="34">
        <v>44785.966006944444</v>
      </c>
      <c r="P1250" t="s">
        <v>50</v>
      </c>
      <c r="Q1250" t="s">
        <v>236</v>
      </c>
      <c r="R1250" s="32" t="s">
        <v>7472</v>
      </c>
      <c r="S1250" t="s">
        <v>7476</v>
      </c>
      <c r="T1250" s="34" t="s">
        <v>7476</v>
      </c>
      <c r="U1250" s="34" t="s">
        <v>7476</v>
      </c>
      <c r="V1250" s="32" t="s">
        <v>7476</v>
      </c>
      <c r="W1250" s="32" t="s">
        <v>7476</v>
      </c>
      <c r="X1250">
        <v>0</v>
      </c>
      <c r="Y1250" s="34" t="s">
        <v>7476</v>
      </c>
      <c r="Z1250" s="34" t="s">
        <v>7476</v>
      </c>
      <c r="AA1250" s="34" t="s">
        <v>7476</v>
      </c>
      <c r="AB1250" s="36" t="s">
        <v>52</v>
      </c>
      <c r="AD1250" t="s">
        <v>3919</v>
      </c>
      <c r="AE1250" t="s">
        <v>3920</v>
      </c>
      <c r="AF1250" s="16">
        <v>44628</v>
      </c>
      <c r="AG1250" t="s">
        <v>64</v>
      </c>
      <c r="AH1250">
        <v>6</v>
      </c>
      <c r="AI1250" s="8" t="str">
        <f t="shared" si="468"/>
        <v/>
      </c>
      <c r="AJ1250" s="8">
        <f t="shared" si="469"/>
        <v>157.96600694444351</v>
      </c>
      <c r="AK1250" s="38" t="str">
        <f t="shared" si="467"/>
        <v/>
      </c>
      <c r="AL1250" t="str">
        <f t="shared" si="470"/>
        <v/>
      </c>
      <c r="AM1250" t="str">
        <f t="shared" si="471"/>
        <v/>
      </c>
      <c r="AN1250" t="str">
        <f t="shared" si="472"/>
        <v/>
      </c>
      <c r="AO1250">
        <f t="shared" si="473"/>
        <v>2</v>
      </c>
      <c r="AP1250">
        <f t="shared" si="474"/>
        <v>0</v>
      </c>
      <c r="AQ1250" t="str">
        <f t="shared" si="475"/>
        <v/>
      </c>
    </row>
    <row r="1251" spans="1:43" x14ac:dyDescent="0.35">
      <c r="A1251">
        <v>1177</v>
      </c>
      <c r="B1251" t="s">
        <v>3921</v>
      </c>
      <c r="C1251" t="s">
        <v>3860</v>
      </c>
      <c r="D1251" t="str">
        <f t="shared" si="465"/>
        <v>Fundraising</v>
      </c>
      <c r="E1251" t="s">
        <v>3855</v>
      </c>
      <c r="F1251" t="s">
        <v>204</v>
      </c>
      <c r="G1251" t="s">
        <v>3856</v>
      </c>
      <c r="H1251" t="s">
        <v>206</v>
      </c>
      <c r="I1251" s="32">
        <v>45060.041770833333</v>
      </c>
      <c r="J1251" s="32">
        <v>45061.041770833333</v>
      </c>
      <c r="K1251" s="32">
        <v>45066.041770833333</v>
      </c>
      <c r="L1251" s="8">
        <f t="shared" si="466"/>
        <v>6</v>
      </c>
      <c r="M1251" s="7">
        <v>45079.041770833333</v>
      </c>
      <c r="N1251" t="s">
        <v>49</v>
      </c>
      <c r="O1251" s="34">
        <v>45077.041770833333</v>
      </c>
      <c r="P1251" t="s">
        <v>50</v>
      </c>
      <c r="Q1251" t="s">
        <v>198</v>
      </c>
      <c r="R1251" s="32" t="s">
        <v>7472</v>
      </c>
      <c r="S1251" t="s">
        <v>7476</v>
      </c>
      <c r="T1251" s="34" t="s">
        <v>7476</v>
      </c>
      <c r="U1251" s="34" t="s">
        <v>7476</v>
      </c>
      <c r="V1251" s="32" t="s">
        <v>7476</v>
      </c>
      <c r="W1251" s="32" t="s">
        <v>7476</v>
      </c>
      <c r="X1251">
        <v>0</v>
      </c>
      <c r="Y1251" s="34" t="s">
        <v>7476</v>
      </c>
      <c r="Z1251" s="34" t="s">
        <v>7476</v>
      </c>
      <c r="AA1251" s="34" t="s">
        <v>7476</v>
      </c>
      <c r="AB1251" s="36" t="s">
        <v>95</v>
      </c>
      <c r="AD1251" t="s">
        <v>3922</v>
      </c>
      <c r="AE1251" t="s">
        <v>3923</v>
      </c>
      <c r="AF1251" s="16">
        <v>45068</v>
      </c>
      <c r="AG1251" t="s">
        <v>64</v>
      </c>
      <c r="AH1251">
        <v>3</v>
      </c>
      <c r="AI1251" s="8" t="str">
        <f t="shared" si="468"/>
        <v/>
      </c>
      <c r="AJ1251" s="8">
        <f t="shared" si="469"/>
        <v>9.0417708333334303</v>
      </c>
      <c r="AK1251" s="38" t="str">
        <f t="shared" si="467"/>
        <v/>
      </c>
      <c r="AL1251" t="str">
        <f t="shared" si="470"/>
        <v/>
      </c>
      <c r="AM1251" t="str">
        <f t="shared" si="471"/>
        <v/>
      </c>
      <c r="AN1251" t="str">
        <f t="shared" si="472"/>
        <v/>
      </c>
      <c r="AO1251">
        <f t="shared" si="473"/>
        <v>1</v>
      </c>
      <c r="AP1251">
        <f t="shared" si="474"/>
        <v>0</v>
      </c>
      <c r="AQ1251" t="str">
        <f t="shared" si="475"/>
        <v/>
      </c>
    </row>
    <row r="1252" spans="1:43" x14ac:dyDescent="0.35">
      <c r="A1252">
        <v>1110</v>
      </c>
      <c r="B1252" t="s">
        <v>3924</v>
      </c>
      <c r="C1252" t="s">
        <v>3860</v>
      </c>
      <c r="D1252" t="str">
        <f t="shared" si="465"/>
        <v>Fundraising</v>
      </c>
      <c r="E1252" t="s">
        <v>3855</v>
      </c>
      <c r="F1252" t="s">
        <v>204</v>
      </c>
      <c r="G1252" t="s">
        <v>3856</v>
      </c>
      <c r="H1252" t="s">
        <v>206</v>
      </c>
      <c r="I1252" s="32">
        <v>44671.953865740739</v>
      </c>
      <c r="J1252" s="32">
        <v>44675.953865740739</v>
      </c>
      <c r="K1252" s="32">
        <v>44681.953865740739</v>
      </c>
      <c r="L1252" s="8">
        <f t="shared" si="466"/>
        <v>10</v>
      </c>
      <c r="M1252" s="7">
        <v>44697.953865740739</v>
      </c>
      <c r="N1252" t="s">
        <v>49</v>
      </c>
      <c r="O1252" s="34">
        <v>44684.953865740739</v>
      </c>
      <c r="P1252" t="s">
        <v>50</v>
      </c>
      <c r="Q1252" t="s">
        <v>125</v>
      </c>
      <c r="R1252" s="32" t="s">
        <v>7472</v>
      </c>
      <c r="S1252" t="s">
        <v>7476</v>
      </c>
      <c r="T1252" s="34" t="s">
        <v>7476</v>
      </c>
      <c r="U1252" s="34" t="s">
        <v>7476</v>
      </c>
      <c r="V1252" s="32">
        <v>44687.953865740739</v>
      </c>
      <c r="W1252" s="32" t="s">
        <v>7476</v>
      </c>
      <c r="X1252">
        <v>0</v>
      </c>
      <c r="Y1252" s="34" t="s">
        <v>7476</v>
      </c>
      <c r="Z1252" s="34" t="s">
        <v>7476</v>
      </c>
      <c r="AA1252" s="34" t="s">
        <v>7476</v>
      </c>
      <c r="AB1252" s="36" t="s">
        <v>52</v>
      </c>
      <c r="AD1252" t="s">
        <v>3925</v>
      </c>
      <c r="AE1252" t="s">
        <v>3926</v>
      </c>
      <c r="AF1252" s="16">
        <v>44669</v>
      </c>
      <c r="AG1252" t="s">
        <v>64</v>
      </c>
      <c r="AH1252">
        <v>3</v>
      </c>
      <c r="AI1252" s="8" t="str">
        <f t="shared" si="468"/>
        <v/>
      </c>
      <c r="AJ1252" s="8">
        <f t="shared" si="469"/>
        <v>15.953865740739275</v>
      </c>
      <c r="AK1252" s="38">
        <f t="shared" si="467"/>
        <v>44777.953865740739</v>
      </c>
      <c r="AL1252" t="str">
        <f t="shared" si="470"/>
        <v/>
      </c>
      <c r="AM1252" t="str">
        <f t="shared" si="471"/>
        <v/>
      </c>
      <c r="AN1252">
        <f t="shared" si="472"/>
        <v>3</v>
      </c>
      <c r="AO1252">
        <f t="shared" si="473"/>
        <v>4</v>
      </c>
      <c r="AP1252">
        <f t="shared" si="474"/>
        <v>0</v>
      </c>
      <c r="AQ1252" t="str">
        <f t="shared" si="475"/>
        <v/>
      </c>
    </row>
    <row r="1253" spans="1:43" x14ac:dyDescent="0.35">
      <c r="A1253">
        <v>1104</v>
      </c>
      <c r="B1253" t="s">
        <v>3927</v>
      </c>
      <c r="C1253" t="s">
        <v>3854</v>
      </c>
      <c r="D1253" t="str">
        <f t="shared" si="465"/>
        <v>Fundraising</v>
      </c>
      <c r="E1253" t="s">
        <v>3855</v>
      </c>
      <c r="F1253" t="s">
        <v>204</v>
      </c>
      <c r="G1253" t="s">
        <v>3856</v>
      </c>
      <c r="H1253" t="s">
        <v>206</v>
      </c>
      <c r="I1253" s="32">
        <v>44678.953865740739</v>
      </c>
      <c r="J1253" s="32">
        <v>44679.953865740739</v>
      </c>
      <c r="K1253" s="32">
        <v>44681.953865740739</v>
      </c>
      <c r="L1253" s="8">
        <f t="shared" si="466"/>
        <v>3</v>
      </c>
      <c r="M1253" s="7">
        <v>44705.953865740739</v>
      </c>
      <c r="N1253" t="s">
        <v>49</v>
      </c>
      <c r="O1253" s="34">
        <v>44686.953865740739</v>
      </c>
      <c r="P1253" t="s">
        <v>50</v>
      </c>
      <c r="Q1253" t="s">
        <v>236</v>
      </c>
      <c r="R1253" s="32" t="s">
        <v>7472</v>
      </c>
      <c r="S1253" t="s">
        <v>7476</v>
      </c>
      <c r="T1253" s="34" t="s">
        <v>7476</v>
      </c>
      <c r="U1253" s="34" t="s">
        <v>7476</v>
      </c>
      <c r="V1253" s="32" t="s">
        <v>7476</v>
      </c>
      <c r="W1253" s="32" t="s">
        <v>7476</v>
      </c>
      <c r="X1253">
        <v>0</v>
      </c>
      <c r="Y1253" s="34" t="s">
        <v>7476</v>
      </c>
      <c r="Z1253" s="34" t="s">
        <v>7476</v>
      </c>
      <c r="AA1253" s="34" t="s">
        <v>7476</v>
      </c>
      <c r="AB1253" s="36" t="s">
        <v>52</v>
      </c>
      <c r="AD1253" t="s">
        <v>3928</v>
      </c>
      <c r="AE1253" t="s">
        <v>3929</v>
      </c>
      <c r="AF1253" s="16">
        <v>44667</v>
      </c>
      <c r="AG1253" t="s">
        <v>68</v>
      </c>
      <c r="AH1253">
        <v>3</v>
      </c>
      <c r="AI1253" s="8" t="str">
        <f t="shared" si="468"/>
        <v/>
      </c>
      <c r="AJ1253" s="8">
        <f t="shared" si="469"/>
        <v>19.953865740739275</v>
      </c>
      <c r="AK1253" s="38" t="str">
        <f t="shared" si="467"/>
        <v/>
      </c>
      <c r="AL1253" t="str">
        <f t="shared" si="470"/>
        <v/>
      </c>
      <c r="AM1253" t="str">
        <f t="shared" si="471"/>
        <v/>
      </c>
      <c r="AN1253" t="str">
        <f t="shared" si="472"/>
        <v/>
      </c>
      <c r="AO1253">
        <f t="shared" si="473"/>
        <v>1</v>
      </c>
      <c r="AP1253">
        <f t="shared" si="474"/>
        <v>0</v>
      </c>
      <c r="AQ1253" t="str">
        <f t="shared" si="475"/>
        <v/>
      </c>
    </row>
    <row r="1254" spans="1:43" x14ac:dyDescent="0.35">
      <c r="A1254">
        <v>1080</v>
      </c>
      <c r="B1254" t="s">
        <v>3930</v>
      </c>
      <c r="C1254" t="s">
        <v>3854</v>
      </c>
      <c r="D1254" t="str">
        <f t="shared" si="465"/>
        <v>Fundraising</v>
      </c>
      <c r="E1254" t="s">
        <v>3855</v>
      </c>
      <c r="F1254" t="s">
        <v>204</v>
      </c>
      <c r="G1254" t="s">
        <v>3856</v>
      </c>
      <c r="H1254" t="s">
        <v>206</v>
      </c>
      <c r="I1254" s="32">
        <v>44600.990740740737</v>
      </c>
      <c r="J1254" s="32">
        <v>44604.990740740737</v>
      </c>
      <c r="K1254" s="32">
        <v>44607.990740740737</v>
      </c>
      <c r="L1254" s="8">
        <f t="shared" si="466"/>
        <v>7</v>
      </c>
      <c r="M1254" s="7">
        <v>44612.990740740737</v>
      </c>
      <c r="N1254" t="s">
        <v>49</v>
      </c>
      <c r="O1254" s="34">
        <v>44623.990740740737</v>
      </c>
      <c r="P1254" t="s">
        <v>50</v>
      </c>
      <c r="Q1254" t="s">
        <v>198</v>
      </c>
      <c r="R1254" s="32" t="s">
        <v>7472</v>
      </c>
      <c r="S1254" t="s">
        <v>7476</v>
      </c>
      <c r="T1254" s="34" t="s">
        <v>7476</v>
      </c>
      <c r="U1254" s="34" t="s">
        <v>7476</v>
      </c>
      <c r="V1254" s="32" t="s">
        <v>7476</v>
      </c>
      <c r="W1254" s="32" t="s">
        <v>7476</v>
      </c>
      <c r="X1254">
        <v>0</v>
      </c>
      <c r="Y1254" s="34" t="s">
        <v>7476</v>
      </c>
      <c r="Z1254" s="34" t="s">
        <v>7476</v>
      </c>
      <c r="AA1254" s="34" t="s">
        <v>7476</v>
      </c>
      <c r="AB1254" s="36" t="s">
        <v>52</v>
      </c>
      <c r="AD1254" t="s">
        <v>3931</v>
      </c>
      <c r="AE1254" t="s">
        <v>3932</v>
      </c>
      <c r="AF1254" s="16">
        <v>44604</v>
      </c>
      <c r="AG1254" t="s">
        <v>68</v>
      </c>
      <c r="AH1254">
        <v>3</v>
      </c>
      <c r="AI1254" s="8" t="str">
        <f t="shared" si="468"/>
        <v/>
      </c>
      <c r="AJ1254" s="8">
        <f t="shared" si="469"/>
        <v>19.990740740737238</v>
      </c>
      <c r="AK1254" s="38" t="str">
        <f t="shared" si="467"/>
        <v/>
      </c>
      <c r="AL1254" t="str">
        <f t="shared" si="470"/>
        <v/>
      </c>
      <c r="AM1254" t="str">
        <f t="shared" si="471"/>
        <v/>
      </c>
      <c r="AN1254" t="str">
        <f t="shared" si="472"/>
        <v/>
      </c>
      <c r="AO1254">
        <f t="shared" si="473"/>
        <v>4</v>
      </c>
      <c r="AP1254">
        <f t="shared" si="474"/>
        <v>0</v>
      </c>
      <c r="AQ1254" t="str">
        <f t="shared" si="475"/>
        <v/>
      </c>
    </row>
    <row r="1255" spans="1:43" x14ac:dyDescent="0.35">
      <c r="A1255">
        <v>2939</v>
      </c>
      <c r="B1255" t="s">
        <v>3933</v>
      </c>
      <c r="C1255" t="s">
        <v>3864</v>
      </c>
      <c r="D1255" t="str">
        <f t="shared" si="465"/>
        <v>Fundraising</v>
      </c>
      <c r="E1255" t="s">
        <v>3934</v>
      </c>
      <c r="F1255" t="s">
        <v>3935</v>
      </c>
      <c r="G1255" t="s">
        <v>3936</v>
      </c>
      <c r="H1255" t="s">
        <v>334</v>
      </c>
      <c r="I1255" s="32">
        <v>44968.550104166658</v>
      </c>
      <c r="J1255" s="32">
        <v>44971.550104166658</v>
      </c>
      <c r="K1255" s="32">
        <v>44979.550104166658</v>
      </c>
      <c r="L1255" s="8">
        <f t="shared" si="466"/>
        <v>11</v>
      </c>
      <c r="M1255" s="7">
        <v>45024.550104166658</v>
      </c>
      <c r="N1255" t="s">
        <v>49</v>
      </c>
      <c r="O1255" s="34">
        <v>44989.550104166658</v>
      </c>
      <c r="P1255" t="s">
        <v>50</v>
      </c>
      <c r="Q1255" t="s">
        <v>236</v>
      </c>
      <c r="R1255" s="32" t="s">
        <v>7472</v>
      </c>
      <c r="S1255" t="s">
        <v>7476</v>
      </c>
      <c r="T1255" s="34" t="s">
        <v>7476</v>
      </c>
      <c r="U1255" s="34" t="s">
        <v>7476</v>
      </c>
      <c r="V1255" s="32">
        <v>44991.550104166658</v>
      </c>
      <c r="W1255" s="32" t="s">
        <v>7476</v>
      </c>
      <c r="X1255">
        <v>0</v>
      </c>
      <c r="Y1255" s="34" t="s">
        <v>7476</v>
      </c>
      <c r="Z1255" s="34" t="s">
        <v>7476</v>
      </c>
      <c r="AA1255" s="34" t="s">
        <v>7476</v>
      </c>
      <c r="AB1255" s="36" t="s">
        <v>52</v>
      </c>
      <c r="AD1255" t="s">
        <v>3937</v>
      </c>
      <c r="AE1255" t="s">
        <v>3938</v>
      </c>
      <c r="AF1255" s="16">
        <v>44974</v>
      </c>
      <c r="AG1255" t="s">
        <v>64</v>
      </c>
      <c r="AH1255">
        <v>3</v>
      </c>
      <c r="AI1255" s="8" t="str">
        <f t="shared" si="468"/>
        <v/>
      </c>
      <c r="AJ1255" s="8">
        <f t="shared" si="469"/>
        <v>15.550104166657547</v>
      </c>
      <c r="AK1255" s="38">
        <f t="shared" si="467"/>
        <v>45081.550104166658</v>
      </c>
      <c r="AL1255" t="str">
        <f t="shared" si="470"/>
        <v/>
      </c>
      <c r="AM1255" t="str">
        <f t="shared" si="471"/>
        <v/>
      </c>
      <c r="AN1255">
        <f t="shared" si="472"/>
        <v>2</v>
      </c>
      <c r="AO1255">
        <f t="shared" si="473"/>
        <v>3</v>
      </c>
      <c r="AP1255">
        <f t="shared" si="474"/>
        <v>0</v>
      </c>
      <c r="AQ1255" t="str">
        <f t="shared" si="475"/>
        <v/>
      </c>
    </row>
    <row r="1256" spans="1:43" x14ac:dyDescent="0.35">
      <c r="A1256">
        <v>2936</v>
      </c>
      <c r="B1256" t="s">
        <v>3939</v>
      </c>
      <c r="C1256" t="s">
        <v>3854</v>
      </c>
      <c r="D1256" t="str">
        <f t="shared" si="465"/>
        <v>Fundraising</v>
      </c>
      <c r="E1256" t="s">
        <v>3934</v>
      </c>
      <c r="F1256" t="s">
        <v>3935</v>
      </c>
      <c r="G1256" t="s">
        <v>3936</v>
      </c>
      <c r="H1256" t="s">
        <v>334</v>
      </c>
      <c r="I1256" s="32">
        <v>44967.550104166658</v>
      </c>
      <c r="J1256" s="32">
        <v>44971.550104166658</v>
      </c>
      <c r="K1256" s="32">
        <v>44979.550104166658</v>
      </c>
      <c r="L1256" s="8">
        <f t="shared" si="466"/>
        <v>12</v>
      </c>
      <c r="M1256" s="7">
        <v>45024.550104166658</v>
      </c>
      <c r="N1256" t="s">
        <v>49</v>
      </c>
      <c r="O1256" s="34">
        <v>44983.550104166658</v>
      </c>
      <c r="P1256" t="s">
        <v>50</v>
      </c>
      <c r="Q1256" t="s">
        <v>51</v>
      </c>
      <c r="R1256" s="32" t="s">
        <v>7472</v>
      </c>
      <c r="S1256" t="s">
        <v>7476</v>
      </c>
      <c r="T1256" s="34" t="s">
        <v>7476</v>
      </c>
      <c r="U1256" s="34" t="s">
        <v>7476</v>
      </c>
      <c r="V1256" s="32">
        <v>44987.550104166658</v>
      </c>
      <c r="W1256" s="32" t="s">
        <v>7476</v>
      </c>
      <c r="X1256">
        <v>0</v>
      </c>
      <c r="Y1256" s="34" t="s">
        <v>7476</v>
      </c>
      <c r="Z1256" s="34" t="s">
        <v>7476</v>
      </c>
      <c r="AA1256" s="34" t="s">
        <v>7476</v>
      </c>
      <c r="AB1256" s="36" t="s">
        <v>95</v>
      </c>
      <c r="AD1256" t="s">
        <v>3940</v>
      </c>
      <c r="AE1256" t="s">
        <v>3941</v>
      </c>
      <c r="AF1256" s="16">
        <v>45109</v>
      </c>
      <c r="AG1256" t="s">
        <v>68</v>
      </c>
      <c r="AH1256">
        <v>6</v>
      </c>
      <c r="AI1256" s="8" t="str">
        <f t="shared" si="468"/>
        <v/>
      </c>
      <c r="AJ1256" s="8">
        <f t="shared" si="469"/>
        <v>-125.44989583334245</v>
      </c>
      <c r="AK1256" s="38">
        <f t="shared" si="467"/>
        <v>45167.550104166658</v>
      </c>
      <c r="AL1256" t="str">
        <f t="shared" si="470"/>
        <v/>
      </c>
      <c r="AM1256" t="str">
        <f t="shared" si="471"/>
        <v/>
      </c>
      <c r="AN1256">
        <f t="shared" si="472"/>
        <v>4</v>
      </c>
      <c r="AO1256">
        <f t="shared" si="473"/>
        <v>4</v>
      </c>
      <c r="AP1256">
        <f t="shared" si="474"/>
        <v>0</v>
      </c>
      <c r="AQ1256" t="str">
        <f t="shared" si="475"/>
        <v/>
      </c>
    </row>
    <row r="1257" spans="1:43" x14ac:dyDescent="0.35">
      <c r="A1257">
        <v>2932</v>
      </c>
      <c r="B1257" t="s">
        <v>3942</v>
      </c>
      <c r="C1257" t="s">
        <v>3854</v>
      </c>
      <c r="D1257" t="str">
        <f t="shared" si="465"/>
        <v>Fundraising</v>
      </c>
      <c r="E1257" t="s">
        <v>3934</v>
      </c>
      <c r="F1257" t="s">
        <v>3935</v>
      </c>
      <c r="G1257" t="s">
        <v>3936</v>
      </c>
      <c r="H1257" t="s">
        <v>334</v>
      </c>
      <c r="I1257" s="32">
        <v>44964.550104166658</v>
      </c>
      <c r="J1257" s="32" t="s">
        <v>7471</v>
      </c>
      <c r="K1257" s="32">
        <v>44975.550104166658</v>
      </c>
      <c r="L1257" s="8">
        <f t="shared" si="466"/>
        <v>11</v>
      </c>
      <c r="M1257" s="7">
        <v>45020.550104166658</v>
      </c>
      <c r="N1257" t="s">
        <v>49</v>
      </c>
      <c r="O1257" s="34">
        <v>44976.550104166658</v>
      </c>
      <c r="P1257" t="s">
        <v>60</v>
      </c>
      <c r="R1257" s="32">
        <v>44983.550104166658</v>
      </c>
      <c r="S1257" t="s">
        <v>61</v>
      </c>
      <c r="T1257" s="34" t="s">
        <v>7476</v>
      </c>
      <c r="U1257" s="34" t="s">
        <v>7476</v>
      </c>
      <c r="V1257" s="32">
        <v>44979.550104166658</v>
      </c>
      <c r="W1257" s="32" t="s">
        <v>7476</v>
      </c>
      <c r="X1257">
        <v>0</v>
      </c>
      <c r="Y1257" s="34" t="s">
        <v>7476</v>
      </c>
      <c r="Z1257" s="34" t="s">
        <v>7476</v>
      </c>
      <c r="AA1257" s="34" t="s">
        <v>7476</v>
      </c>
      <c r="AB1257" s="36" t="s">
        <v>7476</v>
      </c>
      <c r="AD1257" t="s">
        <v>3943</v>
      </c>
      <c r="AE1257" t="s">
        <v>3944</v>
      </c>
      <c r="AF1257" s="16">
        <v>44968</v>
      </c>
      <c r="AG1257" t="s">
        <v>98</v>
      </c>
      <c r="AH1257">
        <v>3</v>
      </c>
      <c r="AK1257" s="38">
        <f t="shared" si="467"/>
        <v>45069.550104166658</v>
      </c>
    </row>
    <row r="1258" spans="1:43" x14ac:dyDescent="0.35">
      <c r="A1258">
        <v>2924</v>
      </c>
      <c r="B1258" t="s">
        <v>3945</v>
      </c>
      <c r="C1258" t="s">
        <v>3864</v>
      </c>
      <c r="D1258" t="str">
        <f t="shared" si="465"/>
        <v>Fundraising</v>
      </c>
      <c r="E1258" t="s">
        <v>3934</v>
      </c>
      <c r="F1258" t="s">
        <v>3935</v>
      </c>
      <c r="G1258" t="s">
        <v>3936</v>
      </c>
      <c r="H1258" t="s">
        <v>334</v>
      </c>
      <c r="I1258" s="32">
        <v>45175.386689814812</v>
      </c>
      <c r="J1258" s="32">
        <v>45179.386689814812</v>
      </c>
      <c r="K1258" s="32">
        <v>45187.386689814812</v>
      </c>
      <c r="L1258" s="8">
        <f t="shared" si="466"/>
        <v>12</v>
      </c>
      <c r="M1258" s="7">
        <v>45232.386689814812</v>
      </c>
      <c r="N1258" t="s">
        <v>49</v>
      </c>
      <c r="O1258" s="34">
        <v>45191.386689814812</v>
      </c>
      <c r="P1258" t="s">
        <v>60</v>
      </c>
      <c r="R1258" s="32">
        <v>45197.386689814812</v>
      </c>
      <c r="S1258" t="s">
        <v>61</v>
      </c>
      <c r="T1258" s="34" t="s">
        <v>7476</v>
      </c>
      <c r="U1258" s="34" t="s">
        <v>7476</v>
      </c>
      <c r="V1258" s="32">
        <v>45195.386689814812</v>
      </c>
      <c r="W1258" s="32" t="s">
        <v>7476</v>
      </c>
      <c r="X1258">
        <v>0</v>
      </c>
      <c r="Y1258" s="34" t="s">
        <v>7476</v>
      </c>
      <c r="Z1258" s="34" t="s">
        <v>7476</v>
      </c>
      <c r="AA1258" s="34" t="s">
        <v>7476</v>
      </c>
      <c r="AB1258" s="36" t="s">
        <v>7476</v>
      </c>
      <c r="AD1258" t="s">
        <v>3946</v>
      </c>
      <c r="AE1258" t="s">
        <v>3947</v>
      </c>
      <c r="AF1258" s="16">
        <v>45172</v>
      </c>
      <c r="AG1258" t="s">
        <v>68</v>
      </c>
      <c r="AH1258">
        <v>6</v>
      </c>
      <c r="AI1258" s="8">
        <f>IFERROR(R1258-AF1258,"")</f>
        <v>25.386689814811689</v>
      </c>
      <c r="AJ1258" s="8">
        <f>IFERROR(O1258-AF1258,"")</f>
        <v>19.386689814811689</v>
      </c>
      <c r="AK1258" s="38">
        <f t="shared" si="467"/>
        <v>45375.386689814812</v>
      </c>
      <c r="AL1258" t="str">
        <f>IFERROR(Z1258-W1258,"")</f>
        <v/>
      </c>
      <c r="AM1258">
        <f>IFERROR(R1258-J1258,"")</f>
        <v>18</v>
      </c>
      <c r="AN1258">
        <f>IFERROR(V1258-O1258,"")</f>
        <v>4</v>
      </c>
      <c r="AO1258">
        <f>IFERROR(J1258-I1258,"")</f>
        <v>4</v>
      </c>
      <c r="AP1258">
        <f>IFERROR(AC1258-X1258,"")</f>
        <v>0</v>
      </c>
      <c r="AQ1258" t="str">
        <f>IFERROR(AA1258-W1258,"")</f>
        <v/>
      </c>
    </row>
    <row r="1259" spans="1:43" x14ac:dyDescent="0.35">
      <c r="A1259">
        <v>2921</v>
      </c>
      <c r="B1259" t="s">
        <v>3948</v>
      </c>
      <c r="C1259" t="s">
        <v>3860</v>
      </c>
      <c r="D1259" t="str">
        <f t="shared" si="465"/>
        <v>Fundraising</v>
      </c>
      <c r="E1259" t="s">
        <v>3934</v>
      </c>
      <c r="F1259" t="s">
        <v>3935</v>
      </c>
      <c r="G1259" t="s">
        <v>3936</v>
      </c>
      <c r="H1259" t="s">
        <v>334</v>
      </c>
      <c r="I1259" s="32">
        <v>45176.386689814812</v>
      </c>
      <c r="J1259" s="32" t="s">
        <v>7471</v>
      </c>
      <c r="K1259" s="32">
        <v>45186.386689814812</v>
      </c>
      <c r="L1259" s="8">
        <f t="shared" si="466"/>
        <v>10</v>
      </c>
      <c r="M1259" s="7">
        <v>45231.386689814812</v>
      </c>
      <c r="N1259" t="s">
        <v>49</v>
      </c>
      <c r="O1259" s="34">
        <v>45198.386689814812</v>
      </c>
      <c r="P1259" t="s">
        <v>50</v>
      </c>
      <c r="Q1259" t="s">
        <v>51</v>
      </c>
      <c r="R1259" s="32" t="s">
        <v>7472</v>
      </c>
      <c r="S1259" t="s">
        <v>7476</v>
      </c>
      <c r="T1259" s="34" t="s">
        <v>7476</v>
      </c>
      <c r="U1259" s="34" t="s">
        <v>7476</v>
      </c>
      <c r="V1259" s="32" t="s">
        <v>7476</v>
      </c>
      <c r="W1259" s="32" t="s">
        <v>7476</v>
      </c>
      <c r="X1259">
        <v>0</v>
      </c>
      <c r="Y1259" s="34" t="s">
        <v>7476</v>
      </c>
      <c r="Z1259" s="34" t="s">
        <v>7476</v>
      </c>
      <c r="AA1259" s="34" t="s">
        <v>7476</v>
      </c>
      <c r="AB1259" s="36" t="s">
        <v>52</v>
      </c>
      <c r="AD1259" t="s">
        <v>3949</v>
      </c>
      <c r="AE1259" t="s">
        <v>3950</v>
      </c>
      <c r="AF1259" s="16">
        <v>45185</v>
      </c>
      <c r="AG1259" t="s">
        <v>98</v>
      </c>
      <c r="AH1259">
        <v>6</v>
      </c>
      <c r="AK1259" s="38" t="str">
        <f t="shared" si="467"/>
        <v/>
      </c>
    </row>
    <row r="1260" spans="1:43" x14ac:dyDescent="0.35">
      <c r="A1260">
        <v>2823</v>
      </c>
      <c r="B1260" t="s">
        <v>3951</v>
      </c>
      <c r="C1260" t="s">
        <v>3864</v>
      </c>
      <c r="D1260" t="str">
        <f t="shared" si="465"/>
        <v>Fundraising</v>
      </c>
      <c r="E1260" t="s">
        <v>3934</v>
      </c>
      <c r="F1260" t="s">
        <v>3935</v>
      </c>
      <c r="G1260" t="s">
        <v>3936</v>
      </c>
      <c r="H1260" t="s">
        <v>334</v>
      </c>
      <c r="I1260" s="32">
        <v>44566.055902777778</v>
      </c>
      <c r="J1260" s="32" t="s">
        <v>7471</v>
      </c>
      <c r="K1260" s="32">
        <v>44571.055902777778</v>
      </c>
      <c r="L1260" s="8">
        <f t="shared" si="466"/>
        <v>5</v>
      </c>
      <c r="M1260" s="7">
        <v>44589.055902777778</v>
      </c>
      <c r="N1260" t="s">
        <v>49</v>
      </c>
      <c r="O1260" s="34">
        <v>44584.055902777778</v>
      </c>
      <c r="P1260" t="s">
        <v>50</v>
      </c>
      <c r="Q1260" t="s">
        <v>51</v>
      </c>
      <c r="R1260" s="32" t="s">
        <v>7472</v>
      </c>
      <c r="S1260" t="s">
        <v>7476</v>
      </c>
      <c r="T1260" s="34" t="s">
        <v>7476</v>
      </c>
      <c r="U1260" s="34" t="s">
        <v>7476</v>
      </c>
      <c r="V1260" s="32">
        <v>44588.055902777778</v>
      </c>
      <c r="W1260" s="32" t="s">
        <v>7476</v>
      </c>
      <c r="X1260">
        <v>0</v>
      </c>
      <c r="Y1260" s="34" t="s">
        <v>7476</v>
      </c>
      <c r="Z1260" s="34" t="s">
        <v>7476</v>
      </c>
      <c r="AA1260" s="34" t="s">
        <v>7476</v>
      </c>
      <c r="AB1260" s="36" t="s">
        <v>52</v>
      </c>
      <c r="AD1260" t="s">
        <v>3952</v>
      </c>
      <c r="AE1260" t="s">
        <v>3953</v>
      </c>
      <c r="AF1260" s="16">
        <v>44579</v>
      </c>
      <c r="AG1260" t="s">
        <v>68</v>
      </c>
      <c r="AH1260">
        <v>6</v>
      </c>
      <c r="AK1260" s="38">
        <f t="shared" si="467"/>
        <v>44768.055902777778</v>
      </c>
    </row>
    <row r="1261" spans="1:43" x14ac:dyDescent="0.35">
      <c r="A1261">
        <v>2810</v>
      </c>
      <c r="B1261" t="s">
        <v>3954</v>
      </c>
      <c r="C1261" t="s">
        <v>3860</v>
      </c>
      <c r="D1261" t="str">
        <f t="shared" si="465"/>
        <v>Fundraising</v>
      </c>
      <c r="E1261" t="s">
        <v>3934</v>
      </c>
      <c r="F1261" t="s">
        <v>3935</v>
      </c>
      <c r="G1261" t="s">
        <v>3936</v>
      </c>
      <c r="H1261" t="s">
        <v>334</v>
      </c>
      <c r="I1261" s="32">
        <v>45077.778425925928</v>
      </c>
      <c r="J1261" s="32">
        <v>45080.778425925928</v>
      </c>
      <c r="K1261" s="32">
        <v>45085.778425925928</v>
      </c>
      <c r="L1261" s="8">
        <f t="shared" si="466"/>
        <v>8</v>
      </c>
      <c r="M1261" s="7">
        <v>45106.778425925928</v>
      </c>
      <c r="N1261" t="s">
        <v>49</v>
      </c>
      <c r="O1261" s="34">
        <v>45089.778425925928</v>
      </c>
      <c r="P1261" t="s">
        <v>50</v>
      </c>
      <c r="Q1261" t="s">
        <v>51</v>
      </c>
      <c r="R1261" s="32" t="s">
        <v>7472</v>
      </c>
      <c r="S1261" t="s">
        <v>7476</v>
      </c>
      <c r="T1261" s="34" t="s">
        <v>7476</v>
      </c>
      <c r="U1261" s="34" t="s">
        <v>7476</v>
      </c>
      <c r="V1261" s="32" t="s">
        <v>7476</v>
      </c>
      <c r="W1261" s="32" t="s">
        <v>7476</v>
      </c>
      <c r="X1261">
        <v>0</v>
      </c>
      <c r="Y1261" s="34" t="s">
        <v>7476</v>
      </c>
      <c r="Z1261" s="34" t="s">
        <v>7476</v>
      </c>
      <c r="AA1261" s="34" t="s">
        <v>7476</v>
      </c>
      <c r="AB1261" s="36" t="s">
        <v>95</v>
      </c>
      <c r="AD1261" t="s">
        <v>3955</v>
      </c>
      <c r="AE1261" t="s">
        <v>3956</v>
      </c>
      <c r="AF1261" s="16">
        <v>44991</v>
      </c>
      <c r="AG1261" t="s">
        <v>64</v>
      </c>
      <c r="AH1261">
        <v>6</v>
      </c>
      <c r="AI1261" s="8" t="str">
        <f t="shared" ref="AI1261:AI1268" si="476">IFERROR(R1261-AF1261,"")</f>
        <v/>
      </c>
      <c r="AJ1261" s="8">
        <f t="shared" ref="AJ1261:AJ1268" si="477">IFERROR(O1261-AF1261,"")</f>
        <v>98.778425925927877</v>
      </c>
      <c r="AK1261" s="38" t="str">
        <f t="shared" si="467"/>
        <v/>
      </c>
      <c r="AL1261" t="str">
        <f t="shared" ref="AL1261:AL1268" si="478">IFERROR(Z1261-W1261,"")</f>
        <v/>
      </c>
      <c r="AM1261" t="str">
        <f t="shared" ref="AM1261:AM1268" si="479">IFERROR(R1261-J1261,"")</f>
        <v/>
      </c>
      <c r="AN1261" t="str">
        <f t="shared" ref="AN1261:AN1268" si="480">IFERROR(V1261-O1261,"")</f>
        <v/>
      </c>
      <c r="AO1261">
        <f t="shared" ref="AO1261:AO1268" si="481">IFERROR(J1261-I1261,"")</f>
        <v>3</v>
      </c>
      <c r="AP1261">
        <f t="shared" ref="AP1261:AP1268" si="482">IFERROR(AC1261-X1261,"")</f>
        <v>0</v>
      </c>
      <c r="AQ1261" t="str">
        <f t="shared" ref="AQ1261:AQ1268" si="483">IFERROR(AA1261-W1261,"")</f>
        <v/>
      </c>
    </row>
    <row r="1262" spans="1:43" x14ac:dyDescent="0.35">
      <c r="A1262">
        <v>2799</v>
      </c>
      <c r="B1262" t="s">
        <v>3957</v>
      </c>
      <c r="C1262" t="s">
        <v>3864</v>
      </c>
      <c r="D1262" t="str">
        <f t="shared" si="465"/>
        <v>Fundraising</v>
      </c>
      <c r="E1262" t="s">
        <v>3934</v>
      </c>
      <c r="F1262" t="s">
        <v>3935</v>
      </c>
      <c r="G1262" t="s">
        <v>3936</v>
      </c>
      <c r="H1262" t="s">
        <v>334</v>
      </c>
      <c r="I1262" s="32">
        <v>45103.834444444437</v>
      </c>
      <c r="J1262" s="32">
        <v>45107.834444444437</v>
      </c>
      <c r="K1262" s="32">
        <v>45109.834444444437</v>
      </c>
      <c r="L1262" s="8">
        <f t="shared" si="466"/>
        <v>6</v>
      </c>
      <c r="M1262" s="7">
        <v>45114.834444444437</v>
      </c>
      <c r="N1262" t="s">
        <v>49</v>
      </c>
      <c r="O1262" s="34">
        <v>45116.834444444437</v>
      </c>
      <c r="P1262" t="s">
        <v>50</v>
      </c>
      <c r="Q1262" t="s">
        <v>84</v>
      </c>
      <c r="R1262" s="32" t="s">
        <v>7472</v>
      </c>
      <c r="S1262" t="s">
        <v>7476</v>
      </c>
      <c r="T1262" s="34" t="s">
        <v>7476</v>
      </c>
      <c r="U1262" s="34" t="s">
        <v>7476</v>
      </c>
      <c r="V1262" s="32" t="s">
        <v>7476</v>
      </c>
      <c r="W1262" s="32" t="s">
        <v>7476</v>
      </c>
      <c r="X1262">
        <v>0</v>
      </c>
      <c r="Y1262" s="34" t="s">
        <v>7476</v>
      </c>
      <c r="Z1262" s="34" t="s">
        <v>7476</v>
      </c>
      <c r="AA1262" s="34" t="s">
        <v>7476</v>
      </c>
      <c r="AB1262" s="36" t="s">
        <v>95</v>
      </c>
      <c r="AD1262" t="s">
        <v>3958</v>
      </c>
      <c r="AE1262" t="s">
        <v>3959</v>
      </c>
      <c r="AF1262" s="16">
        <v>45105</v>
      </c>
      <c r="AG1262" t="s">
        <v>98</v>
      </c>
      <c r="AH1262">
        <v>3</v>
      </c>
      <c r="AI1262" s="8" t="str">
        <f t="shared" si="476"/>
        <v/>
      </c>
      <c r="AJ1262" s="8">
        <f t="shared" si="477"/>
        <v>11.834444444437395</v>
      </c>
      <c r="AK1262" s="38" t="str">
        <f t="shared" si="467"/>
        <v/>
      </c>
      <c r="AL1262" t="str">
        <f t="shared" si="478"/>
        <v/>
      </c>
      <c r="AM1262" t="str">
        <f t="shared" si="479"/>
        <v/>
      </c>
      <c r="AN1262" t="str">
        <f t="shared" si="480"/>
        <v/>
      </c>
      <c r="AO1262">
        <f t="shared" si="481"/>
        <v>4</v>
      </c>
      <c r="AP1262">
        <f t="shared" si="482"/>
        <v>0</v>
      </c>
      <c r="AQ1262" t="str">
        <f t="shared" si="483"/>
        <v/>
      </c>
    </row>
    <row r="1263" spans="1:43" x14ac:dyDescent="0.35">
      <c r="A1263">
        <v>2792</v>
      </c>
      <c r="B1263" t="s">
        <v>3960</v>
      </c>
      <c r="C1263" t="s">
        <v>3860</v>
      </c>
      <c r="D1263" t="str">
        <f t="shared" si="465"/>
        <v>Fundraising</v>
      </c>
      <c r="E1263" t="s">
        <v>3934</v>
      </c>
      <c r="F1263" t="s">
        <v>3935</v>
      </c>
      <c r="G1263" t="s">
        <v>3936</v>
      </c>
      <c r="H1263" t="s">
        <v>334</v>
      </c>
      <c r="I1263" s="32">
        <v>45103.834444444437</v>
      </c>
      <c r="J1263" s="32">
        <v>45105.834444444437</v>
      </c>
      <c r="K1263" s="32">
        <v>45109.834444444437</v>
      </c>
      <c r="L1263" s="8">
        <f t="shared" si="466"/>
        <v>6</v>
      </c>
      <c r="M1263" s="7">
        <v>45138.834444444437</v>
      </c>
      <c r="N1263" t="s">
        <v>49</v>
      </c>
      <c r="O1263" s="34">
        <v>45119.834444444437</v>
      </c>
      <c r="P1263" t="s">
        <v>50</v>
      </c>
      <c r="Q1263" t="s">
        <v>198</v>
      </c>
      <c r="R1263" s="32" t="s">
        <v>7472</v>
      </c>
      <c r="S1263" t="s">
        <v>7476</v>
      </c>
      <c r="T1263" s="34" t="s">
        <v>7476</v>
      </c>
      <c r="U1263" s="34" t="s">
        <v>7476</v>
      </c>
      <c r="V1263" s="32">
        <v>45120.834444444437</v>
      </c>
      <c r="W1263" s="32" t="s">
        <v>7476</v>
      </c>
      <c r="X1263">
        <v>0</v>
      </c>
      <c r="Y1263" s="34" t="s">
        <v>7476</v>
      </c>
      <c r="Z1263" s="34" t="s">
        <v>7476</v>
      </c>
      <c r="AA1263" s="34" t="s">
        <v>7476</v>
      </c>
      <c r="AB1263" s="36" t="s">
        <v>52</v>
      </c>
      <c r="AD1263" t="s">
        <v>3961</v>
      </c>
      <c r="AE1263" t="s">
        <v>3962</v>
      </c>
      <c r="AF1263" s="16">
        <v>45100</v>
      </c>
      <c r="AG1263" t="s">
        <v>68</v>
      </c>
      <c r="AH1263">
        <v>6</v>
      </c>
      <c r="AI1263" s="8" t="str">
        <f t="shared" si="476"/>
        <v/>
      </c>
      <c r="AJ1263" s="8">
        <f t="shared" si="477"/>
        <v>19.834444444437395</v>
      </c>
      <c r="AK1263" s="38">
        <f t="shared" si="467"/>
        <v>45300.834444444437</v>
      </c>
      <c r="AL1263" t="str">
        <f t="shared" si="478"/>
        <v/>
      </c>
      <c r="AM1263" t="str">
        <f t="shared" si="479"/>
        <v/>
      </c>
      <c r="AN1263">
        <f t="shared" si="480"/>
        <v>1</v>
      </c>
      <c r="AO1263">
        <f t="shared" si="481"/>
        <v>2</v>
      </c>
      <c r="AP1263">
        <f t="shared" si="482"/>
        <v>0</v>
      </c>
      <c r="AQ1263" t="str">
        <f t="shared" si="483"/>
        <v/>
      </c>
    </row>
    <row r="1264" spans="1:43" x14ac:dyDescent="0.35">
      <c r="A1264">
        <v>2764</v>
      </c>
      <c r="B1264" t="s">
        <v>3963</v>
      </c>
      <c r="C1264" t="s">
        <v>3864</v>
      </c>
      <c r="D1264" t="str">
        <f t="shared" si="465"/>
        <v>Fundraising</v>
      </c>
      <c r="E1264" t="s">
        <v>3934</v>
      </c>
      <c r="F1264" t="s">
        <v>3935</v>
      </c>
      <c r="G1264" t="s">
        <v>3936</v>
      </c>
      <c r="H1264" t="s">
        <v>334</v>
      </c>
      <c r="I1264" s="32">
        <v>44806.301701388889</v>
      </c>
      <c r="J1264" s="32">
        <v>44809.301701388889</v>
      </c>
      <c r="K1264" s="32">
        <v>44813.301701388889</v>
      </c>
      <c r="L1264" s="8">
        <f t="shared" si="466"/>
        <v>7</v>
      </c>
      <c r="M1264" s="7">
        <v>44819.301701388889</v>
      </c>
      <c r="N1264" t="s">
        <v>49</v>
      </c>
      <c r="O1264" s="34">
        <v>44827.301701388889</v>
      </c>
      <c r="P1264" t="s">
        <v>50</v>
      </c>
      <c r="Q1264" t="s">
        <v>236</v>
      </c>
      <c r="R1264" s="32" t="s">
        <v>7472</v>
      </c>
      <c r="S1264" t="s">
        <v>7476</v>
      </c>
      <c r="T1264" s="34" t="s">
        <v>7476</v>
      </c>
      <c r="U1264" s="34" t="s">
        <v>7476</v>
      </c>
      <c r="V1264" s="32">
        <v>44829.301701388889</v>
      </c>
      <c r="W1264" s="32" t="s">
        <v>7476</v>
      </c>
      <c r="X1264">
        <v>0</v>
      </c>
      <c r="Y1264" s="34" t="s">
        <v>7476</v>
      </c>
      <c r="Z1264" s="34" t="s">
        <v>7476</v>
      </c>
      <c r="AA1264" s="34" t="s">
        <v>7476</v>
      </c>
      <c r="AB1264" s="36" t="s">
        <v>95</v>
      </c>
      <c r="AD1264" t="s">
        <v>3964</v>
      </c>
      <c r="AE1264" t="s">
        <v>3965</v>
      </c>
      <c r="AF1264" s="16">
        <v>44811</v>
      </c>
      <c r="AG1264" t="s">
        <v>64</v>
      </c>
      <c r="AH1264">
        <v>6</v>
      </c>
      <c r="AI1264" s="8" t="str">
        <f t="shared" si="476"/>
        <v/>
      </c>
      <c r="AJ1264" s="8">
        <f t="shared" si="477"/>
        <v>16.301701388889342</v>
      </c>
      <c r="AK1264" s="38">
        <f t="shared" si="467"/>
        <v>45009.301701388889</v>
      </c>
      <c r="AL1264" t="str">
        <f t="shared" si="478"/>
        <v/>
      </c>
      <c r="AM1264" t="str">
        <f t="shared" si="479"/>
        <v/>
      </c>
      <c r="AN1264">
        <f t="shared" si="480"/>
        <v>2</v>
      </c>
      <c r="AO1264">
        <f t="shared" si="481"/>
        <v>3</v>
      </c>
      <c r="AP1264">
        <f t="shared" si="482"/>
        <v>0</v>
      </c>
      <c r="AQ1264" t="str">
        <f t="shared" si="483"/>
        <v/>
      </c>
    </row>
    <row r="1265" spans="1:43" x14ac:dyDescent="0.35">
      <c r="A1265">
        <v>2746</v>
      </c>
      <c r="B1265" t="s">
        <v>3966</v>
      </c>
      <c r="C1265" t="s">
        <v>3864</v>
      </c>
      <c r="D1265" t="str">
        <f t="shared" si="465"/>
        <v>Fundraising</v>
      </c>
      <c r="E1265" t="s">
        <v>3934</v>
      </c>
      <c r="F1265" t="s">
        <v>3935</v>
      </c>
      <c r="G1265" t="s">
        <v>3936</v>
      </c>
      <c r="H1265" t="s">
        <v>334</v>
      </c>
      <c r="I1265" s="32">
        <v>44668.561030092591</v>
      </c>
      <c r="J1265" s="32">
        <v>44672.561030092591</v>
      </c>
      <c r="K1265" s="32">
        <v>44675.561030092591</v>
      </c>
      <c r="L1265" s="8">
        <f t="shared" si="466"/>
        <v>7</v>
      </c>
      <c r="M1265" s="7">
        <v>44698.561030092591</v>
      </c>
      <c r="N1265" t="s">
        <v>49</v>
      </c>
      <c r="O1265" s="34">
        <v>44680.561030092591</v>
      </c>
      <c r="P1265" t="s">
        <v>60</v>
      </c>
      <c r="R1265" s="32">
        <v>44684.561030092591</v>
      </c>
      <c r="S1265" t="s">
        <v>61</v>
      </c>
      <c r="T1265" s="34" t="s">
        <v>7476</v>
      </c>
      <c r="U1265" s="34" t="s">
        <v>7476</v>
      </c>
      <c r="V1265" s="32">
        <v>44681.561030092591</v>
      </c>
      <c r="W1265" s="32" t="s">
        <v>7476</v>
      </c>
      <c r="X1265">
        <v>0</v>
      </c>
      <c r="Y1265" s="34" t="s">
        <v>7476</v>
      </c>
      <c r="Z1265" s="34" t="s">
        <v>7476</v>
      </c>
      <c r="AA1265" s="34" t="s">
        <v>7476</v>
      </c>
      <c r="AB1265" s="36" t="s">
        <v>7476</v>
      </c>
      <c r="AD1265" t="s">
        <v>3967</v>
      </c>
      <c r="AE1265" t="s">
        <v>3968</v>
      </c>
      <c r="AF1265" s="16">
        <v>44673</v>
      </c>
      <c r="AG1265" t="s">
        <v>64</v>
      </c>
      <c r="AH1265">
        <v>6</v>
      </c>
      <c r="AI1265" s="8">
        <f t="shared" si="476"/>
        <v>11.561030092590954</v>
      </c>
      <c r="AJ1265" s="8">
        <f t="shared" si="477"/>
        <v>7.5610300925909542</v>
      </c>
      <c r="AK1265" s="38">
        <f t="shared" si="467"/>
        <v>44861.561030092591</v>
      </c>
      <c r="AL1265" t="str">
        <f t="shared" si="478"/>
        <v/>
      </c>
      <c r="AM1265">
        <f t="shared" si="479"/>
        <v>12</v>
      </c>
      <c r="AN1265">
        <f t="shared" si="480"/>
        <v>1</v>
      </c>
      <c r="AO1265">
        <f t="shared" si="481"/>
        <v>4</v>
      </c>
      <c r="AP1265">
        <f t="shared" si="482"/>
        <v>0</v>
      </c>
      <c r="AQ1265" t="str">
        <f t="shared" si="483"/>
        <v/>
      </c>
    </row>
    <row r="1266" spans="1:43" x14ac:dyDescent="0.35">
      <c r="A1266">
        <v>2745</v>
      </c>
      <c r="B1266" t="s">
        <v>3969</v>
      </c>
      <c r="C1266" t="s">
        <v>3860</v>
      </c>
      <c r="D1266" t="str">
        <f t="shared" si="465"/>
        <v>Fundraising</v>
      </c>
      <c r="E1266" t="s">
        <v>3934</v>
      </c>
      <c r="F1266" t="s">
        <v>3935</v>
      </c>
      <c r="G1266" t="s">
        <v>3936</v>
      </c>
      <c r="H1266" t="s">
        <v>334</v>
      </c>
      <c r="I1266" s="32">
        <v>44669.561030092591</v>
      </c>
      <c r="J1266" s="32">
        <v>44670.561030092591</v>
      </c>
      <c r="K1266" s="32">
        <v>44675.561030092591</v>
      </c>
      <c r="L1266" s="8">
        <f t="shared" si="466"/>
        <v>6</v>
      </c>
      <c r="M1266" s="7">
        <v>44687.561030092591</v>
      </c>
      <c r="N1266" t="s">
        <v>49</v>
      </c>
      <c r="O1266" s="34">
        <v>44691.561030092591</v>
      </c>
      <c r="P1266" t="s">
        <v>60</v>
      </c>
      <c r="R1266" s="32">
        <v>44697.561030092591</v>
      </c>
      <c r="S1266" t="s">
        <v>61</v>
      </c>
      <c r="T1266" s="34" t="s">
        <v>7476</v>
      </c>
      <c r="U1266" s="34" t="s">
        <v>7476</v>
      </c>
      <c r="V1266" s="32">
        <v>44693.561030092591</v>
      </c>
      <c r="W1266" s="32" t="s">
        <v>7476</v>
      </c>
      <c r="X1266">
        <v>0</v>
      </c>
      <c r="Y1266" s="34" t="s">
        <v>7476</v>
      </c>
      <c r="Z1266" s="34" t="s">
        <v>7476</v>
      </c>
      <c r="AA1266" s="34" t="s">
        <v>7476</v>
      </c>
      <c r="AB1266" s="36" t="s">
        <v>7476</v>
      </c>
      <c r="AD1266" t="s">
        <v>3970</v>
      </c>
      <c r="AE1266" t="s">
        <v>3971</v>
      </c>
      <c r="AF1266" s="16">
        <v>44673</v>
      </c>
      <c r="AG1266" t="s">
        <v>64</v>
      </c>
      <c r="AH1266">
        <v>6</v>
      </c>
      <c r="AI1266" s="8">
        <f t="shared" si="476"/>
        <v>24.561030092590954</v>
      </c>
      <c r="AJ1266" s="8">
        <f t="shared" si="477"/>
        <v>18.561030092590954</v>
      </c>
      <c r="AK1266" s="38">
        <f t="shared" si="467"/>
        <v>44873.561030092591</v>
      </c>
      <c r="AL1266" t="str">
        <f t="shared" si="478"/>
        <v/>
      </c>
      <c r="AM1266">
        <f t="shared" si="479"/>
        <v>27</v>
      </c>
      <c r="AN1266">
        <f t="shared" si="480"/>
        <v>2</v>
      </c>
      <c r="AO1266">
        <f t="shared" si="481"/>
        <v>1</v>
      </c>
      <c r="AP1266">
        <f t="shared" si="482"/>
        <v>0</v>
      </c>
      <c r="AQ1266" t="str">
        <f t="shared" si="483"/>
        <v/>
      </c>
    </row>
    <row r="1267" spans="1:43" x14ac:dyDescent="0.35">
      <c r="A1267">
        <v>2635</v>
      </c>
      <c r="B1267" t="s">
        <v>3972</v>
      </c>
      <c r="C1267" t="s">
        <v>3864</v>
      </c>
      <c r="D1267" t="str">
        <f t="shared" si="465"/>
        <v>Fundraising</v>
      </c>
      <c r="E1267" t="s">
        <v>3934</v>
      </c>
      <c r="F1267" t="s">
        <v>3935</v>
      </c>
      <c r="G1267" t="s">
        <v>3936</v>
      </c>
      <c r="H1267" t="s">
        <v>334</v>
      </c>
      <c r="I1267" s="32">
        <v>44585.196851851862</v>
      </c>
      <c r="J1267" s="32">
        <v>44587.196851851862</v>
      </c>
      <c r="K1267" s="32">
        <v>44588.196851851862</v>
      </c>
      <c r="L1267" s="8">
        <f t="shared" si="466"/>
        <v>3</v>
      </c>
      <c r="M1267" s="7">
        <v>44594.196851851862</v>
      </c>
      <c r="N1267" t="s">
        <v>49</v>
      </c>
      <c r="O1267" s="34">
        <v>44591.196851851862</v>
      </c>
      <c r="P1267" t="s">
        <v>60</v>
      </c>
      <c r="R1267" s="32">
        <v>44596.196851851862</v>
      </c>
      <c r="S1267" t="s">
        <v>61</v>
      </c>
      <c r="T1267" s="34" t="s">
        <v>7476</v>
      </c>
      <c r="U1267" s="34" t="s">
        <v>7476</v>
      </c>
      <c r="V1267" s="32">
        <v>44594.196851851862</v>
      </c>
      <c r="W1267" s="32" t="s">
        <v>7476</v>
      </c>
      <c r="X1267">
        <v>0</v>
      </c>
      <c r="Y1267" s="34" t="s">
        <v>7476</v>
      </c>
      <c r="Z1267" s="34" t="s">
        <v>7476</v>
      </c>
      <c r="AA1267" s="34" t="s">
        <v>7476</v>
      </c>
      <c r="AB1267" s="36" t="s">
        <v>7476</v>
      </c>
      <c r="AD1267" t="s">
        <v>3973</v>
      </c>
      <c r="AE1267" t="s">
        <v>3974</v>
      </c>
      <c r="AF1267" s="16">
        <v>44579</v>
      </c>
      <c r="AG1267" t="s">
        <v>98</v>
      </c>
      <c r="AH1267">
        <v>3</v>
      </c>
      <c r="AI1267" s="8">
        <f t="shared" si="476"/>
        <v>17.196851851862448</v>
      </c>
      <c r="AJ1267" s="8">
        <f t="shared" si="477"/>
        <v>12.196851851862448</v>
      </c>
      <c r="AK1267" s="38">
        <f t="shared" si="467"/>
        <v>44684.196851851862</v>
      </c>
      <c r="AL1267" t="str">
        <f t="shared" si="478"/>
        <v/>
      </c>
      <c r="AM1267">
        <f t="shared" si="479"/>
        <v>9</v>
      </c>
      <c r="AN1267">
        <f t="shared" si="480"/>
        <v>3</v>
      </c>
      <c r="AO1267">
        <f t="shared" si="481"/>
        <v>2</v>
      </c>
      <c r="AP1267">
        <f t="shared" si="482"/>
        <v>0</v>
      </c>
      <c r="AQ1267" t="str">
        <f t="shared" si="483"/>
        <v/>
      </c>
    </row>
    <row r="1268" spans="1:43" x14ac:dyDescent="0.35">
      <c r="A1268">
        <v>2624</v>
      </c>
      <c r="B1268" t="s">
        <v>3975</v>
      </c>
      <c r="C1268" t="s">
        <v>3864</v>
      </c>
      <c r="D1268" t="str">
        <f t="shared" si="465"/>
        <v>Fundraising</v>
      </c>
      <c r="E1268" t="s">
        <v>3934</v>
      </c>
      <c r="F1268" t="s">
        <v>3935</v>
      </c>
      <c r="G1268" t="s">
        <v>3936</v>
      </c>
      <c r="H1268" t="s">
        <v>334</v>
      </c>
      <c r="I1268" s="32">
        <v>45097.668356481481</v>
      </c>
      <c r="J1268" s="32">
        <v>45101.668356481481</v>
      </c>
      <c r="K1268" s="32">
        <v>45102.668356481481</v>
      </c>
      <c r="L1268" s="8">
        <f t="shared" si="466"/>
        <v>5</v>
      </c>
      <c r="M1268" s="7">
        <v>45119.668356481481</v>
      </c>
      <c r="N1268" t="s">
        <v>49</v>
      </c>
      <c r="O1268" s="34">
        <v>45106.668356481481</v>
      </c>
      <c r="P1268" t="s">
        <v>50</v>
      </c>
      <c r="Q1268" t="s">
        <v>236</v>
      </c>
      <c r="R1268" s="32" t="s">
        <v>7472</v>
      </c>
      <c r="S1268" t="s">
        <v>7476</v>
      </c>
      <c r="T1268" s="34" t="s">
        <v>7476</v>
      </c>
      <c r="U1268" s="34" t="s">
        <v>7476</v>
      </c>
      <c r="V1268" s="32">
        <v>45109.668356481481</v>
      </c>
      <c r="W1268" s="32" t="s">
        <v>7476</v>
      </c>
      <c r="X1268">
        <v>0</v>
      </c>
      <c r="Y1268" s="34" t="s">
        <v>7476</v>
      </c>
      <c r="Z1268" s="34" t="s">
        <v>7476</v>
      </c>
      <c r="AA1268" s="34" t="s">
        <v>7476</v>
      </c>
      <c r="AB1268" s="36" t="s">
        <v>95</v>
      </c>
      <c r="AD1268" t="s">
        <v>3976</v>
      </c>
      <c r="AE1268" t="s">
        <v>3977</v>
      </c>
      <c r="AF1268" s="16">
        <v>45091</v>
      </c>
      <c r="AG1268" t="s">
        <v>68</v>
      </c>
      <c r="AH1268">
        <v>6</v>
      </c>
      <c r="AI1268" s="8" t="str">
        <f t="shared" si="476"/>
        <v/>
      </c>
      <c r="AJ1268" s="8">
        <f t="shared" si="477"/>
        <v>15.668356481481169</v>
      </c>
      <c r="AK1268" s="38">
        <f t="shared" si="467"/>
        <v>45289.668356481481</v>
      </c>
      <c r="AL1268" t="str">
        <f t="shared" si="478"/>
        <v/>
      </c>
      <c r="AM1268" t="str">
        <f t="shared" si="479"/>
        <v/>
      </c>
      <c r="AN1268">
        <f t="shared" si="480"/>
        <v>3</v>
      </c>
      <c r="AO1268">
        <f t="shared" si="481"/>
        <v>4</v>
      </c>
      <c r="AP1268">
        <f t="shared" si="482"/>
        <v>0</v>
      </c>
      <c r="AQ1268" t="str">
        <f t="shared" si="483"/>
        <v/>
      </c>
    </row>
    <row r="1269" spans="1:43" x14ac:dyDescent="0.35">
      <c r="A1269">
        <v>2618</v>
      </c>
      <c r="B1269" t="s">
        <v>3978</v>
      </c>
      <c r="C1269" t="s">
        <v>3860</v>
      </c>
      <c r="D1269" t="str">
        <f t="shared" si="465"/>
        <v>Fundraising</v>
      </c>
      <c r="E1269" t="s">
        <v>3934</v>
      </c>
      <c r="F1269" t="s">
        <v>3935</v>
      </c>
      <c r="G1269" t="s">
        <v>3936</v>
      </c>
      <c r="H1269" t="s">
        <v>334</v>
      </c>
      <c r="I1269" s="32" t="s">
        <v>7471</v>
      </c>
      <c r="J1269" s="32">
        <v>44932.379525462973</v>
      </c>
      <c r="K1269" s="32">
        <v>44936.379525462973</v>
      </c>
      <c r="L1269" s="8" t="str">
        <f t="shared" si="466"/>
        <v/>
      </c>
      <c r="M1269" s="7">
        <v>44956.379525462973</v>
      </c>
      <c r="N1269" t="s">
        <v>49</v>
      </c>
      <c r="O1269" s="34">
        <v>44942.379525462973</v>
      </c>
      <c r="P1269" t="s">
        <v>60</v>
      </c>
      <c r="R1269" s="32">
        <v>44948.379525462973</v>
      </c>
      <c r="S1269" t="s">
        <v>61</v>
      </c>
      <c r="T1269" s="34" t="s">
        <v>7476</v>
      </c>
      <c r="U1269" s="34" t="s">
        <v>7476</v>
      </c>
      <c r="V1269" s="32">
        <v>44946.379525462973</v>
      </c>
      <c r="W1269" s="32" t="s">
        <v>7476</v>
      </c>
      <c r="X1269">
        <v>0</v>
      </c>
      <c r="Y1269" s="34" t="s">
        <v>7476</v>
      </c>
      <c r="Z1269" s="34" t="s">
        <v>7476</v>
      </c>
      <c r="AA1269" s="34" t="s">
        <v>7476</v>
      </c>
      <c r="AB1269" s="36" t="s">
        <v>7476</v>
      </c>
      <c r="AD1269" t="s">
        <v>3979</v>
      </c>
      <c r="AE1269" t="s">
        <v>3980</v>
      </c>
      <c r="AF1269" s="16">
        <v>44932</v>
      </c>
      <c r="AG1269" t="s">
        <v>98</v>
      </c>
      <c r="AH1269">
        <v>3</v>
      </c>
      <c r="AK1269" s="38">
        <f t="shared" si="467"/>
        <v>45036.379525462973</v>
      </c>
    </row>
    <row r="1270" spans="1:43" x14ac:dyDescent="0.35">
      <c r="A1270">
        <v>2617</v>
      </c>
      <c r="B1270" t="s">
        <v>3981</v>
      </c>
      <c r="C1270" t="s">
        <v>3864</v>
      </c>
      <c r="D1270" t="str">
        <f t="shared" si="465"/>
        <v>Fundraising</v>
      </c>
      <c r="E1270" t="s">
        <v>3934</v>
      </c>
      <c r="F1270" t="s">
        <v>3935</v>
      </c>
      <c r="G1270" t="s">
        <v>3936</v>
      </c>
      <c r="H1270" t="s">
        <v>334</v>
      </c>
      <c r="I1270" s="32">
        <v>44931.379525462973</v>
      </c>
      <c r="J1270" s="32">
        <v>44935.379525462973</v>
      </c>
      <c r="K1270" s="32">
        <v>44936.379525462973</v>
      </c>
      <c r="L1270" s="8">
        <f t="shared" si="466"/>
        <v>5</v>
      </c>
      <c r="M1270" s="7">
        <v>44954.379525462973</v>
      </c>
      <c r="N1270" t="s">
        <v>49</v>
      </c>
      <c r="O1270" s="34">
        <v>44952.379525462973</v>
      </c>
      <c r="P1270" t="s">
        <v>60</v>
      </c>
      <c r="R1270" s="32">
        <v>44957.379525462973</v>
      </c>
      <c r="S1270" t="s">
        <v>61</v>
      </c>
      <c r="T1270" s="34" t="s">
        <v>7476</v>
      </c>
      <c r="U1270" s="34" t="s">
        <v>7476</v>
      </c>
      <c r="V1270" s="32">
        <v>44956.379525462973</v>
      </c>
      <c r="W1270" s="32" t="s">
        <v>7476</v>
      </c>
      <c r="X1270">
        <v>0</v>
      </c>
      <c r="Y1270" s="34" t="s">
        <v>7476</v>
      </c>
      <c r="Z1270" s="34" t="s">
        <v>7476</v>
      </c>
      <c r="AA1270" s="34" t="s">
        <v>7476</v>
      </c>
      <c r="AB1270" s="36" t="s">
        <v>7476</v>
      </c>
      <c r="AD1270" t="s">
        <v>3982</v>
      </c>
      <c r="AE1270" t="s">
        <v>3983</v>
      </c>
      <c r="AF1270" s="16">
        <v>44945</v>
      </c>
      <c r="AG1270" t="s">
        <v>98</v>
      </c>
      <c r="AH1270">
        <v>3</v>
      </c>
      <c r="AI1270" s="8">
        <f t="shared" ref="AI1270:AI1280" si="484">IFERROR(R1270-AF1270,"")</f>
        <v>12.379525462973106</v>
      </c>
      <c r="AJ1270" s="8">
        <f t="shared" ref="AJ1270:AJ1280" si="485">IFERROR(O1270-AF1270,"")</f>
        <v>7.3795254629731062</v>
      </c>
      <c r="AK1270" s="38">
        <f t="shared" si="467"/>
        <v>45046.379525462973</v>
      </c>
      <c r="AL1270" t="str">
        <f t="shared" ref="AL1270:AL1280" si="486">IFERROR(Z1270-W1270,"")</f>
        <v/>
      </c>
      <c r="AM1270">
        <f t="shared" ref="AM1270:AM1280" si="487">IFERROR(R1270-J1270,"")</f>
        <v>22</v>
      </c>
      <c r="AN1270">
        <f t="shared" ref="AN1270:AN1280" si="488">IFERROR(V1270-O1270,"")</f>
        <v>4</v>
      </c>
      <c r="AO1270">
        <f t="shared" ref="AO1270:AO1280" si="489">IFERROR(J1270-I1270,"")</f>
        <v>4</v>
      </c>
      <c r="AP1270">
        <f t="shared" ref="AP1270:AP1280" si="490">IFERROR(AC1270-X1270,"")</f>
        <v>0</v>
      </c>
      <c r="AQ1270" t="str">
        <f t="shared" ref="AQ1270:AQ1280" si="491">IFERROR(AA1270-W1270,"")</f>
        <v/>
      </c>
    </row>
    <row r="1271" spans="1:43" x14ac:dyDescent="0.35">
      <c r="A1271">
        <v>2597</v>
      </c>
      <c r="B1271" t="s">
        <v>3984</v>
      </c>
      <c r="C1271" t="s">
        <v>3864</v>
      </c>
      <c r="D1271" t="str">
        <f t="shared" si="465"/>
        <v>Fundraising</v>
      </c>
      <c r="E1271" t="s">
        <v>3934</v>
      </c>
      <c r="F1271" t="s">
        <v>3935</v>
      </c>
      <c r="G1271" t="s">
        <v>3936</v>
      </c>
      <c r="H1271" t="s">
        <v>334</v>
      </c>
      <c r="I1271" s="32">
        <v>44944.403136574067</v>
      </c>
      <c r="J1271" s="32">
        <v>44947.403136574067</v>
      </c>
      <c r="K1271" s="32">
        <v>44952.403136574067</v>
      </c>
      <c r="L1271" s="8">
        <f t="shared" si="466"/>
        <v>8</v>
      </c>
      <c r="M1271" s="7">
        <v>44975.403136574067</v>
      </c>
      <c r="N1271" t="s">
        <v>49</v>
      </c>
      <c r="O1271" s="34">
        <v>44967.403136574067</v>
      </c>
      <c r="P1271" t="s">
        <v>50</v>
      </c>
      <c r="Q1271" t="s">
        <v>51</v>
      </c>
      <c r="R1271" s="32" t="s">
        <v>7472</v>
      </c>
      <c r="S1271" t="s">
        <v>7476</v>
      </c>
      <c r="T1271" s="34" t="s">
        <v>7476</v>
      </c>
      <c r="U1271" s="34" t="s">
        <v>7476</v>
      </c>
      <c r="V1271" s="32" t="s">
        <v>7476</v>
      </c>
      <c r="W1271" s="32" t="s">
        <v>7476</v>
      </c>
      <c r="X1271">
        <v>0</v>
      </c>
      <c r="Y1271" s="34" t="s">
        <v>7476</v>
      </c>
      <c r="Z1271" s="34" t="s">
        <v>7476</v>
      </c>
      <c r="AA1271" s="34" t="s">
        <v>7476</v>
      </c>
      <c r="AB1271" s="36" t="s">
        <v>95</v>
      </c>
      <c r="AD1271" t="s">
        <v>3985</v>
      </c>
      <c r="AE1271" t="s">
        <v>3986</v>
      </c>
      <c r="AF1271" s="16">
        <v>44957</v>
      </c>
      <c r="AG1271" t="s">
        <v>68</v>
      </c>
      <c r="AH1271">
        <v>6</v>
      </c>
      <c r="AI1271" s="8" t="str">
        <f t="shared" si="484"/>
        <v/>
      </c>
      <c r="AJ1271" s="8">
        <f t="shared" si="485"/>
        <v>10.403136574066593</v>
      </c>
      <c r="AK1271" s="38" t="str">
        <f t="shared" si="467"/>
        <v/>
      </c>
      <c r="AL1271" t="str">
        <f t="shared" si="486"/>
        <v/>
      </c>
      <c r="AM1271" t="str">
        <f t="shared" si="487"/>
        <v/>
      </c>
      <c r="AN1271" t="str">
        <f t="shared" si="488"/>
        <v/>
      </c>
      <c r="AO1271">
        <f t="shared" si="489"/>
        <v>3</v>
      </c>
      <c r="AP1271">
        <f t="shared" si="490"/>
        <v>0</v>
      </c>
      <c r="AQ1271" t="str">
        <f t="shared" si="491"/>
        <v/>
      </c>
    </row>
    <row r="1272" spans="1:43" x14ac:dyDescent="0.35">
      <c r="A1272">
        <v>2593</v>
      </c>
      <c r="B1272" t="s">
        <v>3987</v>
      </c>
      <c r="C1272" t="s">
        <v>3854</v>
      </c>
      <c r="D1272" t="str">
        <f t="shared" si="465"/>
        <v>Fundraising</v>
      </c>
      <c r="E1272" t="s">
        <v>3934</v>
      </c>
      <c r="F1272" t="s">
        <v>3935</v>
      </c>
      <c r="G1272" t="s">
        <v>3936</v>
      </c>
      <c r="H1272" t="s">
        <v>334</v>
      </c>
      <c r="I1272" s="32">
        <v>44945.403136574067</v>
      </c>
      <c r="J1272" s="32">
        <v>44949.403136574067</v>
      </c>
      <c r="K1272" s="32">
        <v>44952.403136574067</v>
      </c>
      <c r="L1272" s="8">
        <f t="shared" si="466"/>
        <v>7</v>
      </c>
      <c r="M1272" s="7">
        <v>44958.403136574067</v>
      </c>
      <c r="N1272" t="s">
        <v>49</v>
      </c>
      <c r="O1272" s="34">
        <v>44956.403136574067</v>
      </c>
      <c r="P1272" t="s">
        <v>50</v>
      </c>
      <c r="Q1272" t="s">
        <v>51</v>
      </c>
      <c r="R1272" s="32" t="s">
        <v>7472</v>
      </c>
      <c r="S1272" t="s">
        <v>7476</v>
      </c>
      <c r="T1272" s="34" t="s">
        <v>7476</v>
      </c>
      <c r="U1272" s="34" t="s">
        <v>7476</v>
      </c>
      <c r="V1272" s="32">
        <v>44958.403136574067</v>
      </c>
      <c r="W1272" s="32" t="s">
        <v>7476</v>
      </c>
      <c r="X1272">
        <v>0</v>
      </c>
      <c r="Y1272" s="34" t="s">
        <v>7476</v>
      </c>
      <c r="Z1272" s="34" t="s">
        <v>7476</v>
      </c>
      <c r="AA1272" s="34" t="s">
        <v>7476</v>
      </c>
      <c r="AB1272" s="36" t="s">
        <v>52</v>
      </c>
      <c r="AD1272" t="s">
        <v>3988</v>
      </c>
      <c r="AE1272" t="s">
        <v>3989</v>
      </c>
      <c r="AF1272" s="16">
        <v>44950</v>
      </c>
      <c r="AG1272" t="s">
        <v>68</v>
      </c>
      <c r="AH1272">
        <v>3</v>
      </c>
      <c r="AI1272" s="8" t="str">
        <f t="shared" si="484"/>
        <v/>
      </c>
      <c r="AJ1272" s="8">
        <f t="shared" si="485"/>
        <v>6.4031365740665933</v>
      </c>
      <c r="AK1272" s="38">
        <f t="shared" si="467"/>
        <v>45048.403136574067</v>
      </c>
      <c r="AL1272" t="str">
        <f t="shared" si="486"/>
        <v/>
      </c>
      <c r="AM1272" t="str">
        <f t="shared" si="487"/>
        <v/>
      </c>
      <c r="AN1272">
        <f t="shared" si="488"/>
        <v>2</v>
      </c>
      <c r="AO1272">
        <f t="shared" si="489"/>
        <v>4</v>
      </c>
      <c r="AP1272">
        <f t="shared" si="490"/>
        <v>0</v>
      </c>
      <c r="AQ1272" t="str">
        <f t="shared" si="491"/>
        <v/>
      </c>
    </row>
    <row r="1273" spans="1:43" x14ac:dyDescent="0.35">
      <c r="A1273">
        <v>2574</v>
      </c>
      <c r="B1273" t="s">
        <v>3990</v>
      </c>
      <c r="C1273" t="s">
        <v>3864</v>
      </c>
      <c r="D1273" t="str">
        <f t="shared" si="465"/>
        <v>Fundraising</v>
      </c>
      <c r="E1273" t="s">
        <v>3934</v>
      </c>
      <c r="F1273" t="s">
        <v>3935</v>
      </c>
      <c r="G1273" t="s">
        <v>3936</v>
      </c>
      <c r="H1273" t="s">
        <v>334</v>
      </c>
      <c r="I1273" s="32">
        <v>44638.718425925923</v>
      </c>
      <c r="J1273" s="32">
        <v>44641.718425925923</v>
      </c>
      <c r="K1273" s="32">
        <v>44645.718425925923</v>
      </c>
      <c r="L1273" s="8">
        <f t="shared" si="466"/>
        <v>7</v>
      </c>
      <c r="M1273" s="7">
        <v>44668.718425925923</v>
      </c>
      <c r="N1273" t="s">
        <v>49</v>
      </c>
      <c r="O1273" s="34">
        <v>44650.718425925923</v>
      </c>
      <c r="P1273" t="s">
        <v>50</v>
      </c>
      <c r="Q1273" t="s">
        <v>125</v>
      </c>
      <c r="R1273" s="32" t="s">
        <v>7472</v>
      </c>
      <c r="S1273" t="s">
        <v>7476</v>
      </c>
      <c r="T1273" s="34" t="s">
        <v>7476</v>
      </c>
      <c r="U1273" s="34" t="s">
        <v>7476</v>
      </c>
      <c r="V1273" s="32">
        <v>44654.718425925923</v>
      </c>
      <c r="W1273" s="32" t="s">
        <v>7476</v>
      </c>
      <c r="X1273">
        <v>0</v>
      </c>
      <c r="Y1273" s="34" t="s">
        <v>7476</v>
      </c>
      <c r="Z1273" s="34" t="s">
        <v>7476</v>
      </c>
      <c r="AA1273" s="34" t="s">
        <v>7476</v>
      </c>
      <c r="AB1273" s="36" t="s">
        <v>52</v>
      </c>
      <c r="AD1273" t="s">
        <v>3991</v>
      </c>
      <c r="AE1273" t="s">
        <v>3992</v>
      </c>
      <c r="AF1273" s="16">
        <v>44641</v>
      </c>
      <c r="AG1273" t="s">
        <v>98</v>
      </c>
      <c r="AH1273">
        <v>3</v>
      </c>
      <c r="AI1273" s="8" t="str">
        <f t="shared" si="484"/>
        <v/>
      </c>
      <c r="AJ1273" s="8">
        <f t="shared" si="485"/>
        <v>9.7184259259229293</v>
      </c>
      <c r="AK1273" s="38">
        <f t="shared" si="467"/>
        <v>44744.718425925923</v>
      </c>
      <c r="AL1273" t="str">
        <f t="shared" si="486"/>
        <v/>
      </c>
      <c r="AM1273" t="str">
        <f t="shared" si="487"/>
        <v/>
      </c>
      <c r="AN1273">
        <f t="shared" si="488"/>
        <v>4</v>
      </c>
      <c r="AO1273">
        <f t="shared" si="489"/>
        <v>3</v>
      </c>
      <c r="AP1273">
        <f t="shared" si="490"/>
        <v>0</v>
      </c>
      <c r="AQ1273" t="str">
        <f t="shared" si="491"/>
        <v/>
      </c>
    </row>
    <row r="1274" spans="1:43" x14ac:dyDescent="0.35">
      <c r="A1274">
        <v>2429</v>
      </c>
      <c r="B1274" t="s">
        <v>3993</v>
      </c>
      <c r="C1274" t="s">
        <v>3860</v>
      </c>
      <c r="D1274" t="str">
        <f t="shared" si="465"/>
        <v>Fundraising</v>
      </c>
      <c r="E1274" t="s">
        <v>3934</v>
      </c>
      <c r="F1274" t="s">
        <v>3935</v>
      </c>
      <c r="G1274" t="s">
        <v>3936</v>
      </c>
      <c r="H1274" t="s">
        <v>334</v>
      </c>
      <c r="I1274" s="32">
        <v>44832.25509259259</v>
      </c>
      <c r="J1274" s="32">
        <v>44835.25509259259</v>
      </c>
      <c r="K1274" s="32">
        <v>44841.25509259259</v>
      </c>
      <c r="L1274" s="8">
        <f t="shared" si="466"/>
        <v>9</v>
      </c>
      <c r="M1274" s="7">
        <v>44853.25509259259</v>
      </c>
      <c r="N1274" t="s">
        <v>49</v>
      </c>
      <c r="O1274" s="34">
        <v>44848.25509259259</v>
      </c>
      <c r="P1274" t="s">
        <v>50</v>
      </c>
      <c r="Q1274" t="s">
        <v>198</v>
      </c>
      <c r="R1274" s="32" t="s">
        <v>7472</v>
      </c>
      <c r="S1274" t="s">
        <v>7476</v>
      </c>
      <c r="T1274" s="34" t="s">
        <v>7476</v>
      </c>
      <c r="U1274" s="34" t="s">
        <v>7476</v>
      </c>
      <c r="V1274" s="32">
        <v>44851.25509259259</v>
      </c>
      <c r="W1274" s="32" t="s">
        <v>7476</v>
      </c>
      <c r="X1274">
        <v>0</v>
      </c>
      <c r="Y1274" s="34" t="s">
        <v>7476</v>
      </c>
      <c r="Z1274" s="34" t="s">
        <v>7476</v>
      </c>
      <c r="AA1274" s="34" t="s">
        <v>7476</v>
      </c>
      <c r="AB1274" s="36" t="s">
        <v>52</v>
      </c>
      <c r="AD1274" t="s">
        <v>3994</v>
      </c>
      <c r="AE1274" t="s">
        <v>3995</v>
      </c>
      <c r="AF1274" s="16">
        <v>44833</v>
      </c>
      <c r="AG1274" t="s">
        <v>98</v>
      </c>
      <c r="AH1274">
        <v>6</v>
      </c>
      <c r="AI1274" s="8" t="str">
        <f t="shared" si="484"/>
        <v/>
      </c>
      <c r="AJ1274" s="8">
        <f t="shared" si="485"/>
        <v>15.25509259258979</v>
      </c>
      <c r="AK1274" s="38">
        <f t="shared" si="467"/>
        <v>45031.25509259259</v>
      </c>
      <c r="AL1274" t="str">
        <f t="shared" si="486"/>
        <v/>
      </c>
      <c r="AM1274" t="str">
        <f t="shared" si="487"/>
        <v/>
      </c>
      <c r="AN1274">
        <f t="shared" si="488"/>
        <v>3</v>
      </c>
      <c r="AO1274">
        <f t="shared" si="489"/>
        <v>3</v>
      </c>
      <c r="AP1274">
        <f t="shared" si="490"/>
        <v>0</v>
      </c>
      <c r="AQ1274" t="str">
        <f t="shared" si="491"/>
        <v/>
      </c>
    </row>
    <row r="1275" spans="1:43" x14ac:dyDescent="0.35">
      <c r="A1275">
        <v>2424</v>
      </c>
      <c r="B1275" t="s">
        <v>3996</v>
      </c>
      <c r="C1275" t="s">
        <v>3854</v>
      </c>
      <c r="D1275" t="str">
        <f t="shared" si="465"/>
        <v>Fundraising</v>
      </c>
      <c r="E1275" t="s">
        <v>3934</v>
      </c>
      <c r="F1275" t="s">
        <v>3935</v>
      </c>
      <c r="G1275" t="s">
        <v>3936</v>
      </c>
      <c r="H1275" t="s">
        <v>334</v>
      </c>
      <c r="I1275" s="32">
        <v>44832.25509259259</v>
      </c>
      <c r="J1275" s="32">
        <v>44835.25509259259</v>
      </c>
      <c r="K1275" s="32">
        <v>44841.25509259259</v>
      </c>
      <c r="L1275" s="8">
        <f t="shared" si="466"/>
        <v>9</v>
      </c>
      <c r="M1275" s="7">
        <v>44846.25509259259</v>
      </c>
      <c r="N1275" t="s">
        <v>49</v>
      </c>
      <c r="O1275" s="34">
        <v>44850.25509259259</v>
      </c>
      <c r="P1275" t="s">
        <v>50</v>
      </c>
      <c r="Q1275" t="s">
        <v>236</v>
      </c>
      <c r="R1275" s="32" t="s">
        <v>7472</v>
      </c>
      <c r="S1275" t="s">
        <v>7476</v>
      </c>
      <c r="T1275" s="34" t="s">
        <v>7476</v>
      </c>
      <c r="U1275" s="34" t="s">
        <v>7476</v>
      </c>
      <c r="V1275" s="32" t="s">
        <v>7476</v>
      </c>
      <c r="W1275" s="32" t="s">
        <v>7476</v>
      </c>
      <c r="X1275">
        <v>0</v>
      </c>
      <c r="Y1275" s="34" t="s">
        <v>7476</v>
      </c>
      <c r="Z1275" s="34" t="s">
        <v>7476</v>
      </c>
      <c r="AA1275" s="34" t="s">
        <v>7476</v>
      </c>
      <c r="AB1275" s="36" t="s">
        <v>52</v>
      </c>
      <c r="AD1275" t="s">
        <v>3997</v>
      </c>
      <c r="AE1275" t="s">
        <v>3998</v>
      </c>
      <c r="AF1275" s="16">
        <v>44834</v>
      </c>
      <c r="AG1275" t="s">
        <v>68</v>
      </c>
      <c r="AH1275">
        <v>6</v>
      </c>
      <c r="AI1275" s="8" t="str">
        <f t="shared" si="484"/>
        <v/>
      </c>
      <c r="AJ1275" s="8">
        <f t="shared" si="485"/>
        <v>16.25509259258979</v>
      </c>
      <c r="AK1275" s="38" t="str">
        <f t="shared" si="467"/>
        <v/>
      </c>
      <c r="AL1275" t="str">
        <f t="shared" si="486"/>
        <v/>
      </c>
      <c r="AM1275" t="str">
        <f t="shared" si="487"/>
        <v/>
      </c>
      <c r="AN1275" t="str">
        <f t="shared" si="488"/>
        <v/>
      </c>
      <c r="AO1275">
        <f t="shared" si="489"/>
        <v>3</v>
      </c>
      <c r="AP1275">
        <f t="shared" si="490"/>
        <v>0</v>
      </c>
      <c r="AQ1275" t="str">
        <f t="shared" si="491"/>
        <v/>
      </c>
    </row>
    <row r="1276" spans="1:43" x14ac:dyDescent="0.35">
      <c r="A1276">
        <v>2400</v>
      </c>
      <c r="B1276" t="s">
        <v>3999</v>
      </c>
      <c r="C1276" t="s">
        <v>3864</v>
      </c>
      <c r="D1276" t="str">
        <f t="shared" si="465"/>
        <v>Fundraising</v>
      </c>
      <c r="E1276" t="s">
        <v>3934</v>
      </c>
      <c r="F1276" t="s">
        <v>3935</v>
      </c>
      <c r="G1276" t="s">
        <v>3936</v>
      </c>
      <c r="H1276" t="s">
        <v>334</v>
      </c>
      <c r="I1276" s="32">
        <v>45125.731192129628</v>
      </c>
      <c r="J1276" s="32">
        <v>45126.731192129628</v>
      </c>
      <c r="K1276" s="32">
        <v>45131.731192129628</v>
      </c>
      <c r="L1276" s="8">
        <f t="shared" si="466"/>
        <v>6</v>
      </c>
      <c r="M1276" s="7">
        <v>45145.731192129628</v>
      </c>
      <c r="N1276" t="s">
        <v>49</v>
      </c>
      <c r="O1276" s="34">
        <v>45137.731192129628</v>
      </c>
      <c r="P1276" t="s">
        <v>50</v>
      </c>
      <c r="Q1276" t="s">
        <v>84</v>
      </c>
      <c r="R1276" s="32" t="s">
        <v>7472</v>
      </c>
      <c r="S1276" t="s">
        <v>7476</v>
      </c>
      <c r="T1276" s="34" t="s">
        <v>7476</v>
      </c>
      <c r="U1276" s="34" t="s">
        <v>7476</v>
      </c>
      <c r="V1276" s="32">
        <v>45139.731192129628</v>
      </c>
      <c r="W1276" s="32" t="s">
        <v>7476</v>
      </c>
      <c r="X1276">
        <v>0</v>
      </c>
      <c r="Y1276" s="34" t="s">
        <v>7476</v>
      </c>
      <c r="Z1276" s="34" t="s">
        <v>7476</v>
      </c>
      <c r="AA1276" s="34" t="s">
        <v>7476</v>
      </c>
      <c r="AB1276" s="36" t="s">
        <v>52</v>
      </c>
      <c r="AD1276" t="s">
        <v>4000</v>
      </c>
      <c r="AE1276" t="s">
        <v>4001</v>
      </c>
      <c r="AF1276" s="16">
        <v>45124</v>
      </c>
      <c r="AG1276" t="s">
        <v>68</v>
      </c>
      <c r="AH1276">
        <v>6</v>
      </c>
      <c r="AI1276" s="8" t="str">
        <f t="shared" si="484"/>
        <v/>
      </c>
      <c r="AJ1276" s="8">
        <f t="shared" si="485"/>
        <v>13.731192129627743</v>
      </c>
      <c r="AK1276" s="38">
        <f t="shared" si="467"/>
        <v>45319.731192129628</v>
      </c>
      <c r="AL1276" t="str">
        <f t="shared" si="486"/>
        <v/>
      </c>
      <c r="AM1276" t="str">
        <f t="shared" si="487"/>
        <v/>
      </c>
      <c r="AN1276">
        <f t="shared" si="488"/>
        <v>2</v>
      </c>
      <c r="AO1276">
        <f t="shared" si="489"/>
        <v>1</v>
      </c>
      <c r="AP1276">
        <f t="shared" si="490"/>
        <v>0</v>
      </c>
      <c r="AQ1276" t="str">
        <f t="shared" si="491"/>
        <v/>
      </c>
    </row>
    <row r="1277" spans="1:43" x14ac:dyDescent="0.35">
      <c r="A1277">
        <v>2392</v>
      </c>
      <c r="B1277" t="s">
        <v>4002</v>
      </c>
      <c r="C1277" t="s">
        <v>3854</v>
      </c>
      <c r="D1277" t="str">
        <f t="shared" si="465"/>
        <v>Fundraising</v>
      </c>
      <c r="E1277" t="s">
        <v>3934</v>
      </c>
      <c r="F1277" t="s">
        <v>3935</v>
      </c>
      <c r="G1277" t="s">
        <v>3936</v>
      </c>
      <c r="H1277" t="s">
        <v>334</v>
      </c>
      <c r="I1277" s="32">
        <v>45122.731192129628</v>
      </c>
      <c r="J1277" s="32">
        <v>45125.731192129628</v>
      </c>
      <c r="K1277" s="32">
        <v>45131.731192129628</v>
      </c>
      <c r="L1277" s="8">
        <f t="shared" si="466"/>
        <v>9</v>
      </c>
      <c r="M1277" s="7">
        <v>45159.731192129628</v>
      </c>
      <c r="N1277" t="s">
        <v>49</v>
      </c>
      <c r="O1277" s="34">
        <v>45143.731192129628</v>
      </c>
      <c r="P1277" t="s">
        <v>50</v>
      </c>
      <c r="Q1277" t="s">
        <v>236</v>
      </c>
      <c r="R1277" s="32" t="s">
        <v>7472</v>
      </c>
      <c r="S1277" t="s">
        <v>7476</v>
      </c>
      <c r="T1277" s="34" t="s">
        <v>7476</v>
      </c>
      <c r="U1277" s="34" t="s">
        <v>7476</v>
      </c>
      <c r="V1277" s="32" t="s">
        <v>7476</v>
      </c>
      <c r="W1277" s="32" t="s">
        <v>7476</v>
      </c>
      <c r="X1277">
        <v>0</v>
      </c>
      <c r="Y1277" s="34" t="s">
        <v>7476</v>
      </c>
      <c r="Z1277" s="34" t="s">
        <v>7476</v>
      </c>
      <c r="AA1277" s="34" t="s">
        <v>7476</v>
      </c>
      <c r="AB1277" s="36" t="s">
        <v>95</v>
      </c>
      <c r="AD1277" t="s">
        <v>4003</v>
      </c>
      <c r="AE1277" t="s">
        <v>4004</v>
      </c>
      <c r="AF1277" s="16">
        <v>45128</v>
      </c>
      <c r="AG1277" t="s">
        <v>68</v>
      </c>
      <c r="AH1277">
        <v>6</v>
      </c>
      <c r="AI1277" s="8" t="str">
        <f t="shared" si="484"/>
        <v/>
      </c>
      <c r="AJ1277" s="8">
        <f t="shared" si="485"/>
        <v>15.731192129627743</v>
      </c>
      <c r="AK1277" s="38" t="str">
        <f t="shared" si="467"/>
        <v/>
      </c>
      <c r="AL1277" t="str">
        <f t="shared" si="486"/>
        <v/>
      </c>
      <c r="AM1277" t="str">
        <f t="shared" si="487"/>
        <v/>
      </c>
      <c r="AN1277" t="str">
        <f t="shared" si="488"/>
        <v/>
      </c>
      <c r="AO1277">
        <f t="shared" si="489"/>
        <v>3</v>
      </c>
      <c r="AP1277">
        <f t="shared" si="490"/>
        <v>0</v>
      </c>
      <c r="AQ1277" t="str">
        <f t="shared" si="491"/>
        <v/>
      </c>
    </row>
    <row r="1278" spans="1:43" x14ac:dyDescent="0.35">
      <c r="A1278">
        <v>2391</v>
      </c>
      <c r="B1278" t="s">
        <v>4005</v>
      </c>
      <c r="C1278" t="s">
        <v>3864</v>
      </c>
      <c r="D1278" t="str">
        <f t="shared" si="465"/>
        <v>Fundraising</v>
      </c>
      <c r="E1278" t="s">
        <v>3934</v>
      </c>
      <c r="F1278" t="s">
        <v>3935</v>
      </c>
      <c r="G1278" t="s">
        <v>3936</v>
      </c>
      <c r="H1278" t="s">
        <v>334</v>
      </c>
      <c r="I1278" s="32">
        <v>45127.731192129628</v>
      </c>
      <c r="J1278" s="32">
        <v>45129.731192129628</v>
      </c>
      <c r="K1278" s="32">
        <v>45131.731192129628</v>
      </c>
      <c r="L1278" s="8">
        <f t="shared" si="466"/>
        <v>4</v>
      </c>
      <c r="M1278" s="7">
        <v>45146.731192129628</v>
      </c>
      <c r="N1278" t="s">
        <v>49</v>
      </c>
      <c r="O1278" s="34">
        <v>45147.731192129628</v>
      </c>
      <c r="P1278" t="s">
        <v>60</v>
      </c>
      <c r="R1278" s="32">
        <v>45151.731192129628</v>
      </c>
      <c r="S1278" t="s">
        <v>61</v>
      </c>
      <c r="T1278" s="34" t="s">
        <v>7476</v>
      </c>
      <c r="U1278" s="34" t="s">
        <v>7476</v>
      </c>
      <c r="V1278" s="32">
        <v>45150.731192129628</v>
      </c>
      <c r="W1278" s="32" t="s">
        <v>7476</v>
      </c>
      <c r="X1278">
        <v>0</v>
      </c>
      <c r="Y1278" s="34" t="s">
        <v>7476</v>
      </c>
      <c r="Z1278" s="34" t="s">
        <v>7476</v>
      </c>
      <c r="AA1278" s="34" t="s">
        <v>7476</v>
      </c>
      <c r="AB1278" s="36" t="s">
        <v>7476</v>
      </c>
      <c r="AD1278" t="s">
        <v>4006</v>
      </c>
      <c r="AE1278" t="s">
        <v>4007</v>
      </c>
      <c r="AF1278" s="16">
        <v>45129</v>
      </c>
      <c r="AG1278" t="s">
        <v>64</v>
      </c>
      <c r="AH1278">
        <v>3</v>
      </c>
      <c r="AI1278" s="8">
        <f t="shared" si="484"/>
        <v>22.731192129627743</v>
      </c>
      <c r="AJ1278" s="8">
        <f t="shared" si="485"/>
        <v>18.731192129627743</v>
      </c>
      <c r="AK1278" s="38">
        <f t="shared" si="467"/>
        <v>45240.731192129628</v>
      </c>
      <c r="AL1278" t="str">
        <f t="shared" si="486"/>
        <v/>
      </c>
      <c r="AM1278">
        <f t="shared" si="487"/>
        <v>22</v>
      </c>
      <c r="AN1278">
        <f t="shared" si="488"/>
        <v>3</v>
      </c>
      <c r="AO1278">
        <f t="shared" si="489"/>
        <v>2</v>
      </c>
      <c r="AP1278">
        <f t="shared" si="490"/>
        <v>0</v>
      </c>
      <c r="AQ1278" t="str">
        <f t="shared" si="491"/>
        <v/>
      </c>
    </row>
    <row r="1279" spans="1:43" x14ac:dyDescent="0.35">
      <c r="A1279">
        <v>2040</v>
      </c>
      <c r="B1279" t="s">
        <v>4008</v>
      </c>
      <c r="C1279" t="s">
        <v>3864</v>
      </c>
      <c r="D1279" t="str">
        <f t="shared" si="465"/>
        <v>Fundraising</v>
      </c>
      <c r="E1279" t="s">
        <v>3934</v>
      </c>
      <c r="F1279" t="s">
        <v>3935</v>
      </c>
      <c r="G1279" t="s">
        <v>3936</v>
      </c>
      <c r="H1279" t="s">
        <v>334</v>
      </c>
      <c r="I1279" s="32">
        <v>44647.861122685194</v>
      </c>
      <c r="J1279" s="32">
        <v>44650.861122685194</v>
      </c>
      <c r="K1279" s="32">
        <v>44652.861122685194</v>
      </c>
      <c r="L1279" s="8">
        <f t="shared" si="466"/>
        <v>5</v>
      </c>
      <c r="M1279" s="7">
        <v>44668.861122685194</v>
      </c>
      <c r="N1279" t="s">
        <v>49</v>
      </c>
      <c r="O1279" s="34">
        <v>44657.861122685194</v>
      </c>
      <c r="P1279" t="s">
        <v>50</v>
      </c>
      <c r="Q1279" t="s">
        <v>51</v>
      </c>
      <c r="R1279" s="32" t="s">
        <v>7472</v>
      </c>
      <c r="S1279" t="s">
        <v>7476</v>
      </c>
      <c r="T1279" s="34" t="s">
        <v>7476</v>
      </c>
      <c r="U1279" s="34" t="s">
        <v>7476</v>
      </c>
      <c r="V1279" s="32" t="s">
        <v>7476</v>
      </c>
      <c r="W1279" s="32" t="s">
        <v>7476</v>
      </c>
      <c r="X1279">
        <v>0</v>
      </c>
      <c r="Y1279" s="34" t="s">
        <v>7476</v>
      </c>
      <c r="Z1279" s="34" t="s">
        <v>7476</v>
      </c>
      <c r="AA1279" s="34" t="s">
        <v>7476</v>
      </c>
      <c r="AB1279" s="36" t="s">
        <v>95</v>
      </c>
      <c r="AD1279" t="s">
        <v>4009</v>
      </c>
      <c r="AE1279" t="s">
        <v>4010</v>
      </c>
      <c r="AF1279" s="16">
        <v>44641</v>
      </c>
      <c r="AG1279" t="s">
        <v>98</v>
      </c>
      <c r="AH1279">
        <v>3</v>
      </c>
      <c r="AI1279" s="8" t="str">
        <f t="shared" si="484"/>
        <v/>
      </c>
      <c r="AJ1279" s="8">
        <f t="shared" si="485"/>
        <v>16.86112268519355</v>
      </c>
      <c r="AK1279" s="38" t="str">
        <f t="shared" si="467"/>
        <v/>
      </c>
      <c r="AL1279" t="str">
        <f t="shared" si="486"/>
        <v/>
      </c>
      <c r="AM1279" t="str">
        <f t="shared" si="487"/>
        <v/>
      </c>
      <c r="AN1279" t="str">
        <f t="shared" si="488"/>
        <v/>
      </c>
      <c r="AO1279">
        <f t="shared" si="489"/>
        <v>3</v>
      </c>
      <c r="AP1279">
        <f t="shared" si="490"/>
        <v>0</v>
      </c>
      <c r="AQ1279" t="str">
        <f t="shared" si="491"/>
        <v/>
      </c>
    </row>
    <row r="1280" spans="1:43" x14ac:dyDescent="0.35">
      <c r="A1280">
        <v>2036</v>
      </c>
      <c r="B1280" t="s">
        <v>4011</v>
      </c>
      <c r="C1280" t="s">
        <v>3854</v>
      </c>
      <c r="D1280" t="str">
        <f t="shared" si="465"/>
        <v>Fundraising</v>
      </c>
      <c r="E1280" t="s">
        <v>3934</v>
      </c>
      <c r="F1280" t="s">
        <v>3935</v>
      </c>
      <c r="G1280" t="s">
        <v>3936</v>
      </c>
      <c r="H1280" t="s">
        <v>334</v>
      </c>
      <c r="I1280" s="32">
        <v>44646.861122685194</v>
      </c>
      <c r="J1280" s="32">
        <v>44649.861122685194</v>
      </c>
      <c r="K1280" s="32">
        <v>44652.861122685194</v>
      </c>
      <c r="L1280" s="8">
        <f t="shared" si="466"/>
        <v>6</v>
      </c>
      <c r="M1280" s="7">
        <v>44682.861122685194</v>
      </c>
      <c r="N1280" t="s">
        <v>49</v>
      </c>
      <c r="O1280" s="34">
        <v>44657.861122685194</v>
      </c>
      <c r="P1280" t="s">
        <v>50</v>
      </c>
      <c r="Q1280" t="s">
        <v>51</v>
      </c>
      <c r="R1280" s="32" t="s">
        <v>7472</v>
      </c>
      <c r="S1280" t="s">
        <v>7476</v>
      </c>
      <c r="T1280" s="34" t="s">
        <v>7476</v>
      </c>
      <c r="U1280" s="34" t="s">
        <v>7476</v>
      </c>
      <c r="V1280" s="32" t="s">
        <v>7476</v>
      </c>
      <c r="W1280" s="32" t="s">
        <v>7476</v>
      </c>
      <c r="X1280">
        <v>0</v>
      </c>
      <c r="Y1280" s="34" t="s">
        <v>7476</v>
      </c>
      <c r="Z1280" s="34" t="s">
        <v>7476</v>
      </c>
      <c r="AA1280" s="34" t="s">
        <v>7476</v>
      </c>
      <c r="AB1280" s="36" t="s">
        <v>52</v>
      </c>
      <c r="AD1280" t="s">
        <v>4012</v>
      </c>
      <c r="AE1280" t="s">
        <v>4013</v>
      </c>
      <c r="AF1280" s="16">
        <v>44648</v>
      </c>
      <c r="AG1280" t="s">
        <v>64</v>
      </c>
      <c r="AH1280">
        <v>3</v>
      </c>
      <c r="AI1280" s="8" t="str">
        <f t="shared" si="484"/>
        <v/>
      </c>
      <c r="AJ1280" s="8">
        <f t="shared" si="485"/>
        <v>9.8611226851935498</v>
      </c>
      <c r="AK1280" s="38" t="str">
        <f t="shared" si="467"/>
        <v/>
      </c>
      <c r="AL1280" t="str">
        <f t="shared" si="486"/>
        <v/>
      </c>
      <c r="AM1280" t="str">
        <f t="shared" si="487"/>
        <v/>
      </c>
      <c r="AN1280" t="str">
        <f t="shared" si="488"/>
        <v/>
      </c>
      <c r="AO1280">
        <f t="shared" si="489"/>
        <v>3</v>
      </c>
      <c r="AP1280">
        <f t="shared" si="490"/>
        <v>0</v>
      </c>
      <c r="AQ1280" t="str">
        <f t="shared" si="491"/>
        <v/>
      </c>
    </row>
    <row r="1281" spans="1:43" x14ac:dyDescent="0.35">
      <c r="A1281">
        <v>2035</v>
      </c>
      <c r="B1281" t="s">
        <v>4014</v>
      </c>
      <c r="C1281" t="s">
        <v>3864</v>
      </c>
      <c r="D1281" t="str">
        <f t="shared" si="465"/>
        <v>Fundraising</v>
      </c>
      <c r="E1281" t="s">
        <v>3934</v>
      </c>
      <c r="F1281" t="s">
        <v>3935</v>
      </c>
      <c r="G1281" t="s">
        <v>3936</v>
      </c>
      <c r="H1281" t="s">
        <v>334</v>
      </c>
      <c r="I1281" s="32">
        <v>44645.861122685194</v>
      </c>
      <c r="J1281" s="32" t="s">
        <v>7471</v>
      </c>
      <c r="K1281" s="32">
        <v>44652.861122685194</v>
      </c>
      <c r="L1281" s="8">
        <f t="shared" si="466"/>
        <v>7</v>
      </c>
      <c r="M1281" s="7">
        <v>44678.861122685194</v>
      </c>
      <c r="N1281" t="s">
        <v>49</v>
      </c>
      <c r="O1281" s="34">
        <v>44663.861122685194</v>
      </c>
      <c r="P1281" t="s">
        <v>50</v>
      </c>
      <c r="Q1281" t="s">
        <v>236</v>
      </c>
      <c r="R1281" s="32" t="s">
        <v>7472</v>
      </c>
      <c r="S1281" t="s">
        <v>7476</v>
      </c>
      <c r="T1281" s="34" t="s">
        <v>7476</v>
      </c>
      <c r="U1281" s="34" t="s">
        <v>7476</v>
      </c>
      <c r="V1281" s="32" t="s">
        <v>7476</v>
      </c>
      <c r="W1281" s="32" t="s">
        <v>7476</v>
      </c>
      <c r="X1281">
        <v>0</v>
      </c>
      <c r="Y1281" s="34" t="s">
        <v>7476</v>
      </c>
      <c r="Z1281" s="34" t="s">
        <v>7476</v>
      </c>
      <c r="AA1281" s="34" t="s">
        <v>7476</v>
      </c>
      <c r="AB1281" s="36" t="s">
        <v>95</v>
      </c>
      <c r="AD1281" t="s">
        <v>4015</v>
      </c>
      <c r="AE1281" t="s">
        <v>4016</v>
      </c>
      <c r="AF1281" s="16">
        <v>44657</v>
      </c>
      <c r="AG1281" t="s">
        <v>64</v>
      </c>
      <c r="AH1281">
        <v>6</v>
      </c>
      <c r="AK1281" s="38" t="str">
        <f t="shared" si="467"/>
        <v/>
      </c>
    </row>
    <row r="1282" spans="1:43" x14ac:dyDescent="0.35">
      <c r="A1282">
        <v>2033</v>
      </c>
      <c r="B1282" t="s">
        <v>4017</v>
      </c>
      <c r="C1282" t="s">
        <v>3864</v>
      </c>
      <c r="D1282" t="str">
        <f t="shared" ref="D1282:D1345" si="492">TRIM(C1282)</f>
        <v>Fundraising</v>
      </c>
      <c r="E1282" t="s">
        <v>3934</v>
      </c>
      <c r="F1282" t="s">
        <v>3935</v>
      </c>
      <c r="G1282" t="s">
        <v>3936</v>
      </c>
      <c r="H1282" t="s">
        <v>334</v>
      </c>
      <c r="I1282" s="32">
        <v>44642.861122685194</v>
      </c>
      <c r="J1282" s="32">
        <v>44646.861122685194</v>
      </c>
      <c r="K1282" s="32">
        <v>44652.861122685194</v>
      </c>
      <c r="L1282" s="8">
        <f t="shared" ref="L1282:L1345" si="493">IFERROR(K1282-I1282,"")</f>
        <v>10</v>
      </c>
      <c r="M1282" s="7">
        <v>44667.861122685194</v>
      </c>
      <c r="N1282" t="s">
        <v>49</v>
      </c>
      <c r="O1282" s="34">
        <v>44656.861122685194</v>
      </c>
      <c r="P1282" t="s">
        <v>60</v>
      </c>
      <c r="R1282" s="32">
        <v>44658.861122685194</v>
      </c>
      <c r="S1282" t="s">
        <v>61</v>
      </c>
      <c r="T1282" s="34" t="s">
        <v>7476</v>
      </c>
      <c r="U1282" s="34" t="s">
        <v>7476</v>
      </c>
      <c r="V1282" s="32">
        <v>44657.861122685194</v>
      </c>
      <c r="W1282" s="32" t="s">
        <v>7476</v>
      </c>
      <c r="X1282">
        <v>0</v>
      </c>
      <c r="Y1282" s="34" t="s">
        <v>7476</v>
      </c>
      <c r="Z1282" s="34" t="s">
        <v>7476</v>
      </c>
      <c r="AA1282" s="34" t="s">
        <v>7476</v>
      </c>
      <c r="AB1282" s="36" t="s">
        <v>7476</v>
      </c>
      <c r="AD1282" t="s">
        <v>4018</v>
      </c>
      <c r="AE1282" t="s">
        <v>4019</v>
      </c>
      <c r="AF1282" s="16">
        <v>44637</v>
      </c>
      <c r="AG1282" t="s">
        <v>68</v>
      </c>
      <c r="AH1282">
        <v>6</v>
      </c>
      <c r="AI1282" s="8">
        <f>IFERROR(R1282-AF1282,"")</f>
        <v>21.86112268519355</v>
      </c>
      <c r="AJ1282" s="8">
        <f>IFERROR(O1282-AF1282,"")</f>
        <v>19.86112268519355</v>
      </c>
      <c r="AK1282" s="38">
        <f t="shared" si="467"/>
        <v>44837.861122685194</v>
      </c>
      <c r="AL1282" t="str">
        <f>IFERROR(Z1282-W1282,"")</f>
        <v/>
      </c>
      <c r="AM1282">
        <f>IFERROR(R1282-J1282,"")</f>
        <v>12</v>
      </c>
      <c r="AN1282">
        <f>IFERROR(V1282-O1282,"")</f>
        <v>1</v>
      </c>
      <c r="AO1282">
        <f>IFERROR(J1282-I1282,"")</f>
        <v>4</v>
      </c>
      <c r="AP1282">
        <f>IFERROR(AC1282-X1282,"")</f>
        <v>0</v>
      </c>
      <c r="AQ1282" t="str">
        <f>IFERROR(AA1282-W1282,"")</f>
        <v/>
      </c>
    </row>
    <row r="1283" spans="1:43" x14ac:dyDescent="0.35">
      <c r="A1283">
        <v>1933</v>
      </c>
      <c r="B1283" t="s">
        <v>4020</v>
      </c>
      <c r="C1283" t="s">
        <v>3860</v>
      </c>
      <c r="D1283" t="str">
        <f t="shared" si="492"/>
        <v>Fundraising</v>
      </c>
      <c r="E1283" t="s">
        <v>3934</v>
      </c>
      <c r="F1283" t="s">
        <v>3935</v>
      </c>
      <c r="G1283" t="s">
        <v>3936</v>
      </c>
      <c r="H1283" t="s">
        <v>334</v>
      </c>
      <c r="I1283" s="32">
        <v>45179.30609953704</v>
      </c>
      <c r="J1283" s="32">
        <v>45183.30609953704</v>
      </c>
      <c r="K1283" s="32">
        <v>45184.30609953704</v>
      </c>
      <c r="L1283" s="8">
        <f t="shared" si="493"/>
        <v>5</v>
      </c>
      <c r="M1283" s="7">
        <v>45193.30609953704</v>
      </c>
      <c r="N1283" t="s">
        <v>49</v>
      </c>
      <c r="O1283" s="34">
        <v>45198.30609953704</v>
      </c>
      <c r="P1283" t="s">
        <v>392</v>
      </c>
      <c r="R1283" s="32">
        <v>45201.30609953704</v>
      </c>
      <c r="S1283" t="s">
        <v>392</v>
      </c>
      <c r="T1283" s="34" t="s">
        <v>7476</v>
      </c>
      <c r="U1283" s="34" t="s">
        <v>7476</v>
      </c>
      <c r="V1283" s="32">
        <v>45200.30609953704</v>
      </c>
      <c r="W1283" s="32" t="s">
        <v>7476</v>
      </c>
      <c r="X1283">
        <v>0</v>
      </c>
      <c r="Y1283" s="34" t="s">
        <v>7476</v>
      </c>
      <c r="Z1283" s="34" t="s">
        <v>7476</v>
      </c>
      <c r="AA1283" s="34" t="s">
        <v>7476</v>
      </c>
      <c r="AB1283" s="36" t="s">
        <v>7476</v>
      </c>
      <c r="AD1283" t="s">
        <v>4021</v>
      </c>
      <c r="AE1283" t="s">
        <v>4022</v>
      </c>
      <c r="AF1283" s="16">
        <v>45239</v>
      </c>
      <c r="AG1283" t="s">
        <v>98</v>
      </c>
      <c r="AH1283">
        <v>6</v>
      </c>
      <c r="AI1283" s="8">
        <f>IFERROR(R1283-AF1283,"")</f>
        <v>-37.693900462960301</v>
      </c>
      <c r="AJ1283" s="8">
        <f>IFERROR(O1283-AF1283,"")</f>
        <v>-40.693900462960301</v>
      </c>
      <c r="AK1283" s="38">
        <f t="shared" ref="AK1283:AK1346" si="494">IFERROR(V1283+(AH1283*30),"")</f>
        <v>45380.30609953704</v>
      </c>
      <c r="AL1283" t="str">
        <f>IFERROR(Z1283-W1283,"")</f>
        <v/>
      </c>
      <c r="AM1283">
        <f>IFERROR(R1283-J1283,"")</f>
        <v>18</v>
      </c>
      <c r="AN1283">
        <f>IFERROR(V1283-O1283,"")</f>
        <v>2</v>
      </c>
      <c r="AO1283">
        <f>IFERROR(J1283-I1283,"")</f>
        <v>4</v>
      </c>
      <c r="AP1283">
        <f>IFERROR(AC1283-X1283,"")</f>
        <v>0</v>
      </c>
      <c r="AQ1283" t="str">
        <f>IFERROR(AA1283-W1283,"")</f>
        <v/>
      </c>
    </row>
    <row r="1284" spans="1:43" x14ac:dyDescent="0.35">
      <c r="A1284">
        <v>1873</v>
      </c>
      <c r="B1284" t="s">
        <v>4023</v>
      </c>
      <c r="C1284" t="s">
        <v>3864</v>
      </c>
      <c r="D1284" t="str">
        <f t="shared" si="492"/>
        <v>Fundraising</v>
      </c>
      <c r="E1284" t="s">
        <v>3934</v>
      </c>
      <c r="F1284" t="s">
        <v>3935</v>
      </c>
      <c r="G1284" t="s">
        <v>3936</v>
      </c>
      <c r="H1284" t="s">
        <v>334</v>
      </c>
      <c r="I1284" s="32" t="s">
        <v>7471</v>
      </c>
      <c r="J1284" s="32" t="s">
        <v>7471</v>
      </c>
      <c r="K1284" s="32">
        <v>44581.732974537037</v>
      </c>
      <c r="L1284" s="8" t="str">
        <f t="shared" si="493"/>
        <v/>
      </c>
      <c r="M1284" s="7">
        <v>44593.732974537037</v>
      </c>
      <c r="N1284" t="s">
        <v>49</v>
      </c>
      <c r="O1284" s="34">
        <v>44586.732974537037</v>
      </c>
      <c r="P1284" t="s">
        <v>392</v>
      </c>
      <c r="R1284" s="32">
        <v>44593.732974537037</v>
      </c>
      <c r="S1284" t="s">
        <v>392</v>
      </c>
      <c r="T1284" s="34" t="s">
        <v>7476</v>
      </c>
      <c r="U1284" s="34" t="s">
        <v>7476</v>
      </c>
      <c r="V1284" s="32">
        <v>44590.732974537037</v>
      </c>
      <c r="W1284" s="32" t="s">
        <v>7476</v>
      </c>
      <c r="X1284">
        <v>0</v>
      </c>
      <c r="Y1284" s="34" t="s">
        <v>7476</v>
      </c>
      <c r="Z1284" s="34" t="s">
        <v>7476</v>
      </c>
      <c r="AA1284" s="34" t="s">
        <v>7476</v>
      </c>
      <c r="AB1284" s="36" t="s">
        <v>7476</v>
      </c>
      <c r="AD1284" t="s">
        <v>4024</v>
      </c>
      <c r="AE1284" t="s">
        <v>4025</v>
      </c>
      <c r="AF1284" s="16">
        <v>44575</v>
      </c>
      <c r="AG1284" t="s">
        <v>68</v>
      </c>
      <c r="AH1284">
        <v>3</v>
      </c>
      <c r="AK1284" s="38">
        <f t="shared" si="494"/>
        <v>44680.732974537037</v>
      </c>
    </row>
    <row r="1285" spans="1:43" x14ac:dyDescent="0.35">
      <c r="A1285">
        <v>1719</v>
      </c>
      <c r="B1285" t="s">
        <v>4026</v>
      </c>
      <c r="C1285" t="s">
        <v>3860</v>
      </c>
      <c r="D1285" t="str">
        <f t="shared" si="492"/>
        <v>Fundraising</v>
      </c>
      <c r="E1285" t="s">
        <v>3934</v>
      </c>
      <c r="F1285" t="s">
        <v>3935</v>
      </c>
      <c r="G1285" t="s">
        <v>3936</v>
      </c>
      <c r="H1285" t="s">
        <v>334</v>
      </c>
      <c r="I1285" s="32">
        <v>44563.077685185177</v>
      </c>
      <c r="J1285" s="32">
        <v>44564.077685185177</v>
      </c>
      <c r="K1285" s="32">
        <v>44568.077685185177</v>
      </c>
      <c r="L1285" s="8">
        <f t="shared" si="493"/>
        <v>5</v>
      </c>
      <c r="M1285" s="7">
        <v>44598.077685185177</v>
      </c>
      <c r="N1285" t="s">
        <v>49</v>
      </c>
      <c r="O1285" s="34">
        <v>44578.077685185177</v>
      </c>
      <c r="P1285" t="s">
        <v>50</v>
      </c>
      <c r="Q1285" t="s">
        <v>84</v>
      </c>
      <c r="R1285" s="32" t="s">
        <v>7472</v>
      </c>
      <c r="S1285" t="s">
        <v>7476</v>
      </c>
      <c r="T1285" s="34" t="s">
        <v>7476</v>
      </c>
      <c r="U1285" s="34" t="s">
        <v>7476</v>
      </c>
      <c r="V1285" s="32" t="s">
        <v>7476</v>
      </c>
      <c r="W1285" s="32" t="s">
        <v>7476</v>
      </c>
      <c r="X1285">
        <v>0</v>
      </c>
      <c r="Y1285" s="34" t="s">
        <v>7476</v>
      </c>
      <c r="Z1285" s="34" t="s">
        <v>7476</v>
      </c>
      <c r="AA1285" s="34" t="s">
        <v>7476</v>
      </c>
      <c r="AB1285" s="36" t="s">
        <v>95</v>
      </c>
      <c r="AD1285" t="s">
        <v>4027</v>
      </c>
      <c r="AE1285" t="s">
        <v>4028</v>
      </c>
      <c r="AF1285" s="16">
        <v>44621</v>
      </c>
      <c r="AG1285" t="s">
        <v>98</v>
      </c>
      <c r="AH1285">
        <v>3</v>
      </c>
      <c r="AI1285" s="8" t="str">
        <f>IFERROR(R1285-AF1285,"")</f>
        <v/>
      </c>
      <c r="AJ1285" s="8">
        <f>IFERROR(O1285-AF1285,"")</f>
        <v>-42.922314814823039</v>
      </c>
      <c r="AK1285" s="38" t="str">
        <f t="shared" si="494"/>
        <v/>
      </c>
      <c r="AL1285" t="str">
        <f>IFERROR(Z1285-W1285,"")</f>
        <v/>
      </c>
      <c r="AM1285" t="str">
        <f>IFERROR(R1285-J1285,"")</f>
        <v/>
      </c>
      <c r="AN1285" t="str">
        <f>IFERROR(V1285-O1285,"")</f>
        <v/>
      </c>
      <c r="AO1285">
        <f>IFERROR(J1285-I1285,"")</f>
        <v>1</v>
      </c>
      <c r="AP1285">
        <f>IFERROR(AC1285-X1285,"")</f>
        <v>0</v>
      </c>
      <c r="AQ1285" t="str">
        <f>IFERROR(AA1285-W1285,"")</f>
        <v/>
      </c>
    </row>
    <row r="1286" spans="1:43" x14ac:dyDescent="0.35">
      <c r="A1286">
        <v>1711</v>
      </c>
      <c r="B1286" t="s">
        <v>4029</v>
      </c>
      <c r="C1286" t="s">
        <v>3860</v>
      </c>
      <c r="D1286" t="str">
        <f t="shared" si="492"/>
        <v>Fundraising</v>
      </c>
      <c r="E1286" t="s">
        <v>3934</v>
      </c>
      <c r="F1286" t="s">
        <v>3935</v>
      </c>
      <c r="G1286" t="s">
        <v>3936</v>
      </c>
      <c r="H1286" t="s">
        <v>334</v>
      </c>
      <c r="I1286" s="32">
        <v>44563.077685185177</v>
      </c>
      <c r="J1286" s="32">
        <v>44567.077685185177</v>
      </c>
      <c r="K1286" s="32">
        <v>44568.077685185177</v>
      </c>
      <c r="L1286" s="8">
        <f t="shared" si="493"/>
        <v>5</v>
      </c>
      <c r="M1286" s="7">
        <v>44592.077685185177</v>
      </c>
      <c r="N1286" t="s">
        <v>49</v>
      </c>
      <c r="O1286" s="34">
        <v>44581.077685185177</v>
      </c>
      <c r="P1286" t="s">
        <v>60</v>
      </c>
      <c r="R1286" s="32">
        <v>44583.077685185177</v>
      </c>
      <c r="S1286" t="s">
        <v>61</v>
      </c>
      <c r="T1286" s="34" t="s">
        <v>7476</v>
      </c>
      <c r="U1286" s="34" t="s">
        <v>7476</v>
      </c>
      <c r="V1286" s="32">
        <v>44582.077685185177</v>
      </c>
      <c r="W1286" s="32" t="s">
        <v>7476</v>
      </c>
      <c r="X1286">
        <v>0</v>
      </c>
      <c r="Y1286" s="34" t="s">
        <v>7476</v>
      </c>
      <c r="Z1286" s="34" t="s">
        <v>7476</v>
      </c>
      <c r="AA1286" s="34" t="s">
        <v>7476</v>
      </c>
      <c r="AB1286" s="36" t="s">
        <v>7476</v>
      </c>
      <c r="AD1286" t="s">
        <v>4030</v>
      </c>
      <c r="AE1286" t="s">
        <v>4031</v>
      </c>
      <c r="AF1286" s="16">
        <v>44575</v>
      </c>
      <c r="AG1286" t="s">
        <v>98</v>
      </c>
      <c r="AH1286">
        <v>6</v>
      </c>
      <c r="AI1286" s="8">
        <f>IFERROR(R1286-AF1286,"")</f>
        <v>8.0776851851769607</v>
      </c>
      <c r="AJ1286" s="8">
        <f>IFERROR(O1286-AF1286,"")</f>
        <v>6.0776851851769607</v>
      </c>
      <c r="AK1286" s="38">
        <f t="shared" si="494"/>
        <v>44762.077685185177</v>
      </c>
      <c r="AL1286" t="str">
        <f>IFERROR(Z1286-W1286,"")</f>
        <v/>
      </c>
      <c r="AM1286">
        <f>IFERROR(R1286-J1286,"")</f>
        <v>16</v>
      </c>
      <c r="AN1286">
        <f>IFERROR(V1286-O1286,"")</f>
        <v>1</v>
      </c>
      <c r="AO1286">
        <f>IFERROR(J1286-I1286,"")</f>
        <v>4</v>
      </c>
      <c r="AP1286">
        <f>IFERROR(AC1286-X1286,"")</f>
        <v>0</v>
      </c>
      <c r="AQ1286" t="str">
        <f>IFERROR(AA1286-W1286,"")</f>
        <v/>
      </c>
    </row>
    <row r="1287" spans="1:43" x14ac:dyDescent="0.35">
      <c r="A1287">
        <v>1698</v>
      </c>
      <c r="B1287" t="s">
        <v>4032</v>
      </c>
      <c r="C1287" t="s">
        <v>3860</v>
      </c>
      <c r="D1287" t="str">
        <f t="shared" si="492"/>
        <v>Fundraising</v>
      </c>
      <c r="E1287" t="s">
        <v>3934</v>
      </c>
      <c r="F1287" t="s">
        <v>3935</v>
      </c>
      <c r="G1287" t="s">
        <v>3936</v>
      </c>
      <c r="H1287" t="s">
        <v>334</v>
      </c>
      <c r="I1287" s="32">
        <v>44985.764687499999</v>
      </c>
      <c r="J1287" s="32">
        <v>44988.764687499999</v>
      </c>
      <c r="K1287" s="32">
        <v>44989.764687499999</v>
      </c>
      <c r="L1287" s="8">
        <f t="shared" si="493"/>
        <v>4</v>
      </c>
      <c r="M1287" s="7">
        <v>45003.764687499999</v>
      </c>
      <c r="N1287" t="s">
        <v>49</v>
      </c>
      <c r="O1287" s="34">
        <v>44994.764687499999</v>
      </c>
      <c r="P1287" t="s">
        <v>50</v>
      </c>
      <c r="Q1287" t="s">
        <v>51</v>
      </c>
      <c r="R1287" s="32" t="s">
        <v>7472</v>
      </c>
      <c r="S1287" t="s">
        <v>7476</v>
      </c>
      <c r="T1287" s="34" t="s">
        <v>7476</v>
      </c>
      <c r="U1287" s="34" t="s">
        <v>7476</v>
      </c>
      <c r="V1287" s="32" t="s">
        <v>7476</v>
      </c>
      <c r="W1287" s="32" t="s">
        <v>7476</v>
      </c>
      <c r="X1287">
        <v>0</v>
      </c>
      <c r="Y1287" s="34" t="s">
        <v>7476</v>
      </c>
      <c r="Z1287" s="34" t="s">
        <v>7476</v>
      </c>
      <c r="AA1287" s="34" t="s">
        <v>7476</v>
      </c>
      <c r="AB1287" s="36" t="s">
        <v>95</v>
      </c>
      <c r="AD1287" t="s">
        <v>4033</v>
      </c>
      <c r="AE1287" t="s">
        <v>4034</v>
      </c>
      <c r="AF1287" s="16">
        <v>44979</v>
      </c>
      <c r="AG1287" t="s">
        <v>68</v>
      </c>
      <c r="AH1287">
        <v>3</v>
      </c>
      <c r="AI1287" s="8" t="str">
        <f>IFERROR(R1287-AF1287,"")</f>
        <v/>
      </c>
      <c r="AJ1287" s="8">
        <f>IFERROR(O1287-AF1287,"")</f>
        <v>15.764687499999127</v>
      </c>
      <c r="AK1287" s="38" t="str">
        <f t="shared" si="494"/>
        <v/>
      </c>
      <c r="AL1287" t="str">
        <f>IFERROR(Z1287-W1287,"")</f>
        <v/>
      </c>
      <c r="AM1287" t="str">
        <f>IFERROR(R1287-J1287,"")</f>
        <v/>
      </c>
      <c r="AN1287" t="str">
        <f>IFERROR(V1287-O1287,"")</f>
        <v/>
      </c>
      <c r="AO1287">
        <f>IFERROR(J1287-I1287,"")</f>
        <v>3</v>
      </c>
      <c r="AP1287">
        <f>IFERROR(AC1287-X1287,"")</f>
        <v>0</v>
      </c>
      <c r="AQ1287" t="str">
        <f>IFERROR(AA1287-W1287,"")</f>
        <v/>
      </c>
    </row>
    <row r="1288" spans="1:43" x14ac:dyDescent="0.35">
      <c r="A1288">
        <v>1559</v>
      </c>
      <c r="B1288" t="s">
        <v>4035</v>
      </c>
      <c r="C1288" t="s">
        <v>3864</v>
      </c>
      <c r="D1288" t="str">
        <f t="shared" si="492"/>
        <v>Fundraising</v>
      </c>
      <c r="E1288" t="s">
        <v>3934</v>
      </c>
      <c r="F1288" t="s">
        <v>3935</v>
      </c>
      <c r="G1288" t="s">
        <v>3936</v>
      </c>
      <c r="H1288" t="s">
        <v>334</v>
      </c>
      <c r="I1288" s="32">
        <v>44902.597222222219</v>
      </c>
      <c r="J1288" s="32">
        <v>44904.597222222219</v>
      </c>
      <c r="K1288" s="32">
        <v>44907.597222222219</v>
      </c>
      <c r="L1288" s="8">
        <f t="shared" si="493"/>
        <v>5</v>
      </c>
      <c r="M1288" s="7">
        <v>44930.597222222219</v>
      </c>
      <c r="N1288" t="s">
        <v>49</v>
      </c>
      <c r="O1288" s="34">
        <v>44918.597222222219</v>
      </c>
      <c r="P1288" t="s">
        <v>50</v>
      </c>
      <c r="Q1288" t="s">
        <v>198</v>
      </c>
      <c r="R1288" s="32" t="s">
        <v>7472</v>
      </c>
      <c r="S1288" t="s">
        <v>7476</v>
      </c>
      <c r="T1288" s="34" t="s">
        <v>7476</v>
      </c>
      <c r="U1288" s="34" t="s">
        <v>7476</v>
      </c>
      <c r="V1288" s="32">
        <v>44922.597222222219</v>
      </c>
      <c r="W1288" s="32" t="s">
        <v>7476</v>
      </c>
      <c r="X1288">
        <v>0</v>
      </c>
      <c r="Y1288" s="34" t="s">
        <v>7476</v>
      </c>
      <c r="Z1288" s="34" t="s">
        <v>7476</v>
      </c>
      <c r="AA1288" s="34" t="s">
        <v>7476</v>
      </c>
      <c r="AB1288" s="36" t="s">
        <v>95</v>
      </c>
      <c r="AD1288" t="s">
        <v>4036</v>
      </c>
      <c r="AE1288" t="s">
        <v>4037</v>
      </c>
      <c r="AF1288" s="16">
        <v>44910</v>
      </c>
      <c r="AG1288" t="s">
        <v>68</v>
      </c>
      <c r="AH1288">
        <v>3</v>
      </c>
      <c r="AI1288" s="8" t="str">
        <f>IFERROR(R1288-AF1288,"")</f>
        <v/>
      </c>
      <c r="AJ1288" s="8">
        <f>IFERROR(O1288-AF1288,"")</f>
        <v>8.5972222222189885</v>
      </c>
      <c r="AK1288" s="38">
        <f t="shared" si="494"/>
        <v>45012.597222222219</v>
      </c>
      <c r="AL1288" t="str">
        <f>IFERROR(Z1288-W1288,"")</f>
        <v/>
      </c>
      <c r="AM1288" t="str">
        <f>IFERROR(R1288-J1288,"")</f>
        <v/>
      </c>
      <c r="AN1288">
        <f>IFERROR(V1288-O1288,"")</f>
        <v>4</v>
      </c>
      <c r="AO1288">
        <f>IFERROR(J1288-I1288,"")</f>
        <v>2</v>
      </c>
      <c r="AP1288">
        <f>IFERROR(AC1288-X1288,"")</f>
        <v>0</v>
      </c>
      <c r="AQ1288" t="str">
        <f>IFERROR(AA1288-W1288,"")</f>
        <v/>
      </c>
    </row>
    <row r="1289" spans="1:43" x14ac:dyDescent="0.35">
      <c r="A1289">
        <v>1557</v>
      </c>
      <c r="B1289" t="s">
        <v>4038</v>
      </c>
      <c r="C1289" t="s">
        <v>3864</v>
      </c>
      <c r="D1289" t="str">
        <f t="shared" si="492"/>
        <v>Fundraising</v>
      </c>
      <c r="E1289" t="s">
        <v>3934</v>
      </c>
      <c r="F1289" t="s">
        <v>3935</v>
      </c>
      <c r="G1289" t="s">
        <v>3936</v>
      </c>
      <c r="H1289" t="s">
        <v>334</v>
      </c>
      <c r="I1289" s="32">
        <v>44904.597222222219</v>
      </c>
      <c r="J1289" s="32">
        <v>44905.597222222219</v>
      </c>
      <c r="K1289" s="32">
        <v>44907.597222222219</v>
      </c>
      <c r="L1289" s="8">
        <f t="shared" si="493"/>
        <v>3</v>
      </c>
      <c r="M1289" s="7">
        <v>44924.597222222219</v>
      </c>
      <c r="N1289" t="s">
        <v>49</v>
      </c>
      <c r="O1289" s="34">
        <v>44920.597222222219</v>
      </c>
      <c r="P1289" t="s">
        <v>50</v>
      </c>
      <c r="Q1289" t="s">
        <v>51</v>
      </c>
      <c r="R1289" s="32" t="s">
        <v>7472</v>
      </c>
      <c r="S1289" t="s">
        <v>7476</v>
      </c>
      <c r="T1289" s="34" t="s">
        <v>7476</v>
      </c>
      <c r="U1289" s="34" t="s">
        <v>7476</v>
      </c>
      <c r="V1289" s="32">
        <v>44923.597222222219</v>
      </c>
      <c r="W1289" s="32" t="s">
        <v>7476</v>
      </c>
      <c r="X1289">
        <v>0</v>
      </c>
      <c r="Y1289" s="34" t="s">
        <v>7476</v>
      </c>
      <c r="Z1289" s="34" t="s">
        <v>7476</v>
      </c>
      <c r="AA1289" s="34" t="s">
        <v>7476</v>
      </c>
      <c r="AB1289" s="36" t="s">
        <v>52</v>
      </c>
      <c r="AD1289" t="s">
        <v>4039</v>
      </c>
      <c r="AE1289" t="s">
        <v>4040</v>
      </c>
      <c r="AF1289" s="16">
        <v>44911</v>
      </c>
      <c r="AG1289" t="s">
        <v>68</v>
      </c>
      <c r="AH1289">
        <v>3</v>
      </c>
      <c r="AI1289" s="8" t="str">
        <f>IFERROR(R1289-AF1289,"")</f>
        <v/>
      </c>
      <c r="AJ1289" s="8">
        <f>IFERROR(O1289-AF1289,"")</f>
        <v>9.5972222222189885</v>
      </c>
      <c r="AK1289" s="38">
        <f t="shared" si="494"/>
        <v>45013.597222222219</v>
      </c>
      <c r="AL1289" t="str">
        <f>IFERROR(Z1289-W1289,"")</f>
        <v/>
      </c>
      <c r="AM1289" t="str">
        <f>IFERROR(R1289-J1289,"")</f>
        <v/>
      </c>
      <c r="AN1289">
        <f>IFERROR(V1289-O1289,"")</f>
        <v>3</v>
      </c>
      <c r="AO1289">
        <f>IFERROR(J1289-I1289,"")</f>
        <v>1</v>
      </c>
      <c r="AP1289">
        <f>IFERROR(AC1289-X1289,"")</f>
        <v>0</v>
      </c>
      <c r="AQ1289" t="str">
        <f>IFERROR(AA1289-W1289,"")</f>
        <v/>
      </c>
    </row>
    <row r="1290" spans="1:43" x14ac:dyDescent="0.35">
      <c r="A1290">
        <v>1553</v>
      </c>
      <c r="B1290" t="s">
        <v>4041</v>
      </c>
      <c r="C1290" t="s">
        <v>3864</v>
      </c>
      <c r="D1290" t="str">
        <f t="shared" si="492"/>
        <v>Fundraising</v>
      </c>
      <c r="E1290" t="s">
        <v>3934</v>
      </c>
      <c r="F1290" t="s">
        <v>3935</v>
      </c>
      <c r="G1290" t="s">
        <v>3936</v>
      </c>
      <c r="H1290" t="s">
        <v>334</v>
      </c>
      <c r="I1290" s="32" t="s">
        <v>7471</v>
      </c>
      <c r="J1290" s="32">
        <v>44903.597222222219</v>
      </c>
      <c r="K1290" s="32">
        <v>44907.597222222219</v>
      </c>
      <c r="L1290" s="8" t="str">
        <f t="shared" si="493"/>
        <v/>
      </c>
      <c r="M1290" s="7">
        <v>44912.597222222219</v>
      </c>
      <c r="N1290" t="s">
        <v>49</v>
      </c>
      <c r="O1290" s="34">
        <v>44921.597222222219</v>
      </c>
      <c r="P1290" t="s">
        <v>50</v>
      </c>
      <c r="Q1290" t="s">
        <v>236</v>
      </c>
      <c r="R1290" s="32" t="s">
        <v>7472</v>
      </c>
      <c r="S1290" t="s">
        <v>7476</v>
      </c>
      <c r="T1290" s="34" t="s">
        <v>7476</v>
      </c>
      <c r="U1290" s="34" t="s">
        <v>7476</v>
      </c>
      <c r="V1290" s="32" t="s">
        <v>7476</v>
      </c>
      <c r="W1290" s="32" t="s">
        <v>7476</v>
      </c>
      <c r="X1290">
        <v>0</v>
      </c>
      <c r="Y1290" s="34" t="s">
        <v>7476</v>
      </c>
      <c r="Z1290" s="34" t="s">
        <v>7476</v>
      </c>
      <c r="AA1290" s="34" t="s">
        <v>7476</v>
      </c>
      <c r="AB1290" s="36" t="s">
        <v>52</v>
      </c>
      <c r="AD1290" t="s">
        <v>4042</v>
      </c>
      <c r="AE1290" t="s">
        <v>4043</v>
      </c>
      <c r="AF1290" s="16">
        <v>44912</v>
      </c>
      <c r="AG1290" t="s">
        <v>98</v>
      </c>
      <c r="AH1290">
        <v>3</v>
      </c>
      <c r="AK1290" s="38" t="str">
        <f t="shared" si="494"/>
        <v/>
      </c>
    </row>
    <row r="1291" spans="1:43" x14ac:dyDescent="0.35">
      <c r="A1291">
        <v>1490</v>
      </c>
      <c r="B1291" t="s">
        <v>4044</v>
      </c>
      <c r="C1291" t="s">
        <v>3864</v>
      </c>
      <c r="D1291" t="str">
        <f t="shared" si="492"/>
        <v>Fundraising</v>
      </c>
      <c r="E1291" t="s">
        <v>3934</v>
      </c>
      <c r="F1291" t="s">
        <v>3935</v>
      </c>
      <c r="G1291" t="s">
        <v>3936</v>
      </c>
      <c r="H1291" t="s">
        <v>334</v>
      </c>
      <c r="I1291" s="32">
        <v>45117.542164351849</v>
      </c>
      <c r="J1291" s="32">
        <v>45118.542164351849</v>
      </c>
      <c r="K1291" s="32">
        <v>45119.542164351849</v>
      </c>
      <c r="L1291" s="8">
        <f t="shared" si="493"/>
        <v>2</v>
      </c>
      <c r="M1291" s="7">
        <v>45143.542164351849</v>
      </c>
      <c r="N1291" t="s">
        <v>49</v>
      </c>
      <c r="O1291" s="34">
        <v>45125.542164351849</v>
      </c>
      <c r="P1291" t="s">
        <v>50</v>
      </c>
      <c r="Q1291" t="s">
        <v>198</v>
      </c>
      <c r="R1291" s="32" t="s">
        <v>7472</v>
      </c>
      <c r="S1291" t="s">
        <v>7476</v>
      </c>
      <c r="T1291" s="34" t="s">
        <v>7476</v>
      </c>
      <c r="U1291" s="34" t="s">
        <v>7476</v>
      </c>
      <c r="V1291" s="32" t="s">
        <v>7476</v>
      </c>
      <c r="W1291" s="32" t="s">
        <v>7476</v>
      </c>
      <c r="X1291">
        <v>0</v>
      </c>
      <c r="Y1291" s="34" t="s">
        <v>7476</v>
      </c>
      <c r="Z1291" s="34" t="s">
        <v>7476</v>
      </c>
      <c r="AA1291" s="34" t="s">
        <v>7476</v>
      </c>
      <c r="AB1291" s="36" t="s">
        <v>95</v>
      </c>
      <c r="AD1291" t="s">
        <v>4045</v>
      </c>
      <c r="AE1291" t="s">
        <v>4046</v>
      </c>
      <c r="AF1291" s="16">
        <v>45120</v>
      </c>
      <c r="AG1291" t="s">
        <v>68</v>
      </c>
      <c r="AH1291">
        <v>6</v>
      </c>
      <c r="AI1291" s="8" t="str">
        <f>IFERROR(R1291-AF1291,"")</f>
        <v/>
      </c>
      <c r="AJ1291" s="8">
        <f>IFERROR(O1291-AF1291,"")</f>
        <v>5.5421643518493511</v>
      </c>
      <c r="AK1291" s="38" t="str">
        <f t="shared" si="494"/>
        <v/>
      </c>
      <c r="AL1291" t="str">
        <f>IFERROR(Z1291-W1291,"")</f>
        <v/>
      </c>
      <c r="AM1291" t="str">
        <f>IFERROR(R1291-J1291,"")</f>
        <v/>
      </c>
      <c r="AN1291" t="str">
        <f>IFERROR(V1291-O1291,"")</f>
        <v/>
      </c>
      <c r="AO1291">
        <f>IFERROR(J1291-I1291,"")</f>
        <v>1</v>
      </c>
      <c r="AP1291">
        <f>IFERROR(AC1291-X1291,"")</f>
        <v>0</v>
      </c>
      <c r="AQ1291" t="str">
        <f>IFERROR(AA1291-W1291,"")</f>
        <v/>
      </c>
    </row>
    <row r="1292" spans="1:43" x14ac:dyDescent="0.35">
      <c r="A1292">
        <v>1483</v>
      </c>
      <c r="B1292" t="s">
        <v>4047</v>
      </c>
      <c r="C1292" t="s">
        <v>3860</v>
      </c>
      <c r="D1292" t="str">
        <f t="shared" si="492"/>
        <v>Fundraising</v>
      </c>
      <c r="E1292" t="s">
        <v>3934</v>
      </c>
      <c r="F1292" t="s">
        <v>3935</v>
      </c>
      <c r="G1292" t="s">
        <v>3936</v>
      </c>
      <c r="H1292" t="s">
        <v>334</v>
      </c>
      <c r="I1292" s="32" t="s">
        <v>7471</v>
      </c>
      <c r="J1292" s="32" t="s">
        <v>7471</v>
      </c>
      <c r="K1292" s="32">
        <v>45119.542164351849</v>
      </c>
      <c r="L1292" s="8" t="str">
        <f t="shared" si="493"/>
        <v/>
      </c>
      <c r="M1292" s="7">
        <v>45140.542164351849</v>
      </c>
      <c r="N1292" t="s">
        <v>49</v>
      </c>
      <c r="O1292" s="34">
        <v>45136.542164351849</v>
      </c>
      <c r="P1292" t="s">
        <v>50</v>
      </c>
      <c r="Q1292" t="s">
        <v>51</v>
      </c>
      <c r="R1292" s="32" t="s">
        <v>7472</v>
      </c>
      <c r="S1292" t="s">
        <v>7476</v>
      </c>
      <c r="T1292" s="34" t="s">
        <v>7476</v>
      </c>
      <c r="U1292" s="34" t="s">
        <v>7476</v>
      </c>
      <c r="V1292" s="32">
        <v>45140.542164351849</v>
      </c>
      <c r="W1292" s="32" t="s">
        <v>7476</v>
      </c>
      <c r="X1292">
        <v>0</v>
      </c>
      <c r="Y1292" s="34" t="s">
        <v>7476</v>
      </c>
      <c r="Z1292" s="34" t="s">
        <v>7476</v>
      </c>
      <c r="AA1292" s="34" t="s">
        <v>7476</v>
      </c>
      <c r="AB1292" s="36" t="s">
        <v>52</v>
      </c>
      <c r="AD1292" t="s">
        <v>4048</v>
      </c>
      <c r="AE1292" t="s">
        <v>4049</v>
      </c>
      <c r="AF1292" s="16">
        <v>45129</v>
      </c>
      <c r="AG1292" t="s">
        <v>75</v>
      </c>
      <c r="AH1292">
        <v>3</v>
      </c>
      <c r="AK1292" s="38">
        <f t="shared" si="494"/>
        <v>45230.542164351849</v>
      </c>
    </row>
    <row r="1293" spans="1:43" x14ac:dyDescent="0.35">
      <c r="A1293">
        <v>1470</v>
      </c>
      <c r="B1293" t="s">
        <v>4050</v>
      </c>
      <c r="C1293" t="s">
        <v>3864</v>
      </c>
      <c r="D1293" t="str">
        <f t="shared" si="492"/>
        <v>Fundraising</v>
      </c>
      <c r="E1293" t="s">
        <v>3934</v>
      </c>
      <c r="F1293" t="s">
        <v>3935</v>
      </c>
      <c r="G1293" t="s">
        <v>3936</v>
      </c>
      <c r="H1293" t="s">
        <v>334</v>
      </c>
      <c r="I1293" s="32">
        <v>45001.141805555562</v>
      </c>
      <c r="J1293" s="32">
        <v>45004.141805555562</v>
      </c>
      <c r="K1293" s="32">
        <v>45008.141805555562</v>
      </c>
      <c r="L1293" s="8">
        <f t="shared" si="493"/>
        <v>7</v>
      </c>
      <c r="M1293" s="7">
        <v>45024.141805555562</v>
      </c>
      <c r="N1293" t="s">
        <v>49</v>
      </c>
      <c r="O1293" s="34">
        <v>45012.141805555562</v>
      </c>
      <c r="P1293" t="s">
        <v>50</v>
      </c>
      <c r="Q1293" t="s">
        <v>125</v>
      </c>
      <c r="R1293" s="32" t="s">
        <v>7472</v>
      </c>
      <c r="S1293" t="s">
        <v>7476</v>
      </c>
      <c r="T1293" s="34" t="s">
        <v>7476</v>
      </c>
      <c r="U1293" s="34" t="s">
        <v>7476</v>
      </c>
      <c r="V1293" s="32" t="s">
        <v>7476</v>
      </c>
      <c r="W1293" s="32" t="s">
        <v>7476</v>
      </c>
      <c r="X1293">
        <v>0</v>
      </c>
      <c r="Y1293" s="34" t="s">
        <v>7476</v>
      </c>
      <c r="Z1293" s="34" t="s">
        <v>7476</v>
      </c>
      <c r="AA1293" s="34" t="s">
        <v>7476</v>
      </c>
      <c r="AB1293" s="36" t="s">
        <v>95</v>
      </c>
      <c r="AD1293" t="s">
        <v>4051</v>
      </c>
      <c r="AE1293" t="s">
        <v>4052</v>
      </c>
      <c r="AF1293" s="16">
        <v>45003</v>
      </c>
      <c r="AG1293" t="s">
        <v>98</v>
      </c>
      <c r="AH1293">
        <v>3</v>
      </c>
      <c r="AI1293" s="8" t="str">
        <f t="shared" ref="AI1293:AI1303" si="495">IFERROR(R1293-AF1293,"")</f>
        <v/>
      </c>
      <c r="AJ1293" s="8">
        <f t="shared" ref="AJ1293:AJ1303" si="496">IFERROR(O1293-AF1293,"")</f>
        <v>9.1418055555623141</v>
      </c>
      <c r="AK1293" s="38" t="str">
        <f t="shared" si="494"/>
        <v/>
      </c>
      <c r="AL1293" t="str">
        <f t="shared" ref="AL1293:AL1303" si="497">IFERROR(Z1293-W1293,"")</f>
        <v/>
      </c>
      <c r="AM1293" t="str">
        <f t="shared" ref="AM1293:AM1303" si="498">IFERROR(R1293-J1293,"")</f>
        <v/>
      </c>
      <c r="AN1293" t="str">
        <f t="shared" ref="AN1293:AN1303" si="499">IFERROR(V1293-O1293,"")</f>
        <v/>
      </c>
      <c r="AO1293">
        <f t="shared" ref="AO1293:AO1303" si="500">IFERROR(J1293-I1293,"")</f>
        <v>3</v>
      </c>
      <c r="AP1293">
        <f t="shared" ref="AP1293:AP1303" si="501">IFERROR(AC1293-X1293,"")</f>
        <v>0</v>
      </c>
      <c r="AQ1293" t="str">
        <f t="shared" ref="AQ1293:AQ1303" si="502">IFERROR(AA1293-W1293,"")</f>
        <v/>
      </c>
    </row>
    <row r="1294" spans="1:43" x14ac:dyDescent="0.35">
      <c r="A1294">
        <v>1462</v>
      </c>
      <c r="B1294" t="s">
        <v>4053</v>
      </c>
      <c r="C1294" t="s">
        <v>3860</v>
      </c>
      <c r="D1294" t="str">
        <f t="shared" si="492"/>
        <v>Fundraising</v>
      </c>
      <c r="E1294" t="s">
        <v>3934</v>
      </c>
      <c r="F1294" t="s">
        <v>3935</v>
      </c>
      <c r="G1294" t="s">
        <v>3936</v>
      </c>
      <c r="H1294" t="s">
        <v>334</v>
      </c>
      <c r="I1294" s="32">
        <v>45004.141805555562</v>
      </c>
      <c r="J1294" s="32">
        <v>45006.141805555562</v>
      </c>
      <c r="K1294" s="32">
        <v>45008.141805555562</v>
      </c>
      <c r="L1294" s="8">
        <f t="shared" si="493"/>
        <v>4</v>
      </c>
      <c r="M1294" s="7">
        <v>45036.141805555562</v>
      </c>
      <c r="N1294" t="s">
        <v>49</v>
      </c>
      <c r="O1294" s="34">
        <v>45015.141805555562</v>
      </c>
      <c r="P1294" t="s">
        <v>50</v>
      </c>
      <c r="Q1294" t="s">
        <v>236</v>
      </c>
      <c r="R1294" s="32" t="s">
        <v>7472</v>
      </c>
      <c r="S1294" t="s">
        <v>7476</v>
      </c>
      <c r="T1294" s="34" t="s">
        <v>7476</v>
      </c>
      <c r="U1294" s="34" t="s">
        <v>7476</v>
      </c>
      <c r="V1294" s="32" t="s">
        <v>7476</v>
      </c>
      <c r="W1294" s="32" t="s">
        <v>7476</v>
      </c>
      <c r="X1294">
        <v>0</v>
      </c>
      <c r="Y1294" s="34" t="s">
        <v>7476</v>
      </c>
      <c r="Z1294" s="34" t="s">
        <v>7476</v>
      </c>
      <c r="AA1294" s="34" t="s">
        <v>7476</v>
      </c>
      <c r="AB1294" s="36" t="s">
        <v>52</v>
      </c>
      <c r="AD1294" t="s">
        <v>4054</v>
      </c>
      <c r="AE1294" t="s">
        <v>4055</v>
      </c>
      <c r="AF1294" s="16">
        <v>45006</v>
      </c>
      <c r="AG1294" t="s">
        <v>98</v>
      </c>
      <c r="AH1294">
        <v>3</v>
      </c>
      <c r="AI1294" s="8" t="str">
        <f t="shared" si="495"/>
        <v/>
      </c>
      <c r="AJ1294" s="8">
        <f t="shared" si="496"/>
        <v>9.1418055555623141</v>
      </c>
      <c r="AK1294" s="38" t="str">
        <f t="shared" si="494"/>
        <v/>
      </c>
      <c r="AL1294" t="str">
        <f t="shared" si="497"/>
        <v/>
      </c>
      <c r="AM1294" t="str">
        <f t="shared" si="498"/>
        <v/>
      </c>
      <c r="AN1294" t="str">
        <f t="shared" si="499"/>
        <v/>
      </c>
      <c r="AO1294">
        <f t="shared" si="500"/>
        <v>2</v>
      </c>
      <c r="AP1294">
        <f t="shared" si="501"/>
        <v>0</v>
      </c>
      <c r="AQ1294" t="str">
        <f t="shared" si="502"/>
        <v/>
      </c>
    </row>
    <row r="1295" spans="1:43" x14ac:dyDescent="0.35">
      <c r="A1295">
        <v>1245</v>
      </c>
      <c r="B1295" t="s">
        <v>4056</v>
      </c>
      <c r="C1295" t="s">
        <v>3864</v>
      </c>
      <c r="D1295" t="str">
        <f t="shared" si="492"/>
        <v>Fundraising</v>
      </c>
      <c r="E1295" t="s">
        <v>3934</v>
      </c>
      <c r="F1295" t="s">
        <v>3935</v>
      </c>
      <c r="G1295" t="s">
        <v>3936</v>
      </c>
      <c r="H1295" t="s">
        <v>334</v>
      </c>
      <c r="I1295" s="32">
        <v>44736.839942129627</v>
      </c>
      <c r="J1295" s="32">
        <v>44740.839942129627</v>
      </c>
      <c r="K1295" s="32">
        <v>44741.839942129627</v>
      </c>
      <c r="L1295" s="8">
        <f t="shared" si="493"/>
        <v>5</v>
      </c>
      <c r="M1295" s="7">
        <v>44766.839942129627</v>
      </c>
      <c r="N1295" t="s">
        <v>49</v>
      </c>
      <c r="O1295" s="34">
        <v>44750.839942129627</v>
      </c>
      <c r="P1295" t="s">
        <v>50</v>
      </c>
      <c r="Q1295" t="s">
        <v>84</v>
      </c>
      <c r="R1295" s="32" t="s">
        <v>7472</v>
      </c>
      <c r="S1295" t="s">
        <v>7476</v>
      </c>
      <c r="T1295" s="34" t="s">
        <v>7476</v>
      </c>
      <c r="U1295" s="34" t="s">
        <v>7476</v>
      </c>
      <c r="V1295" s="32" t="s">
        <v>7476</v>
      </c>
      <c r="W1295" s="32" t="s">
        <v>7476</v>
      </c>
      <c r="X1295">
        <v>0</v>
      </c>
      <c r="Y1295" s="34" t="s">
        <v>7476</v>
      </c>
      <c r="Z1295" s="34" t="s">
        <v>7476</v>
      </c>
      <c r="AA1295" s="34" t="s">
        <v>7476</v>
      </c>
      <c r="AB1295" s="36" t="s">
        <v>52</v>
      </c>
      <c r="AD1295" t="s">
        <v>4057</v>
      </c>
      <c r="AE1295" t="s">
        <v>4058</v>
      </c>
      <c r="AF1295" s="16">
        <v>44744</v>
      </c>
      <c r="AG1295" t="s">
        <v>64</v>
      </c>
      <c r="AH1295">
        <v>3</v>
      </c>
      <c r="AI1295" s="8" t="str">
        <f t="shared" si="495"/>
        <v/>
      </c>
      <c r="AJ1295" s="8">
        <f t="shared" si="496"/>
        <v>6.8399421296271612</v>
      </c>
      <c r="AK1295" s="38" t="str">
        <f t="shared" si="494"/>
        <v/>
      </c>
      <c r="AL1295" t="str">
        <f t="shared" si="497"/>
        <v/>
      </c>
      <c r="AM1295" t="str">
        <f t="shared" si="498"/>
        <v/>
      </c>
      <c r="AN1295" t="str">
        <f t="shared" si="499"/>
        <v/>
      </c>
      <c r="AO1295">
        <f t="shared" si="500"/>
        <v>4</v>
      </c>
      <c r="AP1295">
        <f t="shared" si="501"/>
        <v>0</v>
      </c>
      <c r="AQ1295" t="str">
        <f t="shared" si="502"/>
        <v/>
      </c>
    </row>
    <row r="1296" spans="1:43" x14ac:dyDescent="0.35">
      <c r="A1296">
        <v>1242</v>
      </c>
      <c r="B1296" t="s">
        <v>4059</v>
      </c>
      <c r="C1296" t="s">
        <v>3864</v>
      </c>
      <c r="D1296" t="str">
        <f t="shared" si="492"/>
        <v>Fundraising</v>
      </c>
      <c r="E1296" t="s">
        <v>3934</v>
      </c>
      <c r="F1296" t="s">
        <v>3935</v>
      </c>
      <c r="G1296" t="s">
        <v>3936</v>
      </c>
      <c r="H1296" t="s">
        <v>334</v>
      </c>
      <c r="I1296" s="32">
        <v>44736.839942129627</v>
      </c>
      <c r="J1296" s="32">
        <v>44740.839942129627</v>
      </c>
      <c r="K1296" s="32">
        <v>44741.839942129627</v>
      </c>
      <c r="L1296" s="8">
        <f t="shared" si="493"/>
        <v>5</v>
      </c>
      <c r="M1296" s="7">
        <v>44759.839942129627</v>
      </c>
      <c r="N1296" t="s">
        <v>49</v>
      </c>
      <c r="O1296" s="34">
        <v>44758.839942129627</v>
      </c>
      <c r="P1296" t="s">
        <v>50</v>
      </c>
      <c r="Q1296" t="s">
        <v>125</v>
      </c>
      <c r="R1296" s="32" t="s">
        <v>7472</v>
      </c>
      <c r="S1296" t="s">
        <v>7476</v>
      </c>
      <c r="T1296" s="34" t="s">
        <v>7476</v>
      </c>
      <c r="U1296" s="34" t="s">
        <v>7476</v>
      </c>
      <c r="V1296" s="32">
        <v>44762.839942129627</v>
      </c>
      <c r="W1296" s="32" t="s">
        <v>7476</v>
      </c>
      <c r="X1296">
        <v>0</v>
      </c>
      <c r="Y1296" s="34" t="s">
        <v>7476</v>
      </c>
      <c r="Z1296" s="34" t="s">
        <v>7476</v>
      </c>
      <c r="AA1296" s="34" t="s">
        <v>7476</v>
      </c>
      <c r="AB1296" s="36" t="s">
        <v>52</v>
      </c>
      <c r="AD1296" t="s">
        <v>4060</v>
      </c>
      <c r="AE1296" t="s">
        <v>4061</v>
      </c>
      <c r="AF1296" s="16">
        <v>44750</v>
      </c>
      <c r="AG1296" t="s">
        <v>68</v>
      </c>
      <c r="AH1296">
        <v>3</v>
      </c>
      <c r="AI1296" s="8" t="str">
        <f t="shared" si="495"/>
        <v/>
      </c>
      <c r="AJ1296" s="8">
        <f t="shared" si="496"/>
        <v>8.8399421296271612</v>
      </c>
      <c r="AK1296" s="38">
        <f t="shared" si="494"/>
        <v>44852.839942129627</v>
      </c>
      <c r="AL1296" t="str">
        <f t="shared" si="497"/>
        <v/>
      </c>
      <c r="AM1296" t="str">
        <f t="shared" si="498"/>
        <v/>
      </c>
      <c r="AN1296">
        <f t="shared" si="499"/>
        <v>4</v>
      </c>
      <c r="AO1296">
        <f t="shared" si="500"/>
        <v>4</v>
      </c>
      <c r="AP1296">
        <f t="shared" si="501"/>
        <v>0</v>
      </c>
      <c r="AQ1296" t="str">
        <f t="shared" si="502"/>
        <v/>
      </c>
    </row>
    <row r="1297" spans="1:43" x14ac:dyDescent="0.35">
      <c r="A1297">
        <v>1236</v>
      </c>
      <c r="B1297" t="s">
        <v>4062</v>
      </c>
      <c r="C1297" t="s">
        <v>3864</v>
      </c>
      <c r="D1297" t="str">
        <f t="shared" si="492"/>
        <v>Fundraising</v>
      </c>
      <c r="E1297" t="s">
        <v>3934</v>
      </c>
      <c r="F1297" t="s">
        <v>3935</v>
      </c>
      <c r="G1297" t="s">
        <v>3936</v>
      </c>
      <c r="H1297" t="s">
        <v>334</v>
      </c>
      <c r="I1297" s="32">
        <v>44982.728877314818</v>
      </c>
      <c r="J1297" s="32">
        <v>44983.728877314818</v>
      </c>
      <c r="K1297" s="32">
        <v>44986.728877314818</v>
      </c>
      <c r="L1297" s="8">
        <f t="shared" si="493"/>
        <v>4</v>
      </c>
      <c r="M1297" s="7">
        <v>45002.728877314818</v>
      </c>
      <c r="N1297" t="s">
        <v>49</v>
      </c>
      <c r="O1297" s="34">
        <v>44990.728877314818</v>
      </c>
      <c r="P1297" t="s">
        <v>50</v>
      </c>
      <c r="Q1297" t="s">
        <v>125</v>
      </c>
      <c r="R1297" s="32" t="s">
        <v>7472</v>
      </c>
      <c r="S1297" t="s">
        <v>7476</v>
      </c>
      <c r="T1297" s="34" t="s">
        <v>7476</v>
      </c>
      <c r="U1297" s="34" t="s">
        <v>7476</v>
      </c>
      <c r="V1297" s="32" t="s">
        <v>7476</v>
      </c>
      <c r="W1297" s="32" t="s">
        <v>7476</v>
      </c>
      <c r="X1297">
        <v>0</v>
      </c>
      <c r="Y1297" s="34" t="s">
        <v>7476</v>
      </c>
      <c r="Z1297" s="34" t="s">
        <v>7476</v>
      </c>
      <c r="AA1297" s="34" t="s">
        <v>7476</v>
      </c>
      <c r="AB1297" s="36" t="s">
        <v>52</v>
      </c>
      <c r="AD1297" t="s">
        <v>4063</v>
      </c>
      <c r="AE1297" t="s">
        <v>4064</v>
      </c>
      <c r="AF1297" s="16">
        <v>44982</v>
      </c>
      <c r="AG1297" t="s">
        <v>98</v>
      </c>
      <c r="AH1297">
        <v>3</v>
      </c>
      <c r="AI1297" s="8" t="str">
        <f t="shared" si="495"/>
        <v/>
      </c>
      <c r="AJ1297" s="8">
        <f t="shared" si="496"/>
        <v>8.7288773148175096</v>
      </c>
      <c r="AK1297" s="38" t="str">
        <f t="shared" si="494"/>
        <v/>
      </c>
      <c r="AL1297" t="str">
        <f t="shared" si="497"/>
        <v/>
      </c>
      <c r="AM1297" t="str">
        <f t="shared" si="498"/>
        <v/>
      </c>
      <c r="AN1297" t="str">
        <f t="shared" si="499"/>
        <v/>
      </c>
      <c r="AO1297">
        <f t="shared" si="500"/>
        <v>1</v>
      </c>
      <c r="AP1297">
        <f t="shared" si="501"/>
        <v>0</v>
      </c>
      <c r="AQ1297" t="str">
        <f t="shared" si="502"/>
        <v/>
      </c>
    </row>
    <row r="1298" spans="1:43" x14ac:dyDescent="0.35">
      <c r="A1298">
        <v>1234</v>
      </c>
      <c r="B1298" t="s">
        <v>4065</v>
      </c>
      <c r="C1298" t="s">
        <v>3864</v>
      </c>
      <c r="D1298" t="str">
        <f t="shared" si="492"/>
        <v>Fundraising</v>
      </c>
      <c r="E1298" t="s">
        <v>3934</v>
      </c>
      <c r="F1298" t="s">
        <v>3935</v>
      </c>
      <c r="G1298" t="s">
        <v>3936</v>
      </c>
      <c r="H1298" t="s">
        <v>334</v>
      </c>
      <c r="I1298" s="32">
        <v>44979.728877314818</v>
      </c>
      <c r="J1298" s="32">
        <v>44982.728877314818</v>
      </c>
      <c r="K1298" s="32">
        <v>44986.728877314818</v>
      </c>
      <c r="L1298" s="8">
        <f t="shared" si="493"/>
        <v>7</v>
      </c>
      <c r="M1298" s="7">
        <v>45016.728877314818</v>
      </c>
      <c r="N1298" t="s">
        <v>49</v>
      </c>
      <c r="O1298" s="34">
        <v>44991.728877314818</v>
      </c>
      <c r="P1298" t="s">
        <v>50</v>
      </c>
      <c r="Q1298" t="s">
        <v>84</v>
      </c>
      <c r="R1298" s="32" t="s">
        <v>7472</v>
      </c>
      <c r="S1298" t="s">
        <v>7476</v>
      </c>
      <c r="T1298" s="34" t="s">
        <v>7476</v>
      </c>
      <c r="U1298" s="34" t="s">
        <v>7476</v>
      </c>
      <c r="V1298" s="32">
        <v>44992.728877314818</v>
      </c>
      <c r="W1298" s="32" t="s">
        <v>7476</v>
      </c>
      <c r="X1298">
        <v>0</v>
      </c>
      <c r="Y1298" s="34" t="s">
        <v>7476</v>
      </c>
      <c r="Z1298" s="34" t="s">
        <v>7476</v>
      </c>
      <c r="AA1298" s="34" t="s">
        <v>7476</v>
      </c>
      <c r="AB1298" s="36" t="s">
        <v>52</v>
      </c>
      <c r="AD1298" t="s">
        <v>4066</v>
      </c>
      <c r="AE1298" t="s">
        <v>4067</v>
      </c>
      <c r="AF1298" s="16">
        <v>44985</v>
      </c>
      <c r="AG1298" t="s">
        <v>68</v>
      </c>
      <c r="AH1298">
        <v>6</v>
      </c>
      <c r="AI1298" s="8" t="str">
        <f t="shared" si="495"/>
        <v/>
      </c>
      <c r="AJ1298" s="8">
        <f t="shared" si="496"/>
        <v>6.7288773148175096</v>
      </c>
      <c r="AK1298" s="38">
        <f t="shared" si="494"/>
        <v>45172.728877314818</v>
      </c>
      <c r="AL1298" t="str">
        <f t="shared" si="497"/>
        <v/>
      </c>
      <c r="AM1298" t="str">
        <f t="shared" si="498"/>
        <v/>
      </c>
      <c r="AN1298">
        <f t="shared" si="499"/>
        <v>1</v>
      </c>
      <c r="AO1298">
        <f t="shared" si="500"/>
        <v>3</v>
      </c>
      <c r="AP1298">
        <f t="shared" si="501"/>
        <v>0</v>
      </c>
      <c r="AQ1298" t="str">
        <f t="shared" si="502"/>
        <v/>
      </c>
    </row>
    <row r="1299" spans="1:43" x14ac:dyDescent="0.35">
      <c r="A1299">
        <v>1229</v>
      </c>
      <c r="B1299" t="s">
        <v>4068</v>
      </c>
      <c r="C1299" t="s">
        <v>3864</v>
      </c>
      <c r="D1299" t="str">
        <f t="shared" si="492"/>
        <v>Fundraising</v>
      </c>
      <c r="E1299" t="s">
        <v>3934</v>
      </c>
      <c r="F1299" t="s">
        <v>3935</v>
      </c>
      <c r="G1299" t="s">
        <v>3936</v>
      </c>
      <c r="H1299" t="s">
        <v>334</v>
      </c>
      <c r="I1299" s="32">
        <v>44734.14203703704</v>
      </c>
      <c r="J1299" s="32">
        <v>44738.14203703704</v>
      </c>
      <c r="K1299" s="32">
        <v>44741.14203703704</v>
      </c>
      <c r="L1299" s="8">
        <f t="shared" si="493"/>
        <v>7</v>
      </c>
      <c r="M1299" s="7">
        <v>44768.14203703704</v>
      </c>
      <c r="N1299" t="s">
        <v>49</v>
      </c>
      <c r="O1299" s="34">
        <v>44748.14203703704</v>
      </c>
      <c r="P1299" t="s">
        <v>60</v>
      </c>
      <c r="R1299" s="32">
        <v>44755.14203703704</v>
      </c>
      <c r="S1299" t="s">
        <v>61</v>
      </c>
      <c r="T1299" s="34" t="s">
        <v>7476</v>
      </c>
      <c r="U1299" s="34" t="s">
        <v>7476</v>
      </c>
      <c r="V1299" s="32">
        <v>44751.14203703704</v>
      </c>
      <c r="W1299" s="32" t="s">
        <v>7476</v>
      </c>
      <c r="X1299">
        <v>0</v>
      </c>
      <c r="Y1299" s="34" t="s">
        <v>7476</v>
      </c>
      <c r="Z1299" s="34" t="s">
        <v>7476</v>
      </c>
      <c r="AA1299" s="34" t="s">
        <v>7476</v>
      </c>
      <c r="AB1299" s="36" t="s">
        <v>7476</v>
      </c>
      <c r="AD1299" t="s">
        <v>4069</v>
      </c>
      <c r="AE1299" t="s">
        <v>4070</v>
      </c>
      <c r="AF1299" s="16">
        <v>44736</v>
      </c>
      <c r="AG1299" t="s">
        <v>98</v>
      </c>
      <c r="AH1299">
        <v>3</v>
      </c>
      <c r="AI1299" s="8">
        <f t="shared" si="495"/>
        <v>19.142037037039699</v>
      </c>
      <c r="AJ1299" s="8">
        <f t="shared" si="496"/>
        <v>12.142037037039699</v>
      </c>
      <c r="AK1299" s="38">
        <f t="shared" si="494"/>
        <v>44841.14203703704</v>
      </c>
      <c r="AL1299" t="str">
        <f t="shared" si="497"/>
        <v/>
      </c>
      <c r="AM1299">
        <f t="shared" si="498"/>
        <v>17</v>
      </c>
      <c r="AN1299">
        <f t="shared" si="499"/>
        <v>3</v>
      </c>
      <c r="AO1299">
        <f t="shared" si="500"/>
        <v>4</v>
      </c>
      <c r="AP1299">
        <f t="shared" si="501"/>
        <v>0</v>
      </c>
      <c r="AQ1299" t="str">
        <f t="shared" si="502"/>
        <v/>
      </c>
    </row>
    <row r="1300" spans="1:43" x14ac:dyDescent="0.35">
      <c r="A1300">
        <v>1223</v>
      </c>
      <c r="B1300" t="s">
        <v>4071</v>
      </c>
      <c r="C1300" t="s">
        <v>3854</v>
      </c>
      <c r="D1300" t="str">
        <f t="shared" si="492"/>
        <v>Fundraising</v>
      </c>
      <c r="E1300" t="s">
        <v>3934</v>
      </c>
      <c r="F1300" t="s">
        <v>3935</v>
      </c>
      <c r="G1300" t="s">
        <v>3936</v>
      </c>
      <c r="H1300" t="s">
        <v>334</v>
      </c>
      <c r="I1300" s="32">
        <v>44736.14203703704</v>
      </c>
      <c r="J1300" s="32">
        <v>44739.14203703704</v>
      </c>
      <c r="K1300" s="32">
        <v>44741.14203703704</v>
      </c>
      <c r="L1300" s="8">
        <f t="shared" si="493"/>
        <v>5</v>
      </c>
      <c r="M1300" s="7">
        <v>44748.14203703704</v>
      </c>
      <c r="N1300" t="s">
        <v>49</v>
      </c>
      <c r="O1300" s="34">
        <v>44757.14203703704</v>
      </c>
      <c r="P1300" t="s">
        <v>50</v>
      </c>
      <c r="Q1300" t="s">
        <v>84</v>
      </c>
      <c r="R1300" s="32" t="s">
        <v>7472</v>
      </c>
      <c r="S1300" t="s">
        <v>7476</v>
      </c>
      <c r="T1300" s="34" t="s">
        <v>7476</v>
      </c>
      <c r="U1300" s="34" t="s">
        <v>7476</v>
      </c>
      <c r="V1300" s="32">
        <v>44759.14203703704</v>
      </c>
      <c r="W1300" s="32" t="s">
        <v>7476</v>
      </c>
      <c r="X1300">
        <v>0</v>
      </c>
      <c r="Y1300" s="34" t="s">
        <v>7476</v>
      </c>
      <c r="Z1300" s="34" t="s">
        <v>7476</v>
      </c>
      <c r="AA1300" s="34" t="s">
        <v>7476</v>
      </c>
      <c r="AB1300" s="36" t="s">
        <v>52</v>
      </c>
      <c r="AD1300" t="s">
        <v>4072</v>
      </c>
      <c r="AE1300" t="s">
        <v>4073</v>
      </c>
      <c r="AF1300" s="16">
        <v>44739</v>
      </c>
      <c r="AG1300" t="s">
        <v>64</v>
      </c>
      <c r="AH1300">
        <v>3</v>
      </c>
      <c r="AI1300" s="8" t="str">
        <f t="shared" si="495"/>
        <v/>
      </c>
      <c r="AJ1300" s="8">
        <f t="shared" si="496"/>
        <v>18.142037037039699</v>
      </c>
      <c r="AK1300" s="38">
        <f t="shared" si="494"/>
        <v>44849.14203703704</v>
      </c>
      <c r="AL1300" t="str">
        <f t="shared" si="497"/>
        <v/>
      </c>
      <c r="AM1300" t="str">
        <f t="shared" si="498"/>
        <v/>
      </c>
      <c r="AN1300">
        <f t="shared" si="499"/>
        <v>2</v>
      </c>
      <c r="AO1300">
        <f t="shared" si="500"/>
        <v>3</v>
      </c>
      <c r="AP1300">
        <f t="shared" si="501"/>
        <v>0</v>
      </c>
      <c r="AQ1300" t="str">
        <f t="shared" si="502"/>
        <v/>
      </c>
    </row>
    <row r="1301" spans="1:43" x14ac:dyDescent="0.35">
      <c r="A1301">
        <v>1222</v>
      </c>
      <c r="B1301" t="s">
        <v>4074</v>
      </c>
      <c r="C1301" t="s">
        <v>3864</v>
      </c>
      <c r="D1301" t="str">
        <f t="shared" si="492"/>
        <v>Fundraising</v>
      </c>
      <c r="E1301" t="s">
        <v>3934</v>
      </c>
      <c r="F1301" t="s">
        <v>3935</v>
      </c>
      <c r="G1301" t="s">
        <v>3936</v>
      </c>
      <c r="H1301" t="s">
        <v>334</v>
      </c>
      <c r="I1301" s="32">
        <v>44733.14203703704</v>
      </c>
      <c r="J1301" s="32">
        <v>44735.14203703704</v>
      </c>
      <c r="K1301" s="32">
        <v>44741.14203703704</v>
      </c>
      <c r="L1301" s="8">
        <f t="shared" si="493"/>
        <v>8</v>
      </c>
      <c r="M1301" s="7">
        <v>44756.14203703704</v>
      </c>
      <c r="N1301" t="s">
        <v>49</v>
      </c>
      <c r="O1301" s="34">
        <v>44753.14203703704</v>
      </c>
      <c r="P1301" t="s">
        <v>60</v>
      </c>
      <c r="R1301" s="32">
        <v>44757.14203703704</v>
      </c>
      <c r="S1301" t="s">
        <v>61</v>
      </c>
      <c r="T1301" s="34" t="s">
        <v>7476</v>
      </c>
      <c r="U1301" s="34" t="s">
        <v>7476</v>
      </c>
      <c r="V1301" s="32">
        <v>44754.14203703704</v>
      </c>
      <c r="W1301" s="32" t="s">
        <v>7476</v>
      </c>
      <c r="X1301">
        <v>0</v>
      </c>
      <c r="Y1301" s="34" t="s">
        <v>7476</v>
      </c>
      <c r="Z1301" s="34" t="s">
        <v>7476</v>
      </c>
      <c r="AA1301" s="34" t="s">
        <v>7476</v>
      </c>
      <c r="AB1301" s="36" t="s">
        <v>7476</v>
      </c>
      <c r="AD1301" t="s">
        <v>4075</v>
      </c>
      <c r="AE1301" t="s">
        <v>4076</v>
      </c>
      <c r="AF1301" s="16">
        <v>44735</v>
      </c>
      <c r="AG1301" t="s">
        <v>68</v>
      </c>
      <c r="AH1301">
        <v>6</v>
      </c>
      <c r="AI1301" s="8">
        <f t="shared" si="495"/>
        <v>22.142037037039699</v>
      </c>
      <c r="AJ1301" s="8">
        <f t="shared" si="496"/>
        <v>18.142037037039699</v>
      </c>
      <c r="AK1301" s="38">
        <f t="shared" si="494"/>
        <v>44934.14203703704</v>
      </c>
      <c r="AL1301" t="str">
        <f t="shared" si="497"/>
        <v/>
      </c>
      <c r="AM1301">
        <f t="shared" si="498"/>
        <v>22</v>
      </c>
      <c r="AN1301">
        <f t="shared" si="499"/>
        <v>1</v>
      </c>
      <c r="AO1301">
        <f t="shared" si="500"/>
        <v>2</v>
      </c>
      <c r="AP1301">
        <f t="shared" si="501"/>
        <v>0</v>
      </c>
      <c r="AQ1301" t="str">
        <f t="shared" si="502"/>
        <v/>
      </c>
    </row>
    <row r="1302" spans="1:43" x14ac:dyDescent="0.35">
      <c r="A1302">
        <v>1208</v>
      </c>
      <c r="B1302" t="s">
        <v>4077</v>
      </c>
      <c r="C1302" t="s">
        <v>3864</v>
      </c>
      <c r="D1302" t="str">
        <f t="shared" si="492"/>
        <v>Fundraising</v>
      </c>
      <c r="E1302" t="s">
        <v>3934</v>
      </c>
      <c r="F1302" t="s">
        <v>3935</v>
      </c>
      <c r="G1302" t="s">
        <v>3936</v>
      </c>
      <c r="H1302" t="s">
        <v>334</v>
      </c>
      <c r="I1302" s="32">
        <v>44763.205266203702</v>
      </c>
      <c r="J1302" s="32">
        <v>44764.205266203702</v>
      </c>
      <c r="K1302" s="32">
        <v>44770.205266203702</v>
      </c>
      <c r="L1302" s="8">
        <f t="shared" si="493"/>
        <v>7</v>
      </c>
      <c r="M1302" s="7">
        <v>44795.205266203702</v>
      </c>
      <c r="N1302" t="s">
        <v>49</v>
      </c>
      <c r="O1302" s="34">
        <v>44785.205266203702</v>
      </c>
      <c r="P1302" t="s">
        <v>50</v>
      </c>
      <c r="Q1302" t="s">
        <v>236</v>
      </c>
      <c r="R1302" s="32" t="s">
        <v>7472</v>
      </c>
      <c r="S1302" t="s">
        <v>7476</v>
      </c>
      <c r="T1302" s="34" t="s">
        <v>7476</v>
      </c>
      <c r="U1302" s="34" t="s">
        <v>7476</v>
      </c>
      <c r="V1302" s="32" t="s">
        <v>7476</v>
      </c>
      <c r="W1302" s="32" t="s">
        <v>7476</v>
      </c>
      <c r="X1302">
        <v>0</v>
      </c>
      <c r="Y1302" s="34" t="s">
        <v>7476</v>
      </c>
      <c r="Z1302" s="34" t="s">
        <v>7476</v>
      </c>
      <c r="AA1302" s="34" t="s">
        <v>7476</v>
      </c>
      <c r="AB1302" s="36" t="s">
        <v>95</v>
      </c>
      <c r="AD1302" t="s">
        <v>4078</v>
      </c>
      <c r="AE1302" t="s">
        <v>4079</v>
      </c>
      <c r="AF1302" s="16">
        <v>44766</v>
      </c>
      <c r="AG1302" t="s">
        <v>98</v>
      </c>
      <c r="AH1302">
        <v>3</v>
      </c>
      <c r="AI1302" s="8" t="str">
        <f t="shared" si="495"/>
        <v/>
      </c>
      <c r="AJ1302" s="8">
        <f t="shared" si="496"/>
        <v>19.205266203702195</v>
      </c>
      <c r="AK1302" s="38" t="str">
        <f t="shared" si="494"/>
        <v/>
      </c>
      <c r="AL1302" t="str">
        <f t="shared" si="497"/>
        <v/>
      </c>
      <c r="AM1302" t="str">
        <f t="shared" si="498"/>
        <v/>
      </c>
      <c r="AN1302" t="str">
        <f t="shared" si="499"/>
        <v/>
      </c>
      <c r="AO1302">
        <f t="shared" si="500"/>
        <v>1</v>
      </c>
      <c r="AP1302">
        <f t="shared" si="501"/>
        <v>0</v>
      </c>
      <c r="AQ1302" t="str">
        <f t="shared" si="502"/>
        <v/>
      </c>
    </row>
    <row r="1303" spans="1:43" x14ac:dyDescent="0.35">
      <c r="A1303">
        <v>1191</v>
      </c>
      <c r="B1303" t="s">
        <v>4080</v>
      </c>
      <c r="C1303" t="s">
        <v>3864</v>
      </c>
      <c r="D1303" t="str">
        <f t="shared" si="492"/>
        <v>Fundraising</v>
      </c>
      <c r="E1303" t="s">
        <v>3934</v>
      </c>
      <c r="F1303" t="s">
        <v>3935</v>
      </c>
      <c r="G1303" t="s">
        <v>3936</v>
      </c>
      <c r="H1303" t="s">
        <v>334</v>
      </c>
      <c r="I1303" s="32">
        <v>44767.966006944444</v>
      </c>
      <c r="J1303" s="32">
        <v>44768.966006944444</v>
      </c>
      <c r="K1303" s="32">
        <v>44771.966006944444</v>
      </c>
      <c r="L1303" s="8">
        <f t="shared" si="493"/>
        <v>4</v>
      </c>
      <c r="M1303" s="7">
        <v>44783.966006944444</v>
      </c>
      <c r="N1303" t="s">
        <v>49</v>
      </c>
      <c r="O1303" s="34">
        <v>44780.966006944444</v>
      </c>
      <c r="P1303" t="s">
        <v>50</v>
      </c>
      <c r="Q1303" t="s">
        <v>198</v>
      </c>
      <c r="R1303" s="32" t="s">
        <v>7472</v>
      </c>
      <c r="S1303" t="s">
        <v>7476</v>
      </c>
      <c r="T1303" s="34" t="s">
        <v>7476</v>
      </c>
      <c r="U1303" s="34" t="s">
        <v>7476</v>
      </c>
      <c r="V1303" s="32">
        <v>44781.966006944444</v>
      </c>
      <c r="W1303" s="32" t="s">
        <v>7476</v>
      </c>
      <c r="X1303">
        <v>0</v>
      </c>
      <c r="Y1303" s="34" t="s">
        <v>7476</v>
      </c>
      <c r="Z1303" s="34" t="s">
        <v>7476</v>
      </c>
      <c r="AA1303" s="34" t="s">
        <v>7476</v>
      </c>
      <c r="AB1303" s="36" t="s">
        <v>52</v>
      </c>
      <c r="AD1303" t="s">
        <v>4081</v>
      </c>
      <c r="AE1303" t="s">
        <v>4082</v>
      </c>
      <c r="AF1303" s="16">
        <v>44772</v>
      </c>
      <c r="AG1303" t="s">
        <v>68</v>
      </c>
      <c r="AH1303">
        <v>3</v>
      </c>
      <c r="AI1303" s="8" t="str">
        <f t="shared" si="495"/>
        <v/>
      </c>
      <c r="AJ1303" s="8">
        <f t="shared" si="496"/>
        <v>8.9660069444435067</v>
      </c>
      <c r="AK1303" s="38">
        <f t="shared" si="494"/>
        <v>44871.966006944444</v>
      </c>
      <c r="AL1303" t="str">
        <f t="shared" si="497"/>
        <v/>
      </c>
      <c r="AM1303" t="str">
        <f t="shared" si="498"/>
        <v/>
      </c>
      <c r="AN1303">
        <f t="shared" si="499"/>
        <v>1</v>
      </c>
      <c r="AO1303">
        <f t="shared" si="500"/>
        <v>1</v>
      </c>
      <c r="AP1303">
        <f t="shared" si="501"/>
        <v>0</v>
      </c>
      <c r="AQ1303" t="str">
        <f t="shared" si="502"/>
        <v/>
      </c>
    </row>
    <row r="1304" spans="1:43" x14ac:dyDescent="0.35">
      <c r="A1304">
        <v>1179</v>
      </c>
      <c r="B1304" t="s">
        <v>4083</v>
      </c>
      <c r="C1304" t="s">
        <v>3854</v>
      </c>
      <c r="D1304" t="str">
        <f t="shared" si="492"/>
        <v>Fundraising</v>
      </c>
      <c r="E1304" t="s">
        <v>3934</v>
      </c>
      <c r="F1304" t="s">
        <v>3935</v>
      </c>
      <c r="G1304" t="s">
        <v>3936</v>
      </c>
      <c r="H1304" t="s">
        <v>334</v>
      </c>
      <c r="I1304" s="32" t="s">
        <v>7471</v>
      </c>
      <c r="J1304" s="32">
        <v>45065.041770833333</v>
      </c>
      <c r="K1304" s="32">
        <v>45066.041770833333</v>
      </c>
      <c r="L1304" s="8" t="str">
        <f t="shared" si="493"/>
        <v/>
      </c>
      <c r="M1304" s="7">
        <v>45079.041770833333</v>
      </c>
      <c r="N1304" t="s">
        <v>49</v>
      </c>
      <c r="O1304" s="34">
        <v>45084.041770833333</v>
      </c>
      <c r="P1304" t="s">
        <v>50</v>
      </c>
      <c r="Q1304" t="s">
        <v>51</v>
      </c>
      <c r="R1304" s="32" t="s">
        <v>7472</v>
      </c>
      <c r="S1304" t="s">
        <v>7476</v>
      </c>
      <c r="T1304" s="34" t="s">
        <v>7476</v>
      </c>
      <c r="U1304" s="34" t="s">
        <v>7476</v>
      </c>
      <c r="V1304" s="32">
        <v>45085.041770833333</v>
      </c>
      <c r="W1304" s="32" t="s">
        <v>7476</v>
      </c>
      <c r="X1304">
        <v>0</v>
      </c>
      <c r="Y1304" s="34" t="s">
        <v>7476</v>
      </c>
      <c r="Z1304" s="34" t="s">
        <v>7476</v>
      </c>
      <c r="AA1304" s="34" t="s">
        <v>7476</v>
      </c>
      <c r="AB1304" s="36" t="s">
        <v>52</v>
      </c>
      <c r="AD1304" t="s">
        <v>4084</v>
      </c>
      <c r="AE1304" t="s">
        <v>4085</v>
      </c>
      <c r="AF1304" s="16">
        <v>45072</v>
      </c>
      <c r="AG1304" t="s">
        <v>64</v>
      </c>
      <c r="AH1304">
        <v>3</v>
      </c>
      <c r="AK1304" s="38">
        <f t="shared" si="494"/>
        <v>45175.041770833333</v>
      </c>
    </row>
    <row r="1305" spans="1:43" x14ac:dyDescent="0.35">
      <c r="A1305">
        <v>1105</v>
      </c>
      <c r="B1305" t="s">
        <v>4086</v>
      </c>
      <c r="C1305" t="s">
        <v>3860</v>
      </c>
      <c r="D1305" t="str">
        <f t="shared" si="492"/>
        <v>Fundraising</v>
      </c>
      <c r="E1305" t="s">
        <v>3934</v>
      </c>
      <c r="F1305" t="s">
        <v>3935</v>
      </c>
      <c r="G1305" t="s">
        <v>3936</v>
      </c>
      <c r="H1305" t="s">
        <v>334</v>
      </c>
      <c r="I1305" s="32">
        <v>44671.953865740739</v>
      </c>
      <c r="J1305" s="32" t="s">
        <v>7471</v>
      </c>
      <c r="K1305" s="32">
        <v>44681.953865740739</v>
      </c>
      <c r="L1305" s="8">
        <f t="shared" si="493"/>
        <v>10</v>
      </c>
      <c r="M1305" s="7">
        <v>44695.953865740739</v>
      </c>
      <c r="N1305" t="s">
        <v>49</v>
      </c>
      <c r="O1305" s="34">
        <v>44694.953865740739</v>
      </c>
      <c r="P1305" t="s">
        <v>60</v>
      </c>
      <c r="R1305" s="32">
        <v>44699.953865740739</v>
      </c>
      <c r="S1305" t="s">
        <v>61</v>
      </c>
      <c r="T1305" s="34" t="s">
        <v>7476</v>
      </c>
      <c r="U1305" s="34" t="s">
        <v>7476</v>
      </c>
      <c r="V1305" s="32">
        <v>44698.953865740739</v>
      </c>
      <c r="W1305" s="32" t="s">
        <v>7476</v>
      </c>
      <c r="X1305">
        <v>0</v>
      </c>
      <c r="Y1305" s="34" t="s">
        <v>7476</v>
      </c>
      <c r="Z1305" s="34" t="s">
        <v>7476</v>
      </c>
      <c r="AA1305" s="34" t="s">
        <v>7476</v>
      </c>
      <c r="AB1305" s="36" t="s">
        <v>7476</v>
      </c>
      <c r="AD1305" t="s">
        <v>4087</v>
      </c>
      <c r="AE1305" t="s">
        <v>4088</v>
      </c>
      <c r="AF1305" s="16">
        <v>44678</v>
      </c>
      <c r="AG1305" t="s">
        <v>64</v>
      </c>
      <c r="AH1305">
        <v>6</v>
      </c>
      <c r="AK1305" s="38">
        <f t="shared" si="494"/>
        <v>44878.953865740739</v>
      </c>
    </row>
    <row r="1306" spans="1:43" x14ac:dyDescent="0.35">
      <c r="A1306">
        <v>1101</v>
      </c>
      <c r="B1306" t="s">
        <v>4089</v>
      </c>
      <c r="C1306" t="s">
        <v>3854</v>
      </c>
      <c r="D1306" t="str">
        <f t="shared" si="492"/>
        <v>Fundraising</v>
      </c>
      <c r="E1306" t="s">
        <v>3934</v>
      </c>
      <c r="F1306" t="s">
        <v>3935</v>
      </c>
      <c r="G1306" t="s">
        <v>3936</v>
      </c>
      <c r="H1306" t="s">
        <v>334</v>
      </c>
      <c r="I1306" s="32">
        <v>44675.953865740739</v>
      </c>
      <c r="J1306" s="32">
        <v>44676.953865740739</v>
      </c>
      <c r="K1306" s="32">
        <v>44681.953865740739</v>
      </c>
      <c r="L1306" s="8">
        <f t="shared" si="493"/>
        <v>6</v>
      </c>
      <c r="M1306" s="7">
        <v>44698.953865740739</v>
      </c>
      <c r="N1306" t="s">
        <v>49</v>
      </c>
      <c r="O1306" s="34">
        <v>44693.953865740739</v>
      </c>
      <c r="P1306" t="s">
        <v>60</v>
      </c>
      <c r="R1306" s="32">
        <v>44695.953865740739</v>
      </c>
      <c r="S1306" t="s">
        <v>61</v>
      </c>
      <c r="T1306" s="34" t="s">
        <v>7476</v>
      </c>
      <c r="U1306" s="34" t="s">
        <v>7476</v>
      </c>
      <c r="V1306" s="32">
        <v>44694.953865740739</v>
      </c>
      <c r="W1306" s="32" t="s">
        <v>7476</v>
      </c>
      <c r="X1306">
        <v>0</v>
      </c>
      <c r="Y1306" s="34" t="s">
        <v>7476</v>
      </c>
      <c r="Z1306" s="34" t="s">
        <v>7476</v>
      </c>
      <c r="AA1306" s="34" t="s">
        <v>7476</v>
      </c>
      <c r="AB1306" s="36" t="s">
        <v>7476</v>
      </c>
      <c r="AD1306" t="s">
        <v>4090</v>
      </c>
      <c r="AE1306" t="s">
        <v>4091</v>
      </c>
      <c r="AF1306" s="16">
        <v>44683</v>
      </c>
      <c r="AG1306" t="s">
        <v>68</v>
      </c>
      <c r="AH1306">
        <v>6</v>
      </c>
      <c r="AI1306" s="8">
        <f>IFERROR(R1306-AF1306,"")</f>
        <v>12.953865740739275</v>
      </c>
      <c r="AJ1306" s="8">
        <f>IFERROR(O1306-AF1306,"")</f>
        <v>10.953865740739275</v>
      </c>
      <c r="AK1306" s="38">
        <f t="shared" si="494"/>
        <v>44874.953865740739</v>
      </c>
      <c r="AL1306" t="str">
        <f>IFERROR(Z1306-W1306,"")</f>
        <v/>
      </c>
      <c r="AM1306">
        <f>IFERROR(R1306-J1306,"")</f>
        <v>19</v>
      </c>
      <c r="AN1306">
        <f>IFERROR(V1306-O1306,"")</f>
        <v>1</v>
      </c>
      <c r="AO1306">
        <f>IFERROR(J1306-I1306,"")</f>
        <v>1</v>
      </c>
      <c r="AP1306">
        <f>IFERROR(AC1306-X1306,"")</f>
        <v>0</v>
      </c>
      <c r="AQ1306" t="str">
        <f>IFERROR(AA1306-W1306,"")</f>
        <v/>
      </c>
    </row>
    <row r="1307" spans="1:43" x14ac:dyDescent="0.35">
      <c r="A1307">
        <v>2998</v>
      </c>
      <c r="B1307" t="s">
        <v>4092</v>
      </c>
      <c r="C1307" t="s">
        <v>3864</v>
      </c>
      <c r="D1307" t="str">
        <f t="shared" si="492"/>
        <v>Fundraising</v>
      </c>
      <c r="E1307" t="s">
        <v>4093</v>
      </c>
      <c r="F1307" t="s">
        <v>695</v>
      </c>
      <c r="G1307" t="s">
        <v>4094</v>
      </c>
      <c r="H1307" t="s">
        <v>697</v>
      </c>
      <c r="I1307" s="32">
        <v>44990.039479166669</v>
      </c>
      <c r="J1307" s="32">
        <v>44991.039479166669</v>
      </c>
      <c r="K1307" s="32">
        <v>44993.039479166669</v>
      </c>
      <c r="L1307" s="8">
        <f t="shared" si="493"/>
        <v>3</v>
      </c>
      <c r="M1307" s="7">
        <v>45013.039479166669</v>
      </c>
      <c r="N1307" t="s">
        <v>49</v>
      </c>
      <c r="O1307" s="34">
        <v>45003.039479166669</v>
      </c>
      <c r="P1307" t="s">
        <v>50</v>
      </c>
      <c r="Q1307" t="s">
        <v>198</v>
      </c>
      <c r="R1307" s="32" t="s">
        <v>7472</v>
      </c>
      <c r="S1307" t="s">
        <v>7476</v>
      </c>
      <c r="T1307" s="34" t="s">
        <v>7476</v>
      </c>
      <c r="U1307" s="34" t="s">
        <v>7476</v>
      </c>
      <c r="V1307" s="32">
        <v>45005.039479166669</v>
      </c>
      <c r="W1307" s="32" t="s">
        <v>7476</v>
      </c>
      <c r="X1307">
        <v>0</v>
      </c>
      <c r="Y1307" s="34" t="s">
        <v>7476</v>
      </c>
      <c r="Z1307" s="34" t="s">
        <v>7476</v>
      </c>
      <c r="AA1307" s="34" t="s">
        <v>7476</v>
      </c>
      <c r="AB1307" s="36" t="s">
        <v>52</v>
      </c>
      <c r="AD1307" t="s">
        <v>4095</v>
      </c>
      <c r="AE1307" t="s">
        <v>4096</v>
      </c>
      <c r="AF1307" s="16">
        <v>44998</v>
      </c>
      <c r="AG1307" t="s">
        <v>64</v>
      </c>
      <c r="AH1307">
        <v>6</v>
      </c>
      <c r="AI1307" s="8" t="str">
        <f>IFERROR(R1307-AF1307,"")</f>
        <v/>
      </c>
      <c r="AJ1307" s="8">
        <f>IFERROR(O1307-AF1307,"")</f>
        <v>5.03947916666948</v>
      </c>
      <c r="AK1307" s="38">
        <f t="shared" si="494"/>
        <v>45185.039479166669</v>
      </c>
      <c r="AL1307" t="str">
        <f>IFERROR(Z1307-W1307,"")</f>
        <v/>
      </c>
      <c r="AM1307" t="str">
        <f>IFERROR(R1307-J1307,"")</f>
        <v/>
      </c>
      <c r="AN1307">
        <f>IFERROR(V1307-O1307,"")</f>
        <v>2</v>
      </c>
      <c r="AO1307">
        <f>IFERROR(J1307-I1307,"")</f>
        <v>1</v>
      </c>
      <c r="AP1307">
        <f>IFERROR(AC1307-X1307,"")</f>
        <v>0</v>
      </c>
      <c r="AQ1307" t="str">
        <f>IFERROR(AA1307-W1307,"")</f>
        <v/>
      </c>
    </row>
    <row r="1308" spans="1:43" x14ac:dyDescent="0.35">
      <c r="A1308">
        <v>2996</v>
      </c>
      <c r="B1308" t="s">
        <v>4097</v>
      </c>
      <c r="C1308" t="s">
        <v>3864</v>
      </c>
      <c r="D1308" t="str">
        <f t="shared" si="492"/>
        <v>Fundraising</v>
      </c>
      <c r="E1308" t="s">
        <v>4093</v>
      </c>
      <c r="F1308" t="s">
        <v>695</v>
      </c>
      <c r="G1308" t="s">
        <v>4094</v>
      </c>
      <c r="H1308" t="s">
        <v>697</v>
      </c>
      <c r="I1308" s="32">
        <v>44990.039479166669</v>
      </c>
      <c r="J1308" s="32" t="s">
        <v>7471</v>
      </c>
      <c r="K1308" s="32">
        <v>45000.039479166669</v>
      </c>
      <c r="L1308" s="8">
        <f t="shared" si="493"/>
        <v>10</v>
      </c>
      <c r="M1308" s="7">
        <v>45000.039479166669</v>
      </c>
      <c r="N1308" t="s">
        <v>49</v>
      </c>
      <c r="O1308" s="34">
        <v>44999.039479166669</v>
      </c>
      <c r="P1308" t="s">
        <v>60</v>
      </c>
      <c r="R1308" s="32">
        <v>45004.039479166669</v>
      </c>
      <c r="S1308" t="s">
        <v>61</v>
      </c>
      <c r="T1308" s="34" t="s">
        <v>7476</v>
      </c>
      <c r="U1308" s="34" t="s">
        <v>7476</v>
      </c>
      <c r="V1308" s="32">
        <v>45003.039479166669</v>
      </c>
      <c r="W1308" s="32" t="s">
        <v>7476</v>
      </c>
      <c r="X1308">
        <v>0</v>
      </c>
      <c r="Y1308" s="34" t="s">
        <v>7476</v>
      </c>
      <c r="Z1308" s="34" t="s">
        <v>7476</v>
      </c>
      <c r="AA1308" s="34" t="s">
        <v>7476</v>
      </c>
      <c r="AB1308" s="36" t="s">
        <v>7476</v>
      </c>
      <c r="AD1308" t="s">
        <v>4098</v>
      </c>
      <c r="AE1308" t="s">
        <v>4099</v>
      </c>
      <c r="AF1308" s="16">
        <v>45019</v>
      </c>
      <c r="AG1308" t="s">
        <v>68</v>
      </c>
      <c r="AH1308">
        <v>6</v>
      </c>
      <c r="AK1308" s="38">
        <f t="shared" si="494"/>
        <v>45183.039479166669</v>
      </c>
    </row>
    <row r="1309" spans="1:43" x14ac:dyDescent="0.35">
      <c r="A1309">
        <v>2791</v>
      </c>
      <c r="B1309" t="s">
        <v>4100</v>
      </c>
      <c r="C1309" t="s">
        <v>3860</v>
      </c>
      <c r="D1309" t="str">
        <f t="shared" si="492"/>
        <v>Fundraising</v>
      </c>
      <c r="E1309" t="s">
        <v>4093</v>
      </c>
      <c r="F1309" t="s">
        <v>695</v>
      </c>
      <c r="G1309" t="s">
        <v>4094</v>
      </c>
      <c r="H1309" t="s">
        <v>697</v>
      </c>
      <c r="I1309" s="32" t="s">
        <v>7471</v>
      </c>
      <c r="J1309" s="32">
        <v>45107.834444444437</v>
      </c>
      <c r="K1309" s="32">
        <v>45109.834444444437</v>
      </c>
      <c r="L1309" s="8" t="str">
        <f t="shared" si="493"/>
        <v/>
      </c>
      <c r="M1309" s="7">
        <v>45124.834444444437</v>
      </c>
      <c r="N1309" t="s">
        <v>49</v>
      </c>
      <c r="O1309" s="34">
        <v>45112.834444444437</v>
      </c>
      <c r="P1309" t="s">
        <v>50</v>
      </c>
      <c r="Q1309" t="s">
        <v>198</v>
      </c>
      <c r="R1309" s="32" t="s">
        <v>7472</v>
      </c>
      <c r="S1309" t="s">
        <v>7476</v>
      </c>
      <c r="T1309" s="34" t="s">
        <v>7476</v>
      </c>
      <c r="U1309" s="34" t="s">
        <v>7476</v>
      </c>
      <c r="V1309" s="32" t="s">
        <v>7476</v>
      </c>
      <c r="W1309" s="32" t="s">
        <v>7476</v>
      </c>
      <c r="X1309">
        <v>0</v>
      </c>
      <c r="Y1309" s="34" t="s">
        <v>7476</v>
      </c>
      <c r="Z1309" s="34" t="s">
        <v>7476</v>
      </c>
      <c r="AA1309" s="34" t="s">
        <v>7476</v>
      </c>
      <c r="AB1309" s="36" t="s">
        <v>95</v>
      </c>
      <c r="AD1309" t="s">
        <v>4101</v>
      </c>
      <c r="AE1309" t="s">
        <v>4102</v>
      </c>
      <c r="AF1309" s="16">
        <v>45103</v>
      </c>
      <c r="AG1309" t="s">
        <v>93</v>
      </c>
      <c r="AH1309">
        <v>6</v>
      </c>
      <c r="AK1309" s="38" t="str">
        <f t="shared" si="494"/>
        <v/>
      </c>
    </row>
    <row r="1310" spans="1:43" x14ac:dyDescent="0.35">
      <c r="A1310">
        <v>2769</v>
      </c>
      <c r="B1310" t="s">
        <v>4103</v>
      </c>
      <c r="C1310" t="s">
        <v>3864</v>
      </c>
      <c r="D1310" t="str">
        <f t="shared" si="492"/>
        <v>Fundraising</v>
      </c>
      <c r="E1310" t="s">
        <v>4093</v>
      </c>
      <c r="F1310" t="s">
        <v>695</v>
      </c>
      <c r="G1310" t="s">
        <v>4094</v>
      </c>
      <c r="H1310" t="s">
        <v>697</v>
      </c>
      <c r="I1310" s="32">
        <v>44803.301701388889</v>
      </c>
      <c r="J1310" s="32">
        <v>44807.301701388889</v>
      </c>
      <c r="K1310" s="32">
        <v>44813.301701388889</v>
      </c>
      <c r="L1310" s="8">
        <f t="shared" si="493"/>
        <v>10</v>
      </c>
      <c r="M1310" s="7">
        <v>44823.301701388889</v>
      </c>
      <c r="N1310" t="s">
        <v>49</v>
      </c>
      <c r="O1310" s="34">
        <v>44822.301701388889</v>
      </c>
      <c r="P1310" t="s">
        <v>392</v>
      </c>
      <c r="R1310" s="32">
        <v>44826.301701388889</v>
      </c>
      <c r="S1310" t="s">
        <v>392</v>
      </c>
      <c r="T1310" s="34" t="s">
        <v>7476</v>
      </c>
      <c r="U1310" s="34" t="s">
        <v>7476</v>
      </c>
      <c r="V1310" s="32">
        <v>44823.301701388889</v>
      </c>
      <c r="W1310" s="32" t="s">
        <v>7476</v>
      </c>
      <c r="X1310">
        <v>0</v>
      </c>
      <c r="Y1310" s="34" t="s">
        <v>7476</v>
      </c>
      <c r="Z1310" s="34" t="s">
        <v>7476</v>
      </c>
      <c r="AA1310" s="34" t="s">
        <v>7476</v>
      </c>
      <c r="AB1310" s="36" t="s">
        <v>7476</v>
      </c>
      <c r="AD1310" t="s">
        <v>4104</v>
      </c>
      <c r="AE1310" t="s">
        <v>4105</v>
      </c>
      <c r="AF1310" s="16">
        <v>44570</v>
      </c>
      <c r="AG1310" t="s">
        <v>68</v>
      </c>
      <c r="AH1310">
        <v>6</v>
      </c>
      <c r="AI1310" s="8">
        <f>IFERROR(R1310-AF1310,"")</f>
        <v>256.30170138888934</v>
      </c>
      <c r="AJ1310" s="8">
        <f>IFERROR(O1310-AF1310,"")</f>
        <v>252.30170138888934</v>
      </c>
      <c r="AK1310" s="38">
        <f t="shared" si="494"/>
        <v>45003.301701388889</v>
      </c>
      <c r="AL1310" t="str">
        <f>IFERROR(Z1310-W1310,"")</f>
        <v/>
      </c>
      <c r="AM1310">
        <f>IFERROR(R1310-J1310,"")</f>
        <v>19</v>
      </c>
      <c r="AN1310">
        <f>IFERROR(V1310-O1310,"")</f>
        <v>1</v>
      </c>
      <c r="AO1310">
        <f>IFERROR(J1310-I1310,"")</f>
        <v>4</v>
      </c>
      <c r="AP1310">
        <f>IFERROR(AC1310-X1310,"")</f>
        <v>0</v>
      </c>
      <c r="AQ1310" t="str">
        <f>IFERROR(AA1310-W1310,"")</f>
        <v/>
      </c>
    </row>
    <row r="1311" spans="1:43" x14ac:dyDescent="0.35">
      <c r="A1311">
        <v>2742</v>
      </c>
      <c r="B1311" t="s">
        <v>4106</v>
      </c>
      <c r="C1311" t="s">
        <v>3864</v>
      </c>
      <c r="D1311" t="str">
        <f t="shared" si="492"/>
        <v>Fundraising</v>
      </c>
      <c r="E1311" t="s">
        <v>4093</v>
      </c>
      <c r="F1311" t="s">
        <v>695</v>
      </c>
      <c r="G1311" t="s">
        <v>4094</v>
      </c>
      <c r="H1311" t="s">
        <v>697</v>
      </c>
      <c r="I1311" s="32">
        <v>44668.561030092591</v>
      </c>
      <c r="J1311" s="32">
        <v>44672.561030092591</v>
      </c>
      <c r="K1311" s="32">
        <v>44675.561030092591</v>
      </c>
      <c r="L1311" s="8">
        <f t="shared" si="493"/>
        <v>7</v>
      </c>
      <c r="M1311" s="7">
        <v>44694.561030092591</v>
      </c>
      <c r="N1311" t="s">
        <v>49</v>
      </c>
      <c r="O1311" s="34">
        <v>44679.561030092591</v>
      </c>
      <c r="P1311" t="s">
        <v>50</v>
      </c>
      <c r="Q1311" t="s">
        <v>125</v>
      </c>
      <c r="R1311" s="32" t="s">
        <v>7472</v>
      </c>
      <c r="S1311" t="s">
        <v>7476</v>
      </c>
      <c r="T1311" s="34" t="s">
        <v>7476</v>
      </c>
      <c r="U1311" s="34" t="s">
        <v>7476</v>
      </c>
      <c r="V1311" s="32">
        <v>44682.561030092591</v>
      </c>
      <c r="W1311" s="32" t="s">
        <v>7476</v>
      </c>
      <c r="X1311">
        <v>0</v>
      </c>
      <c r="Y1311" s="34" t="s">
        <v>7476</v>
      </c>
      <c r="Z1311" s="34" t="s">
        <v>7476</v>
      </c>
      <c r="AA1311" s="34" t="s">
        <v>7476</v>
      </c>
      <c r="AB1311" s="36" t="s">
        <v>95</v>
      </c>
      <c r="AD1311" t="s">
        <v>4107</v>
      </c>
      <c r="AE1311" t="s">
        <v>4108</v>
      </c>
      <c r="AF1311" s="16">
        <v>44668</v>
      </c>
      <c r="AG1311" t="s">
        <v>98</v>
      </c>
      <c r="AH1311">
        <v>3</v>
      </c>
      <c r="AI1311" s="8" t="str">
        <f>IFERROR(R1311-AF1311,"")</f>
        <v/>
      </c>
      <c r="AJ1311" s="8">
        <f>IFERROR(O1311-AF1311,"")</f>
        <v>11.561030092590954</v>
      </c>
      <c r="AK1311" s="38">
        <f t="shared" si="494"/>
        <v>44772.561030092591</v>
      </c>
      <c r="AL1311" t="str">
        <f>IFERROR(Z1311-W1311,"")</f>
        <v/>
      </c>
      <c r="AM1311" t="str">
        <f>IFERROR(R1311-J1311,"")</f>
        <v/>
      </c>
      <c r="AN1311">
        <f>IFERROR(V1311-O1311,"")</f>
        <v>3</v>
      </c>
      <c r="AO1311">
        <f>IFERROR(J1311-I1311,"")</f>
        <v>4</v>
      </c>
      <c r="AP1311">
        <f>IFERROR(AC1311-X1311,"")</f>
        <v>0</v>
      </c>
      <c r="AQ1311" t="str">
        <f>IFERROR(AA1311-W1311,"")</f>
        <v/>
      </c>
    </row>
    <row r="1312" spans="1:43" x14ac:dyDescent="0.35">
      <c r="A1312">
        <v>2622</v>
      </c>
      <c r="B1312" t="s">
        <v>4109</v>
      </c>
      <c r="C1312" t="s">
        <v>3854</v>
      </c>
      <c r="D1312" t="str">
        <f t="shared" si="492"/>
        <v>Fundraising</v>
      </c>
      <c r="E1312" t="s">
        <v>4093</v>
      </c>
      <c r="F1312" t="s">
        <v>695</v>
      </c>
      <c r="G1312" t="s">
        <v>4094</v>
      </c>
      <c r="H1312" t="s">
        <v>697</v>
      </c>
      <c r="I1312" s="32">
        <v>45096.668356481481</v>
      </c>
      <c r="J1312" s="32" t="s">
        <v>7471</v>
      </c>
      <c r="K1312" s="32">
        <v>45102.668356481481</v>
      </c>
      <c r="L1312" s="8">
        <f t="shared" si="493"/>
        <v>6</v>
      </c>
      <c r="M1312" s="7">
        <v>45124.668356481481</v>
      </c>
      <c r="N1312" t="s">
        <v>49</v>
      </c>
      <c r="O1312" s="34">
        <v>45110.668356481481</v>
      </c>
      <c r="P1312" t="s">
        <v>50</v>
      </c>
      <c r="Q1312" t="s">
        <v>84</v>
      </c>
      <c r="R1312" s="32" t="s">
        <v>7472</v>
      </c>
      <c r="S1312" t="s">
        <v>7476</v>
      </c>
      <c r="T1312" s="34" t="s">
        <v>7476</v>
      </c>
      <c r="U1312" s="34" t="s">
        <v>7476</v>
      </c>
      <c r="V1312" s="32">
        <v>45113.668356481481</v>
      </c>
      <c r="W1312" s="32" t="s">
        <v>7476</v>
      </c>
      <c r="X1312">
        <v>0</v>
      </c>
      <c r="Y1312" s="34" t="s">
        <v>7476</v>
      </c>
      <c r="Z1312" s="34" t="s">
        <v>7476</v>
      </c>
      <c r="AA1312" s="34" t="s">
        <v>7476</v>
      </c>
      <c r="AB1312" s="36" t="s">
        <v>95</v>
      </c>
      <c r="AD1312" t="s">
        <v>4110</v>
      </c>
      <c r="AE1312" t="s">
        <v>4111</v>
      </c>
      <c r="AF1312" s="16">
        <v>45098</v>
      </c>
      <c r="AG1312" t="s">
        <v>55</v>
      </c>
      <c r="AH1312">
        <v>3</v>
      </c>
      <c r="AK1312" s="38">
        <f t="shared" si="494"/>
        <v>45203.668356481481</v>
      </c>
    </row>
    <row r="1313" spans="1:43" x14ac:dyDescent="0.35">
      <c r="A1313">
        <v>2619</v>
      </c>
      <c r="B1313" t="s">
        <v>4112</v>
      </c>
      <c r="C1313" t="s">
        <v>3860</v>
      </c>
      <c r="D1313" t="str">
        <f t="shared" si="492"/>
        <v>Fundraising</v>
      </c>
      <c r="E1313" t="s">
        <v>4093</v>
      </c>
      <c r="F1313" t="s">
        <v>695</v>
      </c>
      <c r="G1313" t="s">
        <v>4094</v>
      </c>
      <c r="H1313" t="s">
        <v>697</v>
      </c>
      <c r="I1313" s="32">
        <v>44930.379525462973</v>
      </c>
      <c r="J1313" s="32">
        <v>44932.379525462973</v>
      </c>
      <c r="K1313" s="32">
        <v>44936.379525462973</v>
      </c>
      <c r="L1313" s="8">
        <f t="shared" si="493"/>
        <v>6</v>
      </c>
      <c r="M1313" s="7">
        <v>44946.379525462973</v>
      </c>
      <c r="N1313" t="s">
        <v>49</v>
      </c>
      <c r="O1313" s="34">
        <v>44941.379525462973</v>
      </c>
      <c r="P1313" t="s">
        <v>50</v>
      </c>
      <c r="Q1313" t="s">
        <v>125</v>
      </c>
      <c r="R1313" s="32" t="s">
        <v>7472</v>
      </c>
      <c r="S1313" t="s">
        <v>7476</v>
      </c>
      <c r="T1313" s="34" t="s">
        <v>7476</v>
      </c>
      <c r="U1313" s="34" t="s">
        <v>7476</v>
      </c>
      <c r="V1313" s="32">
        <v>44944.379525462973</v>
      </c>
      <c r="W1313" s="32" t="s">
        <v>7476</v>
      </c>
      <c r="X1313">
        <v>0</v>
      </c>
      <c r="Y1313" s="34" t="s">
        <v>7476</v>
      </c>
      <c r="Z1313" s="34" t="s">
        <v>7476</v>
      </c>
      <c r="AA1313" s="34" t="s">
        <v>7476</v>
      </c>
      <c r="AB1313" s="36" t="s">
        <v>52</v>
      </c>
      <c r="AD1313" t="s">
        <v>4113</v>
      </c>
      <c r="AE1313" t="s">
        <v>4114</v>
      </c>
      <c r="AF1313" s="16">
        <v>45017</v>
      </c>
      <c r="AG1313" t="s">
        <v>64</v>
      </c>
      <c r="AH1313">
        <v>6</v>
      </c>
      <c r="AI1313" s="8" t="str">
        <f>IFERROR(R1313-AF1313,"")</f>
        <v/>
      </c>
      <c r="AJ1313" s="8">
        <f>IFERROR(O1313-AF1313,"")</f>
        <v>-75.620474537026894</v>
      </c>
      <c r="AK1313" s="38">
        <f t="shared" si="494"/>
        <v>45124.379525462973</v>
      </c>
      <c r="AL1313" t="str">
        <f>IFERROR(Z1313-W1313,"")</f>
        <v/>
      </c>
      <c r="AM1313" t="str">
        <f>IFERROR(R1313-J1313,"")</f>
        <v/>
      </c>
      <c r="AN1313">
        <f>IFERROR(V1313-O1313,"")</f>
        <v>3</v>
      </c>
      <c r="AO1313">
        <f>IFERROR(J1313-I1313,"")</f>
        <v>2</v>
      </c>
      <c r="AP1313">
        <f>IFERROR(AC1313-X1313,"")</f>
        <v>0</v>
      </c>
      <c r="AQ1313" t="str">
        <f>IFERROR(AA1313-W1313,"")</f>
        <v/>
      </c>
    </row>
    <row r="1314" spans="1:43" x14ac:dyDescent="0.35">
      <c r="A1314">
        <v>2592</v>
      </c>
      <c r="B1314" t="s">
        <v>4115</v>
      </c>
      <c r="C1314" t="s">
        <v>3860</v>
      </c>
      <c r="D1314" t="str">
        <f t="shared" si="492"/>
        <v>Fundraising</v>
      </c>
      <c r="E1314" t="s">
        <v>4093</v>
      </c>
      <c r="F1314" t="s">
        <v>695</v>
      </c>
      <c r="G1314" t="s">
        <v>4094</v>
      </c>
      <c r="H1314" t="s">
        <v>697</v>
      </c>
      <c r="I1314" s="32">
        <v>44949.403136574067</v>
      </c>
      <c r="J1314" s="32">
        <v>44950.403136574067</v>
      </c>
      <c r="K1314" s="32">
        <v>44952.403136574067</v>
      </c>
      <c r="L1314" s="8">
        <f t="shared" si="493"/>
        <v>3</v>
      </c>
      <c r="M1314" s="7">
        <v>44959.403136574067</v>
      </c>
      <c r="N1314" t="s">
        <v>49</v>
      </c>
      <c r="O1314" s="34">
        <v>44958.403136574067</v>
      </c>
      <c r="P1314" t="s">
        <v>50</v>
      </c>
      <c r="Q1314" t="s">
        <v>51</v>
      </c>
      <c r="R1314" s="32" t="s">
        <v>7472</v>
      </c>
      <c r="S1314" t="s">
        <v>7476</v>
      </c>
      <c r="T1314" s="34" t="s">
        <v>7476</v>
      </c>
      <c r="U1314" s="34" t="s">
        <v>7476</v>
      </c>
      <c r="V1314" s="32">
        <v>44960.403136574067</v>
      </c>
      <c r="W1314" s="32" t="s">
        <v>7476</v>
      </c>
      <c r="X1314">
        <v>0</v>
      </c>
      <c r="Y1314" s="34" t="s">
        <v>7476</v>
      </c>
      <c r="Z1314" s="34" t="s">
        <v>7476</v>
      </c>
      <c r="AA1314" s="34" t="s">
        <v>7476</v>
      </c>
      <c r="AB1314" s="36" t="s">
        <v>95</v>
      </c>
      <c r="AD1314" t="s">
        <v>4116</v>
      </c>
      <c r="AE1314" t="s">
        <v>4117</v>
      </c>
      <c r="AF1314" s="16">
        <v>44942</v>
      </c>
      <c r="AG1314" t="s">
        <v>68</v>
      </c>
      <c r="AH1314">
        <v>6</v>
      </c>
      <c r="AI1314" s="8" t="str">
        <f>IFERROR(R1314-AF1314,"")</f>
        <v/>
      </c>
      <c r="AJ1314" s="8">
        <f>IFERROR(O1314-AF1314,"")</f>
        <v>16.403136574066593</v>
      </c>
      <c r="AK1314" s="38">
        <f t="shared" si="494"/>
        <v>45140.403136574067</v>
      </c>
      <c r="AL1314" t="str">
        <f>IFERROR(Z1314-W1314,"")</f>
        <v/>
      </c>
      <c r="AM1314" t="str">
        <f>IFERROR(R1314-J1314,"")</f>
        <v/>
      </c>
      <c r="AN1314">
        <f>IFERROR(V1314-O1314,"")</f>
        <v>2</v>
      </c>
      <c r="AO1314">
        <f>IFERROR(J1314-I1314,"")</f>
        <v>1</v>
      </c>
      <c r="AP1314">
        <f>IFERROR(AC1314-X1314,"")</f>
        <v>0</v>
      </c>
      <c r="AQ1314" t="str">
        <f>IFERROR(AA1314-W1314,"")</f>
        <v/>
      </c>
    </row>
    <row r="1315" spans="1:43" x14ac:dyDescent="0.35">
      <c r="A1315">
        <v>2571</v>
      </c>
      <c r="B1315" t="s">
        <v>4118</v>
      </c>
      <c r="C1315" t="s">
        <v>3854</v>
      </c>
      <c r="D1315" t="str">
        <f t="shared" si="492"/>
        <v>Fundraising</v>
      </c>
      <c r="E1315" t="s">
        <v>4093</v>
      </c>
      <c r="F1315" t="s">
        <v>695</v>
      </c>
      <c r="G1315" t="s">
        <v>4094</v>
      </c>
      <c r="H1315" t="s">
        <v>697</v>
      </c>
      <c r="I1315" s="32" t="s">
        <v>7471</v>
      </c>
      <c r="J1315" s="32">
        <v>44640.718425925923</v>
      </c>
      <c r="K1315" s="32" t="s">
        <v>7473</v>
      </c>
      <c r="L1315" s="8" t="str">
        <f t="shared" si="493"/>
        <v/>
      </c>
      <c r="M1315" s="7">
        <v>44673.718425925923</v>
      </c>
      <c r="N1315" t="s">
        <v>49</v>
      </c>
      <c r="O1315" s="34">
        <v>44650.718425925923</v>
      </c>
      <c r="P1315" t="s">
        <v>50</v>
      </c>
      <c r="Q1315" t="s">
        <v>198</v>
      </c>
      <c r="R1315" s="32" t="s">
        <v>7472</v>
      </c>
      <c r="S1315" t="s">
        <v>7476</v>
      </c>
      <c r="T1315" s="34" t="s">
        <v>7476</v>
      </c>
      <c r="U1315" s="34" t="s">
        <v>7476</v>
      </c>
      <c r="V1315" s="32" t="s">
        <v>7476</v>
      </c>
      <c r="W1315" s="32" t="s">
        <v>7476</v>
      </c>
      <c r="X1315">
        <v>0</v>
      </c>
      <c r="Y1315" s="34" t="s">
        <v>7476</v>
      </c>
      <c r="Z1315" s="34" t="s">
        <v>7476</v>
      </c>
      <c r="AA1315" s="34" t="s">
        <v>7476</v>
      </c>
      <c r="AB1315" s="36" t="s">
        <v>95</v>
      </c>
      <c r="AD1315" t="s">
        <v>4119</v>
      </c>
      <c r="AE1315" t="s">
        <v>4120</v>
      </c>
      <c r="AF1315" s="16">
        <v>44640</v>
      </c>
      <c r="AG1315" t="s">
        <v>68</v>
      </c>
      <c r="AH1315">
        <v>3</v>
      </c>
      <c r="AK1315" s="38" t="str">
        <f t="shared" si="494"/>
        <v/>
      </c>
    </row>
    <row r="1316" spans="1:43" x14ac:dyDescent="0.35">
      <c r="A1316">
        <v>2525</v>
      </c>
      <c r="B1316" t="s">
        <v>4121</v>
      </c>
      <c r="C1316" t="s">
        <v>3854</v>
      </c>
      <c r="D1316" t="str">
        <f t="shared" si="492"/>
        <v>Fundraising</v>
      </c>
      <c r="E1316" t="s">
        <v>4093</v>
      </c>
      <c r="F1316" t="s">
        <v>695</v>
      </c>
      <c r="G1316" t="s">
        <v>4094</v>
      </c>
      <c r="H1316" t="s">
        <v>697</v>
      </c>
      <c r="I1316" s="32">
        <v>45028.778819444437</v>
      </c>
      <c r="J1316" s="32">
        <v>45030.778819444437</v>
      </c>
      <c r="K1316" s="32">
        <v>45033.778819444437</v>
      </c>
      <c r="L1316" s="8">
        <f t="shared" si="493"/>
        <v>5</v>
      </c>
      <c r="M1316" s="7">
        <v>45047.778819444437</v>
      </c>
      <c r="N1316" t="s">
        <v>49</v>
      </c>
      <c r="O1316" s="34">
        <v>45045.778819444437</v>
      </c>
      <c r="P1316" t="s">
        <v>101</v>
      </c>
      <c r="R1316" s="32">
        <v>45047.778819444437</v>
      </c>
      <c r="S1316" t="s">
        <v>101</v>
      </c>
      <c r="T1316" s="34">
        <v>45047.778819444437</v>
      </c>
      <c r="U1316" s="34">
        <v>45051.778819444437</v>
      </c>
      <c r="V1316" s="32">
        <v>45046.778819444437</v>
      </c>
      <c r="W1316" s="32">
        <v>45052.778819444437</v>
      </c>
      <c r="X1316">
        <v>1</v>
      </c>
      <c r="Y1316" s="34">
        <v>45053.778819444437</v>
      </c>
      <c r="Z1316" s="34">
        <v>45056.778819444437</v>
      </c>
      <c r="AA1316" s="34">
        <v>45057.778819444437</v>
      </c>
      <c r="AB1316" s="36" t="s">
        <v>7476</v>
      </c>
      <c r="AC1316" s="10">
        <v>45073.778819444437</v>
      </c>
      <c r="AD1316" t="s">
        <v>4122</v>
      </c>
      <c r="AE1316" t="s">
        <v>4123</v>
      </c>
      <c r="AF1316" s="16">
        <v>45035</v>
      </c>
      <c r="AG1316" t="s">
        <v>68</v>
      </c>
      <c r="AH1316">
        <v>6</v>
      </c>
      <c r="AI1316" s="8">
        <f t="shared" ref="AI1316:AI1322" si="503">IFERROR(R1316-AF1316,"")</f>
        <v>12.778819444436522</v>
      </c>
      <c r="AJ1316" s="8">
        <f t="shared" ref="AJ1316:AJ1322" si="504">IFERROR(O1316-AF1316,"")</f>
        <v>10.778819444436522</v>
      </c>
      <c r="AK1316" s="38">
        <f t="shared" si="494"/>
        <v>45226.778819444437</v>
      </c>
      <c r="AL1316">
        <f t="shared" ref="AL1316:AL1322" si="505">IFERROR(Z1316-W1316,"")</f>
        <v>4</v>
      </c>
      <c r="AM1316">
        <f t="shared" ref="AM1316:AM1322" si="506">IFERROR(R1316-J1316,"")</f>
        <v>17</v>
      </c>
      <c r="AN1316">
        <f t="shared" ref="AN1316:AN1322" si="507">IFERROR(V1316-O1316,"")</f>
        <v>1</v>
      </c>
      <c r="AO1316">
        <f t="shared" ref="AO1316:AO1322" si="508">IFERROR(J1316-I1316,"")</f>
        <v>2</v>
      </c>
      <c r="AP1316">
        <f t="shared" ref="AP1316:AP1322" si="509">IFERROR(AC1316-X1316,"")</f>
        <v>45072.778819444437</v>
      </c>
      <c r="AQ1316">
        <f t="shared" ref="AQ1316:AQ1322" si="510">IFERROR(AA1316-W1316,"")</f>
        <v>5</v>
      </c>
    </row>
    <row r="1317" spans="1:43" x14ac:dyDescent="0.35">
      <c r="A1317">
        <v>2521</v>
      </c>
      <c r="B1317" t="s">
        <v>4124</v>
      </c>
      <c r="C1317" t="s">
        <v>3860</v>
      </c>
      <c r="D1317" t="str">
        <f t="shared" si="492"/>
        <v>Fundraising</v>
      </c>
      <c r="E1317" t="s">
        <v>4093</v>
      </c>
      <c r="F1317" t="s">
        <v>695</v>
      </c>
      <c r="G1317" t="s">
        <v>4094</v>
      </c>
      <c r="H1317" t="s">
        <v>697</v>
      </c>
      <c r="I1317" s="32">
        <v>45026.778819444437</v>
      </c>
      <c r="J1317" s="32">
        <v>45027.778819444437</v>
      </c>
      <c r="K1317" s="32">
        <v>45033.778819444437</v>
      </c>
      <c r="L1317" s="8">
        <f t="shared" si="493"/>
        <v>7</v>
      </c>
      <c r="M1317" s="7">
        <v>45062.778819444437</v>
      </c>
      <c r="N1317" t="s">
        <v>49</v>
      </c>
      <c r="O1317" s="34">
        <v>45045.778819444437</v>
      </c>
      <c r="P1317" t="s">
        <v>50</v>
      </c>
      <c r="Q1317" t="s">
        <v>236</v>
      </c>
      <c r="R1317" s="32" t="s">
        <v>7472</v>
      </c>
      <c r="S1317" t="s">
        <v>7476</v>
      </c>
      <c r="T1317" s="34" t="s">
        <v>7476</v>
      </c>
      <c r="U1317" s="34" t="s">
        <v>7476</v>
      </c>
      <c r="V1317" s="32">
        <v>45046.778819444437</v>
      </c>
      <c r="W1317" s="32" t="s">
        <v>7476</v>
      </c>
      <c r="X1317">
        <v>0</v>
      </c>
      <c r="Y1317" s="34" t="s">
        <v>7476</v>
      </c>
      <c r="Z1317" s="34" t="s">
        <v>7476</v>
      </c>
      <c r="AA1317" s="34" t="s">
        <v>7476</v>
      </c>
      <c r="AB1317" s="36" t="s">
        <v>52</v>
      </c>
      <c r="AD1317" t="s">
        <v>4125</v>
      </c>
      <c r="AE1317" t="s">
        <v>4126</v>
      </c>
      <c r="AF1317" s="16">
        <v>45036</v>
      </c>
      <c r="AG1317" t="s">
        <v>68</v>
      </c>
      <c r="AH1317">
        <v>3</v>
      </c>
      <c r="AI1317" s="8" t="str">
        <f t="shared" si="503"/>
        <v/>
      </c>
      <c r="AJ1317" s="8">
        <f t="shared" si="504"/>
        <v>9.7788194444365217</v>
      </c>
      <c r="AK1317" s="38">
        <f t="shared" si="494"/>
        <v>45136.778819444437</v>
      </c>
      <c r="AL1317" t="str">
        <f t="shared" si="505"/>
        <v/>
      </c>
      <c r="AM1317" t="str">
        <f t="shared" si="506"/>
        <v/>
      </c>
      <c r="AN1317">
        <f t="shared" si="507"/>
        <v>1</v>
      </c>
      <c r="AO1317">
        <f t="shared" si="508"/>
        <v>1</v>
      </c>
      <c r="AP1317">
        <f t="shared" si="509"/>
        <v>0</v>
      </c>
      <c r="AQ1317" t="str">
        <f t="shared" si="510"/>
        <v/>
      </c>
    </row>
    <row r="1318" spans="1:43" x14ac:dyDescent="0.35">
      <c r="A1318">
        <v>2399</v>
      </c>
      <c r="B1318" t="s">
        <v>4127</v>
      </c>
      <c r="C1318" t="s">
        <v>3864</v>
      </c>
      <c r="D1318" t="str">
        <f t="shared" si="492"/>
        <v>Fundraising</v>
      </c>
      <c r="E1318" t="s">
        <v>4093</v>
      </c>
      <c r="F1318" t="s">
        <v>695</v>
      </c>
      <c r="G1318" t="s">
        <v>4094</v>
      </c>
      <c r="H1318" t="s">
        <v>697</v>
      </c>
      <c r="I1318" s="32">
        <v>45125.731192129628</v>
      </c>
      <c r="J1318" s="32">
        <v>45128.731192129628</v>
      </c>
      <c r="K1318" s="32">
        <v>45131.731192129628</v>
      </c>
      <c r="L1318" s="8">
        <f t="shared" si="493"/>
        <v>6</v>
      </c>
      <c r="M1318" s="7">
        <v>45159.731192129628</v>
      </c>
      <c r="N1318" t="s">
        <v>49</v>
      </c>
      <c r="O1318" s="34">
        <v>45139.731192129628</v>
      </c>
      <c r="P1318" t="s">
        <v>60</v>
      </c>
      <c r="R1318" s="32">
        <v>45145.731192129628</v>
      </c>
      <c r="S1318" t="s">
        <v>61</v>
      </c>
      <c r="T1318" s="34" t="s">
        <v>7476</v>
      </c>
      <c r="U1318" s="34" t="s">
        <v>7476</v>
      </c>
      <c r="V1318" s="32">
        <v>45141.731192129628</v>
      </c>
      <c r="W1318" s="32" t="s">
        <v>7476</v>
      </c>
      <c r="X1318">
        <v>0</v>
      </c>
      <c r="Y1318" s="34" t="s">
        <v>7476</v>
      </c>
      <c r="Z1318" s="34" t="s">
        <v>7476</v>
      </c>
      <c r="AA1318" s="34" t="s">
        <v>7476</v>
      </c>
      <c r="AB1318" s="36" t="s">
        <v>7476</v>
      </c>
      <c r="AD1318" t="s">
        <v>4128</v>
      </c>
      <c r="AE1318" t="s">
        <v>4129</v>
      </c>
      <c r="AF1318" s="16">
        <v>45122</v>
      </c>
      <c r="AG1318" t="s">
        <v>64</v>
      </c>
      <c r="AH1318">
        <v>3</v>
      </c>
      <c r="AI1318" s="8">
        <f t="shared" si="503"/>
        <v>23.731192129627743</v>
      </c>
      <c r="AJ1318" s="8">
        <f t="shared" si="504"/>
        <v>17.731192129627743</v>
      </c>
      <c r="AK1318" s="38">
        <f t="shared" si="494"/>
        <v>45231.731192129628</v>
      </c>
      <c r="AL1318" t="str">
        <f t="shared" si="505"/>
        <v/>
      </c>
      <c r="AM1318">
        <f t="shared" si="506"/>
        <v>17</v>
      </c>
      <c r="AN1318">
        <f t="shared" si="507"/>
        <v>2</v>
      </c>
      <c r="AO1318">
        <f t="shared" si="508"/>
        <v>3</v>
      </c>
      <c r="AP1318">
        <f t="shared" si="509"/>
        <v>0</v>
      </c>
      <c r="AQ1318" t="str">
        <f t="shared" si="510"/>
        <v/>
      </c>
    </row>
    <row r="1319" spans="1:43" x14ac:dyDescent="0.35">
      <c r="A1319">
        <v>2139</v>
      </c>
      <c r="B1319" t="s">
        <v>4130</v>
      </c>
      <c r="C1319" t="s">
        <v>3854</v>
      </c>
      <c r="D1319" t="str">
        <f t="shared" si="492"/>
        <v>Fundraising</v>
      </c>
      <c r="E1319" t="s">
        <v>4093</v>
      </c>
      <c r="F1319" t="s">
        <v>695</v>
      </c>
      <c r="G1319" t="s">
        <v>4094</v>
      </c>
      <c r="H1319" t="s">
        <v>697</v>
      </c>
      <c r="I1319" s="32">
        <v>44771.516493055547</v>
      </c>
      <c r="J1319" s="32">
        <v>44775.516493055547</v>
      </c>
      <c r="K1319" s="32">
        <v>44781.516493055547</v>
      </c>
      <c r="L1319" s="8">
        <f t="shared" si="493"/>
        <v>10</v>
      </c>
      <c r="M1319" s="7">
        <v>44811.516493055547</v>
      </c>
      <c r="N1319" t="s">
        <v>49</v>
      </c>
      <c r="O1319" s="34">
        <v>44793.516493055547</v>
      </c>
      <c r="P1319" t="s">
        <v>50</v>
      </c>
      <c r="Q1319" t="s">
        <v>51</v>
      </c>
      <c r="R1319" s="32" t="s">
        <v>7472</v>
      </c>
      <c r="S1319" t="s">
        <v>7476</v>
      </c>
      <c r="T1319" s="34" t="s">
        <v>7476</v>
      </c>
      <c r="U1319" s="34" t="s">
        <v>7476</v>
      </c>
      <c r="V1319" s="32" t="s">
        <v>7476</v>
      </c>
      <c r="W1319" s="32" t="s">
        <v>7476</v>
      </c>
      <c r="X1319">
        <v>0</v>
      </c>
      <c r="Y1319" s="34" t="s">
        <v>7476</v>
      </c>
      <c r="Z1319" s="34" t="s">
        <v>7476</v>
      </c>
      <c r="AA1319" s="34" t="s">
        <v>7476</v>
      </c>
      <c r="AB1319" s="36" t="s">
        <v>52</v>
      </c>
      <c r="AD1319" t="s">
        <v>4131</v>
      </c>
      <c r="AE1319" t="s">
        <v>4132</v>
      </c>
      <c r="AF1319" s="16">
        <v>44689</v>
      </c>
      <c r="AG1319" t="s">
        <v>64</v>
      </c>
      <c r="AH1319">
        <v>6</v>
      </c>
      <c r="AI1319" s="8" t="str">
        <f t="shared" si="503"/>
        <v/>
      </c>
      <c r="AJ1319" s="8">
        <f t="shared" si="504"/>
        <v>104.51649305554747</v>
      </c>
      <c r="AK1319" s="38" t="str">
        <f t="shared" si="494"/>
        <v/>
      </c>
      <c r="AL1319" t="str">
        <f t="shared" si="505"/>
        <v/>
      </c>
      <c r="AM1319" t="str">
        <f t="shared" si="506"/>
        <v/>
      </c>
      <c r="AN1319" t="str">
        <f t="shared" si="507"/>
        <v/>
      </c>
      <c r="AO1319">
        <f t="shared" si="508"/>
        <v>4</v>
      </c>
      <c r="AP1319">
        <f t="shared" si="509"/>
        <v>0</v>
      </c>
      <c r="AQ1319" t="str">
        <f t="shared" si="510"/>
        <v/>
      </c>
    </row>
    <row r="1320" spans="1:43" x14ac:dyDescent="0.35">
      <c r="A1320">
        <v>2131</v>
      </c>
      <c r="B1320" t="s">
        <v>4133</v>
      </c>
      <c r="C1320" t="s">
        <v>3864</v>
      </c>
      <c r="D1320" t="str">
        <f t="shared" si="492"/>
        <v>Fundraising</v>
      </c>
      <c r="E1320" t="s">
        <v>4093</v>
      </c>
      <c r="F1320" t="s">
        <v>695</v>
      </c>
      <c r="G1320" t="s">
        <v>4094</v>
      </c>
      <c r="H1320" t="s">
        <v>697</v>
      </c>
      <c r="I1320" s="32">
        <v>44773.516493055547</v>
      </c>
      <c r="J1320" s="32">
        <v>44776.516493055547</v>
      </c>
      <c r="K1320" s="32">
        <v>44781.516493055547</v>
      </c>
      <c r="L1320" s="8">
        <f t="shared" si="493"/>
        <v>8</v>
      </c>
      <c r="M1320" s="7">
        <v>44791.516493055547</v>
      </c>
      <c r="N1320" t="s">
        <v>49</v>
      </c>
      <c r="O1320" s="34">
        <v>44788.516493055547</v>
      </c>
      <c r="P1320" t="s">
        <v>60</v>
      </c>
      <c r="R1320" s="32">
        <v>44792.516493055547</v>
      </c>
      <c r="S1320" t="s">
        <v>61</v>
      </c>
      <c r="T1320" s="34" t="s">
        <v>7476</v>
      </c>
      <c r="U1320" s="34" t="s">
        <v>7476</v>
      </c>
      <c r="V1320" s="32">
        <v>44790.516493055547</v>
      </c>
      <c r="W1320" s="32" t="s">
        <v>7476</v>
      </c>
      <c r="X1320">
        <v>0</v>
      </c>
      <c r="Y1320" s="34" t="s">
        <v>7476</v>
      </c>
      <c r="Z1320" s="34" t="s">
        <v>7476</v>
      </c>
      <c r="AA1320" s="34" t="s">
        <v>7476</v>
      </c>
      <c r="AB1320" s="36" t="s">
        <v>7476</v>
      </c>
      <c r="AD1320" t="s">
        <v>4134</v>
      </c>
      <c r="AE1320" t="s">
        <v>4135</v>
      </c>
      <c r="AF1320" s="16">
        <v>44775</v>
      </c>
      <c r="AG1320" t="s">
        <v>68</v>
      </c>
      <c r="AH1320">
        <v>6</v>
      </c>
      <c r="AI1320" s="8">
        <f t="shared" si="503"/>
        <v>17.516493055547471</v>
      </c>
      <c r="AJ1320" s="8">
        <f t="shared" si="504"/>
        <v>13.516493055547471</v>
      </c>
      <c r="AK1320" s="38">
        <f t="shared" si="494"/>
        <v>44970.516493055547</v>
      </c>
      <c r="AL1320" t="str">
        <f t="shared" si="505"/>
        <v/>
      </c>
      <c r="AM1320">
        <f t="shared" si="506"/>
        <v>16</v>
      </c>
      <c r="AN1320">
        <f t="shared" si="507"/>
        <v>2</v>
      </c>
      <c r="AO1320">
        <f t="shared" si="508"/>
        <v>3</v>
      </c>
      <c r="AP1320">
        <f t="shared" si="509"/>
        <v>0</v>
      </c>
      <c r="AQ1320" t="str">
        <f t="shared" si="510"/>
        <v/>
      </c>
    </row>
    <row r="1321" spans="1:43" x14ac:dyDescent="0.35">
      <c r="A1321">
        <v>2108</v>
      </c>
      <c r="B1321" t="s">
        <v>4136</v>
      </c>
      <c r="C1321" t="s">
        <v>3860</v>
      </c>
      <c r="D1321" t="str">
        <f t="shared" si="492"/>
        <v>Fundraising</v>
      </c>
      <c r="E1321" t="s">
        <v>4093</v>
      </c>
      <c r="F1321" t="s">
        <v>695</v>
      </c>
      <c r="G1321" t="s">
        <v>4094</v>
      </c>
      <c r="H1321" t="s">
        <v>697</v>
      </c>
      <c r="I1321" s="32">
        <v>44684.022326388891</v>
      </c>
      <c r="J1321" s="32">
        <v>44688.022326388891</v>
      </c>
      <c r="K1321" s="32">
        <v>44692.022326388891</v>
      </c>
      <c r="L1321" s="8">
        <f t="shared" si="493"/>
        <v>8</v>
      </c>
      <c r="M1321" s="7">
        <v>44704.022326388891</v>
      </c>
      <c r="N1321" t="s">
        <v>49</v>
      </c>
      <c r="O1321" s="34">
        <v>44705.022326388891</v>
      </c>
      <c r="P1321" t="s">
        <v>50</v>
      </c>
      <c r="Q1321" t="s">
        <v>198</v>
      </c>
      <c r="R1321" s="32" t="s">
        <v>7472</v>
      </c>
      <c r="S1321" t="s">
        <v>7476</v>
      </c>
      <c r="T1321" s="34" t="s">
        <v>7476</v>
      </c>
      <c r="U1321" s="34" t="s">
        <v>7476</v>
      </c>
      <c r="V1321" s="32">
        <v>44707.022326388891</v>
      </c>
      <c r="W1321" s="32" t="s">
        <v>7476</v>
      </c>
      <c r="X1321">
        <v>0</v>
      </c>
      <c r="Y1321" s="34" t="s">
        <v>7476</v>
      </c>
      <c r="Z1321" s="34" t="s">
        <v>7476</v>
      </c>
      <c r="AA1321" s="34" t="s">
        <v>7476</v>
      </c>
      <c r="AB1321" s="36" t="s">
        <v>95</v>
      </c>
      <c r="AD1321" t="s">
        <v>4137</v>
      </c>
      <c r="AE1321" t="s">
        <v>4138</v>
      </c>
      <c r="AF1321" s="16">
        <v>44687</v>
      </c>
      <c r="AG1321" t="s">
        <v>68</v>
      </c>
      <c r="AH1321">
        <v>3</v>
      </c>
      <c r="AI1321" s="8" t="str">
        <f t="shared" si="503"/>
        <v/>
      </c>
      <c r="AJ1321" s="8">
        <f t="shared" si="504"/>
        <v>18.022326388891088</v>
      </c>
      <c r="AK1321" s="38">
        <f t="shared" si="494"/>
        <v>44797.022326388891</v>
      </c>
      <c r="AL1321" t="str">
        <f t="shared" si="505"/>
        <v/>
      </c>
      <c r="AM1321" t="str">
        <f t="shared" si="506"/>
        <v/>
      </c>
      <c r="AN1321">
        <f t="shared" si="507"/>
        <v>2</v>
      </c>
      <c r="AO1321">
        <f t="shared" si="508"/>
        <v>4</v>
      </c>
      <c r="AP1321">
        <f t="shared" si="509"/>
        <v>0</v>
      </c>
      <c r="AQ1321" t="str">
        <f t="shared" si="510"/>
        <v/>
      </c>
    </row>
    <row r="1322" spans="1:43" x14ac:dyDescent="0.35">
      <c r="A1322">
        <v>2094</v>
      </c>
      <c r="B1322" t="s">
        <v>4139</v>
      </c>
      <c r="C1322" t="s">
        <v>3854</v>
      </c>
      <c r="D1322" t="str">
        <f t="shared" si="492"/>
        <v>Fundraising</v>
      </c>
      <c r="E1322" t="s">
        <v>4093</v>
      </c>
      <c r="F1322" t="s">
        <v>695</v>
      </c>
      <c r="G1322" t="s">
        <v>4094</v>
      </c>
      <c r="H1322" t="s">
        <v>697</v>
      </c>
      <c r="I1322" s="32">
        <v>44857.987488425933</v>
      </c>
      <c r="J1322" s="32">
        <v>44861.987488425933</v>
      </c>
      <c r="K1322" s="32">
        <v>44864.987488425933</v>
      </c>
      <c r="L1322" s="8">
        <f t="shared" si="493"/>
        <v>7</v>
      </c>
      <c r="M1322" s="7">
        <v>44891.987488425933</v>
      </c>
      <c r="N1322" t="s">
        <v>49</v>
      </c>
      <c r="O1322" s="34">
        <v>44869.987488425933</v>
      </c>
      <c r="P1322" t="s">
        <v>50</v>
      </c>
      <c r="Q1322" t="s">
        <v>51</v>
      </c>
      <c r="R1322" s="32" t="s">
        <v>7472</v>
      </c>
      <c r="S1322" t="s">
        <v>7476</v>
      </c>
      <c r="T1322" s="34" t="s">
        <v>7476</v>
      </c>
      <c r="U1322" s="34" t="s">
        <v>7476</v>
      </c>
      <c r="V1322" s="32" t="s">
        <v>7476</v>
      </c>
      <c r="W1322" s="32" t="s">
        <v>7476</v>
      </c>
      <c r="X1322">
        <v>0</v>
      </c>
      <c r="Y1322" s="34" t="s">
        <v>7476</v>
      </c>
      <c r="Z1322" s="34" t="s">
        <v>7476</v>
      </c>
      <c r="AA1322" s="34" t="s">
        <v>7476</v>
      </c>
      <c r="AB1322" s="36" t="s">
        <v>95</v>
      </c>
      <c r="AD1322" t="s">
        <v>4140</v>
      </c>
      <c r="AE1322" t="s">
        <v>4141</v>
      </c>
      <c r="AF1322" s="16">
        <v>44856</v>
      </c>
      <c r="AG1322" t="s">
        <v>64</v>
      </c>
      <c r="AH1322">
        <v>6</v>
      </c>
      <c r="AI1322" s="8" t="str">
        <f t="shared" si="503"/>
        <v/>
      </c>
      <c r="AJ1322" s="8">
        <f t="shared" si="504"/>
        <v>13.987488425933407</v>
      </c>
      <c r="AK1322" s="38" t="str">
        <f t="shared" si="494"/>
        <v/>
      </c>
      <c r="AL1322" t="str">
        <f t="shared" si="505"/>
        <v/>
      </c>
      <c r="AM1322" t="str">
        <f t="shared" si="506"/>
        <v/>
      </c>
      <c r="AN1322" t="str">
        <f t="shared" si="507"/>
        <v/>
      </c>
      <c r="AO1322">
        <f t="shared" si="508"/>
        <v>4</v>
      </c>
      <c r="AP1322">
        <f t="shared" si="509"/>
        <v>0</v>
      </c>
      <c r="AQ1322" t="str">
        <f t="shared" si="510"/>
        <v/>
      </c>
    </row>
    <row r="1323" spans="1:43" x14ac:dyDescent="0.35">
      <c r="A1323">
        <v>1937</v>
      </c>
      <c r="B1323" t="s">
        <v>4142</v>
      </c>
      <c r="C1323" t="s">
        <v>3864</v>
      </c>
      <c r="D1323" t="str">
        <f t="shared" si="492"/>
        <v>Fundraising</v>
      </c>
      <c r="E1323" t="s">
        <v>4093</v>
      </c>
      <c r="F1323" t="s">
        <v>695</v>
      </c>
      <c r="G1323" t="s">
        <v>4094</v>
      </c>
      <c r="H1323" t="s">
        <v>697</v>
      </c>
      <c r="I1323" s="32">
        <v>45182.30609953704</v>
      </c>
      <c r="J1323" s="32" t="s">
        <v>7471</v>
      </c>
      <c r="K1323" s="32">
        <v>45184.30609953704</v>
      </c>
      <c r="L1323" s="8">
        <f t="shared" si="493"/>
        <v>2</v>
      </c>
      <c r="M1323" s="7">
        <v>45209.30609953704</v>
      </c>
      <c r="N1323" t="s">
        <v>49</v>
      </c>
      <c r="O1323" s="34">
        <v>45189.30609953704</v>
      </c>
      <c r="P1323" t="s">
        <v>50</v>
      </c>
      <c r="Q1323" t="s">
        <v>125</v>
      </c>
      <c r="R1323" s="32" t="s">
        <v>7472</v>
      </c>
      <c r="S1323" t="s">
        <v>7476</v>
      </c>
      <c r="T1323" s="34" t="s">
        <v>7476</v>
      </c>
      <c r="U1323" s="34" t="s">
        <v>7476</v>
      </c>
      <c r="V1323" s="32">
        <v>45192.30609953704</v>
      </c>
      <c r="W1323" s="32" t="s">
        <v>7476</v>
      </c>
      <c r="X1323">
        <v>0</v>
      </c>
      <c r="Y1323" s="34" t="s">
        <v>7476</v>
      </c>
      <c r="Z1323" s="34" t="s">
        <v>7476</v>
      </c>
      <c r="AA1323" s="34" t="s">
        <v>7476</v>
      </c>
      <c r="AB1323" s="36" t="s">
        <v>52</v>
      </c>
      <c r="AD1323" t="s">
        <v>4143</v>
      </c>
      <c r="AE1323" t="s">
        <v>4144</v>
      </c>
      <c r="AF1323" s="16">
        <v>45086</v>
      </c>
      <c r="AG1323" t="s">
        <v>93</v>
      </c>
      <c r="AH1323">
        <v>3</v>
      </c>
      <c r="AK1323" s="38">
        <f t="shared" si="494"/>
        <v>45282.30609953704</v>
      </c>
    </row>
    <row r="1324" spans="1:43" x14ac:dyDescent="0.35">
      <c r="A1324">
        <v>1936</v>
      </c>
      <c r="B1324" t="s">
        <v>4145</v>
      </c>
      <c r="C1324" t="s">
        <v>3864</v>
      </c>
      <c r="D1324" t="str">
        <f t="shared" si="492"/>
        <v>Fundraising</v>
      </c>
      <c r="E1324" t="s">
        <v>4093</v>
      </c>
      <c r="F1324" t="s">
        <v>695</v>
      </c>
      <c r="G1324" t="s">
        <v>4094</v>
      </c>
      <c r="H1324" t="s">
        <v>697</v>
      </c>
      <c r="I1324" s="32" t="s">
        <v>7471</v>
      </c>
      <c r="J1324" s="32">
        <v>45181.30609953704</v>
      </c>
      <c r="K1324" s="32">
        <v>45184.30609953704</v>
      </c>
      <c r="L1324" s="8" t="str">
        <f t="shared" si="493"/>
        <v/>
      </c>
      <c r="M1324" s="7">
        <v>45214.30609953704</v>
      </c>
      <c r="N1324" t="s">
        <v>49</v>
      </c>
      <c r="O1324" s="34">
        <v>45193.30609953704</v>
      </c>
      <c r="P1324" t="s">
        <v>392</v>
      </c>
      <c r="R1324" s="32">
        <v>45198.30609953704</v>
      </c>
      <c r="S1324" t="s">
        <v>392</v>
      </c>
      <c r="T1324" s="34" t="s">
        <v>7476</v>
      </c>
      <c r="U1324" s="34" t="s">
        <v>7476</v>
      </c>
      <c r="V1324" s="32">
        <v>45196.30609953704</v>
      </c>
      <c r="W1324" s="32" t="s">
        <v>7476</v>
      </c>
      <c r="X1324">
        <v>0</v>
      </c>
      <c r="Y1324" s="34" t="s">
        <v>7476</v>
      </c>
      <c r="Z1324" s="34" t="s">
        <v>7476</v>
      </c>
      <c r="AA1324" s="34" t="s">
        <v>7476</v>
      </c>
      <c r="AB1324" s="36" t="s">
        <v>7476</v>
      </c>
      <c r="AD1324" t="s">
        <v>4146</v>
      </c>
      <c r="AE1324" t="s">
        <v>4147</v>
      </c>
      <c r="AF1324" s="16">
        <v>45176</v>
      </c>
      <c r="AG1324" t="s">
        <v>64</v>
      </c>
      <c r="AH1324">
        <v>6</v>
      </c>
      <c r="AK1324" s="38">
        <f t="shared" si="494"/>
        <v>45376.30609953704</v>
      </c>
    </row>
    <row r="1325" spans="1:43" x14ac:dyDescent="0.35">
      <c r="A1325">
        <v>1879</v>
      </c>
      <c r="B1325" t="s">
        <v>4148</v>
      </c>
      <c r="C1325" t="s">
        <v>3864</v>
      </c>
      <c r="D1325" t="str">
        <f t="shared" si="492"/>
        <v>Fundraising</v>
      </c>
      <c r="E1325" t="s">
        <v>4093</v>
      </c>
      <c r="F1325" t="s">
        <v>695</v>
      </c>
      <c r="G1325" t="s">
        <v>4094</v>
      </c>
      <c r="H1325" t="s">
        <v>697</v>
      </c>
      <c r="I1325" s="32">
        <v>44573.732974537037</v>
      </c>
      <c r="J1325" s="32" t="s">
        <v>7471</v>
      </c>
      <c r="K1325" s="32">
        <v>44581.732974537037</v>
      </c>
      <c r="L1325" s="8">
        <f t="shared" si="493"/>
        <v>8</v>
      </c>
      <c r="M1325" s="7">
        <v>44587.732974537037</v>
      </c>
      <c r="N1325" t="s">
        <v>49</v>
      </c>
      <c r="O1325" s="34">
        <v>44596.732974537037</v>
      </c>
      <c r="P1325" t="s">
        <v>60</v>
      </c>
      <c r="R1325" s="32">
        <v>44599.732974537037</v>
      </c>
      <c r="S1325" t="s">
        <v>61</v>
      </c>
      <c r="T1325" s="34" t="s">
        <v>7476</v>
      </c>
      <c r="U1325" s="34" t="s">
        <v>7476</v>
      </c>
      <c r="V1325" s="32">
        <v>44597.732974537037</v>
      </c>
      <c r="W1325" s="32" t="s">
        <v>7476</v>
      </c>
      <c r="X1325">
        <v>0</v>
      </c>
      <c r="Y1325" s="34" t="s">
        <v>7476</v>
      </c>
      <c r="Z1325" s="34" t="s">
        <v>7476</v>
      </c>
      <c r="AA1325" s="34" t="s">
        <v>7476</v>
      </c>
      <c r="AB1325" s="36" t="s">
        <v>7476</v>
      </c>
      <c r="AD1325" t="s">
        <v>4149</v>
      </c>
      <c r="AE1325" t="s">
        <v>4150</v>
      </c>
      <c r="AF1325" s="16">
        <v>44578</v>
      </c>
      <c r="AG1325" t="s">
        <v>98</v>
      </c>
      <c r="AH1325">
        <v>3</v>
      </c>
      <c r="AK1325" s="38">
        <f t="shared" si="494"/>
        <v>44687.732974537037</v>
      </c>
    </row>
    <row r="1326" spans="1:43" x14ac:dyDescent="0.35">
      <c r="A1326">
        <v>1877</v>
      </c>
      <c r="B1326" t="s">
        <v>4151</v>
      </c>
      <c r="C1326" t="s">
        <v>3864</v>
      </c>
      <c r="D1326" t="str">
        <f t="shared" si="492"/>
        <v>Fundraising</v>
      </c>
      <c r="E1326" t="s">
        <v>4093</v>
      </c>
      <c r="F1326" t="s">
        <v>695</v>
      </c>
      <c r="G1326" t="s">
        <v>4094</v>
      </c>
      <c r="H1326" t="s">
        <v>697</v>
      </c>
      <c r="I1326" s="32">
        <v>44577.732974537037</v>
      </c>
      <c r="J1326" s="32">
        <v>44579.732974537037</v>
      </c>
      <c r="K1326" s="32">
        <v>44581.732974537037</v>
      </c>
      <c r="L1326" s="8">
        <f t="shared" si="493"/>
        <v>4</v>
      </c>
      <c r="M1326" s="7">
        <v>44595.732974537037</v>
      </c>
      <c r="N1326" t="s">
        <v>49</v>
      </c>
      <c r="O1326" s="34">
        <v>44591.732974537037</v>
      </c>
      <c r="P1326" t="s">
        <v>60</v>
      </c>
      <c r="R1326" s="32">
        <v>44595.732974537037</v>
      </c>
      <c r="S1326" t="s">
        <v>61</v>
      </c>
      <c r="T1326" s="34" t="s">
        <v>7476</v>
      </c>
      <c r="U1326" s="34" t="s">
        <v>7476</v>
      </c>
      <c r="V1326" s="32">
        <v>44594.732974537037</v>
      </c>
      <c r="W1326" s="32" t="s">
        <v>7476</v>
      </c>
      <c r="X1326">
        <v>0</v>
      </c>
      <c r="Y1326" s="34" t="s">
        <v>7476</v>
      </c>
      <c r="Z1326" s="34" t="s">
        <v>7476</v>
      </c>
      <c r="AA1326" s="34" t="s">
        <v>7476</v>
      </c>
      <c r="AB1326" s="36" t="s">
        <v>7476</v>
      </c>
      <c r="AD1326" t="s">
        <v>4152</v>
      </c>
      <c r="AE1326" t="s">
        <v>4153</v>
      </c>
      <c r="AF1326" s="16">
        <v>44572</v>
      </c>
      <c r="AG1326" t="s">
        <v>64</v>
      </c>
      <c r="AH1326">
        <v>6</v>
      </c>
      <c r="AI1326" s="8">
        <f>IFERROR(R1326-AF1326,"")</f>
        <v>23.73297453703708</v>
      </c>
      <c r="AJ1326" s="8">
        <f>IFERROR(O1326-AF1326,"")</f>
        <v>19.73297453703708</v>
      </c>
      <c r="AK1326" s="38">
        <f t="shared" si="494"/>
        <v>44774.732974537037</v>
      </c>
      <c r="AL1326" t="str">
        <f>IFERROR(Z1326-W1326,"")</f>
        <v/>
      </c>
      <c r="AM1326">
        <f>IFERROR(R1326-J1326,"")</f>
        <v>16</v>
      </c>
      <c r="AN1326">
        <f>IFERROR(V1326-O1326,"")</f>
        <v>3</v>
      </c>
      <c r="AO1326">
        <f>IFERROR(J1326-I1326,"")</f>
        <v>2</v>
      </c>
      <c r="AP1326">
        <f>IFERROR(AC1326-X1326,"")</f>
        <v>0</v>
      </c>
      <c r="AQ1326" t="str">
        <f>IFERROR(AA1326-W1326,"")</f>
        <v/>
      </c>
    </row>
    <row r="1327" spans="1:43" x14ac:dyDescent="0.35">
      <c r="A1327">
        <v>1712</v>
      </c>
      <c r="B1327" t="s">
        <v>4154</v>
      </c>
      <c r="C1327" t="s">
        <v>3860</v>
      </c>
      <c r="D1327" t="str">
        <f t="shared" si="492"/>
        <v>Fundraising</v>
      </c>
      <c r="E1327" t="s">
        <v>4093</v>
      </c>
      <c r="F1327" t="s">
        <v>695</v>
      </c>
      <c r="G1327" t="s">
        <v>4094</v>
      </c>
      <c r="H1327" t="s">
        <v>697</v>
      </c>
      <c r="I1327" s="32">
        <v>44564.077685185177</v>
      </c>
      <c r="J1327" s="32">
        <v>44566.077685185177</v>
      </c>
      <c r="K1327" s="32">
        <v>44568.077685185177</v>
      </c>
      <c r="L1327" s="8">
        <f t="shared" si="493"/>
        <v>4</v>
      </c>
      <c r="M1327" s="7">
        <v>44581.077685185177</v>
      </c>
      <c r="N1327" t="s">
        <v>49</v>
      </c>
      <c r="O1327" s="34">
        <v>44572.077685185177</v>
      </c>
      <c r="P1327" t="s">
        <v>60</v>
      </c>
      <c r="R1327" s="32">
        <v>44577.077685185177</v>
      </c>
      <c r="S1327" t="s">
        <v>61</v>
      </c>
      <c r="T1327" s="34" t="s">
        <v>7476</v>
      </c>
      <c r="U1327" s="34" t="s">
        <v>7476</v>
      </c>
      <c r="V1327" s="32">
        <v>44574.077685185177</v>
      </c>
      <c r="W1327" s="32" t="s">
        <v>7476</v>
      </c>
      <c r="X1327">
        <v>0</v>
      </c>
      <c r="Y1327" s="34" t="s">
        <v>7476</v>
      </c>
      <c r="Z1327" s="34" t="s">
        <v>7476</v>
      </c>
      <c r="AA1327" s="34" t="s">
        <v>7476</v>
      </c>
      <c r="AB1327" s="36" t="s">
        <v>7476</v>
      </c>
      <c r="AD1327" t="s">
        <v>4155</v>
      </c>
      <c r="AE1327" t="s">
        <v>4156</v>
      </c>
      <c r="AF1327" s="16">
        <v>44559</v>
      </c>
      <c r="AG1327" t="s">
        <v>98</v>
      </c>
      <c r="AH1327">
        <v>3</v>
      </c>
      <c r="AI1327" s="8">
        <f>IFERROR(R1327-AF1327,"")</f>
        <v>18.077685185176961</v>
      </c>
      <c r="AJ1327" s="8">
        <f>IFERROR(O1327-AF1327,"")</f>
        <v>13.077685185176961</v>
      </c>
      <c r="AK1327" s="38">
        <f t="shared" si="494"/>
        <v>44664.077685185177</v>
      </c>
      <c r="AL1327" t="str">
        <f>IFERROR(Z1327-W1327,"")</f>
        <v/>
      </c>
      <c r="AM1327">
        <f>IFERROR(R1327-J1327,"")</f>
        <v>11</v>
      </c>
      <c r="AN1327">
        <f>IFERROR(V1327-O1327,"")</f>
        <v>2</v>
      </c>
      <c r="AO1327">
        <f>IFERROR(J1327-I1327,"")</f>
        <v>2</v>
      </c>
      <c r="AP1327">
        <f>IFERROR(AC1327-X1327,"")</f>
        <v>0</v>
      </c>
      <c r="AQ1327" t="str">
        <f>IFERROR(AA1327-W1327,"")</f>
        <v/>
      </c>
    </row>
    <row r="1328" spans="1:43" x14ac:dyDescent="0.35">
      <c r="A1328">
        <v>1554</v>
      </c>
      <c r="B1328" t="s">
        <v>4157</v>
      </c>
      <c r="C1328" t="s">
        <v>3860</v>
      </c>
      <c r="D1328" t="str">
        <f t="shared" si="492"/>
        <v>Fundraising</v>
      </c>
      <c r="E1328" t="s">
        <v>4093</v>
      </c>
      <c r="F1328" t="s">
        <v>695</v>
      </c>
      <c r="G1328" t="s">
        <v>4094</v>
      </c>
      <c r="H1328" t="s">
        <v>697</v>
      </c>
      <c r="I1328" s="32">
        <v>44899.597222222219</v>
      </c>
      <c r="J1328" s="32">
        <v>44903.597222222219</v>
      </c>
      <c r="K1328" s="32">
        <v>44907.597222222219</v>
      </c>
      <c r="L1328" s="8">
        <f t="shared" si="493"/>
        <v>8</v>
      </c>
      <c r="M1328" s="7">
        <v>44920.597222222219</v>
      </c>
      <c r="N1328" t="s">
        <v>49</v>
      </c>
      <c r="O1328" s="34">
        <v>44910.597222222219</v>
      </c>
      <c r="P1328" t="s">
        <v>50</v>
      </c>
      <c r="Q1328" t="s">
        <v>84</v>
      </c>
      <c r="R1328" s="32" t="s">
        <v>7472</v>
      </c>
      <c r="S1328" t="s">
        <v>7476</v>
      </c>
      <c r="T1328" s="34" t="s">
        <v>7476</v>
      </c>
      <c r="U1328" s="34" t="s">
        <v>7476</v>
      </c>
      <c r="V1328" s="32" t="s">
        <v>7476</v>
      </c>
      <c r="W1328" s="32" t="s">
        <v>7476</v>
      </c>
      <c r="X1328">
        <v>0</v>
      </c>
      <c r="Y1328" s="34" t="s">
        <v>7476</v>
      </c>
      <c r="Z1328" s="34" t="s">
        <v>7476</v>
      </c>
      <c r="AA1328" s="34" t="s">
        <v>7476</v>
      </c>
      <c r="AB1328" s="36" t="s">
        <v>95</v>
      </c>
      <c r="AD1328" t="s">
        <v>4158</v>
      </c>
      <c r="AE1328" t="s">
        <v>4159</v>
      </c>
      <c r="AF1328" s="16">
        <v>44891</v>
      </c>
      <c r="AG1328" t="s">
        <v>64</v>
      </c>
      <c r="AH1328">
        <v>3</v>
      </c>
      <c r="AI1328" s="8" t="str">
        <f>IFERROR(R1328-AF1328,"")</f>
        <v/>
      </c>
      <c r="AJ1328" s="8">
        <f>IFERROR(O1328-AF1328,"")</f>
        <v>19.597222222218988</v>
      </c>
      <c r="AK1328" s="38" t="str">
        <f t="shared" si="494"/>
        <v/>
      </c>
      <c r="AL1328" t="str">
        <f>IFERROR(Z1328-W1328,"")</f>
        <v/>
      </c>
      <c r="AM1328" t="str">
        <f>IFERROR(R1328-J1328,"")</f>
        <v/>
      </c>
      <c r="AN1328" t="str">
        <f>IFERROR(V1328-O1328,"")</f>
        <v/>
      </c>
      <c r="AO1328">
        <f>IFERROR(J1328-I1328,"")</f>
        <v>4</v>
      </c>
      <c r="AP1328">
        <f>IFERROR(AC1328-X1328,"")</f>
        <v>0</v>
      </c>
      <c r="AQ1328" t="str">
        <f>IFERROR(AA1328-W1328,"")</f>
        <v/>
      </c>
    </row>
    <row r="1329" spans="1:43" x14ac:dyDescent="0.35">
      <c r="A1329">
        <v>1360</v>
      </c>
      <c r="B1329" t="s">
        <v>4160</v>
      </c>
      <c r="C1329" t="s">
        <v>3864</v>
      </c>
      <c r="D1329" t="str">
        <f t="shared" si="492"/>
        <v>Fundraising</v>
      </c>
      <c r="E1329" t="s">
        <v>4093</v>
      </c>
      <c r="F1329" t="s">
        <v>695</v>
      </c>
      <c r="G1329" t="s">
        <v>4094</v>
      </c>
      <c r="H1329" t="s">
        <v>697</v>
      </c>
      <c r="I1329" s="32">
        <v>44768.055451388893</v>
      </c>
      <c r="J1329" s="32">
        <v>44769.055451388893</v>
      </c>
      <c r="K1329" s="32">
        <v>44771.055451388893</v>
      </c>
      <c r="L1329" s="8">
        <f t="shared" si="493"/>
        <v>3</v>
      </c>
      <c r="M1329" s="7">
        <v>44789.055451388893</v>
      </c>
      <c r="N1329" t="s">
        <v>49</v>
      </c>
      <c r="O1329" s="34">
        <v>44784.055451388893</v>
      </c>
      <c r="P1329" t="s">
        <v>50</v>
      </c>
      <c r="Q1329" t="s">
        <v>198</v>
      </c>
      <c r="R1329" s="32" t="s">
        <v>7472</v>
      </c>
      <c r="S1329" t="s">
        <v>7476</v>
      </c>
      <c r="T1329" s="34" t="s">
        <v>7476</v>
      </c>
      <c r="U1329" s="34" t="s">
        <v>7476</v>
      </c>
      <c r="V1329" s="32">
        <v>44788.055451388893</v>
      </c>
      <c r="W1329" s="32" t="s">
        <v>7476</v>
      </c>
      <c r="X1329">
        <v>0</v>
      </c>
      <c r="Y1329" s="34" t="s">
        <v>7476</v>
      </c>
      <c r="Z1329" s="34" t="s">
        <v>7476</v>
      </c>
      <c r="AA1329" s="34" t="s">
        <v>7476</v>
      </c>
      <c r="AB1329" s="36" t="s">
        <v>52</v>
      </c>
      <c r="AD1329" t="s">
        <v>4161</v>
      </c>
      <c r="AE1329" t="s">
        <v>4162</v>
      </c>
      <c r="AF1329" s="16">
        <v>44720</v>
      </c>
      <c r="AG1329" t="s">
        <v>64</v>
      </c>
      <c r="AH1329">
        <v>3</v>
      </c>
      <c r="AI1329" s="8" t="str">
        <f>IFERROR(R1329-AF1329,"")</f>
        <v/>
      </c>
      <c r="AJ1329" s="8">
        <f>IFERROR(O1329-AF1329,"")</f>
        <v>64.055451388892834</v>
      </c>
      <c r="AK1329" s="38">
        <f t="shared" si="494"/>
        <v>44878.055451388893</v>
      </c>
      <c r="AL1329" t="str">
        <f>IFERROR(Z1329-W1329,"")</f>
        <v/>
      </c>
      <c r="AM1329" t="str">
        <f>IFERROR(R1329-J1329,"")</f>
        <v/>
      </c>
      <c r="AN1329">
        <f>IFERROR(V1329-O1329,"")</f>
        <v>4</v>
      </c>
      <c r="AO1329">
        <f>IFERROR(J1329-I1329,"")</f>
        <v>1</v>
      </c>
      <c r="AP1329">
        <f>IFERROR(AC1329-X1329,"")</f>
        <v>0</v>
      </c>
      <c r="AQ1329" t="str">
        <f>IFERROR(AA1329-W1329,"")</f>
        <v/>
      </c>
    </row>
    <row r="1330" spans="1:43" x14ac:dyDescent="0.35">
      <c r="A1330">
        <v>1357</v>
      </c>
      <c r="B1330" t="s">
        <v>4163</v>
      </c>
      <c r="C1330" t="s">
        <v>3864</v>
      </c>
      <c r="D1330" t="str">
        <f t="shared" si="492"/>
        <v>Fundraising</v>
      </c>
      <c r="E1330" t="s">
        <v>4093</v>
      </c>
      <c r="F1330" t="s">
        <v>695</v>
      </c>
      <c r="G1330" t="s">
        <v>4094</v>
      </c>
      <c r="H1330" t="s">
        <v>697</v>
      </c>
      <c r="I1330" s="32">
        <v>44765.055451388893</v>
      </c>
      <c r="J1330" s="32">
        <v>44769.055451388893</v>
      </c>
      <c r="K1330" s="32">
        <v>44771.055451388893</v>
      </c>
      <c r="L1330" s="8">
        <f t="shared" si="493"/>
        <v>6</v>
      </c>
      <c r="M1330" s="7">
        <v>44800.055451388893</v>
      </c>
      <c r="N1330" t="s">
        <v>49</v>
      </c>
      <c r="O1330" s="34">
        <v>44781.055451388893</v>
      </c>
      <c r="P1330" t="s">
        <v>50</v>
      </c>
      <c r="Q1330" t="s">
        <v>198</v>
      </c>
      <c r="R1330" s="32" t="s">
        <v>7472</v>
      </c>
      <c r="S1330" t="s">
        <v>7476</v>
      </c>
      <c r="T1330" s="34" t="s">
        <v>7476</v>
      </c>
      <c r="U1330" s="34" t="s">
        <v>7476</v>
      </c>
      <c r="V1330" s="32">
        <v>44784.055451388893</v>
      </c>
      <c r="W1330" s="32" t="s">
        <v>7476</v>
      </c>
      <c r="X1330">
        <v>0</v>
      </c>
      <c r="Y1330" s="34" t="s">
        <v>7476</v>
      </c>
      <c r="Z1330" s="34" t="s">
        <v>7476</v>
      </c>
      <c r="AA1330" s="34" t="s">
        <v>7476</v>
      </c>
      <c r="AB1330" s="36" t="s">
        <v>95</v>
      </c>
      <c r="AD1330" t="s">
        <v>4164</v>
      </c>
      <c r="AE1330" t="s">
        <v>4165</v>
      </c>
      <c r="AF1330" s="16">
        <v>44764</v>
      </c>
      <c r="AG1330" t="s">
        <v>68</v>
      </c>
      <c r="AH1330">
        <v>6</v>
      </c>
      <c r="AI1330" s="8" t="str">
        <f>IFERROR(R1330-AF1330,"")</f>
        <v/>
      </c>
      <c r="AJ1330" s="8">
        <f>IFERROR(O1330-AF1330,"")</f>
        <v>17.055451388892834</v>
      </c>
      <c r="AK1330" s="38">
        <f t="shared" si="494"/>
        <v>44964.055451388893</v>
      </c>
      <c r="AL1330" t="str">
        <f>IFERROR(Z1330-W1330,"")</f>
        <v/>
      </c>
      <c r="AM1330" t="str">
        <f>IFERROR(R1330-J1330,"")</f>
        <v/>
      </c>
      <c r="AN1330">
        <f>IFERROR(V1330-O1330,"")</f>
        <v>3</v>
      </c>
      <c r="AO1330">
        <f>IFERROR(J1330-I1330,"")</f>
        <v>4</v>
      </c>
      <c r="AP1330">
        <f>IFERROR(AC1330-X1330,"")</f>
        <v>0</v>
      </c>
      <c r="AQ1330" t="str">
        <f>IFERROR(AA1330-W1330,"")</f>
        <v/>
      </c>
    </row>
    <row r="1331" spans="1:43" x14ac:dyDescent="0.35">
      <c r="A1331">
        <v>1352</v>
      </c>
      <c r="B1331" t="s">
        <v>4166</v>
      </c>
      <c r="C1331" t="s">
        <v>3864</v>
      </c>
      <c r="D1331" t="str">
        <f t="shared" si="492"/>
        <v>Fundraising</v>
      </c>
      <c r="E1331" t="s">
        <v>4093</v>
      </c>
      <c r="F1331" t="s">
        <v>695</v>
      </c>
      <c r="G1331" t="s">
        <v>4094</v>
      </c>
      <c r="H1331" t="s">
        <v>697</v>
      </c>
      <c r="I1331" s="32" t="s">
        <v>7471</v>
      </c>
      <c r="J1331" s="32">
        <v>44770.055451388893</v>
      </c>
      <c r="K1331" s="32">
        <v>44771.055451388893</v>
      </c>
      <c r="L1331" s="8" t="str">
        <f t="shared" si="493"/>
        <v/>
      </c>
      <c r="M1331" s="7">
        <v>44785.055451388893</v>
      </c>
      <c r="N1331" t="s">
        <v>49</v>
      </c>
      <c r="O1331" s="34">
        <v>44774.055451388893</v>
      </c>
      <c r="P1331" t="s">
        <v>392</v>
      </c>
      <c r="R1331" s="32">
        <v>44776.055451388893</v>
      </c>
      <c r="S1331" t="s">
        <v>392</v>
      </c>
      <c r="T1331" s="34" t="s">
        <v>7476</v>
      </c>
      <c r="U1331" s="34" t="s">
        <v>7476</v>
      </c>
      <c r="V1331" s="32">
        <v>44775.055451388893</v>
      </c>
      <c r="W1331" s="32" t="s">
        <v>7476</v>
      </c>
      <c r="X1331">
        <v>0</v>
      </c>
      <c r="Y1331" s="34" t="s">
        <v>7476</v>
      </c>
      <c r="Z1331" s="34" t="s">
        <v>7476</v>
      </c>
      <c r="AA1331" s="34" t="s">
        <v>7476</v>
      </c>
      <c r="AB1331" s="36" t="s">
        <v>7476</v>
      </c>
      <c r="AD1331" t="s">
        <v>4167</v>
      </c>
      <c r="AE1331" t="s">
        <v>4168</v>
      </c>
      <c r="AF1331" s="16">
        <v>44761</v>
      </c>
      <c r="AG1331" t="s">
        <v>68</v>
      </c>
      <c r="AH1331">
        <v>6</v>
      </c>
      <c r="AK1331" s="38">
        <f t="shared" si="494"/>
        <v>44955.055451388893</v>
      </c>
    </row>
    <row r="1332" spans="1:43" x14ac:dyDescent="0.35">
      <c r="A1332">
        <v>1235</v>
      </c>
      <c r="B1332" t="s">
        <v>4169</v>
      </c>
      <c r="C1332" t="s">
        <v>3860</v>
      </c>
      <c r="D1332" t="str">
        <f t="shared" si="492"/>
        <v>Fundraising</v>
      </c>
      <c r="E1332" t="s">
        <v>4093</v>
      </c>
      <c r="F1332" t="s">
        <v>695</v>
      </c>
      <c r="G1332" t="s">
        <v>4094</v>
      </c>
      <c r="H1332" t="s">
        <v>697</v>
      </c>
      <c r="I1332" s="32">
        <v>44979.728877314818</v>
      </c>
      <c r="J1332" s="32" t="s">
        <v>7471</v>
      </c>
      <c r="K1332" s="32">
        <v>44986.728877314818</v>
      </c>
      <c r="L1332" s="8">
        <f t="shared" si="493"/>
        <v>7</v>
      </c>
      <c r="M1332" s="7">
        <v>44994.728877314818</v>
      </c>
      <c r="N1332" t="s">
        <v>49</v>
      </c>
      <c r="O1332" s="34">
        <v>44997.728877314818</v>
      </c>
      <c r="P1332" t="s">
        <v>60</v>
      </c>
      <c r="R1332" s="32">
        <v>45004.728877314818</v>
      </c>
      <c r="S1332" t="s">
        <v>61</v>
      </c>
      <c r="T1332" s="34" t="s">
        <v>7476</v>
      </c>
      <c r="U1332" s="34" t="s">
        <v>7476</v>
      </c>
      <c r="V1332" s="32">
        <v>45000.728877314818</v>
      </c>
      <c r="W1332" s="32" t="s">
        <v>7476</v>
      </c>
      <c r="X1332">
        <v>0</v>
      </c>
      <c r="Y1332" s="34" t="s">
        <v>7476</v>
      </c>
      <c r="Z1332" s="34" t="s">
        <v>7476</v>
      </c>
      <c r="AA1332" s="34" t="s">
        <v>7476</v>
      </c>
      <c r="AB1332" s="36" t="s">
        <v>7476</v>
      </c>
      <c r="AD1332" t="s">
        <v>4170</v>
      </c>
      <c r="AE1332" t="s">
        <v>4171</v>
      </c>
      <c r="AF1332" s="16">
        <v>44981</v>
      </c>
      <c r="AG1332" t="s">
        <v>55</v>
      </c>
      <c r="AH1332">
        <v>6</v>
      </c>
      <c r="AK1332" s="38">
        <f t="shared" si="494"/>
        <v>45180.728877314818</v>
      </c>
    </row>
    <row r="1333" spans="1:43" x14ac:dyDescent="0.35">
      <c r="A1333">
        <v>1232</v>
      </c>
      <c r="B1333" t="s">
        <v>4172</v>
      </c>
      <c r="C1333" t="s">
        <v>3860</v>
      </c>
      <c r="D1333" t="str">
        <f t="shared" si="492"/>
        <v>Fundraising</v>
      </c>
      <c r="E1333" t="s">
        <v>4093</v>
      </c>
      <c r="F1333" t="s">
        <v>695</v>
      </c>
      <c r="G1333" t="s">
        <v>4094</v>
      </c>
      <c r="H1333" t="s">
        <v>697</v>
      </c>
      <c r="I1333" s="32">
        <v>44981.728877314818</v>
      </c>
      <c r="J1333" s="32">
        <v>44985.728877314818</v>
      </c>
      <c r="K1333" s="32">
        <v>44986.728877314818</v>
      </c>
      <c r="L1333" s="8">
        <f t="shared" si="493"/>
        <v>5</v>
      </c>
      <c r="M1333" s="7">
        <v>44992.728877314818</v>
      </c>
      <c r="N1333" t="s">
        <v>49</v>
      </c>
      <c r="O1333" s="34">
        <v>44998.728877314818</v>
      </c>
      <c r="P1333" t="s">
        <v>50</v>
      </c>
      <c r="Q1333" t="s">
        <v>198</v>
      </c>
      <c r="R1333" s="32" t="s">
        <v>7472</v>
      </c>
      <c r="S1333" t="s">
        <v>7476</v>
      </c>
      <c r="T1333" s="34" t="s">
        <v>7476</v>
      </c>
      <c r="U1333" s="34" t="s">
        <v>7476</v>
      </c>
      <c r="V1333" s="32" t="s">
        <v>7476</v>
      </c>
      <c r="W1333" s="32" t="s">
        <v>7476</v>
      </c>
      <c r="X1333">
        <v>0</v>
      </c>
      <c r="Y1333" s="34" t="s">
        <v>7476</v>
      </c>
      <c r="Z1333" s="34" t="s">
        <v>7476</v>
      </c>
      <c r="AA1333" s="34" t="s">
        <v>7476</v>
      </c>
      <c r="AB1333" s="36" t="s">
        <v>95</v>
      </c>
      <c r="AD1333" t="s">
        <v>4173</v>
      </c>
      <c r="AE1333" t="s">
        <v>4174</v>
      </c>
      <c r="AF1333" s="16">
        <v>44983</v>
      </c>
      <c r="AG1333" t="s">
        <v>98</v>
      </c>
      <c r="AH1333">
        <v>3</v>
      </c>
      <c r="AI1333" s="8" t="str">
        <f>IFERROR(R1333-AF1333,"")</f>
        <v/>
      </c>
      <c r="AJ1333" s="8">
        <f>IFERROR(O1333-AF1333,"")</f>
        <v>15.72887731481751</v>
      </c>
      <c r="AK1333" s="38" t="str">
        <f t="shared" si="494"/>
        <v/>
      </c>
      <c r="AL1333" t="str">
        <f>IFERROR(Z1333-W1333,"")</f>
        <v/>
      </c>
      <c r="AM1333" t="str">
        <f>IFERROR(R1333-J1333,"")</f>
        <v/>
      </c>
      <c r="AN1333" t="str">
        <f>IFERROR(V1333-O1333,"")</f>
        <v/>
      </c>
      <c r="AO1333">
        <f>IFERROR(J1333-I1333,"")</f>
        <v>4</v>
      </c>
      <c r="AP1333">
        <f>IFERROR(AC1333-X1333,"")</f>
        <v>0</v>
      </c>
      <c r="AQ1333" t="str">
        <f>IFERROR(AA1333-W1333,"")</f>
        <v/>
      </c>
    </row>
    <row r="1334" spans="1:43" x14ac:dyDescent="0.35">
      <c r="A1334">
        <v>1228</v>
      </c>
      <c r="B1334" t="s">
        <v>4175</v>
      </c>
      <c r="C1334" t="s">
        <v>3864</v>
      </c>
      <c r="D1334" t="str">
        <f t="shared" si="492"/>
        <v>Fundraising</v>
      </c>
      <c r="E1334" t="s">
        <v>4093</v>
      </c>
      <c r="F1334" t="s">
        <v>695</v>
      </c>
      <c r="G1334" t="s">
        <v>4094</v>
      </c>
      <c r="H1334" t="s">
        <v>697</v>
      </c>
      <c r="I1334" s="32" t="s">
        <v>7471</v>
      </c>
      <c r="J1334" s="32">
        <v>44736.14203703704</v>
      </c>
      <c r="K1334" s="32">
        <v>44741.14203703704</v>
      </c>
      <c r="L1334" s="8" t="str">
        <f t="shared" si="493"/>
        <v/>
      </c>
      <c r="M1334" s="7">
        <v>44765.14203703704</v>
      </c>
      <c r="N1334" t="s">
        <v>49</v>
      </c>
      <c r="O1334" s="34">
        <v>44750.14203703704</v>
      </c>
      <c r="P1334" t="s">
        <v>50</v>
      </c>
      <c r="Q1334" t="s">
        <v>51</v>
      </c>
      <c r="R1334" s="32" t="s">
        <v>7472</v>
      </c>
      <c r="S1334" t="s">
        <v>7476</v>
      </c>
      <c r="T1334" s="34" t="s">
        <v>7476</v>
      </c>
      <c r="U1334" s="34" t="s">
        <v>7476</v>
      </c>
      <c r="V1334" s="32" t="s">
        <v>7476</v>
      </c>
      <c r="W1334" s="32" t="s">
        <v>7476</v>
      </c>
      <c r="X1334">
        <v>0</v>
      </c>
      <c r="Y1334" s="34" t="s">
        <v>7476</v>
      </c>
      <c r="Z1334" s="34" t="s">
        <v>7476</v>
      </c>
      <c r="AA1334" s="34" t="s">
        <v>7476</v>
      </c>
      <c r="AB1334" s="36" t="s">
        <v>95</v>
      </c>
      <c r="AD1334" t="s">
        <v>4176</v>
      </c>
      <c r="AE1334" t="s">
        <v>4177</v>
      </c>
      <c r="AF1334" s="16">
        <v>44735</v>
      </c>
      <c r="AG1334" t="s">
        <v>93</v>
      </c>
      <c r="AH1334">
        <v>3</v>
      </c>
      <c r="AK1334" s="38" t="str">
        <f t="shared" si="494"/>
        <v/>
      </c>
    </row>
    <row r="1335" spans="1:43" x14ac:dyDescent="0.35">
      <c r="A1335">
        <v>1202</v>
      </c>
      <c r="B1335" t="s">
        <v>4178</v>
      </c>
      <c r="C1335" t="s">
        <v>3864</v>
      </c>
      <c r="D1335" t="str">
        <f t="shared" si="492"/>
        <v>Fundraising</v>
      </c>
      <c r="E1335" t="s">
        <v>4093</v>
      </c>
      <c r="F1335" t="s">
        <v>695</v>
      </c>
      <c r="G1335" t="s">
        <v>4094</v>
      </c>
      <c r="H1335" t="s">
        <v>697</v>
      </c>
      <c r="I1335" s="32">
        <v>44765.205266203702</v>
      </c>
      <c r="J1335" s="32" t="s">
        <v>7471</v>
      </c>
      <c r="K1335" s="32">
        <v>44770.205266203702</v>
      </c>
      <c r="L1335" s="8">
        <f t="shared" si="493"/>
        <v>5</v>
      </c>
      <c r="M1335" s="7">
        <v>44789.205266203702</v>
      </c>
      <c r="N1335" t="s">
        <v>49</v>
      </c>
      <c r="O1335" s="34">
        <v>44771.205266203702</v>
      </c>
      <c r="P1335" t="s">
        <v>50</v>
      </c>
      <c r="Q1335" t="s">
        <v>125</v>
      </c>
      <c r="R1335" s="32" t="s">
        <v>7472</v>
      </c>
      <c r="S1335" t="s">
        <v>7476</v>
      </c>
      <c r="T1335" s="34" t="s">
        <v>7476</v>
      </c>
      <c r="U1335" s="34" t="s">
        <v>7476</v>
      </c>
      <c r="V1335" s="32">
        <v>44773.205266203702</v>
      </c>
      <c r="W1335" s="32" t="s">
        <v>7476</v>
      </c>
      <c r="X1335">
        <v>0</v>
      </c>
      <c r="Y1335" s="34" t="s">
        <v>7476</v>
      </c>
      <c r="Z1335" s="34" t="s">
        <v>7476</v>
      </c>
      <c r="AA1335" s="34" t="s">
        <v>7476</v>
      </c>
      <c r="AB1335" s="36" t="s">
        <v>95</v>
      </c>
      <c r="AD1335" t="s">
        <v>4179</v>
      </c>
      <c r="AE1335" t="s">
        <v>4180</v>
      </c>
      <c r="AF1335" s="16">
        <v>44754</v>
      </c>
      <c r="AG1335" t="s">
        <v>55</v>
      </c>
      <c r="AH1335">
        <v>6</v>
      </c>
      <c r="AK1335" s="38">
        <f t="shared" si="494"/>
        <v>44953.205266203702</v>
      </c>
    </row>
    <row r="1336" spans="1:43" x14ac:dyDescent="0.35">
      <c r="A1336">
        <v>1197</v>
      </c>
      <c r="B1336" t="s">
        <v>4181</v>
      </c>
      <c r="C1336" t="s">
        <v>3854</v>
      </c>
      <c r="D1336" t="str">
        <f t="shared" si="492"/>
        <v>Fundraising</v>
      </c>
      <c r="E1336" t="s">
        <v>4093</v>
      </c>
      <c r="F1336" t="s">
        <v>695</v>
      </c>
      <c r="G1336" t="s">
        <v>4094</v>
      </c>
      <c r="H1336" t="s">
        <v>697</v>
      </c>
      <c r="I1336" s="32">
        <v>44767.966006944444</v>
      </c>
      <c r="J1336" s="32" t="s">
        <v>7471</v>
      </c>
      <c r="K1336" s="32">
        <v>44771.966006944444</v>
      </c>
      <c r="L1336" s="8">
        <f t="shared" si="493"/>
        <v>4</v>
      </c>
      <c r="M1336" s="7">
        <v>44795.966006944444</v>
      </c>
      <c r="N1336" t="s">
        <v>49</v>
      </c>
      <c r="O1336" s="34">
        <v>44776.966006944444</v>
      </c>
      <c r="P1336" t="s">
        <v>392</v>
      </c>
      <c r="R1336" s="32">
        <v>44782.966006944444</v>
      </c>
      <c r="S1336" t="s">
        <v>392</v>
      </c>
      <c r="T1336" s="34" t="s">
        <v>7476</v>
      </c>
      <c r="U1336" s="34" t="s">
        <v>7476</v>
      </c>
      <c r="V1336" s="32">
        <v>44779.966006944444</v>
      </c>
      <c r="W1336" s="32" t="s">
        <v>7476</v>
      </c>
      <c r="X1336">
        <v>0</v>
      </c>
      <c r="Y1336" s="34" t="s">
        <v>7476</v>
      </c>
      <c r="Z1336" s="34" t="s">
        <v>7476</v>
      </c>
      <c r="AA1336" s="34" t="s">
        <v>7476</v>
      </c>
      <c r="AB1336" s="36" t="s">
        <v>7476</v>
      </c>
      <c r="AD1336" t="s">
        <v>4182</v>
      </c>
      <c r="AE1336" t="s">
        <v>4183</v>
      </c>
      <c r="AF1336" s="16">
        <v>44757</v>
      </c>
      <c r="AG1336" t="s">
        <v>64</v>
      </c>
      <c r="AH1336">
        <v>3</v>
      </c>
      <c r="AK1336" s="38">
        <f t="shared" si="494"/>
        <v>44869.966006944444</v>
      </c>
    </row>
    <row r="1337" spans="1:43" x14ac:dyDescent="0.35">
      <c r="A1337">
        <v>1196</v>
      </c>
      <c r="B1337" t="s">
        <v>4184</v>
      </c>
      <c r="C1337" t="s">
        <v>3864</v>
      </c>
      <c r="D1337" t="str">
        <f t="shared" si="492"/>
        <v>Fundraising</v>
      </c>
      <c r="E1337" t="s">
        <v>4093</v>
      </c>
      <c r="F1337" t="s">
        <v>695</v>
      </c>
      <c r="G1337" t="s">
        <v>4094</v>
      </c>
      <c r="H1337" t="s">
        <v>697</v>
      </c>
      <c r="I1337" s="32">
        <v>44765.966006944444</v>
      </c>
      <c r="J1337" s="32" t="s">
        <v>7471</v>
      </c>
      <c r="K1337" s="32">
        <v>44771.966006944444</v>
      </c>
      <c r="L1337" s="8">
        <f t="shared" si="493"/>
        <v>6</v>
      </c>
      <c r="M1337" s="7">
        <v>44798.966006944444</v>
      </c>
      <c r="N1337" t="s">
        <v>49</v>
      </c>
      <c r="O1337" s="34">
        <v>44781.966006944444</v>
      </c>
      <c r="P1337" t="s">
        <v>50</v>
      </c>
      <c r="Q1337" t="s">
        <v>125</v>
      </c>
      <c r="R1337" s="32" t="s">
        <v>7472</v>
      </c>
      <c r="S1337" t="s">
        <v>7476</v>
      </c>
      <c r="T1337" s="34" t="s">
        <v>7476</v>
      </c>
      <c r="U1337" s="34" t="s">
        <v>7476</v>
      </c>
      <c r="V1337" s="32" t="s">
        <v>7476</v>
      </c>
      <c r="W1337" s="32" t="s">
        <v>7476</v>
      </c>
      <c r="X1337">
        <v>0</v>
      </c>
      <c r="Y1337" s="34" t="s">
        <v>7476</v>
      </c>
      <c r="Z1337" s="34" t="s">
        <v>7476</v>
      </c>
      <c r="AA1337" s="34" t="s">
        <v>7476</v>
      </c>
      <c r="AB1337" s="36" t="s">
        <v>95</v>
      </c>
      <c r="AD1337" t="s">
        <v>4185</v>
      </c>
      <c r="AE1337" t="s">
        <v>4186</v>
      </c>
      <c r="AF1337" s="16">
        <v>44767</v>
      </c>
      <c r="AG1337" t="s">
        <v>68</v>
      </c>
      <c r="AH1337">
        <v>3</v>
      </c>
      <c r="AK1337" s="38" t="str">
        <f t="shared" si="494"/>
        <v/>
      </c>
    </row>
    <row r="1338" spans="1:43" x14ac:dyDescent="0.35">
      <c r="A1338">
        <v>1106</v>
      </c>
      <c r="B1338" t="s">
        <v>4187</v>
      </c>
      <c r="C1338" t="s">
        <v>3854</v>
      </c>
      <c r="D1338" t="str">
        <f t="shared" si="492"/>
        <v>Fundraising</v>
      </c>
      <c r="E1338" t="s">
        <v>4093</v>
      </c>
      <c r="F1338" t="s">
        <v>695</v>
      </c>
      <c r="G1338" t="s">
        <v>4094</v>
      </c>
      <c r="H1338" t="s">
        <v>697</v>
      </c>
      <c r="I1338" s="32" t="s">
        <v>7471</v>
      </c>
      <c r="J1338" s="32" t="s">
        <v>7471</v>
      </c>
      <c r="K1338" s="32">
        <v>44681.953865740739</v>
      </c>
      <c r="L1338" s="8" t="str">
        <f t="shared" si="493"/>
        <v/>
      </c>
      <c r="M1338" s="7">
        <v>44692.953865740739</v>
      </c>
      <c r="N1338" t="s">
        <v>49</v>
      </c>
      <c r="O1338" s="34">
        <v>44692.953865740739</v>
      </c>
      <c r="P1338" t="s">
        <v>50</v>
      </c>
      <c r="Q1338" t="s">
        <v>84</v>
      </c>
      <c r="R1338" s="32" t="s">
        <v>7472</v>
      </c>
      <c r="S1338" t="s">
        <v>7476</v>
      </c>
      <c r="T1338" s="34" t="s">
        <v>7476</v>
      </c>
      <c r="U1338" s="34" t="s">
        <v>7476</v>
      </c>
      <c r="V1338" s="32" t="s">
        <v>7476</v>
      </c>
      <c r="W1338" s="32" t="s">
        <v>7476</v>
      </c>
      <c r="X1338">
        <v>0</v>
      </c>
      <c r="Y1338" s="34" t="s">
        <v>7476</v>
      </c>
      <c r="Z1338" s="34" t="s">
        <v>7476</v>
      </c>
      <c r="AA1338" s="34" t="s">
        <v>7476</v>
      </c>
      <c r="AB1338" s="36" t="s">
        <v>52</v>
      </c>
      <c r="AD1338" t="s">
        <v>4188</v>
      </c>
      <c r="AE1338" t="s">
        <v>4189</v>
      </c>
      <c r="AF1338" s="16">
        <v>44686</v>
      </c>
      <c r="AG1338" t="s">
        <v>68</v>
      </c>
      <c r="AH1338">
        <v>3</v>
      </c>
      <c r="AK1338" s="38" t="str">
        <f t="shared" si="494"/>
        <v/>
      </c>
    </row>
    <row r="1339" spans="1:43" x14ac:dyDescent="0.35">
      <c r="A1339">
        <v>1077</v>
      </c>
      <c r="B1339" t="s">
        <v>4190</v>
      </c>
      <c r="C1339" t="s">
        <v>3864</v>
      </c>
      <c r="D1339" t="str">
        <f t="shared" si="492"/>
        <v>Fundraising</v>
      </c>
      <c r="E1339" t="s">
        <v>4093</v>
      </c>
      <c r="F1339" t="s">
        <v>695</v>
      </c>
      <c r="G1339" t="s">
        <v>4094</v>
      </c>
      <c r="H1339" t="s">
        <v>697</v>
      </c>
      <c r="I1339" s="32">
        <v>44603.990740740737</v>
      </c>
      <c r="J1339" s="32">
        <v>44604.990740740737</v>
      </c>
      <c r="K1339" s="32">
        <v>44607.990740740737</v>
      </c>
      <c r="L1339" s="8">
        <f t="shared" si="493"/>
        <v>4</v>
      </c>
      <c r="M1339" s="7">
        <v>44627.990740740737</v>
      </c>
      <c r="N1339" t="s">
        <v>49</v>
      </c>
      <c r="O1339" s="34">
        <v>44614.990740740737</v>
      </c>
      <c r="P1339" t="s">
        <v>50</v>
      </c>
      <c r="Q1339" t="s">
        <v>198</v>
      </c>
      <c r="R1339" s="32" t="s">
        <v>7472</v>
      </c>
      <c r="S1339" t="s">
        <v>7476</v>
      </c>
      <c r="T1339" s="34" t="s">
        <v>7476</v>
      </c>
      <c r="U1339" s="34" t="s">
        <v>7476</v>
      </c>
      <c r="V1339" s="32">
        <v>44616.990740740737</v>
      </c>
      <c r="W1339" s="32" t="s">
        <v>7476</v>
      </c>
      <c r="X1339">
        <v>0</v>
      </c>
      <c r="Y1339" s="34" t="s">
        <v>7476</v>
      </c>
      <c r="Z1339" s="34" t="s">
        <v>7476</v>
      </c>
      <c r="AA1339" s="34" t="s">
        <v>7476</v>
      </c>
      <c r="AB1339" s="36" t="s">
        <v>95</v>
      </c>
      <c r="AD1339" t="s">
        <v>4191</v>
      </c>
      <c r="AE1339" t="s">
        <v>4192</v>
      </c>
      <c r="AF1339" s="16">
        <v>44606</v>
      </c>
      <c r="AG1339" t="s">
        <v>98</v>
      </c>
      <c r="AH1339">
        <v>3</v>
      </c>
      <c r="AI1339" s="8" t="str">
        <f t="shared" ref="AI1339:AI1345" si="511">IFERROR(R1339-AF1339,"")</f>
        <v/>
      </c>
      <c r="AJ1339" s="8">
        <f t="shared" ref="AJ1339:AJ1345" si="512">IFERROR(O1339-AF1339,"")</f>
        <v>8.9907407407372375</v>
      </c>
      <c r="AK1339" s="38">
        <f t="shared" si="494"/>
        <v>44706.990740740737</v>
      </c>
      <c r="AL1339" t="str">
        <f t="shared" ref="AL1339:AL1345" si="513">IFERROR(Z1339-W1339,"")</f>
        <v/>
      </c>
      <c r="AM1339" t="str">
        <f t="shared" ref="AM1339:AM1345" si="514">IFERROR(R1339-J1339,"")</f>
        <v/>
      </c>
      <c r="AN1339">
        <f t="shared" ref="AN1339:AN1345" si="515">IFERROR(V1339-O1339,"")</f>
        <v>2</v>
      </c>
      <c r="AO1339">
        <f t="shared" ref="AO1339:AO1345" si="516">IFERROR(J1339-I1339,"")</f>
        <v>1</v>
      </c>
      <c r="AP1339">
        <f t="shared" ref="AP1339:AP1345" si="517">IFERROR(AC1339-X1339,"")</f>
        <v>0</v>
      </c>
      <c r="AQ1339" t="str">
        <f t="shared" ref="AQ1339:AQ1345" si="518">IFERROR(AA1339-W1339,"")</f>
        <v/>
      </c>
    </row>
    <row r="1340" spans="1:43" x14ac:dyDescent="0.35">
      <c r="A1340">
        <v>1073</v>
      </c>
      <c r="B1340" t="s">
        <v>4193</v>
      </c>
      <c r="C1340" t="s">
        <v>3864</v>
      </c>
      <c r="D1340" t="str">
        <f t="shared" si="492"/>
        <v>Fundraising</v>
      </c>
      <c r="E1340" t="s">
        <v>4093</v>
      </c>
      <c r="F1340" t="s">
        <v>695</v>
      </c>
      <c r="G1340" t="s">
        <v>4094</v>
      </c>
      <c r="H1340" t="s">
        <v>697</v>
      </c>
      <c r="I1340" s="32">
        <v>44601.990740740737</v>
      </c>
      <c r="J1340" s="32">
        <v>44603.990740740737</v>
      </c>
      <c r="K1340" s="32">
        <v>44607.990740740737</v>
      </c>
      <c r="L1340" s="8">
        <f t="shared" si="493"/>
        <v>6</v>
      </c>
      <c r="M1340" s="7">
        <v>44615.990740740737</v>
      </c>
      <c r="N1340" t="s">
        <v>49</v>
      </c>
      <c r="O1340" s="34">
        <v>44622.990740740737</v>
      </c>
      <c r="P1340" t="s">
        <v>50</v>
      </c>
      <c r="Q1340" t="s">
        <v>236</v>
      </c>
      <c r="R1340" s="32" t="s">
        <v>7472</v>
      </c>
      <c r="S1340" t="s">
        <v>7476</v>
      </c>
      <c r="T1340" s="34" t="s">
        <v>7476</v>
      </c>
      <c r="U1340" s="34" t="s">
        <v>7476</v>
      </c>
      <c r="V1340" s="32" t="s">
        <v>7476</v>
      </c>
      <c r="W1340" s="32" t="s">
        <v>7476</v>
      </c>
      <c r="X1340">
        <v>0</v>
      </c>
      <c r="Y1340" s="34" t="s">
        <v>7476</v>
      </c>
      <c r="Z1340" s="34" t="s">
        <v>7476</v>
      </c>
      <c r="AA1340" s="34" t="s">
        <v>7476</v>
      </c>
      <c r="AB1340" s="36" t="s">
        <v>95</v>
      </c>
      <c r="AD1340" t="s">
        <v>4194</v>
      </c>
      <c r="AE1340" t="s">
        <v>4195</v>
      </c>
      <c r="AF1340" s="16">
        <v>44603</v>
      </c>
      <c r="AG1340" t="s">
        <v>64</v>
      </c>
      <c r="AH1340">
        <v>3</v>
      </c>
      <c r="AI1340" s="8" t="str">
        <f t="shared" si="511"/>
        <v/>
      </c>
      <c r="AJ1340" s="8">
        <f t="shared" si="512"/>
        <v>19.990740740737238</v>
      </c>
      <c r="AK1340" s="38" t="str">
        <f t="shared" si="494"/>
        <v/>
      </c>
      <c r="AL1340" t="str">
        <f t="shared" si="513"/>
        <v/>
      </c>
      <c r="AM1340" t="str">
        <f t="shared" si="514"/>
        <v/>
      </c>
      <c r="AN1340" t="str">
        <f t="shared" si="515"/>
        <v/>
      </c>
      <c r="AO1340">
        <f t="shared" si="516"/>
        <v>2</v>
      </c>
      <c r="AP1340">
        <f t="shared" si="517"/>
        <v>0</v>
      </c>
      <c r="AQ1340" t="str">
        <f t="shared" si="518"/>
        <v/>
      </c>
    </row>
    <row r="1341" spans="1:43" x14ac:dyDescent="0.35">
      <c r="A1341">
        <v>2994</v>
      </c>
      <c r="B1341" t="s">
        <v>4196</v>
      </c>
      <c r="C1341" t="s">
        <v>3860</v>
      </c>
      <c r="D1341" t="str">
        <f t="shared" si="492"/>
        <v>Fundraising</v>
      </c>
      <c r="E1341" t="s">
        <v>4197</v>
      </c>
      <c r="F1341" t="s">
        <v>1669</v>
      </c>
      <c r="G1341" t="s">
        <v>4198</v>
      </c>
      <c r="H1341" t="s">
        <v>48</v>
      </c>
      <c r="I1341" s="32">
        <v>44989.039479166669</v>
      </c>
      <c r="J1341" s="32">
        <v>44991.039479166669</v>
      </c>
      <c r="K1341" s="32">
        <v>44999.039479166669</v>
      </c>
      <c r="L1341" s="8">
        <f t="shared" si="493"/>
        <v>10</v>
      </c>
      <c r="M1341" s="7">
        <v>45002.039479166669</v>
      </c>
      <c r="N1341" t="s">
        <v>49</v>
      </c>
      <c r="O1341" s="34">
        <v>45011.039479166669</v>
      </c>
      <c r="P1341" t="s">
        <v>50</v>
      </c>
      <c r="Q1341" t="s">
        <v>236</v>
      </c>
      <c r="R1341" s="32" t="s">
        <v>7472</v>
      </c>
      <c r="S1341" t="s">
        <v>7476</v>
      </c>
      <c r="T1341" s="34" t="s">
        <v>7476</v>
      </c>
      <c r="U1341" s="34" t="s">
        <v>7476</v>
      </c>
      <c r="V1341" s="32" t="s">
        <v>7476</v>
      </c>
      <c r="W1341" s="32" t="s">
        <v>7476</v>
      </c>
      <c r="X1341">
        <v>0</v>
      </c>
      <c r="Y1341" s="34" t="s">
        <v>7476</v>
      </c>
      <c r="Z1341" s="34" t="s">
        <v>7476</v>
      </c>
      <c r="AA1341" s="34" t="s">
        <v>7476</v>
      </c>
      <c r="AB1341" s="36" t="s">
        <v>95</v>
      </c>
      <c r="AD1341" t="s">
        <v>4199</v>
      </c>
      <c r="AE1341" t="s">
        <v>4200</v>
      </c>
      <c r="AF1341" s="16">
        <v>45000</v>
      </c>
      <c r="AG1341" t="s">
        <v>98</v>
      </c>
      <c r="AH1341">
        <v>3</v>
      </c>
      <c r="AI1341" s="8" t="str">
        <f t="shared" si="511"/>
        <v/>
      </c>
      <c r="AJ1341" s="8">
        <f t="shared" si="512"/>
        <v>11.03947916666948</v>
      </c>
      <c r="AK1341" s="38" t="str">
        <f t="shared" si="494"/>
        <v/>
      </c>
      <c r="AL1341" t="str">
        <f t="shared" si="513"/>
        <v/>
      </c>
      <c r="AM1341" t="str">
        <f t="shared" si="514"/>
        <v/>
      </c>
      <c r="AN1341" t="str">
        <f t="shared" si="515"/>
        <v/>
      </c>
      <c r="AO1341">
        <f t="shared" si="516"/>
        <v>2</v>
      </c>
      <c r="AP1341">
        <f t="shared" si="517"/>
        <v>0</v>
      </c>
      <c r="AQ1341" t="str">
        <f t="shared" si="518"/>
        <v/>
      </c>
    </row>
    <row r="1342" spans="1:43" x14ac:dyDescent="0.35">
      <c r="A1342">
        <v>2958</v>
      </c>
      <c r="B1342" t="s">
        <v>4201</v>
      </c>
      <c r="C1342" t="s">
        <v>3854</v>
      </c>
      <c r="D1342" t="str">
        <f t="shared" si="492"/>
        <v>Fundraising</v>
      </c>
      <c r="E1342" t="s">
        <v>4197</v>
      </c>
      <c r="F1342" t="s">
        <v>1669</v>
      </c>
      <c r="G1342" t="s">
        <v>4198</v>
      </c>
      <c r="H1342" t="s">
        <v>48</v>
      </c>
      <c r="I1342" s="32">
        <v>45018.652233796303</v>
      </c>
      <c r="J1342" s="32">
        <v>45021.652233796303</v>
      </c>
      <c r="K1342" s="32">
        <v>45029.652233796303</v>
      </c>
      <c r="L1342" s="8">
        <f t="shared" si="493"/>
        <v>11</v>
      </c>
      <c r="M1342" s="7">
        <v>45074.652233796303</v>
      </c>
      <c r="N1342" t="s">
        <v>49</v>
      </c>
      <c r="O1342" s="34">
        <v>45030.652233796303</v>
      </c>
      <c r="P1342" t="s">
        <v>60</v>
      </c>
      <c r="R1342" s="32">
        <v>45035.652233796303</v>
      </c>
      <c r="S1342" t="s">
        <v>61</v>
      </c>
      <c r="T1342" s="34" t="s">
        <v>7476</v>
      </c>
      <c r="U1342" s="34" t="s">
        <v>7476</v>
      </c>
      <c r="V1342" s="32">
        <v>45034.652233796303</v>
      </c>
      <c r="W1342" s="32" t="s">
        <v>7476</v>
      </c>
      <c r="X1342">
        <v>0</v>
      </c>
      <c r="Y1342" s="34" t="s">
        <v>7476</v>
      </c>
      <c r="Z1342" s="34" t="s">
        <v>7476</v>
      </c>
      <c r="AA1342" s="34" t="s">
        <v>7476</v>
      </c>
      <c r="AB1342" s="36" t="s">
        <v>7476</v>
      </c>
      <c r="AD1342" t="s">
        <v>4202</v>
      </c>
      <c r="AE1342" t="s">
        <v>4203</v>
      </c>
      <c r="AF1342" s="16">
        <v>45025</v>
      </c>
      <c r="AG1342" t="s">
        <v>64</v>
      </c>
      <c r="AH1342">
        <v>3</v>
      </c>
      <c r="AI1342" s="8">
        <f t="shared" si="511"/>
        <v>10.652233796303335</v>
      </c>
      <c r="AJ1342" s="8">
        <f t="shared" si="512"/>
        <v>5.6522337963033351</v>
      </c>
      <c r="AK1342" s="38">
        <f t="shared" si="494"/>
        <v>45124.652233796303</v>
      </c>
      <c r="AL1342" t="str">
        <f t="shared" si="513"/>
        <v/>
      </c>
      <c r="AM1342">
        <f t="shared" si="514"/>
        <v>14</v>
      </c>
      <c r="AN1342">
        <f t="shared" si="515"/>
        <v>4</v>
      </c>
      <c r="AO1342">
        <f t="shared" si="516"/>
        <v>3</v>
      </c>
      <c r="AP1342">
        <f t="shared" si="517"/>
        <v>0</v>
      </c>
      <c r="AQ1342" t="str">
        <f t="shared" si="518"/>
        <v/>
      </c>
    </row>
    <row r="1343" spans="1:43" x14ac:dyDescent="0.35">
      <c r="A1343">
        <v>2955</v>
      </c>
      <c r="B1343" t="s">
        <v>4204</v>
      </c>
      <c r="C1343" t="s">
        <v>3864</v>
      </c>
      <c r="D1343" t="str">
        <f t="shared" si="492"/>
        <v>Fundraising</v>
      </c>
      <c r="E1343" t="s">
        <v>4197</v>
      </c>
      <c r="F1343" t="s">
        <v>1669</v>
      </c>
      <c r="G1343" t="s">
        <v>4198</v>
      </c>
      <c r="H1343" t="s">
        <v>48</v>
      </c>
      <c r="I1343" s="32">
        <v>45017.652233796303</v>
      </c>
      <c r="J1343" s="32">
        <v>45018.652233796303</v>
      </c>
      <c r="K1343" s="32">
        <v>45026.652233796303</v>
      </c>
      <c r="L1343" s="8">
        <f t="shared" si="493"/>
        <v>9</v>
      </c>
      <c r="M1343" s="7">
        <v>45071.652233796303</v>
      </c>
      <c r="N1343" t="s">
        <v>49</v>
      </c>
      <c r="O1343" s="34">
        <v>45036.652233796303</v>
      </c>
      <c r="P1343" t="s">
        <v>50</v>
      </c>
      <c r="Q1343" t="s">
        <v>236</v>
      </c>
      <c r="R1343" s="32" t="s">
        <v>7472</v>
      </c>
      <c r="S1343" t="s">
        <v>7476</v>
      </c>
      <c r="T1343" s="34" t="s">
        <v>7476</v>
      </c>
      <c r="U1343" s="34" t="s">
        <v>7476</v>
      </c>
      <c r="V1343" s="32" t="s">
        <v>7476</v>
      </c>
      <c r="W1343" s="32" t="s">
        <v>7476</v>
      </c>
      <c r="X1343">
        <v>0</v>
      </c>
      <c r="Y1343" s="34" t="s">
        <v>7476</v>
      </c>
      <c r="Z1343" s="34" t="s">
        <v>7476</v>
      </c>
      <c r="AA1343" s="34" t="s">
        <v>7476</v>
      </c>
      <c r="AB1343" s="36" t="s">
        <v>95</v>
      </c>
      <c r="AD1343" t="s">
        <v>4205</v>
      </c>
      <c r="AE1343" t="s">
        <v>4206</v>
      </c>
      <c r="AF1343" s="16">
        <v>45020</v>
      </c>
      <c r="AG1343" t="s">
        <v>98</v>
      </c>
      <c r="AH1343">
        <v>6</v>
      </c>
      <c r="AI1343" s="8" t="str">
        <f t="shared" si="511"/>
        <v/>
      </c>
      <c r="AJ1343" s="8">
        <f t="shared" si="512"/>
        <v>16.652233796303335</v>
      </c>
      <c r="AK1343" s="38" t="str">
        <f t="shared" si="494"/>
        <v/>
      </c>
      <c r="AL1343" t="str">
        <f t="shared" si="513"/>
        <v/>
      </c>
      <c r="AM1343" t="str">
        <f t="shared" si="514"/>
        <v/>
      </c>
      <c r="AN1343" t="str">
        <f t="shared" si="515"/>
        <v/>
      </c>
      <c r="AO1343">
        <f t="shared" si="516"/>
        <v>1</v>
      </c>
      <c r="AP1343">
        <f t="shared" si="517"/>
        <v>0</v>
      </c>
      <c r="AQ1343" t="str">
        <f t="shared" si="518"/>
        <v/>
      </c>
    </row>
    <row r="1344" spans="1:43" x14ac:dyDescent="0.35">
      <c r="A1344">
        <v>2938</v>
      </c>
      <c r="B1344" t="s">
        <v>4207</v>
      </c>
      <c r="C1344" t="s">
        <v>3860</v>
      </c>
      <c r="D1344" t="str">
        <f t="shared" si="492"/>
        <v>Fundraising</v>
      </c>
      <c r="E1344" t="s">
        <v>4197</v>
      </c>
      <c r="F1344" t="s">
        <v>1669</v>
      </c>
      <c r="G1344" t="s">
        <v>4198</v>
      </c>
      <c r="H1344" t="s">
        <v>48</v>
      </c>
      <c r="I1344" s="32">
        <v>44968.550104166658</v>
      </c>
      <c r="J1344" s="32">
        <v>44972.550104166658</v>
      </c>
      <c r="K1344" s="32">
        <v>44980.550104166658</v>
      </c>
      <c r="L1344" s="8">
        <f t="shared" si="493"/>
        <v>12</v>
      </c>
      <c r="M1344" s="7">
        <v>45025.550104166658</v>
      </c>
      <c r="N1344" t="s">
        <v>49</v>
      </c>
      <c r="O1344" s="34">
        <v>44978.550104166658</v>
      </c>
      <c r="P1344" t="s">
        <v>392</v>
      </c>
      <c r="R1344" s="32">
        <v>44983.550104166658</v>
      </c>
      <c r="S1344" t="s">
        <v>392</v>
      </c>
      <c r="T1344" s="34" t="s">
        <v>7476</v>
      </c>
      <c r="U1344" s="34" t="s">
        <v>7476</v>
      </c>
      <c r="V1344" s="32">
        <v>44982.550104166658</v>
      </c>
      <c r="W1344" s="32" t="s">
        <v>7476</v>
      </c>
      <c r="X1344">
        <v>0</v>
      </c>
      <c r="Y1344" s="34" t="s">
        <v>7476</v>
      </c>
      <c r="Z1344" s="34" t="s">
        <v>7476</v>
      </c>
      <c r="AA1344" s="34" t="s">
        <v>7476</v>
      </c>
      <c r="AB1344" s="36" t="s">
        <v>7476</v>
      </c>
      <c r="AD1344" t="s">
        <v>4208</v>
      </c>
      <c r="AE1344" t="s">
        <v>4209</v>
      </c>
      <c r="AF1344" s="16">
        <v>44959</v>
      </c>
      <c r="AG1344" t="s">
        <v>98</v>
      </c>
      <c r="AH1344">
        <v>6</v>
      </c>
      <c r="AI1344" s="8">
        <f t="shared" si="511"/>
        <v>24.550104166657547</v>
      </c>
      <c r="AJ1344" s="8">
        <f t="shared" si="512"/>
        <v>19.550104166657547</v>
      </c>
      <c r="AK1344" s="38">
        <f t="shared" si="494"/>
        <v>45162.550104166658</v>
      </c>
      <c r="AL1344" t="str">
        <f t="shared" si="513"/>
        <v/>
      </c>
      <c r="AM1344">
        <f t="shared" si="514"/>
        <v>11</v>
      </c>
      <c r="AN1344">
        <f t="shared" si="515"/>
        <v>4</v>
      </c>
      <c r="AO1344">
        <f t="shared" si="516"/>
        <v>4</v>
      </c>
      <c r="AP1344">
        <f t="shared" si="517"/>
        <v>0</v>
      </c>
      <c r="AQ1344" t="str">
        <f t="shared" si="518"/>
        <v/>
      </c>
    </row>
    <row r="1345" spans="1:43" x14ac:dyDescent="0.35">
      <c r="A1345">
        <v>2937</v>
      </c>
      <c r="B1345" t="s">
        <v>4210</v>
      </c>
      <c r="C1345" t="s">
        <v>3860</v>
      </c>
      <c r="D1345" t="str">
        <f t="shared" si="492"/>
        <v>Fundraising</v>
      </c>
      <c r="E1345" t="s">
        <v>4197</v>
      </c>
      <c r="F1345" t="s">
        <v>1669</v>
      </c>
      <c r="G1345" t="s">
        <v>4198</v>
      </c>
      <c r="H1345" t="s">
        <v>48</v>
      </c>
      <c r="I1345" s="32">
        <v>44967.550104166658</v>
      </c>
      <c r="J1345" s="32">
        <v>44969.550104166658</v>
      </c>
      <c r="K1345" s="32">
        <v>44977.550104166658</v>
      </c>
      <c r="L1345" s="8">
        <f t="shared" si="493"/>
        <v>10</v>
      </c>
      <c r="M1345" s="7">
        <v>45022.550104166658</v>
      </c>
      <c r="N1345" t="s">
        <v>49</v>
      </c>
      <c r="O1345" s="34">
        <v>44981.550104166658</v>
      </c>
      <c r="P1345" t="s">
        <v>50</v>
      </c>
      <c r="Q1345" t="s">
        <v>198</v>
      </c>
      <c r="R1345" s="32" t="s">
        <v>7472</v>
      </c>
      <c r="S1345" t="s">
        <v>7476</v>
      </c>
      <c r="T1345" s="34" t="s">
        <v>7476</v>
      </c>
      <c r="U1345" s="34" t="s">
        <v>7476</v>
      </c>
      <c r="V1345" s="32">
        <v>44983.550104166658</v>
      </c>
      <c r="W1345" s="32" t="s">
        <v>7476</v>
      </c>
      <c r="X1345">
        <v>0</v>
      </c>
      <c r="Y1345" s="34" t="s">
        <v>7476</v>
      </c>
      <c r="Z1345" s="34" t="s">
        <v>7476</v>
      </c>
      <c r="AA1345" s="34" t="s">
        <v>7476</v>
      </c>
      <c r="AB1345" s="36" t="s">
        <v>52</v>
      </c>
      <c r="AD1345" t="s">
        <v>4211</v>
      </c>
      <c r="AE1345" t="s">
        <v>4212</v>
      </c>
      <c r="AF1345" s="16">
        <v>45232</v>
      </c>
      <c r="AG1345" t="s">
        <v>64</v>
      </c>
      <c r="AH1345">
        <v>3</v>
      </c>
      <c r="AI1345" s="8" t="str">
        <f t="shared" si="511"/>
        <v/>
      </c>
      <c r="AJ1345" s="8">
        <f t="shared" si="512"/>
        <v>-250.44989583334245</v>
      </c>
      <c r="AK1345" s="38">
        <f t="shared" si="494"/>
        <v>45073.550104166658</v>
      </c>
      <c r="AL1345" t="str">
        <f t="shared" si="513"/>
        <v/>
      </c>
      <c r="AM1345" t="str">
        <f t="shared" si="514"/>
        <v/>
      </c>
      <c r="AN1345">
        <f t="shared" si="515"/>
        <v>2</v>
      </c>
      <c r="AO1345">
        <f t="shared" si="516"/>
        <v>2</v>
      </c>
      <c r="AP1345">
        <f t="shared" si="517"/>
        <v>0</v>
      </c>
      <c r="AQ1345" t="str">
        <f t="shared" si="518"/>
        <v/>
      </c>
    </row>
    <row r="1346" spans="1:43" x14ac:dyDescent="0.35">
      <c r="A1346">
        <v>2935</v>
      </c>
      <c r="B1346" t="s">
        <v>4213</v>
      </c>
      <c r="C1346" t="s">
        <v>3864</v>
      </c>
      <c r="D1346" t="str">
        <f t="shared" ref="D1346:D1409" si="519">TRIM(C1346)</f>
        <v>Fundraising</v>
      </c>
      <c r="E1346" t="s">
        <v>4197</v>
      </c>
      <c r="F1346" t="s">
        <v>1669</v>
      </c>
      <c r="G1346" t="s">
        <v>4198</v>
      </c>
      <c r="H1346" t="s">
        <v>48</v>
      </c>
      <c r="I1346" s="32">
        <v>44966.550104166658</v>
      </c>
      <c r="J1346" s="32" t="s">
        <v>7471</v>
      </c>
      <c r="K1346" s="32">
        <v>44977.550104166658</v>
      </c>
      <c r="L1346" s="8">
        <f t="shared" ref="L1346:L1409" si="520">IFERROR(K1346-I1346,"")</f>
        <v>11</v>
      </c>
      <c r="M1346" s="7">
        <v>45022.550104166658</v>
      </c>
      <c r="N1346" t="s">
        <v>49</v>
      </c>
      <c r="O1346" s="34">
        <v>44977.550104166658</v>
      </c>
      <c r="P1346" t="s">
        <v>50</v>
      </c>
      <c r="Q1346" t="s">
        <v>198</v>
      </c>
      <c r="R1346" s="32" t="s">
        <v>7472</v>
      </c>
      <c r="S1346" t="s">
        <v>7476</v>
      </c>
      <c r="T1346" s="34" t="s">
        <v>7476</v>
      </c>
      <c r="U1346" s="34" t="s">
        <v>7476</v>
      </c>
      <c r="V1346" s="32" t="s">
        <v>7476</v>
      </c>
      <c r="W1346" s="32" t="s">
        <v>7476</v>
      </c>
      <c r="X1346">
        <v>0</v>
      </c>
      <c r="Y1346" s="34" t="s">
        <v>7476</v>
      </c>
      <c r="Z1346" s="34" t="s">
        <v>7476</v>
      </c>
      <c r="AA1346" s="34" t="s">
        <v>7476</v>
      </c>
      <c r="AB1346" s="36" t="s">
        <v>52</v>
      </c>
      <c r="AD1346" t="s">
        <v>4214</v>
      </c>
      <c r="AE1346" t="s">
        <v>4215</v>
      </c>
      <c r="AF1346" s="16">
        <v>45079</v>
      </c>
      <c r="AG1346" t="s">
        <v>68</v>
      </c>
      <c r="AH1346">
        <v>6</v>
      </c>
      <c r="AK1346" s="38" t="str">
        <f t="shared" si="494"/>
        <v/>
      </c>
    </row>
    <row r="1347" spans="1:43" x14ac:dyDescent="0.35">
      <c r="A1347">
        <v>2931</v>
      </c>
      <c r="B1347" t="s">
        <v>4216</v>
      </c>
      <c r="C1347" t="s">
        <v>3864</v>
      </c>
      <c r="D1347" t="str">
        <f t="shared" si="519"/>
        <v>Fundraising</v>
      </c>
      <c r="E1347" t="s">
        <v>4197</v>
      </c>
      <c r="F1347" t="s">
        <v>1669</v>
      </c>
      <c r="G1347" t="s">
        <v>4198</v>
      </c>
      <c r="H1347" t="s">
        <v>48</v>
      </c>
      <c r="I1347" s="32" t="s">
        <v>7471</v>
      </c>
      <c r="J1347" s="32" t="s">
        <v>7471</v>
      </c>
      <c r="K1347" s="32">
        <v>44980.550104166658</v>
      </c>
      <c r="L1347" s="8" t="str">
        <f t="shared" si="520"/>
        <v/>
      </c>
      <c r="M1347" s="7">
        <v>45025.550104166658</v>
      </c>
      <c r="N1347" t="s">
        <v>49</v>
      </c>
      <c r="O1347" s="34">
        <v>44985.550104166658</v>
      </c>
      <c r="P1347" t="s">
        <v>50</v>
      </c>
      <c r="Q1347" t="s">
        <v>198</v>
      </c>
      <c r="R1347" s="32" t="s">
        <v>7472</v>
      </c>
      <c r="S1347" t="s">
        <v>7476</v>
      </c>
      <c r="T1347" s="34" t="s">
        <v>7476</v>
      </c>
      <c r="U1347" s="34" t="s">
        <v>7476</v>
      </c>
      <c r="V1347" s="32">
        <v>44989.550104166658</v>
      </c>
      <c r="W1347" s="32" t="s">
        <v>7476</v>
      </c>
      <c r="X1347">
        <v>0</v>
      </c>
      <c r="Y1347" s="34" t="s">
        <v>7476</v>
      </c>
      <c r="Z1347" s="34" t="s">
        <v>7476</v>
      </c>
      <c r="AA1347" s="34" t="s">
        <v>7476</v>
      </c>
      <c r="AB1347" s="36" t="s">
        <v>52</v>
      </c>
      <c r="AD1347" t="s">
        <v>4217</v>
      </c>
      <c r="AE1347" t="s">
        <v>4218</v>
      </c>
      <c r="AF1347" s="16">
        <v>44973</v>
      </c>
      <c r="AG1347" t="s">
        <v>75</v>
      </c>
      <c r="AH1347">
        <v>3</v>
      </c>
      <c r="AK1347" s="38">
        <f t="shared" ref="AK1347:AK1410" si="521">IFERROR(V1347+(AH1347*30),"")</f>
        <v>45079.550104166658</v>
      </c>
    </row>
    <row r="1348" spans="1:43" x14ac:dyDescent="0.35">
      <c r="A1348">
        <v>2928</v>
      </c>
      <c r="B1348" t="s">
        <v>4219</v>
      </c>
      <c r="C1348" t="s">
        <v>3854</v>
      </c>
      <c r="D1348" t="str">
        <f t="shared" si="519"/>
        <v>Fundraising</v>
      </c>
      <c r="E1348" t="s">
        <v>4197</v>
      </c>
      <c r="F1348" t="s">
        <v>1669</v>
      </c>
      <c r="G1348" t="s">
        <v>4198</v>
      </c>
      <c r="H1348" t="s">
        <v>48</v>
      </c>
      <c r="I1348" s="32">
        <v>45177.386689814812</v>
      </c>
      <c r="J1348" s="32">
        <v>45178.386689814812</v>
      </c>
      <c r="K1348" s="32">
        <v>45186.386689814812</v>
      </c>
      <c r="L1348" s="8">
        <f t="shared" si="520"/>
        <v>9</v>
      </c>
      <c r="M1348" s="7">
        <v>45231.386689814812</v>
      </c>
      <c r="N1348" t="s">
        <v>49</v>
      </c>
      <c r="O1348" s="34">
        <v>45200.386689814812</v>
      </c>
      <c r="P1348" t="s">
        <v>60</v>
      </c>
      <c r="R1348" s="32">
        <v>45205.386689814812</v>
      </c>
      <c r="S1348" t="s">
        <v>61</v>
      </c>
      <c r="T1348" s="34" t="s">
        <v>7476</v>
      </c>
      <c r="U1348" s="34" t="s">
        <v>7476</v>
      </c>
      <c r="V1348" s="32">
        <v>45202.386689814812</v>
      </c>
      <c r="W1348" s="32" t="s">
        <v>7476</v>
      </c>
      <c r="X1348">
        <v>0</v>
      </c>
      <c r="Y1348" s="34" t="s">
        <v>7476</v>
      </c>
      <c r="Z1348" s="34" t="s">
        <v>7476</v>
      </c>
      <c r="AA1348" s="34" t="s">
        <v>7476</v>
      </c>
      <c r="AB1348" s="36" t="s">
        <v>7476</v>
      </c>
      <c r="AD1348" t="s">
        <v>4220</v>
      </c>
      <c r="AE1348" t="s">
        <v>4221</v>
      </c>
      <c r="AF1348" s="16">
        <v>45185</v>
      </c>
      <c r="AG1348" t="s">
        <v>64</v>
      </c>
      <c r="AH1348">
        <v>3</v>
      </c>
      <c r="AI1348" s="8">
        <f t="shared" ref="AI1348:AI1355" si="522">IFERROR(R1348-AF1348,"")</f>
        <v>20.386689814811689</v>
      </c>
      <c r="AJ1348" s="8">
        <f t="shared" ref="AJ1348:AJ1355" si="523">IFERROR(O1348-AF1348,"")</f>
        <v>15.386689814811689</v>
      </c>
      <c r="AK1348" s="38">
        <f t="shared" si="521"/>
        <v>45292.386689814812</v>
      </c>
      <c r="AL1348" t="str">
        <f t="shared" ref="AL1348:AL1355" si="524">IFERROR(Z1348-W1348,"")</f>
        <v/>
      </c>
      <c r="AM1348">
        <f t="shared" ref="AM1348:AM1355" si="525">IFERROR(R1348-J1348,"")</f>
        <v>27</v>
      </c>
      <c r="AN1348">
        <f t="shared" ref="AN1348:AN1355" si="526">IFERROR(V1348-O1348,"")</f>
        <v>2</v>
      </c>
      <c r="AO1348">
        <f t="shared" ref="AO1348:AO1355" si="527">IFERROR(J1348-I1348,"")</f>
        <v>1</v>
      </c>
      <c r="AP1348">
        <f t="shared" ref="AP1348:AP1355" si="528">IFERROR(AC1348-X1348,"")</f>
        <v>0</v>
      </c>
      <c r="AQ1348" t="str">
        <f t="shared" ref="AQ1348:AQ1355" si="529">IFERROR(AA1348-W1348,"")</f>
        <v/>
      </c>
    </row>
    <row r="1349" spans="1:43" x14ac:dyDescent="0.35">
      <c r="A1349">
        <v>2923</v>
      </c>
      <c r="B1349" t="s">
        <v>4222</v>
      </c>
      <c r="C1349" t="s">
        <v>3854</v>
      </c>
      <c r="D1349" t="str">
        <f t="shared" si="519"/>
        <v>Fundraising</v>
      </c>
      <c r="E1349" t="s">
        <v>4197</v>
      </c>
      <c r="F1349" t="s">
        <v>1669</v>
      </c>
      <c r="G1349" t="s">
        <v>4198</v>
      </c>
      <c r="H1349" t="s">
        <v>48</v>
      </c>
      <c r="I1349" s="32">
        <v>45178.386689814812</v>
      </c>
      <c r="J1349" s="32">
        <v>45180.386689814812</v>
      </c>
      <c r="K1349" s="32">
        <v>45188.386689814812</v>
      </c>
      <c r="L1349" s="8">
        <f t="shared" si="520"/>
        <v>10</v>
      </c>
      <c r="M1349" s="7">
        <v>45233.386689814812</v>
      </c>
      <c r="N1349" t="s">
        <v>49</v>
      </c>
      <c r="O1349" s="34">
        <v>45194.386689814812</v>
      </c>
      <c r="P1349" t="s">
        <v>50</v>
      </c>
      <c r="Q1349" t="s">
        <v>125</v>
      </c>
      <c r="R1349" s="32" t="s">
        <v>7472</v>
      </c>
      <c r="S1349" t="s">
        <v>7476</v>
      </c>
      <c r="T1349" s="34" t="s">
        <v>7476</v>
      </c>
      <c r="U1349" s="34" t="s">
        <v>7476</v>
      </c>
      <c r="V1349" s="32">
        <v>45198.386689814812</v>
      </c>
      <c r="W1349" s="32" t="s">
        <v>7476</v>
      </c>
      <c r="X1349">
        <v>0</v>
      </c>
      <c r="Y1349" s="34" t="s">
        <v>7476</v>
      </c>
      <c r="Z1349" s="34" t="s">
        <v>7476</v>
      </c>
      <c r="AA1349" s="34" t="s">
        <v>7476</v>
      </c>
      <c r="AB1349" s="36" t="s">
        <v>52</v>
      </c>
      <c r="AD1349" t="s">
        <v>4223</v>
      </c>
      <c r="AE1349" t="s">
        <v>4224</v>
      </c>
      <c r="AF1349" s="16">
        <v>45182</v>
      </c>
      <c r="AG1349" t="s">
        <v>98</v>
      </c>
      <c r="AH1349">
        <v>3</v>
      </c>
      <c r="AI1349" s="8" t="str">
        <f t="shared" si="522"/>
        <v/>
      </c>
      <c r="AJ1349" s="8">
        <f t="shared" si="523"/>
        <v>12.386689814811689</v>
      </c>
      <c r="AK1349" s="38">
        <f t="shared" si="521"/>
        <v>45288.386689814812</v>
      </c>
      <c r="AL1349" t="str">
        <f t="shared" si="524"/>
        <v/>
      </c>
      <c r="AM1349" t="str">
        <f t="shared" si="525"/>
        <v/>
      </c>
      <c r="AN1349">
        <f t="shared" si="526"/>
        <v>4</v>
      </c>
      <c r="AO1349">
        <f t="shared" si="527"/>
        <v>2</v>
      </c>
      <c r="AP1349">
        <f t="shared" si="528"/>
        <v>0</v>
      </c>
      <c r="AQ1349" t="str">
        <f t="shared" si="529"/>
        <v/>
      </c>
    </row>
    <row r="1350" spans="1:43" x14ac:dyDescent="0.35">
      <c r="A1350">
        <v>2912</v>
      </c>
      <c r="B1350" t="s">
        <v>4225</v>
      </c>
      <c r="C1350" t="s">
        <v>3864</v>
      </c>
      <c r="D1350" t="str">
        <f t="shared" si="519"/>
        <v>Fundraising</v>
      </c>
      <c r="E1350" t="s">
        <v>4197</v>
      </c>
      <c r="F1350" t="s">
        <v>1669</v>
      </c>
      <c r="G1350" t="s">
        <v>4198</v>
      </c>
      <c r="H1350" t="s">
        <v>48</v>
      </c>
      <c r="I1350" s="32">
        <v>44598.794965277782</v>
      </c>
      <c r="J1350" s="32">
        <v>44599.794965277782</v>
      </c>
      <c r="K1350" s="32">
        <v>44604.794965277782</v>
      </c>
      <c r="L1350" s="8">
        <f t="shared" si="520"/>
        <v>6</v>
      </c>
      <c r="M1350" s="7">
        <v>44649.794965277782</v>
      </c>
      <c r="N1350" t="s">
        <v>49</v>
      </c>
      <c r="O1350" s="34">
        <v>44620.794965277782</v>
      </c>
      <c r="P1350" t="s">
        <v>50</v>
      </c>
      <c r="Q1350" t="s">
        <v>84</v>
      </c>
      <c r="R1350" s="32" t="s">
        <v>7472</v>
      </c>
      <c r="S1350" t="s">
        <v>7476</v>
      </c>
      <c r="T1350" s="34" t="s">
        <v>7476</v>
      </c>
      <c r="U1350" s="34" t="s">
        <v>7476</v>
      </c>
      <c r="V1350" s="32" t="s">
        <v>7476</v>
      </c>
      <c r="W1350" s="32" t="s">
        <v>7476</v>
      </c>
      <c r="X1350">
        <v>0</v>
      </c>
      <c r="Y1350" s="34" t="s">
        <v>7476</v>
      </c>
      <c r="Z1350" s="34" t="s">
        <v>7476</v>
      </c>
      <c r="AA1350" s="34" t="s">
        <v>7476</v>
      </c>
      <c r="AB1350" s="36" t="s">
        <v>52</v>
      </c>
      <c r="AD1350" t="s">
        <v>4226</v>
      </c>
      <c r="AE1350" t="s">
        <v>4227</v>
      </c>
      <c r="AF1350" s="16">
        <v>44602</v>
      </c>
      <c r="AG1350" t="s">
        <v>68</v>
      </c>
      <c r="AH1350">
        <v>6</v>
      </c>
      <c r="AI1350" s="8" t="str">
        <f t="shared" si="522"/>
        <v/>
      </c>
      <c r="AJ1350" s="8">
        <f t="shared" si="523"/>
        <v>18.794965277782467</v>
      </c>
      <c r="AK1350" s="38" t="str">
        <f t="shared" si="521"/>
        <v/>
      </c>
      <c r="AL1350" t="str">
        <f t="shared" si="524"/>
        <v/>
      </c>
      <c r="AM1350" t="str">
        <f t="shared" si="525"/>
        <v/>
      </c>
      <c r="AN1350" t="str">
        <f t="shared" si="526"/>
        <v/>
      </c>
      <c r="AO1350">
        <f t="shared" si="527"/>
        <v>1</v>
      </c>
      <c r="AP1350">
        <f t="shared" si="528"/>
        <v>0</v>
      </c>
      <c r="AQ1350" t="str">
        <f t="shared" si="529"/>
        <v/>
      </c>
    </row>
    <row r="1351" spans="1:43" x14ac:dyDescent="0.35">
      <c r="A1351">
        <v>2828</v>
      </c>
      <c r="B1351" t="s">
        <v>4228</v>
      </c>
      <c r="C1351" t="s">
        <v>3860</v>
      </c>
      <c r="D1351" t="str">
        <f t="shared" si="519"/>
        <v>Fundraising</v>
      </c>
      <c r="E1351" t="s">
        <v>4197</v>
      </c>
      <c r="F1351" t="s">
        <v>1669</v>
      </c>
      <c r="G1351" t="s">
        <v>4198</v>
      </c>
      <c r="H1351" t="s">
        <v>48</v>
      </c>
      <c r="I1351" s="32">
        <v>44563.055902777778</v>
      </c>
      <c r="J1351" s="32">
        <v>44567.055902777778</v>
      </c>
      <c r="K1351" s="32">
        <v>44571.055902777778</v>
      </c>
      <c r="L1351" s="8">
        <f t="shared" si="520"/>
        <v>8</v>
      </c>
      <c r="M1351" s="7">
        <v>44590.055902777778</v>
      </c>
      <c r="N1351" t="s">
        <v>49</v>
      </c>
      <c r="O1351" s="34">
        <v>44578.055902777778</v>
      </c>
      <c r="P1351" t="s">
        <v>50</v>
      </c>
      <c r="Q1351" t="s">
        <v>84</v>
      </c>
      <c r="R1351" s="32" t="s">
        <v>7472</v>
      </c>
      <c r="S1351" t="s">
        <v>7476</v>
      </c>
      <c r="T1351" s="34" t="s">
        <v>7476</v>
      </c>
      <c r="U1351" s="34" t="s">
        <v>7476</v>
      </c>
      <c r="V1351" s="32" t="s">
        <v>7476</v>
      </c>
      <c r="W1351" s="32" t="s">
        <v>7476</v>
      </c>
      <c r="X1351">
        <v>0</v>
      </c>
      <c r="Y1351" s="34" t="s">
        <v>7476</v>
      </c>
      <c r="Z1351" s="34" t="s">
        <v>7476</v>
      </c>
      <c r="AA1351" s="34" t="s">
        <v>7476</v>
      </c>
      <c r="AB1351" s="36" t="s">
        <v>52</v>
      </c>
      <c r="AD1351" t="s">
        <v>4229</v>
      </c>
      <c r="AE1351" t="s">
        <v>4230</v>
      </c>
      <c r="AF1351" s="16">
        <v>44573</v>
      </c>
      <c r="AG1351" t="s">
        <v>64</v>
      </c>
      <c r="AH1351">
        <v>6</v>
      </c>
      <c r="AI1351" s="8" t="str">
        <f t="shared" si="522"/>
        <v/>
      </c>
      <c r="AJ1351" s="8">
        <f t="shared" si="523"/>
        <v>5.0559027777781012</v>
      </c>
      <c r="AK1351" s="38" t="str">
        <f t="shared" si="521"/>
        <v/>
      </c>
      <c r="AL1351" t="str">
        <f t="shared" si="524"/>
        <v/>
      </c>
      <c r="AM1351" t="str">
        <f t="shared" si="525"/>
        <v/>
      </c>
      <c r="AN1351" t="str">
        <f t="shared" si="526"/>
        <v/>
      </c>
      <c r="AO1351">
        <f t="shared" si="527"/>
        <v>4</v>
      </c>
      <c r="AP1351">
        <f t="shared" si="528"/>
        <v>0</v>
      </c>
      <c r="AQ1351" t="str">
        <f t="shared" si="529"/>
        <v/>
      </c>
    </row>
    <row r="1352" spans="1:43" x14ac:dyDescent="0.35">
      <c r="A1352">
        <v>2826</v>
      </c>
      <c r="B1352" t="s">
        <v>4231</v>
      </c>
      <c r="C1352" t="s">
        <v>3864</v>
      </c>
      <c r="D1352" t="str">
        <f t="shared" si="519"/>
        <v>Fundraising</v>
      </c>
      <c r="E1352" t="s">
        <v>4197</v>
      </c>
      <c r="F1352" t="s">
        <v>1669</v>
      </c>
      <c r="G1352" t="s">
        <v>4198</v>
      </c>
      <c r="H1352" t="s">
        <v>48</v>
      </c>
      <c r="I1352" s="32">
        <v>44569.055902777778</v>
      </c>
      <c r="J1352" s="32">
        <v>44570.055902777778</v>
      </c>
      <c r="K1352" s="32">
        <v>44571.055902777778</v>
      </c>
      <c r="L1352" s="8">
        <f t="shared" si="520"/>
        <v>2</v>
      </c>
      <c r="M1352" s="7">
        <v>44599.055902777778</v>
      </c>
      <c r="N1352" t="s">
        <v>49</v>
      </c>
      <c r="O1352" s="34">
        <v>44579.055902777778</v>
      </c>
      <c r="P1352" t="s">
        <v>50</v>
      </c>
      <c r="Q1352" t="s">
        <v>236</v>
      </c>
      <c r="R1352" s="32" t="s">
        <v>7472</v>
      </c>
      <c r="S1352" t="s">
        <v>7476</v>
      </c>
      <c r="T1352" s="34" t="s">
        <v>7476</v>
      </c>
      <c r="U1352" s="34" t="s">
        <v>7476</v>
      </c>
      <c r="V1352" s="32">
        <v>44581.055902777778</v>
      </c>
      <c r="W1352" s="32" t="s">
        <v>7476</v>
      </c>
      <c r="X1352">
        <v>0</v>
      </c>
      <c r="Y1352" s="34" t="s">
        <v>7476</v>
      </c>
      <c r="Z1352" s="34" t="s">
        <v>7476</v>
      </c>
      <c r="AA1352" s="34" t="s">
        <v>7476</v>
      </c>
      <c r="AB1352" s="36" t="s">
        <v>95</v>
      </c>
      <c r="AD1352" t="s">
        <v>4232</v>
      </c>
      <c r="AE1352" t="s">
        <v>4233</v>
      </c>
      <c r="AF1352" s="16">
        <v>44713</v>
      </c>
      <c r="AG1352" t="s">
        <v>68</v>
      </c>
      <c r="AH1352">
        <v>6</v>
      </c>
      <c r="AI1352" s="8" t="str">
        <f t="shared" si="522"/>
        <v/>
      </c>
      <c r="AJ1352" s="8">
        <f t="shared" si="523"/>
        <v>-133.9440972222219</v>
      </c>
      <c r="AK1352" s="38">
        <f t="shared" si="521"/>
        <v>44761.055902777778</v>
      </c>
      <c r="AL1352" t="str">
        <f t="shared" si="524"/>
        <v/>
      </c>
      <c r="AM1352" t="str">
        <f t="shared" si="525"/>
        <v/>
      </c>
      <c r="AN1352">
        <f t="shared" si="526"/>
        <v>2</v>
      </c>
      <c r="AO1352">
        <f t="shared" si="527"/>
        <v>1</v>
      </c>
      <c r="AP1352">
        <f t="shared" si="528"/>
        <v>0</v>
      </c>
      <c r="AQ1352" t="str">
        <f t="shared" si="529"/>
        <v/>
      </c>
    </row>
    <row r="1353" spans="1:43" x14ac:dyDescent="0.35">
      <c r="A1353">
        <v>2821</v>
      </c>
      <c r="B1353" t="s">
        <v>4234</v>
      </c>
      <c r="C1353" t="s">
        <v>3864</v>
      </c>
      <c r="D1353" t="str">
        <f t="shared" si="519"/>
        <v>Fundraising</v>
      </c>
      <c r="E1353" t="s">
        <v>4197</v>
      </c>
      <c r="F1353" t="s">
        <v>1669</v>
      </c>
      <c r="G1353" t="s">
        <v>4198</v>
      </c>
      <c r="H1353" t="s">
        <v>48</v>
      </c>
      <c r="I1353" s="32">
        <v>44567.055902777778</v>
      </c>
      <c r="J1353" s="32">
        <v>44568.055902777778</v>
      </c>
      <c r="K1353" s="32">
        <v>44571.055902777778</v>
      </c>
      <c r="L1353" s="8">
        <f t="shared" si="520"/>
        <v>4</v>
      </c>
      <c r="M1353" s="7">
        <v>44576.055902777778</v>
      </c>
      <c r="N1353" t="s">
        <v>49</v>
      </c>
      <c r="O1353" s="34">
        <v>44580.055902777778</v>
      </c>
      <c r="P1353" t="s">
        <v>60</v>
      </c>
      <c r="R1353" s="32">
        <v>44583.055902777778</v>
      </c>
      <c r="S1353" t="s">
        <v>61</v>
      </c>
      <c r="T1353" s="34" t="s">
        <v>7476</v>
      </c>
      <c r="U1353" s="34" t="s">
        <v>7476</v>
      </c>
      <c r="V1353" s="32">
        <v>44582.055902777778</v>
      </c>
      <c r="W1353" s="32" t="s">
        <v>7476</v>
      </c>
      <c r="X1353">
        <v>0</v>
      </c>
      <c r="Y1353" s="34" t="s">
        <v>7476</v>
      </c>
      <c r="Z1353" s="34" t="s">
        <v>7476</v>
      </c>
      <c r="AA1353" s="34" t="s">
        <v>7476</v>
      </c>
      <c r="AB1353" s="36" t="s">
        <v>7476</v>
      </c>
      <c r="AD1353" t="s">
        <v>4235</v>
      </c>
      <c r="AE1353" t="s">
        <v>4236</v>
      </c>
      <c r="AF1353" s="16">
        <v>44568</v>
      </c>
      <c r="AG1353" t="s">
        <v>98</v>
      </c>
      <c r="AH1353">
        <v>6</v>
      </c>
      <c r="AI1353" s="8">
        <f t="shared" si="522"/>
        <v>15.055902777778101</v>
      </c>
      <c r="AJ1353" s="8">
        <f t="shared" si="523"/>
        <v>12.055902777778101</v>
      </c>
      <c r="AK1353" s="38">
        <f t="shared" si="521"/>
        <v>44762.055902777778</v>
      </c>
      <c r="AL1353" t="str">
        <f t="shared" si="524"/>
        <v/>
      </c>
      <c r="AM1353">
        <f t="shared" si="525"/>
        <v>15</v>
      </c>
      <c r="AN1353">
        <f t="shared" si="526"/>
        <v>2</v>
      </c>
      <c r="AO1353">
        <f t="shared" si="527"/>
        <v>1</v>
      </c>
      <c r="AP1353">
        <f t="shared" si="528"/>
        <v>0</v>
      </c>
      <c r="AQ1353" t="str">
        <f t="shared" si="529"/>
        <v/>
      </c>
    </row>
    <row r="1354" spans="1:43" x14ac:dyDescent="0.35">
      <c r="A1354">
        <v>2807</v>
      </c>
      <c r="B1354" t="s">
        <v>4237</v>
      </c>
      <c r="C1354" t="s">
        <v>3864</v>
      </c>
      <c r="D1354" t="str">
        <f t="shared" si="519"/>
        <v>Fundraising</v>
      </c>
      <c r="E1354" t="s">
        <v>4197</v>
      </c>
      <c r="F1354" t="s">
        <v>1669</v>
      </c>
      <c r="G1354" t="s">
        <v>4198</v>
      </c>
      <c r="H1354" t="s">
        <v>48</v>
      </c>
      <c r="I1354" s="32">
        <v>45075.778425925928</v>
      </c>
      <c r="J1354" s="32">
        <v>45079.778425925928</v>
      </c>
      <c r="K1354" s="32">
        <v>45085.778425925928</v>
      </c>
      <c r="L1354" s="8">
        <f t="shared" si="520"/>
        <v>10</v>
      </c>
      <c r="M1354" s="7">
        <v>45113.778425925928</v>
      </c>
      <c r="N1354" t="s">
        <v>49</v>
      </c>
      <c r="O1354" s="34">
        <v>45099.778425925928</v>
      </c>
      <c r="P1354" t="s">
        <v>392</v>
      </c>
      <c r="R1354" s="32">
        <v>45105.778425925928</v>
      </c>
      <c r="S1354" t="s">
        <v>392</v>
      </c>
      <c r="T1354" s="34" t="s">
        <v>7476</v>
      </c>
      <c r="U1354" s="34" t="s">
        <v>7476</v>
      </c>
      <c r="V1354" s="32">
        <v>45102.778425925928</v>
      </c>
      <c r="W1354" s="32" t="s">
        <v>7476</v>
      </c>
      <c r="X1354">
        <v>0</v>
      </c>
      <c r="Y1354" s="34" t="s">
        <v>7476</v>
      </c>
      <c r="Z1354" s="34" t="s">
        <v>7476</v>
      </c>
      <c r="AA1354" s="34" t="s">
        <v>7476</v>
      </c>
      <c r="AB1354" s="36" t="s">
        <v>7476</v>
      </c>
      <c r="AD1354" t="s">
        <v>4238</v>
      </c>
      <c r="AE1354" t="s">
        <v>4239</v>
      </c>
      <c r="AF1354" s="16">
        <v>45086</v>
      </c>
      <c r="AG1354" t="s">
        <v>68</v>
      </c>
      <c r="AH1354">
        <v>6</v>
      </c>
      <c r="AI1354" s="8">
        <f t="shared" si="522"/>
        <v>19.778425925927877</v>
      </c>
      <c r="AJ1354" s="8">
        <f t="shared" si="523"/>
        <v>13.778425925927877</v>
      </c>
      <c r="AK1354" s="38">
        <f t="shared" si="521"/>
        <v>45282.778425925928</v>
      </c>
      <c r="AL1354" t="str">
        <f t="shared" si="524"/>
        <v/>
      </c>
      <c r="AM1354">
        <f t="shared" si="525"/>
        <v>26</v>
      </c>
      <c r="AN1354">
        <f t="shared" si="526"/>
        <v>3</v>
      </c>
      <c r="AO1354">
        <f t="shared" si="527"/>
        <v>4</v>
      </c>
      <c r="AP1354">
        <f t="shared" si="528"/>
        <v>0</v>
      </c>
      <c r="AQ1354" t="str">
        <f t="shared" si="529"/>
        <v/>
      </c>
    </row>
    <row r="1355" spans="1:43" x14ac:dyDescent="0.35">
      <c r="A1355">
        <v>2794</v>
      </c>
      <c r="B1355" t="s">
        <v>4240</v>
      </c>
      <c r="C1355" t="s">
        <v>3864</v>
      </c>
      <c r="D1355" t="str">
        <f t="shared" si="519"/>
        <v>Fundraising</v>
      </c>
      <c r="E1355" t="s">
        <v>4197</v>
      </c>
      <c r="F1355" t="s">
        <v>1669</v>
      </c>
      <c r="G1355" t="s">
        <v>4198</v>
      </c>
      <c r="H1355" t="s">
        <v>48</v>
      </c>
      <c r="I1355" s="32">
        <v>45104.834444444437</v>
      </c>
      <c r="J1355" s="32">
        <v>45108.834444444437</v>
      </c>
      <c r="K1355" s="32">
        <v>45109.834444444437</v>
      </c>
      <c r="L1355" s="8">
        <f t="shared" si="520"/>
        <v>5</v>
      </c>
      <c r="M1355" s="7">
        <v>45129.834444444437</v>
      </c>
      <c r="N1355" t="s">
        <v>49</v>
      </c>
      <c r="O1355" s="34">
        <v>45114.834444444437</v>
      </c>
      <c r="P1355" t="s">
        <v>50</v>
      </c>
      <c r="Q1355" t="s">
        <v>198</v>
      </c>
      <c r="R1355" s="32" t="s">
        <v>7472</v>
      </c>
      <c r="S1355" t="s">
        <v>7476</v>
      </c>
      <c r="T1355" s="34" t="s">
        <v>7476</v>
      </c>
      <c r="U1355" s="34" t="s">
        <v>7476</v>
      </c>
      <c r="V1355" s="32" t="s">
        <v>7476</v>
      </c>
      <c r="W1355" s="32" t="s">
        <v>7476</v>
      </c>
      <c r="X1355">
        <v>0</v>
      </c>
      <c r="Y1355" s="34" t="s">
        <v>7476</v>
      </c>
      <c r="Z1355" s="34" t="s">
        <v>7476</v>
      </c>
      <c r="AA1355" s="34" t="s">
        <v>7476</v>
      </c>
      <c r="AB1355" s="36" t="s">
        <v>95</v>
      </c>
      <c r="AD1355" t="s">
        <v>4241</v>
      </c>
      <c r="AE1355" t="s">
        <v>4242</v>
      </c>
      <c r="AF1355" s="16">
        <v>45106</v>
      </c>
      <c r="AG1355" t="s">
        <v>98</v>
      </c>
      <c r="AH1355">
        <v>3</v>
      </c>
      <c r="AI1355" s="8" t="str">
        <f t="shared" si="522"/>
        <v/>
      </c>
      <c r="AJ1355" s="8">
        <f t="shared" si="523"/>
        <v>8.8344444444373948</v>
      </c>
      <c r="AK1355" s="38" t="str">
        <f t="shared" si="521"/>
        <v/>
      </c>
      <c r="AL1355" t="str">
        <f t="shared" si="524"/>
        <v/>
      </c>
      <c r="AM1355" t="str">
        <f t="shared" si="525"/>
        <v/>
      </c>
      <c r="AN1355" t="str">
        <f t="shared" si="526"/>
        <v/>
      </c>
      <c r="AO1355">
        <f t="shared" si="527"/>
        <v>4</v>
      </c>
      <c r="AP1355">
        <f t="shared" si="528"/>
        <v>0</v>
      </c>
      <c r="AQ1355" t="str">
        <f t="shared" si="529"/>
        <v/>
      </c>
    </row>
    <row r="1356" spans="1:43" x14ac:dyDescent="0.35">
      <c r="A1356">
        <v>2747</v>
      </c>
      <c r="B1356" t="s">
        <v>4243</v>
      </c>
      <c r="C1356" t="s">
        <v>3864</v>
      </c>
      <c r="D1356" t="str">
        <f t="shared" si="519"/>
        <v>Fundraising</v>
      </c>
      <c r="E1356" t="s">
        <v>4197</v>
      </c>
      <c r="F1356" t="s">
        <v>1669</v>
      </c>
      <c r="G1356" t="s">
        <v>4198</v>
      </c>
      <c r="H1356" t="s">
        <v>48</v>
      </c>
      <c r="I1356" s="32">
        <v>44670.561030092591</v>
      </c>
      <c r="J1356" s="32">
        <v>44674.561030092591</v>
      </c>
      <c r="K1356" s="32" t="s">
        <v>7473</v>
      </c>
      <c r="L1356" s="8" t="str">
        <f t="shared" si="520"/>
        <v/>
      </c>
      <c r="M1356" s="7">
        <v>44683.561030092591</v>
      </c>
      <c r="N1356" t="s">
        <v>49</v>
      </c>
      <c r="O1356" s="34">
        <v>44680.561030092591</v>
      </c>
      <c r="P1356" t="s">
        <v>50</v>
      </c>
      <c r="Q1356" t="s">
        <v>236</v>
      </c>
      <c r="R1356" s="32" t="s">
        <v>7472</v>
      </c>
      <c r="S1356" t="s">
        <v>7476</v>
      </c>
      <c r="T1356" s="34" t="s">
        <v>7476</v>
      </c>
      <c r="U1356" s="34" t="s">
        <v>7476</v>
      </c>
      <c r="V1356" s="32" t="s">
        <v>7476</v>
      </c>
      <c r="W1356" s="32" t="s">
        <v>7476</v>
      </c>
      <c r="X1356">
        <v>0</v>
      </c>
      <c r="Y1356" s="34" t="s">
        <v>7476</v>
      </c>
      <c r="Z1356" s="34" t="s">
        <v>7476</v>
      </c>
      <c r="AA1356" s="34" t="s">
        <v>7476</v>
      </c>
      <c r="AB1356" s="36" t="s">
        <v>52</v>
      </c>
      <c r="AD1356" t="s">
        <v>4244</v>
      </c>
      <c r="AE1356" t="s">
        <v>4245</v>
      </c>
      <c r="AF1356" s="16">
        <v>44666</v>
      </c>
      <c r="AG1356" t="s">
        <v>55</v>
      </c>
      <c r="AH1356">
        <v>3</v>
      </c>
      <c r="AK1356" s="38" t="str">
        <f t="shared" si="521"/>
        <v/>
      </c>
    </row>
    <row r="1357" spans="1:43" x14ac:dyDescent="0.35">
      <c r="A1357">
        <v>2709</v>
      </c>
      <c r="B1357" t="s">
        <v>4246</v>
      </c>
      <c r="C1357" t="s">
        <v>3854</v>
      </c>
      <c r="D1357" t="str">
        <f t="shared" si="519"/>
        <v>Fundraising</v>
      </c>
      <c r="E1357" t="s">
        <v>4197</v>
      </c>
      <c r="F1357" t="s">
        <v>1669</v>
      </c>
      <c r="G1357" t="s">
        <v>4198</v>
      </c>
      <c r="H1357" t="s">
        <v>48</v>
      </c>
      <c r="I1357" s="32">
        <v>44832.495787037027</v>
      </c>
      <c r="J1357" s="32" t="s">
        <v>7471</v>
      </c>
      <c r="K1357" s="32">
        <v>44837.495787037027</v>
      </c>
      <c r="L1357" s="8">
        <f t="shared" si="520"/>
        <v>5</v>
      </c>
      <c r="M1357" s="7">
        <v>44843.495787037027</v>
      </c>
      <c r="N1357" t="s">
        <v>49</v>
      </c>
      <c r="O1357" s="34">
        <v>44846.495787037027</v>
      </c>
      <c r="P1357" t="s">
        <v>60</v>
      </c>
      <c r="R1357" s="32">
        <v>44853.495787037027</v>
      </c>
      <c r="S1357" t="s">
        <v>61</v>
      </c>
      <c r="T1357" s="34" t="s">
        <v>7476</v>
      </c>
      <c r="U1357" s="34" t="s">
        <v>7476</v>
      </c>
      <c r="V1357" s="32">
        <v>44850.495787037027</v>
      </c>
      <c r="W1357" s="32" t="s">
        <v>7476</v>
      </c>
      <c r="X1357">
        <v>0</v>
      </c>
      <c r="Y1357" s="34" t="s">
        <v>7476</v>
      </c>
      <c r="Z1357" s="34" t="s">
        <v>7476</v>
      </c>
      <c r="AA1357" s="34" t="s">
        <v>7476</v>
      </c>
      <c r="AB1357" s="36" t="s">
        <v>7476</v>
      </c>
      <c r="AD1357" t="s">
        <v>4247</v>
      </c>
      <c r="AE1357" t="s">
        <v>4248</v>
      </c>
      <c r="AF1357" s="16">
        <v>44832</v>
      </c>
      <c r="AG1357" t="s">
        <v>75</v>
      </c>
      <c r="AH1357">
        <v>3</v>
      </c>
      <c r="AK1357" s="38">
        <f t="shared" si="521"/>
        <v>44940.495787037027</v>
      </c>
    </row>
    <row r="1358" spans="1:43" x14ac:dyDescent="0.35">
      <c r="A1358">
        <v>2634</v>
      </c>
      <c r="B1358" t="s">
        <v>4249</v>
      </c>
      <c r="C1358" t="s">
        <v>3854</v>
      </c>
      <c r="D1358" t="str">
        <f t="shared" si="519"/>
        <v>Fundraising</v>
      </c>
      <c r="E1358" t="s">
        <v>4197</v>
      </c>
      <c r="F1358" t="s">
        <v>1669</v>
      </c>
      <c r="G1358" t="s">
        <v>4198</v>
      </c>
      <c r="H1358" t="s">
        <v>48</v>
      </c>
      <c r="I1358" s="32">
        <v>44579.196851851862</v>
      </c>
      <c r="J1358" s="32">
        <v>44582.196851851862</v>
      </c>
      <c r="K1358" s="32">
        <v>44588.196851851862</v>
      </c>
      <c r="L1358" s="8">
        <f t="shared" si="520"/>
        <v>9</v>
      </c>
      <c r="M1358" s="7">
        <v>44607.196851851862</v>
      </c>
      <c r="N1358" t="s">
        <v>49</v>
      </c>
      <c r="O1358" s="34">
        <v>44595.196851851862</v>
      </c>
      <c r="P1358" t="s">
        <v>50</v>
      </c>
      <c r="Q1358" t="s">
        <v>198</v>
      </c>
      <c r="R1358" s="32" t="s">
        <v>7472</v>
      </c>
      <c r="S1358" t="s">
        <v>7476</v>
      </c>
      <c r="T1358" s="34" t="s">
        <v>7476</v>
      </c>
      <c r="U1358" s="34" t="s">
        <v>7476</v>
      </c>
      <c r="V1358" s="32" t="s">
        <v>7476</v>
      </c>
      <c r="W1358" s="32" t="s">
        <v>7476</v>
      </c>
      <c r="X1358">
        <v>0</v>
      </c>
      <c r="Y1358" s="34" t="s">
        <v>7476</v>
      </c>
      <c r="Z1358" s="34" t="s">
        <v>7476</v>
      </c>
      <c r="AA1358" s="34" t="s">
        <v>7476</v>
      </c>
      <c r="AB1358" s="36" t="s">
        <v>95</v>
      </c>
      <c r="AD1358" t="s">
        <v>4250</v>
      </c>
      <c r="AE1358" t="s">
        <v>4251</v>
      </c>
      <c r="AF1358" s="16">
        <v>44586</v>
      </c>
      <c r="AG1358" t="s">
        <v>98</v>
      </c>
      <c r="AH1358">
        <v>3</v>
      </c>
      <c r="AI1358" s="8" t="str">
        <f t="shared" ref="AI1358:AI1363" si="530">IFERROR(R1358-AF1358,"")</f>
        <v/>
      </c>
      <c r="AJ1358" s="8">
        <f t="shared" ref="AJ1358:AJ1363" si="531">IFERROR(O1358-AF1358,"")</f>
        <v>9.1968518518624478</v>
      </c>
      <c r="AK1358" s="38" t="str">
        <f t="shared" si="521"/>
        <v/>
      </c>
      <c r="AL1358" t="str">
        <f t="shared" ref="AL1358:AL1363" si="532">IFERROR(Z1358-W1358,"")</f>
        <v/>
      </c>
      <c r="AM1358" t="str">
        <f t="shared" ref="AM1358:AM1363" si="533">IFERROR(R1358-J1358,"")</f>
        <v/>
      </c>
      <c r="AN1358" t="str">
        <f t="shared" ref="AN1358:AN1363" si="534">IFERROR(V1358-O1358,"")</f>
        <v/>
      </c>
      <c r="AO1358">
        <f t="shared" ref="AO1358:AO1363" si="535">IFERROR(J1358-I1358,"")</f>
        <v>3</v>
      </c>
      <c r="AP1358">
        <f t="shared" ref="AP1358:AP1363" si="536">IFERROR(AC1358-X1358,"")</f>
        <v>0</v>
      </c>
      <c r="AQ1358" t="str">
        <f t="shared" ref="AQ1358:AQ1363" si="537">IFERROR(AA1358-W1358,"")</f>
        <v/>
      </c>
    </row>
    <row r="1359" spans="1:43" x14ac:dyDescent="0.35">
      <c r="A1359">
        <v>2632</v>
      </c>
      <c r="B1359" t="s">
        <v>4252</v>
      </c>
      <c r="C1359" t="s">
        <v>3864</v>
      </c>
      <c r="D1359" t="str">
        <f t="shared" si="519"/>
        <v>Fundraising</v>
      </c>
      <c r="E1359" t="s">
        <v>4197</v>
      </c>
      <c r="F1359" t="s">
        <v>1669</v>
      </c>
      <c r="G1359" t="s">
        <v>4198</v>
      </c>
      <c r="H1359" t="s">
        <v>48</v>
      </c>
      <c r="I1359" s="32">
        <v>44585.196851851862</v>
      </c>
      <c r="J1359" s="32">
        <v>44587.196851851862</v>
      </c>
      <c r="K1359" s="32">
        <v>44588.196851851862</v>
      </c>
      <c r="L1359" s="8">
        <f t="shared" si="520"/>
        <v>3</v>
      </c>
      <c r="M1359" s="7">
        <v>44597.196851851862</v>
      </c>
      <c r="N1359" t="s">
        <v>49</v>
      </c>
      <c r="O1359" s="34">
        <v>44603.196851851862</v>
      </c>
      <c r="P1359" t="s">
        <v>60</v>
      </c>
      <c r="R1359" s="32">
        <v>44610.196851851862</v>
      </c>
      <c r="S1359" t="s">
        <v>61</v>
      </c>
      <c r="T1359" s="34" t="s">
        <v>7476</v>
      </c>
      <c r="U1359" s="34" t="s">
        <v>7476</v>
      </c>
      <c r="V1359" s="32">
        <v>44607.196851851862</v>
      </c>
      <c r="W1359" s="32" t="s">
        <v>7476</v>
      </c>
      <c r="X1359">
        <v>0</v>
      </c>
      <c r="Y1359" s="34" t="s">
        <v>7476</v>
      </c>
      <c r="Z1359" s="34" t="s">
        <v>7476</v>
      </c>
      <c r="AA1359" s="34" t="s">
        <v>7476</v>
      </c>
      <c r="AB1359" s="36" t="s">
        <v>7476</v>
      </c>
      <c r="AD1359" t="s">
        <v>4253</v>
      </c>
      <c r="AE1359" t="s">
        <v>4254</v>
      </c>
      <c r="AF1359" s="16">
        <v>44586</v>
      </c>
      <c r="AG1359" t="s">
        <v>68</v>
      </c>
      <c r="AH1359">
        <v>3</v>
      </c>
      <c r="AI1359" s="8">
        <f t="shared" si="530"/>
        <v>24.196851851862448</v>
      </c>
      <c r="AJ1359" s="8">
        <f t="shared" si="531"/>
        <v>17.196851851862448</v>
      </c>
      <c r="AK1359" s="38">
        <f t="shared" si="521"/>
        <v>44697.196851851862</v>
      </c>
      <c r="AL1359" t="str">
        <f t="shared" si="532"/>
        <v/>
      </c>
      <c r="AM1359">
        <f t="shared" si="533"/>
        <v>23</v>
      </c>
      <c r="AN1359">
        <f t="shared" si="534"/>
        <v>4</v>
      </c>
      <c r="AO1359">
        <f t="shared" si="535"/>
        <v>2</v>
      </c>
      <c r="AP1359">
        <f t="shared" si="536"/>
        <v>0</v>
      </c>
      <c r="AQ1359" t="str">
        <f t="shared" si="537"/>
        <v/>
      </c>
    </row>
    <row r="1360" spans="1:43" x14ac:dyDescent="0.35">
      <c r="A1360">
        <v>2631</v>
      </c>
      <c r="B1360" t="s">
        <v>4255</v>
      </c>
      <c r="C1360" t="s">
        <v>3854</v>
      </c>
      <c r="D1360" t="str">
        <f t="shared" si="519"/>
        <v>Fundraising</v>
      </c>
      <c r="E1360" t="s">
        <v>4197</v>
      </c>
      <c r="F1360" t="s">
        <v>1669</v>
      </c>
      <c r="G1360" t="s">
        <v>4198</v>
      </c>
      <c r="H1360" t="s">
        <v>48</v>
      </c>
      <c r="I1360" s="32">
        <v>44581.196851851862</v>
      </c>
      <c r="J1360" s="32">
        <v>44585.196851851862</v>
      </c>
      <c r="K1360" s="32">
        <v>44588.196851851862</v>
      </c>
      <c r="L1360" s="8">
        <f t="shared" si="520"/>
        <v>7</v>
      </c>
      <c r="M1360" s="7">
        <v>44603.196851851862</v>
      </c>
      <c r="N1360" t="s">
        <v>49</v>
      </c>
      <c r="O1360" s="34">
        <v>44599.196851851862</v>
      </c>
      <c r="P1360" t="s">
        <v>50</v>
      </c>
      <c r="Q1360" t="s">
        <v>51</v>
      </c>
      <c r="R1360" s="32" t="s">
        <v>7472</v>
      </c>
      <c r="S1360" t="s">
        <v>7476</v>
      </c>
      <c r="T1360" s="34" t="s">
        <v>7476</v>
      </c>
      <c r="U1360" s="34" t="s">
        <v>7476</v>
      </c>
      <c r="V1360" s="32">
        <v>44602.196851851862</v>
      </c>
      <c r="W1360" s="32" t="s">
        <v>7476</v>
      </c>
      <c r="X1360">
        <v>0</v>
      </c>
      <c r="Y1360" s="34" t="s">
        <v>7476</v>
      </c>
      <c r="Z1360" s="34" t="s">
        <v>7476</v>
      </c>
      <c r="AA1360" s="34" t="s">
        <v>7476</v>
      </c>
      <c r="AB1360" s="36" t="s">
        <v>52</v>
      </c>
      <c r="AD1360" t="s">
        <v>4256</v>
      </c>
      <c r="AE1360" t="s">
        <v>4257</v>
      </c>
      <c r="AF1360" s="16">
        <v>44589</v>
      </c>
      <c r="AG1360" t="s">
        <v>64</v>
      </c>
      <c r="AH1360">
        <v>6</v>
      </c>
      <c r="AI1360" s="8" t="str">
        <f t="shared" si="530"/>
        <v/>
      </c>
      <c r="AJ1360" s="8">
        <f t="shared" si="531"/>
        <v>10.196851851862448</v>
      </c>
      <c r="AK1360" s="38">
        <f t="shared" si="521"/>
        <v>44782.196851851862</v>
      </c>
      <c r="AL1360" t="str">
        <f t="shared" si="532"/>
        <v/>
      </c>
      <c r="AM1360" t="str">
        <f t="shared" si="533"/>
        <v/>
      </c>
      <c r="AN1360">
        <f t="shared" si="534"/>
        <v>3</v>
      </c>
      <c r="AO1360">
        <f t="shared" si="535"/>
        <v>4</v>
      </c>
      <c r="AP1360">
        <f t="shared" si="536"/>
        <v>0</v>
      </c>
      <c r="AQ1360" t="str">
        <f t="shared" si="537"/>
        <v/>
      </c>
    </row>
    <row r="1361" spans="1:43" x14ac:dyDescent="0.35">
      <c r="A1361">
        <v>2626</v>
      </c>
      <c r="B1361" t="s">
        <v>4258</v>
      </c>
      <c r="C1361" t="s">
        <v>3864</v>
      </c>
      <c r="D1361" t="str">
        <f t="shared" si="519"/>
        <v>Fundraising</v>
      </c>
      <c r="E1361" t="s">
        <v>4197</v>
      </c>
      <c r="F1361" t="s">
        <v>1669</v>
      </c>
      <c r="G1361" t="s">
        <v>4198</v>
      </c>
      <c r="H1361" t="s">
        <v>48</v>
      </c>
      <c r="I1361" s="32">
        <v>45096.668356481481</v>
      </c>
      <c r="J1361" s="32">
        <v>45099.668356481481</v>
      </c>
      <c r="K1361" s="32">
        <v>45102.668356481481</v>
      </c>
      <c r="L1361" s="8">
        <f t="shared" si="520"/>
        <v>6</v>
      </c>
      <c r="M1361" s="7">
        <v>45108.668356481481</v>
      </c>
      <c r="N1361" t="s">
        <v>49</v>
      </c>
      <c r="O1361" s="34">
        <v>45105.668356481481</v>
      </c>
      <c r="P1361" t="s">
        <v>50</v>
      </c>
      <c r="Q1361" t="s">
        <v>51</v>
      </c>
      <c r="R1361" s="32" t="s">
        <v>7472</v>
      </c>
      <c r="S1361" t="s">
        <v>7476</v>
      </c>
      <c r="T1361" s="34" t="s">
        <v>7476</v>
      </c>
      <c r="U1361" s="34" t="s">
        <v>7476</v>
      </c>
      <c r="V1361" s="32">
        <v>45108.668356481481</v>
      </c>
      <c r="W1361" s="32" t="s">
        <v>7476</v>
      </c>
      <c r="X1361">
        <v>0</v>
      </c>
      <c r="Y1361" s="34" t="s">
        <v>7476</v>
      </c>
      <c r="Z1361" s="34" t="s">
        <v>7476</v>
      </c>
      <c r="AA1361" s="34" t="s">
        <v>7476</v>
      </c>
      <c r="AB1361" s="36" t="s">
        <v>52</v>
      </c>
      <c r="AD1361" t="s">
        <v>4259</v>
      </c>
      <c r="AE1361" t="s">
        <v>4260</v>
      </c>
      <c r="AF1361" s="16">
        <v>45090</v>
      </c>
      <c r="AG1361" t="s">
        <v>98</v>
      </c>
      <c r="AH1361">
        <v>6</v>
      </c>
      <c r="AI1361" s="8" t="str">
        <f t="shared" si="530"/>
        <v/>
      </c>
      <c r="AJ1361" s="8">
        <f t="shared" si="531"/>
        <v>15.668356481481169</v>
      </c>
      <c r="AK1361" s="38">
        <f t="shared" si="521"/>
        <v>45288.668356481481</v>
      </c>
      <c r="AL1361" t="str">
        <f t="shared" si="532"/>
        <v/>
      </c>
      <c r="AM1361" t="str">
        <f t="shared" si="533"/>
        <v/>
      </c>
      <c r="AN1361">
        <f t="shared" si="534"/>
        <v>3</v>
      </c>
      <c r="AO1361">
        <f t="shared" si="535"/>
        <v>3</v>
      </c>
      <c r="AP1361">
        <f t="shared" si="536"/>
        <v>0</v>
      </c>
      <c r="AQ1361" t="str">
        <f t="shared" si="537"/>
        <v/>
      </c>
    </row>
    <row r="1362" spans="1:43" x14ac:dyDescent="0.35">
      <c r="A1362">
        <v>2620</v>
      </c>
      <c r="B1362" t="s">
        <v>4261</v>
      </c>
      <c r="C1362" t="s">
        <v>3854</v>
      </c>
      <c r="D1362" t="str">
        <f t="shared" si="519"/>
        <v>Fundraising</v>
      </c>
      <c r="E1362" t="s">
        <v>4197</v>
      </c>
      <c r="F1362" t="s">
        <v>1669</v>
      </c>
      <c r="G1362" t="s">
        <v>4198</v>
      </c>
      <c r="H1362" t="s">
        <v>48</v>
      </c>
      <c r="I1362" s="32">
        <v>44928.379525462973</v>
      </c>
      <c r="J1362" s="32">
        <v>44931.379525462973</v>
      </c>
      <c r="K1362" s="32">
        <v>44936.379525462973</v>
      </c>
      <c r="L1362" s="8">
        <f t="shared" si="520"/>
        <v>8</v>
      </c>
      <c r="M1362" s="7">
        <v>44945.379525462973</v>
      </c>
      <c r="N1362" t="s">
        <v>49</v>
      </c>
      <c r="O1362" s="34">
        <v>44946.379525462973</v>
      </c>
      <c r="P1362" t="s">
        <v>50</v>
      </c>
      <c r="Q1362" t="s">
        <v>125</v>
      </c>
      <c r="R1362" s="32" t="s">
        <v>7472</v>
      </c>
      <c r="S1362" t="s">
        <v>7476</v>
      </c>
      <c r="T1362" s="34" t="s">
        <v>7476</v>
      </c>
      <c r="U1362" s="34" t="s">
        <v>7476</v>
      </c>
      <c r="V1362" s="32">
        <v>44950.379525462973</v>
      </c>
      <c r="W1362" s="32" t="s">
        <v>7476</v>
      </c>
      <c r="X1362">
        <v>0</v>
      </c>
      <c r="Y1362" s="34" t="s">
        <v>7476</v>
      </c>
      <c r="Z1362" s="34" t="s">
        <v>7476</v>
      </c>
      <c r="AA1362" s="34" t="s">
        <v>7476</v>
      </c>
      <c r="AB1362" s="36" t="s">
        <v>52</v>
      </c>
      <c r="AD1362" t="s">
        <v>4262</v>
      </c>
      <c r="AE1362" t="s">
        <v>4263</v>
      </c>
      <c r="AF1362" s="16">
        <v>44931</v>
      </c>
      <c r="AG1362" t="s">
        <v>64</v>
      </c>
      <c r="AH1362">
        <v>6</v>
      </c>
      <c r="AI1362" s="8" t="str">
        <f t="shared" si="530"/>
        <v/>
      </c>
      <c r="AJ1362" s="8">
        <f t="shared" si="531"/>
        <v>15.379525462973106</v>
      </c>
      <c r="AK1362" s="38">
        <f t="shared" si="521"/>
        <v>45130.379525462973</v>
      </c>
      <c r="AL1362" t="str">
        <f t="shared" si="532"/>
        <v/>
      </c>
      <c r="AM1362" t="str">
        <f t="shared" si="533"/>
        <v/>
      </c>
      <c r="AN1362">
        <f t="shared" si="534"/>
        <v>4</v>
      </c>
      <c r="AO1362">
        <f t="shared" si="535"/>
        <v>3</v>
      </c>
      <c r="AP1362">
        <f t="shared" si="536"/>
        <v>0</v>
      </c>
      <c r="AQ1362" t="str">
        <f t="shared" si="537"/>
        <v/>
      </c>
    </row>
    <row r="1363" spans="1:43" x14ac:dyDescent="0.35">
      <c r="A1363">
        <v>2573</v>
      </c>
      <c r="B1363" t="s">
        <v>4264</v>
      </c>
      <c r="C1363" t="s">
        <v>3864</v>
      </c>
      <c r="D1363" t="str">
        <f t="shared" si="519"/>
        <v>Fundraising</v>
      </c>
      <c r="E1363" t="s">
        <v>4197</v>
      </c>
      <c r="F1363" t="s">
        <v>1669</v>
      </c>
      <c r="G1363" t="s">
        <v>4198</v>
      </c>
      <c r="H1363" t="s">
        <v>48</v>
      </c>
      <c r="I1363" s="32">
        <v>44636.718425925923</v>
      </c>
      <c r="J1363" s="32">
        <v>44640.718425925923</v>
      </c>
      <c r="K1363" s="32">
        <v>44645.718425925923</v>
      </c>
      <c r="L1363" s="8">
        <f t="shared" si="520"/>
        <v>9</v>
      </c>
      <c r="M1363" s="7">
        <v>44666.718425925923</v>
      </c>
      <c r="N1363" t="s">
        <v>49</v>
      </c>
      <c r="O1363" s="34">
        <v>44658.718425925923</v>
      </c>
      <c r="P1363" t="s">
        <v>101</v>
      </c>
      <c r="R1363" s="32">
        <v>44664.718425925923</v>
      </c>
      <c r="S1363" t="s">
        <v>101</v>
      </c>
      <c r="T1363" s="34">
        <v>44659.718425925923</v>
      </c>
      <c r="U1363" s="34">
        <v>44663.718425925923</v>
      </c>
      <c r="V1363" s="32">
        <v>44661.718425925923</v>
      </c>
      <c r="W1363" s="32">
        <v>44665.718425925923</v>
      </c>
      <c r="X1363">
        <v>1</v>
      </c>
      <c r="Y1363" s="34">
        <v>44667.718425925923</v>
      </c>
      <c r="Z1363" s="34">
        <v>44668.718425925923</v>
      </c>
      <c r="AA1363" s="34">
        <v>44669.718425925923</v>
      </c>
      <c r="AB1363" s="36" t="s">
        <v>7476</v>
      </c>
      <c r="AC1363" s="10">
        <v>44682.718425925923</v>
      </c>
      <c r="AD1363" t="s">
        <v>4265</v>
      </c>
      <c r="AE1363" t="s">
        <v>4266</v>
      </c>
      <c r="AF1363" s="16">
        <v>44650</v>
      </c>
      <c r="AG1363" t="s">
        <v>68</v>
      </c>
      <c r="AH1363">
        <v>6</v>
      </c>
      <c r="AI1363" s="8">
        <f t="shared" si="530"/>
        <v>14.718425925922929</v>
      </c>
      <c r="AJ1363" s="8">
        <f t="shared" si="531"/>
        <v>8.7184259259229293</v>
      </c>
      <c r="AK1363" s="38">
        <f t="shared" si="521"/>
        <v>44841.718425925923</v>
      </c>
      <c r="AL1363">
        <f t="shared" si="532"/>
        <v>3</v>
      </c>
      <c r="AM1363">
        <f t="shared" si="533"/>
        <v>24</v>
      </c>
      <c r="AN1363">
        <f t="shared" si="534"/>
        <v>3</v>
      </c>
      <c r="AO1363">
        <f t="shared" si="535"/>
        <v>4</v>
      </c>
      <c r="AP1363">
        <f t="shared" si="536"/>
        <v>44681.718425925923</v>
      </c>
      <c r="AQ1363">
        <f t="shared" si="537"/>
        <v>4</v>
      </c>
    </row>
    <row r="1364" spans="1:43" x14ac:dyDescent="0.35">
      <c r="A1364">
        <v>2572</v>
      </c>
      <c r="B1364" t="s">
        <v>4267</v>
      </c>
      <c r="C1364" t="s">
        <v>3864</v>
      </c>
      <c r="D1364" t="str">
        <f t="shared" si="519"/>
        <v>Fundraising</v>
      </c>
      <c r="E1364" t="s">
        <v>4197</v>
      </c>
      <c r="F1364" t="s">
        <v>1669</v>
      </c>
      <c r="G1364" t="s">
        <v>4198</v>
      </c>
      <c r="H1364" t="s">
        <v>48</v>
      </c>
      <c r="I1364" s="32">
        <v>44641.718425925923</v>
      </c>
      <c r="J1364" s="32">
        <v>44642.718425925923</v>
      </c>
      <c r="K1364" s="32" t="s">
        <v>7473</v>
      </c>
      <c r="L1364" s="8" t="str">
        <f t="shared" si="520"/>
        <v/>
      </c>
      <c r="M1364" s="7">
        <v>44661.718425925923</v>
      </c>
      <c r="N1364" t="s">
        <v>49</v>
      </c>
      <c r="O1364" s="34">
        <v>44647.718425925923</v>
      </c>
      <c r="P1364" t="s">
        <v>50</v>
      </c>
      <c r="Q1364" t="s">
        <v>236</v>
      </c>
      <c r="R1364" s="32" t="s">
        <v>7472</v>
      </c>
      <c r="S1364" t="s">
        <v>7476</v>
      </c>
      <c r="T1364" s="34" t="s">
        <v>7476</v>
      </c>
      <c r="U1364" s="34" t="s">
        <v>7476</v>
      </c>
      <c r="V1364" s="32" t="s">
        <v>7476</v>
      </c>
      <c r="W1364" s="32" t="s">
        <v>7476</v>
      </c>
      <c r="X1364">
        <v>0</v>
      </c>
      <c r="Y1364" s="34" t="s">
        <v>7476</v>
      </c>
      <c r="Z1364" s="34" t="s">
        <v>7476</v>
      </c>
      <c r="AA1364" s="34" t="s">
        <v>7476</v>
      </c>
      <c r="AB1364" s="36" t="s">
        <v>52</v>
      </c>
      <c r="AD1364" t="s">
        <v>4268</v>
      </c>
      <c r="AE1364" t="s">
        <v>4269</v>
      </c>
      <c r="AF1364" s="16">
        <v>44633</v>
      </c>
      <c r="AG1364" t="s">
        <v>55</v>
      </c>
      <c r="AH1364">
        <v>3</v>
      </c>
      <c r="AK1364" s="38" t="str">
        <f t="shared" si="521"/>
        <v/>
      </c>
    </row>
    <row r="1365" spans="1:43" x14ac:dyDescent="0.35">
      <c r="A1365">
        <v>2489</v>
      </c>
      <c r="B1365" t="s">
        <v>4270</v>
      </c>
      <c r="C1365" t="s">
        <v>3864</v>
      </c>
      <c r="D1365" t="str">
        <f t="shared" si="519"/>
        <v>Fundraising</v>
      </c>
      <c r="E1365" t="s">
        <v>4197</v>
      </c>
      <c r="F1365" t="s">
        <v>1669</v>
      </c>
      <c r="G1365" t="s">
        <v>4198</v>
      </c>
      <c r="H1365" t="s">
        <v>48</v>
      </c>
      <c r="I1365" s="32">
        <v>44970.901273148149</v>
      </c>
      <c r="J1365" s="32">
        <v>44973.901273148149</v>
      </c>
      <c r="K1365" s="32">
        <v>44977.901273148149</v>
      </c>
      <c r="L1365" s="8">
        <f t="shared" si="520"/>
        <v>7</v>
      </c>
      <c r="M1365" s="7">
        <v>44986.901273148149</v>
      </c>
      <c r="N1365" t="s">
        <v>49</v>
      </c>
      <c r="O1365" s="34">
        <v>44978.901273148149</v>
      </c>
      <c r="P1365" t="s">
        <v>60</v>
      </c>
      <c r="R1365" s="32">
        <v>44986.901273148149</v>
      </c>
      <c r="S1365" t="s">
        <v>61</v>
      </c>
      <c r="T1365" s="34" t="s">
        <v>7476</v>
      </c>
      <c r="U1365" s="34" t="s">
        <v>7476</v>
      </c>
      <c r="V1365" s="32">
        <v>44982.901273148149</v>
      </c>
      <c r="W1365" s="32" t="s">
        <v>7476</v>
      </c>
      <c r="X1365">
        <v>0</v>
      </c>
      <c r="Y1365" s="34" t="s">
        <v>7476</v>
      </c>
      <c r="Z1365" s="34" t="s">
        <v>7476</v>
      </c>
      <c r="AA1365" s="34" t="s">
        <v>7476</v>
      </c>
      <c r="AB1365" s="36" t="s">
        <v>7476</v>
      </c>
      <c r="AD1365" t="s">
        <v>4271</v>
      </c>
      <c r="AE1365" t="s">
        <v>4272</v>
      </c>
      <c r="AF1365" s="16">
        <v>44973</v>
      </c>
      <c r="AG1365" t="s">
        <v>64</v>
      </c>
      <c r="AH1365">
        <v>3</v>
      </c>
      <c r="AI1365" s="8">
        <f t="shared" ref="AI1365:AI1375" si="538">IFERROR(R1365-AF1365,"")</f>
        <v>13.901273148148903</v>
      </c>
      <c r="AJ1365" s="8">
        <f t="shared" ref="AJ1365:AJ1375" si="539">IFERROR(O1365-AF1365,"")</f>
        <v>5.9012731481489027</v>
      </c>
      <c r="AK1365" s="38">
        <f t="shared" si="521"/>
        <v>45072.901273148149</v>
      </c>
      <c r="AL1365" t="str">
        <f t="shared" ref="AL1365:AL1375" si="540">IFERROR(Z1365-W1365,"")</f>
        <v/>
      </c>
      <c r="AM1365">
        <f t="shared" ref="AM1365:AM1375" si="541">IFERROR(R1365-J1365,"")</f>
        <v>13</v>
      </c>
      <c r="AN1365">
        <f t="shared" ref="AN1365:AN1375" si="542">IFERROR(V1365-O1365,"")</f>
        <v>4</v>
      </c>
      <c r="AO1365">
        <f t="shared" ref="AO1365:AO1375" si="543">IFERROR(J1365-I1365,"")</f>
        <v>3</v>
      </c>
      <c r="AP1365">
        <f t="shared" ref="AP1365:AP1375" si="544">IFERROR(AC1365-X1365,"")</f>
        <v>0</v>
      </c>
      <c r="AQ1365" t="str">
        <f t="shared" ref="AQ1365:AQ1375" si="545">IFERROR(AA1365-W1365,"")</f>
        <v/>
      </c>
    </row>
    <row r="1366" spans="1:43" x14ac:dyDescent="0.35">
      <c r="A1366">
        <v>2487</v>
      </c>
      <c r="B1366" t="s">
        <v>4273</v>
      </c>
      <c r="C1366" t="s">
        <v>3864</v>
      </c>
      <c r="D1366" t="str">
        <f t="shared" si="519"/>
        <v>Fundraising</v>
      </c>
      <c r="E1366" t="s">
        <v>4197</v>
      </c>
      <c r="F1366" t="s">
        <v>1669</v>
      </c>
      <c r="G1366" t="s">
        <v>4198</v>
      </c>
      <c r="H1366" t="s">
        <v>48</v>
      </c>
      <c r="I1366" s="32">
        <v>44972.901273148149</v>
      </c>
      <c r="J1366" s="32">
        <v>44973.901273148149</v>
      </c>
      <c r="K1366" s="32">
        <v>44977.901273148149</v>
      </c>
      <c r="L1366" s="8">
        <f t="shared" si="520"/>
        <v>5</v>
      </c>
      <c r="M1366" s="7">
        <v>44986.901273148149</v>
      </c>
      <c r="N1366" t="s">
        <v>49</v>
      </c>
      <c r="O1366" s="34">
        <v>44981.901273148149</v>
      </c>
      <c r="P1366" t="s">
        <v>50</v>
      </c>
      <c r="Q1366" t="s">
        <v>125</v>
      </c>
      <c r="R1366" s="32" t="s">
        <v>7472</v>
      </c>
      <c r="S1366" t="s">
        <v>7476</v>
      </c>
      <c r="T1366" s="34" t="s">
        <v>7476</v>
      </c>
      <c r="U1366" s="34" t="s">
        <v>7476</v>
      </c>
      <c r="V1366" s="32" t="s">
        <v>7476</v>
      </c>
      <c r="W1366" s="32" t="s">
        <v>7476</v>
      </c>
      <c r="X1366">
        <v>0</v>
      </c>
      <c r="Y1366" s="34" t="s">
        <v>7476</v>
      </c>
      <c r="Z1366" s="34" t="s">
        <v>7476</v>
      </c>
      <c r="AA1366" s="34" t="s">
        <v>7476</v>
      </c>
      <c r="AB1366" s="36" t="s">
        <v>95</v>
      </c>
      <c r="AD1366" t="s">
        <v>4274</v>
      </c>
      <c r="AE1366" t="s">
        <v>4275</v>
      </c>
      <c r="AF1366" s="16">
        <v>44967</v>
      </c>
      <c r="AG1366" t="s">
        <v>98</v>
      </c>
      <c r="AH1366">
        <v>6</v>
      </c>
      <c r="AI1366" s="8" t="str">
        <f t="shared" si="538"/>
        <v/>
      </c>
      <c r="AJ1366" s="8">
        <f t="shared" si="539"/>
        <v>14.901273148148903</v>
      </c>
      <c r="AK1366" s="38" t="str">
        <f t="shared" si="521"/>
        <v/>
      </c>
      <c r="AL1366" t="str">
        <f t="shared" si="540"/>
        <v/>
      </c>
      <c r="AM1366" t="str">
        <f t="shared" si="541"/>
        <v/>
      </c>
      <c r="AN1366" t="str">
        <f t="shared" si="542"/>
        <v/>
      </c>
      <c r="AO1366">
        <f t="shared" si="543"/>
        <v>1</v>
      </c>
      <c r="AP1366">
        <f t="shared" si="544"/>
        <v>0</v>
      </c>
      <c r="AQ1366" t="str">
        <f t="shared" si="545"/>
        <v/>
      </c>
    </row>
    <row r="1367" spans="1:43" x14ac:dyDescent="0.35">
      <c r="A1367">
        <v>2484</v>
      </c>
      <c r="B1367" t="s">
        <v>4276</v>
      </c>
      <c r="C1367" t="s">
        <v>3864</v>
      </c>
      <c r="D1367" t="str">
        <f t="shared" si="519"/>
        <v>Fundraising</v>
      </c>
      <c r="E1367" t="s">
        <v>4197</v>
      </c>
      <c r="F1367" t="s">
        <v>1669</v>
      </c>
      <c r="G1367" t="s">
        <v>4198</v>
      </c>
      <c r="H1367" t="s">
        <v>48</v>
      </c>
      <c r="I1367" s="32">
        <v>44971.901273148149</v>
      </c>
      <c r="J1367" s="32">
        <v>44975.901273148149</v>
      </c>
      <c r="K1367" s="32">
        <v>44977.901273148149</v>
      </c>
      <c r="L1367" s="8">
        <f t="shared" si="520"/>
        <v>6</v>
      </c>
      <c r="M1367" s="7">
        <v>44989.901273148149</v>
      </c>
      <c r="N1367" t="s">
        <v>49</v>
      </c>
      <c r="O1367" s="34">
        <v>44986.901273148149</v>
      </c>
      <c r="P1367" t="s">
        <v>101</v>
      </c>
      <c r="R1367" s="32">
        <v>44991.901273148149</v>
      </c>
      <c r="S1367" t="s">
        <v>101</v>
      </c>
      <c r="T1367" s="34">
        <v>44988.901273148149</v>
      </c>
      <c r="U1367" s="34">
        <v>44989.901273148149</v>
      </c>
      <c r="V1367" s="32">
        <v>44987.901273148149</v>
      </c>
      <c r="W1367" s="32">
        <v>44996.901273148149</v>
      </c>
      <c r="X1367">
        <v>1</v>
      </c>
      <c r="Y1367" s="34">
        <v>45000.901273148149</v>
      </c>
      <c r="Z1367" s="34">
        <v>45003.901273148149</v>
      </c>
      <c r="AA1367" s="34">
        <v>45006.901273148149</v>
      </c>
      <c r="AB1367" s="36" t="s">
        <v>7476</v>
      </c>
      <c r="AC1367" s="10">
        <v>45026.901273148149</v>
      </c>
      <c r="AD1367" t="s">
        <v>4277</v>
      </c>
      <c r="AE1367" t="s">
        <v>4278</v>
      </c>
      <c r="AF1367" s="16">
        <v>44979</v>
      </c>
      <c r="AG1367" t="s">
        <v>98</v>
      </c>
      <c r="AH1367">
        <v>3</v>
      </c>
      <c r="AI1367" s="8">
        <f t="shared" si="538"/>
        <v>12.901273148148903</v>
      </c>
      <c r="AJ1367" s="8">
        <f t="shared" si="539"/>
        <v>7.9012731481489027</v>
      </c>
      <c r="AK1367" s="38">
        <f t="shared" si="521"/>
        <v>45077.901273148149</v>
      </c>
      <c r="AL1367">
        <f t="shared" si="540"/>
        <v>7</v>
      </c>
      <c r="AM1367">
        <f t="shared" si="541"/>
        <v>16</v>
      </c>
      <c r="AN1367">
        <f t="shared" si="542"/>
        <v>1</v>
      </c>
      <c r="AO1367">
        <f t="shared" si="543"/>
        <v>4</v>
      </c>
      <c r="AP1367">
        <f t="shared" si="544"/>
        <v>45025.901273148149</v>
      </c>
      <c r="AQ1367">
        <f t="shared" si="545"/>
        <v>10</v>
      </c>
    </row>
    <row r="1368" spans="1:43" x14ac:dyDescent="0.35">
      <c r="A1368">
        <v>2398</v>
      </c>
      <c r="B1368" t="s">
        <v>4279</v>
      </c>
      <c r="C1368" t="s">
        <v>3860</v>
      </c>
      <c r="D1368" t="str">
        <f t="shared" si="519"/>
        <v>Fundraising</v>
      </c>
      <c r="E1368" t="s">
        <v>4197</v>
      </c>
      <c r="F1368" t="s">
        <v>1669</v>
      </c>
      <c r="G1368" t="s">
        <v>4198</v>
      </c>
      <c r="H1368" t="s">
        <v>48</v>
      </c>
      <c r="I1368" s="32">
        <v>45127.731192129628</v>
      </c>
      <c r="J1368" s="32">
        <v>45129.731192129628</v>
      </c>
      <c r="K1368" s="32">
        <v>45131.731192129628</v>
      </c>
      <c r="L1368" s="8">
        <f t="shared" si="520"/>
        <v>4</v>
      </c>
      <c r="M1368" s="7">
        <v>45139.731192129628</v>
      </c>
      <c r="N1368" t="s">
        <v>49</v>
      </c>
      <c r="O1368" s="34">
        <v>45143.731192129628</v>
      </c>
      <c r="P1368" t="s">
        <v>50</v>
      </c>
      <c r="Q1368" t="s">
        <v>51</v>
      </c>
      <c r="R1368" s="32" t="s">
        <v>7472</v>
      </c>
      <c r="S1368" t="s">
        <v>7476</v>
      </c>
      <c r="T1368" s="34" t="s">
        <v>7476</v>
      </c>
      <c r="U1368" s="34" t="s">
        <v>7476</v>
      </c>
      <c r="V1368" s="32">
        <v>45146.731192129628</v>
      </c>
      <c r="W1368" s="32" t="s">
        <v>7476</v>
      </c>
      <c r="X1368">
        <v>0</v>
      </c>
      <c r="Y1368" s="34" t="s">
        <v>7476</v>
      </c>
      <c r="Z1368" s="34" t="s">
        <v>7476</v>
      </c>
      <c r="AA1368" s="34" t="s">
        <v>7476</v>
      </c>
      <c r="AB1368" s="36" t="s">
        <v>52</v>
      </c>
      <c r="AD1368" t="s">
        <v>4280</v>
      </c>
      <c r="AE1368" t="s">
        <v>4281</v>
      </c>
      <c r="AF1368" s="16">
        <v>45131</v>
      </c>
      <c r="AG1368" t="s">
        <v>64</v>
      </c>
      <c r="AH1368">
        <v>3</v>
      </c>
      <c r="AI1368" s="8" t="str">
        <f t="shared" si="538"/>
        <v/>
      </c>
      <c r="AJ1368" s="8">
        <f t="shared" si="539"/>
        <v>12.731192129627743</v>
      </c>
      <c r="AK1368" s="38">
        <f t="shared" si="521"/>
        <v>45236.731192129628</v>
      </c>
      <c r="AL1368" t="str">
        <f t="shared" si="540"/>
        <v/>
      </c>
      <c r="AM1368" t="str">
        <f t="shared" si="541"/>
        <v/>
      </c>
      <c r="AN1368">
        <f t="shared" si="542"/>
        <v>3</v>
      </c>
      <c r="AO1368">
        <f t="shared" si="543"/>
        <v>2</v>
      </c>
      <c r="AP1368">
        <f t="shared" si="544"/>
        <v>0</v>
      </c>
      <c r="AQ1368" t="str">
        <f t="shared" si="545"/>
        <v/>
      </c>
    </row>
    <row r="1369" spans="1:43" x14ac:dyDescent="0.35">
      <c r="A1369">
        <v>2397</v>
      </c>
      <c r="B1369" t="s">
        <v>4282</v>
      </c>
      <c r="C1369" t="s">
        <v>3864</v>
      </c>
      <c r="D1369" t="str">
        <f t="shared" si="519"/>
        <v>Fundraising</v>
      </c>
      <c r="E1369" t="s">
        <v>4197</v>
      </c>
      <c r="F1369" t="s">
        <v>1669</v>
      </c>
      <c r="G1369" t="s">
        <v>4198</v>
      </c>
      <c r="H1369" t="s">
        <v>48</v>
      </c>
      <c r="I1369" s="32">
        <v>45124.731192129628</v>
      </c>
      <c r="J1369" s="32">
        <v>45128.731192129628</v>
      </c>
      <c r="K1369" s="32">
        <v>45131.731192129628</v>
      </c>
      <c r="L1369" s="8">
        <f t="shared" si="520"/>
        <v>7</v>
      </c>
      <c r="M1369" s="7">
        <v>45143.731192129628</v>
      </c>
      <c r="N1369" t="s">
        <v>49</v>
      </c>
      <c r="O1369" s="34">
        <v>45145.731192129628</v>
      </c>
      <c r="P1369" t="s">
        <v>50</v>
      </c>
      <c r="Q1369" t="s">
        <v>84</v>
      </c>
      <c r="R1369" s="32" t="s">
        <v>7472</v>
      </c>
      <c r="S1369" t="s">
        <v>7476</v>
      </c>
      <c r="T1369" s="34" t="s">
        <v>7476</v>
      </c>
      <c r="U1369" s="34" t="s">
        <v>7476</v>
      </c>
      <c r="V1369" s="32">
        <v>45146.731192129628</v>
      </c>
      <c r="W1369" s="32" t="s">
        <v>7476</v>
      </c>
      <c r="X1369">
        <v>0</v>
      </c>
      <c r="Y1369" s="34" t="s">
        <v>7476</v>
      </c>
      <c r="Z1369" s="34" t="s">
        <v>7476</v>
      </c>
      <c r="AA1369" s="34" t="s">
        <v>7476</v>
      </c>
      <c r="AB1369" s="36" t="s">
        <v>95</v>
      </c>
      <c r="AD1369" t="s">
        <v>4283</v>
      </c>
      <c r="AE1369" t="s">
        <v>4284</v>
      </c>
      <c r="AF1369" s="16">
        <v>45139</v>
      </c>
      <c r="AG1369" t="s">
        <v>68</v>
      </c>
      <c r="AH1369">
        <v>6</v>
      </c>
      <c r="AI1369" s="8" t="str">
        <f t="shared" si="538"/>
        <v/>
      </c>
      <c r="AJ1369" s="8">
        <f t="shared" si="539"/>
        <v>6.7311921296277433</v>
      </c>
      <c r="AK1369" s="38">
        <f t="shared" si="521"/>
        <v>45326.731192129628</v>
      </c>
      <c r="AL1369" t="str">
        <f t="shared" si="540"/>
        <v/>
      </c>
      <c r="AM1369" t="str">
        <f t="shared" si="541"/>
        <v/>
      </c>
      <c r="AN1369">
        <f t="shared" si="542"/>
        <v>1</v>
      </c>
      <c r="AO1369">
        <f t="shared" si="543"/>
        <v>4</v>
      </c>
      <c r="AP1369">
        <f t="shared" si="544"/>
        <v>0</v>
      </c>
      <c r="AQ1369" t="str">
        <f t="shared" si="545"/>
        <v/>
      </c>
    </row>
    <row r="1370" spans="1:43" x14ac:dyDescent="0.35">
      <c r="A1370">
        <v>2396</v>
      </c>
      <c r="B1370" t="s">
        <v>4285</v>
      </c>
      <c r="C1370" t="s">
        <v>3860</v>
      </c>
      <c r="D1370" t="str">
        <f t="shared" si="519"/>
        <v>Fundraising</v>
      </c>
      <c r="E1370" t="s">
        <v>4197</v>
      </c>
      <c r="F1370" t="s">
        <v>1669</v>
      </c>
      <c r="G1370" t="s">
        <v>4198</v>
      </c>
      <c r="H1370" t="s">
        <v>48</v>
      </c>
      <c r="I1370" s="32">
        <v>45127.731192129628</v>
      </c>
      <c r="J1370" s="32">
        <v>45129.731192129628</v>
      </c>
      <c r="K1370" s="32">
        <v>45131.731192129628</v>
      </c>
      <c r="L1370" s="8">
        <f t="shared" si="520"/>
        <v>4</v>
      </c>
      <c r="M1370" s="7">
        <v>45139.731192129628</v>
      </c>
      <c r="N1370" t="s">
        <v>49</v>
      </c>
      <c r="O1370" s="34">
        <v>45144.731192129628</v>
      </c>
      <c r="P1370" t="s">
        <v>50</v>
      </c>
      <c r="Q1370" t="s">
        <v>236</v>
      </c>
      <c r="R1370" s="32" t="s">
        <v>7472</v>
      </c>
      <c r="S1370" t="s">
        <v>7476</v>
      </c>
      <c r="T1370" s="34" t="s">
        <v>7476</v>
      </c>
      <c r="U1370" s="34" t="s">
        <v>7476</v>
      </c>
      <c r="V1370" s="32" t="s">
        <v>7476</v>
      </c>
      <c r="W1370" s="32" t="s">
        <v>7476</v>
      </c>
      <c r="X1370">
        <v>0</v>
      </c>
      <c r="Y1370" s="34" t="s">
        <v>7476</v>
      </c>
      <c r="Z1370" s="34" t="s">
        <v>7476</v>
      </c>
      <c r="AA1370" s="34" t="s">
        <v>7476</v>
      </c>
      <c r="AB1370" s="36" t="s">
        <v>52</v>
      </c>
      <c r="AD1370" t="s">
        <v>4286</v>
      </c>
      <c r="AE1370" t="s">
        <v>4287</v>
      </c>
      <c r="AF1370" s="16">
        <v>45137</v>
      </c>
      <c r="AG1370" t="s">
        <v>68</v>
      </c>
      <c r="AH1370">
        <v>3</v>
      </c>
      <c r="AI1370" s="8" t="str">
        <f t="shared" si="538"/>
        <v/>
      </c>
      <c r="AJ1370" s="8">
        <f t="shared" si="539"/>
        <v>7.7311921296277433</v>
      </c>
      <c r="AK1370" s="38" t="str">
        <f t="shared" si="521"/>
        <v/>
      </c>
      <c r="AL1370" t="str">
        <f t="shared" si="540"/>
        <v/>
      </c>
      <c r="AM1370" t="str">
        <f t="shared" si="541"/>
        <v/>
      </c>
      <c r="AN1370" t="str">
        <f t="shared" si="542"/>
        <v/>
      </c>
      <c r="AO1370">
        <f t="shared" si="543"/>
        <v>2</v>
      </c>
      <c r="AP1370">
        <f t="shared" si="544"/>
        <v>0</v>
      </c>
      <c r="AQ1370" t="str">
        <f t="shared" si="545"/>
        <v/>
      </c>
    </row>
    <row r="1371" spans="1:43" x14ac:dyDescent="0.35">
      <c r="A1371">
        <v>2133</v>
      </c>
      <c r="B1371" t="s">
        <v>4288</v>
      </c>
      <c r="C1371" t="s">
        <v>3860</v>
      </c>
      <c r="D1371" t="str">
        <f t="shared" si="519"/>
        <v>Fundraising</v>
      </c>
      <c r="E1371" t="s">
        <v>4197</v>
      </c>
      <c r="F1371" t="s">
        <v>1669</v>
      </c>
      <c r="G1371" t="s">
        <v>4198</v>
      </c>
      <c r="H1371" t="s">
        <v>48</v>
      </c>
      <c r="I1371" s="32">
        <v>44777.516493055547</v>
      </c>
      <c r="J1371" s="32">
        <v>44780.516493055547</v>
      </c>
      <c r="K1371" s="32">
        <v>44781.516493055547</v>
      </c>
      <c r="L1371" s="8">
        <f t="shared" si="520"/>
        <v>4</v>
      </c>
      <c r="M1371" s="7">
        <v>44802.516493055547</v>
      </c>
      <c r="N1371" t="s">
        <v>49</v>
      </c>
      <c r="O1371" s="34">
        <v>44794.516493055547</v>
      </c>
      <c r="P1371" t="s">
        <v>392</v>
      </c>
      <c r="R1371" s="32">
        <v>44796.516493055547</v>
      </c>
      <c r="S1371" t="s">
        <v>392</v>
      </c>
      <c r="T1371" s="34" t="s">
        <v>7476</v>
      </c>
      <c r="U1371" s="34" t="s">
        <v>7476</v>
      </c>
      <c r="V1371" s="32">
        <v>44795.516493055547</v>
      </c>
      <c r="W1371" s="32" t="s">
        <v>7476</v>
      </c>
      <c r="X1371">
        <v>0</v>
      </c>
      <c r="Y1371" s="34" t="s">
        <v>7476</v>
      </c>
      <c r="Z1371" s="34" t="s">
        <v>7476</v>
      </c>
      <c r="AA1371" s="34" t="s">
        <v>7476</v>
      </c>
      <c r="AB1371" s="36" t="s">
        <v>7476</v>
      </c>
      <c r="AD1371" t="s">
        <v>4289</v>
      </c>
      <c r="AE1371" t="s">
        <v>4290</v>
      </c>
      <c r="AF1371" s="16">
        <v>44788</v>
      </c>
      <c r="AG1371" t="s">
        <v>68</v>
      </c>
      <c r="AH1371">
        <v>3</v>
      </c>
      <c r="AI1371" s="8">
        <f t="shared" si="538"/>
        <v>8.5164930555474712</v>
      </c>
      <c r="AJ1371" s="8">
        <f t="shared" si="539"/>
        <v>6.5164930555474712</v>
      </c>
      <c r="AK1371" s="38">
        <f t="shared" si="521"/>
        <v>44885.516493055547</v>
      </c>
      <c r="AL1371" t="str">
        <f t="shared" si="540"/>
        <v/>
      </c>
      <c r="AM1371">
        <f t="shared" si="541"/>
        <v>16</v>
      </c>
      <c r="AN1371">
        <f t="shared" si="542"/>
        <v>1</v>
      </c>
      <c r="AO1371">
        <f t="shared" si="543"/>
        <v>3</v>
      </c>
      <c r="AP1371">
        <f t="shared" si="544"/>
        <v>0</v>
      </c>
      <c r="AQ1371" t="str">
        <f t="shared" si="545"/>
        <v/>
      </c>
    </row>
    <row r="1372" spans="1:43" x14ac:dyDescent="0.35">
      <c r="A1372">
        <v>2106</v>
      </c>
      <c r="B1372" t="s">
        <v>4291</v>
      </c>
      <c r="C1372" t="s">
        <v>3864</v>
      </c>
      <c r="D1372" t="str">
        <f t="shared" si="519"/>
        <v>Fundraising</v>
      </c>
      <c r="E1372" t="s">
        <v>4197</v>
      </c>
      <c r="F1372" t="s">
        <v>1669</v>
      </c>
      <c r="G1372" t="s">
        <v>4198</v>
      </c>
      <c r="H1372" t="s">
        <v>48</v>
      </c>
      <c r="I1372" s="32">
        <v>44685.022326388891</v>
      </c>
      <c r="J1372" s="32">
        <v>44686.022326388891</v>
      </c>
      <c r="K1372" s="32">
        <v>44692.022326388891</v>
      </c>
      <c r="L1372" s="8">
        <f t="shared" si="520"/>
        <v>7</v>
      </c>
      <c r="M1372" s="7">
        <v>44703.022326388891</v>
      </c>
      <c r="N1372" t="s">
        <v>49</v>
      </c>
      <c r="O1372" s="34">
        <v>44702.022326388891</v>
      </c>
      <c r="P1372" t="s">
        <v>50</v>
      </c>
      <c r="Q1372" t="s">
        <v>125</v>
      </c>
      <c r="R1372" s="32" t="s">
        <v>7472</v>
      </c>
      <c r="S1372" t="s">
        <v>7476</v>
      </c>
      <c r="T1372" s="34" t="s">
        <v>7476</v>
      </c>
      <c r="U1372" s="34" t="s">
        <v>7476</v>
      </c>
      <c r="V1372" s="32">
        <v>44704.022326388891</v>
      </c>
      <c r="W1372" s="32" t="s">
        <v>7476</v>
      </c>
      <c r="X1372">
        <v>0</v>
      </c>
      <c r="Y1372" s="34" t="s">
        <v>7476</v>
      </c>
      <c r="Z1372" s="34" t="s">
        <v>7476</v>
      </c>
      <c r="AA1372" s="34" t="s">
        <v>7476</v>
      </c>
      <c r="AB1372" s="36" t="s">
        <v>52</v>
      </c>
      <c r="AD1372" t="s">
        <v>4292</v>
      </c>
      <c r="AE1372" t="s">
        <v>4293</v>
      </c>
      <c r="AF1372" s="16">
        <v>44694</v>
      </c>
      <c r="AG1372" t="s">
        <v>68</v>
      </c>
      <c r="AH1372">
        <v>6</v>
      </c>
      <c r="AI1372" s="8" t="str">
        <f t="shared" si="538"/>
        <v/>
      </c>
      <c r="AJ1372" s="8">
        <f t="shared" si="539"/>
        <v>8.0223263888910878</v>
      </c>
      <c r="AK1372" s="38">
        <f t="shared" si="521"/>
        <v>44884.022326388891</v>
      </c>
      <c r="AL1372" t="str">
        <f t="shared" si="540"/>
        <v/>
      </c>
      <c r="AM1372" t="str">
        <f t="shared" si="541"/>
        <v/>
      </c>
      <c r="AN1372">
        <f t="shared" si="542"/>
        <v>2</v>
      </c>
      <c r="AO1372">
        <f t="shared" si="543"/>
        <v>1</v>
      </c>
      <c r="AP1372">
        <f t="shared" si="544"/>
        <v>0</v>
      </c>
      <c r="AQ1372" t="str">
        <f t="shared" si="545"/>
        <v/>
      </c>
    </row>
    <row r="1373" spans="1:43" x14ac:dyDescent="0.35">
      <c r="A1373">
        <v>2037</v>
      </c>
      <c r="B1373" t="s">
        <v>4294</v>
      </c>
      <c r="C1373" t="s">
        <v>3864</v>
      </c>
      <c r="D1373" t="str">
        <f t="shared" si="519"/>
        <v>Fundraising</v>
      </c>
      <c r="E1373" t="s">
        <v>4197</v>
      </c>
      <c r="F1373" t="s">
        <v>1669</v>
      </c>
      <c r="G1373" t="s">
        <v>4198</v>
      </c>
      <c r="H1373" t="s">
        <v>48</v>
      </c>
      <c r="I1373" s="32">
        <v>44646.861122685194</v>
      </c>
      <c r="J1373" s="32">
        <v>44649.861122685194</v>
      </c>
      <c r="K1373" s="32">
        <v>44652.861122685194</v>
      </c>
      <c r="L1373" s="8">
        <f t="shared" si="520"/>
        <v>6</v>
      </c>
      <c r="M1373" s="7">
        <v>44662.861122685194</v>
      </c>
      <c r="N1373" t="s">
        <v>49</v>
      </c>
      <c r="O1373" s="34">
        <v>44655.861122685194</v>
      </c>
      <c r="P1373" t="s">
        <v>60</v>
      </c>
      <c r="R1373" s="32">
        <v>44660.861122685194</v>
      </c>
      <c r="S1373" t="s">
        <v>61</v>
      </c>
      <c r="T1373" s="34" t="s">
        <v>7476</v>
      </c>
      <c r="U1373" s="34" t="s">
        <v>7476</v>
      </c>
      <c r="V1373" s="32">
        <v>44659.861122685194</v>
      </c>
      <c r="W1373" s="32" t="s">
        <v>7476</v>
      </c>
      <c r="X1373">
        <v>0</v>
      </c>
      <c r="Y1373" s="34" t="s">
        <v>7476</v>
      </c>
      <c r="Z1373" s="34" t="s">
        <v>7476</v>
      </c>
      <c r="AA1373" s="34" t="s">
        <v>7476</v>
      </c>
      <c r="AB1373" s="36" t="s">
        <v>7476</v>
      </c>
      <c r="AD1373" t="s">
        <v>4295</v>
      </c>
      <c r="AE1373" t="s">
        <v>4296</v>
      </c>
      <c r="AF1373" s="16">
        <v>44647</v>
      </c>
      <c r="AG1373" t="s">
        <v>64</v>
      </c>
      <c r="AH1373">
        <v>3</v>
      </c>
      <c r="AI1373" s="8">
        <f t="shared" si="538"/>
        <v>13.86112268519355</v>
      </c>
      <c r="AJ1373" s="8">
        <f t="shared" si="539"/>
        <v>8.8611226851935498</v>
      </c>
      <c r="AK1373" s="38">
        <f t="shared" si="521"/>
        <v>44749.861122685194</v>
      </c>
      <c r="AL1373" t="str">
        <f t="shared" si="540"/>
        <v/>
      </c>
      <c r="AM1373">
        <f t="shared" si="541"/>
        <v>11</v>
      </c>
      <c r="AN1373">
        <f t="shared" si="542"/>
        <v>4</v>
      </c>
      <c r="AO1373">
        <f t="shared" si="543"/>
        <v>3</v>
      </c>
      <c r="AP1373">
        <f t="shared" si="544"/>
        <v>0</v>
      </c>
      <c r="AQ1373" t="str">
        <f t="shared" si="545"/>
        <v/>
      </c>
    </row>
    <row r="1374" spans="1:43" x14ac:dyDescent="0.35">
      <c r="A1374">
        <v>1940</v>
      </c>
      <c r="B1374" t="s">
        <v>4297</v>
      </c>
      <c r="C1374" t="s">
        <v>3854</v>
      </c>
      <c r="D1374" t="str">
        <f t="shared" si="519"/>
        <v>Fundraising</v>
      </c>
      <c r="E1374" t="s">
        <v>4197</v>
      </c>
      <c r="F1374" t="s">
        <v>1669</v>
      </c>
      <c r="G1374" t="s">
        <v>4198</v>
      </c>
      <c r="H1374" t="s">
        <v>48</v>
      </c>
      <c r="I1374" s="32">
        <v>45178.30609953704</v>
      </c>
      <c r="J1374" s="32">
        <v>45180.30609953704</v>
      </c>
      <c r="K1374" s="32">
        <v>45184.30609953704</v>
      </c>
      <c r="L1374" s="8">
        <f t="shared" si="520"/>
        <v>6</v>
      </c>
      <c r="M1374" s="7">
        <v>45199.30609953704</v>
      </c>
      <c r="N1374" t="s">
        <v>49</v>
      </c>
      <c r="O1374" s="34">
        <v>45200.30609953704</v>
      </c>
      <c r="P1374" t="s">
        <v>60</v>
      </c>
      <c r="R1374" s="32">
        <v>45206.30609953704</v>
      </c>
      <c r="S1374" t="s">
        <v>61</v>
      </c>
      <c r="T1374" s="34" t="s">
        <v>7476</v>
      </c>
      <c r="U1374" s="34" t="s">
        <v>7476</v>
      </c>
      <c r="V1374" s="32">
        <v>45204.30609953704</v>
      </c>
      <c r="W1374" s="32" t="s">
        <v>7476</v>
      </c>
      <c r="X1374">
        <v>0</v>
      </c>
      <c r="Y1374" s="34" t="s">
        <v>7476</v>
      </c>
      <c r="Z1374" s="34" t="s">
        <v>7476</v>
      </c>
      <c r="AA1374" s="34" t="s">
        <v>7476</v>
      </c>
      <c r="AB1374" s="36" t="s">
        <v>7476</v>
      </c>
      <c r="AD1374" t="s">
        <v>4298</v>
      </c>
      <c r="AE1374" t="s">
        <v>4299</v>
      </c>
      <c r="AF1374" s="16">
        <v>45185</v>
      </c>
      <c r="AG1374" t="s">
        <v>98</v>
      </c>
      <c r="AH1374">
        <v>6</v>
      </c>
      <c r="AI1374" s="8">
        <f t="shared" si="538"/>
        <v>21.306099537039699</v>
      </c>
      <c r="AJ1374" s="8">
        <f t="shared" si="539"/>
        <v>15.306099537039699</v>
      </c>
      <c r="AK1374" s="38">
        <f t="shared" si="521"/>
        <v>45384.30609953704</v>
      </c>
      <c r="AL1374" t="str">
        <f t="shared" si="540"/>
        <v/>
      </c>
      <c r="AM1374">
        <f t="shared" si="541"/>
        <v>26</v>
      </c>
      <c r="AN1374">
        <f t="shared" si="542"/>
        <v>4</v>
      </c>
      <c r="AO1374">
        <f t="shared" si="543"/>
        <v>2</v>
      </c>
      <c r="AP1374">
        <f t="shared" si="544"/>
        <v>0</v>
      </c>
      <c r="AQ1374" t="str">
        <f t="shared" si="545"/>
        <v/>
      </c>
    </row>
    <row r="1375" spans="1:43" x14ac:dyDescent="0.35">
      <c r="A1375">
        <v>1876</v>
      </c>
      <c r="B1375" t="s">
        <v>4300</v>
      </c>
      <c r="C1375" t="s">
        <v>3854</v>
      </c>
      <c r="D1375" t="str">
        <f t="shared" si="519"/>
        <v>Fundraising</v>
      </c>
      <c r="E1375" t="s">
        <v>4197</v>
      </c>
      <c r="F1375" t="s">
        <v>1669</v>
      </c>
      <c r="G1375" t="s">
        <v>4198</v>
      </c>
      <c r="H1375" t="s">
        <v>48</v>
      </c>
      <c r="I1375" s="32">
        <v>44575.732974537037</v>
      </c>
      <c r="J1375" s="32">
        <v>44577.732974537037</v>
      </c>
      <c r="K1375" s="32">
        <v>44581.732974537037</v>
      </c>
      <c r="L1375" s="8">
        <f t="shared" si="520"/>
        <v>6</v>
      </c>
      <c r="M1375" s="7">
        <v>44600.732974537037</v>
      </c>
      <c r="N1375" t="s">
        <v>49</v>
      </c>
      <c r="O1375" s="34">
        <v>44582.732974537037</v>
      </c>
      <c r="P1375" t="s">
        <v>392</v>
      </c>
      <c r="R1375" s="32">
        <v>44587.732974537037</v>
      </c>
      <c r="S1375" t="s">
        <v>392</v>
      </c>
      <c r="T1375" s="34" t="s">
        <v>7476</v>
      </c>
      <c r="U1375" s="34" t="s">
        <v>7476</v>
      </c>
      <c r="V1375" s="32">
        <v>44585.732974537037</v>
      </c>
      <c r="W1375" s="32" t="s">
        <v>7476</v>
      </c>
      <c r="X1375">
        <v>0</v>
      </c>
      <c r="Y1375" s="34" t="s">
        <v>7476</v>
      </c>
      <c r="Z1375" s="34" t="s">
        <v>7476</v>
      </c>
      <c r="AA1375" s="34" t="s">
        <v>7476</v>
      </c>
      <c r="AB1375" s="36" t="s">
        <v>7476</v>
      </c>
      <c r="AD1375" t="s">
        <v>4301</v>
      </c>
      <c r="AE1375" t="s">
        <v>4302</v>
      </c>
      <c r="AF1375" s="16">
        <v>44577</v>
      </c>
      <c r="AG1375" t="s">
        <v>64</v>
      </c>
      <c r="AH1375">
        <v>6</v>
      </c>
      <c r="AI1375" s="8">
        <f t="shared" si="538"/>
        <v>10.73297453703708</v>
      </c>
      <c r="AJ1375" s="8">
        <f t="shared" si="539"/>
        <v>5.7329745370370802</v>
      </c>
      <c r="AK1375" s="38">
        <f t="shared" si="521"/>
        <v>44765.732974537037</v>
      </c>
      <c r="AL1375" t="str">
        <f t="shared" si="540"/>
        <v/>
      </c>
      <c r="AM1375">
        <f t="shared" si="541"/>
        <v>10</v>
      </c>
      <c r="AN1375">
        <f t="shared" si="542"/>
        <v>3</v>
      </c>
      <c r="AO1375">
        <f t="shared" si="543"/>
        <v>2</v>
      </c>
      <c r="AP1375">
        <f t="shared" si="544"/>
        <v>0</v>
      </c>
      <c r="AQ1375" t="str">
        <f t="shared" si="545"/>
        <v/>
      </c>
    </row>
    <row r="1376" spans="1:43" x14ac:dyDescent="0.35">
      <c r="A1376">
        <v>1720</v>
      </c>
      <c r="B1376" t="s">
        <v>4303</v>
      </c>
      <c r="C1376" t="s">
        <v>3860</v>
      </c>
      <c r="D1376" t="str">
        <f t="shared" si="519"/>
        <v>Fundraising</v>
      </c>
      <c r="E1376" t="s">
        <v>4197</v>
      </c>
      <c r="F1376" t="s">
        <v>4304</v>
      </c>
      <c r="G1376" t="s">
        <v>4305</v>
      </c>
      <c r="H1376" t="s">
        <v>48</v>
      </c>
      <c r="I1376" s="32" t="s">
        <v>7471</v>
      </c>
      <c r="J1376" s="32">
        <v>44565.077685185177</v>
      </c>
      <c r="K1376" s="32" t="s">
        <v>7473</v>
      </c>
      <c r="L1376" s="8" t="str">
        <f t="shared" si="520"/>
        <v/>
      </c>
      <c r="M1376" s="7">
        <v>44573.077685185177</v>
      </c>
      <c r="N1376" t="s">
        <v>49</v>
      </c>
      <c r="O1376" s="34">
        <v>44581.077685185177</v>
      </c>
      <c r="P1376" t="s">
        <v>50</v>
      </c>
      <c r="Q1376" t="s">
        <v>84</v>
      </c>
      <c r="R1376" s="32" t="s">
        <v>7472</v>
      </c>
      <c r="S1376" t="s">
        <v>7476</v>
      </c>
      <c r="T1376" s="34" t="s">
        <v>7476</v>
      </c>
      <c r="U1376" s="34" t="s">
        <v>7476</v>
      </c>
      <c r="V1376" s="32" t="s">
        <v>7476</v>
      </c>
      <c r="W1376" s="32" t="s">
        <v>7476</v>
      </c>
      <c r="X1376">
        <v>0</v>
      </c>
      <c r="Y1376" s="34" t="s">
        <v>7476</v>
      </c>
      <c r="Z1376" s="34" t="s">
        <v>7476</v>
      </c>
      <c r="AA1376" s="34" t="s">
        <v>7476</v>
      </c>
      <c r="AB1376" s="36" t="s">
        <v>52</v>
      </c>
      <c r="AD1376" t="s">
        <v>4306</v>
      </c>
      <c r="AE1376" t="s">
        <v>4307</v>
      </c>
      <c r="AF1376" s="16">
        <v>44866</v>
      </c>
      <c r="AG1376" t="s">
        <v>68</v>
      </c>
      <c r="AH1376">
        <v>3</v>
      </c>
      <c r="AK1376" s="38" t="str">
        <f t="shared" si="521"/>
        <v/>
      </c>
    </row>
    <row r="1377" spans="1:43" x14ac:dyDescent="0.35">
      <c r="A1377">
        <v>1717</v>
      </c>
      <c r="B1377" t="s">
        <v>4308</v>
      </c>
      <c r="C1377" t="s">
        <v>3860</v>
      </c>
      <c r="D1377" t="str">
        <f t="shared" si="519"/>
        <v>Fundraising</v>
      </c>
      <c r="E1377" t="s">
        <v>4197</v>
      </c>
      <c r="F1377" t="s">
        <v>4304</v>
      </c>
      <c r="G1377" t="s">
        <v>4305</v>
      </c>
      <c r="H1377" t="s">
        <v>48</v>
      </c>
      <c r="I1377" s="32">
        <v>44563.077685185177</v>
      </c>
      <c r="J1377" s="32">
        <v>44566.077685185177</v>
      </c>
      <c r="K1377" s="32">
        <v>44568.077685185177</v>
      </c>
      <c r="L1377" s="8">
        <f t="shared" si="520"/>
        <v>5</v>
      </c>
      <c r="M1377" s="7">
        <v>44578.077685185177</v>
      </c>
      <c r="N1377" t="s">
        <v>49</v>
      </c>
      <c r="O1377" s="34">
        <v>44578.077685185177</v>
      </c>
      <c r="P1377" t="s">
        <v>60</v>
      </c>
      <c r="R1377" s="32">
        <v>44581.077685185177</v>
      </c>
      <c r="S1377" t="s">
        <v>61</v>
      </c>
      <c r="T1377" s="34" t="s">
        <v>7476</v>
      </c>
      <c r="U1377" s="34" t="s">
        <v>7476</v>
      </c>
      <c r="V1377" s="32">
        <v>44579.077685185177</v>
      </c>
      <c r="W1377" s="32" t="s">
        <v>7476</v>
      </c>
      <c r="X1377">
        <v>0</v>
      </c>
      <c r="Y1377" s="34" t="s">
        <v>7476</v>
      </c>
      <c r="Z1377" s="34" t="s">
        <v>7476</v>
      </c>
      <c r="AA1377" s="34" t="s">
        <v>7476</v>
      </c>
      <c r="AB1377" s="36" t="s">
        <v>7476</v>
      </c>
      <c r="AD1377" t="s">
        <v>4309</v>
      </c>
      <c r="AE1377" t="s">
        <v>4310</v>
      </c>
      <c r="AF1377" s="16">
        <v>44565</v>
      </c>
      <c r="AG1377" t="s">
        <v>68</v>
      </c>
      <c r="AH1377">
        <v>3</v>
      </c>
      <c r="AI1377" s="8">
        <f>IFERROR(R1377-AF1377,"")</f>
        <v>16.077685185176961</v>
      </c>
      <c r="AJ1377" s="8">
        <f>IFERROR(O1377-AF1377,"")</f>
        <v>13.077685185176961</v>
      </c>
      <c r="AK1377" s="38">
        <f t="shared" si="521"/>
        <v>44669.077685185177</v>
      </c>
      <c r="AL1377" t="str">
        <f>IFERROR(Z1377-W1377,"")</f>
        <v/>
      </c>
      <c r="AM1377">
        <f>IFERROR(R1377-J1377,"")</f>
        <v>15</v>
      </c>
      <c r="AN1377">
        <f>IFERROR(V1377-O1377,"")</f>
        <v>1</v>
      </c>
      <c r="AO1377">
        <f>IFERROR(J1377-I1377,"")</f>
        <v>3</v>
      </c>
      <c r="AP1377">
        <f>IFERROR(AC1377-X1377,"")</f>
        <v>0</v>
      </c>
      <c r="AQ1377" t="str">
        <f>IFERROR(AA1377-W1377,"")</f>
        <v/>
      </c>
    </row>
    <row r="1378" spans="1:43" x14ac:dyDescent="0.35">
      <c r="A1378">
        <v>1700</v>
      </c>
      <c r="B1378" t="s">
        <v>4311</v>
      </c>
      <c r="C1378" t="s">
        <v>3860</v>
      </c>
      <c r="D1378" t="str">
        <f t="shared" si="519"/>
        <v>Fundraising</v>
      </c>
      <c r="E1378" t="s">
        <v>4197</v>
      </c>
      <c r="F1378" t="s">
        <v>4304</v>
      </c>
      <c r="G1378" t="s">
        <v>4305</v>
      </c>
      <c r="H1378" t="s">
        <v>48</v>
      </c>
      <c r="I1378" s="32">
        <v>44985.764687499999</v>
      </c>
      <c r="J1378" s="32" t="s">
        <v>7471</v>
      </c>
      <c r="K1378" s="32">
        <v>44989.764687499999</v>
      </c>
      <c r="L1378" s="8">
        <f t="shared" si="520"/>
        <v>4</v>
      </c>
      <c r="M1378" s="7">
        <v>45004.764687499999</v>
      </c>
      <c r="N1378" t="s">
        <v>49</v>
      </c>
      <c r="O1378" s="34">
        <v>44998.764687499999</v>
      </c>
      <c r="P1378" t="s">
        <v>50</v>
      </c>
      <c r="Q1378" t="s">
        <v>84</v>
      </c>
      <c r="R1378" s="32" t="s">
        <v>7472</v>
      </c>
      <c r="S1378" t="s">
        <v>7476</v>
      </c>
      <c r="T1378" s="34" t="s">
        <v>7476</v>
      </c>
      <c r="U1378" s="34" t="s">
        <v>7476</v>
      </c>
      <c r="V1378" s="32">
        <v>44999.764687499999</v>
      </c>
      <c r="W1378" s="32" t="s">
        <v>7476</v>
      </c>
      <c r="X1378">
        <v>0</v>
      </c>
      <c r="Y1378" s="34" t="s">
        <v>7476</v>
      </c>
      <c r="Z1378" s="34" t="s">
        <v>7476</v>
      </c>
      <c r="AA1378" s="34" t="s">
        <v>7476</v>
      </c>
      <c r="AB1378" s="36" t="s">
        <v>52</v>
      </c>
      <c r="AD1378" t="s">
        <v>4312</v>
      </c>
      <c r="AE1378" t="s">
        <v>4313</v>
      </c>
      <c r="AF1378" s="16">
        <v>44993</v>
      </c>
      <c r="AG1378" t="s">
        <v>55</v>
      </c>
      <c r="AH1378">
        <v>3</v>
      </c>
      <c r="AK1378" s="38">
        <f t="shared" si="521"/>
        <v>45089.764687499999</v>
      </c>
    </row>
    <row r="1379" spans="1:43" x14ac:dyDescent="0.35">
      <c r="A1379">
        <v>1485</v>
      </c>
      <c r="B1379" t="s">
        <v>4314</v>
      </c>
      <c r="C1379" t="s">
        <v>3864</v>
      </c>
      <c r="D1379" t="str">
        <f t="shared" si="519"/>
        <v>Fundraising</v>
      </c>
      <c r="E1379" t="s">
        <v>4197</v>
      </c>
      <c r="F1379" t="s">
        <v>4304</v>
      </c>
      <c r="G1379" t="s">
        <v>4305</v>
      </c>
      <c r="H1379" t="s">
        <v>48</v>
      </c>
      <c r="I1379" s="32">
        <v>45112.542164351849</v>
      </c>
      <c r="J1379" s="32">
        <v>45115.542164351849</v>
      </c>
      <c r="K1379" s="32">
        <v>45119.542164351849</v>
      </c>
      <c r="L1379" s="8">
        <f t="shared" si="520"/>
        <v>7</v>
      </c>
      <c r="M1379" s="7">
        <v>45132.542164351849</v>
      </c>
      <c r="N1379" t="s">
        <v>49</v>
      </c>
      <c r="O1379" s="34">
        <v>45129.542164351849</v>
      </c>
      <c r="P1379" t="s">
        <v>50</v>
      </c>
      <c r="Q1379" t="s">
        <v>51</v>
      </c>
      <c r="R1379" s="32" t="s">
        <v>7472</v>
      </c>
      <c r="S1379" t="s">
        <v>7476</v>
      </c>
      <c r="T1379" s="34" t="s">
        <v>7476</v>
      </c>
      <c r="U1379" s="34" t="s">
        <v>7476</v>
      </c>
      <c r="V1379" s="32">
        <v>45132.542164351849</v>
      </c>
      <c r="W1379" s="32" t="s">
        <v>7476</v>
      </c>
      <c r="X1379">
        <v>0</v>
      </c>
      <c r="Y1379" s="34" t="s">
        <v>7476</v>
      </c>
      <c r="Z1379" s="34" t="s">
        <v>7476</v>
      </c>
      <c r="AA1379" s="34" t="s">
        <v>7476</v>
      </c>
      <c r="AB1379" s="36" t="s">
        <v>52</v>
      </c>
      <c r="AD1379" t="s">
        <v>4315</v>
      </c>
      <c r="AE1379" t="s">
        <v>4316</v>
      </c>
      <c r="AF1379" s="16">
        <v>45122</v>
      </c>
      <c r="AG1379" t="s">
        <v>68</v>
      </c>
      <c r="AH1379">
        <v>3</v>
      </c>
      <c r="AI1379" s="8" t="str">
        <f>IFERROR(R1379-AF1379,"")</f>
        <v/>
      </c>
      <c r="AJ1379" s="8">
        <f>IFERROR(O1379-AF1379,"")</f>
        <v>7.5421643518493511</v>
      </c>
      <c r="AK1379" s="38">
        <f t="shared" si="521"/>
        <v>45222.542164351849</v>
      </c>
      <c r="AL1379" t="str">
        <f>IFERROR(Z1379-W1379,"")</f>
        <v/>
      </c>
      <c r="AM1379" t="str">
        <f>IFERROR(R1379-J1379,"")</f>
        <v/>
      </c>
      <c r="AN1379">
        <f>IFERROR(V1379-O1379,"")</f>
        <v>3</v>
      </c>
      <c r="AO1379">
        <f>IFERROR(J1379-I1379,"")</f>
        <v>3</v>
      </c>
      <c r="AP1379">
        <f>IFERROR(AC1379-X1379,"")</f>
        <v>0</v>
      </c>
      <c r="AQ1379" t="str">
        <f>IFERROR(AA1379-W1379,"")</f>
        <v/>
      </c>
    </row>
    <row r="1380" spans="1:43" x14ac:dyDescent="0.35">
      <c r="A1380">
        <v>1469</v>
      </c>
      <c r="B1380" t="s">
        <v>4317</v>
      </c>
      <c r="C1380" t="s">
        <v>3860</v>
      </c>
      <c r="D1380" t="str">
        <f t="shared" si="519"/>
        <v>Fundraising</v>
      </c>
      <c r="E1380" t="s">
        <v>4197</v>
      </c>
      <c r="F1380" t="s">
        <v>4304</v>
      </c>
      <c r="G1380" t="s">
        <v>4305</v>
      </c>
      <c r="H1380" t="s">
        <v>48</v>
      </c>
      <c r="I1380" s="32">
        <v>45004.141805555562</v>
      </c>
      <c r="J1380" s="32">
        <v>45007.141805555562</v>
      </c>
      <c r="K1380" s="32" t="s">
        <v>7473</v>
      </c>
      <c r="L1380" s="8" t="str">
        <f t="shared" si="520"/>
        <v/>
      </c>
      <c r="M1380" s="7">
        <v>45035.141805555562</v>
      </c>
      <c r="N1380" t="s">
        <v>49</v>
      </c>
      <c r="O1380" s="34">
        <v>45015.141805555562</v>
      </c>
      <c r="P1380" t="s">
        <v>50</v>
      </c>
      <c r="Q1380" t="s">
        <v>51</v>
      </c>
      <c r="R1380" s="32" t="s">
        <v>7472</v>
      </c>
      <c r="S1380" t="s">
        <v>7476</v>
      </c>
      <c r="T1380" s="34" t="s">
        <v>7476</v>
      </c>
      <c r="U1380" s="34" t="s">
        <v>7476</v>
      </c>
      <c r="V1380" s="32" t="s">
        <v>7476</v>
      </c>
      <c r="W1380" s="32" t="s">
        <v>7476</v>
      </c>
      <c r="X1380">
        <v>0</v>
      </c>
      <c r="Y1380" s="34" t="s">
        <v>7476</v>
      </c>
      <c r="Z1380" s="34" t="s">
        <v>7476</v>
      </c>
      <c r="AA1380" s="34" t="s">
        <v>7476</v>
      </c>
      <c r="AB1380" s="36" t="s">
        <v>95</v>
      </c>
      <c r="AD1380" t="s">
        <v>4318</v>
      </c>
      <c r="AE1380" t="s">
        <v>4319</v>
      </c>
      <c r="AF1380" s="16">
        <v>45003</v>
      </c>
      <c r="AG1380" t="s">
        <v>93</v>
      </c>
      <c r="AH1380">
        <v>6</v>
      </c>
      <c r="AK1380" s="38" t="str">
        <f t="shared" si="521"/>
        <v/>
      </c>
    </row>
    <row r="1381" spans="1:43" x14ac:dyDescent="0.35">
      <c r="A1381">
        <v>1468</v>
      </c>
      <c r="B1381" t="s">
        <v>4320</v>
      </c>
      <c r="C1381" t="s">
        <v>3854</v>
      </c>
      <c r="D1381" t="str">
        <f t="shared" si="519"/>
        <v>Fundraising</v>
      </c>
      <c r="E1381" t="s">
        <v>4197</v>
      </c>
      <c r="F1381" t="s">
        <v>4304</v>
      </c>
      <c r="G1381" t="s">
        <v>4305</v>
      </c>
      <c r="H1381" t="s">
        <v>48</v>
      </c>
      <c r="I1381" s="32" t="s">
        <v>7471</v>
      </c>
      <c r="J1381" s="32">
        <v>45004.141805555562</v>
      </c>
      <c r="K1381" s="32">
        <v>45008.141805555562</v>
      </c>
      <c r="L1381" s="8" t="str">
        <f t="shared" si="520"/>
        <v/>
      </c>
      <c r="M1381" s="7">
        <v>45032.141805555562</v>
      </c>
      <c r="N1381" t="s">
        <v>49</v>
      </c>
      <c r="O1381" s="34">
        <v>45019.141805555562</v>
      </c>
      <c r="P1381" t="s">
        <v>50</v>
      </c>
      <c r="Q1381" t="s">
        <v>236</v>
      </c>
      <c r="R1381" s="32" t="s">
        <v>7472</v>
      </c>
      <c r="S1381" t="s">
        <v>7476</v>
      </c>
      <c r="T1381" s="34" t="s">
        <v>7476</v>
      </c>
      <c r="U1381" s="34" t="s">
        <v>7476</v>
      </c>
      <c r="V1381" s="32" t="s">
        <v>7476</v>
      </c>
      <c r="W1381" s="32" t="s">
        <v>7476</v>
      </c>
      <c r="X1381">
        <v>0</v>
      </c>
      <c r="Y1381" s="34" t="s">
        <v>7476</v>
      </c>
      <c r="Z1381" s="34" t="s">
        <v>7476</v>
      </c>
      <c r="AA1381" s="34" t="s">
        <v>7476</v>
      </c>
      <c r="AB1381" s="36" t="s">
        <v>95</v>
      </c>
      <c r="AD1381" t="s">
        <v>4321</v>
      </c>
      <c r="AE1381" t="s">
        <v>4322</v>
      </c>
      <c r="AF1381" s="16">
        <v>45002</v>
      </c>
      <c r="AG1381" t="s">
        <v>55</v>
      </c>
      <c r="AH1381">
        <v>6</v>
      </c>
      <c r="AK1381" s="38" t="str">
        <f t="shared" si="521"/>
        <v/>
      </c>
    </row>
    <row r="1382" spans="1:43" x14ac:dyDescent="0.35">
      <c r="A1382">
        <v>1465</v>
      </c>
      <c r="B1382" t="s">
        <v>4323</v>
      </c>
      <c r="C1382" t="s">
        <v>3864</v>
      </c>
      <c r="D1382" t="str">
        <f t="shared" si="519"/>
        <v>Fundraising</v>
      </c>
      <c r="E1382" t="s">
        <v>4197</v>
      </c>
      <c r="F1382" t="s">
        <v>4304</v>
      </c>
      <c r="G1382" t="s">
        <v>4305</v>
      </c>
      <c r="H1382" t="s">
        <v>48</v>
      </c>
      <c r="I1382" s="32">
        <v>45005.141805555562</v>
      </c>
      <c r="J1382" s="32">
        <v>45007.141805555562</v>
      </c>
      <c r="K1382" s="32">
        <v>45008.141805555562</v>
      </c>
      <c r="L1382" s="8">
        <f t="shared" si="520"/>
        <v>3</v>
      </c>
      <c r="M1382" s="7">
        <v>45021.141805555562</v>
      </c>
      <c r="N1382" t="s">
        <v>49</v>
      </c>
      <c r="O1382" s="34">
        <v>45016.141805555562</v>
      </c>
      <c r="P1382" t="s">
        <v>392</v>
      </c>
      <c r="R1382" s="32">
        <v>45020.141805555562</v>
      </c>
      <c r="S1382" t="s">
        <v>392</v>
      </c>
      <c r="T1382" s="34" t="s">
        <v>7476</v>
      </c>
      <c r="U1382" s="34" t="s">
        <v>7476</v>
      </c>
      <c r="V1382" s="32">
        <v>45019.141805555562</v>
      </c>
      <c r="W1382" s="32" t="s">
        <v>7476</v>
      </c>
      <c r="X1382">
        <v>0</v>
      </c>
      <c r="Y1382" s="34" t="s">
        <v>7476</v>
      </c>
      <c r="Z1382" s="34" t="s">
        <v>7476</v>
      </c>
      <c r="AA1382" s="34" t="s">
        <v>7476</v>
      </c>
      <c r="AB1382" s="36" t="s">
        <v>7476</v>
      </c>
      <c r="AD1382" t="s">
        <v>4324</v>
      </c>
      <c r="AE1382" t="s">
        <v>4325</v>
      </c>
      <c r="AF1382" s="16">
        <v>45009</v>
      </c>
      <c r="AG1382" t="s">
        <v>98</v>
      </c>
      <c r="AH1382">
        <v>3</v>
      </c>
      <c r="AI1382" s="8">
        <f t="shared" ref="AI1382:AI1387" si="546">IFERROR(R1382-AF1382,"")</f>
        <v>11.141805555562314</v>
      </c>
      <c r="AJ1382" s="8">
        <f t="shared" ref="AJ1382:AJ1387" si="547">IFERROR(O1382-AF1382,"")</f>
        <v>7.1418055555623141</v>
      </c>
      <c r="AK1382" s="38">
        <f t="shared" si="521"/>
        <v>45109.141805555562</v>
      </c>
      <c r="AL1382" t="str">
        <f t="shared" ref="AL1382:AL1387" si="548">IFERROR(Z1382-W1382,"")</f>
        <v/>
      </c>
      <c r="AM1382">
        <f t="shared" ref="AM1382:AM1387" si="549">IFERROR(R1382-J1382,"")</f>
        <v>13</v>
      </c>
      <c r="AN1382">
        <f t="shared" ref="AN1382:AN1387" si="550">IFERROR(V1382-O1382,"")</f>
        <v>3</v>
      </c>
      <c r="AO1382">
        <f t="shared" ref="AO1382:AO1387" si="551">IFERROR(J1382-I1382,"")</f>
        <v>2</v>
      </c>
      <c r="AP1382">
        <f t="shared" ref="AP1382:AP1387" si="552">IFERROR(AC1382-X1382,"")</f>
        <v>0</v>
      </c>
      <c r="AQ1382" t="str">
        <f t="shared" ref="AQ1382:AQ1387" si="553">IFERROR(AA1382-W1382,"")</f>
        <v/>
      </c>
    </row>
    <row r="1383" spans="1:43" x14ac:dyDescent="0.35">
      <c r="A1383">
        <v>1351</v>
      </c>
      <c r="B1383" t="s">
        <v>4326</v>
      </c>
      <c r="C1383" t="s">
        <v>3864</v>
      </c>
      <c r="D1383" t="str">
        <f t="shared" si="519"/>
        <v>Fundraising</v>
      </c>
      <c r="E1383" t="s">
        <v>4197</v>
      </c>
      <c r="F1383" t="s">
        <v>4304</v>
      </c>
      <c r="G1383" t="s">
        <v>4305</v>
      </c>
      <c r="H1383" t="s">
        <v>48</v>
      </c>
      <c r="I1383" s="32">
        <v>44764.055451388893</v>
      </c>
      <c r="J1383" s="32">
        <v>44767.055451388893</v>
      </c>
      <c r="K1383" s="32">
        <v>44771.055451388893</v>
      </c>
      <c r="L1383" s="8">
        <f t="shared" si="520"/>
        <v>7</v>
      </c>
      <c r="M1383" s="7">
        <v>44778.055451388893</v>
      </c>
      <c r="N1383" t="s">
        <v>49</v>
      </c>
      <c r="O1383" s="34">
        <v>44786.055451388893</v>
      </c>
      <c r="P1383" t="s">
        <v>50</v>
      </c>
      <c r="Q1383" t="s">
        <v>84</v>
      </c>
      <c r="R1383" s="32" t="s">
        <v>7472</v>
      </c>
      <c r="S1383" t="s">
        <v>7476</v>
      </c>
      <c r="T1383" s="34" t="s">
        <v>7476</v>
      </c>
      <c r="U1383" s="34" t="s">
        <v>7476</v>
      </c>
      <c r="V1383" s="32" t="s">
        <v>7476</v>
      </c>
      <c r="W1383" s="32" t="s">
        <v>7476</v>
      </c>
      <c r="X1383">
        <v>0</v>
      </c>
      <c r="Y1383" s="34" t="s">
        <v>7476</v>
      </c>
      <c r="Z1383" s="34" t="s">
        <v>7476</v>
      </c>
      <c r="AA1383" s="34" t="s">
        <v>7476</v>
      </c>
      <c r="AB1383" s="36" t="s">
        <v>52</v>
      </c>
      <c r="AD1383" t="s">
        <v>4327</v>
      </c>
      <c r="AE1383" t="s">
        <v>4328</v>
      </c>
      <c r="AF1383" s="16">
        <v>44781</v>
      </c>
      <c r="AG1383" t="s">
        <v>68</v>
      </c>
      <c r="AH1383">
        <v>6</v>
      </c>
      <c r="AI1383" s="8" t="str">
        <f t="shared" si="546"/>
        <v/>
      </c>
      <c r="AJ1383" s="8">
        <f t="shared" si="547"/>
        <v>5.0554513888928341</v>
      </c>
      <c r="AK1383" s="38" t="str">
        <f t="shared" si="521"/>
        <v/>
      </c>
      <c r="AL1383" t="str">
        <f t="shared" si="548"/>
        <v/>
      </c>
      <c r="AM1383" t="str">
        <f t="shared" si="549"/>
        <v/>
      </c>
      <c r="AN1383" t="str">
        <f t="shared" si="550"/>
        <v/>
      </c>
      <c r="AO1383">
        <f t="shared" si="551"/>
        <v>3</v>
      </c>
      <c r="AP1383">
        <f t="shared" si="552"/>
        <v>0</v>
      </c>
      <c r="AQ1383" t="str">
        <f t="shared" si="553"/>
        <v/>
      </c>
    </row>
    <row r="1384" spans="1:43" x14ac:dyDescent="0.35">
      <c r="A1384">
        <v>1250</v>
      </c>
      <c r="B1384" t="s">
        <v>4329</v>
      </c>
      <c r="C1384" t="s">
        <v>3864</v>
      </c>
      <c r="D1384" t="str">
        <f t="shared" si="519"/>
        <v>Fundraising</v>
      </c>
      <c r="E1384" t="s">
        <v>4197</v>
      </c>
      <c r="F1384" t="s">
        <v>4304</v>
      </c>
      <c r="G1384" t="s">
        <v>4305</v>
      </c>
      <c r="H1384" t="s">
        <v>48</v>
      </c>
      <c r="I1384" s="32">
        <v>44735.839942129627</v>
      </c>
      <c r="J1384" s="32">
        <v>44736.839942129627</v>
      </c>
      <c r="K1384" s="32">
        <v>44741.839942129627</v>
      </c>
      <c r="L1384" s="8">
        <f t="shared" si="520"/>
        <v>6</v>
      </c>
      <c r="M1384" s="7">
        <v>44770.839942129627</v>
      </c>
      <c r="N1384" t="s">
        <v>49</v>
      </c>
      <c r="O1384" s="34">
        <v>44756.839942129627</v>
      </c>
      <c r="P1384" t="s">
        <v>101</v>
      </c>
      <c r="R1384" s="32">
        <v>44759.839942129627</v>
      </c>
      <c r="S1384" t="s">
        <v>101</v>
      </c>
      <c r="T1384" s="34">
        <v>44758.839942129627</v>
      </c>
      <c r="U1384" s="34">
        <v>44762.839942129627</v>
      </c>
      <c r="V1384" s="32">
        <v>44757.839942129627</v>
      </c>
      <c r="W1384" s="32">
        <v>44760.839942129627</v>
      </c>
      <c r="X1384">
        <v>1</v>
      </c>
      <c r="Y1384" s="34">
        <v>44762.839942129627</v>
      </c>
      <c r="Z1384" s="34">
        <v>44763.839942129627</v>
      </c>
      <c r="AA1384" s="34">
        <v>44766.839942129627</v>
      </c>
      <c r="AB1384" s="36" t="s">
        <v>7476</v>
      </c>
      <c r="AC1384" s="10">
        <v>44774.839942129627</v>
      </c>
      <c r="AD1384" t="s">
        <v>4330</v>
      </c>
      <c r="AE1384" t="s">
        <v>4331</v>
      </c>
      <c r="AF1384" s="16">
        <v>44743</v>
      </c>
      <c r="AG1384" t="s">
        <v>64</v>
      </c>
      <c r="AH1384">
        <v>6</v>
      </c>
      <c r="AI1384" s="8">
        <f t="shared" si="546"/>
        <v>16.839942129627161</v>
      </c>
      <c r="AJ1384" s="8">
        <f t="shared" si="547"/>
        <v>13.839942129627161</v>
      </c>
      <c r="AK1384" s="38">
        <f t="shared" si="521"/>
        <v>44937.839942129627</v>
      </c>
      <c r="AL1384">
        <f t="shared" si="548"/>
        <v>3</v>
      </c>
      <c r="AM1384">
        <f t="shared" si="549"/>
        <v>23</v>
      </c>
      <c r="AN1384">
        <f t="shared" si="550"/>
        <v>1</v>
      </c>
      <c r="AO1384">
        <f t="shared" si="551"/>
        <v>1</v>
      </c>
      <c r="AP1384">
        <f t="shared" si="552"/>
        <v>44773.839942129627</v>
      </c>
      <c r="AQ1384">
        <f t="shared" si="553"/>
        <v>6</v>
      </c>
    </row>
    <row r="1385" spans="1:43" x14ac:dyDescent="0.35">
      <c r="A1385">
        <v>1239</v>
      </c>
      <c r="B1385" t="s">
        <v>4332</v>
      </c>
      <c r="C1385" t="s">
        <v>3864</v>
      </c>
      <c r="D1385" t="str">
        <f t="shared" si="519"/>
        <v>Fundraising</v>
      </c>
      <c r="E1385" t="s">
        <v>4197</v>
      </c>
      <c r="F1385" t="s">
        <v>4304</v>
      </c>
      <c r="G1385" t="s">
        <v>4305</v>
      </c>
      <c r="H1385" t="s">
        <v>48</v>
      </c>
      <c r="I1385" s="32">
        <v>44982.728877314818</v>
      </c>
      <c r="J1385" s="32">
        <v>44985.728877314818</v>
      </c>
      <c r="K1385" s="32">
        <v>44986.728877314818</v>
      </c>
      <c r="L1385" s="8">
        <f t="shared" si="520"/>
        <v>4</v>
      </c>
      <c r="M1385" s="7">
        <v>45002.728877314818</v>
      </c>
      <c r="N1385" t="s">
        <v>49</v>
      </c>
      <c r="O1385" s="34">
        <v>44998.728877314818</v>
      </c>
      <c r="P1385" t="s">
        <v>50</v>
      </c>
      <c r="Q1385" t="s">
        <v>84</v>
      </c>
      <c r="R1385" s="32" t="s">
        <v>7472</v>
      </c>
      <c r="S1385" t="s">
        <v>7476</v>
      </c>
      <c r="T1385" s="34" t="s">
        <v>7476</v>
      </c>
      <c r="U1385" s="34" t="s">
        <v>7476</v>
      </c>
      <c r="V1385" s="32">
        <v>45002.728877314818</v>
      </c>
      <c r="W1385" s="32" t="s">
        <v>7476</v>
      </c>
      <c r="X1385">
        <v>0</v>
      </c>
      <c r="Y1385" s="34" t="s">
        <v>7476</v>
      </c>
      <c r="Z1385" s="34" t="s">
        <v>7476</v>
      </c>
      <c r="AA1385" s="34" t="s">
        <v>7476</v>
      </c>
      <c r="AB1385" s="36" t="s">
        <v>52</v>
      </c>
      <c r="AD1385" t="s">
        <v>4333</v>
      </c>
      <c r="AE1385" t="s">
        <v>4334</v>
      </c>
      <c r="AF1385" s="16">
        <v>44982</v>
      </c>
      <c r="AG1385" t="s">
        <v>68</v>
      </c>
      <c r="AH1385">
        <v>3</v>
      </c>
      <c r="AI1385" s="8" t="str">
        <f t="shared" si="546"/>
        <v/>
      </c>
      <c r="AJ1385" s="8">
        <f t="shared" si="547"/>
        <v>16.72887731481751</v>
      </c>
      <c r="AK1385" s="38">
        <f t="shared" si="521"/>
        <v>45092.728877314818</v>
      </c>
      <c r="AL1385" t="str">
        <f t="shared" si="548"/>
        <v/>
      </c>
      <c r="AM1385" t="str">
        <f t="shared" si="549"/>
        <v/>
      </c>
      <c r="AN1385">
        <f t="shared" si="550"/>
        <v>4</v>
      </c>
      <c r="AO1385">
        <f t="shared" si="551"/>
        <v>3</v>
      </c>
      <c r="AP1385">
        <f t="shared" si="552"/>
        <v>0</v>
      </c>
      <c r="AQ1385" t="str">
        <f t="shared" si="553"/>
        <v/>
      </c>
    </row>
    <row r="1386" spans="1:43" x14ac:dyDescent="0.35">
      <c r="A1386">
        <v>1224</v>
      </c>
      <c r="B1386" t="s">
        <v>4335</v>
      </c>
      <c r="C1386" t="s">
        <v>3860</v>
      </c>
      <c r="D1386" t="str">
        <f t="shared" si="519"/>
        <v>Fundraising</v>
      </c>
      <c r="E1386" t="s">
        <v>4197</v>
      </c>
      <c r="F1386" t="s">
        <v>4304</v>
      </c>
      <c r="G1386" t="s">
        <v>4305</v>
      </c>
      <c r="H1386" t="s">
        <v>48</v>
      </c>
      <c r="I1386" s="32">
        <v>44735.14203703704</v>
      </c>
      <c r="J1386" s="32">
        <v>44737.14203703704</v>
      </c>
      <c r="K1386" s="32">
        <v>44741.14203703704</v>
      </c>
      <c r="L1386" s="8">
        <f t="shared" si="520"/>
        <v>6</v>
      </c>
      <c r="M1386" s="7">
        <v>44747.14203703704</v>
      </c>
      <c r="N1386" t="s">
        <v>49</v>
      </c>
      <c r="O1386" s="34">
        <v>44754.14203703704</v>
      </c>
      <c r="P1386" t="s">
        <v>60</v>
      </c>
      <c r="R1386" s="32">
        <v>44761.14203703704</v>
      </c>
      <c r="S1386" t="s">
        <v>61</v>
      </c>
      <c r="T1386" s="34" t="s">
        <v>7476</v>
      </c>
      <c r="U1386" s="34" t="s">
        <v>7476</v>
      </c>
      <c r="V1386" s="32">
        <v>44758.14203703704</v>
      </c>
      <c r="W1386" s="32" t="s">
        <v>7476</v>
      </c>
      <c r="X1386">
        <v>0</v>
      </c>
      <c r="Y1386" s="34" t="s">
        <v>7476</v>
      </c>
      <c r="Z1386" s="34" t="s">
        <v>7476</v>
      </c>
      <c r="AA1386" s="34" t="s">
        <v>7476</v>
      </c>
      <c r="AB1386" s="36" t="s">
        <v>7476</v>
      </c>
      <c r="AD1386" t="s">
        <v>4336</v>
      </c>
      <c r="AE1386" t="s">
        <v>4337</v>
      </c>
      <c r="AF1386" s="16">
        <v>44747</v>
      </c>
      <c r="AG1386" t="s">
        <v>98</v>
      </c>
      <c r="AH1386">
        <v>6</v>
      </c>
      <c r="AI1386" s="8">
        <f t="shared" si="546"/>
        <v>14.142037037039699</v>
      </c>
      <c r="AJ1386" s="8">
        <f t="shared" si="547"/>
        <v>7.1420370370396995</v>
      </c>
      <c r="AK1386" s="38">
        <f t="shared" si="521"/>
        <v>44938.14203703704</v>
      </c>
      <c r="AL1386" t="str">
        <f t="shared" si="548"/>
        <v/>
      </c>
      <c r="AM1386">
        <f t="shared" si="549"/>
        <v>24</v>
      </c>
      <c r="AN1386">
        <f t="shared" si="550"/>
        <v>4</v>
      </c>
      <c r="AO1386">
        <f t="shared" si="551"/>
        <v>2</v>
      </c>
      <c r="AP1386">
        <f t="shared" si="552"/>
        <v>0</v>
      </c>
      <c r="AQ1386" t="str">
        <f t="shared" si="553"/>
        <v/>
      </c>
    </row>
    <row r="1387" spans="1:43" x14ac:dyDescent="0.35">
      <c r="A1387">
        <v>1210</v>
      </c>
      <c r="B1387" t="s">
        <v>4338</v>
      </c>
      <c r="C1387" t="s">
        <v>3860</v>
      </c>
      <c r="D1387" t="str">
        <f t="shared" si="519"/>
        <v>Fundraising</v>
      </c>
      <c r="E1387" t="s">
        <v>4197</v>
      </c>
      <c r="F1387" t="s">
        <v>4304</v>
      </c>
      <c r="G1387" t="s">
        <v>4305</v>
      </c>
      <c r="H1387" t="s">
        <v>48</v>
      </c>
      <c r="I1387" s="32">
        <v>44766.205266203702</v>
      </c>
      <c r="J1387" s="32">
        <v>44768.205266203702</v>
      </c>
      <c r="K1387" s="32">
        <v>44770.205266203702</v>
      </c>
      <c r="L1387" s="8">
        <f t="shared" si="520"/>
        <v>4</v>
      </c>
      <c r="M1387" s="7">
        <v>44781.205266203702</v>
      </c>
      <c r="N1387" t="s">
        <v>49</v>
      </c>
      <c r="O1387" s="34">
        <v>44782.205266203702</v>
      </c>
      <c r="P1387" t="s">
        <v>60</v>
      </c>
      <c r="R1387" s="32">
        <v>44787.205266203702</v>
      </c>
      <c r="S1387" t="s">
        <v>61</v>
      </c>
      <c r="T1387" s="34" t="s">
        <v>7476</v>
      </c>
      <c r="U1387" s="34" t="s">
        <v>7476</v>
      </c>
      <c r="V1387" s="32">
        <v>44783.205266203702</v>
      </c>
      <c r="W1387" s="32" t="s">
        <v>7476</v>
      </c>
      <c r="X1387">
        <v>0</v>
      </c>
      <c r="Y1387" s="34" t="s">
        <v>7476</v>
      </c>
      <c r="Z1387" s="34" t="s">
        <v>7476</v>
      </c>
      <c r="AA1387" s="34" t="s">
        <v>7476</v>
      </c>
      <c r="AB1387" s="36" t="s">
        <v>7476</v>
      </c>
      <c r="AD1387" t="s">
        <v>4339</v>
      </c>
      <c r="AE1387" t="s">
        <v>4340</v>
      </c>
      <c r="AF1387" s="16">
        <v>44768</v>
      </c>
      <c r="AG1387" t="s">
        <v>68</v>
      </c>
      <c r="AH1387">
        <v>6</v>
      </c>
      <c r="AI1387" s="8">
        <f t="shared" si="546"/>
        <v>19.205266203702195</v>
      </c>
      <c r="AJ1387" s="8">
        <f t="shared" si="547"/>
        <v>14.205266203702195</v>
      </c>
      <c r="AK1387" s="38">
        <f t="shared" si="521"/>
        <v>44963.205266203702</v>
      </c>
      <c r="AL1387" t="str">
        <f t="shared" si="548"/>
        <v/>
      </c>
      <c r="AM1387">
        <f t="shared" si="549"/>
        <v>19</v>
      </c>
      <c r="AN1387">
        <f t="shared" si="550"/>
        <v>1</v>
      </c>
      <c r="AO1387">
        <f t="shared" si="551"/>
        <v>2</v>
      </c>
      <c r="AP1387">
        <f t="shared" si="552"/>
        <v>0</v>
      </c>
      <c r="AQ1387" t="str">
        <f t="shared" si="553"/>
        <v/>
      </c>
    </row>
    <row r="1388" spans="1:43" x14ac:dyDescent="0.35">
      <c r="A1388">
        <v>1201</v>
      </c>
      <c r="B1388" t="s">
        <v>4341</v>
      </c>
      <c r="C1388" t="s">
        <v>3864</v>
      </c>
      <c r="D1388" t="str">
        <f t="shared" si="519"/>
        <v>Fundraising</v>
      </c>
      <c r="E1388" t="s">
        <v>4197</v>
      </c>
      <c r="F1388" t="s">
        <v>4304</v>
      </c>
      <c r="G1388" t="s">
        <v>4305</v>
      </c>
      <c r="H1388" t="s">
        <v>48</v>
      </c>
      <c r="I1388" s="32">
        <v>44762.205266203702</v>
      </c>
      <c r="J1388" s="32">
        <v>44764.205266203702</v>
      </c>
      <c r="K1388" s="32" t="s">
        <v>7473</v>
      </c>
      <c r="L1388" s="8" t="str">
        <f t="shared" si="520"/>
        <v/>
      </c>
      <c r="M1388" s="7">
        <v>44780.205266203702</v>
      </c>
      <c r="N1388" t="s">
        <v>49</v>
      </c>
      <c r="O1388" s="34">
        <v>44782.205266203702</v>
      </c>
      <c r="P1388" t="s">
        <v>50</v>
      </c>
      <c r="Q1388" t="s">
        <v>51</v>
      </c>
      <c r="R1388" s="32" t="s">
        <v>7472</v>
      </c>
      <c r="S1388" t="s">
        <v>7476</v>
      </c>
      <c r="T1388" s="34" t="s">
        <v>7476</v>
      </c>
      <c r="U1388" s="34" t="s">
        <v>7476</v>
      </c>
      <c r="V1388" s="32">
        <v>44784.205266203702</v>
      </c>
      <c r="W1388" s="32" t="s">
        <v>7476</v>
      </c>
      <c r="X1388">
        <v>0</v>
      </c>
      <c r="Y1388" s="34" t="s">
        <v>7476</v>
      </c>
      <c r="Z1388" s="34" t="s">
        <v>7476</v>
      </c>
      <c r="AA1388" s="34" t="s">
        <v>7476</v>
      </c>
      <c r="AB1388" s="36" t="s">
        <v>52</v>
      </c>
      <c r="AD1388" t="s">
        <v>4342</v>
      </c>
      <c r="AE1388" t="s">
        <v>4343</v>
      </c>
      <c r="AF1388" s="16">
        <v>44773</v>
      </c>
      <c r="AG1388" t="s">
        <v>55</v>
      </c>
      <c r="AH1388">
        <v>3</v>
      </c>
      <c r="AK1388" s="38">
        <f t="shared" si="521"/>
        <v>44874.205266203702</v>
      </c>
    </row>
    <row r="1389" spans="1:43" x14ac:dyDescent="0.35">
      <c r="A1389">
        <v>1194</v>
      </c>
      <c r="B1389" t="s">
        <v>4344</v>
      </c>
      <c r="C1389" t="s">
        <v>3864</v>
      </c>
      <c r="D1389" t="str">
        <f t="shared" si="519"/>
        <v>Fundraising</v>
      </c>
      <c r="E1389" t="s">
        <v>4197</v>
      </c>
      <c r="F1389" t="s">
        <v>4304</v>
      </c>
      <c r="G1389" t="s">
        <v>4305</v>
      </c>
      <c r="H1389" t="s">
        <v>48</v>
      </c>
      <c r="I1389" s="32">
        <v>44763.966006944444</v>
      </c>
      <c r="J1389" s="32">
        <v>44766.966006944444</v>
      </c>
      <c r="K1389" s="32">
        <v>44771.966006944444</v>
      </c>
      <c r="L1389" s="8">
        <f t="shared" si="520"/>
        <v>8</v>
      </c>
      <c r="M1389" s="7">
        <v>44784.966006944444</v>
      </c>
      <c r="N1389" t="s">
        <v>49</v>
      </c>
      <c r="O1389" s="34">
        <v>44787.966006944444</v>
      </c>
      <c r="P1389" t="s">
        <v>50</v>
      </c>
      <c r="Q1389" t="s">
        <v>125</v>
      </c>
      <c r="R1389" s="32" t="s">
        <v>7472</v>
      </c>
      <c r="S1389" t="s">
        <v>7476</v>
      </c>
      <c r="T1389" s="34" t="s">
        <v>7476</v>
      </c>
      <c r="U1389" s="34" t="s">
        <v>7476</v>
      </c>
      <c r="V1389" s="32" t="s">
        <v>7476</v>
      </c>
      <c r="W1389" s="32" t="s">
        <v>7476</v>
      </c>
      <c r="X1389">
        <v>0</v>
      </c>
      <c r="Y1389" s="34" t="s">
        <v>7476</v>
      </c>
      <c r="Z1389" s="34" t="s">
        <v>7476</v>
      </c>
      <c r="AA1389" s="34" t="s">
        <v>7476</v>
      </c>
      <c r="AB1389" s="36" t="s">
        <v>52</v>
      </c>
      <c r="AD1389" t="s">
        <v>4345</v>
      </c>
      <c r="AE1389" t="s">
        <v>4346</v>
      </c>
      <c r="AF1389" s="16">
        <v>44777</v>
      </c>
      <c r="AG1389" t="s">
        <v>68</v>
      </c>
      <c r="AH1389">
        <v>6</v>
      </c>
      <c r="AI1389" s="8" t="str">
        <f>IFERROR(R1389-AF1389,"")</f>
        <v/>
      </c>
      <c r="AJ1389" s="8">
        <f>IFERROR(O1389-AF1389,"")</f>
        <v>10.966006944443507</v>
      </c>
      <c r="AK1389" s="38" t="str">
        <f t="shared" si="521"/>
        <v/>
      </c>
      <c r="AL1389" t="str">
        <f>IFERROR(Z1389-W1389,"")</f>
        <v/>
      </c>
      <c r="AM1389" t="str">
        <f>IFERROR(R1389-J1389,"")</f>
        <v/>
      </c>
      <c r="AN1389" t="str">
        <f>IFERROR(V1389-O1389,"")</f>
        <v/>
      </c>
      <c r="AO1389">
        <f>IFERROR(J1389-I1389,"")</f>
        <v>3</v>
      </c>
      <c r="AP1389">
        <f>IFERROR(AC1389-X1389,"")</f>
        <v>0</v>
      </c>
      <c r="AQ1389" t="str">
        <f>IFERROR(AA1389-W1389,"")</f>
        <v/>
      </c>
    </row>
    <row r="1390" spans="1:43" x14ac:dyDescent="0.35">
      <c r="A1390">
        <v>1171</v>
      </c>
      <c r="B1390" t="s">
        <v>4347</v>
      </c>
      <c r="C1390" t="s">
        <v>3860</v>
      </c>
      <c r="D1390" t="str">
        <f t="shared" si="519"/>
        <v>Fundraising</v>
      </c>
      <c r="E1390" t="s">
        <v>4197</v>
      </c>
      <c r="F1390" t="s">
        <v>4304</v>
      </c>
      <c r="G1390" t="s">
        <v>4305</v>
      </c>
      <c r="H1390" t="s">
        <v>48</v>
      </c>
      <c r="I1390" s="32">
        <v>45059.041770833333</v>
      </c>
      <c r="J1390" s="32" t="s">
        <v>7471</v>
      </c>
      <c r="K1390" s="32">
        <v>45066.041770833333</v>
      </c>
      <c r="L1390" s="8">
        <f t="shared" si="520"/>
        <v>7</v>
      </c>
      <c r="M1390" s="7">
        <v>45075.041770833333</v>
      </c>
      <c r="N1390" t="s">
        <v>49</v>
      </c>
      <c r="O1390" s="34">
        <v>45073.041770833333</v>
      </c>
      <c r="P1390" t="s">
        <v>50</v>
      </c>
      <c r="Q1390" t="s">
        <v>125</v>
      </c>
      <c r="R1390" s="32" t="s">
        <v>7472</v>
      </c>
      <c r="S1390" t="s">
        <v>7476</v>
      </c>
      <c r="T1390" s="34" t="s">
        <v>7476</v>
      </c>
      <c r="U1390" s="34" t="s">
        <v>7476</v>
      </c>
      <c r="V1390" s="32">
        <v>45077.041770833333</v>
      </c>
      <c r="W1390" s="32" t="s">
        <v>7476</v>
      </c>
      <c r="X1390">
        <v>0</v>
      </c>
      <c r="Y1390" s="34" t="s">
        <v>7476</v>
      </c>
      <c r="Z1390" s="34" t="s">
        <v>7476</v>
      </c>
      <c r="AA1390" s="34" t="s">
        <v>7476</v>
      </c>
      <c r="AB1390" s="36" t="s">
        <v>52</v>
      </c>
      <c r="AD1390" t="s">
        <v>4348</v>
      </c>
      <c r="AE1390" t="s">
        <v>4349</v>
      </c>
      <c r="AF1390" s="16">
        <v>45064</v>
      </c>
      <c r="AG1390" t="s">
        <v>64</v>
      </c>
      <c r="AH1390">
        <v>6</v>
      </c>
      <c r="AK1390" s="38">
        <f t="shared" si="521"/>
        <v>45257.041770833333</v>
      </c>
    </row>
    <row r="1391" spans="1:43" x14ac:dyDescent="0.35">
      <c r="A1391">
        <v>2954</v>
      </c>
      <c r="B1391" t="s">
        <v>4350</v>
      </c>
      <c r="C1391" t="s">
        <v>3860</v>
      </c>
      <c r="D1391" t="str">
        <f t="shared" si="519"/>
        <v>Fundraising</v>
      </c>
      <c r="E1391" t="s">
        <v>4351</v>
      </c>
      <c r="F1391" t="s">
        <v>46</v>
      </c>
      <c r="G1391" t="s">
        <v>4352</v>
      </c>
      <c r="H1391" t="s">
        <v>59</v>
      </c>
      <c r="I1391" s="32">
        <v>45015.652233796303</v>
      </c>
      <c r="J1391" s="32">
        <v>45017.652233796303</v>
      </c>
      <c r="K1391" s="32">
        <v>45025.652233796303</v>
      </c>
      <c r="L1391" s="8">
        <f t="shared" si="520"/>
        <v>10</v>
      </c>
      <c r="M1391" s="7">
        <v>45070.652233796303</v>
      </c>
      <c r="N1391" t="s">
        <v>49</v>
      </c>
      <c r="O1391" s="34">
        <v>45037.652233796303</v>
      </c>
      <c r="P1391" t="s">
        <v>50</v>
      </c>
      <c r="Q1391" t="s">
        <v>84</v>
      </c>
      <c r="R1391" s="32" t="s">
        <v>7472</v>
      </c>
      <c r="S1391" t="s">
        <v>7476</v>
      </c>
      <c r="T1391" s="34" t="s">
        <v>7476</v>
      </c>
      <c r="U1391" s="34" t="s">
        <v>7476</v>
      </c>
      <c r="V1391" s="32" t="s">
        <v>7476</v>
      </c>
      <c r="W1391" s="32" t="s">
        <v>7476</v>
      </c>
      <c r="X1391">
        <v>0</v>
      </c>
      <c r="Y1391" s="34" t="s">
        <v>7476</v>
      </c>
      <c r="Z1391" s="34" t="s">
        <v>7476</v>
      </c>
      <c r="AA1391" s="34" t="s">
        <v>7476</v>
      </c>
      <c r="AB1391" s="36" t="s">
        <v>52</v>
      </c>
      <c r="AD1391" t="s">
        <v>4353</v>
      </c>
      <c r="AE1391" t="s">
        <v>4354</v>
      </c>
      <c r="AF1391" s="16">
        <v>45028</v>
      </c>
      <c r="AG1391" t="s">
        <v>98</v>
      </c>
      <c r="AH1391">
        <v>3</v>
      </c>
      <c r="AI1391" s="8" t="str">
        <f>IFERROR(R1391-AF1391,"")</f>
        <v/>
      </c>
      <c r="AJ1391" s="8">
        <f>IFERROR(O1391-AF1391,"")</f>
        <v>9.6522337963033351</v>
      </c>
      <c r="AK1391" s="38" t="str">
        <f t="shared" si="521"/>
        <v/>
      </c>
      <c r="AL1391" t="str">
        <f>IFERROR(Z1391-W1391,"")</f>
        <v/>
      </c>
      <c r="AM1391" t="str">
        <f>IFERROR(R1391-J1391,"")</f>
        <v/>
      </c>
      <c r="AN1391" t="str">
        <f>IFERROR(V1391-O1391,"")</f>
        <v/>
      </c>
      <c r="AO1391">
        <f>IFERROR(J1391-I1391,"")</f>
        <v>2</v>
      </c>
      <c r="AP1391">
        <f>IFERROR(AC1391-X1391,"")</f>
        <v>0</v>
      </c>
      <c r="AQ1391" t="str">
        <f>IFERROR(AA1391-W1391,"")</f>
        <v/>
      </c>
    </row>
    <row r="1392" spans="1:43" x14ac:dyDescent="0.35">
      <c r="A1392">
        <v>2916</v>
      </c>
      <c r="B1392" t="s">
        <v>4355</v>
      </c>
      <c r="C1392" t="s">
        <v>3864</v>
      </c>
      <c r="D1392" t="str">
        <f t="shared" si="519"/>
        <v>Fundraising</v>
      </c>
      <c r="E1392" t="s">
        <v>4351</v>
      </c>
      <c r="F1392" t="s">
        <v>46</v>
      </c>
      <c r="G1392" t="s">
        <v>4352</v>
      </c>
      <c r="H1392" t="s">
        <v>59</v>
      </c>
      <c r="I1392" s="32">
        <v>44596.794965277782</v>
      </c>
      <c r="J1392" s="32">
        <v>44600.794965277782</v>
      </c>
      <c r="K1392" s="32">
        <v>44608.794965277782</v>
      </c>
      <c r="L1392" s="8">
        <f t="shared" si="520"/>
        <v>12</v>
      </c>
      <c r="M1392" s="7">
        <v>44653.794965277782</v>
      </c>
      <c r="N1392" t="s">
        <v>49</v>
      </c>
      <c r="O1392" s="34">
        <v>44609.794965277782</v>
      </c>
      <c r="P1392" t="s">
        <v>60</v>
      </c>
      <c r="R1392" s="32">
        <v>44611.794965277782</v>
      </c>
      <c r="S1392" t="s">
        <v>61</v>
      </c>
      <c r="T1392" s="34" t="s">
        <v>7476</v>
      </c>
      <c r="U1392" s="34" t="s">
        <v>7476</v>
      </c>
      <c r="V1392" s="32">
        <v>44610.794965277782</v>
      </c>
      <c r="W1392" s="32" t="s">
        <v>7476</v>
      </c>
      <c r="X1392">
        <v>0</v>
      </c>
      <c r="Y1392" s="34" t="s">
        <v>7476</v>
      </c>
      <c r="Z1392" s="34" t="s">
        <v>7476</v>
      </c>
      <c r="AA1392" s="34" t="s">
        <v>7476</v>
      </c>
      <c r="AB1392" s="36" t="s">
        <v>7476</v>
      </c>
      <c r="AD1392" t="s">
        <v>4356</v>
      </c>
      <c r="AE1392" t="s">
        <v>4357</v>
      </c>
      <c r="AF1392" s="16">
        <v>44595</v>
      </c>
      <c r="AG1392" t="s">
        <v>68</v>
      </c>
      <c r="AH1392">
        <v>3</v>
      </c>
      <c r="AI1392" s="8">
        <f>IFERROR(R1392-AF1392,"")</f>
        <v>16.794965277782467</v>
      </c>
      <c r="AJ1392" s="8">
        <f>IFERROR(O1392-AF1392,"")</f>
        <v>14.794965277782467</v>
      </c>
      <c r="AK1392" s="38">
        <f t="shared" si="521"/>
        <v>44700.794965277782</v>
      </c>
      <c r="AL1392" t="str">
        <f>IFERROR(Z1392-W1392,"")</f>
        <v/>
      </c>
      <c r="AM1392">
        <f>IFERROR(R1392-J1392,"")</f>
        <v>11</v>
      </c>
      <c r="AN1392">
        <f>IFERROR(V1392-O1392,"")</f>
        <v>1</v>
      </c>
      <c r="AO1392">
        <f>IFERROR(J1392-I1392,"")</f>
        <v>4</v>
      </c>
      <c r="AP1392">
        <f>IFERROR(AC1392-X1392,"")</f>
        <v>0</v>
      </c>
      <c r="AQ1392" t="str">
        <f>IFERROR(AA1392-W1392,"")</f>
        <v/>
      </c>
    </row>
    <row r="1393" spans="1:43" x14ac:dyDescent="0.35">
      <c r="A1393">
        <v>2829</v>
      </c>
      <c r="B1393" t="s">
        <v>4358</v>
      </c>
      <c r="C1393" t="s">
        <v>3854</v>
      </c>
      <c r="D1393" t="str">
        <f t="shared" si="519"/>
        <v>Fundraising</v>
      </c>
      <c r="E1393" t="s">
        <v>4351</v>
      </c>
      <c r="F1393" t="s">
        <v>46</v>
      </c>
      <c r="G1393" t="s">
        <v>4352</v>
      </c>
      <c r="H1393" t="s">
        <v>59</v>
      </c>
      <c r="I1393" s="32">
        <v>44565.055902777778</v>
      </c>
      <c r="J1393" s="32">
        <v>44567.055902777778</v>
      </c>
      <c r="K1393" s="32">
        <v>44571.055902777778</v>
      </c>
      <c r="L1393" s="8">
        <f t="shared" si="520"/>
        <v>6</v>
      </c>
      <c r="M1393" s="7">
        <v>44598.055902777778</v>
      </c>
      <c r="N1393" t="s">
        <v>49</v>
      </c>
      <c r="O1393" s="34">
        <v>44579.055902777778</v>
      </c>
      <c r="P1393" t="s">
        <v>50</v>
      </c>
      <c r="Q1393" t="s">
        <v>51</v>
      </c>
      <c r="R1393" s="32" t="s">
        <v>7472</v>
      </c>
      <c r="S1393" t="s">
        <v>7476</v>
      </c>
      <c r="T1393" s="34" t="s">
        <v>7476</v>
      </c>
      <c r="U1393" s="34" t="s">
        <v>7476</v>
      </c>
      <c r="V1393" s="32" t="s">
        <v>7476</v>
      </c>
      <c r="W1393" s="32" t="s">
        <v>7476</v>
      </c>
      <c r="X1393">
        <v>0</v>
      </c>
      <c r="Y1393" s="34" t="s">
        <v>7476</v>
      </c>
      <c r="Z1393" s="34" t="s">
        <v>7476</v>
      </c>
      <c r="AA1393" s="34" t="s">
        <v>7476</v>
      </c>
      <c r="AB1393" s="36" t="s">
        <v>95</v>
      </c>
      <c r="AD1393" t="s">
        <v>4359</v>
      </c>
      <c r="AE1393" t="s">
        <v>4360</v>
      </c>
      <c r="AF1393" s="16">
        <v>44682</v>
      </c>
      <c r="AG1393" t="s">
        <v>98</v>
      </c>
      <c r="AH1393">
        <v>6</v>
      </c>
      <c r="AI1393" s="8" t="str">
        <f>IFERROR(R1393-AF1393,"")</f>
        <v/>
      </c>
      <c r="AJ1393" s="8">
        <f>IFERROR(O1393-AF1393,"")</f>
        <v>-102.9440972222219</v>
      </c>
      <c r="AK1393" s="38" t="str">
        <f t="shared" si="521"/>
        <v/>
      </c>
      <c r="AL1393" t="str">
        <f>IFERROR(Z1393-W1393,"")</f>
        <v/>
      </c>
      <c r="AM1393" t="str">
        <f>IFERROR(R1393-J1393,"")</f>
        <v/>
      </c>
      <c r="AN1393" t="str">
        <f>IFERROR(V1393-O1393,"")</f>
        <v/>
      </c>
      <c r="AO1393">
        <f>IFERROR(J1393-I1393,"")</f>
        <v>2</v>
      </c>
      <c r="AP1393">
        <f>IFERROR(AC1393-X1393,"")</f>
        <v>0</v>
      </c>
      <c r="AQ1393" t="str">
        <f>IFERROR(AA1393-W1393,"")</f>
        <v/>
      </c>
    </row>
    <row r="1394" spans="1:43" x14ac:dyDescent="0.35">
      <c r="A1394">
        <v>2809</v>
      </c>
      <c r="B1394" t="s">
        <v>4361</v>
      </c>
      <c r="C1394" t="s">
        <v>3864</v>
      </c>
      <c r="D1394" t="str">
        <f t="shared" si="519"/>
        <v>Fundraising</v>
      </c>
      <c r="E1394" t="s">
        <v>4351</v>
      </c>
      <c r="F1394" t="s">
        <v>46</v>
      </c>
      <c r="G1394" t="s">
        <v>4352</v>
      </c>
      <c r="H1394" t="s">
        <v>59</v>
      </c>
      <c r="I1394" s="32">
        <v>45079.778425925928</v>
      </c>
      <c r="J1394" s="32">
        <v>45080.778425925928</v>
      </c>
      <c r="K1394" s="32" t="s">
        <v>7473</v>
      </c>
      <c r="L1394" s="8" t="str">
        <f t="shared" si="520"/>
        <v/>
      </c>
      <c r="M1394" s="7">
        <v>45090.778425925928</v>
      </c>
      <c r="N1394" t="s">
        <v>49</v>
      </c>
      <c r="O1394" s="34">
        <v>45096.778425925928</v>
      </c>
      <c r="P1394" t="s">
        <v>60</v>
      </c>
      <c r="R1394" s="32">
        <v>45102.778425925928</v>
      </c>
      <c r="S1394" t="s">
        <v>61</v>
      </c>
      <c r="T1394" s="34" t="s">
        <v>7476</v>
      </c>
      <c r="U1394" s="34" t="s">
        <v>7476</v>
      </c>
      <c r="V1394" s="32">
        <v>45099.778425925928</v>
      </c>
      <c r="W1394" s="32" t="s">
        <v>7476</v>
      </c>
      <c r="X1394">
        <v>0</v>
      </c>
      <c r="Y1394" s="34" t="s">
        <v>7476</v>
      </c>
      <c r="Z1394" s="34" t="s">
        <v>7476</v>
      </c>
      <c r="AA1394" s="34" t="s">
        <v>7476</v>
      </c>
      <c r="AB1394" s="36" t="s">
        <v>7476</v>
      </c>
      <c r="AD1394" t="s">
        <v>4362</v>
      </c>
      <c r="AE1394" t="s">
        <v>4363</v>
      </c>
      <c r="AF1394" s="16">
        <v>45144</v>
      </c>
      <c r="AG1394" t="s">
        <v>55</v>
      </c>
      <c r="AH1394">
        <v>6</v>
      </c>
      <c r="AK1394" s="38">
        <f t="shared" si="521"/>
        <v>45279.778425925928</v>
      </c>
    </row>
    <row r="1395" spans="1:43" x14ac:dyDescent="0.35">
      <c r="A1395">
        <v>2802</v>
      </c>
      <c r="B1395" t="s">
        <v>4364</v>
      </c>
      <c r="C1395" t="s">
        <v>3864</v>
      </c>
      <c r="D1395" t="str">
        <f t="shared" si="519"/>
        <v>Fundraising</v>
      </c>
      <c r="E1395" t="s">
        <v>4351</v>
      </c>
      <c r="F1395" t="s">
        <v>46</v>
      </c>
      <c r="G1395" t="s">
        <v>4352</v>
      </c>
      <c r="H1395" t="s">
        <v>59</v>
      </c>
      <c r="I1395" s="32">
        <v>45077.778425925928</v>
      </c>
      <c r="J1395" s="32">
        <v>45081.778425925928</v>
      </c>
      <c r="K1395" s="32">
        <v>45085.778425925928</v>
      </c>
      <c r="L1395" s="8">
        <f t="shared" si="520"/>
        <v>8</v>
      </c>
      <c r="M1395" s="7">
        <v>45095.778425925928</v>
      </c>
      <c r="N1395" t="s">
        <v>49</v>
      </c>
      <c r="O1395" s="34">
        <v>45095.778425925928</v>
      </c>
      <c r="P1395" t="s">
        <v>50</v>
      </c>
      <c r="Q1395" t="s">
        <v>236</v>
      </c>
      <c r="R1395" s="32" t="s">
        <v>7472</v>
      </c>
      <c r="S1395" t="s">
        <v>7476</v>
      </c>
      <c r="T1395" s="34" t="s">
        <v>7476</v>
      </c>
      <c r="U1395" s="34" t="s">
        <v>7476</v>
      </c>
      <c r="V1395" s="32" t="s">
        <v>7476</v>
      </c>
      <c r="W1395" s="32" t="s">
        <v>7476</v>
      </c>
      <c r="X1395">
        <v>0</v>
      </c>
      <c r="Y1395" s="34" t="s">
        <v>7476</v>
      </c>
      <c r="Z1395" s="34" t="s">
        <v>7476</v>
      </c>
      <c r="AA1395" s="34" t="s">
        <v>7476</v>
      </c>
      <c r="AB1395" s="36" t="s">
        <v>52</v>
      </c>
      <c r="AD1395" t="s">
        <v>4365</v>
      </c>
      <c r="AE1395" t="s">
        <v>4366</v>
      </c>
      <c r="AF1395" s="16">
        <v>45090</v>
      </c>
      <c r="AG1395" t="s">
        <v>68</v>
      </c>
      <c r="AH1395">
        <v>3</v>
      </c>
      <c r="AI1395" s="8" t="str">
        <f t="shared" ref="AI1395:AI1400" si="554">IFERROR(R1395-AF1395,"")</f>
        <v/>
      </c>
      <c r="AJ1395" s="8">
        <f t="shared" ref="AJ1395:AJ1400" si="555">IFERROR(O1395-AF1395,"")</f>
        <v>5.778425925927877</v>
      </c>
      <c r="AK1395" s="38" t="str">
        <f t="shared" si="521"/>
        <v/>
      </c>
      <c r="AL1395" t="str">
        <f t="shared" ref="AL1395:AL1400" si="556">IFERROR(Z1395-W1395,"")</f>
        <v/>
      </c>
      <c r="AM1395" t="str">
        <f t="shared" ref="AM1395:AM1400" si="557">IFERROR(R1395-J1395,"")</f>
        <v/>
      </c>
      <c r="AN1395" t="str">
        <f t="shared" ref="AN1395:AN1400" si="558">IFERROR(V1395-O1395,"")</f>
        <v/>
      </c>
      <c r="AO1395">
        <f t="shared" ref="AO1395:AO1400" si="559">IFERROR(J1395-I1395,"")</f>
        <v>4</v>
      </c>
      <c r="AP1395">
        <f t="shared" ref="AP1395:AP1400" si="560">IFERROR(AC1395-X1395,"")</f>
        <v>0</v>
      </c>
      <c r="AQ1395" t="str">
        <f t="shared" ref="AQ1395:AQ1400" si="561">IFERROR(AA1395-W1395,"")</f>
        <v/>
      </c>
    </row>
    <row r="1396" spans="1:43" x14ac:dyDescent="0.35">
      <c r="A1396">
        <v>2800</v>
      </c>
      <c r="B1396" t="s">
        <v>4367</v>
      </c>
      <c r="C1396" t="s">
        <v>3854</v>
      </c>
      <c r="D1396" t="str">
        <f t="shared" si="519"/>
        <v>Fundraising</v>
      </c>
      <c r="E1396" t="s">
        <v>4351</v>
      </c>
      <c r="F1396" t="s">
        <v>46</v>
      </c>
      <c r="G1396" t="s">
        <v>4352</v>
      </c>
      <c r="H1396" t="s">
        <v>59</v>
      </c>
      <c r="I1396" s="32">
        <v>45107.834444444437</v>
      </c>
      <c r="J1396" s="32">
        <v>45108.834444444437</v>
      </c>
      <c r="K1396" s="32">
        <v>45109.834444444437</v>
      </c>
      <c r="L1396" s="8">
        <f t="shared" si="520"/>
        <v>2</v>
      </c>
      <c r="M1396" s="7">
        <v>45115.834444444437</v>
      </c>
      <c r="N1396" t="s">
        <v>49</v>
      </c>
      <c r="O1396" s="34">
        <v>45122.834444444437</v>
      </c>
      <c r="P1396" t="s">
        <v>50</v>
      </c>
      <c r="Q1396" t="s">
        <v>84</v>
      </c>
      <c r="R1396" s="32" t="s">
        <v>7472</v>
      </c>
      <c r="S1396" t="s">
        <v>7476</v>
      </c>
      <c r="T1396" s="34" t="s">
        <v>7476</v>
      </c>
      <c r="U1396" s="34" t="s">
        <v>7476</v>
      </c>
      <c r="V1396" s="32">
        <v>45126.834444444437</v>
      </c>
      <c r="W1396" s="32" t="s">
        <v>7476</v>
      </c>
      <c r="X1396">
        <v>0</v>
      </c>
      <c r="Y1396" s="34" t="s">
        <v>7476</v>
      </c>
      <c r="Z1396" s="34" t="s">
        <v>7476</v>
      </c>
      <c r="AA1396" s="34" t="s">
        <v>7476</v>
      </c>
      <c r="AB1396" s="36" t="s">
        <v>52</v>
      </c>
      <c r="AD1396" t="s">
        <v>4368</v>
      </c>
      <c r="AE1396" t="s">
        <v>4369</v>
      </c>
      <c r="AF1396" s="16">
        <v>45106</v>
      </c>
      <c r="AG1396" t="s">
        <v>98</v>
      </c>
      <c r="AH1396">
        <v>6</v>
      </c>
      <c r="AI1396" s="8" t="str">
        <f t="shared" si="554"/>
        <v/>
      </c>
      <c r="AJ1396" s="8">
        <f t="shared" si="555"/>
        <v>16.834444444437395</v>
      </c>
      <c r="AK1396" s="38">
        <f t="shared" si="521"/>
        <v>45306.834444444437</v>
      </c>
      <c r="AL1396" t="str">
        <f t="shared" si="556"/>
        <v/>
      </c>
      <c r="AM1396" t="str">
        <f t="shared" si="557"/>
        <v/>
      </c>
      <c r="AN1396">
        <f t="shared" si="558"/>
        <v>4</v>
      </c>
      <c r="AO1396">
        <f t="shared" si="559"/>
        <v>1</v>
      </c>
      <c r="AP1396">
        <f t="shared" si="560"/>
        <v>0</v>
      </c>
      <c r="AQ1396" t="str">
        <f t="shared" si="561"/>
        <v/>
      </c>
    </row>
    <row r="1397" spans="1:43" x14ac:dyDescent="0.35">
      <c r="A1397">
        <v>2710</v>
      </c>
      <c r="B1397" t="s">
        <v>4370</v>
      </c>
      <c r="C1397" t="s">
        <v>3860</v>
      </c>
      <c r="D1397" t="str">
        <f t="shared" si="519"/>
        <v>Fundraising</v>
      </c>
      <c r="E1397" t="s">
        <v>4351</v>
      </c>
      <c r="F1397" t="s">
        <v>46</v>
      </c>
      <c r="G1397" t="s">
        <v>4352</v>
      </c>
      <c r="H1397" t="s">
        <v>59</v>
      </c>
      <c r="I1397" s="32">
        <v>44828.495787037027</v>
      </c>
      <c r="J1397" s="32">
        <v>44832.495787037027</v>
      </c>
      <c r="K1397" s="32">
        <v>44837.495787037027</v>
      </c>
      <c r="L1397" s="8">
        <f t="shared" si="520"/>
        <v>9</v>
      </c>
      <c r="M1397" s="7">
        <v>44853.495787037027</v>
      </c>
      <c r="N1397" t="s">
        <v>49</v>
      </c>
      <c r="O1397" s="34">
        <v>44842.495787037027</v>
      </c>
      <c r="P1397" t="s">
        <v>60</v>
      </c>
      <c r="R1397" s="32">
        <v>44845.495787037027</v>
      </c>
      <c r="S1397" t="s">
        <v>61</v>
      </c>
      <c r="T1397" s="34" t="s">
        <v>7476</v>
      </c>
      <c r="U1397" s="34" t="s">
        <v>7476</v>
      </c>
      <c r="V1397" s="32">
        <v>44843.495787037027</v>
      </c>
      <c r="W1397" s="32" t="s">
        <v>7476</v>
      </c>
      <c r="X1397">
        <v>0</v>
      </c>
      <c r="Y1397" s="34" t="s">
        <v>7476</v>
      </c>
      <c r="Z1397" s="34" t="s">
        <v>7476</v>
      </c>
      <c r="AA1397" s="34" t="s">
        <v>7476</v>
      </c>
      <c r="AB1397" s="36" t="s">
        <v>7476</v>
      </c>
      <c r="AD1397" t="s">
        <v>4371</v>
      </c>
      <c r="AE1397" t="s">
        <v>4372</v>
      </c>
      <c r="AF1397" s="16">
        <v>44832</v>
      </c>
      <c r="AG1397" t="s">
        <v>68</v>
      </c>
      <c r="AH1397">
        <v>3</v>
      </c>
      <c r="AI1397" s="8">
        <f t="shared" si="554"/>
        <v>13.495787037027185</v>
      </c>
      <c r="AJ1397" s="8">
        <f t="shared" si="555"/>
        <v>10.495787037027185</v>
      </c>
      <c r="AK1397" s="38">
        <f t="shared" si="521"/>
        <v>44933.495787037027</v>
      </c>
      <c r="AL1397" t="str">
        <f t="shared" si="556"/>
        <v/>
      </c>
      <c r="AM1397">
        <f t="shared" si="557"/>
        <v>13</v>
      </c>
      <c r="AN1397">
        <f t="shared" si="558"/>
        <v>1</v>
      </c>
      <c r="AO1397">
        <f t="shared" si="559"/>
        <v>4</v>
      </c>
      <c r="AP1397">
        <f t="shared" si="560"/>
        <v>0</v>
      </c>
      <c r="AQ1397" t="str">
        <f t="shared" si="561"/>
        <v/>
      </c>
    </row>
    <row r="1398" spans="1:43" x14ac:dyDescent="0.35">
      <c r="A1398">
        <v>2708</v>
      </c>
      <c r="B1398" t="s">
        <v>4373</v>
      </c>
      <c r="C1398" t="s">
        <v>3864</v>
      </c>
      <c r="D1398" t="str">
        <f t="shared" si="519"/>
        <v>Fundraising</v>
      </c>
      <c r="E1398" t="s">
        <v>4351</v>
      </c>
      <c r="F1398" t="s">
        <v>46</v>
      </c>
      <c r="G1398" t="s">
        <v>4352</v>
      </c>
      <c r="H1398" t="s">
        <v>59</v>
      </c>
      <c r="I1398" s="32">
        <v>44833.495787037027</v>
      </c>
      <c r="J1398" s="32">
        <v>44834.495787037027</v>
      </c>
      <c r="K1398" s="32">
        <v>44837.495787037027</v>
      </c>
      <c r="L1398" s="8">
        <f t="shared" si="520"/>
        <v>4</v>
      </c>
      <c r="M1398" s="7">
        <v>44857.495787037027</v>
      </c>
      <c r="N1398" t="s">
        <v>49</v>
      </c>
      <c r="O1398" s="34">
        <v>44844.495787037027</v>
      </c>
      <c r="P1398" t="s">
        <v>50</v>
      </c>
      <c r="Q1398" t="s">
        <v>236</v>
      </c>
      <c r="R1398" s="32" t="s">
        <v>7472</v>
      </c>
      <c r="S1398" t="s">
        <v>7476</v>
      </c>
      <c r="T1398" s="34" t="s">
        <v>7476</v>
      </c>
      <c r="U1398" s="34" t="s">
        <v>7476</v>
      </c>
      <c r="V1398" s="32" t="s">
        <v>7476</v>
      </c>
      <c r="W1398" s="32" t="s">
        <v>7476</v>
      </c>
      <c r="X1398">
        <v>0</v>
      </c>
      <c r="Y1398" s="34" t="s">
        <v>7476</v>
      </c>
      <c r="Z1398" s="34" t="s">
        <v>7476</v>
      </c>
      <c r="AA1398" s="34" t="s">
        <v>7476</v>
      </c>
      <c r="AB1398" s="36" t="s">
        <v>52</v>
      </c>
      <c r="AD1398" t="s">
        <v>4374</v>
      </c>
      <c r="AE1398" t="s">
        <v>4375</v>
      </c>
      <c r="AF1398" s="16">
        <v>44835</v>
      </c>
      <c r="AG1398" t="s">
        <v>68</v>
      </c>
      <c r="AH1398">
        <v>3</v>
      </c>
      <c r="AI1398" s="8" t="str">
        <f t="shared" si="554"/>
        <v/>
      </c>
      <c r="AJ1398" s="8">
        <f t="shared" si="555"/>
        <v>9.4957870370271849</v>
      </c>
      <c r="AK1398" s="38" t="str">
        <f t="shared" si="521"/>
        <v/>
      </c>
      <c r="AL1398" t="str">
        <f t="shared" si="556"/>
        <v/>
      </c>
      <c r="AM1398" t="str">
        <f t="shared" si="557"/>
        <v/>
      </c>
      <c r="AN1398" t="str">
        <f t="shared" si="558"/>
        <v/>
      </c>
      <c r="AO1398">
        <f t="shared" si="559"/>
        <v>1</v>
      </c>
      <c r="AP1398">
        <f t="shared" si="560"/>
        <v>0</v>
      </c>
      <c r="AQ1398" t="str">
        <f t="shared" si="561"/>
        <v/>
      </c>
    </row>
    <row r="1399" spans="1:43" x14ac:dyDescent="0.35">
      <c r="A1399">
        <v>2706</v>
      </c>
      <c r="B1399" t="s">
        <v>4376</v>
      </c>
      <c r="C1399" t="s">
        <v>3864</v>
      </c>
      <c r="D1399" t="str">
        <f t="shared" si="519"/>
        <v>Fundraising</v>
      </c>
      <c r="E1399" t="s">
        <v>4351</v>
      </c>
      <c r="F1399" t="s">
        <v>46</v>
      </c>
      <c r="G1399" t="s">
        <v>4352</v>
      </c>
      <c r="H1399" t="s">
        <v>59</v>
      </c>
      <c r="I1399" s="32">
        <v>44829.495787037027</v>
      </c>
      <c r="J1399" s="32">
        <v>44831.495787037027</v>
      </c>
      <c r="K1399" s="32">
        <v>44837.495787037027</v>
      </c>
      <c r="L1399" s="8">
        <f t="shared" si="520"/>
        <v>8</v>
      </c>
      <c r="M1399" s="7">
        <v>44852.495787037027</v>
      </c>
      <c r="N1399" t="s">
        <v>49</v>
      </c>
      <c r="O1399" s="34">
        <v>44850.495787037027</v>
      </c>
      <c r="P1399" t="s">
        <v>50</v>
      </c>
      <c r="Q1399" t="s">
        <v>125</v>
      </c>
      <c r="R1399" s="32" t="s">
        <v>7472</v>
      </c>
      <c r="S1399" t="s">
        <v>7476</v>
      </c>
      <c r="T1399" s="34" t="s">
        <v>7476</v>
      </c>
      <c r="U1399" s="34" t="s">
        <v>7476</v>
      </c>
      <c r="V1399" s="32">
        <v>44854.495787037027</v>
      </c>
      <c r="W1399" s="32" t="s">
        <v>7476</v>
      </c>
      <c r="X1399">
        <v>0</v>
      </c>
      <c r="Y1399" s="34" t="s">
        <v>7476</v>
      </c>
      <c r="Z1399" s="34" t="s">
        <v>7476</v>
      </c>
      <c r="AA1399" s="34" t="s">
        <v>7476</v>
      </c>
      <c r="AB1399" s="36" t="s">
        <v>95</v>
      </c>
      <c r="AD1399" t="s">
        <v>4377</v>
      </c>
      <c r="AE1399" t="s">
        <v>4378</v>
      </c>
      <c r="AF1399" s="16">
        <v>44831</v>
      </c>
      <c r="AG1399" t="s">
        <v>98</v>
      </c>
      <c r="AH1399">
        <v>3</v>
      </c>
      <c r="AI1399" s="8" t="str">
        <f t="shared" si="554"/>
        <v/>
      </c>
      <c r="AJ1399" s="8">
        <f t="shared" si="555"/>
        <v>19.495787037027185</v>
      </c>
      <c r="AK1399" s="38">
        <f t="shared" si="521"/>
        <v>44944.495787037027</v>
      </c>
      <c r="AL1399" t="str">
        <f t="shared" si="556"/>
        <v/>
      </c>
      <c r="AM1399" t="str">
        <f t="shared" si="557"/>
        <v/>
      </c>
      <c r="AN1399">
        <f t="shared" si="558"/>
        <v>4</v>
      </c>
      <c r="AO1399">
        <f t="shared" si="559"/>
        <v>2</v>
      </c>
      <c r="AP1399">
        <f t="shared" si="560"/>
        <v>0</v>
      </c>
      <c r="AQ1399" t="str">
        <f t="shared" si="561"/>
        <v/>
      </c>
    </row>
    <row r="1400" spans="1:43" x14ac:dyDescent="0.35">
      <c r="A1400">
        <v>2621</v>
      </c>
      <c r="B1400" t="s">
        <v>4379</v>
      </c>
      <c r="C1400" t="s">
        <v>3854</v>
      </c>
      <c r="D1400" t="str">
        <f t="shared" si="519"/>
        <v>Fundraising</v>
      </c>
      <c r="E1400" t="s">
        <v>4351</v>
      </c>
      <c r="F1400" t="s">
        <v>46</v>
      </c>
      <c r="G1400" t="s">
        <v>4352</v>
      </c>
      <c r="H1400" t="s">
        <v>59</v>
      </c>
      <c r="I1400" s="32">
        <v>45100.668356481481</v>
      </c>
      <c r="J1400" s="32">
        <v>45101.668356481481</v>
      </c>
      <c r="K1400" s="32">
        <v>45102.668356481481</v>
      </c>
      <c r="L1400" s="8">
        <f t="shared" si="520"/>
        <v>2</v>
      </c>
      <c r="M1400" s="7">
        <v>45113.668356481481</v>
      </c>
      <c r="N1400" t="s">
        <v>49</v>
      </c>
      <c r="O1400" s="34">
        <v>45118.668356481481</v>
      </c>
      <c r="P1400" t="s">
        <v>50</v>
      </c>
      <c r="Q1400" t="s">
        <v>51</v>
      </c>
      <c r="R1400" s="32" t="s">
        <v>7472</v>
      </c>
      <c r="S1400" t="s">
        <v>7476</v>
      </c>
      <c r="T1400" s="34" t="s">
        <v>7476</v>
      </c>
      <c r="U1400" s="34" t="s">
        <v>7476</v>
      </c>
      <c r="V1400" s="32">
        <v>45119.668356481481</v>
      </c>
      <c r="W1400" s="32" t="s">
        <v>7476</v>
      </c>
      <c r="X1400">
        <v>0</v>
      </c>
      <c r="Y1400" s="34" t="s">
        <v>7476</v>
      </c>
      <c r="Z1400" s="34" t="s">
        <v>7476</v>
      </c>
      <c r="AA1400" s="34" t="s">
        <v>7476</v>
      </c>
      <c r="AB1400" s="36" t="s">
        <v>95</v>
      </c>
      <c r="AD1400" t="s">
        <v>4380</v>
      </c>
      <c r="AE1400" t="s">
        <v>4381</v>
      </c>
      <c r="AF1400" s="16">
        <v>45103</v>
      </c>
      <c r="AG1400" t="s">
        <v>98</v>
      </c>
      <c r="AH1400">
        <v>3</v>
      </c>
      <c r="AI1400" s="8" t="str">
        <f t="shared" si="554"/>
        <v/>
      </c>
      <c r="AJ1400" s="8">
        <f t="shared" si="555"/>
        <v>15.668356481481169</v>
      </c>
      <c r="AK1400" s="38">
        <f t="shared" si="521"/>
        <v>45209.668356481481</v>
      </c>
      <c r="AL1400" t="str">
        <f t="shared" si="556"/>
        <v/>
      </c>
      <c r="AM1400" t="str">
        <f t="shared" si="557"/>
        <v/>
      </c>
      <c r="AN1400">
        <f t="shared" si="558"/>
        <v>1</v>
      </c>
      <c r="AO1400">
        <f t="shared" si="559"/>
        <v>1</v>
      </c>
      <c r="AP1400">
        <f t="shared" si="560"/>
        <v>0</v>
      </c>
      <c r="AQ1400" t="str">
        <f t="shared" si="561"/>
        <v/>
      </c>
    </row>
    <row r="1401" spans="1:43" x14ac:dyDescent="0.35">
      <c r="A1401">
        <v>2599</v>
      </c>
      <c r="B1401" t="s">
        <v>4382</v>
      </c>
      <c r="C1401" t="s">
        <v>3860</v>
      </c>
      <c r="D1401" t="str">
        <f t="shared" si="519"/>
        <v>Fundraising</v>
      </c>
      <c r="E1401" t="s">
        <v>4351</v>
      </c>
      <c r="F1401" t="s">
        <v>46</v>
      </c>
      <c r="G1401" t="s">
        <v>4352</v>
      </c>
      <c r="H1401" t="s">
        <v>59</v>
      </c>
      <c r="I1401" s="32" t="s">
        <v>7471</v>
      </c>
      <c r="J1401" s="32">
        <v>44947.403136574067</v>
      </c>
      <c r="K1401" s="32">
        <v>44952.403136574067</v>
      </c>
      <c r="L1401" s="8" t="str">
        <f t="shared" si="520"/>
        <v/>
      </c>
      <c r="M1401" s="7">
        <v>44970.403136574067</v>
      </c>
      <c r="N1401" t="s">
        <v>49</v>
      </c>
      <c r="O1401" s="34">
        <v>44962.403136574067</v>
      </c>
      <c r="P1401" t="s">
        <v>50</v>
      </c>
      <c r="Q1401" t="s">
        <v>125</v>
      </c>
      <c r="R1401" s="32" t="s">
        <v>7472</v>
      </c>
      <c r="S1401" t="s">
        <v>7476</v>
      </c>
      <c r="T1401" s="34" t="s">
        <v>7476</v>
      </c>
      <c r="U1401" s="34" t="s">
        <v>7476</v>
      </c>
      <c r="V1401" s="32">
        <v>44965.403136574067</v>
      </c>
      <c r="W1401" s="32" t="s">
        <v>7476</v>
      </c>
      <c r="X1401">
        <v>0</v>
      </c>
      <c r="Y1401" s="34" t="s">
        <v>7476</v>
      </c>
      <c r="Z1401" s="34" t="s">
        <v>7476</v>
      </c>
      <c r="AA1401" s="34" t="s">
        <v>7476</v>
      </c>
      <c r="AB1401" s="36" t="s">
        <v>95</v>
      </c>
      <c r="AD1401" t="s">
        <v>4383</v>
      </c>
      <c r="AE1401" t="s">
        <v>4384</v>
      </c>
      <c r="AF1401" s="16">
        <v>44955</v>
      </c>
      <c r="AG1401" t="s">
        <v>68</v>
      </c>
      <c r="AH1401">
        <v>3</v>
      </c>
      <c r="AK1401" s="38">
        <f t="shared" si="521"/>
        <v>45055.403136574067</v>
      </c>
    </row>
    <row r="1402" spans="1:43" x14ac:dyDescent="0.35">
      <c r="A1402">
        <v>2596</v>
      </c>
      <c r="B1402" t="s">
        <v>4385</v>
      </c>
      <c r="C1402" t="s">
        <v>3854</v>
      </c>
      <c r="D1402" t="str">
        <f t="shared" si="519"/>
        <v>Fundraising</v>
      </c>
      <c r="E1402" t="s">
        <v>4351</v>
      </c>
      <c r="F1402" t="s">
        <v>46</v>
      </c>
      <c r="G1402" t="s">
        <v>4352</v>
      </c>
      <c r="H1402" t="s">
        <v>59</v>
      </c>
      <c r="I1402" s="32" t="s">
        <v>7471</v>
      </c>
      <c r="J1402" s="32" t="s">
        <v>7471</v>
      </c>
      <c r="K1402" s="32">
        <v>44952.403136574067</v>
      </c>
      <c r="L1402" s="8" t="str">
        <f t="shared" si="520"/>
        <v/>
      </c>
      <c r="M1402" s="7">
        <v>44976.403136574067</v>
      </c>
      <c r="N1402" t="s">
        <v>49</v>
      </c>
      <c r="O1402" s="34">
        <v>44962.403136574067</v>
      </c>
      <c r="P1402" t="s">
        <v>50</v>
      </c>
      <c r="Q1402" t="s">
        <v>198</v>
      </c>
      <c r="R1402" s="32" t="s">
        <v>7472</v>
      </c>
      <c r="S1402" t="s">
        <v>7476</v>
      </c>
      <c r="T1402" s="34" t="s">
        <v>7476</v>
      </c>
      <c r="U1402" s="34" t="s">
        <v>7476</v>
      </c>
      <c r="V1402" s="32" t="s">
        <v>7476</v>
      </c>
      <c r="W1402" s="32" t="s">
        <v>7476</v>
      </c>
      <c r="X1402">
        <v>0</v>
      </c>
      <c r="Y1402" s="34" t="s">
        <v>7476</v>
      </c>
      <c r="Z1402" s="34" t="s">
        <v>7476</v>
      </c>
      <c r="AA1402" s="34" t="s">
        <v>7476</v>
      </c>
      <c r="AB1402" s="36" t="s">
        <v>95</v>
      </c>
      <c r="AD1402" t="s">
        <v>4386</v>
      </c>
      <c r="AE1402" t="s">
        <v>4387</v>
      </c>
      <c r="AF1402" s="16">
        <v>44953</v>
      </c>
      <c r="AG1402" t="s">
        <v>64</v>
      </c>
      <c r="AH1402">
        <v>3</v>
      </c>
      <c r="AK1402" s="38" t="str">
        <f t="shared" si="521"/>
        <v/>
      </c>
    </row>
    <row r="1403" spans="1:43" x14ac:dyDescent="0.35">
      <c r="A1403">
        <v>2594</v>
      </c>
      <c r="B1403" t="s">
        <v>4388</v>
      </c>
      <c r="C1403" t="s">
        <v>3854</v>
      </c>
      <c r="D1403" t="str">
        <f t="shared" si="519"/>
        <v>Fundraising</v>
      </c>
      <c r="E1403" t="s">
        <v>4351</v>
      </c>
      <c r="F1403" t="s">
        <v>46</v>
      </c>
      <c r="G1403" t="s">
        <v>4352</v>
      </c>
      <c r="H1403" t="s">
        <v>59</v>
      </c>
      <c r="I1403" s="32">
        <v>44946.403136574067</v>
      </c>
      <c r="J1403" s="32">
        <v>44947.403136574067</v>
      </c>
      <c r="K1403" s="32" t="s">
        <v>7473</v>
      </c>
      <c r="L1403" s="8" t="str">
        <f t="shared" si="520"/>
        <v/>
      </c>
      <c r="M1403" s="7">
        <v>44975.403136574067</v>
      </c>
      <c r="N1403" t="s">
        <v>49</v>
      </c>
      <c r="O1403" s="34">
        <v>44959.403136574067</v>
      </c>
      <c r="P1403" t="s">
        <v>50</v>
      </c>
      <c r="Q1403" t="s">
        <v>198</v>
      </c>
      <c r="R1403" s="32" t="s">
        <v>7472</v>
      </c>
      <c r="S1403" t="s">
        <v>7476</v>
      </c>
      <c r="T1403" s="34" t="s">
        <v>7476</v>
      </c>
      <c r="U1403" s="34" t="s">
        <v>7476</v>
      </c>
      <c r="V1403" s="32" t="s">
        <v>7476</v>
      </c>
      <c r="W1403" s="32" t="s">
        <v>7476</v>
      </c>
      <c r="X1403">
        <v>0</v>
      </c>
      <c r="Y1403" s="34" t="s">
        <v>7476</v>
      </c>
      <c r="Z1403" s="34" t="s">
        <v>7476</v>
      </c>
      <c r="AA1403" s="34" t="s">
        <v>7476</v>
      </c>
      <c r="AB1403" s="36" t="s">
        <v>95</v>
      </c>
      <c r="AD1403" t="s">
        <v>4389</v>
      </c>
      <c r="AE1403" t="s">
        <v>4390</v>
      </c>
      <c r="AF1403" s="16">
        <v>44951</v>
      </c>
      <c r="AG1403" t="s">
        <v>68</v>
      </c>
      <c r="AH1403">
        <v>6</v>
      </c>
      <c r="AK1403" s="38" t="str">
        <f t="shared" si="521"/>
        <v/>
      </c>
    </row>
    <row r="1404" spans="1:43" x14ac:dyDescent="0.35">
      <c r="A1404">
        <v>2490</v>
      </c>
      <c r="B1404" t="s">
        <v>4391</v>
      </c>
      <c r="C1404" t="s">
        <v>3864</v>
      </c>
      <c r="D1404" t="str">
        <f t="shared" si="519"/>
        <v>Fundraising</v>
      </c>
      <c r="E1404" t="s">
        <v>4351</v>
      </c>
      <c r="F1404" t="s">
        <v>46</v>
      </c>
      <c r="G1404" t="s">
        <v>4352</v>
      </c>
      <c r="H1404" t="s">
        <v>59</v>
      </c>
      <c r="I1404" s="32">
        <v>44971.901273148149</v>
      </c>
      <c r="J1404" s="32">
        <v>44975.901273148149</v>
      </c>
      <c r="K1404" s="32">
        <v>44977.901273148149</v>
      </c>
      <c r="L1404" s="8">
        <f t="shared" si="520"/>
        <v>6</v>
      </c>
      <c r="M1404" s="7">
        <v>45000.901273148149</v>
      </c>
      <c r="N1404" t="s">
        <v>49</v>
      </c>
      <c r="O1404" s="34">
        <v>44991.901273148149</v>
      </c>
      <c r="P1404" t="s">
        <v>50</v>
      </c>
      <c r="Q1404" t="s">
        <v>51</v>
      </c>
      <c r="R1404" s="32" t="s">
        <v>7472</v>
      </c>
      <c r="S1404" t="s">
        <v>7476</v>
      </c>
      <c r="T1404" s="34" t="s">
        <v>7476</v>
      </c>
      <c r="U1404" s="34" t="s">
        <v>7476</v>
      </c>
      <c r="V1404" s="32" t="s">
        <v>7476</v>
      </c>
      <c r="W1404" s="32" t="s">
        <v>7476</v>
      </c>
      <c r="X1404">
        <v>0</v>
      </c>
      <c r="Y1404" s="34" t="s">
        <v>7476</v>
      </c>
      <c r="Z1404" s="34" t="s">
        <v>7476</v>
      </c>
      <c r="AA1404" s="34" t="s">
        <v>7476</v>
      </c>
      <c r="AB1404" s="36" t="s">
        <v>95</v>
      </c>
      <c r="AD1404" t="s">
        <v>4392</v>
      </c>
      <c r="AE1404" t="s">
        <v>4393</v>
      </c>
      <c r="AF1404" s="16">
        <v>44978</v>
      </c>
      <c r="AG1404" t="s">
        <v>98</v>
      </c>
      <c r="AH1404">
        <v>6</v>
      </c>
      <c r="AI1404" s="8" t="str">
        <f t="shared" ref="AI1404:AI1409" si="562">IFERROR(R1404-AF1404,"")</f>
        <v/>
      </c>
      <c r="AJ1404" s="8">
        <f t="shared" ref="AJ1404:AJ1409" si="563">IFERROR(O1404-AF1404,"")</f>
        <v>13.901273148148903</v>
      </c>
      <c r="AK1404" s="38" t="str">
        <f t="shared" si="521"/>
        <v/>
      </c>
      <c r="AL1404" t="str">
        <f t="shared" ref="AL1404:AL1409" si="564">IFERROR(Z1404-W1404,"")</f>
        <v/>
      </c>
      <c r="AM1404" t="str">
        <f t="shared" ref="AM1404:AM1409" si="565">IFERROR(R1404-J1404,"")</f>
        <v/>
      </c>
      <c r="AN1404" t="str">
        <f t="shared" ref="AN1404:AN1409" si="566">IFERROR(V1404-O1404,"")</f>
        <v/>
      </c>
      <c r="AO1404">
        <f t="shared" ref="AO1404:AO1409" si="567">IFERROR(J1404-I1404,"")</f>
        <v>4</v>
      </c>
      <c r="AP1404">
        <f t="shared" ref="AP1404:AP1409" si="568">IFERROR(AC1404-X1404,"")</f>
        <v>0</v>
      </c>
      <c r="AQ1404" t="str">
        <f t="shared" ref="AQ1404:AQ1409" si="569">IFERROR(AA1404-W1404,"")</f>
        <v/>
      </c>
    </row>
    <row r="1405" spans="1:43" x14ac:dyDescent="0.35">
      <c r="A1405">
        <v>2423</v>
      </c>
      <c r="B1405" t="s">
        <v>4394</v>
      </c>
      <c r="C1405" t="s">
        <v>3860</v>
      </c>
      <c r="D1405" t="str">
        <f t="shared" si="519"/>
        <v>Fundraising</v>
      </c>
      <c r="E1405" t="s">
        <v>4351</v>
      </c>
      <c r="F1405" t="s">
        <v>46</v>
      </c>
      <c r="G1405" t="s">
        <v>4352</v>
      </c>
      <c r="H1405" t="s">
        <v>59</v>
      </c>
      <c r="I1405" s="32">
        <v>44836.25509259259</v>
      </c>
      <c r="J1405" s="32">
        <v>44838.25509259259</v>
      </c>
      <c r="K1405" s="32">
        <v>44841.25509259259</v>
      </c>
      <c r="L1405" s="8">
        <f t="shared" si="520"/>
        <v>5</v>
      </c>
      <c r="M1405" s="7">
        <v>44856.25509259259</v>
      </c>
      <c r="N1405" t="s">
        <v>49</v>
      </c>
      <c r="O1405" s="34">
        <v>44847.25509259259</v>
      </c>
      <c r="P1405" t="s">
        <v>60</v>
      </c>
      <c r="R1405" s="32">
        <v>44852.25509259259</v>
      </c>
      <c r="S1405" t="s">
        <v>61</v>
      </c>
      <c r="T1405" s="34" t="s">
        <v>7476</v>
      </c>
      <c r="U1405" s="34" t="s">
        <v>7476</v>
      </c>
      <c r="V1405" s="32">
        <v>44850.25509259259</v>
      </c>
      <c r="W1405" s="32" t="s">
        <v>7476</v>
      </c>
      <c r="X1405">
        <v>0</v>
      </c>
      <c r="Y1405" s="34" t="s">
        <v>7476</v>
      </c>
      <c r="Z1405" s="34" t="s">
        <v>7476</v>
      </c>
      <c r="AA1405" s="34" t="s">
        <v>7476</v>
      </c>
      <c r="AB1405" s="36" t="s">
        <v>7476</v>
      </c>
      <c r="AD1405" t="s">
        <v>4395</v>
      </c>
      <c r="AE1405" t="s">
        <v>4396</v>
      </c>
      <c r="AF1405" s="16">
        <v>44838</v>
      </c>
      <c r="AG1405" t="s">
        <v>98</v>
      </c>
      <c r="AH1405">
        <v>3</v>
      </c>
      <c r="AI1405" s="8">
        <f t="shared" si="562"/>
        <v>14.25509259258979</v>
      </c>
      <c r="AJ1405" s="8">
        <f t="shared" si="563"/>
        <v>9.25509259258979</v>
      </c>
      <c r="AK1405" s="38">
        <f t="shared" si="521"/>
        <v>44940.25509259259</v>
      </c>
      <c r="AL1405" t="str">
        <f t="shared" si="564"/>
        <v/>
      </c>
      <c r="AM1405">
        <f t="shared" si="565"/>
        <v>14</v>
      </c>
      <c r="AN1405">
        <f t="shared" si="566"/>
        <v>3</v>
      </c>
      <c r="AO1405">
        <f t="shared" si="567"/>
        <v>2</v>
      </c>
      <c r="AP1405">
        <f t="shared" si="568"/>
        <v>0</v>
      </c>
      <c r="AQ1405" t="str">
        <f t="shared" si="569"/>
        <v/>
      </c>
    </row>
    <row r="1406" spans="1:43" x14ac:dyDescent="0.35">
      <c r="A1406">
        <v>2104</v>
      </c>
      <c r="B1406" t="s">
        <v>4397</v>
      </c>
      <c r="C1406" t="s">
        <v>3860</v>
      </c>
      <c r="D1406" t="str">
        <f t="shared" si="519"/>
        <v>Fundraising</v>
      </c>
      <c r="E1406" t="s">
        <v>4351</v>
      </c>
      <c r="F1406" t="s">
        <v>46</v>
      </c>
      <c r="G1406" t="s">
        <v>4352</v>
      </c>
      <c r="H1406" t="s">
        <v>59</v>
      </c>
      <c r="I1406" s="32">
        <v>44684.022326388891</v>
      </c>
      <c r="J1406" s="32">
        <v>44686.022326388891</v>
      </c>
      <c r="K1406" s="32">
        <v>44692.022326388891</v>
      </c>
      <c r="L1406" s="8">
        <f t="shared" si="520"/>
        <v>8</v>
      </c>
      <c r="M1406" s="7">
        <v>44711.022326388891</v>
      </c>
      <c r="N1406" t="s">
        <v>49</v>
      </c>
      <c r="O1406" s="34">
        <v>44703.022326388891</v>
      </c>
      <c r="P1406" t="s">
        <v>60</v>
      </c>
      <c r="R1406" s="32">
        <v>44711.022326388891</v>
      </c>
      <c r="S1406" t="s">
        <v>61</v>
      </c>
      <c r="T1406" s="34" t="s">
        <v>7476</v>
      </c>
      <c r="U1406" s="34" t="s">
        <v>7476</v>
      </c>
      <c r="V1406" s="32">
        <v>44707.022326388891</v>
      </c>
      <c r="W1406" s="32" t="s">
        <v>7476</v>
      </c>
      <c r="X1406">
        <v>0</v>
      </c>
      <c r="Y1406" s="34" t="s">
        <v>7476</v>
      </c>
      <c r="Z1406" s="34" t="s">
        <v>7476</v>
      </c>
      <c r="AA1406" s="34" t="s">
        <v>7476</v>
      </c>
      <c r="AB1406" s="36" t="s">
        <v>7476</v>
      </c>
      <c r="AD1406" t="s">
        <v>4398</v>
      </c>
      <c r="AE1406" t="s">
        <v>4399</v>
      </c>
      <c r="AF1406" s="16">
        <v>44697</v>
      </c>
      <c r="AG1406" t="s">
        <v>68</v>
      </c>
      <c r="AH1406">
        <v>3</v>
      </c>
      <c r="AI1406" s="8">
        <f t="shared" si="562"/>
        <v>14.022326388891088</v>
      </c>
      <c r="AJ1406" s="8">
        <f t="shared" si="563"/>
        <v>6.0223263888910878</v>
      </c>
      <c r="AK1406" s="38">
        <f t="shared" si="521"/>
        <v>44797.022326388891</v>
      </c>
      <c r="AL1406" t="str">
        <f t="shared" si="564"/>
        <v/>
      </c>
      <c r="AM1406">
        <f t="shared" si="565"/>
        <v>25</v>
      </c>
      <c r="AN1406">
        <f t="shared" si="566"/>
        <v>4</v>
      </c>
      <c r="AO1406">
        <f t="shared" si="567"/>
        <v>2</v>
      </c>
      <c r="AP1406">
        <f t="shared" si="568"/>
        <v>0</v>
      </c>
      <c r="AQ1406" t="str">
        <f t="shared" si="569"/>
        <v/>
      </c>
    </row>
    <row r="1407" spans="1:43" x14ac:dyDescent="0.35">
      <c r="A1407">
        <v>2098</v>
      </c>
      <c r="B1407" t="s">
        <v>4400</v>
      </c>
      <c r="C1407" t="s">
        <v>3854</v>
      </c>
      <c r="D1407" t="str">
        <f t="shared" si="519"/>
        <v>Fundraising</v>
      </c>
      <c r="E1407" t="s">
        <v>4351</v>
      </c>
      <c r="F1407" t="s">
        <v>46</v>
      </c>
      <c r="G1407" t="s">
        <v>4352</v>
      </c>
      <c r="H1407" t="s">
        <v>59</v>
      </c>
      <c r="I1407" s="32">
        <v>44858.987488425933</v>
      </c>
      <c r="J1407" s="32">
        <v>44862.987488425933</v>
      </c>
      <c r="K1407" s="32">
        <v>44864.987488425933</v>
      </c>
      <c r="L1407" s="8">
        <f t="shared" si="520"/>
        <v>6</v>
      </c>
      <c r="M1407" s="7">
        <v>44878.987488425933</v>
      </c>
      <c r="N1407" t="s">
        <v>49</v>
      </c>
      <c r="O1407" s="34">
        <v>44878.987488425933</v>
      </c>
      <c r="P1407" t="s">
        <v>50</v>
      </c>
      <c r="Q1407" t="s">
        <v>198</v>
      </c>
      <c r="R1407" s="32" t="s">
        <v>7472</v>
      </c>
      <c r="S1407" t="s">
        <v>7476</v>
      </c>
      <c r="T1407" s="34" t="s">
        <v>7476</v>
      </c>
      <c r="U1407" s="34" t="s">
        <v>7476</v>
      </c>
      <c r="V1407" s="32" t="s">
        <v>7476</v>
      </c>
      <c r="W1407" s="32" t="s">
        <v>7476</v>
      </c>
      <c r="X1407">
        <v>0</v>
      </c>
      <c r="Y1407" s="34" t="s">
        <v>7476</v>
      </c>
      <c r="Z1407" s="34" t="s">
        <v>7476</v>
      </c>
      <c r="AA1407" s="34" t="s">
        <v>7476</v>
      </c>
      <c r="AB1407" s="36" t="s">
        <v>95</v>
      </c>
      <c r="AD1407" t="s">
        <v>4401</v>
      </c>
      <c r="AE1407" t="s">
        <v>4402</v>
      </c>
      <c r="AF1407" s="16">
        <v>44863</v>
      </c>
      <c r="AG1407" t="s">
        <v>64</v>
      </c>
      <c r="AH1407">
        <v>3</v>
      </c>
      <c r="AI1407" s="8" t="str">
        <f t="shared" si="562"/>
        <v/>
      </c>
      <c r="AJ1407" s="8">
        <f t="shared" si="563"/>
        <v>15.987488425933407</v>
      </c>
      <c r="AK1407" s="38" t="str">
        <f t="shared" si="521"/>
        <v/>
      </c>
      <c r="AL1407" t="str">
        <f t="shared" si="564"/>
        <v/>
      </c>
      <c r="AM1407" t="str">
        <f t="shared" si="565"/>
        <v/>
      </c>
      <c r="AN1407" t="str">
        <f t="shared" si="566"/>
        <v/>
      </c>
      <c r="AO1407">
        <f t="shared" si="567"/>
        <v>4</v>
      </c>
      <c r="AP1407">
        <f t="shared" si="568"/>
        <v>0</v>
      </c>
      <c r="AQ1407" t="str">
        <f t="shared" si="569"/>
        <v/>
      </c>
    </row>
    <row r="1408" spans="1:43" x14ac:dyDescent="0.35">
      <c r="A1408">
        <v>2091</v>
      </c>
      <c r="B1408" t="s">
        <v>4403</v>
      </c>
      <c r="C1408" t="s">
        <v>3860</v>
      </c>
      <c r="D1408" t="str">
        <f t="shared" si="519"/>
        <v>Fundraising</v>
      </c>
      <c r="E1408" t="s">
        <v>4351</v>
      </c>
      <c r="F1408" t="s">
        <v>46</v>
      </c>
      <c r="G1408" t="s">
        <v>4352</v>
      </c>
      <c r="H1408" t="s">
        <v>59</v>
      </c>
      <c r="I1408" s="32">
        <v>44860.987488425933</v>
      </c>
      <c r="J1408" s="32">
        <v>44863.987488425933</v>
      </c>
      <c r="K1408" s="32">
        <v>44864.987488425933</v>
      </c>
      <c r="L1408" s="8">
        <f t="shared" si="520"/>
        <v>4</v>
      </c>
      <c r="M1408" s="7">
        <v>44876.987488425933</v>
      </c>
      <c r="N1408" t="s">
        <v>49</v>
      </c>
      <c r="O1408" s="34">
        <v>44872.987488425933</v>
      </c>
      <c r="P1408" t="s">
        <v>50</v>
      </c>
      <c r="Q1408" t="s">
        <v>51</v>
      </c>
      <c r="R1408" s="32" t="s">
        <v>7472</v>
      </c>
      <c r="S1408" t="s">
        <v>7476</v>
      </c>
      <c r="T1408" s="34" t="s">
        <v>7476</v>
      </c>
      <c r="U1408" s="34" t="s">
        <v>7476</v>
      </c>
      <c r="V1408" s="32" t="s">
        <v>7476</v>
      </c>
      <c r="W1408" s="32" t="s">
        <v>7476</v>
      </c>
      <c r="X1408">
        <v>0</v>
      </c>
      <c r="Y1408" s="34" t="s">
        <v>7476</v>
      </c>
      <c r="Z1408" s="34" t="s">
        <v>7476</v>
      </c>
      <c r="AA1408" s="34" t="s">
        <v>7476</v>
      </c>
      <c r="AB1408" s="36" t="s">
        <v>95</v>
      </c>
      <c r="AD1408" t="s">
        <v>4404</v>
      </c>
      <c r="AE1408" t="s">
        <v>4405</v>
      </c>
      <c r="AF1408" s="16">
        <v>44862</v>
      </c>
      <c r="AG1408" t="s">
        <v>98</v>
      </c>
      <c r="AH1408">
        <v>3</v>
      </c>
      <c r="AI1408" s="8" t="str">
        <f t="shared" si="562"/>
        <v/>
      </c>
      <c r="AJ1408" s="8">
        <f t="shared" si="563"/>
        <v>10.987488425933407</v>
      </c>
      <c r="AK1408" s="38" t="str">
        <f t="shared" si="521"/>
        <v/>
      </c>
      <c r="AL1408" t="str">
        <f t="shared" si="564"/>
        <v/>
      </c>
      <c r="AM1408" t="str">
        <f t="shared" si="565"/>
        <v/>
      </c>
      <c r="AN1408" t="str">
        <f t="shared" si="566"/>
        <v/>
      </c>
      <c r="AO1408">
        <f t="shared" si="567"/>
        <v>3</v>
      </c>
      <c r="AP1408">
        <f t="shared" si="568"/>
        <v>0</v>
      </c>
      <c r="AQ1408" t="str">
        <f t="shared" si="569"/>
        <v/>
      </c>
    </row>
    <row r="1409" spans="1:43" x14ac:dyDescent="0.35">
      <c r="A1409">
        <v>2032</v>
      </c>
      <c r="B1409" t="s">
        <v>4406</v>
      </c>
      <c r="C1409" t="s">
        <v>3864</v>
      </c>
      <c r="D1409" t="str">
        <f t="shared" si="519"/>
        <v>Fundraising</v>
      </c>
      <c r="E1409" t="s">
        <v>4351</v>
      </c>
      <c r="F1409" t="s">
        <v>46</v>
      </c>
      <c r="G1409" t="s">
        <v>4352</v>
      </c>
      <c r="H1409" t="s">
        <v>59</v>
      </c>
      <c r="I1409" s="32">
        <v>44648.861122685194</v>
      </c>
      <c r="J1409" s="32">
        <v>44651.861122685194</v>
      </c>
      <c r="K1409" s="32">
        <v>44652.861122685194</v>
      </c>
      <c r="L1409" s="8">
        <f t="shared" si="520"/>
        <v>4</v>
      </c>
      <c r="M1409" s="7">
        <v>44664.861122685194</v>
      </c>
      <c r="N1409" t="s">
        <v>49</v>
      </c>
      <c r="O1409" s="34">
        <v>44667.861122685194</v>
      </c>
      <c r="P1409" t="s">
        <v>50</v>
      </c>
      <c r="Q1409" t="s">
        <v>125</v>
      </c>
      <c r="R1409" s="32" t="s">
        <v>7472</v>
      </c>
      <c r="S1409" t="s">
        <v>7476</v>
      </c>
      <c r="T1409" s="34" t="s">
        <v>7476</v>
      </c>
      <c r="U1409" s="34" t="s">
        <v>7476</v>
      </c>
      <c r="V1409" s="32">
        <v>44669.861122685194</v>
      </c>
      <c r="W1409" s="32" t="s">
        <v>7476</v>
      </c>
      <c r="X1409">
        <v>0</v>
      </c>
      <c r="Y1409" s="34" t="s">
        <v>7476</v>
      </c>
      <c r="Z1409" s="34" t="s">
        <v>7476</v>
      </c>
      <c r="AA1409" s="34" t="s">
        <v>7476</v>
      </c>
      <c r="AB1409" s="36" t="s">
        <v>95</v>
      </c>
      <c r="AD1409" t="s">
        <v>4407</v>
      </c>
      <c r="AE1409" t="s">
        <v>4408</v>
      </c>
      <c r="AF1409" s="16">
        <v>44654</v>
      </c>
      <c r="AG1409" t="s">
        <v>68</v>
      </c>
      <c r="AH1409">
        <v>3</v>
      </c>
      <c r="AI1409" s="8" t="str">
        <f t="shared" si="562"/>
        <v/>
      </c>
      <c r="AJ1409" s="8">
        <f t="shared" si="563"/>
        <v>13.86112268519355</v>
      </c>
      <c r="AK1409" s="38">
        <f t="shared" si="521"/>
        <v>44759.861122685194</v>
      </c>
      <c r="AL1409" t="str">
        <f t="shared" si="564"/>
        <v/>
      </c>
      <c r="AM1409" t="str">
        <f t="shared" si="565"/>
        <v/>
      </c>
      <c r="AN1409">
        <f t="shared" si="566"/>
        <v>2</v>
      </c>
      <c r="AO1409">
        <f t="shared" si="567"/>
        <v>3</v>
      </c>
      <c r="AP1409">
        <f t="shared" si="568"/>
        <v>0</v>
      </c>
      <c r="AQ1409" t="str">
        <f t="shared" si="569"/>
        <v/>
      </c>
    </row>
    <row r="1410" spans="1:43" x14ac:dyDescent="0.35">
      <c r="A1410">
        <v>2031</v>
      </c>
      <c r="B1410" t="s">
        <v>4409</v>
      </c>
      <c r="C1410" t="s">
        <v>3864</v>
      </c>
      <c r="D1410" t="str">
        <f t="shared" ref="D1410:D1473" si="570">TRIM(C1410)</f>
        <v>Fundraising</v>
      </c>
      <c r="E1410" t="s">
        <v>4351</v>
      </c>
      <c r="F1410" t="s">
        <v>46</v>
      </c>
      <c r="G1410" t="s">
        <v>4352</v>
      </c>
      <c r="H1410" t="s">
        <v>59</v>
      </c>
      <c r="I1410" s="32" t="s">
        <v>7471</v>
      </c>
      <c r="J1410" s="32">
        <v>44648.861122685194</v>
      </c>
      <c r="K1410" s="32">
        <v>44652.861122685194</v>
      </c>
      <c r="L1410" s="8" t="str">
        <f t="shared" ref="L1410:L1473" si="571">IFERROR(K1410-I1410,"")</f>
        <v/>
      </c>
      <c r="M1410" s="7">
        <v>44659.861122685194</v>
      </c>
      <c r="N1410" t="s">
        <v>49</v>
      </c>
      <c r="O1410" s="34">
        <v>44657.861122685194</v>
      </c>
      <c r="P1410" t="s">
        <v>392</v>
      </c>
      <c r="R1410" s="32">
        <v>44662.861122685194</v>
      </c>
      <c r="S1410" t="s">
        <v>392</v>
      </c>
      <c r="T1410" s="34" t="s">
        <v>7476</v>
      </c>
      <c r="U1410" s="34" t="s">
        <v>7476</v>
      </c>
      <c r="V1410" s="32">
        <v>44658.861122685194</v>
      </c>
      <c r="W1410" s="32" t="s">
        <v>7476</v>
      </c>
      <c r="X1410">
        <v>0</v>
      </c>
      <c r="Y1410" s="34" t="s">
        <v>7476</v>
      </c>
      <c r="Z1410" s="34" t="s">
        <v>7476</v>
      </c>
      <c r="AA1410" s="34" t="s">
        <v>7476</v>
      </c>
      <c r="AB1410" s="36" t="s">
        <v>7476</v>
      </c>
      <c r="AD1410" t="s">
        <v>4410</v>
      </c>
      <c r="AE1410" t="s">
        <v>4411</v>
      </c>
      <c r="AF1410" s="16">
        <v>44638</v>
      </c>
      <c r="AG1410" t="s">
        <v>98</v>
      </c>
      <c r="AH1410">
        <v>3</v>
      </c>
      <c r="AK1410" s="38">
        <f t="shared" si="521"/>
        <v>44748.861122685194</v>
      </c>
    </row>
    <row r="1411" spans="1:43" x14ac:dyDescent="0.35">
      <c r="A1411">
        <v>1934</v>
      </c>
      <c r="B1411" t="s">
        <v>4412</v>
      </c>
      <c r="C1411" t="s">
        <v>3854</v>
      </c>
      <c r="D1411" t="str">
        <f t="shared" si="570"/>
        <v>Fundraising</v>
      </c>
      <c r="E1411" t="s">
        <v>4351</v>
      </c>
      <c r="F1411" t="s">
        <v>2314</v>
      </c>
      <c r="G1411" t="s">
        <v>4413</v>
      </c>
      <c r="H1411" t="s">
        <v>59</v>
      </c>
      <c r="I1411" s="32">
        <v>45177.30609953704</v>
      </c>
      <c r="J1411" s="32">
        <v>45178.30609953704</v>
      </c>
      <c r="K1411" s="32">
        <v>45184.30609953704</v>
      </c>
      <c r="L1411" s="8">
        <f t="shared" si="571"/>
        <v>7</v>
      </c>
      <c r="M1411" s="7">
        <v>45201.30609953704</v>
      </c>
      <c r="N1411" t="s">
        <v>49</v>
      </c>
      <c r="O1411" s="34">
        <v>45194.30609953704</v>
      </c>
      <c r="P1411" t="s">
        <v>60</v>
      </c>
      <c r="R1411" s="32">
        <v>45199.30609953704</v>
      </c>
      <c r="S1411" t="s">
        <v>61</v>
      </c>
      <c r="T1411" s="34" t="s">
        <v>7476</v>
      </c>
      <c r="U1411" s="34" t="s">
        <v>7476</v>
      </c>
      <c r="V1411" s="32">
        <v>45198.30609953704</v>
      </c>
      <c r="W1411" s="32" t="s">
        <v>7476</v>
      </c>
      <c r="X1411">
        <v>0</v>
      </c>
      <c r="Y1411" s="34" t="s">
        <v>7476</v>
      </c>
      <c r="Z1411" s="34" t="s">
        <v>7476</v>
      </c>
      <c r="AA1411" s="34" t="s">
        <v>7476</v>
      </c>
      <c r="AB1411" s="36" t="s">
        <v>7476</v>
      </c>
      <c r="AD1411" t="s">
        <v>4414</v>
      </c>
      <c r="AE1411" t="s">
        <v>4415</v>
      </c>
      <c r="AF1411" s="16">
        <v>45179</v>
      </c>
      <c r="AG1411" t="s">
        <v>64</v>
      </c>
      <c r="AH1411">
        <v>3</v>
      </c>
      <c r="AI1411" s="8">
        <f>IFERROR(R1411-AF1411,"")</f>
        <v>20.306099537039699</v>
      </c>
      <c r="AJ1411" s="8">
        <f>IFERROR(O1411-AF1411,"")</f>
        <v>15.306099537039699</v>
      </c>
      <c r="AK1411" s="38">
        <f t="shared" ref="AK1411:AK1474" si="572">IFERROR(V1411+(AH1411*30),"")</f>
        <v>45288.30609953704</v>
      </c>
      <c r="AL1411" t="str">
        <f>IFERROR(Z1411-W1411,"")</f>
        <v/>
      </c>
      <c r="AM1411">
        <f>IFERROR(R1411-J1411,"")</f>
        <v>21</v>
      </c>
      <c r="AN1411">
        <f>IFERROR(V1411-O1411,"")</f>
        <v>4</v>
      </c>
      <c r="AO1411">
        <f>IFERROR(J1411-I1411,"")</f>
        <v>1</v>
      </c>
      <c r="AP1411">
        <f>IFERROR(AC1411-X1411,"")</f>
        <v>0</v>
      </c>
      <c r="AQ1411" t="str">
        <f>IFERROR(AA1411-W1411,"")</f>
        <v/>
      </c>
    </row>
    <row r="1412" spans="1:43" x14ac:dyDescent="0.35">
      <c r="A1412">
        <v>1878</v>
      </c>
      <c r="B1412" t="s">
        <v>4416</v>
      </c>
      <c r="C1412" t="s">
        <v>3860</v>
      </c>
      <c r="D1412" t="str">
        <f t="shared" si="570"/>
        <v>Fundraising</v>
      </c>
      <c r="E1412" t="s">
        <v>4351</v>
      </c>
      <c r="F1412" t="s">
        <v>2314</v>
      </c>
      <c r="G1412" t="s">
        <v>4413</v>
      </c>
      <c r="H1412" t="s">
        <v>59</v>
      </c>
      <c r="I1412" s="32">
        <v>44579.732974537037</v>
      </c>
      <c r="J1412" s="32">
        <v>44580.732974537037</v>
      </c>
      <c r="K1412" s="32">
        <v>44581.732974537037</v>
      </c>
      <c r="L1412" s="8">
        <f t="shared" si="571"/>
        <v>2</v>
      </c>
      <c r="M1412" s="7">
        <v>44590.732974537037</v>
      </c>
      <c r="N1412" t="s">
        <v>49</v>
      </c>
      <c r="O1412" s="34">
        <v>44594.732974537037</v>
      </c>
      <c r="P1412" t="s">
        <v>50</v>
      </c>
      <c r="Q1412" t="s">
        <v>236</v>
      </c>
      <c r="R1412" s="32" t="s">
        <v>7472</v>
      </c>
      <c r="S1412" t="s">
        <v>7476</v>
      </c>
      <c r="T1412" s="34" t="s">
        <v>7476</v>
      </c>
      <c r="U1412" s="34" t="s">
        <v>7476</v>
      </c>
      <c r="V1412" s="32" t="s">
        <v>7476</v>
      </c>
      <c r="W1412" s="32" t="s">
        <v>7476</v>
      </c>
      <c r="X1412">
        <v>0</v>
      </c>
      <c r="Y1412" s="34" t="s">
        <v>7476</v>
      </c>
      <c r="Z1412" s="34" t="s">
        <v>7476</v>
      </c>
      <c r="AA1412" s="34" t="s">
        <v>7476</v>
      </c>
      <c r="AB1412" s="36" t="s">
        <v>52</v>
      </c>
      <c r="AD1412" t="s">
        <v>4417</v>
      </c>
      <c r="AE1412" t="s">
        <v>4418</v>
      </c>
      <c r="AF1412" s="16">
        <v>44577</v>
      </c>
      <c r="AG1412" t="s">
        <v>68</v>
      </c>
      <c r="AH1412">
        <v>3</v>
      </c>
      <c r="AI1412" s="8" t="str">
        <f>IFERROR(R1412-AF1412,"")</f>
        <v/>
      </c>
      <c r="AJ1412" s="8">
        <f>IFERROR(O1412-AF1412,"")</f>
        <v>17.73297453703708</v>
      </c>
      <c r="AK1412" s="38" t="str">
        <f t="shared" si="572"/>
        <v/>
      </c>
      <c r="AL1412" t="str">
        <f>IFERROR(Z1412-W1412,"")</f>
        <v/>
      </c>
      <c r="AM1412" t="str">
        <f>IFERROR(R1412-J1412,"")</f>
        <v/>
      </c>
      <c r="AN1412" t="str">
        <f>IFERROR(V1412-O1412,"")</f>
        <v/>
      </c>
      <c r="AO1412">
        <f>IFERROR(J1412-I1412,"")</f>
        <v>1</v>
      </c>
      <c r="AP1412">
        <f>IFERROR(AC1412-X1412,"")</f>
        <v>0</v>
      </c>
      <c r="AQ1412" t="str">
        <f>IFERROR(AA1412-W1412,"")</f>
        <v/>
      </c>
    </row>
    <row r="1413" spans="1:43" x14ac:dyDescent="0.35">
      <c r="A1413">
        <v>1715</v>
      </c>
      <c r="B1413" t="s">
        <v>4419</v>
      </c>
      <c r="C1413" t="s">
        <v>3860</v>
      </c>
      <c r="D1413" t="str">
        <f t="shared" si="570"/>
        <v>Fundraising</v>
      </c>
      <c r="E1413" t="s">
        <v>4351</v>
      </c>
      <c r="F1413" t="s">
        <v>2314</v>
      </c>
      <c r="G1413" t="s">
        <v>4413</v>
      </c>
      <c r="H1413" t="s">
        <v>59</v>
      </c>
      <c r="I1413" s="32">
        <v>44563.077685185177</v>
      </c>
      <c r="J1413" s="32">
        <v>44567.077685185177</v>
      </c>
      <c r="K1413" s="32">
        <v>44568.077685185177</v>
      </c>
      <c r="L1413" s="8">
        <f t="shared" si="571"/>
        <v>5</v>
      </c>
      <c r="M1413" s="7">
        <v>44594.077685185177</v>
      </c>
      <c r="N1413" t="s">
        <v>49</v>
      </c>
      <c r="O1413" s="34">
        <v>44572.077685185177</v>
      </c>
      <c r="P1413" t="s">
        <v>50</v>
      </c>
      <c r="Q1413" t="s">
        <v>51</v>
      </c>
      <c r="R1413" s="32" t="s">
        <v>7472</v>
      </c>
      <c r="S1413" t="s">
        <v>7476</v>
      </c>
      <c r="T1413" s="34" t="s">
        <v>7476</v>
      </c>
      <c r="U1413" s="34" t="s">
        <v>7476</v>
      </c>
      <c r="V1413" s="32">
        <v>44574.077685185177</v>
      </c>
      <c r="W1413" s="32" t="s">
        <v>7476</v>
      </c>
      <c r="X1413">
        <v>0</v>
      </c>
      <c r="Y1413" s="34" t="s">
        <v>7476</v>
      </c>
      <c r="Z1413" s="34" t="s">
        <v>7476</v>
      </c>
      <c r="AA1413" s="34" t="s">
        <v>7476</v>
      </c>
      <c r="AB1413" s="36" t="s">
        <v>52</v>
      </c>
      <c r="AD1413" t="s">
        <v>4420</v>
      </c>
      <c r="AE1413" t="s">
        <v>4421</v>
      </c>
      <c r="AF1413" s="16">
        <v>44560</v>
      </c>
      <c r="AG1413" t="s">
        <v>64</v>
      </c>
      <c r="AH1413">
        <v>3</v>
      </c>
      <c r="AI1413" s="8" t="str">
        <f>IFERROR(R1413-AF1413,"")</f>
        <v/>
      </c>
      <c r="AJ1413" s="8">
        <f>IFERROR(O1413-AF1413,"")</f>
        <v>12.077685185176961</v>
      </c>
      <c r="AK1413" s="38">
        <f t="shared" si="572"/>
        <v>44664.077685185177</v>
      </c>
      <c r="AL1413" t="str">
        <f>IFERROR(Z1413-W1413,"")</f>
        <v/>
      </c>
      <c r="AM1413" t="str">
        <f>IFERROR(R1413-J1413,"")</f>
        <v/>
      </c>
      <c r="AN1413">
        <f>IFERROR(V1413-O1413,"")</f>
        <v>2</v>
      </c>
      <c r="AO1413">
        <f>IFERROR(J1413-I1413,"")</f>
        <v>4</v>
      </c>
      <c r="AP1413">
        <f>IFERROR(AC1413-X1413,"")</f>
        <v>0</v>
      </c>
      <c r="AQ1413" t="str">
        <f>IFERROR(AA1413-W1413,"")</f>
        <v/>
      </c>
    </row>
    <row r="1414" spans="1:43" x14ac:dyDescent="0.35">
      <c r="A1414">
        <v>1696</v>
      </c>
      <c r="B1414" t="s">
        <v>4422</v>
      </c>
      <c r="C1414" t="s">
        <v>3860</v>
      </c>
      <c r="D1414" t="str">
        <f t="shared" si="570"/>
        <v>Fundraising</v>
      </c>
      <c r="E1414" t="s">
        <v>4351</v>
      </c>
      <c r="F1414" t="s">
        <v>2314</v>
      </c>
      <c r="G1414" t="s">
        <v>4413</v>
      </c>
      <c r="H1414" t="s">
        <v>59</v>
      </c>
      <c r="I1414" s="32">
        <v>44985.764687499999</v>
      </c>
      <c r="J1414" s="32">
        <v>44987.764687499999</v>
      </c>
      <c r="K1414" s="32">
        <v>44989.764687499999</v>
      </c>
      <c r="L1414" s="8">
        <f t="shared" si="571"/>
        <v>4</v>
      </c>
      <c r="M1414" s="7">
        <v>44997.764687499999</v>
      </c>
      <c r="N1414" t="s">
        <v>49</v>
      </c>
      <c r="O1414" s="34">
        <v>45005.764687499999</v>
      </c>
      <c r="P1414" t="s">
        <v>50</v>
      </c>
      <c r="Q1414" t="s">
        <v>51</v>
      </c>
      <c r="R1414" s="32" t="s">
        <v>7472</v>
      </c>
      <c r="S1414" t="s">
        <v>7476</v>
      </c>
      <c r="T1414" s="34" t="s">
        <v>7476</v>
      </c>
      <c r="U1414" s="34" t="s">
        <v>7476</v>
      </c>
      <c r="V1414" s="32" t="s">
        <v>7476</v>
      </c>
      <c r="W1414" s="32" t="s">
        <v>7476</v>
      </c>
      <c r="X1414">
        <v>0</v>
      </c>
      <c r="Y1414" s="34" t="s">
        <v>7476</v>
      </c>
      <c r="Z1414" s="34" t="s">
        <v>7476</v>
      </c>
      <c r="AA1414" s="34" t="s">
        <v>7476</v>
      </c>
      <c r="AB1414" s="36" t="s">
        <v>95</v>
      </c>
      <c r="AD1414" t="s">
        <v>4423</v>
      </c>
      <c r="AE1414" t="s">
        <v>4424</v>
      </c>
      <c r="AF1414" s="16">
        <v>45233</v>
      </c>
      <c r="AG1414" t="s">
        <v>68</v>
      </c>
      <c r="AH1414">
        <v>3</v>
      </c>
      <c r="AI1414" s="8" t="str">
        <f>IFERROR(R1414-AF1414,"")</f>
        <v/>
      </c>
      <c r="AJ1414" s="8">
        <f>IFERROR(O1414-AF1414,"")</f>
        <v>-227.23531250000087</v>
      </c>
      <c r="AK1414" s="38" t="str">
        <f t="shared" si="572"/>
        <v/>
      </c>
      <c r="AL1414" t="str">
        <f>IFERROR(Z1414-W1414,"")</f>
        <v/>
      </c>
      <c r="AM1414" t="str">
        <f>IFERROR(R1414-J1414,"")</f>
        <v/>
      </c>
      <c r="AN1414" t="str">
        <f>IFERROR(V1414-O1414,"")</f>
        <v/>
      </c>
      <c r="AO1414">
        <f>IFERROR(J1414-I1414,"")</f>
        <v>2</v>
      </c>
      <c r="AP1414">
        <f>IFERROR(AC1414-X1414,"")</f>
        <v>0</v>
      </c>
      <c r="AQ1414" t="str">
        <f>IFERROR(AA1414-W1414,"")</f>
        <v/>
      </c>
    </row>
    <row r="1415" spans="1:43" x14ac:dyDescent="0.35">
      <c r="A1415">
        <v>1695</v>
      </c>
      <c r="B1415" t="s">
        <v>4425</v>
      </c>
      <c r="C1415" t="s">
        <v>3854</v>
      </c>
      <c r="D1415" t="str">
        <f t="shared" si="570"/>
        <v>Fundraising</v>
      </c>
      <c r="E1415" t="s">
        <v>4351</v>
      </c>
      <c r="F1415" t="s">
        <v>2314</v>
      </c>
      <c r="G1415" t="s">
        <v>4413</v>
      </c>
      <c r="H1415" t="s">
        <v>59</v>
      </c>
      <c r="I1415" s="32">
        <v>44981.764687499999</v>
      </c>
      <c r="J1415" s="32">
        <v>44983.764687499999</v>
      </c>
      <c r="K1415" s="32">
        <v>44989.764687499999</v>
      </c>
      <c r="L1415" s="8">
        <f t="shared" si="571"/>
        <v>8</v>
      </c>
      <c r="M1415" s="7">
        <v>45009.764687499999</v>
      </c>
      <c r="N1415" t="s">
        <v>49</v>
      </c>
      <c r="O1415" s="34">
        <v>45001.764687499999</v>
      </c>
      <c r="P1415" t="s">
        <v>50</v>
      </c>
      <c r="Q1415" t="s">
        <v>84</v>
      </c>
      <c r="R1415" s="32" t="s">
        <v>7472</v>
      </c>
      <c r="S1415" t="s">
        <v>7476</v>
      </c>
      <c r="T1415" s="34" t="s">
        <v>7476</v>
      </c>
      <c r="U1415" s="34" t="s">
        <v>7476</v>
      </c>
      <c r="V1415" s="32" t="s">
        <v>7476</v>
      </c>
      <c r="W1415" s="32" t="s">
        <v>7476</v>
      </c>
      <c r="X1415">
        <v>0</v>
      </c>
      <c r="Y1415" s="34" t="s">
        <v>7476</v>
      </c>
      <c r="Z1415" s="34" t="s">
        <v>7476</v>
      </c>
      <c r="AA1415" s="34" t="s">
        <v>7476</v>
      </c>
      <c r="AB1415" s="36" t="s">
        <v>95</v>
      </c>
      <c r="AD1415" t="s">
        <v>4426</v>
      </c>
      <c r="AE1415" t="s">
        <v>4427</v>
      </c>
      <c r="AF1415" s="16">
        <v>44987</v>
      </c>
      <c r="AG1415" t="s">
        <v>64</v>
      </c>
      <c r="AH1415">
        <v>6</v>
      </c>
      <c r="AI1415" s="8" t="str">
        <f>IFERROR(R1415-AF1415,"")</f>
        <v/>
      </c>
      <c r="AJ1415" s="8">
        <f>IFERROR(O1415-AF1415,"")</f>
        <v>14.764687499999127</v>
      </c>
      <c r="AK1415" s="38" t="str">
        <f t="shared" si="572"/>
        <v/>
      </c>
      <c r="AL1415" t="str">
        <f>IFERROR(Z1415-W1415,"")</f>
        <v/>
      </c>
      <c r="AM1415" t="str">
        <f>IFERROR(R1415-J1415,"")</f>
        <v/>
      </c>
      <c r="AN1415" t="str">
        <f>IFERROR(V1415-O1415,"")</f>
        <v/>
      </c>
      <c r="AO1415">
        <f>IFERROR(J1415-I1415,"")</f>
        <v>2</v>
      </c>
      <c r="AP1415">
        <f>IFERROR(AC1415-X1415,"")</f>
        <v>0</v>
      </c>
      <c r="AQ1415" t="str">
        <f>IFERROR(AA1415-W1415,"")</f>
        <v/>
      </c>
    </row>
    <row r="1416" spans="1:43" x14ac:dyDescent="0.35">
      <c r="A1416">
        <v>1555</v>
      </c>
      <c r="B1416" t="s">
        <v>4428</v>
      </c>
      <c r="C1416" t="s">
        <v>3864</v>
      </c>
      <c r="D1416" t="str">
        <f t="shared" si="570"/>
        <v>Fundraising</v>
      </c>
      <c r="E1416" t="s">
        <v>4351</v>
      </c>
      <c r="F1416" t="s">
        <v>2314</v>
      </c>
      <c r="G1416" t="s">
        <v>4413</v>
      </c>
      <c r="H1416" t="s">
        <v>59</v>
      </c>
      <c r="I1416" s="32" t="s">
        <v>7471</v>
      </c>
      <c r="J1416" s="32">
        <v>44901.597222222219</v>
      </c>
      <c r="K1416" s="32">
        <v>44907.597222222219</v>
      </c>
      <c r="L1416" s="8" t="str">
        <f t="shared" si="571"/>
        <v/>
      </c>
      <c r="M1416" s="7">
        <v>44916.597222222219</v>
      </c>
      <c r="N1416" t="s">
        <v>49</v>
      </c>
      <c r="O1416" s="34">
        <v>44913.597222222219</v>
      </c>
      <c r="P1416" t="s">
        <v>50</v>
      </c>
      <c r="Q1416" t="s">
        <v>51</v>
      </c>
      <c r="R1416" s="32" t="s">
        <v>7472</v>
      </c>
      <c r="S1416" t="s">
        <v>7476</v>
      </c>
      <c r="T1416" s="34" t="s">
        <v>7476</v>
      </c>
      <c r="U1416" s="34" t="s">
        <v>7476</v>
      </c>
      <c r="V1416" s="32">
        <v>44915.597222222219</v>
      </c>
      <c r="W1416" s="32" t="s">
        <v>7476</v>
      </c>
      <c r="X1416">
        <v>0</v>
      </c>
      <c r="Y1416" s="34" t="s">
        <v>7476</v>
      </c>
      <c r="Z1416" s="34" t="s">
        <v>7476</v>
      </c>
      <c r="AA1416" s="34" t="s">
        <v>7476</v>
      </c>
      <c r="AB1416" s="36" t="s">
        <v>52</v>
      </c>
      <c r="AD1416" t="s">
        <v>4429</v>
      </c>
      <c r="AE1416" t="s">
        <v>4430</v>
      </c>
      <c r="AF1416" s="16">
        <v>44898</v>
      </c>
      <c r="AG1416" t="s">
        <v>64</v>
      </c>
      <c r="AH1416">
        <v>3</v>
      </c>
      <c r="AK1416" s="38">
        <f t="shared" si="572"/>
        <v>45005.597222222219</v>
      </c>
    </row>
    <row r="1417" spans="1:43" x14ac:dyDescent="0.35">
      <c r="A1417">
        <v>1358</v>
      </c>
      <c r="B1417" t="s">
        <v>4431</v>
      </c>
      <c r="C1417" t="s">
        <v>3864</v>
      </c>
      <c r="D1417" t="str">
        <f t="shared" si="570"/>
        <v>Fundraising</v>
      </c>
      <c r="E1417" t="s">
        <v>4351</v>
      </c>
      <c r="F1417" t="s">
        <v>2314</v>
      </c>
      <c r="G1417" t="s">
        <v>4413</v>
      </c>
      <c r="H1417" t="s">
        <v>59</v>
      </c>
      <c r="I1417" s="32" t="s">
        <v>7471</v>
      </c>
      <c r="J1417" s="32">
        <v>44768.055451388893</v>
      </c>
      <c r="K1417" s="32">
        <v>44771.055451388893</v>
      </c>
      <c r="L1417" s="8" t="str">
        <f t="shared" si="571"/>
        <v/>
      </c>
      <c r="M1417" s="7">
        <v>44776.055451388893</v>
      </c>
      <c r="N1417" t="s">
        <v>49</v>
      </c>
      <c r="O1417" s="34">
        <v>44786.055451388893</v>
      </c>
      <c r="P1417" t="s">
        <v>50</v>
      </c>
      <c r="Q1417" t="s">
        <v>84</v>
      </c>
      <c r="R1417" s="32" t="s">
        <v>7472</v>
      </c>
      <c r="S1417" t="s">
        <v>7476</v>
      </c>
      <c r="T1417" s="34" t="s">
        <v>7476</v>
      </c>
      <c r="U1417" s="34" t="s">
        <v>7476</v>
      </c>
      <c r="V1417" s="32">
        <v>44788.055451388893</v>
      </c>
      <c r="W1417" s="32" t="s">
        <v>7476</v>
      </c>
      <c r="X1417">
        <v>0</v>
      </c>
      <c r="Y1417" s="34" t="s">
        <v>7476</v>
      </c>
      <c r="Z1417" s="34" t="s">
        <v>7476</v>
      </c>
      <c r="AA1417" s="34" t="s">
        <v>7476</v>
      </c>
      <c r="AB1417" s="36" t="s">
        <v>52</v>
      </c>
      <c r="AD1417" t="s">
        <v>4432</v>
      </c>
      <c r="AE1417" t="s">
        <v>4433</v>
      </c>
      <c r="AF1417" s="16">
        <v>44720</v>
      </c>
      <c r="AG1417" t="s">
        <v>75</v>
      </c>
      <c r="AH1417">
        <v>6</v>
      </c>
      <c r="AK1417" s="38">
        <f t="shared" si="572"/>
        <v>44968.055451388893</v>
      </c>
    </row>
    <row r="1418" spans="1:43" x14ac:dyDescent="0.35">
      <c r="A1418">
        <v>1356</v>
      </c>
      <c r="B1418" t="s">
        <v>4434</v>
      </c>
      <c r="C1418" t="s">
        <v>3864</v>
      </c>
      <c r="D1418" t="str">
        <f t="shared" si="570"/>
        <v>Fundraising</v>
      </c>
      <c r="E1418" t="s">
        <v>4351</v>
      </c>
      <c r="F1418" t="s">
        <v>2314</v>
      </c>
      <c r="G1418" t="s">
        <v>4413</v>
      </c>
      <c r="H1418" t="s">
        <v>59</v>
      </c>
      <c r="I1418" s="32">
        <v>44768.055451388893</v>
      </c>
      <c r="J1418" s="32">
        <v>44770.055451388893</v>
      </c>
      <c r="K1418" s="32">
        <v>44771.055451388893</v>
      </c>
      <c r="L1418" s="8">
        <f t="shared" si="571"/>
        <v>3</v>
      </c>
      <c r="M1418" s="7">
        <v>44796.055451388893</v>
      </c>
      <c r="N1418" t="s">
        <v>49</v>
      </c>
      <c r="O1418" s="34">
        <v>44779.055451388893</v>
      </c>
      <c r="P1418" t="s">
        <v>50</v>
      </c>
      <c r="Q1418" t="s">
        <v>125</v>
      </c>
      <c r="R1418" s="32" t="s">
        <v>7472</v>
      </c>
      <c r="S1418" t="s">
        <v>7476</v>
      </c>
      <c r="T1418" s="34" t="s">
        <v>7476</v>
      </c>
      <c r="U1418" s="34" t="s">
        <v>7476</v>
      </c>
      <c r="V1418" s="32" t="s">
        <v>7476</v>
      </c>
      <c r="W1418" s="32" t="s">
        <v>7476</v>
      </c>
      <c r="X1418">
        <v>0</v>
      </c>
      <c r="Y1418" s="34" t="s">
        <v>7476</v>
      </c>
      <c r="Z1418" s="34" t="s">
        <v>7476</v>
      </c>
      <c r="AA1418" s="34" t="s">
        <v>7476</v>
      </c>
      <c r="AB1418" s="36" t="s">
        <v>52</v>
      </c>
      <c r="AD1418" t="s">
        <v>4435</v>
      </c>
      <c r="AE1418" t="s">
        <v>4436</v>
      </c>
      <c r="AF1418" s="16">
        <v>44760</v>
      </c>
      <c r="AG1418" t="s">
        <v>98</v>
      </c>
      <c r="AH1418">
        <v>3</v>
      </c>
      <c r="AI1418" s="8" t="str">
        <f t="shared" ref="AI1418:AI1423" si="573">IFERROR(R1418-AF1418,"")</f>
        <v/>
      </c>
      <c r="AJ1418" s="8">
        <f t="shared" ref="AJ1418:AJ1423" si="574">IFERROR(O1418-AF1418,"")</f>
        <v>19.055451388892834</v>
      </c>
      <c r="AK1418" s="38" t="str">
        <f t="shared" si="572"/>
        <v/>
      </c>
      <c r="AL1418" t="str">
        <f t="shared" ref="AL1418:AL1423" si="575">IFERROR(Z1418-W1418,"")</f>
        <v/>
      </c>
      <c r="AM1418" t="str">
        <f t="shared" ref="AM1418:AM1423" si="576">IFERROR(R1418-J1418,"")</f>
        <v/>
      </c>
      <c r="AN1418" t="str">
        <f t="shared" ref="AN1418:AN1423" si="577">IFERROR(V1418-O1418,"")</f>
        <v/>
      </c>
      <c r="AO1418">
        <f t="shared" ref="AO1418:AO1423" si="578">IFERROR(J1418-I1418,"")</f>
        <v>2</v>
      </c>
      <c r="AP1418">
        <f t="shared" ref="AP1418:AP1423" si="579">IFERROR(AC1418-X1418,"")</f>
        <v>0</v>
      </c>
      <c r="AQ1418" t="str">
        <f t="shared" ref="AQ1418:AQ1423" si="580">IFERROR(AA1418-W1418,"")</f>
        <v/>
      </c>
    </row>
    <row r="1419" spans="1:43" x14ac:dyDescent="0.35">
      <c r="A1419">
        <v>1355</v>
      </c>
      <c r="B1419" t="s">
        <v>4437</v>
      </c>
      <c r="C1419" t="s">
        <v>3864</v>
      </c>
      <c r="D1419" t="str">
        <f t="shared" si="570"/>
        <v>Fundraising</v>
      </c>
      <c r="E1419" t="s">
        <v>4351</v>
      </c>
      <c r="F1419" t="s">
        <v>2314</v>
      </c>
      <c r="G1419" t="s">
        <v>4413</v>
      </c>
      <c r="H1419" t="s">
        <v>59</v>
      </c>
      <c r="I1419" s="32">
        <v>44766.055451388893</v>
      </c>
      <c r="J1419" s="32">
        <v>44769.055451388893</v>
      </c>
      <c r="K1419" s="32">
        <v>44771.055451388893</v>
      </c>
      <c r="L1419" s="8">
        <f t="shared" si="571"/>
        <v>5</v>
      </c>
      <c r="M1419" s="7">
        <v>44780.055451388893</v>
      </c>
      <c r="N1419" t="s">
        <v>49</v>
      </c>
      <c r="O1419" s="34">
        <v>44774.055451388893</v>
      </c>
      <c r="P1419" t="s">
        <v>50</v>
      </c>
      <c r="Q1419" t="s">
        <v>198</v>
      </c>
      <c r="R1419" s="32" t="s">
        <v>7472</v>
      </c>
      <c r="S1419" t="s">
        <v>7476</v>
      </c>
      <c r="T1419" s="34" t="s">
        <v>7476</v>
      </c>
      <c r="U1419" s="34" t="s">
        <v>7476</v>
      </c>
      <c r="V1419" s="32">
        <v>44775.055451388893</v>
      </c>
      <c r="W1419" s="32" t="s">
        <v>7476</v>
      </c>
      <c r="X1419">
        <v>0</v>
      </c>
      <c r="Y1419" s="34" t="s">
        <v>7476</v>
      </c>
      <c r="Z1419" s="34" t="s">
        <v>7476</v>
      </c>
      <c r="AA1419" s="34" t="s">
        <v>7476</v>
      </c>
      <c r="AB1419" s="36" t="s">
        <v>52</v>
      </c>
      <c r="AD1419" t="s">
        <v>4438</v>
      </c>
      <c r="AE1419" t="s">
        <v>4439</v>
      </c>
      <c r="AF1419" s="16">
        <v>44765</v>
      </c>
      <c r="AG1419" t="s">
        <v>64</v>
      </c>
      <c r="AH1419">
        <v>3</v>
      </c>
      <c r="AI1419" s="8" t="str">
        <f t="shared" si="573"/>
        <v/>
      </c>
      <c r="AJ1419" s="8">
        <f t="shared" si="574"/>
        <v>9.0554513888928341</v>
      </c>
      <c r="AK1419" s="38">
        <f t="shared" si="572"/>
        <v>44865.055451388893</v>
      </c>
      <c r="AL1419" t="str">
        <f t="shared" si="575"/>
        <v/>
      </c>
      <c r="AM1419" t="str">
        <f t="shared" si="576"/>
        <v/>
      </c>
      <c r="AN1419">
        <f t="shared" si="577"/>
        <v>1</v>
      </c>
      <c r="AO1419">
        <f t="shared" si="578"/>
        <v>3</v>
      </c>
      <c r="AP1419">
        <f t="shared" si="579"/>
        <v>0</v>
      </c>
      <c r="AQ1419" t="str">
        <f t="shared" si="580"/>
        <v/>
      </c>
    </row>
    <row r="1420" spans="1:43" x14ac:dyDescent="0.35">
      <c r="A1420">
        <v>1249</v>
      </c>
      <c r="B1420" t="s">
        <v>4440</v>
      </c>
      <c r="C1420" t="s">
        <v>3864</v>
      </c>
      <c r="D1420" t="str">
        <f t="shared" si="570"/>
        <v>Fundraising</v>
      </c>
      <c r="E1420" t="s">
        <v>4351</v>
      </c>
      <c r="F1420" t="s">
        <v>2314</v>
      </c>
      <c r="G1420" t="s">
        <v>4413</v>
      </c>
      <c r="H1420" t="s">
        <v>59</v>
      </c>
      <c r="I1420" s="32">
        <v>44735.839942129627</v>
      </c>
      <c r="J1420" s="32">
        <v>44737.839942129627</v>
      </c>
      <c r="K1420" s="32">
        <v>44741.839942129627</v>
      </c>
      <c r="L1420" s="8">
        <f t="shared" si="571"/>
        <v>6</v>
      </c>
      <c r="M1420" s="7">
        <v>44747.839942129627</v>
      </c>
      <c r="N1420" t="s">
        <v>49</v>
      </c>
      <c r="O1420" s="34">
        <v>44758.839942129627</v>
      </c>
      <c r="P1420" t="s">
        <v>50</v>
      </c>
      <c r="Q1420" t="s">
        <v>198</v>
      </c>
      <c r="R1420" s="32" t="s">
        <v>7472</v>
      </c>
      <c r="S1420" t="s">
        <v>7476</v>
      </c>
      <c r="T1420" s="34" t="s">
        <v>7476</v>
      </c>
      <c r="U1420" s="34" t="s">
        <v>7476</v>
      </c>
      <c r="V1420" s="32">
        <v>44762.839942129627</v>
      </c>
      <c r="W1420" s="32" t="s">
        <v>7476</v>
      </c>
      <c r="X1420">
        <v>0</v>
      </c>
      <c r="Y1420" s="34" t="s">
        <v>7476</v>
      </c>
      <c r="Z1420" s="34" t="s">
        <v>7476</v>
      </c>
      <c r="AA1420" s="34" t="s">
        <v>7476</v>
      </c>
      <c r="AB1420" s="36" t="s">
        <v>52</v>
      </c>
      <c r="AD1420" t="s">
        <v>4441</v>
      </c>
      <c r="AE1420" t="s">
        <v>4442</v>
      </c>
      <c r="AF1420" s="16">
        <v>44599</v>
      </c>
      <c r="AG1420" t="s">
        <v>64</v>
      </c>
      <c r="AH1420">
        <v>3</v>
      </c>
      <c r="AI1420" s="8" t="str">
        <f t="shared" si="573"/>
        <v/>
      </c>
      <c r="AJ1420" s="8">
        <f t="shared" si="574"/>
        <v>159.83994212962716</v>
      </c>
      <c r="AK1420" s="38">
        <f t="shared" si="572"/>
        <v>44852.839942129627</v>
      </c>
      <c r="AL1420" t="str">
        <f t="shared" si="575"/>
        <v/>
      </c>
      <c r="AM1420" t="str">
        <f t="shared" si="576"/>
        <v/>
      </c>
      <c r="AN1420">
        <f t="shared" si="577"/>
        <v>4</v>
      </c>
      <c r="AO1420">
        <f t="shared" si="578"/>
        <v>2</v>
      </c>
      <c r="AP1420">
        <f t="shared" si="579"/>
        <v>0</v>
      </c>
      <c r="AQ1420" t="str">
        <f t="shared" si="580"/>
        <v/>
      </c>
    </row>
    <row r="1421" spans="1:43" x14ac:dyDescent="0.35">
      <c r="A1421">
        <v>1248</v>
      </c>
      <c r="B1421" t="s">
        <v>4443</v>
      </c>
      <c r="C1421" t="s">
        <v>3864</v>
      </c>
      <c r="D1421" t="str">
        <f t="shared" si="570"/>
        <v>Fundraising</v>
      </c>
      <c r="E1421" t="s">
        <v>4351</v>
      </c>
      <c r="F1421" t="s">
        <v>2314</v>
      </c>
      <c r="G1421" t="s">
        <v>4413</v>
      </c>
      <c r="H1421" t="s">
        <v>59</v>
      </c>
      <c r="I1421" s="32">
        <v>44738.839942129627</v>
      </c>
      <c r="J1421" s="32">
        <v>44740.839942129627</v>
      </c>
      <c r="K1421" s="32">
        <v>44741.839942129627</v>
      </c>
      <c r="L1421" s="8">
        <f t="shared" si="571"/>
        <v>3</v>
      </c>
      <c r="M1421" s="7">
        <v>44763.839942129627</v>
      </c>
      <c r="N1421" t="s">
        <v>49</v>
      </c>
      <c r="O1421" s="34">
        <v>44757.839942129627</v>
      </c>
      <c r="P1421" t="s">
        <v>60</v>
      </c>
      <c r="R1421" s="32">
        <v>44762.839942129627</v>
      </c>
      <c r="S1421" t="s">
        <v>61</v>
      </c>
      <c r="T1421" s="34" t="s">
        <v>7476</v>
      </c>
      <c r="U1421" s="34" t="s">
        <v>7476</v>
      </c>
      <c r="V1421" s="32">
        <v>44758.839942129627</v>
      </c>
      <c r="W1421" s="32" t="s">
        <v>7476</v>
      </c>
      <c r="X1421">
        <v>0</v>
      </c>
      <c r="Y1421" s="34" t="s">
        <v>7476</v>
      </c>
      <c r="Z1421" s="34" t="s">
        <v>7476</v>
      </c>
      <c r="AA1421" s="34" t="s">
        <v>7476</v>
      </c>
      <c r="AB1421" s="36" t="s">
        <v>7476</v>
      </c>
      <c r="AD1421" t="s">
        <v>4444</v>
      </c>
      <c r="AE1421" t="s">
        <v>4445</v>
      </c>
      <c r="AF1421" s="16">
        <v>44739</v>
      </c>
      <c r="AG1421" t="s">
        <v>64</v>
      </c>
      <c r="AH1421">
        <v>3</v>
      </c>
      <c r="AI1421" s="8">
        <f t="shared" si="573"/>
        <v>23.839942129627161</v>
      </c>
      <c r="AJ1421" s="8">
        <f t="shared" si="574"/>
        <v>18.839942129627161</v>
      </c>
      <c r="AK1421" s="38">
        <f t="shared" si="572"/>
        <v>44848.839942129627</v>
      </c>
      <c r="AL1421" t="str">
        <f t="shared" si="575"/>
        <v/>
      </c>
      <c r="AM1421">
        <f t="shared" si="576"/>
        <v>22</v>
      </c>
      <c r="AN1421">
        <f t="shared" si="577"/>
        <v>1</v>
      </c>
      <c r="AO1421">
        <f t="shared" si="578"/>
        <v>2</v>
      </c>
      <c r="AP1421">
        <f t="shared" si="579"/>
        <v>0</v>
      </c>
      <c r="AQ1421" t="str">
        <f t="shared" si="580"/>
        <v/>
      </c>
    </row>
    <row r="1422" spans="1:43" x14ac:dyDescent="0.35">
      <c r="A1422">
        <v>1221</v>
      </c>
      <c r="B1422" t="s">
        <v>4446</v>
      </c>
      <c r="C1422" t="s">
        <v>3864</v>
      </c>
      <c r="D1422" t="str">
        <f t="shared" si="570"/>
        <v>Fundraising</v>
      </c>
      <c r="E1422" t="s">
        <v>4351</v>
      </c>
      <c r="F1422" t="s">
        <v>2314</v>
      </c>
      <c r="G1422" t="s">
        <v>4413</v>
      </c>
      <c r="H1422" t="s">
        <v>59</v>
      </c>
      <c r="I1422" s="32">
        <v>44735.14203703704</v>
      </c>
      <c r="J1422" s="32">
        <v>44739.14203703704</v>
      </c>
      <c r="K1422" s="32">
        <v>44741.14203703704</v>
      </c>
      <c r="L1422" s="8">
        <f t="shared" si="571"/>
        <v>6</v>
      </c>
      <c r="M1422" s="7">
        <v>44746.14203703704</v>
      </c>
      <c r="N1422" t="s">
        <v>49</v>
      </c>
      <c r="O1422" s="34">
        <v>44753.14203703704</v>
      </c>
      <c r="P1422" t="s">
        <v>50</v>
      </c>
      <c r="Q1422" t="s">
        <v>125</v>
      </c>
      <c r="R1422" s="32" t="s">
        <v>7472</v>
      </c>
      <c r="S1422" t="s">
        <v>7476</v>
      </c>
      <c r="T1422" s="34" t="s">
        <v>7476</v>
      </c>
      <c r="U1422" s="34" t="s">
        <v>7476</v>
      </c>
      <c r="V1422" s="32">
        <v>44755.14203703704</v>
      </c>
      <c r="W1422" s="32" t="s">
        <v>7476</v>
      </c>
      <c r="X1422">
        <v>0</v>
      </c>
      <c r="Y1422" s="34" t="s">
        <v>7476</v>
      </c>
      <c r="Z1422" s="34" t="s">
        <v>7476</v>
      </c>
      <c r="AA1422" s="34" t="s">
        <v>7476</v>
      </c>
      <c r="AB1422" s="36" t="s">
        <v>95</v>
      </c>
      <c r="AD1422" t="s">
        <v>4447</v>
      </c>
      <c r="AE1422" t="s">
        <v>4448</v>
      </c>
      <c r="AF1422" s="16">
        <v>44746</v>
      </c>
      <c r="AG1422" t="s">
        <v>98</v>
      </c>
      <c r="AH1422">
        <v>6</v>
      </c>
      <c r="AI1422" s="8" t="str">
        <f t="shared" si="573"/>
        <v/>
      </c>
      <c r="AJ1422" s="8">
        <f t="shared" si="574"/>
        <v>7.1420370370396995</v>
      </c>
      <c r="AK1422" s="38">
        <f t="shared" si="572"/>
        <v>44935.14203703704</v>
      </c>
      <c r="AL1422" t="str">
        <f t="shared" si="575"/>
        <v/>
      </c>
      <c r="AM1422" t="str">
        <f t="shared" si="576"/>
        <v/>
      </c>
      <c r="AN1422">
        <f t="shared" si="577"/>
        <v>2</v>
      </c>
      <c r="AO1422">
        <f t="shared" si="578"/>
        <v>4</v>
      </c>
      <c r="AP1422">
        <f t="shared" si="579"/>
        <v>0</v>
      </c>
      <c r="AQ1422" t="str">
        <f t="shared" si="580"/>
        <v/>
      </c>
    </row>
    <row r="1423" spans="1:43" x14ac:dyDescent="0.35">
      <c r="A1423">
        <v>1204</v>
      </c>
      <c r="B1423" t="s">
        <v>4449</v>
      </c>
      <c r="C1423" t="s">
        <v>3864</v>
      </c>
      <c r="D1423" t="str">
        <f t="shared" si="570"/>
        <v>Fundraising</v>
      </c>
      <c r="E1423" t="s">
        <v>4351</v>
      </c>
      <c r="F1423" t="s">
        <v>2314</v>
      </c>
      <c r="G1423" t="s">
        <v>4413</v>
      </c>
      <c r="H1423" t="s">
        <v>59</v>
      </c>
      <c r="I1423" s="32">
        <v>44768.205266203702</v>
      </c>
      <c r="J1423" s="32">
        <v>44769.205266203702</v>
      </c>
      <c r="K1423" s="32">
        <v>44770.205266203702</v>
      </c>
      <c r="L1423" s="8">
        <f t="shared" si="571"/>
        <v>2</v>
      </c>
      <c r="M1423" s="7">
        <v>44796.205266203702</v>
      </c>
      <c r="N1423" t="s">
        <v>49</v>
      </c>
      <c r="O1423" s="34">
        <v>44784.205266203702</v>
      </c>
      <c r="P1423" t="s">
        <v>50</v>
      </c>
      <c r="Q1423" t="s">
        <v>51</v>
      </c>
      <c r="R1423" s="32" t="s">
        <v>7472</v>
      </c>
      <c r="S1423" t="s">
        <v>7476</v>
      </c>
      <c r="T1423" s="34" t="s">
        <v>7476</v>
      </c>
      <c r="U1423" s="34" t="s">
        <v>7476</v>
      </c>
      <c r="V1423" s="32" t="s">
        <v>7476</v>
      </c>
      <c r="W1423" s="32" t="s">
        <v>7476</v>
      </c>
      <c r="X1423">
        <v>0</v>
      </c>
      <c r="Y1423" s="34" t="s">
        <v>7476</v>
      </c>
      <c r="Z1423" s="34" t="s">
        <v>7476</v>
      </c>
      <c r="AA1423" s="34" t="s">
        <v>7476</v>
      </c>
      <c r="AB1423" s="36" t="s">
        <v>52</v>
      </c>
      <c r="AD1423" t="s">
        <v>4450</v>
      </c>
      <c r="AE1423" t="s">
        <v>4451</v>
      </c>
      <c r="AF1423" s="16">
        <v>44720</v>
      </c>
      <c r="AG1423" t="s">
        <v>64</v>
      </c>
      <c r="AH1423">
        <v>3</v>
      </c>
      <c r="AI1423" s="8" t="str">
        <f t="shared" si="573"/>
        <v/>
      </c>
      <c r="AJ1423" s="8">
        <f t="shared" si="574"/>
        <v>64.205266203702195</v>
      </c>
      <c r="AK1423" s="38" t="str">
        <f t="shared" si="572"/>
        <v/>
      </c>
      <c r="AL1423" t="str">
        <f t="shared" si="575"/>
        <v/>
      </c>
      <c r="AM1423" t="str">
        <f t="shared" si="576"/>
        <v/>
      </c>
      <c r="AN1423" t="str">
        <f t="shared" si="577"/>
        <v/>
      </c>
      <c r="AO1423">
        <f t="shared" si="578"/>
        <v>1</v>
      </c>
      <c r="AP1423">
        <f t="shared" si="579"/>
        <v>0</v>
      </c>
      <c r="AQ1423" t="str">
        <f t="shared" si="580"/>
        <v/>
      </c>
    </row>
    <row r="1424" spans="1:43" x14ac:dyDescent="0.35">
      <c r="A1424">
        <v>1195</v>
      </c>
      <c r="B1424" t="s">
        <v>4452</v>
      </c>
      <c r="C1424" t="s">
        <v>3864</v>
      </c>
      <c r="D1424" t="str">
        <f t="shared" si="570"/>
        <v>Fundraising</v>
      </c>
      <c r="E1424" t="s">
        <v>4351</v>
      </c>
      <c r="F1424" t="s">
        <v>2314</v>
      </c>
      <c r="G1424" t="s">
        <v>4413</v>
      </c>
      <c r="H1424" t="s">
        <v>59</v>
      </c>
      <c r="I1424" s="32" t="s">
        <v>7471</v>
      </c>
      <c r="J1424" s="32" t="s">
        <v>7471</v>
      </c>
      <c r="K1424" s="32">
        <v>44771.966006944444</v>
      </c>
      <c r="L1424" s="8" t="str">
        <f t="shared" si="571"/>
        <v/>
      </c>
      <c r="M1424" s="7">
        <v>44776.966006944444</v>
      </c>
      <c r="N1424" t="s">
        <v>49</v>
      </c>
      <c r="O1424" s="34">
        <v>44780.966006944444</v>
      </c>
      <c r="P1424" t="s">
        <v>50</v>
      </c>
      <c r="Q1424" t="s">
        <v>84</v>
      </c>
      <c r="R1424" s="32" t="s">
        <v>7472</v>
      </c>
      <c r="S1424" t="s">
        <v>7476</v>
      </c>
      <c r="T1424" s="34" t="s">
        <v>7476</v>
      </c>
      <c r="U1424" s="34" t="s">
        <v>7476</v>
      </c>
      <c r="V1424" s="32">
        <v>44783.966006944444</v>
      </c>
      <c r="W1424" s="32" t="s">
        <v>7476</v>
      </c>
      <c r="X1424">
        <v>0</v>
      </c>
      <c r="Y1424" s="34" t="s">
        <v>7476</v>
      </c>
      <c r="Z1424" s="34" t="s">
        <v>7476</v>
      </c>
      <c r="AA1424" s="34" t="s">
        <v>7476</v>
      </c>
      <c r="AB1424" s="36" t="s">
        <v>95</v>
      </c>
      <c r="AD1424" t="s">
        <v>4453</v>
      </c>
      <c r="AE1424" t="s">
        <v>4454</v>
      </c>
      <c r="AF1424" s="16">
        <v>44761</v>
      </c>
      <c r="AG1424" t="s">
        <v>64</v>
      </c>
      <c r="AH1424">
        <v>6</v>
      </c>
      <c r="AK1424" s="38">
        <f t="shared" si="572"/>
        <v>44963.966006944444</v>
      </c>
    </row>
    <row r="1425" spans="1:43" x14ac:dyDescent="0.35">
      <c r="A1425">
        <v>1180</v>
      </c>
      <c r="B1425" t="s">
        <v>4455</v>
      </c>
      <c r="C1425" t="s">
        <v>3864</v>
      </c>
      <c r="D1425" t="str">
        <f t="shared" si="570"/>
        <v>Fundraising</v>
      </c>
      <c r="E1425" t="s">
        <v>4351</v>
      </c>
      <c r="F1425" t="s">
        <v>2314</v>
      </c>
      <c r="G1425" t="s">
        <v>4413</v>
      </c>
      <c r="H1425" t="s">
        <v>59</v>
      </c>
      <c r="I1425" s="32">
        <v>45062.041770833333</v>
      </c>
      <c r="J1425" s="32">
        <v>45064.041770833333</v>
      </c>
      <c r="K1425" s="32">
        <v>45066.041770833333</v>
      </c>
      <c r="L1425" s="8">
        <f t="shared" si="571"/>
        <v>4</v>
      </c>
      <c r="M1425" s="7">
        <v>45078.041770833333</v>
      </c>
      <c r="N1425" t="s">
        <v>49</v>
      </c>
      <c r="O1425" s="34">
        <v>45076.041770833333</v>
      </c>
      <c r="P1425" t="s">
        <v>392</v>
      </c>
      <c r="R1425" s="32">
        <v>45078.041770833333</v>
      </c>
      <c r="S1425" t="s">
        <v>392</v>
      </c>
      <c r="T1425" s="34" t="s">
        <v>7476</v>
      </c>
      <c r="U1425" s="34" t="s">
        <v>7476</v>
      </c>
      <c r="V1425" s="32">
        <v>45077.041770833333</v>
      </c>
      <c r="W1425" s="32" t="s">
        <v>7476</v>
      </c>
      <c r="X1425">
        <v>0</v>
      </c>
      <c r="Y1425" s="34" t="s">
        <v>7476</v>
      </c>
      <c r="Z1425" s="34" t="s">
        <v>7476</v>
      </c>
      <c r="AA1425" s="34" t="s">
        <v>7476</v>
      </c>
      <c r="AB1425" s="36" t="s">
        <v>7476</v>
      </c>
      <c r="AD1425" t="s">
        <v>4456</v>
      </c>
      <c r="AE1425" t="s">
        <v>4457</v>
      </c>
      <c r="AF1425" s="16">
        <v>45066</v>
      </c>
      <c r="AG1425" t="s">
        <v>68</v>
      </c>
      <c r="AH1425">
        <v>6</v>
      </c>
      <c r="AI1425" s="8">
        <f>IFERROR(R1425-AF1425,"")</f>
        <v>12.04177083333343</v>
      </c>
      <c r="AJ1425" s="8">
        <f>IFERROR(O1425-AF1425,"")</f>
        <v>10.04177083333343</v>
      </c>
      <c r="AK1425" s="38">
        <f t="shared" si="572"/>
        <v>45257.041770833333</v>
      </c>
      <c r="AL1425" t="str">
        <f>IFERROR(Z1425-W1425,"")</f>
        <v/>
      </c>
      <c r="AM1425">
        <f>IFERROR(R1425-J1425,"")</f>
        <v>14</v>
      </c>
      <c r="AN1425">
        <f>IFERROR(V1425-O1425,"")</f>
        <v>1</v>
      </c>
      <c r="AO1425">
        <f>IFERROR(J1425-I1425,"")</f>
        <v>2</v>
      </c>
      <c r="AP1425">
        <f>IFERROR(AC1425-X1425,"")</f>
        <v>0</v>
      </c>
      <c r="AQ1425" t="str">
        <f>IFERROR(AA1425-W1425,"")</f>
        <v/>
      </c>
    </row>
    <row r="1426" spans="1:43" x14ac:dyDescent="0.35">
      <c r="A1426">
        <v>1173</v>
      </c>
      <c r="B1426" t="s">
        <v>4458</v>
      </c>
      <c r="C1426" t="s">
        <v>3860</v>
      </c>
      <c r="D1426" t="str">
        <f t="shared" si="570"/>
        <v>Fundraising</v>
      </c>
      <c r="E1426" t="s">
        <v>4351</v>
      </c>
      <c r="F1426" t="s">
        <v>2314</v>
      </c>
      <c r="G1426" t="s">
        <v>4413</v>
      </c>
      <c r="H1426" t="s">
        <v>59</v>
      </c>
      <c r="I1426" s="32">
        <v>45057.041770833333</v>
      </c>
      <c r="J1426" s="32">
        <v>45060.041770833333</v>
      </c>
      <c r="K1426" s="32">
        <v>45066.041770833333</v>
      </c>
      <c r="L1426" s="8">
        <f t="shared" si="571"/>
        <v>9</v>
      </c>
      <c r="M1426" s="7">
        <v>45092.041770833333</v>
      </c>
      <c r="N1426" t="s">
        <v>49</v>
      </c>
      <c r="O1426" s="34">
        <v>45083.041770833333</v>
      </c>
      <c r="P1426" t="s">
        <v>60</v>
      </c>
      <c r="R1426" s="32">
        <v>45086.041770833333</v>
      </c>
      <c r="S1426" t="s">
        <v>61</v>
      </c>
      <c r="T1426" s="34" t="s">
        <v>7476</v>
      </c>
      <c r="U1426" s="34" t="s">
        <v>7476</v>
      </c>
      <c r="V1426" s="32">
        <v>45085.041770833333</v>
      </c>
      <c r="W1426" s="32" t="s">
        <v>7476</v>
      </c>
      <c r="X1426">
        <v>0</v>
      </c>
      <c r="Y1426" s="34" t="s">
        <v>7476</v>
      </c>
      <c r="Z1426" s="34" t="s">
        <v>7476</v>
      </c>
      <c r="AA1426" s="34" t="s">
        <v>7476</v>
      </c>
      <c r="AB1426" s="36" t="s">
        <v>7476</v>
      </c>
      <c r="AD1426" t="s">
        <v>4459</v>
      </c>
      <c r="AE1426" t="s">
        <v>4460</v>
      </c>
      <c r="AF1426" s="16">
        <v>45072</v>
      </c>
      <c r="AG1426" t="s">
        <v>64</v>
      </c>
      <c r="AH1426">
        <v>3</v>
      </c>
      <c r="AI1426" s="8">
        <f>IFERROR(R1426-AF1426,"")</f>
        <v>14.04177083333343</v>
      </c>
      <c r="AJ1426" s="8">
        <f>IFERROR(O1426-AF1426,"")</f>
        <v>11.04177083333343</v>
      </c>
      <c r="AK1426" s="38">
        <f t="shared" si="572"/>
        <v>45175.041770833333</v>
      </c>
      <c r="AL1426" t="str">
        <f>IFERROR(Z1426-W1426,"")</f>
        <v/>
      </c>
      <c r="AM1426">
        <f>IFERROR(R1426-J1426,"")</f>
        <v>26</v>
      </c>
      <c r="AN1426">
        <f>IFERROR(V1426-O1426,"")</f>
        <v>2</v>
      </c>
      <c r="AO1426">
        <f>IFERROR(J1426-I1426,"")</f>
        <v>3</v>
      </c>
      <c r="AP1426">
        <f>IFERROR(AC1426-X1426,"")</f>
        <v>0</v>
      </c>
      <c r="AQ1426" t="str">
        <f>IFERROR(AA1426-W1426,"")</f>
        <v/>
      </c>
    </row>
    <row r="1427" spans="1:43" x14ac:dyDescent="0.35">
      <c r="A1427">
        <v>1109</v>
      </c>
      <c r="B1427" t="s">
        <v>4461</v>
      </c>
      <c r="C1427" t="s">
        <v>3854</v>
      </c>
      <c r="D1427" t="str">
        <f t="shared" si="570"/>
        <v>Fundraising</v>
      </c>
      <c r="E1427" t="s">
        <v>4351</v>
      </c>
      <c r="F1427" t="s">
        <v>2314</v>
      </c>
      <c r="G1427" t="s">
        <v>4413</v>
      </c>
      <c r="H1427" t="s">
        <v>59</v>
      </c>
      <c r="I1427" s="32">
        <v>44675.953865740739</v>
      </c>
      <c r="J1427" s="32">
        <v>44677.953865740739</v>
      </c>
      <c r="K1427" s="32">
        <v>44681.953865740739</v>
      </c>
      <c r="L1427" s="8">
        <f t="shared" si="571"/>
        <v>6</v>
      </c>
      <c r="M1427" s="7">
        <v>44691.953865740739</v>
      </c>
      <c r="N1427" t="s">
        <v>49</v>
      </c>
      <c r="O1427" s="34">
        <v>44682.953865740739</v>
      </c>
      <c r="P1427" t="s">
        <v>50</v>
      </c>
      <c r="Q1427" t="s">
        <v>198</v>
      </c>
      <c r="R1427" s="32" t="s">
        <v>7472</v>
      </c>
      <c r="S1427" t="s">
        <v>7476</v>
      </c>
      <c r="T1427" s="34" t="s">
        <v>7476</v>
      </c>
      <c r="U1427" s="34" t="s">
        <v>7476</v>
      </c>
      <c r="V1427" s="32">
        <v>44684.953865740739</v>
      </c>
      <c r="W1427" s="32" t="s">
        <v>7476</v>
      </c>
      <c r="X1427">
        <v>0</v>
      </c>
      <c r="Y1427" s="34" t="s">
        <v>7476</v>
      </c>
      <c r="Z1427" s="34" t="s">
        <v>7476</v>
      </c>
      <c r="AA1427" s="34" t="s">
        <v>7476</v>
      </c>
      <c r="AB1427" s="36" t="s">
        <v>95</v>
      </c>
      <c r="AD1427" t="s">
        <v>4462</v>
      </c>
      <c r="AE1427" t="s">
        <v>4463</v>
      </c>
      <c r="AF1427" s="16">
        <v>44671</v>
      </c>
      <c r="AG1427" t="s">
        <v>68</v>
      </c>
      <c r="AH1427">
        <v>3</v>
      </c>
      <c r="AI1427" s="8" t="str">
        <f>IFERROR(R1427-AF1427,"")</f>
        <v/>
      </c>
      <c r="AJ1427" s="8">
        <f>IFERROR(O1427-AF1427,"")</f>
        <v>11.953865740739275</v>
      </c>
      <c r="AK1427" s="38">
        <f t="shared" si="572"/>
        <v>44774.953865740739</v>
      </c>
      <c r="AL1427" t="str">
        <f>IFERROR(Z1427-W1427,"")</f>
        <v/>
      </c>
      <c r="AM1427" t="str">
        <f>IFERROR(R1427-J1427,"")</f>
        <v/>
      </c>
      <c r="AN1427">
        <f>IFERROR(V1427-O1427,"")</f>
        <v>2</v>
      </c>
      <c r="AO1427">
        <f>IFERROR(J1427-I1427,"")</f>
        <v>2</v>
      </c>
      <c r="AP1427">
        <f>IFERROR(AC1427-X1427,"")</f>
        <v>0</v>
      </c>
      <c r="AQ1427" t="str">
        <f>IFERROR(AA1427-W1427,"")</f>
        <v/>
      </c>
    </row>
    <row r="1428" spans="1:43" x14ac:dyDescent="0.35">
      <c r="A1428">
        <v>1075</v>
      </c>
      <c r="B1428" t="s">
        <v>4464</v>
      </c>
      <c r="C1428" t="s">
        <v>3860</v>
      </c>
      <c r="D1428" t="str">
        <f t="shared" si="570"/>
        <v>Fundraising</v>
      </c>
      <c r="E1428" t="s">
        <v>4351</v>
      </c>
      <c r="F1428" t="s">
        <v>2314</v>
      </c>
      <c r="G1428" t="s">
        <v>4413</v>
      </c>
      <c r="H1428" t="s">
        <v>59</v>
      </c>
      <c r="I1428" s="32">
        <v>44604.990740740737</v>
      </c>
      <c r="J1428" s="32">
        <v>44605.990740740737</v>
      </c>
      <c r="K1428" s="32">
        <v>44607.990740740737</v>
      </c>
      <c r="L1428" s="8">
        <f t="shared" si="571"/>
        <v>3</v>
      </c>
      <c r="M1428" s="7">
        <v>44623.990740740737</v>
      </c>
      <c r="N1428" t="s">
        <v>49</v>
      </c>
      <c r="O1428" s="34">
        <v>44621.990740740737</v>
      </c>
      <c r="P1428" t="s">
        <v>60</v>
      </c>
      <c r="R1428" s="32">
        <v>44628.990740740737</v>
      </c>
      <c r="S1428" t="s">
        <v>61</v>
      </c>
      <c r="T1428" s="34" t="s">
        <v>7476</v>
      </c>
      <c r="U1428" s="34" t="s">
        <v>7476</v>
      </c>
      <c r="V1428" s="32">
        <v>44624.990740740737</v>
      </c>
      <c r="W1428" s="32" t="s">
        <v>7476</v>
      </c>
      <c r="X1428">
        <v>0</v>
      </c>
      <c r="Y1428" s="34" t="s">
        <v>7476</v>
      </c>
      <c r="Z1428" s="34" t="s">
        <v>7476</v>
      </c>
      <c r="AA1428" s="34" t="s">
        <v>7476</v>
      </c>
      <c r="AB1428" s="36" t="s">
        <v>7476</v>
      </c>
      <c r="AD1428" t="s">
        <v>4465</v>
      </c>
      <c r="AE1428" t="s">
        <v>4466</v>
      </c>
      <c r="AF1428" s="16">
        <v>44616</v>
      </c>
      <c r="AG1428" t="s">
        <v>64</v>
      </c>
      <c r="AH1428">
        <v>3</v>
      </c>
      <c r="AI1428" s="8">
        <f>IFERROR(R1428-AF1428,"")</f>
        <v>12.990740740737238</v>
      </c>
      <c r="AJ1428" s="8">
        <f>IFERROR(O1428-AF1428,"")</f>
        <v>5.9907407407372375</v>
      </c>
      <c r="AK1428" s="38">
        <f t="shared" si="572"/>
        <v>44714.990740740737</v>
      </c>
      <c r="AL1428" t="str">
        <f>IFERROR(Z1428-W1428,"")</f>
        <v/>
      </c>
      <c r="AM1428">
        <f>IFERROR(R1428-J1428,"")</f>
        <v>23</v>
      </c>
      <c r="AN1428">
        <f>IFERROR(V1428-O1428,"")</f>
        <v>3</v>
      </c>
      <c r="AO1428">
        <f>IFERROR(J1428-I1428,"")</f>
        <v>1</v>
      </c>
      <c r="AP1428">
        <f>IFERROR(AC1428-X1428,"")</f>
        <v>0</v>
      </c>
      <c r="AQ1428" t="str">
        <f>IFERROR(AA1428-W1428,"")</f>
        <v/>
      </c>
    </row>
    <row r="1429" spans="1:43" x14ac:dyDescent="0.35">
      <c r="A1429">
        <v>1071</v>
      </c>
      <c r="B1429" t="s">
        <v>4467</v>
      </c>
      <c r="C1429" t="s">
        <v>3854</v>
      </c>
      <c r="D1429" t="str">
        <f t="shared" si="570"/>
        <v>Fundraising</v>
      </c>
      <c r="E1429" t="s">
        <v>4351</v>
      </c>
      <c r="F1429" t="s">
        <v>2314</v>
      </c>
      <c r="G1429" t="s">
        <v>4413</v>
      </c>
      <c r="H1429" t="s">
        <v>59</v>
      </c>
      <c r="I1429" s="32">
        <v>44597.990740740737</v>
      </c>
      <c r="J1429" s="32">
        <v>44601.990740740737</v>
      </c>
      <c r="K1429" s="32">
        <v>44607.990740740737</v>
      </c>
      <c r="L1429" s="8">
        <f t="shared" si="571"/>
        <v>10</v>
      </c>
      <c r="M1429" s="7">
        <v>44633.990740740737</v>
      </c>
      <c r="N1429" t="s">
        <v>49</v>
      </c>
      <c r="O1429" s="34">
        <v>44620.990740740737</v>
      </c>
      <c r="P1429" t="s">
        <v>101</v>
      </c>
      <c r="R1429" s="32">
        <v>44628.990740740737</v>
      </c>
      <c r="S1429" t="s">
        <v>101</v>
      </c>
      <c r="T1429" s="34">
        <v>44621.990740740737</v>
      </c>
      <c r="U1429" s="34">
        <v>44622.990740740737</v>
      </c>
      <c r="V1429" s="32">
        <v>44624.990740740737</v>
      </c>
      <c r="W1429" s="32">
        <v>44627.990740740737</v>
      </c>
      <c r="X1429">
        <v>1</v>
      </c>
      <c r="Y1429" s="34">
        <v>44629.990740740737</v>
      </c>
      <c r="Z1429" s="34">
        <v>44631.990740740737</v>
      </c>
      <c r="AA1429" s="34">
        <v>44633.990740740737</v>
      </c>
      <c r="AB1429" s="36" t="s">
        <v>7476</v>
      </c>
      <c r="AC1429" s="10">
        <v>44655.990740740737</v>
      </c>
      <c r="AD1429" t="s">
        <v>4468</v>
      </c>
      <c r="AE1429" t="s">
        <v>4469</v>
      </c>
      <c r="AF1429" s="16">
        <v>44604</v>
      </c>
      <c r="AG1429" t="s">
        <v>64</v>
      </c>
      <c r="AH1429">
        <v>3</v>
      </c>
      <c r="AI1429" s="8">
        <f>IFERROR(R1429-AF1429,"")</f>
        <v>24.990740740737238</v>
      </c>
      <c r="AJ1429" s="8">
        <f>IFERROR(O1429-AF1429,"")</f>
        <v>16.990740740737238</v>
      </c>
      <c r="AK1429" s="38">
        <f t="shared" si="572"/>
        <v>44714.990740740737</v>
      </c>
      <c r="AL1429">
        <f>IFERROR(Z1429-W1429,"")</f>
        <v>4</v>
      </c>
      <c r="AM1429">
        <f>IFERROR(R1429-J1429,"")</f>
        <v>27</v>
      </c>
      <c r="AN1429">
        <f>IFERROR(V1429-O1429,"")</f>
        <v>4</v>
      </c>
      <c r="AO1429">
        <f>IFERROR(J1429-I1429,"")</f>
        <v>4</v>
      </c>
      <c r="AP1429">
        <f>IFERROR(AC1429-X1429,"")</f>
        <v>44654.990740740737</v>
      </c>
      <c r="AQ1429">
        <f>IFERROR(AA1429-W1429,"")</f>
        <v>6</v>
      </c>
    </row>
    <row r="1430" spans="1:43" x14ac:dyDescent="0.35">
      <c r="A1430">
        <v>2849</v>
      </c>
      <c r="B1430" t="s">
        <v>4470</v>
      </c>
      <c r="C1430" t="s">
        <v>4471</v>
      </c>
      <c r="D1430" t="str">
        <f t="shared" si="570"/>
        <v>Finance</v>
      </c>
      <c r="E1430" t="s">
        <v>4472</v>
      </c>
      <c r="F1430" t="s">
        <v>204</v>
      </c>
      <c r="G1430" t="s">
        <v>4473</v>
      </c>
      <c r="H1430" t="s">
        <v>206</v>
      </c>
      <c r="I1430" s="32">
        <v>44655.443379629629</v>
      </c>
      <c r="J1430" s="32" t="s">
        <v>7471</v>
      </c>
      <c r="K1430" s="32">
        <v>44658.443379629629</v>
      </c>
      <c r="L1430" s="8">
        <f t="shared" si="571"/>
        <v>3</v>
      </c>
      <c r="M1430" s="7">
        <v>44728.443379629629</v>
      </c>
      <c r="N1430" t="s">
        <v>49</v>
      </c>
      <c r="O1430" s="34">
        <v>44668.443379629629</v>
      </c>
      <c r="P1430" t="s">
        <v>50</v>
      </c>
      <c r="Q1430" t="s">
        <v>125</v>
      </c>
      <c r="R1430" s="32" t="s">
        <v>7472</v>
      </c>
      <c r="S1430" t="s">
        <v>7476</v>
      </c>
      <c r="T1430" s="34" t="s">
        <v>7476</v>
      </c>
      <c r="U1430" s="34" t="s">
        <v>7476</v>
      </c>
      <c r="V1430" s="32">
        <v>44670.443379629629</v>
      </c>
      <c r="W1430" s="32" t="s">
        <v>7476</v>
      </c>
      <c r="X1430">
        <v>0</v>
      </c>
      <c r="Y1430" s="34" t="s">
        <v>7476</v>
      </c>
      <c r="Z1430" s="34" t="s">
        <v>7476</v>
      </c>
      <c r="AA1430" s="34" t="s">
        <v>7476</v>
      </c>
      <c r="AB1430" s="36" t="s">
        <v>95</v>
      </c>
      <c r="AD1430" t="s">
        <v>4474</v>
      </c>
      <c r="AE1430" t="s">
        <v>4475</v>
      </c>
      <c r="AF1430" s="16">
        <v>44624</v>
      </c>
      <c r="AG1430" t="s">
        <v>68</v>
      </c>
      <c r="AH1430">
        <v>6</v>
      </c>
      <c r="AK1430" s="38">
        <f t="shared" si="572"/>
        <v>44850.443379629629</v>
      </c>
    </row>
    <row r="1431" spans="1:43" x14ac:dyDescent="0.35">
      <c r="A1431">
        <v>2772</v>
      </c>
      <c r="B1431" t="s">
        <v>4476</v>
      </c>
      <c r="C1431" t="s">
        <v>4471</v>
      </c>
      <c r="D1431" t="str">
        <f t="shared" si="570"/>
        <v>Finance</v>
      </c>
      <c r="E1431" t="s">
        <v>4472</v>
      </c>
      <c r="F1431" t="s">
        <v>204</v>
      </c>
      <c r="G1431" t="s">
        <v>4473</v>
      </c>
      <c r="H1431" t="s">
        <v>206</v>
      </c>
      <c r="I1431" s="32">
        <v>44684.777986111112</v>
      </c>
      <c r="J1431" s="32">
        <v>44686.777986111112</v>
      </c>
      <c r="K1431" s="32">
        <v>44689.777986111112</v>
      </c>
      <c r="L1431" s="8">
        <f t="shared" si="571"/>
        <v>5</v>
      </c>
      <c r="M1431" s="7">
        <v>44695.777986111112</v>
      </c>
      <c r="N1431" t="s">
        <v>49</v>
      </c>
      <c r="O1431" s="34">
        <v>44693.777986111112</v>
      </c>
      <c r="P1431" t="s">
        <v>50</v>
      </c>
      <c r="Q1431" t="s">
        <v>84</v>
      </c>
      <c r="R1431" s="32" t="s">
        <v>7472</v>
      </c>
      <c r="S1431" t="s">
        <v>7476</v>
      </c>
      <c r="T1431" s="34" t="s">
        <v>7476</v>
      </c>
      <c r="U1431" s="34" t="s">
        <v>7476</v>
      </c>
      <c r="V1431" s="32" t="s">
        <v>7476</v>
      </c>
      <c r="W1431" s="32" t="s">
        <v>7476</v>
      </c>
      <c r="X1431">
        <v>0</v>
      </c>
      <c r="Y1431" s="34" t="s">
        <v>7476</v>
      </c>
      <c r="Z1431" s="34" t="s">
        <v>7476</v>
      </c>
      <c r="AA1431" s="34" t="s">
        <v>7476</v>
      </c>
      <c r="AB1431" s="36" t="s">
        <v>95</v>
      </c>
      <c r="AD1431" t="s">
        <v>4477</v>
      </c>
      <c r="AE1431" t="s">
        <v>4478</v>
      </c>
      <c r="AF1431" s="16">
        <v>44686</v>
      </c>
      <c r="AG1431" t="s">
        <v>64</v>
      </c>
      <c r="AH1431">
        <v>6</v>
      </c>
      <c r="AI1431" s="8" t="str">
        <f>IFERROR(R1431-AF1431,"")</f>
        <v/>
      </c>
      <c r="AJ1431" s="8">
        <f>IFERROR(O1431-AF1431,"")</f>
        <v>7.7779861111121136</v>
      </c>
      <c r="AK1431" s="38" t="str">
        <f t="shared" si="572"/>
        <v/>
      </c>
      <c r="AL1431" t="str">
        <f>IFERROR(Z1431-W1431,"")</f>
        <v/>
      </c>
      <c r="AM1431" t="str">
        <f>IFERROR(R1431-J1431,"")</f>
        <v/>
      </c>
      <c r="AN1431" t="str">
        <f>IFERROR(V1431-O1431,"")</f>
        <v/>
      </c>
      <c r="AO1431">
        <f>IFERROR(J1431-I1431,"")</f>
        <v>2</v>
      </c>
      <c r="AP1431">
        <f>IFERROR(AC1431-X1431,"")</f>
        <v>0</v>
      </c>
      <c r="AQ1431" t="str">
        <f>IFERROR(AA1431-W1431,"")</f>
        <v/>
      </c>
    </row>
    <row r="1432" spans="1:43" x14ac:dyDescent="0.35">
      <c r="A1432">
        <v>2690</v>
      </c>
      <c r="B1432" t="s">
        <v>4479</v>
      </c>
      <c r="C1432" t="s">
        <v>4480</v>
      </c>
      <c r="D1432" t="str">
        <f t="shared" si="570"/>
        <v>Finance</v>
      </c>
      <c r="E1432" t="s">
        <v>4472</v>
      </c>
      <c r="F1432" t="s">
        <v>204</v>
      </c>
      <c r="G1432" t="s">
        <v>4473</v>
      </c>
      <c r="H1432" t="s">
        <v>206</v>
      </c>
      <c r="I1432" s="32">
        <v>45134.716412037043</v>
      </c>
      <c r="J1432" s="32">
        <v>45137.716412037043</v>
      </c>
      <c r="K1432" s="32">
        <v>45142.716412037043</v>
      </c>
      <c r="L1432" s="8">
        <f t="shared" si="571"/>
        <v>8</v>
      </c>
      <c r="M1432" s="7">
        <v>45152.716412037043</v>
      </c>
      <c r="N1432" t="s">
        <v>49</v>
      </c>
      <c r="O1432" s="34">
        <v>45160.716412037043</v>
      </c>
      <c r="P1432" t="s">
        <v>50</v>
      </c>
      <c r="Q1432" t="s">
        <v>51</v>
      </c>
      <c r="R1432" s="32" t="s">
        <v>7472</v>
      </c>
      <c r="S1432" t="s">
        <v>7476</v>
      </c>
      <c r="T1432" s="34" t="s">
        <v>7476</v>
      </c>
      <c r="U1432" s="34" t="s">
        <v>7476</v>
      </c>
      <c r="V1432" s="32" t="s">
        <v>7476</v>
      </c>
      <c r="W1432" s="32" t="s">
        <v>7476</v>
      </c>
      <c r="X1432">
        <v>0</v>
      </c>
      <c r="Y1432" s="34" t="s">
        <v>7476</v>
      </c>
      <c r="Z1432" s="34" t="s">
        <v>7476</v>
      </c>
      <c r="AA1432" s="34" t="s">
        <v>7476</v>
      </c>
      <c r="AB1432" s="36" t="s">
        <v>95</v>
      </c>
      <c r="AD1432" t="s">
        <v>4481</v>
      </c>
      <c r="AE1432" t="s">
        <v>4482</v>
      </c>
      <c r="AF1432" s="16">
        <v>45148</v>
      </c>
      <c r="AG1432" t="s">
        <v>98</v>
      </c>
      <c r="AH1432">
        <v>6</v>
      </c>
      <c r="AI1432" s="8" t="str">
        <f>IFERROR(R1432-AF1432,"")</f>
        <v/>
      </c>
      <c r="AJ1432" s="8">
        <f>IFERROR(O1432-AF1432,"")</f>
        <v>12.716412037043483</v>
      </c>
      <c r="AK1432" s="38" t="str">
        <f t="shared" si="572"/>
        <v/>
      </c>
      <c r="AL1432" t="str">
        <f>IFERROR(Z1432-W1432,"")</f>
        <v/>
      </c>
      <c r="AM1432" t="str">
        <f>IFERROR(R1432-J1432,"")</f>
        <v/>
      </c>
      <c r="AN1432" t="str">
        <f>IFERROR(V1432-O1432,"")</f>
        <v/>
      </c>
      <c r="AO1432">
        <f>IFERROR(J1432-I1432,"")</f>
        <v>3</v>
      </c>
      <c r="AP1432">
        <f>IFERROR(AC1432-X1432,"")</f>
        <v>0</v>
      </c>
      <c r="AQ1432" t="str">
        <f>IFERROR(AA1432-W1432,"")</f>
        <v/>
      </c>
    </row>
    <row r="1433" spans="1:43" x14ac:dyDescent="0.35">
      <c r="A1433">
        <v>2685</v>
      </c>
      <c r="B1433" t="s">
        <v>4483</v>
      </c>
      <c r="C1433" t="s">
        <v>4480</v>
      </c>
      <c r="D1433" t="str">
        <f t="shared" si="570"/>
        <v>Finance</v>
      </c>
      <c r="E1433" t="s">
        <v>4472</v>
      </c>
      <c r="F1433" t="s">
        <v>204</v>
      </c>
      <c r="G1433" t="s">
        <v>4473</v>
      </c>
      <c r="H1433" t="s">
        <v>206</v>
      </c>
      <c r="I1433" s="32">
        <v>45137.716412037043</v>
      </c>
      <c r="J1433" s="32">
        <v>45141.716412037043</v>
      </c>
      <c r="K1433" s="32">
        <v>45142.716412037043</v>
      </c>
      <c r="L1433" s="8">
        <f t="shared" si="571"/>
        <v>5</v>
      </c>
      <c r="M1433" s="7">
        <v>45167.716412037043</v>
      </c>
      <c r="N1433" t="s">
        <v>49</v>
      </c>
      <c r="O1433" s="34">
        <v>45154.716412037043</v>
      </c>
      <c r="P1433" t="s">
        <v>50</v>
      </c>
      <c r="Q1433" t="s">
        <v>236</v>
      </c>
      <c r="R1433" s="32" t="s">
        <v>7472</v>
      </c>
      <c r="S1433" t="s">
        <v>7476</v>
      </c>
      <c r="T1433" s="34" t="s">
        <v>7476</v>
      </c>
      <c r="U1433" s="34" t="s">
        <v>7476</v>
      </c>
      <c r="V1433" s="32" t="s">
        <v>7476</v>
      </c>
      <c r="W1433" s="32" t="s">
        <v>7476</v>
      </c>
      <c r="X1433">
        <v>0</v>
      </c>
      <c r="Y1433" s="34" t="s">
        <v>7476</v>
      </c>
      <c r="Z1433" s="34" t="s">
        <v>7476</v>
      </c>
      <c r="AA1433" s="34" t="s">
        <v>7476</v>
      </c>
      <c r="AB1433" s="36" t="s">
        <v>95</v>
      </c>
      <c r="AD1433" t="s">
        <v>4484</v>
      </c>
      <c r="AE1433" t="s">
        <v>4485</v>
      </c>
      <c r="AF1433" s="16">
        <v>45140</v>
      </c>
      <c r="AG1433" t="s">
        <v>68</v>
      </c>
      <c r="AH1433">
        <v>6</v>
      </c>
      <c r="AI1433" s="8" t="str">
        <f>IFERROR(R1433-AF1433,"")</f>
        <v/>
      </c>
      <c r="AJ1433" s="8">
        <f>IFERROR(O1433-AF1433,"")</f>
        <v>14.716412037043483</v>
      </c>
      <c r="AK1433" s="38" t="str">
        <f t="shared" si="572"/>
        <v/>
      </c>
      <c r="AL1433" t="str">
        <f>IFERROR(Z1433-W1433,"")</f>
        <v/>
      </c>
      <c r="AM1433" t="str">
        <f>IFERROR(R1433-J1433,"")</f>
        <v/>
      </c>
      <c r="AN1433" t="str">
        <f>IFERROR(V1433-O1433,"")</f>
        <v/>
      </c>
      <c r="AO1433">
        <f>IFERROR(J1433-I1433,"")</f>
        <v>4</v>
      </c>
      <c r="AP1433">
        <f>IFERROR(AC1433-X1433,"")</f>
        <v>0</v>
      </c>
      <c r="AQ1433" t="str">
        <f>IFERROR(AA1433-W1433,"")</f>
        <v/>
      </c>
    </row>
    <row r="1434" spans="1:43" x14ac:dyDescent="0.35">
      <c r="A1434">
        <v>2323</v>
      </c>
      <c r="B1434" t="s">
        <v>4486</v>
      </c>
      <c r="C1434" t="s">
        <v>4480</v>
      </c>
      <c r="D1434" t="str">
        <f t="shared" si="570"/>
        <v>Finance</v>
      </c>
      <c r="E1434" t="s">
        <v>4472</v>
      </c>
      <c r="F1434" t="s">
        <v>204</v>
      </c>
      <c r="G1434" t="s">
        <v>4473</v>
      </c>
      <c r="H1434" t="s">
        <v>206</v>
      </c>
      <c r="I1434" s="32">
        <v>44597.265613425923</v>
      </c>
      <c r="J1434" s="32">
        <v>44598.265613425923</v>
      </c>
      <c r="K1434" s="32">
        <v>44603.265613425923</v>
      </c>
      <c r="L1434" s="8">
        <f t="shared" si="571"/>
        <v>6</v>
      </c>
      <c r="M1434" s="7">
        <v>44619.265613425923</v>
      </c>
      <c r="N1434" t="s">
        <v>49</v>
      </c>
      <c r="O1434" s="34">
        <v>44617.265613425923</v>
      </c>
      <c r="P1434" t="s">
        <v>50</v>
      </c>
      <c r="Q1434" t="s">
        <v>198</v>
      </c>
      <c r="R1434" s="32" t="s">
        <v>7472</v>
      </c>
      <c r="S1434" t="s">
        <v>7476</v>
      </c>
      <c r="T1434" s="34" t="s">
        <v>7476</v>
      </c>
      <c r="U1434" s="34" t="s">
        <v>7476</v>
      </c>
      <c r="V1434" s="32" t="s">
        <v>7476</v>
      </c>
      <c r="W1434" s="32" t="s">
        <v>7476</v>
      </c>
      <c r="X1434">
        <v>0</v>
      </c>
      <c r="Y1434" s="34" t="s">
        <v>7476</v>
      </c>
      <c r="Z1434" s="34" t="s">
        <v>7476</v>
      </c>
      <c r="AA1434" s="34" t="s">
        <v>7476</v>
      </c>
      <c r="AB1434" s="36" t="s">
        <v>95</v>
      </c>
      <c r="AD1434" t="s">
        <v>4487</v>
      </c>
      <c r="AE1434" t="s">
        <v>4488</v>
      </c>
      <c r="AF1434" s="16">
        <v>44602</v>
      </c>
      <c r="AG1434" t="s">
        <v>68</v>
      </c>
      <c r="AH1434">
        <v>6</v>
      </c>
      <c r="AI1434" s="8" t="str">
        <f>IFERROR(R1434-AF1434,"")</f>
        <v/>
      </c>
      <c r="AJ1434" s="8">
        <f>IFERROR(O1434-AF1434,"")</f>
        <v>15.26561342592322</v>
      </c>
      <c r="AK1434" s="38" t="str">
        <f t="shared" si="572"/>
        <v/>
      </c>
      <c r="AL1434" t="str">
        <f>IFERROR(Z1434-W1434,"")</f>
        <v/>
      </c>
      <c r="AM1434" t="str">
        <f>IFERROR(R1434-J1434,"")</f>
        <v/>
      </c>
      <c r="AN1434" t="str">
        <f>IFERROR(V1434-O1434,"")</f>
        <v/>
      </c>
      <c r="AO1434">
        <f>IFERROR(J1434-I1434,"")</f>
        <v>1</v>
      </c>
      <c r="AP1434">
        <f>IFERROR(AC1434-X1434,"")</f>
        <v>0</v>
      </c>
      <c r="AQ1434" t="str">
        <f>IFERROR(AA1434-W1434,"")</f>
        <v/>
      </c>
    </row>
    <row r="1435" spans="1:43" x14ac:dyDescent="0.35">
      <c r="A1435">
        <v>2278</v>
      </c>
      <c r="B1435" t="s">
        <v>4489</v>
      </c>
      <c r="C1435" t="s">
        <v>4480</v>
      </c>
      <c r="D1435" t="str">
        <f t="shared" si="570"/>
        <v>Finance</v>
      </c>
      <c r="E1435" t="s">
        <v>4472</v>
      </c>
      <c r="F1435" t="s">
        <v>204</v>
      </c>
      <c r="G1435" t="s">
        <v>4473</v>
      </c>
      <c r="H1435" t="s">
        <v>206</v>
      </c>
      <c r="I1435" s="32">
        <v>45165.90388888889</v>
      </c>
      <c r="J1435" s="32">
        <v>45166.90388888889</v>
      </c>
      <c r="K1435" s="32" t="s">
        <v>7473</v>
      </c>
      <c r="L1435" s="8" t="str">
        <f t="shared" si="571"/>
        <v/>
      </c>
      <c r="M1435" s="7">
        <v>45199.90388888889</v>
      </c>
      <c r="N1435" t="s">
        <v>49</v>
      </c>
      <c r="O1435" s="34">
        <v>45175.90388888889</v>
      </c>
      <c r="P1435" t="s">
        <v>50</v>
      </c>
      <c r="Q1435" t="s">
        <v>236</v>
      </c>
      <c r="R1435" s="32" t="s">
        <v>7472</v>
      </c>
      <c r="S1435" t="s">
        <v>7476</v>
      </c>
      <c r="T1435" s="34" t="s">
        <v>7476</v>
      </c>
      <c r="U1435" s="34" t="s">
        <v>7476</v>
      </c>
      <c r="V1435" s="32">
        <v>45178.90388888889</v>
      </c>
      <c r="W1435" s="32" t="s">
        <v>7476</v>
      </c>
      <c r="X1435">
        <v>0</v>
      </c>
      <c r="Y1435" s="34" t="s">
        <v>7476</v>
      </c>
      <c r="Z1435" s="34" t="s">
        <v>7476</v>
      </c>
      <c r="AA1435" s="34" t="s">
        <v>7476</v>
      </c>
      <c r="AB1435" s="36" t="s">
        <v>52</v>
      </c>
      <c r="AD1435" t="s">
        <v>4490</v>
      </c>
      <c r="AE1435" t="s">
        <v>4491</v>
      </c>
      <c r="AF1435" s="16">
        <v>45163</v>
      </c>
      <c r="AG1435" t="s">
        <v>68</v>
      </c>
      <c r="AH1435">
        <v>3</v>
      </c>
      <c r="AK1435" s="38">
        <f t="shared" si="572"/>
        <v>45268.90388888889</v>
      </c>
    </row>
    <row r="1436" spans="1:43" x14ac:dyDescent="0.35">
      <c r="A1436">
        <v>2223</v>
      </c>
      <c r="B1436" t="s">
        <v>4492</v>
      </c>
      <c r="C1436" t="s">
        <v>4480</v>
      </c>
      <c r="D1436" t="str">
        <f t="shared" si="570"/>
        <v>Finance</v>
      </c>
      <c r="E1436" t="s">
        <v>4472</v>
      </c>
      <c r="F1436" t="s">
        <v>204</v>
      </c>
      <c r="G1436" t="s">
        <v>4473</v>
      </c>
      <c r="H1436" t="s">
        <v>206</v>
      </c>
      <c r="I1436" s="32">
        <v>45157.534872685188</v>
      </c>
      <c r="J1436" s="32">
        <v>45159.534872685188</v>
      </c>
      <c r="K1436" s="32">
        <v>45161.534872685188</v>
      </c>
      <c r="L1436" s="8">
        <f t="shared" si="571"/>
        <v>4</v>
      </c>
      <c r="M1436" s="7">
        <v>45174.534872685188</v>
      </c>
      <c r="N1436" t="s">
        <v>49</v>
      </c>
      <c r="O1436" s="34">
        <v>45164.534872685188</v>
      </c>
      <c r="P1436" t="s">
        <v>50</v>
      </c>
      <c r="Q1436" t="s">
        <v>84</v>
      </c>
      <c r="R1436" s="32" t="s">
        <v>7472</v>
      </c>
      <c r="S1436" t="s">
        <v>7476</v>
      </c>
      <c r="T1436" s="34" t="s">
        <v>7476</v>
      </c>
      <c r="U1436" s="34" t="s">
        <v>7476</v>
      </c>
      <c r="V1436" s="32">
        <v>45168.534872685188</v>
      </c>
      <c r="W1436" s="32" t="s">
        <v>7476</v>
      </c>
      <c r="X1436">
        <v>0</v>
      </c>
      <c r="Y1436" s="34" t="s">
        <v>7476</v>
      </c>
      <c r="Z1436" s="34" t="s">
        <v>7476</v>
      </c>
      <c r="AA1436" s="34" t="s">
        <v>7476</v>
      </c>
      <c r="AB1436" s="36" t="s">
        <v>95</v>
      </c>
      <c r="AD1436" t="s">
        <v>4493</v>
      </c>
      <c r="AE1436" t="s">
        <v>4494</v>
      </c>
      <c r="AF1436" s="16">
        <v>45146</v>
      </c>
      <c r="AG1436" t="s">
        <v>64</v>
      </c>
      <c r="AH1436">
        <v>3</v>
      </c>
      <c r="AI1436" s="8" t="str">
        <f t="shared" ref="AI1436:AI1448" si="581">IFERROR(R1436-AF1436,"")</f>
        <v/>
      </c>
      <c r="AJ1436" s="8">
        <f t="shared" ref="AJ1436:AJ1448" si="582">IFERROR(O1436-AF1436,"")</f>
        <v>18.53487268518802</v>
      </c>
      <c r="AK1436" s="38">
        <f t="shared" si="572"/>
        <v>45258.534872685188</v>
      </c>
      <c r="AL1436" t="str">
        <f t="shared" ref="AL1436:AL1448" si="583">IFERROR(Z1436-W1436,"")</f>
        <v/>
      </c>
      <c r="AM1436" t="str">
        <f t="shared" ref="AM1436:AM1448" si="584">IFERROR(R1436-J1436,"")</f>
        <v/>
      </c>
      <c r="AN1436">
        <f t="shared" ref="AN1436:AN1448" si="585">IFERROR(V1436-O1436,"")</f>
        <v>4</v>
      </c>
      <c r="AO1436">
        <f t="shared" ref="AO1436:AO1448" si="586">IFERROR(J1436-I1436,"")</f>
        <v>2</v>
      </c>
      <c r="AP1436">
        <f t="shared" ref="AP1436:AP1448" si="587">IFERROR(AC1436-X1436,"")</f>
        <v>0</v>
      </c>
      <c r="AQ1436" t="str">
        <f t="shared" ref="AQ1436:AQ1448" si="588">IFERROR(AA1436-W1436,"")</f>
        <v/>
      </c>
    </row>
    <row r="1437" spans="1:43" x14ac:dyDescent="0.35">
      <c r="A1437">
        <v>2180</v>
      </c>
      <c r="B1437" t="s">
        <v>4495</v>
      </c>
      <c r="C1437" t="s">
        <v>4471</v>
      </c>
      <c r="D1437" t="str">
        <f t="shared" si="570"/>
        <v>Finance</v>
      </c>
      <c r="E1437" t="s">
        <v>4472</v>
      </c>
      <c r="F1437" t="s">
        <v>204</v>
      </c>
      <c r="G1437" t="s">
        <v>4473</v>
      </c>
      <c r="H1437" t="s">
        <v>206</v>
      </c>
      <c r="I1437" s="32">
        <v>44757.601967592593</v>
      </c>
      <c r="J1437" s="32">
        <v>44758.601967592593</v>
      </c>
      <c r="K1437" s="32">
        <v>44759.601967592593</v>
      </c>
      <c r="L1437" s="8">
        <f t="shared" si="571"/>
        <v>2</v>
      </c>
      <c r="M1437" s="7">
        <v>44765.601967592593</v>
      </c>
      <c r="N1437" t="s">
        <v>49</v>
      </c>
      <c r="O1437" s="34">
        <v>44770.601967592593</v>
      </c>
      <c r="P1437" t="s">
        <v>50</v>
      </c>
      <c r="Q1437" t="s">
        <v>51</v>
      </c>
      <c r="R1437" s="32" t="s">
        <v>7472</v>
      </c>
      <c r="S1437" t="s">
        <v>7476</v>
      </c>
      <c r="T1437" s="34" t="s">
        <v>7476</v>
      </c>
      <c r="U1437" s="34" t="s">
        <v>7476</v>
      </c>
      <c r="V1437" s="32">
        <v>44772.601967592593</v>
      </c>
      <c r="W1437" s="32" t="s">
        <v>7476</v>
      </c>
      <c r="X1437">
        <v>0</v>
      </c>
      <c r="Y1437" s="34" t="s">
        <v>7476</v>
      </c>
      <c r="Z1437" s="34" t="s">
        <v>7476</v>
      </c>
      <c r="AA1437" s="34" t="s">
        <v>7476</v>
      </c>
      <c r="AB1437" s="36" t="s">
        <v>52</v>
      </c>
      <c r="AD1437" t="s">
        <v>4496</v>
      </c>
      <c r="AE1437" t="s">
        <v>4497</v>
      </c>
      <c r="AF1437" s="16">
        <v>44764</v>
      </c>
      <c r="AG1437" t="s">
        <v>98</v>
      </c>
      <c r="AH1437">
        <v>3</v>
      </c>
      <c r="AI1437" s="8" t="str">
        <f t="shared" si="581"/>
        <v/>
      </c>
      <c r="AJ1437" s="8">
        <f t="shared" si="582"/>
        <v>6.6019675925927004</v>
      </c>
      <c r="AK1437" s="38">
        <f t="shared" si="572"/>
        <v>44862.601967592593</v>
      </c>
      <c r="AL1437" t="str">
        <f t="shared" si="583"/>
        <v/>
      </c>
      <c r="AM1437" t="str">
        <f t="shared" si="584"/>
        <v/>
      </c>
      <c r="AN1437">
        <f t="shared" si="585"/>
        <v>2</v>
      </c>
      <c r="AO1437">
        <f t="shared" si="586"/>
        <v>1</v>
      </c>
      <c r="AP1437">
        <f t="shared" si="587"/>
        <v>0</v>
      </c>
      <c r="AQ1437" t="str">
        <f t="shared" si="588"/>
        <v/>
      </c>
    </row>
    <row r="1438" spans="1:43" x14ac:dyDescent="0.35">
      <c r="A1438">
        <v>2175</v>
      </c>
      <c r="B1438" t="s">
        <v>4498</v>
      </c>
      <c r="C1438" t="s">
        <v>4480</v>
      </c>
      <c r="D1438" t="str">
        <f t="shared" si="570"/>
        <v>Finance</v>
      </c>
      <c r="E1438" t="s">
        <v>4472</v>
      </c>
      <c r="F1438" t="s">
        <v>204</v>
      </c>
      <c r="G1438" t="s">
        <v>4473</v>
      </c>
      <c r="H1438" t="s">
        <v>206</v>
      </c>
      <c r="I1438" s="32">
        <v>44750.601967592593</v>
      </c>
      <c r="J1438" s="32">
        <v>44754.601967592593</v>
      </c>
      <c r="K1438" s="32">
        <v>44759.601967592593</v>
      </c>
      <c r="L1438" s="8">
        <f t="shared" si="571"/>
        <v>9</v>
      </c>
      <c r="M1438" s="7">
        <v>44770.601967592593</v>
      </c>
      <c r="N1438" t="s">
        <v>49</v>
      </c>
      <c r="O1438" s="34">
        <v>44762.601967592593</v>
      </c>
      <c r="P1438" t="s">
        <v>50</v>
      </c>
      <c r="Q1438" t="s">
        <v>84</v>
      </c>
      <c r="R1438" s="32" t="s">
        <v>7472</v>
      </c>
      <c r="S1438" t="s">
        <v>7476</v>
      </c>
      <c r="T1438" s="34" t="s">
        <v>7476</v>
      </c>
      <c r="U1438" s="34" t="s">
        <v>7476</v>
      </c>
      <c r="V1438" s="32">
        <v>44763.601967592593</v>
      </c>
      <c r="W1438" s="32" t="s">
        <v>7476</v>
      </c>
      <c r="X1438">
        <v>0</v>
      </c>
      <c r="Y1438" s="34" t="s">
        <v>7476</v>
      </c>
      <c r="Z1438" s="34" t="s">
        <v>7476</v>
      </c>
      <c r="AA1438" s="34" t="s">
        <v>7476</v>
      </c>
      <c r="AB1438" s="36" t="s">
        <v>95</v>
      </c>
      <c r="AD1438" t="s">
        <v>4499</v>
      </c>
      <c r="AE1438" t="s">
        <v>4500</v>
      </c>
      <c r="AF1438" s="16">
        <v>44811</v>
      </c>
      <c r="AG1438" t="s">
        <v>64</v>
      </c>
      <c r="AH1438">
        <v>3</v>
      </c>
      <c r="AI1438" s="8" t="str">
        <f t="shared" si="581"/>
        <v/>
      </c>
      <c r="AJ1438" s="8">
        <f t="shared" si="582"/>
        <v>-48.3980324074073</v>
      </c>
      <c r="AK1438" s="38">
        <f t="shared" si="572"/>
        <v>44853.601967592593</v>
      </c>
      <c r="AL1438" t="str">
        <f t="shared" si="583"/>
        <v/>
      </c>
      <c r="AM1438" t="str">
        <f t="shared" si="584"/>
        <v/>
      </c>
      <c r="AN1438">
        <f t="shared" si="585"/>
        <v>1</v>
      </c>
      <c r="AO1438">
        <f t="shared" si="586"/>
        <v>4</v>
      </c>
      <c r="AP1438">
        <f t="shared" si="587"/>
        <v>0</v>
      </c>
      <c r="AQ1438" t="str">
        <f t="shared" si="588"/>
        <v/>
      </c>
    </row>
    <row r="1439" spans="1:43" x14ac:dyDescent="0.35">
      <c r="A1439">
        <v>2084</v>
      </c>
      <c r="B1439" t="s">
        <v>4501</v>
      </c>
      <c r="C1439" t="s">
        <v>4502</v>
      </c>
      <c r="D1439" t="str">
        <f t="shared" si="570"/>
        <v>Finance</v>
      </c>
      <c r="E1439" t="s">
        <v>4472</v>
      </c>
      <c r="F1439" t="s">
        <v>204</v>
      </c>
      <c r="G1439" t="s">
        <v>4473</v>
      </c>
      <c r="H1439" t="s">
        <v>206</v>
      </c>
      <c r="I1439" s="32">
        <v>44836.879004629627</v>
      </c>
      <c r="J1439" s="32">
        <v>44839.879004629627</v>
      </c>
      <c r="K1439" s="32">
        <v>44841.879004629627</v>
      </c>
      <c r="L1439" s="8">
        <f t="shared" si="571"/>
        <v>5</v>
      </c>
      <c r="M1439" s="7">
        <v>44855.879004629627</v>
      </c>
      <c r="N1439" t="s">
        <v>49</v>
      </c>
      <c r="O1439" s="34">
        <v>44846.879004629627</v>
      </c>
      <c r="P1439" t="s">
        <v>50</v>
      </c>
      <c r="Q1439" t="s">
        <v>84</v>
      </c>
      <c r="R1439" s="32" t="s">
        <v>7472</v>
      </c>
      <c r="S1439" t="s">
        <v>7476</v>
      </c>
      <c r="T1439" s="34" t="s">
        <v>7476</v>
      </c>
      <c r="U1439" s="34" t="s">
        <v>7476</v>
      </c>
      <c r="V1439" s="32">
        <v>44850.879004629627</v>
      </c>
      <c r="W1439" s="32" t="s">
        <v>7476</v>
      </c>
      <c r="X1439">
        <v>0</v>
      </c>
      <c r="Y1439" s="34" t="s">
        <v>7476</v>
      </c>
      <c r="Z1439" s="34" t="s">
        <v>7476</v>
      </c>
      <c r="AA1439" s="34" t="s">
        <v>7476</v>
      </c>
      <c r="AB1439" s="36" t="s">
        <v>52</v>
      </c>
      <c r="AD1439" t="s">
        <v>4503</v>
      </c>
      <c r="AE1439" t="s">
        <v>4504</v>
      </c>
      <c r="AF1439" s="16">
        <v>44841</v>
      </c>
      <c r="AG1439" t="s">
        <v>98</v>
      </c>
      <c r="AH1439">
        <v>3</v>
      </c>
      <c r="AI1439" s="8" t="str">
        <f t="shared" si="581"/>
        <v/>
      </c>
      <c r="AJ1439" s="8">
        <f t="shared" si="582"/>
        <v>5.8790046296271612</v>
      </c>
      <c r="AK1439" s="38">
        <f t="shared" si="572"/>
        <v>44940.879004629627</v>
      </c>
      <c r="AL1439" t="str">
        <f t="shared" si="583"/>
        <v/>
      </c>
      <c r="AM1439" t="str">
        <f t="shared" si="584"/>
        <v/>
      </c>
      <c r="AN1439">
        <f t="shared" si="585"/>
        <v>4</v>
      </c>
      <c r="AO1439">
        <f t="shared" si="586"/>
        <v>3</v>
      </c>
      <c r="AP1439">
        <f t="shared" si="587"/>
        <v>0</v>
      </c>
      <c r="AQ1439" t="str">
        <f t="shared" si="588"/>
        <v/>
      </c>
    </row>
    <row r="1440" spans="1:43" x14ac:dyDescent="0.35">
      <c r="A1440">
        <v>1890</v>
      </c>
      <c r="B1440" t="s">
        <v>4505</v>
      </c>
      <c r="C1440" t="s">
        <v>4502</v>
      </c>
      <c r="D1440" t="str">
        <f t="shared" si="570"/>
        <v>Finance</v>
      </c>
      <c r="E1440" t="s">
        <v>4472</v>
      </c>
      <c r="F1440" t="s">
        <v>204</v>
      </c>
      <c r="G1440" t="s">
        <v>4473</v>
      </c>
      <c r="H1440" t="s">
        <v>206</v>
      </c>
      <c r="I1440" s="32">
        <v>44838.425185185188</v>
      </c>
      <c r="J1440" s="32">
        <v>44842.425185185188</v>
      </c>
      <c r="K1440" s="32">
        <v>44848.425185185188</v>
      </c>
      <c r="L1440" s="8">
        <f t="shared" si="571"/>
        <v>10</v>
      </c>
      <c r="M1440" s="7">
        <v>44857.425185185188</v>
      </c>
      <c r="N1440" t="s">
        <v>49</v>
      </c>
      <c r="O1440" s="34">
        <v>44863.425185185188</v>
      </c>
      <c r="P1440" t="s">
        <v>50</v>
      </c>
      <c r="Q1440" t="s">
        <v>84</v>
      </c>
      <c r="R1440" s="32" t="s">
        <v>7472</v>
      </c>
      <c r="S1440" t="s">
        <v>7476</v>
      </c>
      <c r="T1440" s="34" t="s">
        <v>7476</v>
      </c>
      <c r="U1440" s="34" t="s">
        <v>7476</v>
      </c>
      <c r="V1440" s="32" t="s">
        <v>7476</v>
      </c>
      <c r="W1440" s="32" t="s">
        <v>7476</v>
      </c>
      <c r="X1440">
        <v>0</v>
      </c>
      <c r="Y1440" s="34" t="s">
        <v>7476</v>
      </c>
      <c r="Z1440" s="34" t="s">
        <v>7476</v>
      </c>
      <c r="AA1440" s="34" t="s">
        <v>7476</v>
      </c>
      <c r="AB1440" s="36" t="s">
        <v>95</v>
      </c>
      <c r="AD1440" t="s">
        <v>4506</v>
      </c>
      <c r="AE1440" t="s">
        <v>4507</v>
      </c>
      <c r="AF1440" s="16">
        <v>44854</v>
      </c>
      <c r="AG1440" t="s">
        <v>64</v>
      </c>
      <c r="AH1440">
        <v>3</v>
      </c>
      <c r="AI1440" s="8" t="str">
        <f t="shared" si="581"/>
        <v/>
      </c>
      <c r="AJ1440" s="8">
        <f t="shared" si="582"/>
        <v>9.4251851851877291</v>
      </c>
      <c r="AK1440" s="38" t="str">
        <f t="shared" si="572"/>
        <v/>
      </c>
      <c r="AL1440" t="str">
        <f t="shared" si="583"/>
        <v/>
      </c>
      <c r="AM1440" t="str">
        <f t="shared" si="584"/>
        <v/>
      </c>
      <c r="AN1440" t="str">
        <f t="shared" si="585"/>
        <v/>
      </c>
      <c r="AO1440">
        <f t="shared" si="586"/>
        <v>4</v>
      </c>
      <c r="AP1440">
        <f t="shared" si="587"/>
        <v>0</v>
      </c>
      <c r="AQ1440" t="str">
        <f t="shared" si="588"/>
        <v/>
      </c>
    </row>
    <row r="1441" spans="1:43" x14ac:dyDescent="0.35">
      <c r="A1441">
        <v>1883</v>
      </c>
      <c r="B1441" t="s">
        <v>4508</v>
      </c>
      <c r="C1441" t="s">
        <v>4480</v>
      </c>
      <c r="D1441" t="str">
        <f t="shared" si="570"/>
        <v>Finance</v>
      </c>
      <c r="E1441" t="s">
        <v>4472</v>
      </c>
      <c r="F1441" t="s">
        <v>204</v>
      </c>
      <c r="G1441" t="s">
        <v>4473</v>
      </c>
      <c r="H1441" t="s">
        <v>206</v>
      </c>
      <c r="I1441" s="32">
        <v>44842.425185185188</v>
      </c>
      <c r="J1441" s="32">
        <v>44846.425185185188</v>
      </c>
      <c r="K1441" s="32">
        <v>44848.425185185188</v>
      </c>
      <c r="L1441" s="8">
        <f t="shared" si="571"/>
        <v>6</v>
      </c>
      <c r="M1441" s="7">
        <v>44862.425185185188</v>
      </c>
      <c r="N1441" t="s">
        <v>49</v>
      </c>
      <c r="O1441" s="34">
        <v>44855.425185185188</v>
      </c>
      <c r="P1441" t="s">
        <v>50</v>
      </c>
      <c r="Q1441" t="s">
        <v>198</v>
      </c>
      <c r="R1441" s="32" t="s">
        <v>7472</v>
      </c>
      <c r="S1441" t="s">
        <v>7476</v>
      </c>
      <c r="T1441" s="34" t="s">
        <v>7476</v>
      </c>
      <c r="U1441" s="34" t="s">
        <v>7476</v>
      </c>
      <c r="V1441" s="32">
        <v>44857.425185185188</v>
      </c>
      <c r="W1441" s="32" t="s">
        <v>7476</v>
      </c>
      <c r="X1441">
        <v>0</v>
      </c>
      <c r="Y1441" s="34" t="s">
        <v>7476</v>
      </c>
      <c r="Z1441" s="34" t="s">
        <v>7476</v>
      </c>
      <c r="AA1441" s="34" t="s">
        <v>7476</v>
      </c>
      <c r="AB1441" s="36" t="s">
        <v>52</v>
      </c>
      <c r="AD1441" t="s">
        <v>4509</v>
      </c>
      <c r="AE1441" t="s">
        <v>4510</v>
      </c>
      <c r="AF1441" s="16">
        <v>44840</v>
      </c>
      <c r="AG1441" t="s">
        <v>98</v>
      </c>
      <c r="AH1441">
        <v>3</v>
      </c>
      <c r="AI1441" s="8" t="str">
        <f t="shared" si="581"/>
        <v/>
      </c>
      <c r="AJ1441" s="8">
        <f t="shared" si="582"/>
        <v>15.425185185187729</v>
      </c>
      <c r="AK1441" s="38">
        <f t="shared" si="572"/>
        <v>44947.425185185188</v>
      </c>
      <c r="AL1441" t="str">
        <f t="shared" si="583"/>
        <v/>
      </c>
      <c r="AM1441" t="str">
        <f t="shared" si="584"/>
        <v/>
      </c>
      <c r="AN1441">
        <f t="shared" si="585"/>
        <v>2</v>
      </c>
      <c r="AO1441">
        <f t="shared" si="586"/>
        <v>4</v>
      </c>
      <c r="AP1441">
        <f t="shared" si="587"/>
        <v>0</v>
      </c>
      <c r="AQ1441" t="str">
        <f t="shared" si="588"/>
        <v/>
      </c>
    </row>
    <row r="1442" spans="1:43" x14ac:dyDescent="0.35">
      <c r="A1442">
        <v>1845</v>
      </c>
      <c r="B1442" t="s">
        <v>4511</v>
      </c>
      <c r="C1442" t="s">
        <v>4471</v>
      </c>
      <c r="D1442" t="str">
        <f t="shared" si="570"/>
        <v>Finance</v>
      </c>
      <c r="E1442" t="s">
        <v>4472</v>
      </c>
      <c r="F1442" t="s">
        <v>204</v>
      </c>
      <c r="G1442" t="s">
        <v>4473</v>
      </c>
      <c r="H1442" t="s">
        <v>206</v>
      </c>
      <c r="I1442" s="32">
        <v>44610.970185185193</v>
      </c>
      <c r="J1442" s="32">
        <v>44612.970185185193</v>
      </c>
      <c r="K1442" s="32">
        <v>44615.970185185193</v>
      </c>
      <c r="L1442" s="8">
        <f t="shared" si="571"/>
        <v>5</v>
      </c>
      <c r="M1442" s="7">
        <v>44644.970185185193</v>
      </c>
      <c r="N1442" t="s">
        <v>49</v>
      </c>
      <c r="O1442" s="34">
        <v>44626.970185185193</v>
      </c>
      <c r="P1442" t="s">
        <v>50</v>
      </c>
      <c r="Q1442" t="s">
        <v>51</v>
      </c>
      <c r="R1442" s="32" t="s">
        <v>7472</v>
      </c>
      <c r="S1442" t="s">
        <v>7476</v>
      </c>
      <c r="T1442" s="34" t="s">
        <v>7476</v>
      </c>
      <c r="U1442" s="34" t="s">
        <v>7476</v>
      </c>
      <c r="V1442" s="32" t="s">
        <v>7476</v>
      </c>
      <c r="W1442" s="32" t="s">
        <v>7476</v>
      </c>
      <c r="X1442">
        <v>0</v>
      </c>
      <c r="Y1442" s="34" t="s">
        <v>7476</v>
      </c>
      <c r="Z1442" s="34" t="s">
        <v>7476</v>
      </c>
      <c r="AA1442" s="34" t="s">
        <v>7476</v>
      </c>
      <c r="AB1442" s="36" t="s">
        <v>52</v>
      </c>
      <c r="AD1442" t="s">
        <v>4512</v>
      </c>
      <c r="AE1442" t="s">
        <v>4513</v>
      </c>
      <c r="AF1442" s="16">
        <v>44618</v>
      </c>
      <c r="AG1442" t="s">
        <v>68</v>
      </c>
      <c r="AH1442">
        <v>3</v>
      </c>
      <c r="AI1442" s="8" t="str">
        <f t="shared" si="581"/>
        <v/>
      </c>
      <c r="AJ1442" s="8">
        <f t="shared" si="582"/>
        <v>8.9701851851932588</v>
      </c>
      <c r="AK1442" s="38" t="str">
        <f t="shared" si="572"/>
        <v/>
      </c>
      <c r="AL1442" t="str">
        <f t="shared" si="583"/>
        <v/>
      </c>
      <c r="AM1442" t="str">
        <f t="shared" si="584"/>
        <v/>
      </c>
      <c r="AN1442" t="str">
        <f t="shared" si="585"/>
        <v/>
      </c>
      <c r="AO1442">
        <f t="shared" si="586"/>
        <v>2</v>
      </c>
      <c r="AP1442">
        <f t="shared" si="587"/>
        <v>0</v>
      </c>
      <c r="AQ1442" t="str">
        <f t="shared" si="588"/>
        <v/>
      </c>
    </row>
    <row r="1443" spans="1:43" x14ac:dyDescent="0.35">
      <c r="A1443">
        <v>1757</v>
      </c>
      <c r="B1443" t="s">
        <v>4514</v>
      </c>
      <c r="C1443" t="s">
        <v>4480</v>
      </c>
      <c r="D1443" t="str">
        <f t="shared" si="570"/>
        <v>Finance</v>
      </c>
      <c r="E1443" t="s">
        <v>4472</v>
      </c>
      <c r="F1443" t="s">
        <v>204</v>
      </c>
      <c r="G1443" t="s">
        <v>4473</v>
      </c>
      <c r="H1443" t="s">
        <v>206</v>
      </c>
      <c r="I1443" s="32">
        <v>44708.645821759259</v>
      </c>
      <c r="J1443" s="32">
        <v>44712.645821759259</v>
      </c>
      <c r="K1443" s="32">
        <v>44718.645821759259</v>
      </c>
      <c r="L1443" s="8">
        <f t="shared" si="571"/>
        <v>10</v>
      </c>
      <c r="M1443" s="7">
        <v>44736.645821759259</v>
      </c>
      <c r="N1443" t="s">
        <v>49</v>
      </c>
      <c r="O1443" s="34">
        <v>44727.645821759259</v>
      </c>
      <c r="P1443" t="s">
        <v>50</v>
      </c>
      <c r="Q1443" t="s">
        <v>51</v>
      </c>
      <c r="R1443" s="32" t="s">
        <v>7472</v>
      </c>
      <c r="S1443" t="s">
        <v>7476</v>
      </c>
      <c r="T1443" s="34" t="s">
        <v>7476</v>
      </c>
      <c r="U1443" s="34" t="s">
        <v>7476</v>
      </c>
      <c r="V1443" s="32" t="s">
        <v>7476</v>
      </c>
      <c r="W1443" s="32" t="s">
        <v>7476</v>
      </c>
      <c r="X1443">
        <v>0</v>
      </c>
      <c r="Y1443" s="34" t="s">
        <v>7476</v>
      </c>
      <c r="Z1443" s="34" t="s">
        <v>7476</v>
      </c>
      <c r="AA1443" s="34" t="s">
        <v>7476</v>
      </c>
      <c r="AB1443" s="36" t="s">
        <v>52</v>
      </c>
      <c r="AD1443" t="s">
        <v>4515</v>
      </c>
      <c r="AE1443" t="s">
        <v>4516</v>
      </c>
      <c r="AF1443" s="16">
        <v>44712</v>
      </c>
      <c r="AG1443" t="s">
        <v>68</v>
      </c>
      <c r="AH1443">
        <v>6</v>
      </c>
      <c r="AI1443" s="8" t="str">
        <f t="shared" si="581"/>
        <v/>
      </c>
      <c r="AJ1443" s="8">
        <f t="shared" si="582"/>
        <v>15.645821759258979</v>
      </c>
      <c r="AK1443" s="38" t="str">
        <f t="shared" si="572"/>
        <v/>
      </c>
      <c r="AL1443" t="str">
        <f t="shared" si="583"/>
        <v/>
      </c>
      <c r="AM1443" t="str">
        <f t="shared" si="584"/>
        <v/>
      </c>
      <c r="AN1443" t="str">
        <f t="shared" si="585"/>
        <v/>
      </c>
      <c r="AO1443">
        <f t="shared" si="586"/>
        <v>4</v>
      </c>
      <c r="AP1443">
        <f t="shared" si="587"/>
        <v>0</v>
      </c>
      <c r="AQ1443" t="str">
        <f t="shared" si="588"/>
        <v/>
      </c>
    </row>
    <row r="1444" spans="1:43" x14ac:dyDescent="0.35">
      <c r="A1444">
        <v>1702</v>
      </c>
      <c r="B1444" t="s">
        <v>4517</v>
      </c>
      <c r="C1444" t="s">
        <v>4502</v>
      </c>
      <c r="D1444" t="str">
        <f t="shared" si="570"/>
        <v>Finance</v>
      </c>
      <c r="E1444" t="s">
        <v>4472</v>
      </c>
      <c r="F1444" t="s">
        <v>204</v>
      </c>
      <c r="G1444" t="s">
        <v>4473</v>
      </c>
      <c r="H1444" t="s">
        <v>206</v>
      </c>
      <c r="I1444" s="32">
        <v>44984.751342592594</v>
      </c>
      <c r="J1444" s="32">
        <v>44988.751342592594</v>
      </c>
      <c r="K1444" s="32">
        <v>44994.751342592594</v>
      </c>
      <c r="L1444" s="8">
        <f t="shared" si="571"/>
        <v>10</v>
      </c>
      <c r="M1444" s="7">
        <v>45008.751342592594</v>
      </c>
      <c r="N1444" t="s">
        <v>49</v>
      </c>
      <c r="O1444" s="34">
        <v>45007.751342592594</v>
      </c>
      <c r="P1444" t="s">
        <v>50</v>
      </c>
      <c r="Q1444" t="s">
        <v>51</v>
      </c>
      <c r="R1444" s="32" t="s">
        <v>7472</v>
      </c>
      <c r="S1444" t="s">
        <v>7476</v>
      </c>
      <c r="T1444" s="34" t="s">
        <v>7476</v>
      </c>
      <c r="U1444" s="34" t="s">
        <v>7476</v>
      </c>
      <c r="V1444" s="32" t="s">
        <v>7476</v>
      </c>
      <c r="W1444" s="32" t="s">
        <v>7476</v>
      </c>
      <c r="X1444">
        <v>0</v>
      </c>
      <c r="Y1444" s="34" t="s">
        <v>7476</v>
      </c>
      <c r="Z1444" s="34" t="s">
        <v>7476</v>
      </c>
      <c r="AA1444" s="34" t="s">
        <v>7476</v>
      </c>
      <c r="AB1444" s="36" t="s">
        <v>95</v>
      </c>
      <c r="AD1444" t="s">
        <v>4518</v>
      </c>
      <c r="AE1444" t="s">
        <v>4519</v>
      </c>
      <c r="AF1444" s="16">
        <v>44990</v>
      </c>
      <c r="AG1444" t="s">
        <v>98</v>
      </c>
      <c r="AH1444">
        <v>6</v>
      </c>
      <c r="AI1444" s="8" t="str">
        <f t="shared" si="581"/>
        <v/>
      </c>
      <c r="AJ1444" s="8">
        <f t="shared" si="582"/>
        <v>17.751342592593573</v>
      </c>
      <c r="AK1444" s="38" t="str">
        <f t="shared" si="572"/>
        <v/>
      </c>
      <c r="AL1444" t="str">
        <f t="shared" si="583"/>
        <v/>
      </c>
      <c r="AM1444" t="str">
        <f t="shared" si="584"/>
        <v/>
      </c>
      <c r="AN1444" t="str">
        <f t="shared" si="585"/>
        <v/>
      </c>
      <c r="AO1444">
        <f t="shared" si="586"/>
        <v>4</v>
      </c>
      <c r="AP1444">
        <f t="shared" si="587"/>
        <v>0</v>
      </c>
      <c r="AQ1444" t="str">
        <f t="shared" si="588"/>
        <v/>
      </c>
    </row>
    <row r="1445" spans="1:43" x14ac:dyDescent="0.35">
      <c r="A1445">
        <v>1677</v>
      </c>
      <c r="B1445" t="s">
        <v>4520</v>
      </c>
      <c r="C1445" t="s">
        <v>4480</v>
      </c>
      <c r="D1445" t="str">
        <f t="shared" si="570"/>
        <v>Finance</v>
      </c>
      <c r="E1445" t="s">
        <v>4472</v>
      </c>
      <c r="F1445" t="s">
        <v>204</v>
      </c>
      <c r="G1445" t="s">
        <v>4473</v>
      </c>
      <c r="H1445" t="s">
        <v>206</v>
      </c>
      <c r="I1445" s="32">
        <v>44870.144270833327</v>
      </c>
      <c r="J1445" s="32">
        <v>44871.144270833327</v>
      </c>
      <c r="K1445" s="32">
        <v>44877.144270833327</v>
      </c>
      <c r="L1445" s="8">
        <f t="shared" si="571"/>
        <v>7</v>
      </c>
      <c r="M1445" s="7">
        <v>44890.144270833327</v>
      </c>
      <c r="N1445" t="s">
        <v>49</v>
      </c>
      <c r="O1445" s="34">
        <v>44885.144270833327</v>
      </c>
      <c r="P1445" t="s">
        <v>50</v>
      </c>
      <c r="Q1445" t="s">
        <v>51</v>
      </c>
      <c r="R1445" s="32" t="s">
        <v>7472</v>
      </c>
      <c r="S1445" t="s">
        <v>7476</v>
      </c>
      <c r="T1445" s="34" t="s">
        <v>7476</v>
      </c>
      <c r="U1445" s="34" t="s">
        <v>7476</v>
      </c>
      <c r="V1445" s="32">
        <v>44887.144270833327</v>
      </c>
      <c r="W1445" s="32" t="s">
        <v>7476</v>
      </c>
      <c r="X1445">
        <v>0</v>
      </c>
      <c r="Y1445" s="34" t="s">
        <v>7476</v>
      </c>
      <c r="Z1445" s="34" t="s">
        <v>7476</v>
      </c>
      <c r="AA1445" s="34" t="s">
        <v>7476</v>
      </c>
      <c r="AB1445" s="36" t="s">
        <v>52</v>
      </c>
      <c r="AD1445" t="s">
        <v>4521</v>
      </c>
      <c r="AE1445" t="s">
        <v>4522</v>
      </c>
      <c r="AF1445" s="16">
        <v>44631</v>
      </c>
      <c r="AG1445" t="s">
        <v>98</v>
      </c>
      <c r="AH1445">
        <v>3</v>
      </c>
      <c r="AI1445" s="8" t="str">
        <f t="shared" si="581"/>
        <v/>
      </c>
      <c r="AJ1445" s="8">
        <f t="shared" si="582"/>
        <v>254.14427083332703</v>
      </c>
      <c r="AK1445" s="38">
        <f t="shared" si="572"/>
        <v>44977.144270833327</v>
      </c>
      <c r="AL1445" t="str">
        <f t="shared" si="583"/>
        <v/>
      </c>
      <c r="AM1445" t="str">
        <f t="shared" si="584"/>
        <v/>
      </c>
      <c r="AN1445">
        <f t="shared" si="585"/>
        <v>2</v>
      </c>
      <c r="AO1445">
        <f t="shared" si="586"/>
        <v>1</v>
      </c>
      <c r="AP1445">
        <f t="shared" si="587"/>
        <v>0</v>
      </c>
      <c r="AQ1445" t="str">
        <f t="shared" si="588"/>
        <v/>
      </c>
    </row>
    <row r="1446" spans="1:43" x14ac:dyDescent="0.35">
      <c r="A1446">
        <v>1635</v>
      </c>
      <c r="B1446" t="s">
        <v>4523</v>
      </c>
      <c r="C1446" t="s">
        <v>4502</v>
      </c>
      <c r="D1446" t="str">
        <f t="shared" si="570"/>
        <v>Finance</v>
      </c>
      <c r="E1446" t="s">
        <v>4472</v>
      </c>
      <c r="F1446" t="s">
        <v>204</v>
      </c>
      <c r="G1446" t="s">
        <v>4473</v>
      </c>
      <c r="H1446" t="s">
        <v>206</v>
      </c>
      <c r="I1446" s="32">
        <v>45171.320416666669</v>
      </c>
      <c r="J1446" s="32">
        <v>45172.320416666669</v>
      </c>
      <c r="K1446" s="32">
        <v>45178.320416666669</v>
      </c>
      <c r="L1446" s="8">
        <f t="shared" si="571"/>
        <v>7</v>
      </c>
      <c r="M1446" s="7">
        <v>45206.320416666669</v>
      </c>
      <c r="N1446" t="s">
        <v>49</v>
      </c>
      <c r="O1446" s="34">
        <v>45184.320416666669</v>
      </c>
      <c r="P1446" t="s">
        <v>50</v>
      </c>
      <c r="Q1446" t="s">
        <v>125</v>
      </c>
      <c r="R1446" s="32" t="s">
        <v>7472</v>
      </c>
      <c r="S1446" t="s">
        <v>7476</v>
      </c>
      <c r="T1446" s="34" t="s">
        <v>7476</v>
      </c>
      <c r="U1446" s="34" t="s">
        <v>7476</v>
      </c>
      <c r="V1446" s="32">
        <v>45188.320416666669</v>
      </c>
      <c r="W1446" s="32" t="s">
        <v>7476</v>
      </c>
      <c r="X1446">
        <v>0</v>
      </c>
      <c r="Y1446" s="34" t="s">
        <v>7476</v>
      </c>
      <c r="Z1446" s="34" t="s">
        <v>7476</v>
      </c>
      <c r="AA1446" s="34" t="s">
        <v>7476</v>
      </c>
      <c r="AB1446" s="36" t="s">
        <v>95</v>
      </c>
      <c r="AD1446" t="s">
        <v>4524</v>
      </c>
      <c r="AE1446" t="s">
        <v>4525</v>
      </c>
      <c r="AF1446" s="16">
        <v>45169</v>
      </c>
      <c r="AG1446" t="s">
        <v>98</v>
      </c>
      <c r="AH1446">
        <v>3</v>
      </c>
      <c r="AI1446" s="8" t="str">
        <f t="shared" si="581"/>
        <v/>
      </c>
      <c r="AJ1446" s="8">
        <f t="shared" si="582"/>
        <v>15.320416666669189</v>
      </c>
      <c r="AK1446" s="38">
        <f t="shared" si="572"/>
        <v>45278.320416666669</v>
      </c>
      <c r="AL1446" t="str">
        <f t="shared" si="583"/>
        <v/>
      </c>
      <c r="AM1446" t="str">
        <f t="shared" si="584"/>
        <v/>
      </c>
      <c r="AN1446">
        <f t="shared" si="585"/>
        <v>4</v>
      </c>
      <c r="AO1446">
        <f t="shared" si="586"/>
        <v>1</v>
      </c>
      <c r="AP1446">
        <f t="shared" si="587"/>
        <v>0</v>
      </c>
      <c r="AQ1446" t="str">
        <f t="shared" si="588"/>
        <v/>
      </c>
    </row>
    <row r="1447" spans="1:43" x14ac:dyDescent="0.35">
      <c r="A1447">
        <v>1585</v>
      </c>
      <c r="B1447" t="s">
        <v>4526</v>
      </c>
      <c r="C1447" t="s">
        <v>4480</v>
      </c>
      <c r="D1447" t="str">
        <f t="shared" si="570"/>
        <v>Finance</v>
      </c>
      <c r="E1447" t="s">
        <v>4472</v>
      </c>
      <c r="F1447" t="s">
        <v>204</v>
      </c>
      <c r="G1447" t="s">
        <v>4473</v>
      </c>
      <c r="H1447" t="s">
        <v>206</v>
      </c>
      <c r="I1447" s="32">
        <v>45184.840821759259</v>
      </c>
      <c r="J1447" s="32">
        <v>45186.840821759259</v>
      </c>
      <c r="K1447" s="32">
        <v>45188.840821759259</v>
      </c>
      <c r="L1447" s="8">
        <f t="shared" si="571"/>
        <v>4</v>
      </c>
      <c r="M1447" s="7">
        <v>45201.840821759259</v>
      </c>
      <c r="N1447" t="s">
        <v>49</v>
      </c>
      <c r="O1447" s="34">
        <v>45202.840821759259</v>
      </c>
      <c r="P1447" t="s">
        <v>50</v>
      </c>
      <c r="Q1447" t="s">
        <v>125</v>
      </c>
      <c r="R1447" s="32" t="s">
        <v>7472</v>
      </c>
      <c r="S1447" t="s">
        <v>7476</v>
      </c>
      <c r="T1447" s="34" t="s">
        <v>7476</v>
      </c>
      <c r="U1447" s="34" t="s">
        <v>7476</v>
      </c>
      <c r="V1447" s="32">
        <v>45204.840821759259</v>
      </c>
      <c r="W1447" s="32" t="s">
        <v>7476</v>
      </c>
      <c r="X1447">
        <v>0</v>
      </c>
      <c r="Y1447" s="34" t="s">
        <v>7476</v>
      </c>
      <c r="Z1447" s="34" t="s">
        <v>7476</v>
      </c>
      <c r="AA1447" s="34" t="s">
        <v>7476</v>
      </c>
      <c r="AB1447" s="36" t="s">
        <v>52</v>
      </c>
      <c r="AD1447" t="s">
        <v>4527</v>
      </c>
      <c r="AE1447" t="s">
        <v>4528</v>
      </c>
      <c r="AF1447" s="16">
        <v>45188</v>
      </c>
      <c r="AG1447" t="s">
        <v>98</v>
      </c>
      <c r="AH1447">
        <v>6</v>
      </c>
      <c r="AI1447" s="8" t="str">
        <f t="shared" si="581"/>
        <v/>
      </c>
      <c r="AJ1447" s="8">
        <f t="shared" si="582"/>
        <v>14.840821759258688</v>
      </c>
      <c r="AK1447" s="38">
        <f t="shared" si="572"/>
        <v>45384.840821759259</v>
      </c>
      <c r="AL1447" t="str">
        <f t="shared" si="583"/>
        <v/>
      </c>
      <c r="AM1447" t="str">
        <f t="shared" si="584"/>
        <v/>
      </c>
      <c r="AN1447">
        <f t="shared" si="585"/>
        <v>2</v>
      </c>
      <c r="AO1447">
        <f t="shared" si="586"/>
        <v>2</v>
      </c>
      <c r="AP1447">
        <f t="shared" si="587"/>
        <v>0</v>
      </c>
      <c r="AQ1447" t="str">
        <f t="shared" si="588"/>
        <v/>
      </c>
    </row>
    <row r="1448" spans="1:43" x14ac:dyDescent="0.35">
      <c r="A1448">
        <v>1581</v>
      </c>
      <c r="B1448" t="s">
        <v>4529</v>
      </c>
      <c r="C1448" t="s">
        <v>4480</v>
      </c>
      <c r="D1448" t="str">
        <f t="shared" si="570"/>
        <v>Finance</v>
      </c>
      <c r="E1448" t="s">
        <v>4472</v>
      </c>
      <c r="F1448" t="s">
        <v>204</v>
      </c>
      <c r="G1448" t="s">
        <v>4473</v>
      </c>
      <c r="H1448" t="s">
        <v>206</v>
      </c>
      <c r="I1448" s="32">
        <v>45180.840821759259</v>
      </c>
      <c r="J1448" s="32">
        <v>45184.840821759259</v>
      </c>
      <c r="K1448" s="32">
        <v>45188.840821759259</v>
      </c>
      <c r="L1448" s="8">
        <f t="shared" si="571"/>
        <v>8</v>
      </c>
      <c r="M1448" s="7">
        <v>45201.840821759259</v>
      </c>
      <c r="N1448" t="s">
        <v>49</v>
      </c>
      <c r="O1448" s="34">
        <v>45198.840821759259</v>
      </c>
      <c r="P1448" t="s">
        <v>50</v>
      </c>
      <c r="Q1448" t="s">
        <v>84</v>
      </c>
      <c r="R1448" s="32" t="s">
        <v>7472</v>
      </c>
      <c r="S1448" t="s">
        <v>7476</v>
      </c>
      <c r="T1448" s="34" t="s">
        <v>7476</v>
      </c>
      <c r="U1448" s="34" t="s">
        <v>7476</v>
      </c>
      <c r="V1448" s="32" t="s">
        <v>7476</v>
      </c>
      <c r="W1448" s="32" t="s">
        <v>7476</v>
      </c>
      <c r="X1448">
        <v>0</v>
      </c>
      <c r="Y1448" s="34" t="s">
        <v>7476</v>
      </c>
      <c r="Z1448" s="34" t="s">
        <v>7476</v>
      </c>
      <c r="AA1448" s="34" t="s">
        <v>7476</v>
      </c>
      <c r="AB1448" s="36" t="s">
        <v>52</v>
      </c>
      <c r="AD1448" t="s">
        <v>4530</v>
      </c>
      <c r="AE1448" t="s">
        <v>4531</v>
      </c>
      <c r="AF1448" s="16">
        <v>45239</v>
      </c>
      <c r="AG1448" t="s">
        <v>64</v>
      </c>
      <c r="AH1448">
        <v>6</v>
      </c>
      <c r="AI1448" s="8" t="str">
        <f t="shared" si="581"/>
        <v/>
      </c>
      <c r="AJ1448" s="8">
        <f t="shared" si="582"/>
        <v>-40.159178240741312</v>
      </c>
      <c r="AK1448" s="38" t="str">
        <f t="shared" si="572"/>
        <v/>
      </c>
      <c r="AL1448" t="str">
        <f t="shared" si="583"/>
        <v/>
      </c>
      <c r="AM1448" t="str">
        <f t="shared" si="584"/>
        <v/>
      </c>
      <c r="AN1448" t="str">
        <f t="shared" si="585"/>
        <v/>
      </c>
      <c r="AO1448">
        <f t="shared" si="586"/>
        <v>4</v>
      </c>
      <c r="AP1448">
        <f t="shared" si="587"/>
        <v>0</v>
      </c>
      <c r="AQ1448" t="str">
        <f t="shared" si="588"/>
        <v/>
      </c>
    </row>
    <row r="1449" spans="1:43" x14ac:dyDescent="0.35">
      <c r="A1449">
        <v>1568</v>
      </c>
      <c r="B1449" t="s">
        <v>4532</v>
      </c>
      <c r="C1449" t="s">
        <v>4471</v>
      </c>
      <c r="D1449" t="str">
        <f t="shared" si="570"/>
        <v>Finance</v>
      </c>
      <c r="E1449" t="s">
        <v>4472</v>
      </c>
      <c r="F1449" t="s">
        <v>204</v>
      </c>
      <c r="G1449" t="s">
        <v>4473</v>
      </c>
      <c r="H1449" t="s">
        <v>206</v>
      </c>
      <c r="I1449" s="32">
        <v>44640.490486111114</v>
      </c>
      <c r="J1449" s="32" t="s">
        <v>7471</v>
      </c>
      <c r="K1449" s="32">
        <v>44645.490486111114</v>
      </c>
      <c r="L1449" s="8">
        <f t="shared" si="571"/>
        <v>5</v>
      </c>
      <c r="M1449" s="7">
        <v>44667.490486111114</v>
      </c>
      <c r="N1449" t="s">
        <v>49</v>
      </c>
      <c r="O1449" s="34">
        <v>44654.490486111114</v>
      </c>
      <c r="P1449" t="s">
        <v>50</v>
      </c>
      <c r="Q1449" t="s">
        <v>84</v>
      </c>
      <c r="R1449" s="32" t="s">
        <v>7472</v>
      </c>
      <c r="S1449" t="s">
        <v>7476</v>
      </c>
      <c r="T1449" s="34" t="s">
        <v>7476</v>
      </c>
      <c r="U1449" s="34" t="s">
        <v>7476</v>
      </c>
      <c r="V1449" s="32" t="s">
        <v>7476</v>
      </c>
      <c r="W1449" s="32" t="s">
        <v>7476</v>
      </c>
      <c r="X1449">
        <v>0</v>
      </c>
      <c r="Y1449" s="34" t="s">
        <v>7476</v>
      </c>
      <c r="Z1449" s="34" t="s">
        <v>7476</v>
      </c>
      <c r="AA1449" s="34" t="s">
        <v>7476</v>
      </c>
      <c r="AB1449" s="36" t="s">
        <v>52</v>
      </c>
      <c r="AD1449" t="s">
        <v>4533</v>
      </c>
      <c r="AE1449" t="s">
        <v>4534</v>
      </c>
      <c r="AF1449" s="16">
        <v>44642</v>
      </c>
      <c r="AG1449" t="s">
        <v>75</v>
      </c>
      <c r="AH1449">
        <v>3</v>
      </c>
      <c r="AK1449" s="38" t="str">
        <f t="shared" si="572"/>
        <v/>
      </c>
    </row>
    <row r="1450" spans="1:43" x14ac:dyDescent="0.35">
      <c r="A1450">
        <v>1524</v>
      </c>
      <c r="B1450" t="s">
        <v>4535</v>
      </c>
      <c r="C1450" t="s">
        <v>4480</v>
      </c>
      <c r="D1450" t="str">
        <f t="shared" si="570"/>
        <v>Finance</v>
      </c>
      <c r="E1450" t="s">
        <v>4472</v>
      </c>
      <c r="F1450" t="s">
        <v>204</v>
      </c>
      <c r="G1450" t="s">
        <v>4473</v>
      </c>
      <c r="H1450" t="s">
        <v>206</v>
      </c>
      <c r="I1450" s="32">
        <v>44928.025208333333</v>
      </c>
      <c r="J1450" s="32">
        <v>44931.025208333333</v>
      </c>
      <c r="K1450" s="32">
        <v>44933.025208333333</v>
      </c>
      <c r="L1450" s="8">
        <f t="shared" si="571"/>
        <v>5</v>
      </c>
      <c r="M1450" s="7">
        <v>44943.025208333333</v>
      </c>
      <c r="N1450" t="s">
        <v>49</v>
      </c>
      <c r="O1450" s="34">
        <v>44938.025208333333</v>
      </c>
      <c r="P1450" t="s">
        <v>50</v>
      </c>
      <c r="Q1450" t="s">
        <v>84</v>
      </c>
      <c r="R1450" s="32" t="s">
        <v>7472</v>
      </c>
      <c r="S1450" t="s">
        <v>7476</v>
      </c>
      <c r="T1450" s="34" t="s">
        <v>7476</v>
      </c>
      <c r="U1450" s="34" t="s">
        <v>7476</v>
      </c>
      <c r="V1450" s="32" t="s">
        <v>7476</v>
      </c>
      <c r="W1450" s="32" t="s">
        <v>7476</v>
      </c>
      <c r="X1450">
        <v>0</v>
      </c>
      <c r="Y1450" s="34" t="s">
        <v>7476</v>
      </c>
      <c r="Z1450" s="34" t="s">
        <v>7476</v>
      </c>
      <c r="AA1450" s="34" t="s">
        <v>7476</v>
      </c>
      <c r="AB1450" s="36" t="s">
        <v>52</v>
      </c>
      <c r="AD1450" t="s">
        <v>4536</v>
      </c>
      <c r="AE1450" t="s">
        <v>4537</v>
      </c>
      <c r="AF1450" s="16">
        <v>45047</v>
      </c>
      <c r="AG1450" t="s">
        <v>64</v>
      </c>
      <c r="AH1450">
        <v>3</v>
      </c>
      <c r="AI1450" s="8" t="str">
        <f t="shared" ref="AI1450:AI1461" si="589">IFERROR(R1450-AF1450,"")</f>
        <v/>
      </c>
      <c r="AJ1450" s="8">
        <f t="shared" ref="AJ1450:AJ1461" si="590">IFERROR(O1450-AF1450,"")</f>
        <v>-108.97479166666744</v>
      </c>
      <c r="AK1450" s="38" t="str">
        <f t="shared" si="572"/>
        <v/>
      </c>
      <c r="AL1450" t="str">
        <f t="shared" ref="AL1450:AL1461" si="591">IFERROR(Z1450-W1450,"")</f>
        <v/>
      </c>
      <c r="AM1450" t="str">
        <f t="shared" ref="AM1450:AM1461" si="592">IFERROR(R1450-J1450,"")</f>
        <v/>
      </c>
      <c r="AN1450" t="str">
        <f t="shared" ref="AN1450:AN1461" si="593">IFERROR(V1450-O1450,"")</f>
        <v/>
      </c>
      <c r="AO1450">
        <f t="shared" ref="AO1450:AO1461" si="594">IFERROR(J1450-I1450,"")</f>
        <v>3</v>
      </c>
      <c r="AP1450">
        <f t="shared" ref="AP1450:AP1461" si="595">IFERROR(AC1450-X1450,"")</f>
        <v>0</v>
      </c>
      <c r="AQ1450" t="str">
        <f t="shared" ref="AQ1450:AQ1461" si="596">IFERROR(AA1450-W1450,"")</f>
        <v/>
      </c>
    </row>
    <row r="1451" spans="1:43" x14ac:dyDescent="0.35">
      <c r="A1451">
        <v>1514</v>
      </c>
      <c r="B1451" t="s">
        <v>4538</v>
      </c>
      <c r="C1451" t="s">
        <v>4471</v>
      </c>
      <c r="D1451" t="str">
        <f t="shared" si="570"/>
        <v>Finance</v>
      </c>
      <c r="E1451" t="s">
        <v>4472</v>
      </c>
      <c r="F1451" t="s">
        <v>204</v>
      </c>
      <c r="G1451" t="s">
        <v>4473</v>
      </c>
      <c r="H1451" t="s">
        <v>206</v>
      </c>
      <c r="I1451" s="32">
        <v>44920.208773148152</v>
      </c>
      <c r="J1451" s="32">
        <v>44923.208773148152</v>
      </c>
      <c r="K1451" s="32">
        <v>44927.208773148152</v>
      </c>
      <c r="L1451" s="8">
        <f t="shared" si="571"/>
        <v>7</v>
      </c>
      <c r="M1451" s="7">
        <v>44938.208773148152</v>
      </c>
      <c r="N1451" t="s">
        <v>49</v>
      </c>
      <c r="O1451" s="34">
        <v>44934.208773148152</v>
      </c>
      <c r="P1451" t="s">
        <v>50</v>
      </c>
      <c r="Q1451" t="s">
        <v>51</v>
      </c>
      <c r="R1451" s="32" t="s">
        <v>7472</v>
      </c>
      <c r="S1451" t="s">
        <v>7476</v>
      </c>
      <c r="T1451" s="34" t="s">
        <v>7476</v>
      </c>
      <c r="U1451" s="34" t="s">
        <v>7476</v>
      </c>
      <c r="V1451" s="32">
        <v>44938.208773148152</v>
      </c>
      <c r="W1451" s="32" t="s">
        <v>7476</v>
      </c>
      <c r="X1451">
        <v>0</v>
      </c>
      <c r="Y1451" s="34" t="s">
        <v>7476</v>
      </c>
      <c r="Z1451" s="34" t="s">
        <v>7476</v>
      </c>
      <c r="AA1451" s="34" t="s">
        <v>7476</v>
      </c>
      <c r="AB1451" s="36" t="s">
        <v>95</v>
      </c>
      <c r="AD1451" t="s">
        <v>4539</v>
      </c>
      <c r="AE1451" t="s">
        <v>4540</v>
      </c>
      <c r="AF1451" s="16">
        <v>44920</v>
      </c>
      <c r="AG1451" t="s">
        <v>68</v>
      </c>
      <c r="AH1451">
        <v>3</v>
      </c>
      <c r="AI1451" s="8" t="str">
        <f t="shared" si="589"/>
        <v/>
      </c>
      <c r="AJ1451" s="8">
        <f t="shared" si="590"/>
        <v>14.208773148151522</v>
      </c>
      <c r="AK1451" s="38">
        <f t="shared" si="572"/>
        <v>45028.208773148152</v>
      </c>
      <c r="AL1451" t="str">
        <f t="shared" si="591"/>
        <v/>
      </c>
      <c r="AM1451" t="str">
        <f t="shared" si="592"/>
        <v/>
      </c>
      <c r="AN1451">
        <f t="shared" si="593"/>
        <v>4</v>
      </c>
      <c r="AO1451">
        <f t="shared" si="594"/>
        <v>3</v>
      </c>
      <c r="AP1451">
        <f t="shared" si="595"/>
        <v>0</v>
      </c>
      <c r="AQ1451" t="str">
        <f t="shared" si="596"/>
        <v/>
      </c>
    </row>
    <row r="1452" spans="1:43" x14ac:dyDescent="0.35">
      <c r="A1452">
        <v>1434</v>
      </c>
      <c r="B1452" t="s">
        <v>4541</v>
      </c>
      <c r="C1452" t="s">
        <v>4502</v>
      </c>
      <c r="D1452" t="str">
        <f t="shared" si="570"/>
        <v>Finance</v>
      </c>
      <c r="E1452" t="s">
        <v>4472</v>
      </c>
      <c r="F1452" t="s">
        <v>204</v>
      </c>
      <c r="G1452" t="s">
        <v>4473</v>
      </c>
      <c r="H1452" t="s">
        <v>206</v>
      </c>
      <c r="I1452" s="32">
        <v>45086.936932870369</v>
      </c>
      <c r="J1452" s="32">
        <v>45090.936932870369</v>
      </c>
      <c r="K1452" s="32">
        <v>45092.936932870369</v>
      </c>
      <c r="L1452" s="8">
        <f t="shared" si="571"/>
        <v>6</v>
      </c>
      <c r="M1452" s="7">
        <v>45115.936932870369</v>
      </c>
      <c r="N1452" t="s">
        <v>49</v>
      </c>
      <c r="O1452" s="34">
        <v>45096.936932870369</v>
      </c>
      <c r="P1452" t="s">
        <v>50</v>
      </c>
      <c r="Q1452" t="s">
        <v>51</v>
      </c>
      <c r="R1452" s="32" t="s">
        <v>7472</v>
      </c>
      <c r="S1452" t="s">
        <v>7476</v>
      </c>
      <c r="T1452" s="34" t="s">
        <v>7476</v>
      </c>
      <c r="U1452" s="34" t="s">
        <v>7476</v>
      </c>
      <c r="V1452" s="32" t="s">
        <v>7476</v>
      </c>
      <c r="W1452" s="32" t="s">
        <v>7476</v>
      </c>
      <c r="X1452">
        <v>0</v>
      </c>
      <c r="Y1452" s="34" t="s">
        <v>7476</v>
      </c>
      <c r="Z1452" s="34" t="s">
        <v>7476</v>
      </c>
      <c r="AA1452" s="34" t="s">
        <v>7476</v>
      </c>
      <c r="AB1452" s="36" t="s">
        <v>52</v>
      </c>
      <c r="AD1452" t="s">
        <v>4542</v>
      </c>
      <c r="AE1452" t="s">
        <v>4543</v>
      </c>
      <c r="AF1452" s="16">
        <v>45083</v>
      </c>
      <c r="AG1452" t="s">
        <v>98</v>
      </c>
      <c r="AH1452">
        <v>3</v>
      </c>
      <c r="AI1452" s="8" t="str">
        <f t="shared" si="589"/>
        <v/>
      </c>
      <c r="AJ1452" s="8">
        <f t="shared" si="590"/>
        <v>13.936932870368764</v>
      </c>
      <c r="AK1452" s="38" t="str">
        <f t="shared" si="572"/>
        <v/>
      </c>
      <c r="AL1452" t="str">
        <f t="shared" si="591"/>
        <v/>
      </c>
      <c r="AM1452" t="str">
        <f t="shared" si="592"/>
        <v/>
      </c>
      <c r="AN1452" t="str">
        <f t="shared" si="593"/>
        <v/>
      </c>
      <c r="AO1452">
        <f t="shared" si="594"/>
        <v>4</v>
      </c>
      <c r="AP1452">
        <f t="shared" si="595"/>
        <v>0</v>
      </c>
      <c r="AQ1452" t="str">
        <f t="shared" si="596"/>
        <v/>
      </c>
    </row>
    <row r="1453" spans="1:43" x14ac:dyDescent="0.35">
      <c r="A1453">
        <v>1288</v>
      </c>
      <c r="B1453" t="s">
        <v>4544</v>
      </c>
      <c r="C1453" t="s">
        <v>4502</v>
      </c>
      <c r="D1453" t="str">
        <f t="shared" si="570"/>
        <v>Finance</v>
      </c>
      <c r="E1453" t="s">
        <v>4472</v>
      </c>
      <c r="F1453" t="s">
        <v>204</v>
      </c>
      <c r="G1453" t="s">
        <v>4473</v>
      </c>
      <c r="H1453" t="s">
        <v>206</v>
      </c>
      <c r="I1453" s="32">
        <v>44643.736006944448</v>
      </c>
      <c r="J1453" s="32">
        <v>44645.736006944448</v>
      </c>
      <c r="K1453" s="32">
        <v>44650.736006944448</v>
      </c>
      <c r="L1453" s="8">
        <f t="shared" si="571"/>
        <v>7</v>
      </c>
      <c r="M1453" s="7">
        <v>44668.736006944448</v>
      </c>
      <c r="N1453" t="s">
        <v>49</v>
      </c>
      <c r="O1453" s="34">
        <v>44658.736006944448</v>
      </c>
      <c r="P1453" t="s">
        <v>50</v>
      </c>
      <c r="Q1453" t="s">
        <v>51</v>
      </c>
      <c r="R1453" s="32" t="s">
        <v>7472</v>
      </c>
      <c r="S1453" t="s">
        <v>7476</v>
      </c>
      <c r="T1453" s="34" t="s">
        <v>7476</v>
      </c>
      <c r="U1453" s="34" t="s">
        <v>7476</v>
      </c>
      <c r="V1453" s="32">
        <v>44660.736006944448</v>
      </c>
      <c r="W1453" s="32" t="s">
        <v>7476</v>
      </c>
      <c r="X1453">
        <v>0</v>
      </c>
      <c r="Y1453" s="34" t="s">
        <v>7476</v>
      </c>
      <c r="Z1453" s="34" t="s">
        <v>7476</v>
      </c>
      <c r="AA1453" s="34" t="s">
        <v>7476</v>
      </c>
      <c r="AB1453" s="36" t="s">
        <v>95</v>
      </c>
      <c r="AD1453" t="s">
        <v>4545</v>
      </c>
      <c r="AE1453" t="s">
        <v>4546</v>
      </c>
      <c r="AF1453" s="16">
        <v>44643</v>
      </c>
      <c r="AG1453" t="s">
        <v>68</v>
      </c>
      <c r="AH1453">
        <v>6</v>
      </c>
      <c r="AI1453" s="8" t="str">
        <f t="shared" si="589"/>
        <v/>
      </c>
      <c r="AJ1453" s="8">
        <f t="shared" si="590"/>
        <v>15.736006944447581</v>
      </c>
      <c r="AK1453" s="38">
        <f t="shared" si="572"/>
        <v>44840.736006944448</v>
      </c>
      <c r="AL1453" t="str">
        <f t="shared" si="591"/>
        <v/>
      </c>
      <c r="AM1453" t="str">
        <f t="shared" si="592"/>
        <v/>
      </c>
      <c r="AN1453">
        <f t="shared" si="593"/>
        <v>2</v>
      </c>
      <c r="AO1453">
        <f t="shared" si="594"/>
        <v>2</v>
      </c>
      <c r="AP1453">
        <f t="shared" si="595"/>
        <v>0</v>
      </c>
      <c r="AQ1453" t="str">
        <f t="shared" si="596"/>
        <v/>
      </c>
    </row>
    <row r="1454" spans="1:43" x14ac:dyDescent="0.35">
      <c r="A1454">
        <v>1262</v>
      </c>
      <c r="B1454" t="s">
        <v>4547</v>
      </c>
      <c r="C1454" t="s">
        <v>4480</v>
      </c>
      <c r="D1454" t="str">
        <f t="shared" si="570"/>
        <v>Finance</v>
      </c>
      <c r="E1454" t="s">
        <v>4472</v>
      </c>
      <c r="F1454" t="s">
        <v>204</v>
      </c>
      <c r="G1454" t="s">
        <v>4473</v>
      </c>
      <c r="H1454" t="s">
        <v>206</v>
      </c>
      <c r="I1454" s="32">
        <v>44998.913287037038</v>
      </c>
      <c r="J1454" s="32">
        <v>45002.913287037038</v>
      </c>
      <c r="K1454" s="32">
        <v>45005.913287037038</v>
      </c>
      <c r="L1454" s="8">
        <f t="shared" si="571"/>
        <v>7</v>
      </c>
      <c r="M1454" s="7">
        <v>45011.913287037038</v>
      </c>
      <c r="N1454" t="s">
        <v>49</v>
      </c>
      <c r="O1454" s="34">
        <v>45014.913287037038</v>
      </c>
      <c r="P1454" t="s">
        <v>50</v>
      </c>
      <c r="Q1454" t="s">
        <v>198</v>
      </c>
      <c r="R1454" s="32" t="s">
        <v>7472</v>
      </c>
      <c r="S1454" t="s">
        <v>7476</v>
      </c>
      <c r="T1454" s="34" t="s">
        <v>7476</v>
      </c>
      <c r="U1454" s="34" t="s">
        <v>7476</v>
      </c>
      <c r="V1454" s="32">
        <v>45017.913287037038</v>
      </c>
      <c r="W1454" s="32" t="s">
        <v>7476</v>
      </c>
      <c r="X1454">
        <v>0</v>
      </c>
      <c r="Y1454" s="34" t="s">
        <v>7476</v>
      </c>
      <c r="Z1454" s="34" t="s">
        <v>7476</v>
      </c>
      <c r="AA1454" s="34" t="s">
        <v>7476</v>
      </c>
      <c r="AB1454" s="36" t="s">
        <v>52</v>
      </c>
      <c r="AD1454" t="s">
        <v>4548</v>
      </c>
      <c r="AE1454" t="s">
        <v>4549</v>
      </c>
      <c r="AF1454" s="16">
        <v>45233</v>
      </c>
      <c r="AG1454" t="s">
        <v>64</v>
      </c>
      <c r="AH1454">
        <v>3</v>
      </c>
      <c r="AI1454" s="8" t="str">
        <f t="shared" si="589"/>
        <v/>
      </c>
      <c r="AJ1454" s="8">
        <f t="shared" si="590"/>
        <v>-218.08671296296234</v>
      </c>
      <c r="AK1454" s="38">
        <f t="shared" si="572"/>
        <v>45107.913287037038</v>
      </c>
      <c r="AL1454" t="str">
        <f t="shared" si="591"/>
        <v/>
      </c>
      <c r="AM1454" t="str">
        <f t="shared" si="592"/>
        <v/>
      </c>
      <c r="AN1454">
        <f t="shared" si="593"/>
        <v>3</v>
      </c>
      <c r="AO1454">
        <f t="shared" si="594"/>
        <v>4</v>
      </c>
      <c r="AP1454">
        <f t="shared" si="595"/>
        <v>0</v>
      </c>
      <c r="AQ1454" t="str">
        <f t="shared" si="596"/>
        <v/>
      </c>
    </row>
    <row r="1455" spans="1:43" x14ac:dyDescent="0.35">
      <c r="A1455">
        <v>1256</v>
      </c>
      <c r="B1455" t="s">
        <v>4550</v>
      </c>
      <c r="C1455" t="s">
        <v>4471</v>
      </c>
      <c r="D1455" t="str">
        <f t="shared" si="570"/>
        <v>Finance</v>
      </c>
      <c r="E1455" t="s">
        <v>4472</v>
      </c>
      <c r="F1455" t="s">
        <v>204</v>
      </c>
      <c r="G1455" t="s">
        <v>4473</v>
      </c>
      <c r="H1455" t="s">
        <v>206</v>
      </c>
      <c r="I1455" s="32">
        <v>44738.170439814807</v>
      </c>
      <c r="J1455" s="32">
        <v>44741.170439814807</v>
      </c>
      <c r="K1455" s="32">
        <v>44743.170439814807</v>
      </c>
      <c r="L1455" s="8">
        <f t="shared" si="571"/>
        <v>5</v>
      </c>
      <c r="M1455" s="7">
        <v>44771.170439814807</v>
      </c>
      <c r="N1455" t="s">
        <v>49</v>
      </c>
      <c r="O1455" s="34">
        <v>44751.170439814807</v>
      </c>
      <c r="P1455" t="s">
        <v>50</v>
      </c>
      <c r="Q1455" t="s">
        <v>125</v>
      </c>
      <c r="R1455" s="32" t="s">
        <v>7472</v>
      </c>
      <c r="S1455" t="s">
        <v>7476</v>
      </c>
      <c r="T1455" s="34" t="s">
        <v>7476</v>
      </c>
      <c r="U1455" s="34" t="s">
        <v>7476</v>
      </c>
      <c r="V1455" s="32">
        <v>44755.170439814807</v>
      </c>
      <c r="W1455" s="32" t="s">
        <v>7476</v>
      </c>
      <c r="X1455">
        <v>0</v>
      </c>
      <c r="Y1455" s="34" t="s">
        <v>7476</v>
      </c>
      <c r="Z1455" s="34" t="s">
        <v>7476</v>
      </c>
      <c r="AA1455" s="34" t="s">
        <v>7476</v>
      </c>
      <c r="AB1455" s="36" t="s">
        <v>52</v>
      </c>
      <c r="AD1455" t="s">
        <v>4551</v>
      </c>
      <c r="AE1455" t="s">
        <v>4552</v>
      </c>
      <c r="AF1455" s="16">
        <v>44746</v>
      </c>
      <c r="AG1455" t="s">
        <v>98</v>
      </c>
      <c r="AH1455">
        <v>3</v>
      </c>
      <c r="AI1455" s="8" t="str">
        <f t="shared" si="589"/>
        <v/>
      </c>
      <c r="AJ1455" s="8">
        <f t="shared" si="590"/>
        <v>5.1704398148067412</v>
      </c>
      <c r="AK1455" s="38">
        <f t="shared" si="572"/>
        <v>44845.170439814807</v>
      </c>
      <c r="AL1455" t="str">
        <f t="shared" si="591"/>
        <v/>
      </c>
      <c r="AM1455" t="str">
        <f t="shared" si="592"/>
        <v/>
      </c>
      <c r="AN1455">
        <f t="shared" si="593"/>
        <v>4</v>
      </c>
      <c r="AO1455">
        <f t="shared" si="594"/>
        <v>3</v>
      </c>
      <c r="AP1455">
        <f t="shared" si="595"/>
        <v>0</v>
      </c>
      <c r="AQ1455" t="str">
        <f t="shared" si="596"/>
        <v/>
      </c>
    </row>
    <row r="1456" spans="1:43" x14ac:dyDescent="0.35">
      <c r="A1456">
        <v>1150</v>
      </c>
      <c r="B1456" t="s">
        <v>4553</v>
      </c>
      <c r="C1456" t="s">
        <v>4502</v>
      </c>
      <c r="D1456" t="str">
        <f t="shared" si="570"/>
        <v>Finance</v>
      </c>
      <c r="E1456" t="s">
        <v>4472</v>
      </c>
      <c r="F1456" t="s">
        <v>204</v>
      </c>
      <c r="G1456" t="s">
        <v>4473</v>
      </c>
      <c r="H1456" t="s">
        <v>206</v>
      </c>
      <c r="I1456" s="32">
        <v>45142.067280092589</v>
      </c>
      <c r="J1456" s="32">
        <v>45146.067280092589</v>
      </c>
      <c r="K1456" s="32">
        <v>45148.067280092589</v>
      </c>
      <c r="L1456" s="8">
        <f t="shared" si="571"/>
        <v>6</v>
      </c>
      <c r="M1456" s="7">
        <v>45164.067280092589</v>
      </c>
      <c r="N1456" t="s">
        <v>49</v>
      </c>
      <c r="O1456" s="34">
        <v>45155.067280092589</v>
      </c>
      <c r="P1456" t="s">
        <v>50</v>
      </c>
      <c r="Q1456" t="s">
        <v>236</v>
      </c>
      <c r="R1456" s="32" t="s">
        <v>7472</v>
      </c>
      <c r="S1456" t="s">
        <v>7476</v>
      </c>
      <c r="T1456" s="34" t="s">
        <v>7476</v>
      </c>
      <c r="U1456" s="34" t="s">
        <v>7476</v>
      </c>
      <c r="V1456" s="32" t="s">
        <v>7476</v>
      </c>
      <c r="W1456" s="32" t="s">
        <v>7476</v>
      </c>
      <c r="X1456">
        <v>0</v>
      </c>
      <c r="Y1456" s="34" t="s">
        <v>7476</v>
      </c>
      <c r="Z1456" s="34" t="s">
        <v>7476</v>
      </c>
      <c r="AA1456" s="34" t="s">
        <v>7476</v>
      </c>
      <c r="AB1456" s="36" t="s">
        <v>95</v>
      </c>
      <c r="AD1456" t="s">
        <v>4554</v>
      </c>
      <c r="AE1456" t="s">
        <v>4555</v>
      </c>
      <c r="AF1456" s="16">
        <v>45138</v>
      </c>
      <c r="AG1456" t="s">
        <v>68</v>
      </c>
      <c r="AH1456">
        <v>3</v>
      </c>
      <c r="AI1456" s="8" t="str">
        <f t="shared" si="589"/>
        <v/>
      </c>
      <c r="AJ1456" s="8">
        <f t="shared" si="590"/>
        <v>17.067280092589499</v>
      </c>
      <c r="AK1456" s="38" t="str">
        <f t="shared" si="572"/>
        <v/>
      </c>
      <c r="AL1456" t="str">
        <f t="shared" si="591"/>
        <v/>
      </c>
      <c r="AM1456" t="str">
        <f t="shared" si="592"/>
        <v/>
      </c>
      <c r="AN1456" t="str">
        <f t="shared" si="593"/>
        <v/>
      </c>
      <c r="AO1456">
        <f t="shared" si="594"/>
        <v>4</v>
      </c>
      <c r="AP1456">
        <f t="shared" si="595"/>
        <v>0</v>
      </c>
      <c r="AQ1456" t="str">
        <f t="shared" si="596"/>
        <v/>
      </c>
    </row>
    <row r="1457" spans="1:43" x14ac:dyDescent="0.35">
      <c r="A1457">
        <v>1120</v>
      </c>
      <c r="B1457" t="s">
        <v>4556</v>
      </c>
      <c r="C1457" t="s">
        <v>4502</v>
      </c>
      <c r="D1457" t="str">
        <f t="shared" si="570"/>
        <v>Finance</v>
      </c>
      <c r="E1457" t="s">
        <v>4472</v>
      </c>
      <c r="F1457" t="s">
        <v>204</v>
      </c>
      <c r="G1457" t="s">
        <v>4473</v>
      </c>
      <c r="H1457" t="s">
        <v>206</v>
      </c>
      <c r="I1457" s="32">
        <v>45019.266469907408</v>
      </c>
      <c r="J1457" s="32">
        <v>45023.266469907408</v>
      </c>
      <c r="K1457" s="32">
        <v>45027.266469907408</v>
      </c>
      <c r="L1457" s="8">
        <f t="shared" si="571"/>
        <v>8</v>
      </c>
      <c r="M1457" s="7">
        <v>45035.266469907408</v>
      </c>
      <c r="N1457" t="s">
        <v>49</v>
      </c>
      <c r="O1457" s="34">
        <v>45036.266469907408</v>
      </c>
      <c r="P1457" t="s">
        <v>50</v>
      </c>
      <c r="Q1457" t="s">
        <v>236</v>
      </c>
      <c r="R1457" s="32" t="s">
        <v>7472</v>
      </c>
      <c r="S1457" t="s">
        <v>7476</v>
      </c>
      <c r="T1457" s="34" t="s">
        <v>7476</v>
      </c>
      <c r="U1457" s="34" t="s">
        <v>7476</v>
      </c>
      <c r="V1457" s="32">
        <v>45037.266469907408</v>
      </c>
      <c r="W1457" s="32" t="s">
        <v>7476</v>
      </c>
      <c r="X1457">
        <v>0</v>
      </c>
      <c r="Y1457" s="34" t="s">
        <v>7476</v>
      </c>
      <c r="Z1457" s="34" t="s">
        <v>7476</v>
      </c>
      <c r="AA1457" s="34" t="s">
        <v>7476</v>
      </c>
      <c r="AB1457" s="36" t="s">
        <v>52</v>
      </c>
      <c r="AD1457" t="s">
        <v>4557</v>
      </c>
      <c r="AE1457" t="s">
        <v>4558</v>
      </c>
      <c r="AF1457" s="16">
        <v>45173</v>
      </c>
      <c r="AG1457" t="s">
        <v>68</v>
      </c>
      <c r="AH1457">
        <v>3</v>
      </c>
      <c r="AI1457" s="8" t="str">
        <f t="shared" si="589"/>
        <v/>
      </c>
      <c r="AJ1457" s="8">
        <f t="shared" si="590"/>
        <v>-136.73353009259154</v>
      </c>
      <c r="AK1457" s="38">
        <f t="shared" si="572"/>
        <v>45127.266469907408</v>
      </c>
      <c r="AL1457" t="str">
        <f t="shared" si="591"/>
        <v/>
      </c>
      <c r="AM1457" t="str">
        <f t="shared" si="592"/>
        <v/>
      </c>
      <c r="AN1457">
        <f t="shared" si="593"/>
        <v>1</v>
      </c>
      <c r="AO1457">
        <f t="shared" si="594"/>
        <v>4</v>
      </c>
      <c r="AP1457">
        <f t="shared" si="595"/>
        <v>0</v>
      </c>
      <c r="AQ1457" t="str">
        <f t="shared" si="596"/>
        <v/>
      </c>
    </row>
    <row r="1458" spans="1:43" x14ac:dyDescent="0.35">
      <c r="A1458">
        <v>1112</v>
      </c>
      <c r="B1458" t="s">
        <v>4559</v>
      </c>
      <c r="C1458" t="s">
        <v>4502</v>
      </c>
      <c r="D1458" t="str">
        <f t="shared" si="570"/>
        <v>Finance</v>
      </c>
      <c r="E1458" t="s">
        <v>4472</v>
      </c>
      <c r="F1458" t="s">
        <v>204</v>
      </c>
      <c r="G1458" t="s">
        <v>4473</v>
      </c>
      <c r="H1458" t="s">
        <v>206</v>
      </c>
      <c r="I1458" s="32">
        <v>45022.266469907408</v>
      </c>
      <c r="J1458" s="32">
        <v>45026.266469907408</v>
      </c>
      <c r="K1458" s="32">
        <v>45027.266469907408</v>
      </c>
      <c r="L1458" s="8">
        <f t="shared" si="571"/>
        <v>5</v>
      </c>
      <c r="M1458" s="7">
        <v>45052.266469907408</v>
      </c>
      <c r="N1458" t="s">
        <v>49</v>
      </c>
      <c r="O1458" s="34">
        <v>45040.266469907408</v>
      </c>
      <c r="P1458" t="s">
        <v>50</v>
      </c>
      <c r="Q1458" t="s">
        <v>198</v>
      </c>
      <c r="R1458" s="32" t="s">
        <v>7472</v>
      </c>
      <c r="S1458" t="s">
        <v>7476</v>
      </c>
      <c r="T1458" s="34" t="s">
        <v>7476</v>
      </c>
      <c r="U1458" s="34" t="s">
        <v>7476</v>
      </c>
      <c r="V1458" s="32">
        <v>45043.266469907408</v>
      </c>
      <c r="W1458" s="32" t="s">
        <v>7476</v>
      </c>
      <c r="X1458">
        <v>0</v>
      </c>
      <c r="Y1458" s="34" t="s">
        <v>7476</v>
      </c>
      <c r="Z1458" s="34" t="s">
        <v>7476</v>
      </c>
      <c r="AA1458" s="34" t="s">
        <v>7476</v>
      </c>
      <c r="AB1458" s="36" t="s">
        <v>52</v>
      </c>
      <c r="AD1458" t="s">
        <v>4560</v>
      </c>
      <c r="AE1458" t="s">
        <v>4561</v>
      </c>
      <c r="AF1458" s="16">
        <v>45173</v>
      </c>
      <c r="AG1458" t="s">
        <v>64</v>
      </c>
      <c r="AH1458">
        <v>3</v>
      </c>
      <c r="AI1458" s="8" t="str">
        <f t="shared" si="589"/>
        <v/>
      </c>
      <c r="AJ1458" s="8">
        <f t="shared" si="590"/>
        <v>-132.73353009259154</v>
      </c>
      <c r="AK1458" s="38">
        <f t="shared" si="572"/>
        <v>45133.266469907408</v>
      </c>
      <c r="AL1458" t="str">
        <f t="shared" si="591"/>
        <v/>
      </c>
      <c r="AM1458" t="str">
        <f t="shared" si="592"/>
        <v/>
      </c>
      <c r="AN1458">
        <f t="shared" si="593"/>
        <v>3</v>
      </c>
      <c r="AO1458">
        <f t="shared" si="594"/>
        <v>4</v>
      </c>
      <c r="AP1458">
        <f t="shared" si="595"/>
        <v>0</v>
      </c>
      <c r="AQ1458" t="str">
        <f t="shared" si="596"/>
        <v/>
      </c>
    </row>
    <row r="1459" spans="1:43" x14ac:dyDescent="0.35">
      <c r="A1459">
        <v>1068</v>
      </c>
      <c r="B1459" t="s">
        <v>4562</v>
      </c>
      <c r="C1459" t="s">
        <v>4480</v>
      </c>
      <c r="D1459" t="str">
        <f t="shared" si="570"/>
        <v>Finance</v>
      </c>
      <c r="E1459" t="s">
        <v>4472</v>
      </c>
      <c r="F1459" t="s">
        <v>204</v>
      </c>
      <c r="G1459" t="s">
        <v>4473</v>
      </c>
      <c r="H1459" t="s">
        <v>206</v>
      </c>
      <c r="I1459" s="32">
        <v>44777.414236111108</v>
      </c>
      <c r="J1459" s="32">
        <v>44781.414236111108</v>
      </c>
      <c r="K1459" s="32">
        <v>44786.414236111108</v>
      </c>
      <c r="L1459" s="8">
        <f t="shared" si="571"/>
        <v>9</v>
      </c>
      <c r="M1459" s="7">
        <v>44797.414236111108</v>
      </c>
      <c r="N1459" t="s">
        <v>49</v>
      </c>
      <c r="O1459" s="34">
        <v>44804.414236111108</v>
      </c>
      <c r="P1459" t="s">
        <v>50</v>
      </c>
      <c r="Q1459" t="s">
        <v>198</v>
      </c>
      <c r="R1459" s="32" t="s">
        <v>7472</v>
      </c>
      <c r="S1459" t="s">
        <v>7476</v>
      </c>
      <c r="T1459" s="34" t="s">
        <v>7476</v>
      </c>
      <c r="U1459" s="34" t="s">
        <v>7476</v>
      </c>
      <c r="V1459" s="32">
        <v>44805.414236111108</v>
      </c>
      <c r="W1459" s="32" t="s">
        <v>7476</v>
      </c>
      <c r="X1459">
        <v>0</v>
      </c>
      <c r="Y1459" s="34" t="s">
        <v>7476</v>
      </c>
      <c r="Z1459" s="34" t="s">
        <v>7476</v>
      </c>
      <c r="AA1459" s="34" t="s">
        <v>7476</v>
      </c>
      <c r="AB1459" s="36" t="s">
        <v>95</v>
      </c>
      <c r="AD1459" t="s">
        <v>4563</v>
      </c>
      <c r="AE1459" t="s">
        <v>4564</v>
      </c>
      <c r="AF1459" s="16">
        <v>44798</v>
      </c>
      <c r="AG1459" t="s">
        <v>68</v>
      </c>
      <c r="AH1459">
        <v>3</v>
      </c>
      <c r="AI1459" s="8" t="str">
        <f t="shared" si="589"/>
        <v/>
      </c>
      <c r="AJ1459" s="8">
        <f t="shared" si="590"/>
        <v>6.414236111108039</v>
      </c>
      <c r="AK1459" s="38">
        <f t="shared" si="572"/>
        <v>44895.414236111108</v>
      </c>
      <c r="AL1459" t="str">
        <f t="shared" si="591"/>
        <v/>
      </c>
      <c r="AM1459" t="str">
        <f t="shared" si="592"/>
        <v/>
      </c>
      <c r="AN1459">
        <f t="shared" si="593"/>
        <v>1</v>
      </c>
      <c r="AO1459">
        <f t="shared" si="594"/>
        <v>4</v>
      </c>
      <c r="AP1459">
        <f t="shared" si="595"/>
        <v>0</v>
      </c>
      <c r="AQ1459" t="str">
        <f t="shared" si="596"/>
        <v/>
      </c>
    </row>
    <row r="1460" spans="1:43" x14ac:dyDescent="0.35">
      <c r="A1460">
        <v>1067</v>
      </c>
      <c r="B1460" t="s">
        <v>4565</v>
      </c>
      <c r="C1460" t="s">
        <v>4480</v>
      </c>
      <c r="D1460" t="str">
        <f t="shared" si="570"/>
        <v>Finance</v>
      </c>
      <c r="E1460" t="s">
        <v>4472</v>
      </c>
      <c r="F1460" t="s">
        <v>204</v>
      </c>
      <c r="G1460" t="s">
        <v>4473</v>
      </c>
      <c r="H1460" t="s">
        <v>206</v>
      </c>
      <c r="I1460" s="32">
        <v>44782.414236111108</v>
      </c>
      <c r="J1460" s="32">
        <v>44784.414236111108</v>
      </c>
      <c r="K1460" s="32">
        <v>44786.414236111108</v>
      </c>
      <c r="L1460" s="8">
        <f t="shared" si="571"/>
        <v>4</v>
      </c>
      <c r="M1460" s="7">
        <v>44800.414236111108</v>
      </c>
      <c r="N1460" t="s">
        <v>49</v>
      </c>
      <c r="O1460" s="34">
        <v>44790.414236111108</v>
      </c>
      <c r="P1460" t="s">
        <v>50</v>
      </c>
      <c r="Q1460" t="s">
        <v>198</v>
      </c>
      <c r="R1460" s="32" t="s">
        <v>7472</v>
      </c>
      <c r="S1460" t="s">
        <v>7476</v>
      </c>
      <c r="T1460" s="34" t="s">
        <v>7476</v>
      </c>
      <c r="U1460" s="34" t="s">
        <v>7476</v>
      </c>
      <c r="V1460" s="32">
        <v>44791.414236111108</v>
      </c>
      <c r="W1460" s="32" t="s">
        <v>7476</v>
      </c>
      <c r="X1460">
        <v>0</v>
      </c>
      <c r="Y1460" s="34" t="s">
        <v>7476</v>
      </c>
      <c r="Z1460" s="34" t="s">
        <v>7476</v>
      </c>
      <c r="AA1460" s="34" t="s">
        <v>7476</v>
      </c>
      <c r="AB1460" s="36" t="s">
        <v>95</v>
      </c>
      <c r="AD1460" t="s">
        <v>4566</v>
      </c>
      <c r="AE1460" t="s">
        <v>4567</v>
      </c>
      <c r="AF1460" s="16">
        <v>44779</v>
      </c>
      <c r="AG1460" t="s">
        <v>98</v>
      </c>
      <c r="AH1460">
        <v>3</v>
      </c>
      <c r="AI1460" s="8" t="str">
        <f t="shared" si="589"/>
        <v/>
      </c>
      <c r="AJ1460" s="8">
        <f t="shared" si="590"/>
        <v>11.414236111108039</v>
      </c>
      <c r="AK1460" s="38">
        <f t="shared" si="572"/>
        <v>44881.414236111108</v>
      </c>
      <c r="AL1460" t="str">
        <f t="shared" si="591"/>
        <v/>
      </c>
      <c r="AM1460" t="str">
        <f t="shared" si="592"/>
        <v/>
      </c>
      <c r="AN1460">
        <f t="shared" si="593"/>
        <v>1</v>
      </c>
      <c r="AO1460">
        <f t="shared" si="594"/>
        <v>2</v>
      </c>
      <c r="AP1460">
        <f t="shared" si="595"/>
        <v>0</v>
      </c>
      <c r="AQ1460" t="str">
        <f t="shared" si="596"/>
        <v/>
      </c>
    </row>
    <row r="1461" spans="1:43" x14ac:dyDescent="0.35">
      <c r="A1461">
        <v>1032</v>
      </c>
      <c r="B1461" t="s">
        <v>4568</v>
      </c>
      <c r="C1461" t="s">
        <v>4502</v>
      </c>
      <c r="D1461" t="str">
        <f t="shared" si="570"/>
        <v>Finance</v>
      </c>
      <c r="E1461" t="s">
        <v>4472</v>
      </c>
      <c r="F1461" t="s">
        <v>204</v>
      </c>
      <c r="G1461" t="s">
        <v>4473</v>
      </c>
      <c r="H1461" t="s">
        <v>206</v>
      </c>
      <c r="I1461" s="32">
        <v>44988.822372685187</v>
      </c>
      <c r="J1461" s="32">
        <v>44990.822372685187</v>
      </c>
      <c r="K1461" s="32">
        <v>44993.822372685187</v>
      </c>
      <c r="L1461" s="8">
        <f t="shared" si="571"/>
        <v>5</v>
      </c>
      <c r="M1461" s="7">
        <v>45013.822372685187</v>
      </c>
      <c r="N1461" t="s">
        <v>49</v>
      </c>
      <c r="O1461" s="34">
        <v>45004.822372685187</v>
      </c>
      <c r="P1461" t="s">
        <v>50</v>
      </c>
      <c r="Q1461" t="s">
        <v>51</v>
      </c>
      <c r="R1461" s="32" t="s">
        <v>7472</v>
      </c>
      <c r="S1461" t="s">
        <v>7476</v>
      </c>
      <c r="T1461" s="34" t="s">
        <v>7476</v>
      </c>
      <c r="U1461" s="34" t="s">
        <v>7476</v>
      </c>
      <c r="V1461" s="32" t="s">
        <v>7476</v>
      </c>
      <c r="W1461" s="32" t="s">
        <v>7476</v>
      </c>
      <c r="X1461">
        <v>0</v>
      </c>
      <c r="Y1461" s="34" t="s">
        <v>7476</v>
      </c>
      <c r="Z1461" s="34" t="s">
        <v>7476</v>
      </c>
      <c r="AA1461" s="34" t="s">
        <v>7476</v>
      </c>
      <c r="AB1461" s="36" t="s">
        <v>52</v>
      </c>
      <c r="AD1461" t="s">
        <v>4569</v>
      </c>
      <c r="AE1461" t="s">
        <v>4570</v>
      </c>
      <c r="AF1461" s="16">
        <v>44995</v>
      </c>
      <c r="AG1461" t="s">
        <v>68</v>
      </c>
      <c r="AH1461">
        <v>3</v>
      </c>
      <c r="AI1461" s="8" t="str">
        <f t="shared" si="589"/>
        <v/>
      </c>
      <c r="AJ1461" s="8">
        <f t="shared" si="590"/>
        <v>9.8223726851865649</v>
      </c>
      <c r="AK1461" s="38" t="str">
        <f t="shared" si="572"/>
        <v/>
      </c>
      <c r="AL1461" t="str">
        <f t="shared" si="591"/>
        <v/>
      </c>
      <c r="AM1461" t="str">
        <f t="shared" si="592"/>
        <v/>
      </c>
      <c r="AN1461" t="str">
        <f t="shared" si="593"/>
        <v/>
      </c>
      <c r="AO1461">
        <f t="shared" si="594"/>
        <v>2</v>
      </c>
      <c r="AP1461">
        <f t="shared" si="595"/>
        <v>0</v>
      </c>
      <c r="AQ1461" t="str">
        <f t="shared" si="596"/>
        <v/>
      </c>
    </row>
    <row r="1462" spans="1:43" x14ac:dyDescent="0.35">
      <c r="A1462">
        <v>1019</v>
      </c>
      <c r="B1462" t="s">
        <v>4571</v>
      </c>
      <c r="C1462" t="s">
        <v>4480</v>
      </c>
      <c r="D1462" t="str">
        <f t="shared" si="570"/>
        <v>Finance</v>
      </c>
      <c r="E1462" t="s">
        <v>4472</v>
      </c>
      <c r="F1462" t="s">
        <v>204</v>
      </c>
      <c r="G1462" t="s">
        <v>4473</v>
      </c>
      <c r="H1462" t="s">
        <v>206</v>
      </c>
      <c r="I1462" s="32" t="s">
        <v>7471</v>
      </c>
      <c r="J1462" s="32">
        <v>44598.329571759263</v>
      </c>
      <c r="K1462" s="32">
        <v>44602.329571759263</v>
      </c>
      <c r="L1462" s="8" t="str">
        <f t="shared" si="571"/>
        <v/>
      </c>
      <c r="M1462" s="7">
        <v>44632.329571759263</v>
      </c>
      <c r="N1462" t="s">
        <v>49</v>
      </c>
      <c r="O1462" s="34">
        <v>44606.329571759263</v>
      </c>
      <c r="P1462" t="s">
        <v>50</v>
      </c>
      <c r="Q1462" t="s">
        <v>125</v>
      </c>
      <c r="R1462" s="32" t="s">
        <v>7472</v>
      </c>
      <c r="S1462" t="s">
        <v>7476</v>
      </c>
      <c r="T1462" s="34" t="s">
        <v>7476</v>
      </c>
      <c r="U1462" s="34" t="s">
        <v>7476</v>
      </c>
      <c r="V1462" s="32">
        <v>44609.329571759263</v>
      </c>
      <c r="W1462" s="32" t="s">
        <v>7476</v>
      </c>
      <c r="X1462">
        <v>0</v>
      </c>
      <c r="Y1462" s="34" t="s">
        <v>7476</v>
      </c>
      <c r="Z1462" s="34" t="s">
        <v>7476</v>
      </c>
      <c r="AA1462" s="34" t="s">
        <v>7476</v>
      </c>
      <c r="AB1462" s="36" t="s">
        <v>95</v>
      </c>
      <c r="AD1462" t="s">
        <v>4572</v>
      </c>
      <c r="AE1462" t="s">
        <v>4573</v>
      </c>
      <c r="AF1462" s="16">
        <v>44601</v>
      </c>
      <c r="AG1462" t="s">
        <v>68</v>
      </c>
      <c r="AH1462">
        <v>3</v>
      </c>
      <c r="AK1462" s="38">
        <f t="shared" si="572"/>
        <v>44699.329571759263</v>
      </c>
    </row>
    <row r="1463" spans="1:43" x14ac:dyDescent="0.35">
      <c r="A1463">
        <v>210</v>
      </c>
      <c r="B1463" t="s">
        <v>4574</v>
      </c>
      <c r="C1463" t="s">
        <v>4480</v>
      </c>
      <c r="D1463" t="str">
        <f t="shared" si="570"/>
        <v>Finance</v>
      </c>
      <c r="E1463" t="s">
        <v>4472</v>
      </c>
      <c r="F1463" t="s">
        <v>204</v>
      </c>
      <c r="G1463" t="s">
        <v>4473</v>
      </c>
      <c r="H1463" t="s">
        <v>206</v>
      </c>
      <c r="I1463" s="32">
        <v>44747.342893518522</v>
      </c>
      <c r="J1463" s="32" t="s">
        <v>7471</v>
      </c>
      <c r="K1463" s="32">
        <v>44754.342893518522</v>
      </c>
      <c r="L1463" s="8">
        <f t="shared" si="571"/>
        <v>7</v>
      </c>
      <c r="M1463" s="7">
        <v>44768.342893518522</v>
      </c>
      <c r="N1463" t="s">
        <v>49</v>
      </c>
      <c r="O1463" s="34">
        <v>44770.342893518522</v>
      </c>
      <c r="P1463" t="s">
        <v>50</v>
      </c>
      <c r="Q1463" t="s">
        <v>198</v>
      </c>
      <c r="R1463" s="32" t="s">
        <v>7472</v>
      </c>
      <c r="S1463" t="s">
        <v>7476</v>
      </c>
      <c r="T1463" s="34" t="s">
        <v>7476</v>
      </c>
      <c r="U1463" s="34" t="s">
        <v>7476</v>
      </c>
      <c r="V1463" s="32" t="s">
        <v>7476</v>
      </c>
      <c r="W1463" s="32" t="s">
        <v>7476</v>
      </c>
      <c r="X1463">
        <v>0</v>
      </c>
      <c r="Y1463" s="34" t="s">
        <v>7476</v>
      </c>
      <c r="Z1463" s="34" t="s">
        <v>7476</v>
      </c>
      <c r="AA1463" s="34" t="s">
        <v>7476</v>
      </c>
      <c r="AB1463" s="36" t="s">
        <v>52</v>
      </c>
      <c r="AD1463" t="s">
        <v>4575</v>
      </c>
      <c r="AE1463" t="s">
        <v>4576</v>
      </c>
      <c r="AF1463" s="16">
        <v>44763</v>
      </c>
      <c r="AG1463" t="s">
        <v>98</v>
      </c>
      <c r="AH1463">
        <v>6</v>
      </c>
      <c r="AK1463" s="38" t="str">
        <f t="shared" si="572"/>
        <v/>
      </c>
    </row>
    <row r="1464" spans="1:43" x14ac:dyDescent="0.35">
      <c r="A1464">
        <v>203</v>
      </c>
      <c r="B1464" t="s">
        <v>4577</v>
      </c>
      <c r="C1464" t="s">
        <v>4502</v>
      </c>
      <c r="D1464" t="str">
        <f t="shared" si="570"/>
        <v>Finance</v>
      </c>
      <c r="E1464" t="s">
        <v>4472</v>
      </c>
      <c r="F1464" t="s">
        <v>204</v>
      </c>
      <c r="G1464" t="s">
        <v>4473</v>
      </c>
      <c r="H1464" t="s">
        <v>206</v>
      </c>
      <c r="I1464" s="32">
        <v>44748.342893518522</v>
      </c>
      <c r="J1464" s="32">
        <v>44752.342893518522</v>
      </c>
      <c r="K1464" s="32" t="s">
        <v>7473</v>
      </c>
      <c r="L1464" s="8" t="str">
        <f t="shared" si="571"/>
        <v/>
      </c>
      <c r="M1464" s="7">
        <v>44779.342893518522</v>
      </c>
      <c r="N1464" t="s">
        <v>49</v>
      </c>
      <c r="O1464" s="34">
        <v>44763.342893518522</v>
      </c>
      <c r="P1464" t="s">
        <v>101</v>
      </c>
      <c r="R1464" s="32">
        <v>44766.342893518522</v>
      </c>
      <c r="S1464" t="s">
        <v>101</v>
      </c>
      <c r="T1464" s="34">
        <v>44764.342893518522</v>
      </c>
      <c r="U1464" s="34">
        <v>44766.342893518522</v>
      </c>
      <c r="V1464" s="32">
        <v>44764.342893518522</v>
      </c>
      <c r="W1464" s="32">
        <v>44766.342893518522</v>
      </c>
      <c r="X1464">
        <v>1</v>
      </c>
      <c r="Y1464" s="34">
        <v>44767.342893518522</v>
      </c>
      <c r="Z1464" s="34">
        <v>44769.342893518522</v>
      </c>
      <c r="AA1464" s="34">
        <v>44771.342893518522</v>
      </c>
      <c r="AB1464" s="36" t="s">
        <v>7476</v>
      </c>
      <c r="AC1464" s="10">
        <v>44782.342893518522</v>
      </c>
      <c r="AD1464" t="s">
        <v>4578</v>
      </c>
      <c r="AE1464" t="s">
        <v>4579</v>
      </c>
      <c r="AF1464" s="16">
        <v>44752</v>
      </c>
      <c r="AG1464" t="s">
        <v>75</v>
      </c>
      <c r="AH1464">
        <v>3</v>
      </c>
      <c r="AK1464" s="38">
        <f t="shared" si="572"/>
        <v>44854.342893518522</v>
      </c>
    </row>
    <row r="1465" spans="1:43" x14ac:dyDescent="0.35">
      <c r="A1465">
        <v>176</v>
      </c>
      <c r="B1465" t="s">
        <v>4580</v>
      </c>
      <c r="C1465" t="s">
        <v>4471</v>
      </c>
      <c r="D1465" t="str">
        <f t="shared" si="570"/>
        <v>Finance</v>
      </c>
      <c r="E1465" t="s">
        <v>4472</v>
      </c>
      <c r="F1465" t="s">
        <v>204</v>
      </c>
      <c r="G1465" t="s">
        <v>4473</v>
      </c>
      <c r="H1465" t="s">
        <v>206</v>
      </c>
      <c r="I1465" s="32" t="s">
        <v>7471</v>
      </c>
      <c r="J1465" s="32">
        <v>45091.370925925927</v>
      </c>
      <c r="K1465" s="32" t="s">
        <v>7473</v>
      </c>
      <c r="L1465" s="8" t="str">
        <f t="shared" si="571"/>
        <v/>
      </c>
      <c r="M1465" s="7">
        <v>45116.370925925927</v>
      </c>
      <c r="N1465" t="s">
        <v>49</v>
      </c>
      <c r="O1465" s="34">
        <v>45101.370925925927</v>
      </c>
      <c r="P1465" t="s">
        <v>50</v>
      </c>
      <c r="Q1465" t="s">
        <v>84</v>
      </c>
      <c r="R1465" s="32" t="s">
        <v>7472</v>
      </c>
      <c r="S1465" t="s">
        <v>7476</v>
      </c>
      <c r="T1465" s="34" t="s">
        <v>7476</v>
      </c>
      <c r="U1465" s="34" t="s">
        <v>7476</v>
      </c>
      <c r="V1465" s="32">
        <v>45102.370925925927</v>
      </c>
      <c r="W1465" s="32" t="s">
        <v>7476</v>
      </c>
      <c r="X1465">
        <v>0</v>
      </c>
      <c r="Y1465" s="34" t="s">
        <v>7476</v>
      </c>
      <c r="Z1465" s="34" t="s">
        <v>7476</v>
      </c>
      <c r="AA1465" s="34" t="s">
        <v>7476</v>
      </c>
      <c r="AB1465" s="36" t="s">
        <v>95</v>
      </c>
      <c r="AD1465" t="s">
        <v>4581</v>
      </c>
      <c r="AE1465" t="s">
        <v>4582</v>
      </c>
      <c r="AF1465" s="16">
        <v>45083</v>
      </c>
      <c r="AG1465" t="s">
        <v>98</v>
      </c>
      <c r="AH1465">
        <v>6</v>
      </c>
      <c r="AK1465" s="38">
        <f t="shared" si="572"/>
        <v>45282.370925925927</v>
      </c>
    </row>
    <row r="1466" spans="1:43" x14ac:dyDescent="0.35">
      <c r="A1466">
        <v>171</v>
      </c>
      <c r="B1466" t="s">
        <v>4583</v>
      </c>
      <c r="C1466" t="s">
        <v>4502</v>
      </c>
      <c r="D1466" t="str">
        <f t="shared" si="570"/>
        <v>Finance</v>
      </c>
      <c r="E1466" t="s">
        <v>4472</v>
      </c>
      <c r="F1466" t="s">
        <v>204</v>
      </c>
      <c r="G1466" t="s">
        <v>4473</v>
      </c>
      <c r="H1466" t="s">
        <v>206</v>
      </c>
      <c r="I1466" s="32">
        <v>45092.370925925927</v>
      </c>
      <c r="J1466" s="32">
        <v>45094.370925925927</v>
      </c>
      <c r="K1466" s="32">
        <v>45097.370925925927</v>
      </c>
      <c r="L1466" s="8">
        <f t="shared" si="571"/>
        <v>5</v>
      </c>
      <c r="M1466" s="7">
        <v>45127.370925925927</v>
      </c>
      <c r="N1466" t="s">
        <v>49</v>
      </c>
      <c r="O1466" s="34">
        <v>45106.370925925927</v>
      </c>
      <c r="P1466" t="s">
        <v>50</v>
      </c>
      <c r="Q1466" t="s">
        <v>51</v>
      </c>
      <c r="R1466" s="32" t="s">
        <v>7472</v>
      </c>
      <c r="S1466" t="s">
        <v>7476</v>
      </c>
      <c r="T1466" s="34" t="s">
        <v>7476</v>
      </c>
      <c r="U1466" s="34" t="s">
        <v>7476</v>
      </c>
      <c r="V1466" s="32">
        <v>45109.370925925927</v>
      </c>
      <c r="W1466" s="32" t="s">
        <v>7476</v>
      </c>
      <c r="X1466">
        <v>0</v>
      </c>
      <c r="Y1466" s="34" t="s">
        <v>7476</v>
      </c>
      <c r="Z1466" s="34" t="s">
        <v>7476</v>
      </c>
      <c r="AA1466" s="34" t="s">
        <v>7476</v>
      </c>
      <c r="AB1466" s="36" t="s">
        <v>95</v>
      </c>
      <c r="AD1466" t="s">
        <v>4584</v>
      </c>
      <c r="AE1466" t="s">
        <v>4585</v>
      </c>
      <c r="AF1466" s="16">
        <v>45097</v>
      </c>
      <c r="AG1466" t="s">
        <v>68</v>
      </c>
      <c r="AH1466">
        <v>3</v>
      </c>
      <c r="AI1466" s="8" t="str">
        <f t="shared" ref="AI1466:AI1473" si="597">IFERROR(R1466-AF1466,"")</f>
        <v/>
      </c>
      <c r="AJ1466" s="8">
        <f t="shared" ref="AJ1466:AJ1473" si="598">IFERROR(O1466-AF1466,"")</f>
        <v>9.3709259259267128</v>
      </c>
      <c r="AK1466" s="38">
        <f t="shared" si="572"/>
        <v>45199.370925925927</v>
      </c>
      <c r="AL1466" t="str">
        <f t="shared" ref="AL1466:AL1473" si="599">IFERROR(Z1466-W1466,"")</f>
        <v/>
      </c>
      <c r="AM1466" t="str">
        <f t="shared" ref="AM1466:AM1473" si="600">IFERROR(R1466-J1466,"")</f>
        <v/>
      </c>
      <c r="AN1466">
        <f t="shared" ref="AN1466:AN1473" si="601">IFERROR(V1466-O1466,"")</f>
        <v>3</v>
      </c>
      <c r="AO1466">
        <f t="shared" ref="AO1466:AO1473" si="602">IFERROR(J1466-I1466,"")</f>
        <v>2</v>
      </c>
      <c r="AP1466">
        <f t="shared" ref="AP1466:AP1473" si="603">IFERROR(AC1466-X1466,"")</f>
        <v>0</v>
      </c>
      <c r="AQ1466" t="str">
        <f t="shared" ref="AQ1466:AQ1473" si="604">IFERROR(AA1466-W1466,"")</f>
        <v/>
      </c>
    </row>
    <row r="1467" spans="1:43" x14ac:dyDescent="0.35">
      <c r="A1467">
        <v>110</v>
      </c>
      <c r="B1467" t="s">
        <v>4586</v>
      </c>
      <c r="C1467" t="s">
        <v>4471</v>
      </c>
      <c r="D1467" t="str">
        <f t="shared" si="570"/>
        <v>Finance</v>
      </c>
      <c r="E1467" t="s">
        <v>4472</v>
      </c>
      <c r="F1467" t="s">
        <v>204</v>
      </c>
      <c r="G1467" t="s">
        <v>4473</v>
      </c>
      <c r="H1467" t="s">
        <v>206</v>
      </c>
      <c r="I1467" s="32">
        <v>45014.880046296297</v>
      </c>
      <c r="J1467" s="32">
        <v>45018.880046296297</v>
      </c>
      <c r="K1467" s="32">
        <v>45019.880046296297</v>
      </c>
      <c r="L1467" s="8">
        <f t="shared" si="571"/>
        <v>5</v>
      </c>
      <c r="M1467" s="7">
        <v>45045.880046296297</v>
      </c>
      <c r="N1467" t="s">
        <v>49</v>
      </c>
      <c r="O1467" s="34">
        <v>45026.880046296297</v>
      </c>
      <c r="P1467" t="s">
        <v>60</v>
      </c>
      <c r="R1467" s="32">
        <v>45030.880046296297</v>
      </c>
      <c r="S1467" t="s">
        <v>61</v>
      </c>
      <c r="T1467" s="34" t="s">
        <v>7476</v>
      </c>
      <c r="U1467" s="34" t="s">
        <v>7476</v>
      </c>
      <c r="V1467" s="32">
        <v>45029.880046296297</v>
      </c>
      <c r="W1467" s="32" t="s">
        <v>7476</v>
      </c>
      <c r="X1467">
        <v>0</v>
      </c>
      <c r="Y1467" s="34" t="s">
        <v>7476</v>
      </c>
      <c r="Z1467" s="34" t="s">
        <v>7476</v>
      </c>
      <c r="AA1467" s="34" t="s">
        <v>7476</v>
      </c>
      <c r="AB1467" s="36" t="s">
        <v>7476</v>
      </c>
      <c r="AD1467" t="s">
        <v>4587</v>
      </c>
      <c r="AE1467" t="s">
        <v>4588</v>
      </c>
      <c r="AF1467" s="16">
        <v>45009</v>
      </c>
      <c r="AG1467" t="s">
        <v>64</v>
      </c>
      <c r="AH1467">
        <v>3</v>
      </c>
      <c r="AI1467" s="8">
        <f t="shared" si="597"/>
        <v>21.880046296297223</v>
      </c>
      <c r="AJ1467" s="8">
        <f t="shared" si="598"/>
        <v>17.880046296297223</v>
      </c>
      <c r="AK1467" s="38">
        <f t="shared" si="572"/>
        <v>45119.880046296297</v>
      </c>
      <c r="AL1467" t="str">
        <f t="shared" si="599"/>
        <v/>
      </c>
      <c r="AM1467">
        <f t="shared" si="600"/>
        <v>12</v>
      </c>
      <c r="AN1467">
        <f t="shared" si="601"/>
        <v>3</v>
      </c>
      <c r="AO1467">
        <f t="shared" si="602"/>
        <v>4</v>
      </c>
      <c r="AP1467">
        <f t="shared" si="603"/>
        <v>0</v>
      </c>
      <c r="AQ1467" t="str">
        <f t="shared" si="604"/>
        <v/>
      </c>
    </row>
    <row r="1468" spans="1:43" x14ac:dyDescent="0.35">
      <c r="A1468">
        <v>109</v>
      </c>
      <c r="B1468" t="s">
        <v>4589</v>
      </c>
      <c r="C1468" t="s">
        <v>4471</v>
      </c>
      <c r="D1468" t="str">
        <f t="shared" si="570"/>
        <v>Finance</v>
      </c>
      <c r="E1468" t="s">
        <v>4472</v>
      </c>
      <c r="F1468" t="s">
        <v>204</v>
      </c>
      <c r="G1468" t="s">
        <v>4473</v>
      </c>
      <c r="H1468" t="s">
        <v>206</v>
      </c>
      <c r="I1468" s="32">
        <v>45009.880046296297</v>
      </c>
      <c r="J1468" s="32">
        <v>45013.880046296297</v>
      </c>
      <c r="K1468" s="32">
        <v>45019.880046296297</v>
      </c>
      <c r="L1468" s="8">
        <f t="shared" si="571"/>
        <v>10</v>
      </c>
      <c r="M1468" s="7">
        <v>45040.880046296297</v>
      </c>
      <c r="N1468" t="s">
        <v>49</v>
      </c>
      <c r="O1468" s="34">
        <v>45025.880046296297</v>
      </c>
      <c r="P1468" t="s">
        <v>60</v>
      </c>
      <c r="R1468" s="32">
        <v>45032.880046296297</v>
      </c>
      <c r="S1468" t="s">
        <v>61</v>
      </c>
      <c r="T1468" s="34" t="s">
        <v>7476</v>
      </c>
      <c r="U1468" s="34" t="s">
        <v>7476</v>
      </c>
      <c r="V1468" s="32">
        <v>45028.880046296297</v>
      </c>
      <c r="W1468" s="32" t="s">
        <v>7476</v>
      </c>
      <c r="X1468">
        <v>0</v>
      </c>
      <c r="Y1468" s="34" t="s">
        <v>7476</v>
      </c>
      <c r="Z1468" s="34" t="s">
        <v>7476</v>
      </c>
      <c r="AA1468" s="34" t="s">
        <v>7476</v>
      </c>
      <c r="AB1468" s="36" t="s">
        <v>7476</v>
      </c>
      <c r="AD1468" t="s">
        <v>4590</v>
      </c>
      <c r="AE1468" t="s">
        <v>4591</v>
      </c>
      <c r="AF1468" s="16">
        <v>44930</v>
      </c>
      <c r="AG1468" t="s">
        <v>68</v>
      </c>
      <c r="AH1468">
        <v>6</v>
      </c>
      <c r="AI1468" s="8">
        <f t="shared" si="597"/>
        <v>102.88004629629722</v>
      </c>
      <c r="AJ1468" s="8">
        <f t="shared" si="598"/>
        <v>95.880046296297223</v>
      </c>
      <c r="AK1468" s="38">
        <f t="shared" si="572"/>
        <v>45208.880046296297</v>
      </c>
      <c r="AL1468" t="str">
        <f t="shared" si="599"/>
        <v/>
      </c>
      <c r="AM1468">
        <f t="shared" si="600"/>
        <v>19</v>
      </c>
      <c r="AN1468">
        <f t="shared" si="601"/>
        <v>3</v>
      </c>
      <c r="AO1468">
        <f t="shared" si="602"/>
        <v>4</v>
      </c>
      <c r="AP1468">
        <f t="shared" si="603"/>
        <v>0</v>
      </c>
      <c r="AQ1468" t="str">
        <f t="shared" si="604"/>
        <v/>
      </c>
    </row>
    <row r="1469" spans="1:43" x14ac:dyDescent="0.35">
      <c r="A1469">
        <v>104</v>
      </c>
      <c r="B1469" t="s">
        <v>4592</v>
      </c>
      <c r="C1469" t="s">
        <v>4480</v>
      </c>
      <c r="D1469" t="str">
        <f t="shared" si="570"/>
        <v>Finance</v>
      </c>
      <c r="E1469" t="s">
        <v>4472</v>
      </c>
      <c r="F1469" t="s">
        <v>204</v>
      </c>
      <c r="G1469" t="s">
        <v>4473</v>
      </c>
      <c r="H1469" t="s">
        <v>206</v>
      </c>
      <c r="I1469" s="32">
        <v>45014.880046296297</v>
      </c>
      <c r="J1469" s="32">
        <v>45017.880046296297</v>
      </c>
      <c r="K1469" s="32">
        <v>45019.880046296297</v>
      </c>
      <c r="L1469" s="8">
        <f t="shared" si="571"/>
        <v>5</v>
      </c>
      <c r="M1469" s="7">
        <v>45031.880046296297</v>
      </c>
      <c r="N1469" t="s">
        <v>49</v>
      </c>
      <c r="O1469" s="34">
        <v>45024.880046296297</v>
      </c>
      <c r="P1469" t="s">
        <v>101</v>
      </c>
      <c r="R1469" s="32">
        <v>45030.880046296297</v>
      </c>
      <c r="S1469" t="s">
        <v>101</v>
      </c>
      <c r="T1469" s="34">
        <v>45025.880046296297</v>
      </c>
      <c r="U1469" s="34">
        <v>45029.880046296297</v>
      </c>
      <c r="V1469" s="32">
        <v>45027.880046296297</v>
      </c>
      <c r="W1469" s="32">
        <v>45028.880046296297</v>
      </c>
      <c r="X1469">
        <v>1</v>
      </c>
      <c r="Y1469" s="34">
        <v>45029.880046296297</v>
      </c>
      <c r="Z1469" s="34">
        <v>45030.880046296297</v>
      </c>
      <c r="AA1469" s="34">
        <v>45032.880046296297</v>
      </c>
      <c r="AB1469" s="36" t="s">
        <v>7476</v>
      </c>
      <c r="AC1469" s="10">
        <v>45045.880046296297</v>
      </c>
      <c r="AD1469" t="s">
        <v>4593</v>
      </c>
      <c r="AE1469" t="s">
        <v>4594</v>
      </c>
      <c r="AF1469" s="16">
        <v>45005</v>
      </c>
      <c r="AG1469" t="s">
        <v>68</v>
      </c>
      <c r="AH1469">
        <v>3</v>
      </c>
      <c r="AI1469" s="8">
        <f t="shared" si="597"/>
        <v>25.880046296297223</v>
      </c>
      <c r="AJ1469" s="8">
        <f t="shared" si="598"/>
        <v>19.880046296297223</v>
      </c>
      <c r="AK1469" s="38">
        <f t="shared" si="572"/>
        <v>45117.880046296297</v>
      </c>
      <c r="AL1469">
        <f t="shared" si="599"/>
        <v>2</v>
      </c>
      <c r="AM1469">
        <f t="shared" si="600"/>
        <v>13</v>
      </c>
      <c r="AN1469">
        <f t="shared" si="601"/>
        <v>3</v>
      </c>
      <c r="AO1469">
        <f t="shared" si="602"/>
        <v>3</v>
      </c>
      <c r="AP1469">
        <f t="shared" si="603"/>
        <v>45044.880046296297</v>
      </c>
      <c r="AQ1469">
        <f t="shared" si="604"/>
        <v>4</v>
      </c>
    </row>
    <row r="1470" spans="1:43" x14ac:dyDescent="0.35">
      <c r="A1470">
        <v>98</v>
      </c>
      <c r="B1470" t="s">
        <v>4595</v>
      </c>
      <c r="C1470" t="s">
        <v>4471</v>
      </c>
      <c r="D1470" t="str">
        <f t="shared" si="570"/>
        <v>Finance</v>
      </c>
      <c r="E1470" t="s">
        <v>4472</v>
      </c>
      <c r="F1470" t="s">
        <v>204</v>
      </c>
      <c r="G1470" t="s">
        <v>4473</v>
      </c>
      <c r="H1470" t="s">
        <v>206</v>
      </c>
      <c r="I1470" s="32">
        <v>44840.587280092594</v>
      </c>
      <c r="J1470" s="32">
        <v>44841.587280092594</v>
      </c>
      <c r="K1470" s="32">
        <v>44847.587280092594</v>
      </c>
      <c r="L1470" s="8">
        <f t="shared" si="571"/>
        <v>7</v>
      </c>
      <c r="M1470" s="7">
        <v>44856.587280092594</v>
      </c>
      <c r="N1470" t="s">
        <v>49</v>
      </c>
      <c r="O1470" s="34">
        <v>44855.587280092594</v>
      </c>
      <c r="P1470" t="s">
        <v>101</v>
      </c>
      <c r="R1470" s="32">
        <v>44860.587280092594</v>
      </c>
      <c r="S1470" t="s">
        <v>101</v>
      </c>
      <c r="T1470" s="34">
        <v>44857.587280092594</v>
      </c>
      <c r="U1470" s="34">
        <v>44861.587280092594</v>
      </c>
      <c r="V1470" s="32">
        <v>44858.587280092594</v>
      </c>
      <c r="W1470" s="32">
        <v>44864.587280092594</v>
      </c>
      <c r="X1470">
        <v>1</v>
      </c>
      <c r="Y1470" s="34">
        <v>44866.587280092594</v>
      </c>
      <c r="Z1470" s="34">
        <v>44868.587280092594</v>
      </c>
      <c r="AA1470" s="34">
        <v>44869.587280092594</v>
      </c>
      <c r="AB1470" s="36" t="s">
        <v>7476</v>
      </c>
      <c r="AC1470" s="10">
        <v>44888.587280092594</v>
      </c>
      <c r="AD1470" t="s">
        <v>4596</v>
      </c>
      <c r="AE1470" t="s">
        <v>4597</v>
      </c>
      <c r="AF1470" s="16">
        <v>44838</v>
      </c>
      <c r="AG1470" t="s">
        <v>68</v>
      </c>
      <c r="AH1470">
        <v>6</v>
      </c>
      <c r="AI1470" s="8">
        <f t="shared" si="597"/>
        <v>22.587280092593573</v>
      </c>
      <c r="AJ1470" s="8">
        <f t="shared" si="598"/>
        <v>17.587280092593573</v>
      </c>
      <c r="AK1470" s="38">
        <f t="shared" si="572"/>
        <v>45038.587280092594</v>
      </c>
      <c r="AL1470">
        <f t="shared" si="599"/>
        <v>4</v>
      </c>
      <c r="AM1470">
        <f t="shared" si="600"/>
        <v>19</v>
      </c>
      <c r="AN1470">
        <f t="shared" si="601"/>
        <v>3</v>
      </c>
      <c r="AO1470">
        <f t="shared" si="602"/>
        <v>1</v>
      </c>
      <c r="AP1470">
        <f t="shared" si="603"/>
        <v>44887.587280092594</v>
      </c>
      <c r="AQ1470">
        <f t="shared" si="604"/>
        <v>5</v>
      </c>
    </row>
    <row r="1471" spans="1:43" x14ac:dyDescent="0.35">
      <c r="A1471">
        <v>94</v>
      </c>
      <c r="B1471" t="s">
        <v>4598</v>
      </c>
      <c r="C1471" t="s">
        <v>4480</v>
      </c>
      <c r="D1471" t="str">
        <f t="shared" si="570"/>
        <v>Finance</v>
      </c>
      <c r="E1471" t="s">
        <v>4472</v>
      </c>
      <c r="F1471" t="s">
        <v>204</v>
      </c>
      <c r="G1471" t="s">
        <v>4473</v>
      </c>
      <c r="H1471" t="s">
        <v>206</v>
      </c>
      <c r="I1471" s="32">
        <v>44842.587280092594</v>
      </c>
      <c r="J1471" s="32">
        <v>44843.587280092594</v>
      </c>
      <c r="K1471" s="32">
        <v>44847.587280092594</v>
      </c>
      <c r="L1471" s="8">
        <f t="shared" si="571"/>
        <v>5</v>
      </c>
      <c r="M1471" s="7">
        <v>44867.587280092594</v>
      </c>
      <c r="N1471" t="s">
        <v>49</v>
      </c>
      <c r="O1471" s="34">
        <v>44850.587280092594</v>
      </c>
      <c r="P1471" t="s">
        <v>392</v>
      </c>
      <c r="R1471" s="32">
        <v>44857.587280092594</v>
      </c>
      <c r="S1471" t="s">
        <v>392</v>
      </c>
      <c r="T1471" s="34" t="s">
        <v>7476</v>
      </c>
      <c r="U1471" s="34" t="s">
        <v>7476</v>
      </c>
      <c r="V1471" s="32">
        <v>44853.587280092594</v>
      </c>
      <c r="W1471" s="32" t="s">
        <v>7476</v>
      </c>
      <c r="X1471">
        <v>0</v>
      </c>
      <c r="Y1471" s="34" t="s">
        <v>7476</v>
      </c>
      <c r="Z1471" s="34" t="s">
        <v>7476</v>
      </c>
      <c r="AA1471" s="34" t="s">
        <v>7476</v>
      </c>
      <c r="AB1471" s="36" t="s">
        <v>7476</v>
      </c>
      <c r="AD1471" t="s">
        <v>4599</v>
      </c>
      <c r="AE1471" t="s">
        <v>4600</v>
      </c>
      <c r="AF1471" s="16">
        <v>44844</v>
      </c>
      <c r="AG1471" t="s">
        <v>64</v>
      </c>
      <c r="AH1471">
        <v>3</v>
      </c>
      <c r="AI1471" s="8">
        <f t="shared" si="597"/>
        <v>13.587280092593573</v>
      </c>
      <c r="AJ1471" s="8">
        <f t="shared" si="598"/>
        <v>6.5872800925935735</v>
      </c>
      <c r="AK1471" s="38">
        <f t="shared" si="572"/>
        <v>44943.587280092594</v>
      </c>
      <c r="AL1471" t="str">
        <f t="shared" si="599"/>
        <v/>
      </c>
      <c r="AM1471">
        <f t="shared" si="600"/>
        <v>14</v>
      </c>
      <c r="AN1471">
        <f t="shared" si="601"/>
        <v>3</v>
      </c>
      <c r="AO1471">
        <f t="shared" si="602"/>
        <v>1</v>
      </c>
      <c r="AP1471">
        <f t="shared" si="603"/>
        <v>0</v>
      </c>
      <c r="AQ1471" t="str">
        <f t="shared" si="604"/>
        <v/>
      </c>
    </row>
    <row r="1472" spans="1:43" x14ac:dyDescent="0.35">
      <c r="A1472">
        <v>28</v>
      </c>
      <c r="B1472" t="s">
        <v>4601</v>
      </c>
      <c r="C1472" t="s">
        <v>4480</v>
      </c>
      <c r="D1472" t="str">
        <f t="shared" si="570"/>
        <v>Finance</v>
      </c>
      <c r="E1472" t="s">
        <v>4472</v>
      </c>
      <c r="F1472" t="s">
        <v>204</v>
      </c>
      <c r="G1472" t="s">
        <v>4473</v>
      </c>
      <c r="H1472" t="s">
        <v>206</v>
      </c>
      <c r="I1472" s="32">
        <v>44922.453449074077</v>
      </c>
      <c r="J1472" s="32">
        <v>44926.453449074077</v>
      </c>
      <c r="K1472" s="32">
        <v>44927.453449074077</v>
      </c>
      <c r="L1472" s="8">
        <f t="shared" si="571"/>
        <v>5</v>
      </c>
      <c r="M1472" s="7">
        <v>44946.453449074077</v>
      </c>
      <c r="N1472" t="s">
        <v>49</v>
      </c>
      <c r="O1472" s="34">
        <v>44943.453449074077</v>
      </c>
      <c r="P1472" t="s">
        <v>50</v>
      </c>
      <c r="Q1472" t="s">
        <v>125</v>
      </c>
      <c r="R1472" s="32" t="s">
        <v>7472</v>
      </c>
      <c r="S1472" t="s">
        <v>7476</v>
      </c>
      <c r="T1472" s="34" t="s">
        <v>7476</v>
      </c>
      <c r="U1472" s="34" t="s">
        <v>7476</v>
      </c>
      <c r="V1472" s="32">
        <v>44944.453449074077</v>
      </c>
      <c r="W1472" s="32" t="s">
        <v>7476</v>
      </c>
      <c r="X1472">
        <v>0</v>
      </c>
      <c r="Y1472" s="34" t="s">
        <v>7476</v>
      </c>
      <c r="Z1472" s="34" t="s">
        <v>7476</v>
      </c>
      <c r="AA1472" s="34" t="s">
        <v>7476</v>
      </c>
      <c r="AB1472" s="36" t="s">
        <v>52</v>
      </c>
      <c r="AD1472" t="s">
        <v>4602</v>
      </c>
      <c r="AE1472" t="s">
        <v>4603</v>
      </c>
      <c r="AF1472" s="16">
        <v>44932</v>
      </c>
      <c r="AG1472" t="s">
        <v>64</v>
      </c>
      <c r="AH1472">
        <v>6</v>
      </c>
      <c r="AI1472" s="8" t="str">
        <f t="shared" si="597"/>
        <v/>
      </c>
      <c r="AJ1472" s="8">
        <f t="shared" si="598"/>
        <v>11.453449074077071</v>
      </c>
      <c r="AK1472" s="38">
        <f t="shared" si="572"/>
        <v>45124.453449074077</v>
      </c>
      <c r="AL1472" t="str">
        <f t="shared" si="599"/>
        <v/>
      </c>
      <c r="AM1472" t="str">
        <f t="shared" si="600"/>
        <v/>
      </c>
      <c r="AN1472">
        <f t="shared" si="601"/>
        <v>1</v>
      </c>
      <c r="AO1472">
        <f t="shared" si="602"/>
        <v>4</v>
      </c>
      <c r="AP1472">
        <f t="shared" si="603"/>
        <v>0</v>
      </c>
      <c r="AQ1472" t="str">
        <f t="shared" si="604"/>
        <v/>
      </c>
    </row>
    <row r="1473" spans="1:43" x14ac:dyDescent="0.35">
      <c r="A1473">
        <v>22</v>
      </c>
      <c r="B1473" t="s">
        <v>4604</v>
      </c>
      <c r="C1473" t="s">
        <v>4480</v>
      </c>
      <c r="D1473" t="str">
        <f t="shared" si="570"/>
        <v>Finance</v>
      </c>
      <c r="E1473" t="s">
        <v>4472</v>
      </c>
      <c r="F1473" t="s">
        <v>204</v>
      </c>
      <c r="G1473" t="s">
        <v>4473</v>
      </c>
      <c r="H1473" t="s">
        <v>206</v>
      </c>
      <c r="I1473" s="32">
        <v>44922.453449074077</v>
      </c>
      <c r="J1473" s="32">
        <v>44924.453449074077</v>
      </c>
      <c r="K1473" s="32">
        <v>44927.453449074077</v>
      </c>
      <c r="L1473" s="8">
        <f t="shared" si="571"/>
        <v>5</v>
      </c>
      <c r="M1473" s="7">
        <v>44943.453449074077</v>
      </c>
      <c r="N1473" t="s">
        <v>49</v>
      </c>
      <c r="O1473" s="34">
        <v>44938.453449074077</v>
      </c>
      <c r="P1473" t="s">
        <v>50</v>
      </c>
      <c r="Q1473" t="s">
        <v>236</v>
      </c>
      <c r="R1473" s="32" t="s">
        <v>7472</v>
      </c>
      <c r="S1473" t="s">
        <v>7476</v>
      </c>
      <c r="T1473" s="34" t="s">
        <v>7476</v>
      </c>
      <c r="U1473" s="34" t="s">
        <v>7476</v>
      </c>
      <c r="V1473" s="32">
        <v>44939.453449074077</v>
      </c>
      <c r="W1473" s="32" t="s">
        <v>7476</v>
      </c>
      <c r="X1473">
        <v>0</v>
      </c>
      <c r="Y1473" s="34" t="s">
        <v>7476</v>
      </c>
      <c r="Z1473" s="34" t="s">
        <v>7476</v>
      </c>
      <c r="AA1473" s="34" t="s">
        <v>7476</v>
      </c>
      <c r="AB1473" s="36" t="s">
        <v>95</v>
      </c>
      <c r="AD1473" t="s">
        <v>4605</v>
      </c>
      <c r="AE1473" t="s">
        <v>4606</v>
      </c>
      <c r="AF1473" s="16">
        <v>44928</v>
      </c>
      <c r="AG1473" t="s">
        <v>64</v>
      </c>
      <c r="AH1473">
        <v>6</v>
      </c>
      <c r="AI1473" s="8" t="str">
        <f t="shared" si="597"/>
        <v/>
      </c>
      <c r="AJ1473" s="8">
        <f t="shared" si="598"/>
        <v>10.453449074077071</v>
      </c>
      <c r="AK1473" s="38">
        <f t="shared" si="572"/>
        <v>45119.453449074077</v>
      </c>
      <c r="AL1473" t="str">
        <f t="shared" si="599"/>
        <v/>
      </c>
      <c r="AM1473" t="str">
        <f t="shared" si="600"/>
        <v/>
      </c>
      <c r="AN1473">
        <f t="shared" si="601"/>
        <v>1</v>
      </c>
      <c r="AO1473">
        <f t="shared" si="602"/>
        <v>2</v>
      </c>
      <c r="AP1473">
        <f t="shared" si="603"/>
        <v>0</v>
      </c>
      <c r="AQ1473" t="str">
        <f t="shared" si="604"/>
        <v/>
      </c>
    </row>
    <row r="1474" spans="1:43" x14ac:dyDescent="0.35">
      <c r="A1474">
        <v>16</v>
      </c>
      <c r="B1474" t="s">
        <v>4607</v>
      </c>
      <c r="C1474" t="s">
        <v>4480</v>
      </c>
      <c r="D1474" t="str">
        <f t="shared" ref="D1474:D1537" si="605">TRIM(C1474)</f>
        <v>Finance</v>
      </c>
      <c r="E1474" t="s">
        <v>4472</v>
      </c>
      <c r="F1474" t="s">
        <v>204</v>
      </c>
      <c r="G1474" t="s">
        <v>4473</v>
      </c>
      <c r="H1474" t="s">
        <v>206</v>
      </c>
      <c r="I1474" s="32" t="s">
        <v>7471</v>
      </c>
      <c r="J1474" s="32">
        <v>44638.901284722233</v>
      </c>
      <c r="K1474" s="32">
        <v>44642.901284722233</v>
      </c>
      <c r="L1474" s="8" t="str">
        <f t="shared" ref="L1474:L1537" si="606">IFERROR(K1474-I1474,"")</f>
        <v/>
      </c>
      <c r="M1474" s="7">
        <v>44654.901284722233</v>
      </c>
      <c r="N1474" t="s">
        <v>49</v>
      </c>
      <c r="O1474" s="34">
        <v>44644.901284722233</v>
      </c>
      <c r="P1474" t="s">
        <v>101</v>
      </c>
      <c r="R1474" s="32">
        <v>44649.901284722233</v>
      </c>
      <c r="S1474" t="s">
        <v>101</v>
      </c>
      <c r="T1474" s="34">
        <v>44645.901284722233</v>
      </c>
      <c r="U1474" s="34">
        <v>44647.901284722233</v>
      </c>
      <c r="V1474" s="32">
        <v>44647.901284722233</v>
      </c>
      <c r="W1474" s="32">
        <v>44657.901284722233</v>
      </c>
      <c r="X1474">
        <v>1</v>
      </c>
      <c r="Y1474" s="34">
        <v>44659.901284722233</v>
      </c>
      <c r="Z1474" s="34">
        <v>44660.901284722233</v>
      </c>
      <c r="AA1474" s="34">
        <v>44663.901284722233</v>
      </c>
      <c r="AB1474" s="36" t="s">
        <v>7476</v>
      </c>
      <c r="AC1474" s="10">
        <v>44680.901284722233</v>
      </c>
      <c r="AD1474" t="s">
        <v>4608</v>
      </c>
      <c r="AE1474" t="s">
        <v>4609</v>
      </c>
      <c r="AF1474" s="16">
        <v>44684</v>
      </c>
      <c r="AG1474" t="s">
        <v>55</v>
      </c>
      <c r="AH1474">
        <v>3</v>
      </c>
      <c r="AK1474" s="38">
        <f t="shared" si="572"/>
        <v>44737.901284722233</v>
      </c>
    </row>
    <row r="1475" spans="1:43" x14ac:dyDescent="0.35">
      <c r="A1475">
        <v>14</v>
      </c>
      <c r="B1475" t="s">
        <v>4610</v>
      </c>
      <c r="C1475" t="s">
        <v>4480</v>
      </c>
      <c r="D1475" t="str">
        <f t="shared" si="605"/>
        <v>Finance</v>
      </c>
      <c r="E1475" t="s">
        <v>4472</v>
      </c>
      <c r="F1475" t="s">
        <v>204</v>
      </c>
      <c r="G1475" t="s">
        <v>4473</v>
      </c>
      <c r="H1475" t="s">
        <v>206</v>
      </c>
      <c r="I1475" s="32">
        <v>44638.901284722233</v>
      </c>
      <c r="J1475" s="32">
        <v>44641.901284722233</v>
      </c>
      <c r="K1475" s="32">
        <v>44642.901284722233</v>
      </c>
      <c r="L1475" s="8">
        <f t="shared" si="606"/>
        <v>4</v>
      </c>
      <c r="M1475" s="7">
        <v>44655.901284722233</v>
      </c>
      <c r="N1475" t="s">
        <v>49</v>
      </c>
      <c r="O1475" s="34">
        <v>44649.901284722233</v>
      </c>
      <c r="P1475" t="s">
        <v>50</v>
      </c>
      <c r="Q1475" t="s">
        <v>198</v>
      </c>
      <c r="R1475" s="32" t="s">
        <v>7472</v>
      </c>
      <c r="S1475" t="s">
        <v>7476</v>
      </c>
      <c r="T1475" s="34" t="s">
        <v>7476</v>
      </c>
      <c r="U1475" s="34" t="s">
        <v>7476</v>
      </c>
      <c r="V1475" s="32" t="s">
        <v>7476</v>
      </c>
      <c r="W1475" s="32" t="s">
        <v>7476</v>
      </c>
      <c r="X1475">
        <v>0</v>
      </c>
      <c r="Y1475" s="34" t="s">
        <v>7476</v>
      </c>
      <c r="Z1475" s="34" t="s">
        <v>7476</v>
      </c>
      <c r="AA1475" s="34" t="s">
        <v>7476</v>
      </c>
      <c r="AB1475" s="36" t="s">
        <v>52</v>
      </c>
      <c r="AD1475" t="s">
        <v>4611</v>
      </c>
      <c r="AE1475" t="s">
        <v>4612</v>
      </c>
      <c r="AF1475" s="16">
        <v>44642</v>
      </c>
      <c r="AG1475" t="s">
        <v>98</v>
      </c>
      <c r="AH1475">
        <v>3</v>
      </c>
      <c r="AI1475" s="8" t="str">
        <f>IFERROR(R1475-AF1475,"")</f>
        <v/>
      </c>
      <c r="AJ1475" s="8">
        <f>IFERROR(O1475-AF1475,"")</f>
        <v>7.9012847222329583</v>
      </c>
      <c r="AK1475" s="38" t="str">
        <f t="shared" ref="AK1475:AK1538" si="607">IFERROR(V1475+(AH1475*30),"")</f>
        <v/>
      </c>
      <c r="AL1475" t="str">
        <f>IFERROR(Z1475-W1475,"")</f>
        <v/>
      </c>
      <c r="AM1475" t="str">
        <f>IFERROR(R1475-J1475,"")</f>
        <v/>
      </c>
      <c r="AN1475" t="str">
        <f>IFERROR(V1475-O1475,"")</f>
        <v/>
      </c>
      <c r="AO1475">
        <f>IFERROR(J1475-I1475,"")</f>
        <v>3</v>
      </c>
      <c r="AP1475">
        <f>IFERROR(AC1475-X1475,"")</f>
        <v>0</v>
      </c>
      <c r="AQ1475" t="str">
        <f>IFERROR(AA1475-W1475,"")</f>
        <v/>
      </c>
    </row>
    <row r="1476" spans="1:43" x14ac:dyDescent="0.35">
      <c r="A1476">
        <v>2850</v>
      </c>
      <c r="B1476" t="s">
        <v>4613</v>
      </c>
      <c r="C1476" t="s">
        <v>4502</v>
      </c>
      <c r="D1476" t="str">
        <f t="shared" si="605"/>
        <v>Finance</v>
      </c>
      <c r="E1476" t="s">
        <v>4614</v>
      </c>
      <c r="F1476" t="s">
        <v>3935</v>
      </c>
      <c r="G1476" t="s">
        <v>4615</v>
      </c>
      <c r="H1476" t="s">
        <v>334</v>
      </c>
      <c r="I1476" s="32">
        <v>44652.443379629629</v>
      </c>
      <c r="J1476" s="32">
        <v>44655.443379629629</v>
      </c>
      <c r="K1476" s="32">
        <v>44658.443379629629</v>
      </c>
      <c r="L1476" s="8">
        <f t="shared" si="606"/>
        <v>6</v>
      </c>
      <c r="M1476" s="7">
        <v>44728.443379629629</v>
      </c>
      <c r="N1476" t="s">
        <v>72</v>
      </c>
      <c r="O1476" s="34" t="s">
        <v>7474</v>
      </c>
      <c r="R1476" s="32" t="s">
        <v>7472</v>
      </c>
      <c r="S1476" t="s">
        <v>7476</v>
      </c>
      <c r="T1476" s="34" t="s">
        <v>7476</v>
      </c>
      <c r="U1476" s="34" t="s">
        <v>7476</v>
      </c>
      <c r="V1476" s="32" t="s">
        <v>7476</v>
      </c>
      <c r="W1476" s="32" t="s">
        <v>7476</v>
      </c>
      <c r="X1476">
        <v>0</v>
      </c>
      <c r="Y1476" s="34" t="s">
        <v>7476</v>
      </c>
      <c r="Z1476" s="34" t="s">
        <v>7476</v>
      </c>
      <c r="AA1476" s="34" t="s">
        <v>7476</v>
      </c>
      <c r="AB1476" s="36" t="s">
        <v>7476</v>
      </c>
      <c r="AD1476" t="s">
        <v>4616</v>
      </c>
      <c r="AE1476" t="s">
        <v>4617</v>
      </c>
      <c r="AG1476" t="s">
        <v>68</v>
      </c>
      <c r="AH1476">
        <v>6</v>
      </c>
      <c r="AI1476" s="8" t="str">
        <f>IFERROR(R1476-AF1476,"")</f>
        <v/>
      </c>
      <c r="AJ1476" s="8" t="str">
        <f>IFERROR(O1476-AF1476,"")</f>
        <v/>
      </c>
      <c r="AK1476" s="38" t="str">
        <f t="shared" si="607"/>
        <v/>
      </c>
      <c r="AL1476" t="str">
        <f>IFERROR(Z1476-W1476,"")</f>
        <v/>
      </c>
      <c r="AM1476" t="str">
        <f>IFERROR(R1476-J1476,"")</f>
        <v/>
      </c>
      <c r="AN1476" t="str">
        <f>IFERROR(V1476-O1476,"")</f>
        <v/>
      </c>
      <c r="AO1476">
        <f>IFERROR(J1476-I1476,"")</f>
        <v>3</v>
      </c>
      <c r="AP1476">
        <f>IFERROR(AC1476-X1476,"")</f>
        <v>0</v>
      </c>
      <c r="AQ1476" t="str">
        <f>IFERROR(AA1476-W1476,"")</f>
        <v/>
      </c>
    </row>
    <row r="1477" spans="1:43" x14ac:dyDescent="0.35">
      <c r="A1477">
        <v>2846</v>
      </c>
      <c r="B1477" t="s">
        <v>4618</v>
      </c>
      <c r="C1477" t="s">
        <v>4471</v>
      </c>
      <c r="D1477" t="str">
        <f t="shared" si="605"/>
        <v>Finance</v>
      </c>
      <c r="E1477" t="s">
        <v>4614</v>
      </c>
      <c r="F1477" t="s">
        <v>3935</v>
      </c>
      <c r="G1477" t="s">
        <v>4615</v>
      </c>
      <c r="H1477" t="s">
        <v>334</v>
      </c>
      <c r="I1477" s="32">
        <v>44652.443379629629</v>
      </c>
      <c r="J1477" s="32">
        <v>44655.443379629629</v>
      </c>
      <c r="K1477" s="32">
        <v>44658.443379629629</v>
      </c>
      <c r="L1477" s="8">
        <f t="shared" si="606"/>
        <v>6</v>
      </c>
      <c r="M1477" s="7">
        <v>44728.443379629629</v>
      </c>
      <c r="N1477" t="s">
        <v>49</v>
      </c>
      <c r="O1477" s="34">
        <v>44665.443379629629</v>
      </c>
      <c r="P1477" t="s">
        <v>50</v>
      </c>
      <c r="Q1477" t="s">
        <v>84</v>
      </c>
      <c r="R1477" s="32" t="s">
        <v>7472</v>
      </c>
      <c r="S1477" t="s">
        <v>7476</v>
      </c>
      <c r="T1477" s="34" t="s">
        <v>7476</v>
      </c>
      <c r="U1477" s="34" t="s">
        <v>7476</v>
      </c>
      <c r="V1477" s="32" t="s">
        <v>7476</v>
      </c>
      <c r="W1477" s="32" t="s">
        <v>7476</v>
      </c>
      <c r="X1477">
        <v>0</v>
      </c>
      <c r="Y1477" s="34" t="s">
        <v>7476</v>
      </c>
      <c r="Z1477" s="34" t="s">
        <v>7476</v>
      </c>
      <c r="AA1477" s="34" t="s">
        <v>7476</v>
      </c>
      <c r="AB1477" s="36" t="s">
        <v>52</v>
      </c>
      <c r="AD1477" t="s">
        <v>4619</v>
      </c>
      <c r="AE1477" t="s">
        <v>4620</v>
      </c>
      <c r="AF1477" s="16">
        <v>44746</v>
      </c>
      <c r="AG1477" t="s">
        <v>68</v>
      </c>
      <c r="AH1477">
        <v>3</v>
      </c>
      <c r="AI1477" s="8" t="str">
        <f>IFERROR(R1477-AF1477,"")</f>
        <v/>
      </c>
      <c r="AJ1477" s="8">
        <f>IFERROR(O1477-AF1477,"")</f>
        <v>-80.556620370371093</v>
      </c>
      <c r="AK1477" s="38" t="str">
        <f t="shared" si="607"/>
        <v/>
      </c>
      <c r="AL1477" t="str">
        <f>IFERROR(Z1477-W1477,"")</f>
        <v/>
      </c>
      <c r="AM1477" t="str">
        <f>IFERROR(R1477-J1477,"")</f>
        <v/>
      </c>
      <c r="AN1477" t="str">
        <f>IFERROR(V1477-O1477,"")</f>
        <v/>
      </c>
      <c r="AO1477">
        <f>IFERROR(J1477-I1477,"")</f>
        <v>3</v>
      </c>
      <c r="AP1477">
        <f>IFERROR(AC1477-X1477,"")</f>
        <v>0</v>
      </c>
      <c r="AQ1477" t="str">
        <f>IFERROR(AA1477-W1477,"")</f>
        <v/>
      </c>
    </row>
    <row r="1478" spans="1:43" x14ac:dyDescent="0.35">
      <c r="A1478">
        <v>2842</v>
      </c>
      <c r="B1478" t="s">
        <v>4621</v>
      </c>
      <c r="C1478" t="s">
        <v>4480</v>
      </c>
      <c r="D1478" t="str">
        <f t="shared" si="605"/>
        <v>Finance</v>
      </c>
      <c r="E1478" t="s">
        <v>4614</v>
      </c>
      <c r="F1478" t="s">
        <v>3935</v>
      </c>
      <c r="G1478" t="s">
        <v>4615</v>
      </c>
      <c r="H1478" t="s">
        <v>334</v>
      </c>
      <c r="I1478" s="32">
        <v>44656.443379629629</v>
      </c>
      <c r="J1478" s="32">
        <v>44657.443379629629</v>
      </c>
      <c r="K1478" s="32" t="s">
        <v>7473</v>
      </c>
      <c r="L1478" s="8" t="str">
        <f t="shared" si="606"/>
        <v/>
      </c>
      <c r="M1478" s="7">
        <v>44685.443379629629</v>
      </c>
      <c r="N1478" t="s">
        <v>49</v>
      </c>
      <c r="O1478" s="34">
        <v>44668.443379629629</v>
      </c>
      <c r="P1478" t="s">
        <v>50</v>
      </c>
      <c r="Q1478" t="s">
        <v>51</v>
      </c>
      <c r="R1478" s="32" t="s">
        <v>7472</v>
      </c>
      <c r="S1478" t="s">
        <v>7476</v>
      </c>
      <c r="T1478" s="34" t="s">
        <v>7476</v>
      </c>
      <c r="U1478" s="34" t="s">
        <v>7476</v>
      </c>
      <c r="V1478" s="32" t="s">
        <v>7476</v>
      </c>
      <c r="W1478" s="32" t="s">
        <v>7476</v>
      </c>
      <c r="X1478">
        <v>0</v>
      </c>
      <c r="Y1478" s="34" t="s">
        <v>7476</v>
      </c>
      <c r="Z1478" s="34" t="s">
        <v>7476</v>
      </c>
      <c r="AA1478" s="34" t="s">
        <v>7476</v>
      </c>
      <c r="AB1478" s="36" t="s">
        <v>52</v>
      </c>
      <c r="AD1478" t="s">
        <v>4622</v>
      </c>
      <c r="AE1478" t="s">
        <v>4623</v>
      </c>
      <c r="AF1478" s="16">
        <v>44655</v>
      </c>
      <c r="AG1478" t="s">
        <v>98</v>
      </c>
      <c r="AH1478">
        <v>3</v>
      </c>
      <c r="AK1478" s="38" t="str">
        <f t="shared" si="607"/>
        <v/>
      </c>
    </row>
    <row r="1479" spans="1:43" x14ac:dyDescent="0.35">
      <c r="A1479">
        <v>2841</v>
      </c>
      <c r="B1479" t="s">
        <v>4624</v>
      </c>
      <c r="C1479" t="s">
        <v>4471</v>
      </c>
      <c r="D1479" t="str">
        <f t="shared" si="605"/>
        <v>Finance</v>
      </c>
      <c r="E1479" t="s">
        <v>4614</v>
      </c>
      <c r="F1479" t="s">
        <v>3935</v>
      </c>
      <c r="G1479" t="s">
        <v>4615</v>
      </c>
      <c r="H1479" t="s">
        <v>334</v>
      </c>
      <c r="I1479" s="32">
        <v>44655.443379629629</v>
      </c>
      <c r="J1479" s="32">
        <v>44657.443379629629</v>
      </c>
      <c r="K1479" s="32">
        <v>44658.443379629629</v>
      </c>
      <c r="L1479" s="8">
        <f t="shared" si="606"/>
        <v>3</v>
      </c>
      <c r="M1479" s="7">
        <v>44666.443379629629</v>
      </c>
      <c r="N1479" t="s">
        <v>72</v>
      </c>
      <c r="O1479" s="34" t="s">
        <v>7474</v>
      </c>
      <c r="R1479" s="32" t="s">
        <v>7472</v>
      </c>
      <c r="S1479" t="s">
        <v>7476</v>
      </c>
      <c r="T1479" s="34" t="s">
        <v>7476</v>
      </c>
      <c r="U1479" s="34" t="s">
        <v>7476</v>
      </c>
      <c r="V1479" s="32" t="s">
        <v>7476</v>
      </c>
      <c r="W1479" s="32" t="s">
        <v>7476</v>
      </c>
      <c r="X1479">
        <v>0</v>
      </c>
      <c r="Y1479" s="34" t="s">
        <v>7476</v>
      </c>
      <c r="Z1479" s="34" t="s">
        <v>7476</v>
      </c>
      <c r="AA1479" s="34" t="s">
        <v>7476</v>
      </c>
      <c r="AB1479" s="36" t="s">
        <v>7476</v>
      </c>
      <c r="AD1479" t="s">
        <v>4625</v>
      </c>
      <c r="AE1479" t="s">
        <v>4626</v>
      </c>
      <c r="AG1479" t="s">
        <v>68</v>
      </c>
      <c r="AH1479">
        <v>3</v>
      </c>
      <c r="AI1479" s="8" t="str">
        <f t="shared" ref="AI1479:AI1484" si="608">IFERROR(R1479-AF1479,"")</f>
        <v/>
      </c>
      <c r="AJ1479" s="8" t="str">
        <f t="shared" ref="AJ1479:AJ1484" si="609">IFERROR(O1479-AF1479,"")</f>
        <v/>
      </c>
      <c r="AK1479" s="38" t="str">
        <f t="shared" si="607"/>
        <v/>
      </c>
      <c r="AL1479" t="str">
        <f t="shared" ref="AL1479:AL1484" si="610">IFERROR(Z1479-W1479,"")</f>
        <v/>
      </c>
      <c r="AM1479" t="str">
        <f t="shared" ref="AM1479:AM1484" si="611">IFERROR(R1479-J1479,"")</f>
        <v/>
      </c>
      <c r="AN1479" t="str">
        <f t="shared" ref="AN1479:AN1484" si="612">IFERROR(V1479-O1479,"")</f>
        <v/>
      </c>
      <c r="AO1479">
        <f t="shared" ref="AO1479:AO1484" si="613">IFERROR(J1479-I1479,"")</f>
        <v>2</v>
      </c>
      <c r="AP1479">
        <f t="shared" ref="AP1479:AP1484" si="614">IFERROR(AC1479-X1479,"")</f>
        <v>0</v>
      </c>
      <c r="AQ1479" t="str">
        <f t="shared" ref="AQ1479:AQ1484" si="615">IFERROR(AA1479-W1479,"")</f>
        <v/>
      </c>
    </row>
    <row r="1480" spans="1:43" x14ac:dyDescent="0.35">
      <c r="A1480">
        <v>2754</v>
      </c>
      <c r="B1480" t="s">
        <v>4627</v>
      </c>
      <c r="C1480" t="s">
        <v>4471</v>
      </c>
      <c r="D1480" t="str">
        <f t="shared" si="605"/>
        <v>Finance</v>
      </c>
      <c r="E1480" t="s">
        <v>4614</v>
      </c>
      <c r="F1480" t="s">
        <v>3935</v>
      </c>
      <c r="G1480" t="s">
        <v>4615</v>
      </c>
      <c r="H1480" t="s">
        <v>334</v>
      </c>
      <c r="I1480" s="32">
        <v>45026.765081018522</v>
      </c>
      <c r="J1480" s="32">
        <v>45030.765081018522</v>
      </c>
      <c r="K1480" s="32">
        <v>45032.765081018522</v>
      </c>
      <c r="L1480" s="8">
        <f t="shared" si="606"/>
        <v>6</v>
      </c>
      <c r="M1480" s="7">
        <v>45061.765081018522</v>
      </c>
      <c r="N1480" t="s">
        <v>49</v>
      </c>
      <c r="O1480" s="34">
        <v>45048.765081018522</v>
      </c>
      <c r="P1480" t="s">
        <v>50</v>
      </c>
      <c r="Q1480" t="s">
        <v>125</v>
      </c>
      <c r="R1480" s="32" t="s">
        <v>7472</v>
      </c>
      <c r="S1480" t="s">
        <v>7476</v>
      </c>
      <c r="T1480" s="34" t="s">
        <v>7476</v>
      </c>
      <c r="U1480" s="34" t="s">
        <v>7476</v>
      </c>
      <c r="V1480" s="32">
        <v>45052.765081018522</v>
      </c>
      <c r="W1480" s="32" t="s">
        <v>7476</v>
      </c>
      <c r="X1480">
        <v>0</v>
      </c>
      <c r="Y1480" s="34" t="s">
        <v>7476</v>
      </c>
      <c r="Z1480" s="34" t="s">
        <v>7476</v>
      </c>
      <c r="AA1480" s="34" t="s">
        <v>7476</v>
      </c>
      <c r="AB1480" s="36" t="s">
        <v>52</v>
      </c>
      <c r="AD1480" t="s">
        <v>4628</v>
      </c>
      <c r="AE1480" t="s">
        <v>4629</v>
      </c>
      <c r="AF1480" s="16">
        <v>45043</v>
      </c>
      <c r="AG1480" t="s">
        <v>68</v>
      </c>
      <c r="AH1480">
        <v>6</v>
      </c>
      <c r="AI1480" s="8" t="str">
        <f t="shared" si="608"/>
        <v/>
      </c>
      <c r="AJ1480" s="8">
        <f t="shared" si="609"/>
        <v>5.7650810185223236</v>
      </c>
      <c r="AK1480" s="38">
        <f t="shared" si="607"/>
        <v>45232.765081018522</v>
      </c>
      <c r="AL1480" t="str">
        <f t="shared" si="610"/>
        <v/>
      </c>
      <c r="AM1480" t="str">
        <f t="shared" si="611"/>
        <v/>
      </c>
      <c r="AN1480">
        <f t="shared" si="612"/>
        <v>4</v>
      </c>
      <c r="AO1480">
        <f t="shared" si="613"/>
        <v>4</v>
      </c>
      <c r="AP1480">
        <f t="shared" si="614"/>
        <v>0</v>
      </c>
      <c r="AQ1480" t="str">
        <f t="shared" si="615"/>
        <v/>
      </c>
    </row>
    <row r="1481" spans="1:43" x14ac:dyDescent="0.35">
      <c r="A1481">
        <v>2753</v>
      </c>
      <c r="B1481" t="s">
        <v>4630</v>
      </c>
      <c r="C1481" t="s">
        <v>4471</v>
      </c>
      <c r="D1481" t="str">
        <f t="shared" si="605"/>
        <v>Finance</v>
      </c>
      <c r="E1481" t="s">
        <v>4614</v>
      </c>
      <c r="F1481" t="s">
        <v>3935</v>
      </c>
      <c r="G1481" t="s">
        <v>4615</v>
      </c>
      <c r="H1481" t="s">
        <v>334</v>
      </c>
      <c r="I1481" s="32">
        <v>45024.765081018522</v>
      </c>
      <c r="J1481" s="32">
        <v>45028.765081018522</v>
      </c>
      <c r="K1481" s="32">
        <v>45032.765081018522</v>
      </c>
      <c r="L1481" s="8">
        <f t="shared" si="606"/>
        <v>8</v>
      </c>
      <c r="M1481" s="7">
        <v>45050.765081018522</v>
      </c>
      <c r="N1481" t="s">
        <v>72</v>
      </c>
      <c r="O1481" s="34" t="s">
        <v>7474</v>
      </c>
      <c r="R1481" s="32" t="s">
        <v>7472</v>
      </c>
      <c r="S1481" t="s">
        <v>7476</v>
      </c>
      <c r="T1481" s="34" t="s">
        <v>7476</v>
      </c>
      <c r="U1481" s="34" t="s">
        <v>7476</v>
      </c>
      <c r="V1481" s="32" t="s">
        <v>7476</v>
      </c>
      <c r="W1481" s="32" t="s">
        <v>7476</v>
      </c>
      <c r="X1481">
        <v>0</v>
      </c>
      <c r="Y1481" s="34" t="s">
        <v>7476</v>
      </c>
      <c r="Z1481" s="34" t="s">
        <v>7476</v>
      </c>
      <c r="AA1481" s="34" t="s">
        <v>7476</v>
      </c>
      <c r="AB1481" s="36" t="s">
        <v>7476</v>
      </c>
      <c r="AD1481" t="s">
        <v>4631</v>
      </c>
      <c r="AE1481" t="s">
        <v>4632</v>
      </c>
      <c r="AG1481" t="s">
        <v>68</v>
      </c>
      <c r="AH1481">
        <v>3</v>
      </c>
      <c r="AI1481" s="8" t="str">
        <f t="shared" si="608"/>
        <v/>
      </c>
      <c r="AJ1481" s="8" t="str">
        <f t="shared" si="609"/>
        <v/>
      </c>
      <c r="AK1481" s="38" t="str">
        <f t="shared" si="607"/>
        <v/>
      </c>
      <c r="AL1481" t="str">
        <f t="shared" si="610"/>
        <v/>
      </c>
      <c r="AM1481" t="str">
        <f t="shared" si="611"/>
        <v/>
      </c>
      <c r="AN1481" t="str">
        <f t="shared" si="612"/>
        <v/>
      </c>
      <c r="AO1481">
        <f t="shared" si="613"/>
        <v>4</v>
      </c>
      <c r="AP1481">
        <f t="shared" si="614"/>
        <v>0</v>
      </c>
      <c r="AQ1481" t="str">
        <f t="shared" si="615"/>
        <v/>
      </c>
    </row>
    <row r="1482" spans="1:43" x14ac:dyDescent="0.35">
      <c r="A1482">
        <v>2751</v>
      </c>
      <c r="B1482" t="s">
        <v>4633</v>
      </c>
      <c r="C1482" t="s">
        <v>4480</v>
      </c>
      <c r="D1482" t="str">
        <f t="shared" si="605"/>
        <v>Finance</v>
      </c>
      <c r="E1482" t="s">
        <v>4614</v>
      </c>
      <c r="F1482" t="s">
        <v>3935</v>
      </c>
      <c r="G1482" t="s">
        <v>4615</v>
      </c>
      <c r="H1482" t="s">
        <v>334</v>
      </c>
      <c r="I1482" s="32">
        <v>45028.765081018522</v>
      </c>
      <c r="J1482" s="32">
        <v>45029.765081018522</v>
      </c>
      <c r="K1482" s="32">
        <v>45032.765081018522</v>
      </c>
      <c r="L1482" s="8">
        <f t="shared" si="606"/>
        <v>4</v>
      </c>
      <c r="M1482" s="7">
        <v>45049.765081018522</v>
      </c>
      <c r="N1482" t="s">
        <v>49</v>
      </c>
      <c r="O1482" s="34">
        <v>45033.765081018522</v>
      </c>
      <c r="P1482" t="s">
        <v>50</v>
      </c>
      <c r="Q1482" t="s">
        <v>125</v>
      </c>
      <c r="R1482" s="32" t="s">
        <v>7472</v>
      </c>
      <c r="S1482" t="s">
        <v>7476</v>
      </c>
      <c r="T1482" s="34" t="s">
        <v>7476</v>
      </c>
      <c r="U1482" s="34" t="s">
        <v>7476</v>
      </c>
      <c r="V1482" s="32">
        <v>45034.765081018522</v>
      </c>
      <c r="W1482" s="32" t="s">
        <v>7476</v>
      </c>
      <c r="X1482">
        <v>0</v>
      </c>
      <c r="Y1482" s="34" t="s">
        <v>7476</v>
      </c>
      <c r="Z1482" s="34" t="s">
        <v>7476</v>
      </c>
      <c r="AA1482" s="34" t="s">
        <v>7476</v>
      </c>
      <c r="AB1482" s="36" t="s">
        <v>95</v>
      </c>
      <c r="AD1482" t="s">
        <v>4634</v>
      </c>
      <c r="AE1482" t="s">
        <v>4635</v>
      </c>
      <c r="AF1482" s="16">
        <v>45023</v>
      </c>
      <c r="AG1482" t="s">
        <v>64</v>
      </c>
      <c r="AH1482">
        <v>3</v>
      </c>
      <c r="AI1482" s="8" t="str">
        <f t="shared" si="608"/>
        <v/>
      </c>
      <c r="AJ1482" s="8">
        <f t="shared" si="609"/>
        <v>10.765081018522324</v>
      </c>
      <c r="AK1482" s="38">
        <f t="shared" si="607"/>
        <v>45124.765081018522</v>
      </c>
      <c r="AL1482" t="str">
        <f t="shared" si="610"/>
        <v/>
      </c>
      <c r="AM1482" t="str">
        <f t="shared" si="611"/>
        <v/>
      </c>
      <c r="AN1482">
        <f t="shared" si="612"/>
        <v>1</v>
      </c>
      <c r="AO1482">
        <f t="shared" si="613"/>
        <v>1</v>
      </c>
      <c r="AP1482">
        <f t="shared" si="614"/>
        <v>0</v>
      </c>
      <c r="AQ1482" t="str">
        <f t="shared" si="615"/>
        <v/>
      </c>
    </row>
    <row r="1483" spans="1:43" x14ac:dyDescent="0.35">
      <c r="A1483">
        <v>2688</v>
      </c>
      <c r="B1483" t="s">
        <v>4636</v>
      </c>
      <c r="C1483" t="s">
        <v>4480</v>
      </c>
      <c r="D1483" t="str">
        <f t="shared" si="605"/>
        <v>Finance</v>
      </c>
      <c r="E1483" t="s">
        <v>4614</v>
      </c>
      <c r="F1483" t="s">
        <v>3935</v>
      </c>
      <c r="G1483" t="s">
        <v>4615</v>
      </c>
      <c r="H1483" t="s">
        <v>334</v>
      </c>
      <c r="I1483" s="32">
        <v>45137.716412037043</v>
      </c>
      <c r="J1483" s="32">
        <v>45141.716412037043</v>
      </c>
      <c r="K1483" s="32">
        <v>45142.716412037043</v>
      </c>
      <c r="L1483" s="8">
        <f t="shared" si="606"/>
        <v>5</v>
      </c>
      <c r="M1483" s="7">
        <v>45169.716412037043</v>
      </c>
      <c r="N1483" t="s">
        <v>49</v>
      </c>
      <c r="O1483" s="34">
        <v>45151.716412037043</v>
      </c>
      <c r="P1483" t="s">
        <v>60</v>
      </c>
      <c r="R1483" s="32">
        <v>45156.716412037043</v>
      </c>
      <c r="S1483" t="s">
        <v>61</v>
      </c>
      <c r="T1483" s="34" t="s">
        <v>7476</v>
      </c>
      <c r="U1483" s="34" t="s">
        <v>7476</v>
      </c>
      <c r="V1483" s="32">
        <v>45155.716412037043</v>
      </c>
      <c r="W1483" s="32" t="s">
        <v>7476</v>
      </c>
      <c r="X1483">
        <v>0</v>
      </c>
      <c r="Y1483" s="34" t="s">
        <v>7476</v>
      </c>
      <c r="Z1483" s="34" t="s">
        <v>7476</v>
      </c>
      <c r="AA1483" s="34" t="s">
        <v>7476</v>
      </c>
      <c r="AB1483" s="36" t="s">
        <v>7476</v>
      </c>
      <c r="AD1483" t="s">
        <v>4637</v>
      </c>
      <c r="AE1483" t="s">
        <v>4638</v>
      </c>
      <c r="AF1483" s="16">
        <v>45146</v>
      </c>
      <c r="AG1483" t="s">
        <v>98</v>
      </c>
      <c r="AH1483">
        <v>3</v>
      </c>
      <c r="AI1483" s="8">
        <f t="shared" si="608"/>
        <v>10.716412037043483</v>
      </c>
      <c r="AJ1483" s="8">
        <f t="shared" si="609"/>
        <v>5.716412037043483</v>
      </c>
      <c r="AK1483" s="38">
        <f t="shared" si="607"/>
        <v>45245.716412037043</v>
      </c>
      <c r="AL1483" t="str">
        <f t="shared" si="610"/>
        <v/>
      </c>
      <c r="AM1483">
        <f t="shared" si="611"/>
        <v>15</v>
      </c>
      <c r="AN1483">
        <f t="shared" si="612"/>
        <v>4</v>
      </c>
      <c r="AO1483">
        <f t="shared" si="613"/>
        <v>4</v>
      </c>
      <c r="AP1483">
        <f t="shared" si="614"/>
        <v>0</v>
      </c>
      <c r="AQ1483" t="str">
        <f t="shared" si="615"/>
        <v/>
      </c>
    </row>
    <row r="1484" spans="1:43" x14ac:dyDescent="0.35">
      <c r="A1484">
        <v>2681</v>
      </c>
      <c r="B1484" t="s">
        <v>4639</v>
      </c>
      <c r="C1484" t="s">
        <v>4471</v>
      </c>
      <c r="D1484" t="str">
        <f t="shared" si="605"/>
        <v>Finance</v>
      </c>
      <c r="E1484" t="s">
        <v>4614</v>
      </c>
      <c r="F1484" t="s">
        <v>3935</v>
      </c>
      <c r="G1484" t="s">
        <v>4615</v>
      </c>
      <c r="H1484" t="s">
        <v>334</v>
      </c>
      <c r="I1484" s="32">
        <v>45139.716412037043</v>
      </c>
      <c r="J1484" s="32">
        <v>45141.716412037043</v>
      </c>
      <c r="K1484" s="32">
        <v>45142.716412037043</v>
      </c>
      <c r="L1484" s="8">
        <f t="shared" si="606"/>
        <v>3</v>
      </c>
      <c r="M1484" s="7">
        <v>45162.716412037043</v>
      </c>
      <c r="N1484" t="s">
        <v>49</v>
      </c>
      <c r="O1484" s="34">
        <v>45150.716412037043</v>
      </c>
      <c r="P1484" t="s">
        <v>392</v>
      </c>
      <c r="R1484" s="32">
        <v>45155.716412037043</v>
      </c>
      <c r="S1484" t="s">
        <v>392</v>
      </c>
      <c r="T1484" s="34" t="s">
        <v>7476</v>
      </c>
      <c r="U1484" s="34" t="s">
        <v>7476</v>
      </c>
      <c r="V1484" s="32">
        <v>45152.716412037043</v>
      </c>
      <c r="W1484" s="32" t="s">
        <v>7476</v>
      </c>
      <c r="X1484">
        <v>0</v>
      </c>
      <c r="Y1484" s="34" t="s">
        <v>7476</v>
      </c>
      <c r="Z1484" s="34" t="s">
        <v>7476</v>
      </c>
      <c r="AA1484" s="34" t="s">
        <v>7476</v>
      </c>
      <c r="AB1484" s="36" t="s">
        <v>7476</v>
      </c>
      <c r="AD1484" t="s">
        <v>4640</v>
      </c>
      <c r="AE1484" t="s">
        <v>4641</v>
      </c>
      <c r="AF1484" s="16">
        <v>45131</v>
      </c>
      <c r="AG1484" t="s">
        <v>68</v>
      </c>
      <c r="AH1484">
        <v>3</v>
      </c>
      <c r="AI1484" s="8">
        <f t="shared" si="608"/>
        <v>24.716412037043483</v>
      </c>
      <c r="AJ1484" s="8">
        <f t="shared" si="609"/>
        <v>19.716412037043483</v>
      </c>
      <c r="AK1484" s="38">
        <f t="shared" si="607"/>
        <v>45242.716412037043</v>
      </c>
      <c r="AL1484" t="str">
        <f t="shared" si="610"/>
        <v/>
      </c>
      <c r="AM1484">
        <f t="shared" si="611"/>
        <v>14</v>
      </c>
      <c r="AN1484">
        <f t="shared" si="612"/>
        <v>2</v>
      </c>
      <c r="AO1484">
        <f t="shared" si="613"/>
        <v>2</v>
      </c>
      <c r="AP1484">
        <f t="shared" si="614"/>
        <v>0</v>
      </c>
      <c r="AQ1484" t="str">
        <f t="shared" si="615"/>
        <v/>
      </c>
    </row>
    <row r="1485" spans="1:43" x14ac:dyDescent="0.35">
      <c r="A1485">
        <v>2674</v>
      </c>
      <c r="B1485" t="s">
        <v>4642</v>
      </c>
      <c r="C1485" t="s">
        <v>4502</v>
      </c>
      <c r="D1485" t="str">
        <f t="shared" si="605"/>
        <v>Finance</v>
      </c>
      <c r="E1485" t="s">
        <v>4614</v>
      </c>
      <c r="F1485" t="s">
        <v>3935</v>
      </c>
      <c r="G1485" t="s">
        <v>4615</v>
      </c>
      <c r="H1485" t="s">
        <v>334</v>
      </c>
      <c r="I1485" s="32" t="s">
        <v>7471</v>
      </c>
      <c r="J1485" s="32">
        <v>44604.141087962962</v>
      </c>
      <c r="K1485" s="32" t="s">
        <v>7473</v>
      </c>
      <c r="L1485" s="8" t="str">
        <f t="shared" si="606"/>
        <v/>
      </c>
      <c r="M1485" s="7">
        <v>44620.141087962962</v>
      </c>
      <c r="N1485" t="s">
        <v>49</v>
      </c>
      <c r="O1485" s="34">
        <v>44622.141087962962</v>
      </c>
      <c r="P1485" t="s">
        <v>50</v>
      </c>
      <c r="Q1485" t="s">
        <v>236</v>
      </c>
      <c r="R1485" s="32" t="s">
        <v>7472</v>
      </c>
      <c r="S1485" t="s">
        <v>7476</v>
      </c>
      <c r="T1485" s="34" t="s">
        <v>7476</v>
      </c>
      <c r="U1485" s="34" t="s">
        <v>7476</v>
      </c>
      <c r="V1485" s="32">
        <v>44626.141087962962</v>
      </c>
      <c r="W1485" s="32" t="s">
        <v>7476</v>
      </c>
      <c r="X1485">
        <v>0</v>
      </c>
      <c r="Y1485" s="34" t="s">
        <v>7476</v>
      </c>
      <c r="Z1485" s="34" t="s">
        <v>7476</v>
      </c>
      <c r="AA1485" s="34" t="s">
        <v>7476</v>
      </c>
      <c r="AB1485" s="36" t="s">
        <v>95</v>
      </c>
      <c r="AD1485" t="s">
        <v>4643</v>
      </c>
      <c r="AE1485" t="s">
        <v>4644</v>
      </c>
      <c r="AF1485" s="16">
        <v>44607</v>
      </c>
      <c r="AG1485" t="s">
        <v>93</v>
      </c>
      <c r="AH1485">
        <v>6</v>
      </c>
      <c r="AK1485" s="38">
        <f t="shared" si="607"/>
        <v>44806.141087962962</v>
      </c>
    </row>
    <row r="1486" spans="1:43" x14ac:dyDescent="0.35">
      <c r="A1486">
        <v>2671</v>
      </c>
      <c r="B1486" t="s">
        <v>4645</v>
      </c>
      <c r="C1486" t="s">
        <v>4502</v>
      </c>
      <c r="D1486" t="str">
        <f t="shared" si="605"/>
        <v>Finance</v>
      </c>
      <c r="E1486" t="s">
        <v>4614</v>
      </c>
      <c r="F1486" t="s">
        <v>3935</v>
      </c>
      <c r="G1486" t="s">
        <v>4615</v>
      </c>
      <c r="H1486" t="s">
        <v>334</v>
      </c>
      <c r="I1486" s="32">
        <v>44605.141087962962</v>
      </c>
      <c r="J1486" s="32">
        <v>44607.141087962962</v>
      </c>
      <c r="K1486" s="32" t="s">
        <v>7473</v>
      </c>
      <c r="L1486" s="8" t="str">
        <f t="shared" si="606"/>
        <v/>
      </c>
      <c r="M1486" s="7">
        <v>44634.141087962962</v>
      </c>
      <c r="N1486" t="s">
        <v>49</v>
      </c>
      <c r="O1486" s="34">
        <v>44610.141087962962</v>
      </c>
      <c r="P1486" t="s">
        <v>392</v>
      </c>
      <c r="R1486" s="32">
        <v>44612.141087962962</v>
      </c>
      <c r="S1486" t="s">
        <v>392</v>
      </c>
      <c r="T1486" s="34" t="s">
        <v>7476</v>
      </c>
      <c r="U1486" s="34" t="s">
        <v>7476</v>
      </c>
      <c r="V1486" s="32">
        <v>44611.141087962962</v>
      </c>
      <c r="W1486" s="32" t="s">
        <v>7476</v>
      </c>
      <c r="X1486">
        <v>0</v>
      </c>
      <c r="Y1486" s="34" t="s">
        <v>7476</v>
      </c>
      <c r="Z1486" s="34" t="s">
        <v>7476</v>
      </c>
      <c r="AA1486" s="34" t="s">
        <v>7476</v>
      </c>
      <c r="AB1486" s="36" t="s">
        <v>7476</v>
      </c>
      <c r="AD1486" t="s">
        <v>4646</v>
      </c>
      <c r="AE1486" t="s">
        <v>4647</v>
      </c>
      <c r="AF1486" s="16">
        <v>44604</v>
      </c>
      <c r="AG1486" t="s">
        <v>68</v>
      </c>
      <c r="AH1486">
        <v>3</v>
      </c>
      <c r="AK1486" s="38">
        <f t="shared" si="607"/>
        <v>44701.141087962962</v>
      </c>
    </row>
    <row r="1487" spans="1:43" x14ac:dyDescent="0.35">
      <c r="A1487">
        <v>2545</v>
      </c>
      <c r="B1487" t="s">
        <v>4648</v>
      </c>
      <c r="C1487" t="s">
        <v>4480</v>
      </c>
      <c r="D1487" t="str">
        <f t="shared" si="605"/>
        <v>Finance</v>
      </c>
      <c r="E1487" t="s">
        <v>4614</v>
      </c>
      <c r="F1487" t="s">
        <v>3935</v>
      </c>
      <c r="G1487" t="s">
        <v>4615</v>
      </c>
      <c r="H1487" t="s">
        <v>334</v>
      </c>
      <c r="I1487" s="32">
        <v>45104.479166666657</v>
      </c>
      <c r="J1487" s="32">
        <v>45107.479166666657</v>
      </c>
      <c r="K1487" s="32">
        <v>45112.479166666657</v>
      </c>
      <c r="L1487" s="8">
        <f t="shared" si="606"/>
        <v>8</v>
      </c>
      <c r="M1487" s="7">
        <v>45122.479166666657</v>
      </c>
      <c r="N1487" t="s">
        <v>49</v>
      </c>
      <c r="O1487" s="34">
        <v>45127.479166666657</v>
      </c>
      <c r="P1487" t="s">
        <v>50</v>
      </c>
      <c r="Q1487" t="s">
        <v>125</v>
      </c>
      <c r="R1487" s="32" t="s">
        <v>7472</v>
      </c>
      <c r="S1487" t="s">
        <v>7476</v>
      </c>
      <c r="T1487" s="34" t="s">
        <v>7476</v>
      </c>
      <c r="U1487" s="34" t="s">
        <v>7476</v>
      </c>
      <c r="V1487" s="32" t="s">
        <v>7476</v>
      </c>
      <c r="W1487" s="32" t="s">
        <v>7476</v>
      </c>
      <c r="X1487">
        <v>0</v>
      </c>
      <c r="Y1487" s="34" t="s">
        <v>7476</v>
      </c>
      <c r="Z1487" s="34" t="s">
        <v>7476</v>
      </c>
      <c r="AA1487" s="34" t="s">
        <v>7476</v>
      </c>
      <c r="AB1487" s="36" t="s">
        <v>95</v>
      </c>
      <c r="AD1487" t="s">
        <v>4649</v>
      </c>
      <c r="AE1487" t="s">
        <v>4650</v>
      </c>
      <c r="AF1487" s="16">
        <v>45114</v>
      </c>
      <c r="AG1487" t="s">
        <v>68</v>
      </c>
      <c r="AH1487">
        <v>6</v>
      </c>
      <c r="AI1487" s="8" t="str">
        <f t="shared" ref="AI1487:AI1492" si="616">IFERROR(R1487-AF1487,"")</f>
        <v/>
      </c>
      <c r="AJ1487" s="8">
        <f t="shared" ref="AJ1487:AJ1492" si="617">IFERROR(O1487-AF1487,"")</f>
        <v>13.479166666656965</v>
      </c>
      <c r="AK1487" s="38" t="str">
        <f t="shared" si="607"/>
        <v/>
      </c>
      <c r="AL1487" t="str">
        <f t="shared" ref="AL1487:AL1492" si="618">IFERROR(Z1487-W1487,"")</f>
        <v/>
      </c>
      <c r="AM1487" t="str">
        <f t="shared" ref="AM1487:AM1492" si="619">IFERROR(R1487-J1487,"")</f>
        <v/>
      </c>
      <c r="AN1487" t="str">
        <f t="shared" ref="AN1487:AN1492" si="620">IFERROR(V1487-O1487,"")</f>
        <v/>
      </c>
      <c r="AO1487">
        <f t="shared" ref="AO1487:AO1492" si="621">IFERROR(J1487-I1487,"")</f>
        <v>3</v>
      </c>
      <c r="AP1487">
        <f t="shared" ref="AP1487:AP1492" si="622">IFERROR(AC1487-X1487,"")</f>
        <v>0</v>
      </c>
      <c r="AQ1487" t="str">
        <f t="shared" ref="AQ1487:AQ1492" si="623">IFERROR(AA1487-W1487,"")</f>
        <v/>
      </c>
    </row>
    <row r="1488" spans="1:43" x14ac:dyDescent="0.35">
      <c r="A1488">
        <v>2541</v>
      </c>
      <c r="B1488" t="s">
        <v>4651</v>
      </c>
      <c r="C1488" t="s">
        <v>4471</v>
      </c>
      <c r="D1488" t="str">
        <f t="shared" si="605"/>
        <v>Finance</v>
      </c>
      <c r="E1488" t="s">
        <v>4614</v>
      </c>
      <c r="F1488" t="s">
        <v>3935</v>
      </c>
      <c r="G1488" t="s">
        <v>4615</v>
      </c>
      <c r="H1488" t="s">
        <v>334</v>
      </c>
      <c r="I1488" s="32">
        <v>45107.479166666657</v>
      </c>
      <c r="J1488" s="32">
        <v>45110.479166666657</v>
      </c>
      <c r="K1488" s="32">
        <v>45112.479166666657</v>
      </c>
      <c r="L1488" s="8">
        <f t="shared" si="606"/>
        <v>5</v>
      </c>
      <c r="M1488" s="7">
        <v>45141.479166666657</v>
      </c>
      <c r="N1488" t="s">
        <v>49</v>
      </c>
      <c r="O1488" s="34">
        <v>45128.479166666657</v>
      </c>
      <c r="P1488" t="s">
        <v>101</v>
      </c>
      <c r="R1488" s="32">
        <v>45132.479166666657</v>
      </c>
      <c r="S1488" t="s">
        <v>101</v>
      </c>
      <c r="T1488" s="34">
        <v>45130.479166666657</v>
      </c>
      <c r="U1488" s="34">
        <v>45133.479166666657</v>
      </c>
      <c r="V1488" s="32">
        <v>45131.479166666657</v>
      </c>
      <c r="W1488" s="32">
        <v>45139.479166666657</v>
      </c>
      <c r="X1488">
        <v>1</v>
      </c>
      <c r="Y1488" s="34">
        <v>45142.479166666657</v>
      </c>
      <c r="Z1488" s="34">
        <v>45144.479166666657</v>
      </c>
      <c r="AA1488" s="34">
        <v>45145.479166666657</v>
      </c>
      <c r="AB1488" s="36" t="s">
        <v>7476</v>
      </c>
      <c r="AC1488" s="10">
        <v>45160.479166666657</v>
      </c>
      <c r="AD1488" t="s">
        <v>4652</v>
      </c>
      <c r="AE1488" t="s">
        <v>4653</v>
      </c>
      <c r="AF1488" s="16">
        <v>45145</v>
      </c>
      <c r="AG1488" t="s">
        <v>68</v>
      </c>
      <c r="AH1488">
        <v>6</v>
      </c>
      <c r="AI1488" s="8">
        <f t="shared" si="616"/>
        <v>-12.520833333343035</v>
      </c>
      <c r="AJ1488" s="8">
        <f t="shared" si="617"/>
        <v>-16.520833333343035</v>
      </c>
      <c r="AK1488" s="38">
        <f t="shared" si="607"/>
        <v>45311.479166666657</v>
      </c>
      <c r="AL1488">
        <f t="shared" si="618"/>
        <v>5</v>
      </c>
      <c r="AM1488">
        <f t="shared" si="619"/>
        <v>22</v>
      </c>
      <c r="AN1488">
        <f t="shared" si="620"/>
        <v>3</v>
      </c>
      <c r="AO1488">
        <f t="shared" si="621"/>
        <v>3</v>
      </c>
      <c r="AP1488">
        <f t="shared" si="622"/>
        <v>45159.479166666657</v>
      </c>
      <c r="AQ1488">
        <f t="shared" si="623"/>
        <v>6</v>
      </c>
    </row>
    <row r="1489" spans="1:43" x14ac:dyDescent="0.35">
      <c r="A1489">
        <v>2479</v>
      </c>
      <c r="B1489" t="s">
        <v>4654</v>
      </c>
      <c r="C1489" t="s">
        <v>4471</v>
      </c>
      <c r="D1489" t="str">
        <f t="shared" si="605"/>
        <v>Finance</v>
      </c>
      <c r="E1489" t="s">
        <v>4614</v>
      </c>
      <c r="F1489" t="s">
        <v>3935</v>
      </c>
      <c r="G1489" t="s">
        <v>4615</v>
      </c>
      <c r="H1489" t="s">
        <v>334</v>
      </c>
      <c r="I1489" s="32">
        <v>44915.430844907409</v>
      </c>
      <c r="J1489" s="32">
        <v>44918.430844907409</v>
      </c>
      <c r="K1489" s="32">
        <v>44920.430844907409</v>
      </c>
      <c r="L1489" s="8">
        <f t="shared" si="606"/>
        <v>5</v>
      </c>
      <c r="M1489" s="7">
        <v>44944.430844907409</v>
      </c>
      <c r="N1489" t="s">
        <v>49</v>
      </c>
      <c r="O1489" s="34">
        <v>44928.430844907409</v>
      </c>
      <c r="P1489" t="s">
        <v>60</v>
      </c>
      <c r="R1489" s="32">
        <v>44934.430844907409</v>
      </c>
      <c r="S1489" t="s">
        <v>61</v>
      </c>
      <c r="T1489" s="34" t="s">
        <v>7476</v>
      </c>
      <c r="U1489" s="34" t="s">
        <v>7476</v>
      </c>
      <c r="V1489" s="32">
        <v>44930.430844907409</v>
      </c>
      <c r="W1489" s="32" t="s">
        <v>7476</v>
      </c>
      <c r="X1489">
        <v>0</v>
      </c>
      <c r="Y1489" s="34" t="s">
        <v>7476</v>
      </c>
      <c r="Z1489" s="34" t="s">
        <v>7476</v>
      </c>
      <c r="AA1489" s="34" t="s">
        <v>7476</v>
      </c>
      <c r="AB1489" s="36" t="s">
        <v>7476</v>
      </c>
      <c r="AD1489" t="s">
        <v>4655</v>
      </c>
      <c r="AE1489" t="s">
        <v>4656</v>
      </c>
      <c r="AF1489" s="16">
        <v>44920</v>
      </c>
      <c r="AG1489" t="s">
        <v>68</v>
      </c>
      <c r="AH1489">
        <v>6</v>
      </c>
      <c r="AI1489" s="8">
        <f t="shared" si="616"/>
        <v>14.430844907408755</v>
      </c>
      <c r="AJ1489" s="8">
        <f t="shared" si="617"/>
        <v>8.4308449074087548</v>
      </c>
      <c r="AK1489" s="38">
        <f t="shared" si="607"/>
        <v>45110.430844907409</v>
      </c>
      <c r="AL1489" t="str">
        <f t="shared" si="618"/>
        <v/>
      </c>
      <c r="AM1489">
        <f t="shared" si="619"/>
        <v>16</v>
      </c>
      <c r="AN1489">
        <f t="shared" si="620"/>
        <v>2</v>
      </c>
      <c r="AO1489">
        <f t="shared" si="621"/>
        <v>3</v>
      </c>
      <c r="AP1489">
        <f t="shared" si="622"/>
        <v>0</v>
      </c>
      <c r="AQ1489" t="str">
        <f t="shared" si="623"/>
        <v/>
      </c>
    </row>
    <row r="1490" spans="1:43" x14ac:dyDescent="0.35">
      <c r="A1490">
        <v>2471</v>
      </c>
      <c r="B1490" t="s">
        <v>4657</v>
      </c>
      <c r="C1490" t="s">
        <v>4502</v>
      </c>
      <c r="D1490" t="str">
        <f t="shared" si="605"/>
        <v>Finance</v>
      </c>
      <c r="E1490" t="s">
        <v>4614</v>
      </c>
      <c r="F1490" t="s">
        <v>3935</v>
      </c>
      <c r="G1490" t="s">
        <v>4615</v>
      </c>
      <c r="H1490" t="s">
        <v>334</v>
      </c>
      <c r="I1490" s="32">
        <v>44912.430844907409</v>
      </c>
      <c r="J1490" s="32">
        <v>44915.430844907409</v>
      </c>
      <c r="K1490" s="32">
        <v>44920.430844907409</v>
      </c>
      <c r="L1490" s="8">
        <f t="shared" si="606"/>
        <v>8</v>
      </c>
      <c r="M1490" s="7">
        <v>44943.430844907409</v>
      </c>
      <c r="N1490" t="s">
        <v>49</v>
      </c>
      <c r="O1490" s="34">
        <v>44932.430844907409</v>
      </c>
      <c r="P1490" t="s">
        <v>101</v>
      </c>
      <c r="R1490" s="32">
        <v>44936.430844907409</v>
      </c>
      <c r="S1490" t="s">
        <v>101</v>
      </c>
      <c r="T1490" s="34">
        <v>44933.430844907409</v>
      </c>
      <c r="U1490" s="34">
        <v>44934.430844907409</v>
      </c>
      <c r="V1490" s="32">
        <v>44933.430844907409</v>
      </c>
      <c r="W1490" s="32">
        <v>44943.430844907409</v>
      </c>
      <c r="X1490">
        <v>1</v>
      </c>
      <c r="Y1490" s="34">
        <v>44946.430844907409</v>
      </c>
      <c r="Z1490" s="34">
        <v>44949.430844907409</v>
      </c>
      <c r="AA1490" s="34">
        <v>44952.430844907409</v>
      </c>
      <c r="AB1490" s="36" t="s">
        <v>7476</v>
      </c>
      <c r="AC1490" s="10">
        <v>44973.430844907409</v>
      </c>
      <c r="AD1490" t="s">
        <v>4658</v>
      </c>
      <c r="AE1490" t="s">
        <v>4659</v>
      </c>
      <c r="AF1490" s="16">
        <v>44915</v>
      </c>
      <c r="AG1490" t="s">
        <v>64</v>
      </c>
      <c r="AH1490">
        <v>6</v>
      </c>
      <c r="AI1490" s="8">
        <f t="shared" si="616"/>
        <v>21.430844907408755</v>
      </c>
      <c r="AJ1490" s="8">
        <f t="shared" si="617"/>
        <v>17.430844907408755</v>
      </c>
      <c r="AK1490" s="38">
        <f t="shared" si="607"/>
        <v>45113.430844907409</v>
      </c>
      <c r="AL1490">
        <f t="shared" si="618"/>
        <v>6</v>
      </c>
      <c r="AM1490">
        <f t="shared" si="619"/>
        <v>21</v>
      </c>
      <c r="AN1490">
        <f t="shared" si="620"/>
        <v>1</v>
      </c>
      <c r="AO1490">
        <f t="shared" si="621"/>
        <v>3</v>
      </c>
      <c r="AP1490">
        <f t="shared" si="622"/>
        <v>44972.430844907409</v>
      </c>
      <c r="AQ1490">
        <f t="shared" si="623"/>
        <v>9</v>
      </c>
    </row>
    <row r="1491" spans="1:43" x14ac:dyDescent="0.35">
      <c r="A1491">
        <v>2355</v>
      </c>
      <c r="B1491" t="s">
        <v>4660</v>
      </c>
      <c r="C1491" t="s">
        <v>4480</v>
      </c>
      <c r="D1491" t="str">
        <f t="shared" si="605"/>
        <v>Finance</v>
      </c>
      <c r="E1491" t="s">
        <v>4614</v>
      </c>
      <c r="F1491" t="s">
        <v>3935</v>
      </c>
      <c r="G1491" t="s">
        <v>4615</v>
      </c>
      <c r="H1491" t="s">
        <v>334</v>
      </c>
      <c r="I1491" s="32">
        <v>45026.526319444441</v>
      </c>
      <c r="J1491" s="32">
        <v>45027.526319444441</v>
      </c>
      <c r="K1491" s="32">
        <v>45032.526319444441</v>
      </c>
      <c r="L1491" s="8">
        <f t="shared" si="606"/>
        <v>6</v>
      </c>
      <c r="M1491" s="7">
        <v>45061.526319444441</v>
      </c>
      <c r="N1491" t="s">
        <v>72</v>
      </c>
      <c r="O1491" s="34" t="s">
        <v>7474</v>
      </c>
      <c r="R1491" s="32" t="s">
        <v>7472</v>
      </c>
      <c r="S1491" t="s">
        <v>7476</v>
      </c>
      <c r="T1491" s="34" t="s">
        <v>7476</v>
      </c>
      <c r="U1491" s="34" t="s">
        <v>7476</v>
      </c>
      <c r="V1491" s="32" t="s">
        <v>7476</v>
      </c>
      <c r="W1491" s="32" t="s">
        <v>7476</v>
      </c>
      <c r="X1491">
        <v>0</v>
      </c>
      <c r="Y1491" s="34" t="s">
        <v>7476</v>
      </c>
      <c r="Z1491" s="34" t="s">
        <v>7476</v>
      </c>
      <c r="AA1491" s="34" t="s">
        <v>7476</v>
      </c>
      <c r="AB1491" s="36" t="s">
        <v>7476</v>
      </c>
      <c r="AD1491" t="s">
        <v>4661</v>
      </c>
      <c r="AE1491" t="s">
        <v>4662</v>
      </c>
      <c r="AG1491" t="s">
        <v>64</v>
      </c>
      <c r="AH1491">
        <v>3</v>
      </c>
      <c r="AI1491" s="8" t="str">
        <f t="shared" si="616"/>
        <v/>
      </c>
      <c r="AJ1491" s="8" t="str">
        <f t="shared" si="617"/>
        <v/>
      </c>
      <c r="AK1491" s="38" t="str">
        <f t="shared" si="607"/>
        <v/>
      </c>
      <c r="AL1491" t="str">
        <f t="shared" si="618"/>
        <v/>
      </c>
      <c r="AM1491" t="str">
        <f t="shared" si="619"/>
        <v/>
      </c>
      <c r="AN1491" t="str">
        <f t="shared" si="620"/>
        <v/>
      </c>
      <c r="AO1491">
        <f t="shared" si="621"/>
        <v>1</v>
      </c>
      <c r="AP1491">
        <f t="shared" si="622"/>
        <v>0</v>
      </c>
      <c r="AQ1491" t="str">
        <f t="shared" si="623"/>
        <v/>
      </c>
    </row>
    <row r="1492" spans="1:43" x14ac:dyDescent="0.35">
      <c r="A1492">
        <v>2354</v>
      </c>
      <c r="B1492" t="s">
        <v>4663</v>
      </c>
      <c r="C1492" t="s">
        <v>4480</v>
      </c>
      <c r="D1492" t="str">
        <f t="shared" si="605"/>
        <v>Finance</v>
      </c>
      <c r="E1492" t="s">
        <v>4614</v>
      </c>
      <c r="F1492" t="s">
        <v>3935</v>
      </c>
      <c r="G1492" t="s">
        <v>4615</v>
      </c>
      <c r="H1492" t="s">
        <v>334</v>
      </c>
      <c r="I1492" s="32">
        <v>45027.526319444441</v>
      </c>
      <c r="J1492" s="32">
        <v>45031.526319444441</v>
      </c>
      <c r="K1492" s="32">
        <v>45032.526319444441</v>
      </c>
      <c r="L1492" s="8">
        <f t="shared" si="606"/>
        <v>5</v>
      </c>
      <c r="M1492" s="7">
        <v>45038.526319444441</v>
      </c>
      <c r="N1492" t="s">
        <v>49</v>
      </c>
      <c r="O1492" s="34">
        <v>45043.526319444441</v>
      </c>
      <c r="P1492" t="s">
        <v>50</v>
      </c>
      <c r="Q1492" t="s">
        <v>198</v>
      </c>
      <c r="R1492" s="32" t="s">
        <v>7472</v>
      </c>
      <c r="S1492" t="s">
        <v>7476</v>
      </c>
      <c r="T1492" s="34" t="s">
        <v>7476</v>
      </c>
      <c r="U1492" s="34" t="s">
        <v>7476</v>
      </c>
      <c r="V1492" s="32">
        <v>45046.526319444441</v>
      </c>
      <c r="W1492" s="32" t="s">
        <v>7476</v>
      </c>
      <c r="X1492">
        <v>0</v>
      </c>
      <c r="Y1492" s="34" t="s">
        <v>7476</v>
      </c>
      <c r="Z1492" s="34" t="s">
        <v>7476</v>
      </c>
      <c r="AA1492" s="34" t="s">
        <v>7476</v>
      </c>
      <c r="AB1492" s="36" t="s">
        <v>95</v>
      </c>
      <c r="AD1492" t="s">
        <v>4664</v>
      </c>
      <c r="AE1492" t="s">
        <v>4665</v>
      </c>
      <c r="AF1492" s="16">
        <v>45035</v>
      </c>
      <c r="AG1492" t="s">
        <v>64</v>
      </c>
      <c r="AH1492">
        <v>3</v>
      </c>
      <c r="AI1492" s="8" t="str">
        <f t="shared" si="616"/>
        <v/>
      </c>
      <c r="AJ1492" s="8">
        <f t="shared" si="617"/>
        <v>8.5263194444414694</v>
      </c>
      <c r="AK1492" s="38">
        <f t="shared" si="607"/>
        <v>45136.526319444441</v>
      </c>
      <c r="AL1492" t="str">
        <f t="shared" si="618"/>
        <v/>
      </c>
      <c r="AM1492" t="str">
        <f t="shared" si="619"/>
        <v/>
      </c>
      <c r="AN1492">
        <f t="shared" si="620"/>
        <v>3</v>
      </c>
      <c r="AO1492">
        <f t="shared" si="621"/>
        <v>4</v>
      </c>
      <c r="AP1492">
        <f t="shared" si="622"/>
        <v>0</v>
      </c>
      <c r="AQ1492" t="str">
        <f t="shared" si="623"/>
        <v/>
      </c>
    </row>
    <row r="1493" spans="1:43" x14ac:dyDescent="0.35">
      <c r="A1493">
        <v>2309</v>
      </c>
      <c r="B1493" t="s">
        <v>4666</v>
      </c>
      <c r="C1493" t="s">
        <v>4480</v>
      </c>
      <c r="D1493" t="str">
        <f t="shared" si="605"/>
        <v>Finance</v>
      </c>
      <c r="E1493" t="s">
        <v>4614</v>
      </c>
      <c r="F1493" t="s">
        <v>3935</v>
      </c>
      <c r="G1493" t="s">
        <v>4615</v>
      </c>
      <c r="H1493" t="s">
        <v>334</v>
      </c>
      <c r="I1493" s="32">
        <v>45099.08085648148</v>
      </c>
      <c r="J1493" s="32" t="s">
        <v>7471</v>
      </c>
      <c r="K1493" s="32">
        <v>45105.08085648148</v>
      </c>
      <c r="L1493" s="8">
        <f t="shared" si="606"/>
        <v>6</v>
      </c>
      <c r="M1493" s="7">
        <v>45119.08085648148</v>
      </c>
      <c r="N1493" t="s">
        <v>72</v>
      </c>
      <c r="O1493" s="34" t="s">
        <v>7474</v>
      </c>
      <c r="R1493" s="32" t="s">
        <v>7472</v>
      </c>
      <c r="S1493" t="s">
        <v>7476</v>
      </c>
      <c r="T1493" s="34" t="s">
        <v>7476</v>
      </c>
      <c r="U1493" s="34" t="s">
        <v>7476</v>
      </c>
      <c r="V1493" s="32" t="s">
        <v>7476</v>
      </c>
      <c r="W1493" s="32" t="s">
        <v>7476</v>
      </c>
      <c r="X1493">
        <v>0</v>
      </c>
      <c r="Y1493" s="34" t="s">
        <v>7476</v>
      </c>
      <c r="Z1493" s="34" t="s">
        <v>7476</v>
      </c>
      <c r="AA1493" s="34" t="s">
        <v>7476</v>
      </c>
      <c r="AB1493" s="36" t="s">
        <v>7476</v>
      </c>
      <c r="AD1493" t="s">
        <v>4667</v>
      </c>
      <c r="AE1493" t="s">
        <v>4668</v>
      </c>
      <c r="AG1493" t="s">
        <v>98</v>
      </c>
      <c r="AH1493">
        <v>6</v>
      </c>
      <c r="AK1493" s="38" t="str">
        <f t="shared" si="607"/>
        <v/>
      </c>
    </row>
    <row r="1494" spans="1:43" x14ac:dyDescent="0.35">
      <c r="A1494">
        <v>2283</v>
      </c>
      <c r="B1494" t="s">
        <v>4669</v>
      </c>
      <c r="C1494" t="s">
        <v>4471</v>
      </c>
      <c r="D1494" t="str">
        <f t="shared" si="605"/>
        <v>Finance</v>
      </c>
      <c r="E1494" t="s">
        <v>4614</v>
      </c>
      <c r="F1494" t="s">
        <v>3935</v>
      </c>
      <c r="G1494" t="s">
        <v>4615</v>
      </c>
      <c r="H1494" t="s">
        <v>334</v>
      </c>
      <c r="I1494" s="32" t="s">
        <v>7471</v>
      </c>
      <c r="J1494" s="32">
        <v>44764.489282407398</v>
      </c>
      <c r="K1494" s="32">
        <v>44769.489282407398</v>
      </c>
      <c r="L1494" s="8" t="str">
        <f t="shared" si="606"/>
        <v/>
      </c>
      <c r="M1494" s="7">
        <v>44782.489282407398</v>
      </c>
      <c r="N1494" t="s">
        <v>49</v>
      </c>
      <c r="O1494" s="34">
        <v>44781.489282407398</v>
      </c>
      <c r="P1494" t="s">
        <v>101</v>
      </c>
      <c r="R1494" s="32">
        <v>44785.489282407398</v>
      </c>
      <c r="S1494" t="s">
        <v>101</v>
      </c>
      <c r="T1494" s="34">
        <v>44782.489282407398</v>
      </c>
      <c r="U1494" s="34">
        <v>44785.489282407398</v>
      </c>
      <c r="V1494" s="32">
        <v>44783.489282407398</v>
      </c>
      <c r="W1494" s="32">
        <v>44793.489282407398</v>
      </c>
      <c r="X1494">
        <v>1</v>
      </c>
      <c r="Y1494" s="34">
        <v>44795.489282407398</v>
      </c>
      <c r="Z1494" s="34">
        <v>44796.489282407398</v>
      </c>
      <c r="AA1494" s="34">
        <v>44799.489282407398</v>
      </c>
      <c r="AB1494" s="36" t="s">
        <v>7476</v>
      </c>
      <c r="AC1494" s="10">
        <v>44818.489282407398</v>
      </c>
      <c r="AD1494" t="s">
        <v>4670</v>
      </c>
      <c r="AE1494" t="s">
        <v>4671</v>
      </c>
      <c r="AF1494" s="16">
        <v>44764</v>
      </c>
      <c r="AG1494" t="s">
        <v>75</v>
      </c>
      <c r="AH1494">
        <v>3</v>
      </c>
      <c r="AK1494" s="38">
        <f t="shared" si="607"/>
        <v>44873.489282407398</v>
      </c>
    </row>
    <row r="1495" spans="1:43" x14ac:dyDescent="0.35">
      <c r="A1495">
        <v>2234</v>
      </c>
      <c r="B1495" t="s">
        <v>4672</v>
      </c>
      <c r="C1495" t="s">
        <v>4471</v>
      </c>
      <c r="D1495" t="str">
        <f t="shared" si="605"/>
        <v>Finance</v>
      </c>
      <c r="E1495" t="s">
        <v>4614</v>
      </c>
      <c r="F1495" t="s">
        <v>3935</v>
      </c>
      <c r="G1495" t="s">
        <v>4615</v>
      </c>
      <c r="H1495" t="s">
        <v>334</v>
      </c>
      <c r="I1495" s="32">
        <v>45034.959444444437</v>
      </c>
      <c r="J1495" s="32">
        <v>45035.959444444437</v>
      </c>
      <c r="K1495" s="32">
        <v>45036.959444444437</v>
      </c>
      <c r="L1495" s="8">
        <f t="shared" si="606"/>
        <v>2</v>
      </c>
      <c r="M1495" s="7">
        <v>45066.959444444437</v>
      </c>
      <c r="N1495" t="s">
        <v>72</v>
      </c>
      <c r="O1495" s="34" t="s">
        <v>7474</v>
      </c>
      <c r="R1495" s="32" t="s">
        <v>7472</v>
      </c>
      <c r="S1495" t="s">
        <v>7476</v>
      </c>
      <c r="T1495" s="34" t="s">
        <v>7476</v>
      </c>
      <c r="U1495" s="34" t="s">
        <v>7476</v>
      </c>
      <c r="V1495" s="32" t="s">
        <v>7476</v>
      </c>
      <c r="W1495" s="32" t="s">
        <v>7476</v>
      </c>
      <c r="X1495">
        <v>0</v>
      </c>
      <c r="Y1495" s="34" t="s">
        <v>7476</v>
      </c>
      <c r="Z1495" s="34" t="s">
        <v>7476</v>
      </c>
      <c r="AA1495" s="34" t="s">
        <v>7476</v>
      </c>
      <c r="AB1495" s="36" t="s">
        <v>7476</v>
      </c>
      <c r="AD1495" t="s">
        <v>4673</v>
      </c>
      <c r="AE1495" t="s">
        <v>4674</v>
      </c>
      <c r="AG1495" t="s">
        <v>64</v>
      </c>
      <c r="AH1495">
        <v>3</v>
      </c>
      <c r="AI1495" s="8" t="str">
        <f>IFERROR(R1495-AF1495,"")</f>
        <v/>
      </c>
      <c r="AJ1495" s="8" t="str">
        <f>IFERROR(O1495-AF1495,"")</f>
        <v/>
      </c>
      <c r="AK1495" s="38" t="str">
        <f t="shared" si="607"/>
        <v/>
      </c>
      <c r="AL1495" t="str">
        <f>IFERROR(Z1495-W1495,"")</f>
        <v/>
      </c>
      <c r="AM1495" t="str">
        <f>IFERROR(R1495-J1495,"")</f>
        <v/>
      </c>
      <c r="AN1495" t="str">
        <f>IFERROR(V1495-O1495,"")</f>
        <v/>
      </c>
      <c r="AO1495">
        <f>IFERROR(J1495-I1495,"")</f>
        <v>1</v>
      </c>
      <c r="AP1495">
        <f>IFERROR(AC1495-X1495,"")</f>
        <v>0</v>
      </c>
      <c r="AQ1495" t="str">
        <f>IFERROR(AA1495-W1495,"")</f>
        <v/>
      </c>
    </row>
    <row r="1496" spans="1:43" x14ac:dyDescent="0.35">
      <c r="A1496">
        <v>2224</v>
      </c>
      <c r="B1496" t="s">
        <v>4675</v>
      </c>
      <c r="C1496" t="s">
        <v>4480</v>
      </c>
      <c r="D1496" t="str">
        <f t="shared" si="605"/>
        <v>Finance</v>
      </c>
      <c r="E1496" t="s">
        <v>4614</v>
      </c>
      <c r="F1496" t="s">
        <v>3935</v>
      </c>
      <c r="G1496" t="s">
        <v>4615</v>
      </c>
      <c r="H1496" t="s">
        <v>334</v>
      </c>
      <c r="I1496" s="32">
        <v>45157.534872685188</v>
      </c>
      <c r="J1496" s="32">
        <v>45160.534872685188</v>
      </c>
      <c r="K1496" s="32" t="s">
        <v>7473</v>
      </c>
      <c r="L1496" s="8" t="str">
        <f t="shared" si="606"/>
        <v/>
      </c>
      <c r="M1496" s="7">
        <v>45187.534872685188</v>
      </c>
      <c r="N1496" t="s">
        <v>49</v>
      </c>
      <c r="O1496" s="34">
        <v>45173.534872685188</v>
      </c>
      <c r="P1496" t="s">
        <v>50</v>
      </c>
      <c r="Q1496" t="s">
        <v>51</v>
      </c>
      <c r="R1496" s="32" t="s">
        <v>7472</v>
      </c>
      <c r="S1496" t="s">
        <v>7476</v>
      </c>
      <c r="T1496" s="34" t="s">
        <v>7476</v>
      </c>
      <c r="U1496" s="34" t="s">
        <v>7476</v>
      </c>
      <c r="V1496" s="32" t="s">
        <v>7476</v>
      </c>
      <c r="W1496" s="32" t="s">
        <v>7476</v>
      </c>
      <c r="X1496">
        <v>0</v>
      </c>
      <c r="Y1496" s="34" t="s">
        <v>7476</v>
      </c>
      <c r="Z1496" s="34" t="s">
        <v>7476</v>
      </c>
      <c r="AA1496" s="34" t="s">
        <v>7476</v>
      </c>
      <c r="AB1496" s="36" t="s">
        <v>95</v>
      </c>
      <c r="AD1496" t="s">
        <v>4676</v>
      </c>
      <c r="AE1496" t="s">
        <v>4677</v>
      </c>
      <c r="AF1496" s="16">
        <v>45166</v>
      </c>
      <c r="AG1496" t="s">
        <v>64</v>
      </c>
      <c r="AH1496">
        <v>6</v>
      </c>
      <c r="AK1496" s="38" t="str">
        <f t="shared" si="607"/>
        <v/>
      </c>
    </row>
    <row r="1497" spans="1:43" x14ac:dyDescent="0.35">
      <c r="A1497">
        <v>2171</v>
      </c>
      <c r="B1497" t="s">
        <v>4678</v>
      </c>
      <c r="C1497" t="s">
        <v>4480</v>
      </c>
      <c r="D1497" t="str">
        <f t="shared" si="605"/>
        <v>Finance</v>
      </c>
      <c r="E1497" t="s">
        <v>4614</v>
      </c>
      <c r="F1497" t="s">
        <v>3935</v>
      </c>
      <c r="G1497" t="s">
        <v>4615</v>
      </c>
      <c r="H1497" t="s">
        <v>334</v>
      </c>
      <c r="I1497" s="32">
        <v>44753.601967592593</v>
      </c>
      <c r="J1497" s="32" t="s">
        <v>7471</v>
      </c>
      <c r="K1497" s="32">
        <v>44759.601967592593</v>
      </c>
      <c r="L1497" s="8">
        <f t="shared" si="606"/>
        <v>6</v>
      </c>
      <c r="M1497" s="7">
        <v>44777.601967592593</v>
      </c>
      <c r="N1497" t="s">
        <v>49</v>
      </c>
      <c r="O1497" s="34">
        <v>44762.601967592593</v>
      </c>
      <c r="P1497" t="s">
        <v>50</v>
      </c>
      <c r="Q1497" t="s">
        <v>125</v>
      </c>
      <c r="R1497" s="32" t="s">
        <v>7472</v>
      </c>
      <c r="S1497" t="s">
        <v>7476</v>
      </c>
      <c r="T1497" s="34" t="s">
        <v>7476</v>
      </c>
      <c r="U1497" s="34" t="s">
        <v>7476</v>
      </c>
      <c r="V1497" s="32">
        <v>44763.601967592593</v>
      </c>
      <c r="W1497" s="32" t="s">
        <v>7476</v>
      </c>
      <c r="X1497">
        <v>0</v>
      </c>
      <c r="Y1497" s="34" t="s">
        <v>7476</v>
      </c>
      <c r="Z1497" s="34" t="s">
        <v>7476</v>
      </c>
      <c r="AA1497" s="34" t="s">
        <v>7476</v>
      </c>
      <c r="AB1497" s="36" t="s">
        <v>52</v>
      </c>
      <c r="AD1497" t="s">
        <v>4679</v>
      </c>
      <c r="AE1497" t="s">
        <v>4680</v>
      </c>
      <c r="AF1497" s="16">
        <v>44755</v>
      </c>
      <c r="AG1497" t="s">
        <v>93</v>
      </c>
      <c r="AH1497">
        <v>3</v>
      </c>
      <c r="AK1497" s="38">
        <f t="shared" si="607"/>
        <v>44853.601967592593</v>
      </c>
    </row>
    <row r="1498" spans="1:43" x14ac:dyDescent="0.35">
      <c r="A1498">
        <v>2088</v>
      </c>
      <c r="B1498" t="s">
        <v>4681</v>
      </c>
      <c r="C1498" t="s">
        <v>4480</v>
      </c>
      <c r="D1498" t="str">
        <f t="shared" si="605"/>
        <v>Finance</v>
      </c>
      <c r="E1498" t="s">
        <v>4614</v>
      </c>
      <c r="F1498" t="s">
        <v>3935</v>
      </c>
      <c r="G1498" t="s">
        <v>4615</v>
      </c>
      <c r="H1498" t="s">
        <v>334</v>
      </c>
      <c r="I1498" s="32">
        <v>44834.879004629627</v>
      </c>
      <c r="J1498" s="32">
        <v>44835.879004629627</v>
      </c>
      <c r="K1498" s="32">
        <v>44841.879004629627</v>
      </c>
      <c r="L1498" s="8">
        <f t="shared" si="606"/>
        <v>7</v>
      </c>
      <c r="M1498" s="7">
        <v>44851.879004629627</v>
      </c>
      <c r="N1498" t="s">
        <v>49</v>
      </c>
      <c r="O1498" s="34">
        <v>44855.879004629627</v>
      </c>
      <c r="P1498" t="s">
        <v>50</v>
      </c>
      <c r="Q1498" t="s">
        <v>125</v>
      </c>
      <c r="R1498" s="32" t="s">
        <v>7472</v>
      </c>
      <c r="S1498" t="s">
        <v>7476</v>
      </c>
      <c r="T1498" s="34" t="s">
        <v>7476</v>
      </c>
      <c r="U1498" s="34" t="s">
        <v>7476</v>
      </c>
      <c r="V1498" s="32">
        <v>44857.879004629627</v>
      </c>
      <c r="W1498" s="32" t="s">
        <v>7476</v>
      </c>
      <c r="X1498">
        <v>0</v>
      </c>
      <c r="Y1498" s="34" t="s">
        <v>7476</v>
      </c>
      <c r="Z1498" s="34" t="s">
        <v>7476</v>
      </c>
      <c r="AA1498" s="34" t="s">
        <v>7476</v>
      </c>
      <c r="AB1498" s="36" t="s">
        <v>52</v>
      </c>
      <c r="AD1498" t="s">
        <v>4682</v>
      </c>
      <c r="AE1498" t="s">
        <v>4683</v>
      </c>
      <c r="AF1498" s="16">
        <v>44849</v>
      </c>
      <c r="AG1498" t="s">
        <v>64</v>
      </c>
      <c r="AH1498">
        <v>6</v>
      </c>
      <c r="AI1498" s="8" t="str">
        <f>IFERROR(R1498-AF1498,"")</f>
        <v/>
      </c>
      <c r="AJ1498" s="8">
        <f>IFERROR(O1498-AF1498,"")</f>
        <v>6.8790046296271612</v>
      </c>
      <c r="AK1498" s="38">
        <f t="shared" si="607"/>
        <v>45037.879004629627</v>
      </c>
      <c r="AL1498" t="str">
        <f>IFERROR(Z1498-W1498,"")</f>
        <v/>
      </c>
      <c r="AM1498" t="str">
        <f>IFERROR(R1498-J1498,"")</f>
        <v/>
      </c>
      <c r="AN1498">
        <f>IFERROR(V1498-O1498,"")</f>
        <v>2</v>
      </c>
      <c r="AO1498">
        <f>IFERROR(J1498-I1498,"")</f>
        <v>1</v>
      </c>
      <c r="AP1498">
        <f>IFERROR(AC1498-X1498,"")</f>
        <v>0</v>
      </c>
      <c r="AQ1498" t="str">
        <f>IFERROR(AA1498-W1498,"")</f>
        <v/>
      </c>
    </row>
    <row r="1499" spans="1:43" x14ac:dyDescent="0.35">
      <c r="A1499">
        <v>2023</v>
      </c>
      <c r="B1499" t="s">
        <v>4684</v>
      </c>
      <c r="C1499" t="s">
        <v>4480</v>
      </c>
      <c r="D1499" t="str">
        <f t="shared" si="605"/>
        <v>Finance</v>
      </c>
      <c r="E1499" t="s">
        <v>4614</v>
      </c>
      <c r="F1499" t="s">
        <v>3935</v>
      </c>
      <c r="G1499" t="s">
        <v>4615</v>
      </c>
      <c r="H1499" t="s">
        <v>334</v>
      </c>
      <c r="I1499" s="32">
        <v>44783.679872685178</v>
      </c>
      <c r="J1499" s="32">
        <v>44784.679872685178</v>
      </c>
      <c r="K1499" s="32">
        <v>44790.679872685178</v>
      </c>
      <c r="L1499" s="8">
        <f t="shared" si="606"/>
        <v>7</v>
      </c>
      <c r="M1499" s="7">
        <v>44820.679872685178</v>
      </c>
      <c r="N1499" t="s">
        <v>49</v>
      </c>
      <c r="O1499" s="34">
        <v>44803.679872685178</v>
      </c>
      <c r="P1499" t="s">
        <v>50</v>
      </c>
      <c r="Q1499" t="s">
        <v>236</v>
      </c>
      <c r="R1499" s="32" t="s">
        <v>7472</v>
      </c>
      <c r="S1499" t="s">
        <v>7476</v>
      </c>
      <c r="T1499" s="34" t="s">
        <v>7476</v>
      </c>
      <c r="U1499" s="34" t="s">
        <v>7476</v>
      </c>
      <c r="V1499" s="32" t="s">
        <v>7476</v>
      </c>
      <c r="W1499" s="32" t="s">
        <v>7476</v>
      </c>
      <c r="X1499">
        <v>0</v>
      </c>
      <c r="Y1499" s="34" t="s">
        <v>7476</v>
      </c>
      <c r="Z1499" s="34" t="s">
        <v>7476</v>
      </c>
      <c r="AA1499" s="34" t="s">
        <v>7476</v>
      </c>
      <c r="AB1499" s="36" t="s">
        <v>52</v>
      </c>
      <c r="AD1499" t="s">
        <v>4685</v>
      </c>
      <c r="AE1499" t="s">
        <v>4686</v>
      </c>
      <c r="AF1499" s="16">
        <v>44796</v>
      </c>
      <c r="AG1499" t="s">
        <v>64</v>
      </c>
      <c r="AH1499">
        <v>6</v>
      </c>
      <c r="AI1499" s="8" t="str">
        <f>IFERROR(R1499-AF1499,"")</f>
        <v/>
      </c>
      <c r="AJ1499" s="8">
        <f>IFERROR(O1499-AF1499,"")</f>
        <v>7.6798726851775427</v>
      </c>
      <c r="AK1499" s="38" t="str">
        <f t="shared" si="607"/>
        <v/>
      </c>
      <c r="AL1499" t="str">
        <f>IFERROR(Z1499-W1499,"")</f>
        <v/>
      </c>
      <c r="AM1499" t="str">
        <f>IFERROR(R1499-J1499,"")</f>
        <v/>
      </c>
      <c r="AN1499" t="str">
        <f>IFERROR(V1499-O1499,"")</f>
        <v/>
      </c>
      <c r="AO1499">
        <f>IFERROR(J1499-I1499,"")</f>
        <v>1</v>
      </c>
      <c r="AP1499">
        <f>IFERROR(AC1499-X1499,"")</f>
        <v>0</v>
      </c>
      <c r="AQ1499" t="str">
        <f>IFERROR(AA1499-W1499,"")</f>
        <v/>
      </c>
    </row>
    <row r="1500" spans="1:43" x14ac:dyDescent="0.35">
      <c r="A1500">
        <v>2000</v>
      </c>
      <c r="B1500" t="s">
        <v>4687</v>
      </c>
      <c r="C1500" t="s">
        <v>4502</v>
      </c>
      <c r="D1500" t="str">
        <f t="shared" si="605"/>
        <v>Finance</v>
      </c>
      <c r="E1500" t="s">
        <v>4614</v>
      </c>
      <c r="F1500" t="s">
        <v>3935</v>
      </c>
      <c r="G1500" t="s">
        <v>4615</v>
      </c>
      <c r="H1500" t="s">
        <v>334</v>
      </c>
      <c r="I1500" s="32">
        <v>45015.653923611113</v>
      </c>
      <c r="J1500" s="32">
        <v>45018.653923611113</v>
      </c>
      <c r="K1500" s="32">
        <v>45021.653923611113</v>
      </c>
      <c r="L1500" s="8">
        <f t="shared" si="606"/>
        <v>6</v>
      </c>
      <c r="M1500" s="7">
        <v>45034.653923611113</v>
      </c>
      <c r="N1500" t="s">
        <v>49</v>
      </c>
      <c r="O1500" s="34">
        <v>45028.653923611113</v>
      </c>
      <c r="P1500" t="s">
        <v>101</v>
      </c>
      <c r="R1500" s="32">
        <v>45033.653923611113</v>
      </c>
      <c r="S1500" t="s">
        <v>101</v>
      </c>
      <c r="T1500" s="34">
        <v>45029.653923611113</v>
      </c>
      <c r="U1500" s="34">
        <v>45031.653923611113</v>
      </c>
      <c r="V1500" s="32">
        <v>45031.653923611113</v>
      </c>
      <c r="W1500" s="32">
        <v>45032.653923611113</v>
      </c>
      <c r="X1500">
        <v>1</v>
      </c>
      <c r="Y1500" s="34">
        <v>45035.653923611113</v>
      </c>
      <c r="Z1500" s="34">
        <v>45037.653923611113</v>
      </c>
      <c r="AA1500" s="34">
        <v>45039.653923611113</v>
      </c>
      <c r="AB1500" s="36" t="s">
        <v>7476</v>
      </c>
      <c r="AC1500" s="10">
        <v>45056.653923611113</v>
      </c>
      <c r="AD1500" t="s">
        <v>4688</v>
      </c>
      <c r="AE1500" t="s">
        <v>4689</v>
      </c>
      <c r="AF1500" s="16">
        <v>45081</v>
      </c>
      <c r="AG1500" t="s">
        <v>98</v>
      </c>
      <c r="AH1500">
        <v>6</v>
      </c>
      <c r="AI1500" s="8">
        <f>IFERROR(R1500-AF1500,"")</f>
        <v>-47.346076388887013</v>
      </c>
      <c r="AJ1500" s="8">
        <f>IFERROR(O1500-AF1500,"")</f>
        <v>-52.346076388887013</v>
      </c>
      <c r="AK1500" s="38">
        <f t="shared" si="607"/>
        <v>45211.653923611113</v>
      </c>
      <c r="AL1500">
        <f>IFERROR(Z1500-W1500,"")</f>
        <v>5</v>
      </c>
      <c r="AM1500">
        <f>IFERROR(R1500-J1500,"")</f>
        <v>15</v>
      </c>
      <c r="AN1500">
        <f>IFERROR(V1500-O1500,"")</f>
        <v>3</v>
      </c>
      <c r="AO1500">
        <f>IFERROR(J1500-I1500,"")</f>
        <v>3</v>
      </c>
      <c r="AP1500">
        <f>IFERROR(AC1500-X1500,"")</f>
        <v>45055.653923611113</v>
      </c>
      <c r="AQ1500">
        <f>IFERROR(AA1500-W1500,"")</f>
        <v>7</v>
      </c>
    </row>
    <row r="1501" spans="1:43" x14ac:dyDescent="0.35">
      <c r="A1501">
        <v>1998</v>
      </c>
      <c r="B1501" t="s">
        <v>4690</v>
      </c>
      <c r="C1501" t="s">
        <v>4502</v>
      </c>
      <c r="D1501" t="str">
        <f t="shared" si="605"/>
        <v>Finance</v>
      </c>
      <c r="E1501" t="s">
        <v>4614</v>
      </c>
      <c r="F1501" t="s">
        <v>3935</v>
      </c>
      <c r="G1501" t="s">
        <v>4615</v>
      </c>
      <c r="H1501" t="s">
        <v>334</v>
      </c>
      <c r="I1501" s="32">
        <v>45017.653923611113</v>
      </c>
      <c r="J1501" s="32">
        <v>45019.653923611113</v>
      </c>
      <c r="K1501" s="32">
        <v>45021.653923611113</v>
      </c>
      <c r="L1501" s="8">
        <f t="shared" si="606"/>
        <v>4</v>
      </c>
      <c r="M1501" s="7">
        <v>45050.653923611113</v>
      </c>
      <c r="N1501" t="s">
        <v>49</v>
      </c>
      <c r="O1501" s="34">
        <v>45023.653923611113</v>
      </c>
      <c r="P1501" t="s">
        <v>50</v>
      </c>
      <c r="Q1501" t="s">
        <v>125</v>
      </c>
      <c r="R1501" s="32" t="s">
        <v>7472</v>
      </c>
      <c r="S1501" t="s">
        <v>7476</v>
      </c>
      <c r="T1501" s="34" t="s">
        <v>7476</v>
      </c>
      <c r="U1501" s="34" t="s">
        <v>7476</v>
      </c>
      <c r="V1501" s="32" t="s">
        <v>7476</v>
      </c>
      <c r="W1501" s="32" t="s">
        <v>7476</v>
      </c>
      <c r="X1501">
        <v>0</v>
      </c>
      <c r="Y1501" s="34" t="s">
        <v>7476</v>
      </c>
      <c r="Z1501" s="34" t="s">
        <v>7476</v>
      </c>
      <c r="AA1501" s="34" t="s">
        <v>7476</v>
      </c>
      <c r="AB1501" s="36" t="s">
        <v>52</v>
      </c>
      <c r="AD1501" t="s">
        <v>4691</v>
      </c>
      <c r="AE1501" t="s">
        <v>4692</v>
      </c>
      <c r="AF1501" s="16">
        <v>45009</v>
      </c>
      <c r="AG1501" t="s">
        <v>98</v>
      </c>
      <c r="AH1501">
        <v>3</v>
      </c>
      <c r="AI1501" s="8" t="str">
        <f>IFERROR(R1501-AF1501,"")</f>
        <v/>
      </c>
      <c r="AJ1501" s="8">
        <f>IFERROR(O1501-AF1501,"")</f>
        <v>14.653923611112987</v>
      </c>
      <c r="AK1501" s="38" t="str">
        <f t="shared" si="607"/>
        <v/>
      </c>
      <c r="AL1501" t="str">
        <f>IFERROR(Z1501-W1501,"")</f>
        <v/>
      </c>
      <c r="AM1501" t="str">
        <f>IFERROR(R1501-J1501,"")</f>
        <v/>
      </c>
      <c r="AN1501" t="str">
        <f>IFERROR(V1501-O1501,"")</f>
        <v/>
      </c>
      <c r="AO1501">
        <f>IFERROR(J1501-I1501,"")</f>
        <v>2</v>
      </c>
      <c r="AP1501">
        <f>IFERROR(AC1501-X1501,"")</f>
        <v>0</v>
      </c>
      <c r="AQ1501" t="str">
        <f>IFERROR(AA1501-W1501,"")</f>
        <v/>
      </c>
    </row>
    <row r="1502" spans="1:43" x14ac:dyDescent="0.35">
      <c r="A1502">
        <v>1997</v>
      </c>
      <c r="B1502" t="s">
        <v>4693</v>
      </c>
      <c r="C1502" t="s">
        <v>4480</v>
      </c>
      <c r="D1502" t="str">
        <f t="shared" si="605"/>
        <v>Finance</v>
      </c>
      <c r="E1502" t="s">
        <v>4614</v>
      </c>
      <c r="F1502" t="s">
        <v>3935</v>
      </c>
      <c r="G1502" t="s">
        <v>4615</v>
      </c>
      <c r="H1502" t="s">
        <v>334</v>
      </c>
      <c r="I1502" s="32">
        <v>45013.653923611113</v>
      </c>
      <c r="J1502" s="32">
        <v>45017.653923611113</v>
      </c>
      <c r="K1502" s="32">
        <v>45021.653923611113</v>
      </c>
      <c r="L1502" s="8">
        <f t="shared" si="606"/>
        <v>8</v>
      </c>
      <c r="M1502" s="7">
        <v>45029.653923611113</v>
      </c>
      <c r="N1502" t="s">
        <v>72</v>
      </c>
      <c r="O1502" s="34" t="s">
        <v>7474</v>
      </c>
      <c r="R1502" s="32" t="s">
        <v>7472</v>
      </c>
      <c r="S1502" t="s">
        <v>7476</v>
      </c>
      <c r="T1502" s="34" t="s">
        <v>7476</v>
      </c>
      <c r="U1502" s="34" t="s">
        <v>7476</v>
      </c>
      <c r="V1502" s="32" t="s">
        <v>7476</v>
      </c>
      <c r="W1502" s="32" t="s">
        <v>7476</v>
      </c>
      <c r="X1502">
        <v>0</v>
      </c>
      <c r="Y1502" s="34" t="s">
        <v>7476</v>
      </c>
      <c r="Z1502" s="34" t="s">
        <v>7476</v>
      </c>
      <c r="AA1502" s="34" t="s">
        <v>7476</v>
      </c>
      <c r="AB1502" s="36" t="s">
        <v>7476</v>
      </c>
      <c r="AD1502" t="s">
        <v>4694</v>
      </c>
      <c r="AE1502" t="s">
        <v>4695</v>
      </c>
      <c r="AG1502" t="s">
        <v>68</v>
      </c>
      <c r="AH1502">
        <v>6</v>
      </c>
      <c r="AI1502" s="8" t="str">
        <f>IFERROR(R1502-AF1502,"")</f>
        <v/>
      </c>
      <c r="AJ1502" s="8" t="str">
        <f>IFERROR(O1502-AF1502,"")</f>
        <v/>
      </c>
      <c r="AK1502" s="38" t="str">
        <f t="shared" si="607"/>
        <v/>
      </c>
      <c r="AL1502" t="str">
        <f>IFERROR(Z1502-W1502,"")</f>
        <v/>
      </c>
      <c r="AM1502" t="str">
        <f>IFERROR(R1502-J1502,"")</f>
        <v/>
      </c>
      <c r="AN1502" t="str">
        <f>IFERROR(V1502-O1502,"")</f>
        <v/>
      </c>
      <c r="AO1502">
        <f>IFERROR(J1502-I1502,"")</f>
        <v>4</v>
      </c>
      <c r="AP1502">
        <f>IFERROR(AC1502-X1502,"")</f>
        <v>0</v>
      </c>
      <c r="AQ1502" t="str">
        <f>IFERROR(AA1502-W1502,"")</f>
        <v/>
      </c>
    </row>
    <row r="1503" spans="1:43" x14ac:dyDescent="0.35">
      <c r="A1503">
        <v>1995</v>
      </c>
      <c r="B1503" t="s">
        <v>4696</v>
      </c>
      <c r="C1503" t="s">
        <v>4471</v>
      </c>
      <c r="D1503" t="str">
        <f t="shared" si="605"/>
        <v>Finance</v>
      </c>
      <c r="E1503" t="s">
        <v>4614</v>
      </c>
      <c r="F1503" t="s">
        <v>3935</v>
      </c>
      <c r="G1503" t="s">
        <v>4615</v>
      </c>
      <c r="H1503" t="s">
        <v>334</v>
      </c>
      <c r="I1503" s="32">
        <v>45018.653923611113</v>
      </c>
      <c r="J1503" s="32" t="s">
        <v>7471</v>
      </c>
      <c r="K1503" s="32">
        <v>45021.653923611113</v>
      </c>
      <c r="L1503" s="8">
        <f t="shared" si="606"/>
        <v>3</v>
      </c>
      <c r="M1503" s="7">
        <v>45034.653923611113</v>
      </c>
      <c r="N1503" t="s">
        <v>49</v>
      </c>
      <c r="O1503" s="34">
        <v>45037.653923611113</v>
      </c>
      <c r="P1503" t="s">
        <v>392</v>
      </c>
      <c r="R1503" s="32">
        <v>45042.653923611113</v>
      </c>
      <c r="S1503" t="s">
        <v>392</v>
      </c>
      <c r="T1503" s="34" t="s">
        <v>7476</v>
      </c>
      <c r="U1503" s="34" t="s">
        <v>7476</v>
      </c>
      <c r="V1503" s="32">
        <v>45038.653923611113</v>
      </c>
      <c r="W1503" s="32" t="s">
        <v>7476</v>
      </c>
      <c r="X1503">
        <v>0</v>
      </c>
      <c r="Y1503" s="34" t="s">
        <v>7476</v>
      </c>
      <c r="Z1503" s="34" t="s">
        <v>7476</v>
      </c>
      <c r="AA1503" s="34" t="s">
        <v>7476</v>
      </c>
      <c r="AB1503" s="36" t="s">
        <v>7476</v>
      </c>
      <c r="AD1503" t="s">
        <v>4697</v>
      </c>
      <c r="AE1503" t="s">
        <v>4698</v>
      </c>
      <c r="AF1503" s="16">
        <v>45030</v>
      </c>
      <c r="AG1503" t="s">
        <v>68</v>
      </c>
      <c r="AH1503">
        <v>6</v>
      </c>
      <c r="AK1503" s="38">
        <f t="shared" si="607"/>
        <v>45218.653923611113</v>
      </c>
    </row>
    <row r="1504" spans="1:43" x14ac:dyDescent="0.35">
      <c r="A1504">
        <v>1993</v>
      </c>
      <c r="B1504" t="s">
        <v>4699</v>
      </c>
      <c r="C1504" t="s">
        <v>4480</v>
      </c>
      <c r="D1504" t="str">
        <f t="shared" si="605"/>
        <v>Finance</v>
      </c>
      <c r="E1504" t="s">
        <v>4614</v>
      </c>
      <c r="F1504" t="s">
        <v>3935</v>
      </c>
      <c r="G1504" t="s">
        <v>4615</v>
      </c>
      <c r="H1504" t="s">
        <v>334</v>
      </c>
      <c r="I1504" s="32">
        <v>45014.653923611113</v>
      </c>
      <c r="J1504" s="32">
        <v>45016.653923611113</v>
      </c>
      <c r="K1504" s="32">
        <v>45021.653923611113</v>
      </c>
      <c r="L1504" s="8">
        <f t="shared" si="606"/>
        <v>7</v>
      </c>
      <c r="M1504" s="7">
        <v>45041.653923611113</v>
      </c>
      <c r="N1504" t="s">
        <v>49</v>
      </c>
      <c r="O1504" s="34">
        <v>45030.653923611113</v>
      </c>
      <c r="P1504" t="s">
        <v>50</v>
      </c>
      <c r="Q1504" t="s">
        <v>51</v>
      </c>
      <c r="R1504" s="32" t="s">
        <v>7472</v>
      </c>
      <c r="S1504" t="s">
        <v>7476</v>
      </c>
      <c r="T1504" s="34" t="s">
        <v>7476</v>
      </c>
      <c r="U1504" s="34" t="s">
        <v>7476</v>
      </c>
      <c r="V1504" s="32">
        <v>45033.653923611113</v>
      </c>
      <c r="W1504" s="32" t="s">
        <v>7476</v>
      </c>
      <c r="X1504">
        <v>0</v>
      </c>
      <c r="Y1504" s="34" t="s">
        <v>7476</v>
      </c>
      <c r="Z1504" s="34" t="s">
        <v>7476</v>
      </c>
      <c r="AA1504" s="34" t="s">
        <v>7476</v>
      </c>
      <c r="AB1504" s="36" t="s">
        <v>95</v>
      </c>
      <c r="AD1504" t="s">
        <v>4700</v>
      </c>
      <c r="AE1504" t="s">
        <v>4701</v>
      </c>
      <c r="AF1504" s="16">
        <v>44989</v>
      </c>
      <c r="AG1504" t="s">
        <v>68</v>
      </c>
      <c r="AH1504">
        <v>3</v>
      </c>
      <c r="AI1504" s="8" t="str">
        <f>IFERROR(R1504-AF1504,"")</f>
        <v/>
      </c>
      <c r="AJ1504" s="8">
        <f>IFERROR(O1504-AF1504,"")</f>
        <v>41.653923611112987</v>
      </c>
      <c r="AK1504" s="38">
        <f t="shared" si="607"/>
        <v>45123.653923611113</v>
      </c>
      <c r="AL1504" t="str">
        <f>IFERROR(Z1504-W1504,"")</f>
        <v/>
      </c>
      <c r="AM1504" t="str">
        <f>IFERROR(R1504-J1504,"")</f>
        <v/>
      </c>
      <c r="AN1504">
        <f>IFERROR(V1504-O1504,"")</f>
        <v>3</v>
      </c>
      <c r="AO1504">
        <f>IFERROR(J1504-I1504,"")</f>
        <v>2</v>
      </c>
      <c r="AP1504">
        <f>IFERROR(AC1504-X1504,"")</f>
        <v>0</v>
      </c>
      <c r="AQ1504" t="str">
        <f>IFERROR(AA1504-W1504,"")</f>
        <v/>
      </c>
    </row>
    <row r="1505" spans="1:43" x14ac:dyDescent="0.35">
      <c r="A1505">
        <v>1870</v>
      </c>
      <c r="B1505" t="s">
        <v>4702</v>
      </c>
      <c r="C1505" t="s">
        <v>4480</v>
      </c>
      <c r="D1505" t="str">
        <f t="shared" si="605"/>
        <v>Finance</v>
      </c>
      <c r="E1505" t="s">
        <v>4614</v>
      </c>
      <c r="F1505" t="s">
        <v>3935</v>
      </c>
      <c r="G1505" t="s">
        <v>4615</v>
      </c>
      <c r="H1505" t="s">
        <v>334</v>
      </c>
      <c r="I1505" s="32">
        <v>44641.350624999999</v>
      </c>
      <c r="J1505" s="32">
        <v>44644.350624999999</v>
      </c>
      <c r="K1505" s="32">
        <v>44646.350624999999</v>
      </c>
      <c r="L1505" s="8">
        <f t="shared" si="606"/>
        <v>5</v>
      </c>
      <c r="M1505" s="7">
        <v>44660.350624999999</v>
      </c>
      <c r="N1505" t="s">
        <v>49</v>
      </c>
      <c r="O1505" s="34">
        <v>44650.350624999999</v>
      </c>
      <c r="P1505" t="s">
        <v>50</v>
      </c>
      <c r="Q1505" t="s">
        <v>236</v>
      </c>
      <c r="R1505" s="32" t="s">
        <v>7472</v>
      </c>
      <c r="S1505" t="s">
        <v>7476</v>
      </c>
      <c r="T1505" s="34" t="s">
        <v>7476</v>
      </c>
      <c r="U1505" s="34" t="s">
        <v>7476</v>
      </c>
      <c r="V1505" s="32">
        <v>44654.350624999999</v>
      </c>
      <c r="W1505" s="32" t="s">
        <v>7476</v>
      </c>
      <c r="X1505">
        <v>0</v>
      </c>
      <c r="Y1505" s="34" t="s">
        <v>7476</v>
      </c>
      <c r="Z1505" s="34" t="s">
        <v>7476</v>
      </c>
      <c r="AA1505" s="34" t="s">
        <v>7476</v>
      </c>
      <c r="AB1505" s="36" t="s">
        <v>95</v>
      </c>
      <c r="AD1505" t="s">
        <v>4703</v>
      </c>
      <c r="AE1505" t="s">
        <v>4704</v>
      </c>
      <c r="AF1505" s="16">
        <v>44640</v>
      </c>
      <c r="AG1505" t="s">
        <v>68</v>
      </c>
      <c r="AH1505">
        <v>6</v>
      </c>
      <c r="AI1505" s="8" t="str">
        <f>IFERROR(R1505-AF1505,"")</f>
        <v/>
      </c>
      <c r="AJ1505" s="8">
        <f>IFERROR(O1505-AF1505,"")</f>
        <v>10.350624999999127</v>
      </c>
      <c r="AK1505" s="38">
        <f t="shared" si="607"/>
        <v>44834.350624999999</v>
      </c>
      <c r="AL1505" t="str">
        <f>IFERROR(Z1505-W1505,"")</f>
        <v/>
      </c>
      <c r="AM1505" t="str">
        <f>IFERROR(R1505-J1505,"")</f>
        <v/>
      </c>
      <c r="AN1505">
        <f>IFERROR(V1505-O1505,"")</f>
        <v>4</v>
      </c>
      <c r="AO1505">
        <f>IFERROR(J1505-I1505,"")</f>
        <v>3</v>
      </c>
      <c r="AP1505">
        <f>IFERROR(AC1505-X1505,"")</f>
        <v>0</v>
      </c>
      <c r="AQ1505" t="str">
        <f>IFERROR(AA1505-W1505,"")</f>
        <v/>
      </c>
    </row>
    <row r="1506" spans="1:43" x14ac:dyDescent="0.35">
      <c r="A1506">
        <v>1866</v>
      </c>
      <c r="B1506" t="s">
        <v>4705</v>
      </c>
      <c r="C1506" t="s">
        <v>4471</v>
      </c>
      <c r="D1506" t="str">
        <f t="shared" si="605"/>
        <v>Finance</v>
      </c>
      <c r="E1506" t="s">
        <v>4614</v>
      </c>
      <c r="F1506" t="s">
        <v>3935</v>
      </c>
      <c r="G1506" t="s">
        <v>4615</v>
      </c>
      <c r="H1506" t="s">
        <v>334</v>
      </c>
      <c r="I1506" s="32">
        <v>44643.350624999999</v>
      </c>
      <c r="J1506" s="32">
        <v>44644.350624999999</v>
      </c>
      <c r="K1506" s="32">
        <v>44646.350624999999</v>
      </c>
      <c r="L1506" s="8">
        <f t="shared" si="606"/>
        <v>3</v>
      </c>
      <c r="M1506" s="7">
        <v>44672.350624999999</v>
      </c>
      <c r="N1506" t="s">
        <v>49</v>
      </c>
      <c r="O1506" s="34">
        <v>44650.350624999999</v>
      </c>
      <c r="P1506" t="s">
        <v>101</v>
      </c>
      <c r="R1506" s="32">
        <v>44654.350624999999</v>
      </c>
      <c r="S1506" t="s">
        <v>101</v>
      </c>
      <c r="T1506" s="34">
        <v>44651.350624999999</v>
      </c>
      <c r="U1506" s="34">
        <v>44653.350624999999</v>
      </c>
      <c r="V1506" s="32">
        <v>44651.350624999999</v>
      </c>
      <c r="W1506" s="32">
        <v>44660.350624999999</v>
      </c>
      <c r="X1506">
        <v>1</v>
      </c>
      <c r="Y1506" s="34">
        <v>44661.350624999999</v>
      </c>
      <c r="Z1506" s="34">
        <v>44662.350624999999</v>
      </c>
      <c r="AA1506" s="34">
        <v>44663.350624999999</v>
      </c>
      <c r="AB1506" s="36" t="s">
        <v>7476</v>
      </c>
      <c r="AC1506" s="10">
        <v>44685.350624999999</v>
      </c>
      <c r="AD1506" t="s">
        <v>4706</v>
      </c>
      <c r="AE1506" t="s">
        <v>4707</v>
      </c>
      <c r="AF1506" s="16">
        <v>44645</v>
      </c>
      <c r="AG1506" t="s">
        <v>64</v>
      </c>
      <c r="AH1506">
        <v>6</v>
      </c>
      <c r="AI1506" s="8">
        <f>IFERROR(R1506-AF1506,"")</f>
        <v>9.3506249999991269</v>
      </c>
      <c r="AJ1506" s="8">
        <f>IFERROR(O1506-AF1506,"")</f>
        <v>5.3506249999991269</v>
      </c>
      <c r="AK1506" s="38">
        <f t="shared" si="607"/>
        <v>44831.350624999999</v>
      </c>
      <c r="AL1506">
        <f>IFERROR(Z1506-W1506,"")</f>
        <v>2</v>
      </c>
      <c r="AM1506">
        <f>IFERROR(R1506-J1506,"")</f>
        <v>10</v>
      </c>
      <c r="AN1506">
        <f>IFERROR(V1506-O1506,"")</f>
        <v>1</v>
      </c>
      <c r="AO1506">
        <f>IFERROR(J1506-I1506,"")</f>
        <v>1</v>
      </c>
      <c r="AP1506">
        <f>IFERROR(AC1506-X1506,"")</f>
        <v>44684.350624999999</v>
      </c>
      <c r="AQ1506">
        <f>IFERROR(AA1506-W1506,"")</f>
        <v>3</v>
      </c>
    </row>
    <row r="1507" spans="1:43" x14ac:dyDescent="0.35">
      <c r="A1507">
        <v>1861</v>
      </c>
      <c r="B1507" t="s">
        <v>4708</v>
      </c>
      <c r="C1507" t="s">
        <v>4502</v>
      </c>
      <c r="D1507" t="str">
        <f t="shared" si="605"/>
        <v>Finance</v>
      </c>
      <c r="E1507" t="s">
        <v>4614</v>
      </c>
      <c r="F1507" t="s">
        <v>3935</v>
      </c>
      <c r="G1507" t="s">
        <v>4615</v>
      </c>
      <c r="H1507" t="s">
        <v>334</v>
      </c>
      <c r="I1507" s="32">
        <v>44639.350624999999</v>
      </c>
      <c r="J1507" s="32">
        <v>44640.350624999999</v>
      </c>
      <c r="K1507" s="32">
        <v>44646.350624999999</v>
      </c>
      <c r="L1507" s="8">
        <f t="shared" si="606"/>
        <v>7</v>
      </c>
      <c r="M1507" s="7">
        <v>44667.350624999999</v>
      </c>
      <c r="N1507" t="s">
        <v>49</v>
      </c>
      <c r="O1507" s="34">
        <v>44650.350624999999</v>
      </c>
      <c r="P1507" t="s">
        <v>60</v>
      </c>
      <c r="R1507" s="32">
        <v>44656.350624999999</v>
      </c>
      <c r="S1507" t="s">
        <v>61</v>
      </c>
      <c r="T1507" s="34" t="s">
        <v>7476</v>
      </c>
      <c r="U1507" s="34" t="s">
        <v>7476</v>
      </c>
      <c r="V1507" s="32">
        <v>44652.350624999999</v>
      </c>
      <c r="W1507" s="32" t="s">
        <v>7476</v>
      </c>
      <c r="X1507">
        <v>0</v>
      </c>
      <c r="Y1507" s="34" t="s">
        <v>7476</v>
      </c>
      <c r="Z1507" s="34" t="s">
        <v>7476</v>
      </c>
      <c r="AA1507" s="34" t="s">
        <v>7476</v>
      </c>
      <c r="AB1507" s="36" t="s">
        <v>7476</v>
      </c>
      <c r="AD1507" t="s">
        <v>4709</v>
      </c>
      <c r="AE1507" t="s">
        <v>4710</v>
      </c>
      <c r="AF1507" s="16">
        <v>44868</v>
      </c>
      <c r="AG1507" t="s">
        <v>68</v>
      </c>
      <c r="AH1507">
        <v>3</v>
      </c>
      <c r="AI1507" s="8">
        <f>IFERROR(R1507-AF1507,"")</f>
        <v>-211.64937500000087</v>
      </c>
      <c r="AJ1507" s="8">
        <f>IFERROR(O1507-AF1507,"")</f>
        <v>-217.64937500000087</v>
      </c>
      <c r="AK1507" s="38">
        <f t="shared" si="607"/>
        <v>44742.350624999999</v>
      </c>
      <c r="AL1507" t="str">
        <f>IFERROR(Z1507-W1507,"")</f>
        <v/>
      </c>
      <c r="AM1507">
        <f>IFERROR(R1507-J1507,"")</f>
        <v>16</v>
      </c>
      <c r="AN1507">
        <f>IFERROR(V1507-O1507,"")</f>
        <v>2</v>
      </c>
      <c r="AO1507">
        <f>IFERROR(J1507-I1507,"")</f>
        <v>1</v>
      </c>
      <c r="AP1507">
        <f>IFERROR(AC1507-X1507,"")</f>
        <v>0</v>
      </c>
      <c r="AQ1507" t="str">
        <f>IFERROR(AA1507-W1507,"")</f>
        <v/>
      </c>
    </row>
    <row r="1508" spans="1:43" x14ac:dyDescent="0.35">
      <c r="A1508">
        <v>1850</v>
      </c>
      <c r="B1508" t="s">
        <v>4711</v>
      </c>
      <c r="C1508" t="s">
        <v>4502</v>
      </c>
      <c r="D1508" t="str">
        <f t="shared" si="605"/>
        <v>Finance</v>
      </c>
      <c r="E1508" t="s">
        <v>4614</v>
      </c>
      <c r="F1508" t="s">
        <v>3935</v>
      </c>
      <c r="G1508" t="s">
        <v>4615</v>
      </c>
      <c r="H1508" t="s">
        <v>334</v>
      </c>
      <c r="I1508" s="32">
        <v>44612.970185185193</v>
      </c>
      <c r="J1508" s="32" t="s">
        <v>7471</v>
      </c>
      <c r="K1508" s="32" t="s">
        <v>7473</v>
      </c>
      <c r="L1508" s="8" t="str">
        <f t="shared" si="606"/>
        <v/>
      </c>
      <c r="M1508" s="7">
        <v>44626.970185185193</v>
      </c>
      <c r="N1508" t="s">
        <v>49</v>
      </c>
      <c r="O1508" s="34">
        <v>44631.970185185193</v>
      </c>
      <c r="P1508" t="s">
        <v>50</v>
      </c>
      <c r="Q1508" t="s">
        <v>51</v>
      </c>
      <c r="R1508" s="32" t="s">
        <v>7472</v>
      </c>
      <c r="S1508" t="s">
        <v>7476</v>
      </c>
      <c r="T1508" s="34" t="s">
        <v>7476</v>
      </c>
      <c r="U1508" s="34" t="s">
        <v>7476</v>
      </c>
      <c r="V1508" s="32" t="s">
        <v>7476</v>
      </c>
      <c r="W1508" s="32" t="s">
        <v>7476</v>
      </c>
      <c r="X1508">
        <v>0</v>
      </c>
      <c r="Y1508" s="34" t="s">
        <v>7476</v>
      </c>
      <c r="Z1508" s="34" t="s">
        <v>7476</v>
      </c>
      <c r="AA1508" s="34" t="s">
        <v>7476</v>
      </c>
      <c r="AB1508" s="36" t="s">
        <v>95</v>
      </c>
      <c r="AD1508" t="s">
        <v>4712</v>
      </c>
      <c r="AE1508" t="s">
        <v>4713</v>
      </c>
      <c r="AF1508" s="16">
        <v>44621</v>
      </c>
      <c r="AG1508" t="s">
        <v>75</v>
      </c>
      <c r="AH1508">
        <v>6</v>
      </c>
      <c r="AK1508" s="38" t="str">
        <f t="shared" si="607"/>
        <v/>
      </c>
    </row>
    <row r="1509" spans="1:43" x14ac:dyDescent="0.35">
      <c r="A1509">
        <v>1848</v>
      </c>
      <c r="B1509" t="s">
        <v>4714</v>
      </c>
      <c r="C1509" t="s">
        <v>4480</v>
      </c>
      <c r="D1509" t="str">
        <f t="shared" si="605"/>
        <v>Finance</v>
      </c>
      <c r="E1509" t="s">
        <v>4614</v>
      </c>
      <c r="F1509" t="s">
        <v>3935</v>
      </c>
      <c r="G1509" t="s">
        <v>4615</v>
      </c>
      <c r="H1509" t="s">
        <v>334</v>
      </c>
      <c r="I1509" s="32">
        <v>44606.970185185193</v>
      </c>
      <c r="J1509" s="32">
        <v>44609.970185185193</v>
      </c>
      <c r="K1509" s="32">
        <v>44615.970185185193</v>
      </c>
      <c r="L1509" s="8">
        <f t="shared" si="606"/>
        <v>9</v>
      </c>
      <c r="M1509" s="7">
        <v>44627.970185185193</v>
      </c>
      <c r="N1509" t="s">
        <v>49</v>
      </c>
      <c r="O1509" s="34">
        <v>44627.970185185193</v>
      </c>
      <c r="P1509" t="s">
        <v>50</v>
      </c>
      <c r="Q1509" t="s">
        <v>84</v>
      </c>
      <c r="R1509" s="32" t="s">
        <v>7472</v>
      </c>
      <c r="S1509" t="s">
        <v>7476</v>
      </c>
      <c r="T1509" s="34" t="s">
        <v>7476</v>
      </c>
      <c r="U1509" s="34" t="s">
        <v>7476</v>
      </c>
      <c r="V1509" s="32" t="s">
        <v>7476</v>
      </c>
      <c r="W1509" s="32" t="s">
        <v>7476</v>
      </c>
      <c r="X1509">
        <v>0</v>
      </c>
      <c r="Y1509" s="34" t="s">
        <v>7476</v>
      </c>
      <c r="Z1509" s="34" t="s">
        <v>7476</v>
      </c>
      <c r="AA1509" s="34" t="s">
        <v>7476</v>
      </c>
      <c r="AB1509" s="36" t="s">
        <v>52</v>
      </c>
      <c r="AD1509" t="s">
        <v>4715</v>
      </c>
      <c r="AE1509" t="s">
        <v>4716</v>
      </c>
      <c r="AF1509" s="16">
        <v>44613</v>
      </c>
      <c r="AG1509" t="s">
        <v>68</v>
      </c>
      <c r="AH1509">
        <v>6</v>
      </c>
      <c r="AI1509" s="8" t="str">
        <f>IFERROR(R1509-AF1509,"")</f>
        <v/>
      </c>
      <c r="AJ1509" s="8">
        <f>IFERROR(O1509-AF1509,"")</f>
        <v>14.970185185193259</v>
      </c>
      <c r="AK1509" s="38" t="str">
        <f t="shared" si="607"/>
        <v/>
      </c>
      <c r="AL1509" t="str">
        <f>IFERROR(Z1509-W1509,"")</f>
        <v/>
      </c>
      <c r="AM1509" t="str">
        <f>IFERROR(R1509-J1509,"")</f>
        <v/>
      </c>
      <c r="AN1509" t="str">
        <f>IFERROR(V1509-O1509,"")</f>
        <v/>
      </c>
      <c r="AO1509">
        <f>IFERROR(J1509-I1509,"")</f>
        <v>3</v>
      </c>
      <c r="AP1509">
        <f>IFERROR(AC1509-X1509,"")</f>
        <v>0</v>
      </c>
      <c r="AQ1509" t="str">
        <f>IFERROR(AA1509-W1509,"")</f>
        <v/>
      </c>
    </row>
    <row r="1510" spans="1:43" x14ac:dyDescent="0.35">
      <c r="A1510">
        <v>1844</v>
      </c>
      <c r="B1510" t="s">
        <v>4717</v>
      </c>
      <c r="C1510" t="s">
        <v>4480</v>
      </c>
      <c r="D1510" t="str">
        <f t="shared" si="605"/>
        <v>Finance</v>
      </c>
      <c r="E1510" t="s">
        <v>4614</v>
      </c>
      <c r="F1510" t="s">
        <v>3935</v>
      </c>
      <c r="G1510" t="s">
        <v>4615</v>
      </c>
      <c r="H1510" t="s">
        <v>334</v>
      </c>
      <c r="I1510" s="32" t="s">
        <v>7471</v>
      </c>
      <c r="J1510" s="32">
        <v>44614.970185185193</v>
      </c>
      <c r="K1510" s="32">
        <v>44615.970185185193</v>
      </c>
      <c r="L1510" s="8" t="str">
        <f t="shared" si="606"/>
        <v/>
      </c>
      <c r="M1510" s="7">
        <v>44628.970185185193</v>
      </c>
      <c r="N1510" t="s">
        <v>49</v>
      </c>
      <c r="O1510" s="34">
        <v>44620.970185185193</v>
      </c>
      <c r="P1510" t="s">
        <v>101</v>
      </c>
      <c r="R1510" s="32">
        <v>44623.970185185193</v>
      </c>
      <c r="S1510" t="s">
        <v>101</v>
      </c>
      <c r="T1510" s="34">
        <v>44622.970185185193</v>
      </c>
      <c r="U1510" s="34">
        <v>44625.970185185193</v>
      </c>
      <c r="V1510" s="32">
        <v>44622.970185185193</v>
      </c>
      <c r="W1510" s="32">
        <v>44625.970185185193</v>
      </c>
      <c r="X1510">
        <v>1</v>
      </c>
      <c r="Y1510" s="34">
        <v>44627.970185185193</v>
      </c>
      <c r="Z1510" s="34">
        <v>44628.970185185193</v>
      </c>
      <c r="AA1510" s="34">
        <v>44629.970185185193</v>
      </c>
      <c r="AB1510" s="36" t="s">
        <v>7476</v>
      </c>
      <c r="AC1510" s="10">
        <v>44646.970185185193</v>
      </c>
      <c r="AD1510" t="s">
        <v>4718</v>
      </c>
      <c r="AE1510" t="s">
        <v>4719</v>
      </c>
      <c r="AF1510" s="16">
        <v>44614</v>
      </c>
      <c r="AG1510" t="s">
        <v>68</v>
      </c>
      <c r="AH1510">
        <v>6</v>
      </c>
      <c r="AK1510" s="38">
        <f t="shared" si="607"/>
        <v>44802.970185185193</v>
      </c>
    </row>
    <row r="1511" spans="1:43" x14ac:dyDescent="0.35">
      <c r="A1511">
        <v>1760</v>
      </c>
      <c r="B1511" t="s">
        <v>4720</v>
      </c>
      <c r="C1511" t="s">
        <v>4480</v>
      </c>
      <c r="D1511" t="str">
        <f t="shared" si="605"/>
        <v>Finance</v>
      </c>
      <c r="E1511" t="s">
        <v>4614</v>
      </c>
      <c r="F1511" t="s">
        <v>3935</v>
      </c>
      <c r="G1511" t="s">
        <v>4615</v>
      </c>
      <c r="H1511" t="s">
        <v>334</v>
      </c>
      <c r="I1511" s="32">
        <v>44709.645821759259</v>
      </c>
      <c r="J1511" s="32">
        <v>44712.645821759259</v>
      </c>
      <c r="K1511" s="32">
        <v>44718.645821759259</v>
      </c>
      <c r="L1511" s="8">
        <f t="shared" si="606"/>
        <v>9</v>
      </c>
      <c r="M1511" s="7">
        <v>44739.645821759259</v>
      </c>
      <c r="N1511" t="s">
        <v>49</v>
      </c>
      <c r="O1511" s="34">
        <v>44734.645821759259</v>
      </c>
      <c r="P1511" t="s">
        <v>50</v>
      </c>
      <c r="Q1511" t="s">
        <v>51</v>
      </c>
      <c r="R1511" s="32" t="s">
        <v>7472</v>
      </c>
      <c r="S1511" t="s">
        <v>7476</v>
      </c>
      <c r="T1511" s="34" t="s">
        <v>7476</v>
      </c>
      <c r="U1511" s="34" t="s">
        <v>7476</v>
      </c>
      <c r="V1511" s="32">
        <v>44738.645821759259</v>
      </c>
      <c r="W1511" s="32" t="s">
        <v>7476</v>
      </c>
      <c r="X1511">
        <v>0</v>
      </c>
      <c r="Y1511" s="34" t="s">
        <v>7476</v>
      </c>
      <c r="Z1511" s="34" t="s">
        <v>7476</v>
      </c>
      <c r="AA1511" s="34" t="s">
        <v>7476</v>
      </c>
      <c r="AB1511" s="36" t="s">
        <v>52</v>
      </c>
      <c r="AD1511" t="s">
        <v>4721</v>
      </c>
      <c r="AE1511" t="s">
        <v>4722</v>
      </c>
      <c r="AF1511" s="16">
        <v>44728</v>
      </c>
      <c r="AG1511" t="s">
        <v>98</v>
      </c>
      <c r="AH1511">
        <v>3</v>
      </c>
      <c r="AI1511" s="8" t="str">
        <f>IFERROR(R1511-AF1511,"")</f>
        <v/>
      </c>
      <c r="AJ1511" s="8">
        <f>IFERROR(O1511-AF1511,"")</f>
        <v>6.645821759258979</v>
      </c>
      <c r="AK1511" s="38">
        <f t="shared" si="607"/>
        <v>44828.645821759259</v>
      </c>
      <c r="AL1511" t="str">
        <f>IFERROR(Z1511-W1511,"")</f>
        <v/>
      </c>
      <c r="AM1511" t="str">
        <f>IFERROR(R1511-J1511,"")</f>
        <v/>
      </c>
      <c r="AN1511">
        <f>IFERROR(V1511-O1511,"")</f>
        <v>4</v>
      </c>
      <c r="AO1511">
        <f>IFERROR(J1511-I1511,"")</f>
        <v>3</v>
      </c>
      <c r="AP1511">
        <f>IFERROR(AC1511-X1511,"")</f>
        <v>0</v>
      </c>
      <c r="AQ1511" t="str">
        <f>IFERROR(AA1511-W1511,"")</f>
        <v/>
      </c>
    </row>
    <row r="1512" spans="1:43" x14ac:dyDescent="0.35">
      <c r="A1512">
        <v>1756</v>
      </c>
      <c r="B1512" t="s">
        <v>4723</v>
      </c>
      <c r="C1512" t="s">
        <v>4480</v>
      </c>
      <c r="D1512" t="str">
        <f t="shared" si="605"/>
        <v>Finance</v>
      </c>
      <c r="E1512" t="s">
        <v>4614</v>
      </c>
      <c r="F1512" t="s">
        <v>3935</v>
      </c>
      <c r="G1512" t="s">
        <v>4615</v>
      </c>
      <c r="H1512" t="s">
        <v>334</v>
      </c>
      <c r="I1512" s="32">
        <v>44709.645821759259</v>
      </c>
      <c r="J1512" s="32">
        <v>44713.645821759259</v>
      </c>
      <c r="K1512" s="32" t="s">
        <v>7473</v>
      </c>
      <c r="L1512" s="8" t="str">
        <f t="shared" si="606"/>
        <v/>
      </c>
      <c r="M1512" s="7">
        <v>44748.645821759259</v>
      </c>
      <c r="N1512" t="s">
        <v>49</v>
      </c>
      <c r="O1512" s="34">
        <v>44723.645821759259</v>
      </c>
      <c r="P1512" t="s">
        <v>50</v>
      </c>
      <c r="Q1512" t="s">
        <v>236</v>
      </c>
      <c r="R1512" s="32" t="s">
        <v>7472</v>
      </c>
      <c r="S1512" t="s">
        <v>7476</v>
      </c>
      <c r="T1512" s="34" t="s">
        <v>7476</v>
      </c>
      <c r="U1512" s="34" t="s">
        <v>7476</v>
      </c>
      <c r="V1512" s="32" t="s">
        <v>7476</v>
      </c>
      <c r="W1512" s="32" t="s">
        <v>7476</v>
      </c>
      <c r="X1512">
        <v>0</v>
      </c>
      <c r="Y1512" s="34" t="s">
        <v>7476</v>
      </c>
      <c r="Z1512" s="34" t="s">
        <v>7476</v>
      </c>
      <c r="AA1512" s="34" t="s">
        <v>7476</v>
      </c>
      <c r="AB1512" s="36" t="s">
        <v>52</v>
      </c>
      <c r="AD1512" t="s">
        <v>4724</v>
      </c>
      <c r="AE1512" t="s">
        <v>4725</v>
      </c>
      <c r="AF1512" s="16">
        <v>44710</v>
      </c>
      <c r="AG1512" t="s">
        <v>93</v>
      </c>
      <c r="AH1512">
        <v>6</v>
      </c>
      <c r="AK1512" s="38" t="str">
        <f t="shared" si="607"/>
        <v/>
      </c>
    </row>
    <row r="1513" spans="1:43" x14ac:dyDescent="0.35">
      <c r="A1513">
        <v>1740</v>
      </c>
      <c r="B1513" t="s">
        <v>4726</v>
      </c>
      <c r="C1513" t="s">
        <v>4480</v>
      </c>
      <c r="D1513" t="str">
        <f t="shared" si="605"/>
        <v>Finance</v>
      </c>
      <c r="E1513" t="s">
        <v>4614</v>
      </c>
      <c r="F1513" t="s">
        <v>3935</v>
      </c>
      <c r="G1513" t="s">
        <v>4615</v>
      </c>
      <c r="H1513" t="s">
        <v>334</v>
      </c>
      <c r="I1513" s="32">
        <v>44564.634641203702</v>
      </c>
      <c r="J1513" s="32">
        <v>44565.634641203702</v>
      </c>
      <c r="K1513" s="32">
        <v>44568.634641203702</v>
      </c>
      <c r="L1513" s="8">
        <f t="shared" si="606"/>
        <v>4</v>
      </c>
      <c r="M1513" s="7">
        <v>44574.634641203702</v>
      </c>
      <c r="N1513" t="s">
        <v>49</v>
      </c>
      <c r="O1513" s="34">
        <v>44581.634641203702</v>
      </c>
      <c r="P1513" t="s">
        <v>101</v>
      </c>
      <c r="R1513" s="32">
        <v>44588.634641203702</v>
      </c>
      <c r="S1513" t="s">
        <v>101</v>
      </c>
      <c r="T1513" s="34">
        <v>44582.634641203702</v>
      </c>
      <c r="U1513" s="34">
        <v>44586.634641203702</v>
      </c>
      <c r="V1513" s="32">
        <v>44585.634641203702</v>
      </c>
      <c r="W1513" s="32">
        <v>44586.634641203702</v>
      </c>
      <c r="X1513">
        <v>1</v>
      </c>
      <c r="Y1513" s="34">
        <v>44590.634641203702</v>
      </c>
      <c r="Z1513" s="34">
        <v>44592.634641203702</v>
      </c>
      <c r="AA1513" s="34">
        <v>44594.634641203702</v>
      </c>
      <c r="AB1513" s="36" t="s">
        <v>7476</v>
      </c>
      <c r="AC1513" s="10">
        <v>44616.634641203702</v>
      </c>
      <c r="AD1513" t="s">
        <v>4727</v>
      </c>
      <c r="AE1513" t="s">
        <v>4728</v>
      </c>
      <c r="AF1513" s="16">
        <v>44576</v>
      </c>
      <c r="AG1513" t="s">
        <v>68</v>
      </c>
      <c r="AH1513">
        <v>6</v>
      </c>
      <c r="AI1513" s="8">
        <f>IFERROR(R1513-AF1513,"")</f>
        <v>12.634641203701904</v>
      </c>
      <c r="AJ1513" s="8">
        <f>IFERROR(O1513-AF1513,"")</f>
        <v>5.6346412037019036</v>
      </c>
      <c r="AK1513" s="38">
        <f t="shared" si="607"/>
        <v>44765.634641203702</v>
      </c>
      <c r="AL1513">
        <f>IFERROR(Z1513-W1513,"")</f>
        <v>6</v>
      </c>
      <c r="AM1513">
        <f>IFERROR(R1513-J1513,"")</f>
        <v>23</v>
      </c>
      <c r="AN1513">
        <f>IFERROR(V1513-O1513,"")</f>
        <v>4</v>
      </c>
      <c r="AO1513">
        <f>IFERROR(J1513-I1513,"")</f>
        <v>1</v>
      </c>
      <c r="AP1513">
        <f>IFERROR(AC1513-X1513,"")</f>
        <v>44615.634641203702</v>
      </c>
      <c r="AQ1513">
        <f>IFERROR(AA1513-W1513,"")</f>
        <v>8</v>
      </c>
    </row>
    <row r="1514" spans="1:43" x14ac:dyDescent="0.35">
      <c r="A1514">
        <v>1737</v>
      </c>
      <c r="B1514" t="s">
        <v>4729</v>
      </c>
      <c r="C1514" t="s">
        <v>4480</v>
      </c>
      <c r="D1514" t="str">
        <f t="shared" si="605"/>
        <v>Finance</v>
      </c>
      <c r="E1514" t="s">
        <v>4614</v>
      </c>
      <c r="F1514" t="s">
        <v>3935</v>
      </c>
      <c r="G1514" t="s">
        <v>4615</v>
      </c>
      <c r="H1514" t="s">
        <v>334</v>
      </c>
      <c r="I1514" s="32">
        <v>44564.634641203702</v>
      </c>
      <c r="J1514" s="32">
        <v>44566.634641203702</v>
      </c>
      <c r="K1514" s="32">
        <v>44568.634641203702</v>
      </c>
      <c r="L1514" s="8">
        <f t="shared" si="606"/>
        <v>4</v>
      </c>
      <c r="M1514" s="7">
        <v>44593.634641203702</v>
      </c>
      <c r="N1514" t="s">
        <v>49</v>
      </c>
      <c r="O1514" s="34">
        <v>44573.634641203702</v>
      </c>
      <c r="P1514" t="s">
        <v>50</v>
      </c>
      <c r="Q1514" t="s">
        <v>84</v>
      </c>
      <c r="R1514" s="32" t="s">
        <v>7472</v>
      </c>
      <c r="S1514" t="s">
        <v>7476</v>
      </c>
      <c r="T1514" s="34" t="s">
        <v>7476</v>
      </c>
      <c r="U1514" s="34" t="s">
        <v>7476</v>
      </c>
      <c r="V1514" s="32">
        <v>44575.634641203702</v>
      </c>
      <c r="W1514" s="32" t="s">
        <v>7476</v>
      </c>
      <c r="X1514">
        <v>0</v>
      </c>
      <c r="Y1514" s="34" t="s">
        <v>7476</v>
      </c>
      <c r="Z1514" s="34" t="s">
        <v>7476</v>
      </c>
      <c r="AA1514" s="34" t="s">
        <v>7476</v>
      </c>
      <c r="AB1514" s="36" t="s">
        <v>52</v>
      </c>
      <c r="AD1514" t="s">
        <v>4730</v>
      </c>
      <c r="AE1514" t="s">
        <v>4731</v>
      </c>
      <c r="AF1514" s="16">
        <v>44557</v>
      </c>
      <c r="AG1514" t="s">
        <v>98</v>
      </c>
      <c r="AH1514">
        <v>6</v>
      </c>
      <c r="AI1514" s="8" t="str">
        <f>IFERROR(R1514-AF1514,"")</f>
        <v/>
      </c>
      <c r="AJ1514" s="8">
        <f>IFERROR(O1514-AF1514,"")</f>
        <v>16.634641203701904</v>
      </c>
      <c r="AK1514" s="38">
        <f t="shared" si="607"/>
        <v>44755.634641203702</v>
      </c>
      <c r="AL1514" t="str">
        <f>IFERROR(Z1514-W1514,"")</f>
        <v/>
      </c>
      <c r="AM1514" t="str">
        <f>IFERROR(R1514-J1514,"")</f>
        <v/>
      </c>
      <c r="AN1514">
        <f>IFERROR(V1514-O1514,"")</f>
        <v>2</v>
      </c>
      <c r="AO1514">
        <f>IFERROR(J1514-I1514,"")</f>
        <v>2</v>
      </c>
      <c r="AP1514">
        <f>IFERROR(AC1514-X1514,"")</f>
        <v>0</v>
      </c>
      <c r="AQ1514" t="str">
        <f>IFERROR(AA1514-W1514,"")</f>
        <v/>
      </c>
    </row>
    <row r="1515" spans="1:43" x14ac:dyDescent="0.35">
      <c r="A1515">
        <v>1736</v>
      </c>
      <c r="B1515" t="s">
        <v>4732</v>
      </c>
      <c r="C1515" t="s">
        <v>4502</v>
      </c>
      <c r="D1515" t="str">
        <f t="shared" si="605"/>
        <v>Finance</v>
      </c>
      <c r="E1515" t="s">
        <v>4614</v>
      </c>
      <c r="F1515" t="s">
        <v>3935</v>
      </c>
      <c r="G1515" t="s">
        <v>4615</v>
      </c>
      <c r="H1515" t="s">
        <v>334</v>
      </c>
      <c r="I1515" s="32">
        <v>44561.634641203702</v>
      </c>
      <c r="J1515" s="32">
        <v>44564.634641203702</v>
      </c>
      <c r="K1515" s="32">
        <v>44568.634641203702</v>
      </c>
      <c r="L1515" s="8">
        <f t="shared" si="606"/>
        <v>7</v>
      </c>
      <c r="M1515" s="7">
        <v>44573.634641203702</v>
      </c>
      <c r="N1515" t="s">
        <v>49</v>
      </c>
      <c r="O1515" s="34">
        <v>44579.634641203702</v>
      </c>
      <c r="P1515" t="s">
        <v>60</v>
      </c>
      <c r="R1515" s="32">
        <v>44585.634641203702</v>
      </c>
      <c r="S1515" t="s">
        <v>61</v>
      </c>
      <c r="T1515" s="34" t="s">
        <v>7476</v>
      </c>
      <c r="U1515" s="34" t="s">
        <v>7476</v>
      </c>
      <c r="V1515" s="32">
        <v>44583.634641203702</v>
      </c>
      <c r="W1515" s="32" t="s">
        <v>7476</v>
      </c>
      <c r="X1515">
        <v>0</v>
      </c>
      <c r="Y1515" s="34" t="s">
        <v>7476</v>
      </c>
      <c r="Z1515" s="34" t="s">
        <v>7476</v>
      </c>
      <c r="AA1515" s="34" t="s">
        <v>7476</v>
      </c>
      <c r="AB1515" s="36" t="s">
        <v>7476</v>
      </c>
      <c r="AD1515" t="s">
        <v>4733</v>
      </c>
      <c r="AE1515" t="s">
        <v>4734</v>
      </c>
      <c r="AF1515" s="16">
        <v>44562</v>
      </c>
      <c r="AG1515" t="s">
        <v>68</v>
      </c>
      <c r="AH1515">
        <v>3</v>
      </c>
      <c r="AI1515" s="8">
        <f>IFERROR(R1515-AF1515,"")</f>
        <v>23.634641203701904</v>
      </c>
      <c r="AJ1515" s="8">
        <f>IFERROR(O1515-AF1515,"")</f>
        <v>17.634641203701904</v>
      </c>
      <c r="AK1515" s="38">
        <f t="shared" si="607"/>
        <v>44673.634641203702</v>
      </c>
      <c r="AL1515" t="str">
        <f>IFERROR(Z1515-W1515,"")</f>
        <v/>
      </c>
      <c r="AM1515">
        <f>IFERROR(R1515-J1515,"")</f>
        <v>21</v>
      </c>
      <c r="AN1515">
        <f>IFERROR(V1515-O1515,"")</f>
        <v>4</v>
      </c>
      <c r="AO1515">
        <f>IFERROR(J1515-I1515,"")</f>
        <v>3</v>
      </c>
      <c r="AP1515">
        <f>IFERROR(AC1515-X1515,"")</f>
        <v>0</v>
      </c>
      <c r="AQ1515" t="str">
        <f>IFERROR(AA1515-W1515,"")</f>
        <v/>
      </c>
    </row>
    <row r="1516" spans="1:43" x14ac:dyDescent="0.35">
      <c r="A1516">
        <v>1735</v>
      </c>
      <c r="B1516" t="s">
        <v>4735</v>
      </c>
      <c r="C1516" t="s">
        <v>4480</v>
      </c>
      <c r="D1516" t="str">
        <f t="shared" si="605"/>
        <v>Finance</v>
      </c>
      <c r="E1516" t="s">
        <v>4614</v>
      </c>
      <c r="F1516" t="s">
        <v>3935</v>
      </c>
      <c r="G1516" t="s">
        <v>4615</v>
      </c>
      <c r="H1516" t="s">
        <v>334</v>
      </c>
      <c r="I1516" s="32">
        <v>44562.634641203702</v>
      </c>
      <c r="J1516" s="32">
        <v>44564.634641203702</v>
      </c>
      <c r="K1516" s="32">
        <v>44568.634641203702</v>
      </c>
      <c r="L1516" s="8">
        <f t="shared" si="606"/>
        <v>6</v>
      </c>
      <c r="M1516" s="7">
        <v>44579.634641203702</v>
      </c>
      <c r="N1516" t="s">
        <v>49</v>
      </c>
      <c r="O1516" s="34">
        <v>44574.634641203702</v>
      </c>
      <c r="P1516" t="s">
        <v>60</v>
      </c>
      <c r="R1516" s="32">
        <v>44579.634641203702</v>
      </c>
      <c r="S1516" t="s">
        <v>61</v>
      </c>
      <c r="T1516" s="34" t="s">
        <v>7476</v>
      </c>
      <c r="U1516" s="34" t="s">
        <v>7476</v>
      </c>
      <c r="V1516" s="32">
        <v>44577.634641203702</v>
      </c>
      <c r="W1516" s="32" t="s">
        <v>7476</v>
      </c>
      <c r="X1516">
        <v>0</v>
      </c>
      <c r="Y1516" s="34" t="s">
        <v>7476</v>
      </c>
      <c r="Z1516" s="34" t="s">
        <v>7476</v>
      </c>
      <c r="AA1516" s="34" t="s">
        <v>7476</v>
      </c>
      <c r="AB1516" s="36" t="s">
        <v>7476</v>
      </c>
      <c r="AD1516" t="s">
        <v>4736</v>
      </c>
      <c r="AE1516" t="s">
        <v>4737</v>
      </c>
      <c r="AF1516" s="16">
        <v>44557</v>
      </c>
      <c r="AG1516" t="s">
        <v>98</v>
      </c>
      <c r="AH1516">
        <v>3</v>
      </c>
      <c r="AI1516" s="8">
        <f>IFERROR(R1516-AF1516,"")</f>
        <v>22.634641203701904</v>
      </c>
      <c r="AJ1516" s="8">
        <f>IFERROR(O1516-AF1516,"")</f>
        <v>17.634641203701904</v>
      </c>
      <c r="AK1516" s="38">
        <f t="shared" si="607"/>
        <v>44667.634641203702</v>
      </c>
      <c r="AL1516" t="str">
        <f>IFERROR(Z1516-W1516,"")</f>
        <v/>
      </c>
      <c r="AM1516">
        <f>IFERROR(R1516-J1516,"")</f>
        <v>15</v>
      </c>
      <c r="AN1516">
        <f>IFERROR(V1516-O1516,"")</f>
        <v>3</v>
      </c>
      <c r="AO1516">
        <f>IFERROR(J1516-I1516,"")</f>
        <v>2</v>
      </c>
      <c r="AP1516">
        <f>IFERROR(AC1516-X1516,"")</f>
        <v>0</v>
      </c>
      <c r="AQ1516" t="str">
        <f>IFERROR(AA1516-W1516,"")</f>
        <v/>
      </c>
    </row>
    <row r="1517" spans="1:43" x14ac:dyDescent="0.35">
      <c r="A1517">
        <v>1708</v>
      </c>
      <c r="B1517" t="s">
        <v>4738</v>
      </c>
      <c r="C1517" t="s">
        <v>4471</v>
      </c>
      <c r="D1517" t="str">
        <f t="shared" si="605"/>
        <v>Finance</v>
      </c>
      <c r="E1517" t="s">
        <v>4614</v>
      </c>
      <c r="F1517" t="s">
        <v>3935</v>
      </c>
      <c r="G1517" t="s">
        <v>4615</v>
      </c>
      <c r="H1517" t="s">
        <v>334</v>
      </c>
      <c r="I1517" s="32">
        <v>44988.751342592594</v>
      </c>
      <c r="J1517" s="32" t="s">
        <v>7471</v>
      </c>
      <c r="K1517" s="32" t="s">
        <v>7473</v>
      </c>
      <c r="L1517" s="8" t="str">
        <f t="shared" si="606"/>
        <v/>
      </c>
      <c r="M1517" s="7">
        <v>45019.751342592594</v>
      </c>
      <c r="N1517" t="s">
        <v>49</v>
      </c>
      <c r="O1517" s="34">
        <v>44998.751342592594</v>
      </c>
      <c r="P1517" t="s">
        <v>60</v>
      </c>
      <c r="R1517" s="32">
        <v>45003.751342592594</v>
      </c>
      <c r="S1517" t="s">
        <v>61</v>
      </c>
      <c r="T1517" s="34" t="s">
        <v>7476</v>
      </c>
      <c r="U1517" s="34" t="s">
        <v>7476</v>
      </c>
      <c r="V1517" s="32">
        <v>44999.751342592594</v>
      </c>
      <c r="W1517" s="32" t="s">
        <v>7476</v>
      </c>
      <c r="X1517">
        <v>0</v>
      </c>
      <c r="Y1517" s="34" t="s">
        <v>7476</v>
      </c>
      <c r="Z1517" s="34" t="s">
        <v>7476</v>
      </c>
      <c r="AA1517" s="34" t="s">
        <v>7476</v>
      </c>
      <c r="AB1517" s="36" t="s">
        <v>7476</v>
      </c>
      <c r="AD1517" t="s">
        <v>4739</v>
      </c>
      <c r="AE1517" t="s">
        <v>4740</v>
      </c>
      <c r="AF1517" s="16">
        <v>44985</v>
      </c>
      <c r="AG1517" t="s">
        <v>75</v>
      </c>
      <c r="AH1517">
        <v>6</v>
      </c>
      <c r="AK1517" s="38">
        <f t="shared" si="607"/>
        <v>45179.751342592594</v>
      </c>
    </row>
    <row r="1518" spans="1:43" x14ac:dyDescent="0.35">
      <c r="A1518">
        <v>1703</v>
      </c>
      <c r="B1518" t="s">
        <v>4741</v>
      </c>
      <c r="C1518" t="s">
        <v>4480</v>
      </c>
      <c r="D1518" t="str">
        <f t="shared" si="605"/>
        <v>Finance</v>
      </c>
      <c r="E1518" t="s">
        <v>4614</v>
      </c>
      <c r="F1518" t="s">
        <v>3935</v>
      </c>
      <c r="G1518" t="s">
        <v>4615</v>
      </c>
      <c r="H1518" t="s">
        <v>334</v>
      </c>
      <c r="I1518" s="32">
        <v>44988.751342592594</v>
      </c>
      <c r="J1518" s="32">
        <v>44992.751342592594</v>
      </c>
      <c r="K1518" s="32">
        <v>44994.751342592594</v>
      </c>
      <c r="L1518" s="8">
        <f t="shared" si="606"/>
        <v>6</v>
      </c>
      <c r="M1518" s="7">
        <v>45002.751342592594</v>
      </c>
      <c r="N1518" t="s">
        <v>49</v>
      </c>
      <c r="O1518" s="34">
        <v>45004.751342592594</v>
      </c>
      <c r="P1518" t="s">
        <v>60</v>
      </c>
      <c r="R1518" s="32">
        <v>45010.751342592594</v>
      </c>
      <c r="S1518" t="s">
        <v>61</v>
      </c>
      <c r="T1518" s="34" t="s">
        <v>7476</v>
      </c>
      <c r="U1518" s="34" t="s">
        <v>7476</v>
      </c>
      <c r="V1518" s="32">
        <v>45006.751342592594</v>
      </c>
      <c r="W1518" s="32" t="s">
        <v>7476</v>
      </c>
      <c r="X1518">
        <v>0</v>
      </c>
      <c r="Y1518" s="34" t="s">
        <v>7476</v>
      </c>
      <c r="Z1518" s="34" t="s">
        <v>7476</v>
      </c>
      <c r="AA1518" s="34" t="s">
        <v>7476</v>
      </c>
      <c r="AB1518" s="36" t="s">
        <v>7476</v>
      </c>
      <c r="AD1518" t="s">
        <v>4742</v>
      </c>
      <c r="AE1518" t="s">
        <v>4743</v>
      </c>
      <c r="AF1518" s="16">
        <v>44999</v>
      </c>
      <c r="AG1518" t="s">
        <v>98</v>
      </c>
      <c r="AH1518">
        <v>6</v>
      </c>
      <c r="AI1518" s="8">
        <f t="shared" ref="AI1518:AI1525" si="624">IFERROR(R1518-AF1518,"")</f>
        <v>11.751342592593573</v>
      </c>
      <c r="AJ1518" s="8">
        <f t="shared" ref="AJ1518:AJ1525" si="625">IFERROR(O1518-AF1518,"")</f>
        <v>5.7513425925935735</v>
      </c>
      <c r="AK1518" s="38">
        <f t="shared" si="607"/>
        <v>45186.751342592594</v>
      </c>
      <c r="AL1518" t="str">
        <f t="shared" ref="AL1518:AL1525" si="626">IFERROR(Z1518-W1518,"")</f>
        <v/>
      </c>
      <c r="AM1518">
        <f t="shared" ref="AM1518:AM1525" si="627">IFERROR(R1518-J1518,"")</f>
        <v>18</v>
      </c>
      <c r="AN1518">
        <f t="shared" ref="AN1518:AN1525" si="628">IFERROR(V1518-O1518,"")</f>
        <v>2</v>
      </c>
      <c r="AO1518">
        <f t="shared" ref="AO1518:AO1525" si="629">IFERROR(J1518-I1518,"")</f>
        <v>4</v>
      </c>
      <c r="AP1518">
        <f t="shared" ref="AP1518:AP1525" si="630">IFERROR(AC1518-X1518,"")</f>
        <v>0</v>
      </c>
      <c r="AQ1518" t="str">
        <f t="shared" ref="AQ1518:AQ1525" si="631">IFERROR(AA1518-W1518,"")</f>
        <v/>
      </c>
    </row>
    <row r="1519" spans="1:43" x14ac:dyDescent="0.35">
      <c r="A1519">
        <v>1701</v>
      </c>
      <c r="B1519" t="s">
        <v>4744</v>
      </c>
      <c r="C1519" t="s">
        <v>4502</v>
      </c>
      <c r="D1519" t="str">
        <f t="shared" si="605"/>
        <v>Finance</v>
      </c>
      <c r="E1519" t="s">
        <v>4614</v>
      </c>
      <c r="F1519" t="s">
        <v>3935</v>
      </c>
      <c r="G1519" t="s">
        <v>4615</v>
      </c>
      <c r="H1519" t="s">
        <v>334</v>
      </c>
      <c r="I1519" s="32">
        <v>44985.751342592594</v>
      </c>
      <c r="J1519" s="32">
        <v>44988.751342592594</v>
      </c>
      <c r="K1519" s="32">
        <v>44994.751342592594</v>
      </c>
      <c r="L1519" s="8">
        <f t="shared" si="606"/>
        <v>9</v>
      </c>
      <c r="M1519" s="7">
        <v>45018.751342592594</v>
      </c>
      <c r="N1519" t="s">
        <v>49</v>
      </c>
      <c r="O1519" s="34">
        <v>45012.751342592594</v>
      </c>
      <c r="P1519" t="s">
        <v>60</v>
      </c>
      <c r="R1519" s="32">
        <v>45016.751342592594</v>
      </c>
      <c r="S1519" t="s">
        <v>61</v>
      </c>
      <c r="T1519" s="34" t="s">
        <v>7476</v>
      </c>
      <c r="U1519" s="34" t="s">
        <v>7476</v>
      </c>
      <c r="V1519" s="32">
        <v>45013.751342592594</v>
      </c>
      <c r="W1519" s="32" t="s">
        <v>7476</v>
      </c>
      <c r="X1519">
        <v>0</v>
      </c>
      <c r="Y1519" s="34" t="s">
        <v>7476</v>
      </c>
      <c r="Z1519" s="34" t="s">
        <v>7476</v>
      </c>
      <c r="AA1519" s="34" t="s">
        <v>7476</v>
      </c>
      <c r="AB1519" s="36" t="s">
        <v>7476</v>
      </c>
      <c r="AD1519" t="s">
        <v>4745</v>
      </c>
      <c r="AE1519" t="s">
        <v>4746</v>
      </c>
      <c r="AF1519" s="16">
        <v>44995</v>
      </c>
      <c r="AG1519" t="s">
        <v>68</v>
      </c>
      <c r="AH1519">
        <v>6</v>
      </c>
      <c r="AI1519" s="8">
        <f t="shared" si="624"/>
        <v>21.751342592593573</v>
      </c>
      <c r="AJ1519" s="8">
        <f t="shared" si="625"/>
        <v>17.751342592593573</v>
      </c>
      <c r="AK1519" s="38">
        <f t="shared" si="607"/>
        <v>45193.751342592594</v>
      </c>
      <c r="AL1519" t="str">
        <f t="shared" si="626"/>
        <v/>
      </c>
      <c r="AM1519">
        <f t="shared" si="627"/>
        <v>28</v>
      </c>
      <c r="AN1519">
        <f t="shared" si="628"/>
        <v>1</v>
      </c>
      <c r="AO1519">
        <f t="shared" si="629"/>
        <v>3</v>
      </c>
      <c r="AP1519">
        <f t="shared" si="630"/>
        <v>0</v>
      </c>
      <c r="AQ1519" t="str">
        <f t="shared" si="631"/>
        <v/>
      </c>
    </row>
    <row r="1520" spans="1:43" x14ac:dyDescent="0.35">
      <c r="A1520">
        <v>1678</v>
      </c>
      <c r="B1520" t="s">
        <v>4747</v>
      </c>
      <c r="C1520" t="s">
        <v>4480</v>
      </c>
      <c r="D1520" t="str">
        <f t="shared" si="605"/>
        <v>Finance</v>
      </c>
      <c r="E1520" t="s">
        <v>4614</v>
      </c>
      <c r="F1520" t="s">
        <v>3935</v>
      </c>
      <c r="G1520" t="s">
        <v>4615</v>
      </c>
      <c r="H1520" t="s">
        <v>334</v>
      </c>
      <c r="I1520" s="32">
        <v>44869.144270833327</v>
      </c>
      <c r="J1520" s="32">
        <v>44872.144270833327</v>
      </c>
      <c r="K1520" s="32">
        <v>44877.144270833327</v>
      </c>
      <c r="L1520" s="8">
        <f t="shared" si="606"/>
        <v>8</v>
      </c>
      <c r="M1520" s="7">
        <v>44886.144270833327</v>
      </c>
      <c r="N1520" t="s">
        <v>49</v>
      </c>
      <c r="O1520" s="34">
        <v>44884.144270833327</v>
      </c>
      <c r="P1520" t="s">
        <v>50</v>
      </c>
      <c r="Q1520" t="s">
        <v>125</v>
      </c>
      <c r="R1520" s="32" t="s">
        <v>7472</v>
      </c>
      <c r="S1520" t="s">
        <v>7476</v>
      </c>
      <c r="T1520" s="34" t="s">
        <v>7476</v>
      </c>
      <c r="U1520" s="34" t="s">
        <v>7476</v>
      </c>
      <c r="V1520" s="32" t="s">
        <v>7476</v>
      </c>
      <c r="W1520" s="32" t="s">
        <v>7476</v>
      </c>
      <c r="X1520">
        <v>0</v>
      </c>
      <c r="Y1520" s="34" t="s">
        <v>7476</v>
      </c>
      <c r="Z1520" s="34" t="s">
        <v>7476</v>
      </c>
      <c r="AA1520" s="34" t="s">
        <v>7476</v>
      </c>
      <c r="AB1520" s="36" t="s">
        <v>95</v>
      </c>
      <c r="AD1520" t="s">
        <v>4748</v>
      </c>
      <c r="AE1520" t="s">
        <v>4749</v>
      </c>
      <c r="AF1520" s="16">
        <v>44572</v>
      </c>
      <c r="AG1520" t="s">
        <v>68</v>
      </c>
      <c r="AH1520">
        <v>6</v>
      </c>
      <c r="AI1520" s="8" t="str">
        <f t="shared" si="624"/>
        <v/>
      </c>
      <c r="AJ1520" s="8">
        <f t="shared" si="625"/>
        <v>312.14427083332703</v>
      </c>
      <c r="AK1520" s="38" t="str">
        <f t="shared" si="607"/>
        <v/>
      </c>
      <c r="AL1520" t="str">
        <f t="shared" si="626"/>
        <v/>
      </c>
      <c r="AM1520" t="str">
        <f t="shared" si="627"/>
        <v/>
      </c>
      <c r="AN1520" t="str">
        <f t="shared" si="628"/>
        <v/>
      </c>
      <c r="AO1520">
        <f t="shared" si="629"/>
        <v>3</v>
      </c>
      <c r="AP1520">
        <f t="shared" si="630"/>
        <v>0</v>
      </c>
      <c r="AQ1520" t="str">
        <f t="shared" si="631"/>
        <v/>
      </c>
    </row>
    <row r="1521" spans="1:43" x14ac:dyDescent="0.35">
      <c r="A1521">
        <v>1675</v>
      </c>
      <c r="B1521" t="s">
        <v>4750</v>
      </c>
      <c r="C1521" t="s">
        <v>4480</v>
      </c>
      <c r="D1521" t="str">
        <f t="shared" si="605"/>
        <v>Finance</v>
      </c>
      <c r="E1521" t="s">
        <v>4614</v>
      </c>
      <c r="F1521" t="s">
        <v>3935</v>
      </c>
      <c r="G1521" t="s">
        <v>4615</v>
      </c>
      <c r="H1521" t="s">
        <v>334</v>
      </c>
      <c r="I1521" s="32">
        <v>44873.144270833327</v>
      </c>
      <c r="J1521" s="32">
        <v>44874.144270833327</v>
      </c>
      <c r="K1521" s="32">
        <v>44877.144270833327</v>
      </c>
      <c r="L1521" s="8">
        <f t="shared" si="606"/>
        <v>4</v>
      </c>
      <c r="M1521" s="7">
        <v>44882.144270833327</v>
      </c>
      <c r="N1521" t="s">
        <v>72</v>
      </c>
      <c r="O1521" s="34" t="s">
        <v>7474</v>
      </c>
      <c r="R1521" s="32" t="s">
        <v>7472</v>
      </c>
      <c r="S1521" t="s">
        <v>7476</v>
      </c>
      <c r="T1521" s="34" t="s">
        <v>7476</v>
      </c>
      <c r="U1521" s="34" t="s">
        <v>7476</v>
      </c>
      <c r="V1521" s="32" t="s">
        <v>7476</v>
      </c>
      <c r="W1521" s="32" t="s">
        <v>7476</v>
      </c>
      <c r="X1521">
        <v>0</v>
      </c>
      <c r="Y1521" s="34" t="s">
        <v>7476</v>
      </c>
      <c r="Z1521" s="34" t="s">
        <v>7476</v>
      </c>
      <c r="AA1521" s="34" t="s">
        <v>7476</v>
      </c>
      <c r="AB1521" s="36" t="s">
        <v>7476</v>
      </c>
      <c r="AD1521" t="s">
        <v>4751</v>
      </c>
      <c r="AE1521" t="s">
        <v>4752</v>
      </c>
      <c r="AG1521" t="s">
        <v>64</v>
      </c>
      <c r="AH1521">
        <v>6</v>
      </c>
      <c r="AI1521" s="8" t="str">
        <f t="shared" si="624"/>
        <v/>
      </c>
      <c r="AJ1521" s="8" t="str">
        <f t="shared" si="625"/>
        <v/>
      </c>
      <c r="AK1521" s="38" t="str">
        <f t="shared" si="607"/>
        <v/>
      </c>
      <c r="AL1521" t="str">
        <f t="shared" si="626"/>
        <v/>
      </c>
      <c r="AM1521" t="str">
        <f t="shared" si="627"/>
        <v/>
      </c>
      <c r="AN1521" t="str">
        <f t="shared" si="628"/>
        <v/>
      </c>
      <c r="AO1521">
        <f t="shared" si="629"/>
        <v>1</v>
      </c>
      <c r="AP1521">
        <f t="shared" si="630"/>
        <v>0</v>
      </c>
      <c r="AQ1521" t="str">
        <f t="shared" si="631"/>
        <v/>
      </c>
    </row>
    <row r="1522" spans="1:43" x14ac:dyDescent="0.35">
      <c r="A1522">
        <v>1638</v>
      </c>
      <c r="B1522" t="s">
        <v>4753</v>
      </c>
      <c r="C1522" t="s">
        <v>4502</v>
      </c>
      <c r="D1522" t="str">
        <f t="shared" si="605"/>
        <v>Finance</v>
      </c>
      <c r="E1522" t="s">
        <v>4614</v>
      </c>
      <c r="F1522" t="s">
        <v>3935</v>
      </c>
      <c r="G1522" t="s">
        <v>4615</v>
      </c>
      <c r="H1522" t="s">
        <v>334</v>
      </c>
      <c r="I1522" s="32">
        <v>45172.320416666669</v>
      </c>
      <c r="J1522" s="32">
        <v>45174.320416666669</v>
      </c>
      <c r="K1522" s="32">
        <v>45178.320416666669</v>
      </c>
      <c r="L1522" s="8">
        <f t="shared" si="606"/>
        <v>6</v>
      </c>
      <c r="M1522" s="7">
        <v>45193.320416666669</v>
      </c>
      <c r="N1522" t="s">
        <v>49</v>
      </c>
      <c r="O1522" s="34">
        <v>45187.320416666669</v>
      </c>
      <c r="P1522" t="s">
        <v>392</v>
      </c>
      <c r="R1522" s="32">
        <v>45189.320416666669</v>
      </c>
      <c r="S1522" t="s">
        <v>392</v>
      </c>
      <c r="T1522" s="34" t="s">
        <v>7476</v>
      </c>
      <c r="U1522" s="34" t="s">
        <v>7476</v>
      </c>
      <c r="V1522" s="32">
        <v>45188.320416666669</v>
      </c>
      <c r="W1522" s="32" t="s">
        <v>7476</v>
      </c>
      <c r="X1522">
        <v>0</v>
      </c>
      <c r="Y1522" s="34" t="s">
        <v>7476</v>
      </c>
      <c r="Z1522" s="34" t="s">
        <v>7476</v>
      </c>
      <c r="AA1522" s="34" t="s">
        <v>7476</v>
      </c>
      <c r="AB1522" s="36" t="s">
        <v>7476</v>
      </c>
      <c r="AD1522" t="s">
        <v>4754</v>
      </c>
      <c r="AE1522" t="s">
        <v>4755</v>
      </c>
      <c r="AF1522" s="16">
        <v>45173</v>
      </c>
      <c r="AG1522" t="s">
        <v>64</v>
      </c>
      <c r="AH1522">
        <v>6</v>
      </c>
      <c r="AI1522" s="8">
        <f t="shared" si="624"/>
        <v>16.320416666669189</v>
      </c>
      <c r="AJ1522" s="8">
        <f t="shared" si="625"/>
        <v>14.320416666669189</v>
      </c>
      <c r="AK1522" s="38">
        <f t="shared" si="607"/>
        <v>45368.320416666669</v>
      </c>
      <c r="AL1522" t="str">
        <f t="shared" si="626"/>
        <v/>
      </c>
      <c r="AM1522">
        <f t="shared" si="627"/>
        <v>15</v>
      </c>
      <c r="AN1522">
        <f t="shared" si="628"/>
        <v>1</v>
      </c>
      <c r="AO1522">
        <f t="shared" si="629"/>
        <v>2</v>
      </c>
      <c r="AP1522">
        <f t="shared" si="630"/>
        <v>0</v>
      </c>
      <c r="AQ1522" t="str">
        <f t="shared" si="631"/>
        <v/>
      </c>
    </row>
    <row r="1523" spans="1:43" x14ac:dyDescent="0.35">
      <c r="A1523">
        <v>1636</v>
      </c>
      <c r="B1523" t="s">
        <v>4756</v>
      </c>
      <c r="C1523" t="s">
        <v>4480</v>
      </c>
      <c r="D1523" t="str">
        <f t="shared" si="605"/>
        <v>Finance</v>
      </c>
      <c r="E1523" t="s">
        <v>4614</v>
      </c>
      <c r="F1523" t="s">
        <v>3935</v>
      </c>
      <c r="G1523" t="s">
        <v>4615</v>
      </c>
      <c r="H1523" t="s">
        <v>334</v>
      </c>
      <c r="I1523" s="32">
        <v>45176.320416666669</v>
      </c>
      <c r="J1523" s="32">
        <v>45177.320416666669</v>
      </c>
      <c r="K1523" s="32">
        <v>45178.320416666669</v>
      </c>
      <c r="L1523" s="8">
        <f t="shared" si="606"/>
        <v>2</v>
      </c>
      <c r="M1523" s="7">
        <v>45184.320416666669</v>
      </c>
      <c r="N1523" t="s">
        <v>49</v>
      </c>
      <c r="O1523" s="34">
        <v>45183.320416666669</v>
      </c>
      <c r="P1523" t="s">
        <v>50</v>
      </c>
      <c r="Q1523" t="s">
        <v>51</v>
      </c>
      <c r="R1523" s="32" t="s">
        <v>7472</v>
      </c>
      <c r="S1523" t="s">
        <v>7476</v>
      </c>
      <c r="T1523" s="34" t="s">
        <v>7476</v>
      </c>
      <c r="U1523" s="34" t="s">
        <v>7476</v>
      </c>
      <c r="V1523" s="32">
        <v>45185.320416666669</v>
      </c>
      <c r="W1523" s="32" t="s">
        <v>7476</v>
      </c>
      <c r="X1523">
        <v>0</v>
      </c>
      <c r="Y1523" s="34" t="s">
        <v>7476</v>
      </c>
      <c r="Z1523" s="34" t="s">
        <v>7476</v>
      </c>
      <c r="AA1523" s="34" t="s">
        <v>7476</v>
      </c>
      <c r="AB1523" s="36" t="s">
        <v>95</v>
      </c>
      <c r="AD1523" t="s">
        <v>4757</v>
      </c>
      <c r="AE1523" t="s">
        <v>4758</v>
      </c>
      <c r="AF1523" s="16">
        <v>45167</v>
      </c>
      <c r="AG1523" t="s">
        <v>68</v>
      </c>
      <c r="AH1523">
        <v>3</v>
      </c>
      <c r="AI1523" s="8" t="str">
        <f t="shared" si="624"/>
        <v/>
      </c>
      <c r="AJ1523" s="8">
        <f t="shared" si="625"/>
        <v>16.320416666669189</v>
      </c>
      <c r="AK1523" s="38">
        <f t="shared" si="607"/>
        <v>45275.320416666669</v>
      </c>
      <c r="AL1523" t="str">
        <f t="shared" si="626"/>
        <v/>
      </c>
      <c r="AM1523" t="str">
        <f t="shared" si="627"/>
        <v/>
      </c>
      <c r="AN1523">
        <f t="shared" si="628"/>
        <v>2</v>
      </c>
      <c r="AO1523">
        <f t="shared" si="629"/>
        <v>1</v>
      </c>
      <c r="AP1523">
        <f t="shared" si="630"/>
        <v>0</v>
      </c>
      <c r="AQ1523" t="str">
        <f t="shared" si="631"/>
        <v/>
      </c>
    </row>
    <row r="1524" spans="1:43" x14ac:dyDescent="0.35">
      <c r="A1524">
        <v>1633</v>
      </c>
      <c r="B1524" t="s">
        <v>4759</v>
      </c>
      <c r="C1524" t="s">
        <v>4480</v>
      </c>
      <c r="D1524" t="str">
        <f t="shared" si="605"/>
        <v>Finance</v>
      </c>
      <c r="E1524" t="s">
        <v>4614</v>
      </c>
      <c r="F1524" t="s">
        <v>3935</v>
      </c>
      <c r="G1524" t="s">
        <v>4615</v>
      </c>
      <c r="H1524" t="s">
        <v>334</v>
      </c>
      <c r="I1524" s="32">
        <v>45176.320416666669</v>
      </c>
      <c r="J1524" s="32">
        <v>45177.320416666669</v>
      </c>
      <c r="K1524" s="32">
        <v>45178.320416666669</v>
      </c>
      <c r="L1524" s="8">
        <f t="shared" si="606"/>
        <v>2</v>
      </c>
      <c r="M1524" s="7">
        <v>45183.320416666669</v>
      </c>
      <c r="N1524" t="s">
        <v>49</v>
      </c>
      <c r="O1524" s="34">
        <v>45181.320416666669</v>
      </c>
      <c r="P1524" t="s">
        <v>50</v>
      </c>
      <c r="Q1524" t="s">
        <v>198</v>
      </c>
      <c r="R1524" s="32" t="s">
        <v>7472</v>
      </c>
      <c r="S1524" t="s">
        <v>7476</v>
      </c>
      <c r="T1524" s="34" t="s">
        <v>7476</v>
      </c>
      <c r="U1524" s="34" t="s">
        <v>7476</v>
      </c>
      <c r="V1524" s="32" t="s">
        <v>7476</v>
      </c>
      <c r="W1524" s="32" t="s">
        <v>7476</v>
      </c>
      <c r="X1524">
        <v>0</v>
      </c>
      <c r="Y1524" s="34" t="s">
        <v>7476</v>
      </c>
      <c r="Z1524" s="34" t="s">
        <v>7476</v>
      </c>
      <c r="AA1524" s="34" t="s">
        <v>7476</v>
      </c>
      <c r="AB1524" s="36" t="s">
        <v>52</v>
      </c>
      <c r="AD1524" t="s">
        <v>4760</v>
      </c>
      <c r="AE1524" t="s">
        <v>4761</v>
      </c>
      <c r="AF1524" s="16">
        <v>45170</v>
      </c>
      <c r="AG1524" t="s">
        <v>98</v>
      </c>
      <c r="AH1524">
        <v>6</v>
      </c>
      <c r="AI1524" s="8" t="str">
        <f t="shared" si="624"/>
        <v/>
      </c>
      <c r="AJ1524" s="8">
        <f t="shared" si="625"/>
        <v>11.320416666669189</v>
      </c>
      <c r="AK1524" s="38" t="str">
        <f t="shared" si="607"/>
        <v/>
      </c>
      <c r="AL1524" t="str">
        <f t="shared" si="626"/>
        <v/>
      </c>
      <c r="AM1524" t="str">
        <f t="shared" si="627"/>
        <v/>
      </c>
      <c r="AN1524" t="str">
        <f t="shared" si="628"/>
        <v/>
      </c>
      <c r="AO1524">
        <f t="shared" si="629"/>
        <v>1</v>
      </c>
      <c r="AP1524">
        <f t="shared" si="630"/>
        <v>0</v>
      </c>
      <c r="AQ1524" t="str">
        <f t="shared" si="631"/>
        <v/>
      </c>
    </row>
    <row r="1525" spans="1:43" x14ac:dyDescent="0.35">
      <c r="A1525">
        <v>1567</v>
      </c>
      <c r="B1525" t="s">
        <v>4762</v>
      </c>
      <c r="C1525" t="s">
        <v>4480</v>
      </c>
      <c r="D1525" t="str">
        <f t="shared" si="605"/>
        <v>Finance</v>
      </c>
      <c r="E1525" t="s">
        <v>4614</v>
      </c>
      <c r="F1525" t="s">
        <v>3935</v>
      </c>
      <c r="G1525" t="s">
        <v>4615</v>
      </c>
      <c r="H1525" t="s">
        <v>334</v>
      </c>
      <c r="I1525" s="32">
        <v>44638.490486111114</v>
      </c>
      <c r="J1525" s="32">
        <v>44640.490486111114</v>
      </c>
      <c r="K1525" s="32">
        <v>44645.490486111114</v>
      </c>
      <c r="L1525" s="8">
        <f t="shared" si="606"/>
        <v>7</v>
      </c>
      <c r="M1525" s="7">
        <v>44650.490486111114</v>
      </c>
      <c r="N1525" t="s">
        <v>49</v>
      </c>
      <c r="O1525" s="34">
        <v>44660.490486111114</v>
      </c>
      <c r="P1525" t="s">
        <v>101</v>
      </c>
      <c r="R1525" s="32">
        <v>44663.490486111114</v>
      </c>
      <c r="S1525" t="s">
        <v>101</v>
      </c>
      <c r="T1525" s="34">
        <v>44661.490486111114</v>
      </c>
      <c r="U1525" s="34">
        <v>44663.490486111114</v>
      </c>
      <c r="V1525" s="32">
        <v>44662.490486111114</v>
      </c>
      <c r="W1525" s="32">
        <v>44670.490486111114</v>
      </c>
      <c r="X1525">
        <v>1</v>
      </c>
      <c r="Y1525" s="34">
        <v>44673.490486111114</v>
      </c>
      <c r="Z1525" s="34">
        <v>44676.490486111114</v>
      </c>
      <c r="AA1525" s="34">
        <v>44678.490486111114</v>
      </c>
      <c r="AB1525" s="36" t="s">
        <v>7476</v>
      </c>
      <c r="AC1525" s="10">
        <v>44687.490486111114</v>
      </c>
      <c r="AD1525" t="s">
        <v>4763</v>
      </c>
      <c r="AE1525" t="s">
        <v>4764</v>
      </c>
      <c r="AF1525" s="16">
        <v>44645</v>
      </c>
      <c r="AG1525" t="s">
        <v>68</v>
      </c>
      <c r="AH1525">
        <v>3</v>
      </c>
      <c r="AI1525" s="8">
        <f t="shared" si="624"/>
        <v>18.490486111113569</v>
      </c>
      <c r="AJ1525" s="8">
        <f t="shared" si="625"/>
        <v>15.490486111113569</v>
      </c>
      <c r="AK1525" s="38">
        <f t="shared" si="607"/>
        <v>44752.490486111114</v>
      </c>
      <c r="AL1525">
        <f t="shared" si="626"/>
        <v>6</v>
      </c>
      <c r="AM1525">
        <f t="shared" si="627"/>
        <v>23</v>
      </c>
      <c r="AN1525">
        <f t="shared" si="628"/>
        <v>2</v>
      </c>
      <c r="AO1525">
        <f t="shared" si="629"/>
        <v>2</v>
      </c>
      <c r="AP1525">
        <f t="shared" si="630"/>
        <v>44686.490486111114</v>
      </c>
      <c r="AQ1525">
        <f t="shared" si="631"/>
        <v>8</v>
      </c>
    </row>
    <row r="1526" spans="1:43" x14ac:dyDescent="0.35">
      <c r="A1526">
        <v>1564</v>
      </c>
      <c r="B1526" t="s">
        <v>4765</v>
      </c>
      <c r="C1526" t="s">
        <v>4480</v>
      </c>
      <c r="D1526" t="str">
        <f t="shared" si="605"/>
        <v>Finance</v>
      </c>
      <c r="E1526" t="s">
        <v>4614</v>
      </c>
      <c r="F1526" t="s">
        <v>3935</v>
      </c>
      <c r="G1526" t="s">
        <v>4615</v>
      </c>
      <c r="H1526" t="s">
        <v>334</v>
      </c>
      <c r="I1526" s="32">
        <v>44635.490486111114</v>
      </c>
      <c r="J1526" s="32" t="s">
        <v>7471</v>
      </c>
      <c r="K1526" s="32">
        <v>44645.490486111114</v>
      </c>
      <c r="L1526" s="8">
        <f t="shared" si="606"/>
        <v>10</v>
      </c>
      <c r="M1526" s="7">
        <v>44670.490486111114</v>
      </c>
      <c r="N1526" t="s">
        <v>72</v>
      </c>
      <c r="O1526" s="34" t="s">
        <v>7474</v>
      </c>
      <c r="R1526" s="32" t="s">
        <v>7472</v>
      </c>
      <c r="S1526" t="s">
        <v>7476</v>
      </c>
      <c r="T1526" s="34" t="s">
        <v>7476</v>
      </c>
      <c r="U1526" s="34" t="s">
        <v>7476</v>
      </c>
      <c r="V1526" s="32" t="s">
        <v>7476</v>
      </c>
      <c r="W1526" s="32" t="s">
        <v>7476</v>
      </c>
      <c r="X1526">
        <v>0</v>
      </c>
      <c r="Y1526" s="34" t="s">
        <v>7476</v>
      </c>
      <c r="Z1526" s="34" t="s">
        <v>7476</v>
      </c>
      <c r="AA1526" s="34" t="s">
        <v>7476</v>
      </c>
      <c r="AB1526" s="36" t="s">
        <v>7476</v>
      </c>
      <c r="AD1526" t="s">
        <v>4766</v>
      </c>
      <c r="AE1526" t="s">
        <v>4767</v>
      </c>
      <c r="AG1526" t="s">
        <v>93</v>
      </c>
      <c r="AH1526">
        <v>6</v>
      </c>
      <c r="AK1526" s="38" t="str">
        <f t="shared" si="607"/>
        <v/>
      </c>
    </row>
    <row r="1527" spans="1:43" x14ac:dyDescent="0.35">
      <c r="A1527">
        <v>1562</v>
      </c>
      <c r="B1527" t="s">
        <v>4768</v>
      </c>
      <c r="C1527" t="s">
        <v>4480</v>
      </c>
      <c r="D1527" t="str">
        <f t="shared" si="605"/>
        <v>Finance</v>
      </c>
      <c r="E1527" t="s">
        <v>4614</v>
      </c>
      <c r="F1527" t="s">
        <v>3935</v>
      </c>
      <c r="G1527" t="s">
        <v>4615</v>
      </c>
      <c r="H1527" t="s">
        <v>334</v>
      </c>
      <c r="I1527" s="32">
        <v>44638.490486111114</v>
      </c>
      <c r="J1527" s="32">
        <v>44642.490486111114</v>
      </c>
      <c r="K1527" s="32">
        <v>44645.490486111114</v>
      </c>
      <c r="L1527" s="8">
        <f t="shared" si="606"/>
        <v>7</v>
      </c>
      <c r="M1527" s="7">
        <v>44661.490486111114</v>
      </c>
      <c r="N1527" t="s">
        <v>49</v>
      </c>
      <c r="O1527" s="34">
        <v>44650.490486111114</v>
      </c>
      <c r="P1527" t="s">
        <v>101</v>
      </c>
      <c r="R1527" s="32">
        <v>44654.490486111114</v>
      </c>
      <c r="S1527" t="s">
        <v>101</v>
      </c>
      <c r="T1527" s="34">
        <v>44651.490486111114</v>
      </c>
      <c r="U1527" s="34">
        <v>44654.490486111114</v>
      </c>
      <c r="V1527" s="32">
        <v>44652.490486111114</v>
      </c>
      <c r="W1527" s="32">
        <v>44658.490486111114</v>
      </c>
      <c r="X1527">
        <v>1</v>
      </c>
      <c r="Y1527" s="34">
        <v>44661.490486111114</v>
      </c>
      <c r="Z1527" s="34">
        <v>44663.490486111114</v>
      </c>
      <c r="AA1527" s="34">
        <v>44664.490486111114</v>
      </c>
      <c r="AB1527" s="36" t="s">
        <v>7476</v>
      </c>
      <c r="AC1527" s="10">
        <v>44675.490486111114</v>
      </c>
      <c r="AD1527" t="s">
        <v>4769</v>
      </c>
      <c r="AE1527" t="s">
        <v>4770</v>
      </c>
      <c r="AF1527" s="16">
        <v>44637</v>
      </c>
      <c r="AG1527" t="s">
        <v>64</v>
      </c>
      <c r="AH1527">
        <v>3</v>
      </c>
      <c r="AI1527" s="8">
        <f>IFERROR(R1527-AF1527,"")</f>
        <v>17.490486111113569</v>
      </c>
      <c r="AJ1527" s="8">
        <f>IFERROR(O1527-AF1527,"")</f>
        <v>13.490486111113569</v>
      </c>
      <c r="AK1527" s="38">
        <f t="shared" si="607"/>
        <v>44742.490486111114</v>
      </c>
      <c r="AL1527">
        <f>IFERROR(Z1527-W1527,"")</f>
        <v>5</v>
      </c>
      <c r="AM1527">
        <f>IFERROR(R1527-J1527,"")</f>
        <v>12</v>
      </c>
      <c r="AN1527">
        <f>IFERROR(V1527-O1527,"")</f>
        <v>2</v>
      </c>
      <c r="AO1527">
        <f>IFERROR(J1527-I1527,"")</f>
        <v>4</v>
      </c>
      <c r="AP1527">
        <f>IFERROR(AC1527-X1527,"")</f>
        <v>44674.490486111114</v>
      </c>
      <c r="AQ1527">
        <f>IFERROR(AA1527-W1527,"")</f>
        <v>6</v>
      </c>
    </row>
    <row r="1528" spans="1:43" x14ac:dyDescent="0.35">
      <c r="A1528">
        <v>1549</v>
      </c>
      <c r="B1528" t="s">
        <v>4771</v>
      </c>
      <c r="C1528" t="s">
        <v>4502</v>
      </c>
      <c r="D1528" t="str">
        <f t="shared" si="605"/>
        <v>Finance</v>
      </c>
      <c r="E1528" t="s">
        <v>4614</v>
      </c>
      <c r="F1528" t="s">
        <v>3935</v>
      </c>
      <c r="G1528" t="s">
        <v>4615</v>
      </c>
      <c r="H1528" t="s">
        <v>334</v>
      </c>
      <c r="I1528" s="32">
        <v>45071.849814814806</v>
      </c>
      <c r="J1528" s="32">
        <v>45075.849814814806</v>
      </c>
      <c r="K1528" s="32">
        <v>45079.849814814806</v>
      </c>
      <c r="L1528" s="8">
        <f t="shared" si="606"/>
        <v>8</v>
      </c>
      <c r="M1528" s="7">
        <v>45103.849814814806</v>
      </c>
      <c r="N1528" t="s">
        <v>49</v>
      </c>
      <c r="O1528" s="34">
        <v>45088.849814814806</v>
      </c>
      <c r="P1528" t="s">
        <v>50</v>
      </c>
      <c r="Q1528" t="s">
        <v>236</v>
      </c>
      <c r="R1528" s="32" t="s">
        <v>7472</v>
      </c>
      <c r="S1528" t="s">
        <v>7476</v>
      </c>
      <c r="T1528" s="34" t="s">
        <v>7476</v>
      </c>
      <c r="U1528" s="34" t="s">
        <v>7476</v>
      </c>
      <c r="V1528" s="32" t="s">
        <v>7476</v>
      </c>
      <c r="W1528" s="32" t="s">
        <v>7476</v>
      </c>
      <c r="X1528">
        <v>0</v>
      </c>
      <c r="Y1528" s="34" t="s">
        <v>7476</v>
      </c>
      <c r="Z1528" s="34" t="s">
        <v>7476</v>
      </c>
      <c r="AA1528" s="34" t="s">
        <v>7476</v>
      </c>
      <c r="AB1528" s="36" t="s">
        <v>95</v>
      </c>
      <c r="AD1528" t="s">
        <v>4772</v>
      </c>
      <c r="AE1528" t="s">
        <v>4773</v>
      </c>
      <c r="AF1528" s="16">
        <v>45070</v>
      </c>
      <c r="AG1528" t="s">
        <v>68</v>
      </c>
      <c r="AH1528">
        <v>3</v>
      </c>
      <c r="AI1528" s="8" t="str">
        <f>IFERROR(R1528-AF1528,"")</f>
        <v/>
      </c>
      <c r="AJ1528" s="8">
        <f>IFERROR(O1528-AF1528,"")</f>
        <v>18.84981481480645</v>
      </c>
      <c r="AK1528" s="38" t="str">
        <f t="shared" si="607"/>
        <v/>
      </c>
      <c r="AL1528" t="str">
        <f>IFERROR(Z1528-W1528,"")</f>
        <v/>
      </c>
      <c r="AM1528" t="str">
        <f>IFERROR(R1528-J1528,"")</f>
        <v/>
      </c>
      <c r="AN1528" t="str">
        <f>IFERROR(V1528-O1528,"")</f>
        <v/>
      </c>
      <c r="AO1528">
        <f>IFERROR(J1528-I1528,"")</f>
        <v>4</v>
      </c>
      <c r="AP1528">
        <f>IFERROR(AC1528-X1528,"")</f>
        <v>0</v>
      </c>
      <c r="AQ1528" t="str">
        <f>IFERROR(AA1528-W1528,"")</f>
        <v/>
      </c>
    </row>
    <row r="1529" spans="1:43" x14ac:dyDescent="0.35">
      <c r="A1529">
        <v>1542</v>
      </c>
      <c r="B1529" t="s">
        <v>4774</v>
      </c>
      <c r="C1529" t="s">
        <v>4480</v>
      </c>
      <c r="D1529" t="str">
        <f t="shared" si="605"/>
        <v>Finance</v>
      </c>
      <c r="E1529" t="s">
        <v>4614</v>
      </c>
      <c r="F1529" t="s">
        <v>3935</v>
      </c>
      <c r="G1529" t="s">
        <v>4615</v>
      </c>
      <c r="H1529" t="s">
        <v>334</v>
      </c>
      <c r="I1529" s="32">
        <v>45069.849814814806</v>
      </c>
      <c r="J1529" s="32">
        <v>45073.849814814806</v>
      </c>
      <c r="K1529" s="32">
        <v>45079.849814814806</v>
      </c>
      <c r="L1529" s="8">
        <f t="shared" si="606"/>
        <v>10</v>
      </c>
      <c r="M1529" s="7">
        <v>45107.849814814806</v>
      </c>
      <c r="N1529" t="s">
        <v>49</v>
      </c>
      <c r="O1529" s="34">
        <v>45094.849814814806</v>
      </c>
      <c r="P1529" t="s">
        <v>50</v>
      </c>
      <c r="Q1529" t="s">
        <v>51</v>
      </c>
      <c r="R1529" s="32" t="s">
        <v>7472</v>
      </c>
      <c r="S1529" t="s">
        <v>7476</v>
      </c>
      <c r="T1529" s="34" t="s">
        <v>7476</v>
      </c>
      <c r="U1529" s="34" t="s">
        <v>7476</v>
      </c>
      <c r="V1529" s="32">
        <v>45097.849814814806</v>
      </c>
      <c r="W1529" s="32" t="s">
        <v>7476</v>
      </c>
      <c r="X1529">
        <v>0</v>
      </c>
      <c r="Y1529" s="34" t="s">
        <v>7476</v>
      </c>
      <c r="Z1529" s="34" t="s">
        <v>7476</v>
      </c>
      <c r="AA1529" s="34" t="s">
        <v>7476</v>
      </c>
      <c r="AB1529" s="36" t="s">
        <v>95</v>
      </c>
      <c r="AD1529" t="s">
        <v>4775</v>
      </c>
      <c r="AE1529" t="s">
        <v>4776</v>
      </c>
      <c r="AF1529" s="16">
        <v>45175</v>
      </c>
      <c r="AG1529" t="s">
        <v>68</v>
      </c>
      <c r="AH1529">
        <v>3</v>
      </c>
      <c r="AI1529" s="8" t="str">
        <f>IFERROR(R1529-AF1529,"")</f>
        <v/>
      </c>
      <c r="AJ1529" s="8">
        <f>IFERROR(O1529-AF1529,"")</f>
        <v>-80.15018518519355</v>
      </c>
      <c r="AK1529" s="38">
        <f t="shared" si="607"/>
        <v>45187.849814814806</v>
      </c>
      <c r="AL1529" t="str">
        <f>IFERROR(Z1529-W1529,"")</f>
        <v/>
      </c>
      <c r="AM1529" t="str">
        <f>IFERROR(R1529-J1529,"")</f>
        <v/>
      </c>
      <c r="AN1529">
        <f>IFERROR(V1529-O1529,"")</f>
        <v>3</v>
      </c>
      <c r="AO1529">
        <f>IFERROR(J1529-I1529,"")</f>
        <v>4</v>
      </c>
      <c r="AP1529">
        <f>IFERROR(AC1529-X1529,"")</f>
        <v>0</v>
      </c>
      <c r="AQ1529" t="str">
        <f>IFERROR(AA1529-W1529,"")</f>
        <v/>
      </c>
    </row>
    <row r="1530" spans="1:43" x14ac:dyDescent="0.35">
      <c r="A1530">
        <v>1526</v>
      </c>
      <c r="B1530" t="s">
        <v>4777</v>
      </c>
      <c r="C1530" t="s">
        <v>4471</v>
      </c>
      <c r="D1530" t="str">
        <f t="shared" si="605"/>
        <v>Finance</v>
      </c>
      <c r="E1530" t="s">
        <v>4614</v>
      </c>
      <c r="F1530" t="s">
        <v>3935</v>
      </c>
      <c r="G1530" t="s">
        <v>4615</v>
      </c>
      <c r="H1530" t="s">
        <v>334</v>
      </c>
      <c r="I1530" s="32">
        <v>44928.025208333333</v>
      </c>
      <c r="J1530" s="32">
        <v>44931.025208333333</v>
      </c>
      <c r="K1530" s="32" t="s">
        <v>7473</v>
      </c>
      <c r="L1530" s="8" t="str">
        <f t="shared" si="606"/>
        <v/>
      </c>
      <c r="M1530" s="7">
        <v>44940.025208333333</v>
      </c>
      <c r="N1530" t="s">
        <v>49</v>
      </c>
      <c r="O1530" s="34">
        <v>44940.025208333333</v>
      </c>
      <c r="P1530" t="s">
        <v>60</v>
      </c>
      <c r="R1530" s="32">
        <v>44945.025208333333</v>
      </c>
      <c r="S1530" t="s">
        <v>61</v>
      </c>
      <c r="T1530" s="34" t="s">
        <v>7476</v>
      </c>
      <c r="U1530" s="34" t="s">
        <v>7476</v>
      </c>
      <c r="V1530" s="32">
        <v>44941.025208333333</v>
      </c>
      <c r="W1530" s="32" t="s">
        <v>7476</v>
      </c>
      <c r="X1530">
        <v>0</v>
      </c>
      <c r="Y1530" s="34" t="s">
        <v>7476</v>
      </c>
      <c r="Z1530" s="34" t="s">
        <v>7476</v>
      </c>
      <c r="AA1530" s="34" t="s">
        <v>7476</v>
      </c>
      <c r="AB1530" s="36" t="s">
        <v>7476</v>
      </c>
      <c r="AD1530" t="s">
        <v>4778</v>
      </c>
      <c r="AE1530" t="s">
        <v>4779</v>
      </c>
      <c r="AF1530" s="16">
        <v>44924</v>
      </c>
      <c r="AG1530" t="s">
        <v>93</v>
      </c>
      <c r="AH1530">
        <v>6</v>
      </c>
      <c r="AK1530" s="38">
        <f t="shared" si="607"/>
        <v>45121.025208333333</v>
      </c>
    </row>
    <row r="1531" spans="1:43" x14ac:dyDescent="0.35">
      <c r="A1531">
        <v>1521</v>
      </c>
      <c r="B1531" t="s">
        <v>4780</v>
      </c>
      <c r="C1531" t="s">
        <v>4471</v>
      </c>
      <c r="D1531" t="str">
        <f t="shared" si="605"/>
        <v>Finance</v>
      </c>
      <c r="E1531" t="s">
        <v>4614</v>
      </c>
      <c r="F1531" t="s">
        <v>3935</v>
      </c>
      <c r="G1531" t="s">
        <v>4615</v>
      </c>
      <c r="H1531" t="s">
        <v>334</v>
      </c>
      <c r="I1531" s="32">
        <v>44925.025208333333</v>
      </c>
      <c r="J1531" s="32">
        <v>44927.025208333333</v>
      </c>
      <c r="K1531" s="32">
        <v>44933.025208333333</v>
      </c>
      <c r="L1531" s="8">
        <f t="shared" si="606"/>
        <v>8</v>
      </c>
      <c r="M1531" s="7">
        <v>44948.025208333333</v>
      </c>
      <c r="N1531" t="s">
        <v>49</v>
      </c>
      <c r="O1531" s="34">
        <v>44936.025208333333</v>
      </c>
      <c r="P1531" t="s">
        <v>50</v>
      </c>
      <c r="Q1531" t="s">
        <v>198</v>
      </c>
      <c r="R1531" s="32" t="s">
        <v>7472</v>
      </c>
      <c r="S1531" t="s">
        <v>7476</v>
      </c>
      <c r="T1531" s="34" t="s">
        <v>7476</v>
      </c>
      <c r="U1531" s="34" t="s">
        <v>7476</v>
      </c>
      <c r="V1531" s="32" t="s">
        <v>7476</v>
      </c>
      <c r="W1531" s="32" t="s">
        <v>7476</v>
      </c>
      <c r="X1531">
        <v>0</v>
      </c>
      <c r="Y1531" s="34" t="s">
        <v>7476</v>
      </c>
      <c r="Z1531" s="34" t="s">
        <v>7476</v>
      </c>
      <c r="AA1531" s="34" t="s">
        <v>7476</v>
      </c>
      <c r="AB1531" s="36" t="s">
        <v>52</v>
      </c>
      <c r="AD1531" t="s">
        <v>4781</v>
      </c>
      <c r="AE1531" t="s">
        <v>4782</v>
      </c>
      <c r="AF1531" s="16">
        <v>44926</v>
      </c>
      <c r="AG1531" t="s">
        <v>98</v>
      </c>
      <c r="AH1531">
        <v>6</v>
      </c>
      <c r="AI1531" s="8" t="str">
        <f>IFERROR(R1531-AF1531,"")</f>
        <v/>
      </c>
      <c r="AJ1531" s="8">
        <f>IFERROR(O1531-AF1531,"")</f>
        <v>10.025208333332557</v>
      </c>
      <c r="AK1531" s="38" t="str">
        <f t="shared" si="607"/>
        <v/>
      </c>
      <c r="AL1531" t="str">
        <f>IFERROR(Z1531-W1531,"")</f>
        <v/>
      </c>
      <c r="AM1531" t="str">
        <f>IFERROR(R1531-J1531,"")</f>
        <v/>
      </c>
      <c r="AN1531" t="str">
        <f>IFERROR(V1531-O1531,"")</f>
        <v/>
      </c>
      <c r="AO1531">
        <f>IFERROR(J1531-I1531,"")</f>
        <v>2</v>
      </c>
      <c r="AP1531">
        <f>IFERROR(AC1531-X1531,"")</f>
        <v>0</v>
      </c>
      <c r="AQ1531" t="str">
        <f>IFERROR(AA1531-W1531,"")</f>
        <v/>
      </c>
    </row>
    <row r="1532" spans="1:43" x14ac:dyDescent="0.35">
      <c r="A1532">
        <v>1517</v>
      </c>
      <c r="B1532" t="s">
        <v>4783</v>
      </c>
      <c r="C1532" t="s">
        <v>4480</v>
      </c>
      <c r="D1532" t="str">
        <f t="shared" si="605"/>
        <v>Finance</v>
      </c>
      <c r="E1532" t="s">
        <v>4614</v>
      </c>
      <c r="F1532" t="s">
        <v>3935</v>
      </c>
      <c r="G1532" t="s">
        <v>4615</v>
      </c>
      <c r="H1532" t="s">
        <v>334</v>
      </c>
      <c r="I1532" s="32">
        <v>44922.208773148152</v>
      </c>
      <c r="J1532" s="32">
        <v>44925.208773148152</v>
      </c>
      <c r="K1532" s="32">
        <v>44927.208773148152</v>
      </c>
      <c r="L1532" s="8">
        <f t="shared" si="606"/>
        <v>5</v>
      </c>
      <c r="M1532" s="7">
        <v>44955.208773148152</v>
      </c>
      <c r="N1532" t="s">
        <v>49</v>
      </c>
      <c r="O1532" s="34">
        <v>44932.208773148152</v>
      </c>
      <c r="P1532" t="s">
        <v>101</v>
      </c>
      <c r="R1532" s="32">
        <v>44938.208773148152</v>
      </c>
      <c r="S1532" t="s">
        <v>101</v>
      </c>
      <c r="T1532" s="34">
        <v>44933.208773148152</v>
      </c>
      <c r="U1532" s="34">
        <v>44936.208773148152</v>
      </c>
      <c r="V1532" s="32">
        <v>44934.208773148152</v>
      </c>
      <c r="W1532" s="32">
        <v>44935.208773148152</v>
      </c>
      <c r="X1532">
        <v>1</v>
      </c>
      <c r="Y1532" s="34">
        <v>44938.208773148152</v>
      </c>
      <c r="Z1532" s="34">
        <v>44941.208773148152</v>
      </c>
      <c r="AA1532" s="34">
        <v>44942.208773148152</v>
      </c>
      <c r="AB1532" s="36" t="s">
        <v>7476</v>
      </c>
      <c r="AC1532" s="10">
        <v>44957.208773148152</v>
      </c>
      <c r="AD1532" t="s">
        <v>4784</v>
      </c>
      <c r="AE1532" t="s">
        <v>4785</v>
      </c>
      <c r="AF1532" s="16">
        <v>44913</v>
      </c>
      <c r="AG1532" t="s">
        <v>64</v>
      </c>
      <c r="AH1532">
        <v>3</v>
      </c>
      <c r="AI1532" s="8">
        <f>IFERROR(R1532-AF1532,"")</f>
        <v>25.208773148151522</v>
      </c>
      <c r="AJ1532" s="8">
        <f>IFERROR(O1532-AF1532,"")</f>
        <v>19.208773148151522</v>
      </c>
      <c r="AK1532" s="38">
        <f t="shared" si="607"/>
        <v>45024.208773148152</v>
      </c>
      <c r="AL1532">
        <f>IFERROR(Z1532-W1532,"")</f>
        <v>6</v>
      </c>
      <c r="AM1532">
        <f>IFERROR(R1532-J1532,"")</f>
        <v>13</v>
      </c>
      <c r="AN1532">
        <f>IFERROR(V1532-O1532,"")</f>
        <v>2</v>
      </c>
      <c r="AO1532">
        <f>IFERROR(J1532-I1532,"")</f>
        <v>3</v>
      </c>
      <c r="AP1532">
        <f>IFERROR(AC1532-X1532,"")</f>
        <v>44956.208773148152</v>
      </c>
      <c r="AQ1532">
        <f>IFERROR(AA1532-W1532,"")</f>
        <v>7</v>
      </c>
    </row>
    <row r="1533" spans="1:43" x14ac:dyDescent="0.35">
      <c r="A1533">
        <v>1400</v>
      </c>
      <c r="B1533" t="s">
        <v>4786</v>
      </c>
      <c r="C1533" t="s">
        <v>4502</v>
      </c>
      <c r="D1533" t="str">
        <f t="shared" si="605"/>
        <v>Finance</v>
      </c>
      <c r="E1533" t="s">
        <v>4614</v>
      </c>
      <c r="F1533" t="s">
        <v>3935</v>
      </c>
      <c r="G1533" t="s">
        <v>4615</v>
      </c>
      <c r="H1533" t="s">
        <v>334</v>
      </c>
      <c r="I1533" s="32">
        <v>44787.359849537039</v>
      </c>
      <c r="J1533" s="32">
        <v>44790.359849537039</v>
      </c>
      <c r="K1533" s="32" t="s">
        <v>7473</v>
      </c>
      <c r="L1533" s="8" t="str">
        <f t="shared" si="606"/>
        <v/>
      </c>
      <c r="M1533" s="7">
        <v>44819.359849537039</v>
      </c>
      <c r="N1533" t="s">
        <v>49</v>
      </c>
      <c r="O1533" s="34">
        <v>44806.359849537039</v>
      </c>
      <c r="P1533" t="s">
        <v>60</v>
      </c>
      <c r="R1533" s="32">
        <v>44813.359849537039</v>
      </c>
      <c r="S1533" t="s">
        <v>61</v>
      </c>
      <c r="T1533" s="34" t="s">
        <v>7476</v>
      </c>
      <c r="U1533" s="34" t="s">
        <v>7476</v>
      </c>
      <c r="V1533" s="32">
        <v>44809.359849537039</v>
      </c>
      <c r="W1533" s="32" t="s">
        <v>7476</v>
      </c>
      <c r="X1533">
        <v>0</v>
      </c>
      <c r="Y1533" s="34" t="s">
        <v>7476</v>
      </c>
      <c r="Z1533" s="34" t="s">
        <v>7476</v>
      </c>
      <c r="AA1533" s="34" t="s">
        <v>7476</v>
      </c>
      <c r="AB1533" s="36" t="s">
        <v>7476</v>
      </c>
      <c r="AD1533" t="s">
        <v>4787</v>
      </c>
      <c r="AE1533" t="s">
        <v>4788</v>
      </c>
      <c r="AF1533" s="16">
        <v>44792</v>
      </c>
      <c r="AG1533" t="s">
        <v>75</v>
      </c>
      <c r="AH1533">
        <v>6</v>
      </c>
      <c r="AK1533" s="38">
        <f t="shared" si="607"/>
        <v>44989.359849537039</v>
      </c>
    </row>
    <row r="1534" spans="1:43" x14ac:dyDescent="0.35">
      <c r="A1534">
        <v>1396</v>
      </c>
      <c r="B1534" t="s">
        <v>4789</v>
      </c>
      <c r="C1534" t="s">
        <v>4502</v>
      </c>
      <c r="D1534" t="str">
        <f t="shared" si="605"/>
        <v>Finance</v>
      </c>
      <c r="E1534" t="s">
        <v>4614</v>
      </c>
      <c r="F1534" t="s">
        <v>3935</v>
      </c>
      <c r="G1534" t="s">
        <v>4615</v>
      </c>
      <c r="H1534" t="s">
        <v>334</v>
      </c>
      <c r="I1534" s="32" t="s">
        <v>7471</v>
      </c>
      <c r="J1534" s="32">
        <v>44790.359849537039</v>
      </c>
      <c r="K1534" s="32">
        <v>44796.359849537039</v>
      </c>
      <c r="L1534" s="8" t="str">
        <f t="shared" si="606"/>
        <v/>
      </c>
      <c r="M1534" s="7">
        <v>44818.359849537039</v>
      </c>
      <c r="N1534" t="s">
        <v>72</v>
      </c>
      <c r="O1534" s="34" t="s">
        <v>7474</v>
      </c>
      <c r="R1534" s="32" t="s">
        <v>7472</v>
      </c>
      <c r="S1534" t="s">
        <v>7476</v>
      </c>
      <c r="T1534" s="34" t="s">
        <v>7476</v>
      </c>
      <c r="U1534" s="34" t="s">
        <v>7476</v>
      </c>
      <c r="V1534" s="32" t="s">
        <v>7476</v>
      </c>
      <c r="W1534" s="32" t="s">
        <v>7476</v>
      </c>
      <c r="X1534">
        <v>0</v>
      </c>
      <c r="Y1534" s="34" t="s">
        <v>7476</v>
      </c>
      <c r="Z1534" s="34" t="s">
        <v>7476</v>
      </c>
      <c r="AA1534" s="34" t="s">
        <v>7476</v>
      </c>
      <c r="AB1534" s="36" t="s">
        <v>7476</v>
      </c>
      <c r="AD1534" t="s">
        <v>4790</v>
      </c>
      <c r="AE1534" t="s">
        <v>4791</v>
      </c>
      <c r="AG1534" t="s">
        <v>64</v>
      </c>
      <c r="AH1534">
        <v>6</v>
      </c>
      <c r="AK1534" s="38" t="str">
        <f t="shared" si="607"/>
        <v/>
      </c>
    </row>
    <row r="1535" spans="1:43" x14ac:dyDescent="0.35">
      <c r="A1535">
        <v>1340</v>
      </c>
      <c r="B1535" t="s">
        <v>4792</v>
      </c>
      <c r="C1535" t="s">
        <v>4471</v>
      </c>
      <c r="D1535" t="str">
        <f t="shared" si="605"/>
        <v>Finance</v>
      </c>
      <c r="E1535" t="s">
        <v>4614</v>
      </c>
      <c r="F1535" t="s">
        <v>3935</v>
      </c>
      <c r="G1535" t="s">
        <v>4615</v>
      </c>
      <c r="H1535" t="s">
        <v>334</v>
      </c>
      <c r="I1535" s="32">
        <v>45165.691018518519</v>
      </c>
      <c r="J1535" s="32">
        <v>45169.691018518519</v>
      </c>
      <c r="K1535" s="32">
        <v>45174.691018518519</v>
      </c>
      <c r="L1535" s="8">
        <f t="shared" si="606"/>
        <v>9</v>
      </c>
      <c r="M1535" s="7">
        <v>45183.691018518519</v>
      </c>
      <c r="N1535" t="s">
        <v>72</v>
      </c>
      <c r="O1535" s="34" t="s">
        <v>7474</v>
      </c>
      <c r="R1535" s="32" t="s">
        <v>7472</v>
      </c>
      <c r="S1535" t="s">
        <v>7476</v>
      </c>
      <c r="T1535" s="34" t="s">
        <v>7476</v>
      </c>
      <c r="U1535" s="34" t="s">
        <v>7476</v>
      </c>
      <c r="V1535" s="32" t="s">
        <v>7476</v>
      </c>
      <c r="W1535" s="32" t="s">
        <v>7476</v>
      </c>
      <c r="X1535">
        <v>0</v>
      </c>
      <c r="Y1535" s="34" t="s">
        <v>7476</v>
      </c>
      <c r="Z1535" s="34" t="s">
        <v>7476</v>
      </c>
      <c r="AA1535" s="34" t="s">
        <v>7476</v>
      </c>
      <c r="AB1535" s="36" t="s">
        <v>7476</v>
      </c>
      <c r="AD1535" t="s">
        <v>4793</v>
      </c>
      <c r="AE1535" t="s">
        <v>4794</v>
      </c>
      <c r="AG1535" t="s">
        <v>64</v>
      </c>
      <c r="AH1535">
        <v>6</v>
      </c>
      <c r="AI1535" s="8" t="str">
        <f>IFERROR(R1535-AF1535,"")</f>
        <v/>
      </c>
      <c r="AJ1535" s="8" t="str">
        <f>IFERROR(O1535-AF1535,"")</f>
        <v/>
      </c>
      <c r="AK1535" s="38" t="str">
        <f t="shared" si="607"/>
        <v/>
      </c>
      <c r="AL1535" t="str">
        <f>IFERROR(Z1535-W1535,"")</f>
        <v/>
      </c>
      <c r="AM1535" t="str">
        <f>IFERROR(R1535-J1535,"")</f>
        <v/>
      </c>
      <c r="AN1535" t="str">
        <f>IFERROR(V1535-O1535,"")</f>
        <v/>
      </c>
      <c r="AO1535">
        <f>IFERROR(J1535-I1535,"")</f>
        <v>4</v>
      </c>
      <c r="AP1535">
        <f>IFERROR(AC1535-X1535,"")</f>
        <v>0</v>
      </c>
      <c r="AQ1535" t="str">
        <f>IFERROR(AA1535-W1535,"")</f>
        <v/>
      </c>
    </row>
    <row r="1536" spans="1:43" x14ac:dyDescent="0.35">
      <c r="A1536">
        <v>1337</v>
      </c>
      <c r="B1536" t="s">
        <v>4795</v>
      </c>
      <c r="C1536" t="s">
        <v>4480</v>
      </c>
      <c r="D1536" t="str">
        <f t="shared" si="605"/>
        <v>Finance</v>
      </c>
      <c r="E1536" t="s">
        <v>4614</v>
      </c>
      <c r="F1536" t="s">
        <v>3935</v>
      </c>
      <c r="G1536" t="s">
        <v>4615</v>
      </c>
      <c r="H1536" t="s">
        <v>334</v>
      </c>
      <c r="I1536" s="32">
        <v>45167.691018518519</v>
      </c>
      <c r="J1536" s="32">
        <v>45169.691018518519</v>
      </c>
      <c r="K1536" s="32">
        <v>45174.691018518519</v>
      </c>
      <c r="L1536" s="8">
        <f t="shared" si="606"/>
        <v>7</v>
      </c>
      <c r="M1536" s="7">
        <v>45191.691018518519</v>
      </c>
      <c r="N1536" t="s">
        <v>49</v>
      </c>
      <c r="O1536" s="34">
        <v>45190.691018518519</v>
      </c>
      <c r="P1536" t="s">
        <v>50</v>
      </c>
      <c r="Q1536" t="s">
        <v>84</v>
      </c>
      <c r="R1536" s="32" t="s">
        <v>7472</v>
      </c>
      <c r="S1536" t="s">
        <v>7476</v>
      </c>
      <c r="T1536" s="34" t="s">
        <v>7476</v>
      </c>
      <c r="U1536" s="34" t="s">
        <v>7476</v>
      </c>
      <c r="V1536" s="32" t="s">
        <v>7476</v>
      </c>
      <c r="W1536" s="32" t="s">
        <v>7476</v>
      </c>
      <c r="X1536">
        <v>0</v>
      </c>
      <c r="Y1536" s="34" t="s">
        <v>7476</v>
      </c>
      <c r="Z1536" s="34" t="s">
        <v>7476</v>
      </c>
      <c r="AA1536" s="34" t="s">
        <v>7476</v>
      </c>
      <c r="AB1536" s="36" t="s">
        <v>95</v>
      </c>
      <c r="AD1536" t="s">
        <v>4796</v>
      </c>
      <c r="AE1536" t="s">
        <v>4797</v>
      </c>
      <c r="AF1536" s="16">
        <v>45185</v>
      </c>
      <c r="AG1536" t="s">
        <v>64</v>
      </c>
      <c r="AH1536">
        <v>6</v>
      </c>
      <c r="AI1536" s="8" t="str">
        <f>IFERROR(R1536-AF1536,"")</f>
        <v/>
      </c>
      <c r="AJ1536" s="8">
        <f>IFERROR(O1536-AF1536,"")</f>
        <v>5.6910185185188311</v>
      </c>
      <c r="AK1536" s="38" t="str">
        <f t="shared" si="607"/>
        <v/>
      </c>
      <c r="AL1536" t="str">
        <f>IFERROR(Z1536-W1536,"")</f>
        <v/>
      </c>
      <c r="AM1536" t="str">
        <f>IFERROR(R1536-J1536,"")</f>
        <v/>
      </c>
      <c r="AN1536" t="str">
        <f>IFERROR(V1536-O1536,"")</f>
        <v/>
      </c>
      <c r="AO1536">
        <f>IFERROR(J1536-I1536,"")</f>
        <v>2</v>
      </c>
      <c r="AP1536">
        <f>IFERROR(AC1536-X1536,"")</f>
        <v>0</v>
      </c>
      <c r="AQ1536" t="str">
        <f>IFERROR(AA1536-W1536,"")</f>
        <v/>
      </c>
    </row>
    <row r="1537" spans="1:43" x14ac:dyDescent="0.35">
      <c r="A1537">
        <v>1309</v>
      </c>
      <c r="B1537" t="s">
        <v>4798</v>
      </c>
      <c r="C1537" t="s">
        <v>4480</v>
      </c>
      <c r="D1537" t="str">
        <f t="shared" si="605"/>
        <v>Finance</v>
      </c>
      <c r="E1537" t="s">
        <v>4614</v>
      </c>
      <c r="F1537" t="s">
        <v>3935</v>
      </c>
      <c r="G1537" t="s">
        <v>4615</v>
      </c>
      <c r="H1537" t="s">
        <v>334</v>
      </c>
      <c r="I1537" s="32">
        <v>44915.189664351848</v>
      </c>
      <c r="J1537" s="32">
        <v>44918.189664351848</v>
      </c>
      <c r="K1537" s="32">
        <v>44922.189664351848</v>
      </c>
      <c r="L1537" s="8">
        <f t="shared" si="606"/>
        <v>7</v>
      </c>
      <c r="M1537" s="7">
        <v>44935.189664351848</v>
      </c>
      <c r="N1537" t="s">
        <v>49</v>
      </c>
      <c r="O1537" s="34">
        <v>44934.189664351848</v>
      </c>
      <c r="P1537" t="s">
        <v>392</v>
      </c>
      <c r="R1537" s="32">
        <v>44938.189664351848</v>
      </c>
      <c r="S1537" t="s">
        <v>392</v>
      </c>
      <c r="T1537" s="34" t="s">
        <v>7476</v>
      </c>
      <c r="U1537" s="34" t="s">
        <v>7476</v>
      </c>
      <c r="V1537" s="32">
        <v>44936.189664351848</v>
      </c>
      <c r="W1537" s="32" t="s">
        <v>7476</v>
      </c>
      <c r="X1537">
        <v>0</v>
      </c>
      <c r="Y1537" s="34" t="s">
        <v>7476</v>
      </c>
      <c r="Z1537" s="34" t="s">
        <v>7476</v>
      </c>
      <c r="AA1537" s="34" t="s">
        <v>7476</v>
      </c>
      <c r="AB1537" s="36" t="s">
        <v>7476</v>
      </c>
      <c r="AD1537" t="s">
        <v>4799</v>
      </c>
      <c r="AE1537" t="s">
        <v>4800</v>
      </c>
      <c r="AF1537" s="16">
        <v>44986</v>
      </c>
      <c r="AG1537" t="s">
        <v>68</v>
      </c>
      <c r="AH1537">
        <v>6</v>
      </c>
      <c r="AI1537" s="8">
        <f>IFERROR(R1537-AF1537,"")</f>
        <v>-47.810335648151522</v>
      </c>
      <c r="AJ1537" s="8">
        <f>IFERROR(O1537-AF1537,"")</f>
        <v>-51.810335648151522</v>
      </c>
      <c r="AK1537" s="38">
        <f t="shared" si="607"/>
        <v>45116.189664351848</v>
      </c>
      <c r="AL1537" t="str">
        <f>IFERROR(Z1537-W1537,"")</f>
        <v/>
      </c>
      <c r="AM1537">
        <f>IFERROR(R1537-J1537,"")</f>
        <v>20</v>
      </c>
      <c r="AN1537">
        <f>IFERROR(V1537-O1537,"")</f>
        <v>2</v>
      </c>
      <c r="AO1537">
        <f>IFERROR(J1537-I1537,"")</f>
        <v>3</v>
      </c>
      <c r="AP1537">
        <f>IFERROR(AC1537-X1537,"")</f>
        <v>0</v>
      </c>
      <c r="AQ1537" t="str">
        <f>IFERROR(AA1537-W1537,"")</f>
        <v/>
      </c>
    </row>
    <row r="1538" spans="1:43" x14ac:dyDescent="0.35">
      <c r="A1538">
        <v>1270</v>
      </c>
      <c r="B1538" t="s">
        <v>4801</v>
      </c>
      <c r="C1538" t="s">
        <v>4502</v>
      </c>
      <c r="D1538" t="str">
        <f t="shared" ref="D1538:D1601" si="632">TRIM(C1538)</f>
        <v>Finance</v>
      </c>
      <c r="E1538" t="s">
        <v>4614</v>
      </c>
      <c r="F1538" t="s">
        <v>3935</v>
      </c>
      <c r="G1538" t="s">
        <v>4615</v>
      </c>
      <c r="H1538" t="s">
        <v>334</v>
      </c>
      <c r="I1538" s="32">
        <v>44999.913287037038</v>
      </c>
      <c r="J1538" s="32">
        <v>45000.913287037038</v>
      </c>
      <c r="K1538" s="32">
        <v>45005.913287037038</v>
      </c>
      <c r="L1538" s="8">
        <f t="shared" ref="L1538:L1601" si="633">IFERROR(K1538-I1538,"")</f>
        <v>6</v>
      </c>
      <c r="M1538" s="7">
        <v>45016.913287037038</v>
      </c>
      <c r="N1538" t="s">
        <v>49</v>
      </c>
      <c r="O1538" s="34">
        <v>45012.913287037038</v>
      </c>
      <c r="P1538" t="s">
        <v>101</v>
      </c>
      <c r="R1538" s="32">
        <v>45018.913287037038</v>
      </c>
      <c r="S1538" t="s">
        <v>101</v>
      </c>
      <c r="T1538" s="34">
        <v>45014.913287037038</v>
      </c>
      <c r="U1538" s="34">
        <v>45017.913287037038</v>
      </c>
      <c r="V1538" s="32">
        <v>45016.913287037038</v>
      </c>
      <c r="W1538" s="32">
        <v>45022.913287037038</v>
      </c>
      <c r="X1538">
        <v>1</v>
      </c>
      <c r="Y1538" s="34">
        <v>45024.913287037038</v>
      </c>
      <c r="Z1538" s="34">
        <v>45027.913287037038</v>
      </c>
      <c r="AA1538" s="34">
        <v>45029.913287037038</v>
      </c>
      <c r="AB1538" s="36" t="s">
        <v>7476</v>
      </c>
      <c r="AC1538" s="10">
        <v>45038.913287037038</v>
      </c>
      <c r="AD1538" t="s">
        <v>4802</v>
      </c>
      <c r="AE1538" t="s">
        <v>4803</v>
      </c>
      <c r="AF1538" s="16">
        <v>45004</v>
      </c>
      <c r="AG1538" t="s">
        <v>64</v>
      </c>
      <c r="AH1538">
        <v>6</v>
      </c>
      <c r="AI1538" s="8">
        <f>IFERROR(R1538-AF1538,"")</f>
        <v>14.913287037037662</v>
      </c>
      <c r="AJ1538" s="8">
        <f>IFERROR(O1538-AF1538,"")</f>
        <v>8.9132870370376622</v>
      </c>
      <c r="AK1538" s="38">
        <f t="shared" si="607"/>
        <v>45196.913287037038</v>
      </c>
      <c r="AL1538">
        <f>IFERROR(Z1538-W1538,"")</f>
        <v>5</v>
      </c>
      <c r="AM1538">
        <f>IFERROR(R1538-J1538,"")</f>
        <v>18</v>
      </c>
      <c r="AN1538">
        <f>IFERROR(V1538-O1538,"")</f>
        <v>4</v>
      </c>
      <c r="AO1538">
        <f>IFERROR(J1538-I1538,"")</f>
        <v>1</v>
      </c>
      <c r="AP1538">
        <f>IFERROR(AC1538-X1538,"")</f>
        <v>45037.913287037038</v>
      </c>
      <c r="AQ1538">
        <f>IFERROR(AA1538-W1538,"")</f>
        <v>7</v>
      </c>
    </row>
    <row r="1539" spans="1:43" x14ac:dyDescent="0.35">
      <c r="A1539">
        <v>1269</v>
      </c>
      <c r="B1539" t="s">
        <v>4804</v>
      </c>
      <c r="C1539" t="s">
        <v>4471</v>
      </c>
      <c r="D1539" t="str">
        <f t="shared" si="632"/>
        <v>Finance</v>
      </c>
      <c r="E1539" t="s">
        <v>4614</v>
      </c>
      <c r="F1539" t="s">
        <v>3935</v>
      </c>
      <c r="G1539" t="s">
        <v>4615</v>
      </c>
      <c r="H1539" t="s">
        <v>334</v>
      </c>
      <c r="I1539" s="32">
        <v>44997.913287037038</v>
      </c>
      <c r="J1539" s="32">
        <v>45001.913287037038</v>
      </c>
      <c r="K1539" s="32">
        <v>45005.913287037038</v>
      </c>
      <c r="L1539" s="8">
        <f t="shared" si="633"/>
        <v>8</v>
      </c>
      <c r="M1539" s="7">
        <v>45016.913287037038</v>
      </c>
      <c r="N1539" t="s">
        <v>49</v>
      </c>
      <c r="O1539" s="34">
        <v>45020.913287037038</v>
      </c>
      <c r="P1539" t="s">
        <v>392</v>
      </c>
      <c r="R1539" s="32">
        <v>45024.913287037038</v>
      </c>
      <c r="S1539" t="s">
        <v>392</v>
      </c>
      <c r="T1539" s="34" t="s">
        <v>7476</v>
      </c>
      <c r="U1539" s="34" t="s">
        <v>7476</v>
      </c>
      <c r="V1539" s="32">
        <v>45021.913287037038</v>
      </c>
      <c r="W1539" s="32" t="s">
        <v>7476</v>
      </c>
      <c r="X1539">
        <v>0</v>
      </c>
      <c r="Y1539" s="34" t="s">
        <v>7476</v>
      </c>
      <c r="Z1539" s="34" t="s">
        <v>7476</v>
      </c>
      <c r="AA1539" s="34" t="s">
        <v>7476</v>
      </c>
      <c r="AB1539" s="36" t="s">
        <v>7476</v>
      </c>
      <c r="AD1539" t="s">
        <v>4805</v>
      </c>
      <c r="AE1539" t="s">
        <v>4806</v>
      </c>
      <c r="AF1539" s="16">
        <v>45007</v>
      </c>
      <c r="AG1539" t="s">
        <v>64</v>
      </c>
      <c r="AH1539">
        <v>3</v>
      </c>
      <c r="AI1539" s="8">
        <f>IFERROR(R1539-AF1539,"")</f>
        <v>17.913287037037662</v>
      </c>
      <c r="AJ1539" s="8">
        <f>IFERROR(O1539-AF1539,"")</f>
        <v>13.913287037037662</v>
      </c>
      <c r="AK1539" s="38">
        <f t="shared" ref="AK1539:AK1602" si="634">IFERROR(V1539+(AH1539*30),"")</f>
        <v>45111.913287037038</v>
      </c>
      <c r="AL1539" t="str">
        <f>IFERROR(Z1539-W1539,"")</f>
        <v/>
      </c>
      <c r="AM1539">
        <f>IFERROR(R1539-J1539,"")</f>
        <v>23</v>
      </c>
      <c r="AN1539">
        <f>IFERROR(V1539-O1539,"")</f>
        <v>1</v>
      </c>
      <c r="AO1539">
        <f>IFERROR(J1539-I1539,"")</f>
        <v>4</v>
      </c>
      <c r="AP1539">
        <f>IFERROR(AC1539-X1539,"")</f>
        <v>0</v>
      </c>
      <c r="AQ1539" t="str">
        <f>IFERROR(AA1539-W1539,"")</f>
        <v/>
      </c>
    </row>
    <row r="1540" spans="1:43" x14ac:dyDescent="0.35">
      <c r="A1540">
        <v>1268</v>
      </c>
      <c r="B1540" t="s">
        <v>4807</v>
      </c>
      <c r="C1540" t="s">
        <v>4480</v>
      </c>
      <c r="D1540" t="str">
        <f t="shared" si="632"/>
        <v>Finance</v>
      </c>
      <c r="E1540" t="s">
        <v>4614</v>
      </c>
      <c r="F1540" t="s">
        <v>3935</v>
      </c>
      <c r="G1540" t="s">
        <v>4615</v>
      </c>
      <c r="H1540" t="s">
        <v>334</v>
      </c>
      <c r="I1540" s="32">
        <v>44999.913287037038</v>
      </c>
      <c r="J1540" s="32" t="s">
        <v>7471</v>
      </c>
      <c r="K1540" s="32">
        <v>45005.913287037038</v>
      </c>
      <c r="L1540" s="8">
        <f t="shared" si="633"/>
        <v>6</v>
      </c>
      <c r="M1540" s="7">
        <v>45033.913287037038</v>
      </c>
      <c r="N1540" t="s">
        <v>49</v>
      </c>
      <c r="O1540" s="34">
        <v>45019.913287037038</v>
      </c>
      <c r="P1540" t="s">
        <v>60</v>
      </c>
      <c r="R1540" s="32">
        <v>45024.913287037038</v>
      </c>
      <c r="S1540" t="s">
        <v>61</v>
      </c>
      <c r="T1540" s="34" t="s">
        <v>7476</v>
      </c>
      <c r="U1540" s="34" t="s">
        <v>7476</v>
      </c>
      <c r="V1540" s="32">
        <v>45020.913287037038</v>
      </c>
      <c r="W1540" s="32" t="s">
        <v>7476</v>
      </c>
      <c r="X1540">
        <v>0</v>
      </c>
      <c r="Y1540" s="34" t="s">
        <v>7476</v>
      </c>
      <c r="Z1540" s="34" t="s">
        <v>7476</v>
      </c>
      <c r="AA1540" s="34" t="s">
        <v>7476</v>
      </c>
      <c r="AB1540" s="36" t="s">
        <v>7476</v>
      </c>
      <c r="AD1540" t="s">
        <v>4808</v>
      </c>
      <c r="AE1540" t="s">
        <v>4809</v>
      </c>
      <c r="AF1540" s="16">
        <v>45009</v>
      </c>
      <c r="AG1540" t="s">
        <v>75</v>
      </c>
      <c r="AH1540">
        <v>6</v>
      </c>
      <c r="AK1540" s="38">
        <f t="shared" si="634"/>
        <v>45200.913287037038</v>
      </c>
    </row>
    <row r="1541" spans="1:43" x14ac:dyDescent="0.35">
      <c r="A1541">
        <v>1264</v>
      </c>
      <c r="B1541" t="s">
        <v>4810</v>
      </c>
      <c r="C1541" t="s">
        <v>4480</v>
      </c>
      <c r="D1541" t="str">
        <f t="shared" si="632"/>
        <v>Finance</v>
      </c>
      <c r="E1541" t="s">
        <v>4614</v>
      </c>
      <c r="F1541" t="s">
        <v>3935</v>
      </c>
      <c r="G1541" t="s">
        <v>4615</v>
      </c>
      <c r="H1541" t="s">
        <v>334</v>
      </c>
      <c r="I1541" s="32" t="s">
        <v>7471</v>
      </c>
      <c r="J1541" s="32">
        <v>44999.913287037038</v>
      </c>
      <c r="K1541" s="32">
        <v>45005.913287037038</v>
      </c>
      <c r="L1541" s="8" t="str">
        <f t="shared" si="633"/>
        <v/>
      </c>
      <c r="M1541" s="7">
        <v>45017.913287037038</v>
      </c>
      <c r="N1541" t="s">
        <v>49</v>
      </c>
      <c r="O1541" s="34">
        <v>45012.913287037038</v>
      </c>
      <c r="P1541" t="s">
        <v>60</v>
      </c>
      <c r="R1541" s="32">
        <v>45018.913287037038</v>
      </c>
      <c r="S1541" t="s">
        <v>61</v>
      </c>
      <c r="T1541" s="34" t="s">
        <v>7476</v>
      </c>
      <c r="U1541" s="34" t="s">
        <v>7476</v>
      </c>
      <c r="V1541" s="32">
        <v>45016.913287037038</v>
      </c>
      <c r="W1541" s="32" t="s">
        <v>7476</v>
      </c>
      <c r="X1541">
        <v>0</v>
      </c>
      <c r="Y1541" s="34" t="s">
        <v>7476</v>
      </c>
      <c r="Z1541" s="34" t="s">
        <v>7476</v>
      </c>
      <c r="AA1541" s="34" t="s">
        <v>7476</v>
      </c>
      <c r="AB1541" s="36" t="s">
        <v>7476</v>
      </c>
      <c r="AD1541" t="s">
        <v>4811</v>
      </c>
      <c r="AE1541" t="s">
        <v>4812</v>
      </c>
      <c r="AF1541" s="16">
        <v>45001</v>
      </c>
      <c r="AG1541" t="s">
        <v>98</v>
      </c>
      <c r="AH1541">
        <v>6</v>
      </c>
      <c r="AK1541" s="38">
        <f t="shared" si="634"/>
        <v>45196.913287037038</v>
      </c>
    </row>
    <row r="1542" spans="1:43" x14ac:dyDescent="0.35">
      <c r="A1542">
        <v>1259</v>
      </c>
      <c r="B1542" t="s">
        <v>4813</v>
      </c>
      <c r="C1542" t="s">
        <v>4480</v>
      </c>
      <c r="D1542" t="str">
        <f t="shared" si="632"/>
        <v>Finance</v>
      </c>
      <c r="E1542" t="s">
        <v>4614</v>
      </c>
      <c r="F1542" t="s">
        <v>3935</v>
      </c>
      <c r="G1542" t="s">
        <v>4615</v>
      </c>
      <c r="H1542" t="s">
        <v>334</v>
      </c>
      <c r="I1542" s="32" t="s">
        <v>7471</v>
      </c>
      <c r="J1542" s="32">
        <v>44738.170439814807</v>
      </c>
      <c r="K1542" s="32">
        <v>44743.170439814807</v>
      </c>
      <c r="L1542" s="8" t="str">
        <f t="shared" si="633"/>
        <v/>
      </c>
      <c r="M1542" s="7">
        <v>44769.170439814807</v>
      </c>
      <c r="N1542" t="s">
        <v>72</v>
      </c>
      <c r="O1542" s="34" t="s">
        <v>7474</v>
      </c>
      <c r="R1542" s="32" t="s">
        <v>7472</v>
      </c>
      <c r="S1542" t="s">
        <v>7476</v>
      </c>
      <c r="T1542" s="34" t="s">
        <v>7476</v>
      </c>
      <c r="U1542" s="34" t="s">
        <v>7476</v>
      </c>
      <c r="V1542" s="32" t="s">
        <v>7476</v>
      </c>
      <c r="W1542" s="32" t="s">
        <v>7476</v>
      </c>
      <c r="X1542">
        <v>0</v>
      </c>
      <c r="Y1542" s="34" t="s">
        <v>7476</v>
      </c>
      <c r="Z1542" s="34" t="s">
        <v>7476</v>
      </c>
      <c r="AA1542" s="34" t="s">
        <v>7476</v>
      </c>
      <c r="AB1542" s="36" t="s">
        <v>7476</v>
      </c>
      <c r="AD1542" t="s">
        <v>4814</v>
      </c>
      <c r="AE1542" t="s">
        <v>4815</v>
      </c>
      <c r="AG1542" t="s">
        <v>68</v>
      </c>
      <c r="AH1542">
        <v>6</v>
      </c>
      <c r="AK1542" s="38" t="str">
        <f t="shared" si="634"/>
        <v/>
      </c>
    </row>
    <row r="1543" spans="1:43" x14ac:dyDescent="0.35">
      <c r="A1543">
        <v>1254</v>
      </c>
      <c r="B1543" t="s">
        <v>4816</v>
      </c>
      <c r="C1543" t="s">
        <v>4471</v>
      </c>
      <c r="D1543" t="str">
        <f t="shared" si="632"/>
        <v>Finance</v>
      </c>
      <c r="E1543" t="s">
        <v>4614</v>
      </c>
      <c r="F1543" t="s">
        <v>3935</v>
      </c>
      <c r="G1543" t="s">
        <v>4615</v>
      </c>
      <c r="H1543" t="s">
        <v>334</v>
      </c>
      <c r="I1543" s="32" t="s">
        <v>7471</v>
      </c>
      <c r="J1543" s="32">
        <v>44740.170439814807</v>
      </c>
      <c r="K1543" s="32">
        <v>44743.170439814807</v>
      </c>
      <c r="L1543" s="8" t="str">
        <f t="shared" si="633"/>
        <v/>
      </c>
      <c r="M1543" s="7">
        <v>44749.170439814807</v>
      </c>
      <c r="N1543" t="s">
        <v>49</v>
      </c>
      <c r="O1543" s="34">
        <v>44751.170439814807</v>
      </c>
      <c r="P1543" t="s">
        <v>50</v>
      </c>
      <c r="Q1543" t="s">
        <v>51</v>
      </c>
      <c r="R1543" s="32" t="s">
        <v>7472</v>
      </c>
      <c r="S1543" t="s">
        <v>7476</v>
      </c>
      <c r="T1543" s="34" t="s">
        <v>7476</v>
      </c>
      <c r="U1543" s="34" t="s">
        <v>7476</v>
      </c>
      <c r="V1543" s="32">
        <v>44754.170439814807</v>
      </c>
      <c r="W1543" s="32" t="s">
        <v>7476</v>
      </c>
      <c r="X1543">
        <v>0</v>
      </c>
      <c r="Y1543" s="34" t="s">
        <v>7476</v>
      </c>
      <c r="Z1543" s="34" t="s">
        <v>7476</v>
      </c>
      <c r="AA1543" s="34" t="s">
        <v>7476</v>
      </c>
      <c r="AB1543" s="36" t="s">
        <v>95</v>
      </c>
      <c r="AD1543" t="s">
        <v>4817</v>
      </c>
      <c r="AE1543" t="s">
        <v>4818</v>
      </c>
      <c r="AF1543" s="16">
        <v>44738</v>
      </c>
      <c r="AG1543" t="s">
        <v>64</v>
      </c>
      <c r="AH1543">
        <v>3</v>
      </c>
      <c r="AK1543" s="38">
        <f t="shared" si="634"/>
        <v>44844.170439814807</v>
      </c>
    </row>
    <row r="1544" spans="1:43" x14ac:dyDescent="0.35">
      <c r="A1544">
        <v>1251</v>
      </c>
      <c r="B1544" t="s">
        <v>4819</v>
      </c>
      <c r="C1544" t="s">
        <v>4471</v>
      </c>
      <c r="D1544" t="str">
        <f t="shared" si="632"/>
        <v>Finance</v>
      </c>
      <c r="E1544" t="s">
        <v>4614</v>
      </c>
      <c r="F1544" t="s">
        <v>3935</v>
      </c>
      <c r="G1544" t="s">
        <v>4615</v>
      </c>
      <c r="H1544" t="s">
        <v>334</v>
      </c>
      <c r="I1544" s="32">
        <v>44733.170439814807</v>
      </c>
      <c r="J1544" s="32">
        <v>44737.170439814807</v>
      </c>
      <c r="K1544" s="32">
        <v>44743.170439814807</v>
      </c>
      <c r="L1544" s="8">
        <f t="shared" si="633"/>
        <v>10</v>
      </c>
      <c r="M1544" s="7">
        <v>44752.170439814807</v>
      </c>
      <c r="N1544" t="s">
        <v>49</v>
      </c>
      <c r="O1544" s="34">
        <v>44758.170439814807</v>
      </c>
      <c r="P1544" t="s">
        <v>50</v>
      </c>
      <c r="Q1544" t="s">
        <v>125</v>
      </c>
      <c r="R1544" s="32" t="s">
        <v>7472</v>
      </c>
      <c r="S1544" t="s">
        <v>7476</v>
      </c>
      <c r="T1544" s="34" t="s">
        <v>7476</v>
      </c>
      <c r="U1544" s="34" t="s">
        <v>7476</v>
      </c>
      <c r="V1544" s="32" t="s">
        <v>7476</v>
      </c>
      <c r="W1544" s="32" t="s">
        <v>7476</v>
      </c>
      <c r="X1544">
        <v>0</v>
      </c>
      <c r="Y1544" s="34" t="s">
        <v>7476</v>
      </c>
      <c r="Z1544" s="34" t="s">
        <v>7476</v>
      </c>
      <c r="AA1544" s="34" t="s">
        <v>7476</v>
      </c>
      <c r="AB1544" s="36" t="s">
        <v>52</v>
      </c>
      <c r="AD1544" t="s">
        <v>4820</v>
      </c>
      <c r="AE1544" t="s">
        <v>4821</v>
      </c>
      <c r="AF1544" s="16">
        <v>44748</v>
      </c>
      <c r="AG1544" t="s">
        <v>98</v>
      </c>
      <c r="AH1544">
        <v>3</v>
      </c>
      <c r="AI1544" s="8" t="str">
        <f>IFERROR(R1544-AF1544,"")</f>
        <v/>
      </c>
      <c r="AJ1544" s="8">
        <f>IFERROR(O1544-AF1544,"")</f>
        <v>10.170439814806741</v>
      </c>
      <c r="AK1544" s="38" t="str">
        <f t="shared" si="634"/>
        <v/>
      </c>
      <c r="AL1544" t="str">
        <f>IFERROR(Z1544-W1544,"")</f>
        <v/>
      </c>
      <c r="AM1544" t="str">
        <f>IFERROR(R1544-J1544,"")</f>
        <v/>
      </c>
      <c r="AN1544" t="str">
        <f>IFERROR(V1544-O1544,"")</f>
        <v/>
      </c>
      <c r="AO1544">
        <f>IFERROR(J1544-I1544,"")</f>
        <v>4</v>
      </c>
      <c r="AP1544">
        <f>IFERROR(AC1544-X1544,"")</f>
        <v>0</v>
      </c>
      <c r="AQ1544" t="str">
        <f>IFERROR(AA1544-W1544,"")</f>
        <v/>
      </c>
    </row>
    <row r="1545" spans="1:43" x14ac:dyDescent="0.35">
      <c r="A1545">
        <v>1144</v>
      </c>
      <c r="B1545" t="s">
        <v>4822</v>
      </c>
      <c r="C1545" t="s">
        <v>4502</v>
      </c>
      <c r="D1545" t="str">
        <f t="shared" si="632"/>
        <v>Finance</v>
      </c>
      <c r="E1545" t="s">
        <v>4614</v>
      </c>
      <c r="F1545" t="s">
        <v>3935</v>
      </c>
      <c r="G1545" t="s">
        <v>4615</v>
      </c>
      <c r="H1545" t="s">
        <v>334</v>
      </c>
      <c r="I1545" s="32">
        <v>45139.067280092589</v>
      </c>
      <c r="J1545" s="32">
        <v>45143.067280092589</v>
      </c>
      <c r="K1545" s="32">
        <v>45148.067280092589</v>
      </c>
      <c r="L1545" s="8">
        <f t="shared" si="633"/>
        <v>9</v>
      </c>
      <c r="M1545" s="7">
        <v>45159.067280092589</v>
      </c>
      <c r="N1545" t="s">
        <v>49</v>
      </c>
      <c r="O1545" s="34">
        <v>45154.067280092589</v>
      </c>
      <c r="P1545" t="s">
        <v>50</v>
      </c>
      <c r="Q1545" t="s">
        <v>198</v>
      </c>
      <c r="R1545" s="32" t="s">
        <v>7472</v>
      </c>
      <c r="S1545" t="s">
        <v>7476</v>
      </c>
      <c r="T1545" s="34" t="s">
        <v>7476</v>
      </c>
      <c r="U1545" s="34" t="s">
        <v>7476</v>
      </c>
      <c r="V1545" s="32" t="s">
        <v>7476</v>
      </c>
      <c r="W1545" s="32" t="s">
        <v>7476</v>
      </c>
      <c r="X1545">
        <v>0</v>
      </c>
      <c r="Y1545" s="34" t="s">
        <v>7476</v>
      </c>
      <c r="Z1545" s="34" t="s">
        <v>7476</v>
      </c>
      <c r="AA1545" s="34" t="s">
        <v>7476</v>
      </c>
      <c r="AB1545" s="36" t="s">
        <v>52</v>
      </c>
      <c r="AD1545" t="s">
        <v>4823</v>
      </c>
      <c r="AE1545" t="s">
        <v>4824</v>
      </c>
      <c r="AF1545" s="16">
        <v>45135</v>
      </c>
      <c r="AG1545" t="s">
        <v>64</v>
      </c>
      <c r="AH1545">
        <v>3</v>
      </c>
      <c r="AI1545" s="8" t="str">
        <f>IFERROR(R1545-AF1545,"")</f>
        <v/>
      </c>
      <c r="AJ1545" s="8">
        <f>IFERROR(O1545-AF1545,"")</f>
        <v>19.067280092589499</v>
      </c>
      <c r="AK1545" s="38" t="str">
        <f t="shared" si="634"/>
        <v/>
      </c>
      <c r="AL1545" t="str">
        <f>IFERROR(Z1545-W1545,"")</f>
        <v/>
      </c>
      <c r="AM1545" t="str">
        <f>IFERROR(R1545-J1545,"")</f>
        <v/>
      </c>
      <c r="AN1545" t="str">
        <f>IFERROR(V1545-O1545,"")</f>
        <v/>
      </c>
      <c r="AO1545">
        <f>IFERROR(J1545-I1545,"")</f>
        <v>4</v>
      </c>
      <c r="AP1545">
        <f>IFERROR(AC1545-X1545,"")</f>
        <v>0</v>
      </c>
      <c r="AQ1545" t="str">
        <f>IFERROR(AA1545-W1545,"")</f>
        <v/>
      </c>
    </row>
    <row r="1546" spans="1:43" x14ac:dyDescent="0.35">
      <c r="A1546">
        <v>1142</v>
      </c>
      <c r="B1546" t="s">
        <v>4825</v>
      </c>
      <c r="C1546" t="s">
        <v>4480</v>
      </c>
      <c r="D1546" t="str">
        <f t="shared" si="632"/>
        <v>Finance</v>
      </c>
      <c r="E1546" t="s">
        <v>4614</v>
      </c>
      <c r="F1546" t="s">
        <v>3935</v>
      </c>
      <c r="G1546" t="s">
        <v>4615</v>
      </c>
      <c r="H1546" t="s">
        <v>334</v>
      </c>
      <c r="I1546" s="32">
        <v>45141.067280092589</v>
      </c>
      <c r="J1546" s="32">
        <v>45145.067280092589</v>
      </c>
      <c r="K1546" s="32">
        <v>45148.067280092589</v>
      </c>
      <c r="L1546" s="8">
        <f t="shared" si="633"/>
        <v>7</v>
      </c>
      <c r="M1546" s="7">
        <v>45171.067280092589</v>
      </c>
      <c r="N1546" t="s">
        <v>49</v>
      </c>
      <c r="O1546" s="34">
        <v>45155.067280092589</v>
      </c>
      <c r="P1546" t="s">
        <v>60</v>
      </c>
      <c r="R1546" s="32">
        <v>45162.067280092589</v>
      </c>
      <c r="S1546" t="s">
        <v>61</v>
      </c>
      <c r="T1546" s="34" t="s">
        <v>7476</v>
      </c>
      <c r="U1546" s="34" t="s">
        <v>7476</v>
      </c>
      <c r="V1546" s="32">
        <v>45159.067280092589</v>
      </c>
      <c r="W1546" s="32" t="s">
        <v>7476</v>
      </c>
      <c r="X1546">
        <v>0</v>
      </c>
      <c r="Y1546" s="34" t="s">
        <v>7476</v>
      </c>
      <c r="Z1546" s="34" t="s">
        <v>7476</v>
      </c>
      <c r="AA1546" s="34" t="s">
        <v>7476</v>
      </c>
      <c r="AB1546" s="36" t="s">
        <v>7476</v>
      </c>
      <c r="AD1546" t="s">
        <v>4826</v>
      </c>
      <c r="AE1546" t="s">
        <v>4827</v>
      </c>
      <c r="AF1546" s="16">
        <v>45136</v>
      </c>
      <c r="AG1546" t="s">
        <v>68</v>
      </c>
      <c r="AH1546">
        <v>6</v>
      </c>
      <c r="AI1546" s="8">
        <f>IFERROR(R1546-AF1546,"")</f>
        <v>26.067280092589499</v>
      </c>
      <c r="AJ1546" s="8">
        <f>IFERROR(O1546-AF1546,"")</f>
        <v>19.067280092589499</v>
      </c>
      <c r="AK1546" s="38">
        <f t="shared" si="634"/>
        <v>45339.067280092589</v>
      </c>
      <c r="AL1546" t="str">
        <f>IFERROR(Z1546-W1546,"")</f>
        <v/>
      </c>
      <c r="AM1546">
        <f>IFERROR(R1546-J1546,"")</f>
        <v>17</v>
      </c>
      <c r="AN1546">
        <f>IFERROR(V1546-O1546,"")</f>
        <v>4</v>
      </c>
      <c r="AO1546">
        <f>IFERROR(J1546-I1546,"")</f>
        <v>4</v>
      </c>
      <c r="AP1546">
        <f>IFERROR(AC1546-X1546,"")</f>
        <v>0</v>
      </c>
      <c r="AQ1546" t="str">
        <f>IFERROR(AA1546-W1546,"")</f>
        <v/>
      </c>
    </row>
    <row r="1547" spans="1:43" x14ac:dyDescent="0.35">
      <c r="A1547">
        <v>1141</v>
      </c>
      <c r="B1547" t="s">
        <v>4828</v>
      </c>
      <c r="C1547" t="s">
        <v>4480</v>
      </c>
      <c r="D1547" t="str">
        <f t="shared" si="632"/>
        <v>Finance</v>
      </c>
      <c r="E1547" t="s">
        <v>4614</v>
      </c>
      <c r="F1547" t="s">
        <v>3935</v>
      </c>
      <c r="G1547" t="s">
        <v>4615</v>
      </c>
      <c r="H1547" t="s">
        <v>334</v>
      </c>
      <c r="I1547" s="32">
        <v>45145.067280092589</v>
      </c>
      <c r="J1547" s="32">
        <v>45146.067280092589</v>
      </c>
      <c r="K1547" s="32">
        <v>45148.067280092589</v>
      </c>
      <c r="L1547" s="8">
        <f t="shared" si="633"/>
        <v>3</v>
      </c>
      <c r="M1547" s="7">
        <v>45153.067280092589</v>
      </c>
      <c r="N1547" t="s">
        <v>72</v>
      </c>
      <c r="O1547" s="34" t="s">
        <v>7474</v>
      </c>
      <c r="R1547" s="32" t="s">
        <v>7472</v>
      </c>
      <c r="S1547" t="s">
        <v>7476</v>
      </c>
      <c r="T1547" s="34" t="s">
        <v>7476</v>
      </c>
      <c r="U1547" s="34" t="s">
        <v>7476</v>
      </c>
      <c r="V1547" s="32" t="s">
        <v>7476</v>
      </c>
      <c r="W1547" s="32" t="s">
        <v>7476</v>
      </c>
      <c r="X1547">
        <v>0</v>
      </c>
      <c r="Y1547" s="34" t="s">
        <v>7476</v>
      </c>
      <c r="Z1547" s="34" t="s">
        <v>7476</v>
      </c>
      <c r="AA1547" s="34" t="s">
        <v>7476</v>
      </c>
      <c r="AB1547" s="36" t="s">
        <v>7476</v>
      </c>
      <c r="AD1547" t="s">
        <v>4829</v>
      </c>
      <c r="AE1547" t="s">
        <v>4830</v>
      </c>
      <c r="AG1547" t="s">
        <v>98</v>
      </c>
      <c r="AH1547">
        <v>3</v>
      </c>
      <c r="AI1547" s="8" t="str">
        <f>IFERROR(R1547-AF1547,"")</f>
        <v/>
      </c>
      <c r="AJ1547" s="8" t="str">
        <f>IFERROR(O1547-AF1547,"")</f>
        <v/>
      </c>
      <c r="AK1547" s="38" t="str">
        <f t="shared" si="634"/>
        <v/>
      </c>
      <c r="AL1547" t="str">
        <f>IFERROR(Z1547-W1547,"")</f>
        <v/>
      </c>
      <c r="AM1547" t="str">
        <f>IFERROR(R1547-J1547,"")</f>
        <v/>
      </c>
      <c r="AN1547" t="str">
        <f>IFERROR(V1547-O1547,"")</f>
        <v/>
      </c>
      <c r="AO1547">
        <f>IFERROR(J1547-I1547,"")</f>
        <v>1</v>
      </c>
      <c r="AP1547">
        <f>IFERROR(AC1547-X1547,"")</f>
        <v>0</v>
      </c>
      <c r="AQ1547" t="str">
        <f>IFERROR(AA1547-W1547,"")</f>
        <v/>
      </c>
    </row>
    <row r="1548" spans="1:43" x14ac:dyDescent="0.35">
      <c r="A1548">
        <v>1116</v>
      </c>
      <c r="B1548" t="s">
        <v>4831</v>
      </c>
      <c r="C1548" t="s">
        <v>4480</v>
      </c>
      <c r="D1548" t="str">
        <f t="shared" si="632"/>
        <v>Finance</v>
      </c>
      <c r="E1548" t="s">
        <v>4614</v>
      </c>
      <c r="F1548" t="s">
        <v>3935</v>
      </c>
      <c r="G1548" t="s">
        <v>4615</v>
      </c>
      <c r="H1548" t="s">
        <v>334</v>
      </c>
      <c r="I1548" s="32">
        <v>45023.266469907408</v>
      </c>
      <c r="J1548" s="32" t="s">
        <v>7471</v>
      </c>
      <c r="K1548" s="32">
        <v>45027.266469907408</v>
      </c>
      <c r="L1548" s="8">
        <f t="shared" si="633"/>
        <v>4</v>
      </c>
      <c r="M1548" s="7">
        <v>45055.266469907408</v>
      </c>
      <c r="N1548" t="s">
        <v>49</v>
      </c>
      <c r="O1548" s="34">
        <v>45036.266469907408</v>
      </c>
      <c r="P1548" t="s">
        <v>50</v>
      </c>
      <c r="Q1548" t="s">
        <v>125</v>
      </c>
      <c r="R1548" s="32" t="s">
        <v>7472</v>
      </c>
      <c r="S1548" t="s">
        <v>7476</v>
      </c>
      <c r="T1548" s="34" t="s">
        <v>7476</v>
      </c>
      <c r="U1548" s="34" t="s">
        <v>7476</v>
      </c>
      <c r="V1548" s="32" t="s">
        <v>7476</v>
      </c>
      <c r="W1548" s="32" t="s">
        <v>7476</v>
      </c>
      <c r="X1548">
        <v>0</v>
      </c>
      <c r="Y1548" s="34" t="s">
        <v>7476</v>
      </c>
      <c r="Z1548" s="34" t="s">
        <v>7476</v>
      </c>
      <c r="AA1548" s="34" t="s">
        <v>7476</v>
      </c>
      <c r="AB1548" s="36" t="s">
        <v>95</v>
      </c>
      <c r="AD1548" t="s">
        <v>4832</v>
      </c>
      <c r="AE1548" t="s">
        <v>4833</v>
      </c>
      <c r="AF1548" s="16">
        <v>45023</v>
      </c>
      <c r="AG1548" t="s">
        <v>55</v>
      </c>
      <c r="AH1548">
        <v>3</v>
      </c>
      <c r="AK1548" s="38" t="str">
        <f t="shared" si="634"/>
        <v/>
      </c>
    </row>
    <row r="1549" spans="1:43" x14ac:dyDescent="0.35">
      <c r="A1549">
        <v>1066</v>
      </c>
      <c r="B1549" t="s">
        <v>4834</v>
      </c>
      <c r="C1549" t="s">
        <v>4471</v>
      </c>
      <c r="D1549" t="str">
        <f t="shared" si="632"/>
        <v>Finance</v>
      </c>
      <c r="E1549" t="s">
        <v>4614</v>
      </c>
      <c r="F1549" t="s">
        <v>3935</v>
      </c>
      <c r="G1549" t="s">
        <v>4615</v>
      </c>
      <c r="H1549" t="s">
        <v>334</v>
      </c>
      <c r="I1549" s="32">
        <v>44779.414236111108</v>
      </c>
      <c r="J1549" s="32">
        <v>44783.414236111108</v>
      </c>
      <c r="K1549" s="32">
        <v>44786.414236111108</v>
      </c>
      <c r="L1549" s="8">
        <f t="shared" si="633"/>
        <v>7</v>
      </c>
      <c r="M1549" s="7">
        <v>44804.414236111108</v>
      </c>
      <c r="N1549" t="s">
        <v>49</v>
      </c>
      <c r="O1549" s="34">
        <v>44792.414236111108</v>
      </c>
      <c r="P1549" t="s">
        <v>60</v>
      </c>
      <c r="R1549" s="32">
        <v>44796.414236111108</v>
      </c>
      <c r="S1549" t="s">
        <v>61</v>
      </c>
      <c r="T1549" s="34" t="s">
        <v>7476</v>
      </c>
      <c r="U1549" s="34" t="s">
        <v>7476</v>
      </c>
      <c r="V1549" s="32">
        <v>44794.414236111108</v>
      </c>
      <c r="W1549" s="32" t="s">
        <v>7476</v>
      </c>
      <c r="X1549">
        <v>0</v>
      </c>
      <c r="Y1549" s="34" t="s">
        <v>7476</v>
      </c>
      <c r="Z1549" s="34" t="s">
        <v>7476</v>
      </c>
      <c r="AA1549" s="34" t="s">
        <v>7476</v>
      </c>
      <c r="AB1549" s="36" t="s">
        <v>7476</v>
      </c>
      <c r="AD1549" t="s">
        <v>4835</v>
      </c>
      <c r="AE1549" t="s">
        <v>4836</v>
      </c>
      <c r="AF1549" s="16">
        <v>44782</v>
      </c>
      <c r="AG1549" t="s">
        <v>68</v>
      </c>
      <c r="AH1549">
        <v>3</v>
      </c>
      <c r="AI1549" s="8">
        <f>IFERROR(R1549-AF1549,"")</f>
        <v>14.414236111108039</v>
      </c>
      <c r="AJ1549" s="8">
        <f>IFERROR(O1549-AF1549,"")</f>
        <v>10.414236111108039</v>
      </c>
      <c r="AK1549" s="38">
        <f t="shared" si="634"/>
        <v>44884.414236111108</v>
      </c>
      <c r="AL1549" t="str">
        <f>IFERROR(Z1549-W1549,"")</f>
        <v/>
      </c>
      <c r="AM1549">
        <f>IFERROR(R1549-J1549,"")</f>
        <v>13</v>
      </c>
      <c r="AN1549">
        <f>IFERROR(V1549-O1549,"")</f>
        <v>2</v>
      </c>
      <c r="AO1549">
        <f>IFERROR(J1549-I1549,"")</f>
        <v>4</v>
      </c>
      <c r="AP1549">
        <f>IFERROR(AC1549-X1549,"")</f>
        <v>0</v>
      </c>
      <c r="AQ1549" t="str">
        <f>IFERROR(AA1549-W1549,"")</f>
        <v/>
      </c>
    </row>
    <row r="1550" spans="1:43" x14ac:dyDescent="0.35">
      <c r="A1550">
        <v>1015</v>
      </c>
      <c r="B1550" t="s">
        <v>4837</v>
      </c>
      <c r="C1550" t="s">
        <v>4502</v>
      </c>
      <c r="D1550" t="str">
        <f t="shared" si="632"/>
        <v>Finance</v>
      </c>
      <c r="E1550" t="s">
        <v>4614</v>
      </c>
      <c r="F1550" t="s">
        <v>3935</v>
      </c>
      <c r="G1550" t="s">
        <v>4615</v>
      </c>
      <c r="H1550" t="s">
        <v>334</v>
      </c>
      <c r="I1550" s="32">
        <v>44594.329571759263</v>
      </c>
      <c r="J1550" s="32">
        <v>44596.329571759263</v>
      </c>
      <c r="K1550" s="32">
        <v>44602.329571759263</v>
      </c>
      <c r="L1550" s="8">
        <f t="shared" si="633"/>
        <v>8</v>
      </c>
      <c r="M1550" s="7">
        <v>44609.329571759263</v>
      </c>
      <c r="N1550" t="s">
        <v>49</v>
      </c>
      <c r="O1550" s="34">
        <v>44611.329571759263</v>
      </c>
      <c r="P1550" t="s">
        <v>60</v>
      </c>
      <c r="R1550" s="32">
        <v>44615.329571759263</v>
      </c>
      <c r="S1550" t="s">
        <v>61</v>
      </c>
      <c r="T1550" s="34" t="s">
        <v>7476</v>
      </c>
      <c r="U1550" s="34" t="s">
        <v>7476</v>
      </c>
      <c r="V1550" s="32">
        <v>44613.329571759263</v>
      </c>
      <c r="W1550" s="32" t="s">
        <v>7476</v>
      </c>
      <c r="X1550">
        <v>0</v>
      </c>
      <c r="Y1550" s="34" t="s">
        <v>7476</v>
      </c>
      <c r="Z1550" s="34" t="s">
        <v>7476</v>
      </c>
      <c r="AA1550" s="34" t="s">
        <v>7476</v>
      </c>
      <c r="AB1550" s="36" t="s">
        <v>7476</v>
      </c>
      <c r="AD1550" t="s">
        <v>4838</v>
      </c>
      <c r="AE1550" t="s">
        <v>4839</v>
      </c>
      <c r="AF1550" s="16">
        <v>44602</v>
      </c>
      <c r="AG1550" t="s">
        <v>98</v>
      </c>
      <c r="AH1550">
        <v>3</v>
      </c>
      <c r="AI1550" s="8">
        <f>IFERROR(R1550-AF1550,"")</f>
        <v>13.329571759262762</v>
      </c>
      <c r="AJ1550" s="8">
        <f>IFERROR(O1550-AF1550,"")</f>
        <v>9.3295717592627625</v>
      </c>
      <c r="AK1550" s="38">
        <f t="shared" si="634"/>
        <v>44703.329571759263</v>
      </c>
      <c r="AL1550" t="str">
        <f>IFERROR(Z1550-W1550,"")</f>
        <v/>
      </c>
      <c r="AM1550">
        <f>IFERROR(R1550-J1550,"")</f>
        <v>19</v>
      </c>
      <c r="AN1550">
        <f>IFERROR(V1550-O1550,"")</f>
        <v>2</v>
      </c>
      <c r="AO1550">
        <f>IFERROR(J1550-I1550,"")</f>
        <v>2</v>
      </c>
      <c r="AP1550">
        <f>IFERROR(AC1550-X1550,"")</f>
        <v>0</v>
      </c>
      <c r="AQ1550" t="str">
        <f>IFERROR(AA1550-W1550,"")</f>
        <v/>
      </c>
    </row>
    <row r="1551" spans="1:43" x14ac:dyDescent="0.35">
      <c r="A1551">
        <v>1014</v>
      </c>
      <c r="B1551" t="s">
        <v>4840</v>
      </c>
      <c r="C1551" t="s">
        <v>4480</v>
      </c>
      <c r="D1551" t="str">
        <f t="shared" si="632"/>
        <v>Finance</v>
      </c>
      <c r="E1551" t="s">
        <v>4614</v>
      </c>
      <c r="F1551" t="s">
        <v>3935</v>
      </c>
      <c r="G1551" t="s">
        <v>4615</v>
      </c>
      <c r="H1551" t="s">
        <v>334</v>
      </c>
      <c r="I1551" s="32">
        <v>44598.329571759263</v>
      </c>
      <c r="J1551" s="32">
        <v>44599.329571759263</v>
      </c>
      <c r="K1551" s="32" t="s">
        <v>7473</v>
      </c>
      <c r="L1551" s="8" t="str">
        <f t="shared" si="633"/>
        <v/>
      </c>
      <c r="M1551" s="7">
        <v>44622.329571759263</v>
      </c>
      <c r="N1551" t="s">
        <v>49</v>
      </c>
      <c r="O1551" s="34">
        <v>44607.329571759263</v>
      </c>
      <c r="P1551" t="s">
        <v>50</v>
      </c>
      <c r="Q1551" t="s">
        <v>125</v>
      </c>
      <c r="R1551" s="32" t="s">
        <v>7472</v>
      </c>
      <c r="S1551" t="s">
        <v>7476</v>
      </c>
      <c r="T1551" s="34" t="s">
        <v>7476</v>
      </c>
      <c r="U1551" s="34" t="s">
        <v>7476</v>
      </c>
      <c r="V1551" s="32" t="s">
        <v>7476</v>
      </c>
      <c r="W1551" s="32" t="s">
        <v>7476</v>
      </c>
      <c r="X1551">
        <v>0</v>
      </c>
      <c r="Y1551" s="34" t="s">
        <v>7476</v>
      </c>
      <c r="Z1551" s="34" t="s">
        <v>7476</v>
      </c>
      <c r="AA1551" s="34" t="s">
        <v>7476</v>
      </c>
      <c r="AB1551" s="36" t="s">
        <v>95</v>
      </c>
      <c r="AD1551" t="s">
        <v>4841</v>
      </c>
      <c r="AE1551" t="s">
        <v>4842</v>
      </c>
      <c r="AF1551" s="16">
        <v>44683</v>
      </c>
      <c r="AG1551" t="s">
        <v>55</v>
      </c>
      <c r="AH1551">
        <v>3</v>
      </c>
      <c r="AK1551" s="38" t="str">
        <f t="shared" si="634"/>
        <v/>
      </c>
    </row>
    <row r="1552" spans="1:43" x14ac:dyDescent="0.35">
      <c r="A1552">
        <v>980</v>
      </c>
      <c r="B1552" t="s">
        <v>4843</v>
      </c>
      <c r="C1552" t="s">
        <v>4471</v>
      </c>
      <c r="D1552" t="str">
        <f t="shared" si="632"/>
        <v>Finance</v>
      </c>
      <c r="E1552" t="s">
        <v>4614</v>
      </c>
      <c r="F1552" t="s">
        <v>3935</v>
      </c>
      <c r="G1552" t="s">
        <v>4615</v>
      </c>
      <c r="H1552" t="s">
        <v>334</v>
      </c>
      <c r="I1552" s="32">
        <v>44759.699247685188</v>
      </c>
      <c r="J1552" s="32">
        <v>44762.699247685188</v>
      </c>
      <c r="K1552" s="32">
        <v>44764.699247685188</v>
      </c>
      <c r="L1552" s="8">
        <f t="shared" si="633"/>
        <v>5</v>
      </c>
      <c r="M1552" s="7">
        <v>44779.699247685188</v>
      </c>
      <c r="N1552" t="s">
        <v>72</v>
      </c>
      <c r="O1552" s="34" t="s">
        <v>7474</v>
      </c>
      <c r="R1552" s="32" t="s">
        <v>7472</v>
      </c>
      <c r="S1552" t="s">
        <v>7476</v>
      </c>
      <c r="T1552" s="34" t="s">
        <v>7476</v>
      </c>
      <c r="U1552" s="34" t="s">
        <v>7476</v>
      </c>
      <c r="V1552" s="32" t="s">
        <v>7476</v>
      </c>
      <c r="W1552" s="32" t="s">
        <v>7476</v>
      </c>
      <c r="X1552">
        <v>0</v>
      </c>
      <c r="Y1552" s="34" t="s">
        <v>7476</v>
      </c>
      <c r="Z1552" s="34" t="s">
        <v>7476</v>
      </c>
      <c r="AA1552" s="34" t="s">
        <v>7476</v>
      </c>
      <c r="AB1552" s="36" t="s">
        <v>7476</v>
      </c>
      <c r="AD1552" t="s">
        <v>4844</v>
      </c>
      <c r="AE1552" t="s">
        <v>4845</v>
      </c>
      <c r="AG1552" t="s">
        <v>64</v>
      </c>
      <c r="AH1552">
        <v>3</v>
      </c>
      <c r="AI1552" s="8" t="str">
        <f>IFERROR(R1552-AF1552,"")</f>
        <v/>
      </c>
      <c r="AJ1552" s="8" t="str">
        <f>IFERROR(O1552-AF1552,"")</f>
        <v/>
      </c>
      <c r="AK1552" s="38" t="str">
        <f t="shared" si="634"/>
        <v/>
      </c>
      <c r="AL1552" t="str">
        <f>IFERROR(Z1552-W1552,"")</f>
        <v/>
      </c>
      <c r="AM1552" t="str">
        <f>IFERROR(R1552-J1552,"")</f>
        <v/>
      </c>
      <c r="AN1552" t="str">
        <f>IFERROR(V1552-O1552,"")</f>
        <v/>
      </c>
      <c r="AO1552">
        <f>IFERROR(J1552-I1552,"")</f>
        <v>3</v>
      </c>
      <c r="AP1552">
        <f>IFERROR(AC1552-X1552,"")</f>
        <v>0</v>
      </c>
      <c r="AQ1552" t="str">
        <f>IFERROR(AA1552-W1552,"")</f>
        <v/>
      </c>
    </row>
    <row r="1553" spans="1:43" x14ac:dyDescent="0.35">
      <c r="A1553">
        <v>976</v>
      </c>
      <c r="B1553" t="s">
        <v>4846</v>
      </c>
      <c r="C1553" t="s">
        <v>4471</v>
      </c>
      <c r="D1553" t="str">
        <f t="shared" si="632"/>
        <v>Finance</v>
      </c>
      <c r="E1553" t="s">
        <v>4614</v>
      </c>
      <c r="F1553" t="s">
        <v>3935</v>
      </c>
      <c r="G1553" t="s">
        <v>4615</v>
      </c>
      <c r="H1553" t="s">
        <v>334</v>
      </c>
      <c r="I1553" s="32">
        <v>44761.699247685188</v>
      </c>
      <c r="J1553" s="32">
        <v>44763.699247685188</v>
      </c>
      <c r="K1553" s="32">
        <v>44764.699247685188</v>
      </c>
      <c r="L1553" s="8">
        <f t="shared" si="633"/>
        <v>3</v>
      </c>
      <c r="M1553" s="7">
        <v>44791.699247685188</v>
      </c>
      <c r="N1553" t="s">
        <v>49</v>
      </c>
      <c r="O1553" s="34">
        <v>44777.699247685188</v>
      </c>
      <c r="P1553" t="s">
        <v>50</v>
      </c>
      <c r="Q1553" t="s">
        <v>236</v>
      </c>
      <c r="R1553" s="32" t="s">
        <v>7472</v>
      </c>
      <c r="S1553" t="s">
        <v>7476</v>
      </c>
      <c r="T1553" s="34" t="s">
        <v>7476</v>
      </c>
      <c r="U1553" s="34" t="s">
        <v>7476</v>
      </c>
      <c r="V1553" s="32">
        <v>44778.699247685188</v>
      </c>
      <c r="W1553" s="32" t="s">
        <v>7476</v>
      </c>
      <c r="X1553">
        <v>0</v>
      </c>
      <c r="Y1553" s="34" t="s">
        <v>7476</v>
      </c>
      <c r="Z1553" s="34" t="s">
        <v>7476</v>
      </c>
      <c r="AA1553" s="34" t="s">
        <v>7476</v>
      </c>
      <c r="AB1553" s="36" t="s">
        <v>52</v>
      </c>
      <c r="AD1553" t="s">
        <v>4847</v>
      </c>
      <c r="AE1553" t="s">
        <v>4848</v>
      </c>
      <c r="AF1553" s="16">
        <v>44770</v>
      </c>
      <c r="AG1553" t="s">
        <v>98</v>
      </c>
      <c r="AH1553">
        <v>3</v>
      </c>
      <c r="AI1553" s="8" t="str">
        <f>IFERROR(R1553-AF1553,"")</f>
        <v/>
      </c>
      <c r="AJ1553" s="8">
        <f>IFERROR(O1553-AF1553,"")</f>
        <v>7.6992476851883112</v>
      </c>
      <c r="AK1553" s="38">
        <f t="shared" si="634"/>
        <v>44868.699247685188</v>
      </c>
      <c r="AL1553" t="str">
        <f>IFERROR(Z1553-W1553,"")</f>
        <v/>
      </c>
      <c r="AM1553" t="str">
        <f>IFERROR(R1553-J1553,"")</f>
        <v/>
      </c>
      <c r="AN1553">
        <f>IFERROR(V1553-O1553,"")</f>
        <v>1</v>
      </c>
      <c r="AO1553">
        <f>IFERROR(J1553-I1553,"")</f>
        <v>2</v>
      </c>
      <c r="AP1553">
        <f>IFERROR(AC1553-X1553,"")</f>
        <v>0</v>
      </c>
      <c r="AQ1553" t="str">
        <f>IFERROR(AA1553-W1553,"")</f>
        <v/>
      </c>
    </row>
    <row r="1554" spans="1:43" x14ac:dyDescent="0.35">
      <c r="A1554">
        <v>973</v>
      </c>
      <c r="B1554" t="s">
        <v>4849</v>
      </c>
      <c r="C1554" t="s">
        <v>4502</v>
      </c>
      <c r="D1554" t="str">
        <f t="shared" si="632"/>
        <v>Finance</v>
      </c>
      <c r="E1554" t="s">
        <v>4614</v>
      </c>
      <c r="F1554" t="s">
        <v>3935</v>
      </c>
      <c r="G1554" t="s">
        <v>4615</v>
      </c>
      <c r="H1554" t="s">
        <v>334</v>
      </c>
      <c r="I1554" s="32">
        <v>44755.699247685188</v>
      </c>
      <c r="J1554" s="32">
        <v>44759.699247685188</v>
      </c>
      <c r="K1554" s="32">
        <v>44764.699247685188</v>
      </c>
      <c r="L1554" s="8">
        <f t="shared" si="633"/>
        <v>9</v>
      </c>
      <c r="M1554" s="7">
        <v>44788.699247685188</v>
      </c>
      <c r="N1554" t="s">
        <v>49</v>
      </c>
      <c r="O1554" s="34">
        <v>44773.699247685188</v>
      </c>
      <c r="P1554" t="s">
        <v>50</v>
      </c>
      <c r="Q1554" t="s">
        <v>198</v>
      </c>
      <c r="R1554" s="32" t="s">
        <v>7472</v>
      </c>
      <c r="S1554" t="s">
        <v>7476</v>
      </c>
      <c r="T1554" s="34" t="s">
        <v>7476</v>
      </c>
      <c r="U1554" s="34" t="s">
        <v>7476</v>
      </c>
      <c r="V1554" s="32">
        <v>44774.699247685188</v>
      </c>
      <c r="W1554" s="32" t="s">
        <v>7476</v>
      </c>
      <c r="X1554">
        <v>0</v>
      </c>
      <c r="Y1554" s="34" t="s">
        <v>7476</v>
      </c>
      <c r="Z1554" s="34" t="s">
        <v>7476</v>
      </c>
      <c r="AA1554" s="34" t="s">
        <v>7476</v>
      </c>
      <c r="AB1554" s="36" t="s">
        <v>52</v>
      </c>
      <c r="AD1554" t="s">
        <v>4850</v>
      </c>
      <c r="AE1554" t="s">
        <v>4851</v>
      </c>
      <c r="AF1554" s="16">
        <v>44767</v>
      </c>
      <c r="AG1554" t="s">
        <v>64</v>
      </c>
      <c r="AH1554">
        <v>6</v>
      </c>
      <c r="AI1554" s="8" t="str">
        <f>IFERROR(R1554-AF1554,"")</f>
        <v/>
      </c>
      <c r="AJ1554" s="8">
        <f>IFERROR(O1554-AF1554,"")</f>
        <v>6.6992476851883112</v>
      </c>
      <c r="AK1554" s="38">
        <f t="shared" si="634"/>
        <v>44954.699247685188</v>
      </c>
      <c r="AL1554" t="str">
        <f>IFERROR(Z1554-W1554,"")</f>
        <v/>
      </c>
      <c r="AM1554" t="str">
        <f>IFERROR(R1554-J1554,"")</f>
        <v/>
      </c>
      <c r="AN1554">
        <f>IFERROR(V1554-O1554,"")</f>
        <v>1</v>
      </c>
      <c r="AO1554">
        <f>IFERROR(J1554-I1554,"")</f>
        <v>4</v>
      </c>
      <c r="AP1554">
        <f>IFERROR(AC1554-X1554,"")</f>
        <v>0</v>
      </c>
      <c r="AQ1554" t="str">
        <f>IFERROR(AA1554-W1554,"")</f>
        <v/>
      </c>
    </row>
    <row r="1555" spans="1:43" x14ac:dyDescent="0.35">
      <c r="A1555">
        <v>968</v>
      </c>
      <c r="B1555" t="s">
        <v>4852</v>
      </c>
      <c r="C1555" t="s">
        <v>4471</v>
      </c>
      <c r="D1555" t="str">
        <f t="shared" si="632"/>
        <v>Finance</v>
      </c>
      <c r="E1555" t="s">
        <v>4614</v>
      </c>
      <c r="F1555" t="s">
        <v>3935</v>
      </c>
      <c r="G1555" t="s">
        <v>4615</v>
      </c>
      <c r="H1555" t="s">
        <v>334</v>
      </c>
      <c r="I1555" s="32">
        <v>45121.340451388889</v>
      </c>
      <c r="J1555" s="32">
        <v>45122.340451388889</v>
      </c>
      <c r="K1555" s="32">
        <v>45127.340451388889</v>
      </c>
      <c r="L1555" s="8">
        <f t="shared" si="633"/>
        <v>6</v>
      </c>
      <c r="M1555" s="7">
        <v>45152.340451388889</v>
      </c>
      <c r="N1555" t="s">
        <v>49</v>
      </c>
      <c r="O1555" s="34">
        <v>45133.340451388889</v>
      </c>
      <c r="P1555" t="s">
        <v>101</v>
      </c>
      <c r="R1555" s="32">
        <v>45137.340451388889</v>
      </c>
      <c r="S1555" t="s">
        <v>101</v>
      </c>
      <c r="T1555" s="34">
        <v>45135.340451388889</v>
      </c>
      <c r="U1555" s="34">
        <v>45138.340451388889</v>
      </c>
      <c r="V1555" s="32">
        <v>45134.340451388889</v>
      </c>
      <c r="W1555" s="32">
        <v>45138.340451388889</v>
      </c>
      <c r="X1555">
        <v>1</v>
      </c>
      <c r="Y1555" s="34">
        <v>45139.340451388889</v>
      </c>
      <c r="Z1555" s="34">
        <v>45142.340451388889</v>
      </c>
      <c r="AA1555" s="34">
        <v>45143.340451388889</v>
      </c>
      <c r="AB1555" s="36" t="s">
        <v>7476</v>
      </c>
      <c r="AC1555" s="10">
        <v>45163.340451388889</v>
      </c>
      <c r="AD1555" t="s">
        <v>4853</v>
      </c>
      <c r="AE1555" t="s">
        <v>4854</v>
      </c>
      <c r="AF1555" s="16">
        <v>45121</v>
      </c>
      <c r="AG1555" t="s">
        <v>98</v>
      </c>
      <c r="AH1555">
        <v>6</v>
      </c>
      <c r="AI1555" s="8">
        <f>IFERROR(R1555-AF1555,"")</f>
        <v>16.340451388889051</v>
      </c>
      <c r="AJ1555" s="8">
        <f>IFERROR(O1555-AF1555,"")</f>
        <v>12.340451388889051</v>
      </c>
      <c r="AK1555" s="38">
        <f t="shared" si="634"/>
        <v>45314.340451388889</v>
      </c>
      <c r="AL1555">
        <f>IFERROR(Z1555-W1555,"")</f>
        <v>4</v>
      </c>
      <c r="AM1555">
        <f>IFERROR(R1555-J1555,"")</f>
        <v>15</v>
      </c>
      <c r="AN1555">
        <f>IFERROR(V1555-O1555,"")</f>
        <v>1</v>
      </c>
      <c r="AO1555">
        <f>IFERROR(J1555-I1555,"")</f>
        <v>1</v>
      </c>
      <c r="AP1555">
        <f>IFERROR(AC1555-X1555,"")</f>
        <v>45162.340451388889</v>
      </c>
      <c r="AQ1555">
        <f>IFERROR(AA1555-W1555,"")</f>
        <v>5</v>
      </c>
    </row>
    <row r="1556" spans="1:43" x14ac:dyDescent="0.35">
      <c r="A1556">
        <v>967</v>
      </c>
      <c r="B1556" t="s">
        <v>4855</v>
      </c>
      <c r="C1556" t="s">
        <v>4480</v>
      </c>
      <c r="D1556" t="str">
        <f t="shared" si="632"/>
        <v>Finance</v>
      </c>
      <c r="E1556" t="s">
        <v>4614</v>
      </c>
      <c r="F1556" t="s">
        <v>3935</v>
      </c>
      <c r="G1556" t="s">
        <v>4615</v>
      </c>
      <c r="H1556" t="s">
        <v>334</v>
      </c>
      <c r="I1556" s="32" t="s">
        <v>7471</v>
      </c>
      <c r="J1556" s="32" t="s">
        <v>7471</v>
      </c>
      <c r="K1556" s="32">
        <v>45127.340451388889</v>
      </c>
      <c r="L1556" s="8" t="str">
        <f t="shared" si="633"/>
        <v/>
      </c>
      <c r="M1556" s="7">
        <v>45134.340451388889</v>
      </c>
      <c r="N1556" t="s">
        <v>49</v>
      </c>
      <c r="O1556" s="34">
        <v>45139.340451388889</v>
      </c>
      <c r="P1556" t="s">
        <v>392</v>
      </c>
      <c r="R1556" s="32">
        <v>45143.340451388889</v>
      </c>
      <c r="S1556" t="s">
        <v>392</v>
      </c>
      <c r="T1556" s="34" t="s">
        <v>7476</v>
      </c>
      <c r="U1556" s="34" t="s">
        <v>7476</v>
      </c>
      <c r="V1556" s="32">
        <v>45140.340451388889</v>
      </c>
      <c r="W1556" s="32" t="s">
        <v>7476</v>
      </c>
      <c r="X1556">
        <v>0</v>
      </c>
      <c r="Y1556" s="34" t="s">
        <v>7476</v>
      </c>
      <c r="Z1556" s="34" t="s">
        <v>7476</v>
      </c>
      <c r="AA1556" s="34" t="s">
        <v>7476</v>
      </c>
      <c r="AB1556" s="36" t="s">
        <v>7476</v>
      </c>
      <c r="AD1556" t="s">
        <v>4856</v>
      </c>
      <c r="AE1556" t="s">
        <v>4857</v>
      </c>
      <c r="AF1556" s="16">
        <v>45129</v>
      </c>
      <c r="AG1556" t="s">
        <v>75</v>
      </c>
      <c r="AH1556">
        <v>6</v>
      </c>
      <c r="AK1556" s="38">
        <f t="shared" si="634"/>
        <v>45320.340451388889</v>
      </c>
    </row>
    <row r="1557" spans="1:43" x14ac:dyDescent="0.35">
      <c r="A1557">
        <v>962</v>
      </c>
      <c r="B1557" t="s">
        <v>4858</v>
      </c>
      <c r="C1557" t="s">
        <v>4471</v>
      </c>
      <c r="D1557" t="str">
        <f t="shared" si="632"/>
        <v>Finance</v>
      </c>
      <c r="E1557" t="s">
        <v>4614</v>
      </c>
      <c r="F1557" t="s">
        <v>3935</v>
      </c>
      <c r="G1557" t="s">
        <v>4615</v>
      </c>
      <c r="H1557" t="s">
        <v>334</v>
      </c>
      <c r="I1557" s="32">
        <v>45120.340451388889</v>
      </c>
      <c r="J1557" s="32">
        <v>45121.340451388889</v>
      </c>
      <c r="K1557" s="32">
        <v>45127.340451388889</v>
      </c>
      <c r="L1557" s="8">
        <f t="shared" si="633"/>
        <v>7</v>
      </c>
      <c r="M1557" s="7">
        <v>45152.340451388889</v>
      </c>
      <c r="N1557" t="s">
        <v>49</v>
      </c>
      <c r="O1557" s="34">
        <v>45144.340451388889</v>
      </c>
      <c r="P1557" t="s">
        <v>101</v>
      </c>
      <c r="R1557" s="32">
        <v>45150.340451388889</v>
      </c>
      <c r="S1557" t="s">
        <v>101</v>
      </c>
      <c r="T1557" s="34">
        <v>45145.340451388889</v>
      </c>
      <c r="U1557" s="34">
        <v>45147.340451388889</v>
      </c>
      <c r="V1557" s="32">
        <v>45147.340451388889</v>
      </c>
      <c r="W1557" s="32">
        <v>45153.340451388889</v>
      </c>
      <c r="X1557">
        <v>1</v>
      </c>
      <c r="Y1557" s="34">
        <v>45156.340451388889</v>
      </c>
      <c r="Z1557" s="34">
        <v>45158.340451388889</v>
      </c>
      <c r="AA1557" s="34">
        <v>45160.340451388889</v>
      </c>
      <c r="AB1557" s="36" t="s">
        <v>7476</v>
      </c>
      <c r="AC1557" s="10">
        <v>45180.340451388889</v>
      </c>
      <c r="AD1557" t="s">
        <v>4859</v>
      </c>
      <c r="AE1557" t="s">
        <v>4860</v>
      </c>
      <c r="AF1557" s="16">
        <v>45132</v>
      </c>
      <c r="AG1557" t="s">
        <v>68</v>
      </c>
      <c r="AH1557">
        <v>6</v>
      </c>
      <c r="AI1557" s="8">
        <f>IFERROR(R1557-AF1557,"")</f>
        <v>18.340451388889051</v>
      </c>
      <c r="AJ1557" s="8">
        <f>IFERROR(O1557-AF1557,"")</f>
        <v>12.340451388889051</v>
      </c>
      <c r="AK1557" s="38">
        <f t="shared" si="634"/>
        <v>45327.340451388889</v>
      </c>
      <c r="AL1557">
        <f>IFERROR(Z1557-W1557,"")</f>
        <v>5</v>
      </c>
      <c r="AM1557">
        <f>IFERROR(R1557-J1557,"")</f>
        <v>29</v>
      </c>
      <c r="AN1557">
        <f>IFERROR(V1557-O1557,"")</f>
        <v>3</v>
      </c>
      <c r="AO1557">
        <f>IFERROR(J1557-I1557,"")</f>
        <v>1</v>
      </c>
      <c r="AP1557">
        <f>IFERROR(AC1557-X1557,"")</f>
        <v>45179.340451388889</v>
      </c>
      <c r="AQ1557">
        <f>IFERROR(AA1557-W1557,"")</f>
        <v>7</v>
      </c>
    </row>
    <row r="1558" spans="1:43" x14ac:dyDescent="0.35">
      <c r="A1558">
        <v>892</v>
      </c>
      <c r="B1558" t="s">
        <v>4861</v>
      </c>
      <c r="C1558" t="s">
        <v>4502</v>
      </c>
      <c r="D1558" t="str">
        <f t="shared" si="632"/>
        <v>Finance</v>
      </c>
      <c r="E1558" t="s">
        <v>4614</v>
      </c>
      <c r="F1558" t="s">
        <v>3935</v>
      </c>
      <c r="G1558" t="s">
        <v>4615</v>
      </c>
      <c r="H1558" t="s">
        <v>334</v>
      </c>
      <c r="I1558" s="32">
        <v>44845.939814814818</v>
      </c>
      <c r="J1558" s="32">
        <v>44849.939814814818</v>
      </c>
      <c r="K1558" s="32">
        <v>44850.939814814818</v>
      </c>
      <c r="L1558" s="8">
        <f t="shared" si="633"/>
        <v>5</v>
      </c>
      <c r="M1558" s="7">
        <v>44876.939814814818</v>
      </c>
      <c r="N1558" t="s">
        <v>49</v>
      </c>
      <c r="O1558" s="34">
        <v>44859.939814814818</v>
      </c>
      <c r="P1558" t="s">
        <v>101</v>
      </c>
      <c r="R1558" s="32">
        <v>44864.939814814818</v>
      </c>
      <c r="S1558" t="s">
        <v>101</v>
      </c>
      <c r="T1558" s="34">
        <v>44860.939814814818</v>
      </c>
      <c r="U1558" s="34">
        <v>44863.939814814818</v>
      </c>
      <c r="V1558" s="32">
        <v>44860.939814814818</v>
      </c>
      <c r="W1558" s="32">
        <v>44868.939814814818</v>
      </c>
      <c r="X1558">
        <v>1</v>
      </c>
      <c r="Y1558" s="34">
        <v>44871.939814814818</v>
      </c>
      <c r="Z1558" s="34">
        <v>44874.939814814818</v>
      </c>
      <c r="AA1558" s="34">
        <v>44876.939814814818</v>
      </c>
      <c r="AB1558" s="36" t="s">
        <v>7476</v>
      </c>
      <c r="AC1558" s="10">
        <v>44890.939814814818</v>
      </c>
      <c r="AD1558" t="s">
        <v>4862</v>
      </c>
      <c r="AE1558" t="s">
        <v>4863</v>
      </c>
      <c r="AF1558" s="16">
        <v>44852</v>
      </c>
      <c r="AG1558" t="s">
        <v>98</v>
      </c>
      <c r="AH1558">
        <v>3</v>
      </c>
      <c r="AI1558" s="8">
        <f>IFERROR(R1558-AF1558,"")</f>
        <v>12.93981481481751</v>
      </c>
      <c r="AJ1558" s="8">
        <f>IFERROR(O1558-AF1558,"")</f>
        <v>7.9398148148175096</v>
      </c>
      <c r="AK1558" s="38">
        <f t="shared" si="634"/>
        <v>44950.939814814818</v>
      </c>
      <c r="AL1558">
        <f>IFERROR(Z1558-W1558,"")</f>
        <v>6</v>
      </c>
      <c r="AM1558">
        <f>IFERROR(R1558-J1558,"")</f>
        <v>15</v>
      </c>
      <c r="AN1558">
        <f>IFERROR(V1558-O1558,"")</f>
        <v>1</v>
      </c>
      <c r="AO1558">
        <f>IFERROR(J1558-I1558,"")</f>
        <v>4</v>
      </c>
      <c r="AP1558">
        <f>IFERROR(AC1558-X1558,"")</f>
        <v>44889.939814814818</v>
      </c>
      <c r="AQ1558">
        <f>IFERROR(AA1558-W1558,"")</f>
        <v>8</v>
      </c>
    </row>
    <row r="1559" spans="1:43" x14ac:dyDescent="0.35">
      <c r="A1559">
        <v>890</v>
      </c>
      <c r="B1559" t="s">
        <v>4864</v>
      </c>
      <c r="C1559" t="s">
        <v>4471</v>
      </c>
      <c r="D1559" t="str">
        <f t="shared" si="632"/>
        <v>Finance</v>
      </c>
      <c r="E1559" t="s">
        <v>4614</v>
      </c>
      <c r="F1559" t="s">
        <v>3935</v>
      </c>
      <c r="G1559" t="s">
        <v>4615</v>
      </c>
      <c r="H1559" t="s">
        <v>334</v>
      </c>
      <c r="I1559" s="32">
        <v>44823.199942129628</v>
      </c>
      <c r="J1559" s="32">
        <v>44825.199942129628</v>
      </c>
      <c r="K1559" s="32">
        <v>44831.199942129628</v>
      </c>
      <c r="L1559" s="8">
        <f t="shared" si="633"/>
        <v>8</v>
      </c>
      <c r="M1559" s="7">
        <v>44844.199942129628</v>
      </c>
      <c r="N1559" t="s">
        <v>49</v>
      </c>
      <c r="O1559" s="34">
        <v>44842.199942129628</v>
      </c>
      <c r="P1559" t="s">
        <v>50</v>
      </c>
      <c r="Q1559" t="s">
        <v>84</v>
      </c>
      <c r="R1559" s="32" t="s">
        <v>7472</v>
      </c>
      <c r="S1559" t="s">
        <v>7476</v>
      </c>
      <c r="T1559" s="34" t="s">
        <v>7476</v>
      </c>
      <c r="U1559" s="34" t="s">
        <v>7476</v>
      </c>
      <c r="V1559" s="32" t="s">
        <v>7476</v>
      </c>
      <c r="W1559" s="32" t="s">
        <v>7476</v>
      </c>
      <c r="X1559">
        <v>0</v>
      </c>
      <c r="Y1559" s="34" t="s">
        <v>7476</v>
      </c>
      <c r="Z1559" s="34" t="s">
        <v>7476</v>
      </c>
      <c r="AA1559" s="34" t="s">
        <v>7476</v>
      </c>
      <c r="AB1559" s="36" t="s">
        <v>52</v>
      </c>
      <c r="AD1559" t="s">
        <v>4865</v>
      </c>
      <c r="AE1559" t="s">
        <v>4866</v>
      </c>
      <c r="AF1559" s="16">
        <v>44833</v>
      </c>
      <c r="AG1559" t="s">
        <v>64</v>
      </c>
      <c r="AH1559">
        <v>3</v>
      </c>
      <c r="AI1559" s="8" t="str">
        <f>IFERROR(R1559-AF1559,"")</f>
        <v/>
      </c>
      <c r="AJ1559" s="8">
        <f>IFERROR(O1559-AF1559,"")</f>
        <v>9.1999421296277433</v>
      </c>
      <c r="AK1559" s="38" t="str">
        <f t="shared" si="634"/>
        <v/>
      </c>
      <c r="AL1559" t="str">
        <f>IFERROR(Z1559-W1559,"")</f>
        <v/>
      </c>
      <c r="AM1559" t="str">
        <f>IFERROR(R1559-J1559,"")</f>
        <v/>
      </c>
      <c r="AN1559" t="str">
        <f>IFERROR(V1559-O1559,"")</f>
        <v/>
      </c>
      <c r="AO1559">
        <f>IFERROR(J1559-I1559,"")</f>
        <v>2</v>
      </c>
      <c r="AP1559">
        <f>IFERROR(AC1559-X1559,"")</f>
        <v>0</v>
      </c>
      <c r="AQ1559" t="str">
        <f>IFERROR(AA1559-W1559,"")</f>
        <v/>
      </c>
    </row>
    <row r="1560" spans="1:43" x14ac:dyDescent="0.35">
      <c r="A1560">
        <v>889</v>
      </c>
      <c r="B1560" t="s">
        <v>4867</v>
      </c>
      <c r="C1560" t="s">
        <v>4480</v>
      </c>
      <c r="D1560" t="str">
        <f t="shared" si="632"/>
        <v>Finance</v>
      </c>
      <c r="E1560" t="s">
        <v>4614</v>
      </c>
      <c r="F1560" t="s">
        <v>3935</v>
      </c>
      <c r="G1560" t="s">
        <v>4615</v>
      </c>
      <c r="H1560" t="s">
        <v>334</v>
      </c>
      <c r="I1560" s="32">
        <v>44826.199942129628</v>
      </c>
      <c r="J1560" s="32">
        <v>44829.199942129628</v>
      </c>
      <c r="K1560" s="32">
        <v>44831.199942129628</v>
      </c>
      <c r="L1560" s="8">
        <f t="shared" si="633"/>
        <v>5</v>
      </c>
      <c r="M1560" s="7">
        <v>44846.199942129628</v>
      </c>
      <c r="N1560" t="s">
        <v>72</v>
      </c>
      <c r="O1560" s="34" t="s">
        <v>7474</v>
      </c>
      <c r="R1560" s="32" t="s">
        <v>7472</v>
      </c>
      <c r="S1560" t="s">
        <v>7476</v>
      </c>
      <c r="T1560" s="34" t="s">
        <v>7476</v>
      </c>
      <c r="U1560" s="34" t="s">
        <v>7476</v>
      </c>
      <c r="V1560" s="32" t="s">
        <v>7476</v>
      </c>
      <c r="W1560" s="32" t="s">
        <v>7476</v>
      </c>
      <c r="X1560">
        <v>0</v>
      </c>
      <c r="Y1560" s="34" t="s">
        <v>7476</v>
      </c>
      <c r="Z1560" s="34" t="s">
        <v>7476</v>
      </c>
      <c r="AA1560" s="34" t="s">
        <v>7476</v>
      </c>
      <c r="AB1560" s="36" t="s">
        <v>7476</v>
      </c>
      <c r="AD1560" t="s">
        <v>4868</v>
      </c>
      <c r="AE1560" t="s">
        <v>4869</v>
      </c>
      <c r="AG1560" t="s">
        <v>98</v>
      </c>
      <c r="AH1560">
        <v>3</v>
      </c>
      <c r="AI1560" s="8" t="str">
        <f>IFERROR(R1560-AF1560,"")</f>
        <v/>
      </c>
      <c r="AJ1560" s="8" t="str">
        <f>IFERROR(O1560-AF1560,"")</f>
        <v/>
      </c>
      <c r="AK1560" s="38" t="str">
        <f t="shared" si="634"/>
        <v/>
      </c>
      <c r="AL1560" t="str">
        <f>IFERROR(Z1560-W1560,"")</f>
        <v/>
      </c>
      <c r="AM1560" t="str">
        <f>IFERROR(R1560-J1560,"")</f>
        <v/>
      </c>
      <c r="AN1560" t="str">
        <f>IFERROR(V1560-O1560,"")</f>
        <v/>
      </c>
      <c r="AO1560">
        <f>IFERROR(J1560-I1560,"")</f>
        <v>3</v>
      </c>
      <c r="AP1560">
        <f>IFERROR(AC1560-X1560,"")</f>
        <v>0</v>
      </c>
      <c r="AQ1560" t="str">
        <f>IFERROR(AA1560-W1560,"")</f>
        <v/>
      </c>
    </row>
    <row r="1561" spans="1:43" x14ac:dyDescent="0.35">
      <c r="A1561">
        <v>885</v>
      </c>
      <c r="B1561" t="s">
        <v>4870</v>
      </c>
      <c r="C1561" t="s">
        <v>4502</v>
      </c>
      <c r="D1561" t="str">
        <f t="shared" si="632"/>
        <v>Finance</v>
      </c>
      <c r="E1561" t="s">
        <v>4614</v>
      </c>
      <c r="F1561" t="s">
        <v>3935</v>
      </c>
      <c r="G1561" t="s">
        <v>4615</v>
      </c>
      <c r="H1561" t="s">
        <v>334</v>
      </c>
      <c r="I1561" s="32">
        <v>44823.199942129628</v>
      </c>
      <c r="J1561" s="32">
        <v>44827.199942129628</v>
      </c>
      <c r="K1561" s="32">
        <v>44831.199942129628</v>
      </c>
      <c r="L1561" s="8">
        <f t="shared" si="633"/>
        <v>8</v>
      </c>
      <c r="M1561" s="7">
        <v>44857.199942129628</v>
      </c>
      <c r="N1561" t="s">
        <v>72</v>
      </c>
      <c r="O1561" s="34" t="s">
        <v>7474</v>
      </c>
      <c r="R1561" s="32" t="s">
        <v>7472</v>
      </c>
      <c r="S1561" t="s">
        <v>7476</v>
      </c>
      <c r="T1561" s="34" t="s">
        <v>7476</v>
      </c>
      <c r="U1561" s="34" t="s">
        <v>7476</v>
      </c>
      <c r="V1561" s="32" t="s">
        <v>7476</v>
      </c>
      <c r="W1561" s="32" t="s">
        <v>7476</v>
      </c>
      <c r="X1561">
        <v>0</v>
      </c>
      <c r="Y1561" s="34" t="s">
        <v>7476</v>
      </c>
      <c r="Z1561" s="34" t="s">
        <v>7476</v>
      </c>
      <c r="AA1561" s="34" t="s">
        <v>7476</v>
      </c>
      <c r="AB1561" s="36" t="s">
        <v>7476</v>
      </c>
      <c r="AD1561" t="s">
        <v>4871</v>
      </c>
      <c r="AE1561" t="s">
        <v>4872</v>
      </c>
      <c r="AG1561" t="s">
        <v>64</v>
      </c>
      <c r="AH1561">
        <v>3</v>
      </c>
      <c r="AI1561" s="8" t="str">
        <f>IFERROR(R1561-AF1561,"")</f>
        <v/>
      </c>
      <c r="AJ1561" s="8" t="str">
        <f>IFERROR(O1561-AF1561,"")</f>
        <v/>
      </c>
      <c r="AK1561" s="38" t="str">
        <f t="shared" si="634"/>
        <v/>
      </c>
      <c r="AL1561" t="str">
        <f>IFERROR(Z1561-W1561,"")</f>
        <v/>
      </c>
      <c r="AM1561" t="str">
        <f>IFERROR(R1561-J1561,"")</f>
        <v/>
      </c>
      <c r="AN1561" t="str">
        <f>IFERROR(V1561-O1561,"")</f>
        <v/>
      </c>
      <c r="AO1561">
        <f>IFERROR(J1561-I1561,"")</f>
        <v>4</v>
      </c>
      <c r="AP1561">
        <f>IFERROR(AC1561-X1561,"")</f>
        <v>0</v>
      </c>
      <c r="AQ1561" t="str">
        <f>IFERROR(AA1561-W1561,"")</f>
        <v/>
      </c>
    </row>
    <row r="1562" spans="1:43" x14ac:dyDescent="0.35">
      <c r="A1562">
        <v>865</v>
      </c>
      <c r="B1562" t="s">
        <v>4873</v>
      </c>
      <c r="C1562" t="s">
        <v>4502</v>
      </c>
      <c r="D1562" t="str">
        <f t="shared" si="632"/>
        <v>Finance</v>
      </c>
      <c r="E1562" t="s">
        <v>4614</v>
      </c>
      <c r="F1562" t="s">
        <v>3935</v>
      </c>
      <c r="G1562" t="s">
        <v>4615</v>
      </c>
      <c r="H1562" t="s">
        <v>334</v>
      </c>
      <c r="I1562" s="32" t="s">
        <v>7471</v>
      </c>
      <c r="J1562" s="32" t="s">
        <v>7471</v>
      </c>
      <c r="K1562" s="32">
        <v>45131.103344907409</v>
      </c>
      <c r="L1562" s="8" t="str">
        <f t="shared" si="633"/>
        <v/>
      </c>
      <c r="M1562" s="7">
        <v>45152.103344907409</v>
      </c>
      <c r="N1562" t="s">
        <v>49</v>
      </c>
      <c r="O1562" s="34">
        <v>45141.103344907409</v>
      </c>
      <c r="P1562" t="s">
        <v>101</v>
      </c>
      <c r="R1562" s="32">
        <v>45146.103344907409</v>
      </c>
      <c r="S1562" t="s">
        <v>101</v>
      </c>
      <c r="T1562" s="34">
        <v>45143.103344907409</v>
      </c>
      <c r="U1562" s="34">
        <v>45147.103344907409</v>
      </c>
      <c r="V1562" s="32">
        <v>45145.103344907409</v>
      </c>
      <c r="W1562" s="32">
        <v>45147.103344907409</v>
      </c>
      <c r="X1562">
        <v>1</v>
      </c>
      <c r="Y1562" s="34">
        <v>45151.103344907409</v>
      </c>
      <c r="Z1562" s="34">
        <v>45153.103344907409</v>
      </c>
      <c r="AA1562" s="34">
        <v>45155.103344907409</v>
      </c>
      <c r="AB1562" s="36" t="s">
        <v>7476</v>
      </c>
      <c r="AC1562" s="10">
        <v>45172.103344907409</v>
      </c>
      <c r="AD1562" t="s">
        <v>4874</v>
      </c>
      <c r="AE1562" t="s">
        <v>4875</v>
      </c>
      <c r="AF1562" s="16">
        <v>45134</v>
      </c>
      <c r="AG1562" t="s">
        <v>68</v>
      </c>
      <c r="AH1562">
        <v>3</v>
      </c>
      <c r="AK1562" s="38">
        <f t="shared" si="634"/>
        <v>45235.103344907409</v>
      </c>
    </row>
    <row r="1563" spans="1:43" x14ac:dyDescent="0.35">
      <c r="A1563">
        <v>860</v>
      </c>
      <c r="B1563" t="s">
        <v>4876</v>
      </c>
      <c r="C1563" t="s">
        <v>4480</v>
      </c>
      <c r="D1563" t="str">
        <f t="shared" si="632"/>
        <v>Finance</v>
      </c>
      <c r="E1563" t="s">
        <v>4614</v>
      </c>
      <c r="F1563" t="s">
        <v>3935</v>
      </c>
      <c r="G1563" t="s">
        <v>4615</v>
      </c>
      <c r="H1563" t="s">
        <v>334</v>
      </c>
      <c r="I1563" s="32">
        <v>44960.002604166657</v>
      </c>
      <c r="J1563" s="32">
        <v>44962.002604166657</v>
      </c>
      <c r="K1563" s="32">
        <v>44964.002604166657</v>
      </c>
      <c r="L1563" s="8">
        <f t="shared" si="633"/>
        <v>4</v>
      </c>
      <c r="M1563" s="7">
        <v>44993.002604166657</v>
      </c>
      <c r="N1563" t="s">
        <v>49</v>
      </c>
      <c r="O1563" s="34">
        <v>44971.002604166657</v>
      </c>
      <c r="P1563" t="s">
        <v>50</v>
      </c>
      <c r="Q1563" t="s">
        <v>51</v>
      </c>
      <c r="R1563" s="32" t="s">
        <v>7472</v>
      </c>
      <c r="S1563" t="s">
        <v>7476</v>
      </c>
      <c r="T1563" s="34" t="s">
        <v>7476</v>
      </c>
      <c r="U1563" s="34" t="s">
        <v>7476</v>
      </c>
      <c r="V1563" s="32">
        <v>44972.002604166657</v>
      </c>
      <c r="W1563" s="32" t="s">
        <v>7476</v>
      </c>
      <c r="X1563">
        <v>0</v>
      </c>
      <c r="Y1563" s="34" t="s">
        <v>7476</v>
      </c>
      <c r="Z1563" s="34" t="s">
        <v>7476</v>
      </c>
      <c r="AA1563" s="34" t="s">
        <v>7476</v>
      </c>
      <c r="AB1563" s="36" t="s">
        <v>95</v>
      </c>
      <c r="AD1563" t="s">
        <v>4877</v>
      </c>
      <c r="AE1563" t="s">
        <v>4878</v>
      </c>
      <c r="AF1563" s="16">
        <v>44956</v>
      </c>
      <c r="AG1563" t="s">
        <v>64</v>
      </c>
      <c r="AH1563">
        <v>6</v>
      </c>
      <c r="AI1563" s="8" t="str">
        <f>IFERROR(R1563-AF1563,"")</f>
        <v/>
      </c>
      <c r="AJ1563" s="8">
        <f>IFERROR(O1563-AF1563,"")</f>
        <v>15.002604166656965</v>
      </c>
      <c r="AK1563" s="38">
        <f t="shared" si="634"/>
        <v>45152.002604166657</v>
      </c>
      <c r="AL1563" t="str">
        <f>IFERROR(Z1563-W1563,"")</f>
        <v/>
      </c>
      <c r="AM1563" t="str">
        <f>IFERROR(R1563-J1563,"")</f>
        <v/>
      </c>
      <c r="AN1563">
        <f>IFERROR(V1563-O1563,"")</f>
        <v>1</v>
      </c>
      <c r="AO1563">
        <f>IFERROR(J1563-I1563,"")</f>
        <v>2</v>
      </c>
      <c r="AP1563">
        <f>IFERROR(AC1563-X1563,"")</f>
        <v>0</v>
      </c>
      <c r="AQ1563" t="str">
        <f>IFERROR(AA1563-W1563,"")</f>
        <v/>
      </c>
    </row>
    <row r="1564" spans="1:43" x14ac:dyDescent="0.35">
      <c r="A1564">
        <v>858</v>
      </c>
      <c r="B1564" t="s">
        <v>4879</v>
      </c>
      <c r="C1564" t="s">
        <v>4480</v>
      </c>
      <c r="D1564" t="str">
        <f t="shared" si="632"/>
        <v>Finance</v>
      </c>
      <c r="E1564" t="s">
        <v>4614</v>
      </c>
      <c r="F1564" t="s">
        <v>3935</v>
      </c>
      <c r="G1564" t="s">
        <v>4615</v>
      </c>
      <c r="H1564" t="s">
        <v>334</v>
      </c>
      <c r="I1564" s="32">
        <v>44961.002604166657</v>
      </c>
      <c r="J1564" s="32">
        <v>44962.002604166657</v>
      </c>
      <c r="K1564" s="32">
        <v>44964.002604166657</v>
      </c>
      <c r="L1564" s="8">
        <f t="shared" si="633"/>
        <v>3</v>
      </c>
      <c r="M1564" s="7">
        <v>44986.002604166657</v>
      </c>
      <c r="N1564" t="s">
        <v>49</v>
      </c>
      <c r="O1564" s="34">
        <v>44978.002604166657</v>
      </c>
      <c r="P1564" t="s">
        <v>50</v>
      </c>
      <c r="Q1564" t="s">
        <v>198</v>
      </c>
      <c r="R1564" s="32" t="s">
        <v>7472</v>
      </c>
      <c r="S1564" t="s">
        <v>7476</v>
      </c>
      <c r="T1564" s="34" t="s">
        <v>7476</v>
      </c>
      <c r="U1564" s="34" t="s">
        <v>7476</v>
      </c>
      <c r="V1564" s="32" t="s">
        <v>7476</v>
      </c>
      <c r="W1564" s="32" t="s">
        <v>7476</v>
      </c>
      <c r="X1564">
        <v>0</v>
      </c>
      <c r="Y1564" s="34" t="s">
        <v>7476</v>
      </c>
      <c r="Z1564" s="34" t="s">
        <v>7476</v>
      </c>
      <c r="AA1564" s="34" t="s">
        <v>7476</v>
      </c>
      <c r="AB1564" s="36" t="s">
        <v>52</v>
      </c>
      <c r="AD1564" t="s">
        <v>4880</v>
      </c>
      <c r="AE1564" t="s">
        <v>4881</v>
      </c>
      <c r="AF1564" s="16">
        <v>45232</v>
      </c>
      <c r="AG1564" t="s">
        <v>98</v>
      </c>
      <c r="AH1564">
        <v>6</v>
      </c>
      <c r="AI1564" s="8" t="str">
        <f>IFERROR(R1564-AF1564,"")</f>
        <v/>
      </c>
      <c r="AJ1564" s="8">
        <f>IFERROR(O1564-AF1564,"")</f>
        <v>-253.99739583334303</v>
      </c>
      <c r="AK1564" s="38" t="str">
        <f t="shared" si="634"/>
        <v/>
      </c>
      <c r="AL1564" t="str">
        <f>IFERROR(Z1564-W1564,"")</f>
        <v/>
      </c>
      <c r="AM1564" t="str">
        <f>IFERROR(R1564-J1564,"")</f>
        <v/>
      </c>
      <c r="AN1564" t="str">
        <f>IFERROR(V1564-O1564,"")</f>
        <v/>
      </c>
      <c r="AO1564">
        <f>IFERROR(J1564-I1564,"")</f>
        <v>1</v>
      </c>
      <c r="AP1564">
        <f>IFERROR(AC1564-X1564,"")</f>
        <v>0</v>
      </c>
      <c r="AQ1564" t="str">
        <f>IFERROR(AA1564-W1564,"")</f>
        <v/>
      </c>
    </row>
    <row r="1565" spans="1:43" x14ac:dyDescent="0.35">
      <c r="A1565">
        <v>748</v>
      </c>
      <c r="B1565" t="s">
        <v>4882</v>
      </c>
      <c r="C1565" t="s">
        <v>4480</v>
      </c>
      <c r="D1565" t="str">
        <f t="shared" si="632"/>
        <v>Finance</v>
      </c>
      <c r="E1565" t="s">
        <v>4614</v>
      </c>
      <c r="F1565" t="s">
        <v>3935</v>
      </c>
      <c r="G1565" t="s">
        <v>4615</v>
      </c>
      <c r="H1565" t="s">
        <v>334</v>
      </c>
      <c r="I1565" s="32">
        <v>44864.220567129632</v>
      </c>
      <c r="J1565" s="32">
        <v>44868.220567129632</v>
      </c>
      <c r="K1565" s="32">
        <v>44874.220567129632</v>
      </c>
      <c r="L1565" s="8">
        <f t="shared" si="633"/>
        <v>10</v>
      </c>
      <c r="M1565" s="7">
        <v>44885.220567129632</v>
      </c>
      <c r="N1565" t="s">
        <v>49</v>
      </c>
      <c r="O1565" s="34">
        <v>44881.220567129632</v>
      </c>
      <c r="P1565" t="s">
        <v>50</v>
      </c>
      <c r="Q1565" t="s">
        <v>84</v>
      </c>
      <c r="R1565" s="32" t="s">
        <v>7472</v>
      </c>
      <c r="S1565" t="s">
        <v>7476</v>
      </c>
      <c r="T1565" s="34" t="s">
        <v>7476</v>
      </c>
      <c r="U1565" s="34" t="s">
        <v>7476</v>
      </c>
      <c r="V1565" s="32" t="s">
        <v>7476</v>
      </c>
      <c r="W1565" s="32" t="s">
        <v>7476</v>
      </c>
      <c r="X1565">
        <v>0</v>
      </c>
      <c r="Y1565" s="34" t="s">
        <v>7476</v>
      </c>
      <c r="Z1565" s="34" t="s">
        <v>7476</v>
      </c>
      <c r="AA1565" s="34" t="s">
        <v>7476</v>
      </c>
      <c r="AB1565" s="36" t="s">
        <v>52</v>
      </c>
      <c r="AD1565" t="s">
        <v>4883</v>
      </c>
      <c r="AE1565" t="s">
        <v>4884</v>
      </c>
      <c r="AF1565" s="16">
        <v>44875</v>
      </c>
      <c r="AG1565" t="s">
        <v>68</v>
      </c>
      <c r="AH1565">
        <v>3</v>
      </c>
      <c r="AI1565" s="8" t="str">
        <f>IFERROR(R1565-AF1565,"")</f>
        <v/>
      </c>
      <c r="AJ1565" s="8">
        <f>IFERROR(O1565-AF1565,"")</f>
        <v>6.2205671296323999</v>
      </c>
      <c r="AK1565" s="38" t="str">
        <f t="shared" si="634"/>
        <v/>
      </c>
      <c r="AL1565" t="str">
        <f>IFERROR(Z1565-W1565,"")</f>
        <v/>
      </c>
      <c r="AM1565" t="str">
        <f>IFERROR(R1565-J1565,"")</f>
        <v/>
      </c>
      <c r="AN1565" t="str">
        <f>IFERROR(V1565-O1565,"")</f>
        <v/>
      </c>
      <c r="AO1565">
        <f>IFERROR(J1565-I1565,"")</f>
        <v>4</v>
      </c>
      <c r="AP1565">
        <f>IFERROR(AC1565-X1565,"")</f>
        <v>0</v>
      </c>
      <c r="AQ1565" t="str">
        <f>IFERROR(AA1565-W1565,"")</f>
        <v/>
      </c>
    </row>
    <row r="1566" spans="1:43" x14ac:dyDescent="0.35">
      <c r="A1566">
        <v>745</v>
      </c>
      <c r="B1566" t="s">
        <v>4885</v>
      </c>
      <c r="C1566" t="s">
        <v>4502</v>
      </c>
      <c r="D1566" t="str">
        <f t="shared" si="632"/>
        <v>Finance</v>
      </c>
      <c r="E1566" t="s">
        <v>4614</v>
      </c>
      <c r="F1566" t="s">
        <v>3935</v>
      </c>
      <c r="G1566" t="s">
        <v>4615</v>
      </c>
      <c r="H1566" t="s">
        <v>334</v>
      </c>
      <c r="I1566" s="32">
        <v>44869.220567129632</v>
      </c>
      <c r="J1566" s="32">
        <v>44873.220567129632</v>
      </c>
      <c r="K1566" s="32">
        <v>44874.220567129632</v>
      </c>
      <c r="L1566" s="8">
        <f t="shared" si="633"/>
        <v>5</v>
      </c>
      <c r="M1566" s="7">
        <v>44891.220567129632</v>
      </c>
      <c r="N1566" t="s">
        <v>49</v>
      </c>
      <c r="O1566" s="34">
        <v>44891.220567129632</v>
      </c>
      <c r="P1566" t="s">
        <v>60</v>
      </c>
      <c r="R1566" s="32">
        <v>44899.220567129632</v>
      </c>
      <c r="S1566" t="s">
        <v>61</v>
      </c>
      <c r="T1566" s="34" t="s">
        <v>7476</v>
      </c>
      <c r="U1566" s="34" t="s">
        <v>7476</v>
      </c>
      <c r="V1566" s="32">
        <v>44895.220567129632</v>
      </c>
      <c r="W1566" s="32" t="s">
        <v>7476</v>
      </c>
      <c r="X1566">
        <v>0</v>
      </c>
      <c r="Y1566" s="34" t="s">
        <v>7476</v>
      </c>
      <c r="Z1566" s="34" t="s">
        <v>7476</v>
      </c>
      <c r="AA1566" s="34" t="s">
        <v>7476</v>
      </c>
      <c r="AB1566" s="36" t="s">
        <v>7476</v>
      </c>
      <c r="AD1566" t="s">
        <v>4886</v>
      </c>
      <c r="AE1566" t="s">
        <v>4887</v>
      </c>
      <c r="AF1566" s="16">
        <v>44883</v>
      </c>
      <c r="AG1566" t="s">
        <v>68</v>
      </c>
      <c r="AH1566">
        <v>3</v>
      </c>
      <c r="AI1566" s="8">
        <f>IFERROR(R1566-AF1566,"")</f>
        <v>16.2205671296324</v>
      </c>
      <c r="AJ1566" s="8">
        <f>IFERROR(O1566-AF1566,"")</f>
        <v>8.2205671296323999</v>
      </c>
      <c r="AK1566" s="38">
        <f t="shared" si="634"/>
        <v>44985.220567129632</v>
      </c>
      <c r="AL1566" t="str">
        <f>IFERROR(Z1566-W1566,"")</f>
        <v/>
      </c>
      <c r="AM1566">
        <f>IFERROR(R1566-J1566,"")</f>
        <v>26</v>
      </c>
      <c r="AN1566">
        <f>IFERROR(V1566-O1566,"")</f>
        <v>4</v>
      </c>
      <c r="AO1566">
        <f>IFERROR(J1566-I1566,"")</f>
        <v>4</v>
      </c>
      <c r="AP1566">
        <f>IFERROR(AC1566-X1566,"")</f>
        <v>0</v>
      </c>
      <c r="AQ1566" t="str">
        <f>IFERROR(AA1566-W1566,"")</f>
        <v/>
      </c>
    </row>
    <row r="1567" spans="1:43" x14ac:dyDescent="0.35">
      <c r="A1567">
        <v>705</v>
      </c>
      <c r="B1567" t="s">
        <v>4888</v>
      </c>
      <c r="C1567" t="s">
        <v>4480</v>
      </c>
      <c r="D1567" t="str">
        <f t="shared" si="632"/>
        <v>Finance</v>
      </c>
      <c r="E1567" t="s">
        <v>4614</v>
      </c>
      <c r="F1567" t="s">
        <v>3935</v>
      </c>
      <c r="G1567" t="s">
        <v>4615</v>
      </c>
      <c r="H1567" t="s">
        <v>334</v>
      </c>
      <c r="I1567" s="32">
        <v>45115.640983796293</v>
      </c>
      <c r="J1567" s="32">
        <v>45119.640983796293</v>
      </c>
      <c r="K1567" s="32">
        <v>45121.640983796293</v>
      </c>
      <c r="L1567" s="8">
        <f t="shared" si="633"/>
        <v>6</v>
      </c>
      <c r="M1567" s="7">
        <v>45149.640983796293</v>
      </c>
      <c r="N1567" t="s">
        <v>49</v>
      </c>
      <c r="O1567" s="34">
        <v>45123.640983796293</v>
      </c>
      <c r="P1567" t="s">
        <v>101</v>
      </c>
      <c r="R1567" s="32">
        <v>45130.640983796293</v>
      </c>
      <c r="S1567" t="s">
        <v>101</v>
      </c>
      <c r="T1567" s="34">
        <v>45125.640983796293</v>
      </c>
      <c r="U1567" s="34">
        <v>45128.640983796293</v>
      </c>
      <c r="V1567" s="32">
        <v>45126.640983796293</v>
      </c>
      <c r="W1567" s="32">
        <v>45133.640983796293</v>
      </c>
      <c r="X1567">
        <v>1</v>
      </c>
      <c r="Y1567" s="34">
        <v>45134.640983796293</v>
      </c>
      <c r="Z1567" s="34">
        <v>45136.640983796293</v>
      </c>
      <c r="AA1567" s="34">
        <v>45138.640983796293</v>
      </c>
      <c r="AB1567" s="36" t="s">
        <v>7476</v>
      </c>
      <c r="AC1567" s="10">
        <v>45149.640983796293</v>
      </c>
      <c r="AD1567" t="s">
        <v>4889</v>
      </c>
      <c r="AE1567" t="s">
        <v>4890</v>
      </c>
      <c r="AF1567" s="16">
        <v>45105</v>
      </c>
      <c r="AG1567" t="s">
        <v>68</v>
      </c>
      <c r="AH1567">
        <v>6</v>
      </c>
      <c r="AI1567" s="8">
        <f>IFERROR(R1567-AF1567,"")</f>
        <v>25.640983796292858</v>
      </c>
      <c r="AJ1567" s="8">
        <f>IFERROR(O1567-AF1567,"")</f>
        <v>18.640983796292858</v>
      </c>
      <c r="AK1567" s="38">
        <f t="shared" si="634"/>
        <v>45306.640983796293</v>
      </c>
      <c r="AL1567">
        <f>IFERROR(Z1567-W1567,"")</f>
        <v>3</v>
      </c>
      <c r="AM1567">
        <f>IFERROR(R1567-J1567,"")</f>
        <v>11</v>
      </c>
      <c r="AN1567">
        <f>IFERROR(V1567-O1567,"")</f>
        <v>3</v>
      </c>
      <c r="AO1567">
        <f>IFERROR(J1567-I1567,"")</f>
        <v>4</v>
      </c>
      <c r="AP1567">
        <f>IFERROR(AC1567-X1567,"")</f>
        <v>45148.640983796293</v>
      </c>
      <c r="AQ1567">
        <f>IFERROR(AA1567-W1567,"")</f>
        <v>5</v>
      </c>
    </row>
    <row r="1568" spans="1:43" x14ac:dyDescent="0.35">
      <c r="A1568">
        <v>701</v>
      </c>
      <c r="B1568" t="s">
        <v>4891</v>
      </c>
      <c r="C1568" t="s">
        <v>4471</v>
      </c>
      <c r="D1568" t="str">
        <f t="shared" si="632"/>
        <v>Finance</v>
      </c>
      <c r="E1568" t="s">
        <v>4614</v>
      </c>
      <c r="F1568" t="s">
        <v>3935</v>
      </c>
      <c r="G1568" t="s">
        <v>4615</v>
      </c>
      <c r="H1568" t="s">
        <v>334</v>
      </c>
      <c r="I1568" s="32">
        <v>45118.640983796293</v>
      </c>
      <c r="J1568" s="32">
        <v>45120.640983796293</v>
      </c>
      <c r="K1568" s="32" t="s">
        <v>7473</v>
      </c>
      <c r="L1568" s="8" t="str">
        <f t="shared" si="633"/>
        <v/>
      </c>
      <c r="M1568" s="7">
        <v>45151.640983796293</v>
      </c>
      <c r="N1568" t="s">
        <v>49</v>
      </c>
      <c r="O1568" s="34">
        <v>45127.640983796293</v>
      </c>
      <c r="P1568" t="s">
        <v>50</v>
      </c>
      <c r="Q1568" t="s">
        <v>84</v>
      </c>
      <c r="R1568" s="32" t="s">
        <v>7472</v>
      </c>
      <c r="S1568" t="s">
        <v>7476</v>
      </c>
      <c r="T1568" s="34" t="s">
        <v>7476</v>
      </c>
      <c r="U1568" s="34" t="s">
        <v>7476</v>
      </c>
      <c r="V1568" s="32" t="s">
        <v>7476</v>
      </c>
      <c r="W1568" s="32" t="s">
        <v>7476</v>
      </c>
      <c r="X1568">
        <v>0</v>
      </c>
      <c r="Y1568" s="34" t="s">
        <v>7476</v>
      </c>
      <c r="Z1568" s="34" t="s">
        <v>7476</v>
      </c>
      <c r="AA1568" s="34" t="s">
        <v>7476</v>
      </c>
      <c r="AB1568" s="36" t="s">
        <v>52</v>
      </c>
      <c r="AD1568" t="s">
        <v>4892</v>
      </c>
      <c r="AE1568" t="s">
        <v>4893</v>
      </c>
      <c r="AF1568" s="16">
        <v>45112</v>
      </c>
      <c r="AG1568" t="s">
        <v>55</v>
      </c>
      <c r="AH1568">
        <v>6</v>
      </c>
      <c r="AK1568" s="38" t="str">
        <f t="shared" si="634"/>
        <v/>
      </c>
    </row>
    <row r="1569" spans="1:43" x14ac:dyDescent="0.35">
      <c r="A1569">
        <v>608</v>
      </c>
      <c r="B1569" t="s">
        <v>4894</v>
      </c>
      <c r="C1569" t="s">
        <v>4480</v>
      </c>
      <c r="D1569" t="str">
        <f t="shared" si="632"/>
        <v>Finance</v>
      </c>
      <c r="E1569" t="s">
        <v>4614</v>
      </c>
      <c r="F1569" t="s">
        <v>3935</v>
      </c>
      <c r="G1569" t="s">
        <v>4615</v>
      </c>
      <c r="H1569" t="s">
        <v>334</v>
      </c>
      <c r="I1569" s="32">
        <v>44571.309340277781</v>
      </c>
      <c r="J1569" s="32">
        <v>44574.309340277781</v>
      </c>
      <c r="K1569" s="32">
        <v>44576.309340277781</v>
      </c>
      <c r="L1569" s="8">
        <f t="shared" si="633"/>
        <v>5</v>
      </c>
      <c r="M1569" s="7">
        <v>44589.309340277781</v>
      </c>
      <c r="N1569" t="s">
        <v>72</v>
      </c>
      <c r="O1569" s="34" t="s">
        <v>7474</v>
      </c>
      <c r="R1569" s="32" t="s">
        <v>7472</v>
      </c>
      <c r="S1569" t="s">
        <v>7476</v>
      </c>
      <c r="T1569" s="34" t="s">
        <v>7476</v>
      </c>
      <c r="U1569" s="34" t="s">
        <v>7476</v>
      </c>
      <c r="V1569" s="32" t="s">
        <v>7476</v>
      </c>
      <c r="W1569" s="32" t="s">
        <v>7476</v>
      </c>
      <c r="X1569">
        <v>0</v>
      </c>
      <c r="Y1569" s="34" t="s">
        <v>7476</v>
      </c>
      <c r="Z1569" s="34" t="s">
        <v>7476</v>
      </c>
      <c r="AA1569" s="34" t="s">
        <v>7476</v>
      </c>
      <c r="AB1569" s="36" t="s">
        <v>7476</v>
      </c>
      <c r="AD1569" t="s">
        <v>4895</v>
      </c>
      <c r="AE1569" t="s">
        <v>4896</v>
      </c>
      <c r="AG1569" t="s">
        <v>98</v>
      </c>
      <c r="AH1569">
        <v>3</v>
      </c>
      <c r="AI1569" s="8" t="str">
        <f>IFERROR(R1569-AF1569,"")</f>
        <v/>
      </c>
      <c r="AJ1569" s="8" t="str">
        <f>IFERROR(O1569-AF1569,"")</f>
        <v/>
      </c>
      <c r="AK1569" s="38" t="str">
        <f t="shared" si="634"/>
        <v/>
      </c>
      <c r="AL1569" t="str">
        <f>IFERROR(Z1569-W1569,"")</f>
        <v/>
      </c>
      <c r="AM1569" t="str">
        <f>IFERROR(R1569-J1569,"")</f>
        <v/>
      </c>
      <c r="AN1569" t="str">
        <f>IFERROR(V1569-O1569,"")</f>
        <v/>
      </c>
      <c r="AO1569">
        <f>IFERROR(J1569-I1569,"")</f>
        <v>3</v>
      </c>
      <c r="AP1569">
        <f>IFERROR(AC1569-X1569,"")</f>
        <v>0</v>
      </c>
      <c r="AQ1569" t="str">
        <f>IFERROR(AA1569-W1569,"")</f>
        <v/>
      </c>
    </row>
    <row r="1570" spans="1:43" x14ac:dyDescent="0.35">
      <c r="A1570">
        <v>606</v>
      </c>
      <c r="B1570" t="s">
        <v>4897</v>
      </c>
      <c r="C1570" t="s">
        <v>4480</v>
      </c>
      <c r="D1570" t="str">
        <f t="shared" si="632"/>
        <v>Finance</v>
      </c>
      <c r="E1570" t="s">
        <v>4614</v>
      </c>
      <c r="F1570" t="s">
        <v>3935</v>
      </c>
      <c r="G1570" t="s">
        <v>4615</v>
      </c>
      <c r="H1570" t="s">
        <v>334</v>
      </c>
      <c r="I1570" s="32">
        <v>44572.309340277781</v>
      </c>
      <c r="J1570" s="32">
        <v>44575.309340277781</v>
      </c>
      <c r="K1570" s="32">
        <v>44576.309340277781</v>
      </c>
      <c r="L1570" s="8">
        <f t="shared" si="633"/>
        <v>4</v>
      </c>
      <c r="M1570" s="7">
        <v>44588.309340277781</v>
      </c>
      <c r="N1570" t="s">
        <v>72</v>
      </c>
      <c r="O1570" s="34" t="s">
        <v>7474</v>
      </c>
      <c r="R1570" s="32" t="s">
        <v>7472</v>
      </c>
      <c r="S1570" t="s">
        <v>7476</v>
      </c>
      <c r="T1570" s="34" t="s">
        <v>7476</v>
      </c>
      <c r="U1570" s="34" t="s">
        <v>7476</v>
      </c>
      <c r="V1570" s="32" t="s">
        <v>7476</v>
      </c>
      <c r="W1570" s="32" t="s">
        <v>7476</v>
      </c>
      <c r="X1570">
        <v>0</v>
      </c>
      <c r="Y1570" s="34" t="s">
        <v>7476</v>
      </c>
      <c r="Z1570" s="34" t="s">
        <v>7476</v>
      </c>
      <c r="AA1570" s="34" t="s">
        <v>7476</v>
      </c>
      <c r="AB1570" s="36" t="s">
        <v>7476</v>
      </c>
      <c r="AD1570" t="s">
        <v>4898</v>
      </c>
      <c r="AE1570" t="s">
        <v>4899</v>
      </c>
      <c r="AG1570" t="s">
        <v>64</v>
      </c>
      <c r="AH1570">
        <v>3</v>
      </c>
      <c r="AI1570" s="8" t="str">
        <f>IFERROR(R1570-AF1570,"")</f>
        <v/>
      </c>
      <c r="AJ1570" s="8" t="str">
        <f>IFERROR(O1570-AF1570,"")</f>
        <v/>
      </c>
      <c r="AK1570" s="38" t="str">
        <f t="shared" si="634"/>
        <v/>
      </c>
      <c r="AL1570" t="str">
        <f>IFERROR(Z1570-W1570,"")</f>
        <v/>
      </c>
      <c r="AM1570" t="str">
        <f>IFERROR(R1570-J1570,"")</f>
        <v/>
      </c>
      <c r="AN1570" t="str">
        <f>IFERROR(V1570-O1570,"")</f>
        <v/>
      </c>
      <c r="AO1570">
        <f>IFERROR(J1570-I1570,"")</f>
        <v>3</v>
      </c>
      <c r="AP1570">
        <f>IFERROR(AC1570-X1570,"")</f>
        <v>0</v>
      </c>
      <c r="AQ1570" t="str">
        <f>IFERROR(AA1570-W1570,"")</f>
        <v/>
      </c>
    </row>
    <row r="1571" spans="1:43" x14ac:dyDescent="0.35">
      <c r="A1571">
        <v>605</v>
      </c>
      <c r="B1571" t="s">
        <v>4900</v>
      </c>
      <c r="C1571" t="s">
        <v>4480</v>
      </c>
      <c r="D1571" t="str">
        <f t="shared" si="632"/>
        <v>Finance</v>
      </c>
      <c r="E1571" t="s">
        <v>4614</v>
      </c>
      <c r="F1571" t="s">
        <v>3935</v>
      </c>
      <c r="G1571" t="s">
        <v>4615</v>
      </c>
      <c r="H1571" t="s">
        <v>334</v>
      </c>
      <c r="I1571" s="32">
        <v>44567.309340277781</v>
      </c>
      <c r="J1571" s="32">
        <v>44571.309340277781</v>
      </c>
      <c r="K1571" s="32">
        <v>44576.309340277781</v>
      </c>
      <c r="L1571" s="8">
        <f t="shared" si="633"/>
        <v>9</v>
      </c>
      <c r="M1571" s="7">
        <v>44598.309340277781</v>
      </c>
      <c r="N1571" t="s">
        <v>49</v>
      </c>
      <c r="O1571" s="34">
        <v>44590.309340277781</v>
      </c>
      <c r="P1571" t="s">
        <v>101</v>
      </c>
      <c r="R1571" s="32">
        <v>44595.309340277781</v>
      </c>
      <c r="S1571" t="s">
        <v>101</v>
      </c>
      <c r="T1571" s="34">
        <v>44592.309340277781</v>
      </c>
      <c r="U1571" s="34">
        <v>44593.309340277781</v>
      </c>
      <c r="V1571" s="32">
        <v>44593.309340277781</v>
      </c>
      <c r="W1571" s="32">
        <v>44602.309340277781</v>
      </c>
      <c r="X1571">
        <v>1</v>
      </c>
      <c r="Y1571" s="34">
        <v>44605.309340277781</v>
      </c>
      <c r="Z1571" s="34">
        <v>44608.309340277781</v>
      </c>
      <c r="AA1571" s="34">
        <v>44611.309340277781</v>
      </c>
      <c r="AB1571" s="36" t="s">
        <v>7476</v>
      </c>
      <c r="AC1571" s="10">
        <v>44618.309340277781</v>
      </c>
      <c r="AD1571" t="s">
        <v>4901</v>
      </c>
      <c r="AE1571" t="s">
        <v>4902</v>
      </c>
      <c r="AF1571" s="16">
        <v>44575</v>
      </c>
      <c r="AG1571" t="s">
        <v>98</v>
      </c>
      <c r="AH1571">
        <v>6</v>
      </c>
      <c r="AI1571" s="8">
        <f>IFERROR(R1571-AF1571,"")</f>
        <v>20.309340277781303</v>
      </c>
      <c r="AJ1571" s="8">
        <f>IFERROR(O1571-AF1571,"")</f>
        <v>15.309340277781303</v>
      </c>
      <c r="AK1571" s="38">
        <f t="shared" si="634"/>
        <v>44773.309340277781</v>
      </c>
      <c r="AL1571">
        <f>IFERROR(Z1571-W1571,"")</f>
        <v>6</v>
      </c>
      <c r="AM1571">
        <f>IFERROR(R1571-J1571,"")</f>
        <v>24</v>
      </c>
      <c r="AN1571">
        <f>IFERROR(V1571-O1571,"")</f>
        <v>3</v>
      </c>
      <c r="AO1571">
        <f>IFERROR(J1571-I1571,"")</f>
        <v>4</v>
      </c>
      <c r="AP1571">
        <f>IFERROR(AC1571-X1571,"")</f>
        <v>44617.309340277781</v>
      </c>
      <c r="AQ1571">
        <f>IFERROR(AA1571-W1571,"")</f>
        <v>9</v>
      </c>
    </row>
    <row r="1572" spans="1:43" x14ac:dyDescent="0.35">
      <c r="A1572">
        <v>597</v>
      </c>
      <c r="B1572" t="s">
        <v>4903</v>
      </c>
      <c r="C1572" t="s">
        <v>4480</v>
      </c>
      <c r="D1572" t="str">
        <f t="shared" si="632"/>
        <v>Finance</v>
      </c>
      <c r="E1572" t="s">
        <v>4614</v>
      </c>
      <c r="F1572" t="s">
        <v>3935</v>
      </c>
      <c r="G1572" t="s">
        <v>4615</v>
      </c>
      <c r="H1572" t="s">
        <v>334</v>
      </c>
      <c r="I1572" s="32">
        <v>44878.821550925917</v>
      </c>
      <c r="J1572" s="32" t="s">
        <v>7471</v>
      </c>
      <c r="K1572" s="32">
        <v>44886.821550925917</v>
      </c>
      <c r="L1572" s="8">
        <f t="shared" si="633"/>
        <v>8</v>
      </c>
      <c r="M1572" s="7">
        <v>44904.821550925917</v>
      </c>
      <c r="N1572" t="s">
        <v>72</v>
      </c>
      <c r="O1572" s="34" t="s">
        <v>7474</v>
      </c>
      <c r="R1572" s="32" t="s">
        <v>7472</v>
      </c>
      <c r="S1572" t="s">
        <v>7476</v>
      </c>
      <c r="T1572" s="34" t="s">
        <v>7476</v>
      </c>
      <c r="U1572" s="34" t="s">
        <v>7476</v>
      </c>
      <c r="V1572" s="32" t="s">
        <v>7476</v>
      </c>
      <c r="W1572" s="32" t="s">
        <v>7476</v>
      </c>
      <c r="X1572">
        <v>0</v>
      </c>
      <c r="Y1572" s="34" t="s">
        <v>7476</v>
      </c>
      <c r="Z1572" s="34" t="s">
        <v>7476</v>
      </c>
      <c r="AA1572" s="34" t="s">
        <v>7476</v>
      </c>
      <c r="AB1572" s="36" t="s">
        <v>7476</v>
      </c>
      <c r="AD1572" t="s">
        <v>4904</v>
      </c>
      <c r="AE1572" t="s">
        <v>4905</v>
      </c>
      <c r="AG1572" t="s">
        <v>98</v>
      </c>
      <c r="AH1572">
        <v>6</v>
      </c>
      <c r="AK1572" s="38" t="str">
        <f t="shared" si="634"/>
        <v/>
      </c>
    </row>
    <row r="1573" spans="1:43" x14ac:dyDescent="0.35">
      <c r="A1573">
        <v>594</v>
      </c>
      <c r="B1573" t="s">
        <v>4906</v>
      </c>
      <c r="C1573" t="s">
        <v>4480</v>
      </c>
      <c r="D1573" t="str">
        <f t="shared" si="632"/>
        <v>Finance</v>
      </c>
      <c r="E1573" t="s">
        <v>4614</v>
      </c>
      <c r="F1573" t="s">
        <v>3935</v>
      </c>
      <c r="G1573" t="s">
        <v>4615</v>
      </c>
      <c r="H1573" t="s">
        <v>334</v>
      </c>
      <c r="I1573" s="32">
        <v>44880.821550925917</v>
      </c>
      <c r="J1573" s="32" t="s">
        <v>7471</v>
      </c>
      <c r="K1573" s="32">
        <v>44886.821550925917</v>
      </c>
      <c r="L1573" s="8">
        <f t="shared" si="633"/>
        <v>6</v>
      </c>
      <c r="M1573" s="7">
        <v>44893.821550925917</v>
      </c>
      <c r="N1573" t="s">
        <v>49</v>
      </c>
      <c r="O1573" s="34">
        <v>44899.821550925917</v>
      </c>
      <c r="P1573" t="s">
        <v>101</v>
      </c>
      <c r="R1573" s="32">
        <v>44904.821550925917</v>
      </c>
      <c r="S1573" t="s">
        <v>101</v>
      </c>
      <c r="T1573" s="34">
        <v>44901.821550925917</v>
      </c>
      <c r="U1573" s="34">
        <v>44903.821550925917</v>
      </c>
      <c r="V1573" s="32">
        <v>44903.821550925917</v>
      </c>
      <c r="W1573" s="32">
        <v>44907.821550925917</v>
      </c>
      <c r="X1573">
        <v>1</v>
      </c>
      <c r="Y1573" s="34">
        <v>44910.821550925917</v>
      </c>
      <c r="Z1573" s="34">
        <v>44911.821550925917</v>
      </c>
      <c r="AA1573" s="34">
        <v>44913.821550925917</v>
      </c>
      <c r="AB1573" s="36" t="s">
        <v>7476</v>
      </c>
      <c r="AC1573" s="10">
        <v>44921.821550925917</v>
      </c>
      <c r="AD1573" t="s">
        <v>4907</v>
      </c>
      <c r="AE1573" t="s">
        <v>4908</v>
      </c>
      <c r="AF1573" s="16">
        <v>44881</v>
      </c>
      <c r="AG1573" t="s">
        <v>64</v>
      </c>
      <c r="AH1573">
        <v>6</v>
      </c>
      <c r="AK1573" s="38">
        <f t="shared" si="634"/>
        <v>45083.821550925917</v>
      </c>
    </row>
    <row r="1574" spans="1:43" x14ac:dyDescent="0.35">
      <c r="A1574">
        <v>591</v>
      </c>
      <c r="B1574" t="s">
        <v>4909</v>
      </c>
      <c r="C1574" t="s">
        <v>4471</v>
      </c>
      <c r="D1574" t="str">
        <f t="shared" si="632"/>
        <v>Finance</v>
      </c>
      <c r="E1574" t="s">
        <v>4614</v>
      </c>
      <c r="F1574" t="s">
        <v>3935</v>
      </c>
      <c r="G1574" t="s">
        <v>4615</v>
      </c>
      <c r="H1574" t="s">
        <v>334</v>
      </c>
      <c r="I1574" s="32" t="s">
        <v>7471</v>
      </c>
      <c r="J1574" s="32">
        <v>44884.821550925917</v>
      </c>
      <c r="K1574" s="32">
        <v>44886.821550925917</v>
      </c>
      <c r="L1574" s="8" t="str">
        <f t="shared" si="633"/>
        <v/>
      </c>
      <c r="M1574" s="7">
        <v>44896.821550925917</v>
      </c>
      <c r="N1574" t="s">
        <v>49</v>
      </c>
      <c r="O1574" s="34">
        <v>44901.821550925917</v>
      </c>
      <c r="P1574" t="s">
        <v>101</v>
      </c>
      <c r="R1574" s="32">
        <v>44906.821550925917</v>
      </c>
      <c r="S1574" t="s">
        <v>101</v>
      </c>
      <c r="T1574" s="34">
        <v>44902.821550925917</v>
      </c>
      <c r="U1574" s="34">
        <v>44904.821550925917</v>
      </c>
      <c r="V1574" s="32">
        <v>44904.821550925917</v>
      </c>
      <c r="W1574" s="32">
        <v>44905.821550925917</v>
      </c>
      <c r="X1574">
        <v>1</v>
      </c>
      <c r="Y1574" s="34">
        <v>44907.821550925917</v>
      </c>
      <c r="Z1574" s="34">
        <v>44908.821550925917</v>
      </c>
      <c r="AA1574" s="34">
        <v>44910.821550925917</v>
      </c>
      <c r="AB1574" s="36" t="s">
        <v>7476</v>
      </c>
      <c r="AC1574" s="10">
        <v>44922.821550925917</v>
      </c>
      <c r="AD1574" t="s">
        <v>4910</v>
      </c>
      <c r="AE1574" t="s">
        <v>4911</v>
      </c>
      <c r="AF1574" s="16">
        <v>44890</v>
      </c>
      <c r="AG1574" t="s">
        <v>64</v>
      </c>
      <c r="AH1574">
        <v>6</v>
      </c>
      <c r="AK1574" s="38">
        <f t="shared" si="634"/>
        <v>45084.821550925917</v>
      </c>
    </row>
    <row r="1575" spans="1:43" x14ac:dyDescent="0.35">
      <c r="A1575">
        <v>459</v>
      </c>
      <c r="B1575" t="s">
        <v>4912</v>
      </c>
      <c r="C1575" t="s">
        <v>4480</v>
      </c>
      <c r="D1575" t="str">
        <f t="shared" si="632"/>
        <v>Finance</v>
      </c>
      <c r="E1575" t="s">
        <v>4614</v>
      </c>
      <c r="F1575" t="s">
        <v>3935</v>
      </c>
      <c r="G1575" t="s">
        <v>4615</v>
      </c>
      <c r="H1575" t="s">
        <v>334</v>
      </c>
      <c r="I1575" s="32">
        <v>44976.571030092593</v>
      </c>
      <c r="J1575" s="32">
        <v>44978.571030092593</v>
      </c>
      <c r="K1575" s="32">
        <v>44979.571030092593</v>
      </c>
      <c r="L1575" s="8">
        <f t="shared" si="633"/>
        <v>3</v>
      </c>
      <c r="M1575" s="7">
        <v>44999.571030092593</v>
      </c>
      <c r="N1575" t="s">
        <v>49</v>
      </c>
      <c r="O1575" s="34">
        <v>44990.571030092593</v>
      </c>
      <c r="P1575" t="s">
        <v>101</v>
      </c>
      <c r="R1575" s="32">
        <v>44997.571030092593</v>
      </c>
      <c r="S1575" t="s">
        <v>101</v>
      </c>
      <c r="T1575" s="34">
        <v>44991.571030092593</v>
      </c>
      <c r="U1575" s="34">
        <v>44992.571030092593</v>
      </c>
      <c r="V1575" s="32">
        <v>44994.571030092593</v>
      </c>
      <c r="W1575" s="32">
        <v>45001.571030092593</v>
      </c>
      <c r="X1575">
        <v>1</v>
      </c>
      <c r="Y1575" s="34">
        <v>45002.571030092593</v>
      </c>
      <c r="Z1575" s="34">
        <v>45005.571030092593</v>
      </c>
      <c r="AA1575" s="34">
        <v>45007.571030092593</v>
      </c>
      <c r="AB1575" s="36" t="s">
        <v>7476</v>
      </c>
      <c r="AC1575" s="10">
        <v>45019.571030092593</v>
      </c>
      <c r="AD1575" t="s">
        <v>4913</v>
      </c>
      <c r="AE1575" t="s">
        <v>4914</v>
      </c>
      <c r="AF1575" s="16">
        <v>44976</v>
      </c>
      <c r="AG1575" t="s">
        <v>64</v>
      </c>
      <c r="AH1575">
        <v>6</v>
      </c>
      <c r="AI1575" s="8">
        <f t="shared" ref="AI1575:AI1586" si="635">IFERROR(R1575-AF1575,"")</f>
        <v>21.571030092592991</v>
      </c>
      <c r="AJ1575" s="8">
        <f t="shared" ref="AJ1575:AJ1586" si="636">IFERROR(O1575-AF1575,"")</f>
        <v>14.571030092592991</v>
      </c>
      <c r="AK1575" s="38">
        <f t="shared" si="634"/>
        <v>45174.571030092593</v>
      </c>
      <c r="AL1575">
        <f t="shared" ref="AL1575:AL1586" si="637">IFERROR(Z1575-W1575,"")</f>
        <v>4</v>
      </c>
      <c r="AM1575">
        <f t="shared" ref="AM1575:AM1586" si="638">IFERROR(R1575-J1575,"")</f>
        <v>19</v>
      </c>
      <c r="AN1575">
        <f t="shared" ref="AN1575:AN1586" si="639">IFERROR(V1575-O1575,"")</f>
        <v>4</v>
      </c>
      <c r="AO1575">
        <f t="shared" ref="AO1575:AO1586" si="640">IFERROR(J1575-I1575,"")</f>
        <v>2</v>
      </c>
      <c r="AP1575">
        <f t="shared" ref="AP1575:AP1586" si="641">IFERROR(AC1575-X1575,"")</f>
        <v>45018.571030092593</v>
      </c>
      <c r="AQ1575">
        <f t="shared" ref="AQ1575:AQ1586" si="642">IFERROR(AA1575-W1575,"")</f>
        <v>6</v>
      </c>
    </row>
    <row r="1576" spans="1:43" x14ac:dyDescent="0.35">
      <c r="A1576">
        <v>455</v>
      </c>
      <c r="B1576" t="s">
        <v>4915</v>
      </c>
      <c r="C1576" t="s">
        <v>4471</v>
      </c>
      <c r="D1576" t="str">
        <f t="shared" si="632"/>
        <v>Finance</v>
      </c>
      <c r="E1576" t="s">
        <v>4614</v>
      </c>
      <c r="F1576" t="s">
        <v>3935</v>
      </c>
      <c r="G1576" t="s">
        <v>4615</v>
      </c>
      <c r="H1576" t="s">
        <v>334</v>
      </c>
      <c r="I1576" s="32">
        <v>44977.571030092593</v>
      </c>
      <c r="J1576" s="32">
        <v>44978.571030092593</v>
      </c>
      <c r="K1576" s="32">
        <v>44979.571030092593</v>
      </c>
      <c r="L1576" s="8">
        <f t="shared" si="633"/>
        <v>2</v>
      </c>
      <c r="M1576" s="7">
        <v>44993.571030092593</v>
      </c>
      <c r="N1576" t="s">
        <v>49</v>
      </c>
      <c r="O1576" s="34">
        <v>44992.571030092593</v>
      </c>
      <c r="P1576" t="s">
        <v>101</v>
      </c>
      <c r="R1576" s="32">
        <v>44996.571030092593</v>
      </c>
      <c r="S1576" t="s">
        <v>101</v>
      </c>
      <c r="T1576" s="34">
        <v>44993.571030092593</v>
      </c>
      <c r="U1576" s="34">
        <v>44997.571030092593</v>
      </c>
      <c r="V1576" s="32">
        <v>44994.571030092593</v>
      </c>
      <c r="W1576" s="32">
        <v>44996.571030092593</v>
      </c>
      <c r="X1576">
        <v>1</v>
      </c>
      <c r="Y1576" s="34">
        <v>44997.571030092593</v>
      </c>
      <c r="Z1576" s="34">
        <v>45000.571030092593</v>
      </c>
      <c r="AA1576" s="34">
        <v>45002.571030092593</v>
      </c>
      <c r="AB1576" s="36" t="s">
        <v>7476</v>
      </c>
      <c r="AC1576" s="10">
        <v>45015.571030092593</v>
      </c>
      <c r="AD1576" t="s">
        <v>4916</v>
      </c>
      <c r="AE1576" t="s">
        <v>4917</v>
      </c>
      <c r="AF1576" s="16">
        <v>44983</v>
      </c>
      <c r="AG1576" t="s">
        <v>68</v>
      </c>
      <c r="AH1576">
        <v>6</v>
      </c>
      <c r="AI1576" s="8">
        <f t="shared" si="635"/>
        <v>13.571030092592991</v>
      </c>
      <c r="AJ1576" s="8">
        <f t="shared" si="636"/>
        <v>9.5710300925929914</v>
      </c>
      <c r="AK1576" s="38">
        <f t="shared" si="634"/>
        <v>45174.571030092593</v>
      </c>
      <c r="AL1576">
        <f t="shared" si="637"/>
        <v>4</v>
      </c>
      <c r="AM1576">
        <f t="shared" si="638"/>
        <v>18</v>
      </c>
      <c r="AN1576">
        <f t="shared" si="639"/>
        <v>2</v>
      </c>
      <c r="AO1576">
        <f t="shared" si="640"/>
        <v>1</v>
      </c>
      <c r="AP1576">
        <f t="shared" si="641"/>
        <v>45014.571030092593</v>
      </c>
      <c r="AQ1576">
        <f t="shared" si="642"/>
        <v>6</v>
      </c>
    </row>
    <row r="1577" spans="1:43" x14ac:dyDescent="0.35">
      <c r="A1577">
        <v>452</v>
      </c>
      <c r="B1577" t="s">
        <v>4918</v>
      </c>
      <c r="C1577" t="s">
        <v>4480</v>
      </c>
      <c r="D1577" t="str">
        <f t="shared" si="632"/>
        <v>Finance</v>
      </c>
      <c r="E1577" t="s">
        <v>4614</v>
      </c>
      <c r="F1577" t="s">
        <v>3935</v>
      </c>
      <c r="G1577" t="s">
        <v>4615</v>
      </c>
      <c r="H1577" t="s">
        <v>334</v>
      </c>
      <c r="I1577" s="32">
        <v>44974.571030092593</v>
      </c>
      <c r="J1577" s="32">
        <v>44977.571030092593</v>
      </c>
      <c r="K1577" s="32">
        <v>44979.571030092593</v>
      </c>
      <c r="L1577" s="8">
        <f t="shared" si="633"/>
        <v>5</v>
      </c>
      <c r="M1577" s="7">
        <v>44992.571030092593</v>
      </c>
      <c r="N1577" t="s">
        <v>49</v>
      </c>
      <c r="O1577" s="34">
        <v>44997.571030092593</v>
      </c>
      <c r="P1577" t="s">
        <v>50</v>
      </c>
      <c r="Q1577" t="s">
        <v>198</v>
      </c>
      <c r="R1577" s="32" t="s">
        <v>7472</v>
      </c>
      <c r="S1577" t="s">
        <v>7476</v>
      </c>
      <c r="T1577" s="34" t="s">
        <v>7476</v>
      </c>
      <c r="U1577" s="34" t="s">
        <v>7476</v>
      </c>
      <c r="V1577" s="32" t="s">
        <v>7476</v>
      </c>
      <c r="W1577" s="32" t="s">
        <v>7476</v>
      </c>
      <c r="X1577">
        <v>0</v>
      </c>
      <c r="Y1577" s="34" t="s">
        <v>7476</v>
      </c>
      <c r="Z1577" s="34" t="s">
        <v>7476</v>
      </c>
      <c r="AA1577" s="34" t="s">
        <v>7476</v>
      </c>
      <c r="AB1577" s="36" t="s">
        <v>52</v>
      </c>
      <c r="AD1577" t="s">
        <v>4919</v>
      </c>
      <c r="AE1577" t="s">
        <v>4920</v>
      </c>
      <c r="AF1577" s="16">
        <v>44990</v>
      </c>
      <c r="AG1577" t="s">
        <v>68</v>
      </c>
      <c r="AH1577">
        <v>6</v>
      </c>
      <c r="AI1577" s="8" t="str">
        <f t="shared" si="635"/>
        <v/>
      </c>
      <c r="AJ1577" s="8">
        <f t="shared" si="636"/>
        <v>7.5710300925929914</v>
      </c>
      <c r="AK1577" s="38" t="str">
        <f t="shared" si="634"/>
        <v/>
      </c>
      <c r="AL1577" t="str">
        <f t="shared" si="637"/>
        <v/>
      </c>
      <c r="AM1577" t="str">
        <f t="shared" si="638"/>
        <v/>
      </c>
      <c r="AN1577" t="str">
        <f t="shared" si="639"/>
        <v/>
      </c>
      <c r="AO1577">
        <f t="shared" si="640"/>
        <v>3</v>
      </c>
      <c r="AP1577">
        <f t="shared" si="641"/>
        <v>0</v>
      </c>
      <c r="AQ1577" t="str">
        <f t="shared" si="642"/>
        <v/>
      </c>
    </row>
    <row r="1578" spans="1:43" x14ac:dyDescent="0.35">
      <c r="A1578">
        <v>400</v>
      </c>
      <c r="B1578" t="s">
        <v>4921</v>
      </c>
      <c r="C1578" t="s">
        <v>4502</v>
      </c>
      <c r="D1578" t="str">
        <f t="shared" si="632"/>
        <v>Finance</v>
      </c>
      <c r="E1578" t="s">
        <v>4614</v>
      </c>
      <c r="F1578" t="s">
        <v>3935</v>
      </c>
      <c r="G1578" t="s">
        <v>4615</v>
      </c>
      <c r="H1578" t="s">
        <v>334</v>
      </c>
      <c r="I1578" s="32">
        <v>44975.686574074083</v>
      </c>
      <c r="J1578" s="32">
        <v>44976.686574074083</v>
      </c>
      <c r="K1578" s="32">
        <v>44977.686574074083</v>
      </c>
      <c r="L1578" s="8">
        <f t="shared" si="633"/>
        <v>2</v>
      </c>
      <c r="M1578" s="7">
        <v>45003.686574074083</v>
      </c>
      <c r="N1578" t="s">
        <v>49</v>
      </c>
      <c r="O1578" s="34">
        <v>44992.686574074083</v>
      </c>
      <c r="P1578" t="s">
        <v>50</v>
      </c>
      <c r="Q1578" t="s">
        <v>125</v>
      </c>
      <c r="R1578" s="32" t="s">
        <v>7472</v>
      </c>
      <c r="S1578" t="s">
        <v>7476</v>
      </c>
      <c r="T1578" s="34" t="s">
        <v>7476</v>
      </c>
      <c r="U1578" s="34" t="s">
        <v>7476</v>
      </c>
      <c r="V1578" s="32" t="s">
        <v>7476</v>
      </c>
      <c r="W1578" s="32" t="s">
        <v>7476</v>
      </c>
      <c r="X1578">
        <v>0</v>
      </c>
      <c r="Y1578" s="34" t="s">
        <v>7476</v>
      </c>
      <c r="Z1578" s="34" t="s">
        <v>7476</v>
      </c>
      <c r="AA1578" s="34" t="s">
        <v>7476</v>
      </c>
      <c r="AB1578" s="36" t="s">
        <v>95</v>
      </c>
      <c r="AD1578" t="s">
        <v>4922</v>
      </c>
      <c r="AE1578" t="s">
        <v>4923</v>
      </c>
      <c r="AF1578" s="16">
        <v>44978</v>
      </c>
      <c r="AG1578" t="s">
        <v>64</v>
      </c>
      <c r="AH1578">
        <v>6</v>
      </c>
      <c r="AI1578" s="8" t="str">
        <f t="shared" si="635"/>
        <v/>
      </c>
      <c r="AJ1578" s="8">
        <f t="shared" si="636"/>
        <v>14.686574074083182</v>
      </c>
      <c r="AK1578" s="38" t="str">
        <f t="shared" si="634"/>
        <v/>
      </c>
      <c r="AL1578" t="str">
        <f t="shared" si="637"/>
        <v/>
      </c>
      <c r="AM1578" t="str">
        <f t="shared" si="638"/>
        <v/>
      </c>
      <c r="AN1578" t="str">
        <f t="shared" si="639"/>
        <v/>
      </c>
      <c r="AO1578">
        <f t="shared" si="640"/>
        <v>1</v>
      </c>
      <c r="AP1578">
        <f t="shared" si="641"/>
        <v>0</v>
      </c>
      <c r="AQ1578" t="str">
        <f t="shared" si="642"/>
        <v/>
      </c>
    </row>
    <row r="1579" spans="1:43" x14ac:dyDescent="0.35">
      <c r="A1579">
        <v>393</v>
      </c>
      <c r="B1579" t="s">
        <v>4924</v>
      </c>
      <c r="C1579" t="s">
        <v>4502</v>
      </c>
      <c r="D1579" t="str">
        <f t="shared" si="632"/>
        <v>Finance</v>
      </c>
      <c r="E1579" t="s">
        <v>4614</v>
      </c>
      <c r="F1579" t="s">
        <v>3935</v>
      </c>
      <c r="G1579" t="s">
        <v>4615</v>
      </c>
      <c r="H1579" t="s">
        <v>334</v>
      </c>
      <c r="I1579" s="32">
        <v>44972.686574074083</v>
      </c>
      <c r="J1579" s="32">
        <v>44973.686574074083</v>
      </c>
      <c r="K1579" s="32">
        <v>44977.686574074083</v>
      </c>
      <c r="L1579" s="8">
        <f t="shared" si="633"/>
        <v>5</v>
      </c>
      <c r="M1579" s="7">
        <v>45005.686574074083</v>
      </c>
      <c r="N1579" t="s">
        <v>49</v>
      </c>
      <c r="O1579" s="34">
        <v>44987.686574074083</v>
      </c>
      <c r="P1579" t="s">
        <v>60</v>
      </c>
      <c r="R1579" s="32">
        <v>44993.686574074083</v>
      </c>
      <c r="S1579" t="s">
        <v>61</v>
      </c>
      <c r="T1579" s="34" t="s">
        <v>7476</v>
      </c>
      <c r="U1579" s="34" t="s">
        <v>7476</v>
      </c>
      <c r="V1579" s="32">
        <v>44990.686574074083</v>
      </c>
      <c r="W1579" s="32" t="s">
        <v>7476</v>
      </c>
      <c r="X1579">
        <v>0</v>
      </c>
      <c r="Y1579" s="34" t="s">
        <v>7476</v>
      </c>
      <c r="Z1579" s="34" t="s">
        <v>7476</v>
      </c>
      <c r="AA1579" s="34" t="s">
        <v>7476</v>
      </c>
      <c r="AB1579" s="36" t="s">
        <v>7476</v>
      </c>
      <c r="AD1579" t="s">
        <v>4925</v>
      </c>
      <c r="AE1579" t="s">
        <v>4926</v>
      </c>
      <c r="AF1579" s="16">
        <v>44972</v>
      </c>
      <c r="AG1579" t="s">
        <v>68</v>
      </c>
      <c r="AH1579">
        <v>6</v>
      </c>
      <c r="AI1579" s="8">
        <f t="shared" si="635"/>
        <v>21.686574074083182</v>
      </c>
      <c r="AJ1579" s="8">
        <f t="shared" si="636"/>
        <v>15.686574074083182</v>
      </c>
      <c r="AK1579" s="38">
        <f t="shared" si="634"/>
        <v>45170.686574074083</v>
      </c>
      <c r="AL1579" t="str">
        <f t="shared" si="637"/>
        <v/>
      </c>
      <c r="AM1579">
        <f t="shared" si="638"/>
        <v>20</v>
      </c>
      <c r="AN1579">
        <f t="shared" si="639"/>
        <v>3</v>
      </c>
      <c r="AO1579">
        <f t="shared" si="640"/>
        <v>1</v>
      </c>
      <c r="AP1579">
        <f t="shared" si="641"/>
        <v>0</v>
      </c>
      <c r="AQ1579" t="str">
        <f t="shared" si="642"/>
        <v/>
      </c>
    </row>
    <row r="1580" spans="1:43" x14ac:dyDescent="0.35">
      <c r="A1580">
        <v>345</v>
      </c>
      <c r="B1580" t="s">
        <v>4927</v>
      </c>
      <c r="C1580" t="s">
        <v>4502</v>
      </c>
      <c r="D1580" t="str">
        <f t="shared" si="632"/>
        <v>Finance</v>
      </c>
      <c r="E1580" t="s">
        <v>4614</v>
      </c>
      <c r="F1580" t="s">
        <v>3935</v>
      </c>
      <c r="G1580" t="s">
        <v>4615</v>
      </c>
      <c r="H1580" t="s">
        <v>334</v>
      </c>
      <c r="I1580" s="32">
        <v>44686.644375000003</v>
      </c>
      <c r="J1580" s="32">
        <v>44688.644375000003</v>
      </c>
      <c r="K1580" s="32">
        <v>44690.644375000003</v>
      </c>
      <c r="L1580" s="8">
        <f t="shared" si="633"/>
        <v>4</v>
      </c>
      <c r="M1580" s="7">
        <v>44710.644375000003</v>
      </c>
      <c r="N1580" t="s">
        <v>49</v>
      </c>
      <c r="O1580" s="34">
        <v>44700.644375000003</v>
      </c>
      <c r="P1580" t="s">
        <v>60</v>
      </c>
      <c r="R1580" s="32">
        <v>44704.644375000003</v>
      </c>
      <c r="S1580" t="s">
        <v>61</v>
      </c>
      <c r="T1580" s="34" t="s">
        <v>7476</v>
      </c>
      <c r="U1580" s="34" t="s">
        <v>7476</v>
      </c>
      <c r="V1580" s="32">
        <v>44703.644375000003</v>
      </c>
      <c r="W1580" s="32" t="s">
        <v>7476</v>
      </c>
      <c r="X1580">
        <v>0</v>
      </c>
      <c r="Y1580" s="34" t="s">
        <v>7476</v>
      </c>
      <c r="Z1580" s="34" t="s">
        <v>7476</v>
      </c>
      <c r="AA1580" s="34" t="s">
        <v>7476</v>
      </c>
      <c r="AB1580" s="36" t="s">
        <v>7476</v>
      </c>
      <c r="AD1580" t="s">
        <v>4928</v>
      </c>
      <c r="AE1580" t="s">
        <v>4929</v>
      </c>
      <c r="AF1580" s="16">
        <v>44625</v>
      </c>
      <c r="AG1580" t="s">
        <v>68</v>
      </c>
      <c r="AH1580">
        <v>3</v>
      </c>
      <c r="AI1580" s="8">
        <f t="shared" si="635"/>
        <v>79.644375000003492</v>
      </c>
      <c r="AJ1580" s="8">
        <f t="shared" si="636"/>
        <v>75.644375000003492</v>
      </c>
      <c r="AK1580" s="38">
        <f t="shared" si="634"/>
        <v>44793.644375000003</v>
      </c>
      <c r="AL1580" t="str">
        <f t="shared" si="637"/>
        <v/>
      </c>
      <c r="AM1580">
        <f t="shared" si="638"/>
        <v>16</v>
      </c>
      <c r="AN1580">
        <f t="shared" si="639"/>
        <v>3</v>
      </c>
      <c r="AO1580">
        <f t="shared" si="640"/>
        <v>2</v>
      </c>
      <c r="AP1580">
        <f t="shared" si="641"/>
        <v>0</v>
      </c>
      <c r="AQ1580" t="str">
        <f t="shared" si="642"/>
        <v/>
      </c>
    </row>
    <row r="1581" spans="1:43" x14ac:dyDescent="0.35">
      <c r="A1581">
        <v>341</v>
      </c>
      <c r="B1581" t="s">
        <v>4930</v>
      </c>
      <c r="C1581" t="s">
        <v>4480</v>
      </c>
      <c r="D1581" t="str">
        <f t="shared" si="632"/>
        <v>Finance</v>
      </c>
      <c r="E1581" t="s">
        <v>4614</v>
      </c>
      <c r="F1581" t="s">
        <v>3935</v>
      </c>
      <c r="G1581" t="s">
        <v>4615</v>
      </c>
      <c r="H1581" t="s">
        <v>334</v>
      </c>
      <c r="I1581" s="32">
        <v>44685.644375000003</v>
      </c>
      <c r="J1581" s="32">
        <v>44687.644375000003</v>
      </c>
      <c r="K1581" s="32">
        <v>44690.644375000003</v>
      </c>
      <c r="L1581" s="8">
        <f t="shared" si="633"/>
        <v>5</v>
      </c>
      <c r="M1581" s="7">
        <v>44695.644375000003</v>
      </c>
      <c r="N1581" t="s">
        <v>49</v>
      </c>
      <c r="O1581" s="34">
        <v>44693.644375000003</v>
      </c>
      <c r="P1581" t="s">
        <v>392</v>
      </c>
      <c r="R1581" s="32">
        <v>44696.644375000003</v>
      </c>
      <c r="S1581" t="s">
        <v>392</v>
      </c>
      <c r="T1581" s="34" t="s">
        <v>7476</v>
      </c>
      <c r="U1581" s="34" t="s">
        <v>7476</v>
      </c>
      <c r="V1581" s="32">
        <v>44695.644375000003</v>
      </c>
      <c r="W1581" s="32" t="s">
        <v>7476</v>
      </c>
      <c r="X1581">
        <v>0</v>
      </c>
      <c r="Y1581" s="34" t="s">
        <v>7476</v>
      </c>
      <c r="Z1581" s="34" t="s">
        <v>7476</v>
      </c>
      <c r="AA1581" s="34" t="s">
        <v>7476</v>
      </c>
      <c r="AB1581" s="36" t="s">
        <v>7476</v>
      </c>
      <c r="AD1581" t="s">
        <v>4931</v>
      </c>
      <c r="AE1581" t="s">
        <v>4932</v>
      </c>
      <c r="AF1581" s="16">
        <v>44675</v>
      </c>
      <c r="AG1581" t="s">
        <v>64</v>
      </c>
      <c r="AH1581">
        <v>3</v>
      </c>
      <c r="AI1581" s="8">
        <f t="shared" si="635"/>
        <v>21.644375000003492</v>
      </c>
      <c r="AJ1581" s="8">
        <f t="shared" si="636"/>
        <v>18.644375000003492</v>
      </c>
      <c r="AK1581" s="38">
        <f t="shared" si="634"/>
        <v>44785.644375000003</v>
      </c>
      <c r="AL1581" t="str">
        <f t="shared" si="637"/>
        <v/>
      </c>
      <c r="AM1581">
        <f t="shared" si="638"/>
        <v>9</v>
      </c>
      <c r="AN1581">
        <f t="shared" si="639"/>
        <v>2</v>
      </c>
      <c r="AO1581">
        <f t="shared" si="640"/>
        <v>2</v>
      </c>
      <c r="AP1581">
        <f t="shared" si="641"/>
        <v>0</v>
      </c>
      <c r="AQ1581" t="str">
        <f t="shared" si="642"/>
        <v/>
      </c>
    </row>
    <row r="1582" spans="1:43" x14ac:dyDescent="0.35">
      <c r="A1582">
        <v>285</v>
      </c>
      <c r="B1582" t="s">
        <v>4933</v>
      </c>
      <c r="C1582" t="s">
        <v>4480</v>
      </c>
      <c r="D1582" t="str">
        <f t="shared" si="632"/>
        <v>Finance</v>
      </c>
      <c r="E1582" t="s">
        <v>4614</v>
      </c>
      <c r="F1582" t="s">
        <v>3935</v>
      </c>
      <c r="G1582" t="s">
        <v>4615</v>
      </c>
      <c r="H1582" t="s">
        <v>334</v>
      </c>
      <c r="I1582" s="32">
        <v>44698.67763888889</v>
      </c>
      <c r="J1582" s="32">
        <v>44700.67763888889</v>
      </c>
      <c r="K1582" s="32">
        <v>44706.67763888889</v>
      </c>
      <c r="L1582" s="8">
        <f t="shared" si="633"/>
        <v>8</v>
      </c>
      <c r="M1582" s="7">
        <v>44714.67763888889</v>
      </c>
      <c r="N1582" t="s">
        <v>49</v>
      </c>
      <c r="O1582" s="34">
        <v>44714.67763888889</v>
      </c>
      <c r="P1582" t="s">
        <v>60</v>
      </c>
      <c r="R1582" s="32">
        <v>44720.67763888889</v>
      </c>
      <c r="S1582" t="s">
        <v>61</v>
      </c>
      <c r="T1582" s="34" t="s">
        <v>7476</v>
      </c>
      <c r="U1582" s="34" t="s">
        <v>7476</v>
      </c>
      <c r="V1582" s="32">
        <v>44718.67763888889</v>
      </c>
      <c r="W1582" s="32" t="s">
        <v>7476</v>
      </c>
      <c r="X1582">
        <v>0</v>
      </c>
      <c r="Y1582" s="34" t="s">
        <v>7476</v>
      </c>
      <c r="Z1582" s="34" t="s">
        <v>7476</v>
      </c>
      <c r="AA1582" s="34" t="s">
        <v>7476</v>
      </c>
      <c r="AB1582" s="36" t="s">
        <v>7476</v>
      </c>
      <c r="AD1582" t="s">
        <v>4934</v>
      </c>
      <c r="AE1582" t="s">
        <v>4935</v>
      </c>
      <c r="AF1582" s="16">
        <v>44695</v>
      </c>
      <c r="AG1582" t="s">
        <v>68</v>
      </c>
      <c r="AH1582">
        <v>6</v>
      </c>
      <c r="AI1582" s="8">
        <f t="shared" si="635"/>
        <v>25.677638888890215</v>
      </c>
      <c r="AJ1582" s="8">
        <f t="shared" si="636"/>
        <v>19.677638888890215</v>
      </c>
      <c r="AK1582" s="38">
        <f t="shared" si="634"/>
        <v>44898.67763888889</v>
      </c>
      <c r="AL1582" t="str">
        <f t="shared" si="637"/>
        <v/>
      </c>
      <c r="AM1582">
        <f t="shared" si="638"/>
        <v>20</v>
      </c>
      <c r="AN1582">
        <f t="shared" si="639"/>
        <v>4</v>
      </c>
      <c r="AO1582">
        <f t="shared" si="640"/>
        <v>2</v>
      </c>
      <c r="AP1582">
        <f t="shared" si="641"/>
        <v>0</v>
      </c>
      <c r="AQ1582" t="str">
        <f t="shared" si="642"/>
        <v/>
      </c>
    </row>
    <row r="1583" spans="1:43" x14ac:dyDescent="0.35">
      <c r="A1583">
        <v>284</v>
      </c>
      <c r="B1583" t="s">
        <v>4936</v>
      </c>
      <c r="C1583" t="s">
        <v>4480</v>
      </c>
      <c r="D1583" t="str">
        <f t="shared" si="632"/>
        <v>Finance</v>
      </c>
      <c r="E1583" t="s">
        <v>4614</v>
      </c>
      <c r="F1583" t="s">
        <v>3935</v>
      </c>
      <c r="G1583" t="s">
        <v>4615</v>
      </c>
      <c r="H1583" t="s">
        <v>334</v>
      </c>
      <c r="I1583" s="32">
        <v>44700.67763888889</v>
      </c>
      <c r="J1583" s="32">
        <v>44701.67763888889</v>
      </c>
      <c r="K1583" s="32">
        <v>44706.67763888889</v>
      </c>
      <c r="L1583" s="8">
        <f t="shared" si="633"/>
        <v>6</v>
      </c>
      <c r="M1583" s="7">
        <v>44725.67763888889</v>
      </c>
      <c r="N1583" t="s">
        <v>49</v>
      </c>
      <c r="O1583" s="34">
        <v>44709.67763888889</v>
      </c>
      <c r="P1583" t="s">
        <v>60</v>
      </c>
      <c r="R1583" s="32">
        <v>44712.67763888889</v>
      </c>
      <c r="S1583" t="s">
        <v>61</v>
      </c>
      <c r="T1583" s="34" t="s">
        <v>7476</v>
      </c>
      <c r="U1583" s="34" t="s">
        <v>7476</v>
      </c>
      <c r="V1583" s="32">
        <v>44711.67763888889</v>
      </c>
      <c r="W1583" s="32" t="s">
        <v>7476</v>
      </c>
      <c r="X1583">
        <v>0</v>
      </c>
      <c r="Y1583" s="34" t="s">
        <v>7476</v>
      </c>
      <c r="Z1583" s="34" t="s">
        <v>7476</v>
      </c>
      <c r="AA1583" s="34" t="s">
        <v>7476</v>
      </c>
      <c r="AB1583" s="36" t="s">
        <v>7476</v>
      </c>
      <c r="AD1583" t="s">
        <v>4937</v>
      </c>
      <c r="AE1583" t="s">
        <v>4938</v>
      </c>
      <c r="AF1583" s="16">
        <v>44700</v>
      </c>
      <c r="AG1583" t="s">
        <v>98</v>
      </c>
      <c r="AH1583">
        <v>6</v>
      </c>
      <c r="AI1583" s="8">
        <f t="shared" si="635"/>
        <v>12.677638888890215</v>
      </c>
      <c r="AJ1583" s="8">
        <f t="shared" si="636"/>
        <v>9.6776388888902147</v>
      </c>
      <c r="AK1583" s="38">
        <f t="shared" si="634"/>
        <v>44891.67763888889</v>
      </c>
      <c r="AL1583" t="str">
        <f t="shared" si="637"/>
        <v/>
      </c>
      <c r="AM1583">
        <f t="shared" si="638"/>
        <v>11</v>
      </c>
      <c r="AN1583">
        <f t="shared" si="639"/>
        <v>2</v>
      </c>
      <c r="AO1583">
        <f t="shared" si="640"/>
        <v>1</v>
      </c>
      <c r="AP1583">
        <f t="shared" si="641"/>
        <v>0</v>
      </c>
      <c r="AQ1583" t="str">
        <f t="shared" si="642"/>
        <v/>
      </c>
    </row>
    <row r="1584" spans="1:43" x14ac:dyDescent="0.35">
      <c r="A1584">
        <v>207</v>
      </c>
      <c r="B1584" t="s">
        <v>4939</v>
      </c>
      <c r="C1584" t="s">
        <v>4471</v>
      </c>
      <c r="D1584" t="str">
        <f t="shared" si="632"/>
        <v>Finance</v>
      </c>
      <c r="E1584" t="s">
        <v>4614</v>
      </c>
      <c r="F1584" t="s">
        <v>3935</v>
      </c>
      <c r="G1584" t="s">
        <v>4615</v>
      </c>
      <c r="H1584" t="s">
        <v>334</v>
      </c>
      <c r="I1584" s="32">
        <v>44745.342893518522</v>
      </c>
      <c r="J1584" s="32">
        <v>44748.342893518522</v>
      </c>
      <c r="K1584" s="32">
        <v>44754.342893518522</v>
      </c>
      <c r="L1584" s="8">
        <f t="shared" si="633"/>
        <v>9</v>
      </c>
      <c r="M1584" s="7">
        <v>44759.342893518522</v>
      </c>
      <c r="N1584" t="s">
        <v>49</v>
      </c>
      <c r="O1584" s="34">
        <v>44761.342893518522</v>
      </c>
      <c r="P1584" t="s">
        <v>392</v>
      </c>
      <c r="R1584" s="32">
        <v>44764.342893518522</v>
      </c>
      <c r="S1584" t="s">
        <v>392</v>
      </c>
      <c r="T1584" s="34" t="s">
        <v>7476</v>
      </c>
      <c r="U1584" s="34" t="s">
        <v>7476</v>
      </c>
      <c r="V1584" s="32">
        <v>44762.342893518522</v>
      </c>
      <c r="W1584" s="32" t="s">
        <v>7476</v>
      </c>
      <c r="X1584">
        <v>0</v>
      </c>
      <c r="Y1584" s="34" t="s">
        <v>7476</v>
      </c>
      <c r="Z1584" s="34" t="s">
        <v>7476</v>
      </c>
      <c r="AA1584" s="34" t="s">
        <v>7476</v>
      </c>
      <c r="AB1584" s="36" t="s">
        <v>7476</v>
      </c>
      <c r="AD1584" t="s">
        <v>4940</v>
      </c>
      <c r="AE1584" t="s">
        <v>4941</v>
      </c>
      <c r="AF1584" s="16">
        <v>44749</v>
      </c>
      <c r="AG1584" t="s">
        <v>68</v>
      </c>
      <c r="AH1584">
        <v>3</v>
      </c>
      <c r="AI1584" s="8">
        <f t="shared" si="635"/>
        <v>15.342893518522033</v>
      </c>
      <c r="AJ1584" s="8">
        <f t="shared" si="636"/>
        <v>12.342893518522033</v>
      </c>
      <c r="AK1584" s="38">
        <f t="shared" si="634"/>
        <v>44852.342893518522</v>
      </c>
      <c r="AL1584" t="str">
        <f t="shared" si="637"/>
        <v/>
      </c>
      <c r="AM1584">
        <f t="shared" si="638"/>
        <v>16</v>
      </c>
      <c r="AN1584">
        <f t="shared" si="639"/>
        <v>1</v>
      </c>
      <c r="AO1584">
        <f t="shared" si="640"/>
        <v>3</v>
      </c>
      <c r="AP1584">
        <f t="shared" si="641"/>
        <v>0</v>
      </c>
      <c r="AQ1584" t="str">
        <f t="shared" si="642"/>
        <v/>
      </c>
    </row>
    <row r="1585" spans="1:43" x14ac:dyDescent="0.35">
      <c r="A1585">
        <v>177</v>
      </c>
      <c r="B1585" t="s">
        <v>4942</v>
      </c>
      <c r="C1585" t="s">
        <v>4480</v>
      </c>
      <c r="D1585" t="str">
        <f t="shared" si="632"/>
        <v>Finance</v>
      </c>
      <c r="E1585" t="s">
        <v>4614</v>
      </c>
      <c r="F1585" t="s">
        <v>3935</v>
      </c>
      <c r="G1585" t="s">
        <v>4615</v>
      </c>
      <c r="H1585" t="s">
        <v>334</v>
      </c>
      <c r="I1585" s="32">
        <v>45092.370925925927</v>
      </c>
      <c r="J1585" s="32">
        <v>45096.370925925927</v>
      </c>
      <c r="K1585" s="32">
        <v>45097.370925925927</v>
      </c>
      <c r="L1585" s="8">
        <f t="shared" si="633"/>
        <v>5</v>
      </c>
      <c r="M1585" s="7">
        <v>45116.370925925927</v>
      </c>
      <c r="N1585" t="s">
        <v>49</v>
      </c>
      <c r="O1585" s="34">
        <v>45099.370925925927</v>
      </c>
      <c r="P1585" t="s">
        <v>60</v>
      </c>
      <c r="R1585" s="32">
        <v>45105.370925925927</v>
      </c>
      <c r="S1585" t="s">
        <v>61</v>
      </c>
      <c r="T1585" s="34" t="s">
        <v>7476</v>
      </c>
      <c r="U1585" s="34" t="s">
        <v>7476</v>
      </c>
      <c r="V1585" s="32">
        <v>45101.370925925927</v>
      </c>
      <c r="W1585" s="32" t="s">
        <v>7476</v>
      </c>
      <c r="X1585">
        <v>0</v>
      </c>
      <c r="Y1585" s="34" t="s">
        <v>7476</v>
      </c>
      <c r="Z1585" s="34" t="s">
        <v>7476</v>
      </c>
      <c r="AA1585" s="34" t="s">
        <v>7476</v>
      </c>
      <c r="AB1585" s="36" t="s">
        <v>7476</v>
      </c>
      <c r="AD1585" t="s">
        <v>4943</v>
      </c>
      <c r="AE1585" t="s">
        <v>4944</v>
      </c>
      <c r="AF1585" s="16">
        <v>45085</v>
      </c>
      <c r="AG1585" t="s">
        <v>98</v>
      </c>
      <c r="AH1585">
        <v>6</v>
      </c>
      <c r="AI1585" s="8">
        <f t="shared" si="635"/>
        <v>20.370925925926713</v>
      </c>
      <c r="AJ1585" s="8">
        <f t="shared" si="636"/>
        <v>14.370925925926713</v>
      </c>
      <c r="AK1585" s="38">
        <f t="shared" si="634"/>
        <v>45281.370925925927</v>
      </c>
      <c r="AL1585" t="str">
        <f t="shared" si="637"/>
        <v/>
      </c>
      <c r="AM1585">
        <f t="shared" si="638"/>
        <v>9</v>
      </c>
      <c r="AN1585">
        <f t="shared" si="639"/>
        <v>2</v>
      </c>
      <c r="AO1585">
        <f t="shared" si="640"/>
        <v>4</v>
      </c>
      <c r="AP1585">
        <f t="shared" si="641"/>
        <v>0</v>
      </c>
      <c r="AQ1585" t="str">
        <f t="shared" si="642"/>
        <v/>
      </c>
    </row>
    <row r="1586" spans="1:43" x14ac:dyDescent="0.35">
      <c r="A1586">
        <v>175</v>
      </c>
      <c r="B1586" t="s">
        <v>4945</v>
      </c>
      <c r="C1586" t="s">
        <v>4471</v>
      </c>
      <c r="D1586" t="str">
        <f t="shared" si="632"/>
        <v>Finance</v>
      </c>
      <c r="E1586" t="s">
        <v>4614</v>
      </c>
      <c r="F1586" t="s">
        <v>3935</v>
      </c>
      <c r="G1586" t="s">
        <v>4615</v>
      </c>
      <c r="H1586" t="s">
        <v>334</v>
      </c>
      <c r="I1586" s="32">
        <v>45091.370925925927</v>
      </c>
      <c r="J1586" s="32">
        <v>45095.370925925927</v>
      </c>
      <c r="K1586" s="32">
        <v>45097.370925925927</v>
      </c>
      <c r="L1586" s="8">
        <f t="shared" si="633"/>
        <v>6</v>
      </c>
      <c r="M1586" s="7">
        <v>45124.370925925927</v>
      </c>
      <c r="N1586" t="s">
        <v>49</v>
      </c>
      <c r="O1586" s="34">
        <v>45106.370925925927</v>
      </c>
      <c r="P1586" t="s">
        <v>101</v>
      </c>
      <c r="R1586" s="32">
        <v>45109.370925925927</v>
      </c>
      <c r="S1586" t="s">
        <v>101</v>
      </c>
      <c r="T1586" s="34">
        <v>45107.370925925927</v>
      </c>
      <c r="U1586" s="34">
        <v>45111.370925925927</v>
      </c>
      <c r="V1586" s="32">
        <v>45108.370925925927</v>
      </c>
      <c r="W1586" s="32">
        <v>45115.370925925927</v>
      </c>
      <c r="X1586">
        <v>1</v>
      </c>
      <c r="Y1586" s="34">
        <v>45116.370925925927</v>
      </c>
      <c r="Z1586" s="34">
        <v>45118.370925925927</v>
      </c>
      <c r="AA1586" s="34">
        <v>45120.370925925927</v>
      </c>
      <c r="AB1586" s="36" t="s">
        <v>7476</v>
      </c>
      <c r="AC1586" s="10">
        <v>45134.370925925927</v>
      </c>
      <c r="AD1586" t="s">
        <v>4946</v>
      </c>
      <c r="AE1586" t="s">
        <v>4947</v>
      </c>
      <c r="AF1586" s="16">
        <v>45096</v>
      </c>
      <c r="AG1586" t="s">
        <v>68</v>
      </c>
      <c r="AH1586">
        <v>3</v>
      </c>
      <c r="AI1586" s="8">
        <f t="shared" si="635"/>
        <v>13.370925925926713</v>
      </c>
      <c r="AJ1586" s="8">
        <f t="shared" si="636"/>
        <v>10.370925925926713</v>
      </c>
      <c r="AK1586" s="38">
        <f t="shared" si="634"/>
        <v>45198.370925925927</v>
      </c>
      <c r="AL1586">
        <f t="shared" si="637"/>
        <v>3</v>
      </c>
      <c r="AM1586">
        <f t="shared" si="638"/>
        <v>14</v>
      </c>
      <c r="AN1586">
        <f t="shared" si="639"/>
        <v>2</v>
      </c>
      <c r="AO1586">
        <f t="shared" si="640"/>
        <v>4</v>
      </c>
      <c r="AP1586">
        <f t="shared" si="641"/>
        <v>45133.370925925927</v>
      </c>
      <c r="AQ1586">
        <f t="shared" si="642"/>
        <v>5</v>
      </c>
    </row>
    <row r="1587" spans="1:43" x14ac:dyDescent="0.35">
      <c r="A1587">
        <v>173</v>
      </c>
      <c r="B1587" t="s">
        <v>4948</v>
      </c>
      <c r="C1587" t="s">
        <v>4471</v>
      </c>
      <c r="D1587" t="str">
        <f t="shared" si="632"/>
        <v>Finance</v>
      </c>
      <c r="E1587" t="s">
        <v>4614</v>
      </c>
      <c r="F1587" t="s">
        <v>3935</v>
      </c>
      <c r="G1587" t="s">
        <v>4615</v>
      </c>
      <c r="H1587" t="s">
        <v>334</v>
      </c>
      <c r="I1587" s="32">
        <v>45094.370925925927</v>
      </c>
      <c r="J1587" s="32">
        <v>45095.370925925927</v>
      </c>
      <c r="K1587" s="32" t="s">
        <v>7473</v>
      </c>
      <c r="L1587" s="8" t="str">
        <f t="shared" si="633"/>
        <v/>
      </c>
      <c r="M1587" s="7">
        <v>45127.370925925927</v>
      </c>
      <c r="N1587" t="s">
        <v>49</v>
      </c>
      <c r="O1587" s="34">
        <v>45101.370925925927</v>
      </c>
      <c r="P1587" t="s">
        <v>60</v>
      </c>
      <c r="R1587" s="32">
        <v>45105.370925925927</v>
      </c>
      <c r="S1587" t="s">
        <v>61</v>
      </c>
      <c r="T1587" s="34" t="s">
        <v>7476</v>
      </c>
      <c r="U1587" s="34" t="s">
        <v>7476</v>
      </c>
      <c r="V1587" s="32">
        <v>45103.370925925927</v>
      </c>
      <c r="W1587" s="32" t="s">
        <v>7476</v>
      </c>
      <c r="X1587">
        <v>0</v>
      </c>
      <c r="Y1587" s="34" t="s">
        <v>7476</v>
      </c>
      <c r="Z1587" s="34" t="s">
        <v>7476</v>
      </c>
      <c r="AA1587" s="34" t="s">
        <v>7476</v>
      </c>
      <c r="AB1587" s="36" t="s">
        <v>7476</v>
      </c>
      <c r="AD1587" t="s">
        <v>4949</v>
      </c>
      <c r="AE1587" t="s">
        <v>4950</v>
      </c>
      <c r="AF1587" s="16">
        <v>45093</v>
      </c>
      <c r="AG1587" t="s">
        <v>93</v>
      </c>
      <c r="AH1587">
        <v>6</v>
      </c>
      <c r="AK1587" s="38">
        <f t="shared" si="634"/>
        <v>45283.370925925927</v>
      </c>
    </row>
    <row r="1588" spans="1:43" x14ac:dyDescent="0.35">
      <c r="A1588">
        <v>95</v>
      </c>
      <c r="B1588" t="s">
        <v>4951</v>
      </c>
      <c r="C1588" t="s">
        <v>4480</v>
      </c>
      <c r="D1588" t="str">
        <f t="shared" si="632"/>
        <v>Finance</v>
      </c>
      <c r="E1588" t="s">
        <v>4614</v>
      </c>
      <c r="F1588" t="s">
        <v>1669</v>
      </c>
      <c r="G1588" t="s">
        <v>4952</v>
      </c>
      <c r="H1588" t="s">
        <v>334</v>
      </c>
      <c r="I1588" s="32">
        <v>44839.587280092594</v>
      </c>
      <c r="J1588" s="32">
        <v>44841.587280092594</v>
      </c>
      <c r="K1588" s="32">
        <v>44847.587280092594</v>
      </c>
      <c r="L1588" s="8">
        <f t="shared" si="633"/>
        <v>8</v>
      </c>
      <c r="M1588" s="7">
        <v>44862.587280092594</v>
      </c>
      <c r="N1588" t="s">
        <v>49</v>
      </c>
      <c r="O1588" s="34">
        <v>44857.587280092594</v>
      </c>
      <c r="P1588" t="s">
        <v>392</v>
      </c>
      <c r="R1588" s="32">
        <v>44862.587280092594</v>
      </c>
      <c r="S1588" t="s">
        <v>392</v>
      </c>
      <c r="T1588" s="34" t="s">
        <v>7476</v>
      </c>
      <c r="U1588" s="34" t="s">
        <v>7476</v>
      </c>
      <c r="V1588" s="32">
        <v>44859.587280092594</v>
      </c>
      <c r="W1588" s="32" t="s">
        <v>7476</v>
      </c>
      <c r="X1588">
        <v>0</v>
      </c>
      <c r="Y1588" s="34" t="s">
        <v>7476</v>
      </c>
      <c r="Z1588" s="34" t="s">
        <v>7476</v>
      </c>
      <c r="AA1588" s="34" t="s">
        <v>7476</v>
      </c>
      <c r="AB1588" s="36" t="s">
        <v>7476</v>
      </c>
      <c r="AD1588" t="s">
        <v>4953</v>
      </c>
      <c r="AE1588" t="s">
        <v>4954</v>
      </c>
      <c r="AF1588" s="16">
        <v>44849</v>
      </c>
      <c r="AG1588" t="s">
        <v>64</v>
      </c>
      <c r="AH1588">
        <v>6</v>
      </c>
      <c r="AI1588" s="8">
        <f>IFERROR(R1588-AF1588,"")</f>
        <v>13.587280092593573</v>
      </c>
      <c r="AJ1588" s="8">
        <f>IFERROR(O1588-AF1588,"")</f>
        <v>8.5872800925935735</v>
      </c>
      <c r="AK1588" s="38">
        <f t="shared" si="634"/>
        <v>45039.587280092594</v>
      </c>
      <c r="AL1588" t="str">
        <f>IFERROR(Z1588-W1588,"")</f>
        <v/>
      </c>
      <c r="AM1588">
        <f>IFERROR(R1588-J1588,"")</f>
        <v>21</v>
      </c>
      <c r="AN1588">
        <f>IFERROR(V1588-O1588,"")</f>
        <v>2</v>
      </c>
      <c r="AO1588">
        <f>IFERROR(J1588-I1588,"")</f>
        <v>2</v>
      </c>
      <c r="AP1588">
        <f>IFERROR(AC1588-X1588,"")</f>
        <v>0</v>
      </c>
      <c r="AQ1588" t="str">
        <f>IFERROR(AA1588-W1588,"")</f>
        <v/>
      </c>
    </row>
    <row r="1589" spans="1:43" x14ac:dyDescent="0.35">
      <c r="A1589">
        <v>93</v>
      </c>
      <c r="B1589" t="s">
        <v>4955</v>
      </c>
      <c r="C1589" t="s">
        <v>4480</v>
      </c>
      <c r="D1589" t="str">
        <f t="shared" si="632"/>
        <v>Finance</v>
      </c>
      <c r="E1589" t="s">
        <v>4614</v>
      </c>
      <c r="F1589" t="s">
        <v>1669</v>
      </c>
      <c r="G1589" t="s">
        <v>4952</v>
      </c>
      <c r="H1589" t="s">
        <v>334</v>
      </c>
      <c r="I1589" s="32">
        <v>44839.587280092594</v>
      </c>
      <c r="J1589" s="32">
        <v>44842.587280092594</v>
      </c>
      <c r="K1589" s="32">
        <v>44847.587280092594</v>
      </c>
      <c r="L1589" s="8">
        <f t="shared" si="633"/>
        <v>8</v>
      </c>
      <c r="M1589" s="7">
        <v>44855.587280092594</v>
      </c>
      <c r="N1589" t="s">
        <v>49</v>
      </c>
      <c r="O1589" s="34">
        <v>44849.587280092594</v>
      </c>
      <c r="P1589" t="s">
        <v>60</v>
      </c>
      <c r="R1589" s="32">
        <v>44855.587280092594</v>
      </c>
      <c r="S1589" t="s">
        <v>61</v>
      </c>
      <c r="T1589" s="34" t="s">
        <v>7476</v>
      </c>
      <c r="U1589" s="34" t="s">
        <v>7476</v>
      </c>
      <c r="V1589" s="32">
        <v>44852.587280092594</v>
      </c>
      <c r="W1589" s="32" t="s">
        <v>7476</v>
      </c>
      <c r="X1589">
        <v>0</v>
      </c>
      <c r="Y1589" s="34" t="s">
        <v>7476</v>
      </c>
      <c r="Z1589" s="34" t="s">
        <v>7476</v>
      </c>
      <c r="AA1589" s="34" t="s">
        <v>7476</v>
      </c>
      <c r="AB1589" s="36" t="s">
        <v>7476</v>
      </c>
      <c r="AD1589" t="s">
        <v>4956</v>
      </c>
      <c r="AE1589" t="s">
        <v>4957</v>
      </c>
      <c r="AF1589" s="16">
        <v>44838</v>
      </c>
      <c r="AG1589" t="s">
        <v>68</v>
      </c>
      <c r="AH1589">
        <v>3</v>
      </c>
      <c r="AI1589" s="8">
        <f>IFERROR(R1589-AF1589,"")</f>
        <v>17.587280092593573</v>
      </c>
      <c r="AJ1589" s="8">
        <f>IFERROR(O1589-AF1589,"")</f>
        <v>11.587280092593573</v>
      </c>
      <c r="AK1589" s="38">
        <f t="shared" si="634"/>
        <v>44942.587280092594</v>
      </c>
      <c r="AL1589" t="str">
        <f>IFERROR(Z1589-W1589,"")</f>
        <v/>
      </c>
      <c r="AM1589">
        <f>IFERROR(R1589-J1589,"")</f>
        <v>13</v>
      </c>
      <c r="AN1589">
        <f>IFERROR(V1589-O1589,"")</f>
        <v>3</v>
      </c>
      <c r="AO1589">
        <f>IFERROR(J1589-I1589,"")</f>
        <v>3</v>
      </c>
      <c r="AP1589">
        <f>IFERROR(AC1589-X1589,"")</f>
        <v>0</v>
      </c>
      <c r="AQ1589" t="str">
        <f>IFERROR(AA1589-W1589,"")</f>
        <v/>
      </c>
    </row>
    <row r="1590" spans="1:43" x14ac:dyDescent="0.35">
      <c r="A1590">
        <v>80</v>
      </c>
      <c r="B1590" t="s">
        <v>4958</v>
      </c>
      <c r="C1590" t="s">
        <v>4480</v>
      </c>
      <c r="D1590" t="str">
        <f t="shared" si="632"/>
        <v>Finance</v>
      </c>
      <c r="E1590" t="s">
        <v>4614</v>
      </c>
      <c r="F1590" t="s">
        <v>1669</v>
      </c>
      <c r="G1590" t="s">
        <v>4952</v>
      </c>
      <c r="H1590" t="s">
        <v>334</v>
      </c>
      <c r="I1590" s="32" t="s">
        <v>7471</v>
      </c>
      <c r="J1590" s="32">
        <v>44752.410798611112</v>
      </c>
      <c r="K1590" s="32">
        <v>44754.410798611112</v>
      </c>
      <c r="L1590" s="8" t="str">
        <f t="shared" si="633"/>
        <v/>
      </c>
      <c r="M1590" s="7">
        <v>44772.410798611112</v>
      </c>
      <c r="N1590" t="s">
        <v>49</v>
      </c>
      <c r="O1590" s="34">
        <v>44767.410798611112</v>
      </c>
      <c r="P1590" t="s">
        <v>101</v>
      </c>
      <c r="R1590" s="32">
        <v>44774.410798611112</v>
      </c>
      <c r="S1590" t="s">
        <v>101</v>
      </c>
      <c r="T1590" s="34">
        <v>44768.410798611112</v>
      </c>
      <c r="U1590" s="34">
        <v>44770.410798611112</v>
      </c>
      <c r="V1590" s="32">
        <v>44770.410798611112</v>
      </c>
      <c r="W1590" s="32">
        <v>44775.410798611112</v>
      </c>
      <c r="X1590">
        <v>1</v>
      </c>
      <c r="Y1590" s="34">
        <v>44778.410798611112</v>
      </c>
      <c r="Z1590" s="34">
        <v>44780.410798611112</v>
      </c>
      <c r="AA1590" s="34">
        <v>44782.410798611112</v>
      </c>
      <c r="AB1590" s="36" t="s">
        <v>7476</v>
      </c>
      <c r="AC1590" s="10">
        <v>44794.410798611112</v>
      </c>
      <c r="AD1590" t="s">
        <v>4959</v>
      </c>
      <c r="AE1590" t="s">
        <v>4960</v>
      </c>
      <c r="AF1590" s="16">
        <v>44749</v>
      </c>
      <c r="AG1590" t="s">
        <v>93</v>
      </c>
      <c r="AH1590">
        <v>6</v>
      </c>
      <c r="AK1590" s="38">
        <f t="shared" si="634"/>
        <v>44950.410798611112</v>
      </c>
    </row>
    <row r="1591" spans="1:43" x14ac:dyDescent="0.35">
      <c r="A1591">
        <v>29</v>
      </c>
      <c r="B1591" t="s">
        <v>4961</v>
      </c>
      <c r="C1591" t="s">
        <v>4471</v>
      </c>
      <c r="D1591" t="str">
        <f t="shared" si="632"/>
        <v>Finance</v>
      </c>
      <c r="E1591" t="s">
        <v>4614</v>
      </c>
      <c r="F1591" t="s">
        <v>1669</v>
      </c>
      <c r="G1591" t="s">
        <v>4952</v>
      </c>
      <c r="H1591" t="s">
        <v>334</v>
      </c>
      <c r="I1591" s="32">
        <v>44922.453449074077</v>
      </c>
      <c r="J1591" s="32">
        <v>44926.453449074077</v>
      </c>
      <c r="K1591" s="32">
        <v>44927.453449074077</v>
      </c>
      <c r="L1591" s="8">
        <f t="shared" si="633"/>
        <v>5</v>
      </c>
      <c r="M1591" s="7">
        <v>44956.453449074077</v>
      </c>
      <c r="N1591" t="s">
        <v>72</v>
      </c>
      <c r="O1591" s="34" t="s">
        <v>7474</v>
      </c>
      <c r="R1591" s="32" t="s">
        <v>7472</v>
      </c>
      <c r="S1591" t="s">
        <v>7476</v>
      </c>
      <c r="T1591" s="34" t="s">
        <v>7476</v>
      </c>
      <c r="U1591" s="34" t="s">
        <v>7476</v>
      </c>
      <c r="V1591" s="32" t="s">
        <v>7476</v>
      </c>
      <c r="W1591" s="32" t="s">
        <v>7476</v>
      </c>
      <c r="X1591">
        <v>0</v>
      </c>
      <c r="Y1591" s="34" t="s">
        <v>7476</v>
      </c>
      <c r="Z1591" s="34" t="s">
        <v>7476</v>
      </c>
      <c r="AA1591" s="34" t="s">
        <v>7476</v>
      </c>
      <c r="AB1591" s="36" t="s">
        <v>7476</v>
      </c>
      <c r="AD1591" t="s">
        <v>4962</v>
      </c>
      <c r="AE1591" t="s">
        <v>4963</v>
      </c>
      <c r="AG1591" t="s">
        <v>68</v>
      </c>
      <c r="AH1591">
        <v>6</v>
      </c>
      <c r="AI1591" s="8" t="str">
        <f>IFERROR(R1591-AF1591,"")</f>
        <v/>
      </c>
      <c r="AJ1591" s="8" t="str">
        <f>IFERROR(O1591-AF1591,"")</f>
        <v/>
      </c>
      <c r="AK1591" s="38" t="str">
        <f t="shared" si="634"/>
        <v/>
      </c>
      <c r="AL1591" t="str">
        <f>IFERROR(Z1591-W1591,"")</f>
        <v/>
      </c>
      <c r="AM1591" t="str">
        <f>IFERROR(R1591-J1591,"")</f>
        <v/>
      </c>
      <c r="AN1591" t="str">
        <f>IFERROR(V1591-O1591,"")</f>
        <v/>
      </c>
      <c r="AO1591">
        <f>IFERROR(J1591-I1591,"")</f>
        <v>4</v>
      </c>
      <c r="AP1591">
        <f>IFERROR(AC1591-X1591,"")</f>
        <v>0</v>
      </c>
      <c r="AQ1591" t="str">
        <f>IFERROR(AA1591-W1591,"")</f>
        <v/>
      </c>
    </row>
    <row r="1592" spans="1:43" x14ac:dyDescent="0.35">
      <c r="A1592">
        <v>18</v>
      </c>
      <c r="B1592" t="s">
        <v>4964</v>
      </c>
      <c r="C1592" t="s">
        <v>4502</v>
      </c>
      <c r="D1592" t="str">
        <f t="shared" si="632"/>
        <v>Finance</v>
      </c>
      <c r="E1592" t="s">
        <v>4614</v>
      </c>
      <c r="F1592" t="s">
        <v>1669</v>
      </c>
      <c r="G1592" t="s">
        <v>4952</v>
      </c>
      <c r="H1592" t="s">
        <v>334</v>
      </c>
      <c r="I1592" s="32">
        <v>44636.901284722233</v>
      </c>
      <c r="J1592" s="32">
        <v>44639.901284722233</v>
      </c>
      <c r="K1592" s="32">
        <v>44642.901284722233</v>
      </c>
      <c r="L1592" s="8">
        <f t="shared" si="633"/>
        <v>6</v>
      </c>
      <c r="M1592" s="7">
        <v>44658.901284722233</v>
      </c>
      <c r="N1592" t="s">
        <v>49</v>
      </c>
      <c r="O1592" s="34">
        <v>44648.901284722233</v>
      </c>
      <c r="P1592" t="s">
        <v>50</v>
      </c>
      <c r="Q1592" t="s">
        <v>198</v>
      </c>
      <c r="R1592" s="32" t="s">
        <v>7472</v>
      </c>
      <c r="S1592" t="s">
        <v>7476</v>
      </c>
      <c r="T1592" s="34" t="s">
        <v>7476</v>
      </c>
      <c r="U1592" s="34" t="s">
        <v>7476</v>
      </c>
      <c r="V1592" s="32">
        <v>44650.901284722233</v>
      </c>
      <c r="W1592" s="32" t="s">
        <v>7476</v>
      </c>
      <c r="X1592">
        <v>0</v>
      </c>
      <c r="Y1592" s="34" t="s">
        <v>7476</v>
      </c>
      <c r="Z1592" s="34" t="s">
        <v>7476</v>
      </c>
      <c r="AA1592" s="34" t="s">
        <v>7476</v>
      </c>
      <c r="AB1592" s="36" t="s">
        <v>95</v>
      </c>
      <c r="AD1592" t="s">
        <v>4965</v>
      </c>
      <c r="AE1592" t="s">
        <v>4966</v>
      </c>
      <c r="AF1592" s="16">
        <v>44636</v>
      </c>
      <c r="AG1592" t="s">
        <v>68</v>
      </c>
      <c r="AH1592">
        <v>6</v>
      </c>
      <c r="AI1592" s="8" t="str">
        <f>IFERROR(R1592-AF1592,"")</f>
        <v/>
      </c>
      <c r="AJ1592" s="8">
        <f>IFERROR(O1592-AF1592,"")</f>
        <v>12.901284722232958</v>
      </c>
      <c r="AK1592" s="38">
        <f t="shared" si="634"/>
        <v>44830.901284722233</v>
      </c>
      <c r="AL1592" t="str">
        <f>IFERROR(Z1592-W1592,"")</f>
        <v/>
      </c>
      <c r="AM1592" t="str">
        <f>IFERROR(R1592-J1592,"")</f>
        <v/>
      </c>
      <c r="AN1592">
        <f>IFERROR(V1592-O1592,"")</f>
        <v>2</v>
      </c>
      <c r="AO1592">
        <f>IFERROR(J1592-I1592,"")</f>
        <v>3</v>
      </c>
      <c r="AP1592">
        <f>IFERROR(AC1592-X1592,"")</f>
        <v>0</v>
      </c>
      <c r="AQ1592" t="str">
        <f>IFERROR(AA1592-W1592,"")</f>
        <v/>
      </c>
    </row>
    <row r="1593" spans="1:43" x14ac:dyDescent="0.35">
      <c r="A1593">
        <v>2843</v>
      </c>
      <c r="B1593" t="s">
        <v>4967</v>
      </c>
      <c r="C1593" t="s">
        <v>4471</v>
      </c>
      <c r="D1593" t="str">
        <f t="shared" si="632"/>
        <v>Finance</v>
      </c>
      <c r="E1593" t="s">
        <v>4968</v>
      </c>
      <c r="F1593" t="s">
        <v>695</v>
      </c>
      <c r="G1593" t="s">
        <v>4969</v>
      </c>
      <c r="H1593" t="s">
        <v>697</v>
      </c>
      <c r="I1593" s="32" t="s">
        <v>7471</v>
      </c>
      <c r="J1593" s="32">
        <v>44655.443379629629</v>
      </c>
      <c r="K1593" s="32">
        <v>44658.443379629629</v>
      </c>
      <c r="L1593" s="8" t="str">
        <f t="shared" si="633"/>
        <v/>
      </c>
      <c r="M1593" s="7">
        <v>44679.443379629629</v>
      </c>
      <c r="N1593" t="s">
        <v>49</v>
      </c>
      <c r="O1593" s="34">
        <v>44663.443379629629</v>
      </c>
      <c r="P1593" t="s">
        <v>60</v>
      </c>
      <c r="R1593" s="32">
        <v>44668.443379629629</v>
      </c>
      <c r="S1593" t="s">
        <v>61</v>
      </c>
      <c r="T1593" s="34" t="s">
        <v>7476</v>
      </c>
      <c r="U1593" s="34" t="s">
        <v>7476</v>
      </c>
      <c r="V1593" s="32">
        <v>44666.443379629629</v>
      </c>
      <c r="W1593" s="32" t="s">
        <v>7476</v>
      </c>
      <c r="X1593">
        <v>0</v>
      </c>
      <c r="Y1593" s="34" t="s">
        <v>7476</v>
      </c>
      <c r="Z1593" s="34" t="s">
        <v>7476</v>
      </c>
      <c r="AA1593" s="34" t="s">
        <v>7476</v>
      </c>
      <c r="AB1593" s="36" t="s">
        <v>7476</v>
      </c>
      <c r="AD1593" t="s">
        <v>4970</v>
      </c>
      <c r="AE1593" t="s">
        <v>4971</v>
      </c>
      <c r="AF1593" s="16">
        <v>44651</v>
      </c>
      <c r="AG1593" t="s">
        <v>64</v>
      </c>
      <c r="AH1593">
        <v>6</v>
      </c>
      <c r="AK1593" s="38">
        <f t="shared" si="634"/>
        <v>44846.443379629629</v>
      </c>
    </row>
    <row r="1594" spans="1:43" x14ac:dyDescent="0.35">
      <c r="A1594">
        <v>2780</v>
      </c>
      <c r="B1594" t="s">
        <v>4972</v>
      </c>
      <c r="C1594" t="s">
        <v>4502</v>
      </c>
      <c r="D1594" t="str">
        <f t="shared" si="632"/>
        <v>Finance</v>
      </c>
      <c r="E1594" t="s">
        <v>4968</v>
      </c>
      <c r="F1594" t="s">
        <v>695</v>
      </c>
      <c r="G1594" t="s">
        <v>4969</v>
      </c>
      <c r="H1594" t="s">
        <v>697</v>
      </c>
      <c r="I1594" s="32">
        <v>44684.777986111112</v>
      </c>
      <c r="J1594" s="32">
        <v>44685.777986111112</v>
      </c>
      <c r="K1594" s="32">
        <v>44689.777986111112</v>
      </c>
      <c r="L1594" s="8">
        <f t="shared" si="633"/>
        <v>5</v>
      </c>
      <c r="M1594" s="7">
        <v>44699.777986111112</v>
      </c>
      <c r="N1594" t="s">
        <v>49</v>
      </c>
      <c r="O1594" s="34">
        <v>44696.777986111112</v>
      </c>
      <c r="P1594" t="s">
        <v>101</v>
      </c>
      <c r="R1594" s="32">
        <v>44701.777986111112</v>
      </c>
      <c r="S1594" t="s">
        <v>101</v>
      </c>
      <c r="T1594" s="34">
        <v>44698.777986111112</v>
      </c>
      <c r="U1594" s="34">
        <v>44699.777986111112</v>
      </c>
      <c r="V1594" s="32">
        <v>44700.777986111112</v>
      </c>
      <c r="W1594" s="32">
        <v>44701.777986111112</v>
      </c>
      <c r="X1594">
        <v>1</v>
      </c>
      <c r="Y1594" s="34">
        <v>44702.777986111112</v>
      </c>
      <c r="Z1594" s="34">
        <v>44705.777986111112</v>
      </c>
      <c r="AA1594" s="34">
        <v>44708.777986111112</v>
      </c>
      <c r="AB1594" s="36" t="s">
        <v>7476</v>
      </c>
      <c r="AC1594" s="10">
        <v>44719.777986111112</v>
      </c>
      <c r="AD1594" t="s">
        <v>4973</v>
      </c>
      <c r="AE1594" t="s">
        <v>4974</v>
      </c>
      <c r="AF1594" s="16">
        <v>44685</v>
      </c>
      <c r="AG1594" t="s">
        <v>98</v>
      </c>
      <c r="AH1594">
        <v>6</v>
      </c>
      <c r="AI1594" s="8">
        <f>IFERROR(R1594-AF1594,"")</f>
        <v>16.777986111112114</v>
      </c>
      <c r="AJ1594" s="8">
        <f>IFERROR(O1594-AF1594,"")</f>
        <v>11.777986111112114</v>
      </c>
      <c r="AK1594" s="38">
        <f t="shared" si="634"/>
        <v>44880.777986111112</v>
      </c>
      <c r="AL1594">
        <f>IFERROR(Z1594-W1594,"")</f>
        <v>4</v>
      </c>
      <c r="AM1594">
        <f>IFERROR(R1594-J1594,"")</f>
        <v>16</v>
      </c>
      <c r="AN1594">
        <f>IFERROR(V1594-O1594,"")</f>
        <v>4</v>
      </c>
      <c r="AO1594">
        <f>IFERROR(J1594-I1594,"")</f>
        <v>1</v>
      </c>
      <c r="AP1594">
        <f>IFERROR(AC1594-X1594,"")</f>
        <v>44718.777986111112</v>
      </c>
      <c r="AQ1594">
        <f>IFERROR(AA1594-W1594,"")</f>
        <v>7</v>
      </c>
    </row>
    <row r="1595" spans="1:43" x14ac:dyDescent="0.35">
      <c r="A1595">
        <v>2778</v>
      </c>
      <c r="B1595" t="s">
        <v>4975</v>
      </c>
      <c r="C1595" t="s">
        <v>4480</v>
      </c>
      <c r="D1595" t="str">
        <f t="shared" si="632"/>
        <v>Finance</v>
      </c>
      <c r="E1595" t="s">
        <v>4968</v>
      </c>
      <c r="F1595" t="s">
        <v>695</v>
      </c>
      <c r="G1595" t="s">
        <v>4969</v>
      </c>
      <c r="H1595" t="s">
        <v>697</v>
      </c>
      <c r="I1595" s="32">
        <v>44683.777986111112</v>
      </c>
      <c r="J1595" s="32">
        <v>44684.777986111112</v>
      </c>
      <c r="K1595" s="32" t="s">
        <v>7473</v>
      </c>
      <c r="L1595" s="8" t="str">
        <f t="shared" si="633"/>
        <v/>
      </c>
      <c r="M1595" s="7">
        <v>44694.777986111112</v>
      </c>
      <c r="N1595" t="s">
        <v>49</v>
      </c>
      <c r="O1595" s="34">
        <v>44706.777986111112</v>
      </c>
      <c r="P1595" t="s">
        <v>60</v>
      </c>
      <c r="R1595" s="32">
        <v>44710.777986111112</v>
      </c>
      <c r="S1595" t="s">
        <v>61</v>
      </c>
      <c r="T1595" s="34" t="s">
        <v>7476</v>
      </c>
      <c r="U1595" s="34" t="s">
        <v>7476</v>
      </c>
      <c r="V1595" s="32">
        <v>44707.777986111112</v>
      </c>
      <c r="W1595" s="32" t="s">
        <v>7476</v>
      </c>
      <c r="X1595">
        <v>0</v>
      </c>
      <c r="Y1595" s="34" t="s">
        <v>7476</v>
      </c>
      <c r="Z1595" s="34" t="s">
        <v>7476</v>
      </c>
      <c r="AA1595" s="34" t="s">
        <v>7476</v>
      </c>
      <c r="AB1595" s="36" t="s">
        <v>7476</v>
      </c>
      <c r="AD1595" t="s">
        <v>4976</v>
      </c>
      <c r="AE1595" t="s">
        <v>4977</v>
      </c>
      <c r="AF1595" s="16">
        <v>44747</v>
      </c>
      <c r="AG1595" t="s">
        <v>68</v>
      </c>
      <c r="AH1595">
        <v>3</v>
      </c>
      <c r="AK1595" s="38">
        <f t="shared" si="634"/>
        <v>44797.777986111112</v>
      </c>
    </row>
    <row r="1596" spans="1:43" x14ac:dyDescent="0.35">
      <c r="A1596">
        <v>2752</v>
      </c>
      <c r="B1596" t="s">
        <v>4978</v>
      </c>
      <c r="C1596" t="s">
        <v>4480</v>
      </c>
      <c r="D1596" t="str">
        <f t="shared" si="632"/>
        <v>Finance</v>
      </c>
      <c r="E1596" t="s">
        <v>4968</v>
      </c>
      <c r="F1596" t="s">
        <v>695</v>
      </c>
      <c r="G1596" t="s">
        <v>4969</v>
      </c>
      <c r="H1596" t="s">
        <v>697</v>
      </c>
      <c r="I1596" s="32" t="s">
        <v>7471</v>
      </c>
      <c r="J1596" s="32">
        <v>45028.765081018522</v>
      </c>
      <c r="K1596" s="32">
        <v>45032.765081018522</v>
      </c>
      <c r="L1596" s="8" t="str">
        <f t="shared" si="633"/>
        <v/>
      </c>
      <c r="M1596" s="7">
        <v>45037.765081018522</v>
      </c>
      <c r="N1596" t="s">
        <v>49</v>
      </c>
      <c r="O1596" s="34">
        <v>45042.765081018522</v>
      </c>
      <c r="P1596" t="s">
        <v>101</v>
      </c>
      <c r="R1596" s="32">
        <v>45047.765081018522</v>
      </c>
      <c r="S1596" t="s">
        <v>101</v>
      </c>
      <c r="T1596" s="34">
        <v>45044.765081018522</v>
      </c>
      <c r="U1596" s="34">
        <v>45047.765081018522</v>
      </c>
      <c r="V1596" s="32">
        <v>45045.765081018522</v>
      </c>
      <c r="W1596" s="32">
        <v>45051.765081018522</v>
      </c>
      <c r="X1596">
        <v>1</v>
      </c>
      <c r="Y1596" s="34">
        <v>45055.765081018522</v>
      </c>
      <c r="Z1596" s="34">
        <v>45057.765081018522</v>
      </c>
      <c r="AA1596" s="34">
        <v>45058.765081018522</v>
      </c>
      <c r="AB1596" s="36" t="s">
        <v>7476</v>
      </c>
      <c r="AC1596" s="10">
        <v>45067.765081018522</v>
      </c>
      <c r="AD1596" t="s">
        <v>4979</v>
      </c>
      <c r="AE1596" t="s">
        <v>4980</v>
      </c>
      <c r="AF1596" s="16">
        <v>45033</v>
      </c>
      <c r="AG1596" t="s">
        <v>68</v>
      </c>
      <c r="AH1596">
        <v>3</v>
      </c>
      <c r="AK1596" s="38">
        <f t="shared" si="634"/>
        <v>45135.765081018522</v>
      </c>
    </row>
    <row r="1597" spans="1:43" x14ac:dyDescent="0.35">
      <c r="A1597">
        <v>2677</v>
      </c>
      <c r="B1597" t="s">
        <v>4981</v>
      </c>
      <c r="C1597" t="s">
        <v>4480</v>
      </c>
      <c r="D1597" t="str">
        <f t="shared" si="632"/>
        <v>Finance</v>
      </c>
      <c r="E1597" t="s">
        <v>4968</v>
      </c>
      <c r="F1597" t="s">
        <v>695</v>
      </c>
      <c r="G1597" t="s">
        <v>4969</v>
      </c>
      <c r="H1597" t="s">
        <v>697</v>
      </c>
      <c r="I1597" s="32">
        <v>44604.141087962962</v>
      </c>
      <c r="J1597" s="32">
        <v>44607.141087962962</v>
      </c>
      <c r="K1597" s="32">
        <v>44608.141087962962</v>
      </c>
      <c r="L1597" s="8">
        <f t="shared" si="633"/>
        <v>4</v>
      </c>
      <c r="M1597" s="7">
        <v>44619.141087962962</v>
      </c>
      <c r="N1597" t="s">
        <v>49</v>
      </c>
      <c r="O1597" s="34">
        <v>44611.141087962962</v>
      </c>
      <c r="P1597" t="s">
        <v>60</v>
      </c>
      <c r="R1597" s="32">
        <v>44616.141087962962</v>
      </c>
      <c r="S1597" t="s">
        <v>61</v>
      </c>
      <c r="T1597" s="34" t="s">
        <v>7476</v>
      </c>
      <c r="U1597" s="34" t="s">
        <v>7476</v>
      </c>
      <c r="V1597" s="32">
        <v>44613.141087962962</v>
      </c>
      <c r="W1597" s="32" t="s">
        <v>7476</v>
      </c>
      <c r="X1597">
        <v>0</v>
      </c>
      <c r="Y1597" s="34" t="s">
        <v>7476</v>
      </c>
      <c r="Z1597" s="34" t="s">
        <v>7476</v>
      </c>
      <c r="AA1597" s="34" t="s">
        <v>7476</v>
      </c>
      <c r="AB1597" s="36" t="s">
        <v>7476</v>
      </c>
      <c r="AD1597" t="s">
        <v>4982</v>
      </c>
      <c r="AE1597" t="s">
        <v>4983</v>
      </c>
      <c r="AF1597" s="16">
        <v>44600</v>
      </c>
      <c r="AG1597" t="s">
        <v>98</v>
      </c>
      <c r="AH1597">
        <v>3</v>
      </c>
      <c r="AI1597" s="8">
        <f>IFERROR(R1597-AF1597,"")</f>
        <v>16.141087962962047</v>
      </c>
      <c r="AJ1597" s="8">
        <f>IFERROR(O1597-AF1597,"")</f>
        <v>11.141087962962047</v>
      </c>
      <c r="AK1597" s="38">
        <f t="shared" si="634"/>
        <v>44703.141087962962</v>
      </c>
      <c r="AL1597" t="str">
        <f>IFERROR(Z1597-W1597,"")</f>
        <v/>
      </c>
      <c r="AM1597">
        <f>IFERROR(R1597-J1597,"")</f>
        <v>9</v>
      </c>
      <c r="AN1597">
        <f>IFERROR(V1597-O1597,"")</f>
        <v>2</v>
      </c>
      <c r="AO1597">
        <f>IFERROR(J1597-I1597,"")</f>
        <v>3</v>
      </c>
      <c r="AP1597">
        <f>IFERROR(AC1597-X1597,"")</f>
        <v>0</v>
      </c>
      <c r="AQ1597" t="str">
        <f>IFERROR(AA1597-W1597,"")</f>
        <v/>
      </c>
    </row>
    <row r="1598" spans="1:43" x14ac:dyDescent="0.35">
      <c r="A1598">
        <v>2676</v>
      </c>
      <c r="B1598" t="s">
        <v>4984</v>
      </c>
      <c r="C1598" t="s">
        <v>4480</v>
      </c>
      <c r="D1598" t="str">
        <f t="shared" si="632"/>
        <v>Finance</v>
      </c>
      <c r="E1598" t="s">
        <v>4968</v>
      </c>
      <c r="F1598" t="s">
        <v>695</v>
      </c>
      <c r="G1598" t="s">
        <v>4969</v>
      </c>
      <c r="H1598" t="s">
        <v>697</v>
      </c>
      <c r="I1598" s="32">
        <v>44602.141087962962</v>
      </c>
      <c r="J1598" s="32" t="s">
        <v>7471</v>
      </c>
      <c r="K1598" s="32">
        <v>44608.141087962962</v>
      </c>
      <c r="L1598" s="8">
        <f t="shared" si="633"/>
        <v>6</v>
      </c>
      <c r="M1598" s="7">
        <v>44626.141087962962</v>
      </c>
      <c r="N1598" t="s">
        <v>49</v>
      </c>
      <c r="O1598" s="34">
        <v>44626.141087962962</v>
      </c>
      <c r="P1598" t="s">
        <v>60</v>
      </c>
      <c r="R1598" s="32">
        <v>44631.141087962962</v>
      </c>
      <c r="S1598" t="s">
        <v>61</v>
      </c>
      <c r="T1598" s="34" t="s">
        <v>7476</v>
      </c>
      <c r="U1598" s="34" t="s">
        <v>7476</v>
      </c>
      <c r="V1598" s="32">
        <v>44628.141087962962</v>
      </c>
      <c r="W1598" s="32" t="s">
        <v>7476</v>
      </c>
      <c r="X1598">
        <v>0</v>
      </c>
      <c r="Y1598" s="34" t="s">
        <v>7476</v>
      </c>
      <c r="Z1598" s="34" t="s">
        <v>7476</v>
      </c>
      <c r="AA1598" s="34" t="s">
        <v>7476</v>
      </c>
      <c r="AB1598" s="36" t="s">
        <v>7476</v>
      </c>
      <c r="AD1598" t="s">
        <v>4985</v>
      </c>
      <c r="AE1598" t="s">
        <v>4986</v>
      </c>
      <c r="AF1598" s="16">
        <v>44614</v>
      </c>
      <c r="AG1598" t="s">
        <v>64</v>
      </c>
      <c r="AH1598">
        <v>3</v>
      </c>
      <c r="AK1598" s="38">
        <f t="shared" si="634"/>
        <v>44718.141087962962</v>
      </c>
    </row>
    <row r="1599" spans="1:43" x14ac:dyDescent="0.35">
      <c r="A1599">
        <v>2675</v>
      </c>
      <c r="B1599" t="s">
        <v>4987</v>
      </c>
      <c r="C1599" t="s">
        <v>4502</v>
      </c>
      <c r="D1599" t="str">
        <f t="shared" si="632"/>
        <v>Finance</v>
      </c>
      <c r="E1599" t="s">
        <v>4968</v>
      </c>
      <c r="F1599" t="s">
        <v>695</v>
      </c>
      <c r="G1599" t="s">
        <v>4969</v>
      </c>
      <c r="H1599" t="s">
        <v>697</v>
      </c>
      <c r="I1599" s="32">
        <v>44601.141087962962</v>
      </c>
      <c r="J1599" s="32">
        <v>44604.141087962962</v>
      </c>
      <c r="K1599" s="32">
        <v>44608.141087962962</v>
      </c>
      <c r="L1599" s="8">
        <f t="shared" si="633"/>
        <v>7</v>
      </c>
      <c r="M1599" s="7">
        <v>44627.141087962962</v>
      </c>
      <c r="N1599" t="s">
        <v>72</v>
      </c>
      <c r="O1599" s="34" t="s">
        <v>7474</v>
      </c>
      <c r="R1599" s="32" t="s">
        <v>7472</v>
      </c>
      <c r="S1599" t="s">
        <v>7476</v>
      </c>
      <c r="T1599" s="34" t="s">
        <v>7476</v>
      </c>
      <c r="U1599" s="34" t="s">
        <v>7476</v>
      </c>
      <c r="V1599" s="32" t="s">
        <v>7476</v>
      </c>
      <c r="W1599" s="32" t="s">
        <v>7476</v>
      </c>
      <c r="X1599">
        <v>0</v>
      </c>
      <c r="Y1599" s="34" t="s">
        <v>7476</v>
      </c>
      <c r="Z1599" s="34" t="s">
        <v>7476</v>
      </c>
      <c r="AA1599" s="34" t="s">
        <v>7476</v>
      </c>
      <c r="AB1599" s="36" t="s">
        <v>7476</v>
      </c>
      <c r="AD1599" t="s">
        <v>4988</v>
      </c>
      <c r="AE1599" t="s">
        <v>4989</v>
      </c>
      <c r="AG1599" t="s">
        <v>98</v>
      </c>
      <c r="AH1599">
        <v>3</v>
      </c>
      <c r="AI1599" s="8" t="str">
        <f>IFERROR(R1599-AF1599,"")</f>
        <v/>
      </c>
      <c r="AJ1599" s="8" t="str">
        <f>IFERROR(O1599-AF1599,"")</f>
        <v/>
      </c>
      <c r="AK1599" s="38" t="str">
        <f t="shared" si="634"/>
        <v/>
      </c>
      <c r="AL1599" t="str">
        <f>IFERROR(Z1599-W1599,"")</f>
        <v/>
      </c>
      <c r="AM1599" t="str">
        <f>IFERROR(R1599-J1599,"")</f>
        <v/>
      </c>
      <c r="AN1599" t="str">
        <f>IFERROR(V1599-O1599,"")</f>
        <v/>
      </c>
      <c r="AO1599">
        <f>IFERROR(J1599-I1599,"")</f>
        <v>3</v>
      </c>
      <c r="AP1599">
        <f>IFERROR(AC1599-X1599,"")</f>
        <v>0</v>
      </c>
      <c r="AQ1599" t="str">
        <f>IFERROR(AA1599-W1599,"")</f>
        <v/>
      </c>
    </row>
    <row r="1600" spans="1:43" x14ac:dyDescent="0.35">
      <c r="A1600">
        <v>2673</v>
      </c>
      <c r="B1600" t="s">
        <v>4990</v>
      </c>
      <c r="C1600" t="s">
        <v>4480</v>
      </c>
      <c r="D1600" t="str">
        <f t="shared" si="632"/>
        <v>Finance</v>
      </c>
      <c r="E1600" t="s">
        <v>4968</v>
      </c>
      <c r="F1600" t="s">
        <v>695</v>
      </c>
      <c r="G1600" t="s">
        <v>4969</v>
      </c>
      <c r="H1600" t="s">
        <v>697</v>
      </c>
      <c r="I1600" s="32">
        <v>44602.141087962962</v>
      </c>
      <c r="J1600" s="32">
        <v>44604.141087962962</v>
      </c>
      <c r="K1600" s="32">
        <v>44608.141087962962</v>
      </c>
      <c r="L1600" s="8">
        <f t="shared" si="633"/>
        <v>6</v>
      </c>
      <c r="M1600" s="7">
        <v>44619.141087962962</v>
      </c>
      <c r="N1600" t="s">
        <v>72</v>
      </c>
      <c r="O1600" s="34" t="s">
        <v>7474</v>
      </c>
      <c r="R1600" s="32" t="s">
        <v>7472</v>
      </c>
      <c r="S1600" t="s">
        <v>7476</v>
      </c>
      <c r="T1600" s="34" t="s">
        <v>7476</v>
      </c>
      <c r="U1600" s="34" t="s">
        <v>7476</v>
      </c>
      <c r="V1600" s="32" t="s">
        <v>7476</v>
      </c>
      <c r="W1600" s="32" t="s">
        <v>7476</v>
      </c>
      <c r="X1600">
        <v>0</v>
      </c>
      <c r="Y1600" s="34" t="s">
        <v>7476</v>
      </c>
      <c r="Z1600" s="34" t="s">
        <v>7476</v>
      </c>
      <c r="AA1600" s="34" t="s">
        <v>7476</v>
      </c>
      <c r="AB1600" s="36" t="s">
        <v>7476</v>
      </c>
      <c r="AD1600" t="s">
        <v>4991</v>
      </c>
      <c r="AE1600" t="s">
        <v>4992</v>
      </c>
      <c r="AG1600" t="s">
        <v>64</v>
      </c>
      <c r="AH1600">
        <v>3</v>
      </c>
      <c r="AI1600" s="8" t="str">
        <f>IFERROR(R1600-AF1600,"")</f>
        <v/>
      </c>
      <c r="AJ1600" s="8" t="str">
        <f>IFERROR(O1600-AF1600,"")</f>
        <v/>
      </c>
      <c r="AK1600" s="38" t="str">
        <f t="shared" si="634"/>
        <v/>
      </c>
      <c r="AL1600" t="str">
        <f>IFERROR(Z1600-W1600,"")</f>
        <v/>
      </c>
      <c r="AM1600" t="str">
        <f>IFERROR(R1600-J1600,"")</f>
        <v/>
      </c>
      <c r="AN1600" t="str">
        <f>IFERROR(V1600-O1600,"")</f>
        <v/>
      </c>
      <c r="AO1600">
        <f>IFERROR(J1600-I1600,"")</f>
        <v>2</v>
      </c>
      <c r="AP1600">
        <f>IFERROR(AC1600-X1600,"")</f>
        <v>0</v>
      </c>
      <c r="AQ1600" t="str">
        <f>IFERROR(AA1600-W1600,"")</f>
        <v/>
      </c>
    </row>
    <row r="1601" spans="1:43" x14ac:dyDescent="0.35">
      <c r="A1601">
        <v>2550</v>
      </c>
      <c r="B1601" t="s">
        <v>4993</v>
      </c>
      <c r="C1601" t="s">
        <v>4471</v>
      </c>
      <c r="D1601" t="str">
        <f t="shared" si="632"/>
        <v>Finance</v>
      </c>
      <c r="E1601" t="s">
        <v>4968</v>
      </c>
      <c r="F1601" t="s">
        <v>695</v>
      </c>
      <c r="G1601" t="s">
        <v>4969</v>
      </c>
      <c r="H1601" t="s">
        <v>697</v>
      </c>
      <c r="I1601" s="32">
        <v>45103.479166666657</v>
      </c>
      <c r="J1601" s="32">
        <v>45106.479166666657</v>
      </c>
      <c r="K1601" s="32">
        <v>45112.479166666657</v>
      </c>
      <c r="L1601" s="8">
        <f t="shared" si="633"/>
        <v>9</v>
      </c>
      <c r="M1601" s="7">
        <v>45137.479166666657</v>
      </c>
      <c r="N1601" t="s">
        <v>49</v>
      </c>
      <c r="O1601" s="34">
        <v>45120.479166666657</v>
      </c>
      <c r="P1601" t="s">
        <v>60</v>
      </c>
      <c r="R1601" s="32">
        <v>45126.479166666657</v>
      </c>
      <c r="S1601" t="s">
        <v>61</v>
      </c>
      <c r="T1601" s="34" t="s">
        <v>7476</v>
      </c>
      <c r="U1601" s="34" t="s">
        <v>7476</v>
      </c>
      <c r="V1601" s="32">
        <v>45123.479166666657</v>
      </c>
      <c r="W1601" s="32" t="s">
        <v>7476</v>
      </c>
      <c r="X1601">
        <v>0</v>
      </c>
      <c r="Y1601" s="34" t="s">
        <v>7476</v>
      </c>
      <c r="Z1601" s="34" t="s">
        <v>7476</v>
      </c>
      <c r="AA1601" s="34" t="s">
        <v>7476</v>
      </c>
      <c r="AB1601" s="36" t="s">
        <v>7476</v>
      </c>
      <c r="AD1601" t="s">
        <v>4994</v>
      </c>
      <c r="AE1601" t="s">
        <v>4995</v>
      </c>
      <c r="AF1601" s="16">
        <v>45105</v>
      </c>
      <c r="AG1601" t="s">
        <v>98</v>
      </c>
      <c r="AH1601">
        <v>3</v>
      </c>
      <c r="AI1601" s="8">
        <f>IFERROR(R1601-AF1601,"")</f>
        <v>21.479166666656965</v>
      </c>
      <c r="AJ1601" s="8">
        <f>IFERROR(O1601-AF1601,"")</f>
        <v>15.479166666656965</v>
      </c>
      <c r="AK1601" s="38">
        <f t="shared" si="634"/>
        <v>45213.479166666657</v>
      </c>
      <c r="AL1601" t="str">
        <f>IFERROR(Z1601-W1601,"")</f>
        <v/>
      </c>
      <c r="AM1601">
        <f>IFERROR(R1601-J1601,"")</f>
        <v>20</v>
      </c>
      <c r="AN1601">
        <f>IFERROR(V1601-O1601,"")</f>
        <v>3</v>
      </c>
      <c r="AO1601">
        <f>IFERROR(J1601-I1601,"")</f>
        <v>3</v>
      </c>
      <c r="AP1601">
        <f>IFERROR(AC1601-X1601,"")</f>
        <v>0</v>
      </c>
      <c r="AQ1601" t="str">
        <f>IFERROR(AA1601-W1601,"")</f>
        <v/>
      </c>
    </row>
    <row r="1602" spans="1:43" x14ac:dyDescent="0.35">
      <c r="A1602">
        <v>2544</v>
      </c>
      <c r="B1602" t="s">
        <v>4996</v>
      </c>
      <c r="C1602" t="s">
        <v>4480</v>
      </c>
      <c r="D1602" t="str">
        <f t="shared" ref="D1602:D1665" si="643">TRIM(C1602)</f>
        <v>Finance</v>
      </c>
      <c r="E1602" t="s">
        <v>4968</v>
      </c>
      <c r="F1602" t="s">
        <v>695</v>
      </c>
      <c r="G1602" t="s">
        <v>4969</v>
      </c>
      <c r="H1602" t="s">
        <v>697</v>
      </c>
      <c r="I1602" s="32">
        <v>45105.479166666657</v>
      </c>
      <c r="J1602" s="32">
        <v>45106.479166666657</v>
      </c>
      <c r="K1602" s="32" t="s">
        <v>7473</v>
      </c>
      <c r="L1602" s="8" t="str">
        <f t="shared" ref="L1602:L1665" si="644">IFERROR(K1602-I1602,"")</f>
        <v/>
      </c>
      <c r="M1602" s="7">
        <v>45119.479166666657</v>
      </c>
      <c r="N1602" t="s">
        <v>49</v>
      </c>
      <c r="O1602" s="34">
        <v>45128.479166666657</v>
      </c>
      <c r="P1602" t="s">
        <v>50</v>
      </c>
      <c r="Q1602" t="s">
        <v>51</v>
      </c>
      <c r="R1602" s="32" t="s">
        <v>7472</v>
      </c>
      <c r="S1602" t="s">
        <v>7476</v>
      </c>
      <c r="T1602" s="34" t="s">
        <v>7476</v>
      </c>
      <c r="U1602" s="34" t="s">
        <v>7476</v>
      </c>
      <c r="V1602" s="32">
        <v>45129.479166666657</v>
      </c>
      <c r="W1602" s="32" t="s">
        <v>7476</v>
      </c>
      <c r="X1602">
        <v>0</v>
      </c>
      <c r="Y1602" s="34" t="s">
        <v>7476</v>
      </c>
      <c r="Z1602" s="34" t="s">
        <v>7476</v>
      </c>
      <c r="AA1602" s="34" t="s">
        <v>7476</v>
      </c>
      <c r="AB1602" s="36" t="s">
        <v>52</v>
      </c>
      <c r="AD1602" t="s">
        <v>4997</v>
      </c>
      <c r="AE1602" t="s">
        <v>4998</v>
      </c>
      <c r="AF1602" s="16">
        <v>45123</v>
      </c>
      <c r="AG1602" t="s">
        <v>98</v>
      </c>
      <c r="AH1602">
        <v>3</v>
      </c>
      <c r="AK1602" s="38">
        <f t="shared" si="634"/>
        <v>45219.479166666657</v>
      </c>
    </row>
    <row r="1603" spans="1:43" x14ac:dyDescent="0.35">
      <c r="A1603">
        <v>2506</v>
      </c>
      <c r="B1603" t="s">
        <v>4999</v>
      </c>
      <c r="C1603" t="s">
        <v>4502</v>
      </c>
      <c r="D1603" t="str">
        <f t="shared" si="643"/>
        <v>Finance</v>
      </c>
      <c r="E1603" t="s">
        <v>4968</v>
      </c>
      <c r="F1603" t="s">
        <v>695</v>
      </c>
      <c r="G1603" t="s">
        <v>4969</v>
      </c>
      <c r="H1603" t="s">
        <v>697</v>
      </c>
      <c r="I1603" s="32">
        <v>44737.776979166672</v>
      </c>
      <c r="J1603" s="32">
        <v>44739.776979166672</v>
      </c>
      <c r="K1603" s="32">
        <v>44743.776979166672</v>
      </c>
      <c r="L1603" s="8">
        <f t="shared" si="644"/>
        <v>6</v>
      </c>
      <c r="M1603" s="7">
        <v>44768.776979166672</v>
      </c>
      <c r="N1603" t="s">
        <v>49</v>
      </c>
      <c r="O1603" s="34">
        <v>44758.776979166672</v>
      </c>
      <c r="P1603" t="s">
        <v>60</v>
      </c>
      <c r="R1603" s="32">
        <v>44762.776979166672</v>
      </c>
      <c r="S1603" t="s">
        <v>61</v>
      </c>
      <c r="T1603" s="34" t="s">
        <v>7476</v>
      </c>
      <c r="U1603" s="34" t="s">
        <v>7476</v>
      </c>
      <c r="V1603" s="32">
        <v>44761.776979166672</v>
      </c>
      <c r="W1603" s="32" t="s">
        <v>7476</v>
      </c>
      <c r="X1603">
        <v>0</v>
      </c>
      <c r="Y1603" s="34" t="s">
        <v>7476</v>
      </c>
      <c r="Z1603" s="34" t="s">
        <v>7476</v>
      </c>
      <c r="AA1603" s="34" t="s">
        <v>7476</v>
      </c>
      <c r="AB1603" s="36" t="s">
        <v>7476</v>
      </c>
      <c r="AD1603" t="s">
        <v>5000</v>
      </c>
      <c r="AE1603" t="s">
        <v>5001</v>
      </c>
      <c r="AF1603" s="16">
        <v>44741</v>
      </c>
      <c r="AG1603" t="s">
        <v>68</v>
      </c>
      <c r="AH1603">
        <v>3</v>
      </c>
      <c r="AI1603" s="8">
        <f>IFERROR(R1603-AF1603,"")</f>
        <v>21.77697916667239</v>
      </c>
      <c r="AJ1603" s="8">
        <f>IFERROR(O1603-AF1603,"")</f>
        <v>17.77697916667239</v>
      </c>
      <c r="AK1603" s="38">
        <f t="shared" ref="AK1603:AK1666" si="645">IFERROR(V1603+(AH1603*30),"")</f>
        <v>44851.776979166672</v>
      </c>
      <c r="AL1603" t="str">
        <f>IFERROR(Z1603-W1603,"")</f>
        <v/>
      </c>
      <c r="AM1603">
        <f>IFERROR(R1603-J1603,"")</f>
        <v>23</v>
      </c>
      <c r="AN1603">
        <f>IFERROR(V1603-O1603,"")</f>
        <v>3</v>
      </c>
      <c r="AO1603">
        <f>IFERROR(J1603-I1603,"")</f>
        <v>2</v>
      </c>
      <c r="AP1603">
        <f>IFERROR(AC1603-X1603,"")</f>
        <v>0</v>
      </c>
      <c r="AQ1603" t="str">
        <f>IFERROR(AA1603-W1603,"")</f>
        <v/>
      </c>
    </row>
    <row r="1604" spans="1:43" x14ac:dyDescent="0.35">
      <c r="A1604">
        <v>2503</v>
      </c>
      <c r="B1604" t="s">
        <v>5002</v>
      </c>
      <c r="C1604" t="s">
        <v>4471</v>
      </c>
      <c r="D1604" t="str">
        <f t="shared" si="643"/>
        <v>Finance</v>
      </c>
      <c r="E1604" t="s">
        <v>4968</v>
      </c>
      <c r="F1604" t="s">
        <v>695</v>
      </c>
      <c r="G1604" t="s">
        <v>4969</v>
      </c>
      <c r="H1604" t="s">
        <v>697</v>
      </c>
      <c r="I1604" s="32">
        <v>44739.776979166672</v>
      </c>
      <c r="J1604" s="32" t="s">
        <v>7471</v>
      </c>
      <c r="K1604" s="32">
        <v>44743.776979166672</v>
      </c>
      <c r="L1604" s="8">
        <f t="shared" si="644"/>
        <v>4</v>
      </c>
      <c r="M1604" s="7">
        <v>44772.776979166672</v>
      </c>
      <c r="N1604" t="s">
        <v>49</v>
      </c>
      <c r="O1604" s="34">
        <v>44744.776979166672</v>
      </c>
      <c r="P1604" t="s">
        <v>101</v>
      </c>
      <c r="R1604" s="32">
        <v>44748.776979166672</v>
      </c>
      <c r="S1604" t="s">
        <v>101</v>
      </c>
      <c r="T1604" s="34">
        <v>44745.776979166672</v>
      </c>
      <c r="U1604" s="34">
        <v>44748.776979166672</v>
      </c>
      <c r="V1604" s="32">
        <v>44745.776979166672</v>
      </c>
      <c r="W1604" s="32">
        <v>44750.776979166672</v>
      </c>
      <c r="X1604">
        <v>1</v>
      </c>
      <c r="Y1604" s="34">
        <v>44751.776979166672</v>
      </c>
      <c r="Z1604" s="34">
        <v>44754.776979166672</v>
      </c>
      <c r="AA1604" s="34">
        <v>44755.776979166672</v>
      </c>
      <c r="AB1604" s="36" t="s">
        <v>7476</v>
      </c>
      <c r="AC1604" s="10">
        <v>44772.776979166672</v>
      </c>
      <c r="AD1604" t="s">
        <v>5003</v>
      </c>
      <c r="AE1604" t="s">
        <v>5004</v>
      </c>
      <c r="AF1604" s="16">
        <v>44736</v>
      </c>
      <c r="AG1604" t="s">
        <v>55</v>
      </c>
      <c r="AH1604">
        <v>3</v>
      </c>
      <c r="AK1604" s="38">
        <f t="shared" si="645"/>
        <v>44835.776979166672</v>
      </c>
    </row>
    <row r="1605" spans="1:43" x14ac:dyDescent="0.35">
      <c r="A1605">
        <v>2502</v>
      </c>
      <c r="B1605" t="s">
        <v>5005</v>
      </c>
      <c r="C1605" t="s">
        <v>4480</v>
      </c>
      <c r="D1605" t="str">
        <f t="shared" si="643"/>
        <v>Finance</v>
      </c>
      <c r="E1605" t="s">
        <v>4968</v>
      </c>
      <c r="F1605" t="s">
        <v>695</v>
      </c>
      <c r="G1605" t="s">
        <v>4969</v>
      </c>
      <c r="H1605" t="s">
        <v>697</v>
      </c>
      <c r="I1605" s="32">
        <v>44740.776979166672</v>
      </c>
      <c r="J1605" s="32" t="s">
        <v>7471</v>
      </c>
      <c r="K1605" s="32">
        <v>44743.776979166672</v>
      </c>
      <c r="L1605" s="8">
        <f t="shared" si="644"/>
        <v>3</v>
      </c>
      <c r="M1605" s="7">
        <v>44769.776979166672</v>
      </c>
      <c r="N1605" t="s">
        <v>49</v>
      </c>
      <c r="O1605" s="34">
        <v>44754.776979166672</v>
      </c>
      <c r="P1605" t="s">
        <v>50</v>
      </c>
      <c r="Q1605" t="s">
        <v>84</v>
      </c>
      <c r="R1605" s="32" t="s">
        <v>7472</v>
      </c>
      <c r="S1605" t="s">
        <v>7476</v>
      </c>
      <c r="T1605" s="34" t="s">
        <v>7476</v>
      </c>
      <c r="U1605" s="34" t="s">
        <v>7476</v>
      </c>
      <c r="V1605" s="32">
        <v>44756.776979166672</v>
      </c>
      <c r="W1605" s="32" t="s">
        <v>7476</v>
      </c>
      <c r="X1605">
        <v>0</v>
      </c>
      <c r="Y1605" s="34" t="s">
        <v>7476</v>
      </c>
      <c r="Z1605" s="34" t="s">
        <v>7476</v>
      </c>
      <c r="AA1605" s="34" t="s">
        <v>7476</v>
      </c>
      <c r="AB1605" s="36" t="s">
        <v>95</v>
      </c>
      <c r="AD1605" t="s">
        <v>5006</v>
      </c>
      <c r="AE1605" t="s">
        <v>5007</v>
      </c>
      <c r="AF1605" s="16">
        <v>44738</v>
      </c>
      <c r="AG1605" t="s">
        <v>93</v>
      </c>
      <c r="AH1605">
        <v>3</v>
      </c>
      <c r="AK1605" s="38">
        <f t="shared" si="645"/>
        <v>44846.776979166672</v>
      </c>
    </row>
    <row r="1606" spans="1:43" x14ac:dyDescent="0.35">
      <c r="A1606">
        <v>2480</v>
      </c>
      <c r="B1606" t="s">
        <v>5008</v>
      </c>
      <c r="C1606" t="s">
        <v>4480</v>
      </c>
      <c r="D1606" t="str">
        <f t="shared" si="643"/>
        <v>Finance</v>
      </c>
      <c r="E1606" t="s">
        <v>4968</v>
      </c>
      <c r="F1606" t="s">
        <v>695</v>
      </c>
      <c r="G1606" t="s">
        <v>4969</v>
      </c>
      <c r="H1606" t="s">
        <v>697</v>
      </c>
      <c r="I1606" s="32">
        <v>44915.430844907409</v>
      </c>
      <c r="J1606" s="32">
        <v>44916.430844907409</v>
      </c>
      <c r="K1606" s="32">
        <v>44920.430844907409</v>
      </c>
      <c r="L1606" s="8">
        <f t="shared" si="644"/>
        <v>5</v>
      </c>
      <c r="M1606" s="7">
        <v>44931.430844907409</v>
      </c>
      <c r="N1606" t="s">
        <v>49</v>
      </c>
      <c r="O1606" s="34">
        <v>44936.430844907409</v>
      </c>
      <c r="P1606" t="s">
        <v>60</v>
      </c>
      <c r="R1606" s="32">
        <v>44939.430844907409</v>
      </c>
      <c r="S1606" t="s">
        <v>61</v>
      </c>
      <c r="T1606" s="34" t="s">
        <v>7476</v>
      </c>
      <c r="U1606" s="34" t="s">
        <v>7476</v>
      </c>
      <c r="V1606" s="32">
        <v>44938.430844907409</v>
      </c>
      <c r="W1606" s="32" t="s">
        <v>7476</v>
      </c>
      <c r="X1606">
        <v>0</v>
      </c>
      <c r="Y1606" s="34" t="s">
        <v>7476</v>
      </c>
      <c r="Z1606" s="34" t="s">
        <v>7476</v>
      </c>
      <c r="AA1606" s="34" t="s">
        <v>7476</v>
      </c>
      <c r="AB1606" s="36" t="s">
        <v>7476</v>
      </c>
      <c r="AD1606" t="s">
        <v>5009</v>
      </c>
      <c r="AE1606" t="s">
        <v>5010</v>
      </c>
      <c r="AF1606" s="16">
        <v>44929</v>
      </c>
      <c r="AG1606" t="s">
        <v>68</v>
      </c>
      <c r="AH1606">
        <v>6</v>
      </c>
      <c r="AI1606" s="8">
        <f>IFERROR(R1606-AF1606,"")</f>
        <v>10.430844907408755</v>
      </c>
      <c r="AJ1606" s="8">
        <f>IFERROR(O1606-AF1606,"")</f>
        <v>7.4308449074087548</v>
      </c>
      <c r="AK1606" s="38">
        <f t="shared" si="645"/>
        <v>45118.430844907409</v>
      </c>
      <c r="AL1606" t="str">
        <f>IFERROR(Z1606-W1606,"")</f>
        <v/>
      </c>
      <c r="AM1606">
        <f>IFERROR(R1606-J1606,"")</f>
        <v>23</v>
      </c>
      <c r="AN1606">
        <f>IFERROR(V1606-O1606,"")</f>
        <v>2</v>
      </c>
      <c r="AO1606">
        <f>IFERROR(J1606-I1606,"")</f>
        <v>1</v>
      </c>
      <c r="AP1606">
        <f>IFERROR(AC1606-X1606,"")</f>
        <v>0</v>
      </c>
      <c r="AQ1606" t="str">
        <f>IFERROR(AA1606-W1606,"")</f>
        <v/>
      </c>
    </row>
    <row r="1607" spans="1:43" x14ac:dyDescent="0.35">
      <c r="A1607">
        <v>2472</v>
      </c>
      <c r="B1607" t="s">
        <v>5011</v>
      </c>
      <c r="C1607" t="s">
        <v>4471</v>
      </c>
      <c r="D1607" t="str">
        <f t="shared" si="643"/>
        <v>Finance</v>
      </c>
      <c r="E1607" t="s">
        <v>4968</v>
      </c>
      <c r="F1607" t="s">
        <v>695</v>
      </c>
      <c r="G1607" t="s">
        <v>4969</v>
      </c>
      <c r="H1607" t="s">
        <v>697</v>
      </c>
      <c r="I1607" s="32">
        <v>44914.430844907409</v>
      </c>
      <c r="J1607" s="32" t="s">
        <v>7471</v>
      </c>
      <c r="K1607" s="32">
        <v>44920.430844907409</v>
      </c>
      <c r="L1607" s="8">
        <f t="shared" si="644"/>
        <v>6</v>
      </c>
      <c r="M1607" s="7">
        <v>44941.430844907409</v>
      </c>
      <c r="N1607" t="s">
        <v>49</v>
      </c>
      <c r="O1607" s="34">
        <v>44922.430844907409</v>
      </c>
      <c r="P1607" t="s">
        <v>50</v>
      </c>
      <c r="Q1607" t="s">
        <v>236</v>
      </c>
      <c r="R1607" s="32" t="s">
        <v>7472</v>
      </c>
      <c r="S1607" t="s">
        <v>7476</v>
      </c>
      <c r="T1607" s="34" t="s">
        <v>7476</v>
      </c>
      <c r="U1607" s="34" t="s">
        <v>7476</v>
      </c>
      <c r="V1607" s="32">
        <v>44926.430844907409</v>
      </c>
      <c r="W1607" s="32" t="s">
        <v>7476</v>
      </c>
      <c r="X1607">
        <v>0</v>
      </c>
      <c r="Y1607" s="34" t="s">
        <v>7476</v>
      </c>
      <c r="Z1607" s="34" t="s">
        <v>7476</v>
      </c>
      <c r="AA1607" s="34" t="s">
        <v>7476</v>
      </c>
      <c r="AB1607" s="36" t="s">
        <v>95</v>
      </c>
      <c r="AD1607" t="s">
        <v>5012</v>
      </c>
      <c r="AE1607" t="s">
        <v>5013</v>
      </c>
      <c r="AF1607" s="16">
        <v>44913</v>
      </c>
      <c r="AG1607" t="s">
        <v>68</v>
      </c>
      <c r="AH1607">
        <v>6</v>
      </c>
      <c r="AK1607" s="38">
        <f t="shared" si="645"/>
        <v>45106.430844907409</v>
      </c>
    </row>
    <row r="1608" spans="1:43" x14ac:dyDescent="0.35">
      <c r="A1608">
        <v>2359</v>
      </c>
      <c r="B1608" t="s">
        <v>5014</v>
      </c>
      <c r="C1608" t="s">
        <v>4471</v>
      </c>
      <c r="D1608" t="str">
        <f t="shared" si="643"/>
        <v>Finance</v>
      </c>
      <c r="E1608" t="s">
        <v>4968</v>
      </c>
      <c r="F1608" t="s">
        <v>695</v>
      </c>
      <c r="G1608" t="s">
        <v>4969</v>
      </c>
      <c r="H1608" t="s">
        <v>697</v>
      </c>
      <c r="I1608" s="32">
        <v>45023.526319444441</v>
      </c>
      <c r="J1608" s="32">
        <v>45026.526319444441</v>
      </c>
      <c r="K1608" s="32">
        <v>45032.526319444441</v>
      </c>
      <c r="L1608" s="8">
        <f t="shared" si="644"/>
        <v>9</v>
      </c>
      <c r="M1608" s="7">
        <v>45045.526319444441</v>
      </c>
      <c r="N1608" t="s">
        <v>72</v>
      </c>
      <c r="O1608" s="34" t="s">
        <v>7474</v>
      </c>
      <c r="R1608" s="32" t="s">
        <v>7472</v>
      </c>
      <c r="S1608" t="s">
        <v>7476</v>
      </c>
      <c r="T1608" s="34" t="s">
        <v>7476</v>
      </c>
      <c r="U1608" s="34" t="s">
        <v>7476</v>
      </c>
      <c r="V1608" s="32" t="s">
        <v>7476</v>
      </c>
      <c r="W1608" s="32" t="s">
        <v>7476</v>
      </c>
      <c r="X1608">
        <v>0</v>
      </c>
      <c r="Y1608" s="34" t="s">
        <v>7476</v>
      </c>
      <c r="Z1608" s="34" t="s">
        <v>7476</v>
      </c>
      <c r="AA1608" s="34" t="s">
        <v>7476</v>
      </c>
      <c r="AB1608" s="36" t="s">
        <v>7476</v>
      </c>
      <c r="AD1608" t="s">
        <v>5015</v>
      </c>
      <c r="AE1608" t="s">
        <v>5016</v>
      </c>
      <c r="AG1608" t="s">
        <v>98</v>
      </c>
      <c r="AH1608">
        <v>6</v>
      </c>
      <c r="AI1608" s="8" t="str">
        <f t="shared" ref="AI1608:AI1621" si="646">IFERROR(R1608-AF1608,"")</f>
        <v/>
      </c>
      <c r="AJ1608" s="8" t="str">
        <f t="shared" ref="AJ1608:AJ1621" si="647">IFERROR(O1608-AF1608,"")</f>
        <v/>
      </c>
      <c r="AK1608" s="38" t="str">
        <f t="shared" si="645"/>
        <v/>
      </c>
      <c r="AL1608" t="str">
        <f t="shared" ref="AL1608:AL1621" si="648">IFERROR(Z1608-W1608,"")</f>
        <v/>
      </c>
      <c r="AM1608" t="str">
        <f t="shared" ref="AM1608:AM1621" si="649">IFERROR(R1608-J1608,"")</f>
        <v/>
      </c>
      <c r="AN1608" t="str">
        <f t="shared" ref="AN1608:AN1621" si="650">IFERROR(V1608-O1608,"")</f>
        <v/>
      </c>
      <c r="AO1608">
        <f t="shared" ref="AO1608:AO1621" si="651">IFERROR(J1608-I1608,"")</f>
        <v>3</v>
      </c>
      <c r="AP1608">
        <f t="shared" ref="AP1608:AP1621" si="652">IFERROR(AC1608-X1608,"")</f>
        <v>0</v>
      </c>
      <c r="AQ1608" t="str">
        <f t="shared" ref="AQ1608:AQ1621" si="653">IFERROR(AA1608-W1608,"")</f>
        <v/>
      </c>
    </row>
    <row r="1609" spans="1:43" x14ac:dyDescent="0.35">
      <c r="A1609">
        <v>2356</v>
      </c>
      <c r="B1609" t="s">
        <v>5017</v>
      </c>
      <c r="C1609" t="s">
        <v>4480</v>
      </c>
      <c r="D1609" t="str">
        <f t="shared" si="643"/>
        <v>Finance</v>
      </c>
      <c r="E1609" t="s">
        <v>4968</v>
      </c>
      <c r="F1609" t="s">
        <v>695</v>
      </c>
      <c r="G1609" t="s">
        <v>4969</v>
      </c>
      <c r="H1609" t="s">
        <v>697</v>
      </c>
      <c r="I1609" s="32">
        <v>45028.526319444441</v>
      </c>
      <c r="J1609" s="32">
        <v>45031.526319444441</v>
      </c>
      <c r="K1609" s="32">
        <v>45032.526319444441</v>
      </c>
      <c r="L1609" s="8">
        <f t="shared" si="644"/>
        <v>4</v>
      </c>
      <c r="M1609" s="7">
        <v>45060.526319444441</v>
      </c>
      <c r="N1609" t="s">
        <v>49</v>
      </c>
      <c r="O1609" s="34">
        <v>45038.526319444441</v>
      </c>
      <c r="P1609" t="s">
        <v>50</v>
      </c>
      <c r="Q1609" t="s">
        <v>125</v>
      </c>
      <c r="R1609" s="32" t="s">
        <v>7472</v>
      </c>
      <c r="S1609" t="s">
        <v>7476</v>
      </c>
      <c r="T1609" s="34" t="s">
        <v>7476</v>
      </c>
      <c r="U1609" s="34" t="s">
        <v>7476</v>
      </c>
      <c r="V1609" s="32" t="s">
        <v>7476</v>
      </c>
      <c r="W1609" s="32" t="s">
        <v>7476</v>
      </c>
      <c r="X1609">
        <v>0</v>
      </c>
      <c r="Y1609" s="34" t="s">
        <v>7476</v>
      </c>
      <c r="Z1609" s="34" t="s">
        <v>7476</v>
      </c>
      <c r="AA1609" s="34" t="s">
        <v>7476</v>
      </c>
      <c r="AB1609" s="36" t="s">
        <v>95</v>
      </c>
      <c r="AD1609" t="s">
        <v>5018</v>
      </c>
      <c r="AE1609" t="s">
        <v>5019</v>
      </c>
      <c r="AF1609" s="16">
        <v>45020</v>
      </c>
      <c r="AG1609" t="s">
        <v>64</v>
      </c>
      <c r="AH1609">
        <v>3</v>
      </c>
      <c r="AI1609" s="8" t="str">
        <f t="shared" si="646"/>
        <v/>
      </c>
      <c r="AJ1609" s="8">
        <f t="shared" si="647"/>
        <v>18.526319444441469</v>
      </c>
      <c r="AK1609" s="38" t="str">
        <f t="shared" si="645"/>
        <v/>
      </c>
      <c r="AL1609" t="str">
        <f t="shared" si="648"/>
        <v/>
      </c>
      <c r="AM1609" t="str">
        <f t="shared" si="649"/>
        <v/>
      </c>
      <c r="AN1609" t="str">
        <f t="shared" si="650"/>
        <v/>
      </c>
      <c r="AO1609">
        <f t="shared" si="651"/>
        <v>3</v>
      </c>
      <c r="AP1609">
        <f t="shared" si="652"/>
        <v>0</v>
      </c>
      <c r="AQ1609" t="str">
        <f t="shared" si="653"/>
        <v/>
      </c>
    </row>
    <row r="1610" spans="1:43" x14ac:dyDescent="0.35">
      <c r="A1610">
        <v>2330</v>
      </c>
      <c r="B1610" t="s">
        <v>5020</v>
      </c>
      <c r="C1610" t="s">
        <v>4480</v>
      </c>
      <c r="D1610" t="str">
        <f t="shared" si="643"/>
        <v>Finance</v>
      </c>
      <c r="E1610" t="s">
        <v>4968</v>
      </c>
      <c r="F1610" t="s">
        <v>695</v>
      </c>
      <c r="G1610" t="s">
        <v>4969</v>
      </c>
      <c r="H1610" t="s">
        <v>697</v>
      </c>
      <c r="I1610" s="32">
        <v>44595.265613425923</v>
      </c>
      <c r="J1610" s="32">
        <v>44598.265613425923</v>
      </c>
      <c r="K1610" s="32">
        <v>44603.265613425923</v>
      </c>
      <c r="L1610" s="8">
        <f t="shared" si="644"/>
        <v>8</v>
      </c>
      <c r="M1610" s="7">
        <v>44617.265613425923</v>
      </c>
      <c r="N1610" t="s">
        <v>49</v>
      </c>
      <c r="O1610" s="34">
        <v>44616.265613425923</v>
      </c>
      <c r="P1610" t="s">
        <v>60</v>
      </c>
      <c r="R1610" s="32">
        <v>44620.265613425923</v>
      </c>
      <c r="S1610" t="s">
        <v>61</v>
      </c>
      <c r="T1610" s="34" t="s">
        <v>7476</v>
      </c>
      <c r="U1610" s="34" t="s">
        <v>7476</v>
      </c>
      <c r="V1610" s="32">
        <v>44617.265613425923</v>
      </c>
      <c r="W1610" s="32" t="s">
        <v>7476</v>
      </c>
      <c r="X1610">
        <v>0</v>
      </c>
      <c r="Y1610" s="34" t="s">
        <v>7476</v>
      </c>
      <c r="Z1610" s="34" t="s">
        <v>7476</v>
      </c>
      <c r="AA1610" s="34" t="s">
        <v>7476</v>
      </c>
      <c r="AB1610" s="36" t="s">
        <v>7476</v>
      </c>
      <c r="AD1610" t="s">
        <v>5021</v>
      </c>
      <c r="AE1610" t="s">
        <v>5022</v>
      </c>
      <c r="AF1610" s="16">
        <v>44606</v>
      </c>
      <c r="AG1610" t="s">
        <v>98</v>
      </c>
      <c r="AH1610">
        <v>3</v>
      </c>
      <c r="AI1610" s="8">
        <f t="shared" si="646"/>
        <v>14.26561342592322</v>
      </c>
      <c r="AJ1610" s="8">
        <f t="shared" si="647"/>
        <v>10.26561342592322</v>
      </c>
      <c r="AK1610" s="38">
        <f t="shared" si="645"/>
        <v>44707.265613425923</v>
      </c>
      <c r="AL1610" t="str">
        <f t="shared" si="648"/>
        <v/>
      </c>
      <c r="AM1610">
        <f t="shared" si="649"/>
        <v>22</v>
      </c>
      <c r="AN1610">
        <f t="shared" si="650"/>
        <v>1</v>
      </c>
      <c r="AO1610">
        <f t="shared" si="651"/>
        <v>3</v>
      </c>
      <c r="AP1610">
        <f t="shared" si="652"/>
        <v>0</v>
      </c>
      <c r="AQ1610" t="str">
        <f t="shared" si="653"/>
        <v/>
      </c>
    </row>
    <row r="1611" spans="1:43" x14ac:dyDescent="0.35">
      <c r="A1611">
        <v>2308</v>
      </c>
      <c r="B1611" t="s">
        <v>5023</v>
      </c>
      <c r="C1611" t="s">
        <v>4471</v>
      </c>
      <c r="D1611" t="str">
        <f t="shared" si="643"/>
        <v>Finance</v>
      </c>
      <c r="E1611" t="s">
        <v>4968</v>
      </c>
      <c r="F1611" t="s">
        <v>695</v>
      </c>
      <c r="G1611" t="s">
        <v>4969</v>
      </c>
      <c r="H1611" t="s">
        <v>697</v>
      </c>
      <c r="I1611" s="32">
        <v>45099.08085648148</v>
      </c>
      <c r="J1611" s="32">
        <v>45102.08085648148</v>
      </c>
      <c r="K1611" s="32">
        <v>45105.08085648148</v>
      </c>
      <c r="L1611" s="8">
        <f t="shared" si="644"/>
        <v>6</v>
      </c>
      <c r="M1611" s="7">
        <v>45117.08085648148</v>
      </c>
      <c r="N1611" t="s">
        <v>49</v>
      </c>
      <c r="O1611" s="34">
        <v>45117.08085648148</v>
      </c>
      <c r="P1611" t="s">
        <v>50</v>
      </c>
      <c r="Q1611" t="s">
        <v>198</v>
      </c>
      <c r="R1611" s="32" t="s">
        <v>7472</v>
      </c>
      <c r="S1611" t="s">
        <v>7476</v>
      </c>
      <c r="T1611" s="34" t="s">
        <v>7476</v>
      </c>
      <c r="U1611" s="34" t="s">
        <v>7476</v>
      </c>
      <c r="V1611" s="32">
        <v>45119.08085648148</v>
      </c>
      <c r="W1611" s="32" t="s">
        <v>7476</v>
      </c>
      <c r="X1611">
        <v>0</v>
      </c>
      <c r="Y1611" s="34" t="s">
        <v>7476</v>
      </c>
      <c r="Z1611" s="34" t="s">
        <v>7476</v>
      </c>
      <c r="AA1611" s="34" t="s">
        <v>7476</v>
      </c>
      <c r="AB1611" s="36" t="s">
        <v>52</v>
      </c>
      <c r="AD1611" t="s">
        <v>5024</v>
      </c>
      <c r="AE1611" t="s">
        <v>5025</v>
      </c>
      <c r="AF1611" s="16">
        <v>45101</v>
      </c>
      <c r="AG1611" t="s">
        <v>68</v>
      </c>
      <c r="AH1611">
        <v>6</v>
      </c>
      <c r="AI1611" s="8" t="str">
        <f t="shared" si="646"/>
        <v/>
      </c>
      <c r="AJ1611" s="8">
        <f t="shared" si="647"/>
        <v>16.080856481479714</v>
      </c>
      <c r="AK1611" s="38">
        <f t="shared" si="645"/>
        <v>45299.08085648148</v>
      </c>
      <c r="AL1611" t="str">
        <f t="shared" si="648"/>
        <v/>
      </c>
      <c r="AM1611" t="str">
        <f t="shared" si="649"/>
        <v/>
      </c>
      <c r="AN1611">
        <f t="shared" si="650"/>
        <v>2</v>
      </c>
      <c r="AO1611">
        <f t="shared" si="651"/>
        <v>3</v>
      </c>
      <c r="AP1611">
        <f t="shared" si="652"/>
        <v>0</v>
      </c>
      <c r="AQ1611" t="str">
        <f t="shared" si="653"/>
        <v/>
      </c>
    </row>
    <row r="1612" spans="1:43" x14ac:dyDescent="0.35">
      <c r="A1612">
        <v>2279</v>
      </c>
      <c r="B1612" t="s">
        <v>5026</v>
      </c>
      <c r="C1612" t="s">
        <v>4471</v>
      </c>
      <c r="D1612" t="str">
        <f t="shared" si="643"/>
        <v>Finance</v>
      </c>
      <c r="E1612" t="s">
        <v>4968</v>
      </c>
      <c r="F1612" t="s">
        <v>695</v>
      </c>
      <c r="G1612" t="s">
        <v>4969</v>
      </c>
      <c r="H1612" t="s">
        <v>697</v>
      </c>
      <c r="I1612" s="32">
        <v>45164.90388888889</v>
      </c>
      <c r="J1612" s="32">
        <v>45167.90388888889</v>
      </c>
      <c r="K1612" s="32">
        <v>45171.90388888889</v>
      </c>
      <c r="L1612" s="8">
        <f t="shared" si="644"/>
        <v>7</v>
      </c>
      <c r="M1612" s="7">
        <v>45183.90388888889</v>
      </c>
      <c r="N1612" t="s">
        <v>72</v>
      </c>
      <c r="O1612" s="34" t="s">
        <v>7474</v>
      </c>
      <c r="R1612" s="32" t="s">
        <v>7472</v>
      </c>
      <c r="S1612" t="s">
        <v>7476</v>
      </c>
      <c r="T1612" s="34" t="s">
        <v>7476</v>
      </c>
      <c r="U1612" s="34" t="s">
        <v>7476</v>
      </c>
      <c r="V1612" s="32" t="s">
        <v>7476</v>
      </c>
      <c r="W1612" s="32" t="s">
        <v>7476</v>
      </c>
      <c r="X1612">
        <v>0</v>
      </c>
      <c r="Y1612" s="34" t="s">
        <v>7476</v>
      </c>
      <c r="Z1612" s="34" t="s">
        <v>7476</v>
      </c>
      <c r="AA1612" s="34" t="s">
        <v>7476</v>
      </c>
      <c r="AB1612" s="36" t="s">
        <v>7476</v>
      </c>
      <c r="AD1612" t="s">
        <v>5027</v>
      </c>
      <c r="AE1612" t="s">
        <v>5028</v>
      </c>
      <c r="AG1612" t="s">
        <v>98</v>
      </c>
      <c r="AH1612">
        <v>6</v>
      </c>
      <c r="AI1612" s="8" t="str">
        <f t="shared" si="646"/>
        <v/>
      </c>
      <c r="AJ1612" s="8" t="str">
        <f t="shared" si="647"/>
        <v/>
      </c>
      <c r="AK1612" s="38" t="str">
        <f t="shared" si="645"/>
        <v/>
      </c>
      <c r="AL1612" t="str">
        <f t="shared" si="648"/>
        <v/>
      </c>
      <c r="AM1612" t="str">
        <f t="shared" si="649"/>
        <v/>
      </c>
      <c r="AN1612" t="str">
        <f t="shared" si="650"/>
        <v/>
      </c>
      <c r="AO1612">
        <f t="shared" si="651"/>
        <v>3</v>
      </c>
      <c r="AP1612">
        <f t="shared" si="652"/>
        <v>0</v>
      </c>
      <c r="AQ1612" t="str">
        <f t="shared" si="653"/>
        <v/>
      </c>
    </row>
    <row r="1613" spans="1:43" x14ac:dyDescent="0.35">
      <c r="A1613">
        <v>2230</v>
      </c>
      <c r="B1613" t="s">
        <v>5029</v>
      </c>
      <c r="C1613" t="s">
        <v>4502</v>
      </c>
      <c r="D1613" t="str">
        <f t="shared" si="643"/>
        <v>Finance</v>
      </c>
      <c r="E1613" t="s">
        <v>4968</v>
      </c>
      <c r="F1613" t="s">
        <v>695</v>
      </c>
      <c r="G1613" t="s">
        <v>4969</v>
      </c>
      <c r="H1613" t="s">
        <v>697</v>
      </c>
      <c r="I1613" s="32">
        <v>45154.534872685188</v>
      </c>
      <c r="J1613" s="32">
        <v>45156.534872685188</v>
      </c>
      <c r="K1613" s="32">
        <v>45161.534872685188</v>
      </c>
      <c r="L1613" s="8">
        <f t="shared" si="644"/>
        <v>7</v>
      </c>
      <c r="M1613" s="7">
        <v>45172.534872685188</v>
      </c>
      <c r="N1613" t="s">
        <v>49</v>
      </c>
      <c r="O1613" s="34">
        <v>45169.534872685188</v>
      </c>
      <c r="P1613" t="s">
        <v>392</v>
      </c>
      <c r="R1613" s="32">
        <v>45172.534872685188</v>
      </c>
      <c r="S1613" t="s">
        <v>392</v>
      </c>
      <c r="T1613" s="34" t="s">
        <v>7476</v>
      </c>
      <c r="U1613" s="34" t="s">
        <v>7476</v>
      </c>
      <c r="V1613" s="32">
        <v>45170.534872685188</v>
      </c>
      <c r="W1613" s="32" t="s">
        <v>7476</v>
      </c>
      <c r="X1613">
        <v>0</v>
      </c>
      <c r="Y1613" s="34" t="s">
        <v>7476</v>
      </c>
      <c r="Z1613" s="34" t="s">
        <v>7476</v>
      </c>
      <c r="AA1613" s="34" t="s">
        <v>7476</v>
      </c>
      <c r="AB1613" s="36" t="s">
        <v>7476</v>
      </c>
      <c r="AD1613" t="s">
        <v>5030</v>
      </c>
      <c r="AE1613" t="s">
        <v>5031</v>
      </c>
      <c r="AF1613" s="16">
        <v>45153</v>
      </c>
      <c r="AG1613" t="s">
        <v>98</v>
      </c>
      <c r="AH1613">
        <v>6</v>
      </c>
      <c r="AI1613" s="8">
        <f t="shared" si="646"/>
        <v>19.53487268518802</v>
      </c>
      <c r="AJ1613" s="8">
        <f t="shared" si="647"/>
        <v>16.53487268518802</v>
      </c>
      <c r="AK1613" s="38">
        <f t="shared" si="645"/>
        <v>45350.534872685188</v>
      </c>
      <c r="AL1613" t="str">
        <f t="shared" si="648"/>
        <v/>
      </c>
      <c r="AM1613">
        <f t="shared" si="649"/>
        <v>16</v>
      </c>
      <c r="AN1613">
        <f t="shared" si="650"/>
        <v>1</v>
      </c>
      <c r="AO1613">
        <f t="shared" si="651"/>
        <v>2</v>
      </c>
      <c r="AP1613">
        <f t="shared" si="652"/>
        <v>0</v>
      </c>
      <c r="AQ1613" t="str">
        <f t="shared" si="653"/>
        <v/>
      </c>
    </row>
    <row r="1614" spans="1:43" x14ac:dyDescent="0.35">
      <c r="A1614">
        <v>2226</v>
      </c>
      <c r="B1614" t="s">
        <v>5032</v>
      </c>
      <c r="C1614" t="s">
        <v>4471</v>
      </c>
      <c r="D1614" t="str">
        <f t="shared" si="643"/>
        <v>Finance</v>
      </c>
      <c r="E1614" t="s">
        <v>4968</v>
      </c>
      <c r="F1614" t="s">
        <v>695</v>
      </c>
      <c r="G1614" t="s">
        <v>4969</v>
      </c>
      <c r="H1614" t="s">
        <v>697</v>
      </c>
      <c r="I1614" s="32">
        <v>45156.534872685188</v>
      </c>
      <c r="J1614" s="32">
        <v>45158.534872685188</v>
      </c>
      <c r="K1614" s="32">
        <v>45161.534872685188</v>
      </c>
      <c r="L1614" s="8">
        <f t="shared" si="644"/>
        <v>5</v>
      </c>
      <c r="M1614" s="7">
        <v>45170.534872685188</v>
      </c>
      <c r="N1614" t="s">
        <v>49</v>
      </c>
      <c r="O1614" s="34">
        <v>45171.534872685188</v>
      </c>
      <c r="P1614" t="s">
        <v>50</v>
      </c>
      <c r="Q1614" t="s">
        <v>125</v>
      </c>
      <c r="R1614" s="32" t="s">
        <v>7472</v>
      </c>
      <c r="S1614" t="s">
        <v>7476</v>
      </c>
      <c r="T1614" s="34" t="s">
        <v>7476</v>
      </c>
      <c r="U1614" s="34" t="s">
        <v>7476</v>
      </c>
      <c r="V1614" s="32" t="s">
        <v>7476</v>
      </c>
      <c r="W1614" s="32" t="s">
        <v>7476</v>
      </c>
      <c r="X1614">
        <v>0</v>
      </c>
      <c r="Y1614" s="34" t="s">
        <v>7476</v>
      </c>
      <c r="Z1614" s="34" t="s">
        <v>7476</v>
      </c>
      <c r="AA1614" s="34" t="s">
        <v>7476</v>
      </c>
      <c r="AB1614" s="36" t="s">
        <v>52</v>
      </c>
      <c r="AD1614" t="s">
        <v>5033</v>
      </c>
      <c r="AE1614" t="s">
        <v>5034</v>
      </c>
      <c r="AF1614" s="16">
        <v>45160</v>
      </c>
      <c r="AG1614" t="s">
        <v>64</v>
      </c>
      <c r="AH1614">
        <v>3</v>
      </c>
      <c r="AI1614" s="8" t="str">
        <f t="shared" si="646"/>
        <v/>
      </c>
      <c r="AJ1614" s="8">
        <f t="shared" si="647"/>
        <v>11.53487268518802</v>
      </c>
      <c r="AK1614" s="38" t="str">
        <f t="shared" si="645"/>
        <v/>
      </c>
      <c r="AL1614" t="str">
        <f t="shared" si="648"/>
        <v/>
      </c>
      <c r="AM1614" t="str">
        <f t="shared" si="649"/>
        <v/>
      </c>
      <c r="AN1614" t="str">
        <f t="shared" si="650"/>
        <v/>
      </c>
      <c r="AO1614">
        <f t="shared" si="651"/>
        <v>2</v>
      </c>
      <c r="AP1614">
        <f t="shared" si="652"/>
        <v>0</v>
      </c>
      <c r="AQ1614" t="str">
        <f t="shared" si="653"/>
        <v/>
      </c>
    </row>
    <row r="1615" spans="1:43" x14ac:dyDescent="0.35">
      <c r="A1615">
        <v>2222</v>
      </c>
      <c r="B1615" t="s">
        <v>5035</v>
      </c>
      <c r="C1615" t="s">
        <v>4502</v>
      </c>
      <c r="D1615" t="str">
        <f t="shared" si="643"/>
        <v>Finance</v>
      </c>
      <c r="E1615" t="s">
        <v>4968</v>
      </c>
      <c r="F1615" t="s">
        <v>695</v>
      </c>
      <c r="G1615" t="s">
        <v>4969</v>
      </c>
      <c r="H1615" t="s">
        <v>697</v>
      </c>
      <c r="I1615" s="32">
        <v>45157.534872685188</v>
      </c>
      <c r="J1615" s="32">
        <v>45160.534872685188</v>
      </c>
      <c r="K1615" s="32">
        <v>45161.534872685188</v>
      </c>
      <c r="L1615" s="8">
        <f t="shared" si="644"/>
        <v>4</v>
      </c>
      <c r="M1615" s="7">
        <v>45184.534872685188</v>
      </c>
      <c r="N1615" t="s">
        <v>49</v>
      </c>
      <c r="O1615" s="34">
        <v>45174.534872685188</v>
      </c>
      <c r="P1615" t="s">
        <v>60</v>
      </c>
      <c r="R1615" s="32">
        <v>45177.534872685188</v>
      </c>
      <c r="S1615" t="s">
        <v>61</v>
      </c>
      <c r="T1615" s="34" t="s">
        <v>7476</v>
      </c>
      <c r="U1615" s="34" t="s">
        <v>7476</v>
      </c>
      <c r="V1615" s="32">
        <v>45175.534872685188</v>
      </c>
      <c r="W1615" s="32" t="s">
        <v>7476</v>
      </c>
      <c r="X1615">
        <v>0</v>
      </c>
      <c r="Y1615" s="34" t="s">
        <v>7476</v>
      </c>
      <c r="Z1615" s="34" t="s">
        <v>7476</v>
      </c>
      <c r="AA1615" s="34" t="s">
        <v>7476</v>
      </c>
      <c r="AB1615" s="36" t="s">
        <v>7476</v>
      </c>
      <c r="AD1615" t="s">
        <v>5036</v>
      </c>
      <c r="AE1615" t="s">
        <v>5037</v>
      </c>
      <c r="AF1615" s="16">
        <v>45161</v>
      </c>
      <c r="AG1615" t="s">
        <v>68</v>
      </c>
      <c r="AH1615">
        <v>3</v>
      </c>
      <c r="AI1615" s="8">
        <f t="shared" si="646"/>
        <v>16.53487268518802</v>
      </c>
      <c r="AJ1615" s="8">
        <f t="shared" si="647"/>
        <v>13.53487268518802</v>
      </c>
      <c r="AK1615" s="38">
        <f t="shared" si="645"/>
        <v>45265.534872685188</v>
      </c>
      <c r="AL1615" t="str">
        <f t="shared" si="648"/>
        <v/>
      </c>
      <c r="AM1615">
        <f t="shared" si="649"/>
        <v>17</v>
      </c>
      <c r="AN1615">
        <f t="shared" si="650"/>
        <v>1</v>
      </c>
      <c r="AO1615">
        <f t="shared" si="651"/>
        <v>3</v>
      </c>
      <c r="AP1615">
        <f t="shared" si="652"/>
        <v>0</v>
      </c>
      <c r="AQ1615" t="str">
        <f t="shared" si="653"/>
        <v/>
      </c>
    </row>
    <row r="1616" spans="1:43" x14ac:dyDescent="0.35">
      <c r="A1616">
        <v>2172</v>
      </c>
      <c r="B1616" t="s">
        <v>5038</v>
      </c>
      <c r="C1616" t="s">
        <v>4471</v>
      </c>
      <c r="D1616" t="str">
        <f t="shared" si="643"/>
        <v>Finance</v>
      </c>
      <c r="E1616" t="s">
        <v>4968</v>
      </c>
      <c r="F1616" t="s">
        <v>695</v>
      </c>
      <c r="G1616" t="s">
        <v>4969</v>
      </c>
      <c r="H1616" t="s">
        <v>697</v>
      </c>
      <c r="I1616" s="32">
        <v>44750.601967592593</v>
      </c>
      <c r="J1616" s="32">
        <v>44753.601967592593</v>
      </c>
      <c r="K1616" s="32">
        <v>44759.601967592593</v>
      </c>
      <c r="L1616" s="8">
        <f t="shared" si="644"/>
        <v>9</v>
      </c>
      <c r="M1616" s="7">
        <v>44780.601967592593</v>
      </c>
      <c r="N1616" t="s">
        <v>49</v>
      </c>
      <c r="O1616" s="34">
        <v>44766.601967592593</v>
      </c>
      <c r="P1616" t="s">
        <v>50</v>
      </c>
      <c r="Q1616" t="s">
        <v>198</v>
      </c>
      <c r="R1616" s="32" t="s">
        <v>7472</v>
      </c>
      <c r="S1616" t="s">
        <v>7476</v>
      </c>
      <c r="T1616" s="34" t="s">
        <v>7476</v>
      </c>
      <c r="U1616" s="34" t="s">
        <v>7476</v>
      </c>
      <c r="V1616" s="32" t="s">
        <v>7476</v>
      </c>
      <c r="W1616" s="32" t="s">
        <v>7476</v>
      </c>
      <c r="X1616">
        <v>0</v>
      </c>
      <c r="Y1616" s="34" t="s">
        <v>7476</v>
      </c>
      <c r="Z1616" s="34" t="s">
        <v>7476</v>
      </c>
      <c r="AA1616" s="34" t="s">
        <v>7476</v>
      </c>
      <c r="AB1616" s="36" t="s">
        <v>52</v>
      </c>
      <c r="AD1616" t="s">
        <v>5039</v>
      </c>
      <c r="AE1616" t="s">
        <v>5040</v>
      </c>
      <c r="AF1616" s="16">
        <v>44756</v>
      </c>
      <c r="AG1616" t="s">
        <v>98</v>
      </c>
      <c r="AH1616">
        <v>6</v>
      </c>
      <c r="AI1616" s="8" t="str">
        <f t="shared" si="646"/>
        <v/>
      </c>
      <c r="AJ1616" s="8">
        <f t="shared" si="647"/>
        <v>10.6019675925927</v>
      </c>
      <c r="AK1616" s="38" t="str">
        <f t="shared" si="645"/>
        <v/>
      </c>
      <c r="AL1616" t="str">
        <f t="shared" si="648"/>
        <v/>
      </c>
      <c r="AM1616" t="str">
        <f t="shared" si="649"/>
        <v/>
      </c>
      <c r="AN1616" t="str">
        <f t="shared" si="650"/>
        <v/>
      </c>
      <c r="AO1616">
        <f t="shared" si="651"/>
        <v>3</v>
      </c>
      <c r="AP1616">
        <f t="shared" si="652"/>
        <v>0</v>
      </c>
      <c r="AQ1616" t="str">
        <f t="shared" si="653"/>
        <v/>
      </c>
    </row>
    <row r="1617" spans="1:43" x14ac:dyDescent="0.35">
      <c r="A1617">
        <v>2156</v>
      </c>
      <c r="B1617" t="s">
        <v>5041</v>
      </c>
      <c r="C1617" t="s">
        <v>4471</v>
      </c>
      <c r="D1617" t="str">
        <f t="shared" si="643"/>
        <v>Finance</v>
      </c>
      <c r="E1617" t="s">
        <v>4968</v>
      </c>
      <c r="F1617" t="s">
        <v>695</v>
      </c>
      <c r="G1617" t="s">
        <v>4969</v>
      </c>
      <c r="H1617" t="s">
        <v>697</v>
      </c>
      <c r="I1617" s="32">
        <v>45142.393807870372</v>
      </c>
      <c r="J1617" s="32">
        <v>45143.393807870372</v>
      </c>
      <c r="K1617" s="32">
        <v>45147.393807870372</v>
      </c>
      <c r="L1617" s="8">
        <f t="shared" si="644"/>
        <v>5</v>
      </c>
      <c r="M1617" s="7">
        <v>45171.393807870372</v>
      </c>
      <c r="N1617" t="s">
        <v>49</v>
      </c>
      <c r="O1617" s="34">
        <v>45160.393807870372</v>
      </c>
      <c r="P1617" t="s">
        <v>50</v>
      </c>
      <c r="Q1617" t="s">
        <v>125</v>
      </c>
      <c r="R1617" s="32" t="s">
        <v>7472</v>
      </c>
      <c r="S1617" t="s">
        <v>7476</v>
      </c>
      <c r="T1617" s="34" t="s">
        <v>7476</v>
      </c>
      <c r="U1617" s="34" t="s">
        <v>7476</v>
      </c>
      <c r="V1617" s="32" t="s">
        <v>7476</v>
      </c>
      <c r="W1617" s="32" t="s">
        <v>7476</v>
      </c>
      <c r="X1617">
        <v>0</v>
      </c>
      <c r="Y1617" s="34" t="s">
        <v>7476</v>
      </c>
      <c r="Z1617" s="34" t="s">
        <v>7476</v>
      </c>
      <c r="AA1617" s="34" t="s">
        <v>7476</v>
      </c>
      <c r="AB1617" s="36" t="s">
        <v>95</v>
      </c>
      <c r="AD1617" t="s">
        <v>5042</v>
      </c>
      <c r="AE1617" t="s">
        <v>5043</v>
      </c>
      <c r="AF1617" s="16">
        <v>45154</v>
      </c>
      <c r="AG1617" t="s">
        <v>64</v>
      </c>
      <c r="AH1617">
        <v>6</v>
      </c>
      <c r="AI1617" s="8" t="str">
        <f t="shared" si="646"/>
        <v/>
      </c>
      <c r="AJ1617" s="8">
        <f t="shared" si="647"/>
        <v>6.3938078703722567</v>
      </c>
      <c r="AK1617" s="38" t="str">
        <f t="shared" si="645"/>
        <v/>
      </c>
      <c r="AL1617" t="str">
        <f t="shared" si="648"/>
        <v/>
      </c>
      <c r="AM1617" t="str">
        <f t="shared" si="649"/>
        <v/>
      </c>
      <c r="AN1617" t="str">
        <f t="shared" si="650"/>
        <v/>
      </c>
      <c r="AO1617">
        <f t="shared" si="651"/>
        <v>1</v>
      </c>
      <c r="AP1617">
        <f t="shared" si="652"/>
        <v>0</v>
      </c>
      <c r="AQ1617" t="str">
        <f t="shared" si="653"/>
        <v/>
      </c>
    </row>
    <row r="1618" spans="1:43" x14ac:dyDescent="0.35">
      <c r="A1618">
        <v>2154</v>
      </c>
      <c r="B1618" t="s">
        <v>5044</v>
      </c>
      <c r="C1618" t="s">
        <v>4471</v>
      </c>
      <c r="D1618" t="str">
        <f t="shared" si="643"/>
        <v>Finance</v>
      </c>
      <c r="E1618" t="s">
        <v>4968</v>
      </c>
      <c r="F1618" t="s">
        <v>695</v>
      </c>
      <c r="G1618" t="s">
        <v>4969</v>
      </c>
      <c r="H1618" t="s">
        <v>697</v>
      </c>
      <c r="I1618" s="32">
        <v>45143.393807870372</v>
      </c>
      <c r="J1618" s="32">
        <v>45146.393807870372</v>
      </c>
      <c r="K1618" s="32">
        <v>45147.393807870372</v>
      </c>
      <c r="L1618" s="8">
        <f t="shared" si="644"/>
        <v>4</v>
      </c>
      <c r="M1618" s="7">
        <v>45173.393807870372</v>
      </c>
      <c r="N1618" t="s">
        <v>49</v>
      </c>
      <c r="O1618" s="34">
        <v>45151.393807870372</v>
      </c>
      <c r="P1618" t="s">
        <v>101</v>
      </c>
      <c r="R1618" s="32">
        <v>45155.393807870372</v>
      </c>
      <c r="S1618" t="s">
        <v>101</v>
      </c>
      <c r="T1618" s="34">
        <v>45153.393807870372</v>
      </c>
      <c r="U1618" s="34">
        <v>45155.393807870372</v>
      </c>
      <c r="V1618" s="32">
        <v>45154.393807870372</v>
      </c>
      <c r="W1618" s="32">
        <v>45163.393807870372</v>
      </c>
      <c r="X1618">
        <v>1</v>
      </c>
      <c r="Y1618" s="34">
        <v>45165.393807870372</v>
      </c>
      <c r="Z1618" s="34">
        <v>45168.393807870372</v>
      </c>
      <c r="AA1618" s="34">
        <v>45169.393807870372</v>
      </c>
      <c r="AB1618" s="36" t="s">
        <v>7476</v>
      </c>
      <c r="AC1618" s="10">
        <v>45180.393807870372</v>
      </c>
      <c r="AD1618" t="s">
        <v>5045</v>
      </c>
      <c r="AE1618" t="s">
        <v>5046</v>
      </c>
      <c r="AF1618" s="16">
        <v>45142</v>
      </c>
      <c r="AG1618" t="s">
        <v>68</v>
      </c>
      <c r="AH1618">
        <v>6</v>
      </c>
      <c r="AI1618" s="8">
        <f t="shared" si="646"/>
        <v>13.393807870372257</v>
      </c>
      <c r="AJ1618" s="8">
        <f t="shared" si="647"/>
        <v>9.3938078703722567</v>
      </c>
      <c r="AK1618" s="38">
        <f t="shared" si="645"/>
        <v>45334.393807870372</v>
      </c>
      <c r="AL1618">
        <f t="shared" si="648"/>
        <v>5</v>
      </c>
      <c r="AM1618">
        <f t="shared" si="649"/>
        <v>9</v>
      </c>
      <c r="AN1618">
        <f t="shared" si="650"/>
        <v>3</v>
      </c>
      <c r="AO1618">
        <f t="shared" si="651"/>
        <v>3</v>
      </c>
      <c r="AP1618">
        <f t="shared" si="652"/>
        <v>45179.393807870372</v>
      </c>
      <c r="AQ1618">
        <f t="shared" si="653"/>
        <v>6</v>
      </c>
    </row>
    <row r="1619" spans="1:43" x14ac:dyDescent="0.35">
      <c r="A1619">
        <v>2083</v>
      </c>
      <c r="B1619" t="s">
        <v>5047</v>
      </c>
      <c r="C1619" t="s">
        <v>4502</v>
      </c>
      <c r="D1619" t="str">
        <f t="shared" si="643"/>
        <v>Finance</v>
      </c>
      <c r="E1619" t="s">
        <v>4968</v>
      </c>
      <c r="F1619" t="s">
        <v>695</v>
      </c>
      <c r="G1619" t="s">
        <v>4969</v>
      </c>
      <c r="H1619" t="s">
        <v>697</v>
      </c>
      <c r="I1619" s="32">
        <v>44837.879004629627</v>
      </c>
      <c r="J1619" s="32">
        <v>44840.879004629627</v>
      </c>
      <c r="K1619" s="32">
        <v>44841.879004629627</v>
      </c>
      <c r="L1619" s="8">
        <f t="shared" si="644"/>
        <v>4</v>
      </c>
      <c r="M1619" s="7">
        <v>44852.879004629627</v>
      </c>
      <c r="N1619" t="s">
        <v>49</v>
      </c>
      <c r="O1619" s="34">
        <v>44845.879004629627</v>
      </c>
      <c r="P1619" t="s">
        <v>50</v>
      </c>
      <c r="Q1619" t="s">
        <v>125</v>
      </c>
      <c r="R1619" s="32" t="s">
        <v>7472</v>
      </c>
      <c r="S1619" t="s">
        <v>7476</v>
      </c>
      <c r="T1619" s="34" t="s">
        <v>7476</v>
      </c>
      <c r="U1619" s="34" t="s">
        <v>7476</v>
      </c>
      <c r="V1619" s="32">
        <v>44848.879004629627</v>
      </c>
      <c r="W1619" s="32" t="s">
        <v>7476</v>
      </c>
      <c r="X1619">
        <v>0</v>
      </c>
      <c r="Y1619" s="34" t="s">
        <v>7476</v>
      </c>
      <c r="Z1619" s="34" t="s">
        <v>7476</v>
      </c>
      <c r="AA1619" s="34" t="s">
        <v>7476</v>
      </c>
      <c r="AB1619" s="36" t="s">
        <v>95</v>
      </c>
      <c r="AD1619" t="s">
        <v>5048</v>
      </c>
      <c r="AE1619" t="s">
        <v>5049</v>
      </c>
      <c r="AF1619" s="16">
        <v>44602</v>
      </c>
      <c r="AG1619" t="s">
        <v>68</v>
      </c>
      <c r="AH1619">
        <v>6</v>
      </c>
      <c r="AI1619" s="8" t="str">
        <f t="shared" si="646"/>
        <v/>
      </c>
      <c r="AJ1619" s="8">
        <f t="shared" si="647"/>
        <v>243.87900462962716</v>
      </c>
      <c r="AK1619" s="38">
        <f t="shared" si="645"/>
        <v>45028.879004629627</v>
      </c>
      <c r="AL1619" t="str">
        <f t="shared" si="648"/>
        <v/>
      </c>
      <c r="AM1619" t="str">
        <f t="shared" si="649"/>
        <v/>
      </c>
      <c r="AN1619">
        <f t="shared" si="650"/>
        <v>3</v>
      </c>
      <c r="AO1619">
        <f t="shared" si="651"/>
        <v>3</v>
      </c>
      <c r="AP1619">
        <f t="shared" si="652"/>
        <v>0</v>
      </c>
      <c r="AQ1619" t="str">
        <f t="shared" si="653"/>
        <v/>
      </c>
    </row>
    <row r="1620" spans="1:43" x14ac:dyDescent="0.35">
      <c r="A1620">
        <v>2030</v>
      </c>
      <c r="B1620" t="s">
        <v>5050</v>
      </c>
      <c r="C1620" t="s">
        <v>4502</v>
      </c>
      <c r="D1620" t="str">
        <f t="shared" si="643"/>
        <v>Finance</v>
      </c>
      <c r="E1620" t="s">
        <v>4968</v>
      </c>
      <c r="F1620" t="s">
        <v>695</v>
      </c>
      <c r="G1620" t="s">
        <v>4969</v>
      </c>
      <c r="H1620" t="s">
        <v>697</v>
      </c>
      <c r="I1620" s="32">
        <v>44783.679872685178</v>
      </c>
      <c r="J1620" s="32">
        <v>44787.679872685178</v>
      </c>
      <c r="K1620" s="32">
        <v>44790.679872685178</v>
      </c>
      <c r="L1620" s="8">
        <f t="shared" si="644"/>
        <v>7</v>
      </c>
      <c r="M1620" s="7">
        <v>44813.679872685178</v>
      </c>
      <c r="N1620" t="s">
        <v>72</v>
      </c>
      <c r="O1620" s="34" t="s">
        <v>7474</v>
      </c>
      <c r="R1620" s="32" t="s">
        <v>7472</v>
      </c>
      <c r="S1620" t="s">
        <v>7476</v>
      </c>
      <c r="T1620" s="34" t="s">
        <v>7476</v>
      </c>
      <c r="U1620" s="34" t="s">
        <v>7476</v>
      </c>
      <c r="V1620" s="32" t="s">
        <v>7476</v>
      </c>
      <c r="W1620" s="32" t="s">
        <v>7476</v>
      </c>
      <c r="X1620">
        <v>0</v>
      </c>
      <c r="Y1620" s="34" t="s">
        <v>7476</v>
      </c>
      <c r="Z1620" s="34" t="s">
        <v>7476</v>
      </c>
      <c r="AA1620" s="34" t="s">
        <v>7476</v>
      </c>
      <c r="AB1620" s="36" t="s">
        <v>7476</v>
      </c>
      <c r="AD1620" t="s">
        <v>5051</v>
      </c>
      <c r="AE1620" t="s">
        <v>5052</v>
      </c>
      <c r="AG1620" t="s">
        <v>64</v>
      </c>
      <c r="AH1620">
        <v>6</v>
      </c>
      <c r="AI1620" s="8" t="str">
        <f t="shared" si="646"/>
        <v/>
      </c>
      <c r="AJ1620" s="8" t="str">
        <f t="shared" si="647"/>
        <v/>
      </c>
      <c r="AK1620" s="38" t="str">
        <f t="shared" si="645"/>
        <v/>
      </c>
      <c r="AL1620" t="str">
        <f t="shared" si="648"/>
        <v/>
      </c>
      <c r="AM1620" t="str">
        <f t="shared" si="649"/>
        <v/>
      </c>
      <c r="AN1620" t="str">
        <f t="shared" si="650"/>
        <v/>
      </c>
      <c r="AO1620">
        <f t="shared" si="651"/>
        <v>4</v>
      </c>
      <c r="AP1620">
        <f t="shared" si="652"/>
        <v>0</v>
      </c>
      <c r="AQ1620" t="str">
        <f t="shared" si="653"/>
        <v/>
      </c>
    </row>
    <row r="1621" spans="1:43" x14ac:dyDescent="0.35">
      <c r="A1621">
        <v>2021</v>
      </c>
      <c r="B1621" t="s">
        <v>5053</v>
      </c>
      <c r="C1621" t="s">
        <v>4502</v>
      </c>
      <c r="D1621" t="str">
        <f t="shared" si="643"/>
        <v>Finance</v>
      </c>
      <c r="E1621" t="s">
        <v>4968</v>
      </c>
      <c r="F1621" t="s">
        <v>695</v>
      </c>
      <c r="G1621" t="s">
        <v>4969</v>
      </c>
      <c r="H1621" t="s">
        <v>697</v>
      </c>
      <c r="I1621" s="32">
        <v>44785.679872685178</v>
      </c>
      <c r="J1621" s="32">
        <v>44788.679872685178</v>
      </c>
      <c r="K1621" s="32">
        <v>44790.679872685178</v>
      </c>
      <c r="L1621" s="8">
        <f t="shared" si="644"/>
        <v>5</v>
      </c>
      <c r="M1621" s="7">
        <v>44796.679872685178</v>
      </c>
      <c r="N1621" t="s">
        <v>72</v>
      </c>
      <c r="O1621" s="34" t="s">
        <v>7474</v>
      </c>
      <c r="R1621" s="32" t="s">
        <v>7472</v>
      </c>
      <c r="S1621" t="s">
        <v>7476</v>
      </c>
      <c r="T1621" s="34" t="s">
        <v>7476</v>
      </c>
      <c r="U1621" s="34" t="s">
        <v>7476</v>
      </c>
      <c r="V1621" s="32" t="s">
        <v>7476</v>
      </c>
      <c r="W1621" s="32" t="s">
        <v>7476</v>
      </c>
      <c r="X1621">
        <v>0</v>
      </c>
      <c r="Y1621" s="34" t="s">
        <v>7476</v>
      </c>
      <c r="Z1621" s="34" t="s">
        <v>7476</v>
      </c>
      <c r="AA1621" s="34" t="s">
        <v>7476</v>
      </c>
      <c r="AB1621" s="36" t="s">
        <v>7476</v>
      </c>
      <c r="AD1621" t="s">
        <v>5054</v>
      </c>
      <c r="AE1621" t="s">
        <v>5055</v>
      </c>
      <c r="AG1621" t="s">
        <v>64</v>
      </c>
      <c r="AH1621">
        <v>3</v>
      </c>
      <c r="AI1621" s="8" t="str">
        <f t="shared" si="646"/>
        <v/>
      </c>
      <c r="AJ1621" s="8" t="str">
        <f t="shared" si="647"/>
        <v/>
      </c>
      <c r="AK1621" s="38" t="str">
        <f t="shared" si="645"/>
        <v/>
      </c>
      <c r="AL1621" t="str">
        <f t="shared" si="648"/>
        <v/>
      </c>
      <c r="AM1621" t="str">
        <f t="shared" si="649"/>
        <v/>
      </c>
      <c r="AN1621" t="str">
        <f t="shared" si="650"/>
        <v/>
      </c>
      <c r="AO1621">
        <f t="shared" si="651"/>
        <v>3</v>
      </c>
      <c r="AP1621">
        <f t="shared" si="652"/>
        <v>0</v>
      </c>
      <c r="AQ1621" t="str">
        <f t="shared" si="653"/>
        <v/>
      </c>
    </row>
    <row r="1622" spans="1:43" x14ac:dyDescent="0.35">
      <c r="A1622">
        <v>1996</v>
      </c>
      <c r="B1622" t="s">
        <v>5056</v>
      </c>
      <c r="C1622" t="s">
        <v>4502</v>
      </c>
      <c r="D1622" t="str">
        <f t="shared" si="643"/>
        <v>Finance</v>
      </c>
      <c r="E1622" t="s">
        <v>4968</v>
      </c>
      <c r="F1622" t="s">
        <v>695</v>
      </c>
      <c r="G1622" t="s">
        <v>4969</v>
      </c>
      <c r="H1622" t="s">
        <v>697</v>
      </c>
      <c r="I1622" s="32">
        <v>45015.653923611113</v>
      </c>
      <c r="J1622" s="32">
        <v>45018.653923611113</v>
      </c>
      <c r="K1622" s="32" t="s">
        <v>7473</v>
      </c>
      <c r="L1622" s="8" t="str">
        <f t="shared" si="644"/>
        <v/>
      </c>
      <c r="M1622" s="7">
        <v>45035.653923611113</v>
      </c>
      <c r="N1622" t="s">
        <v>49</v>
      </c>
      <c r="O1622" s="34">
        <v>45026.653923611113</v>
      </c>
      <c r="P1622" t="s">
        <v>50</v>
      </c>
      <c r="Q1622" t="s">
        <v>125</v>
      </c>
      <c r="R1622" s="32" t="s">
        <v>7472</v>
      </c>
      <c r="S1622" t="s">
        <v>7476</v>
      </c>
      <c r="T1622" s="34" t="s">
        <v>7476</v>
      </c>
      <c r="U1622" s="34" t="s">
        <v>7476</v>
      </c>
      <c r="V1622" s="32">
        <v>45029.653923611113</v>
      </c>
      <c r="W1622" s="32" t="s">
        <v>7476</v>
      </c>
      <c r="X1622">
        <v>0</v>
      </c>
      <c r="Y1622" s="34" t="s">
        <v>7476</v>
      </c>
      <c r="Z1622" s="34" t="s">
        <v>7476</v>
      </c>
      <c r="AA1622" s="34" t="s">
        <v>7476</v>
      </c>
      <c r="AB1622" s="36" t="s">
        <v>52</v>
      </c>
      <c r="AD1622" t="s">
        <v>5057</v>
      </c>
      <c r="AE1622" t="s">
        <v>5058</v>
      </c>
      <c r="AF1622" s="16">
        <v>44961</v>
      </c>
      <c r="AG1622" t="s">
        <v>64</v>
      </c>
      <c r="AH1622">
        <v>3</v>
      </c>
      <c r="AK1622" s="38">
        <f t="shared" si="645"/>
        <v>45119.653923611113</v>
      </c>
    </row>
    <row r="1623" spans="1:43" x14ac:dyDescent="0.35">
      <c r="A1623">
        <v>1889</v>
      </c>
      <c r="B1623" t="s">
        <v>5059</v>
      </c>
      <c r="C1623" t="s">
        <v>4471</v>
      </c>
      <c r="D1623" t="str">
        <f t="shared" si="643"/>
        <v>Finance</v>
      </c>
      <c r="E1623" t="s">
        <v>4968</v>
      </c>
      <c r="F1623" t="s">
        <v>695</v>
      </c>
      <c r="G1623" t="s">
        <v>4969</v>
      </c>
      <c r="H1623" t="s">
        <v>697</v>
      </c>
      <c r="I1623" s="32">
        <v>44841.425185185188</v>
      </c>
      <c r="J1623" s="32">
        <v>44844.425185185188</v>
      </c>
      <c r="K1623" s="32">
        <v>44848.425185185188</v>
      </c>
      <c r="L1623" s="8">
        <f t="shared" si="644"/>
        <v>7</v>
      </c>
      <c r="M1623" s="7">
        <v>44873.425185185188</v>
      </c>
      <c r="N1623" t="s">
        <v>72</v>
      </c>
      <c r="O1623" s="34" t="s">
        <v>7474</v>
      </c>
      <c r="R1623" s="32" t="s">
        <v>7472</v>
      </c>
      <c r="S1623" t="s">
        <v>7476</v>
      </c>
      <c r="T1623" s="34" t="s">
        <v>7476</v>
      </c>
      <c r="U1623" s="34" t="s">
        <v>7476</v>
      </c>
      <c r="V1623" s="32" t="s">
        <v>7476</v>
      </c>
      <c r="W1623" s="32" t="s">
        <v>7476</v>
      </c>
      <c r="X1623">
        <v>0</v>
      </c>
      <c r="Y1623" s="34" t="s">
        <v>7476</v>
      </c>
      <c r="Z1623" s="34" t="s">
        <v>7476</v>
      </c>
      <c r="AA1623" s="34" t="s">
        <v>7476</v>
      </c>
      <c r="AB1623" s="36" t="s">
        <v>7476</v>
      </c>
      <c r="AD1623" t="s">
        <v>5060</v>
      </c>
      <c r="AE1623" t="s">
        <v>5061</v>
      </c>
      <c r="AG1623" t="s">
        <v>68</v>
      </c>
      <c r="AH1623">
        <v>3</v>
      </c>
      <c r="AI1623" s="8" t="str">
        <f>IFERROR(R1623-AF1623,"")</f>
        <v/>
      </c>
      <c r="AJ1623" s="8" t="str">
        <f>IFERROR(O1623-AF1623,"")</f>
        <v/>
      </c>
      <c r="AK1623" s="38" t="str">
        <f t="shared" si="645"/>
        <v/>
      </c>
      <c r="AL1623" t="str">
        <f>IFERROR(Z1623-W1623,"")</f>
        <v/>
      </c>
      <c r="AM1623" t="str">
        <f>IFERROR(R1623-J1623,"")</f>
        <v/>
      </c>
      <c r="AN1623" t="str">
        <f>IFERROR(V1623-O1623,"")</f>
        <v/>
      </c>
      <c r="AO1623">
        <f>IFERROR(J1623-I1623,"")</f>
        <v>3</v>
      </c>
      <c r="AP1623">
        <f>IFERROR(AC1623-X1623,"")</f>
        <v>0</v>
      </c>
      <c r="AQ1623" t="str">
        <f>IFERROR(AA1623-W1623,"")</f>
        <v/>
      </c>
    </row>
    <row r="1624" spans="1:43" x14ac:dyDescent="0.35">
      <c r="A1624">
        <v>1887</v>
      </c>
      <c r="B1624" t="s">
        <v>5062</v>
      </c>
      <c r="C1624" t="s">
        <v>4471</v>
      </c>
      <c r="D1624" t="str">
        <f t="shared" si="643"/>
        <v>Finance</v>
      </c>
      <c r="E1624" t="s">
        <v>4968</v>
      </c>
      <c r="F1624" t="s">
        <v>695</v>
      </c>
      <c r="G1624" t="s">
        <v>4969</v>
      </c>
      <c r="H1624" t="s">
        <v>697</v>
      </c>
      <c r="I1624" s="32" t="s">
        <v>7471</v>
      </c>
      <c r="J1624" s="32">
        <v>44844.425185185188</v>
      </c>
      <c r="K1624" s="32">
        <v>44848.425185185188</v>
      </c>
      <c r="L1624" s="8" t="str">
        <f t="shared" si="644"/>
        <v/>
      </c>
      <c r="M1624" s="7">
        <v>44872.425185185188</v>
      </c>
      <c r="N1624" t="s">
        <v>49</v>
      </c>
      <c r="O1624" s="34">
        <v>44856.425185185188</v>
      </c>
      <c r="P1624" t="s">
        <v>60</v>
      </c>
      <c r="R1624" s="32">
        <v>44863.425185185188</v>
      </c>
      <c r="S1624" t="s">
        <v>61</v>
      </c>
      <c r="T1624" s="34" t="s">
        <v>7476</v>
      </c>
      <c r="U1624" s="34" t="s">
        <v>7476</v>
      </c>
      <c r="V1624" s="32">
        <v>44859.425185185188</v>
      </c>
      <c r="W1624" s="32" t="s">
        <v>7476</v>
      </c>
      <c r="X1624">
        <v>0</v>
      </c>
      <c r="Y1624" s="34" t="s">
        <v>7476</v>
      </c>
      <c r="Z1624" s="34" t="s">
        <v>7476</v>
      </c>
      <c r="AA1624" s="34" t="s">
        <v>7476</v>
      </c>
      <c r="AB1624" s="36" t="s">
        <v>7476</v>
      </c>
      <c r="AD1624" t="s">
        <v>5063</v>
      </c>
      <c r="AE1624" t="s">
        <v>5064</v>
      </c>
      <c r="AF1624" s="16">
        <v>44847</v>
      </c>
      <c r="AG1624" t="s">
        <v>93</v>
      </c>
      <c r="AH1624">
        <v>3</v>
      </c>
      <c r="AK1624" s="38">
        <f t="shared" si="645"/>
        <v>44949.425185185188</v>
      </c>
    </row>
    <row r="1625" spans="1:43" x14ac:dyDescent="0.35">
      <c r="A1625">
        <v>1886</v>
      </c>
      <c r="B1625" t="s">
        <v>5065</v>
      </c>
      <c r="C1625" t="s">
        <v>4480</v>
      </c>
      <c r="D1625" t="str">
        <f t="shared" si="643"/>
        <v>Finance</v>
      </c>
      <c r="E1625" t="s">
        <v>4968</v>
      </c>
      <c r="F1625" t="s">
        <v>695</v>
      </c>
      <c r="G1625" t="s">
        <v>4969</v>
      </c>
      <c r="H1625" t="s">
        <v>697</v>
      </c>
      <c r="I1625" s="32">
        <v>44841.425185185188</v>
      </c>
      <c r="J1625" s="32">
        <v>44842.425185185188</v>
      </c>
      <c r="K1625" s="32" t="s">
        <v>7473</v>
      </c>
      <c r="L1625" s="8" t="str">
        <f t="shared" si="644"/>
        <v/>
      </c>
      <c r="M1625" s="7">
        <v>44868.425185185188</v>
      </c>
      <c r="N1625" t="s">
        <v>49</v>
      </c>
      <c r="O1625" s="34">
        <v>44863.425185185188</v>
      </c>
      <c r="P1625" t="s">
        <v>50</v>
      </c>
      <c r="Q1625" t="s">
        <v>51</v>
      </c>
      <c r="R1625" s="32" t="s">
        <v>7472</v>
      </c>
      <c r="S1625" t="s">
        <v>7476</v>
      </c>
      <c r="T1625" s="34" t="s">
        <v>7476</v>
      </c>
      <c r="U1625" s="34" t="s">
        <v>7476</v>
      </c>
      <c r="V1625" s="32" t="s">
        <v>7476</v>
      </c>
      <c r="W1625" s="32" t="s">
        <v>7476</v>
      </c>
      <c r="X1625">
        <v>0</v>
      </c>
      <c r="Y1625" s="34" t="s">
        <v>7476</v>
      </c>
      <c r="Z1625" s="34" t="s">
        <v>7476</v>
      </c>
      <c r="AA1625" s="34" t="s">
        <v>7476</v>
      </c>
      <c r="AB1625" s="36" t="s">
        <v>95</v>
      </c>
      <c r="AD1625" t="s">
        <v>5066</v>
      </c>
      <c r="AE1625" t="s">
        <v>5067</v>
      </c>
      <c r="AF1625" s="16">
        <v>44845</v>
      </c>
      <c r="AG1625" t="s">
        <v>93</v>
      </c>
      <c r="AH1625">
        <v>3</v>
      </c>
      <c r="AK1625" s="38" t="str">
        <f t="shared" si="645"/>
        <v/>
      </c>
    </row>
    <row r="1626" spans="1:43" x14ac:dyDescent="0.35">
      <c r="A1626">
        <v>1885</v>
      </c>
      <c r="B1626" t="s">
        <v>5068</v>
      </c>
      <c r="C1626" t="s">
        <v>4480</v>
      </c>
      <c r="D1626" t="str">
        <f t="shared" si="643"/>
        <v>Finance</v>
      </c>
      <c r="E1626" t="s">
        <v>4968</v>
      </c>
      <c r="F1626" t="s">
        <v>695</v>
      </c>
      <c r="G1626" t="s">
        <v>4969</v>
      </c>
      <c r="H1626" t="s">
        <v>697</v>
      </c>
      <c r="I1626" s="32">
        <v>44843.425185185188</v>
      </c>
      <c r="J1626" s="32">
        <v>44845.425185185188</v>
      </c>
      <c r="K1626" s="32">
        <v>44848.425185185188</v>
      </c>
      <c r="L1626" s="8">
        <f t="shared" si="644"/>
        <v>5</v>
      </c>
      <c r="M1626" s="7">
        <v>44874.425185185188</v>
      </c>
      <c r="N1626" t="s">
        <v>72</v>
      </c>
      <c r="O1626" s="34" t="s">
        <v>7474</v>
      </c>
      <c r="R1626" s="32" t="s">
        <v>7472</v>
      </c>
      <c r="S1626" t="s">
        <v>7476</v>
      </c>
      <c r="T1626" s="34" t="s">
        <v>7476</v>
      </c>
      <c r="U1626" s="34" t="s">
        <v>7476</v>
      </c>
      <c r="V1626" s="32" t="s">
        <v>7476</v>
      </c>
      <c r="W1626" s="32" t="s">
        <v>7476</v>
      </c>
      <c r="X1626">
        <v>0</v>
      </c>
      <c r="Y1626" s="34" t="s">
        <v>7476</v>
      </c>
      <c r="Z1626" s="34" t="s">
        <v>7476</v>
      </c>
      <c r="AA1626" s="34" t="s">
        <v>7476</v>
      </c>
      <c r="AB1626" s="36" t="s">
        <v>7476</v>
      </c>
      <c r="AD1626" t="s">
        <v>5069</v>
      </c>
      <c r="AE1626" t="s">
        <v>5070</v>
      </c>
      <c r="AG1626" t="s">
        <v>98</v>
      </c>
      <c r="AH1626">
        <v>3</v>
      </c>
      <c r="AI1626" s="8" t="str">
        <f>IFERROR(R1626-AF1626,"")</f>
        <v/>
      </c>
      <c r="AJ1626" s="8" t="str">
        <f>IFERROR(O1626-AF1626,"")</f>
        <v/>
      </c>
      <c r="AK1626" s="38" t="str">
        <f t="shared" si="645"/>
        <v/>
      </c>
      <c r="AL1626" t="str">
        <f>IFERROR(Z1626-W1626,"")</f>
        <v/>
      </c>
      <c r="AM1626" t="str">
        <f>IFERROR(R1626-J1626,"")</f>
        <v/>
      </c>
      <c r="AN1626" t="str">
        <f>IFERROR(V1626-O1626,"")</f>
        <v/>
      </c>
      <c r="AO1626">
        <f>IFERROR(J1626-I1626,"")</f>
        <v>2</v>
      </c>
      <c r="AP1626">
        <f>IFERROR(AC1626-X1626,"")</f>
        <v>0</v>
      </c>
      <c r="AQ1626" t="str">
        <f>IFERROR(AA1626-W1626,"")</f>
        <v/>
      </c>
    </row>
    <row r="1627" spans="1:43" x14ac:dyDescent="0.35">
      <c r="A1627">
        <v>1884</v>
      </c>
      <c r="B1627" t="s">
        <v>5071</v>
      </c>
      <c r="C1627" t="s">
        <v>4480</v>
      </c>
      <c r="D1627" t="str">
        <f t="shared" si="643"/>
        <v>Finance</v>
      </c>
      <c r="E1627" t="s">
        <v>4968</v>
      </c>
      <c r="F1627" t="s">
        <v>695</v>
      </c>
      <c r="G1627" t="s">
        <v>4969</v>
      </c>
      <c r="H1627" t="s">
        <v>697</v>
      </c>
      <c r="I1627" s="32">
        <v>44845.425185185188</v>
      </c>
      <c r="J1627" s="32" t="s">
        <v>7471</v>
      </c>
      <c r="K1627" s="32" t="s">
        <v>7473</v>
      </c>
      <c r="L1627" s="8" t="str">
        <f t="shared" si="644"/>
        <v/>
      </c>
      <c r="M1627" s="7">
        <v>44855.425185185188</v>
      </c>
      <c r="N1627" t="s">
        <v>49</v>
      </c>
      <c r="O1627" s="34">
        <v>44855.425185185188</v>
      </c>
      <c r="P1627" t="s">
        <v>101</v>
      </c>
      <c r="R1627" s="32">
        <v>44860.425185185188</v>
      </c>
      <c r="S1627" t="s">
        <v>101</v>
      </c>
      <c r="T1627" s="34">
        <v>44856.425185185188</v>
      </c>
      <c r="U1627" s="34">
        <v>44860.425185185188</v>
      </c>
      <c r="V1627" s="32">
        <v>44858.425185185188</v>
      </c>
      <c r="W1627" s="32">
        <v>44859.425185185188</v>
      </c>
      <c r="X1627">
        <v>1</v>
      </c>
      <c r="Y1627" s="34">
        <v>44862.425185185188</v>
      </c>
      <c r="Z1627" s="34">
        <v>44863.425185185188</v>
      </c>
      <c r="AA1627" s="34">
        <v>44864.425185185188</v>
      </c>
      <c r="AB1627" s="36" t="s">
        <v>7476</v>
      </c>
      <c r="AC1627" s="10">
        <v>44874.425185185188</v>
      </c>
      <c r="AD1627" t="s">
        <v>5072</v>
      </c>
      <c r="AE1627" t="s">
        <v>5073</v>
      </c>
      <c r="AF1627" s="16">
        <v>44847</v>
      </c>
      <c r="AG1627" t="s">
        <v>55</v>
      </c>
      <c r="AH1627">
        <v>6</v>
      </c>
      <c r="AK1627" s="38">
        <f t="shared" si="645"/>
        <v>45038.425185185188</v>
      </c>
    </row>
    <row r="1628" spans="1:43" x14ac:dyDescent="0.35">
      <c r="A1628">
        <v>1843</v>
      </c>
      <c r="B1628" t="s">
        <v>5074</v>
      </c>
      <c r="C1628" t="s">
        <v>4471</v>
      </c>
      <c r="D1628" t="str">
        <f t="shared" si="643"/>
        <v>Finance</v>
      </c>
      <c r="E1628" t="s">
        <v>4968</v>
      </c>
      <c r="F1628" t="s">
        <v>695</v>
      </c>
      <c r="G1628" t="s">
        <v>4969</v>
      </c>
      <c r="H1628" t="s">
        <v>697</v>
      </c>
      <c r="I1628" s="32">
        <v>44609.970185185193</v>
      </c>
      <c r="J1628" s="32">
        <v>44613.970185185193</v>
      </c>
      <c r="K1628" s="32">
        <v>44615.970185185193</v>
      </c>
      <c r="L1628" s="8">
        <f t="shared" si="644"/>
        <v>6</v>
      </c>
      <c r="M1628" s="7">
        <v>44629.970185185193</v>
      </c>
      <c r="N1628" t="s">
        <v>49</v>
      </c>
      <c r="O1628" s="34">
        <v>44627.970185185193</v>
      </c>
      <c r="P1628" t="s">
        <v>392</v>
      </c>
      <c r="R1628" s="32">
        <v>44632.970185185193</v>
      </c>
      <c r="S1628" t="s">
        <v>392</v>
      </c>
      <c r="T1628" s="34" t="s">
        <v>7476</v>
      </c>
      <c r="U1628" s="34" t="s">
        <v>7476</v>
      </c>
      <c r="V1628" s="32">
        <v>44628.970185185193</v>
      </c>
      <c r="W1628" s="32" t="s">
        <v>7476</v>
      </c>
      <c r="X1628">
        <v>0</v>
      </c>
      <c r="Y1628" s="34" t="s">
        <v>7476</v>
      </c>
      <c r="Z1628" s="34" t="s">
        <v>7476</v>
      </c>
      <c r="AA1628" s="34" t="s">
        <v>7476</v>
      </c>
      <c r="AB1628" s="36" t="s">
        <v>7476</v>
      </c>
      <c r="AD1628" t="s">
        <v>5075</v>
      </c>
      <c r="AE1628" t="s">
        <v>5076</v>
      </c>
      <c r="AF1628" s="16">
        <v>44619</v>
      </c>
      <c r="AG1628" t="s">
        <v>68</v>
      </c>
      <c r="AH1628">
        <v>6</v>
      </c>
      <c r="AI1628" s="8">
        <f>IFERROR(R1628-AF1628,"")</f>
        <v>13.970185185193259</v>
      </c>
      <c r="AJ1628" s="8">
        <f>IFERROR(O1628-AF1628,"")</f>
        <v>8.9701851851932588</v>
      </c>
      <c r="AK1628" s="38">
        <f t="shared" si="645"/>
        <v>44808.970185185193</v>
      </c>
      <c r="AL1628" t="str">
        <f>IFERROR(Z1628-W1628,"")</f>
        <v/>
      </c>
      <c r="AM1628">
        <f>IFERROR(R1628-J1628,"")</f>
        <v>19</v>
      </c>
      <c r="AN1628">
        <f>IFERROR(V1628-O1628,"")</f>
        <v>1</v>
      </c>
      <c r="AO1628">
        <f>IFERROR(J1628-I1628,"")</f>
        <v>4</v>
      </c>
      <c r="AP1628">
        <f>IFERROR(AC1628-X1628,"")</f>
        <v>0</v>
      </c>
      <c r="AQ1628" t="str">
        <f>IFERROR(AA1628-W1628,"")</f>
        <v/>
      </c>
    </row>
    <row r="1629" spans="1:43" x14ac:dyDescent="0.35">
      <c r="A1629">
        <v>1842</v>
      </c>
      <c r="B1629" t="s">
        <v>5077</v>
      </c>
      <c r="C1629" t="s">
        <v>4471</v>
      </c>
      <c r="D1629" t="str">
        <f t="shared" si="643"/>
        <v>Finance</v>
      </c>
      <c r="E1629" t="s">
        <v>4968</v>
      </c>
      <c r="F1629" t="s">
        <v>695</v>
      </c>
      <c r="G1629" t="s">
        <v>4969</v>
      </c>
      <c r="H1629" t="s">
        <v>697</v>
      </c>
      <c r="I1629" s="32">
        <v>44610.970185185193</v>
      </c>
      <c r="J1629" s="32" t="s">
        <v>7471</v>
      </c>
      <c r="K1629" s="32" t="s">
        <v>7473</v>
      </c>
      <c r="L1629" s="8" t="str">
        <f t="shared" si="644"/>
        <v/>
      </c>
      <c r="M1629" s="7">
        <v>44620.970185185193</v>
      </c>
      <c r="N1629" t="s">
        <v>49</v>
      </c>
      <c r="O1629" s="34">
        <v>44627.970185185193</v>
      </c>
      <c r="P1629" t="s">
        <v>50</v>
      </c>
      <c r="Q1629" t="s">
        <v>198</v>
      </c>
      <c r="R1629" s="32" t="s">
        <v>7472</v>
      </c>
      <c r="S1629" t="s">
        <v>7476</v>
      </c>
      <c r="T1629" s="34" t="s">
        <v>7476</v>
      </c>
      <c r="U1629" s="34" t="s">
        <v>7476</v>
      </c>
      <c r="V1629" s="32" t="s">
        <v>7476</v>
      </c>
      <c r="W1629" s="32" t="s">
        <v>7476</v>
      </c>
      <c r="X1629">
        <v>0</v>
      </c>
      <c r="Y1629" s="34" t="s">
        <v>7476</v>
      </c>
      <c r="Z1629" s="34" t="s">
        <v>7476</v>
      </c>
      <c r="AA1629" s="34" t="s">
        <v>7476</v>
      </c>
      <c r="AB1629" s="36" t="s">
        <v>52</v>
      </c>
      <c r="AD1629" t="s">
        <v>5078</v>
      </c>
      <c r="AE1629" t="s">
        <v>5079</v>
      </c>
      <c r="AF1629" s="16">
        <v>44620</v>
      </c>
      <c r="AG1629" t="s">
        <v>55</v>
      </c>
      <c r="AH1629">
        <v>3</v>
      </c>
      <c r="AK1629" s="38" t="str">
        <f t="shared" si="645"/>
        <v/>
      </c>
    </row>
    <row r="1630" spans="1:43" x14ac:dyDescent="0.35">
      <c r="A1630">
        <v>1828</v>
      </c>
      <c r="B1630" t="s">
        <v>5080</v>
      </c>
      <c r="C1630" t="s">
        <v>4502</v>
      </c>
      <c r="D1630" t="str">
        <f t="shared" si="643"/>
        <v>Finance</v>
      </c>
      <c r="E1630" t="s">
        <v>4968</v>
      </c>
      <c r="F1630" t="s">
        <v>695</v>
      </c>
      <c r="G1630" t="s">
        <v>4969</v>
      </c>
      <c r="H1630" t="s">
        <v>697</v>
      </c>
      <c r="I1630" s="32">
        <v>44662.459594907406</v>
      </c>
      <c r="J1630" s="32">
        <v>44664.459594907406</v>
      </c>
      <c r="K1630" s="32">
        <v>44668.459594907406</v>
      </c>
      <c r="L1630" s="8">
        <f t="shared" si="644"/>
        <v>6</v>
      </c>
      <c r="M1630" s="7">
        <v>44696.459594907406</v>
      </c>
      <c r="N1630" t="s">
        <v>49</v>
      </c>
      <c r="O1630" s="34">
        <v>44683.459594907406</v>
      </c>
      <c r="P1630" t="s">
        <v>392</v>
      </c>
      <c r="R1630" s="32">
        <v>44689.459594907406</v>
      </c>
      <c r="S1630" t="s">
        <v>392</v>
      </c>
      <c r="T1630" s="34" t="s">
        <v>7476</v>
      </c>
      <c r="U1630" s="34" t="s">
        <v>7476</v>
      </c>
      <c r="V1630" s="32">
        <v>44685.459594907406</v>
      </c>
      <c r="W1630" s="32" t="s">
        <v>7476</v>
      </c>
      <c r="X1630">
        <v>0</v>
      </c>
      <c r="Y1630" s="34" t="s">
        <v>7476</v>
      </c>
      <c r="Z1630" s="34" t="s">
        <v>7476</v>
      </c>
      <c r="AA1630" s="34" t="s">
        <v>7476</v>
      </c>
      <c r="AB1630" s="36" t="s">
        <v>7476</v>
      </c>
      <c r="AD1630" t="s">
        <v>5081</v>
      </c>
      <c r="AE1630" t="s">
        <v>5082</v>
      </c>
      <c r="AF1630" s="16">
        <v>44677</v>
      </c>
      <c r="AG1630" t="s">
        <v>64</v>
      </c>
      <c r="AH1630">
        <v>6</v>
      </c>
      <c r="AI1630" s="8">
        <f>IFERROR(R1630-AF1630,"")</f>
        <v>12.459594907406427</v>
      </c>
      <c r="AJ1630" s="8">
        <f>IFERROR(O1630-AF1630,"")</f>
        <v>6.4595949074064265</v>
      </c>
      <c r="AK1630" s="38">
        <f t="shared" si="645"/>
        <v>44865.459594907406</v>
      </c>
      <c r="AL1630" t="str">
        <f>IFERROR(Z1630-W1630,"")</f>
        <v/>
      </c>
      <c r="AM1630">
        <f>IFERROR(R1630-J1630,"")</f>
        <v>25</v>
      </c>
      <c r="AN1630">
        <f>IFERROR(V1630-O1630,"")</f>
        <v>2</v>
      </c>
      <c r="AO1630">
        <f>IFERROR(J1630-I1630,"")</f>
        <v>2</v>
      </c>
      <c r="AP1630">
        <f>IFERROR(AC1630-X1630,"")</f>
        <v>0</v>
      </c>
      <c r="AQ1630" t="str">
        <f>IFERROR(AA1630-W1630,"")</f>
        <v/>
      </c>
    </row>
    <row r="1631" spans="1:43" x14ac:dyDescent="0.35">
      <c r="A1631">
        <v>1827</v>
      </c>
      <c r="B1631" t="s">
        <v>5083</v>
      </c>
      <c r="C1631" t="s">
        <v>4502</v>
      </c>
      <c r="D1631" t="str">
        <f t="shared" si="643"/>
        <v>Finance</v>
      </c>
      <c r="E1631" t="s">
        <v>4968</v>
      </c>
      <c r="F1631" t="s">
        <v>695</v>
      </c>
      <c r="G1631" t="s">
        <v>4969</v>
      </c>
      <c r="H1631" t="s">
        <v>697</v>
      </c>
      <c r="I1631" s="32">
        <v>44660.459594907406</v>
      </c>
      <c r="J1631" s="32" t="s">
        <v>7471</v>
      </c>
      <c r="K1631" s="32">
        <v>44668.459594907406</v>
      </c>
      <c r="L1631" s="8">
        <f t="shared" si="644"/>
        <v>8</v>
      </c>
      <c r="M1631" s="7">
        <v>44681.459594907406</v>
      </c>
      <c r="N1631" t="s">
        <v>49</v>
      </c>
      <c r="O1631" s="34">
        <v>44672.459594907406</v>
      </c>
      <c r="P1631" t="s">
        <v>101</v>
      </c>
      <c r="R1631" s="32">
        <v>44677.459594907406</v>
      </c>
      <c r="S1631" t="s">
        <v>101</v>
      </c>
      <c r="T1631" s="34">
        <v>44674.459594907406</v>
      </c>
      <c r="U1631" s="34">
        <v>44677.459594907406</v>
      </c>
      <c r="V1631" s="32">
        <v>44673.459594907406</v>
      </c>
      <c r="W1631" s="32">
        <v>44681.459594907406</v>
      </c>
      <c r="X1631">
        <v>1</v>
      </c>
      <c r="Y1631" s="34">
        <v>44685.459594907406</v>
      </c>
      <c r="Z1631" s="34">
        <v>44687.459594907406</v>
      </c>
      <c r="AA1631" s="34">
        <v>44688.459594907406</v>
      </c>
      <c r="AB1631" s="36" t="s">
        <v>7476</v>
      </c>
      <c r="AC1631" s="10">
        <v>44701.459594907406</v>
      </c>
      <c r="AD1631" t="s">
        <v>5084</v>
      </c>
      <c r="AE1631" t="s">
        <v>5085</v>
      </c>
      <c r="AF1631" s="16">
        <v>44663</v>
      </c>
      <c r="AG1631" t="s">
        <v>64</v>
      </c>
      <c r="AH1631">
        <v>3</v>
      </c>
      <c r="AK1631" s="38">
        <f t="shared" si="645"/>
        <v>44763.459594907406</v>
      </c>
    </row>
    <row r="1632" spans="1:43" x14ac:dyDescent="0.35">
      <c r="A1632">
        <v>1825</v>
      </c>
      <c r="B1632" t="s">
        <v>5086</v>
      </c>
      <c r="C1632" t="s">
        <v>4480</v>
      </c>
      <c r="D1632" t="str">
        <f t="shared" si="643"/>
        <v>Finance</v>
      </c>
      <c r="E1632" t="s">
        <v>4968</v>
      </c>
      <c r="F1632" t="s">
        <v>695</v>
      </c>
      <c r="G1632" t="s">
        <v>4969</v>
      </c>
      <c r="H1632" t="s">
        <v>697</v>
      </c>
      <c r="I1632" s="32">
        <v>44662.459594907406</v>
      </c>
      <c r="J1632" s="32">
        <v>44665.459594907406</v>
      </c>
      <c r="K1632" s="32">
        <v>44668.459594907406</v>
      </c>
      <c r="L1632" s="8">
        <f t="shared" si="644"/>
        <v>6</v>
      </c>
      <c r="M1632" s="7">
        <v>44688.459594907406</v>
      </c>
      <c r="N1632" t="s">
        <v>49</v>
      </c>
      <c r="O1632" s="34">
        <v>44673.459594907406</v>
      </c>
      <c r="P1632" t="s">
        <v>50</v>
      </c>
      <c r="Q1632" t="s">
        <v>84</v>
      </c>
      <c r="R1632" s="32" t="s">
        <v>7472</v>
      </c>
      <c r="S1632" t="s">
        <v>7476</v>
      </c>
      <c r="T1632" s="34" t="s">
        <v>7476</v>
      </c>
      <c r="U1632" s="34" t="s">
        <v>7476</v>
      </c>
      <c r="V1632" s="32" t="s">
        <v>7476</v>
      </c>
      <c r="W1632" s="32" t="s">
        <v>7476</v>
      </c>
      <c r="X1632">
        <v>0</v>
      </c>
      <c r="Y1632" s="34" t="s">
        <v>7476</v>
      </c>
      <c r="Z1632" s="34" t="s">
        <v>7476</v>
      </c>
      <c r="AA1632" s="34" t="s">
        <v>7476</v>
      </c>
      <c r="AB1632" s="36" t="s">
        <v>95</v>
      </c>
      <c r="AD1632" t="s">
        <v>5087</v>
      </c>
      <c r="AE1632" t="s">
        <v>5088</v>
      </c>
      <c r="AF1632" s="16">
        <v>44668</v>
      </c>
      <c r="AG1632" t="s">
        <v>98</v>
      </c>
      <c r="AH1632">
        <v>6</v>
      </c>
      <c r="AI1632" s="8" t="str">
        <f t="shared" ref="AI1632:AI1638" si="654">IFERROR(R1632-AF1632,"")</f>
        <v/>
      </c>
      <c r="AJ1632" s="8">
        <f t="shared" ref="AJ1632:AJ1638" si="655">IFERROR(O1632-AF1632,"")</f>
        <v>5.4595949074064265</v>
      </c>
      <c r="AK1632" s="38" t="str">
        <f t="shared" si="645"/>
        <v/>
      </c>
      <c r="AL1632" t="str">
        <f t="shared" ref="AL1632:AL1638" si="656">IFERROR(Z1632-W1632,"")</f>
        <v/>
      </c>
      <c r="AM1632" t="str">
        <f t="shared" ref="AM1632:AM1638" si="657">IFERROR(R1632-J1632,"")</f>
        <v/>
      </c>
      <c r="AN1632" t="str">
        <f t="shared" ref="AN1632:AN1638" si="658">IFERROR(V1632-O1632,"")</f>
        <v/>
      </c>
      <c r="AO1632">
        <f t="shared" ref="AO1632:AO1638" si="659">IFERROR(J1632-I1632,"")</f>
        <v>3</v>
      </c>
      <c r="AP1632">
        <f t="shared" ref="AP1632:AP1638" si="660">IFERROR(AC1632-X1632,"")</f>
        <v>0</v>
      </c>
      <c r="AQ1632" t="str">
        <f t="shared" ref="AQ1632:AQ1638" si="661">IFERROR(AA1632-W1632,"")</f>
        <v/>
      </c>
    </row>
    <row r="1633" spans="1:43" x14ac:dyDescent="0.35">
      <c r="A1633">
        <v>1824</v>
      </c>
      <c r="B1633" t="s">
        <v>5089</v>
      </c>
      <c r="C1633" t="s">
        <v>4471</v>
      </c>
      <c r="D1633" t="str">
        <f t="shared" si="643"/>
        <v>Finance</v>
      </c>
      <c r="E1633" t="s">
        <v>4968</v>
      </c>
      <c r="F1633" t="s">
        <v>695</v>
      </c>
      <c r="G1633" t="s">
        <v>4969</v>
      </c>
      <c r="H1633" t="s">
        <v>697</v>
      </c>
      <c r="I1633" s="32">
        <v>44663.459594907406</v>
      </c>
      <c r="J1633" s="32">
        <v>44666.459594907406</v>
      </c>
      <c r="K1633" s="32">
        <v>44668.459594907406</v>
      </c>
      <c r="L1633" s="8">
        <f t="shared" si="644"/>
        <v>5</v>
      </c>
      <c r="M1633" s="7">
        <v>44683.459594907406</v>
      </c>
      <c r="N1633" t="s">
        <v>49</v>
      </c>
      <c r="O1633" s="34">
        <v>44673.459594907406</v>
      </c>
      <c r="P1633" t="s">
        <v>50</v>
      </c>
      <c r="Q1633" t="s">
        <v>84</v>
      </c>
      <c r="R1633" s="32" t="s">
        <v>7472</v>
      </c>
      <c r="S1633" t="s">
        <v>7476</v>
      </c>
      <c r="T1633" s="34" t="s">
        <v>7476</v>
      </c>
      <c r="U1633" s="34" t="s">
        <v>7476</v>
      </c>
      <c r="V1633" s="32" t="s">
        <v>7476</v>
      </c>
      <c r="W1633" s="32" t="s">
        <v>7476</v>
      </c>
      <c r="X1633">
        <v>0</v>
      </c>
      <c r="Y1633" s="34" t="s">
        <v>7476</v>
      </c>
      <c r="Z1633" s="34" t="s">
        <v>7476</v>
      </c>
      <c r="AA1633" s="34" t="s">
        <v>7476</v>
      </c>
      <c r="AB1633" s="36" t="s">
        <v>95</v>
      </c>
      <c r="AD1633" t="s">
        <v>5090</v>
      </c>
      <c r="AE1633" t="s">
        <v>5091</v>
      </c>
      <c r="AF1633" s="16">
        <v>44665</v>
      </c>
      <c r="AG1633" t="s">
        <v>64</v>
      </c>
      <c r="AH1633">
        <v>6</v>
      </c>
      <c r="AI1633" s="8" t="str">
        <f t="shared" si="654"/>
        <v/>
      </c>
      <c r="AJ1633" s="8">
        <f t="shared" si="655"/>
        <v>8.4595949074064265</v>
      </c>
      <c r="AK1633" s="38" t="str">
        <f t="shared" si="645"/>
        <v/>
      </c>
      <c r="AL1633" t="str">
        <f t="shared" si="656"/>
        <v/>
      </c>
      <c r="AM1633" t="str">
        <f t="shared" si="657"/>
        <v/>
      </c>
      <c r="AN1633" t="str">
        <f t="shared" si="658"/>
        <v/>
      </c>
      <c r="AO1633">
        <f t="shared" si="659"/>
        <v>3</v>
      </c>
      <c r="AP1633">
        <f t="shared" si="660"/>
        <v>0</v>
      </c>
      <c r="AQ1633" t="str">
        <f t="shared" si="661"/>
        <v/>
      </c>
    </row>
    <row r="1634" spans="1:43" x14ac:dyDescent="0.35">
      <c r="A1634">
        <v>1755</v>
      </c>
      <c r="B1634" t="s">
        <v>5092</v>
      </c>
      <c r="C1634" t="s">
        <v>4502</v>
      </c>
      <c r="D1634" t="str">
        <f t="shared" si="643"/>
        <v>Finance</v>
      </c>
      <c r="E1634" t="s">
        <v>4968</v>
      </c>
      <c r="F1634" t="s">
        <v>695</v>
      </c>
      <c r="G1634" t="s">
        <v>4969</v>
      </c>
      <c r="H1634" t="s">
        <v>697</v>
      </c>
      <c r="I1634" s="32">
        <v>44709.645821759259</v>
      </c>
      <c r="J1634" s="32">
        <v>44712.645821759259</v>
      </c>
      <c r="K1634" s="32">
        <v>44718.645821759259</v>
      </c>
      <c r="L1634" s="8">
        <f t="shared" si="644"/>
        <v>9</v>
      </c>
      <c r="M1634" s="7">
        <v>44742.645821759259</v>
      </c>
      <c r="N1634" t="s">
        <v>49</v>
      </c>
      <c r="O1634" s="34">
        <v>44730.645821759259</v>
      </c>
      <c r="P1634" t="s">
        <v>50</v>
      </c>
      <c r="Q1634" t="s">
        <v>51</v>
      </c>
      <c r="R1634" s="32" t="s">
        <v>7472</v>
      </c>
      <c r="S1634" t="s">
        <v>7476</v>
      </c>
      <c r="T1634" s="34" t="s">
        <v>7476</v>
      </c>
      <c r="U1634" s="34" t="s">
        <v>7476</v>
      </c>
      <c r="V1634" s="32">
        <v>44734.645821759259</v>
      </c>
      <c r="W1634" s="32" t="s">
        <v>7476</v>
      </c>
      <c r="X1634">
        <v>0</v>
      </c>
      <c r="Y1634" s="34" t="s">
        <v>7476</v>
      </c>
      <c r="Z1634" s="34" t="s">
        <v>7476</v>
      </c>
      <c r="AA1634" s="34" t="s">
        <v>7476</v>
      </c>
      <c r="AB1634" s="36" t="s">
        <v>52</v>
      </c>
      <c r="AD1634" t="s">
        <v>5093</v>
      </c>
      <c r="AE1634" t="s">
        <v>5094</v>
      </c>
      <c r="AF1634" s="16">
        <v>44871</v>
      </c>
      <c r="AG1634" t="s">
        <v>98</v>
      </c>
      <c r="AH1634">
        <v>6</v>
      </c>
      <c r="AI1634" s="8" t="str">
        <f t="shared" si="654"/>
        <v/>
      </c>
      <c r="AJ1634" s="8">
        <f t="shared" si="655"/>
        <v>-140.35417824074102</v>
      </c>
      <c r="AK1634" s="38">
        <f t="shared" si="645"/>
        <v>44914.645821759259</v>
      </c>
      <c r="AL1634" t="str">
        <f t="shared" si="656"/>
        <v/>
      </c>
      <c r="AM1634" t="str">
        <f t="shared" si="657"/>
        <v/>
      </c>
      <c r="AN1634">
        <f t="shared" si="658"/>
        <v>4</v>
      </c>
      <c r="AO1634">
        <f t="shared" si="659"/>
        <v>3</v>
      </c>
      <c r="AP1634">
        <f t="shared" si="660"/>
        <v>0</v>
      </c>
      <c r="AQ1634" t="str">
        <f t="shared" si="661"/>
        <v/>
      </c>
    </row>
    <row r="1635" spans="1:43" x14ac:dyDescent="0.35">
      <c r="A1635">
        <v>1753</v>
      </c>
      <c r="B1635" t="s">
        <v>5095</v>
      </c>
      <c r="C1635" t="s">
        <v>4480</v>
      </c>
      <c r="D1635" t="str">
        <f t="shared" si="643"/>
        <v>Finance</v>
      </c>
      <c r="E1635" t="s">
        <v>4968</v>
      </c>
      <c r="F1635" t="s">
        <v>695</v>
      </c>
      <c r="G1635" t="s">
        <v>4969</v>
      </c>
      <c r="H1635" t="s">
        <v>697</v>
      </c>
      <c r="I1635" s="32">
        <v>44714.645821759259</v>
      </c>
      <c r="J1635" s="32">
        <v>44717.645821759259</v>
      </c>
      <c r="K1635" s="32">
        <v>44718.645821759259</v>
      </c>
      <c r="L1635" s="8">
        <f t="shared" si="644"/>
        <v>4</v>
      </c>
      <c r="M1635" s="7">
        <v>44728.645821759259</v>
      </c>
      <c r="N1635" t="s">
        <v>49</v>
      </c>
      <c r="O1635" s="34">
        <v>44723.645821759259</v>
      </c>
      <c r="P1635" t="s">
        <v>50</v>
      </c>
      <c r="Q1635" t="s">
        <v>125</v>
      </c>
      <c r="R1635" s="32" t="s">
        <v>7472</v>
      </c>
      <c r="S1635" t="s">
        <v>7476</v>
      </c>
      <c r="T1635" s="34" t="s">
        <v>7476</v>
      </c>
      <c r="U1635" s="34" t="s">
        <v>7476</v>
      </c>
      <c r="V1635" s="32" t="s">
        <v>7476</v>
      </c>
      <c r="W1635" s="32" t="s">
        <v>7476</v>
      </c>
      <c r="X1635">
        <v>0</v>
      </c>
      <c r="Y1635" s="34" t="s">
        <v>7476</v>
      </c>
      <c r="Z1635" s="34" t="s">
        <v>7476</v>
      </c>
      <c r="AA1635" s="34" t="s">
        <v>7476</v>
      </c>
      <c r="AB1635" s="36" t="s">
        <v>95</v>
      </c>
      <c r="AD1635" t="s">
        <v>5096</v>
      </c>
      <c r="AE1635" t="s">
        <v>5097</v>
      </c>
      <c r="AF1635" s="16">
        <v>44706</v>
      </c>
      <c r="AG1635" t="s">
        <v>64</v>
      </c>
      <c r="AH1635">
        <v>6</v>
      </c>
      <c r="AI1635" s="8" t="str">
        <f t="shared" si="654"/>
        <v/>
      </c>
      <c r="AJ1635" s="8">
        <f t="shared" si="655"/>
        <v>17.645821759258979</v>
      </c>
      <c r="AK1635" s="38" t="str">
        <f t="shared" si="645"/>
        <v/>
      </c>
      <c r="AL1635" t="str">
        <f t="shared" si="656"/>
        <v/>
      </c>
      <c r="AM1635" t="str">
        <f t="shared" si="657"/>
        <v/>
      </c>
      <c r="AN1635" t="str">
        <f t="shared" si="658"/>
        <v/>
      </c>
      <c r="AO1635">
        <f t="shared" si="659"/>
        <v>3</v>
      </c>
      <c r="AP1635">
        <f t="shared" si="660"/>
        <v>0</v>
      </c>
      <c r="AQ1635" t="str">
        <f t="shared" si="661"/>
        <v/>
      </c>
    </row>
    <row r="1636" spans="1:43" x14ac:dyDescent="0.35">
      <c r="A1636">
        <v>1739</v>
      </c>
      <c r="B1636" t="s">
        <v>5098</v>
      </c>
      <c r="C1636" t="s">
        <v>4480</v>
      </c>
      <c r="D1636" t="str">
        <f t="shared" si="643"/>
        <v>Finance</v>
      </c>
      <c r="E1636" t="s">
        <v>4968</v>
      </c>
      <c r="F1636" t="s">
        <v>695</v>
      </c>
      <c r="G1636" t="s">
        <v>4969</v>
      </c>
      <c r="H1636" t="s">
        <v>697</v>
      </c>
      <c r="I1636" s="32">
        <v>44562.634641203702</v>
      </c>
      <c r="J1636" s="32">
        <v>44564.634641203702</v>
      </c>
      <c r="K1636" s="32">
        <v>44568.634641203702</v>
      </c>
      <c r="L1636" s="8">
        <f t="shared" si="644"/>
        <v>6</v>
      </c>
      <c r="M1636" s="7">
        <v>44594.634641203702</v>
      </c>
      <c r="N1636" t="s">
        <v>72</v>
      </c>
      <c r="O1636" s="34" t="s">
        <v>7474</v>
      </c>
      <c r="R1636" s="32" t="s">
        <v>7472</v>
      </c>
      <c r="S1636" t="s">
        <v>7476</v>
      </c>
      <c r="T1636" s="34" t="s">
        <v>7476</v>
      </c>
      <c r="U1636" s="34" t="s">
        <v>7476</v>
      </c>
      <c r="V1636" s="32" t="s">
        <v>7476</v>
      </c>
      <c r="W1636" s="32" t="s">
        <v>7476</v>
      </c>
      <c r="X1636">
        <v>0</v>
      </c>
      <c r="Y1636" s="34" t="s">
        <v>7476</v>
      </c>
      <c r="Z1636" s="34" t="s">
        <v>7476</v>
      </c>
      <c r="AA1636" s="34" t="s">
        <v>7476</v>
      </c>
      <c r="AB1636" s="36" t="s">
        <v>7476</v>
      </c>
      <c r="AD1636" t="s">
        <v>5099</v>
      </c>
      <c r="AE1636" t="s">
        <v>5100</v>
      </c>
      <c r="AG1636" t="s">
        <v>68</v>
      </c>
      <c r="AH1636">
        <v>6</v>
      </c>
      <c r="AI1636" s="8" t="str">
        <f t="shared" si="654"/>
        <v/>
      </c>
      <c r="AJ1636" s="8" t="str">
        <f t="shared" si="655"/>
        <v/>
      </c>
      <c r="AK1636" s="38" t="str">
        <f t="shared" si="645"/>
        <v/>
      </c>
      <c r="AL1636" t="str">
        <f t="shared" si="656"/>
        <v/>
      </c>
      <c r="AM1636" t="str">
        <f t="shared" si="657"/>
        <v/>
      </c>
      <c r="AN1636" t="str">
        <f t="shared" si="658"/>
        <v/>
      </c>
      <c r="AO1636">
        <f t="shared" si="659"/>
        <v>2</v>
      </c>
      <c r="AP1636">
        <f t="shared" si="660"/>
        <v>0</v>
      </c>
      <c r="AQ1636" t="str">
        <f t="shared" si="661"/>
        <v/>
      </c>
    </row>
    <row r="1637" spans="1:43" x14ac:dyDescent="0.35">
      <c r="A1637">
        <v>1710</v>
      </c>
      <c r="B1637" t="s">
        <v>5101</v>
      </c>
      <c r="C1637" t="s">
        <v>4480</v>
      </c>
      <c r="D1637" t="str">
        <f t="shared" si="643"/>
        <v>Finance</v>
      </c>
      <c r="E1637" t="s">
        <v>4968</v>
      </c>
      <c r="F1637" t="s">
        <v>695</v>
      </c>
      <c r="G1637" t="s">
        <v>4969</v>
      </c>
      <c r="H1637" t="s">
        <v>697</v>
      </c>
      <c r="I1637" s="32">
        <v>44985.751342592594</v>
      </c>
      <c r="J1637" s="32">
        <v>44988.751342592594</v>
      </c>
      <c r="K1637" s="32">
        <v>44994.751342592594</v>
      </c>
      <c r="L1637" s="8">
        <f t="shared" si="644"/>
        <v>9</v>
      </c>
      <c r="M1637" s="7">
        <v>45001.751342592594</v>
      </c>
      <c r="N1637" t="s">
        <v>49</v>
      </c>
      <c r="O1637" s="34">
        <v>45002.751342592594</v>
      </c>
      <c r="P1637" t="s">
        <v>392</v>
      </c>
      <c r="R1637" s="32">
        <v>45008.751342592594</v>
      </c>
      <c r="S1637" t="s">
        <v>392</v>
      </c>
      <c r="T1637" s="34" t="s">
        <v>7476</v>
      </c>
      <c r="U1637" s="34" t="s">
        <v>7476</v>
      </c>
      <c r="V1637" s="32">
        <v>45004.751342592594</v>
      </c>
      <c r="W1637" s="32" t="s">
        <v>7476</v>
      </c>
      <c r="X1637">
        <v>0</v>
      </c>
      <c r="Y1637" s="34" t="s">
        <v>7476</v>
      </c>
      <c r="Z1637" s="34" t="s">
        <v>7476</v>
      </c>
      <c r="AA1637" s="34" t="s">
        <v>7476</v>
      </c>
      <c r="AB1637" s="36" t="s">
        <v>7476</v>
      </c>
      <c r="AD1637" t="s">
        <v>5102</v>
      </c>
      <c r="AE1637" t="s">
        <v>5103</v>
      </c>
      <c r="AF1637" s="16">
        <v>44989</v>
      </c>
      <c r="AG1637" t="s">
        <v>64</v>
      </c>
      <c r="AH1637">
        <v>6</v>
      </c>
      <c r="AI1637" s="8">
        <f t="shared" si="654"/>
        <v>19.751342592593573</v>
      </c>
      <c r="AJ1637" s="8">
        <f t="shared" si="655"/>
        <v>13.751342592593573</v>
      </c>
      <c r="AK1637" s="38">
        <f t="shared" si="645"/>
        <v>45184.751342592594</v>
      </c>
      <c r="AL1637" t="str">
        <f t="shared" si="656"/>
        <v/>
      </c>
      <c r="AM1637">
        <f t="shared" si="657"/>
        <v>20</v>
      </c>
      <c r="AN1637">
        <f t="shared" si="658"/>
        <v>2</v>
      </c>
      <c r="AO1637">
        <f t="shared" si="659"/>
        <v>3</v>
      </c>
      <c r="AP1637">
        <f t="shared" si="660"/>
        <v>0</v>
      </c>
      <c r="AQ1637" t="str">
        <f t="shared" si="661"/>
        <v/>
      </c>
    </row>
    <row r="1638" spans="1:43" x14ac:dyDescent="0.35">
      <c r="A1638">
        <v>1676</v>
      </c>
      <c r="B1638" t="s">
        <v>5104</v>
      </c>
      <c r="C1638" t="s">
        <v>4480</v>
      </c>
      <c r="D1638" t="str">
        <f t="shared" si="643"/>
        <v>Finance</v>
      </c>
      <c r="E1638" t="s">
        <v>4968</v>
      </c>
      <c r="F1638" t="s">
        <v>695</v>
      </c>
      <c r="G1638" t="s">
        <v>4969</v>
      </c>
      <c r="H1638" t="s">
        <v>697</v>
      </c>
      <c r="I1638" s="32">
        <v>44873.144270833327</v>
      </c>
      <c r="J1638" s="32">
        <v>44874.144270833327</v>
      </c>
      <c r="K1638" s="32">
        <v>44877.144270833327</v>
      </c>
      <c r="L1638" s="8">
        <f t="shared" si="644"/>
        <v>4</v>
      </c>
      <c r="M1638" s="7">
        <v>44901.144270833327</v>
      </c>
      <c r="N1638" t="s">
        <v>49</v>
      </c>
      <c r="O1638" s="34">
        <v>44879.144270833327</v>
      </c>
      <c r="P1638" t="s">
        <v>50</v>
      </c>
      <c r="Q1638" t="s">
        <v>125</v>
      </c>
      <c r="R1638" s="32" t="s">
        <v>7472</v>
      </c>
      <c r="S1638" t="s">
        <v>7476</v>
      </c>
      <c r="T1638" s="34" t="s">
        <v>7476</v>
      </c>
      <c r="U1638" s="34" t="s">
        <v>7476</v>
      </c>
      <c r="V1638" s="32">
        <v>44880.144270833327</v>
      </c>
      <c r="W1638" s="32" t="s">
        <v>7476</v>
      </c>
      <c r="X1638">
        <v>0</v>
      </c>
      <c r="Y1638" s="34" t="s">
        <v>7476</v>
      </c>
      <c r="Z1638" s="34" t="s">
        <v>7476</v>
      </c>
      <c r="AA1638" s="34" t="s">
        <v>7476</v>
      </c>
      <c r="AB1638" s="36" t="s">
        <v>52</v>
      </c>
      <c r="AD1638" t="s">
        <v>5105</v>
      </c>
      <c r="AE1638" t="s">
        <v>5106</v>
      </c>
      <c r="AF1638" s="16">
        <v>44865</v>
      </c>
      <c r="AG1638" t="s">
        <v>98</v>
      </c>
      <c r="AH1638">
        <v>3</v>
      </c>
      <c r="AI1638" s="8" t="str">
        <f t="shared" si="654"/>
        <v/>
      </c>
      <c r="AJ1638" s="8">
        <f t="shared" si="655"/>
        <v>14.144270833327028</v>
      </c>
      <c r="AK1638" s="38">
        <f t="shared" si="645"/>
        <v>44970.144270833327</v>
      </c>
      <c r="AL1638" t="str">
        <f t="shared" si="656"/>
        <v/>
      </c>
      <c r="AM1638" t="str">
        <f t="shared" si="657"/>
        <v/>
      </c>
      <c r="AN1638">
        <f t="shared" si="658"/>
        <v>1</v>
      </c>
      <c r="AO1638">
        <f t="shared" si="659"/>
        <v>1</v>
      </c>
      <c r="AP1638">
        <f t="shared" si="660"/>
        <v>0</v>
      </c>
      <c r="AQ1638" t="str">
        <f t="shared" si="661"/>
        <v/>
      </c>
    </row>
    <row r="1639" spans="1:43" x14ac:dyDescent="0.35">
      <c r="A1639">
        <v>1673</v>
      </c>
      <c r="B1639" t="s">
        <v>5107</v>
      </c>
      <c r="C1639" t="s">
        <v>4480</v>
      </c>
      <c r="D1639" t="str">
        <f t="shared" si="643"/>
        <v>Finance</v>
      </c>
      <c r="E1639" t="s">
        <v>4968</v>
      </c>
      <c r="F1639" t="s">
        <v>695</v>
      </c>
      <c r="G1639" t="s">
        <v>4969</v>
      </c>
      <c r="H1639" t="s">
        <v>697</v>
      </c>
      <c r="I1639" s="32">
        <v>44870.144270833327</v>
      </c>
      <c r="J1639" s="32" t="s">
        <v>7471</v>
      </c>
      <c r="K1639" s="32">
        <v>44877.144270833327</v>
      </c>
      <c r="L1639" s="8">
        <f t="shared" si="644"/>
        <v>7</v>
      </c>
      <c r="M1639" s="7">
        <v>44895.144270833327</v>
      </c>
      <c r="N1639" t="s">
        <v>49</v>
      </c>
      <c r="O1639" s="34">
        <v>44892.144270833327</v>
      </c>
      <c r="P1639" t="s">
        <v>392</v>
      </c>
      <c r="R1639" s="32">
        <v>44899.144270833327</v>
      </c>
      <c r="S1639" t="s">
        <v>392</v>
      </c>
      <c r="T1639" s="34" t="s">
        <v>7476</v>
      </c>
      <c r="U1639" s="34" t="s">
        <v>7476</v>
      </c>
      <c r="V1639" s="32">
        <v>44896.144270833327</v>
      </c>
      <c r="W1639" s="32" t="s">
        <v>7476</v>
      </c>
      <c r="X1639">
        <v>0</v>
      </c>
      <c r="Y1639" s="34" t="s">
        <v>7476</v>
      </c>
      <c r="Z1639" s="34" t="s">
        <v>7476</v>
      </c>
      <c r="AA1639" s="34" t="s">
        <v>7476</v>
      </c>
      <c r="AB1639" s="36" t="s">
        <v>7476</v>
      </c>
      <c r="AD1639" t="s">
        <v>5108</v>
      </c>
      <c r="AE1639" t="s">
        <v>5109</v>
      </c>
      <c r="AF1639" s="16">
        <v>44879</v>
      </c>
      <c r="AG1639" t="s">
        <v>64</v>
      </c>
      <c r="AH1639">
        <v>6</v>
      </c>
      <c r="AK1639" s="38">
        <f t="shared" si="645"/>
        <v>45076.144270833327</v>
      </c>
    </row>
    <row r="1640" spans="1:43" x14ac:dyDescent="0.35">
      <c r="A1640">
        <v>1587</v>
      </c>
      <c r="B1640" t="s">
        <v>5110</v>
      </c>
      <c r="C1640" t="s">
        <v>4471</v>
      </c>
      <c r="D1640" t="str">
        <f t="shared" si="643"/>
        <v>Finance</v>
      </c>
      <c r="E1640" t="s">
        <v>4968</v>
      </c>
      <c r="F1640" t="s">
        <v>695</v>
      </c>
      <c r="G1640" t="s">
        <v>4969</v>
      </c>
      <c r="H1640" t="s">
        <v>697</v>
      </c>
      <c r="I1640" s="32">
        <v>45186.840821759259</v>
      </c>
      <c r="J1640" s="32">
        <v>45187.840821759259</v>
      </c>
      <c r="K1640" s="32">
        <v>45188.840821759259</v>
      </c>
      <c r="L1640" s="8">
        <f t="shared" si="644"/>
        <v>2</v>
      </c>
      <c r="M1640" s="7">
        <v>45207.840821759259</v>
      </c>
      <c r="N1640" t="s">
        <v>49</v>
      </c>
      <c r="O1640" s="34">
        <v>45192.840821759259</v>
      </c>
      <c r="P1640" t="s">
        <v>101</v>
      </c>
      <c r="R1640" s="32">
        <v>45197.840821759259</v>
      </c>
      <c r="S1640" t="s">
        <v>101</v>
      </c>
      <c r="T1640" s="34">
        <v>45193.840821759259</v>
      </c>
      <c r="U1640" s="34">
        <v>45197.840821759259</v>
      </c>
      <c r="V1640" s="32">
        <v>45195.840821759259</v>
      </c>
      <c r="W1640" s="32">
        <v>45204.840821759259</v>
      </c>
      <c r="X1640">
        <v>1</v>
      </c>
      <c r="Y1640" s="34">
        <v>45207.840821759259</v>
      </c>
      <c r="Z1640" s="34">
        <v>45210.840821759259</v>
      </c>
      <c r="AA1640" s="34">
        <v>45212.840821759259</v>
      </c>
      <c r="AB1640" s="36" t="s">
        <v>7476</v>
      </c>
      <c r="AC1640" s="10">
        <v>45226.840821759259</v>
      </c>
      <c r="AD1640" t="s">
        <v>5111</v>
      </c>
      <c r="AE1640" t="s">
        <v>5112</v>
      </c>
      <c r="AF1640" s="16">
        <v>45181</v>
      </c>
      <c r="AG1640" t="s">
        <v>64</v>
      </c>
      <c r="AH1640">
        <v>6</v>
      </c>
      <c r="AI1640" s="8">
        <f>IFERROR(R1640-AF1640,"")</f>
        <v>16.840821759258688</v>
      </c>
      <c r="AJ1640" s="8">
        <f>IFERROR(O1640-AF1640,"")</f>
        <v>11.840821759258688</v>
      </c>
      <c r="AK1640" s="38">
        <f t="shared" si="645"/>
        <v>45375.840821759259</v>
      </c>
      <c r="AL1640">
        <f>IFERROR(Z1640-W1640,"")</f>
        <v>6</v>
      </c>
      <c r="AM1640">
        <f>IFERROR(R1640-J1640,"")</f>
        <v>10</v>
      </c>
      <c r="AN1640">
        <f>IFERROR(V1640-O1640,"")</f>
        <v>3</v>
      </c>
      <c r="AO1640">
        <f>IFERROR(J1640-I1640,"")</f>
        <v>1</v>
      </c>
      <c r="AP1640">
        <f>IFERROR(AC1640-X1640,"")</f>
        <v>45225.840821759259</v>
      </c>
      <c r="AQ1640">
        <f>IFERROR(AA1640-W1640,"")</f>
        <v>8</v>
      </c>
    </row>
    <row r="1641" spans="1:43" x14ac:dyDescent="0.35">
      <c r="A1641">
        <v>1566</v>
      </c>
      <c r="B1641" t="s">
        <v>5113</v>
      </c>
      <c r="C1641" t="s">
        <v>4480</v>
      </c>
      <c r="D1641" t="str">
        <f t="shared" si="643"/>
        <v>Finance</v>
      </c>
      <c r="E1641" t="s">
        <v>4968</v>
      </c>
      <c r="F1641" t="s">
        <v>695</v>
      </c>
      <c r="G1641" t="s">
        <v>4969</v>
      </c>
      <c r="H1641" t="s">
        <v>697</v>
      </c>
      <c r="I1641" s="32">
        <v>44638.490486111114</v>
      </c>
      <c r="J1641" s="32">
        <v>44641.490486111114</v>
      </c>
      <c r="K1641" s="32" t="s">
        <v>7473</v>
      </c>
      <c r="L1641" s="8" t="str">
        <f t="shared" si="644"/>
        <v/>
      </c>
      <c r="M1641" s="7">
        <v>44650.490486111114</v>
      </c>
      <c r="N1641" t="s">
        <v>49</v>
      </c>
      <c r="O1641" s="34">
        <v>44652.490486111114</v>
      </c>
      <c r="P1641" t="s">
        <v>60</v>
      </c>
      <c r="R1641" s="32">
        <v>44657.490486111114</v>
      </c>
      <c r="S1641" t="s">
        <v>61</v>
      </c>
      <c r="T1641" s="34" t="s">
        <v>7476</v>
      </c>
      <c r="U1641" s="34" t="s">
        <v>7476</v>
      </c>
      <c r="V1641" s="32">
        <v>44654.490486111114</v>
      </c>
      <c r="W1641" s="32" t="s">
        <v>7476</v>
      </c>
      <c r="X1641">
        <v>0</v>
      </c>
      <c r="Y1641" s="34" t="s">
        <v>7476</v>
      </c>
      <c r="Z1641" s="34" t="s">
        <v>7476</v>
      </c>
      <c r="AA1641" s="34" t="s">
        <v>7476</v>
      </c>
      <c r="AB1641" s="36" t="s">
        <v>7476</v>
      </c>
      <c r="AD1641" t="s">
        <v>5114</v>
      </c>
      <c r="AE1641" t="s">
        <v>5115</v>
      </c>
      <c r="AF1641" s="16">
        <v>44633</v>
      </c>
      <c r="AG1641" t="s">
        <v>98</v>
      </c>
      <c r="AH1641">
        <v>3</v>
      </c>
      <c r="AK1641" s="38">
        <f t="shared" si="645"/>
        <v>44744.490486111114</v>
      </c>
    </row>
    <row r="1642" spans="1:43" x14ac:dyDescent="0.35">
      <c r="A1642">
        <v>1565</v>
      </c>
      <c r="B1642" t="s">
        <v>5116</v>
      </c>
      <c r="C1642" t="s">
        <v>4480</v>
      </c>
      <c r="D1642" t="str">
        <f t="shared" si="643"/>
        <v>Finance</v>
      </c>
      <c r="E1642" t="s">
        <v>4968</v>
      </c>
      <c r="F1642" t="s">
        <v>695</v>
      </c>
      <c r="G1642" t="s">
        <v>4969</v>
      </c>
      <c r="H1642" t="s">
        <v>697</v>
      </c>
      <c r="I1642" s="32">
        <v>44635.490486111114</v>
      </c>
      <c r="J1642" s="32">
        <v>44639.490486111114</v>
      </c>
      <c r="K1642" s="32">
        <v>44645.490486111114</v>
      </c>
      <c r="L1642" s="8">
        <f t="shared" si="644"/>
        <v>10</v>
      </c>
      <c r="M1642" s="7">
        <v>44670.490486111114</v>
      </c>
      <c r="N1642" t="s">
        <v>49</v>
      </c>
      <c r="O1642" s="34">
        <v>44651.490486111114</v>
      </c>
      <c r="P1642" t="s">
        <v>392</v>
      </c>
      <c r="R1642" s="32">
        <v>44655.490486111114</v>
      </c>
      <c r="S1642" t="s">
        <v>392</v>
      </c>
      <c r="T1642" s="34" t="s">
        <v>7476</v>
      </c>
      <c r="U1642" s="34" t="s">
        <v>7476</v>
      </c>
      <c r="V1642" s="32">
        <v>44652.490486111114</v>
      </c>
      <c r="W1642" s="32" t="s">
        <v>7476</v>
      </c>
      <c r="X1642">
        <v>0</v>
      </c>
      <c r="Y1642" s="34" t="s">
        <v>7476</v>
      </c>
      <c r="Z1642" s="34" t="s">
        <v>7476</v>
      </c>
      <c r="AA1642" s="34" t="s">
        <v>7476</v>
      </c>
      <c r="AB1642" s="36" t="s">
        <v>7476</v>
      </c>
      <c r="AD1642" t="s">
        <v>5117</v>
      </c>
      <c r="AE1642" t="s">
        <v>5118</v>
      </c>
      <c r="AF1642" s="16">
        <v>44633</v>
      </c>
      <c r="AG1642" t="s">
        <v>98</v>
      </c>
      <c r="AH1642">
        <v>6</v>
      </c>
      <c r="AI1642" s="8">
        <f>IFERROR(R1642-AF1642,"")</f>
        <v>22.490486111113569</v>
      </c>
      <c r="AJ1642" s="8">
        <f>IFERROR(O1642-AF1642,"")</f>
        <v>18.490486111113569</v>
      </c>
      <c r="AK1642" s="38">
        <f t="shared" si="645"/>
        <v>44832.490486111114</v>
      </c>
      <c r="AL1642" t="str">
        <f>IFERROR(Z1642-W1642,"")</f>
        <v/>
      </c>
      <c r="AM1642">
        <f>IFERROR(R1642-J1642,"")</f>
        <v>16</v>
      </c>
      <c r="AN1642">
        <f>IFERROR(V1642-O1642,"")</f>
        <v>1</v>
      </c>
      <c r="AO1642">
        <f>IFERROR(J1642-I1642,"")</f>
        <v>4</v>
      </c>
      <c r="AP1642">
        <f>IFERROR(AC1642-X1642,"")</f>
        <v>0</v>
      </c>
      <c r="AQ1642" t="str">
        <f>IFERROR(AA1642-W1642,"")</f>
        <v/>
      </c>
    </row>
    <row r="1643" spans="1:43" x14ac:dyDescent="0.35">
      <c r="A1643">
        <v>1561</v>
      </c>
      <c r="B1643" t="s">
        <v>5119</v>
      </c>
      <c r="C1643" t="s">
        <v>4471</v>
      </c>
      <c r="D1643" t="str">
        <f t="shared" si="643"/>
        <v>Finance</v>
      </c>
      <c r="E1643" t="s">
        <v>4968</v>
      </c>
      <c r="F1643" t="s">
        <v>695</v>
      </c>
      <c r="G1643" t="s">
        <v>4969</v>
      </c>
      <c r="H1643" t="s">
        <v>697</v>
      </c>
      <c r="I1643" s="32">
        <v>44640.490486111114</v>
      </c>
      <c r="J1643" s="32">
        <v>44641.490486111114</v>
      </c>
      <c r="K1643" s="32">
        <v>44645.490486111114</v>
      </c>
      <c r="L1643" s="8">
        <f t="shared" si="644"/>
        <v>5</v>
      </c>
      <c r="M1643" s="7">
        <v>44670.490486111114</v>
      </c>
      <c r="N1643" t="s">
        <v>49</v>
      </c>
      <c r="O1643" s="34">
        <v>44656.490486111114</v>
      </c>
      <c r="P1643" t="s">
        <v>60</v>
      </c>
      <c r="R1643" s="32">
        <v>44663.490486111114</v>
      </c>
      <c r="S1643" t="s">
        <v>61</v>
      </c>
      <c r="T1643" s="34" t="s">
        <v>7476</v>
      </c>
      <c r="U1643" s="34" t="s">
        <v>7476</v>
      </c>
      <c r="V1643" s="32">
        <v>44660.490486111114</v>
      </c>
      <c r="W1643" s="32" t="s">
        <v>7476</v>
      </c>
      <c r="X1643">
        <v>0</v>
      </c>
      <c r="Y1643" s="34" t="s">
        <v>7476</v>
      </c>
      <c r="Z1643" s="34" t="s">
        <v>7476</v>
      </c>
      <c r="AA1643" s="34" t="s">
        <v>7476</v>
      </c>
      <c r="AB1643" s="36" t="s">
        <v>7476</v>
      </c>
      <c r="AD1643" t="s">
        <v>5120</v>
      </c>
      <c r="AE1643" t="s">
        <v>5121</v>
      </c>
      <c r="AF1643" s="16">
        <v>44651</v>
      </c>
      <c r="AG1643" t="s">
        <v>64</v>
      </c>
      <c r="AH1643">
        <v>6</v>
      </c>
      <c r="AI1643" s="8">
        <f>IFERROR(R1643-AF1643,"")</f>
        <v>12.490486111113569</v>
      </c>
      <c r="AJ1643" s="8">
        <f>IFERROR(O1643-AF1643,"")</f>
        <v>5.4904861111135688</v>
      </c>
      <c r="AK1643" s="38">
        <f t="shared" si="645"/>
        <v>44840.490486111114</v>
      </c>
      <c r="AL1643" t="str">
        <f>IFERROR(Z1643-W1643,"")</f>
        <v/>
      </c>
      <c r="AM1643">
        <f>IFERROR(R1643-J1643,"")</f>
        <v>22</v>
      </c>
      <c r="AN1643">
        <f>IFERROR(V1643-O1643,"")</f>
        <v>4</v>
      </c>
      <c r="AO1643">
        <f>IFERROR(J1643-I1643,"")</f>
        <v>1</v>
      </c>
      <c r="AP1643">
        <f>IFERROR(AC1643-X1643,"")</f>
        <v>0</v>
      </c>
      <c r="AQ1643" t="str">
        <f>IFERROR(AA1643-W1643,"")</f>
        <v/>
      </c>
    </row>
    <row r="1644" spans="1:43" x14ac:dyDescent="0.35">
      <c r="A1644">
        <v>1541</v>
      </c>
      <c r="B1644" t="s">
        <v>5122</v>
      </c>
      <c r="C1644" t="s">
        <v>4480</v>
      </c>
      <c r="D1644" t="str">
        <f t="shared" si="643"/>
        <v>Finance</v>
      </c>
      <c r="E1644" t="s">
        <v>4968</v>
      </c>
      <c r="F1644" t="s">
        <v>695</v>
      </c>
      <c r="G1644" t="s">
        <v>4969</v>
      </c>
      <c r="H1644" t="s">
        <v>697</v>
      </c>
      <c r="I1644" s="32">
        <v>45074.849814814806</v>
      </c>
      <c r="J1644" s="32">
        <v>45075.849814814806</v>
      </c>
      <c r="K1644" s="32" t="s">
        <v>7473</v>
      </c>
      <c r="L1644" s="8" t="str">
        <f t="shared" si="644"/>
        <v/>
      </c>
      <c r="M1644" s="7">
        <v>45109.849814814806</v>
      </c>
      <c r="N1644" t="s">
        <v>72</v>
      </c>
      <c r="O1644" s="34" t="s">
        <v>7474</v>
      </c>
      <c r="R1644" s="32" t="s">
        <v>7472</v>
      </c>
      <c r="S1644" t="s">
        <v>7476</v>
      </c>
      <c r="T1644" s="34" t="s">
        <v>7476</v>
      </c>
      <c r="U1644" s="34" t="s">
        <v>7476</v>
      </c>
      <c r="V1644" s="32" t="s">
        <v>7476</v>
      </c>
      <c r="W1644" s="32" t="s">
        <v>7476</v>
      </c>
      <c r="X1644">
        <v>0</v>
      </c>
      <c r="Y1644" s="34" t="s">
        <v>7476</v>
      </c>
      <c r="Z1644" s="34" t="s">
        <v>7476</v>
      </c>
      <c r="AA1644" s="34" t="s">
        <v>7476</v>
      </c>
      <c r="AB1644" s="36" t="s">
        <v>7476</v>
      </c>
      <c r="AD1644" t="s">
        <v>5123</v>
      </c>
      <c r="AE1644" t="s">
        <v>5124</v>
      </c>
      <c r="AG1644" t="s">
        <v>64</v>
      </c>
      <c r="AH1644">
        <v>3</v>
      </c>
      <c r="AK1644" s="38" t="str">
        <f t="shared" si="645"/>
        <v/>
      </c>
    </row>
    <row r="1645" spans="1:43" x14ac:dyDescent="0.35">
      <c r="A1645">
        <v>1530</v>
      </c>
      <c r="B1645" t="s">
        <v>5125</v>
      </c>
      <c r="C1645" t="s">
        <v>4471</v>
      </c>
      <c r="D1645" t="str">
        <f t="shared" si="643"/>
        <v>Finance</v>
      </c>
      <c r="E1645" t="s">
        <v>4968</v>
      </c>
      <c r="F1645" t="s">
        <v>695</v>
      </c>
      <c r="G1645" t="s">
        <v>4969</v>
      </c>
      <c r="H1645" t="s">
        <v>697</v>
      </c>
      <c r="I1645" s="32">
        <v>44928.025208333333</v>
      </c>
      <c r="J1645" s="32" t="s">
        <v>7471</v>
      </c>
      <c r="K1645" s="32">
        <v>44933.025208333333</v>
      </c>
      <c r="L1645" s="8">
        <f t="shared" si="644"/>
        <v>5</v>
      </c>
      <c r="M1645" s="7">
        <v>44947.025208333333</v>
      </c>
      <c r="N1645" t="s">
        <v>49</v>
      </c>
      <c r="O1645" s="34">
        <v>44937.025208333333</v>
      </c>
      <c r="P1645" t="s">
        <v>60</v>
      </c>
      <c r="R1645" s="32">
        <v>44944.025208333333</v>
      </c>
      <c r="S1645" t="s">
        <v>61</v>
      </c>
      <c r="T1645" s="34" t="s">
        <v>7476</v>
      </c>
      <c r="U1645" s="34" t="s">
        <v>7476</v>
      </c>
      <c r="V1645" s="32">
        <v>44940.025208333333</v>
      </c>
      <c r="W1645" s="32" t="s">
        <v>7476</v>
      </c>
      <c r="X1645">
        <v>0</v>
      </c>
      <c r="Y1645" s="34" t="s">
        <v>7476</v>
      </c>
      <c r="Z1645" s="34" t="s">
        <v>7476</v>
      </c>
      <c r="AA1645" s="34" t="s">
        <v>7476</v>
      </c>
      <c r="AB1645" s="36" t="s">
        <v>7476</v>
      </c>
      <c r="AD1645" t="s">
        <v>5126</v>
      </c>
      <c r="AE1645" t="s">
        <v>5127</v>
      </c>
      <c r="AF1645" s="16">
        <v>44923</v>
      </c>
      <c r="AG1645" t="s">
        <v>55</v>
      </c>
      <c r="AH1645">
        <v>6</v>
      </c>
      <c r="AK1645" s="38">
        <f t="shared" si="645"/>
        <v>45120.025208333333</v>
      </c>
    </row>
    <row r="1646" spans="1:43" x14ac:dyDescent="0.35">
      <c r="A1646">
        <v>1440</v>
      </c>
      <c r="B1646" t="s">
        <v>5128</v>
      </c>
      <c r="C1646" t="s">
        <v>4502</v>
      </c>
      <c r="D1646" t="str">
        <f t="shared" si="643"/>
        <v>Finance</v>
      </c>
      <c r="E1646" t="s">
        <v>4968</v>
      </c>
      <c r="F1646" t="s">
        <v>695</v>
      </c>
      <c r="G1646" t="s">
        <v>4969</v>
      </c>
      <c r="H1646" t="s">
        <v>697</v>
      </c>
      <c r="I1646" s="32">
        <v>45083.936932870369</v>
      </c>
      <c r="J1646" s="32">
        <v>45087.936932870369</v>
      </c>
      <c r="K1646" s="32" t="s">
        <v>7473</v>
      </c>
      <c r="L1646" s="8" t="str">
        <f t="shared" si="644"/>
        <v/>
      </c>
      <c r="M1646" s="7">
        <v>45117.936932870369</v>
      </c>
      <c r="N1646" t="s">
        <v>49</v>
      </c>
      <c r="O1646" s="34">
        <v>45099.936932870369</v>
      </c>
      <c r="P1646" t="s">
        <v>50</v>
      </c>
      <c r="Q1646" t="s">
        <v>198</v>
      </c>
      <c r="R1646" s="32" t="s">
        <v>7472</v>
      </c>
      <c r="S1646" t="s">
        <v>7476</v>
      </c>
      <c r="T1646" s="34" t="s">
        <v>7476</v>
      </c>
      <c r="U1646" s="34" t="s">
        <v>7476</v>
      </c>
      <c r="V1646" s="32">
        <v>45101.936932870369</v>
      </c>
      <c r="W1646" s="32" t="s">
        <v>7476</v>
      </c>
      <c r="X1646">
        <v>0</v>
      </c>
      <c r="Y1646" s="34" t="s">
        <v>7476</v>
      </c>
      <c r="Z1646" s="34" t="s">
        <v>7476</v>
      </c>
      <c r="AA1646" s="34" t="s">
        <v>7476</v>
      </c>
      <c r="AB1646" s="36" t="s">
        <v>52</v>
      </c>
      <c r="AD1646" t="s">
        <v>5129</v>
      </c>
      <c r="AE1646" t="s">
        <v>5130</v>
      </c>
      <c r="AF1646" s="16">
        <v>45094</v>
      </c>
      <c r="AG1646" t="s">
        <v>64</v>
      </c>
      <c r="AH1646">
        <v>6</v>
      </c>
      <c r="AK1646" s="38">
        <f t="shared" si="645"/>
        <v>45281.936932870369</v>
      </c>
    </row>
    <row r="1647" spans="1:43" x14ac:dyDescent="0.35">
      <c r="A1647">
        <v>1437</v>
      </c>
      <c r="B1647" t="s">
        <v>5131</v>
      </c>
      <c r="C1647" t="s">
        <v>4471</v>
      </c>
      <c r="D1647" t="str">
        <f t="shared" si="643"/>
        <v>Finance</v>
      </c>
      <c r="E1647" t="s">
        <v>4968</v>
      </c>
      <c r="F1647" t="s">
        <v>695</v>
      </c>
      <c r="G1647" t="s">
        <v>4969</v>
      </c>
      <c r="H1647" t="s">
        <v>697</v>
      </c>
      <c r="I1647" s="32">
        <v>45085.936932870369</v>
      </c>
      <c r="J1647" s="32">
        <v>45089.936932870369</v>
      </c>
      <c r="K1647" s="32">
        <v>45092.936932870369</v>
      </c>
      <c r="L1647" s="8">
        <f t="shared" si="644"/>
        <v>7</v>
      </c>
      <c r="M1647" s="7">
        <v>45105.936932870369</v>
      </c>
      <c r="N1647" t="s">
        <v>49</v>
      </c>
      <c r="O1647" s="34">
        <v>45096.936932870369</v>
      </c>
      <c r="P1647" t="s">
        <v>392</v>
      </c>
      <c r="R1647" s="32">
        <v>45103.936932870369</v>
      </c>
      <c r="S1647" t="s">
        <v>392</v>
      </c>
      <c r="T1647" s="34" t="s">
        <v>7476</v>
      </c>
      <c r="U1647" s="34" t="s">
        <v>7476</v>
      </c>
      <c r="V1647" s="32">
        <v>45100.936932870369</v>
      </c>
      <c r="W1647" s="32" t="s">
        <v>7476</v>
      </c>
      <c r="X1647">
        <v>0</v>
      </c>
      <c r="Y1647" s="34" t="s">
        <v>7476</v>
      </c>
      <c r="Z1647" s="34" t="s">
        <v>7476</v>
      </c>
      <c r="AA1647" s="34" t="s">
        <v>7476</v>
      </c>
      <c r="AB1647" s="36" t="s">
        <v>7476</v>
      </c>
      <c r="AD1647" t="s">
        <v>5132</v>
      </c>
      <c r="AE1647" t="s">
        <v>5133</v>
      </c>
      <c r="AF1647" s="16">
        <v>45083</v>
      </c>
      <c r="AG1647" t="s">
        <v>64</v>
      </c>
      <c r="AH1647">
        <v>3</v>
      </c>
      <c r="AI1647" s="8">
        <f>IFERROR(R1647-AF1647,"")</f>
        <v>20.936932870368764</v>
      </c>
      <c r="AJ1647" s="8">
        <f>IFERROR(O1647-AF1647,"")</f>
        <v>13.936932870368764</v>
      </c>
      <c r="AK1647" s="38">
        <f t="shared" si="645"/>
        <v>45190.936932870369</v>
      </c>
      <c r="AL1647" t="str">
        <f>IFERROR(Z1647-W1647,"")</f>
        <v/>
      </c>
      <c r="AM1647">
        <f>IFERROR(R1647-J1647,"")</f>
        <v>14</v>
      </c>
      <c r="AN1647">
        <f>IFERROR(V1647-O1647,"")</f>
        <v>4</v>
      </c>
      <c r="AO1647">
        <f>IFERROR(J1647-I1647,"")</f>
        <v>4</v>
      </c>
      <c r="AP1647">
        <f>IFERROR(AC1647-X1647,"")</f>
        <v>0</v>
      </c>
      <c r="AQ1647" t="str">
        <f>IFERROR(AA1647-W1647,"")</f>
        <v/>
      </c>
    </row>
    <row r="1648" spans="1:43" x14ac:dyDescent="0.35">
      <c r="A1648">
        <v>1432</v>
      </c>
      <c r="B1648" t="s">
        <v>5134</v>
      </c>
      <c r="C1648" t="s">
        <v>4480</v>
      </c>
      <c r="D1648" t="str">
        <f t="shared" si="643"/>
        <v>Finance</v>
      </c>
      <c r="E1648" t="s">
        <v>4968</v>
      </c>
      <c r="F1648" t="s">
        <v>695</v>
      </c>
      <c r="G1648" t="s">
        <v>4969</v>
      </c>
      <c r="H1648" t="s">
        <v>697</v>
      </c>
      <c r="I1648" s="32">
        <v>45086.936932870369</v>
      </c>
      <c r="J1648" s="32">
        <v>45090.936932870369</v>
      </c>
      <c r="K1648" s="32" t="s">
        <v>7473</v>
      </c>
      <c r="L1648" s="8" t="str">
        <f t="shared" si="644"/>
        <v/>
      </c>
      <c r="M1648" s="7">
        <v>45120.936932870369</v>
      </c>
      <c r="N1648" t="s">
        <v>49</v>
      </c>
      <c r="O1648" s="34">
        <v>45097.936932870369</v>
      </c>
      <c r="P1648" t="s">
        <v>50</v>
      </c>
      <c r="Q1648" t="s">
        <v>51</v>
      </c>
      <c r="R1648" s="32" t="s">
        <v>7472</v>
      </c>
      <c r="S1648" t="s">
        <v>7476</v>
      </c>
      <c r="T1648" s="34" t="s">
        <v>7476</v>
      </c>
      <c r="U1648" s="34" t="s">
        <v>7476</v>
      </c>
      <c r="V1648" s="32">
        <v>45098.936932870369</v>
      </c>
      <c r="W1648" s="32" t="s">
        <v>7476</v>
      </c>
      <c r="X1648">
        <v>0</v>
      </c>
      <c r="Y1648" s="34" t="s">
        <v>7476</v>
      </c>
      <c r="Z1648" s="34" t="s">
        <v>7476</v>
      </c>
      <c r="AA1648" s="34" t="s">
        <v>7476</v>
      </c>
      <c r="AB1648" s="36" t="s">
        <v>52</v>
      </c>
      <c r="AD1648" t="s">
        <v>5135</v>
      </c>
      <c r="AE1648" t="s">
        <v>5136</v>
      </c>
      <c r="AF1648" s="16">
        <v>45082</v>
      </c>
      <c r="AG1648" t="s">
        <v>64</v>
      </c>
      <c r="AH1648">
        <v>3</v>
      </c>
      <c r="AK1648" s="38">
        <f t="shared" si="645"/>
        <v>45188.936932870369</v>
      </c>
    </row>
    <row r="1649" spans="1:43" x14ac:dyDescent="0.35">
      <c r="A1649">
        <v>1399</v>
      </c>
      <c r="B1649" t="s">
        <v>5137</v>
      </c>
      <c r="C1649" t="s">
        <v>4480</v>
      </c>
      <c r="D1649" t="str">
        <f t="shared" si="643"/>
        <v>Finance</v>
      </c>
      <c r="E1649" t="s">
        <v>4968</v>
      </c>
      <c r="F1649" t="s">
        <v>695</v>
      </c>
      <c r="G1649" t="s">
        <v>4969</v>
      </c>
      <c r="H1649" t="s">
        <v>697</v>
      </c>
      <c r="I1649" s="32">
        <v>44788.359849537039</v>
      </c>
      <c r="J1649" s="32">
        <v>44791.359849537039</v>
      </c>
      <c r="K1649" s="32">
        <v>44796.359849537039</v>
      </c>
      <c r="L1649" s="8">
        <f t="shared" si="644"/>
        <v>8</v>
      </c>
      <c r="M1649" s="7">
        <v>44803.359849537039</v>
      </c>
      <c r="N1649" t="s">
        <v>49</v>
      </c>
      <c r="O1649" s="34">
        <v>44801.359849537039</v>
      </c>
      <c r="P1649" t="s">
        <v>101</v>
      </c>
      <c r="R1649" s="32">
        <v>44803.359849537039</v>
      </c>
      <c r="S1649" t="s">
        <v>101</v>
      </c>
      <c r="T1649" s="34">
        <v>44803.359849537039</v>
      </c>
      <c r="U1649" s="34">
        <v>44804.359849537039</v>
      </c>
      <c r="V1649" s="32">
        <v>44802.359849537039</v>
      </c>
      <c r="W1649" s="32">
        <v>44811.359849537039</v>
      </c>
      <c r="X1649">
        <v>1</v>
      </c>
      <c r="Y1649" s="34">
        <v>44812.359849537039</v>
      </c>
      <c r="Z1649" s="34">
        <v>44813.359849537039</v>
      </c>
      <c r="AA1649" s="34">
        <v>44815.359849537039</v>
      </c>
      <c r="AB1649" s="36" t="s">
        <v>7476</v>
      </c>
      <c r="AC1649" s="10">
        <v>44829.359849537039</v>
      </c>
      <c r="AD1649" t="s">
        <v>5138</v>
      </c>
      <c r="AE1649" t="s">
        <v>5139</v>
      </c>
      <c r="AF1649" s="16">
        <v>44795</v>
      </c>
      <c r="AG1649" t="s">
        <v>68</v>
      </c>
      <c r="AH1649">
        <v>6</v>
      </c>
      <c r="AI1649" s="8">
        <f>IFERROR(R1649-AF1649,"")</f>
        <v>8.3598495370388264</v>
      </c>
      <c r="AJ1649" s="8">
        <f>IFERROR(O1649-AF1649,"")</f>
        <v>6.3598495370388264</v>
      </c>
      <c r="AK1649" s="38">
        <f t="shared" si="645"/>
        <v>44982.359849537039</v>
      </c>
      <c r="AL1649">
        <f>IFERROR(Z1649-W1649,"")</f>
        <v>2</v>
      </c>
      <c r="AM1649">
        <f>IFERROR(R1649-J1649,"")</f>
        <v>12</v>
      </c>
      <c r="AN1649">
        <f>IFERROR(V1649-O1649,"")</f>
        <v>1</v>
      </c>
      <c r="AO1649">
        <f>IFERROR(J1649-I1649,"")</f>
        <v>3</v>
      </c>
      <c r="AP1649">
        <f>IFERROR(AC1649-X1649,"")</f>
        <v>44828.359849537039</v>
      </c>
      <c r="AQ1649">
        <f>IFERROR(AA1649-W1649,"")</f>
        <v>4</v>
      </c>
    </row>
    <row r="1650" spans="1:43" x14ac:dyDescent="0.35">
      <c r="A1650">
        <v>1397</v>
      </c>
      <c r="B1650" t="s">
        <v>5140</v>
      </c>
      <c r="C1650" t="s">
        <v>4471</v>
      </c>
      <c r="D1650" t="str">
        <f t="shared" si="643"/>
        <v>Finance</v>
      </c>
      <c r="E1650" t="s">
        <v>4968</v>
      </c>
      <c r="F1650" t="s">
        <v>695</v>
      </c>
      <c r="G1650" t="s">
        <v>4969</v>
      </c>
      <c r="H1650" t="s">
        <v>697</v>
      </c>
      <c r="I1650" s="32">
        <v>44789.359849537039</v>
      </c>
      <c r="J1650" s="32">
        <v>44790.359849537039</v>
      </c>
      <c r="K1650" s="32">
        <v>44796.359849537039</v>
      </c>
      <c r="L1650" s="8">
        <f t="shared" si="644"/>
        <v>7</v>
      </c>
      <c r="M1650" s="7">
        <v>44803.359849537039</v>
      </c>
      <c r="N1650" t="s">
        <v>49</v>
      </c>
      <c r="O1650" s="34">
        <v>44810.359849537039</v>
      </c>
      <c r="P1650" t="s">
        <v>101</v>
      </c>
      <c r="R1650" s="32">
        <v>44813.359849537039</v>
      </c>
      <c r="S1650" t="s">
        <v>101</v>
      </c>
      <c r="T1650" s="34">
        <v>44811.359849537039</v>
      </c>
      <c r="U1650" s="34">
        <v>44815.359849537039</v>
      </c>
      <c r="V1650" s="32">
        <v>44812.359849537039</v>
      </c>
      <c r="W1650" s="32">
        <v>44818.359849537039</v>
      </c>
      <c r="X1650">
        <v>1</v>
      </c>
      <c r="Y1650" s="34">
        <v>44822.359849537039</v>
      </c>
      <c r="Z1650" s="34">
        <v>44825.359849537039</v>
      </c>
      <c r="AA1650" s="34">
        <v>44828.359849537039</v>
      </c>
      <c r="AB1650" s="36" t="s">
        <v>7476</v>
      </c>
      <c r="AC1650" s="10">
        <v>44843.359849537039</v>
      </c>
      <c r="AD1650" t="s">
        <v>5141</v>
      </c>
      <c r="AE1650" t="s">
        <v>5142</v>
      </c>
      <c r="AF1650" s="16">
        <v>44793</v>
      </c>
      <c r="AG1650" t="s">
        <v>68</v>
      </c>
      <c r="AH1650">
        <v>6</v>
      </c>
      <c r="AI1650" s="8">
        <f>IFERROR(R1650-AF1650,"")</f>
        <v>20.359849537038826</v>
      </c>
      <c r="AJ1650" s="8">
        <f>IFERROR(O1650-AF1650,"")</f>
        <v>17.359849537038826</v>
      </c>
      <c r="AK1650" s="38">
        <f t="shared" si="645"/>
        <v>44992.359849537039</v>
      </c>
      <c r="AL1650">
        <f>IFERROR(Z1650-W1650,"")</f>
        <v>7</v>
      </c>
      <c r="AM1650">
        <f>IFERROR(R1650-J1650,"")</f>
        <v>23</v>
      </c>
      <c r="AN1650">
        <f>IFERROR(V1650-O1650,"")</f>
        <v>2</v>
      </c>
      <c r="AO1650">
        <f>IFERROR(J1650-I1650,"")</f>
        <v>1</v>
      </c>
      <c r="AP1650">
        <f>IFERROR(AC1650-X1650,"")</f>
        <v>44842.359849537039</v>
      </c>
      <c r="AQ1650">
        <f>IFERROR(AA1650-W1650,"")</f>
        <v>10</v>
      </c>
    </row>
    <row r="1651" spans="1:43" x14ac:dyDescent="0.35">
      <c r="A1651">
        <v>1394</v>
      </c>
      <c r="B1651" t="s">
        <v>5143</v>
      </c>
      <c r="C1651" t="s">
        <v>4471</v>
      </c>
      <c r="D1651" t="str">
        <f t="shared" si="643"/>
        <v>Finance</v>
      </c>
      <c r="E1651" t="s">
        <v>4968</v>
      </c>
      <c r="F1651" t="s">
        <v>695</v>
      </c>
      <c r="G1651" t="s">
        <v>4969</v>
      </c>
      <c r="H1651" t="s">
        <v>697</v>
      </c>
      <c r="I1651" s="32">
        <v>44791.359849537039</v>
      </c>
      <c r="J1651" s="32">
        <v>44794.359849537039</v>
      </c>
      <c r="K1651" s="32">
        <v>44796.359849537039</v>
      </c>
      <c r="L1651" s="8">
        <f t="shared" si="644"/>
        <v>5</v>
      </c>
      <c r="M1651" s="7">
        <v>44804.359849537039</v>
      </c>
      <c r="N1651" t="s">
        <v>49</v>
      </c>
      <c r="O1651" s="34">
        <v>44811.359849537039</v>
      </c>
      <c r="P1651" t="s">
        <v>101</v>
      </c>
      <c r="R1651" s="32">
        <v>44816.359849537039</v>
      </c>
      <c r="S1651" t="s">
        <v>101</v>
      </c>
      <c r="T1651" s="34">
        <v>44813.359849537039</v>
      </c>
      <c r="U1651" s="34">
        <v>44815.359849537039</v>
      </c>
      <c r="V1651" s="32">
        <v>44812.359849537039</v>
      </c>
      <c r="W1651" s="32">
        <v>44813.359849537039</v>
      </c>
      <c r="X1651">
        <v>1</v>
      </c>
      <c r="Y1651" s="34">
        <v>44816.359849537039</v>
      </c>
      <c r="Z1651" s="34">
        <v>44819.359849537039</v>
      </c>
      <c r="AA1651" s="34">
        <v>44820.359849537039</v>
      </c>
      <c r="AB1651" s="36" t="s">
        <v>7476</v>
      </c>
      <c r="AC1651" s="10">
        <v>44839.359849537039</v>
      </c>
      <c r="AD1651" t="s">
        <v>5144</v>
      </c>
      <c r="AE1651" t="s">
        <v>5145</v>
      </c>
      <c r="AF1651" s="16">
        <v>44794</v>
      </c>
      <c r="AG1651" t="s">
        <v>64</v>
      </c>
      <c r="AH1651">
        <v>6</v>
      </c>
      <c r="AI1651" s="8">
        <f>IFERROR(R1651-AF1651,"")</f>
        <v>22.359849537038826</v>
      </c>
      <c r="AJ1651" s="8">
        <f>IFERROR(O1651-AF1651,"")</f>
        <v>17.359849537038826</v>
      </c>
      <c r="AK1651" s="38">
        <f t="shared" si="645"/>
        <v>44992.359849537039</v>
      </c>
      <c r="AL1651">
        <f>IFERROR(Z1651-W1651,"")</f>
        <v>6</v>
      </c>
      <c r="AM1651">
        <f>IFERROR(R1651-J1651,"")</f>
        <v>22</v>
      </c>
      <c r="AN1651">
        <f>IFERROR(V1651-O1651,"")</f>
        <v>1</v>
      </c>
      <c r="AO1651">
        <f>IFERROR(J1651-I1651,"")</f>
        <v>3</v>
      </c>
      <c r="AP1651">
        <f>IFERROR(AC1651-X1651,"")</f>
        <v>44838.359849537039</v>
      </c>
      <c r="AQ1651">
        <f>IFERROR(AA1651-W1651,"")</f>
        <v>7</v>
      </c>
    </row>
    <row r="1652" spans="1:43" x14ac:dyDescent="0.35">
      <c r="A1652">
        <v>1393</v>
      </c>
      <c r="B1652" t="s">
        <v>5146</v>
      </c>
      <c r="C1652" t="s">
        <v>4471</v>
      </c>
      <c r="D1652" t="str">
        <f t="shared" si="643"/>
        <v>Finance</v>
      </c>
      <c r="E1652" t="s">
        <v>4968</v>
      </c>
      <c r="F1652" t="s">
        <v>695</v>
      </c>
      <c r="G1652" t="s">
        <v>4969</v>
      </c>
      <c r="H1652" t="s">
        <v>697</v>
      </c>
      <c r="I1652" s="32">
        <v>44790.359849537039</v>
      </c>
      <c r="J1652" s="32">
        <v>44791.359849537039</v>
      </c>
      <c r="K1652" s="32" t="s">
        <v>7473</v>
      </c>
      <c r="L1652" s="8" t="str">
        <f t="shared" si="644"/>
        <v/>
      </c>
      <c r="M1652" s="7">
        <v>44812.359849537039</v>
      </c>
      <c r="N1652" t="s">
        <v>49</v>
      </c>
      <c r="O1652" s="34">
        <v>44802.359849537039</v>
      </c>
      <c r="P1652" t="s">
        <v>101</v>
      </c>
      <c r="R1652" s="32">
        <v>44810.359849537039</v>
      </c>
      <c r="S1652" t="s">
        <v>101</v>
      </c>
      <c r="T1652" s="34">
        <v>44803.359849537039</v>
      </c>
      <c r="U1652" s="34">
        <v>44807.359849537039</v>
      </c>
      <c r="V1652" s="32">
        <v>44806.359849537039</v>
      </c>
      <c r="W1652" s="32">
        <v>44808.359849537039</v>
      </c>
      <c r="X1652">
        <v>1</v>
      </c>
      <c r="Y1652" s="34">
        <v>44812.359849537039</v>
      </c>
      <c r="Z1652" s="34">
        <v>44814.359849537039</v>
      </c>
      <c r="AA1652" s="34">
        <v>44816.359849537039</v>
      </c>
      <c r="AB1652" s="36" t="s">
        <v>7476</v>
      </c>
      <c r="AC1652" s="10">
        <v>44830.359849537039</v>
      </c>
      <c r="AD1652" t="s">
        <v>5147</v>
      </c>
      <c r="AE1652" t="s">
        <v>5148</v>
      </c>
      <c r="AF1652" s="16">
        <v>44790</v>
      </c>
      <c r="AG1652" t="s">
        <v>55</v>
      </c>
      <c r="AH1652">
        <v>3</v>
      </c>
      <c r="AK1652" s="38">
        <f t="shared" si="645"/>
        <v>44896.359849537039</v>
      </c>
    </row>
    <row r="1653" spans="1:43" x14ac:dyDescent="0.35">
      <c r="A1653">
        <v>1339</v>
      </c>
      <c r="B1653" t="s">
        <v>5149</v>
      </c>
      <c r="C1653" t="s">
        <v>4471</v>
      </c>
      <c r="D1653" t="str">
        <f t="shared" si="643"/>
        <v>Finance</v>
      </c>
      <c r="E1653" t="s">
        <v>4968</v>
      </c>
      <c r="F1653" t="s">
        <v>695</v>
      </c>
      <c r="G1653" t="s">
        <v>4969</v>
      </c>
      <c r="H1653" t="s">
        <v>697</v>
      </c>
      <c r="I1653" s="32" t="s">
        <v>7471</v>
      </c>
      <c r="J1653" s="32">
        <v>45170.691018518519</v>
      </c>
      <c r="K1653" s="32">
        <v>45174.691018518519</v>
      </c>
      <c r="L1653" s="8" t="str">
        <f t="shared" si="644"/>
        <v/>
      </c>
      <c r="M1653" s="7">
        <v>45201.691018518519</v>
      </c>
      <c r="N1653" t="s">
        <v>72</v>
      </c>
      <c r="O1653" s="34" t="s">
        <v>7474</v>
      </c>
      <c r="R1653" s="32" t="s">
        <v>7472</v>
      </c>
      <c r="S1653" t="s">
        <v>7476</v>
      </c>
      <c r="T1653" s="34" t="s">
        <v>7476</v>
      </c>
      <c r="U1653" s="34" t="s">
        <v>7476</v>
      </c>
      <c r="V1653" s="32" t="s">
        <v>7476</v>
      </c>
      <c r="W1653" s="32" t="s">
        <v>7476</v>
      </c>
      <c r="X1653">
        <v>0</v>
      </c>
      <c r="Y1653" s="34" t="s">
        <v>7476</v>
      </c>
      <c r="Z1653" s="34" t="s">
        <v>7476</v>
      </c>
      <c r="AA1653" s="34" t="s">
        <v>7476</v>
      </c>
      <c r="AB1653" s="36" t="s">
        <v>7476</v>
      </c>
      <c r="AD1653" t="s">
        <v>5150</v>
      </c>
      <c r="AE1653" t="s">
        <v>5151</v>
      </c>
      <c r="AG1653" t="s">
        <v>64</v>
      </c>
      <c r="AH1653">
        <v>6</v>
      </c>
      <c r="AK1653" s="38" t="str">
        <f t="shared" si="645"/>
        <v/>
      </c>
    </row>
    <row r="1654" spans="1:43" x14ac:dyDescent="0.35">
      <c r="A1654">
        <v>1338</v>
      </c>
      <c r="B1654" t="s">
        <v>5152</v>
      </c>
      <c r="C1654" t="s">
        <v>4480</v>
      </c>
      <c r="D1654" t="str">
        <f t="shared" si="643"/>
        <v>Finance</v>
      </c>
      <c r="E1654" t="s">
        <v>4968</v>
      </c>
      <c r="F1654" t="s">
        <v>695</v>
      </c>
      <c r="G1654" t="s">
        <v>4969</v>
      </c>
      <c r="H1654" t="s">
        <v>697</v>
      </c>
      <c r="I1654" s="32">
        <v>45168.691018518519</v>
      </c>
      <c r="J1654" s="32">
        <v>45170.691018518519</v>
      </c>
      <c r="K1654" s="32">
        <v>45174.691018518519</v>
      </c>
      <c r="L1654" s="8">
        <f t="shared" si="644"/>
        <v>6</v>
      </c>
      <c r="M1654" s="7">
        <v>45181.691018518519</v>
      </c>
      <c r="N1654" t="s">
        <v>49</v>
      </c>
      <c r="O1654" s="34">
        <v>45187.691018518519</v>
      </c>
      <c r="P1654" t="s">
        <v>60</v>
      </c>
      <c r="R1654" s="32">
        <v>45194.691018518519</v>
      </c>
      <c r="S1654" t="s">
        <v>61</v>
      </c>
      <c r="T1654" s="34" t="s">
        <v>7476</v>
      </c>
      <c r="U1654" s="34" t="s">
        <v>7476</v>
      </c>
      <c r="V1654" s="32">
        <v>45191.691018518519</v>
      </c>
      <c r="W1654" s="32" t="s">
        <v>7476</v>
      </c>
      <c r="X1654">
        <v>0</v>
      </c>
      <c r="Y1654" s="34" t="s">
        <v>7476</v>
      </c>
      <c r="Z1654" s="34" t="s">
        <v>7476</v>
      </c>
      <c r="AA1654" s="34" t="s">
        <v>7476</v>
      </c>
      <c r="AB1654" s="36" t="s">
        <v>7476</v>
      </c>
      <c r="AD1654" t="s">
        <v>5153</v>
      </c>
      <c r="AE1654" t="s">
        <v>5154</v>
      </c>
      <c r="AF1654" s="16">
        <v>45178</v>
      </c>
      <c r="AG1654" t="s">
        <v>64</v>
      </c>
      <c r="AH1654">
        <v>6</v>
      </c>
      <c r="AI1654" s="8">
        <f>IFERROR(R1654-AF1654,"")</f>
        <v>16.691018518518831</v>
      </c>
      <c r="AJ1654" s="8">
        <f>IFERROR(O1654-AF1654,"")</f>
        <v>9.6910185185188311</v>
      </c>
      <c r="AK1654" s="38">
        <f t="shared" si="645"/>
        <v>45371.691018518519</v>
      </c>
      <c r="AL1654" t="str">
        <f>IFERROR(Z1654-W1654,"")</f>
        <v/>
      </c>
      <c r="AM1654">
        <f>IFERROR(R1654-J1654,"")</f>
        <v>24</v>
      </c>
      <c r="AN1654">
        <f>IFERROR(V1654-O1654,"")</f>
        <v>4</v>
      </c>
      <c r="AO1654">
        <f>IFERROR(J1654-I1654,"")</f>
        <v>2</v>
      </c>
      <c r="AP1654">
        <f>IFERROR(AC1654-X1654,"")</f>
        <v>0</v>
      </c>
      <c r="AQ1654" t="str">
        <f>IFERROR(AA1654-W1654,"")</f>
        <v/>
      </c>
    </row>
    <row r="1655" spans="1:43" x14ac:dyDescent="0.35">
      <c r="A1655">
        <v>1336</v>
      </c>
      <c r="B1655" t="s">
        <v>5155</v>
      </c>
      <c r="C1655" t="s">
        <v>4471</v>
      </c>
      <c r="D1655" t="str">
        <f t="shared" si="643"/>
        <v>Finance</v>
      </c>
      <c r="E1655" t="s">
        <v>4968</v>
      </c>
      <c r="F1655" t="s">
        <v>695</v>
      </c>
      <c r="G1655" t="s">
        <v>4969</v>
      </c>
      <c r="H1655" t="s">
        <v>697</v>
      </c>
      <c r="I1655" s="32">
        <v>45169.691018518519</v>
      </c>
      <c r="J1655" s="32">
        <v>45173.691018518519</v>
      </c>
      <c r="K1655" s="32">
        <v>45174.691018518519</v>
      </c>
      <c r="L1655" s="8">
        <f t="shared" si="644"/>
        <v>5</v>
      </c>
      <c r="M1655" s="7">
        <v>45199.691018518519</v>
      </c>
      <c r="N1655" t="s">
        <v>49</v>
      </c>
      <c r="O1655" s="34">
        <v>45183.691018518519</v>
      </c>
      <c r="P1655" t="s">
        <v>50</v>
      </c>
      <c r="Q1655" t="s">
        <v>84</v>
      </c>
      <c r="R1655" s="32" t="s">
        <v>7472</v>
      </c>
      <c r="S1655" t="s">
        <v>7476</v>
      </c>
      <c r="T1655" s="34" t="s">
        <v>7476</v>
      </c>
      <c r="U1655" s="34" t="s">
        <v>7476</v>
      </c>
      <c r="V1655" s="32">
        <v>45184.691018518519</v>
      </c>
      <c r="W1655" s="32" t="s">
        <v>7476</v>
      </c>
      <c r="X1655">
        <v>0</v>
      </c>
      <c r="Y1655" s="34" t="s">
        <v>7476</v>
      </c>
      <c r="Z1655" s="34" t="s">
        <v>7476</v>
      </c>
      <c r="AA1655" s="34" t="s">
        <v>7476</v>
      </c>
      <c r="AB1655" s="36" t="s">
        <v>95</v>
      </c>
      <c r="AD1655" t="s">
        <v>5156</v>
      </c>
      <c r="AE1655" t="s">
        <v>5157</v>
      </c>
      <c r="AF1655" s="16">
        <v>45025</v>
      </c>
      <c r="AG1655" t="s">
        <v>68</v>
      </c>
      <c r="AH1655">
        <v>6</v>
      </c>
      <c r="AI1655" s="8" t="str">
        <f>IFERROR(R1655-AF1655,"")</f>
        <v/>
      </c>
      <c r="AJ1655" s="8">
        <f>IFERROR(O1655-AF1655,"")</f>
        <v>158.69101851851883</v>
      </c>
      <c r="AK1655" s="38">
        <f t="shared" si="645"/>
        <v>45364.691018518519</v>
      </c>
      <c r="AL1655" t="str">
        <f>IFERROR(Z1655-W1655,"")</f>
        <v/>
      </c>
      <c r="AM1655" t="str">
        <f>IFERROR(R1655-J1655,"")</f>
        <v/>
      </c>
      <c r="AN1655">
        <f>IFERROR(V1655-O1655,"")</f>
        <v>1</v>
      </c>
      <c r="AO1655">
        <f>IFERROR(J1655-I1655,"")</f>
        <v>4</v>
      </c>
      <c r="AP1655">
        <f>IFERROR(AC1655-X1655,"")</f>
        <v>0</v>
      </c>
      <c r="AQ1655" t="str">
        <f>IFERROR(AA1655-W1655,"")</f>
        <v/>
      </c>
    </row>
    <row r="1656" spans="1:43" x14ac:dyDescent="0.35">
      <c r="A1656">
        <v>1289</v>
      </c>
      <c r="B1656" t="s">
        <v>5158</v>
      </c>
      <c r="C1656" t="s">
        <v>4502</v>
      </c>
      <c r="D1656" t="str">
        <f t="shared" si="643"/>
        <v>Finance</v>
      </c>
      <c r="E1656" t="s">
        <v>4968</v>
      </c>
      <c r="F1656" t="s">
        <v>695</v>
      </c>
      <c r="G1656" t="s">
        <v>4969</v>
      </c>
      <c r="H1656" t="s">
        <v>697</v>
      </c>
      <c r="I1656" s="32">
        <v>44643.736006944448</v>
      </c>
      <c r="J1656" s="32">
        <v>44646.736006944448</v>
      </c>
      <c r="K1656" s="32" t="s">
        <v>7473</v>
      </c>
      <c r="L1656" s="8" t="str">
        <f t="shared" si="644"/>
        <v/>
      </c>
      <c r="M1656" s="7">
        <v>44668.736006944448</v>
      </c>
      <c r="N1656" t="s">
        <v>49</v>
      </c>
      <c r="O1656" s="34">
        <v>44660.736006944448</v>
      </c>
      <c r="P1656" t="s">
        <v>50</v>
      </c>
      <c r="Q1656" t="s">
        <v>51</v>
      </c>
      <c r="R1656" s="32" t="s">
        <v>7472</v>
      </c>
      <c r="S1656" t="s">
        <v>7476</v>
      </c>
      <c r="T1656" s="34" t="s">
        <v>7476</v>
      </c>
      <c r="U1656" s="34" t="s">
        <v>7476</v>
      </c>
      <c r="V1656" s="32" t="s">
        <v>7476</v>
      </c>
      <c r="W1656" s="32" t="s">
        <v>7476</v>
      </c>
      <c r="X1656">
        <v>0</v>
      </c>
      <c r="Y1656" s="34" t="s">
        <v>7476</v>
      </c>
      <c r="Z1656" s="34" t="s">
        <v>7476</v>
      </c>
      <c r="AA1656" s="34" t="s">
        <v>7476</v>
      </c>
      <c r="AB1656" s="36" t="s">
        <v>95</v>
      </c>
      <c r="AD1656" t="s">
        <v>5159</v>
      </c>
      <c r="AE1656" t="s">
        <v>5160</v>
      </c>
      <c r="AF1656" s="16">
        <v>44651</v>
      </c>
      <c r="AG1656" t="s">
        <v>98</v>
      </c>
      <c r="AH1656">
        <v>6</v>
      </c>
      <c r="AK1656" s="38" t="str">
        <f t="shared" si="645"/>
        <v/>
      </c>
    </row>
    <row r="1657" spans="1:43" x14ac:dyDescent="0.35">
      <c r="A1657">
        <v>1284</v>
      </c>
      <c r="B1657" t="s">
        <v>5161</v>
      </c>
      <c r="C1657" t="s">
        <v>4480</v>
      </c>
      <c r="D1657" t="str">
        <f t="shared" si="643"/>
        <v>Finance</v>
      </c>
      <c r="E1657" t="s">
        <v>4968</v>
      </c>
      <c r="F1657" t="s">
        <v>695</v>
      </c>
      <c r="G1657" t="s">
        <v>4969</v>
      </c>
      <c r="H1657" t="s">
        <v>697</v>
      </c>
      <c r="I1657" s="32" t="s">
        <v>7471</v>
      </c>
      <c r="J1657" s="32" t="s">
        <v>7471</v>
      </c>
      <c r="K1657" s="32">
        <v>44650.736006944448</v>
      </c>
      <c r="L1657" s="8" t="str">
        <f t="shared" si="644"/>
        <v/>
      </c>
      <c r="M1657" s="7">
        <v>44663.736006944448</v>
      </c>
      <c r="N1657" t="s">
        <v>49</v>
      </c>
      <c r="O1657" s="34">
        <v>44659.736006944448</v>
      </c>
      <c r="P1657" t="s">
        <v>101</v>
      </c>
      <c r="R1657" s="32">
        <v>44663.736006944448</v>
      </c>
      <c r="S1657" t="s">
        <v>101</v>
      </c>
      <c r="T1657" s="34">
        <v>44661.736006944448</v>
      </c>
      <c r="U1657" s="34">
        <v>44665.736006944448</v>
      </c>
      <c r="V1657" s="32">
        <v>44661.736006944448</v>
      </c>
      <c r="W1657" s="32">
        <v>44668.736006944448</v>
      </c>
      <c r="X1657">
        <v>1</v>
      </c>
      <c r="Y1657" s="34">
        <v>44672.736006944448</v>
      </c>
      <c r="Z1657" s="34">
        <v>44673.736006944448</v>
      </c>
      <c r="AA1657" s="34">
        <v>44674.736006944448</v>
      </c>
      <c r="AB1657" s="36" t="s">
        <v>7476</v>
      </c>
      <c r="AC1657" s="10">
        <v>44691.736006944448</v>
      </c>
      <c r="AD1657" t="s">
        <v>5162</v>
      </c>
      <c r="AE1657" t="s">
        <v>5163</v>
      </c>
      <c r="AF1657" s="16">
        <v>44652</v>
      </c>
      <c r="AG1657" t="s">
        <v>64</v>
      </c>
      <c r="AH1657">
        <v>3</v>
      </c>
      <c r="AK1657" s="38">
        <f t="shared" si="645"/>
        <v>44751.736006944448</v>
      </c>
    </row>
    <row r="1658" spans="1:43" x14ac:dyDescent="0.35">
      <c r="A1658">
        <v>1281</v>
      </c>
      <c r="B1658" t="s">
        <v>5164</v>
      </c>
      <c r="C1658" t="s">
        <v>4480</v>
      </c>
      <c r="D1658" t="str">
        <f t="shared" si="643"/>
        <v>Finance</v>
      </c>
      <c r="E1658" t="s">
        <v>4968</v>
      </c>
      <c r="F1658" t="s">
        <v>695</v>
      </c>
      <c r="G1658" t="s">
        <v>4969</v>
      </c>
      <c r="H1658" t="s">
        <v>697</v>
      </c>
      <c r="I1658" s="32">
        <v>44646.736006944448</v>
      </c>
      <c r="J1658" s="32">
        <v>44647.736006944448</v>
      </c>
      <c r="K1658" s="32">
        <v>44650.736006944448</v>
      </c>
      <c r="L1658" s="8">
        <f t="shared" si="644"/>
        <v>4</v>
      </c>
      <c r="M1658" s="7">
        <v>44678.736006944448</v>
      </c>
      <c r="N1658" t="s">
        <v>49</v>
      </c>
      <c r="O1658" s="34">
        <v>44653.736006944448</v>
      </c>
      <c r="P1658" t="s">
        <v>101</v>
      </c>
      <c r="R1658" s="32">
        <v>44658.736006944448</v>
      </c>
      <c r="S1658" t="s">
        <v>101</v>
      </c>
      <c r="T1658" s="34">
        <v>44654.736006944448</v>
      </c>
      <c r="U1658" s="34">
        <v>44657.736006944448</v>
      </c>
      <c r="V1658" s="32">
        <v>44656.736006944448</v>
      </c>
      <c r="W1658" s="32">
        <v>44663.736006944448</v>
      </c>
      <c r="X1658">
        <v>1</v>
      </c>
      <c r="Y1658" s="34">
        <v>44664.736006944448</v>
      </c>
      <c r="Z1658" s="34">
        <v>44666.736006944448</v>
      </c>
      <c r="AA1658" s="34">
        <v>44668.736006944448</v>
      </c>
      <c r="AB1658" s="36" t="s">
        <v>7476</v>
      </c>
      <c r="AC1658" s="10">
        <v>44678.736006944448</v>
      </c>
      <c r="AD1658" t="s">
        <v>5165</v>
      </c>
      <c r="AE1658" t="s">
        <v>5166</v>
      </c>
      <c r="AF1658" s="16">
        <v>44648</v>
      </c>
      <c r="AG1658" t="s">
        <v>68</v>
      </c>
      <c r="AH1658">
        <v>3</v>
      </c>
      <c r="AI1658" s="8">
        <f>IFERROR(R1658-AF1658,"")</f>
        <v>10.736006944447581</v>
      </c>
      <c r="AJ1658" s="8">
        <f>IFERROR(O1658-AF1658,"")</f>
        <v>5.7360069444475812</v>
      </c>
      <c r="AK1658" s="38">
        <f t="shared" si="645"/>
        <v>44746.736006944448</v>
      </c>
      <c r="AL1658">
        <f>IFERROR(Z1658-W1658,"")</f>
        <v>3</v>
      </c>
      <c r="AM1658">
        <f>IFERROR(R1658-J1658,"")</f>
        <v>11</v>
      </c>
      <c r="AN1658">
        <f>IFERROR(V1658-O1658,"")</f>
        <v>3</v>
      </c>
      <c r="AO1658">
        <f>IFERROR(J1658-I1658,"")</f>
        <v>1</v>
      </c>
      <c r="AP1658">
        <f>IFERROR(AC1658-X1658,"")</f>
        <v>44677.736006944448</v>
      </c>
      <c r="AQ1658">
        <f>IFERROR(AA1658-W1658,"")</f>
        <v>5</v>
      </c>
    </row>
    <row r="1659" spans="1:43" x14ac:dyDescent="0.35">
      <c r="A1659">
        <v>1267</v>
      </c>
      <c r="B1659" t="s">
        <v>5167</v>
      </c>
      <c r="C1659" t="s">
        <v>4480</v>
      </c>
      <c r="D1659" t="str">
        <f t="shared" si="643"/>
        <v>Finance</v>
      </c>
      <c r="E1659" t="s">
        <v>4968</v>
      </c>
      <c r="F1659" t="s">
        <v>695</v>
      </c>
      <c r="G1659" t="s">
        <v>4969</v>
      </c>
      <c r="H1659" t="s">
        <v>697</v>
      </c>
      <c r="I1659" s="32">
        <v>44997.913287037038</v>
      </c>
      <c r="J1659" s="32">
        <v>45001.913287037038</v>
      </c>
      <c r="K1659" s="32">
        <v>45005.913287037038</v>
      </c>
      <c r="L1659" s="8">
        <f t="shared" si="644"/>
        <v>8</v>
      </c>
      <c r="M1659" s="7">
        <v>45020.913287037038</v>
      </c>
      <c r="N1659" t="s">
        <v>49</v>
      </c>
      <c r="O1659" s="34">
        <v>45018.913287037038</v>
      </c>
      <c r="P1659" t="s">
        <v>101</v>
      </c>
      <c r="R1659" s="32">
        <v>45024.913287037038</v>
      </c>
      <c r="S1659" t="s">
        <v>101</v>
      </c>
      <c r="T1659" s="34">
        <v>45019.913287037038</v>
      </c>
      <c r="U1659" s="34">
        <v>45023.913287037038</v>
      </c>
      <c r="V1659" s="32">
        <v>45021.913287037038</v>
      </c>
      <c r="W1659" s="32">
        <v>45030.913287037038</v>
      </c>
      <c r="X1659">
        <v>1</v>
      </c>
      <c r="Y1659" s="34">
        <v>45032.913287037038</v>
      </c>
      <c r="Z1659" s="34">
        <v>45035.913287037038</v>
      </c>
      <c r="AA1659" s="34">
        <v>45037.913287037038</v>
      </c>
      <c r="AB1659" s="36" t="s">
        <v>7476</v>
      </c>
      <c r="AC1659" s="10">
        <v>45048.913287037038</v>
      </c>
      <c r="AD1659" t="s">
        <v>5168</v>
      </c>
      <c r="AE1659" t="s">
        <v>5169</v>
      </c>
      <c r="AF1659" s="16">
        <v>45001</v>
      </c>
      <c r="AG1659" t="s">
        <v>64</v>
      </c>
      <c r="AH1659">
        <v>6</v>
      </c>
      <c r="AI1659" s="8">
        <f>IFERROR(R1659-AF1659,"")</f>
        <v>23.913287037037662</v>
      </c>
      <c r="AJ1659" s="8">
        <f>IFERROR(O1659-AF1659,"")</f>
        <v>17.913287037037662</v>
      </c>
      <c r="AK1659" s="38">
        <f t="shared" si="645"/>
        <v>45201.913287037038</v>
      </c>
      <c r="AL1659">
        <f>IFERROR(Z1659-W1659,"")</f>
        <v>5</v>
      </c>
      <c r="AM1659">
        <f>IFERROR(R1659-J1659,"")</f>
        <v>23</v>
      </c>
      <c r="AN1659">
        <f>IFERROR(V1659-O1659,"")</f>
        <v>3</v>
      </c>
      <c r="AO1659">
        <f>IFERROR(J1659-I1659,"")</f>
        <v>4</v>
      </c>
      <c r="AP1659">
        <f>IFERROR(AC1659-X1659,"")</f>
        <v>45047.913287037038</v>
      </c>
      <c r="AQ1659">
        <f>IFERROR(AA1659-W1659,"")</f>
        <v>7</v>
      </c>
    </row>
    <row r="1660" spans="1:43" x14ac:dyDescent="0.35">
      <c r="A1660">
        <v>1261</v>
      </c>
      <c r="B1660" t="s">
        <v>5170</v>
      </c>
      <c r="C1660" t="s">
        <v>4502</v>
      </c>
      <c r="D1660" t="str">
        <f t="shared" si="643"/>
        <v>Finance</v>
      </c>
      <c r="E1660" t="s">
        <v>4968</v>
      </c>
      <c r="F1660" t="s">
        <v>695</v>
      </c>
      <c r="G1660" t="s">
        <v>4969</v>
      </c>
      <c r="H1660" t="s">
        <v>697</v>
      </c>
      <c r="I1660" s="32">
        <v>44999.913287037038</v>
      </c>
      <c r="J1660" s="32">
        <v>45001.913287037038</v>
      </c>
      <c r="K1660" s="32" t="s">
        <v>7473</v>
      </c>
      <c r="L1660" s="8" t="str">
        <f t="shared" si="644"/>
        <v/>
      </c>
      <c r="M1660" s="7">
        <v>45027.913287037038</v>
      </c>
      <c r="N1660" t="s">
        <v>49</v>
      </c>
      <c r="O1660" s="34">
        <v>45022.913287037038</v>
      </c>
      <c r="P1660" t="s">
        <v>60</v>
      </c>
      <c r="R1660" s="32">
        <v>45025.913287037038</v>
      </c>
      <c r="S1660" t="s">
        <v>61</v>
      </c>
      <c r="T1660" s="34" t="s">
        <v>7476</v>
      </c>
      <c r="U1660" s="34" t="s">
        <v>7476</v>
      </c>
      <c r="V1660" s="32">
        <v>45024.913287037038</v>
      </c>
      <c r="W1660" s="32" t="s">
        <v>7476</v>
      </c>
      <c r="X1660">
        <v>0</v>
      </c>
      <c r="Y1660" s="34" t="s">
        <v>7476</v>
      </c>
      <c r="Z1660" s="34" t="s">
        <v>7476</v>
      </c>
      <c r="AA1660" s="34" t="s">
        <v>7476</v>
      </c>
      <c r="AB1660" s="36" t="s">
        <v>7476</v>
      </c>
      <c r="AD1660" t="s">
        <v>5171</v>
      </c>
      <c r="AE1660" t="s">
        <v>5172</v>
      </c>
      <c r="AF1660" s="16">
        <v>45015</v>
      </c>
      <c r="AG1660" t="s">
        <v>98</v>
      </c>
      <c r="AH1660">
        <v>6</v>
      </c>
      <c r="AK1660" s="38">
        <f t="shared" si="645"/>
        <v>45204.913287037038</v>
      </c>
    </row>
    <row r="1661" spans="1:43" x14ac:dyDescent="0.35">
      <c r="A1661">
        <v>1146</v>
      </c>
      <c r="B1661" t="s">
        <v>5173</v>
      </c>
      <c r="C1661" t="s">
        <v>4471</v>
      </c>
      <c r="D1661" t="str">
        <f t="shared" si="643"/>
        <v>Finance</v>
      </c>
      <c r="E1661" t="s">
        <v>4968</v>
      </c>
      <c r="F1661" t="s">
        <v>695</v>
      </c>
      <c r="G1661" t="s">
        <v>4969</v>
      </c>
      <c r="H1661" t="s">
        <v>697</v>
      </c>
      <c r="I1661" s="32">
        <v>45141.067280092589</v>
      </c>
      <c r="J1661" s="32">
        <v>45145.067280092589</v>
      </c>
      <c r="K1661" s="32">
        <v>45148.067280092589</v>
      </c>
      <c r="L1661" s="8">
        <f t="shared" si="644"/>
        <v>7</v>
      </c>
      <c r="M1661" s="7">
        <v>45176.067280092589</v>
      </c>
      <c r="N1661" t="s">
        <v>72</v>
      </c>
      <c r="O1661" s="34" t="s">
        <v>7474</v>
      </c>
      <c r="R1661" s="32" t="s">
        <v>7472</v>
      </c>
      <c r="S1661" t="s">
        <v>7476</v>
      </c>
      <c r="T1661" s="34" t="s">
        <v>7476</v>
      </c>
      <c r="U1661" s="34" t="s">
        <v>7476</v>
      </c>
      <c r="V1661" s="32" t="s">
        <v>7476</v>
      </c>
      <c r="W1661" s="32" t="s">
        <v>7476</v>
      </c>
      <c r="X1661">
        <v>0</v>
      </c>
      <c r="Y1661" s="34" t="s">
        <v>7476</v>
      </c>
      <c r="Z1661" s="34" t="s">
        <v>7476</v>
      </c>
      <c r="AA1661" s="34" t="s">
        <v>7476</v>
      </c>
      <c r="AB1661" s="36" t="s">
        <v>7476</v>
      </c>
      <c r="AD1661" t="s">
        <v>5174</v>
      </c>
      <c r="AE1661" t="s">
        <v>5175</v>
      </c>
      <c r="AG1661" t="s">
        <v>64</v>
      </c>
      <c r="AH1661">
        <v>6</v>
      </c>
      <c r="AI1661" s="8" t="str">
        <f>IFERROR(R1661-AF1661,"")</f>
        <v/>
      </c>
      <c r="AJ1661" s="8" t="str">
        <f>IFERROR(O1661-AF1661,"")</f>
        <v/>
      </c>
      <c r="AK1661" s="38" t="str">
        <f t="shared" si="645"/>
        <v/>
      </c>
      <c r="AL1661" t="str">
        <f>IFERROR(Z1661-W1661,"")</f>
        <v/>
      </c>
      <c r="AM1661" t="str">
        <f>IFERROR(R1661-J1661,"")</f>
        <v/>
      </c>
      <c r="AN1661" t="str">
        <f>IFERROR(V1661-O1661,"")</f>
        <v/>
      </c>
      <c r="AO1661">
        <f>IFERROR(J1661-I1661,"")</f>
        <v>4</v>
      </c>
      <c r="AP1661">
        <f>IFERROR(AC1661-X1661,"")</f>
        <v>0</v>
      </c>
      <c r="AQ1661" t="str">
        <f>IFERROR(AA1661-W1661,"")</f>
        <v/>
      </c>
    </row>
    <row r="1662" spans="1:43" x14ac:dyDescent="0.35">
      <c r="A1662">
        <v>1118</v>
      </c>
      <c r="B1662" t="s">
        <v>5176</v>
      </c>
      <c r="C1662" t="s">
        <v>4480</v>
      </c>
      <c r="D1662" t="str">
        <f t="shared" si="643"/>
        <v>Finance</v>
      </c>
      <c r="E1662" t="s">
        <v>4968</v>
      </c>
      <c r="F1662" t="s">
        <v>695</v>
      </c>
      <c r="G1662" t="s">
        <v>4969</v>
      </c>
      <c r="H1662" t="s">
        <v>697</v>
      </c>
      <c r="I1662" s="32">
        <v>45020.266469907408</v>
      </c>
      <c r="J1662" s="32">
        <v>45023.266469907408</v>
      </c>
      <c r="K1662" s="32">
        <v>45027.266469907408</v>
      </c>
      <c r="L1662" s="8">
        <f t="shared" si="644"/>
        <v>7</v>
      </c>
      <c r="M1662" s="7">
        <v>45044.266469907408</v>
      </c>
      <c r="N1662" t="s">
        <v>49</v>
      </c>
      <c r="O1662" s="34">
        <v>45032.266469907408</v>
      </c>
      <c r="P1662" t="s">
        <v>60</v>
      </c>
      <c r="R1662" s="32">
        <v>45037.266469907408</v>
      </c>
      <c r="S1662" t="s">
        <v>61</v>
      </c>
      <c r="T1662" s="34" t="s">
        <v>7476</v>
      </c>
      <c r="U1662" s="34" t="s">
        <v>7476</v>
      </c>
      <c r="V1662" s="32">
        <v>45033.266469907408</v>
      </c>
      <c r="W1662" s="32" t="s">
        <v>7476</v>
      </c>
      <c r="X1662">
        <v>0</v>
      </c>
      <c r="Y1662" s="34" t="s">
        <v>7476</v>
      </c>
      <c r="Z1662" s="34" t="s">
        <v>7476</v>
      </c>
      <c r="AA1662" s="34" t="s">
        <v>7476</v>
      </c>
      <c r="AB1662" s="36" t="s">
        <v>7476</v>
      </c>
      <c r="AD1662" t="s">
        <v>5177</v>
      </c>
      <c r="AE1662" t="s">
        <v>5178</v>
      </c>
      <c r="AF1662" s="16">
        <v>45111</v>
      </c>
      <c r="AG1662" t="s">
        <v>68</v>
      </c>
      <c r="AH1662">
        <v>3</v>
      </c>
      <c r="AI1662" s="8">
        <f>IFERROR(R1662-AF1662,"")</f>
        <v>-73.733530092591536</v>
      </c>
      <c r="AJ1662" s="8">
        <f>IFERROR(O1662-AF1662,"")</f>
        <v>-78.733530092591536</v>
      </c>
      <c r="AK1662" s="38">
        <f t="shared" si="645"/>
        <v>45123.266469907408</v>
      </c>
      <c r="AL1662" t="str">
        <f>IFERROR(Z1662-W1662,"")</f>
        <v/>
      </c>
      <c r="AM1662">
        <f>IFERROR(R1662-J1662,"")</f>
        <v>14</v>
      </c>
      <c r="AN1662">
        <f>IFERROR(V1662-O1662,"")</f>
        <v>1</v>
      </c>
      <c r="AO1662">
        <f>IFERROR(J1662-I1662,"")</f>
        <v>3</v>
      </c>
      <c r="AP1662">
        <f>IFERROR(AC1662-X1662,"")</f>
        <v>0</v>
      </c>
      <c r="AQ1662" t="str">
        <f>IFERROR(AA1662-W1662,"")</f>
        <v/>
      </c>
    </row>
    <row r="1663" spans="1:43" x14ac:dyDescent="0.35">
      <c r="A1663">
        <v>1113</v>
      </c>
      <c r="B1663" t="s">
        <v>5179</v>
      </c>
      <c r="C1663" t="s">
        <v>4480</v>
      </c>
      <c r="D1663" t="str">
        <f t="shared" si="643"/>
        <v>Finance</v>
      </c>
      <c r="E1663" t="s">
        <v>4968</v>
      </c>
      <c r="F1663" t="s">
        <v>695</v>
      </c>
      <c r="G1663" t="s">
        <v>4969</v>
      </c>
      <c r="H1663" t="s">
        <v>697</v>
      </c>
      <c r="I1663" s="32">
        <v>45018.266469907408</v>
      </c>
      <c r="J1663" s="32">
        <v>45022.266469907408</v>
      </c>
      <c r="K1663" s="32">
        <v>45027.266469907408</v>
      </c>
      <c r="L1663" s="8">
        <f t="shared" si="644"/>
        <v>9</v>
      </c>
      <c r="M1663" s="7">
        <v>45033.266469907408</v>
      </c>
      <c r="N1663" t="s">
        <v>49</v>
      </c>
      <c r="O1663" s="34">
        <v>45042.266469907408</v>
      </c>
      <c r="P1663" t="s">
        <v>101</v>
      </c>
      <c r="R1663" s="32">
        <v>45047.266469907408</v>
      </c>
      <c r="S1663" t="s">
        <v>101</v>
      </c>
      <c r="T1663" s="34">
        <v>45044.266469907408</v>
      </c>
      <c r="U1663" s="34">
        <v>45048.266469907408</v>
      </c>
      <c r="V1663" s="32">
        <v>45045.266469907408</v>
      </c>
      <c r="W1663" s="32">
        <v>45055.266469907408</v>
      </c>
      <c r="X1663">
        <v>1</v>
      </c>
      <c r="Y1663" s="34">
        <v>45058.266469907408</v>
      </c>
      <c r="Z1663" s="34">
        <v>45060.266469907408</v>
      </c>
      <c r="AA1663" s="34">
        <v>45062.266469907408</v>
      </c>
      <c r="AB1663" s="36" t="s">
        <v>7476</v>
      </c>
      <c r="AC1663" s="10">
        <v>45075.266469907408</v>
      </c>
      <c r="AD1663" t="s">
        <v>5180</v>
      </c>
      <c r="AE1663" t="s">
        <v>5181</v>
      </c>
      <c r="AF1663" s="16">
        <v>45035</v>
      </c>
      <c r="AG1663" t="s">
        <v>68</v>
      </c>
      <c r="AH1663">
        <v>3</v>
      </c>
      <c r="AI1663" s="8">
        <f>IFERROR(R1663-AF1663,"")</f>
        <v>12.266469907408464</v>
      </c>
      <c r="AJ1663" s="8">
        <f>IFERROR(O1663-AF1663,"")</f>
        <v>7.2664699074084638</v>
      </c>
      <c r="AK1663" s="38">
        <f t="shared" si="645"/>
        <v>45135.266469907408</v>
      </c>
      <c r="AL1663">
        <f>IFERROR(Z1663-W1663,"")</f>
        <v>5</v>
      </c>
      <c r="AM1663">
        <f>IFERROR(R1663-J1663,"")</f>
        <v>25</v>
      </c>
      <c r="AN1663">
        <f>IFERROR(V1663-O1663,"")</f>
        <v>3</v>
      </c>
      <c r="AO1663">
        <f>IFERROR(J1663-I1663,"")</f>
        <v>4</v>
      </c>
      <c r="AP1663">
        <f>IFERROR(AC1663-X1663,"")</f>
        <v>45074.266469907408</v>
      </c>
      <c r="AQ1663">
        <f>IFERROR(AA1663-W1663,"")</f>
        <v>7</v>
      </c>
    </row>
    <row r="1664" spans="1:43" x14ac:dyDescent="0.35">
      <c r="A1664">
        <v>1070</v>
      </c>
      <c r="B1664" t="s">
        <v>5182</v>
      </c>
      <c r="C1664" t="s">
        <v>4480</v>
      </c>
      <c r="D1664" t="str">
        <f t="shared" si="643"/>
        <v>Finance</v>
      </c>
      <c r="E1664" t="s">
        <v>4968</v>
      </c>
      <c r="F1664" t="s">
        <v>695</v>
      </c>
      <c r="G1664" t="s">
        <v>4969</v>
      </c>
      <c r="H1664" t="s">
        <v>697</v>
      </c>
      <c r="I1664" s="32">
        <v>44779.414236111108</v>
      </c>
      <c r="J1664" s="32">
        <v>44781.414236111108</v>
      </c>
      <c r="K1664" s="32" t="s">
        <v>7473</v>
      </c>
      <c r="L1664" s="8" t="str">
        <f t="shared" si="644"/>
        <v/>
      </c>
      <c r="M1664" s="7">
        <v>44804.414236111108</v>
      </c>
      <c r="N1664" t="s">
        <v>49</v>
      </c>
      <c r="O1664" s="34">
        <v>44797.414236111108</v>
      </c>
      <c r="P1664" t="s">
        <v>50</v>
      </c>
      <c r="Q1664" t="s">
        <v>125</v>
      </c>
      <c r="R1664" s="32" t="s">
        <v>7472</v>
      </c>
      <c r="S1664" t="s">
        <v>7476</v>
      </c>
      <c r="T1664" s="34" t="s">
        <v>7476</v>
      </c>
      <c r="U1664" s="34" t="s">
        <v>7476</v>
      </c>
      <c r="V1664" s="32">
        <v>44798.414236111108</v>
      </c>
      <c r="W1664" s="32" t="s">
        <v>7476</v>
      </c>
      <c r="X1664">
        <v>0</v>
      </c>
      <c r="Y1664" s="34" t="s">
        <v>7476</v>
      </c>
      <c r="Z1664" s="34" t="s">
        <v>7476</v>
      </c>
      <c r="AA1664" s="34" t="s">
        <v>7476</v>
      </c>
      <c r="AB1664" s="36" t="s">
        <v>52</v>
      </c>
      <c r="AD1664" t="s">
        <v>5183</v>
      </c>
      <c r="AE1664" t="s">
        <v>5184</v>
      </c>
      <c r="AF1664" s="16">
        <v>44781</v>
      </c>
      <c r="AG1664" t="s">
        <v>93</v>
      </c>
      <c r="AH1664">
        <v>3</v>
      </c>
      <c r="AK1664" s="38">
        <f t="shared" si="645"/>
        <v>44888.414236111108</v>
      </c>
    </row>
    <row r="1665" spans="1:43" x14ac:dyDescent="0.35">
      <c r="A1665">
        <v>1069</v>
      </c>
      <c r="B1665" t="s">
        <v>5185</v>
      </c>
      <c r="C1665" t="s">
        <v>4471</v>
      </c>
      <c r="D1665" t="str">
        <f t="shared" si="643"/>
        <v>Finance</v>
      </c>
      <c r="E1665" t="s">
        <v>4968</v>
      </c>
      <c r="F1665" t="s">
        <v>695</v>
      </c>
      <c r="G1665" t="s">
        <v>4969</v>
      </c>
      <c r="H1665" t="s">
        <v>697</v>
      </c>
      <c r="I1665" s="32">
        <v>44781.414236111108</v>
      </c>
      <c r="J1665" s="32">
        <v>44784.414236111108</v>
      </c>
      <c r="K1665" s="32">
        <v>44786.414236111108</v>
      </c>
      <c r="L1665" s="8">
        <f t="shared" si="644"/>
        <v>5</v>
      </c>
      <c r="M1665" s="7">
        <v>44811.414236111108</v>
      </c>
      <c r="N1665" t="s">
        <v>49</v>
      </c>
      <c r="O1665" s="34">
        <v>44798.414236111108</v>
      </c>
      <c r="P1665" t="s">
        <v>60</v>
      </c>
      <c r="R1665" s="32">
        <v>44803.414236111108</v>
      </c>
      <c r="S1665" t="s">
        <v>61</v>
      </c>
      <c r="T1665" s="34" t="s">
        <v>7476</v>
      </c>
      <c r="U1665" s="34" t="s">
        <v>7476</v>
      </c>
      <c r="V1665" s="32">
        <v>44799.414236111108</v>
      </c>
      <c r="W1665" s="32" t="s">
        <v>7476</v>
      </c>
      <c r="X1665">
        <v>0</v>
      </c>
      <c r="Y1665" s="34" t="s">
        <v>7476</v>
      </c>
      <c r="Z1665" s="34" t="s">
        <v>7476</v>
      </c>
      <c r="AA1665" s="34" t="s">
        <v>7476</v>
      </c>
      <c r="AB1665" s="36" t="s">
        <v>7476</v>
      </c>
      <c r="AD1665" t="s">
        <v>5186</v>
      </c>
      <c r="AE1665" t="s">
        <v>5187</v>
      </c>
      <c r="AF1665" s="16">
        <v>44789</v>
      </c>
      <c r="AG1665" t="s">
        <v>64</v>
      </c>
      <c r="AH1665">
        <v>3</v>
      </c>
      <c r="AI1665" s="8">
        <f>IFERROR(R1665-AF1665,"")</f>
        <v>14.414236111108039</v>
      </c>
      <c r="AJ1665" s="8">
        <f>IFERROR(O1665-AF1665,"")</f>
        <v>9.414236111108039</v>
      </c>
      <c r="AK1665" s="38">
        <f t="shared" si="645"/>
        <v>44889.414236111108</v>
      </c>
      <c r="AL1665" t="str">
        <f>IFERROR(Z1665-W1665,"")</f>
        <v/>
      </c>
      <c r="AM1665">
        <f>IFERROR(R1665-J1665,"")</f>
        <v>19</v>
      </c>
      <c r="AN1665">
        <f>IFERROR(V1665-O1665,"")</f>
        <v>1</v>
      </c>
      <c r="AO1665">
        <f>IFERROR(J1665-I1665,"")</f>
        <v>3</v>
      </c>
      <c r="AP1665">
        <f>IFERROR(AC1665-X1665,"")</f>
        <v>0</v>
      </c>
      <c r="AQ1665" t="str">
        <f>IFERROR(AA1665-W1665,"")</f>
        <v/>
      </c>
    </row>
    <row r="1666" spans="1:43" x14ac:dyDescent="0.35">
      <c r="A1666">
        <v>1035</v>
      </c>
      <c r="B1666" t="s">
        <v>5188</v>
      </c>
      <c r="C1666" t="s">
        <v>4502</v>
      </c>
      <c r="D1666" t="str">
        <f t="shared" ref="D1666:D1729" si="662">TRIM(C1666)</f>
        <v>Finance</v>
      </c>
      <c r="E1666" t="s">
        <v>4968</v>
      </c>
      <c r="F1666" t="s">
        <v>695</v>
      </c>
      <c r="G1666" t="s">
        <v>4969</v>
      </c>
      <c r="H1666" t="s">
        <v>697</v>
      </c>
      <c r="I1666" s="32">
        <v>44988.822372685187</v>
      </c>
      <c r="J1666" s="32">
        <v>44989.822372685187</v>
      </c>
      <c r="K1666" s="32">
        <v>44993.822372685187</v>
      </c>
      <c r="L1666" s="8">
        <f t="shared" ref="L1666:L1729" si="663">IFERROR(K1666-I1666,"")</f>
        <v>5</v>
      </c>
      <c r="M1666" s="7">
        <v>45007.822372685187</v>
      </c>
      <c r="N1666" t="s">
        <v>72</v>
      </c>
      <c r="O1666" s="34" t="s">
        <v>7474</v>
      </c>
      <c r="R1666" s="32" t="s">
        <v>7472</v>
      </c>
      <c r="S1666" t="s">
        <v>7476</v>
      </c>
      <c r="T1666" s="34" t="s">
        <v>7476</v>
      </c>
      <c r="U1666" s="34" t="s">
        <v>7476</v>
      </c>
      <c r="V1666" s="32" t="s">
        <v>7476</v>
      </c>
      <c r="W1666" s="32" t="s">
        <v>7476</v>
      </c>
      <c r="X1666">
        <v>0</v>
      </c>
      <c r="Y1666" s="34" t="s">
        <v>7476</v>
      </c>
      <c r="Z1666" s="34" t="s">
        <v>7476</v>
      </c>
      <c r="AA1666" s="34" t="s">
        <v>7476</v>
      </c>
      <c r="AB1666" s="36" t="s">
        <v>7476</v>
      </c>
      <c r="AD1666" t="s">
        <v>5189</v>
      </c>
      <c r="AE1666" t="s">
        <v>5190</v>
      </c>
      <c r="AG1666" t="s">
        <v>68</v>
      </c>
      <c r="AH1666">
        <v>3</v>
      </c>
      <c r="AI1666" s="8" t="str">
        <f>IFERROR(R1666-AF1666,"")</f>
        <v/>
      </c>
      <c r="AJ1666" s="8" t="str">
        <f>IFERROR(O1666-AF1666,"")</f>
        <v/>
      </c>
      <c r="AK1666" s="38" t="str">
        <f t="shared" si="645"/>
        <v/>
      </c>
      <c r="AL1666" t="str">
        <f>IFERROR(Z1666-W1666,"")</f>
        <v/>
      </c>
      <c r="AM1666" t="str">
        <f>IFERROR(R1666-J1666,"")</f>
        <v/>
      </c>
      <c r="AN1666" t="str">
        <f>IFERROR(V1666-O1666,"")</f>
        <v/>
      </c>
      <c r="AO1666">
        <f>IFERROR(J1666-I1666,"")</f>
        <v>1</v>
      </c>
      <c r="AP1666">
        <f>IFERROR(AC1666-X1666,"")</f>
        <v>0</v>
      </c>
      <c r="AQ1666" t="str">
        <f>IFERROR(AA1666-W1666,"")</f>
        <v/>
      </c>
    </row>
    <row r="1667" spans="1:43" x14ac:dyDescent="0.35">
      <c r="A1667">
        <v>1020</v>
      </c>
      <c r="B1667" t="s">
        <v>5191</v>
      </c>
      <c r="C1667" t="s">
        <v>4471</v>
      </c>
      <c r="D1667" t="str">
        <f t="shared" si="662"/>
        <v>Finance</v>
      </c>
      <c r="E1667" t="s">
        <v>4968</v>
      </c>
      <c r="F1667" t="s">
        <v>695</v>
      </c>
      <c r="G1667" t="s">
        <v>4969</v>
      </c>
      <c r="H1667" t="s">
        <v>697</v>
      </c>
      <c r="I1667" s="32" t="s">
        <v>7471</v>
      </c>
      <c r="J1667" s="32">
        <v>44601.329571759263</v>
      </c>
      <c r="K1667" s="32">
        <v>44602.329571759263</v>
      </c>
      <c r="L1667" s="8" t="str">
        <f t="shared" si="663"/>
        <v/>
      </c>
      <c r="M1667" s="7">
        <v>44615.329571759263</v>
      </c>
      <c r="N1667" t="s">
        <v>49</v>
      </c>
      <c r="O1667" s="34">
        <v>44612.329571759263</v>
      </c>
      <c r="P1667" t="s">
        <v>101</v>
      </c>
      <c r="R1667" s="32">
        <v>44617.329571759263</v>
      </c>
      <c r="S1667" t="s">
        <v>101</v>
      </c>
      <c r="T1667" s="34">
        <v>44613.329571759263</v>
      </c>
      <c r="U1667" s="34">
        <v>44614.329571759263</v>
      </c>
      <c r="V1667" s="32">
        <v>44614.329571759263</v>
      </c>
      <c r="W1667" s="32">
        <v>44624.329571759263</v>
      </c>
      <c r="X1667">
        <v>1</v>
      </c>
      <c r="Y1667" s="34">
        <v>44626.329571759263</v>
      </c>
      <c r="Z1667" s="34">
        <v>44628.329571759263</v>
      </c>
      <c r="AA1667" s="34">
        <v>44629.329571759263</v>
      </c>
      <c r="AB1667" s="36" t="s">
        <v>7476</v>
      </c>
      <c r="AC1667" s="10">
        <v>44651.329571759263</v>
      </c>
      <c r="AD1667" t="s">
        <v>5192</v>
      </c>
      <c r="AE1667" t="s">
        <v>5193</v>
      </c>
      <c r="AF1667" s="16">
        <v>44607</v>
      </c>
      <c r="AG1667" t="s">
        <v>75</v>
      </c>
      <c r="AH1667">
        <v>3</v>
      </c>
      <c r="AK1667" s="38">
        <f t="shared" ref="AK1667:AK1730" si="664">IFERROR(V1667+(AH1667*30),"")</f>
        <v>44704.329571759263</v>
      </c>
    </row>
    <row r="1668" spans="1:43" x14ac:dyDescent="0.35">
      <c r="A1668">
        <v>1011</v>
      </c>
      <c r="B1668" t="s">
        <v>5194</v>
      </c>
      <c r="C1668" t="s">
        <v>4480</v>
      </c>
      <c r="D1668" t="str">
        <f t="shared" si="662"/>
        <v>Finance</v>
      </c>
      <c r="E1668" t="s">
        <v>4968</v>
      </c>
      <c r="F1668" t="s">
        <v>695</v>
      </c>
      <c r="G1668" t="s">
        <v>4969</v>
      </c>
      <c r="H1668" t="s">
        <v>697</v>
      </c>
      <c r="I1668" s="32">
        <v>44597.329571759263</v>
      </c>
      <c r="J1668" s="32">
        <v>44599.329571759263</v>
      </c>
      <c r="K1668" s="32">
        <v>44602.329571759263</v>
      </c>
      <c r="L1668" s="8">
        <f t="shared" si="663"/>
        <v>5</v>
      </c>
      <c r="M1668" s="7">
        <v>44627.329571759263</v>
      </c>
      <c r="N1668" t="s">
        <v>49</v>
      </c>
      <c r="O1668" s="34">
        <v>44615.329571759263</v>
      </c>
      <c r="P1668" t="s">
        <v>50</v>
      </c>
      <c r="Q1668" t="s">
        <v>236</v>
      </c>
      <c r="R1668" s="32" t="s">
        <v>7472</v>
      </c>
      <c r="S1668" t="s">
        <v>7476</v>
      </c>
      <c r="T1668" s="34" t="s">
        <v>7476</v>
      </c>
      <c r="U1668" s="34" t="s">
        <v>7476</v>
      </c>
      <c r="V1668" s="32">
        <v>44617.329571759263</v>
      </c>
      <c r="W1668" s="32" t="s">
        <v>7476</v>
      </c>
      <c r="X1668">
        <v>0</v>
      </c>
      <c r="Y1668" s="34" t="s">
        <v>7476</v>
      </c>
      <c r="Z1668" s="34" t="s">
        <v>7476</v>
      </c>
      <c r="AA1668" s="34" t="s">
        <v>7476</v>
      </c>
      <c r="AB1668" s="36" t="s">
        <v>95</v>
      </c>
      <c r="AD1668" t="s">
        <v>5195</v>
      </c>
      <c r="AE1668" t="s">
        <v>5196</v>
      </c>
      <c r="AF1668" s="16">
        <v>44600</v>
      </c>
      <c r="AG1668" t="s">
        <v>64</v>
      </c>
      <c r="AH1668">
        <v>3</v>
      </c>
      <c r="AI1668" s="8" t="str">
        <f>IFERROR(R1668-AF1668,"")</f>
        <v/>
      </c>
      <c r="AJ1668" s="8">
        <f>IFERROR(O1668-AF1668,"")</f>
        <v>15.329571759262762</v>
      </c>
      <c r="AK1668" s="38">
        <f t="shared" si="664"/>
        <v>44707.329571759263</v>
      </c>
      <c r="AL1668" t="str">
        <f>IFERROR(Z1668-W1668,"")</f>
        <v/>
      </c>
      <c r="AM1668" t="str">
        <f>IFERROR(R1668-J1668,"")</f>
        <v/>
      </c>
      <c r="AN1668">
        <f>IFERROR(V1668-O1668,"")</f>
        <v>2</v>
      </c>
      <c r="AO1668">
        <f>IFERROR(J1668-I1668,"")</f>
        <v>2</v>
      </c>
      <c r="AP1668">
        <f>IFERROR(AC1668-X1668,"")</f>
        <v>0</v>
      </c>
      <c r="AQ1668" t="str">
        <f>IFERROR(AA1668-W1668,"")</f>
        <v/>
      </c>
    </row>
    <row r="1669" spans="1:43" x14ac:dyDescent="0.35">
      <c r="A1669">
        <v>979</v>
      </c>
      <c r="B1669" t="s">
        <v>5197</v>
      </c>
      <c r="C1669" t="s">
        <v>4480</v>
      </c>
      <c r="D1669" t="str">
        <f t="shared" si="662"/>
        <v>Finance</v>
      </c>
      <c r="E1669" t="s">
        <v>4968</v>
      </c>
      <c r="F1669" t="s">
        <v>695</v>
      </c>
      <c r="G1669" t="s">
        <v>4969</v>
      </c>
      <c r="H1669" t="s">
        <v>697</v>
      </c>
      <c r="I1669" s="32">
        <v>44757.699247685188</v>
      </c>
      <c r="J1669" s="32">
        <v>44761.699247685188</v>
      </c>
      <c r="K1669" s="32" t="s">
        <v>7473</v>
      </c>
      <c r="L1669" s="8" t="str">
        <f t="shared" si="663"/>
        <v/>
      </c>
      <c r="M1669" s="7">
        <v>44770.699247685188</v>
      </c>
      <c r="N1669" t="s">
        <v>49</v>
      </c>
      <c r="O1669" s="34">
        <v>44768.699247685188</v>
      </c>
      <c r="P1669" t="s">
        <v>101</v>
      </c>
      <c r="R1669" s="32">
        <v>44774.699247685188</v>
      </c>
      <c r="S1669" t="s">
        <v>101</v>
      </c>
      <c r="T1669" s="34">
        <v>44769.699247685188</v>
      </c>
      <c r="U1669" s="34">
        <v>44773.699247685188</v>
      </c>
      <c r="V1669" s="32">
        <v>44771.699247685188</v>
      </c>
      <c r="W1669" s="32">
        <v>44779.699247685188</v>
      </c>
      <c r="X1669">
        <v>1</v>
      </c>
      <c r="Y1669" s="34">
        <v>44782.699247685188</v>
      </c>
      <c r="Z1669" s="34">
        <v>44784.699247685188</v>
      </c>
      <c r="AA1669" s="34">
        <v>44786.699247685188</v>
      </c>
      <c r="AB1669" s="36" t="s">
        <v>7476</v>
      </c>
      <c r="AC1669" s="10">
        <v>44795.699247685188</v>
      </c>
      <c r="AD1669" t="s">
        <v>5198</v>
      </c>
      <c r="AE1669" t="s">
        <v>5199</v>
      </c>
      <c r="AF1669" s="16">
        <v>44753</v>
      </c>
      <c r="AG1669" t="s">
        <v>98</v>
      </c>
      <c r="AH1669">
        <v>3</v>
      </c>
      <c r="AK1669" s="38">
        <f t="shared" si="664"/>
        <v>44861.699247685188</v>
      </c>
    </row>
    <row r="1670" spans="1:43" x14ac:dyDescent="0.35">
      <c r="A1670">
        <v>975</v>
      </c>
      <c r="B1670" t="s">
        <v>5200</v>
      </c>
      <c r="C1670" t="s">
        <v>4480</v>
      </c>
      <c r="D1670" t="str">
        <f t="shared" si="662"/>
        <v>Finance</v>
      </c>
      <c r="E1670" t="s">
        <v>4968</v>
      </c>
      <c r="F1670" t="s">
        <v>695</v>
      </c>
      <c r="G1670" t="s">
        <v>4969</v>
      </c>
      <c r="H1670" t="s">
        <v>697</v>
      </c>
      <c r="I1670" s="32" t="s">
        <v>7471</v>
      </c>
      <c r="J1670" s="32">
        <v>44759.699247685188</v>
      </c>
      <c r="K1670" s="32">
        <v>44764.699247685188</v>
      </c>
      <c r="L1670" s="8" t="str">
        <f t="shared" si="663"/>
        <v/>
      </c>
      <c r="M1670" s="7">
        <v>44774.699247685188</v>
      </c>
      <c r="N1670" t="s">
        <v>49</v>
      </c>
      <c r="O1670" s="34">
        <v>44766.699247685188</v>
      </c>
      <c r="P1670" t="s">
        <v>392</v>
      </c>
      <c r="R1670" s="32">
        <v>44770.699247685188</v>
      </c>
      <c r="S1670" t="s">
        <v>392</v>
      </c>
      <c r="T1670" s="34" t="s">
        <v>7476</v>
      </c>
      <c r="U1670" s="34" t="s">
        <v>7476</v>
      </c>
      <c r="V1670" s="32">
        <v>44768.699247685188</v>
      </c>
      <c r="W1670" s="32" t="s">
        <v>7476</v>
      </c>
      <c r="X1670">
        <v>0</v>
      </c>
      <c r="Y1670" s="34" t="s">
        <v>7476</v>
      </c>
      <c r="Z1670" s="34" t="s">
        <v>7476</v>
      </c>
      <c r="AA1670" s="34" t="s">
        <v>7476</v>
      </c>
      <c r="AB1670" s="36" t="s">
        <v>7476</v>
      </c>
      <c r="AD1670" t="s">
        <v>5201</v>
      </c>
      <c r="AE1670" t="s">
        <v>5202</v>
      </c>
      <c r="AF1670" s="16">
        <v>44757</v>
      </c>
      <c r="AG1670" t="s">
        <v>55</v>
      </c>
      <c r="AH1670">
        <v>3</v>
      </c>
      <c r="AK1670" s="38">
        <f t="shared" si="664"/>
        <v>44858.699247685188</v>
      </c>
    </row>
    <row r="1671" spans="1:43" x14ac:dyDescent="0.35">
      <c r="A1671">
        <v>971</v>
      </c>
      <c r="B1671" t="s">
        <v>5203</v>
      </c>
      <c r="C1671" t="s">
        <v>4502</v>
      </c>
      <c r="D1671" t="str">
        <f t="shared" si="662"/>
        <v>Finance</v>
      </c>
      <c r="E1671" t="s">
        <v>4968</v>
      </c>
      <c r="F1671" t="s">
        <v>695</v>
      </c>
      <c r="G1671" t="s">
        <v>4969</v>
      </c>
      <c r="H1671" t="s">
        <v>697</v>
      </c>
      <c r="I1671" s="32">
        <v>44756.699247685188</v>
      </c>
      <c r="J1671" s="32">
        <v>44758.699247685188</v>
      </c>
      <c r="K1671" s="32">
        <v>44764.699247685188</v>
      </c>
      <c r="L1671" s="8">
        <f t="shared" si="663"/>
        <v>8</v>
      </c>
      <c r="M1671" s="7">
        <v>44783.699247685188</v>
      </c>
      <c r="N1671" t="s">
        <v>49</v>
      </c>
      <c r="O1671" s="34">
        <v>44771.699247685188</v>
      </c>
      <c r="P1671" t="s">
        <v>50</v>
      </c>
      <c r="Q1671" t="s">
        <v>198</v>
      </c>
      <c r="R1671" s="32" t="s">
        <v>7472</v>
      </c>
      <c r="S1671" t="s">
        <v>7476</v>
      </c>
      <c r="T1671" s="34" t="s">
        <v>7476</v>
      </c>
      <c r="U1671" s="34" t="s">
        <v>7476</v>
      </c>
      <c r="V1671" s="32">
        <v>44774.699247685188</v>
      </c>
      <c r="W1671" s="32" t="s">
        <v>7476</v>
      </c>
      <c r="X1671">
        <v>0</v>
      </c>
      <c r="Y1671" s="34" t="s">
        <v>7476</v>
      </c>
      <c r="Z1671" s="34" t="s">
        <v>7476</v>
      </c>
      <c r="AA1671" s="34" t="s">
        <v>7476</v>
      </c>
      <c r="AB1671" s="36" t="s">
        <v>52</v>
      </c>
      <c r="AD1671" t="s">
        <v>5204</v>
      </c>
      <c r="AE1671" t="s">
        <v>5205</v>
      </c>
      <c r="AF1671" s="16">
        <v>44761</v>
      </c>
      <c r="AG1671" t="s">
        <v>64</v>
      </c>
      <c r="AH1671">
        <v>3</v>
      </c>
      <c r="AI1671" s="8" t="str">
        <f t="shared" ref="AI1671:AI1684" si="665">IFERROR(R1671-AF1671,"")</f>
        <v/>
      </c>
      <c r="AJ1671" s="8">
        <f t="shared" ref="AJ1671:AJ1684" si="666">IFERROR(O1671-AF1671,"")</f>
        <v>10.699247685188311</v>
      </c>
      <c r="AK1671" s="38">
        <f t="shared" si="664"/>
        <v>44864.699247685188</v>
      </c>
      <c r="AL1671" t="str">
        <f t="shared" ref="AL1671:AL1684" si="667">IFERROR(Z1671-W1671,"")</f>
        <v/>
      </c>
      <c r="AM1671" t="str">
        <f t="shared" ref="AM1671:AM1684" si="668">IFERROR(R1671-J1671,"")</f>
        <v/>
      </c>
      <c r="AN1671">
        <f t="shared" ref="AN1671:AN1684" si="669">IFERROR(V1671-O1671,"")</f>
        <v>3</v>
      </c>
      <c r="AO1671">
        <f t="shared" ref="AO1671:AO1684" si="670">IFERROR(J1671-I1671,"")</f>
        <v>2</v>
      </c>
      <c r="AP1671">
        <f t="shared" ref="AP1671:AP1684" si="671">IFERROR(AC1671-X1671,"")</f>
        <v>0</v>
      </c>
      <c r="AQ1671" t="str">
        <f t="shared" ref="AQ1671:AQ1684" si="672">IFERROR(AA1671-W1671,"")</f>
        <v/>
      </c>
    </row>
    <row r="1672" spans="1:43" x14ac:dyDescent="0.35">
      <c r="A1672">
        <v>970</v>
      </c>
      <c r="B1672" t="s">
        <v>5206</v>
      </c>
      <c r="C1672" t="s">
        <v>4471</v>
      </c>
      <c r="D1672" t="str">
        <f t="shared" si="662"/>
        <v>Finance</v>
      </c>
      <c r="E1672" t="s">
        <v>4968</v>
      </c>
      <c r="F1672" t="s">
        <v>695</v>
      </c>
      <c r="G1672" t="s">
        <v>4969</v>
      </c>
      <c r="H1672" t="s">
        <v>697</v>
      </c>
      <c r="I1672" s="32">
        <v>45117.340451388889</v>
      </c>
      <c r="J1672" s="32">
        <v>45121.340451388889</v>
      </c>
      <c r="K1672" s="32">
        <v>45127.340451388889</v>
      </c>
      <c r="L1672" s="8">
        <f t="shared" si="663"/>
        <v>10</v>
      </c>
      <c r="M1672" s="7">
        <v>45145.340451388889</v>
      </c>
      <c r="N1672" t="s">
        <v>72</v>
      </c>
      <c r="O1672" s="34" t="s">
        <v>7474</v>
      </c>
      <c r="R1672" s="32" t="s">
        <v>7472</v>
      </c>
      <c r="S1672" t="s">
        <v>7476</v>
      </c>
      <c r="T1672" s="34" t="s">
        <v>7476</v>
      </c>
      <c r="U1672" s="34" t="s">
        <v>7476</v>
      </c>
      <c r="V1672" s="32" t="s">
        <v>7476</v>
      </c>
      <c r="W1672" s="32" t="s">
        <v>7476</v>
      </c>
      <c r="X1672">
        <v>0</v>
      </c>
      <c r="Y1672" s="34" t="s">
        <v>7476</v>
      </c>
      <c r="Z1672" s="34" t="s">
        <v>7476</v>
      </c>
      <c r="AA1672" s="34" t="s">
        <v>7476</v>
      </c>
      <c r="AB1672" s="36" t="s">
        <v>7476</v>
      </c>
      <c r="AD1672" t="s">
        <v>5207</v>
      </c>
      <c r="AE1672" t="s">
        <v>5208</v>
      </c>
      <c r="AG1672" t="s">
        <v>64</v>
      </c>
      <c r="AH1672">
        <v>3</v>
      </c>
      <c r="AI1672" s="8" t="str">
        <f t="shared" si="665"/>
        <v/>
      </c>
      <c r="AJ1672" s="8" t="str">
        <f t="shared" si="666"/>
        <v/>
      </c>
      <c r="AK1672" s="38" t="str">
        <f t="shared" si="664"/>
        <v/>
      </c>
      <c r="AL1672" t="str">
        <f t="shared" si="667"/>
        <v/>
      </c>
      <c r="AM1672" t="str">
        <f t="shared" si="668"/>
        <v/>
      </c>
      <c r="AN1672" t="str">
        <f t="shared" si="669"/>
        <v/>
      </c>
      <c r="AO1672">
        <f t="shared" si="670"/>
        <v>4</v>
      </c>
      <c r="AP1672">
        <f t="shared" si="671"/>
        <v>0</v>
      </c>
      <c r="AQ1672" t="str">
        <f t="shared" si="672"/>
        <v/>
      </c>
    </row>
    <row r="1673" spans="1:43" x14ac:dyDescent="0.35">
      <c r="A1673">
        <v>899</v>
      </c>
      <c r="B1673" t="s">
        <v>5209</v>
      </c>
      <c r="C1673" t="s">
        <v>4502</v>
      </c>
      <c r="D1673" t="str">
        <f t="shared" si="662"/>
        <v>Finance</v>
      </c>
      <c r="E1673" t="s">
        <v>4968</v>
      </c>
      <c r="F1673" t="s">
        <v>695</v>
      </c>
      <c r="G1673" t="s">
        <v>4969</v>
      </c>
      <c r="H1673" t="s">
        <v>697</v>
      </c>
      <c r="I1673" s="32">
        <v>44847.939814814818</v>
      </c>
      <c r="J1673" s="32">
        <v>44849.939814814818</v>
      </c>
      <c r="K1673" s="32">
        <v>44850.939814814818</v>
      </c>
      <c r="L1673" s="8">
        <f t="shared" si="663"/>
        <v>3</v>
      </c>
      <c r="M1673" s="7">
        <v>44860.939814814818</v>
      </c>
      <c r="N1673" t="s">
        <v>49</v>
      </c>
      <c r="O1673" s="34">
        <v>44860.939814814818</v>
      </c>
      <c r="P1673" t="s">
        <v>101</v>
      </c>
      <c r="R1673" s="32">
        <v>44866.939814814818</v>
      </c>
      <c r="S1673" t="s">
        <v>101</v>
      </c>
      <c r="T1673" s="34">
        <v>44861.939814814818</v>
      </c>
      <c r="U1673" s="34">
        <v>44862.939814814818</v>
      </c>
      <c r="V1673" s="32">
        <v>44863.939814814818</v>
      </c>
      <c r="W1673" s="32">
        <v>44873.939814814818</v>
      </c>
      <c r="X1673">
        <v>1</v>
      </c>
      <c r="Y1673" s="34">
        <v>44877.939814814818</v>
      </c>
      <c r="Z1673" s="34">
        <v>44879.939814814818</v>
      </c>
      <c r="AA1673" s="34">
        <v>44880.939814814818</v>
      </c>
      <c r="AB1673" s="36" t="s">
        <v>7476</v>
      </c>
      <c r="AC1673" s="10">
        <v>44903.939814814818</v>
      </c>
      <c r="AD1673" t="s">
        <v>5210</v>
      </c>
      <c r="AE1673" t="s">
        <v>5211</v>
      </c>
      <c r="AF1673" s="16">
        <v>44854</v>
      </c>
      <c r="AG1673" t="s">
        <v>98</v>
      </c>
      <c r="AH1673">
        <v>6</v>
      </c>
      <c r="AI1673" s="8">
        <f t="shared" si="665"/>
        <v>12.93981481481751</v>
      </c>
      <c r="AJ1673" s="8">
        <f t="shared" si="666"/>
        <v>6.9398148148175096</v>
      </c>
      <c r="AK1673" s="38">
        <f t="shared" si="664"/>
        <v>45043.939814814818</v>
      </c>
      <c r="AL1673">
        <f t="shared" si="667"/>
        <v>6</v>
      </c>
      <c r="AM1673">
        <f t="shared" si="668"/>
        <v>17</v>
      </c>
      <c r="AN1673">
        <f t="shared" si="669"/>
        <v>3</v>
      </c>
      <c r="AO1673">
        <f t="shared" si="670"/>
        <v>2</v>
      </c>
      <c r="AP1673">
        <f t="shared" si="671"/>
        <v>44902.939814814818</v>
      </c>
      <c r="AQ1673">
        <f t="shared" si="672"/>
        <v>7</v>
      </c>
    </row>
    <row r="1674" spans="1:43" x14ac:dyDescent="0.35">
      <c r="A1674">
        <v>886</v>
      </c>
      <c r="B1674" t="s">
        <v>5212</v>
      </c>
      <c r="C1674" t="s">
        <v>4471</v>
      </c>
      <c r="D1674" t="str">
        <f t="shared" si="662"/>
        <v>Finance</v>
      </c>
      <c r="E1674" t="s">
        <v>4968</v>
      </c>
      <c r="F1674" t="s">
        <v>695</v>
      </c>
      <c r="G1674" t="s">
        <v>4969</v>
      </c>
      <c r="H1674" t="s">
        <v>697</v>
      </c>
      <c r="I1674" s="32">
        <v>44824.199942129628</v>
      </c>
      <c r="J1674" s="32">
        <v>44827.199942129628</v>
      </c>
      <c r="K1674" s="32">
        <v>44831.199942129628</v>
      </c>
      <c r="L1674" s="8">
        <f t="shared" si="663"/>
        <v>7</v>
      </c>
      <c r="M1674" s="7">
        <v>44843.199942129628</v>
      </c>
      <c r="N1674" t="s">
        <v>49</v>
      </c>
      <c r="O1674" s="34">
        <v>44838.199942129628</v>
      </c>
      <c r="P1674" t="s">
        <v>50</v>
      </c>
      <c r="Q1674" t="s">
        <v>125</v>
      </c>
      <c r="R1674" s="32" t="s">
        <v>7472</v>
      </c>
      <c r="S1674" t="s">
        <v>7476</v>
      </c>
      <c r="T1674" s="34" t="s">
        <v>7476</v>
      </c>
      <c r="U1674" s="34" t="s">
        <v>7476</v>
      </c>
      <c r="V1674" s="32" t="s">
        <v>7476</v>
      </c>
      <c r="W1674" s="32" t="s">
        <v>7476</v>
      </c>
      <c r="X1674">
        <v>0</v>
      </c>
      <c r="Y1674" s="34" t="s">
        <v>7476</v>
      </c>
      <c r="Z1674" s="34" t="s">
        <v>7476</v>
      </c>
      <c r="AA1674" s="34" t="s">
        <v>7476</v>
      </c>
      <c r="AB1674" s="36" t="s">
        <v>52</v>
      </c>
      <c r="AD1674" t="s">
        <v>5213</v>
      </c>
      <c r="AE1674" t="s">
        <v>5214</v>
      </c>
      <c r="AF1674" s="16">
        <v>44824</v>
      </c>
      <c r="AG1674" t="s">
        <v>98</v>
      </c>
      <c r="AH1674">
        <v>6</v>
      </c>
      <c r="AI1674" s="8" t="str">
        <f t="shared" si="665"/>
        <v/>
      </c>
      <c r="AJ1674" s="8">
        <f t="shared" si="666"/>
        <v>14.199942129627743</v>
      </c>
      <c r="AK1674" s="38" t="str">
        <f t="shared" si="664"/>
        <v/>
      </c>
      <c r="AL1674" t="str">
        <f t="shared" si="667"/>
        <v/>
      </c>
      <c r="AM1674" t="str">
        <f t="shared" si="668"/>
        <v/>
      </c>
      <c r="AN1674" t="str">
        <f t="shared" si="669"/>
        <v/>
      </c>
      <c r="AO1674">
        <f t="shared" si="670"/>
        <v>3</v>
      </c>
      <c r="AP1674">
        <f t="shared" si="671"/>
        <v>0</v>
      </c>
      <c r="AQ1674" t="str">
        <f t="shared" si="672"/>
        <v/>
      </c>
    </row>
    <row r="1675" spans="1:43" x14ac:dyDescent="0.35">
      <c r="A1675">
        <v>866</v>
      </c>
      <c r="B1675" t="s">
        <v>5215</v>
      </c>
      <c r="C1675" t="s">
        <v>4502</v>
      </c>
      <c r="D1675" t="str">
        <f t="shared" si="662"/>
        <v>Finance</v>
      </c>
      <c r="E1675" t="s">
        <v>4968</v>
      </c>
      <c r="F1675" t="s">
        <v>695</v>
      </c>
      <c r="G1675" t="s">
        <v>4969</v>
      </c>
      <c r="H1675" t="s">
        <v>697</v>
      </c>
      <c r="I1675" s="32">
        <v>45124.103344907409</v>
      </c>
      <c r="J1675" s="32">
        <v>45127.103344907409</v>
      </c>
      <c r="K1675" s="32">
        <v>45131.103344907409</v>
      </c>
      <c r="L1675" s="8">
        <f t="shared" si="663"/>
        <v>7</v>
      </c>
      <c r="M1675" s="7">
        <v>45144.103344907409</v>
      </c>
      <c r="N1675" t="s">
        <v>49</v>
      </c>
      <c r="O1675" s="34">
        <v>45142.103344907409</v>
      </c>
      <c r="P1675" t="s">
        <v>50</v>
      </c>
      <c r="Q1675" t="s">
        <v>236</v>
      </c>
      <c r="R1675" s="32" t="s">
        <v>7472</v>
      </c>
      <c r="S1675" t="s">
        <v>7476</v>
      </c>
      <c r="T1675" s="34" t="s">
        <v>7476</v>
      </c>
      <c r="U1675" s="34" t="s">
        <v>7476</v>
      </c>
      <c r="V1675" s="32" t="s">
        <v>7476</v>
      </c>
      <c r="W1675" s="32" t="s">
        <v>7476</v>
      </c>
      <c r="X1675">
        <v>0</v>
      </c>
      <c r="Y1675" s="34" t="s">
        <v>7476</v>
      </c>
      <c r="Z1675" s="34" t="s">
        <v>7476</v>
      </c>
      <c r="AA1675" s="34" t="s">
        <v>7476</v>
      </c>
      <c r="AB1675" s="36" t="s">
        <v>95</v>
      </c>
      <c r="AD1675" t="s">
        <v>5216</v>
      </c>
      <c r="AE1675" t="s">
        <v>5217</v>
      </c>
      <c r="AF1675" s="16">
        <v>45129</v>
      </c>
      <c r="AG1675" t="s">
        <v>98</v>
      </c>
      <c r="AH1675">
        <v>6</v>
      </c>
      <c r="AI1675" s="8" t="str">
        <f t="shared" si="665"/>
        <v/>
      </c>
      <c r="AJ1675" s="8">
        <f t="shared" si="666"/>
        <v>13.103344907409337</v>
      </c>
      <c r="AK1675" s="38" t="str">
        <f t="shared" si="664"/>
        <v/>
      </c>
      <c r="AL1675" t="str">
        <f t="shared" si="667"/>
        <v/>
      </c>
      <c r="AM1675" t="str">
        <f t="shared" si="668"/>
        <v/>
      </c>
      <c r="AN1675" t="str">
        <f t="shared" si="669"/>
        <v/>
      </c>
      <c r="AO1675">
        <f t="shared" si="670"/>
        <v>3</v>
      </c>
      <c r="AP1675">
        <f t="shared" si="671"/>
        <v>0</v>
      </c>
      <c r="AQ1675" t="str">
        <f t="shared" si="672"/>
        <v/>
      </c>
    </row>
    <row r="1676" spans="1:43" x14ac:dyDescent="0.35">
      <c r="A1676">
        <v>862</v>
      </c>
      <c r="B1676" t="s">
        <v>5218</v>
      </c>
      <c r="C1676" t="s">
        <v>4480</v>
      </c>
      <c r="D1676" t="str">
        <f t="shared" si="662"/>
        <v>Finance</v>
      </c>
      <c r="E1676" t="s">
        <v>4968</v>
      </c>
      <c r="F1676" t="s">
        <v>695</v>
      </c>
      <c r="G1676" t="s">
        <v>4969</v>
      </c>
      <c r="H1676" t="s">
        <v>697</v>
      </c>
      <c r="I1676" s="32">
        <v>45129.103344907409</v>
      </c>
      <c r="J1676" s="32">
        <v>45130.103344907409</v>
      </c>
      <c r="K1676" s="32">
        <v>45131.103344907409</v>
      </c>
      <c r="L1676" s="8">
        <f t="shared" si="663"/>
        <v>2</v>
      </c>
      <c r="M1676" s="7">
        <v>45142.103344907409</v>
      </c>
      <c r="N1676" t="s">
        <v>72</v>
      </c>
      <c r="O1676" s="34" t="s">
        <v>7474</v>
      </c>
      <c r="R1676" s="32" t="s">
        <v>7472</v>
      </c>
      <c r="S1676" t="s">
        <v>7476</v>
      </c>
      <c r="T1676" s="34" t="s">
        <v>7476</v>
      </c>
      <c r="U1676" s="34" t="s">
        <v>7476</v>
      </c>
      <c r="V1676" s="32" t="s">
        <v>7476</v>
      </c>
      <c r="W1676" s="32" t="s">
        <v>7476</v>
      </c>
      <c r="X1676">
        <v>0</v>
      </c>
      <c r="Y1676" s="34" t="s">
        <v>7476</v>
      </c>
      <c r="Z1676" s="34" t="s">
        <v>7476</v>
      </c>
      <c r="AA1676" s="34" t="s">
        <v>7476</v>
      </c>
      <c r="AB1676" s="36" t="s">
        <v>7476</v>
      </c>
      <c r="AD1676" t="s">
        <v>5219</v>
      </c>
      <c r="AE1676" t="s">
        <v>5220</v>
      </c>
      <c r="AG1676" t="s">
        <v>64</v>
      </c>
      <c r="AH1676">
        <v>3</v>
      </c>
      <c r="AI1676" s="8" t="str">
        <f t="shared" si="665"/>
        <v/>
      </c>
      <c r="AJ1676" s="8" t="str">
        <f t="shared" si="666"/>
        <v/>
      </c>
      <c r="AK1676" s="38" t="str">
        <f t="shared" si="664"/>
        <v/>
      </c>
      <c r="AL1676" t="str">
        <f t="shared" si="667"/>
        <v/>
      </c>
      <c r="AM1676" t="str">
        <f t="shared" si="668"/>
        <v/>
      </c>
      <c r="AN1676" t="str">
        <f t="shared" si="669"/>
        <v/>
      </c>
      <c r="AO1676">
        <f t="shared" si="670"/>
        <v>1</v>
      </c>
      <c r="AP1676">
        <f t="shared" si="671"/>
        <v>0</v>
      </c>
      <c r="AQ1676" t="str">
        <f t="shared" si="672"/>
        <v/>
      </c>
    </row>
    <row r="1677" spans="1:43" x14ac:dyDescent="0.35">
      <c r="A1677">
        <v>861</v>
      </c>
      <c r="B1677" t="s">
        <v>5221</v>
      </c>
      <c r="C1677" t="s">
        <v>4471</v>
      </c>
      <c r="D1677" t="str">
        <f t="shared" si="662"/>
        <v>Finance</v>
      </c>
      <c r="E1677" t="s">
        <v>4968</v>
      </c>
      <c r="F1677" t="s">
        <v>695</v>
      </c>
      <c r="G1677" t="s">
        <v>4969</v>
      </c>
      <c r="H1677" t="s">
        <v>697</v>
      </c>
      <c r="I1677" s="32">
        <v>45121.103344907409</v>
      </c>
      <c r="J1677" s="32">
        <v>45125.103344907409</v>
      </c>
      <c r="K1677" s="32">
        <v>45131.103344907409</v>
      </c>
      <c r="L1677" s="8">
        <f t="shared" si="663"/>
        <v>10</v>
      </c>
      <c r="M1677" s="7">
        <v>45145.103344907409</v>
      </c>
      <c r="N1677" t="s">
        <v>49</v>
      </c>
      <c r="O1677" s="34">
        <v>45144.103344907409</v>
      </c>
      <c r="P1677" t="s">
        <v>101</v>
      </c>
      <c r="R1677" s="32">
        <v>45149.103344907409</v>
      </c>
      <c r="S1677" t="s">
        <v>101</v>
      </c>
      <c r="T1677" s="34">
        <v>45145.103344907409</v>
      </c>
      <c r="U1677" s="34">
        <v>45147.103344907409</v>
      </c>
      <c r="V1677" s="32">
        <v>45147.103344907409</v>
      </c>
      <c r="W1677" s="32">
        <v>45157.103344907409</v>
      </c>
      <c r="X1677">
        <v>1</v>
      </c>
      <c r="Y1677" s="34">
        <v>45161.103344907409</v>
      </c>
      <c r="Z1677" s="34">
        <v>45163.103344907409</v>
      </c>
      <c r="AA1677" s="34">
        <v>45165.103344907409</v>
      </c>
      <c r="AB1677" s="36" t="s">
        <v>7476</v>
      </c>
      <c r="AC1677" s="10">
        <v>45184.103344907409</v>
      </c>
      <c r="AD1677" t="s">
        <v>5222</v>
      </c>
      <c r="AE1677" t="s">
        <v>5223</v>
      </c>
      <c r="AF1677" s="16">
        <v>45139</v>
      </c>
      <c r="AG1677" t="s">
        <v>64</v>
      </c>
      <c r="AH1677">
        <v>6</v>
      </c>
      <c r="AI1677" s="8">
        <f t="shared" si="665"/>
        <v>10.103344907409337</v>
      </c>
      <c r="AJ1677" s="8">
        <f t="shared" si="666"/>
        <v>5.1033449074093369</v>
      </c>
      <c r="AK1677" s="38">
        <f t="shared" si="664"/>
        <v>45327.103344907409</v>
      </c>
      <c r="AL1677">
        <f t="shared" si="667"/>
        <v>6</v>
      </c>
      <c r="AM1677">
        <f t="shared" si="668"/>
        <v>24</v>
      </c>
      <c r="AN1677">
        <f t="shared" si="669"/>
        <v>3</v>
      </c>
      <c r="AO1677">
        <f t="shared" si="670"/>
        <v>4</v>
      </c>
      <c r="AP1677">
        <f t="shared" si="671"/>
        <v>45183.103344907409</v>
      </c>
      <c r="AQ1677">
        <f t="shared" si="672"/>
        <v>8</v>
      </c>
    </row>
    <row r="1678" spans="1:43" x14ac:dyDescent="0.35">
      <c r="A1678">
        <v>750</v>
      </c>
      <c r="B1678" t="s">
        <v>5224</v>
      </c>
      <c r="C1678" t="s">
        <v>4480</v>
      </c>
      <c r="D1678" t="str">
        <f t="shared" si="662"/>
        <v>Finance</v>
      </c>
      <c r="E1678" t="s">
        <v>4968</v>
      </c>
      <c r="F1678" t="s">
        <v>695</v>
      </c>
      <c r="G1678" t="s">
        <v>4969</v>
      </c>
      <c r="H1678" t="s">
        <v>697</v>
      </c>
      <c r="I1678" s="32">
        <v>44869.220567129632</v>
      </c>
      <c r="J1678" s="32">
        <v>44870.220567129632</v>
      </c>
      <c r="K1678" s="32">
        <v>44874.220567129632</v>
      </c>
      <c r="L1678" s="8">
        <f t="shared" si="663"/>
        <v>5</v>
      </c>
      <c r="M1678" s="7">
        <v>44900.220567129632</v>
      </c>
      <c r="N1678" t="s">
        <v>72</v>
      </c>
      <c r="O1678" s="34" t="s">
        <v>7474</v>
      </c>
      <c r="R1678" s="32" t="s">
        <v>7472</v>
      </c>
      <c r="S1678" t="s">
        <v>7476</v>
      </c>
      <c r="T1678" s="34" t="s">
        <v>7476</v>
      </c>
      <c r="U1678" s="34" t="s">
        <v>7476</v>
      </c>
      <c r="V1678" s="32" t="s">
        <v>7476</v>
      </c>
      <c r="W1678" s="32" t="s">
        <v>7476</v>
      </c>
      <c r="X1678">
        <v>0</v>
      </c>
      <c r="Y1678" s="34" t="s">
        <v>7476</v>
      </c>
      <c r="Z1678" s="34" t="s">
        <v>7476</v>
      </c>
      <c r="AA1678" s="34" t="s">
        <v>7476</v>
      </c>
      <c r="AB1678" s="36" t="s">
        <v>7476</v>
      </c>
      <c r="AD1678" t="s">
        <v>5225</v>
      </c>
      <c r="AE1678" t="s">
        <v>5226</v>
      </c>
      <c r="AG1678" t="s">
        <v>64</v>
      </c>
      <c r="AH1678">
        <v>6</v>
      </c>
      <c r="AI1678" s="8" t="str">
        <f t="shared" si="665"/>
        <v/>
      </c>
      <c r="AJ1678" s="8" t="str">
        <f t="shared" si="666"/>
        <v/>
      </c>
      <c r="AK1678" s="38" t="str">
        <f t="shared" si="664"/>
        <v/>
      </c>
      <c r="AL1678" t="str">
        <f t="shared" si="667"/>
        <v/>
      </c>
      <c r="AM1678" t="str">
        <f t="shared" si="668"/>
        <v/>
      </c>
      <c r="AN1678" t="str">
        <f t="shared" si="669"/>
        <v/>
      </c>
      <c r="AO1678">
        <f t="shared" si="670"/>
        <v>1</v>
      </c>
      <c r="AP1678">
        <f t="shared" si="671"/>
        <v>0</v>
      </c>
      <c r="AQ1678" t="str">
        <f t="shared" si="672"/>
        <v/>
      </c>
    </row>
    <row r="1679" spans="1:43" x14ac:dyDescent="0.35">
      <c r="A1679">
        <v>747</v>
      </c>
      <c r="B1679" t="s">
        <v>5227</v>
      </c>
      <c r="C1679" t="s">
        <v>4471</v>
      </c>
      <c r="D1679" t="str">
        <f t="shared" si="662"/>
        <v>Finance</v>
      </c>
      <c r="E1679" t="s">
        <v>4968</v>
      </c>
      <c r="F1679" t="s">
        <v>695</v>
      </c>
      <c r="G1679" t="s">
        <v>4969</v>
      </c>
      <c r="H1679" t="s">
        <v>697</v>
      </c>
      <c r="I1679" s="32">
        <v>44867.220567129632</v>
      </c>
      <c r="J1679" s="32">
        <v>44871.220567129632</v>
      </c>
      <c r="K1679" s="32">
        <v>44874.220567129632</v>
      </c>
      <c r="L1679" s="8">
        <f t="shared" si="663"/>
        <v>7</v>
      </c>
      <c r="M1679" s="7">
        <v>44888.220567129632</v>
      </c>
      <c r="N1679" t="s">
        <v>72</v>
      </c>
      <c r="O1679" s="34" t="s">
        <v>7474</v>
      </c>
      <c r="R1679" s="32" t="s">
        <v>7472</v>
      </c>
      <c r="S1679" t="s">
        <v>7476</v>
      </c>
      <c r="T1679" s="34" t="s">
        <v>7476</v>
      </c>
      <c r="U1679" s="34" t="s">
        <v>7476</v>
      </c>
      <c r="V1679" s="32" t="s">
        <v>7476</v>
      </c>
      <c r="W1679" s="32" t="s">
        <v>7476</v>
      </c>
      <c r="X1679">
        <v>0</v>
      </c>
      <c r="Y1679" s="34" t="s">
        <v>7476</v>
      </c>
      <c r="Z1679" s="34" t="s">
        <v>7476</v>
      </c>
      <c r="AA1679" s="34" t="s">
        <v>7476</v>
      </c>
      <c r="AB1679" s="36" t="s">
        <v>7476</v>
      </c>
      <c r="AD1679" t="s">
        <v>5228</v>
      </c>
      <c r="AE1679" t="s">
        <v>5229</v>
      </c>
      <c r="AG1679" t="s">
        <v>98</v>
      </c>
      <c r="AH1679">
        <v>3</v>
      </c>
      <c r="AI1679" s="8" t="str">
        <f t="shared" si="665"/>
        <v/>
      </c>
      <c r="AJ1679" s="8" t="str">
        <f t="shared" si="666"/>
        <v/>
      </c>
      <c r="AK1679" s="38" t="str">
        <f t="shared" si="664"/>
        <v/>
      </c>
      <c r="AL1679" t="str">
        <f t="shared" si="667"/>
        <v/>
      </c>
      <c r="AM1679" t="str">
        <f t="shared" si="668"/>
        <v/>
      </c>
      <c r="AN1679" t="str">
        <f t="shared" si="669"/>
        <v/>
      </c>
      <c r="AO1679">
        <f t="shared" si="670"/>
        <v>4</v>
      </c>
      <c r="AP1679">
        <f t="shared" si="671"/>
        <v>0</v>
      </c>
      <c r="AQ1679" t="str">
        <f t="shared" si="672"/>
        <v/>
      </c>
    </row>
    <row r="1680" spans="1:43" x14ac:dyDescent="0.35">
      <c r="A1680">
        <v>704</v>
      </c>
      <c r="B1680" t="s">
        <v>5230</v>
      </c>
      <c r="C1680" t="s">
        <v>4502</v>
      </c>
      <c r="D1680" t="str">
        <f t="shared" si="662"/>
        <v>Finance</v>
      </c>
      <c r="E1680" t="s">
        <v>4968</v>
      </c>
      <c r="F1680" t="s">
        <v>695</v>
      </c>
      <c r="G1680" t="s">
        <v>4969</v>
      </c>
      <c r="H1680" t="s">
        <v>697</v>
      </c>
      <c r="I1680" s="32">
        <v>45115.640983796293</v>
      </c>
      <c r="J1680" s="32">
        <v>45119.640983796293</v>
      </c>
      <c r="K1680" s="32">
        <v>45121.640983796293</v>
      </c>
      <c r="L1680" s="8">
        <f t="shared" si="663"/>
        <v>6</v>
      </c>
      <c r="M1680" s="7">
        <v>45143.640983796293</v>
      </c>
      <c r="N1680" t="s">
        <v>72</v>
      </c>
      <c r="O1680" s="34" t="s">
        <v>7474</v>
      </c>
      <c r="R1680" s="32" t="s">
        <v>7472</v>
      </c>
      <c r="S1680" t="s">
        <v>7476</v>
      </c>
      <c r="T1680" s="34" t="s">
        <v>7476</v>
      </c>
      <c r="U1680" s="34" t="s">
        <v>7476</v>
      </c>
      <c r="V1680" s="32" t="s">
        <v>7476</v>
      </c>
      <c r="W1680" s="32" t="s">
        <v>7476</v>
      </c>
      <c r="X1680">
        <v>0</v>
      </c>
      <c r="Y1680" s="34" t="s">
        <v>7476</v>
      </c>
      <c r="Z1680" s="34" t="s">
        <v>7476</v>
      </c>
      <c r="AA1680" s="34" t="s">
        <v>7476</v>
      </c>
      <c r="AB1680" s="36" t="s">
        <v>7476</v>
      </c>
      <c r="AD1680" t="s">
        <v>5231</v>
      </c>
      <c r="AE1680" t="s">
        <v>5232</v>
      </c>
      <c r="AG1680" t="s">
        <v>98</v>
      </c>
      <c r="AH1680">
        <v>3</v>
      </c>
      <c r="AI1680" s="8" t="str">
        <f t="shared" si="665"/>
        <v/>
      </c>
      <c r="AJ1680" s="8" t="str">
        <f t="shared" si="666"/>
        <v/>
      </c>
      <c r="AK1680" s="38" t="str">
        <f t="shared" si="664"/>
        <v/>
      </c>
      <c r="AL1680" t="str">
        <f t="shared" si="667"/>
        <v/>
      </c>
      <c r="AM1680" t="str">
        <f t="shared" si="668"/>
        <v/>
      </c>
      <c r="AN1680" t="str">
        <f t="shared" si="669"/>
        <v/>
      </c>
      <c r="AO1680">
        <f t="shared" si="670"/>
        <v>4</v>
      </c>
      <c r="AP1680">
        <f t="shared" si="671"/>
        <v>0</v>
      </c>
      <c r="AQ1680" t="str">
        <f t="shared" si="672"/>
        <v/>
      </c>
    </row>
    <row r="1681" spans="1:43" x14ac:dyDescent="0.35">
      <c r="A1681">
        <v>609</v>
      </c>
      <c r="B1681" t="s">
        <v>5233</v>
      </c>
      <c r="C1681" t="s">
        <v>4471</v>
      </c>
      <c r="D1681" t="str">
        <f t="shared" si="662"/>
        <v>Finance</v>
      </c>
      <c r="E1681" t="s">
        <v>4968</v>
      </c>
      <c r="F1681" t="s">
        <v>695</v>
      </c>
      <c r="G1681" t="s">
        <v>4969</v>
      </c>
      <c r="H1681" t="s">
        <v>697</v>
      </c>
      <c r="I1681" s="32">
        <v>44571.309340277781</v>
      </c>
      <c r="J1681" s="32">
        <v>44573.309340277781</v>
      </c>
      <c r="K1681" s="32">
        <v>44576.309340277781</v>
      </c>
      <c r="L1681" s="8">
        <f t="shared" si="663"/>
        <v>5</v>
      </c>
      <c r="M1681" s="7">
        <v>44597.309340277781</v>
      </c>
      <c r="N1681" t="s">
        <v>49</v>
      </c>
      <c r="O1681" s="34">
        <v>44589.309340277781</v>
      </c>
      <c r="P1681" t="s">
        <v>60</v>
      </c>
      <c r="R1681" s="32">
        <v>44595.309340277781</v>
      </c>
      <c r="S1681" t="s">
        <v>61</v>
      </c>
      <c r="T1681" s="34" t="s">
        <v>7476</v>
      </c>
      <c r="U1681" s="34" t="s">
        <v>7476</v>
      </c>
      <c r="V1681" s="32">
        <v>44591.309340277781</v>
      </c>
      <c r="W1681" s="32" t="s">
        <v>7476</v>
      </c>
      <c r="X1681">
        <v>0</v>
      </c>
      <c r="Y1681" s="34" t="s">
        <v>7476</v>
      </c>
      <c r="Z1681" s="34" t="s">
        <v>7476</v>
      </c>
      <c r="AA1681" s="34" t="s">
        <v>7476</v>
      </c>
      <c r="AB1681" s="36" t="s">
        <v>7476</v>
      </c>
      <c r="AD1681" t="s">
        <v>5234</v>
      </c>
      <c r="AE1681" t="s">
        <v>5235</v>
      </c>
      <c r="AF1681" s="16">
        <v>44581</v>
      </c>
      <c r="AG1681" t="s">
        <v>64</v>
      </c>
      <c r="AH1681">
        <v>6</v>
      </c>
      <c r="AI1681" s="8">
        <f t="shared" si="665"/>
        <v>14.309340277781303</v>
      </c>
      <c r="AJ1681" s="8">
        <f t="shared" si="666"/>
        <v>8.3093402777813026</v>
      </c>
      <c r="AK1681" s="38">
        <f t="shared" si="664"/>
        <v>44771.309340277781</v>
      </c>
      <c r="AL1681" t="str">
        <f t="shared" si="667"/>
        <v/>
      </c>
      <c r="AM1681">
        <f t="shared" si="668"/>
        <v>22</v>
      </c>
      <c r="AN1681">
        <f t="shared" si="669"/>
        <v>2</v>
      </c>
      <c r="AO1681">
        <f t="shared" si="670"/>
        <v>2</v>
      </c>
      <c r="AP1681">
        <f t="shared" si="671"/>
        <v>0</v>
      </c>
      <c r="AQ1681" t="str">
        <f t="shared" si="672"/>
        <v/>
      </c>
    </row>
    <row r="1682" spans="1:43" x14ac:dyDescent="0.35">
      <c r="A1682">
        <v>600</v>
      </c>
      <c r="B1682" t="s">
        <v>5236</v>
      </c>
      <c r="C1682" t="s">
        <v>4480</v>
      </c>
      <c r="D1682" t="str">
        <f t="shared" si="662"/>
        <v>Finance</v>
      </c>
      <c r="E1682" t="s">
        <v>4968</v>
      </c>
      <c r="F1682" t="s">
        <v>695</v>
      </c>
      <c r="G1682" t="s">
        <v>4969</v>
      </c>
      <c r="H1682" t="s">
        <v>697</v>
      </c>
      <c r="I1682" s="32">
        <v>44877.821550925917</v>
      </c>
      <c r="J1682" s="32">
        <v>44881.821550925917</v>
      </c>
      <c r="K1682" s="32">
        <v>44886.821550925917</v>
      </c>
      <c r="L1682" s="8">
        <f t="shared" si="663"/>
        <v>9</v>
      </c>
      <c r="M1682" s="7">
        <v>44904.821550925917</v>
      </c>
      <c r="N1682" t="s">
        <v>49</v>
      </c>
      <c r="O1682" s="34">
        <v>44891.821550925917</v>
      </c>
      <c r="P1682" t="s">
        <v>50</v>
      </c>
      <c r="Q1682" t="s">
        <v>236</v>
      </c>
      <c r="R1682" s="32" t="s">
        <v>7472</v>
      </c>
      <c r="S1682" t="s">
        <v>7476</v>
      </c>
      <c r="T1682" s="34" t="s">
        <v>7476</v>
      </c>
      <c r="U1682" s="34" t="s">
        <v>7476</v>
      </c>
      <c r="V1682" s="32" t="s">
        <v>7476</v>
      </c>
      <c r="W1682" s="32" t="s">
        <v>7476</v>
      </c>
      <c r="X1682">
        <v>0</v>
      </c>
      <c r="Y1682" s="34" t="s">
        <v>7476</v>
      </c>
      <c r="Z1682" s="34" t="s">
        <v>7476</v>
      </c>
      <c r="AA1682" s="34" t="s">
        <v>7476</v>
      </c>
      <c r="AB1682" s="36" t="s">
        <v>95</v>
      </c>
      <c r="AD1682" t="s">
        <v>5237</v>
      </c>
      <c r="AE1682" t="s">
        <v>5238</v>
      </c>
      <c r="AF1682" s="16">
        <v>44877</v>
      </c>
      <c r="AG1682" t="s">
        <v>68</v>
      </c>
      <c r="AH1682">
        <v>3</v>
      </c>
      <c r="AI1682" s="8" t="str">
        <f t="shared" si="665"/>
        <v/>
      </c>
      <c r="AJ1682" s="8">
        <f t="shared" si="666"/>
        <v>14.821550925917109</v>
      </c>
      <c r="AK1682" s="38" t="str">
        <f t="shared" si="664"/>
        <v/>
      </c>
      <c r="AL1682" t="str">
        <f t="shared" si="667"/>
        <v/>
      </c>
      <c r="AM1682" t="str">
        <f t="shared" si="668"/>
        <v/>
      </c>
      <c r="AN1682" t="str">
        <f t="shared" si="669"/>
        <v/>
      </c>
      <c r="AO1682">
        <f t="shared" si="670"/>
        <v>4</v>
      </c>
      <c r="AP1682">
        <f t="shared" si="671"/>
        <v>0</v>
      </c>
      <c r="AQ1682" t="str">
        <f t="shared" si="672"/>
        <v/>
      </c>
    </row>
    <row r="1683" spans="1:43" x14ac:dyDescent="0.35">
      <c r="A1683">
        <v>595</v>
      </c>
      <c r="B1683" t="s">
        <v>5239</v>
      </c>
      <c r="C1683" t="s">
        <v>4480</v>
      </c>
      <c r="D1683" t="str">
        <f t="shared" si="662"/>
        <v>Finance</v>
      </c>
      <c r="E1683" t="s">
        <v>4968</v>
      </c>
      <c r="F1683" t="s">
        <v>695</v>
      </c>
      <c r="G1683" t="s">
        <v>4969</v>
      </c>
      <c r="H1683" t="s">
        <v>697</v>
      </c>
      <c r="I1683" s="32">
        <v>44882.821550925917</v>
      </c>
      <c r="J1683" s="32">
        <v>44884.821550925917</v>
      </c>
      <c r="K1683" s="32">
        <v>44886.821550925917</v>
      </c>
      <c r="L1683" s="8">
        <f t="shared" si="663"/>
        <v>4</v>
      </c>
      <c r="M1683" s="7">
        <v>44902.821550925917</v>
      </c>
      <c r="N1683" t="s">
        <v>49</v>
      </c>
      <c r="O1683" s="34">
        <v>44894.821550925917</v>
      </c>
      <c r="P1683" t="s">
        <v>101</v>
      </c>
      <c r="R1683" s="32">
        <v>44897.821550925917</v>
      </c>
      <c r="S1683" t="s">
        <v>101</v>
      </c>
      <c r="T1683" s="34">
        <v>44896.821550925917</v>
      </c>
      <c r="U1683" s="34">
        <v>44899.821550925917</v>
      </c>
      <c r="V1683" s="32">
        <v>44895.821550925917</v>
      </c>
      <c r="W1683" s="32">
        <v>44901.821550925917</v>
      </c>
      <c r="X1683">
        <v>1</v>
      </c>
      <c r="Y1683" s="34">
        <v>44903.821550925917</v>
      </c>
      <c r="Z1683" s="34">
        <v>44906.821550925917</v>
      </c>
      <c r="AA1683" s="34">
        <v>44909.821550925917</v>
      </c>
      <c r="AB1683" s="36" t="s">
        <v>7476</v>
      </c>
      <c r="AC1683" s="10">
        <v>44920.821550925917</v>
      </c>
      <c r="AD1683" t="s">
        <v>5240</v>
      </c>
      <c r="AE1683" t="s">
        <v>5241</v>
      </c>
      <c r="AF1683" s="16">
        <v>44884</v>
      </c>
      <c r="AG1683" t="s">
        <v>98</v>
      </c>
      <c r="AH1683">
        <v>3</v>
      </c>
      <c r="AI1683" s="8">
        <f t="shared" si="665"/>
        <v>13.821550925917109</v>
      </c>
      <c r="AJ1683" s="8">
        <f t="shared" si="666"/>
        <v>10.821550925917109</v>
      </c>
      <c r="AK1683" s="38">
        <f t="shared" si="664"/>
        <v>44985.821550925917</v>
      </c>
      <c r="AL1683">
        <f t="shared" si="667"/>
        <v>5</v>
      </c>
      <c r="AM1683">
        <f t="shared" si="668"/>
        <v>13</v>
      </c>
      <c r="AN1683">
        <f t="shared" si="669"/>
        <v>1</v>
      </c>
      <c r="AO1683">
        <f t="shared" si="670"/>
        <v>2</v>
      </c>
      <c r="AP1683">
        <f t="shared" si="671"/>
        <v>44919.821550925917</v>
      </c>
      <c r="AQ1683">
        <f t="shared" si="672"/>
        <v>8</v>
      </c>
    </row>
    <row r="1684" spans="1:43" x14ac:dyDescent="0.35">
      <c r="A1684">
        <v>451</v>
      </c>
      <c r="B1684" t="s">
        <v>5242</v>
      </c>
      <c r="C1684" t="s">
        <v>4480</v>
      </c>
      <c r="D1684" t="str">
        <f t="shared" si="662"/>
        <v>Finance</v>
      </c>
      <c r="E1684" t="s">
        <v>4968</v>
      </c>
      <c r="F1684" t="s">
        <v>695</v>
      </c>
      <c r="G1684" t="s">
        <v>4969</v>
      </c>
      <c r="H1684" t="s">
        <v>697</v>
      </c>
      <c r="I1684" s="32">
        <v>44973.571030092593</v>
      </c>
      <c r="J1684" s="32">
        <v>44977.571030092593</v>
      </c>
      <c r="K1684" s="32">
        <v>44979.571030092593</v>
      </c>
      <c r="L1684" s="8">
        <f t="shared" si="663"/>
        <v>6</v>
      </c>
      <c r="M1684" s="7">
        <v>44988.571030092593</v>
      </c>
      <c r="N1684" t="s">
        <v>49</v>
      </c>
      <c r="O1684" s="34">
        <v>44988.571030092593</v>
      </c>
      <c r="P1684" t="s">
        <v>50</v>
      </c>
      <c r="Q1684" t="s">
        <v>51</v>
      </c>
      <c r="R1684" s="32" t="s">
        <v>7472</v>
      </c>
      <c r="S1684" t="s">
        <v>7476</v>
      </c>
      <c r="T1684" s="34" t="s">
        <v>7476</v>
      </c>
      <c r="U1684" s="34" t="s">
        <v>7476</v>
      </c>
      <c r="V1684" s="32">
        <v>44992.571030092593</v>
      </c>
      <c r="W1684" s="32" t="s">
        <v>7476</v>
      </c>
      <c r="X1684">
        <v>0</v>
      </c>
      <c r="Y1684" s="34" t="s">
        <v>7476</v>
      </c>
      <c r="Z1684" s="34" t="s">
        <v>7476</v>
      </c>
      <c r="AA1684" s="34" t="s">
        <v>7476</v>
      </c>
      <c r="AB1684" s="36" t="s">
        <v>52</v>
      </c>
      <c r="AD1684" t="s">
        <v>5243</v>
      </c>
      <c r="AE1684" t="s">
        <v>5244</v>
      </c>
      <c r="AF1684" s="16">
        <v>44978</v>
      </c>
      <c r="AG1684" t="s">
        <v>64</v>
      </c>
      <c r="AH1684">
        <v>3</v>
      </c>
      <c r="AI1684" s="8" t="str">
        <f t="shared" si="665"/>
        <v/>
      </c>
      <c r="AJ1684" s="8">
        <f t="shared" si="666"/>
        <v>10.571030092592991</v>
      </c>
      <c r="AK1684" s="38">
        <f t="shared" si="664"/>
        <v>45082.571030092593</v>
      </c>
      <c r="AL1684" t="str">
        <f t="shared" si="667"/>
        <v/>
      </c>
      <c r="AM1684" t="str">
        <f t="shared" si="668"/>
        <v/>
      </c>
      <c r="AN1684">
        <f t="shared" si="669"/>
        <v>4</v>
      </c>
      <c r="AO1684">
        <f t="shared" si="670"/>
        <v>4</v>
      </c>
      <c r="AP1684">
        <f t="shared" si="671"/>
        <v>0</v>
      </c>
      <c r="AQ1684" t="str">
        <f t="shared" si="672"/>
        <v/>
      </c>
    </row>
    <row r="1685" spans="1:43" x14ac:dyDescent="0.35">
      <c r="A1685">
        <v>392</v>
      </c>
      <c r="B1685" t="s">
        <v>5245</v>
      </c>
      <c r="C1685" t="s">
        <v>4471</v>
      </c>
      <c r="D1685" t="str">
        <f t="shared" si="662"/>
        <v>Finance</v>
      </c>
      <c r="E1685" t="s">
        <v>4968</v>
      </c>
      <c r="F1685" t="s">
        <v>695</v>
      </c>
      <c r="G1685" t="s">
        <v>4969</v>
      </c>
      <c r="H1685" t="s">
        <v>697</v>
      </c>
      <c r="I1685" s="32">
        <v>44970.686574074083</v>
      </c>
      <c r="J1685" s="32">
        <v>44972.686574074083</v>
      </c>
      <c r="K1685" s="32" t="s">
        <v>7473</v>
      </c>
      <c r="L1685" s="8" t="str">
        <f t="shared" si="663"/>
        <v/>
      </c>
      <c r="M1685" s="7">
        <v>44994.686574074083</v>
      </c>
      <c r="N1685" t="s">
        <v>49</v>
      </c>
      <c r="O1685" s="34">
        <v>44983.686574074083</v>
      </c>
      <c r="P1685" t="s">
        <v>50</v>
      </c>
      <c r="Q1685" t="s">
        <v>198</v>
      </c>
      <c r="R1685" s="32" t="s">
        <v>7472</v>
      </c>
      <c r="S1685" t="s">
        <v>7476</v>
      </c>
      <c r="T1685" s="34" t="s">
        <v>7476</v>
      </c>
      <c r="U1685" s="34" t="s">
        <v>7476</v>
      </c>
      <c r="V1685" s="32">
        <v>44984.686574074083</v>
      </c>
      <c r="W1685" s="32" t="s">
        <v>7476</v>
      </c>
      <c r="X1685">
        <v>0</v>
      </c>
      <c r="Y1685" s="34" t="s">
        <v>7476</v>
      </c>
      <c r="Z1685" s="34" t="s">
        <v>7476</v>
      </c>
      <c r="AA1685" s="34" t="s">
        <v>7476</v>
      </c>
      <c r="AB1685" s="36" t="s">
        <v>52</v>
      </c>
      <c r="AD1685" t="s">
        <v>5246</v>
      </c>
      <c r="AE1685" t="s">
        <v>5247</v>
      </c>
      <c r="AF1685" s="16">
        <v>45262</v>
      </c>
      <c r="AG1685" t="s">
        <v>98</v>
      </c>
      <c r="AH1685">
        <v>3</v>
      </c>
      <c r="AK1685" s="38">
        <f t="shared" si="664"/>
        <v>45074.686574074083</v>
      </c>
    </row>
    <row r="1686" spans="1:43" x14ac:dyDescent="0.35">
      <c r="A1686">
        <v>349</v>
      </c>
      <c r="B1686" t="s">
        <v>5248</v>
      </c>
      <c r="C1686" t="s">
        <v>4480</v>
      </c>
      <c r="D1686" t="str">
        <f t="shared" si="662"/>
        <v>Finance</v>
      </c>
      <c r="E1686" t="s">
        <v>4968</v>
      </c>
      <c r="F1686" t="s">
        <v>695</v>
      </c>
      <c r="G1686" t="s">
        <v>4969</v>
      </c>
      <c r="H1686" t="s">
        <v>697</v>
      </c>
      <c r="I1686" s="32">
        <v>44684.644375000003</v>
      </c>
      <c r="J1686" s="32">
        <v>44685.644375000003</v>
      </c>
      <c r="K1686" s="32">
        <v>44690.644375000003</v>
      </c>
      <c r="L1686" s="8">
        <f t="shared" si="663"/>
        <v>6</v>
      </c>
      <c r="M1686" s="7">
        <v>44719.644375000003</v>
      </c>
      <c r="N1686" t="s">
        <v>49</v>
      </c>
      <c r="O1686" s="34">
        <v>44702.644375000003</v>
      </c>
      <c r="P1686" t="s">
        <v>101</v>
      </c>
      <c r="R1686" s="32">
        <v>44708.644375000003</v>
      </c>
      <c r="S1686" t="s">
        <v>101</v>
      </c>
      <c r="T1686" s="34">
        <v>44703.644375000003</v>
      </c>
      <c r="U1686" s="34">
        <v>44707.644375000003</v>
      </c>
      <c r="V1686" s="32">
        <v>44706.644375000003</v>
      </c>
      <c r="W1686" s="32">
        <v>44716.644375000003</v>
      </c>
      <c r="X1686">
        <v>1</v>
      </c>
      <c r="Y1686" s="34">
        <v>44719.644375000003</v>
      </c>
      <c r="Z1686" s="34">
        <v>44721.644375000003</v>
      </c>
      <c r="AA1686" s="34">
        <v>44723.644375000003</v>
      </c>
      <c r="AB1686" s="36" t="s">
        <v>7476</v>
      </c>
      <c r="AC1686" s="10">
        <v>44734.644375000003</v>
      </c>
      <c r="AD1686" t="s">
        <v>5249</v>
      </c>
      <c r="AE1686" t="s">
        <v>5250</v>
      </c>
      <c r="AF1686" s="16">
        <v>44695</v>
      </c>
      <c r="AG1686" t="s">
        <v>98</v>
      </c>
      <c r="AH1686">
        <v>6</v>
      </c>
      <c r="AI1686" s="8">
        <f t="shared" ref="AI1686:AI1697" si="673">IFERROR(R1686-AF1686,"")</f>
        <v>13.644375000003492</v>
      </c>
      <c r="AJ1686" s="8">
        <f t="shared" ref="AJ1686:AJ1697" si="674">IFERROR(O1686-AF1686,"")</f>
        <v>7.6443750000034925</v>
      </c>
      <c r="AK1686" s="38">
        <f t="shared" si="664"/>
        <v>44886.644375000003</v>
      </c>
      <c r="AL1686">
        <f t="shared" ref="AL1686:AL1697" si="675">IFERROR(Z1686-W1686,"")</f>
        <v>5</v>
      </c>
      <c r="AM1686">
        <f t="shared" ref="AM1686:AM1697" si="676">IFERROR(R1686-J1686,"")</f>
        <v>23</v>
      </c>
      <c r="AN1686">
        <f t="shared" ref="AN1686:AN1697" si="677">IFERROR(V1686-O1686,"")</f>
        <v>4</v>
      </c>
      <c r="AO1686">
        <f t="shared" ref="AO1686:AO1697" si="678">IFERROR(J1686-I1686,"")</f>
        <v>1</v>
      </c>
      <c r="AP1686">
        <f t="shared" ref="AP1686:AP1697" si="679">IFERROR(AC1686-X1686,"")</f>
        <v>44733.644375000003</v>
      </c>
      <c r="AQ1686">
        <f t="shared" ref="AQ1686:AQ1697" si="680">IFERROR(AA1686-W1686,"")</f>
        <v>7</v>
      </c>
    </row>
    <row r="1687" spans="1:43" x14ac:dyDescent="0.35">
      <c r="A1687">
        <v>347</v>
      </c>
      <c r="B1687" t="s">
        <v>5251</v>
      </c>
      <c r="C1687" t="s">
        <v>4471</v>
      </c>
      <c r="D1687" t="str">
        <f t="shared" si="662"/>
        <v>Finance</v>
      </c>
      <c r="E1687" t="s">
        <v>4968</v>
      </c>
      <c r="F1687" t="s">
        <v>695</v>
      </c>
      <c r="G1687" t="s">
        <v>4969</v>
      </c>
      <c r="H1687" t="s">
        <v>697</v>
      </c>
      <c r="I1687" s="32">
        <v>44683.644375000003</v>
      </c>
      <c r="J1687" s="32">
        <v>44687.644375000003</v>
      </c>
      <c r="K1687" s="32">
        <v>44690.644375000003</v>
      </c>
      <c r="L1687" s="8">
        <f t="shared" si="663"/>
        <v>7</v>
      </c>
      <c r="M1687" s="7">
        <v>44700.644375000003</v>
      </c>
      <c r="N1687" t="s">
        <v>49</v>
      </c>
      <c r="O1687" s="34">
        <v>44694.644375000003</v>
      </c>
      <c r="P1687" t="s">
        <v>50</v>
      </c>
      <c r="Q1687" t="s">
        <v>236</v>
      </c>
      <c r="R1687" s="32" t="s">
        <v>7472</v>
      </c>
      <c r="S1687" t="s">
        <v>7476</v>
      </c>
      <c r="T1687" s="34" t="s">
        <v>7476</v>
      </c>
      <c r="U1687" s="34" t="s">
        <v>7476</v>
      </c>
      <c r="V1687" s="32">
        <v>44698.644375000003</v>
      </c>
      <c r="W1687" s="32" t="s">
        <v>7476</v>
      </c>
      <c r="X1687">
        <v>0</v>
      </c>
      <c r="Y1687" s="34" t="s">
        <v>7476</v>
      </c>
      <c r="Z1687" s="34" t="s">
        <v>7476</v>
      </c>
      <c r="AA1687" s="34" t="s">
        <v>7476</v>
      </c>
      <c r="AB1687" s="36" t="s">
        <v>52</v>
      </c>
      <c r="AD1687" t="s">
        <v>5252</v>
      </c>
      <c r="AE1687" t="s">
        <v>5253</v>
      </c>
      <c r="AF1687" s="16">
        <v>44688</v>
      </c>
      <c r="AG1687" t="s">
        <v>64</v>
      </c>
      <c r="AH1687">
        <v>6</v>
      </c>
      <c r="AI1687" s="8" t="str">
        <f t="shared" si="673"/>
        <v/>
      </c>
      <c r="AJ1687" s="8">
        <f t="shared" si="674"/>
        <v>6.6443750000034925</v>
      </c>
      <c r="AK1687" s="38">
        <f t="shared" si="664"/>
        <v>44878.644375000003</v>
      </c>
      <c r="AL1687" t="str">
        <f t="shared" si="675"/>
        <v/>
      </c>
      <c r="AM1687" t="str">
        <f t="shared" si="676"/>
        <v/>
      </c>
      <c r="AN1687">
        <f t="shared" si="677"/>
        <v>4</v>
      </c>
      <c r="AO1687">
        <f t="shared" si="678"/>
        <v>4</v>
      </c>
      <c r="AP1687">
        <f t="shared" si="679"/>
        <v>0</v>
      </c>
      <c r="AQ1687" t="str">
        <f t="shared" si="680"/>
        <v/>
      </c>
    </row>
    <row r="1688" spans="1:43" x14ac:dyDescent="0.35">
      <c r="A1688">
        <v>346</v>
      </c>
      <c r="B1688" t="s">
        <v>5254</v>
      </c>
      <c r="C1688" t="s">
        <v>4480</v>
      </c>
      <c r="D1688" t="str">
        <f t="shared" si="662"/>
        <v>Finance</v>
      </c>
      <c r="E1688" t="s">
        <v>4968</v>
      </c>
      <c r="F1688" t="s">
        <v>695</v>
      </c>
      <c r="G1688" t="s">
        <v>4969</v>
      </c>
      <c r="H1688" t="s">
        <v>697</v>
      </c>
      <c r="I1688" s="32">
        <v>44683.644375000003</v>
      </c>
      <c r="J1688" s="32">
        <v>44686.644375000003</v>
      </c>
      <c r="K1688" s="32">
        <v>44690.644375000003</v>
      </c>
      <c r="L1688" s="8">
        <f t="shared" si="663"/>
        <v>7</v>
      </c>
      <c r="M1688" s="7">
        <v>44714.644375000003</v>
      </c>
      <c r="N1688" t="s">
        <v>49</v>
      </c>
      <c r="O1688" s="34">
        <v>44699.644375000003</v>
      </c>
      <c r="P1688" t="s">
        <v>50</v>
      </c>
      <c r="Q1688" t="s">
        <v>125</v>
      </c>
      <c r="R1688" s="32" t="s">
        <v>7472</v>
      </c>
      <c r="S1688" t="s">
        <v>7476</v>
      </c>
      <c r="T1688" s="34" t="s">
        <v>7476</v>
      </c>
      <c r="U1688" s="34" t="s">
        <v>7476</v>
      </c>
      <c r="V1688" s="32" t="s">
        <v>7476</v>
      </c>
      <c r="W1688" s="32" t="s">
        <v>7476</v>
      </c>
      <c r="X1688">
        <v>0</v>
      </c>
      <c r="Y1688" s="34" t="s">
        <v>7476</v>
      </c>
      <c r="Z1688" s="34" t="s">
        <v>7476</v>
      </c>
      <c r="AA1688" s="34" t="s">
        <v>7476</v>
      </c>
      <c r="AB1688" s="36" t="s">
        <v>52</v>
      </c>
      <c r="AD1688" t="s">
        <v>5255</v>
      </c>
      <c r="AE1688" t="s">
        <v>5256</v>
      </c>
      <c r="AF1688" s="16">
        <v>44681</v>
      </c>
      <c r="AG1688" t="s">
        <v>64</v>
      </c>
      <c r="AH1688">
        <v>3</v>
      </c>
      <c r="AI1688" s="8" t="str">
        <f t="shared" si="673"/>
        <v/>
      </c>
      <c r="AJ1688" s="8">
        <f t="shared" si="674"/>
        <v>18.644375000003492</v>
      </c>
      <c r="AK1688" s="38" t="str">
        <f t="shared" si="664"/>
        <v/>
      </c>
      <c r="AL1688" t="str">
        <f t="shared" si="675"/>
        <v/>
      </c>
      <c r="AM1688" t="str">
        <f t="shared" si="676"/>
        <v/>
      </c>
      <c r="AN1688" t="str">
        <f t="shared" si="677"/>
        <v/>
      </c>
      <c r="AO1688">
        <f t="shared" si="678"/>
        <v>3</v>
      </c>
      <c r="AP1688">
        <f t="shared" si="679"/>
        <v>0</v>
      </c>
      <c r="AQ1688" t="str">
        <f t="shared" si="680"/>
        <v/>
      </c>
    </row>
    <row r="1689" spans="1:43" x14ac:dyDescent="0.35">
      <c r="A1689">
        <v>342</v>
      </c>
      <c r="B1689" t="s">
        <v>5257</v>
      </c>
      <c r="C1689" t="s">
        <v>4480</v>
      </c>
      <c r="D1689" t="str">
        <f t="shared" si="662"/>
        <v>Finance</v>
      </c>
      <c r="E1689" t="s">
        <v>4968</v>
      </c>
      <c r="F1689" t="s">
        <v>695</v>
      </c>
      <c r="G1689" t="s">
        <v>4969</v>
      </c>
      <c r="H1689" t="s">
        <v>697</v>
      </c>
      <c r="I1689" s="32">
        <v>44686.644375000003</v>
      </c>
      <c r="J1689" s="32">
        <v>44689.644375000003</v>
      </c>
      <c r="K1689" s="32">
        <v>44690.644375000003</v>
      </c>
      <c r="L1689" s="8">
        <f t="shared" si="663"/>
        <v>4</v>
      </c>
      <c r="M1689" s="7">
        <v>44695.644375000003</v>
      </c>
      <c r="N1689" t="s">
        <v>49</v>
      </c>
      <c r="O1689" s="34">
        <v>44697.644375000003</v>
      </c>
      <c r="P1689" t="s">
        <v>50</v>
      </c>
      <c r="Q1689" t="s">
        <v>236</v>
      </c>
      <c r="R1689" s="32" t="s">
        <v>7472</v>
      </c>
      <c r="S1689" t="s">
        <v>7476</v>
      </c>
      <c r="T1689" s="34" t="s">
        <v>7476</v>
      </c>
      <c r="U1689" s="34" t="s">
        <v>7476</v>
      </c>
      <c r="V1689" s="32">
        <v>44700.644375000003</v>
      </c>
      <c r="W1689" s="32" t="s">
        <v>7476</v>
      </c>
      <c r="X1689">
        <v>0</v>
      </c>
      <c r="Y1689" s="34" t="s">
        <v>7476</v>
      </c>
      <c r="Z1689" s="34" t="s">
        <v>7476</v>
      </c>
      <c r="AA1689" s="34" t="s">
        <v>7476</v>
      </c>
      <c r="AB1689" s="36" t="s">
        <v>95</v>
      </c>
      <c r="AD1689" t="s">
        <v>5258</v>
      </c>
      <c r="AE1689" t="s">
        <v>5259</v>
      </c>
      <c r="AF1689" s="16">
        <v>44690</v>
      </c>
      <c r="AG1689" t="s">
        <v>64</v>
      </c>
      <c r="AH1689">
        <v>3</v>
      </c>
      <c r="AI1689" s="8" t="str">
        <f t="shared" si="673"/>
        <v/>
      </c>
      <c r="AJ1689" s="8">
        <f t="shared" si="674"/>
        <v>7.6443750000034925</v>
      </c>
      <c r="AK1689" s="38">
        <f t="shared" si="664"/>
        <v>44790.644375000003</v>
      </c>
      <c r="AL1689" t="str">
        <f t="shared" si="675"/>
        <v/>
      </c>
      <c r="AM1689" t="str">
        <f t="shared" si="676"/>
        <v/>
      </c>
      <c r="AN1689">
        <f t="shared" si="677"/>
        <v>3</v>
      </c>
      <c r="AO1689">
        <f t="shared" si="678"/>
        <v>3</v>
      </c>
      <c r="AP1689">
        <f t="shared" si="679"/>
        <v>0</v>
      </c>
      <c r="AQ1689" t="str">
        <f t="shared" si="680"/>
        <v/>
      </c>
    </row>
    <row r="1690" spans="1:43" x14ac:dyDescent="0.35">
      <c r="A1690">
        <v>287</v>
      </c>
      <c r="B1690" t="s">
        <v>5260</v>
      </c>
      <c r="C1690" t="s">
        <v>4480</v>
      </c>
      <c r="D1690" t="str">
        <f t="shared" si="662"/>
        <v>Finance</v>
      </c>
      <c r="E1690" t="s">
        <v>4968</v>
      </c>
      <c r="F1690" t="s">
        <v>5261</v>
      </c>
      <c r="G1690" t="s">
        <v>5262</v>
      </c>
      <c r="H1690" t="s">
        <v>697</v>
      </c>
      <c r="I1690" s="32">
        <v>44701.67763888889</v>
      </c>
      <c r="J1690" s="32">
        <v>44705.67763888889</v>
      </c>
      <c r="K1690" s="32">
        <v>44706.67763888889</v>
      </c>
      <c r="L1690" s="8">
        <f t="shared" si="663"/>
        <v>5</v>
      </c>
      <c r="M1690" s="7">
        <v>44715.67763888889</v>
      </c>
      <c r="N1690" t="s">
        <v>72</v>
      </c>
      <c r="O1690" s="34" t="s">
        <v>7474</v>
      </c>
      <c r="R1690" s="32" t="s">
        <v>7472</v>
      </c>
      <c r="S1690" t="s">
        <v>7476</v>
      </c>
      <c r="T1690" s="34" t="s">
        <v>7476</v>
      </c>
      <c r="U1690" s="34" t="s">
        <v>7476</v>
      </c>
      <c r="V1690" s="32" t="s">
        <v>7476</v>
      </c>
      <c r="W1690" s="32" t="s">
        <v>7476</v>
      </c>
      <c r="X1690">
        <v>0</v>
      </c>
      <c r="Y1690" s="34" t="s">
        <v>7476</v>
      </c>
      <c r="Z1690" s="34" t="s">
        <v>7476</v>
      </c>
      <c r="AA1690" s="34" t="s">
        <v>7476</v>
      </c>
      <c r="AB1690" s="36" t="s">
        <v>7476</v>
      </c>
      <c r="AD1690" t="s">
        <v>5263</v>
      </c>
      <c r="AE1690" t="s">
        <v>5264</v>
      </c>
      <c r="AG1690" t="s">
        <v>64</v>
      </c>
      <c r="AH1690">
        <v>6</v>
      </c>
      <c r="AI1690" s="8" t="str">
        <f t="shared" si="673"/>
        <v/>
      </c>
      <c r="AJ1690" s="8" t="str">
        <f t="shared" si="674"/>
        <v/>
      </c>
      <c r="AK1690" s="38" t="str">
        <f t="shared" si="664"/>
        <v/>
      </c>
      <c r="AL1690" t="str">
        <f t="shared" si="675"/>
        <v/>
      </c>
      <c r="AM1690" t="str">
        <f t="shared" si="676"/>
        <v/>
      </c>
      <c r="AN1690" t="str">
        <f t="shared" si="677"/>
        <v/>
      </c>
      <c r="AO1690">
        <f t="shared" si="678"/>
        <v>4</v>
      </c>
      <c r="AP1690">
        <f t="shared" si="679"/>
        <v>0</v>
      </c>
      <c r="AQ1690" t="str">
        <f t="shared" si="680"/>
        <v/>
      </c>
    </row>
    <row r="1691" spans="1:43" x14ac:dyDescent="0.35">
      <c r="A1691">
        <v>282</v>
      </c>
      <c r="B1691" t="s">
        <v>5265</v>
      </c>
      <c r="C1691" t="s">
        <v>4502</v>
      </c>
      <c r="D1691" t="str">
        <f t="shared" si="662"/>
        <v>Finance</v>
      </c>
      <c r="E1691" t="s">
        <v>4968</v>
      </c>
      <c r="F1691" t="s">
        <v>5261</v>
      </c>
      <c r="G1691" t="s">
        <v>5262</v>
      </c>
      <c r="H1691" t="s">
        <v>697</v>
      </c>
      <c r="I1691" s="32">
        <v>44700.67763888889</v>
      </c>
      <c r="J1691" s="32">
        <v>44703.67763888889</v>
      </c>
      <c r="K1691" s="32">
        <v>44706.67763888889</v>
      </c>
      <c r="L1691" s="8">
        <f t="shared" si="663"/>
        <v>6</v>
      </c>
      <c r="M1691" s="7">
        <v>44722.67763888889</v>
      </c>
      <c r="N1691" t="s">
        <v>49</v>
      </c>
      <c r="O1691" s="34">
        <v>44710.67763888889</v>
      </c>
      <c r="P1691" t="s">
        <v>101</v>
      </c>
      <c r="R1691" s="32">
        <v>44715.67763888889</v>
      </c>
      <c r="S1691" t="s">
        <v>101</v>
      </c>
      <c r="T1691" s="34">
        <v>44712.67763888889</v>
      </c>
      <c r="U1691" s="34">
        <v>44714.67763888889</v>
      </c>
      <c r="V1691" s="32">
        <v>44712.67763888889</v>
      </c>
      <c r="W1691" s="32">
        <v>44716.67763888889</v>
      </c>
      <c r="X1691">
        <v>1</v>
      </c>
      <c r="Y1691" s="34">
        <v>44718.67763888889</v>
      </c>
      <c r="Z1691" s="34">
        <v>44720.67763888889</v>
      </c>
      <c r="AA1691" s="34">
        <v>44721.67763888889</v>
      </c>
      <c r="AB1691" s="36" t="s">
        <v>7476</v>
      </c>
      <c r="AC1691" s="10">
        <v>44743.67763888889</v>
      </c>
      <c r="AD1691" t="s">
        <v>5266</v>
      </c>
      <c r="AE1691" t="s">
        <v>5267</v>
      </c>
      <c r="AF1691" s="16">
        <v>44697</v>
      </c>
      <c r="AG1691" t="s">
        <v>64</v>
      </c>
      <c r="AH1691">
        <v>6</v>
      </c>
      <c r="AI1691" s="8">
        <f t="shared" si="673"/>
        <v>18.677638888890215</v>
      </c>
      <c r="AJ1691" s="8">
        <f t="shared" si="674"/>
        <v>13.677638888890215</v>
      </c>
      <c r="AK1691" s="38">
        <f t="shared" si="664"/>
        <v>44892.67763888889</v>
      </c>
      <c r="AL1691">
        <f t="shared" si="675"/>
        <v>4</v>
      </c>
      <c r="AM1691">
        <f t="shared" si="676"/>
        <v>12</v>
      </c>
      <c r="AN1691">
        <f t="shared" si="677"/>
        <v>2</v>
      </c>
      <c r="AO1691">
        <f t="shared" si="678"/>
        <v>3</v>
      </c>
      <c r="AP1691">
        <f t="shared" si="679"/>
        <v>44742.67763888889</v>
      </c>
      <c r="AQ1691">
        <f t="shared" si="680"/>
        <v>5</v>
      </c>
    </row>
    <row r="1692" spans="1:43" x14ac:dyDescent="0.35">
      <c r="A1692">
        <v>202</v>
      </c>
      <c r="B1692" t="s">
        <v>5268</v>
      </c>
      <c r="C1692" t="s">
        <v>4480</v>
      </c>
      <c r="D1692" t="str">
        <f t="shared" si="662"/>
        <v>Finance</v>
      </c>
      <c r="E1692" t="s">
        <v>4968</v>
      </c>
      <c r="F1692" t="s">
        <v>5261</v>
      </c>
      <c r="G1692" t="s">
        <v>5262</v>
      </c>
      <c r="H1692" t="s">
        <v>697</v>
      </c>
      <c r="I1692" s="32">
        <v>44744.342893518522</v>
      </c>
      <c r="J1692" s="32">
        <v>44748.342893518522</v>
      </c>
      <c r="K1692" s="32">
        <v>44754.342893518522</v>
      </c>
      <c r="L1692" s="8">
        <f t="shared" si="663"/>
        <v>10</v>
      </c>
      <c r="M1692" s="7">
        <v>44779.342893518522</v>
      </c>
      <c r="N1692" t="s">
        <v>49</v>
      </c>
      <c r="O1692" s="34">
        <v>44762.342893518522</v>
      </c>
      <c r="P1692" t="s">
        <v>50</v>
      </c>
      <c r="Q1692" t="s">
        <v>125</v>
      </c>
      <c r="R1692" s="32" t="s">
        <v>7472</v>
      </c>
      <c r="S1692" t="s">
        <v>7476</v>
      </c>
      <c r="T1692" s="34" t="s">
        <v>7476</v>
      </c>
      <c r="U1692" s="34" t="s">
        <v>7476</v>
      </c>
      <c r="V1692" s="32">
        <v>44765.342893518522</v>
      </c>
      <c r="W1692" s="32" t="s">
        <v>7476</v>
      </c>
      <c r="X1692">
        <v>0</v>
      </c>
      <c r="Y1692" s="34" t="s">
        <v>7476</v>
      </c>
      <c r="Z1692" s="34" t="s">
        <v>7476</v>
      </c>
      <c r="AA1692" s="34" t="s">
        <v>7476</v>
      </c>
      <c r="AB1692" s="36" t="s">
        <v>52</v>
      </c>
      <c r="AD1692" t="s">
        <v>5269</v>
      </c>
      <c r="AE1692" t="s">
        <v>5270</v>
      </c>
      <c r="AF1692" s="16">
        <v>44750</v>
      </c>
      <c r="AG1692" t="s">
        <v>64</v>
      </c>
      <c r="AH1692">
        <v>3</v>
      </c>
      <c r="AI1692" s="8" t="str">
        <f t="shared" si="673"/>
        <v/>
      </c>
      <c r="AJ1692" s="8">
        <f t="shared" si="674"/>
        <v>12.342893518522033</v>
      </c>
      <c r="AK1692" s="38">
        <f t="shared" si="664"/>
        <v>44855.342893518522</v>
      </c>
      <c r="AL1692" t="str">
        <f t="shared" si="675"/>
        <v/>
      </c>
      <c r="AM1692" t="str">
        <f t="shared" si="676"/>
        <v/>
      </c>
      <c r="AN1692">
        <f t="shared" si="677"/>
        <v>3</v>
      </c>
      <c r="AO1692">
        <f t="shared" si="678"/>
        <v>4</v>
      </c>
      <c r="AP1692">
        <f t="shared" si="679"/>
        <v>0</v>
      </c>
      <c r="AQ1692" t="str">
        <f t="shared" si="680"/>
        <v/>
      </c>
    </row>
    <row r="1693" spans="1:43" x14ac:dyDescent="0.35">
      <c r="A1693">
        <v>179</v>
      </c>
      <c r="B1693" t="s">
        <v>5271</v>
      </c>
      <c r="C1693" t="s">
        <v>4471</v>
      </c>
      <c r="D1693" t="str">
        <f t="shared" si="662"/>
        <v>Finance</v>
      </c>
      <c r="E1693" t="s">
        <v>4968</v>
      </c>
      <c r="F1693" t="s">
        <v>5261</v>
      </c>
      <c r="G1693" t="s">
        <v>5262</v>
      </c>
      <c r="H1693" t="s">
        <v>697</v>
      </c>
      <c r="I1693" s="32">
        <v>45093.370925925927</v>
      </c>
      <c r="J1693" s="32">
        <v>45094.370925925927</v>
      </c>
      <c r="K1693" s="32">
        <v>45097.370925925927</v>
      </c>
      <c r="L1693" s="8">
        <f t="shared" si="663"/>
        <v>4</v>
      </c>
      <c r="M1693" s="7">
        <v>45117.370925925927</v>
      </c>
      <c r="N1693" t="s">
        <v>49</v>
      </c>
      <c r="O1693" s="34">
        <v>45104.370925925927</v>
      </c>
      <c r="P1693" t="s">
        <v>60</v>
      </c>
      <c r="R1693" s="32">
        <v>45110.370925925927</v>
      </c>
      <c r="S1693" t="s">
        <v>61</v>
      </c>
      <c r="T1693" s="34" t="s">
        <v>7476</v>
      </c>
      <c r="U1693" s="34" t="s">
        <v>7476</v>
      </c>
      <c r="V1693" s="32">
        <v>45106.370925925927</v>
      </c>
      <c r="W1693" s="32" t="s">
        <v>7476</v>
      </c>
      <c r="X1693">
        <v>0</v>
      </c>
      <c r="Y1693" s="34" t="s">
        <v>7476</v>
      </c>
      <c r="Z1693" s="34" t="s">
        <v>7476</v>
      </c>
      <c r="AA1693" s="34" t="s">
        <v>7476</v>
      </c>
      <c r="AB1693" s="36" t="s">
        <v>7476</v>
      </c>
      <c r="AD1693" t="s">
        <v>5272</v>
      </c>
      <c r="AE1693" t="s">
        <v>5273</v>
      </c>
      <c r="AF1693" s="16">
        <v>45091</v>
      </c>
      <c r="AG1693" t="s">
        <v>64</v>
      </c>
      <c r="AH1693">
        <v>6</v>
      </c>
      <c r="AI1693" s="8">
        <f t="shared" si="673"/>
        <v>19.370925925926713</v>
      </c>
      <c r="AJ1693" s="8">
        <f t="shared" si="674"/>
        <v>13.370925925926713</v>
      </c>
      <c r="AK1693" s="38">
        <f t="shared" si="664"/>
        <v>45286.370925925927</v>
      </c>
      <c r="AL1693" t="str">
        <f t="shared" si="675"/>
        <v/>
      </c>
      <c r="AM1693">
        <f t="shared" si="676"/>
        <v>16</v>
      </c>
      <c r="AN1693">
        <f t="shared" si="677"/>
        <v>2</v>
      </c>
      <c r="AO1693">
        <f t="shared" si="678"/>
        <v>1</v>
      </c>
      <c r="AP1693">
        <f t="shared" si="679"/>
        <v>0</v>
      </c>
      <c r="AQ1693" t="str">
        <f t="shared" si="680"/>
        <v/>
      </c>
    </row>
    <row r="1694" spans="1:43" x14ac:dyDescent="0.35">
      <c r="A1694">
        <v>174</v>
      </c>
      <c r="B1694" t="s">
        <v>5274</v>
      </c>
      <c r="C1694" t="s">
        <v>4480</v>
      </c>
      <c r="D1694" t="str">
        <f t="shared" si="662"/>
        <v>Finance</v>
      </c>
      <c r="E1694" t="s">
        <v>4968</v>
      </c>
      <c r="F1694" t="s">
        <v>5261</v>
      </c>
      <c r="G1694" t="s">
        <v>5262</v>
      </c>
      <c r="H1694" t="s">
        <v>697</v>
      </c>
      <c r="I1694" s="32">
        <v>45090.370925925927</v>
      </c>
      <c r="J1694" s="32">
        <v>45094.370925925927</v>
      </c>
      <c r="K1694" s="32">
        <v>45097.370925925927</v>
      </c>
      <c r="L1694" s="8">
        <f t="shared" si="663"/>
        <v>7</v>
      </c>
      <c r="M1694" s="7">
        <v>45118.370925925927</v>
      </c>
      <c r="N1694" t="s">
        <v>49</v>
      </c>
      <c r="O1694" s="34">
        <v>45104.370925925927</v>
      </c>
      <c r="P1694" t="s">
        <v>50</v>
      </c>
      <c r="Q1694" t="s">
        <v>51</v>
      </c>
      <c r="R1694" s="32" t="s">
        <v>7472</v>
      </c>
      <c r="S1694" t="s">
        <v>7476</v>
      </c>
      <c r="T1694" s="34" t="s">
        <v>7476</v>
      </c>
      <c r="U1694" s="34" t="s">
        <v>7476</v>
      </c>
      <c r="V1694" s="32" t="s">
        <v>7476</v>
      </c>
      <c r="W1694" s="32" t="s">
        <v>7476</v>
      </c>
      <c r="X1694">
        <v>0</v>
      </c>
      <c r="Y1694" s="34" t="s">
        <v>7476</v>
      </c>
      <c r="Z1694" s="34" t="s">
        <v>7476</v>
      </c>
      <c r="AA1694" s="34" t="s">
        <v>7476</v>
      </c>
      <c r="AB1694" s="36" t="s">
        <v>52</v>
      </c>
      <c r="AD1694" t="s">
        <v>5275</v>
      </c>
      <c r="AE1694" t="s">
        <v>5276</v>
      </c>
      <c r="AF1694" s="16">
        <v>45093</v>
      </c>
      <c r="AG1694" t="s">
        <v>98</v>
      </c>
      <c r="AH1694">
        <v>3</v>
      </c>
      <c r="AI1694" s="8" t="str">
        <f t="shared" si="673"/>
        <v/>
      </c>
      <c r="AJ1694" s="8">
        <f t="shared" si="674"/>
        <v>11.370925925926713</v>
      </c>
      <c r="AK1694" s="38" t="str">
        <f t="shared" si="664"/>
        <v/>
      </c>
      <c r="AL1694" t="str">
        <f t="shared" si="675"/>
        <v/>
      </c>
      <c r="AM1694" t="str">
        <f t="shared" si="676"/>
        <v/>
      </c>
      <c r="AN1694" t="str">
        <f t="shared" si="677"/>
        <v/>
      </c>
      <c r="AO1694">
        <f t="shared" si="678"/>
        <v>4</v>
      </c>
      <c r="AP1694">
        <f t="shared" si="679"/>
        <v>0</v>
      </c>
      <c r="AQ1694" t="str">
        <f t="shared" si="680"/>
        <v/>
      </c>
    </row>
    <row r="1695" spans="1:43" x14ac:dyDescent="0.35">
      <c r="A1695">
        <v>172</v>
      </c>
      <c r="B1695" t="s">
        <v>5277</v>
      </c>
      <c r="C1695" t="s">
        <v>4502</v>
      </c>
      <c r="D1695" t="str">
        <f t="shared" si="662"/>
        <v>Finance</v>
      </c>
      <c r="E1695" t="s">
        <v>4968</v>
      </c>
      <c r="F1695" t="s">
        <v>5261</v>
      </c>
      <c r="G1695" t="s">
        <v>5262</v>
      </c>
      <c r="H1695" t="s">
        <v>697</v>
      </c>
      <c r="I1695" s="32">
        <v>45093.370925925927</v>
      </c>
      <c r="J1695" s="32">
        <v>45095.370925925927</v>
      </c>
      <c r="K1695" s="32">
        <v>45097.370925925927</v>
      </c>
      <c r="L1695" s="8">
        <f t="shared" si="663"/>
        <v>4</v>
      </c>
      <c r="M1695" s="7">
        <v>45111.370925925927</v>
      </c>
      <c r="N1695" t="s">
        <v>49</v>
      </c>
      <c r="O1695" s="34">
        <v>45111.370925925927</v>
      </c>
      <c r="P1695" t="s">
        <v>60</v>
      </c>
      <c r="R1695" s="32">
        <v>45117.370925925927</v>
      </c>
      <c r="S1695" t="s">
        <v>61</v>
      </c>
      <c r="T1695" s="34" t="s">
        <v>7476</v>
      </c>
      <c r="U1695" s="34" t="s">
        <v>7476</v>
      </c>
      <c r="V1695" s="32">
        <v>45113.370925925927</v>
      </c>
      <c r="W1695" s="32" t="s">
        <v>7476</v>
      </c>
      <c r="X1695">
        <v>0</v>
      </c>
      <c r="Y1695" s="34" t="s">
        <v>7476</v>
      </c>
      <c r="Z1695" s="34" t="s">
        <v>7476</v>
      </c>
      <c r="AA1695" s="34" t="s">
        <v>7476</v>
      </c>
      <c r="AB1695" s="36" t="s">
        <v>7476</v>
      </c>
      <c r="AD1695" t="s">
        <v>5278</v>
      </c>
      <c r="AE1695" t="s">
        <v>5279</v>
      </c>
      <c r="AF1695" s="16">
        <v>45092</v>
      </c>
      <c r="AG1695" t="s">
        <v>98</v>
      </c>
      <c r="AH1695">
        <v>6</v>
      </c>
      <c r="AI1695" s="8">
        <f t="shared" si="673"/>
        <v>25.370925925926713</v>
      </c>
      <c r="AJ1695" s="8">
        <f t="shared" si="674"/>
        <v>19.370925925926713</v>
      </c>
      <c r="AK1695" s="38">
        <f t="shared" si="664"/>
        <v>45293.370925925927</v>
      </c>
      <c r="AL1695" t="str">
        <f t="shared" si="675"/>
        <v/>
      </c>
      <c r="AM1695">
        <f t="shared" si="676"/>
        <v>22</v>
      </c>
      <c r="AN1695">
        <f t="shared" si="677"/>
        <v>2</v>
      </c>
      <c r="AO1695">
        <f t="shared" si="678"/>
        <v>2</v>
      </c>
      <c r="AP1695">
        <f t="shared" si="679"/>
        <v>0</v>
      </c>
      <c r="AQ1695" t="str">
        <f t="shared" si="680"/>
        <v/>
      </c>
    </row>
    <row r="1696" spans="1:43" x14ac:dyDescent="0.35">
      <c r="A1696">
        <v>103</v>
      </c>
      <c r="B1696" t="s">
        <v>5280</v>
      </c>
      <c r="C1696" t="s">
        <v>4480</v>
      </c>
      <c r="D1696" t="str">
        <f t="shared" si="662"/>
        <v>Finance</v>
      </c>
      <c r="E1696" t="s">
        <v>4968</v>
      </c>
      <c r="F1696" t="s">
        <v>5261</v>
      </c>
      <c r="G1696" t="s">
        <v>5262</v>
      </c>
      <c r="H1696" t="s">
        <v>697</v>
      </c>
      <c r="I1696" s="32">
        <v>45016.880046296297</v>
      </c>
      <c r="J1696" s="32">
        <v>45017.880046296297</v>
      </c>
      <c r="K1696" s="32">
        <v>45019.880046296297</v>
      </c>
      <c r="L1696" s="8">
        <f t="shared" si="663"/>
        <v>3</v>
      </c>
      <c r="M1696" s="7">
        <v>45024.880046296297</v>
      </c>
      <c r="N1696" t="s">
        <v>49</v>
      </c>
      <c r="O1696" s="34">
        <v>45031.880046296297</v>
      </c>
      <c r="P1696" t="s">
        <v>101</v>
      </c>
      <c r="R1696" s="32">
        <v>45037.880046296297</v>
      </c>
      <c r="S1696" t="s">
        <v>101</v>
      </c>
      <c r="T1696" s="34">
        <v>45033.880046296297</v>
      </c>
      <c r="U1696" s="34">
        <v>45036.880046296297</v>
      </c>
      <c r="V1696" s="32">
        <v>45033.880046296297</v>
      </c>
      <c r="W1696" s="32">
        <v>45034.880046296297</v>
      </c>
      <c r="X1696">
        <v>1</v>
      </c>
      <c r="Y1696" s="34">
        <v>45037.880046296297</v>
      </c>
      <c r="Z1696" s="34">
        <v>45039.880046296297</v>
      </c>
      <c r="AA1696" s="34">
        <v>45042.880046296297</v>
      </c>
      <c r="AB1696" s="36" t="s">
        <v>7476</v>
      </c>
      <c r="AC1696" s="10">
        <v>45050.880046296297</v>
      </c>
      <c r="AD1696" t="s">
        <v>5281</v>
      </c>
      <c r="AE1696" t="s">
        <v>5282</v>
      </c>
      <c r="AF1696" s="16">
        <v>45012</v>
      </c>
      <c r="AG1696" t="s">
        <v>64</v>
      </c>
      <c r="AH1696">
        <v>3</v>
      </c>
      <c r="AI1696" s="8">
        <f t="shared" si="673"/>
        <v>25.880046296297223</v>
      </c>
      <c r="AJ1696" s="8">
        <f t="shared" si="674"/>
        <v>19.880046296297223</v>
      </c>
      <c r="AK1696" s="38">
        <f t="shared" si="664"/>
        <v>45123.880046296297</v>
      </c>
      <c r="AL1696">
        <f t="shared" si="675"/>
        <v>5</v>
      </c>
      <c r="AM1696">
        <f t="shared" si="676"/>
        <v>20</v>
      </c>
      <c r="AN1696">
        <f t="shared" si="677"/>
        <v>2</v>
      </c>
      <c r="AO1696">
        <f t="shared" si="678"/>
        <v>1</v>
      </c>
      <c r="AP1696">
        <f t="shared" si="679"/>
        <v>45049.880046296297</v>
      </c>
      <c r="AQ1696">
        <f t="shared" si="680"/>
        <v>8</v>
      </c>
    </row>
    <row r="1697" spans="1:43" x14ac:dyDescent="0.35">
      <c r="A1697">
        <v>102</v>
      </c>
      <c r="B1697" t="s">
        <v>5283</v>
      </c>
      <c r="C1697" t="s">
        <v>4502</v>
      </c>
      <c r="D1697" t="str">
        <f t="shared" si="662"/>
        <v>Finance</v>
      </c>
      <c r="E1697" t="s">
        <v>4968</v>
      </c>
      <c r="F1697" t="s">
        <v>5261</v>
      </c>
      <c r="G1697" t="s">
        <v>5262</v>
      </c>
      <c r="H1697" t="s">
        <v>697</v>
      </c>
      <c r="I1697" s="32">
        <v>45010.880046296297</v>
      </c>
      <c r="J1697" s="32">
        <v>45014.880046296297</v>
      </c>
      <c r="K1697" s="32">
        <v>45019.880046296297</v>
      </c>
      <c r="L1697" s="8">
        <f t="shared" si="663"/>
        <v>9</v>
      </c>
      <c r="M1697" s="7">
        <v>45034.880046296297</v>
      </c>
      <c r="N1697" t="s">
        <v>49</v>
      </c>
      <c r="O1697" s="34">
        <v>45024.880046296297</v>
      </c>
      <c r="P1697" t="s">
        <v>101</v>
      </c>
      <c r="R1697" s="32">
        <v>45026.880046296297</v>
      </c>
      <c r="S1697" t="s">
        <v>101</v>
      </c>
      <c r="T1697" s="34">
        <v>45025.880046296297</v>
      </c>
      <c r="U1697" s="34">
        <v>45029.880046296297</v>
      </c>
      <c r="V1697" s="32">
        <v>45025.880046296297</v>
      </c>
      <c r="W1697" s="32">
        <v>45026.880046296297</v>
      </c>
      <c r="X1697">
        <v>1</v>
      </c>
      <c r="Y1697" s="34">
        <v>45028.880046296297</v>
      </c>
      <c r="Z1697" s="34">
        <v>45031.880046296297</v>
      </c>
      <c r="AA1697" s="34">
        <v>45032.880046296297</v>
      </c>
      <c r="AB1697" s="36" t="s">
        <v>7476</v>
      </c>
      <c r="AC1697" s="10">
        <v>45046.880046296297</v>
      </c>
      <c r="AD1697" t="s">
        <v>5284</v>
      </c>
      <c r="AE1697" t="s">
        <v>5285</v>
      </c>
      <c r="AF1697" s="16">
        <v>45016</v>
      </c>
      <c r="AG1697" t="s">
        <v>68</v>
      </c>
      <c r="AH1697">
        <v>6</v>
      </c>
      <c r="AI1697" s="8">
        <f t="shared" si="673"/>
        <v>10.880046296297223</v>
      </c>
      <c r="AJ1697" s="8">
        <f t="shared" si="674"/>
        <v>8.8800462962972233</v>
      </c>
      <c r="AK1697" s="38">
        <f t="shared" si="664"/>
        <v>45205.880046296297</v>
      </c>
      <c r="AL1697">
        <f t="shared" si="675"/>
        <v>5</v>
      </c>
      <c r="AM1697">
        <f t="shared" si="676"/>
        <v>12</v>
      </c>
      <c r="AN1697">
        <f t="shared" si="677"/>
        <v>1</v>
      </c>
      <c r="AO1697">
        <f t="shared" si="678"/>
        <v>4</v>
      </c>
      <c r="AP1697">
        <f t="shared" si="679"/>
        <v>45045.880046296297</v>
      </c>
      <c r="AQ1697">
        <f t="shared" si="680"/>
        <v>6</v>
      </c>
    </row>
    <row r="1698" spans="1:43" x14ac:dyDescent="0.35">
      <c r="A1698">
        <v>99</v>
      </c>
      <c r="B1698" t="s">
        <v>5286</v>
      </c>
      <c r="C1698" t="s">
        <v>4480</v>
      </c>
      <c r="D1698" t="str">
        <f t="shared" si="662"/>
        <v>Finance</v>
      </c>
      <c r="E1698" t="s">
        <v>4968</v>
      </c>
      <c r="F1698" t="s">
        <v>5261</v>
      </c>
      <c r="G1698" t="s">
        <v>5262</v>
      </c>
      <c r="H1698" t="s">
        <v>697</v>
      </c>
      <c r="I1698" s="32">
        <v>44839.587280092594</v>
      </c>
      <c r="J1698" s="32">
        <v>44842.587280092594</v>
      </c>
      <c r="K1698" s="32" t="s">
        <v>7473</v>
      </c>
      <c r="L1698" s="8" t="str">
        <f t="shared" si="663"/>
        <v/>
      </c>
      <c r="M1698" s="7">
        <v>44871.587280092594</v>
      </c>
      <c r="N1698" t="s">
        <v>49</v>
      </c>
      <c r="O1698" s="34">
        <v>44851.587280092594</v>
      </c>
      <c r="P1698" t="s">
        <v>101</v>
      </c>
      <c r="R1698" s="32">
        <v>44856.587280092594</v>
      </c>
      <c r="S1698" t="s">
        <v>101</v>
      </c>
      <c r="T1698" s="34">
        <v>44853.587280092594</v>
      </c>
      <c r="U1698" s="34">
        <v>44854.587280092594</v>
      </c>
      <c r="V1698" s="32">
        <v>44852.587280092594</v>
      </c>
      <c r="W1698" s="32">
        <v>44855.587280092594</v>
      </c>
      <c r="X1698">
        <v>1</v>
      </c>
      <c r="Y1698" s="34">
        <v>44859.587280092594</v>
      </c>
      <c r="Z1698" s="34">
        <v>44860.587280092594</v>
      </c>
      <c r="AA1698" s="34">
        <v>44862.587280092594</v>
      </c>
      <c r="AB1698" s="36" t="s">
        <v>7476</v>
      </c>
      <c r="AC1698" s="10">
        <v>44877.587280092594</v>
      </c>
      <c r="AD1698" t="s">
        <v>5287</v>
      </c>
      <c r="AE1698" t="s">
        <v>5288</v>
      </c>
      <c r="AF1698" s="16">
        <v>44839</v>
      </c>
      <c r="AG1698" t="s">
        <v>75</v>
      </c>
      <c r="AH1698">
        <v>6</v>
      </c>
      <c r="AK1698" s="38">
        <f t="shared" si="664"/>
        <v>45032.587280092594</v>
      </c>
    </row>
    <row r="1699" spans="1:43" x14ac:dyDescent="0.35">
      <c r="A1699">
        <v>97</v>
      </c>
      <c r="B1699" t="s">
        <v>5289</v>
      </c>
      <c r="C1699" t="s">
        <v>4502</v>
      </c>
      <c r="D1699" t="str">
        <f t="shared" si="662"/>
        <v>Finance</v>
      </c>
      <c r="E1699" t="s">
        <v>4968</v>
      </c>
      <c r="F1699" t="s">
        <v>5261</v>
      </c>
      <c r="G1699" t="s">
        <v>5262</v>
      </c>
      <c r="H1699" t="s">
        <v>697</v>
      </c>
      <c r="I1699" s="32" t="s">
        <v>7471</v>
      </c>
      <c r="J1699" s="32">
        <v>44841.587280092594</v>
      </c>
      <c r="K1699" s="32">
        <v>44847.587280092594</v>
      </c>
      <c r="L1699" s="8" t="str">
        <f t="shared" si="663"/>
        <v/>
      </c>
      <c r="M1699" s="7">
        <v>44863.587280092594</v>
      </c>
      <c r="N1699" t="s">
        <v>49</v>
      </c>
      <c r="O1699" s="34">
        <v>44851.587280092594</v>
      </c>
      <c r="P1699" t="s">
        <v>101</v>
      </c>
      <c r="R1699" s="32">
        <v>44855.587280092594</v>
      </c>
      <c r="S1699" t="s">
        <v>101</v>
      </c>
      <c r="T1699" s="34">
        <v>44853.587280092594</v>
      </c>
      <c r="U1699" s="34">
        <v>44856.587280092594</v>
      </c>
      <c r="V1699" s="32">
        <v>44852.587280092594</v>
      </c>
      <c r="W1699" s="32">
        <v>44856.587280092594</v>
      </c>
      <c r="X1699">
        <v>1</v>
      </c>
      <c r="Y1699" s="34">
        <v>44858.587280092594</v>
      </c>
      <c r="Z1699" s="34">
        <v>44861.587280092594</v>
      </c>
      <c r="AA1699" s="34">
        <v>44863.587280092594</v>
      </c>
      <c r="AB1699" s="36" t="s">
        <v>7476</v>
      </c>
      <c r="AC1699" s="10">
        <v>44881.587280092594</v>
      </c>
      <c r="AD1699" t="s">
        <v>5290</v>
      </c>
      <c r="AE1699" t="s">
        <v>5291</v>
      </c>
      <c r="AF1699" s="16">
        <v>44571</v>
      </c>
      <c r="AG1699" t="s">
        <v>98</v>
      </c>
      <c r="AH1699">
        <v>3</v>
      </c>
      <c r="AK1699" s="38">
        <f t="shared" si="664"/>
        <v>44942.587280092594</v>
      </c>
    </row>
    <row r="1700" spans="1:43" x14ac:dyDescent="0.35">
      <c r="A1700">
        <v>92</v>
      </c>
      <c r="B1700" t="s">
        <v>5292</v>
      </c>
      <c r="C1700" t="s">
        <v>4480</v>
      </c>
      <c r="D1700" t="str">
        <f t="shared" si="662"/>
        <v>Finance</v>
      </c>
      <c r="E1700" t="s">
        <v>4968</v>
      </c>
      <c r="F1700" t="s">
        <v>5261</v>
      </c>
      <c r="G1700" t="s">
        <v>5262</v>
      </c>
      <c r="H1700" t="s">
        <v>697</v>
      </c>
      <c r="I1700" s="32">
        <v>44840.587280092594</v>
      </c>
      <c r="J1700" s="32">
        <v>44841.587280092594</v>
      </c>
      <c r="K1700" s="32">
        <v>44847.587280092594</v>
      </c>
      <c r="L1700" s="8">
        <f t="shared" si="663"/>
        <v>7</v>
      </c>
      <c r="M1700" s="7">
        <v>44876.587280092594</v>
      </c>
      <c r="N1700" t="s">
        <v>49</v>
      </c>
      <c r="O1700" s="34">
        <v>44860.587280092594</v>
      </c>
      <c r="P1700" t="s">
        <v>101</v>
      </c>
      <c r="R1700" s="32">
        <v>44868.587280092594</v>
      </c>
      <c r="S1700" t="s">
        <v>101</v>
      </c>
      <c r="T1700" s="34">
        <v>44861.587280092594</v>
      </c>
      <c r="U1700" s="34">
        <v>44863.587280092594</v>
      </c>
      <c r="V1700" s="32">
        <v>44864.587280092594</v>
      </c>
      <c r="W1700" s="32">
        <v>44872.587280092594</v>
      </c>
      <c r="X1700">
        <v>1</v>
      </c>
      <c r="Y1700" s="34">
        <v>44873.587280092594</v>
      </c>
      <c r="Z1700" s="34">
        <v>44876.587280092594</v>
      </c>
      <c r="AA1700" s="34">
        <v>44879.587280092594</v>
      </c>
      <c r="AB1700" s="36" t="s">
        <v>7476</v>
      </c>
      <c r="AC1700" s="10">
        <v>44900.587280092594</v>
      </c>
      <c r="AD1700" t="s">
        <v>5293</v>
      </c>
      <c r="AE1700" t="s">
        <v>5294</v>
      </c>
      <c r="AF1700" s="16">
        <v>44850</v>
      </c>
      <c r="AG1700" t="s">
        <v>68</v>
      </c>
      <c r="AH1700">
        <v>6</v>
      </c>
      <c r="AI1700" s="8">
        <f>IFERROR(R1700-AF1700,"")</f>
        <v>18.587280092593573</v>
      </c>
      <c r="AJ1700" s="8">
        <f>IFERROR(O1700-AF1700,"")</f>
        <v>10.587280092593573</v>
      </c>
      <c r="AK1700" s="38">
        <f t="shared" si="664"/>
        <v>45044.587280092594</v>
      </c>
      <c r="AL1700">
        <f>IFERROR(Z1700-W1700,"")</f>
        <v>4</v>
      </c>
      <c r="AM1700">
        <f>IFERROR(R1700-J1700,"")</f>
        <v>27</v>
      </c>
      <c r="AN1700">
        <f>IFERROR(V1700-O1700,"")</f>
        <v>4</v>
      </c>
      <c r="AO1700">
        <f>IFERROR(J1700-I1700,"")</f>
        <v>1</v>
      </c>
      <c r="AP1700">
        <f>IFERROR(AC1700-X1700,"")</f>
        <v>44899.587280092594</v>
      </c>
      <c r="AQ1700">
        <f>IFERROR(AA1700-W1700,"")</f>
        <v>7</v>
      </c>
    </row>
    <row r="1701" spans="1:43" x14ac:dyDescent="0.35">
      <c r="A1701">
        <v>79</v>
      </c>
      <c r="B1701" t="s">
        <v>5295</v>
      </c>
      <c r="C1701" t="s">
        <v>4480</v>
      </c>
      <c r="D1701" t="str">
        <f t="shared" si="662"/>
        <v>Finance</v>
      </c>
      <c r="E1701" t="s">
        <v>4968</v>
      </c>
      <c r="F1701" t="s">
        <v>5261</v>
      </c>
      <c r="G1701" t="s">
        <v>5262</v>
      </c>
      <c r="H1701" t="s">
        <v>697</v>
      </c>
      <c r="I1701" s="32">
        <v>44749.410798611112</v>
      </c>
      <c r="J1701" s="32">
        <v>44752.410798611112</v>
      </c>
      <c r="K1701" s="32" t="s">
        <v>7473</v>
      </c>
      <c r="L1701" s="8" t="str">
        <f t="shared" si="663"/>
        <v/>
      </c>
      <c r="M1701" s="7">
        <v>44771.410798611112</v>
      </c>
      <c r="N1701" t="s">
        <v>49</v>
      </c>
      <c r="O1701" s="34">
        <v>44764.410798611112</v>
      </c>
      <c r="P1701" t="s">
        <v>50</v>
      </c>
      <c r="Q1701" t="s">
        <v>125</v>
      </c>
      <c r="R1701" s="32" t="s">
        <v>7472</v>
      </c>
      <c r="S1701" t="s">
        <v>7476</v>
      </c>
      <c r="T1701" s="34" t="s">
        <v>7476</v>
      </c>
      <c r="U1701" s="34" t="s">
        <v>7476</v>
      </c>
      <c r="V1701" s="32" t="s">
        <v>7476</v>
      </c>
      <c r="W1701" s="32" t="s">
        <v>7476</v>
      </c>
      <c r="X1701">
        <v>0</v>
      </c>
      <c r="Y1701" s="34" t="s">
        <v>7476</v>
      </c>
      <c r="Z1701" s="34" t="s">
        <v>7476</v>
      </c>
      <c r="AA1701" s="34" t="s">
        <v>7476</v>
      </c>
      <c r="AB1701" s="36" t="s">
        <v>95</v>
      </c>
      <c r="AD1701" t="s">
        <v>5296</v>
      </c>
      <c r="AE1701" t="s">
        <v>5297</v>
      </c>
      <c r="AF1701" s="16">
        <v>44749</v>
      </c>
      <c r="AG1701" t="s">
        <v>98</v>
      </c>
      <c r="AH1701">
        <v>3</v>
      </c>
      <c r="AK1701" s="38" t="str">
        <f t="shared" si="664"/>
        <v/>
      </c>
    </row>
    <row r="1702" spans="1:43" x14ac:dyDescent="0.35">
      <c r="A1702">
        <v>76</v>
      </c>
      <c r="B1702" t="s">
        <v>5298</v>
      </c>
      <c r="C1702" t="s">
        <v>4502</v>
      </c>
      <c r="D1702" t="str">
        <f t="shared" si="662"/>
        <v>Finance</v>
      </c>
      <c r="E1702" t="s">
        <v>4968</v>
      </c>
      <c r="F1702" t="s">
        <v>5261</v>
      </c>
      <c r="G1702" t="s">
        <v>5262</v>
      </c>
      <c r="H1702" t="s">
        <v>697</v>
      </c>
      <c r="I1702" s="32">
        <v>44752.410798611112</v>
      </c>
      <c r="J1702" s="32">
        <v>44753.410798611112</v>
      </c>
      <c r="K1702" s="32">
        <v>44754.410798611112</v>
      </c>
      <c r="L1702" s="8">
        <f t="shared" si="663"/>
        <v>2</v>
      </c>
      <c r="M1702" s="7">
        <v>44781.410798611112</v>
      </c>
      <c r="N1702" t="s">
        <v>72</v>
      </c>
      <c r="O1702" s="34" t="s">
        <v>7474</v>
      </c>
      <c r="R1702" s="32" t="s">
        <v>7472</v>
      </c>
      <c r="S1702" t="s">
        <v>7476</v>
      </c>
      <c r="T1702" s="34" t="s">
        <v>7476</v>
      </c>
      <c r="U1702" s="34" t="s">
        <v>7476</v>
      </c>
      <c r="V1702" s="32" t="s">
        <v>7476</v>
      </c>
      <c r="W1702" s="32" t="s">
        <v>7476</v>
      </c>
      <c r="X1702">
        <v>0</v>
      </c>
      <c r="Y1702" s="34" t="s">
        <v>7476</v>
      </c>
      <c r="Z1702" s="34" t="s">
        <v>7476</v>
      </c>
      <c r="AA1702" s="34" t="s">
        <v>7476</v>
      </c>
      <c r="AB1702" s="36" t="s">
        <v>7476</v>
      </c>
      <c r="AD1702" t="s">
        <v>5299</v>
      </c>
      <c r="AE1702" t="s">
        <v>5300</v>
      </c>
      <c r="AG1702" t="s">
        <v>64</v>
      </c>
      <c r="AH1702">
        <v>3</v>
      </c>
      <c r="AI1702" s="8" t="str">
        <f>IFERROR(R1702-AF1702,"")</f>
        <v/>
      </c>
      <c r="AJ1702" s="8" t="str">
        <f>IFERROR(O1702-AF1702,"")</f>
        <v/>
      </c>
      <c r="AK1702" s="38" t="str">
        <f t="shared" si="664"/>
        <v/>
      </c>
      <c r="AL1702" t="str">
        <f>IFERROR(Z1702-W1702,"")</f>
        <v/>
      </c>
      <c r="AM1702" t="str">
        <f>IFERROR(R1702-J1702,"")</f>
        <v/>
      </c>
      <c r="AN1702" t="str">
        <f>IFERROR(V1702-O1702,"")</f>
        <v/>
      </c>
      <c r="AO1702">
        <f>IFERROR(J1702-I1702,"")</f>
        <v>1</v>
      </c>
      <c r="AP1702">
        <f>IFERROR(AC1702-X1702,"")</f>
        <v>0</v>
      </c>
      <c r="AQ1702" t="str">
        <f>IFERROR(AA1702-W1702,"")</f>
        <v/>
      </c>
    </row>
    <row r="1703" spans="1:43" x14ac:dyDescent="0.35">
      <c r="A1703">
        <v>24</v>
      </c>
      <c r="B1703" t="s">
        <v>5301</v>
      </c>
      <c r="C1703" t="s">
        <v>4502</v>
      </c>
      <c r="D1703" t="str">
        <f t="shared" si="662"/>
        <v>Finance</v>
      </c>
      <c r="E1703" t="s">
        <v>4968</v>
      </c>
      <c r="F1703" t="s">
        <v>5261</v>
      </c>
      <c r="G1703" t="s">
        <v>5262</v>
      </c>
      <c r="H1703" t="s">
        <v>697</v>
      </c>
      <c r="I1703" s="32">
        <v>44919.453449074077</v>
      </c>
      <c r="J1703" s="32" t="s">
        <v>7471</v>
      </c>
      <c r="K1703" s="32">
        <v>44927.453449074077</v>
      </c>
      <c r="L1703" s="8">
        <f t="shared" si="663"/>
        <v>8</v>
      </c>
      <c r="M1703" s="7">
        <v>44955.453449074077</v>
      </c>
      <c r="N1703" t="s">
        <v>49</v>
      </c>
      <c r="O1703" s="34">
        <v>44938.453449074077</v>
      </c>
      <c r="P1703" t="s">
        <v>50</v>
      </c>
      <c r="Q1703" t="s">
        <v>236</v>
      </c>
      <c r="R1703" s="32" t="s">
        <v>7472</v>
      </c>
      <c r="S1703" t="s">
        <v>7476</v>
      </c>
      <c r="T1703" s="34" t="s">
        <v>7476</v>
      </c>
      <c r="U1703" s="34" t="s">
        <v>7476</v>
      </c>
      <c r="V1703" s="32">
        <v>44941.453449074077</v>
      </c>
      <c r="W1703" s="32" t="s">
        <v>7476</v>
      </c>
      <c r="X1703">
        <v>0</v>
      </c>
      <c r="Y1703" s="34" t="s">
        <v>7476</v>
      </c>
      <c r="Z1703" s="34" t="s">
        <v>7476</v>
      </c>
      <c r="AA1703" s="34" t="s">
        <v>7476</v>
      </c>
      <c r="AB1703" s="36" t="s">
        <v>52</v>
      </c>
      <c r="AD1703" t="s">
        <v>5302</v>
      </c>
      <c r="AE1703" t="s">
        <v>5303</v>
      </c>
      <c r="AF1703" s="16">
        <v>44926</v>
      </c>
      <c r="AG1703" t="s">
        <v>98</v>
      </c>
      <c r="AH1703">
        <v>3</v>
      </c>
      <c r="AK1703" s="38">
        <f t="shared" si="664"/>
        <v>45031.453449074077</v>
      </c>
    </row>
    <row r="1704" spans="1:43" x14ac:dyDescent="0.35">
      <c r="A1704">
        <v>17</v>
      </c>
      <c r="B1704" t="s">
        <v>5304</v>
      </c>
      <c r="C1704" t="s">
        <v>4480</v>
      </c>
      <c r="D1704" t="str">
        <f t="shared" si="662"/>
        <v>Finance</v>
      </c>
      <c r="E1704" t="s">
        <v>4968</v>
      </c>
      <c r="F1704" t="s">
        <v>5261</v>
      </c>
      <c r="G1704" t="s">
        <v>5262</v>
      </c>
      <c r="H1704" t="s">
        <v>697</v>
      </c>
      <c r="I1704" s="32">
        <v>44633.901284722233</v>
      </c>
      <c r="J1704" s="32">
        <v>44636.901284722233</v>
      </c>
      <c r="K1704" s="32">
        <v>44642.901284722233</v>
      </c>
      <c r="L1704" s="8">
        <f t="shared" si="663"/>
        <v>9</v>
      </c>
      <c r="M1704" s="7">
        <v>44648.901284722233</v>
      </c>
      <c r="N1704" t="s">
        <v>49</v>
      </c>
      <c r="O1704" s="34">
        <v>44652.901284722233</v>
      </c>
      <c r="P1704" t="s">
        <v>60</v>
      </c>
      <c r="R1704" s="32">
        <v>44656.901284722233</v>
      </c>
      <c r="S1704" t="s">
        <v>61</v>
      </c>
      <c r="T1704" s="34" t="s">
        <v>7476</v>
      </c>
      <c r="U1704" s="34" t="s">
        <v>7476</v>
      </c>
      <c r="V1704" s="32">
        <v>44655.901284722233</v>
      </c>
      <c r="W1704" s="32" t="s">
        <v>7476</v>
      </c>
      <c r="X1704">
        <v>0</v>
      </c>
      <c r="Y1704" s="34" t="s">
        <v>7476</v>
      </c>
      <c r="Z1704" s="34" t="s">
        <v>7476</v>
      </c>
      <c r="AA1704" s="34" t="s">
        <v>7476</v>
      </c>
      <c r="AB1704" s="36" t="s">
        <v>7476</v>
      </c>
      <c r="AD1704" t="s">
        <v>5305</v>
      </c>
      <c r="AE1704" t="s">
        <v>5306</v>
      </c>
      <c r="AF1704" s="16">
        <v>44647</v>
      </c>
      <c r="AG1704" t="s">
        <v>64</v>
      </c>
      <c r="AH1704">
        <v>3</v>
      </c>
      <c r="AI1704" s="8">
        <f>IFERROR(R1704-AF1704,"")</f>
        <v>9.9012847222329583</v>
      </c>
      <c r="AJ1704" s="8">
        <f>IFERROR(O1704-AF1704,"")</f>
        <v>5.9012847222329583</v>
      </c>
      <c r="AK1704" s="38">
        <f t="shared" si="664"/>
        <v>44745.901284722233</v>
      </c>
      <c r="AL1704" t="str">
        <f>IFERROR(Z1704-W1704,"")</f>
        <v/>
      </c>
      <c r="AM1704">
        <f>IFERROR(R1704-J1704,"")</f>
        <v>20</v>
      </c>
      <c r="AN1704">
        <f>IFERROR(V1704-O1704,"")</f>
        <v>3</v>
      </c>
      <c r="AO1704">
        <f>IFERROR(J1704-I1704,"")</f>
        <v>3</v>
      </c>
      <c r="AP1704">
        <f>IFERROR(AC1704-X1704,"")</f>
        <v>0</v>
      </c>
      <c r="AQ1704" t="str">
        <f>IFERROR(AA1704-W1704,"")</f>
        <v/>
      </c>
    </row>
    <row r="1705" spans="1:43" x14ac:dyDescent="0.35">
      <c r="A1705">
        <v>2848</v>
      </c>
      <c r="B1705" t="s">
        <v>5307</v>
      </c>
      <c r="C1705" t="s">
        <v>4480</v>
      </c>
      <c r="D1705" t="str">
        <f t="shared" si="662"/>
        <v>Finance</v>
      </c>
      <c r="E1705" t="s">
        <v>5308</v>
      </c>
      <c r="F1705" t="s">
        <v>46</v>
      </c>
      <c r="G1705" t="s">
        <v>5309</v>
      </c>
      <c r="H1705" t="s">
        <v>48</v>
      </c>
      <c r="I1705" s="32">
        <v>44651.443379629629</v>
      </c>
      <c r="J1705" s="32">
        <v>44652.443379629629</v>
      </c>
      <c r="K1705" s="32">
        <v>44658.443379629629</v>
      </c>
      <c r="L1705" s="8">
        <f t="shared" si="663"/>
        <v>7</v>
      </c>
      <c r="M1705" s="7">
        <v>44728.443379629629</v>
      </c>
      <c r="N1705" t="s">
        <v>49</v>
      </c>
      <c r="O1705" s="34">
        <v>44670.443379629629</v>
      </c>
      <c r="P1705" t="s">
        <v>60</v>
      </c>
      <c r="R1705" s="32">
        <v>44672.443379629629</v>
      </c>
      <c r="S1705" t="s">
        <v>61</v>
      </c>
      <c r="T1705" s="34" t="s">
        <v>7476</v>
      </c>
      <c r="U1705" s="34" t="s">
        <v>7476</v>
      </c>
      <c r="V1705" s="32">
        <v>44671.443379629629</v>
      </c>
      <c r="W1705" s="32" t="s">
        <v>7476</v>
      </c>
      <c r="X1705">
        <v>0</v>
      </c>
      <c r="Y1705" s="34" t="s">
        <v>7476</v>
      </c>
      <c r="Z1705" s="34" t="s">
        <v>7476</v>
      </c>
      <c r="AA1705" s="34" t="s">
        <v>7476</v>
      </c>
      <c r="AB1705" s="36" t="s">
        <v>7476</v>
      </c>
      <c r="AD1705" t="s">
        <v>5310</v>
      </c>
      <c r="AE1705" t="s">
        <v>5311</v>
      </c>
      <c r="AF1705" s="16">
        <v>44651</v>
      </c>
      <c r="AG1705" t="s">
        <v>64</v>
      </c>
      <c r="AH1705">
        <v>6</v>
      </c>
      <c r="AI1705" s="8">
        <f>IFERROR(R1705-AF1705,"")</f>
        <v>21.443379629628907</v>
      </c>
      <c r="AJ1705" s="8">
        <f>IFERROR(O1705-AF1705,"")</f>
        <v>19.443379629628907</v>
      </c>
      <c r="AK1705" s="38">
        <f t="shared" si="664"/>
        <v>44851.443379629629</v>
      </c>
      <c r="AL1705" t="str">
        <f>IFERROR(Z1705-W1705,"")</f>
        <v/>
      </c>
      <c r="AM1705">
        <f>IFERROR(R1705-J1705,"")</f>
        <v>20</v>
      </c>
      <c r="AN1705">
        <f>IFERROR(V1705-O1705,"")</f>
        <v>1</v>
      </c>
      <c r="AO1705">
        <f>IFERROR(J1705-I1705,"")</f>
        <v>1</v>
      </c>
      <c r="AP1705">
        <f>IFERROR(AC1705-X1705,"")</f>
        <v>0</v>
      </c>
      <c r="AQ1705" t="str">
        <f>IFERROR(AA1705-W1705,"")</f>
        <v/>
      </c>
    </row>
    <row r="1706" spans="1:43" x14ac:dyDescent="0.35">
      <c r="A1706">
        <v>2845</v>
      </c>
      <c r="B1706" t="s">
        <v>5312</v>
      </c>
      <c r="C1706" t="s">
        <v>4471</v>
      </c>
      <c r="D1706" t="str">
        <f t="shared" si="662"/>
        <v>Finance</v>
      </c>
      <c r="E1706" t="s">
        <v>5308</v>
      </c>
      <c r="F1706" t="s">
        <v>46</v>
      </c>
      <c r="G1706" t="s">
        <v>5309</v>
      </c>
      <c r="H1706" t="s">
        <v>48</v>
      </c>
      <c r="I1706" s="32">
        <v>44650.443379629629</v>
      </c>
      <c r="J1706" s="32" t="s">
        <v>7471</v>
      </c>
      <c r="K1706" s="32">
        <v>44658.443379629629</v>
      </c>
      <c r="L1706" s="8">
        <f t="shared" si="663"/>
        <v>8</v>
      </c>
      <c r="M1706" s="7">
        <v>44664.443379629629</v>
      </c>
      <c r="N1706" t="s">
        <v>72</v>
      </c>
      <c r="O1706" s="34" t="s">
        <v>7474</v>
      </c>
      <c r="R1706" s="32" t="s">
        <v>7472</v>
      </c>
      <c r="S1706" t="s">
        <v>7476</v>
      </c>
      <c r="T1706" s="34" t="s">
        <v>7476</v>
      </c>
      <c r="U1706" s="34" t="s">
        <v>7476</v>
      </c>
      <c r="V1706" s="32" t="s">
        <v>7476</v>
      </c>
      <c r="W1706" s="32" t="s">
        <v>7476</v>
      </c>
      <c r="X1706">
        <v>0</v>
      </c>
      <c r="Y1706" s="34" t="s">
        <v>7476</v>
      </c>
      <c r="Z1706" s="34" t="s">
        <v>7476</v>
      </c>
      <c r="AA1706" s="34" t="s">
        <v>7476</v>
      </c>
      <c r="AB1706" s="36" t="s">
        <v>7476</v>
      </c>
      <c r="AD1706" t="s">
        <v>5313</v>
      </c>
      <c r="AE1706" t="s">
        <v>5314</v>
      </c>
      <c r="AG1706" t="s">
        <v>75</v>
      </c>
      <c r="AH1706">
        <v>6</v>
      </c>
      <c r="AK1706" s="38" t="str">
        <f t="shared" si="664"/>
        <v/>
      </c>
    </row>
    <row r="1707" spans="1:43" x14ac:dyDescent="0.35">
      <c r="A1707">
        <v>2775</v>
      </c>
      <c r="B1707" t="s">
        <v>5315</v>
      </c>
      <c r="C1707" t="s">
        <v>4471</v>
      </c>
      <c r="D1707" t="str">
        <f t="shared" si="662"/>
        <v>Finance</v>
      </c>
      <c r="E1707" t="s">
        <v>5308</v>
      </c>
      <c r="F1707" t="s">
        <v>46</v>
      </c>
      <c r="G1707" t="s">
        <v>5309</v>
      </c>
      <c r="H1707" t="s">
        <v>48</v>
      </c>
      <c r="I1707" s="32">
        <v>44681.777986111112</v>
      </c>
      <c r="J1707" s="32" t="s">
        <v>7471</v>
      </c>
      <c r="K1707" s="32" t="s">
        <v>7473</v>
      </c>
      <c r="L1707" s="8" t="str">
        <f t="shared" si="663"/>
        <v/>
      </c>
      <c r="M1707" s="7">
        <v>44700.777986111112</v>
      </c>
      <c r="N1707" t="s">
        <v>49</v>
      </c>
      <c r="O1707" s="34">
        <v>44701.777986111112</v>
      </c>
      <c r="P1707" t="s">
        <v>50</v>
      </c>
      <c r="Q1707" t="s">
        <v>125</v>
      </c>
      <c r="R1707" s="32" t="s">
        <v>7472</v>
      </c>
      <c r="S1707" t="s">
        <v>7476</v>
      </c>
      <c r="T1707" s="34" t="s">
        <v>7476</v>
      </c>
      <c r="U1707" s="34" t="s">
        <v>7476</v>
      </c>
      <c r="V1707" s="32" t="s">
        <v>7476</v>
      </c>
      <c r="W1707" s="32" t="s">
        <v>7476</v>
      </c>
      <c r="X1707">
        <v>0</v>
      </c>
      <c r="Y1707" s="34" t="s">
        <v>7476</v>
      </c>
      <c r="Z1707" s="34" t="s">
        <v>7476</v>
      </c>
      <c r="AA1707" s="34" t="s">
        <v>7476</v>
      </c>
      <c r="AB1707" s="36" t="s">
        <v>52</v>
      </c>
      <c r="AD1707" t="s">
        <v>5316</v>
      </c>
      <c r="AE1707" t="s">
        <v>5317</v>
      </c>
      <c r="AF1707" s="16">
        <v>44690</v>
      </c>
      <c r="AG1707" t="s">
        <v>93</v>
      </c>
      <c r="AH1707">
        <v>6</v>
      </c>
      <c r="AK1707" s="38" t="str">
        <f t="shared" si="664"/>
        <v/>
      </c>
    </row>
    <row r="1708" spans="1:43" x14ac:dyDescent="0.35">
      <c r="A1708">
        <v>2773</v>
      </c>
      <c r="B1708" t="s">
        <v>5318</v>
      </c>
      <c r="C1708" t="s">
        <v>4480</v>
      </c>
      <c r="D1708" t="str">
        <f t="shared" si="662"/>
        <v>Finance</v>
      </c>
      <c r="E1708" t="s">
        <v>5308</v>
      </c>
      <c r="F1708" t="s">
        <v>46</v>
      </c>
      <c r="G1708" t="s">
        <v>5309</v>
      </c>
      <c r="H1708" t="s">
        <v>48</v>
      </c>
      <c r="I1708" s="32">
        <v>44681.777986111112</v>
      </c>
      <c r="J1708" s="32">
        <v>44683.777986111112</v>
      </c>
      <c r="K1708" s="32">
        <v>44689.777986111112</v>
      </c>
      <c r="L1708" s="8">
        <f t="shared" si="663"/>
        <v>8</v>
      </c>
      <c r="M1708" s="7">
        <v>44709.777986111112</v>
      </c>
      <c r="N1708" t="s">
        <v>49</v>
      </c>
      <c r="O1708" s="34">
        <v>44691.777986111112</v>
      </c>
      <c r="P1708" t="s">
        <v>60</v>
      </c>
      <c r="R1708" s="32">
        <v>44694.777986111112</v>
      </c>
      <c r="S1708" t="s">
        <v>61</v>
      </c>
      <c r="T1708" s="34" t="s">
        <v>7476</v>
      </c>
      <c r="U1708" s="34" t="s">
        <v>7476</v>
      </c>
      <c r="V1708" s="32">
        <v>44692.777986111112</v>
      </c>
      <c r="W1708" s="32" t="s">
        <v>7476</v>
      </c>
      <c r="X1708">
        <v>0</v>
      </c>
      <c r="Y1708" s="34" t="s">
        <v>7476</v>
      </c>
      <c r="Z1708" s="34" t="s">
        <v>7476</v>
      </c>
      <c r="AA1708" s="34" t="s">
        <v>7476</v>
      </c>
      <c r="AB1708" s="36" t="s">
        <v>7476</v>
      </c>
      <c r="AD1708" t="s">
        <v>5319</v>
      </c>
      <c r="AE1708" t="s">
        <v>5320</v>
      </c>
      <c r="AF1708" s="16">
        <v>44679</v>
      </c>
      <c r="AG1708" t="s">
        <v>68</v>
      </c>
      <c r="AH1708">
        <v>3</v>
      </c>
      <c r="AI1708" s="8">
        <f>IFERROR(R1708-AF1708,"")</f>
        <v>15.777986111112114</v>
      </c>
      <c r="AJ1708" s="8">
        <f>IFERROR(O1708-AF1708,"")</f>
        <v>12.777986111112114</v>
      </c>
      <c r="AK1708" s="38">
        <f t="shared" si="664"/>
        <v>44782.777986111112</v>
      </c>
      <c r="AL1708" t="str">
        <f>IFERROR(Z1708-W1708,"")</f>
        <v/>
      </c>
      <c r="AM1708">
        <f>IFERROR(R1708-J1708,"")</f>
        <v>11</v>
      </c>
      <c r="AN1708">
        <f>IFERROR(V1708-O1708,"")</f>
        <v>1</v>
      </c>
      <c r="AO1708">
        <f>IFERROR(J1708-I1708,"")</f>
        <v>2</v>
      </c>
      <c r="AP1708">
        <f>IFERROR(AC1708-X1708,"")</f>
        <v>0</v>
      </c>
      <c r="AQ1708" t="str">
        <f>IFERROR(AA1708-W1708,"")</f>
        <v/>
      </c>
    </row>
    <row r="1709" spans="1:43" x14ac:dyDescent="0.35">
      <c r="A1709">
        <v>2759</v>
      </c>
      <c r="B1709" t="s">
        <v>5321</v>
      </c>
      <c r="C1709" t="s">
        <v>4480</v>
      </c>
      <c r="D1709" t="str">
        <f t="shared" si="662"/>
        <v>Finance</v>
      </c>
      <c r="E1709" t="s">
        <v>5308</v>
      </c>
      <c r="F1709" t="s">
        <v>46</v>
      </c>
      <c r="G1709" t="s">
        <v>5309</v>
      </c>
      <c r="H1709" t="s">
        <v>48</v>
      </c>
      <c r="I1709" s="32">
        <v>45027.765081018522</v>
      </c>
      <c r="J1709" s="32">
        <v>45030.765081018522</v>
      </c>
      <c r="K1709" s="32">
        <v>45032.765081018522</v>
      </c>
      <c r="L1709" s="8">
        <f t="shared" si="663"/>
        <v>5</v>
      </c>
      <c r="M1709" s="7">
        <v>45062.765081018522</v>
      </c>
      <c r="N1709" t="s">
        <v>49</v>
      </c>
      <c r="O1709" s="34">
        <v>45038.765081018522</v>
      </c>
      <c r="P1709" t="s">
        <v>101</v>
      </c>
      <c r="R1709" s="32">
        <v>45040.765081018522</v>
      </c>
      <c r="S1709" t="s">
        <v>101</v>
      </c>
      <c r="T1709" s="34">
        <v>45040.765081018522</v>
      </c>
      <c r="U1709" s="34">
        <v>45042.765081018522</v>
      </c>
      <c r="V1709" s="32">
        <v>45039.765081018522</v>
      </c>
      <c r="W1709" s="32">
        <v>45047.765081018522</v>
      </c>
      <c r="X1709">
        <v>1</v>
      </c>
      <c r="Y1709" s="34">
        <v>45049.765081018522</v>
      </c>
      <c r="Z1709" s="34">
        <v>45052.765081018522</v>
      </c>
      <c r="AA1709" s="34">
        <v>45054.765081018522</v>
      </c>
      <c r="AB1709" s="36" t="s">
        <v>7476</v>
      </c>
      <c r="AC1709" s="10">
        <v>45076.765081018522</v>
      </c>
      <c r="AD1709" t="s">
        <v>5322</v>
      </c>
      <c r="AE1709" t="s">
        <v>5323</v>
      </c>
      <c r="AF1709" s="16">
        <v>45021</v>
      </c>
      <c r="AG1709" t="s">
        <v>98</v>
      </c>
      <c r="AH1709">
        <v>3</v>
      </c>
      <c r="AI1709" s="8">
        <f>IFERROR(R1709-AF1709,"")</f>
        <v>19.765081018522324</v>
      </c>
      <c r="AJ1709" s="8">
        <f>IFERROR(O1709-AF1709,"")</f>
        <v>17.765081018522324</v>
      </c>
      <c r="AK1709" s="38">
        <f t="shared" si="664"/>
        <v>45129.765081018522</v>
      </c>
      <c r="AL1709">
        <f>IFERROR(Z1709-W1709,"")</f>
        <v>5</v>
      </c>
      <c r="AM1709">
        <f>IFERROR(R1709-J1709,"")</f>
        <v>10</v>
      </c>
      <c r="AN1709">
        <f>IFERROR(V1709-O1709,"")</f>
        <v>1</v>
      </c>
      <c r="AO1709">
        <f>IFERROR(J1709-I1709,"")</f>
        <v>3</v>
      </c>
      <c r="AP1709">
        <f>IFERROR(AC1709-X1709,"")</f>
        <v>45075.765081018522</v>
      </c>
      <c r="AQ1709">
        <f>IFERROR(AA1709-W1709,"")</f>
        <v>7</v>
      </c>
    </row>
    <row r="1710" spans="1:43" x14ac:dyDescent="0.35">
      <c r="A1710">
        <v>2689</v>
      </c>
      <c r="B1710" t="s">
        <v>5324</v>
      </c>
      <c r="C1710" t="s">
        <v>4471</v>
      </c>
      <c r="D1710" t="str">
        <f t="shared" si="662"/>
        <v>Finance</v>
      </c>
      <c r="E1710" t="s">
        <v>5308</v>
      </c>
      <c r="F1710" t="s">
        <v>46</v>
      </c>
      <c r="G1710" t="s">
        <v>5309</v>
      </c>
      <c r="H1710" t="s">
        <v>48</v>
      </c>
      <c r="I1710" s="32">
        <v>45135.716412037043</v>
      </c>
      <c r="J1710" s="32">
        <v>45138.716412037043</v>
      </c>
      <c r="K1710" s="32" t="s">
        <v>7473</v>
      </c>
      <c r="L1710" s="8" t="str">
        <f t="shared" si="663"/>
        <v/>
      </c>
      <c r="M1710" s="7">
        <v>45164.716412037043</v>
      </c>
      <c r="N1710" t="s">
        <v>49</v>
      </c>
      <c r="O1710" s="34">
        <v>45156.716412037043</v>
      </c>
      <c r="P1710" t="s">
        <v>101</v>
      </c>
      <c r="R1710" s="32">
        <v>45164.716412037043</v>
      </c>
      <c r="S1710" t="s">
        <v>101</v>
      </c>
      <c r="T1710" s="34">
        <v>45158.716412037043</v>
      </c>
      <c r="U1710" s="34">
        <v>45162.716412037043</v>
      </c>
      <c r="V1710" s="32">
        <v>45160.716412037043</v>
      </c>
      <c r="W1710" s="32">
        <v>45166.716412037043</v>
      </c>
      <c r="X1710">
        <v>1</v>
      </c>
      <c r="Y1710" s="34">
        <v>45169.716412037043</v>
      </c>
      <c r="Z1710" s="34">
        <v>45170.716412037043</v>
      </c>
      <c r="AA1710" s="34">
        <v>45171.716412037043</v>
      </c>
      <c r="AB1710" s="36" t="s">
        <v>7476</v>
      </c>
      <c r="AC1710" s="10">
        <v>45185.716412037043</v>
      </c>
      <c r="AD1710" t="s">
        <v>5325</v>
      </c>
      <c r="AE1710" t="s">
        <v>5326</v>
      </c>
      <c r="AF1710" s="16">
        <v>45146</v>
      </c>
      <c r="AG1710" t="s">
        <v>75</v>
      </c>
      <c r="AH1710">
        <v>3</v>
      </c>
      <c r="AK1710" s="38">
        <f t="shared" si="664"/>
        <v>45250.716412037043</v>
      </c>
    </row>
    <row r="1711" spans="1:43" x14ac:dyDescent="0.35">
      <c r="A1711">
        <v>2687</v>
      </c>
      <c r="B1711" t="s">
        <v>5327</v>
      </c>
      <c r="C1711" t="s">
        <v>4480</v>
      </c>
      <c r="D1711" t="str">
        <f t="shared" si="662"/>
        <v>Finance</v>
      </c>
      <c r="E1711" t="s">
        <v>5308</v>
      </c>
      <c r="F1711" t="s">
        <v>46</v>
      </c>
      <c r="G1711" t="s">
        <v>5309</v>
      </c>
      <c r="H1711" t="s">
        <v>48</v>
      </c>
      <c r="I1711" s="32">
        <v>45134.716412037043</v>
      </c>
      <c r="J1711" s="32">
        <v>45137.716412037043</v>
      </c>
      <c r="K1711" s="32">
        <v>45142.716412037043</v>
      </c>
      <c r="L1711" s="8">
        <f t="shared" si="663"/>
        <v>8</v>
      </c>
      <c r="M1711" s="7">
        <v>45167.716412037043</v>
      </c>
      <c r="N1711" t="s">
        <v>49</v>
      </c>
      <c r="O1711" s="34">
        <v>45146.716412037043</v>
      </c>
      <c r="P1711" t="s">
        <v>50</v>
      </c>
      <c r="Q1711" t="s">
        <v>125</v>
      </c>
      <c r="R1711" s="32" t="s">
        <v>7472</v>
      </c>
      <c r="S1711" t="s">
        <v>7476</v>
      </c>
      <c r="T1711" s="34" t="s">
        <v>7476</v>
      </c>
      <c r="U1711" s="34" t="s">
        <v>7476</v>
      </c>
      <c r="V1711" s="32">
        <v>45150.716412037043</v>
      </c>
      <c r="W1711" s="32" t="s">
        <v>7476</v>
      </c>
      <c r="X1711">
        <v>0</v>
      </c>
      <c r="Y1711" s="34" t="s">
        <v>7476</v>
      </c>
      <c r="Z1711" s="34" t="s">
        <v>7476</v>
      </c>
      <c r="AA1711" s="34" t="s">
        <v>7476</v>
      </c>
      <c r="AB1711" s="36" t="s">
        <v>52</v>
      </c>
      <c r="AD1711" t="s">
        <v>5328</v>
      </c>
      <c r="AE1711" t="s">
        <v>5329</v>
      </c>
      <c r="AF1711" s="16">
        <v>45134</v>
      </c>
      <c r="AG1711" t="s">
        <v>98</v>
      </c>
      <c r="AH1711">
        <v>3</v>
      </c>
      <c r="AI1711" s="8" t="str">
        <f t="shared" ref="AI1711:AI1722" si="681">IFERROR(R1711-AF1711,"")</f>
        <v/>
      </c>
      <c r="AJ1711" s="8">
        <f t="shared" ref="AJ1711:AJ1722" si="682">IFERROR(O1711-AF1711,"")</f>
        <v>12.716412037043483</v>
      </c>
      <c r="AK1711" s="38">
        <f t="shared" si="664"/>
        <v>45240.716412037043</v>
      </c>
      <c r="AL1711" t="str">
        <f t="shared" ref="AL1711:AL1722" si="683">IFERROR(Z1711-W1711,"")</f>
        <v/>
      </c>
      <c r="AM1711" t="str">
        <f t="shared" ref="AM1711:AM1722" si="684">IFERROR(R1711-J1711,"")</f>
        <v/>
      </c>
      <c r="AN1711">
        <f t="shared" ref="AN1711:AN1722" si="685">IFERROR(V1711-O1711,"")</f>
        <v>4</v>
      </c>
      <c r="AO1711">
        <f t="shared" ref="AO1711:AO1722" si="686">IFERROR(J1711-I1711,"")</f>
        <v>3</v>
      </c>
      <c r="AP1711">
        <f t="shared" ref="AP1711:AP1722" si="687">IFERROR(AC1711-X1711,"")</f>
        <v>0</v>
      </c>
      <c r="AQ1711" t="str">
        <f t="shared" ref="AQ1711:AQ1722" si="688">IFERROR(AA1711-W1711,"")</f>
        <v/>
      </c>
    </row>
    <row r="1712" spans="1:43" x14ac:dyDescent="0.35">
      <c r="A1712">
        <v>2683</v>
      </c>
      <c r="B1712" t="s">
        <v>5330</v>
      </c>
      <c r="C1712" t="s">
        <v>4480</v>
      </c>
      <c r="D1712" t="str">
        <f t="shared" si="662"/>
        <v>Finance</v>
      </c>
      <c r="E1712" t="s">
        <v>5308</v>
      </c>
      <c r="F1712" t="s">
        <v>46</v>
      </c>
      <c r="G1712" t="s">
        <v>5309</v>
      </c>
      <c r="H1712" t="s">
        <v>48</v>
      </c>
      <c r="I1712" s="32">
        <v>45139.716412037043</v>
      </c>
      <c r="J1712" s="32">
        <v>45141.716412037043</v>
      </c>
      <c r="K1712" s="32">
        <v>45142.716412037043</v>
      </c>
      <c r="L1712" s="8">
        <f t="shared" si="663"/>
        <v>3</v>
      </c>
      <c r="M1712" s="7">
        <v>45153.716412037043</v>
      </c>
      <c r="N1712" t="s">
        <v>49</v>
      </c>
      <c r="O1712" s="34">
        <v>45156.716412037043</v>
      </c>
      <c r="P1712" t="s">
        <v>101</v>
      </c>
      <c r="R1712" s="32">
        <v>45164.716412037043</v>
      </c>
      <c r="S1712" t="s">
        <v>101</v>
      </c>
      <c r="T1712" s="34">
        <v>45157.716412037043</v>
      </c>
      <c r="U1712" s="34">
        <v>45161.716412037043</v>
      </c>
      <c r="V1712" s="32">
        <v>45160.716412037043</v>
      </c>
      <c r="W1712" s="32">
        <v>45167.716412037043</v>
      </c>
      <c r="X1712">
        <v>1</v>
      </c>
      <c r="Y1712" s="34">
        <v>45169.716412037043</v>
      </c>
      <c r="Z1712" s="34">
        <v>45170.716412037043</v>
      </c>
      <c r="AA1712" s="34">
        <v>45172.716412037043</v>
      </c>
      <c r="AB1712" s="36" t="s">
        <v>7476</v>
      </c>
      <c r="AC1712" s="10">
        <v>45194.716412037043</v>
      </c>
      <c r="AD1712" t="s">
        <v>5331</v>
      </c>
      <c r="AE1712" t="s">
        <v>5332</v>
      </c>
      <c r="AF1712" s="16">
        <v>45139</v>
      </c>
      <c r="AG1712" t="s">
        <v>98</v>
      </c>
      <c r="AH1712">
        <v>3</v>
      </c>
      <c r="AI1712" s="8">
        <f t="shared" si="681"/>
        <v>25.716412037043483</v>
      </c>
      <c r="AJ1712" s="8">
        <f t="shared" si="682"/>
        <v>17.716412037043483</v>
      </c>
      <c r="AK1712" s="38">
        <f t="shared" si="664"/>
        <v>45250.716412037043</v>
      </c>
      <c r="AL1712">
        <f t="shared" si="683"/>
        <v>3</v>
      </c>
      <c r="AM1712">
        <f t="shared" si="684"/>
        <v>23</v>
      </c>
      <c r="AN1712">
        <f t="shared" si="685"/>
        <v>4</v>
      </c>
      <c r="AO1712">
        <f t="shared" si="686"/>
        <v>2</v>
      </c>
      <c r="AP1712">
        <f t="shared" si="687"/>
        <v>45193.716412037043</v>
      </c>
      <c r="AQ1712">
        <f t="shared" si="688"/>
        <v>5</v>
      </c>
    </row>
    <row r="1713" spans="1:43" x14ac:dyDescent="0.35">
      <c r="A1713">
        <v>2682</v>
      </c>
      <c r="B1713" t="s">
        <v>5333</v>
      </c>
      <c r="C1713" t="s">
        <v>4480</v>
      </c>
      <c r="D1713" t="str">
        <f t="shared" si="662"/>
        <v>Finance</v>
      </c>
      <c r="E1713" t="s">
        <v>5308</v>
      </c>
      <c r="F1713" t="s">
        <v>46</v>
      </c>
      <c r="G1713" t="s">
        <v>5309</v>
      </c>
      <c r="H1713" t="s">
        <v>48</v>
      </c>
      <c r="I1713" s="32">
        <v>45138.716412037043</v>
      </c>
      <c r="J1713" s="32">
        <v>45139.716412037043</v>
      </c>
      <c r="K1713" s="32">
        <v>45142.716412037043</v>
      </c>
      <c r="L1713" s="8">
        <f t="shared" si="663"/>
        <v>4</v>
      </c>
      <c r="M1713" s="7">
        <v>45171.716412037043</v>
      </c>
      <c r="N1713" t="s">
        <v>72</v>
      </c>
      <c r="O1713" s="34" t="s">
        <v>7474</v>
      </c>
      <c r="R1713" s="32" t="s">
        <v>7472</v>
      </c>
      <c r="S1713" t="s">
        <v>7476</v>
      </c>
      <c r="T1713" s="34" t="s">
        <v>7476</v>
      </c>
      <c r="U1713" s="34" t="s">
        <v>7476</v>
      </c>
      <c r="V1713" s="32" t="s">
        <v>7476</v>
      </c>
      <c r="W1713" s="32" t="s">
        <v>7476</v>
      </c>
      <c r="X1713">
        <v>0</v>
      </c>
      <c r="Y1713" s="34" t="s">
        <v>7476</v>
      </c>
      <c r="Z1713" s="34" t="s">
        <v>7476</v>
      </c>
      <c r="AA1713" s="34" t="s">
        <v>7476</v>
      </c>
      <c r="AB1713" s="36" t="s">
        <v>7476</v>
      </c>
      <c r="AD1713" t="s">
        <v>5334</v>
      </c>
      <c r="AE1713" t="s">
        <v>5335</v>
      </c>
      <c r="AG1713" t="s">
        <v>68</v>
      </c>
      <c r="AH1713">
        <v>6</v>
      </c>
      <c r="AI1713" s="8" t="str">
        <f t="shared" si="681"/>
        <v/>
      </c>
      <c r="AJ1713" s="8" t="str">
        <f t="shared" si="682"/>
        <v/>
      </c>
      <c r="AK1713" s="38" t="str">
        <f t="shared" si="664"/>
        <v/>
      </c>
      <c r="AL1713" t="str">
        <f t="shared" si="683"/>
        <v/>
      </c>
      <c r="AM1713" t="str">
        <f t="shared" si="684"/>
        <v/>
      </c>
      <c r="AN1713" t="str">
        <f t="shared" si="685"/>
        <v/>
      </c>
      <c r="AO1713">
        <f t="shared" si="686"/>
        <v>1</v>
      </c>
      <c r="AP1713">
        <f t="shared" si="687"/>
        <v>0</v>
      </c>
      <c r="AQ1713" t="str">
        <f t="shared" si="688"/>
        <v/>
      </c>
    </row>
    <row r="1714" spans="1:43" x14ac:dyDescent="0.35">
      <c r="A1714">
        <v>2680</v>
      </c>
      <c r="B1714" t="s">
        <v>5336</v>
      </c>
      <c r="C1714" t="s">
        <v>4480</v>
      </c>
      <c r="D1714" t="str">
        <f t="shared" si="662"/>
        <v>Finance</v>
      </c>
      <c r="E1714" t="s">
        <v>5308</v>
      </c>
      <c r="F1714" t="s">
        <v>46</v>
      </c>
      <c r="G1714" t="s">
        <v>5309</v>
      </c>
      <c r="H1714" t="s">
        <v>48</v>
      </c>
      <c r="I1714" s="32">
        <v>44599.141087962962</v>
      </c>
      <c r="J1714" s="32">
        <v>44602.141087962962</v>
      </c>
      <c r="K1714" s="32">
        <v>44608.141087962962</v>
      </c>
      <c r="L1714" s="8">
        <f t="shared" si="663"/>
        <v>9</v>
      </c>
      <c r="M1714" s="7">
        <v>44638.141087962962</v>
      </c>
      <c r="N1714" t="s">
        <v>49</v>
      </c>
      <c r="O1714" s="34">
        <v>44625.141087962962</v>
      </c>
      <c r="P1714" t="s">
        <v>101</v>
      </c>
      <c r="R1714" s="32">
        <v>44632.141087962962</v>
      </c>
      <c r="S1714" t="s">
        <v>101</v>
      </c>
      <c r="T1714" s="34">
        <v>44627.141087962962</v>
      </c>
      <c r="U1714" s="34">
        <v>44628.141087962962</v>
      </c>
      <c r="V1714" s="32">
        <v>44628.141087962962</v>
      </c>
      <c r="W1714" s="32">
        <v>44636.141087962962</v>
      </c>
      <c r="X1714">
        <v>1</v>
      </c>
      <c r="Y1714" s="34">
        <v>44639.141087962962</v>
      </c>
      <c r="Z1714" s="34">
        <v>44642.141087962962</v>
      </c>
      <c r="AA1714" s="34">
        <v>44644.141087962962</v>
      </c>
      <c r="AB1714" s="36" t="s">
        <v>7476</v>
      </c>
      <c r="AC1714" s="10">
        <v>44653.141087962962</v>
      </c>
      <c r="AD1714" t="s">
        <v>5337</v>
      </c>
      <c r="AE1714" t="s">
        <v>5338</v>
      </c>
      <c r="AF1714" s="16">
        <v>44606</v>
      </c>
      <c r="AG1714" t="s">
        <v>98</v>
      </c>
      <c r="AH1714">
        <v>6</v>
      </c>
      <c r="AI1714" s="8">
        <f t="shared" si="681"/>
        <v>26.141087962962047</v>
      </c>
      <c r="AJ1714" s="8">
        <f t="shared" si="682"/>
        <v>19.141087962962047</v>
      </c>
      <c r="AK1714" s="38">
        <f t="shared" si="664"/>
        <v>44808.141087962962</v>
      </c>
      <c r="AL1714">
        <f t="shared" si="683"/>
        <v>6</v>
      </c>
      <c r="AM1714">
        <f t="shared" si="684"/>
        <v>30</v>
      </c>
      <c r="AN1714">
        <f t="shared" si="685"/>
        <v>3</v>
      </c>
      <c r="AO1714">
        <f t="shared" si="686"/>
        <v>3</v>
      </c>
      <c r="AP1714">
        <f t="shared" si="687"/>
        <v>44652.141087962962</v>
      </c>
      <c r="AQ1714">
        <f t="shared" si="688"/>
        <v>8</v>
      </c>
    </row>
    <row r="1715" spans="1:43" x14ac:dyDescent="0.35">
      <c r="A1715">
        <v>2678</v>
      </c>
      <c r="B1715" t="s">
        <v>5339</v>
      </c>
      <c r="C1715" t="s">
        <v>4480</v>
      </c>
      <c r="D1715" t="str">
        <f t="shared" si="662"/>
        <v>Finance</v>
      </c>
      <c r="E1715" t="s">
        <v>5308</v>
      </c>
      <c r="F1715" t="s">
        <v>46</v>
      </c>
      <c r="G1715" t="s">
        <v>5309</v>
      </c>
      <c r="H1715" t="s">
        <v>48</v>
      </c>
      <c r="I1715" s="32">
        <v>44605.141087962962</v>
      </c>
      <c r="J1715" s="32">
        <v>44606.141087962962</v>
      </c>
      <c r="K1715" s="32">
        <v>44608.141087962962</v>
      </c>
      <c r="L1715" s="8">
        <f t="shared" si="663"/>
        <v>3</v>
      </c>
      <c r="M1715" s="7">
        <v>44637.141087962962</v>
      </c>
      <c r="N1715" t="s">
        <v>49</v>
      </c>
      <c r="O1715" s="34">
        <v>44612.141087962962</v>
      </c>
      <c r="P1715" t="s">
        <v>101</v>
      </c>
      <c r="R1715" s="32">
        <v>44615.141087962962</v>
      </c>
      <c r="S1715" t="s">
        <v>101</v>
      </c>
      <c r="T1715" s="34">
        <v>44614.141087962962</v>
      </c>
      <c r="U1715" s="34">
        <v>44615.141087962962</v>
      </c>
      <c r="V1715" s="32">
        <v>44614.141087962962</v>
      </c>
      <c r="W1715" s="32">
        <v>44621.141087962962</v>
      </c>
      <c r="X1715">
        <v>1</v>
      </c>
      <c r="Y1715" s="34">
        <v>44624.141087962962</v>
      </c>
      <c r="Z1715" s="34">
        <v>44625.141087962962</v>
      </c>
      <c r="AA1715" s="34">
        <v>44628.141087962962</v>
      </c>
      <c r="AB1715" s="36" t="s">
        <v>7476</v>
      </c>
      <c r="AC1715" s="10">
        <v>44647.141087962962</v>
      </c>
      <c r="AD1715" t="s">
        <v>5340</v>
      </c>
      <c r="AE1715" t="s">
        <v>5341</v>
      </c>
      <c r="AF1715" s="16">
        <v>44600</v>
      </c>
      <c r="AG1715" t="s">
        <v>98</v>
      </c>
      <c r="AH1715">
        <v>3</v>
      </c>
      <c r="AI1715" s="8">
        <f t="shared" si="681"/>
        <v>15.141087962962047</v>
      </c>
      <c r="AJ1715" s="8">
        <f t="shared" si="682"/>
        <v>12.141087962962047</v>
      </c>
      <c r="AK1715" s="38">
        <f t="shared" si="664"/>
        <v>44704.141087962962</v>
      </c>
      <c r="AL1715">
        <f t="shared" si="683"/>
        <v>4</v>
      </c>
      <c r="AM1715">
        <f t="shared" si="684"/>
        <v>9</v>
      </c>
      <c r="AN1715">
        <f t="shared" si="685"/>
        <v>2</v>
      </c>
      <c r="AO1715">
        <f t="shared" si="686"/>
        <v>1</v>
      </c>
      <c r="AP1715">
        <f t="shared" si="687"/>
        <v>44646.141087962962</v>
      </c>
      <c r="AQ1715">
        <f t="shared" si="688"/>
        <v>7</v>
      </c>
    </row>
    <row r="1716" spans="1:43" x14ac:dyDescent="0.35">
      <c r="A1716">
        <v>2549</v>
      </c>
      <c r="B1716" t="s">
        <v>5342</v>
      </c>
      <c r="C1716" t="s">
        <v>4502</v>
      </c>
      <c r="D1716" t="str">
        <f t="shared" si="662"/>
        <v>Finance</v>
      </c>
      <c r="E1716" t="s">
        <v>5308</v>
      </c>
      <c r="F1716" t="s">
        <v>46</v>
      </c>
      <c r="G1716" t="s">
        <v>5309</v>
      </c>
      <c r="H1716" t="s">
        <v>48</v>
      </c>
      <c r="I1716" s="32">
        <v>45108.479166666657</v>
      </c>
      <c r="J1716" s="32">
        <v>45111.479166666657</v>
      </c>
      <c r="K1716" s="32">
        <v>45112.479166666657</v>
      </c>
      <c r="L1716" s="8">
        <f t="shared" si="663"/>
        <v>4</v>
      </c>
      <c r="M1716" s="7">
        <v>45134.479166666657</v>
      </c>
      <c r="N1716" t="s">
        <v>49</v>
      </c>
      <c r="O1716" s="34">
        <v>45116.479166666657</v>
      </c>
      <c r="P1716" t="s">
        <v>50</v>
      </c>
      <c r="Q1716" t="s">
        <v>198</v>
      </c>
      <c r="R1716" s="32" t="s">
        <v>7472</v>
      </c>
      <c r="S1716" t="s">
        <v>7476</v>
      </c>
      <c r="T1716" s="34" t="s">
        <v>7476</v>
      </c>
      <c r="U1716" s="34" t="s">
        <v>7476</v>
      </c>
      <c r="V1716" s="32" t="s">
        <v>7476</v>
      </c>
      <c r="W1716" s="32" t="s">
        <v>7476</v>
      </c>
      <c r="X1716">
        <v>0</v>
      </c>
      <c r="Y1716" s="34" t="s">
        <v>7476</v>
      </c>
      <c r="Z1716" s="34" t="s">
        <v>7476</v>
      </c>
      <c r="AA1716" s="34" t="s">
        <v>7476</v>
      </c>
      <c r="AB1716" s="36" t="s">
        <v>95</v>
      </c>
      <c r="AD1716" t="s">
        <v>5343</v>
      </c>
      <c r="AE1716" t="s">
        <v>5344</v>
      </c>
      <c r="AF1716" s="16">
        <v>45107</v>
      </c>
      <c r="AG1716" t="s">
        <v>68</v>
      </c>
      <c r="AH1716">
        <v>6</v>
      </c>
      <c r="AI1716" s="8" t="str">
        <f t="shared" si="681"/>
        <v/>
      </c>
      <c r="AJ1716" s="8">
        <f t="shared" si="682"/>
        <v>9.4791666666569654</v>
      </c>
      <c r="AK1716" s="38" t="str">
        <f t="shared" si="664"/>
        <v/>
      </c>
      <c r="AL1716" t="str">
        <f t="shared" si="683"/>
        <v/>
      </c>
      <c r="AM1716" t="str">
        <f t="shared" si="684"/>
        <v/>
      </c>
      <c r="AN1716" t="str">
        <f t="shared" si="685"/>
        <v/>
      </c>
      <c r="AO1716">
        <f t="shared" si="686"/>
        <v>3</v>
      </c>
      <c r="AP1716">
        <f t="shared" si="687"/>
        <v>0</v>
      </c>
      <c r="AQ1716" t="str">
        <f t="shared" si="688"/>
        <v/>
      </c>
    </row>
    <row r="1717" spans="1:43" x14ac:dyDescent="0.35">
      <c r="A1717">
        <v>2543</v>
      </c>
      <c r="B1717" t="s">
        <v>5345</v>
      </c>
      <c r="C1717" t="s">
        <v>4471</v>
      </c>
      <c r="D1717" t="str">
        <f t="shared" si="662"/>
        <v>Finance</v>
      </c>
      <c r="E1717" t="s">
        <v>5308</v>
      </c>
      <c r="F1717" t="s">
        <v>46</v>
      </c>
      <c r="G1717" t="s">
        <v>5309</v>
      </c>
      <c r="H1717" t="s">
        <v>48</v>
      </c>
      <c r="I1717" s="32">
        <v>45104.479166666657</v>
      </c>
      <c r="J1717" s="32">
        <v>45108.479166666657</v>
      </c>
      <c r="K1717" s="32">
        <v>45112.479166666657</v>
      </c>
      <c r="L1717" s="8">
        <f t="shared" si="663"/>
        <v>8</v>
      </c>
      <c r="M1717" s="7">
        <v>45117.479166666657</v>
      </c>
      <c r="N1717" t="s">
        <v>72</v>
      </c>
      <c r="O1717" s="34" t="s">
        <v>7474</v>
      </c>
      <c r="R1717" s="32" t="s">
        <v>7472</v>
      </c>
      <c r="S1717" t="s">
        <v>7476</v>
      </c>
      <c r="T1717" s="34" t="s">
        <v>7476</v>
      </c>
      <c r="U1717" s="34" t="s">
        <v>7476</v>
      </c>
      <c r="V1717" s="32" t="s">
        <v>7476</v>
      </c>
      <c r="W1717" s="32" t="s">
        <v>7476</v>
      </c>
      <c r="X1717">
        <v>0</v>
      </c>
      <c r="Y1717" s="34" t="s">
        <v>7476</v>
      </c>
      <c r="Z1717" s="34" t="s">
        <v>7476</v>
      </c>
      <c r="AA1717" s="34" t="s">
        <v>7476</v>
      </c>
      <c r="AB1717" s="36" t="s">
        <v>7476</v>
      </c>
      <c r="AD1717" t="s">
        <v>5346</v>
      </c>
      <c r="AE1717" t="s">
        <v>5347</v>
      </c>
      <c r="AG1717" t="s">
        <v>64</v>
      </c>
      <c r="AH1717">
        <v>6</v>
      </c>
      <c r="AI1717" s="8" t="str">
        <f t="shared" si="681"/>
        <v/>
      </c>
      <c r="AJ1717" s="8" t="str">
        <f t="shared" si="682"/>
        <v/>
      </c>
      <c r="AK1717" s="38" t="str">
        <f t="shared" si="664"/>
        <v/>
      </c>
      <c r="AL1717" t="str">
        <f t="shared" si="683"/>
        <v/>
      </c>
      <c r="AM1717" t="str">
        <f t="shared" si="684"/>
        <v/>
      </c>
      <c r="AN1717" t="str">
        <f t="shared" si="685"/>
        <v/>
      </c>
      <c r="AO1717">
        <f t="shared" si="686"/>
        <v>4</v>
      </c>
      <c r="AP1717">
        <f t="shared" si="687"/>
        <v>0</v>
      </c>
      <c r="AQ1717" t="str">
        <f t="shared" si="688"/>
        <v/>
      </c>
    </row>
    <row r="1718" spans="1:43" x14ac:dyDescent="0.35">
      <c r="A1718">
        <v>2510</v>
      </c>
      <c r="B1718" t="s">
        <v>5348</v>
      </c>
      <c r="C1718" t="s">
        <v>4471</v>
      </c>
      <c r="D1718" t="str">
        <f t="shared" si="662"/>
        <v>Finance</v>
      </c>
      <c r="E1718" t="s">
        <v>5308</v>
      </c>
      <c r="F1718" t="s">
        <v>46</v>
      </c>
      <c r="G1718" t="s">
        <v>5309</v>
      </c>
      <c r="H1718" t="s">
        <v>48</v>
      </c>
      <c r="I1718" s="32">
        <v>44738.776979166672</v>
      </c>
      <c r="J1718" s="32">
        <v>44741.776979166672</v>
      </c>
      <c r="K1718" s="32">
        <v>44743.776979166672</v>
      </c>
      <c r="L1718" s="8">
        <f t="shared" si="663"/>
        <v>5</v>
      </c>
      <c r="M1718" s="7">
        <v>44748.776979166672</v>
      </c>
      <c r="N1718" t="s">
        <v>49</v>
      </c>
      <c r="O1718" s="34">
        <v>44753.776979166672</v>
      </c>
      <c r="P1718" t="s">
        <v>60</v>
      </c>
      <c r="R1718" s="32">
        <v>44758.776979166672</v>
      </c>
      <c r="S1718" t="s">
        <v>61</v>
      </c>
      <c r="T1718" s="34" t="s">
        <v>7476</v>
      </c>
      <c r="U1718" s="34" t="s">
        <v>7476</v>
      </c>
      <c r="V1718" s="32">
        <v>44757.776979166672</v>
      </c>
      <c r="W1718" s="32" t="s">
        <v>7476</v>
      </c>
      <c r="X1718">
        <v>0</v>
      </c>
      <c r="Y1718" s="34" t="s">
        <v>7476</v>
      </c>
      <c r="Z1718" s="34" t="s">
        <v>7476</v>
      </c>
      <c r="AA1718" s="34" t="s">
        <v>7476</v>
      </c>
      <c r="AB1718" s="36" t="s">
        <v>7476</v>
      </c>
      <c r="AD1718" t="s">
        <v>5349</v>
      </c>
      <c r="AE1718" t="s">
        <v>5350</v>
      </c>
      <c r="AF1718" s="16">
        <v>44743</v>
      </c>
      <c r="AG1718" t="s">
        <v>68</v>
      </c>
      <c r="AH1718">
        <v>6</v>
      </c>
      <c r="AI1718" s="8">
        <f t="shared" si="681"/>
        <v>15.77697916667239</v>
      </c>
      <c r="AJ1718" s="8">
        <f t="shared" si="682"/>
        <v>10.77697916667239</v>
      </c>
      <c r="AK1718" s="38">
        <f t="shared" si="664"/>
        <v>44937.776979166672</v>
      </c>
      <c r="AL1718" t="str">
        <f t="shared" si="683"/>
        <v/>
      </c>
      <c r="AM1718">
        <f t="shared" si="684"/>
        <v>17</v>
      </c>
      <c r="AN1718">
        <f t="shared" si="685"/>
        <v>4</v>
      </c>
      <c r="AO1718">
        <f t="shared" si="686"/>
        <v>3</v>
      </c>
      <c r="AP1718">
        <f t="shared" si="687"/>
        <v>0</v>
      </c>
      <c r="AQ1718" t="str">
        <f t="shared" si="688"/>
        <v/>
      </c>
    </row>
    <row r="1719" spans="1:43" x14ac:dyDescent="0.35">
      <c r="A1719">
        <v>2507</v>
      </c>
      <c r="B1719" t="s">
        <v>5351</v>
      </c>
      <c r="C1719" t="s">
        <v>4471</v>
      </c>
      <c r="D1719" t="str">
        <f t="shared" si="662"/>
        <v>Finance</v>
      </c>
      <c r="E1719" t="s">
        <v>5308</v>
      </c>
      <c r="F1719" t="s">
        <v>46</v>
      </c>
      <c r="G1719" t="s">
        <v>5309</v>
      </c>
      <c r="H1719" t="s">
        <v>48</v>
      </c>
      <c r="I1719" s="32">
        <v>44736.776979166672</v>
      </c>
      <c r="J1719" s="32">
        <v>44740.776979166672</v>
      </c>
      <c r="K1719" s="32">
        <v>44743.776979166672</v>
      </c>
      <c r="L1719" s="8">
        <f t="shared" si="663"/>
        <v>7</v>
      </c>
      <c r="M1719" s="7">
        <v>44767.776979166672</v>
      </c>
      <c r="N1719" t="s">
        <v>49</v>
      </c>
      <c r="O1719" s="34">
        <v>44751.776979166672</v>
      </c>
      <c r="P1719" t="s">
        <v>50</v>
      </c>
      <c r="Q1719" t="s">
        <v>125</v>
      </c>
      <c r="R1719" s="32" t="s">
        <v>7472</v>
      </c>
      <c r="S1719" t="s">
        <v>7476</v>
      </c>
      <c r="T1719" s="34" t="s">
        <v>7476</v>
      </c>
      <c r="U1719" s="34" t="s">
        <v>7476</v>
      </c>
      <c r="V1719" s="32">
        <v>44754.776979166672</v>
      </c>
      <c r="W1719" s="32" t="s">
        <v>7476</v>
      </c>
      <c r="X1719">
        <v>0</v>
      </c>
      <c r="Y1719" s="34" t="s">
        <v>7476</v>
      </c>
      <c r="Z1719" s="34" t="s">
        <v>7476</v>
      </c>
      <c r="AA1719" s="34" t="s">
        <v>7476</v>
      </c>
      <c r="AB1719" s="36" t="s">
        <v>52</v>
      </c>
      <c r="AD1719" t="s">
        <v>5352</v>
      </c>
      <c r="AE1719" t="s">
        <v>5353</v>
      </c>
      <c r="AF1719" s="16">
        <v>44737</v>
      </c>
      <c r="AG1719" t="s">
        <v>68</v>
      </c>
      <c r="AH1719">
        <v>3</v>
      </c>
      <c r="AI1719" s="8" t="str">
        <f t="shared" si="681"/>
        <v/>
      </c>
      <c r="AJ1719" s="8">
        <f t="shared" si="682"/>
        <v>14.77697916667239</v>
      </c>
      <c r="AK1719" s="38">
        <f t="shared" si="664"/>
        <v>44844.776979166672</v>
      </c>
      <c r="AL1719" t="str">
        <f t="shared" si="683"/>
        <v/>
      </c>
      <c r="AM1719" t="str">
        <f t="shared" si="684"/>
        <v/>
      </c>
      <c r="AN1719">
        <f t="shared" si="685"/>
        <v>3</v>
      </c>
      <c r="AO1719">
        <f t="shared" si="686"/>
        <v>4</v>
      </c>
      <c r="AP1719">
        <f t="shared" si="687"/>
        <v>0</v>
      </c>
      <c r="AQ1719" t="str">
        <f t="shared" si="688"/>
        <v/>
      </c>
    </row>
    <row r="1720" spans="1:43" x14ac:dyDescent="0.35">
      <c r="A1720">
        <v>2477</v>
      </c>
      <c r="B1720" t="s">
        <v>5354</v>
      </c>
      <c r="C1720" t="s">
        <v>4502</v>
      </c>
      <c r="D1720" t="str">
        <f t="shared" si="662"/>
        <v>Finance</v>
      </c>
      <c r="E1720" t="s">
        <v>5308</v>
      </c>
      <c r="F1720" t="s">
        <v>46</v>
      </c>
      <c r="G1720" t="s">
        <v>5309</v>
      </c>
      <c r="H1720" t="s">
        <v>48</v>
      </c>
      <c r="I1720" s="32">
        <v>44915.430844907409</v>
      </c>
      <c r="J1720" s="32">
        <v>44917.430844907409</v>
      </c>
      <c r="K1720" s="32">
        <v>44920.430844907409</v>
      </c>
      <c r="L1720" s="8">
        <f t="shared" si="663"/>
        <v>5</v>
      </c>
      <c r="M1720" s="7">
        <v>44942.430844907409</v>
      </c>
      <c r="N1720" t="s">
        <v>49</v>
      </c>
      <c r="O1720" s="34">
        <v>44931.430844907409</v>
      </c>
      <c r="P1720" t="s">
        <v>60</v>
      </c>
      <c r="R1720" s="32">
        <v>44938.430844907409</v>
      </c>
      <c r="S1720" t="s">
        <v>61</v>
      </c>
      <c r="T1720" s="34" t="s">
        <v>7476</v>
      </c>
      <c r="U1720" s="34" t="s">
        <v>7476</v>
      </c>
      <c r="V1720" s="32">
        <v>44934.430844907409</v>
      </c>
      <c r="W1720" s="32" t="s">
        <v>7476</v>
      </c>
      <c r="X1720">
        <v>0</v>
      </c>
      <c r="Y1720" s="34" t="s">
        <v>7476</v>
      </c>
      <c r="Z1720" s="34" t="s">
        <v>7476</v>
      </c>
      <c r="AA1720" s="34" t="s">
        <v>7476</v>
      </c>
      <c r="AB1720" s="36" t="s">
        <v>7476</v>
      </c>
      <c r="AD1720" t="s">
        <v>5355</v>
      </c>
      <c r="AE1720" t="s">
        <v>5356</v>
      </c>
      <c r="AF1720" s="16">
        <v>44915</v>
      </c>
      <c r="AG1720" t="s">
        <v>64</v>
      </c>
      <c r="AH1720">
        <v>6</v>
      </c>
      <c r="AI1720" s="8">
        <f t="shared" si="681"/>
        <v>23.430844907408755</v>
      </c>
      <c r="AJ1720" s="8">
        <f t="shared" si="682"/>
        <v>16.430844907408755</v>
      </c>
      <c r="AK1720" s="38">
        <f t="shared" si="664"/>
        <v>45114.430844907409</v>
      </c>
      <c r="AL1720" t="str">
        <f t="shared" si="683"/>
        <v/>
      </c>
      <c r="AM1720">
        <f t="shared" si="684"/>
        <v>21</v>
      </c>
      <c r="AN1720">
        <f t="shared" si="685"/>
        <v>3</v>
      </c>
      <c r="AO1720">
        <f t="shared" si="686"/>
        <v>2</v>
      </c>
      <c r="AP1720">
        <f t="shared" si="687"/>
        <v>0</v>
      </c>
      <c r="AQ1720" t="str">
        <f t="shared" si="688"/>
        <v/>
      </c>
    </row>
    <row r="1721" spans="1:43" x14ac:dyDescent="0.35">
      <c r="A1721">
        <v>2473</v>
      </c>
      <c r="B1721" t="s">
        <v>5357</v>
      </c>
      <c r="C1721" t="s">
        <v>4480</v>
      </c>
      <c r="D1721" t="str">
        <f t="shared" si="662"/>
        <v>Finance</v>
      </c>
      <c r="E1721" t="s">
        <v>5308</v>
      </c>
      <c r="F1721" t="s">
        <v>46</v>
      </c>
      <c r="G1721" t="s">
        <v>5309</v>
      </c>
      <c r="H1721" t="s">
        <v>48</v>
      </c>
      <c r="I1721" s="32">
        <v>44914.430844907409</v>
      </c>
      <c r="J1721" s="32">
        <v>44916.430844907409</v>
      </c>
      <c r="K1721" s="32">
        <v>44920.430844907409</v>
      </c>
      <c r="L1721" s="8">
        <f t="shared" si="663"/>
        <v>6</v>
      </c>
      <c r="M1721" s="7">
        <v>44928.430844907409</v>
      </c>
      <c r="N1721" t="s">
        <v>49</v>
      </c>
      <c r="O1721" s="34">
        <v>44926.430844907409</v>
      </c>
      <c r="P1721" t="s">
        <v>101</v>
      </c>
      <c r="R1721" s="32">
        <v>44933.430844907409</v>
      </c>
      <c r="S1721" t="s">
        <v>101</v>
      </c>
      <c r="T1721" s="34">
        <v>44928.430844907409</v>
      </c>
      <c r="U1721" s="34">
        <v>44931.430844907409</v>
      </c>
      <c r="V1721" s="32">
        <v>44929.430844907409</v>
      </c>
      <c r="W1721" s="32">
        <v>44937.430844907409</v>
      </c>
      <c r="X1721">
        <v>1</v>
      </c>
      <c r="Y1721" s="34">
        <v>44940.430844907409</v>
      </c>
      <c r="Z1721" s="34">
        <v>44943.430844907409</v>
      </c>
      <c r="AA1721" s="34">
        <v>44946.430844907409</v>
      </c>
      <c r="AB1721" s="36" t="s">
        <v>7476</v>
      </c>
      <c r="AC1721" s="10">
        <v>44962.430844907409</v>
      </c>
      <c r="AD1721" t="s">
        <v>5358</v>
      </c>
      <c r="AE1721" t="s">
        <v>5359</v>
      </c>
      <c r="AF1721" s="16">
        <v>44907</v>
      </c>
      <c r="AG1721" t="s">
        <v>64</v>
      </c>
      <c r="AH1721">
        <v>3</v>
      </c>
      <c r="AI1721" s="8">
        <f t="shared" si="681"/>
        <v>26.430844907408755</v>
      </c>
      <c r="AJ1721" s="8">
        <f t="shared" si="682"/>
        <v>19.430844907408755</v>
      </c>
      <c r="AK1721" s="38">
        <f t="shared" si="664"/>
        <v>45019.430844907409</v>
      </c>
      <c r="AL1721">
        <f t="shared" si="683"/>
        <v>6</v>
      </c>
      <c r="AM1721">
        <f t="shared" si="684"/>
        <v>17</v>
      </c>
      <c r="AN1721">
        <f t="shared" si="685"/>
        <v>3</v>
      </c>
      <c r="AO1721">
        <f t="shared" si="686"/>
        <v>2</v>
      </c>
      <c r="AP1721">
        <f t="shared" si="687"/>
        <v>44961.430844907409</v>
      </c>
      <c r="AQ1721">
        <f t="shared" si="688"/>
        <v>9</v>
      </c>
    </row>
    <row r="1722" spans="1:43" x14ac:dyDescent="0.35">
      <c r="A1722">
        <v>2358</v>
      </c>
      <c r="B1722" t="s">
        <v>5360</v>
      </c>
      <c r="C1722" t="s">
        <v>4471</v>
      </c>
      <c r="D1722" t="str">
        <f t="shared" si="662"/>
        <v>Finance</v>
      </c>
      <c r="E1722" t="s">
        <v>5308</v>
      </c>
      <c r="F1722" t="s">
        <v>46</v>
      </c>
      <c r="G1722" t="s">
        <v>5309</v>
      </c>
      <c r="H1722" t="s">
        <v>48</v>
      </c>
      <c r="I1722" s="32">
        <v>45029.526319444441</v>
      </c>
      <c r="J1722" s="32">
        <v>45031.526319444441</v>
      </c>
      <c r="K1722" s="32">
        <v>45032.526319444441</v>
      </c>
      <c r="L1722" s="8">
        <f t="shared" si="663"/>
        <v>3</v>
      </c>
      <c r="M1722" s="7">
        <v>45043.526319444441</v>
      </c>
      <c r="N1722" t="s">
        <v>49</v>
      </c>
      <c r="O1722" s="34">
        <v>45037.526319444441</v>
      </c>
      <c r="P1722" t="s">
        <v>50</v>
      </c>
      <c r="Q1722" t="s">
        <v>198</v>
      </c>
      <c r="R1722" s="32" t="s">
        <v>7472</v>
      </c>
      <c r="S1722" t="s">
        <v>7476</v>
      </c>
      <c r="T1722" s="34" t="s">
        <v>7476</v>
      </c>
      <c r="U1722" s="34" t="s">
        <v>7476</v>
      </c>
      <c r="V1722" s="32" t="s">
        <v>7476</v>
      </c>
      <c r="W1722" s="32" t="s">
        <v>7476</v>
      </c>
      <c r="X1722">
        <v>0</v>
      </c>
      <c r="Y1722" s="34" t="s">
        <v>7476</v>
      </c>
      <c r="Z1722" s="34" t="s">
        <v>7476</v>
      </c>
      <c r="AA1722" s="34" t="s">
        <v>7476</v>
      </c>
      <c r="AB1722" s="36" t="s">
        <v>95</v>
      </c>
      <c r="AD1722" t="s">
        <v>5361</v>
      </c>
      <c r="AE1722" t="s">
        <v>5362</v>
      </c>
      <c r="AF1722" s="16">
        <v>45032</v>
      </c>
      <c r="AG1722" t="s">
        <v>98</v>
      </c>
      <c r="AH1722">
        <v>6</v>
      </c>
      <c r="AI1722" s="8" t="str">
        <f t="shared" si="681"/>
        <v/>
      </c>
      <c r="AJ1722" s="8">
        <f t="shared" si="682"/>
        <v>5.5263194444414694</v>
      </c>
      <c r="AK1722" s="38" t="str">
        <f t="shared" si="664"/>
        <v/>
      </c>
      <c r="AL1722" t="str">
        <f t="shared" si="683"/>
        <v/>
      </c>
      <c r="AM1722" t="str">
        <f t="shared" si="684"/>
        <v/>
      </c>
      <c r="AN1722" t="str">
        <f t="shared" si="685"/>
        <v/>
      </c>
      <c r="AO1722">
        <f t="shared" si="686"/>
        <v>2</v>
      </c>
      <c r="AP1722">
        <f t="shared" si="687"/>
        <v>0</v>
      </c>
      <c r="AQ1722" t="str">
        <f t="shared" si="688"/>
        <v/>
      </c>
    </row>
    <row r="1723" spans="1:43" x14ac:dyDescent="0.35">
      <c r="A1723">
        <v>2352</v>
      </c>
      <c r="B1723" t="s">
        <v>5363</v>
      </c>
      <c r="C1723" t="s">
        <v>4480</v>
      </c>
      <c r="D1723" t="str">
        <f t="shared" si="662"/>
        <v>Finance</v>
      </c>
      <c r="E1723" t="s">
        <v>5308</v>
      </c>
      <c r="F1723" t="s">
        <v>46</v>
      </c>
      <c r="G1723" t="s">
        <v>5309</v>
      </c>
      <c r="H1723" t="s">
        <v>48</v>
      </c>
      <c r="I1723" s="32" t="s">
        <v>7471</v>
      </c>
      <c r="J1723" s="32">
        <v>45030.526319444441</v>
      </c>
      <c r="K1723" s="32">
        <v>45032.526319444441</v>
      </c>
      <c r="L1723" s="8" t="str">
        <f t="shared" si="663"/>
        <v/>
      </c>
      <c r="M1723" s="7">
        <v>45040.526319444441</v>
      </c>
      <c r="N1723" t="s">
        <v>49</v>
      </c>
      <c r="O1723" s="34">
        <v>45044.526319444441</v>
      </c>
      <c r="P1723" t="s">
        <v>60</v>
      </c>
      <c r="R1723" s="32">
        <v>45049.526319444441</v>
      </c>
      <c r="S1723" t="s">
        <v>61</v>
      </c>
      <c r="T1723" s="34" t="s">
        <v>7476</v>
      </c>
      <c r="U1723" s="34" t="s">
        <v>7476</v>
      </c>
      <c r="V1723" s="32">
        <v>45046.526319444441</v>
      </c>
      <c r="W1723" s="32" t="s">
        <v>7476</v>
      </c>
      <c r="X1723">
        <v>0</v>
      </c>
      <c r="Y1723" s="34" t="s">
        <v>7476</v>
      </c>
      <c r="Z1723" s="34" t="s">
        <v>7476</v>
      </c>
      <c r="AA1723" s="34" t="s">
        <v>7476</v>
      </c>
      <c r="AB1723" s="36" t="s">
        <v>7476</v>
      </c>
      <c r="AD1723" t="s">
        <v>5364</v>
      </c>
      <c r="AE1723" t="s">
        <v>5365</v>
      </c>
      <c r="AF1723" s="16">
        <v>45039</v>
      </c>
      <c r="AG1723" t="s">
        <v>75</v>
      </c>
      <c r="AH1723">
        <v>6</v>
      </c>
      <c r="AK1723" s="38">
        <f t="shared" si="664"/>
        <v>45226.526319444441</v>
      </c>
    </row>
    <row r="1724" spans="1:43" x14ac:dyDescent="0.35">
      <c r="A1724">
        <v>2329</v>
      </c>
      <c r="B1724" t="s">
        <v>5366</v>
      </c>
      <c r="C1724" t="s">
        <v>4471</v>
      </c>
      <c r="D1724" t="str">
        <f t="shared" si="662"/>
        <v>Finance</v>
      </c>
      <c r="E1724" t="s">
        <v>5308</v>
      </c>
      <c r="F1724" t="s">
        <v>46</v>
      </c>
      <c r="G1724" t="s">
        <v>5309</v>
      </c>
      <c r="H1724" t="s">
        <v>48</v>
      </c>
      <c r="I1724" s="32">
        <v>44595.265613425923</v>
      </c>
      <c r="J1724" s="32">
        <v>44599.265613425923</v>
      </c>
      <c r="K1724" s="32">
        <v>44603.265613425923</v>
      </c>
      <c r="L1724" s="8">
        <f t="shared" si="663"/>
        <v>8</v>
      </c>
      <c r="M1724" s="7">
        <v>44609.265613425923</v>
      </c>
      <c r="N1724" t="s">
        <v>72</v>
      </c>
      <c r="O1724" s="34" t="s">
        <v>7474</v>
      </c>
      <c r="R1724" s="32" t="s">
        <v>7472</v>
      </c>
      <c r="S1724" t="s">
        <v>7476</v>
      </c>
      <c r="T1724" s="34" t="s">
        <v>7476</v>
      </c>
      <c r="U1724" s="34" t="s">
        <v>7476</v>
      </c>
      <c r="V1724" s="32" t="s">
        <v>7476</v>
      </c>
      <c r="W1724" s="32" t="s">
        <v>7476</v>
      </c>
      <c r="X1724">
        <v>0</v>
      </c>
      <c r="Y1724" s="34" t="s">
        <v>7476</v>
      </c>
      <c r="Z1724" s="34" t="s">
        <v>7476</v>
      </c>
      <c r="AA1724" s="34" t="s">
        <v>7476</v>
      </c>
      <c r="AB1724" s="36" t="s">
        <v>7476</v>
      </c>
      <c r="AD1724" t="s">
        <v>5367</v>
      </c>
      <c r="AE1724" t="s">
        <v>5368</v>
      </c>
      <c r="AG1724" t="s">
        <v>98</v>
      </c>
      <c r="AH1724">
        <v>6</v>
      </c>
      <c r="AI1724" s="8" t="str">
        <f>IFERROR(R1724-AF1724,"")</f>
        <v/>
      </c>
      <c r="AJ1724" s="8" t="str">
        <f>IFERROR(O1724-AF1724,"")</f>
        <v/>
      </c>
      <c r="AK1724" s="38" t="str">
        <f t="shared" si="664"/>
        <v/>
      </c>
      <c r="AL1724" t="str">
        <f>IFERROR(Z1724-W1724,"")</f>
        <v/>
      </c>
      <c r="AM1724" t="str">
        <f>IFERROR(R1724-J1724,"")</f>
        <v/>
      </c>
      <c r="AN1724" t="str">
        <f>IFERROR(V1724-O1724,"")</f>
        <v/>
      </c>
      <c r="AO1724">
        <f>IFERROR(J1724-I1724,"")</f>
        <v>4</v>
      </c>
      <c r="AP1724">
        <f>IFERROR(AC1724-X1724,"")</f>
        <v>0</v>
      </c>
      <c r="AQ1724" t="str">
        <f>IFERROR(AA1724-W1724,"")</f>
        <v/>
      </c>
    </row>
    <row r="1725" spans="1:43" x14ac:dyDescent="0.35">
      <c r="A1725">
        <v>2327</v>
      </c>
      <c r="B1725" t="s">
        <v>5369</v>
      </c>
      <c r="C1725" t="s">
        <v>4471</v>
      </c>
      <c r="D1725" t="str">
        <f t="shared" si="662"/>
        <v>Finance</v>
      </c>
      <c r="E1725" t="s">
        <v>5308</v>
      </c>
      <c r="F1725" t="s">
        <v>46</v>
      </c>
      <c r="G1725" t="s">
        <v>5309</v>
      </c>
      <c r="H1725" t="s">
        <v>48</v>
      </c>
      <c r="I1725" s="32" t="s">
        <v>7471</v>
      </c>
      <c r="J1725" s="32">
        <v>44600.265613425923</v>
      </c>
      <c r="K1725" s="32">
        <v>44603.265613425923</v>
      </c>
      <c r="L1725" s="8" t="str">
        <f t="shared" si="663"/>
        <v/>
      </c>
      <c r="M1725" s="7">
        <v>44615.265613425923</v>
      </c>
      <c r="N1725" t="s">
        <v>49</v>
      </c>
      <c r="O1725" s="34">
        <v>44610.265613425923</v>
      </c>
      <c r="P1725" t="s">
        <v>50</v>
      </c>
      <c r="Q1725" t="s">
        <v>125</v>
      </c>
      <c r="R1725" s="32" t="s">
        <v>7472</v>
      </c>
      <c r="S1725" t="s">
        <v>7476</v>
      </c>
      <c r="T1725" s="34" t="s">
        <v>7476</v>
      </c>
      <c r="U1725" s="34" t="s">
        <v>7476</v>
      </c>
      <c r="V1725" s="32" t="s">
        <v>7476</v>
      </c>
      <c r="W1725" s="32" t="s">
        <v>7476</v>
      </c>
      <c r="X1725">
        <v>0</v>
      </c>
      <c r="Y1725" s="34" t="s">
        <v>7476</v>
      </c>
      <c r="Z1725" s="34" t="s">
        <v>7476</v>
      </c>
      <c r="AA1725" s="34" t="s">
        <v>7476</v>
      </c>
      <c r="AB1725" s="36" t="s">
        <v>95</v>
      </c>
      <c r="AD1725" t="s">
        <v>5370</v>
      </c>
      <c r="AE1725" t="s">
        <v>5371</v>
      </c>
      <c r="AF1725" s="16">
        <v>44597</v>
      </c>
      <c r="AG1725" t="s">
        <v>98</v>
      </c>
      <c r="AH1725">
        <v>3</v>
      </c>
      <c r="AK1725" s="38" t="str">
        <f t="shared" si="664"/>
        <v/>
      </c>
    </row>
    <row r="1726" spans="1:43" x14ac:dyDescent="0.35">
      <c r="A1726">
        <v>2324</v>
      </c>
      <c r="B1726" t="s">
        <v>5372</v>
      </c>
      <c r="C1726" t="s">
        <v>4480</v>
      </c>
      <c r="D1726" t="str">
        <f t="shared" si="662"/>
        <v>Finance</v>
      </c>
      <c r="E1726" t="s">
        <v>5308</v>
      </c>
      <c r="F1726" t="s">
        <v>46</v>
      </c>
      <c r="G1726" t="s">
        <v>5309</v>
      </c>
      <c r="H1726" t="s">
        <v>48</v>
      </c>
      <c r="I1726" s="32">
        <v>44594.265613425923</v>
      </c>
      <c r="J1726" s="32">
        <v>44597.265613425923</v>
      </c>
      <c r="K1726" s="32">
        <v>44603.265613425923</v>
      </c>
      <c r="L1726" s="8">
        <f t="shared" si="663"/>
        <v>9</v>
      </c>
      <c r="M1726" s="7">
        <v>44616.265613425923</v>
      </c>
      <c r="N1726" t="s">
        <v>72</v>
      </c>
      <c r="O1726" s="34" t="s">
        <v>7474</v>
      </c>
      <c r="R1726" s="32" t="s">
        <v>7472</v>
      </c>
      <c r="S1726" t="s">
        <v>7476</v>
      </c>
      <c r="T1726" s="34" t="s">
        <v>7476</v>
      </c>
      <c r="U1726" s="34" t="s">
        <v>7476</v>
      </c>
      <c r="V1726" s="32" t="s">
        <v>7476</v>
      </c>
      <c r="W1726" s="32" t="s">
        <v>7476</v>
      </c>
      <c r="X1726">
        <v>0</v>
      </c>
      <c r="Y1726" s="34" t="s">
        <v>7476</v>
      </c>
      <c r="Z1726" s="34" t="s">
        <v>7476</v>
      </c>
      <c r="AA1726" s="34" t="s">
        <v>7476</v>
      </c>
      <c r="AB1726" s="36" t="s">
        <v>7476</v>
      </c>
      <c r="AD1726" t="s">
        <v>5373</v>
      </c>
      <c r="AE1726" t="s">
        <v>5374</v>
      </c>
      <c r="AG1726" t="s">
        <v>68</v>
      </c>
      <c r="AH1726">
        <v>6</v>
      </c>
      <c r="AI1726" s="8" t="str">
        <f>IFERROR(R1726-AF1726,"")</f>
        <v/>
      </c>
      <c r="AJ1726" s="8" t="str">
        <f>IFERROR(O1726-AF1726,"")</f>
        <v/>
      </c>
      <c r="AK1726" s="38" t="str">
        <f t="shared" si="664"/>
        <v/>
      </c>
      <c r="AL1726" t="str">
        <f>IFERROR(Z1726-W1726,"")</f>
        <v/>
      </c>
      <c r="AM1726" t="str">
        <f>IFERROR(R1726-J1726,"")</f>
        <v/>
      </c>
      <c r="AN1726" t="str">
        <f>IFERROR(V1726-O1726,"")</f>
        <v/>
      </c>
      <c r="AO1726">
        <f>IFERROR(J1726-I1726,"")</f>
        <v>3</v>
      </c>
      <c r="AP1726">
        <f>IFERROR(AC1726-X1726,"")</f>
        <v>0</v>
      </c>
      <c r="AQ1726" t="str">
        <f>IFERROR(AA1726-W1726,"")</f>
        <v/>
      </c>
    </row>
    <row r="1727" spans="1:43" x14ac:dyDescent="0.35">
      <c r="A1727">
        <v>2322</v>
      </c>
      <c r="B1727" t="s">
        <v>5375</v>
      </c>
      <c r="C1727" t="s">
        <v>4502</v>
      </c>
      <c r="D1727" t="str">
        <f t="shared" si="662"/>
        <v>Finance</v>
      </c>
      <c r="E1727" t="s">
        <v>5308</v>
      </c>
      <c r="F1727" t="s">
        <v>46</v>
      </c>
      <c r="G1727" t="s">
        <v>5309</v>
      </c>
      <c r="H1727" t="s">
        <v>48</v>
      </c>
      <c r="I1727" s="32">
        <v>44594.265613425923</v>
      </c>
      <c r="J1727" s="32">
        <v>44598.265613425923</v>
      </c>
      <c r="K1727" s="32">
        <v>44603.265613425923</v>
      </c>
      <c r="L1727" s="8">
        <f t="shared" si="663"/>
        <v>9</v>
      </c>
      <c r="M1727" s="7">
        <v>44633.265613425923</v>
      </c>
      <c r="N1727" t="s">
        <v>72</v>
      </c>
      <c r="O1727" s="34" t="s">
        <v>7474</v>
      </c>
      <c r="R1727" s="32" t="s">
        <v>7472</v>
      </c>
      <c r="S1727" t="s">
        <v>7476</v>
      </c>
      <c r="T1727" s="34" t="s">
        <v>7476</v>
      </c>
      <c r="U1727" s="34" t="s">
        <v>7476</v>
      </c>
      <c r="V1727" s="32" t="s">
        <v>7476</v>
      </c>
      <c r="W1727" s="32" t="s">
        <v>7476</v>
      </c>
      <c r="X1727">
        <v>0</v>
      </c>
      <c r="Y1727" s="34" t="s">
        <v>7476</v>
      </c>
      <c r="Z1727" s="34" t="s">
        <v>7476</v>
      </c>
      <c r="AA1727" s="34" t="s">
        <v>7476</v>
      </c>
      <c r="AB1727" s="36" t="s">
        <v>7476</v>
      </c>
      <c r="AD1727" t="s">
        <v>5376</v>
      </c>
      <c r="AE1727" t="s">
        <v>5377</v>
      </c>
      <c r="AG1727" t="s">
        <v>98</v>
      </c>
      <c r="AH1727">
        <v>6</v>
      </c>
      <c r="AI1727" s="8" t="str">
        <f>IFERROR(R1727-AF1727,"")</f>
        <v/>
      </c>
      <c r="AJ1727" s="8" t="str">
        <f>IFERROR(O1727-AF1727,"")</f>
        <v/>
      </c>
      <c r="AK1727" s="38" t="str">
        <f t="shared" si="664"/>
        <v/>
      </c>
      <c r="AL1727" t="str">
        <f>IFERROR(Z1727-W1727,"")</f>
        <v/>
      </c>
      <c r="AM1727" t="str">
        <f>IFERROR(R1727-J1727,"")</f>
        <v/>
      </c>
      <c r="AN1727" t="str">
        <f>IFERROR(V1727-O1727,"")</f>
        <v/>
      </c>
      <c r="AO1727">
        <f>IFERROR(J1727-I1727,"")</f>
        <v>4</v>
      </c>
      <c r="AP1727">
        <f>IFERROR(AC1727-X1727,"")</f>
        <v>0</v>
      </c>
      <c r="AQ1727" t="str">
        <f>IFERROR(AA1727-W1727,"")</f>
        <v/>
      </c>
    </row>
    <row r="1728" spans="1:43" x14ac:dyDescent="0.35">
      <c r="A1728">
        <v>2310</v>
      </c>
      <c r="B1728" t="s">
        <v>5378</v>
      </c>
      <c r="C1728" t="s">
        <v>4480</v>
      </c>
      <c r="D1728" t="str">
        <f t="shared" si="662"/>
        <v>Finance</v>
      </c>
      <c r="E1728" t="s">
        <v>5308</v>
      </c>
      <c r="F1728" t="s">
        <v>46</v>
      </c>
      <c r="G1728" t="s">
        <v>5309</v>
      </c>
      <c r="H1728" t="s">
        <v>48</v>
      </c>
      <c r="I1728" s="32">
        <v>45098.08085648148</v>
      </c>
      <c r="J1728" s="32">
        <v>45100.08085648148</v>
      </c>
      <c r="K1728" s="32">
        <v>45105.08085648148</v>
      </c>
      <c r="L1728" s="8">
        <f t="shared" si="663"/>
        <v>7</v>
      </c>
      <c r="M1728" s="7">
        <v>45125.08085648148</v>
      </c>
      <c r="N1728" t="s">
        <v>49</v>
      </c>
      <c r="O1728" s="34">
        <v>45110.08085648148</v>
      </c>
      <c r="P1728" t="s">
        <v>50</v>
      </c>
      <c r="Q1728" t="s">
        <v>51</v>
      </c>
      <c r="R1728" s="32" t="s">
        <v>7472</v>
      </c>
      <c r="S1728" t="s">
        <v>7476</v>
      </c>
      <c r="T1728" s="34" t="s">
        <v>7476</v>
      </c>
      <c r="U1728" s="34" t="s">
        <v>7476</v>
      </c>
      <c r="V1728" s="32" t="s">
        <v>7476</v>
      </c>
      <c r="W1728" s="32" t="s">
        <v>7476</v>
      </c>
      <c r="X1728">
        <v>0</v>
      </c>
      <c r="Y1728" s="34" t="s">
        <v>7476</v>
      </c>
      <c r="Z1728" s="34" t="s">
        <v>7476</v>
      </c>
      <c r="AA1728" s="34" t="s">
        <v>7476</v>
      </c>
      <c r="AB1728" s="36" t="s">
        <v>52</v>
      </c>
      <c r="AD1728" t="s">
        <v>5379</v>
      </c>
      <c r="AE1728" t="s">
        <v>5380</v>
      </c>
      <c r="AF1728" s="16">
        <v>45094</v>
      </c>
      <c r="AG1728" t="s">
        <v>68</v>
      </c>
      <c r="AH1728">
        <v>6</v>
      </c>
      <c r="AI1728" s="8" t="str">
        <f>IFERROR(R1728-AF1728,"")</f>
        <v/>
      </c>
      <c r="AJ1728" s="8">
        <f>IFERROR(O1728-AF1728,"")</f>
        <v>16.080856481479714</v>
      </c>
      <c r="AK1728" s="38" t="str">
        <f t="shared" si="664"/>
        <v/>
      </c>
      <c r="AL1728" t="str">
        <f>IFERROR(Z1728-W1728,"")</f>
        <v/>
      </c>
      <c r="AM1728" t="str">
        <f>IFERROR(R1728-J1728,"")</f>
        <v/>
      </c>
      <c r="AN1728" t="str">
        <f>IFERROR(V1728-O1728,"")</f>
        <v/>
      </c>
      <c r="AO1728">
        <f>IFERROR(J1728-I1728,"")</f>
        <v>2</v>
      </c>
      <c r="AP1728">
        <f>IFERROR(AC1728-X1728,"")</f>
        <v>0</v>
      </c>
      <c r="AQ1728" t="str">
        <f>IFERROR(AA1728-W1728,"")</f>
        <v/>
      </c>
    </row>
    <row r="1729" spans="1:43" x14ac:dyDescent="0.35">
      <c r="A1729">
        <v>2303</v>
      </c>
      <c r="B1729" t="s">
        <v>5381</v>
      </c>
      <c r="C1729" t="s">
        <v>4502</v>
      </c>
      <c r="D1729" t="str">
        <f t="shared" si="662"/>
        <v>Finance</v>
      </c>
      <c r="E1729" t="s">
        <v>5308</v>
      </c>
      <c r="F1729" t="s">
        <v>46</v>
      </c>
      <c r="G1729" t="s">
        <v>5309</v>
      </c>
      <c r="H1729" t="s">
        <v>48</v>
      </c>
      <c r="I1729" s="32">
        <v>45096.08085648148</v>
      </c>
      <c r="J1729" s="32">
        <v>45100.08085648148</v>
      </c>
      <c r="K1729" s="32">
        <v>45105.08085648148</v>
      </c>
      <c r="L1729" s="8">
        <f t="shared" si="663"/>
        <v>9</v>
      </c>
      <c r="M1729" s="7">
        <v>45111.08085648148</v>
      </c>
      <c r="N1729" t="s">
        <v>49</v>
      </c>
      <c r="O1729" s="34">
        <v>45123.08085648148</v>
      </c>
      <c r="P1729" t="s">
        <v>50</v>
      </c>
      <c r="Q1729" t="s">
        <v>125</v>
      </c>
      <c r="R1729" s="32" t="s">
        <v>7472</v>
      </c>
      <c r="S1729" t="s">
        <v>7476</v>
      </c>
      <c r="T1729" s="34" t="s">
        <v>7476</v>
      </c>
      <c r="U1729" s="34" t="s">
        <v>7476</v>
      </c>
      <c r="V1729" s="32">
        <v>45125.08085648148</v>
      </c>
      <c r="W1729" s="32" t="s">
        <v>7476</v>
      </c>
      <c r="X1729">
        <v>0</v>
      </c>
      <c r="Y1729" s="34" t="s">
        <v>7476</v>
      </c>
      <c r="Z1729" s="34" t="s">
        <v>7476</v>
      </c>
      <c r="AA1729" s="34" t="s">
        <v>7476</v>
      </c>
      <c r="AB1729" s="36" t="s">
        <v>52</v>
      </c>
      <c r="AD1729" t="s">
        <v>5382</v>
      </c>
      <c r="AE1729" t="s">
        <v>5383</v>
      </c>
      <c r="AF1729" s="16">
        <v>45108</v>
      </c>
      <c r="AG1729" t="s">
        <v>64</v>
      </c>
      <c r="AH1729">
        <v>6</v>
      </c>
      <c r="AI1729" s="8" t="str">
        <f>IFERROR(R1729-AF1729,"")</f>
        <v/>
      </c>
      <c r="AJ1729" s="8">
        <f>IFERROR(O1729-AF1729,"")</f>
        <v>15.080856481479714</v>
      </c>
      <c r="AK1729" s="38">
        <f t="shared" si="664"/>
        <v>45305.08085648148</v>
      </c>
      <c r="AL1729" t="str">
        <f>IFERROR(Z1729-W1729,"")</f>
        <v/>
      </c>
      <c r="AM1729" t="str">
        <f>IFERROR(R1729-J1729,"")</f>
        <v/>
      </c>
      <c r="AN1729">
        <f>IFERROR(V1729-O1729,"")</f>
        <v>2</v>
      </c>
      <c r="AO1729">
        <f>IFERROR(J1729-I1729,"")</f>
        <v>4</v>
      </c>
      <c r="AP1729">
        <f>IFERROR(AC1729-X1729,"")</f>
        <v>0</v>
      </c>
      <c r="AQ1729" t="str">
        <f>IFERROR(AA1729-W1729,"")</f>
        <v/>
      </c>
    </row>
    <row r="1730" spans="1:43" x14ac:dyDescent="0.35">
      <c r="A1730">
        <v>2289</v>
      </c>
      <c r="B1730" t="s">
        <v>5384</v>
      </c>
      <c r="C1730" t="s">
        <v>4471</v>
      </c>
      <c r="D1730" t="str">
        <f t="shared" ref="D1730:D1793" si="689">TRIM(C1730)</f>
        <v>Finance</v>
      </c>
      <c r="E1730" t="s">
        <v>5308</v>
      </c>
      <c r="F1730" t="s">
        <v>46</v>
      </c>
      <c r="G1730" t="s">
        <v>5309</v>
      </c>
      <c r="H1730" t="s">
        <v>48</v>
      </c>
      <c r="I1730" s="32" t="s">
        <v>7471</v>
      </c>
      <c r="J1730" s="32">
        <v>44765.489282407398</v>
      </c>
      <c r="K1730" s="32">
        <v>44769.489282407398</v>
      </c>
      <c r="L1730" s="8" t="str">
        <f t="shared" ref="L1730:L1793" si="690">IFERROR(K1730-I1730,"")</f>
        <v/>
      </c>
      <c r="M1730" s="7">
        <v>44795.489282407398</v>
      </c>
      <c r="N1730" t="s">
        <v>49</v>
      </c>
      <c r="O1730" s="34">
        <v>44786.489282407398</v>
      </c>
      <c r="P1730" t="s">
        <v>101</v>
      </c>
      <c r="R1730" s="32">
        <v>44790.489282407398</v>
      </c>
      <c r="S1730" t="s">
        <v>101</v>
      </c>
      <c r="T1730" s="34">
        <v>44787.489282407398</v>
      </c>
      <c r="U1730" s="34">
        <v>44791.489282407398</v>
      </c>
      <c r="V1730" s="32">
        <v>44789.489282407398</v>
      </c>
      <c r="W1730" s="32">
        <v>44798.489282407398</v>
      </c>
      <c r="X1730">
        <v>1</v>
      </c>
      <c r="Y1730" s="34">
        <v>44801.489282407398</v>
      </c>
      <c r="Z1730" s="34">
        <v>44802.489282407398</v>
      </c>
      <c r="AA1730" s="34">
        <v>44804.489282407398</v>
      </c>
      <c r="AB1730" s="36" t="s">
        <v>7476</v>
      </c>
      <c r="AC1730" s="10">
        <v>44815.489282407398</v>
      </c>
      <c r="AD1730" t="s">
        <v>5385</v>
      </c>
      <c r="AE1730" t="s">
        <v>5386</v>
      </c>
      <c r="AF1730" s="16">
        <v>44768</v>
      </c>
      <c r="AG1730" t="s">
        <v>68</v>
      </c>
      <c r="AH1730">
        <v>3</v>
      </c>
      <c r="AK1730" s="38">
        <f t="shared" si="664"/>
        <v>44879.489282407398</v>
      </c>
    </row>
    <row r="1731" spans="1:43" x14ac:dyDescent="0.35">
      <c r="A1731">
        <v>2288</v>
      </c>
      <c r="B1731" t="s">
        <v>5387</v>
      </c>
      <c r="C1731" t="s">
        <v>4480</v>
      </c>
      <c r="D1731" t="str">
        <f t="shared" si="689"/>
        <v>Finance</v>
      </c>
      <c r="E1731" t="s">
        <v>5308</v>
      </c>
      <c r="F1731" t="s">
        <v>46</v>
      </c>
      <c r="G1731" t="s">
        <v>5309</v>
      </c>
      <c r="H1731" t="s">
        <v>48</v>
      </c>
      <c r="I1731" s="32">
        <v>44764.489282407398</v>
      </c>
      <c r="J1731" s="32">
        <v>44765.489282407398</v>
      </c>
      <c r="K1731" s="32">
        <v>44769.489282407398</v>
      </c>
      <c r="L1731" s="8">
        <f t="shared" si="690"/>
        <v>5</v>
      </c>
      <c r="M1731" s="7">
        <v>44780.489282407398</v>
      </c>
      <c r="N1731" t="s">
        <v>72</v>
      </c>
      <c r="O1731" s="34" t="s">
        <v>7474</v>
      </c>
      <c r="R1731" s="32" t="s">
        <v>7472</v>
      </c>
      <c r="S1731" t="s">
        <v>7476</v>
      </c>
      <c r="T1731" s="34" t="s">
        <v>7476</v>
      </c>
      <c r="U1731" s="34" t="s">
        <v>7476</v>
      </c>
      <c r="V1731" s="32" t="s">
        <v>7476</v>
      </c>
      <c r="W1731" s="32" t="s">
        <v>7476</v>
      </c>
      <c r="X1731">
        <v>0</v>
      </c>
      <c r="Y1731" s="34" t="s">
        <v>7476</v>
      </c>
      <c r="Z1731" s="34" t="s">
        <v>7476</v>
      </c>
      <c r="AA1731" s="34" t="s">
        <v>7476</v>
      </c>
      <c r="AB1731" s="36" t="s">
        <v>7476</v>
      </c>
      <c r="AD1731" t="s">
        <v>5388</v>
      </c>
      <c r="AE1731" t="s">
        <v>5389</v>
      </c>
      <c r="AG1731" t="s">
        <v>68</v>
      </c>
      <c r="AH1731">
        <v>6</v>
      </c>
      <c r="AI1731" s="8" t="str">
        <f>IFERROR(R1731-AF1731,"")</f>
        <v/>
      </c>
      <c r="AJ1731" s="8" t="str">
        <f>IFERROR(O1731-AF1731,"")</f>
        <v/>
      </c>
      <c r="AK1731" s="38" t="str">
        <f t="shared" ref="AK1731:AK1794" si="691">IFERROR(V1731+(AH1731*30),"")</f>
        <v/>
      </c>
      <c r="AL1731" t="str">
        <f>IFERROR(Z1731-W1731,"")</f>
        <v/>
      </c>
      <c r="AM1731" t="str">
        <f>IFERROR(R1731-J1731,"")</f>
        <v/>
      </c>
      <c r="AN1731" t="str">
        <f>IFERROR(V1731-O1731,"")</f>
        <v/>
      </c>
      <c r="AO1731">
        <f>IFERROR(J1731-I1731,"")</f>
        <v>1</v>
      </c>
      <c r="AP1731">
        <f>IFERROR(AC1731-X1731,"")</f>
        <v>0</v>
      </c>
      <c r="AQ1731" t="str">
        <f>IFERROR(AA1731-W1731,"")</f>
        <v/>
      </c>
    </row>
    <row r="1732" spans="1:43" x14ac:dyDescent="0.35">
      <c r="A1732">
        <v>2284</v>
      </c>
      <c r="B1732" t="s">
        <v>5390</v>
      </c>
      <c r="C1732" t="s">
        <v>4502</v>
      </c>
      <c r="D1732" t="str">
        <f t="shared" si="689"/>
        <v>Finance</v>
      </c>
      <c r="E1732" t="s">
        <v>5308</v>
      </c>
      <c r="F1732" t="s">
        <v>46</v>
      </c>
      <c r="G1732" t="s">
        <v>5309</v>
      </c>
      <c r="H1732" t="s">
        <v>48</v>
      </c>
      <c r="I1732" s="32">
        <v>44759.489282407398</v>
      </c>
      <c r="J1732" s="32">
        <v>44763.489282407398</v>
      </c>
      <c r="K1732" s="32">
        <v>44769.489282407398</v>
      </c>
      <c r="L1732" s="8">
        <f t="shared" si="690"/>
        <v>10</v>
      </c>
      <c r="M1732" s="7">
        <v>44779.489282407398</v>
      </c>
      <c r="N1732" t="s">
        <v>49</v>
      </c>
      <c r="O1732" s="34">
        <v>44783.489282407398</v>
      </c>
      <c r="P1732" t="s">
        <v>50</v>
      </c>
      <c r="Q1732" t="s">
        <v>51</v>
      </c>
      <c r="R1732" s="32" t="s">
        <v>7472</v>
      </c>
      <c r="S1732" t="s">
        <v>7476</v>
      </c>
      <c r="T1732" s="34" t="s">
        <v>7476</v>
      </c>
      <c r="U1732" s="34" t="s">
        <v>7476</v>
      </c>
      <c r="V1732" s="32" t="s">
        <v>7476</v>
      </c>
      <c r="W1732" s="32" t="s">
        <v>7476</v>
      </c>
      <c r="X1732">
        <v>0</v>
      </c>
      <c r="Y1732" s="34" t="s">
        <v>7476</v>
      </c>
      <c r="Z1732" s="34" t="s">
        <v>7476</v>
      </c>
      <c r="AA1732" s="34" t="s">
        <v>7476</v>
      </c>
      <c r="AB1732" s="36" t="s">
        <v>52</v>
      </c>
      <c r="AD1732" t="s">
        <v>5391</v>
      </c>
      <c r="AE1732" t="s">
        <v>5392</v>
      </c>
      <c r="AF1732" s="16">
        <v>44628</v>
      </c>
      <c r="AG1732" t="s">
        <v>68</v>
      </c>
      <c r="AH1732">
        <v>3</v>
      </c>
      <c r="AI1732" s="8" t="str">
        <f>IFERROR(R1732-AF1732,"")</f>
        <v/>
      </c>
      <c r="AJ1732" s="8">
        <f>IFERROR(O1732-AF1732,"")</f>
        <v>155.4892824073977</v>
      </c>
      <c r="AK1732" s="38" t="str">
        <f t="shared" si="691"/>
        <v/>
      </c>
      <c r="AL1732" t="str">
        <f>IFERROR(Z1732-W1732,"")</f>
        <v/>
      </c>
      <c r="AM1732" t="str">
        <f>IFERROR(R1732-J1732,"")</f>
        <v/>
      </c>
      <c r="AN1732" t="str">
        <f>IFERROR(V1732-O1732,"")</f>
        <v/>
      </c>
      <c r="AO1732">
        <f>IFERROR(J1732-I1732,"")</f>
        <v>4</v>
      </c>
      <c r="AP1732">
        <f>IFERROR(AC1732-X1732,"")</f>
        <v>0</v>
      </c>
      <c r="AQ1732" t="str">
        <f>IFERROR(AA1732-W1732,"")</f>
        <v/>
      </c>
    </row>
    <row r="1733" spans="1:43" x14ac:dyDescent="0.35">
      <c r="A1733">
        <v>2280</v>
      </c>
      <c r="B1733" t="s">
        <v>5393</v>
      </c>
      <c r="C1733" t="s">
        <v>4480</v>
      </c>
      <c r="D1733" t="str">
        <f t="shared" si="689"/>
        <v>Finance</v>
      </c>
      <c r="E1733" t="s">
        <v>5308</v>
      </c>
      <c r="F1733" t="s">
        <v>46</v>
      </c>
      <c r="G1733" t="s">
        <v>5309</v>
      </c>
      <c r="H1733" t="s">
        <v>48</v>
      </c>
      <c r="I1733" s="32">
        <v>45165.90388888889</v>
      </c>
      <c r="J1733" s="32" t="s">
        <v>7471</v>
      </c>
      <c r="K1733" s="32" t="s">
        <v>7473</v>
      </c>
      <c r="L1733" s="8" t="str">
        <f t="shared" si="690"/>
        <v/>
      </c>
      <c r="M1733" s="7">
        <v>45199.90388888889</v>
      </c>
      <c r="N1733" t="s">
        <v>49</v>
      </c>
      <c r="O1733" s="34">
        <v>45180.90388888889</v>
      </c>
      <c r="P1733" t="s">
        <v>60</v>
      </c>
      <c r="R1733" s="32">
        <v>45184.90388888889</v>
      </c>
      <c r="S1733" t="s">
        <v>61</v>
      </c>
      <c r="T1733" s="34" t="s">
        <v>7476</v>
      </c>
      <c r="U1733" s="34" t="s">
        <v>7476</v>
      </c>
      <c r="V1733" s="32">
        <v>45181.90388888889</v>
      </c>
      <c r="W1733" s="32" t="s">
        <v>7476</v>
      </c>
      <c r="X1733">
        <v>0</v>
      </c>
      <c r="Y1733" s="34" t="s">
        <v>7476</v>
      </c>
      <c r="Z1733" s="34" t="s">
        <v>7476</v>
      </c>
      <c r="AA1733" s="34" t="s">
        <v>7476</v>
      </c>
      <c r="AB1733" s="36" t="s">
        <v>7476</v>
      </c>
      <c r="AD1733" t="s">
        <v>5394</v>
      </c>
      <c r="AE1733" t="s">
        <v>5395</v>
      </c>
      <c r="AF1733" s="16">
        <v>45166</v>
      </c>
      <c r="AG1733" t="s">
        <v>98</v>
      </c>
      <c r="AH1733">
        <v>6</v>
      </c>
      <c r="AK1733" s="38">
        <f t="shared" si="691"/>
        <v>45361.90388888889</v>
      </c>
    </row>
    <row r="1734" spans="1:43" x14ac:dyDescent="0.35">
      <c r="A1734">
        <v>2277</v>
      </c>
      <c r="B1734" t="s">
        <v>5396</v>
      </c>
      <c r="C1734" t="s">
        <v>4471</v>
      </c>
      <c r="D1734" t="str">
        <f t="shared" si="689"/>
        <v>Finance</v>
      </c>
      <c r="E1734" t="s">
        <v>5308</v>
      </c>
      <c r="F1734" t="s">
        <v>46</v>
      </c>
      <c r="G1734" t="s">
        <v>5309</v>
      </c>
      <c r="H1734" t="s">
        <v>48</v>
      </c>
      <c r="I1734" s="32" t="s">
        <v>7471</v>
      </c>
      <c r="J1734" s="32" t="s">
        <v>7471</v>
      </c>
      <c r="K1734" s="32">
        <v>45171.90388888889</v>
      </c>
      <c r="L1734" s="8" t="str">
        <f t="shared" si="690"/>
        <v/>
      </c>
      <c r="M1734" s="7">
        <v>45190.90388888889</v>
      </c>
      <c r="N1734" t="s">
        <v>49</v>
      </c>
      <c r="O1734" s="34">
        <v>45182.90388888889</v>
      </c>
      <c r="P1734" t="s">
        <v>50</v>
      </c>
      <c r="Q1734" t="s">
        <v>125</v>
      </c>
      <c r="R1734" s="32" t="s">
        <v>7472</v>
      </c>
      <c r="S1734" t="s">
        <v>7476</v>
      </c>
      <c r="T1734" s="34" t="s">
        <v>7476</v>
      </c>
      <c r="U1734" s="34" t="s">
        <v>7476</v>
      </c>
      <c r="V1734" s="32">
        <v>45183.90388888889</v>
      </c>
      <c r="W1734" s="32" t="s">
        <v>7476</v>
      </c>
      <c r="X1734">
        <v>0</v>
      </c>
      <c r="Y1734" s="34" t="s">
        <v>7476</v>
      </c>
      <c r="Z1734" s="34" t="s">
        <v>7476</v>
      </c>
      <c r="AA1734" s="34" t="s">
        <v>7476</v>
      </c>
      <c r="AB1734" s="36" t="s">
        <v>95</v>
      </c>
      <c r="AD1734" t="s">
        <v>5397</v>
      </c>
      <c r="AE1734" t="s">
        <v>5398</v>
      </c>
      <c r="AF1734" s="16">
        <v>45168</v>
      </c>
      <c r="AG1734" t="s">
        <v>68</v>
      </c>
      <c r="AH1734">
        <v>3</v>
      </c>
      <c r="AK1734" s="38">
        <f t="shared" si="691"/>
        <v>45273.90388888889</v>
      </c>
    </row>
    <row r="1735" spans="1:43" x14ac:dyDescent="0.35">
      <c r="A1735">
        <v>2276</v>
      </c>
      <c r="B1735" t="s">
        <v>5399</v>
      </c>
      <c r="C1735" t="s">
        <v>4480</v>
      </c>
      <c r="D1735" t="str">
        <f t="shared" si="689"/>
        <v>Finance</v>
      </c>
      <c r="E1735" t="s">
        <v>5308</v>
      </c>
      <c r="F1735" t="s">
        <v>46</v>
      </c>
      <c r="G1735" t="s">
        <v>5309</v>
      </c>
      <c r="H1735" t="s">
        <v>48</v>
      </c>
      <c r="I1735" s="32">
        <v>45164.90388888889</v>
      </c>
      <c r="J1735" s="32">
        <v>45167.90388888889</v>
      </c>
      <c r="K1735" s="32">
        <v>45171.90388888889</v>
      </c>
      <c r="L1735" s="8">
        <f t="shared" si="690"/>
        <v>7</v>
      </c>
      <c r="M1735" s="7">
        <v>45184.90388888889</v>
      </c>
      <c r="N1735" t="s">
        <v>49</v>
      </c>
      <c r="O1735" s="34">
        <v>45174.90388888889</v>
      </c>
      <c r="P1735" t="s">
        <v>50</v>
      </c>
      <c r="Q1735" t="s">
        <v>236</v>
      </c>
      <c r="R1735" s="32" t="s">
        <v>7472</v>
      </c>
      <c r="S1735" t="s">
        <v>7476</v>
      </c>
      <c r="T1735" s="34" t="s">
        <v>7476</v>
      </c>
      <c r="U1735" s="34" t="s">
        <v>7476</v>
      </c>
      <c r="V1735" s="32">
        <v>45175.90388888889</v>
      </c>
      <c r="W1735" s="32" t="s">
        <v>7476</v>
      </c>
      <c r="X1735">
        <v>0</v>
      </c>
      <c r="Y1735" s="34" t="s">
        <v>7476</v>
      </c>
      <c r="Z1735" s="34" t="s">
        <v>7476</v>
      </c>
      <c r="AA1735" s="34" t="s">
        <v>7476</v>
      </c>
      <c r="AB1735" s="36" t="s">
        <v>95</v>
      </c>
      <c r="AD1735" t="s">
        <v>5400</v>
      </c>
      <c r="AE1735" t="s">
        <v>5401</v>
      </c>
      <c r="AF1735" s="16">
        <v>45161</v>
      </c>
      <c r="AG1735" t="s">
        <v>98</v>
      </c>
      <c r="AH1735">
        <v>3</v>
      </c>
      <c r="AI1735" s="8" t="str">
        <f>IFERROR(R1735-AF1735,"")</f>
        <v/>
      </c>
      <c r="AJ1735" s="8">
        <f>IFERROR(O1735-AF1735,"")</f>
        <v>13.903888888889924</v>
      </c>
      <c r="AK1735" s="38">
        <f t="shared" si="691"/>
        <v>45265.90388888889</v>
      </c>
      <c r="AL1735" t="str">
        <f>IFERROR(Z1735-W1735,"")</f>
        <v/>
      </c>
      <c r="AM1735" t="str">
        <f>IFERROR(R1735-J1735,"")</f>
        <v/>
      </c>
      <c r="AN1735">
        <f>IFERROR(V1735-O1735,"")</f>
        <v>1</v>
      </c>
      <c r="AO1735">
        <f>IFERROR(J1735-I1735,"")</f>
        <v>3</v>
      </c>
      <c r="AP1735">
        <f>IFERROR(AC1735-X1735,"")</f>
        <v>0</v>
      </c>
      <c r="AQ1735" t="str">
        <f>IFERROR(AA1735-W1735,"")</f>
        <v/>
      </c>
    </row>
    <row r="1736" spans="1:43" x14ac:dyDescent="0.35">
      <c r="A1736">
        <v>2236</v>
      </c>
      <c r="B1736" t="s">
        <v>5402</v>
      </c>
      <c r="C1736" t="s">
        <v>4471</v>
      </c>
      <c r="D1736" t="str">
        <f t="shared" si="689"/>
        <v>Finance</v>
      </c>
      <c r="E1736" t="s">
        <v>5308</v>
      </c>
      <c r="F1736" t="s">
        <v>46</v>
      </c>
      <c r="G1736" t="s">
        <v>5309</v>
      </c>
      <c r="H1736" t="s">
        <v>48</v>
      </c>
      <c r="I1736" s="32">
        <v>45026.959444444437</v>
      </c>
      <c r="J1736" s="32">
        <v>45030.959444444437</v>
      </c>
      <c r="K1736" s="32">
        <v>45036.959444444437</v>
      </c>
      <c r="L1736" s="8">
        <f t="shared" si="690"/>
        <v>10</v>
      </c>
      <c r="M1736" s="7">
        <v>45057.959444444437</v>
      </c>
      <c r="N1736" t="s">
        <v>49</v>
      </c>
      <c r="O1736" s="34">
        <v>45050.959444444437</v>
      </c>
      <c r="P1736" t="s">
        <v>50</v>
      </c>
      <c r="Q1736" t="s">
        <v>84</v>
      </c>
      <c r="R1736" s="32" t="s">
        <v>7472</v>
      </c>
      <c r="S1736" t="s">
        <v>7476</v>
      </c>
      <c r="T1736" s="34" t="s">
        <v>7476</v>
      </c>
      <c r="U1736" s="34" t="s">
        <v>7476</v>
      </c>
      <c r="V1736" s="32" t="s">
        <v>7476</v>
      </c>
      <c r="W1736" s="32" t="s">
        <v>7476</v>
      </c>
      <c r="X1736">
        <v>0</v>
      </c>
      <c r="Y1736" s="34" t="s">
        <v>7476</v>
      </c>
      <c r="Z1736" s="34" t="s">
        <v>7476</v>
      </c>
      <c r="AA1736" s="34" t="s">
        <v>7476</v>
      </c>
      <c r="AB1736" s="36" t="s">
        <v>52</v>
      </c>
      <c r="AD1736" t="s">
        <v>5403</v>
      </c>
      <c r="AE1736" t="s">
        <v>5404</v>
      </c>
      <c r="AF1736" s="16">
        <v>45040</v>
      </c>
      <c r="AG1736" t="s">
        <v>68</v>
      </c>
      <c r="AH1736">
        <v>3</v>
      </c>
      <c r="AI1736" s="8" t="str">
        <f>IFERROR(R1736-AF1736,"")</f>
        <v/>
      </c>
      <c r="AJ1736" s="8">
        <f>IFERROR(O1736-AF1736,"")</f>
        <v>10.959444444437395</v>
      </c>
      <c r="AK1736" s="38" t="str">
        <f t="shared" si="691"/>
        <v/>
      </c>
      <c r="AL1736" t="str">
        <f>IFERROR(Z1736-W1736,"")</f>
        <v/>
      </c>
      <c r="AM1736" t="str">
        <f>IFERROR(R1736-J1736,"")</f>
        <v/>
      </c>
      <c r="AN1736" t="str">
        <f>IFERROR(V1736-O1736,"")</f>
        <v/>
      </c>
      <c r="AO1736">
        <f>IFERROR(J1736-I1736,"")</f>
        <v>4</v>
      </c>
      <c r="AP1736">
        <f>IFERROR(AC1736-X1736,"")</f>
        <v>0</v>
      </c>
      <c r="AQ1736" t="str">
        <f>IFERROR(AA1736-W1736,"")</f>
        <v/>
      </c>
    </row>
    <row r="1737" spans="1:43" x14ac:dyDescent="0.35">
      <c r="A1737">
        <v>2232</v>
      </c>
      <c r="B1737" t="s">
        <v>5405</v>
      </c>
      <c r="C1737" t="s">
        <v>4480</v>
      </c>
      <c r="D1737" t="str">
        <f t="shared" si="689"/>
        <v>Finance</v>
      </c>
      <c r="E1737" t="s">
        <v>5308</v>
      </c>
      <c r="F1737" t="s">
        <v>46</v>
      </c>
      <c r="G1737" t="s">
        <v>5309</v>
      </c>
      <c r="H1737" t="s">
        <v>48</v>
      </c>
      <c r="I1737" s="32">
        <v>45031.959444444437</v>
      </c>
      <c r="J1737" s="32">
        <v>45033.959444444437</v>
      </c>
      <c r="K1737" s="32">
        <v>45036.959444444437</v>
      </c>
      <c r="L1737" s="8">
        <f t="shared" si="690"/>
        <v>5</v>
      </c>
      <c r="M1737" s="7">
        <v>45065.959444444437</v>
      </c>
      <c r="N1737" t="s">
        <v>49</v>
      </c>
      <c r="O1737" s="34">
        <v>45041.959444444437</v>
      </c>
      <c r="P1737" t="s">
        <v>50</v>
      </c>
      <c r="Q1737" t="s">
        <v>84</v>
      </c>
      <c r="R1737" s="32" t="s">
        <v>7472</v>
      </c>
      <c r="S1737" t="s">
        <v>7476</v>
      </c>
      <c r="T1737" s="34" t="s">
        <v>7476</v>
      </c>
      <c r="U1737" s="34" t="s">
        <v>7476</v>
      </c>
      <c r="V1737" s="32" t="s">
        <v>7476</v>
      </c>
      <c r="W1737" s="32" t="s">
        <v>7476</v>
      </c>
      <c r="X1737">
        <v>0</v>
      </c>
      <c r="Y1737" s="34" t="s">
        <v>7476</v>
      </c>
      <c r="Z1737" s="34" t="s">
        <v>7476</v>
      </c>
      <c r="AA1737" s="34" t="s">
        <v>7476</v>
      </c>
      <c r="AB1737" s="36" t="s">
        <v>95</v>
      </c>
      <c r="AD1737" t="s">
        <v>5406</v>
      </c>
      <c r="AE1737" t="s">
        <v>5407</v>
      </c>
      <c r="AF1737" s="16">
        <v>45022</v>
      </c>
      <c r="AG1737" t="s">
        <v>68</v>
      </c>
      <c r="AH1737">
        <v>6</v>
      </c>
      <c r="AI1737" s="8" t="str">
        <f>IFERROR(R1737-AF1737,"")</f>
        <v/>
      </c>
      <c r="AJ1737" s="8">
        <f>IFERROR(O1737-AF1737,"")</f>
        <v>19.959444444437395</v>
      </c>
      <c r="AK1737" s="38" t="str">
        <f t="shared" si="691"/>
        <v/>
      </c>
      <c r="AL1737" t="str">
        <f>IFERROR(Z1737-W1737,"")</f>
        <v/>
      </c>
      <c r="AM1737" t="str">
        <f>IFERROR(R1737-J1737,"")</f>
        <v/>
      </c>
      <c r="AN1737" t="str">
        <f>IFERROR(V1737-O1737,"")</f>
        <v/>
      </c>
      <c r="AO1737">
        <f>IFERROR(J1737-I1737,"")</f>
        <v>2</v>
      </c>
      <c r="AP1737">
        <f>IFERROR(AC1737-X1737,"")</f>
        <v>0</v>
      </c>
      <c r="AQ1737" t="str">
        <f>IFERROR(AA1737-W1737,"")</f>
        <v/>
      </c>
    </row>
    <row r="1738" spans="1:43" x14ac:dyDescent="0.35">
      <c r="A1738">
        <v>2179</v>
      </c>
      <c r="B1738" t="s">
        <v>5408</v>
      </c>
      <c r="C1738" t="s">
        <v>4480</v>
      </c>
      <c r="D1738" t="str">
        <f t="shared" si="689"/>
        <v>Finance</v>
      </c>
      <c r="E1738" t="s">
        <v>5308</v>
      </c>
      <c r="F1738" t="s">
        <v>46</v>
      </c>
      <c r="G1738" t="s">
        <v>5309</v>
      </c>
      <c r="H1738" t="s">
        <v>48</v>
      </c>
      <c r="I1738" s="32" t="s">
        <v>7471</v>
      </c>
      <c r="J1738" s="32" t="s">
        <v>7471</v>
      </c>
      <c r="K1738" s="32">
        <v>44759.601967592593</v>
      </c>
      <c r="L1738" s="8" t="str">
        <f t="shared" si="690"/>
        <v/>
      </c>
      <c r="M1738" s="7">
        <v>44789.601967592593</v>
      </c>
      <c r="N1738" t="s">
        <v>49</v>
      </c>
      <c r="O1738" s="34">
        <v>44764.601967592593</v>
      </c>
      <c r="P1738" t="s">
        <v>60</v>
      </c>
      <c r="R1738" s="32">
        <v>44768.601967592593</v>
      </c>
      <c r="S1738" t="s">
        <v>61</v>
      </c>
      <c r="T1738" s="34" t="s">
        <v>7476</v>
      </c>
      <c r="U1738" s="34" t="s">
        <v>7476</v>
      </c>
      <c r="V1738" s="32">
        <v>44767.601967592593</v>
      </c>
      <c r="W1738" s="32" t="s">
        <v>7476</v>
      </c>
      <c r="X1738">
        <v>0</v>
      </c>
      <c r="Y1738" s="34" t="s">
        <v>7476</v>
      </c>
      <c r="Z1738" s="34" t="s">
        <v>7476</v>
      </c>
      <c r="AA1738" s="34" t="s">
        <v>7476</v>
      </c>
      <c r="AB1738" s="36" t="s">
        <v>7476</v>
      </c>
      <c r="AD1738" t="s">
        <v>5409</v>
      </c>
      <c r="AE1738" t="s">
        <v>5410</v>
      </c>
      <c r="AF1738" s="16">
        <v>44902</v>
      </c>
      <c r="AG1738" t="s">
        <v>55</v>
      </c>
      <c r="AH1738">
        <v>3</v>
      </c>
      <c r="AK1738" s="38">
        <f t="shared" si="691"/>
        <v>44857.601967592593</v>
      </c>
    </row>
    <row r="1739" spans="1:43" x14ac:dyDescent="0.35">
      <c r="A1739">
        <v>2176</v>
      </c>
      <c r="B1739" t="s">
        <v>5411</v>
      </c>
      <c r="C1739" t="s">
        <v>4480</v>
      </c>
      <c r="D1739" t="str">
        <f t="shared" si="689"/>
        <v>Finance</v>
      </c>
      <c r="E1739" t="s">
        <v>5308</v>
      </c>
      <c r="F1739" t="s">
        <v>46</v>
      </c>
      <c r="G1739" t="s">
        <v>5309</v>
      </c>
      <c r="H1739" t="s">
        <v>48</v>
      </c>
      <c r="I1739" s="32">
        <v>44754.601967592593</v>
      </c>
      <c r="J1739" s="32">
        <v>44758.601967592593</v>
      </c>
      <c r="K1739" s="32">
        <v>44759.601967592593</v>
      </c>
      <c r="L1739" s="8">
        <f t="shared" si="690"/>
        <v>5</v>
      </c>
      <c r="M1739" s="7">
        <v>44772.601967592593</v>
      </c>
      <c r="N1739" t="s">
        <v>49</v>
      </c>
      <c r="O1739" s="34">
        <v>44762.601967592593</v>
      </c>
      <c r="P1739" t="s">
        <v>50</v>
      </c>
      <c r="Q1739" t="s">
        <v>236</v>
      </c>
      <c r="R1739" s="32" t="s">
        <v>7472</v>
      </c>
      <c r="S1739" t="s">
        <v>7476</v>
      </c>
      <c r="T1739" s="34" t="s">
        <v>7476</v>
      </c>
      <c r="U1739" s="34" t="s">
        <v>7476</v>
      </c>
      <c r="V1739" s="32">
        <v>44764.601967592593</v>
      </c>
      <c r="W1739" s="32" t="s">
        <v>7476</v>
      </c>
      <c r="X1739">
        <v>0</v>
      </c>
      <c r="Y1739" s="34" t="s">
        <v>7476</v>
      </c>
      <c r="Z1739" s="34" t="s">
        <v>7476</v>
      </c>
      <c r="AA1739" s="34" t="s">
        <v>7476</v>
      </c>
      <c r="AB1739" s="36" t="s">
        <v>52</v>
      </c>
      <c r="AD1739" t="s">
        <v>5412</v>
      </c>
      <c r="AE1739" t="s">
        <v>5413</v>
      </c>
      <c r="AF1739" s="16">
        <v>44745</v>
      </c>
      <c r="AG1739" t="s">
        <v>98</v>
      </c>
      <c r="AH1739">
        <v>3</v>
      </c>
      <c r="AI1739" s="8" t="str">
        <f>IFERROR(R1739-AF1739,"")</f>
        <v/>
      </c>
      <c r="AJ1739" s="8">
        <f>IFERROR(O1739-AF1739,"")</f>
        <v>17.6019675925927</v>
      </c>
      <c r="AK1739" s="38">
        <f t="shared" si="691"/>
        <v>44854.601967592593</v>
      </c>
      <c r="AL1739" t="str">
        <f>IFERROR(Z1739-W1739,"")</f>
        <v/>
      </c>
      <c r="AM1739" t="str">
        <f>IFERROR(R1739-J1739,"")</f>
        <v/>
      </c>
      <c r="AN1739">
        <f>IFERROR(V1739-O1739,"")</f>
        <v>2</v>
      </c>
      <c r="AO1739">
        <f>IFERROR(J1739-I1739,"")</f>
        <v>4</v>
      </c>
      <c r="AP1739">
        <f>IFERROR(AC1739-X1739,"")</f>
        <v>0</v>
      </c>
      <c r="AQ1739" t="str">
        <f>IFERROR(AA1739-W1739,"")</f>
        <v/>
      </c>
    </row>
    <row r="1740" spans="1:43" x14ac:dyDescent="0.35">
      <c r="A1740">
        <v>2158</v>
      </c>
      <c r="B1740" t="s">
        <v>5414</v>
      </c>
      <c r="C1740" t="s">
        <v>4480</v>
      </c>
      <c r="D1740" t="str">
        <f t="shared" si="689"/>
        <v>Finance</v>
      </c>
      <c r="E1740" t="s">
        <v>5308</v>
      </c>
      <c r="F1740" t="s">
        <v>46</v>
      </c>
      <c r="G1740" t="s">
        <v>5309</v>
      </c>
      <c r="H1740" t="s">
        <v>48</v>
      </c>
      <c r="I1740" s="32">
        <v>45141.393807870372</v>
      </c>
      <c r="J1740" s="32">
        <v>45142.393807870372</v>
      </c>
      <c r="K1740" s="32">
        <v>45147.393807870372</v>
      </c>
      <c r="L1740" s="8">
        <f t="shared" si="690"/>
        <v>6</v>
      </c>
      <c r="M1740" s="7">
        <v>45171.393807870372</v>
      </c>
      <c r="N1740" t="s">
        <v>49</v>
      </c>
      <c r="O1740" s="34">
        <v>45150.393807870372</v>
      </c>
      <c r="P1740" t="s">
        <v>50</v>
      </c>
      <c r="Q1740" t="s">
        <v>125</v>
      </c>
      <c r="R1740" s="32" t="s">
        <v>7472</v>
      </c>
      <c r="S1740" t="s">
        <v>7476</v>
      </c>
      <c r="T1740" s="34" t="s">
        <v>7476</v>
      </c>
      <c r="U1740" s="34" t="s">
        <v>7476</v>
      </c>
      <c r="V1740" s="32">
        <v>45153.393807870372</v>
      </c>
      <c r="W1740" s="32" t="s">
        <v>7476</v>
      </c>
      <c r="X1740">
        <v>0</v>
      </c>
      <c r="Y1740" s="34" t="s">
        <v>7476</v>
      </c>
      <c r="Z1740" s="34" t="s">
        <v>7476</v>
      </c>
      <c r="AA1740" s="34" t="s">
        <v>7476</v>
      </c>
      <c r="AB1740" s="36" t="s">
        <v>52</v>
      </c>
      <c r="AD1740" t="s">
        <v>5415</v>
      </c>
      <c r="AE1740" t="s">
        <v>5416</v>
      </c>
      <c r="AF1740" s="16">
        <v>45141</v>
      </c>
      <c r="AG1740" t="s">
        <v>68</v>
      </c>
      <c r="AH1740">
        <v>6</v>
      </c>
      <c r="AI1740" s="8" t="str">
        <f>IFERROR(R1740-AF1740,"")</f>
        <v/>
      </c>
      <c r="AJ1740" s="8">
        <f>IFERROR(O1740-AF1740,"")</f>
        <v>9.3938078703722567</v>
      </c>
      <c r="AK1740" s="38">
        <f t="shared" si="691"/>
        <v>45333.393807870372</v>
      </c>
      <c r="AL1740" t="str">
        <f>IFERROR(Z1740-W1740,"")</f>
        <v/>
      </c>
      <c r="AM1740" t="str">
        <f>IFERROR(R1740-J1740,"")</f>
        <v/>
      </c>
      <c r="AN1740">
        <f>IFERROR(V1740-O1740,"")</f>
        <v>3</v>
      </c>
      <c r="AO1740">
        <f>IFERROR(J1740-I1740,"")</f>
        <v>1</v>
      </c>
      <c r="AP1740">
        <f>IFERROR(AC1740-X1740,"")</f>
        <v>0</v>
      </c>
      <c r="AQ1740" t="str">
        <f>IFERROR(AA1740-W1740,"")</f>
        <v/>
      </c>
    </row>
    <row r="1741" spans="1:43" x14ac:dyDescent="0.35">
      <c r="A1741">
        <v>2155</v>
      </c>
      <c r="B1741" t="s">
        <v>5417</v>
      </c>
      <c r="C1741" t="s">
        <v>4502</v>
      </c>
      <c r="D1741" t="str">
        <f t="shared" si="689"/>
        <v>Finance</v>
      </c>
      <c r="E1741" t="s">
        <v>5308</v>
      </c>
      <c r="F1741" t="s">
        <v>46</v>
      </c>
      <c r="G1741" t="s">
        <v>5309</v>
      </c>
      <c r="H1741" t="s">
        <v>48</v>
      </c>
      <c r="I1741" s="32">
        <v>45140.393807870372</v>
      </c>
      <c r="J1741" s="32">
        <v>45142.393807870372</v>
      </c>
      <c r="K1741" s="32">
        <v>45147.393807870372</v>
      </c>
      <c r="L1741" s="8">
        <f t="shared" si="690"/>
        <v>7</v>
      </c>
      <c r="M1741" s="7">
        <v>45163.393807870372</v>
      </c>
      <c r="N1741" t="s">
        <v>49</v>
      </c>
      <c r="O1741" s="34">
        <v>45156.393807870372</v>
      </c>
      <c r="P1741" t="s">
        <v>392</v>
      </c>
      <c r="R1741" s="32">
        <v>45160.393807870372</v>
      </c>
      <c r="S1741" t="s">
        <v>392</v>
      </c>
      <c r="T1741" s="34" t="s">
        <v>7476</v>
      </c>
      <c r="U1741" s="34" t="s">
        <v>7476</v>
      </c>
      <c r="V1741" s="32">
        <v>45159.393807870372</v>
      </c>
      <c r="W1741" s="32" t="s">
        <v>7476</v>
      </c>
      <c r="X1741">
        <v>0</v>
      </c>
      <c r="Y1741" s="34" t="s">
        <v>7476</v>
      </c>
      <c r="Z1741" s="34" t="s">
        <v>7476</v>
      </c>
      <c r="AA1741" s="34" t="s">
        <v>7476</v>
      </c>
      <c r="AB1741" s="36" t="s">
        <v>7476</v>
      </c>
      <c r="AD1741" t="s">
        <v>5418</v>
      </c>
      <c r="AE1741" t="s">
        <v>5419</v>
      </c>
      <c r="AF1741" s="16">
        <v>45138</v>
      </c>
      <c r="AG1741" t="s">
        <v>98</v>
      </c>
      <c r="AH1741">
        <v>6</v>
      </c>
      <c r="AI1741" s="8">
        <f>IFERROR(R1741-AF1741,"")</f>
        <v>22.393807870372257</v>
      </c>
      <c r="AJ1741" s="8">
        <f>IFERROR(O1741-AF1741,"")</f>
        <v>18.393807870372257</v>
      </c>
      <c r="AK1741" s="38">
        <f t="shared" si="691"/>
        <v>45339.393807870372</v>
      </c>
      <c r="AL1741" t="str">
        <f>IFERROR(Z1741-W1741,"")</f>
        <v/>
      </c>
      <c r="AM1741">
        <f>IFERROR(R1741-J1741,"")</f>
        <v>18</v>
      </c>
      <c r="AN1741">
        <f>IFERROR(V1741-O1741,"")</f>
        <v>3</v>
      </c>
      <c r="AO1741">
        <f>IFERROR(J1741-I1741,"")</f>
        <v>2</v>
      </c>
      <c r="AP1741">
        <f>IFERROR(AC1741-X1741,"")</f>
        <v>0</v>
      </c>
      <c r="AQ1741" t="str">
        <f>IFERROR(AA1741-W1741,"")</f>
        <v/>
      </c>
    </row>
    <row r="1742" spans="1:43" x14ac:dyDescent="0.35">
      <c r="A1742">
        <v>2086</v>
      </c>
      <c r="B1742" t="s">
        <v>5420</v>
      </c>
      <c r="C1742" t="s">
        <v>4480</v>
      </c>
      <c r="D1742" t="str">
        <f t="shared" si="689"/>
        <v>Finance</v>
      </c>
      <c r="E1742" t="s">
        <v>5308</v>
      </c>
      <c r="F1742" t="s">
        <v>46</v>
      </c>
      <c r="G1742" t="s">
        <v>5309</v>
      </c>
      <c r="H1742" t="s">
        <v>48</v>
      </c>
      <c r="I1742" s="32">
        <v>44832.879004629627</v>
      </c>
      <c r="J1742" s="32">
        <v>44835.879004629627</v>
      </c>
      <c r="K1742" s="32">
        <v>44841.879004629627</v>
      </c>
      <c r="L1742" s="8">
        <f t="shared" si="690"/>
        <v>9</v>
      </c>
      <c r="M1742" s="7">
        <v>44859.879004629627</v>
      </c>
      <c r="N1742" t="s">
        <v>72</v>
      </c>
      <c r="O1742" s="34" t="s">
        <v>7474</v>
      </c>
      <c r="R1742" s="32" t="s">
        <v>7472</v>
      </c>
      <c r="S1742" t="s">
        <v>7476</v>
      </c>
      <c r="T1742" s="34" t="s">
        <v>7476</v>
      </c>
      <c r="U1742" s="34" t="s">
        <v>7476</v>
      </c>
      <c r="V1742" s="32" t="s">
        <v>7476</v>
      </c>
      <c r="W1742" s="32" t="s">
        <v>7476</v>
      </c>
      <c r="X1742">
        <v>0</v>
      </c>
      <c r="Y1742" s="34" t="s">
        <v>7476</v>
      </c>
      <c r="Z1742" s="34" t="s">
        <v>7476</v>
      </c>
      <c r="AA1742" s="34" t="s">
        <v>7476</v>
      </c>
      <c r="AB1742" s="36" t="s">
        <v>7476</v>
      </c>
      <c r="AD1742" t="s">
        <v>5421</v>
      </c>
      <c r="AE1742" t="s">
        <v>5422</v>
      </c>
      <c r="AG1742" t="s">
        <v>68</v>
      </c>
      <c r="AH1742">
        <v>6</v>
      </c>
      <c r="AI1742" s="8" t="str">
        <f>IFERROR(R1742-AF1742,"")</f>
        <v/>
      </c>
      <c r="AJ1742" s="8" t="str">
        <f>IFERROR(O1742-AF1742,"")</f>
        <v/>
      </c>
      <c r="AK1742" s="38" t="str">
        <f t="shared" si="691"/>
        <v/>
      </c>
      <c r="AL1742" t="str">
        <f>IFERROR(Z1742-W1742,"")</f>
        <v/>
      </c>
      <c r="AM1742" t="str">
        <f>IFERROR(R1742-J1742,"")</f>
        <v/>
      </c>
      <c r="AN1742" t="str">
        <f>IFERROR(V1742-O1742,"")</f>
        <v/>
      </c>
      <c r="AO1742">
        <f>IFERROR(J1742-I1742,"")</f>
        <v>3</v>
      </c>
      <c r="AP1742">
        <f>IFERROR(AC1742-X1742,"")</f>
        <v>0</v>
      </c>
      <c r="AQ1742" t="str">
        <f>IFERROR(AA1742-W1742,"")</f>
        <v/>
      </c>
    </row>
    <row r="1743" spans="1:43" x14ac:dyDescent="0.35">
      <c r="A1743">
        <v>2082</v>
      </c>
      <c r="B1743" t="s">
        <v>5423</v>
      </c>
      <c r="C1743" t="s">
        <v>4480</v>
      </c>
      <c r="D1743" t="str">
        <f t="shared" si="689"/>
        <v>Finance</v>
      </c>
      <c r="E1743" t="s">
        <v>5308</v>
      </c>
      <c r="F1743" t="s">
        <v>46</v>
      </c>
      <c r="G1743" t="s">
        <v>5309</v>
      </c>
      <c r="H1743" t="s">
        <v>48</v>
      </c>
      <c r="I1743" s="32" t="s">
        <v>7471</v>
      </c>
      <c r="J1743" s="32">
        <v>44839.879004629627</v>
      </c>
      <c r="K1743" s="32">
        <v>44841.879004629627</v>
      </c>
      <c r="L1743" s="8" t="str">
        <f t="shared" si="690"/>
        <v/>
      </c>
      <c r="M1743" s="7">
        <v>44858.879004629627</v>
      </c>
      <c r="N1743" t="s">
        <v>49</v>
      </c>
      <c r="O1743" s="34">
        <v>44844.879004629627</v>
      </c>
      <c r="P1743" t="s">
        <v>60</v>
      </c>
      <c r="R1743" s="32">
        <v>44847.879004629627</v>
      </c>
      <c r="S1743" t="s">
        <v>61</v>
      </c>
      <c r="T1743" s="34" t="s">
        <v>7476</v>
      </c>
      <c r="U1743" s="34" t="s">
        <v>7476</v>
      </c>
      <c r="V1743" s="32">
        <v>44845.879004629627</v>
      </c>
      <c r="W1743" s="32" t="s">
        <v>7476</v>
      </c>
      <c r="X1743">
        <v>0</v>
      </c>
      <c r="Y1743" s="34" t="s">
        <v>7476</v>
      </c>
      <c r="Z1743" s="34" t="s">
        <v>7476</v>
      </c>
      <c r="AA1743" s="34" t="s">
        <v>7476</v>
      </c>
      <c r="AB1743" s="36" t="s">
        <v>7476</v>
      </c>
      <c r="AD1743" t="s">
        <v>5424</v>
      </c>
      <c r="AE1743" t="s">
        <v>5425</v>
      </c>
      <c r="AF1743" s="16">
        <v>44828</v>
      </c>
      <c r="AG1743" t="s">
        <v>98</v>
      </c>
      <c r="AH1743">
        <v>6</v>
      </c>
      <c r="AK1743" s="38">
        <f t="shared" si="691"/>
        <v>45025.879004629627</v>
      </c>
    </row>
    <row r="1744" spans="1:43" x14ac:dyDescent="0.35">
      <c r="A1744">
        <v>1994</v>
      </c>
      <c r="B1744" t="s">
        <v>5426</v>
      </c>
      <c r="C1744" t="s">
        <v>4502</v>
      </c>
      <c r="D1744" t="str">
        <f t="shared" si="689"/>
        <v>Finance</v>
      </c>
      <c r="E1744" t="s">
        <v>5308</v>
      </c>
      <c r="F1744" t="s">
        <v>46</v>
      </c>
      <c r="G1744" t="s">
        <v>5309</v>
      </c>
      <c r="H1744" t="s">
        <v>48</v>
      </c>
      <c r="I1744" s="32" t="s">
        <v>7471</v>
      </c>
      <c r="J1744" s="32">
        <v>45019.653923611113</v>
      </c>
      <c r="K1744" s="32" t="s">
        <v>7473</v>
      </c>
      <c r="L1744" s="8" t="str">
        <f t="shared" si="690"/>
        <v/>
      </c>
      <c r="M1744" s="7">
        <v>45039.653923611113</v>
      </c>
      <c r="N1744" t="s">
        <v>49</v>
      </c>
      <c r="O1744" s="34">
        <v>45035.653923611113</v>
      </c>
      <c r="P1744" t="s">
        <v>101</v>
      </c>
      <c r="R1744" s="32">
        <v>45041.653923611113</v>
      </c>
      <c r="S1744" t="s">
        <v>101</v>
      </c>
      <c r="T1744" s="34">
        <v>45037.653923611113</v>
      </c>
      <c r="U1744" s="34">
        <v>45038.653923611113</v>
      </c>
      <c r="V1744" s="32">
        <v>45038.653923611113</v>
      </c>
      <c r="W1744" s="32">
        <v>45040.653923611113</v>
      </c>
      <c r="X1744">
        <v>1</v>
      </c>
      <c r="Y1744" s="34">
        <v>45044.653923611113</v>
      </c>
      <c r="Z1744" s="34">
        <v>45046.653923611113</v>
      </c>
      <c r="AA1744" s="34">
        <v>45047.653923611113</v>
      </c>
      <c r="AB1744" s="36" t="s">
        <v>7476</v>
      </c>
      <c r="AC1744" s="10">
        <v>45067.653923611113</v>
      </c>
      <c r="AD1744" t="s">
        <v>5427</v>
      </c>
      <c r="AE1744" t="s">
        <v>5428</v>
      </c>
      <c r="AF1744" s="16">
        <v>45019</v>
      </c>
      <c r="AG1744" t="s">
        <v>93</v>
      </c>
      <c r="AH1744">
        <v>6</v>
      </c>
      <c r="AK1744" s="38">
        <f t="shared" si="691"/>
        <v>45218.653923611113</v>
      </c>
    </row>
    <row r="1745" spans="1:43" x14ac:dyDescent="0.35">
      <c r="A1745">
        <v>1882</v>
      </c>
      <c r="B1745" t="s">
        <v>5429</v>
      </c>
      <c r="C1745" t="s">
        <v>4471</v>
      </c>
      <c r="D1745" t="str">
        <f t="shared" si="689"/>
        <v>Finance</v>
      </c>
      <c r="E1745" t="s">
        <v>5308</v>
      </c>
      <c r="F1745" t="s">
        <v>46</v>
      </c>
      <c r="G1745" t="s">
        <v>5309</v>
      </c>
      <c r="H1745" t="s">
        <v>48</v>
      </c>
      <c r="I1745" s="32">
        <v>44845.425185185188</v>
      </c>
      <c r="J1745" s="32">
        <v>44847.425185185188</v>
      </c>
      <c r="K1745" s="32" t="s">
        <v>7473</v>
      </c>
      <c r="L1745" s="8" t="str">
        <f t="shared" si="690"/>
        <v/>
      </c>
      <c r="M1745" s="7">
        <v>44875.425185185188</v>
      </c>
      <c r="N1745" t="s">
        <v>49</v>
      </c>
      <c r="O1745" s="34">
        <v>44856.425185185188</v>
      </c>
      <c r="P1745" t="s">
        <v>50</v>
      </c>
      <c r="Q1745" t="s">
        <v>236</v>
      </c>
      <c r="R1745" s="32" t="s">
        <v>7472</v>
      </c>
      <c r="S1745" t="s">
        <v>7476</v>
      </c>
      <c r="T1745" s="34" t="s">
        <v>7476</v>
      </c>
      <c r="U1745" s="34" t="s">
        <v>7476</v>
      </c>
      <c r="V1745" s="32">
        <v>44858.425185185188</v>
      </c>
      <c r="W1745" s="32" t="s">
        <v>7476</v>
      </c>
      <c r="X1745">
        <v>0</v>
      </c>
      <c r="Y1745" s="34" t="s">
        <v>7476</v>
      </c>
      <c r="Z1745" s="34" t="s">
        <v>7476</v>
      </c>
      <c r="AA1745" s="34" t="s">
        <v>7476</v>
      </c>
      <c r="AB1745" s="36" t="s">
        <v>52</v>
      </c>
      <c r="AD1745" t="s">
        <v>5430</v>
      </c>
      <c r="AE1745" t="s">
        <v>5431</v>
      </c>
      <c r="AF1745" s="16">
        <v>44850</v>
      </c>
      <c r="AG1745" t="s">
        <v>75</v>
      </c>
      <c r="AH1745">
        <v>3</v>
      </c>
      <c r="AK1745" s="38">
        <f t="shared" si="691"/>
        <v>44948.425185185188</v>
      </c>
    </row>
    <row r="1746" spans="1:43" x14ac:dyDescent="0.35">
      <c r="A1746">
        <v>1881</v>
      </c>
      <c r="B1746" t="s">
        <v>5432</v>
      </c>
      <c r="C1746" t="s">
        <v>4471</v>
      </c>
      <c r="D1746" t="str">
        <f t="shared" si="689"/>
        <v>Finance</v>
      </c>
      <c r="E1746" t="s">
        <v>5308</v>
      </c>
      <c r="F1746" t="s">
        <v>5433</v>
      </c>
      <c r="G1746" t="s">
        <v>5434</v>
      </c>
      <c r="H1746" t="s">
        <v>48</v>
      </c>
      <c r="I1746" s="32">
        <v>44843.425185185188</v>
      </c>
      <c r="J1746" s="32">
        <v>44846.425185185188</v>
      </c>
      <c r="K1746" s="32">
        <v>44848.425185185188</v>
      </c>
      <c r="L1746" s="8">
        <f t="shared" si="690"/>
        <v>5</v>
      </c>
      <c r="M1746" s="7">
        <v>44863.425185185188</v>
      </c>
      <c r="N1746" t="s">
        <v>49</v>
      </c>
      <c r="O1746" s="34">
        <v>44853.425185185188</v>
      </c>
      <c r="P1746" t="s">
        <v>50</v>
      </c>
      <c r="Q1746" t="s">
        <v>51</v>
      </c>
      <c r="R1746" s="32" t="s">
        <v>7472</v>
      </c>
      <c r="S1746" t="s">
        <v>7476</v>
      </c>
      <c r="T1746" s="34" t="s">
        <v>7476</v>
      </c>
      <c r="U1746" s="34" t="s">
        <v>7476</v>
      </c>
      <c r="V1746" s="32">
        <v>44855.425185185188</v>
      </c>
      <c r="W1746" s="32" t="s">
        <v>7476</v>
      </c>
      <c r="X1746">
        <v>0</v>
      </c>
      <c r="Y1746" s="34" t="s">
        <v>7476</v>
      </c>
      <c r="Z1746" s="34" t="s">
        <v>7476</v>
      </c>
      <c r="AA1746" s="34" t="s">
        <v>7476</v>
      </c>
      <c r="AB1746" s="36" t="s">
        <v>95</v>
      </c>
      <c r="AD1746" t="s">
        <v>5435</v>
      </c>
      <c r="AE1746" t="s">
        <v>5436</v>
      </c>
      <c r="AF1746" s="16">
        <v>44841</v>
      </c>
      <c r="AG1746" t="s">
        <v>68</v>
      </c>
      <c r="AH1746">
        <v>3</v>
      </c>
      <c r="AI1746" s="8" t="str">
        <f>IFERROR(R1746-AF1746,"")</f>
        <v/>
      </c>
      <c r="AJ1746" s="8">
        <f>IFERROR(O1746-AF1746,"")</f>
        <v>12.425185185187729</v>
      </c>
      <c r="AK1746" s="38">
        <f t="shared" si="691"/>
        <v>44945.425185185188</v>
      </c>
      <c r="AL1746" t="str">
        <f>IFERROR(Z1746-W1746,"")</f>
        <v/>
      </c>
      <c r="AM1746" t="str">
        <f>IFERROR(R1746-J1746,"")</f>
        <v/>
      </c>
      <c r="AN1746">
        <f>IFERROR(V1746-O1746,"")</f>
        <v>2</v>
      </c>
      <c r="AO1746">
        <f>IFERROR(J1746-I1746,"")</f>
        <v>3</v>
      </c>
      <c r="AP1746">
        <f>IFERROR(AC1746-X1746,"")</f>
        <v>0</v>
      </c>
      <c r="AQ1746" t="str">
        <f>IFERROR(AA1746-W1746,"")</f>
        <v/>
      </c>
    </row>
    <row r="1747" spans="1:43" x14ac:dyDescent="0.35">
      <c r="A1747">
        <v>1869</v>
      </c>
      <c r="B1747" t="s">
        <v>5437</v>
      </c>
      <c r="C1747" t="s">
        <v>4480</v>
      </c>
      <c r="D1747" t="str">
        <f t="shared" si="689"/>
        <v>Finance</v>
      </c>
      <c r="E1747" t="s">
        <v>5308</v>
      </c>
      <c r="F1747" t="s">
        <v>5433</v>
      </c>
      <c r="G1747" t="s">
        <v>5434</v>
      </c>
      <c r="H1747" t="s">
        <v>48</v>
      </c>
      <c r="I1747" s="32">
        <v>44639.350624999999</v>
      </c>
      <c r="J1747" s="32">
        <v>44640.350624999999</v>
      </c>
      <c r="K1747" s="32">
        <v>44646.350624999999</v>
      </c>
      <c r="L1747" s="8">
        <f t="shared" si="690"/>
        <v>7</v>
      </c>
      <c r="M1747" s="7">
        <v>44666.350624999999</v>
      </c>
      <c r="N1747" t="s">
        <v>49</v>
      </c>
      <c r="O1747" s="34">
        <v>44654.350624999999</v>
      </c>
      <c r="P1747" t="s">
        <v>50</v>
      </c>
      <c r="Q1747" t="s">
        <v>84</v>
      </c>
      <c r="R1747" s="32" t="s">
        <v>7472</v>
      </c>
      <c r="S1747" t="s">
        <v>7476</v>
      </c>
      <c r="T1747" s="34" t="s">
        <v>7476</v>
      </c>
      <c r="U1747" s="34" t="s">
        <v>7476</v>
      </c>
      <c r="V1747" s="32">
        <v>44655.350624999999</v>
      </c>
      <c r="W1747" s="32" t="s">
        <v>7476</v>
      </c>
      <c r="X1747">
        <v>0</v>
      </c>
      <c r="Y1747" s="34" t="s">
        <v>7476</v>
      </c>
      <c r="Z1747" s="34" t="s">
        <v>7476</v>
      </c>
      <c r="AA1747" s="34" t="s">
        <v>7476</v>
      </c>
      <c r="AB1747" s="36" t="s">
        <v>95</v>
      </c>
      <c r="AD1747" t="s">
        <v>5438</v>
      </c>
      <c r="AE1747" t="s">
        <v>5439</v>
      </c>
      <c r="AF1747" s="16">
        <v>44638</v>
      </c>
      <c r="AG1747" t="s">
        <v>68</v>
      </c>
      <c r="AH1747">
        <v>3</v>
      </c>
      <c r="AI1747" s="8" t="str">
        <f>IFERROR(R1747-AF1747,"")</f>
        <v/>
      </c>
      <c r="AJ1747" s="8">
        <f>IFERROR(O1747-AF1747,"")</f>
        <v>16.350624999999127</v>
      </c>
      <c r="AK1747" s="38">
        <f t="shared" si="691"/>
        <v>44745.350624999999</v>
      </c>
      <c r="AL1747" t="str">
        <f>IFERROR(Z1747-W1747,"")</f>
        <v/>
      </c>
      <c r="AM1747" t="str">
        <f>IFERROR(R1747-J1747,"")</f>
        <v/>
      </c>
      <c r="AN1747">
        <f>IFERROR(V1747-O1747,"")</f>
        <v>1</v>
      </c>
      <c r="AO1747">
        <f>IFERROR(J1747-I1747,"")</f>
        <v>1</v>
      </c>
      <c r="AP1747">
        <f>IFERROR(AC1747-X1747,"")</f>
        <v>0</v>
      </c>
      <c r="AQ1747" t="str">
        <f>IFERROR(AA1747-W1747,"")</f>
        <v/>
      </c>
    </row>
    <row r="1748" spans="1:43" x14ac:dyDescent="0.35">
      <c r="A1748">
        <v>1868</v>
      </c>
      <c r="B1748" t="s">
        <v>5440</v>
      </c>
      <c r="C1748" t="s">
        <v>4480</v>
      </c>
      <c r="D1748" t="str">
        <f t="shared" si="689"/>
        <v>Finance</v>
      </c>
      <c r="E1748" t="s">
        <v>5308</v>
      </c>
      <c r="F1748" t="s">
        <v>5433</v>
      </c>
      <c r="G1748" t="s">
        <v>5434</v>
      </c>
      <c r="H1748" t="s">
        <v>48</v>
      </c>
      <c r="I1748" s="32">
        <v>44641.350624999999</v>
      </c>
      <c r="J1748" s="32">
        <v>44645.350624999999</v>
      </c>
      <c r="K1748" s="32">
        <v>44646.350624999999</v>
      </c>
      <c r="L1748" s="8">
        <f t="shared" si="690"/>
        <v>5</v>
      </c>
      <c r="M1748" s="7">
        <v>44660.350624999999</v>
      </c>
      <c r="N1748" t="s">
        <v>49</v>
      </c>
      <c r="O1748" s="34">
        <v>44650.350624999999</v>
      </c>
      <c r="P1748" t="s">
        <v>50</v>
      </c>
      <c r="Q1748" t="s">
        <v>51</v>
      </c>
      <c r="R1748" s="32" t="s">
        <v>7472</v>
      </c>
      <c r="S1748" t="s">
        <v>7476</v>
      </c>
      <c r="T1748" s="34" t="s">
        <v>7476</v>
      </c>
      <c r="U1748" s="34" t="s">
        <v>7476</v>
      </c>
      <c r="V1748" s="32" t="s">
        <v>7476</v>
      </c>
      <c r="W1748" s="32" t="s">
        <v>7476</v>
      </c>
      <c r="X1748">
        <v>0</v>
      </c>
      <c r="Y1748" s="34" t="s">
        <v>7476</v>
      </c>
      <c r="Z1748" s="34" t="s">
        <v>7476</v>
      </c>
      <c r="AA1748" s="34" t="s">
        <v>7476</v>
      </c>
      <c r="AB1748" s="36" t="s">
        <v>95</v>
      </c>
      <c r="AD1748" t="s">
        <v>5441</v>
      </c>
      <c r="AE1748" t="s">
        <v>5442</v>
      </c>
      <c r="AF1748" s="16">
        <v>44638</v>
      </c>
      <c r="AG1748" t="s">
        <v>68</v>
      </c>
      <c r="AH1748">
        <v>3</v>
      </c>
      <c r="AI1748" s="8" t="str">
        <f>IFERROR(R1748-AF1748,"")</f>
        <v/>
      </c>
      <c r="AJ1748" s="8">
        <f>IFERROR(O1748-AF1748,"")</f>
        <v>12.350624999999127</v>
      </c>
      <c r="AK1748" s="38" t="str">
        <f t="shared" si="691"/>
        <v/>
      </c>
      <c r="AL1748" t="str">
        <f>IFERROR(Z1748-W1748,"")</f>
        <v/>
      </c>
      <c r="AM1748" t="str">
        <f>IFERROR(R1748-J1748,"")</f>
        <v/>
      </c>
      <c r="AN1748" t="str">
        <f>IFERROR(V1748-O1748,"")</f>
        <v/>
      </c>
      <c r="AO1748">
        <f>IFERROR(J1748-I1748,"")</f>
        <v>4</v>
      </c>
      <c r="AP1748">
        <f>IFERROR(AC1748-X1748,"")</f>
        <v>0</v>
      </c>
      <c r="AQ1748" t="str">
        <f>IFERROR(AA1748-W1748,"")</f>
        <v/>
      </c>
    </row>
    <row r="1749" spans="1:43" x14ac:dyDescent="0.35">
      <c r="A1749">
        <v>1849</v>
      </c>
      <c r="B1749" t="s">
        <v>5443</v>
      </c>
      <c r="C1749" t="s">
        <v>4480</v>
      </c>
      <c r="D1749" t="str">
        <f t="shared" si="689"/>
        <v>Finance</v>
      </c>
      <c r="E1749" t="s">
        <v>5308</v>
      </c>
      <c r="F1749" t="s">
        <v>5433</v>
      </c>
      <c r="G1749" t="s">
        <v>5434</v>
      </c>
      <c r="H1749" t="s">
        <v>48</v>
      </c>
      <c r="I1749" s="32">
        <v>44611.970185185193</v>
      </c>
      <c r="J1749" s="32">
        <v>44613.970185185193</v>
      </c>
      <c r="K1749" s="32">
        <v>44615.970185185193</v>
      </c>
      <c r="L1749" s="8">
        <f t="shared" si="690"/>
        <v>4</v>
      </c>
      <c r="M1749" s="7">
        <v>44625.970185185193</v>
      </c>
      <c r="N1749" t="s">
        <v>49</v>
      </c>
      <c r="O1749" s="34">
        <v>44620.970185185193</v>
      </c>
      <c r="P1749" t="s">
        <v>101</v>
      </c>
      <c r="R1749" s="32">
        <v>44623.970185185193</v>
      </c>
      <c r="S1749" t="s">
        <v>101</v>
      </c>
      <c r="T1749" s="34">
        <v>44622.970185185193</v>
      </c>
      <c r="U1749" s="34">
        <v>44625.970185185193</v>
      </c>
      <c r="V1749" s="32">
        <v>44622.970185185193</v>
      </c>
      <c r="W1749" s="32">
        <v>44632.970185185193</v>
      </c>
      <c r="X1749">
        <v>1</v>
      </c>
      <c r="Y1749" s="34">
        <v>44633.970185185193</v>
      </c>
      <c r="Z1749" s="34">
        <v>44635.970185185193</v>
      </c>
      <c r="AA1749" s="34">
        <v>44636.970185185193</v>
      </c>
      <c r="AB1749" s="36" t="s">
        <v>7476</v>
      </c>
      <c r="AC1749" s="10">
        <v>44649.970185185193</v>
      </c>
      <c r="AD1749" t="s">
        <v>5444</v>
      </c>
      <c r="AE1749" t="s">
        <v>5445</v>
      </c>
      <c r="AF1749" s="16">
        <v>44615</v>
      </c>
      <c r="AG1749" t="s">
        <v>98</v>
      </c>
      <c r="AH1749">
        <v>3</v>
      </c>
      <c r="AI1749" s="8">
        <f>IFERROR(R1749-AF1749,"")</f>
        <v>8.9701851851932588</v>
      </c>
      <c r="AJ1749" s="8">
        <f>IFERROR(O1749-AF1749,"")</f>
        <v>5.9701851851932588</v>
      </c>
      <c r="AK1749" s="38">
        <f t="shared" si="691"/>
        <v>44712.970185185193</v>
      </c>
      <c r="AL1749">
        <f>IFERROR(Z1749-W1749,"")</f>
        <v>3</v>
      </c>
      <c r="AM1749">
        <f>IFERROR(R1749-J1749,"")</f>
        <v>10</v>
      </c>
      <c r="AN1749">
        <f>IFERROR(V1749-O1749,"")</f>
        <v>2</v>
      </c>
      <c r="AO1749">
        <f>IFERROR(J1749-I1749,"")</f>
        <v>2</v>
      </c>
      <c r="AP1749">
        <f>IFERROR(AC1749-X1749,"")</f>
        <v>44648.970185185193</v>
      </c>
      <c r="AQ1749">
        <f>IFERROR(AA1749-W1749,"")</f>
        <v>4</v>
      </c>
    </row>
    <row r="1750" spans="1:43" x14ac:dyDescent="0.35">
      <c r="A1750">
        <v>1847</v>
      </c>
      <c r="B1750" t="s">
        <v>5446</v>
      </c>
      <c r="C1750" t="s">
        <v>4480</v>
      </c>
      <c r="D1750" t="str">
        <f t="shared" si="689"/>
        <v>Finance</v>
      </c>
      <c r="E1750" t="s">
        <v>5308</v>
      </c>
      <c r="F1750" t="s">
        <v>5433</v>
      </c>
      <c r="G1750" t="s">
        <v>5434</v>
      </c>
      <c r="H1750" t="s">
        <v>48</v>
      </c>
      <c r="I1750" s="32">
        <v>44606.970185185193</v>
      </c>
      <c r="J1750" s="32">
        <v>44609.970185185193</v>
      </c>
      <c r="K1750" s="32">
        <v>44615.970185185193</v>
      </c>
      <c r="L1750" s="8">
        <f t="shared" si="690"/>
        <v>9</v>
      </c>
      <c r="M1750" s="7">
        <v>44631.970185185193</v>
      </c>
      <c r="N1750" t="s">
        <v>49</v>
      </c>
      <c r="O1750" s="34">
        <v>44618.970185185193</v>
      </c>
      <c r="P1750" t="s">
        <v>60</v>
      </c>
      <c r="R1750" s="32">
        <v>44625.970185185193</v>
      </c>
      <c r="S1750" t="s">
        <v>61</v>
      </c>
      <c r="T1750" s="34" t="s">
        <v>7476</v>
      </c>
      <c r="U1750" s="34" t="s">
        <v>7476</v>
      </c>
      <c r="V1750" s="32">
        <v>44622.970185185193</v>
      </c>
      <c r="W1750" s="32" t="s">
        <v>7476</v>
      </c>
      <c r="X1750">
        <v>0</v>
      </c>
      <c r="Y1750" s="34" t="s">
        <v>7476</v>
      </c>
      <c r="Z1750" s="34" t="s">
        <v>7476</v>
      </c>
      <c r="AA1750" s="34" t="s">
        <v>7476</v>
      </c>
      <c r="AB1750" s="36" t="s">
        <v>7476</v>
      </c>
      <c r="AD1750" t="s">
        <v>5447</v>
      </c>
      <c r="AE1750" t="s">
        <v>5448</v>
      </c>
      <c r="AF1750" s="16">
        <v>44613</v>
      </c>
      <c r="AG1750" t="s">
        <v>68</v>
      </c>
      <c r="AH1750">
        <v>3</v>
      </c>
      <c r="AI1750" s="8">
        <f>IFERROR(R1750-AF1750,"")</f>
        <v>12.970185185193259</v>
      </c>
      <c r="AJ1750" s="8">
        <f>IFERROR(O1750-AF1750,"")</f>
        <v>5.9701851851932588</v>
      </c>
      <c r="AK1750" s="38">
        <f t="shared" si="691"/>
        <v>44712.970185185193</v>
      </c>
      <c r="AL1750" t="str">
        <f>IFERROR(Z1750-W1750,"")</f>
        <v/>
      </c>
      <c r="AM1750">
        <f>IFERROR(R1750-J1750,"")</f>
        <v>16</v>
      </c>
      <c r="AN1750">
        <f>IFERROR(V1750-O1750,"")</f>
        <v>4</v>
      </c>
      <c r="AO1750">
        <f>IFERROR(J1750-I1750,"")</f>
        <v>3</v>
      </c>
      <c r="AP1750">
        <f>IFERROR(AC1750-X1750,"")</f>
        <v>0</v>
      </c>
      <c r="AQ1750" t="str">
        <f>IFERROR(AA1750-W1750,"")</f>
        <v/>
      </c>
    </row>
    <row r="1751" spans="1:43" x14ac:dyDescent="0.35">
      <c r="A1751">
        <v>1821</v>
      </c>
      <c r="B1751" t="s">
        <v>5449</v>
      </c>
      <c r="C1751" t="s">
        <v>4480</v>
      </c>
      <c r="D1751" t="str">
        <f t="shared" si="689"/>
        <v>Finance</v>
      </c>
      <c r="E1751" t="s">
        <v>5308</v>
      </c>
      <c r="F1751" t="s">
        <v>5433</v>
      </c>
      <c r="G1751" t="s">
        <v>5434</v>
      </c>
      <c r="H1751" t="s">
        <v>48</v>
      </c>
      <c r="I1751" s="32" t="s">
        <v>7471</v>
      </c>
      <c r="J1751" s="32">
        <v>44663.459594907406</v>
      </c>
      <c r="K1751" s="32">
        <v>44668.459594907406</v>
      </c>
      <c r="L1751" s="8" t="str">
        <f t="shared" si="690"/>
        <v/>
      </c>
      <c r="M1751" s="7">
        <v>44674.459594907406</v>
      </c>
      <c r="N1751" t="s">
        <v>49</v>
      </c>
      <c r="O1751" s="34">
        <v>44683.459594907406</v>
      </c>
      <c r="P1751" t="s">
        <v>50</v>
      </c>
      <c r="Q1751" t="s">
        <v>198</v>
      </c>
      <c r="R1751" s="32" t="s">
        <v>7472</v>
      </c>
      <c r="S1751" t="s">
        <v>7476</v>
      </c>
      <c r="T1751" s="34" t="s">
        <v>7476</v>
      </c>
      <c r="U1751" s="34" t="s">
        <v>7476</v>
      </c>
      <c r="V1751" s="32" t="s">
        <v>7476</v>
      </c>
      <c r="W1751" s="32" t="s">
        <v>7476</v>
      </c>
      <c r="X1751">
        <v>0</v>
      </c>
      <c r="Y1751" s="34" t="s">
        <v>7476</v>
      </c>
      <c r="Z1751" s="34" t="s">
        <v>7476</v>
      </c>
      <c r="AA1751" s="34" t="s">
        <v>7476</v>
      </c>
      <c r="AB1751" s="36" t="s">
        <v>52</v>
      </c>
      <c r="AD1751" t="s">
        <v>5450</v>
      </c>
      <c r="AE1751" t="s">
        <v>5451</v>
      </c>
      <c r="AF1751" s="16">
        <v>44675</v>
      </c>
      <c r="AG1751" t="s">
        <v>98</v>
      </c>
      <c r="AH1751">
        <v>3</v>
      </c>
      <c r="AK1751" s="38" t="str">
        <f t="shared" si="691"/>
        <v/>
      </c>
    </row>
    <row r="1752" spans="1:43" x14ac:dyDescent="0.35">
      <c r="A1752">
        <v>1733</v>
      </c>
      <c r="B1752" t="s">
        <v>5452</v>
      </c>
      <c r="C1752" t="s">
        <v>4471</v>
      </c>
      <c r="D1752" t="str">
        <f t="shared" si="689"/>
        <v>Finance</v>
      </c>
      <c r="E1752" t="s">
        <v>5308</v>
      </c>
      <c r="F1752" t="s">
        <v>5433</v>
      </c>
      <c r="G1752" t="s">
        <v>5434</v>
      </c>
      <c r="H1752" t="s">
        <v>48</v>
      </c>
      <c r="I1752" s="32">
        <v>44564.634641203702</v>
      </c>
      <c r="J1752" s="32">
        <v>44565.634641203702</v>
      </c>
      <c r="K1752" s="32">
        <v>44568.634641203702</v>
      </c>
      <c r="L1752" s="8">
        <f t="shared" si="690"/>
        <v>4</v>
      </c>
      <c r="M1752" s="7">
        <v>44574.634641203702</v>
      </c>
      <c r="N1752" t="s">
        <v>49</v>
      </c>
      <c r="O1752" s="34">
        <v>44573.634641203702</v>
      </c>
      <c r="P1752" t="s">
        <v>50</v>
      </c>
      <c r="Q1752" t="s">
        <v>51</v>
      </c>
      <c r="R1752" s="32" t="s">
        <v>7472</v>
      </c>
      <c r="S1752" t="s">
        <v>7476</v>
      </c>
      <c r="T1752" s="34" t="s">
        <v>7476</v>
      </c>
      <c r="U1752" s="34" t="s">
        <v>7476</v>
      </c>
      <c r="V1752" s="32">
        <v>44576.634641203702</v>
      </c>
      <c r="W1752" s="32" t="s">
        <v>7476</v>
      </c>
      <c r="X1752">
        <v>0</v>
      </c>
      <c r="Y1752" s="34" t="s">
        <v>7476</v>
      </c>
      <c r="Z1752" s="34" t="s">
        <v>7476</v>
      </c>
      <c r="AA1752" s="34" t="s">
        <v>7476</v>
      </c>
      <c r="AB1752" s="36" t="s">
        <v>95</v>
      </c>
      <c r="AD1752" t="s">
        <v>5453</v>
      </c>
      <c r="AE1752" t="s">
        <v>5454</v>
      </c>
      <c r="AF1752" s="16">
        <v>44593</v>
      </c>
      <c r="AG1752" t="s">
        <v>68</v>
      </c>
      <c r="AH1752">
        <v>3</v>
      </c>
      <c r="AI1752" s="8" t="str">
        <f>IFERROR(R1752-AF1752,"")</f>
        <v/>
      </c>
      <c r="AJ1752" s="8">
        <f>IFERROR(O1752-AF1752,"")</f>
        <v>-19.365358796298096</v>
      </c>
      <c r="AK1752" s="38">
        <f t="shared" si="691"/>
        <v>44666.634641203702</v>
      </c>
      <c r="AL1752" t="str">
        <f>IFERROR(Z1752-W1752,"")</f>
        <v/>
      </c>
      <c r="AM1752" t="str">
        <f>IFERROR(R1752-J1752,"")</f>
        <v/>
      </c>
      <c r="AN1752">
        <f>IFERROR(V1752-O1752,"")</f>
        <v>3</v>
      </c>
      <c r="AO1752">
        <f>IFERROR(J1752-I1752,"")</f>
        <v>1</v>
      </c>
      <c r="AP1752">
        <f>IFERROR(AC1752-X1752,"")</f>
        <v>0</v>
      </c>
      <c r="AQ1752" t="str">
        <f>IFERROR(AA1752-W1752,"")</f>
        <v/>
      </c>
    </row>
    <row r="1753" spans="1:43" x14ac:dyDescent="0.35">
      <c r="A1753">
        <v>1707</v>
      </c>
      <c r="B1753" t="s">
        <v>5455</v>
      </c>
      <c r="C1753" t="s">
        <v>4471</v>
      </c>
      <c r="D1753" t="str">
        <f t="shared" si="689"/>
        <v>Finance</v>
      </c>
      <c r="E1753" t="s">
        <v>5308</v>
      </c>
      <c r="F1753" t="s">
        <v>5433</v>
      </c>
      <c r="G1753" t="s">
        <v>5434</v>
      </c>
      <c r="H1753" t="s">
        <v>48</v>
      </c>
      <c r="I1753" s="32">
        <v>44989.751342592594</v>
      </c>
      <c r="J1753" s="32">
        <v>44993.751342592594</v>
      </c>
      <c r="K1753" s="32">
        <v>44994.751342592594</v>
      </c>
      <c r="L1753" s="8">
        <f t="shared" si="690"/>
        <v>5</v>
      </c>
      <c r="M1753" s="7">
        <v>45002.751342592594</v>
      </c>
      <c r="N1753" t="s">
        <v>49</v>
      </c>
      <c r="O1753" s="34">
        <v>45010.751342592594</v>
      </c>
      <c r="P1753" t="s">
        <v>50</v>
      </c>
      <c r="Q1753" t="s">
        <v>198</v>
      </c>
      <c r="R1753" s="32" t="s">
        <v>7472</v>
      </c>
      <c r="S1753" t="s">
        <v>7476</v>
      </c>
      <c r="T1753" s="34" t="s">
        <v>7476</v>
      </c>
      <c r="U1753" s="34" t="s">
        <v>7476</v>
      </c>
      <c r="V1753" s="32">
        <v>45012.751342592594</v>
      </c>
      <c r="W1753" s="32" t="s">
        <v>7476</v>
      </c>
      <c r="X1753">
        <v>0</v>
      </c>
      <c r="Y1753" s="34" t="s">
        <v>7476</v>
      </c>
      <c r="Z1753" s="34" t="s">
        <v>7476</v>
      </c>
      <c r="AA1753" s="34" t="s">
        <v>7476</v>
      </c>
      <c r="AB1753" s="36" t="s">
        <v>95</v>
      </c>
      <c r="AD1753" t="s">
        <v>5456</v>
      </c>
      <c r="AE1753" t="s">
        <v>5457</v>
      </c>
      <c r="AF1753" s="16">
        <v>44996</v>
      </c>
      <c r="AG1753" t="s">
        <v>64</v>
      </c>
      <c r="AH1753">
        <v>6</v>
      </c>
      <c r="AI1753" s="8" t="str">
        <f>IFERROR(R1753-AF1753,"")</f>
        <v/>
      </c>
      <c r="AJ1753" s="8">
        <f>IFERROR(O1753-AF1753,"")</f>
        <v>14.751342592593573</v>
      </c>
      <c r="AK1753" s="38">
        <f t="shared" si="691"/>
        <v>45192.751342592594</v>
      </c>
      <c r="AL1753" t="str">
        <f>IFERROR(Z1753-W1753,"")</f>
        <v/>
      </c>
      <c r="AM1753" t="str">
        <f>IFERROR(R1753-J1753,"")</f>
        <v/>
      </c>
      <c r="AN1753">
        <f>IFERROR(V1753-O1753,"")</f>
        <v>2</v>
      </c>
      <c r="AO1753">
        <f>IFERROR(J1753-I1753,"")</f>
        <v>4</v>
      </c>
      <c r="AP1753">
        <f>IFERROR(AC1753-X1753,"")</f>
        <v>0</v>
      </c>
      <c r="AQ1753" t="str">
        <f>IFERROR(AA1753-W1753,"")</f>
        <v/>
      </c>
    </row>
    <row r="1754" spans="1:43" x14ac:dyDescent="0.35">
      <c r="A1754">
        <v>1634</v>
      </c>
      <c r="B1754" t="s">
        <v>5458</v>
      </c>
      <c r="C1754" t="s">
        <v>4480</v>
      </c>
      <c r="D1754" t="str">
        <f t="shared" si="689"/>
        <v>Finance</v>
      </c>
      <c r="E1754" t="s">
        <v>5308</v>
      </c>
      <c r="F1754" t="s">
        <v>5433</v>
      </c>
      <c r="G1754" t="s">
        <v>5434</v>
      </c>
      <c r="H1754" t="s">
        <v>48</v>
      </c>
      <c r="I1754" s="32" t="s">
        <v>7471</v>
      </c>
      <c r="J1754" s="32">
        <v>45175.320416666669</v>
      </c>
      <c r="K1754" s="32" t="s">
        <v>7473</v>
      </c>
      <c r="L1754" s="8" t="str">
        <f t="shared" si="690"/>
        <v/>
      </c>
      <c r="M1754" s="7">
        <v>45187.320416666669</v>
      </c>
      <c r="N1754" t="s">
        <v>49</v>
      </c>
      <c r="O1754" s="34">
        <v>45191.320416666669</v>
      </c>
      <c r="P1754" t="s">
        <v>101</v>
      </c>
      <c r="R1754" s="32">
        <v>45196.320416666669</v>
      </c>
      <c r="S1754" t="s">
        <v>101</v>
      </c>
      <c r="T1754" s="34">
        <v>45193.320416666669</v>
      </c>
      <c r="U1754" s="34">
        <v>45195.320416666669</v>
      </c>
      <c r="V1754" s="32">
        <v>45193.320416666669</v>
      </c>
      <c r="W1754" s="32">
        <v>45195.320416666669</v>
      </c>
      <c r="X1754">
        <v>1</v>
      </c>
      <c r="Y1754" s="34">
        <v>45196.320416666669</v>
      </c>
      <c r="Z1754" s="34">
        <v>45198.320416666669</v>
      </c>
      <c r="AA1754" s="34">
        <v>45199.320416666669</v>
      </c>
      <c r="AB1754" s="36" t="s">
        <v>7476</v>
      </c>
      <c r="AC1754" s="10">
        <v>45215.320416666669</v>
      </c>
      <c r="AD1754" t="s">
        <v>5459</v>
      </c>
      <c r="AE1754" t="s">
        <v>5460</v>
      </c>
      <c r="AF1754" s="16">
        <v>45055</v>
      </c>
      <c r="AG1754" t="s">
        <v>75</v>
      </c>
      <c r="AH1754">
        <v>3</v>
      </c>
      <c r="AK1754" s="38">
        <f t="shared" si="691"/>
        <v>45283.320416666669</v>
      </c>
    </row>
    <row r="1755" spans="1:43" x14ac:dyDescent="0.35">
      <c r="A1755">
        <v>1589</v>
      </c>
      <c r="B1755" t="s">
        <v>5461</v>
      </c>
      <c r="C1755" t="s">
        <v>4471</v>
      </c>
      <c r="D1755" t="str">
        <f t="shared" si="689"/>
        <v>Finance</v>
      </c>
      <c r="E1755" t="s">
        <v>5308</v>
      </c>
      <c r="F1755" t="s">
        <v>5433</v>
      </c>
      <c r="G1755" t="s">
        <v>5434</v>
      </c>
      <c r="H1755" t="s">
        <v>48</v>
      </c>
      <c r="I1755" s="32">
        <v>45180.840821759259</v>
      </c>
      <c r="J1755" s="32">
        <v>45182.840821759259</v>
      </c>
      <c r="K1755" s="32">
        <v>45188.840821759259</v>
      </c>
      <c r="L1755" s="8">
        <f t="shared" si="690"/>
        <v>8</v>
      </c>
      <c r="M1755" s="7">
        <v>45215.840821759259</v>
      </c>
      <c r="N1755" t="s">
        <v>49</v>
      </c>
      <c r="O1755" s="34">
        <v>45197.840821759259</v>
      </c>
      <c r="P1755" t="s">
        <v>60</v>
      </c>
      <c r="R1755" s="32">
        <v>45202.840821759259</v>
      </c>
      <c r="S1755" t="s">
        <v>61</v>
      </c>
      <c r="T1755" s="34" t="s">
        <v>7476</v>
      </c>
      <c r="U1755" s="34" t="s">
        <v>7476</v>
      </c>
      <c r="V1755" s="32">
        <v>45199.840821759259</v>
      </c>
      <c r="W1755" s="32" t="s">
        <v>7476</v>
      </c>
      <c r="X1755">
        <v>0</v>
      </c>
      <c r="Y1755" s="34" t="s">
        <v>7476</v>
      </c>
      <c r="Z1755" s="34" t="s">
        <v>7476</v>
      </c>
      <c r="AA1755" s="34" t="s">
        <v>7476</v>
      </c>
      <c r="AB1755" s="36" t="s">
        <v>7476</v>
      </c>
      <c r="AD1755" t="s">
        <v>5462</v>
      </c>
      <c r="AE1755" t="s">
        <v>5463</v>
      </c>
      <c r="AF1755" s="16">
        <v>45184</v>
      </c>
      <c r="AG1755" t="s">
        <v>98</v>
      </c>
      <c r="AH1755">
        <v>3</v>
      </c>
      <c r="AI1755" s="8">
        <f>IFERROR(R1755-AF1755,"")</f>
        <v>18.840821759258688</v>
      </c>
      <c r="AJ1755" s="8">
        <f>IFERROR(O1755-AF1755,"")</f>
        <v>13.840821759258688</v>
      </c>
      <c r="AK1755" s="38">
        <f t="shared" si="691"/>
        <v>45289.840821759259</v>
      </c>
      <c r="AL1755" t="str">
        <f>IFERROR(Z1755-W1755,"")</f>
        <v/>
      </c>
      <c r="AM1755">
        <f>IFERROR(R1755-J1755,"")</f>
        <v>20</v>
      </c>
      <c r="AN1755">
        <f>IFERROR(V1755-O1755,"")</f>
        <v>2</v>
      </c>
      <c r="AO1755">
        <f>IFERROR(J1755-I1755,"")</f>
        <v>2</v>
      </c>
      <c r="AP1755">
        <f>IFERROR(AC1755-X1755,"")</f>
        <v>0</v>
      </c>
      <c r="AQ1755" t="str">
        <f>IFERROR(AA1755-W1755,"")</f>
        <v/>
      </c>
    </row>
    <row r="1756" spans="1:43" x14ac:dyDescent="0.35">
      <c r="A1756">
        <v>1582</v>
      </c>
      <c r="B1756" t="s">
        <v>5464</v>
      </c>
      <c r="C1756" t="s">
        <v>4471</v>
      </c>
      <c r="D1756" t="str">
        <f t="shared" si="689"/>
        <v>Finance</v>
      </c>
      <c r="E1756" t="s">
        <v>5308</v>
      </c>
      <c r="F1756" t="s">
        <v>5433</v>
      </c>
      <c r="G1756" t="s">
        <v>5434</v>
      </c>
      <c r="H1756" t="s">
        <v>48</v>
      </c>
      <c r="I1756" s="32">
        <v>45184.840821759259</v>
      </c>
      <c r="J1756" s="32">
        <v>45187.840821759259</v>
      </c>
      <c r="K1756" s="32">
        <v>45188.840821759259</v>
      </c>
      <c r="L1756" s="8">
        <f t="shared" si="690"/>
        <v>4</v>
      </c>
      <c r="M1756" s="7">
        <v>45201.840821759259</v>
      </c>
      <c r="N1756" t="s">
        <v>49</v>
      </c>
      <c r="O1756" s="34">
        <v>45199.840821759259</v>
      </c>
      <c r="P1756" t="s">
        <v>50</v>
      </c>
      <c r="Q1756" t="s">
        <v>51</v>
      </c>
      <c r="R1756" s="32" t="s">
        <v>7472</v>
      </c>
      <c r="S1756" t="s">
        <v>7476</v>
      </c>
      <c r="T1756" s="34" t="s">
        <v>7476</v>
      </c>
      <c r="U1756" s="34" t="s">
        <v>7476</v>
      </c>
      <c r="V1756" s="32" t="s">
        <v>7476</v>
      </c>
      <c r="W1756" s="32" t="s">
        <v>7476</v>
      </c>
      <c r="X1756">
        <v>0</v>
      </c>
      <c r="Y1756" s="34" t="s">
        <v>7476</v>
      </c>
      <c r="Z1756" s="34" t="s">
        <v>7476</v>
      </c>
      <c r="AA1756" s="34" t="s">
        <v>7476</v>
      </c>
      <c r="AB1756" s="36" t="s">
        <v>95</v>
      </c>
      <c r="AD1756" t="s">
        <v>5465</v>
      </c>
      <c r="AE1756" t="s">
        <v>5466</v>
      </c>
      <c r="AF1756" s="16">
        <v>45185</v>
      </c>
      <c r="AG1756" t="s">
        <v>68</v>
      </c>
      <c r="AH1756">
        <v>6</v>
      </c>
      <c r="AI1756" s="8" t="str">
        <f>IFERROR(R1756-AF1756,"")</f>
        <v/>
      </c>
      <c r="AJ1756" s="8">
        <f>IFERROR(O1756-AF1756,"")</f>
        <v>14.840821759258688</v>
      </c>
      <c r="AK1756" s="38" t="str">
        <f t="shared" si="691"/>
        <v/>
      </c>
      <c r="AL1756" t="str">
        <f>IFERROR(Z1756-W1756,"")</f>
        <v/>
      </c>
      <c r="AM1756" t="str">
        <f>IFERROR(R1756-J1756,"")</f>
        <v/>
      </c>
      <c r="AN1756" t="str">
        <f>IFERROR(V1756-O1756,"")</f>
        <v/>
      </c>
      <c r="AO1756">
        <f>IFERROR(J1756-I1756,"")</f>
        <v>3</v>
      </c>
      <c r="AP1756">
        <f>IFERROR(AC1756-X1756,"")</f>
        <v>0</v>
      </c>
      <c r="AQ1756" t="str">
        <f>IFERROR(AA1756-W1756,"")</f>
        <v/>
      </c>
    </row>
    <row r="1757" spans="1:43" x14ac:dyDescent="0.35">
      <c r="A1757">
        <v>1570</v>
      </c>
      <c r="B1757" t="s">
        <v>5467</v>
      </c>
      <c r="C1757" t="s">
        <v>4480</v>
      </c>
      <c r="D1757" t="str">
        <f t="shared" si="689"/>
        <v>Finance</v>
      </c>
      <c r="E1757" t="s">
        <v>5308</v>
      </c>
      <c r="F1757" t="s">
        <v>5433</v>
      </c>
      <c r="G1757" t="s">
        <v>5434</v>
      </c>
      <c r="H1757" t="s">
        <v>48</v>
      </c>
      <c r="I1757" s="32">
        <v>44637.490486111114</v>
      </c>
      <c r="J1757" s="32">
        <v>44641.490486111114</v>
      </c>
      <c r="K1757" s="32">
        <v>44645.490486111114</v>
      </c>
      <c r="L1757" s="8">
        <f t="shared" si="690"/>
        <v>8</v>
      </c>
      <c r="M1757" s="7">
        <v>44650.490486111114</v>
      </c>
      <c r="N1757" t="s">
        <v>49</v>
      </c>
      <c r="O1757" s="34">
        <v>44647.490486111114</v>
      </c>
      <c r="P1757" t="s">
        <v>50</v>
      </c>
      <c r="Q1757" t="s">
        <v>198</v>
      </c>
      <c r="R1757" s="32" t="s">
        <v>7472</v>
      </c>
      <c r="S1757" t="s">
        <v>7476</v>
      </c>
      <c r="T1757" s="34" t="s">
        <v>7476</v>
      </c>
      <c r="U1757" s="34" t="s">
        <v>7476</v>
      </c>
      <c r="V1757" s="32">
        <v>44651.490486111114</v>
      </c>
      <c r="W1757" s="32" t="s">
        <v>7476</v>
      </c>
      <c r="X1757">
        <v>0</v>
      </c>
      <c r="Y1757" s="34" t="s">
        <v>7476</v>
      </c>
      <c r="Z1757" s="34" t="s">
        <v>7476</v>
      </c>
      <c r="AA1757" s="34" t="s">
        <v>7476</v>
      </c>
      <c r="AB1757" s="36" t="s">
        <v>95</v>
      </c>
      <c r="AD1757" t="s">
        <v>5468</v>
      </c>
      <c r="AE1757" t="s">
        <v>5469</v>
      </c>
      <c r="AF1757" s="16">
        <v>44640</v>
      </c>
      <c r="AG1757" t="s">
        <v>68</v>
      </c>
      <c r="AH1757">
        <v>6</v>
      </c>
      <c r="AI1757" s="8" t="str">
        <f>IFERROR(R1757-AF1757,"")</f>
        <v/>
      </c>
      <c r="AJ1757" s="8">
        <f>IFERROR(O1757-AF1757,"")</f>
        <v>7.4904861111135688</v>
      </c>
      <c r="AK1757" s="38">
        <f t="shared" si="691"/>
        <v>44831.490486111114</v>
      </c>
      <c r="AL1757" t="str">
        <f>IFERROR(Z1757-W1757,"")</f>
        <v/>
      </c>
      <c r="AM1757" t="str">
        <f>IFERROR(R1757-J1757,"")</f>
        <v/>
      </c>
      <c r="AN1757">
        <f>IFERROR(V1757-O1757,"")</f>
        <v>4</v>
      </c>
      <c r="AO1757">
        <f>IFERROR(J1757-I1757,"")</f>
        <v>4</v>
      </c>
      <c r="AP1757">
        <f>IFERROR(AC1757-X1757,"")</f>
        <v>0</v>
      </c>
      <c r="AQ1757" t="str">
        <f>IFERROR(AA1757-W1757,"")</f>
        <v/>
      </c>
    </row>
    <row r="1758" spans="1:43" x14ac:dyDescent="0.35">
      <c r="A1758">
        <v>1548</v>
      </c>
      <c r="B1758" t="s">
        <v>5470</v>
      </c>
      <c r="C1758" t="s">
        <v>4502</v>
      </c>
      <c r="D1758" t="str">
        <f t="shared" si="689"/>
        <v>Finance</v>
      </c>
      <c r="E1758" t="s">
        <v>5308</v>
      </c>
      <c r="F1758" t="s">
        <v>5433</v>
      </c>
      <c r="G1758" t="s">
        <v>5434</v>
      </c>
      <c r="H1758" t="s">
        <v>48</v>
      </c>
      <c r="I1758" s="32">
        <v>45073.849814814806</v>
      </c>
      <c r="J1758" s="32">
        <v>45075.849814814806</v>
      </c>
      <c r="K1758" s="32">
        <v>45079.849814814806</v>
      </c>
      <c r="L1758" s="8">
        <f t="shared" si="690"/>
        <v>6</v>
      </c>
      <c r="M1758" s="7">
        <v>45109.849814814806</v>
      </c>
      <c r="N1758" t="s">
        <v>49</v>
      </c>
      <c r="O1758" s="34">
        <v>45089.849814814806</v>
      </c>
      <c r="P1758" t="s">
        <v>60</v>
      </c>
      <c r="R1758" s="32">
        <v>45094.849814814806</v>
      </c>
      <c r="S1758" t="s">
        <v>61</v>
      </c>
      <c r="T1758" s="34" t="s">
        <v>7476</v>
      </c>
      <c r="U1758" s="34" t="s">
        <v>7476</v>
      </c>
      <c r="V1758" s="32">
        <v>45092.849814814806</v>
      </c>
      <c r="W1758" s="32" t="s">
        <v>7476</v>
      </c>
      <c r="X1758">
        <v>0</v>
      </c>
      <c r="Y1758" s="34" t="s">
        <v>7476</v>
      </c>
      <c r="Z1758" s="34" t="s">
        <v>7476</v>
      </c>
      <c r="AA1758" s="34" t="s">
        <v>7476</v>
      </c>
      <c r="AB1758" s="36" t="s">
        <v>7476</v>
      </c>
      <c r="AD1758" t="s">
        <v>5471</v>
      </c>
      <c r="AE1758" t="s">
        <v>5472</v>
      </c>
      <c r="AF1758" s="16">
        <v>45083</v>
      </c>
      <c r="AG1758" t="s">
        <v>68</v>
      </c>
      <c r="AH1758">
        <v>6</v>
      </c>
      <c r="AI1758" s="8">
        <f>IFERROR(R1758-AF1758,"")</f>
        <v>11.84981481480645</v>
      </c>
      <c r="AJ1758" s="8">
        <f>IFERROR(O1758-AF1758,"")</f>
        <v>6.8498148148064502</v>
      </c>
      <c r="AK1758" s="38">
        <f t="shared" si="691"/>
        <v>45272.849814814806</v>
      </c>
      <c r="AL1758" t="str">
        <f>IFERROR(Z1758-W1758,"")</f>
        <v/>
      </c>
      <c r="AM1758">
        <f>IFERROR(R1758-J1758,"")</f>
        <v>19</v>
      </c>
      <c r="AN1758">
        <f>IFERROR(V1758-O1758,"")</f>
        <v>3</v>
      </c>
      <c r="AO1758">
        <f>IFERROR(J1758-I1758,"")</f>
        <v>2</v>
      </c>
      <c r="AP1758">
        <f>IFERROR(AC1758-X1758,"")</f>
        <v>0</v>
      </c>
      <c r="AQ1758" t="str">
        <f>IFERROR(AA1758-W1758,"")</f>
        <v/>
      </c>
    </row>
    <row r="1759" spans="1:43" x14ac:dyDescent="0.35">
      <c r="A1759">
        <v>1543</v>
      </c>
      <c r="B1759" t="s">
        <v>5473</v>
      </c>
      <c r="C1759" t="s">
        <v>4480</v>
      </c>
      <c r="D1759" t="str">
        <f t="shared" si="689"/>
        <v>Finance</v>
      </c>
      <c r="E1759" t="s">
        <v>5308</v>
      </c>
      <c r="F1759" t="s">
        <v>5433</v>
      </c>
      <c r="G1759" t="s">
        <v>5434</v>
      </c>
      <c r="H1759" t="s">
        <v>48</v>
      </c>
      <c r="I1759" s="32" t="s">
        <v>7471</v>
      </c>
      <c r="J1759" s="32">
        <v>45077.849814814806</v>
      </c>
      <c r="K1759" s="32">
        <v>45079.849814814806</v>
      </c>
      <c r="L1759" s="8" t="str">
        <f t="shared" si="690"/>
        <v/>
      </c>
      <c r="M1759" s="7">
        <v>45090.849814814806</v>
      </c>
      <c r="N1759" t="s">
        <v>72</v>
      </c>
      <c r="O1759" s="34" t="s">
        <v>7474</v>
      </c>
      <c r="R1759" s="32" t="s">
        <v>7472</v>
      </c>
      <c r="S1759" t="s">
        <v>7476</v>
      </c>
      <c r="T1759" s="34" t="s">
        <v>7476</v>
      </c>
      <c r="U1759" s="34" t="s">
        <v>7476</v>
      </c>
      <c r="V1759" s="32" t="s">
        <v>7476</v>
      </c>
      <c r="W1759" s="32" t="s">
        <v>7476</v>
      </c>
      <c r="X1759">
        <v>0</v>
      </c>
      <c r="Y1759" s="34" t="s">
        <v>7476</v>
      </c>
      <c r="Z1759" s="34" t="s">
        <v>7476</v>
      </c>
      <c r="AA1759" s="34" t="s">
        <v>7476</v>
      </c>
      <c r="AB1759" s="36" t="s">
        <v>7476</v>
      </c>
      <c r="AD1759" t="s">
        <v>5474</v>
      </c>
      <c r="AE1759" t="s">
        <v>5475</v>
      </c>
      <c r="AG1759" t="s">
        <v>64</v>
      </c>
      <c r="AH1759">
        <v>3</v>
      </c>
      <c r="AK1759" s="38" t="str">
        <f t="shared" si="691"/>
        <v/>
      </c>
    </row>
    <row r="1760" spans="1:43" x14ac:dyDescent="0.35">
      <c r="A1760">
        <v>1520</v>
      </c>
      <c r="B1760" t="s">
        <v>5476</v>
      </c>
      <c r="C1760" t="s">
        <v>4471</v>
      </c>
      <c r="D1760" t="str">
        <f t="shared" si="689"/>
        <v>Finance</v>
      </c>
      <c r="E1760" t="s">
        <v>5308</v>
      </c>
      <c r="F1760" t="s">
        <v>5433</v>
      </c>
      <c r="G1760" t="s">
        <v>5434</v>
      </c>
      <c r="H1760" t="s">
        <v>48</v>
      </c>
      <c r="I1760" s="32">
        <v>44919.208773148152</v>
      </c>
      <c r="J1760" s="32">
        <v>44922.208773148152</v>
      </c>
      <c r="K1760" s="32">
        <v>44927.208773148152</v>
      </c>
      <c r="L1760" s="8">
        <f t="shared" si="690"/>
        <v>8</v>
      </c>
      <c r="M1760" s="7">
        <v>44935.208773148152</v>
      </c>
      <c r="N1760" t="s">
        <v>49</v>
      </c>
      <c r="O1760" s="34">
        <v>44928.208773148152</v>
      </c>
      <c r="P1760" t="s">
        <v>50</v>
      </c>
      <c r="Q1760" t="s">
        <v>125</v>
      </c>
      <c r="R1760" s="32" t="s">
        <v>7472</v>
      </c>
      <c r="S1760" t="s">
        <v>7476</v>
      </c>
      <c r="T1760" s="34" t="s">
        <v>7476</v>
      </c>
      <c r="U1760" s="34" t="s">
        <v>7476</v>
      </c>
      <c r="V1760" s="32" t="s">
        <v>7476</v>
      </c>
      <c r="W1760" s="32" t="s">
        <v>7476</v>
      </c>
      <c r="X1760">
        <v>0</v>
      </c>
      <c r="Y1760" s="34" t="s">
        <v>7476</v>
      </c>
      <c r="Z1760" s="34" t="s">
        <v>7476</v>
      </c>
      <c r="AA1760" s="34" t="s">
        <v>7476</v>
      </c>
      <c r="AB1760" s="36" t="s">
        <v>95</v>
      </c>
      <c r="AD1760" t="s">
        <v>5477</v>
      </c>
      <c r="AE1760" t="s">
        <v>5478</v>
      </c>
      <c r="AF1760" s="16">
        <v>44921</v>
      </c>
      <c r="AG1760" t="s">
        <v>68</v>
      </c>
      <c r="AH1760">
        <v>6</v>
      </c>
      <c r="AI1760" s="8" t="str">
        <f>IFERROR(R1760-AF1760,"")</f>
        <v/>
      </c>
      <c r="AJ1760" s="8">
        <f>IFERROR(O1760-AF1760,"")</f>
        <v>7.208773148151522</v>
      </c>
      <c r="AK1760" s="38" t="str">
        <f t="shared" si="691"/>
        <v/>
      </c>
      <c r="AL1760" t="str">
        <f>IFERROR(Z1760-W1760,"")</f>
        <v/>
      </c>
      <c r="AM1760" t="str">
        <f>IFERROR(R1760-J1760,"")</f>
        <v/>
      </c>
      <c r="AN1760" t="str">
        <f>IFERROR(V1760-O1760,"")</f>
        <v/>
      </c>
      <c r="AO1760">
        <f>IFERROR(J1760-I1760,"")</f>
        <v>3</v>
      </c>
      <c r="AP1760">
        <f>IFERROR(AC1760-X1760,"")</f>
        <v>0</v>
      </c>
      <c r="AQ1760" t="str">
        <f>IFERROR(AA1760-W1760,"")</f>
        <v/>
      </c>
    </row>
    <row r="1761" spans="1:43" x14ac:dyDescent="0.35">
      <c r="A1761">
        <v>1511</v>
      </c>
      <c r="B1761" t="s">
        <v>5479</v>
      </c>
      <c r="C1761" t="s">
        <v>4480</v>
      </c>
      <c r="D1761" t="str">
        <f t="shared" si="689"/>
        <v>Finance</v>
      </c>
      <c r="E1761" t="s">
        <v>5308</v>
      </c>
      <c r="F1761" t="s">
        <v>5433</v>
      </c>
      <c r="G1761" t="s">
        <v>5434</v>
      </c>
      <c r="H1761" t="s">
        <v>48</v>
      </c>
      <c r="I1761" s="32">
        <v>44918.208773148152</v>
      </c>
      <c r="J1761" s="32">
        <v>44922.208773148152</v>
      </c>
      <c r="K1761" s="32">
        <v>44927.208773148152</v>
      </c>
      <c r="L1761" s="8">
        <f t="shared" si="690"/>
        <v>9</v>
      </c>
      <c r="M1761" s="7">
        <v>44939.208773148152</v>
      </c>
      <c r="N1761" t="s">
        <v>49</v>
      </c>
      <c r="O1761" s="34">
        <v>44941.208773148152</v>
      </c>
      <c r="P1761" t="s">
        <v>101</v>
      </c>
      <c r="R1761" s="32">
        <v>44944.208773148152</v>
      </c>
      <c r="S1761" t="s">
        <v>101</v>
      </c>
      <c r="T1761" s="34">
        <v>44942.208773148152</v>
      </c>
      <c r="U1761" s="34">
        <v>44946.208773148152</v>
      </c>
      <c r="V1761" s="32">
        <v>44943.208773148152</v>
      </c>
      <c r="W1761" s="32">
        <v>44951.208773148152</v>
      </c>
      <c r="X1761">
        <v>1</v>
      </c>
      <c r="Y1761" s="34">
        <v>44955.208773148152</v>
      </c>
      <c r="Z1761" s="34">
        <v>44957.208773148152</v>
      </c>
      <c r="AA1761" s="34">
        <v>44960.208773148152</v>
      </c>
      <c r="AB1761" s="36" t="s">
        <v>7476</v>
      </c>
      <c r="AC1761" s="10">
        <v>44967.208773148152</v>
      </c>
      <c r="AD1761" t="s">
        <v>5480</v>
      </c>
      <c r="AE1761" t="s">
        <v>5481</v>
      </c>
      <c r="AF1761" s="16">
        <v>44927</v>
      </c>
      <c r="AG1761" t="s">
        <v>98</v>
      </c>
      <c r="AH1761">
        <v>3</v>
      </c>
      <c r="AI1761" s="8">
        <f>IFERROR(R1761-AF1761,"")</f>
        <v>17.208773148151522</v>
      </c>
      <c r="AJ1761" s="8">
        <f>IFERROR(O1761-AF1761,"")</f>
        <v>14.208773148151522</v>
      </c>
      <c r="AK1761" s="38">
        <f t="shared" si="691"/>
        <v>45033.208773148152</v>
      </c>
      <c r="AL1761">
        <f>IFERROR(Z1761-W1761,"")</f>
        <v>6</v>
      </c>
      <c r="AM1761">
        <f>IFERROR(R1761-J1761,"")</f>
        <v>22</v>
      </c>
      <c r="AN1761">
        <f>IFERROR(V1761-O1761,"")</f>
        <v>2</v>
      </c>
      <c r="AO1761">
        <f>IFERROR(J1761-I1761,"")</f>
        <v>4</v>
      </c>
      <c r="AP1761">
        <f>IFERROR(AC1761-X1761,"")</f>
        <v>44966.208773148152</v>
      </c>
      <c r="AQ1761">
        <f>IFERROR(AA1761-W1761,"")</f>
        <v>9</v>
      </c>
    </row>
    <row r="1762" spans="1:43" x14ac:dyDescent="0.35">
      <c r="A1762">
        <v>1439</v>
      </c>
      <c r="B1762" t="s">
        <v>5482</v>
      </c>
      <c r="C1762" t="s">
        <v>4471</v>
      </c>
      <c r="D1762" t="str">
        <f t="shared" si="689"/>
        <v>Finance</v>
      </c>
      <c r="E1762" t="s">
        <v>5308</v>
      </c>
      <c r="F1762" t="s">
        <v>5433</v>
      </c>
      <c r="G1762" t="s">
        <v>5434</v>
      </c>
      <c r="H1762" t="s">
        <v>48</v>
      </c>
      <c r="I1762" s="32">
        <v>45084.936932870369</v>
      </c>
      <c r="J1762" s="32" t="s">
        <v>7471</v>
      </c>
      <c r="K1762" s="32">
        <v>45092.936932870369</v>
      </c>
      <c r="L1762" s="8">
        <f t="shared" si="690"/>
        <v>8</v>
      </c>
      <c r="M1762" s="7">
        <v>45108.936932870369</v>
      </c>
      <c r="N1762" t="s">
        <v>49</v>
      </c>
      <c r="O1762" s="34">
        <v>45101.936932870369</v>
      </c>
      <c r="P1762" t="s">
        <v>50</v>
      </c>
      <c r="Q1762" t="s">
        <v>125</v>
      </c>
      <c r="R1762" s="32" t="s">
        <v>7472</v>
      </c>
      <c r="S1762" t="s">
        <v>7476</v>
      </c>
      <c r="T1762" s="34" t="s">
        <v>7476</v>
      </c>
      <c r="U1762" s="34" t="s">
        <v>7476</v>
      </c>
      <c r="V1762" s="32" t="s">
        <v>7476</v>
      </c>
      <c r="W1762" s="32" t="s">
        <v>7476</v>
      </c>
      <c r="X1762">
        <v>0</v>
      </c>
      <c r="Y1762" s="34" t="s">
        <v>7476</v>
      </c>
      <c r="Z1762" s="34" t="s">
        <v>7476</v>
      </c>
      <c r="AA1762" s="34" t="s">
        <v>7476</v>
      </c>
      <c r="AB1762" s="36" t="s">
        <v>52</v>
      </c>
      <c r="AD1762" t="s">
        <v>5483</v>
      </c>
      <c r="AE1762" t="s">
        <v>5484</v>
      </c>
      <c r="AF1762" s="16">
        <v>45096</v>
      </c>
      <c r="AG1762" t="s">
        <v>64</v>
      </c>
      <c r="AH1762">
        <v>6</v>
      </c>
      <c r="AK1762" s="38" t="str">
        <f t="shared" si="691"/>
        <v/>
      </c>
    </row>
    <row r="1763" spans="1:43" x14ac:dyDescent="0.35">
      <c r="A1763">
        <v>1438</v>
      </c>
      <c r="B1763" t="s">
        <v>5485</v>
      </c>
      <c r="C1763" t="s">
        <v>4480</v>
      </c>
      <c r="D1763" t="str">
        <f t="shared" si="689"/>
        <v>Finance</v>
      </c>
      <c r="E1763" t="s">
        <v>5308</v>
      </c>
      <c r="F1763" t="s">
        <v>5433</v>
      </c>
      <c r="G1763" t="s">
        <v>5434</v>
      </c>
      <c r="H1763" t="s">
        <v>48</v>
      </c>
      <c r="I1763" s="32">
        <v>45084.936932870369</v>
      </c>
      <c r="J1763" s="32">
        <v>45088.936932870369</v>
      </c>
      <c r="K1763" s="32">
        <v>45092.936932870369</v>
      </c>
      <c r="L1763" s="8">
        <f t="shared" si="690"/>
        <v>8</v>
      </c>
      <c r="M1763" s="7">
        <v>45122.936932870369</v>
      </c>
      <c r="N1763" t="s">
        <v>49</v>
      </c>
      <c r="O1763" s="34">
        <v>45094.936932870369</v>
      </c>
      <c r="P1763" t="s">
        <v>50</v>
      </c>
      <c r="Q1763" t="s">
        <v>236</v>
      </c>
      <c r="R1763" s="32" t="s">
        <v>7472</v>
      </c>
      <c r="S1763" t="s">
        <v>7476</v>
      </c>
      <c r="T1763" s="34" t="s">
        <v>7476</v>
      </c>
      <c r="U1763" s="34" t="s">
        <v>7476</v>
      </c>
      <c r="V1763" s="32" t="s">
        <v>7476</v>
      </c>
      <c r="W1763" s="32" t="s">
        <v>7476</v>
      </c>
      <c r="X1763">
        <v>0</v>
      </c>
      <c r="Y1763" s="34" t="s">
        <v>7476</v>
      </c>
      <c r="Z1763" s="34" t="s">
        <v>7476</v>
      </c>
      <c r="AA1763" s="34" t="s">
        <v>7476</v>
      </c>
      <c r="AB1763" s="36" t="s">
        <v>95</v>
      </c>
      <c r="AD1763" t="s">
        <v>5486</v>
      </c>
      <c r="AE1763" t="s">
        <v>5487</v>
      </c>
      <c r="AF1763" s="16">
        <v>45075</v>
      </c>
      <c r="AG1763" t="s">
        <v>98</v>
      </c>
      <c r="AH1763">
        <v>6</v>
      </c>
      <c r="AI1763" s="8" t="str">
        <f t="shared" ref="AI1763:AI1768" si="692">IFERROR(R1763-AF1763,"")</f>
        <v/>
      </c>
      <c r="AJ1763" s="8">
        <f t="shared" ref="AJ1763:AJ1768" si="693">IFERROR(O1763-AF1763,"")</f>
        <v>19.936932870368764</v>
      </c>
      <c r="AK1763" s="38" t="str">
        <f t="shared" si="691"/>
        <v/>
      </c>
      <c r="AL1763" t="str">
        <f t="shared" ref="AL1763:AL1768" si="694">IFERROR(Z1763-W1763,"")</f>
        <v/>
      </c>
      <c r="AM1763" t="str">
        <f t="shared" ref="AM1763:AM1768" si="695">IFERROR(R1763-J1763,"")</f>
        <v/>
      </c>
      <c r="AN1763" t="str">
        <f t="shared" ref="AN1763:AN1768" si="696">IFERROR(V1763-O1763,"")</f>
        <v/>
      </c>
      <c r="AO1763">
        <f t="shared" ref="AO1763:AO1768" si="697">IFERROR(J1763-I1763,"")</f>
        <v>4</v>
      </c>
      <c r="AP1763">
        <f t="shared" ref="AP1763:AP1768" si="698">IFERROR(AC1763-X1763,"")</f>
        <v>0</v>
      </c>
      <c r="AQ1763" t="str">
        <f t="shared" ref="AQ1763:AQ1768" si="699">IFERROR(AA1763-W1763,"")</f>
        <v/>
      </c>
    </row>
    <row r="1764" spans="1:43" x14ac:dyDescent="0.35">
      <c r="A1764">
        <v>1431</v>
      </c>
      <c r="B1764" t="s">
        <v>5488</v>
      </c>
      <c r="C1764" t="s">
        <v>4480</v>
      </c>
      <c r="D1764" t="str">
        <f t="shared" si="689"/>
        <v>Finance</v>
      </c>
      <c r="E1764" t="s">
        <v>5308</v>
      </c>
      <c r="F1764" t="s">
        <v>5433</v>
      </c>
      <c r="G1764" t="s">
        <v>5434</v>
      </c>
      <c r="H1764" t="s">
        <v>48</v>
      </c>
      <c r="I1764" s="32">
        <v>45086.936932870369</v>
      </c>
      <c r="J1764" s="32">
        <v>45088.936932870369</v>
      </c>
      <c r="K1764" s="32">
        <v>45092.936932870369</v>
      </c>
      <c r="L1764" s="8">
        <f t="shared" si="690"/>
        <v>6</v>
      </c>
      <c r="M1764" s="7">
        <v>45098.936932870369</v>
      </c>
      <c r="N1764" t="s">
        <v>49</v>
      </c>
      <c r="O1764" s="34">
        <v>45101.936932870369</v>
      </c>
      <c r="P1764" t="s">
        <v>392</v>
      </c>
      <c r="R1764" s="32">
        <v>45105.936932870369</v>
      </c>
      <c r="S1764" t="s">
        <v>392</v>
      </c>
      <c r="T1764" s="34" t="s">
        <v>7476</v>
      </c>
      <c r="U1764" s="34" t="s">
        <v>7476</v>
      </c>
      <c r="V1764" s="32">
        <v>45103.936932870369</v>
      </c>
      <c r="W1764" s="32" t="s">
        <v>7476</v>
      </c>
      <c r="X1764">
        <v>0</v>
      </c>
      <c r="Y1764" s="34" t="s">
        <v>7476</v>
      </c>
      <c r="Z1764" s="34" t="s">
        <v>7476</v>
      </c>
      <c r="AA1764" s="34" t="s">
        <v>7476</v>
      </c>
      <c r="AB1764" s="36" t="s">
        <v>7476</v>
      </c>
      <c r="AD1764" t="s">
        <v>5489</v>
      </c>
      <c r="AE1764" t="s">
        <v>5490</v>
      </c>
      <c r="AF1764" s="16">
        <v>45093</v>
      </c>
      <c r="AG1764" t="s">
        <v>98</v>
      </c>
      <c r="AH1764">
        <v>3</v>
      </c>
      <c r="AI1764" s="8">
        <f t="shared" si="692"/>
        <v>12.936932870368764</v>
      </c>
      <c r="AJ1764" s="8">
        <f t="shared" si="693"/>
        <v>8.9369328703687643</v>
      </c>
      <c r="AK1764" s="38">
        <f t="shared" si="691"/>
        <v>45193.936932870369</v>
      </c>
      <c r="AL1764" t="str">
        <f t="shared" si="694"/>
        <v/>
      </c>
      <c r="AM1764">
        <f t="shared" si="695"/>
        <v>17</v>
      </c>
      <c r="AN1764">
        <f t="shared" si="696"/>
        <v>2</v>
      </c>
      <c r="AO1764">
        <f t="shared" si="697"/>
        <v>2</v>
      </c>
      <c r="AP1764">
        <f t="shared" si="698"/>
        <v>0</v>
      </c>
      <c r="AQ1764" t="str">
        <f t="shared" si="699"/>
        <v/>
      </c>
    </row>
    <row r="1765" spans="1:43" x14ac:dyDescent="0.35">
      <c r="A1765">
        <v>1333</v>
      </c>
      <c r="B1765" t="s">
        <v>5491</v>
      </c>
      <c r="C1765" t="s">
        <v>4480</v>
      </c>
      <c r="D1765" t="str">
        <f t="shared" si="689"/>
        <v>Finance</v>
      </c>
      <c r="E1765" t="s">
        <v>5308</v>
      </c>
      <c r="F1765" t="s">
        <v>5433</v>
      </c>
      <c r="G1765" t="s">
        <v>5434</v>
      </c>
      <c r="H1765" t="s">
        <v>48</v>
      </c>
      <c r="I1765" s="32">
        <v>45169.691018518519</v>
      </c>
      <c r="J1765" s="32">
        <v>45172.691018518519</v>
      </c>
      <c r="K1765" s="32">
        <v>45174.691018518519</v>
      </c>
      <c r="L1765" s="8">
        <f t="shared" si="690"/>
        <v>5</v>
      </c>
      <c r="M1765" s="7">
        <v>45189.691018518519</v>
      </c>
      <c r="N1765" t="s">
        <v>49</v>
      </c>
      <c r="O1765" s="34">
        <v>45185.691018518519</v>
      </c>
      <c r="P1765" t="s">
        <v>50</v>
      </c>
      <c r="Q1765" t="s">
        <v>198</v>
      </c>
      <c r="R1765" s="32" t="s">
        <v>7472</v>
      </c>
      <c r="S1765" t="s">
        <v>7476</v>
      </c>
      <c r="T1765" s="34" t="s">
        <v>7476</v>
      </c>
      <c r="U1765" s="34" t="s">
        <v>7476</v>
      </c>
      <c r="V1765" s="32" t="s">
        <v>7476</v>
      </c>
      <c r="W1765" s="32" t="s">
        <v>7476</v>
      </c>
      <c r="X1765">
        <v>0</v>
      </c>
      <c r="Y1765" s="34" t="s">
        <v>7476</v>
      </c>
      <c r="Z1765" s="34" t="s">
        <v>7476</v>
      </c>
      <c r="AA1765" s="34" t="s">
        <v>7476</v>
      </c>
      <c r="AB1765" s="36" t="s">
        <v>52</v>
      </c>
      <c r="AD1765" t="s">
        <v>5492</v>
      </c>
      <c r="AE1765" t="s">
        <v>5493</v>
      </c>
      <c r="AF1765" s="16">
        <v>45178</v>
      </c>
      <c r="AG1765" t="s">
        <v>64</v>
      </c>
      <c r="AH1765">
        <v>3</v>
      </c>
      <c r="AI1765" s="8" t="str">
        <f t="shared" si="692"/>
        <v/>
      </c>
      <c r="AJ1765" s="8">
        <f t="shared" si="693"/>
        <v>7.6910185185188311</v>
      </c>
      <c r="AK1765" s="38" t="str">
        <f t="shared" si="691"/>
        <v/>
      </c>
      <c r="AL1765" t="str">
        <f t="shared" si="694"/>
        <v/>
      </c>
      <c r="AM1765" t="str">
        <f t="shared" si="695"/>
        <v/>
      </c>
      <c r="AN1765" t="str">
        <f t="shared" si="696"/>
        <v/>
      </c>
      <c r="AO1765">
        <f t="shared" si="697"/>
        <v>3</v>
      </c>
      <c r="AP1765">
        <f t="shared" si="698"/>
        <v>0</v>
      </c>
      <c r="AQ1765" t="str">
        <f t="shared" si="699"/>
        <v/>
      </c>
    </row>
    <row r="1766" spans="1:43" x14ac:dyDescent="0.35">
      <c r="A1766">
        <v>1331</v>
      </c>
      <c r="B1766" t="s">
        <v>5494</v>
      </c>
      <c r="C1766" t="s">
        <v>4502</v>
      </c>
      <c r="D1766" t="str">
        <f t="shared" si="689"/>
        <v>Finance</v>
      </c>
      <c r="E1766" t="s">
        <v>5308</v>
      </c>
      <c r="F1766" t="s">
        <v>5433</v>
      </c>
      <c r="G1766" t="s">
        <v>5434</v>
      </c>
      <c r="H1766" t="s">
        <v>48</v>
      </c>
      <c r="I1766" s="32">
        <v>45165.691018518519</v>
      </c>
      <c r="J1766" s="32">
        <v>45169.691018518519</v>
      </c>
      <c r="K1766" s="32">
        <v>45174.691018518519</v>
      </c>
      <c r="L1766" s="8">
        <f t="shared" si="690"/>
        <v>9</v>
      </c>
      <c r="M1766" s="7">
        <v>45189.691018518519</v>
      </c>
      <c r="N1766" t="s">
        <v>49</v>
      </c>
      <c r="O1766" s="34">
        <v>45179.691018518519</v>
      </c>
      <c r="P1766" t="s">
        <v>101</v>
      </c>
      <c r="R1766" s="32">
        <v>45185.691018518519</v>
      </c>
      <c r="S1766" t="s">
        <v>101</v>
      </c>
      <c r="T1766" s="34">
        <v>45180.691018518519</v>
      </c>
      <c r="U1766" s="34">
        <v>45182.691018518519</v>
      </c>
      <c r="V1766" s="32">
        <v>45183.691018518519</v>
      </c>
      <c r="W1766" s="32">
        <v>45188.691018518519</v>
      </c>
      <c r="X1766">
        <v>1</v>
      </c>
      <c r="Y1766" s="34">
        <v>45190.691018518519</v>
      </c>
      <c r="Z1766" s="34">
        <v>45192.691018518519</v>
      </c>
      <c r="AA1766" s="34">
        <v>45194.691018518519</v>
      </c>
      <c r="AB1766" s="36" t="s">
        <v>7476</v>
      </c>
      <c r="AC1766" s="10">
        <v>45207.691018518519</v>
      </c>
      <c r="AD1766" t="s">
        <v>5495</v>
      </c>
      <c r="AE1766" t="s">
        <v>5496</v>
      </c>
      <c r="AF1766" s="16">
        <v>45166</v>
      </c>
      <c r="AG1766" t="s">
        <v>98</v>
      </c>
      <c r="AH1766">
        <v>6</v>
      </c>
      <c r="AI1766" s="8">
        <f t="shared" si="692"/>
        <v>19.691018518518831</v>
      </c>
      <c r="AJ1766" s="8">
        <f t="shared" si="693"/>
        <v>13.691018518518831</v>
      </c>
      <c r="AK1766" s="38">
        <f t="shared" si="691"/>
        <v>45363.691018518519</v>
      </c>
      <c r="AL1766">
        <f t="shared" si="694"/>
        <v>4</v>
      </c>
      <c r="AM1766">
        <f t="shared" si="695"/>
        <v>16</v>
      </c>
      <c r="AN1766">
        <f t="shared" si="696"/>
        <v>4</v>
      </c>
      <c r="AO1766">
        <f t="shared" si="697"/>
        <v>4</v>
      </c>
      <c r="AP1766">
        <f t="shared" si="698"/>
        <v>45206.691018518519</v>
      </c>
      <c r="AQ1766">
        <f t="shared" si="699"/>
        <v>6</v>
      </c>
    </row>
    <row r="1767" spans="1:43" x14ac:dyDescent="0.35">
      <c r="A1767">
        <v>1310</v>
      </c>
      <c r="B1767" t="s">
        <v>5497</v>
      </c>
      <c r="C1767" t="s">
        <v>4480</v>
      </c>
      <c r="D1767" t="str">
        <f t="shared" si="689"/>
        <v>Finance</v>
      </c>
      <c r="E1767" t="s">
        <v>5308</v>
      </c>
      <c r="F1767" t="s">
        <v>5433</v>
      </c>
      <c r="G1767" t="s">
        <v>5434</v>
      </c>
      <c r="H1767" t="s">
        <v>48</v>
      </c>
      <c r="I1767" s="32">
        <v>44918.189664351848</v>
      </c>
      <c r="J1767" s="32">
        <v>44919.189664351848</v>
      </c>
      <c r="K1767" s="32">
        <v>44922.189664351848</v>
      </c>
      <c r="L1767" s="8">
        <f t="shared" si="690"/>
        <v>4</v>
      </c>
      <c r="M1767" s="7">
        <v>44931.189664351848</v>
      </c>
      <c r="N1767" t="s">
        <v>49</v>
      </c>
      <c r="O1767" s="34">
        <v>44934.189664351848</v>
      </c>
      <c r="P1767" t="s">
        <v>50</v>
      </c>
      <c r="Q1767" t="s">
        <v>51</v>
      </c>
      <c r="R1767" s="32" t="s">
        <v>7472</v>
      </c>
      <c r="S1767" t="s">
        <v>7476</v>
      </c>
      <c r="T1767" s="34" t="s">
        <v>7476</v>
      </c>
      <c r="U1767" s="34" t="s">
        <v>7476</v>
      </c>
      <c r="V1767" s="32">
        <v>44938.189664351848</v>
      </c>
      <c r="W1767" s="32" t="s">
        <v>7476</v>
      </c>
      <c r="X1767">
        <v>0</v>
      </c>
      <c r="Y1767" s="34" t="s">
        <v>7476</v>
      </c>
      <c r="Z1767" s="34" t="s">
        <v>7476</v>
      </c>
      <c r="AA1767" s="34" t="s">
        <v>7476</v>
      </c>
      <c r="AB1767" s="36" t="s">
        <v>52</v>
      </c>
      <c r="AD1767" t="s">
        <v>5498</v>
      </c>
      <c r="AE1767" t="s">
        <v>5499</v>
      </c>
      <c r="AF1767" s="16">
        <v>44921</v>
      </c>
      <c r="AG1767" t="s">
        <v>64</v>
      </c>
      <c r="AH1767">
        <v>6</v>
      </c>
      <c r="AI1767" s="8" t="str">
        <f t="shared" si="692"/>
        <v/>
      </c>
      <c r="AJ1767" s="8">
        <f t="shared" si="693"/>
        <v>13.189664351848478</v>
      </c>
      <c r="AK1767" s="38">
        <f t="shared" si="691"/>
        <v>45118.189664351848</v>
      </c>
      <c r="AL1767" t="str">
        <f t="shared" si="694"/>
        <v/>
      </c>
      <c r="AM1767" t="str">
        <f t="shared" si="695"/>
        <v/>
      </c>
      <c r="AN1767">
        <f t="shared" si="696"/>
        <v>4</v>
      </c>
      <c r="AO1767">
        <f t="shared" si="697"/>
        <v>1</v>
      </c>
      <c r="AP1767">
        <f t="shared" si="698"/>
        <v>0</v>
      </c>
      <c r="AQ1767" t="str">
        <f t="shared" si="699"/>
        <v/>
      </c>
    </row>
    <row r="1768" spans="1:43" x14ac:dyDescent="0.35">
      <c r="A1768">
        <v>1304</v>
      </c>
      <c r="B1768" t="s">
        <v>5500</v>
      </c>
      <c r="C1768" t="s">
        <v>4471</v>
      </c>
      <c r="D1768" t="str">
        <f t="shared" si="689"/>
        <v>Finance</v>
      </c>
      <c r="E1768" t="s">
        <v>5308</v>
      </c>
      <c r="F1768" t="s">
        <v>5433</v>
      </c>
      <c r="G1768" t="s">
        <v>5434</v>
      </c>
      <c r="H1768" t="s">
        <v>48</v>
      </c>
      <c r="I1768" s="32">
        <v>44912.189664351848</v>
      </c>
      <c r="J1768" s="32">
        <v>44916.189664351848</v>
      </c>
      <c r="K1768" s="32">
        <v>44922.189664351848</v>
      </c>
      <c r="L1768" s="8">
        <f t="shared" si="690"/>
        <v>10</v>
      </c>
      <c r="M1768" s="7">
        <v>44928.189664351848</v>
      </c>
      <c r="N1768" t="s">
        <v>49</v>
      </c>
      <c r="O1768" s="34">
        <v>44928.189664351848</v>
      </c>
      <c r="P1768" t="s">
        <v>60</v>
      </c>
      <c r="R1768" s="32">
        <v>44932.189664351848</v>
      </c>
      <c r="S1768" t="s">
        <v>61</v>
      </c>
      <c r="T1768" s="34" t="s">
        <v>7476</v>
      </c>
      <c r="U1768" s="34" t="s">
        <v>7476</v>
      </c>
      <c r="V1768" s="32">
        <v>44930.189664351848</v>
      </c>
      <c r="W1768" s="32" t="s">
        <v>7476</v>
      </c>
      <c r="X1768">
        <v>0</v>
      </c>
      <c r="Y1768" s="34" t="s">
        <v>7476</v>
      </c>
      <c r="Z1768" s="34" t="s">
        <v>7476</v>
      </c>
      <c r="AA1768" s="34" t="s">
        <v>7476</v>
      </c>
      <c r="AB1768" s="36" t="s">
        <v>7476</v>
      </c>
      <c r="AD1768" t="s">
        <v>5501</v>
      </c>
      <c r="AE1768" t="s">
        <v>5502</v>
      </c>
      <c r="AF1768" s="16">
        <v>44909</v>
      </c>
      <c r="AG1768" t="s">
        <v>98</v>
      </c>
      <c r="AH1768">
        <v>6</v>
      </c>
      <c r="AI1768" s="8">
        <f t="shared" si="692"/>
        <v>23.189664351848478</v>
      </c>
      <c r="AJ1768" s="8">
        <f t="shared" si="693"/>
        <v>19.189664351848478</v>
      </c>
      <c r="AK1768" s="38">
        <f t="shared" si="691"/>
        <v>45110.189664351848</v>
      </c>
      <c r="AL1768" t="str">
        <f t="shared" si="694"/>
        <v/>
      </c>
      <c r="AM1768">
        <f t="shared" si="695"/>
        <v>16</v>
      </c>
      <c r="AN1768">
        <f t="shared" si="696"/>
        <v>2</v>
      </c>
      <c r="AO1768">
        <f t="shared" si="697"/>
        <v>4</v>
      </c>
      <c r="AP1768">
        <f t="shared" si="698"/>
        <v>0</v>
      </c>
      <c r="AQ1768" t="str">
        <f t="shared" si="699"/>
        <v/>
      </c>
    </row>
    <row r="1769" spans="1:43" x14ac:dyDescent="0.35">
      <c r="A1769">
        <v>1303</v>
      </c>
      <c r="B1769" t="s">
        <v>5503</v>
      </c>
      <c r="C1769" t="s">
        <v>4480</v>
      </c>
      <c r="D1769" t="str">
        <f t="shared" si="689"/>
        <v>Finance</v>
      </c>
      <c r="E1769" t="s">
        <v>5308</v>
      </c>
      <c r="F1769" t="s">
        <v>5433</v>
      </c>
      <c r="G1769" t="s">
        <v>5434</v>
      </c>
      <c r="H1769" t="s">
        <v>48</v>
      </c>
      <c r="I1769" s="32" t="s">
        <v>7471</v>
      </c>
      <c r="J1769" s="32">
        <v>44919.189664351848</v>
      </c>
      <c r="K1769" s="32">
        <v>44922.189664351848</v>
      </c>
      <c r="L1769" s="8" t="str">
        <f t="shared" si="690"/>
        <v/>
      </c>
      <c r="M1769" s="7">
        <v>44951.189664351848</v>
      </c>
      <c r="N1769" t="s">
        <v>49</v>
      </c>
      <c r="O1769" s="34">
        <v>44924.189664351848</v>
      </c>
      <c r="P1769" t="s">
        <v>101</v>
      </c>
      <c r="R1769" s="32">
        <v>44930.189664351848</v>
      </c>
      <c r="S1769" t="s">
        <v>101</v>
      </c>
      <c r="T1769" s="34">
        <v>44925.189664351848</v>
      </c>
      <c r="U1769" s="34">
        <v>44927.189664351848</v>
      </c>
      <c r="V1769" s="32">
        <v>44928.189664351848</v>
      </c>
      <c r="W1769" s="32">
        <v>44931.189664351848</v>
      </c>
      <c r="X1769">
        <v>1</v>
      </c>
      <c r="Y1769" s="34">
        <v>44935.189664351848</v>
      </c>
      <c r="Z1769" s="34">
        <v>44936.189664351848</v>
      </c>
      <c r="AA1769" s="34">
        <v>44939.189664351848</v>
      </c>
      <c r="AB1769" s="36" t="s">
        <v>7476</v>
      </c>
      <c r="AC1769" s="10">
        <v>44950.189664351848</v>
      </c>
      <c r="AD1769" t="s">
        <v>5504</v>
      </c>
      <c r="AE1769" t="s">
        <v>5505</v>
      </c>
      <c r="AF1769" s="16">
        <v>44909</v>
      </c>
      <c r="AG1769" t="s">
        <v>93</v>
      </c>
      <c r="AH1769">
        <v>3</v>
      </c>
      <c r="AK1769" s="38">
        <f t="shared" si="691"/>
        <v>45018.189664351848</v>
      </c>
    </row>
    <row r="1770" spans="1:43" x14ac:dyDescent="0.35">
      <c r="A1770">
        <v>1286</v>
      </c>
      <c r="B1770" t="s">
        <v>5506</v>
      </c>
      <c r="C1770" t="s">
        <v>4480</v>
      </c>
      <c r="D1770" t="str">
        <f t="shared" si="689"/>
        <v>Finance</v>
      </c>
      <c r="E1770" t="s">
        <v>5308</v>
      </c>
      <c r="F1770" t="s">
        <v>5433</v>
      </c>
      <c r="G1770" t="s">
        <v>5434</v>
      </c>
      <c r="H1770" t="s">
        <v>48</v>
      </c>
      <c r="I1770" s="32">
        <v>44643.736006944448</v>
      </c>
      <c r="J1770" s="32">
        <v>44647.736006944448</v>
      </c>
      <c r="K1770" s="32" t="s">
        <v>7473</v>
      </c>
      <c r="L1770" s="8" t="str">
        <f t="shared" si="690"/>
        <v/>
      </c>
      <c r="M1770" s="7">
        <v>44664.736006944448</v>
      </c>
      <c r="N1770" t="s">
        <v>49</v>
      </c>
      <c r="O1770" s="34">
        <v>44666.736006944448</v>
      </c>
      <c r="P1770" t="s">
        <v>50</v>
      </c>
      <c r="Q1770" t="s">
        <v>51</v>
      </c>
      <c r="R1770" s="32" t="s">
        <v>7472</v>
      </c>
      <c r="S1770" t="s">
        <v>7476</v>
      </c>
      <c r="T1770" s="34" t="s">
        <v>7476</v>
      </c>
      <c r="U1770" s="34" t="s">
        <v>7476</v>
      </c>
      <c r="V1770" s="32">
        <v>44669.736006944448</v>
      </c>
      <c r="W1770" s="32" t="s">
        <v>7476</v>
      </c>
      <c r="X1770">
        <v>0</v>
      </c>
      <c r="Y1770" s="34" t="s">
        <v>7476</v>
      </c>
      <c r="Z1770" s="34" t="s">
        <v>7476</v>
      </c>
      <c r="AA1770" s="34" t="s">
        <v>7476</v>
      </c>
      <c r="AB1770" s="36" t="s">
        <v>52</v>
      </c>
      <c r="AD1770" t="s">
        <v>5507</v>
      </c>
      <c r="AE1770" t="s">
        <v>5508</v>
      </c>
      <c r="AF1770" s="16">
        <v>44658</v>
      </c>
      <c r="AG1770" t="s">
        <v>98</v>
      </c>
      <c r="AH1770">
        <v>6</v>
      </c>
      <c r="AK1770" s="38">
        <f t="shared" si="691"/>
        <v>44849.736006944448</v>
      </c>
    </row>
    <row r="1771" spans="1:43" x14ac:dyDescent="0.35">
      <c r="A1771">
        <v>1282</v>
      </c>
      <c r="B1771" t="s">
        <v>5509</v>
      </c>
      <c r="C1771" t="s">
        <v>4471</v>
      </c>
      <c r="D1771" t="str">
        <f t="shared" si="689"/>
        <v>Finance</v>
      </c>
      <c r="E1771" t="s">
        <v>5308</v>
      </c>
      <c r="F1771" t="s">
        <v>5433</v>
      </c>
      <c r="G1771" t="s">
        <v>5434</v>
      </c>
      <c r="H1771" t="s">
        <v>48</v>
      </c>
      <c r="I1771" s="32">
        <v>44643.736006944448</v>
      </c>
      <c r="J1771" s="32">
        <v>44644.736006944448</v>
      </c>
      <c r="K1771" s="32">
        <v>44650.736006944448</v>
      </c>
      <c r="L1771" s="8">
        <f t="shared" si="690"/>
        <v>7</v>
      </c>
      <c r="M1771" s="7">
        <v>44671.736006944448</v>
      </c>
      <c r="N1771" t="s">
        <v>49</v>
      </c>
      <c r="O1771" s="34">
        <v>44659.736006944448</v>
      </c>
      <c r="P1771" t="s">
        <v>50</v>
      </c>
      <c r="Q1771" t="s">
        <v>51</v>
      </c>
      <c r="R1771" s="32" t="s">
        <v>7472</v>
      </c>
      <c r="S1771" t="s">
        <v>7476</v>
      </c>
      <c r="T1771" s="34" t="s">
        <v>7476</v>
      </c>
      <c r="U1771" s="34" t="s">
        <v>7476</v>
      </c>
      <c r="V1771" s="32">
        <v>44663.736006944448</v>
      </c>
      <c r="W1771" s="32" t="s">
        <v>7476</v>
      </c>
      <c r="X1771">
        <v>0</v>
      </c>
      <c r="Y1771" s="34" t="s">
        <v>7476</v>
      </c>
      <c r="Z1771" s="34" t="s">
        <v>7476</v>
      </c>
      <c r="AA1771" s="34" t="s">
        <v>7476</v>
      </c>
      <c r="AB1771" s="36" t="s">
        <v>95</v>
      </c>
      <c r="AD1771" t="s">
        <v>5510</v>
      </c>
      <c r="AE1771" t="s">
        <v>5511</v>
      </c>
      <c r="AF1771" s="16">
        <v>44646</v>
      </c>
      <c r="AG1771" t="s">
        <v>68</v>
      </c>
      <c r="AH1771">
        <v>3</v>
      </c>
      <c r="AI1771" s="8" t="str">
        <f t="shared" ref="AI1771:AI1778" si="700">IFERROR(R1771-AF1771,"")</f>
        <v/>
      </c>
      <c r="AJ1771" s="8">
        <f t="shared" ref="AJ1771:AJ1778" si="701">IFERROR(O1771-AF1771,"")</f>
        <v>13.736006944447581</v>
      </c>
      <c r="AK1771" s="38">
        <f t="shared" si="691"/>
        <v>44753.736006944448</v>
      </c>
      <c r="AL1771" t="str">
        <f t="shared" ref="AL1771:AL1778" si="702">IFERROR(Z1771-W1771,"")</f>
        <v/>
      </c>
      <c r="AM1771" t="str">
        <f t="shared" ref="AM1771:AM1778" si="703">IFERROR(R1771-J1771,"")</f>
        <v/>
      </c>
      <c r="AN1771">
        <f t="shared" ref="AN1771:AN1778" si="704">IFERROR(V1771-O1771,"")</f>
        <v>4</v>
      </c>
      <c r="AO1771">
        <f t="shared" ref="AO1771:AO1778" si="705">IFERROR(J1771-I1771,"")</f>
        <v>1</v>
      </c>
      <c r="AP1771">
        <f t="shared" ref="AP1771:AP1778" si="706">IFERROR(AC1771-X1771,"")</f>
        <v>0</v>
      </c>
      <c r="AQ1771" t="str">
        <f t="shared" ref="AQ1771:AQ1778" si="707">IFERROR(AA1771-W1771,"")</f>
        <v/>
      </c>
    </row>
    <row r="1772" spans="1:43" x14ac:dyDescent="0.35">
      <c r="A1772">
        <v>1266</v>
      </c>
      <c r="B1772" t="s">
        <v>5512</v>
      </c>
      <c r="C1772" t="s">
        <v>4480</v>
      </c>
      <c r="D1772" t="str">
        <f t="shared" si="689"/>
        <v>Finance</v>
      </c>
      <c r="E1772" t="s">
        <v>5308</v>
      </c>
      <c r="F1772" t="s">
        <v>5433</v>
      </c>
      <c r="G1772" t="s">
        <v>5434</v>
      </c>
      <c r="H1772" t="s">
        <v>48</v>
      </c>
      <c r="I1772" s="32">
        <v>44998.913287037038</v>
      </c>
      <c r="J1772" s="32">
        <v>44999.913287037038</v>
      </c>
      <c r="K1772" s="32">
        <v>45005.913287037038</v>
      </c>
      <c r="L1772" s="8">
        <f t="shared" si="690"/>
        <v>7</v>
      </c>
      <c r="M1772" s="7">
        <v>45020.913287037038</v>
      </c>
      <c r="N1772" t="s">
        <v>49</v>
      </c>
      <c r="O1772" s="34">
        <v>45010.913287037038</v>
      </c>
      <c r="P1772" t="s">
        <v>50</v>
      </c>
      <c r="Q1772" t="s">
        <v>125</v>
      </c>
      <c r="R1772" s="32" t="s">
        <v>7472</v>
      </c>
      <c r="S1772" t="s">
        <v>7476</v>
      </c>
      <c r="T1772" s="34" t="s">
        <v>7476</v>
      </c>
      <c r="U1772" s="34" t="s">
        <v>7476</v>
      </c>
      <c r="V1772" s="32" t="s">
        <v>7476</v>
      </c>
      <c r="W1772" s="32" t="s">
        <v>7476</v>
      </c>
      <c r="X1772">
        <v>0</v>
      </c>
      <c r="Y1772" s="34" t="s">
        <v>7476</v>
      </c>
      <c r="Z1772" s="34" t="s">
        <v>7476</v>
      </c>
      <c r="AA1772" s="34" t="s">
        <v>7476</v>
      </c>
      <c r="AB1772" s="36" t="s">
        <v>95</v>
      </c>
      <c r="AD1772" t="s">
        <v>5513</v>
      </c>
      <c r="AE1772" t="s">
        <v>5514</v>
      </c>
      <c r="AF1772" s="16">
        <v>44994</v>
      </c>
      <c r="AG1772" t="s">
        <v>68</v>
      </c>
      <c r="AH1772">
        <v>6</v>
      </c>
      <c r="AI1772" s="8" t="str">
        <f t="shared" si="700"/>
        <v/>
      </c>
      <c r="AJ1772" s="8">
        <f t="shared" si="701"/>
        <v>16.913287037037662</v>
      </c>
      <c r="AK1772" s="38" t="str">
        <f t="shared" si="691"/>
        <v/>
      </c>
      <c r="AL1772" t="str">
        <f t="shared" si="702"/>
        <v/>
      </c>
      <c r="AM1772" t="str">
        <f t="shared" si="703"/>
        <v/>
      </c>
      <c r="AN1772" t="str">
        <f t="shared" si="704"/>
        <v/>
      </c>
      <c r="AO1772">
        <f t="shared" si="705"/>
        <v>1</v>
      </c>
      <c r="AP1772">
        <f t="shared" si="706"/>
        <v>0</v>
      </c>
      <c r="AQ1772" t="str">
        <f t="shared" si="707"/>
        <v/>
      </c>
    </row>
    <row r="1773" spans="1:43" x14ac:dyDescent="0.35">
      <c r="A1773">
        <v>1265</v>
      </c>
      <c r="B1773" t="s">
        <v>5515</v>
      </c>
      <c r="C1773" t="s">
        <v>4471</v>
      </c>
      <c r="D1773" t="str">
        <f t="shared" si="689"/>
        <v>Finance</v>
      </c>
      <c r="E1773" t="s">
        <v>5308</v>
      </c>
      <c r="F1773" t="s">
        <v>5433</v>
      </c>
      <c r="G1773" t="s">
        <v>5434</v>
      </c>
      <c r="H1773" t="s">
        <v>48</v>
      </c>
      <c r="I1773" s="32">
        <v>45000.913287037038</v>
      </c>
      <c r="J1773" s="32">
        <v>45002.913287037038</v>
      </c>
      <c r="K1773" s="32">
        <v>45005.913287037038</v>
      </c>
      <c r="L1773" s="8">
        <f t="shared" si="690"/>
        <v>5</v>
      </c>
      <c r="M1773" s="7">
        <v>45021.913287037038</v>
      </c>
      <c r="N1773" t="s">
        <v>49</v>
      </c>
      <c r="O1773" s="34">
        <v>45007.913287037038</v>
      </c>
      <c r="P1773" t="s">
        <v>50</v>
      </c>
      <c r="Q1773" t="s">
        <v>51</v>
      </c>
      <c r="R1773" s="32" t="s">
        <v>7472</v>
      </c>
      <c r="S1773" t="s">
        <v>7476</v>
      </c>
      <c r="T1773" s="34" t="s">
        <v>7476</v>
      </c>
      <c r="U1773" s="34" t="s">
        <v>7476</v>
      </c>
      <c r="V1773" s="32">
        <v>45010.913287037038</v>
      </c>
      <c r="W1773" s="32" t="s">
        <v>7476</v>
      </c>
      <c r="X1773">
        <v>0</v>
      </c>
      <c r="Y1773" s="34" t="s">
        <v>7476</v>
      </c>
      <c r="Z1773" s="34" t="s">
        <v>7476</v>
      </c>
      <c r="AA1773" s="34" t="s">
        <v>7476</v>
      </c>
      <c r="AB1773" s="36" t="s">
        <v>52</v>
      </c>
      <c r="AD1773" t="s">
        <v>5516</v>
      </c>
      <c r="AE1773" t="s">
        <v>5517</v>
      </c>
      <c r="AF1773" s="16">
        <v>44996</v>
      </c>
      <c r="AG1773" t="s">
        <v>98</v>
      </c>
      <c r="AH1773">
        <v>6</v>
      </c>
      <c r="AI1773" s="8" t="str">
        <f t="shared" si="700"/>
        <v/>
      </c>
      <c r="AJ1773" s="8">
        <f t="shared" si="701"/>
        <v>11.913287037037662</v>
      </c>
      <c r="AK1773" s="38">
        <f t="shared" si="691"/>
        <v>45190.913287037038</v>
      </c>
      <c r="AL1773" t="str">
        <f t="shared" si="702"/>
        <v/>
      </c>
      <c r="AM1773" t="str">
        <f t="shared" si="703"/>
        <v/>
      </c>
      <c r="AN1773">
        <f t="shared" si="704"/>
        <v>3</v>
      </c>
      <c r="AO1773">
        <f t="shared" si="705"/>
        <v>2</v>
      </c>
      <c r="AP1773">
        <f t="shared" si="706"/>
        <v>0</v>
      </c>
      <c r="AQ1773" t="str">
        <f t="shared" si="707"/>
        <v/>
      </c>
    </row>
    <row r="1774" spans="1:43" x14ac:dyDescent="0.35">
      <c r="A1774">
        <v>1252</v>
      </c>
      <c r="B1774" t="s">
        <v>5518</v>
      </c>
      <c r="C1774" t="s">
        <v>4471</v>
      </c>
      <c r="D1774" t="str">
        <f t="shared" si="689"/>
        <v>Finance</v>
      </c>
      <c r="E1774" t="s">
        <v>5308</v>
      </c>
      <c r="F1774" t="s">
        <v>5433</v>
      </c>
      <c r="G1774" t="s">
        <v>5434</v>
      </c>
      <c r="H1774" t="s">
        <v>48</v>
      </c>
      <c r="I1774" s="32">
        <v>44733.170439814807</v>
      </c>
      <c r="J1774" s="32">
        <v>44737.170439814807</v>
      </c>
      <c r="K1774" s="32">
        <v>44743.170439814807</v>
      </c>
      <c r="L1774" s="8">
        <f t="shared" si="690"/>
        <v>10</v>
      </c>
      <c r="M1774" s="7">
        <v>44751.170439814807</v>
      </c>
      <c r="N1774" t="s">
        <v>49</v>
      </c>
      <c r="O1774" s="34">
        <v>44756.170439814807</v>
      </c>
      <c r="P1774" t="s">
        <v>50</v>
      </c>
      <c r="Q1774" t="s">
        <v>125</v>
      </c>
      <c r="R1774" s="32" t="s">
        <v>7472</v>
      </c>
      <c r="S1774" t="s">
        <v>7476</v>
      </c>
      <c r="T1774" s="34" t="s">
        <v>7476</v>
      </c>
      <c r="U1774" s="34" t="s">
        <v>7476</v>
      </c>
      <c r="V1774" s="32">
        <v>44760.170439814807</v>
      </c>
      <c r="W1774" s="32" t="s">
        <v>7476</v>
      </c>
      <c r="X1774">
        <v>0</v>
      </c>
      <c r="Y1774" s="34" t="s">
        <v>7476</v>
      </c>
      <c r="Z1774" s="34" t="s">
        <v>7476</v>
      </c>
      <c r="AA1774" s="34" t="s">
        <v>7476</v>
      </c>
      <c r="AB1774" s="36" t="s">
        <v>52</v>
      </c>
      <c r="AD1774" t="s">
        <v>5519</v>
      </c>
      <c r="AE1774" t="s">
        <v>5520</v>
      </c>
      <c r="AF1774" s="16">
        <v>44748</v>
      </c>
      <c r="AG1774" t="s">
        <v>64</v>
      </c>
      <c r="AH1774">
        <v>3</v>
      </c>
      <c r="AI1774" s="8" t="str">
        <f t="shared" si="700"/>
        <v/>
      </c>
      <c r="AJ1774" s="8">
        <f t="shared" si="701"/>
        <v>8.1704398148067412</v>
      </c>
      <c r="AK1774" s="38">
        <f t="shared" si="691"/>
        <v>44850.170439814807</v>
      </c>
      <c r="AL1774" t="str">
        <f t="shared" si="702"/>
        <v/>
      </c>
      <c r="AM1774" t="str">
        <f t="shared" si="703"/>
        <v/>
      </c>
      <c r="AN1774">
        <f t="shared" si="704"/>
        <v>4</v>
      </c>
      <c r="AO1774">
        <f t="shared" si="705"/>
        <v>4</v>
      </c>
      <c r="AP1774">
        <f t="shared" si="706"/>
        <v>0</v>
      </c>
      <c r="AQ1774" t="str">
        <f t="shared" si="707"/>
        <v/>
      </c>
    </row>
    <row r="1775" spans="1:43" x14ac:dyDescent="0.35">
      <c r="A1775">
        <v>1038</v>
      </c>
      <c r="B1775" t="s">
        <v>5521</v>
      </c>
      <c r="C1775" t="s">
        <v>4480</v>
      </c>
      <c r="D1775" t="str">
        <f t="shared" si="689"/>
        <v>Finance</v>
      </c>
      <c r="E1775" t="s">
        <v>5308</v>
      </c>
      <c r="F1775" t="s">
        <v>5433</v>
      </c>
      <c r="G1775" t="s">
        <v>5434</v>
      </c>
      <c r="H1775" t="s">
        <v>48</v>
      </c>
      <c r="I1775" s="32">
        <v>44987.822372685187</v>
      </c>
      <c r="J1775" s="32">
        <v>44990.822372685187</v>
      </c>
      <c r="K1775" s="32">
        <v>44993.822372685187</v>
      </c>
      <c r="L1775" s="8">
        <f t="shared" si="690"/>
        <v>6</v>
      </c>
      <c r="M1775" s="7">
        <v>45002.822372685187</v>
      </c>
      <c r="N1775" t="s">
        <v>49</v>
      </c>
      <c r="O1775" s="34">
        <v>45001.822372685187</v>
      </c>
      <c r="P1775" t="s">
        <v>50</v>
      </c>
      <c r="Q1775" t="s">
        <v>125</v>
      </c>
      <c r="R1775" s="32" t="s">
        <v>7472</v>
      </c>
      <c r="S1775" t="s">
        <v>7476</v>
      </c>
      <c r="T1775" s="34" t="s">
        <v>7476</v>
      </c>
      <c r="U1775" s="34" t="s">
        <v>7476</v>
      </c>
      <c r="V1775" s="32">
        <v>45004.822372685187</v>
      </c>
      <c r="W1775" s="32" t="s">
        <v>7476</v>
      </c>
      <c r="X1775">
        <v>0</v>
      </c>
      <c r="Y1775" s="34" t="s">
        <v>7476</v>
      </c>
      <c r="Z1775" s="34" t="s">
        <v>7476</v>
      </c>
      <c r="AA1775" s="34" t="s">
        <v>7476</v>
      </c>
      <c r="AB1775" s="36" t="s">
        <v>95</v>
      </c>
      <c r="AD1775" t="s">
        <v>5522</v>
      </c>
      <c r="AE1775" t="s">
        <v>5523</v>
      </c>
      <c r="AF1775" s="16">
        <v>44960</v>
      </c>
      <c r="AG1775" t="s">
        <v>68</v>
      </c>
      <c r="AH1775">
        <v>3</v>
      </c>
      <c r="AI1775" s="8" t="str">
        <f t="shared" si="700"/>
        <v/>
      </c>
      <c r="AJ1775" s="8">
        <f t="shared" si="701"/>
        <v>41.822372685186565</v>
      </c>
      <c r="AK1775" s="38">
        <f t="shared" si="691"/>
        <v>45094.822372685187</v>
      </c>
      <c r="AL1775" t="str">
        <f t="shared" si="702"/>
        <v/>
      </c>
      <c r="AM1775" t="str">
        <f t="shared" si="703"/>
        <v/>
      </c>
      <c r="AN1775">
        <f t="shared" si="704"/>
        <v>3</v>
      </c>
      <c r="AO1775">
        <f t="shared" si="705"/>
        <v>3</v>
      </c>
      <c r="AP1775">
        <f t="shared" si="706"/>
        <v>0</v>
      </c>
      <c r="AQ1775" t="str">
        <f t="shared" si="707"/>
        <v/>
      </c>
    </row>
    <row r="1776" spans="1:43" x14ac:dyDescent="0.35">
      <c r="A1776">
        <v>1033</v>
      </c>
      <c r="B1776" t="s">
        <v>5524</v>
      </c>
      <c r="C1776" t="s">
        <v>4471</v>
      </c>
      <c r="D1776" t="str">
        <f t="shared" si="689"/>
        <v>Finance</v>
      </c>
      <c r="E1776" t="s">
        <v>5308</v>
      </c>
      <c r="F1776" t="s">
        <v>5433</v>
      </c>
      <c r="G1776" t="s">
        <v>5434</v>
      </c>
      <c r="H1776" t="s">
        <v>48</v>
      </c>
      <c r="I1776" s="32">
        <v>44985.822372685187</v>
      </c>
      <c r="J1776" s="32">
        <v>44989.822372685187</v>
      </c>
      <c r="K1776" s="32">
        <v>44993.822372685187</v>
      </c>
      <c r="L1776" s="8">
        <f t="shared" si="690"/>
        <v>8</v>
      </c>
      <c r="M1776" s="7">
        <v>45007.822372685187</v>
      </c>
      <c r="N1776" t="s">
        <v>49</v>
      </c>
      <c r="O1776" s="34">
        <v>44997.822372685187</v>
      </c>
      <c r="P1776" t="s">
        <v>60</v>
      </c>
      <c r="R1776" s="32">
        <v>45002.822372685187</v>
      </c>
      <c r="S1776" t="s">
        <v>61</v>
      </c>
      <c r="T1776" s="34" t="s">
        <v>7476</v>
      </c>
      <c r="U1776" s="34" t="s">
        <v>7476</v>
      </c>
      <c r="V1776" s="32">
        <v>45000.822372685187</v>
      </c>
      <c r="W1776" s="32" t="s">
        <v>7476</v>
      </c>
      <c r="X1776">
        <v>0</v>
      </c>
      <c r="Y1776" s="34" t="s">
        <v>7476</v>
      </c>
      <c r="Z1776" s="34" t="s">
        <v>7476</v>
      </c>
      <c r="AA1776" s="34" t="s">
        <v>7476</v>
      </c>
      <c r="AB1776" s="36" t="s">
        <v>7476</v>
      </c>
      <c r="AD1776" t="s">
        <v>5525</v>
      </c>
      <c r="AE1776" t="s">
        <v>5526</v>
      </c>
      <c r="AF1776" s="16">
        <v>45110</v>
      </c>
      <c r="AG1776" t="s">
        <v>64</v>
      </c>
      <c r="AH1776">
        <v>6</v>
      </c>
      <c r="AI1776" s="8">
        <f t="shared" si="700"/>
        <v>-107.17762731481344</v>
      </c>
      <c r="AJ1776" s="8">
        <f t="shared" si="701"/>
        <v>-112.17762731481344</v>
      </c>
      <c r="AK1776" s="38">
        <f t="shared" si="691"/>
        <v>45180.822372685187</v>
      </c>
      <c r="AL1776" t="str">
        <f t="shared" si="702"/>
        <v/>
      </c>
      <c r="AM1776">
        <f t="shared" si="703"/>
        <v>13</v>
      </c>
      <c r="AN1776">
        <f t="shared" si="704"/>
        <v>3</v>
      </c>
      <c r="AO1776">
        <f t="shared" si="705"/>
        <v>4</v>
      </c>
      <c r="AP1776">
        <f t="shared" si="706"/>
        <v>0</v>
      </c>
      <c r="AQ1776" t="str">
        <f t="shared" si="707"/>
        <v/>
      </c>
    </row>
    <row r="1777" spans="1:43" x14ac:dyDescent="0.35">
      <c r="A1777">
        <v>1017</v>
      </c>
      <c r="B1777" t="s">
        <v>5527</v>
      </c>
      <c r="C1777" t="s">
        <v>4480</v>
      </c>
      <c r="D1777" t="str">
        <f t="shared" si="689"/>
        <v>Finance</v>
      </c>
      <c r="E1777" t="s">
        <v>5308</v>
      </c>
      <c r="F1777" t="s">
        <v>5433</v>
      </c>
      <c r="G1777" t="s">
        <v>5434</v>
      </c>
      <c r="H1777" t="s">
        <v>48</v>
      </c>
      <c r="I1777" s="32">
        <v>44598.329571759263</v>
      </c>
      <c r="J1777" s="32">
        <v>44599.329571759263</v>
      </c>
      <c r="K1777" s="32">
        <v>44602.329571759263</v>
      </c>
      <c r="L1777" s="8">
        <f t="shared" si="690"/>
        <v>4</v>
      </c>
      <c r="M1777" s="7">
        <v>44625.329571759263</v>
      </c>
      <c r="N1777" t="s">
        <v>49</v>
      </c>
      <c r="O1777" s="34">
        <v>44615.329571759263</v>
      </c>
      <c r="P1777" t="s">
        <v>50</v>
      </c>
      <c r="Q1777" t="s">
        <v>84</v>
      </c>
      <c r="R1777" s="32" t="s">
        <v>7472</v>
      </c>
      <c r="S1777" t="s">
        <v>7476</v>
      </c>
      <c r="T1777" s="34" t="s">
        <v>7476</v>
      </c>
      <c r="U1777" s="34" t="s">
        <v>7476</v>
      </c>
      <c r="V1777" s="32">
        <v>44617.329571759263</v>
      </c>
      <c r="W1777" s="32" t="s">
        <v>7476</v>
      </c>
      <c r="X1777">
        <v>0</v>
      </c>
      <c r="Y1777" s="34" t="s">
        <v>7476</v>
      </c>
      <c r="Z1777" s="34" t="s">
        <v>7476</v>
      </c>
      <c r="AA1777" s="34" t="s">
        <v>7476</v>
      </c>
      <c r="AB1777" s="36" t="s">
        <v>95</v>
      </c>
      <c r="AD1777" t="s">
        <v>5528</v>
      </c>
      <c r="AE1777" t="s">
        <v>5529</v>
      </c>
      <c r="AF1777" s="16">
        <v>44609</v>
      </c>
      <c r="AG1777" t="s">
        <v>98</v>
      </c>
      <c r="AH1777">
        <v>3</v>
      </c>
      <c r="AI1777" s="8" t="str">
        <f t="shared" si="700"/>
        <v/>
      </c>
      <c r="AJ1777" s="8">
        <f t="shared" si="701"/>
        <v>6.3295717592627625</v>
      </c>
      <c r="AK1777" s="38">
        <f t="shared" si="691"/>
        <v>44707.329571759263</v>
      </c>
      <c r="AL1777" t="str">
        <f t="shared" si="702"/>
        <v/>
      </c>
      <c r="AM1777" t="str">
        <f t="shared" si="703"/>
        <v/>
      </c>
      <c r="AN1777">
        <f t="shared" si="704"/>
        <v>2</v>
      </c>
      <c r="AO1777">
        <f t="shared" si="705"/>
        <v>1</v>
      </c>
      <c r="AP1777">
        <f t="shared" si="706"/>
        <v>0</v>
      </c>
      <c r="AQ1777" t="str">
        <f t="shared" si="707"/>
        <v/>
      </c>
    </row>
    <row r="1778" spans="1:43" x14ac:dyDescent="0.35">
      <c r="A1778">
        <v>1016</v>
      </c>
      <c r="B1778" t="s">
        <v>5530</v>
      </c>
      <c r="C1778" t="s">
        <v>4480</v>
      </c>
      <c r="D1778" t="str">
        <f t="shared" si="689"/>
        <v>Finance</v>
      </c>
      <c r="E1778" t="s">
        <v>5308</v>
      </c>
      <c r="F1778" t="s">
        <v>5433</v>
      </c>
      <c r="G1778" t="s">
        <v>5434</v>
      </c>
      <c r="H1778" t="s">
        <v>48</v>
      </c>
      <c r="I1778" s="32">
        <v>44599.329571759263</v>
      </c>
      <c r="J1778" s="32">
        <v>44600.329571759263</v>
      </c>
      <c r="K1778" s="32">
        <v>44602.329571759263</v>
      </c>
      <c r="L1778" s="8">
        <f t="shared" si="690"/>
        <v>3</v>
      </c>
      <c r="M1778" s="7">
        <v>44627.329571759263</v>
      </c>
      <c r="N1778" t="s">
        <v>72</v>
      </c>
      <c r="O1778" s="34" t="s">
        <v>7474</v>
      </c>
      <c r="R1778" s="32" t="s">
        <v>7472</v>
      </c>
      <c r="S1778" t="s">
        <v>7476</v>
      </c>
      <c r="T1778" s="34" t="s">
        <v>7476</v>
      </c>
      <c r="U1778" s="34" t="s">
        <v>7476</v>
      </c>
      <c r="V1778" s="32" t="s">
        <v>7476</v>
      </c>
      <c r="W1778" s="32" t="s">
        <v>7476</v>
      </c>
      <c r="X1778">
        <v>0</v>
      </c>
      <c r="Y1778" s="34" t="s">
        <v>7476</v>
      </c>
      <c r="Z1778" s="34" t="s">
        <v>7476</v>
      </c>
      <c r="AA1778" s="34" t="s">
        <v>7476</v>
      </c>
      <c r="AB1778" s="36" t="s">
        <v>7476</v>
      </c>
      <c r="AD1778" t="s">
        <v>5531</v>
      </c>
      <c r="AE1778" t="s">
        <v>5532</v>
      </c>
      <c r="AG1778" t="s">
        <v>64</v>
      </c>
      <c r="AH1778">
        <v>3</v>
      </c>
      <c r="AI1778" s="8" t="str">
        <f t="shared" si="700"/>
        <v/>
      </c>
      <c r="AJ1778" s="8" t="str">
        <f t="shared" si="701"/>
        <v/>
      </c>
      <c r="AK1778" s="38" t="str">
        <f t="shared" si="691"/>
        <v/>
      </c>
      <c r="AL1778" t="str">
        <f t="shared" si="702"/>
        <v/>
      </c>
      <c r="AM1778" t="str">
        <f t="shared" si="703"/>
        <v/>
      </c>
      <c r="AN1778" t="str">
        <f t="shared" si="704"/>
        <v/>
      </c>
      <c r="AO1778">
        <f t="shared" si="705"/>
        <v>1</v>
      </c>
      <c r="AP1778">
        <f t="shared" si="706"/>
        <v>0</v>
      </c>
      <c r="AQ1778" t="str">
        <f t="shared" si="707"/>
        <v/>
      </c>
    </row>
    <row r="1779" spans="1:43" x14ac:dyDescent="0.35">
      <c r="A1779">
        <v>966</v>
      </c>
      <c r="B1779" t="s">
        <v>5533</v>
      </c>
      <c r="C1779" t="s">
        <v>4502</v>
      </c>
      <c r="D1779" t="str">
        <f t="shared" si="689"/>
        <v>Finance</v>
      </c>
      <c r="E1779" t="s">
        <v>5308</v>
      </c>
      <c r="F1779" t="s">
        <v>5433</v>
      </c>
      <c r="G1779" t="s">
        <v>5434</v>
      </c>
      <c r="H1779" t="s">
        <v>48</v>
      </c>
      <c r="I1779" s="32" t="s">
        <v>7471</v>
      </c>
      <c r="J1779" s="32">
        <v>45122.340451388889</v>
      </c>
      <c r="K1779" s="32">
        <v>45127.340451388889</v>
      </c>
      <c r="L1779" s="8" t="str">
        <f t="shared" si="690"/>
        <v/>
      </c>
      <c r="M1779" s="7">
        <v>45148.340451388889</v>
      </c>
      <c r="N1779" t="s">
        <v>49</v>
      </c>
      <c r="O1779" s="34">
        <v>45138.340451388889</v>
      </c>
      <c r="P1779" t="s">
        <v>60</v>
      </c>
      <c r="R1779" s="32">
        <v>45143.340451388889</v>
      </c>
      <c r="S1779" t="s">
        <v>61</v>
      </c>
      <c r="T1779" s="34" t="s">
        <v>7476</v>
      </c>
      <c r="U1779" s="34" t="s">
        <v>7476</v>
      </c>
      <c r="V1779" s="32">
        <v>45140.340451388889</v>
      </c>
      <c r="W1779" s="32" t="s">
        <v>7476</v>
      </c>
      <c r="X1779">
        <v>0</v>
      </c>
      <c r="Y1779" s="34" t="s">
        <v>7476</v>
      </c>
      <c r="Z1779" s="34" t="s">
        <v>7476</v>
      </c>
      <c r="AA1779" s="34" t="s">
        <v>7476</v>
      </c>
      <c r="AB1779" s="36" t="s">
        <v>7476</v>
      </c>
      <c r="AD1779" t="s">
        <v>5534</v>
      </c>
      <c r="AE1779" t="s">
        <v>5535</v>
      </c>
      <c r="AF1779" s="16">
        <v>45131</v>
      </c>
      <c r="AG1779" t="s">
        <v>55</v>
      </c>
      <c r="AH1779">
        <v>3</v>
      </c>
      <c r="AK1779" s="38">
        <f t="shared" si="691"/>
        <v>45230.340451388889</v>
      </c>
    </row>
    <row r="1780" spans="1:43" x14ac:dyDescent="0.35">
      <c r="A1780">
        <v>965</v>
      </c>
      <c r="B1780" t="s">
        <v>5536</v>
      </c>
      <c r="C1780" t="s">
        <v>4480</v>
      </c>
      <c r="D1780" t="str">
        <f t="shared" si="689"/>
        <v>Finance</v>
      </c>
      <c r="E1780" t="s">
        <v>5308</v>
      </c>
      <c r="F1780" t="s">
        <v>5433</v>
      </c>
      <c r="G1780" t="s">
        <v>5434</v>
      </c>
      <c r="H1780" t="s">
        <v>48</v>
      </c>
      <c r="I1780" s="32">
        <v>45120.340451388889</v>
      </c>
      <c r="J1780" s="32">
        <v>45121.340451388889</v>
      </c>
      <c r="K1780" s="32">
        <v>45127.340451388889</v>
      </c>
      <c r="L1780" s="8">
        <f t="shared" si="690"/>
        <v>7</v>
      </c>
      <c r="M1780" s="7">
        <v>45146.340451388889</v>
      </c>
      <c r="N1780" t="s">
        <v>49</v>
      </c>
      <c r="O1780" s="34">
        <v>45130.340451388889</v>
      </c>
      <c r="P1780" t="s">
        <v>101</v>
      </c>
      <c r="R1780" s="32">
        <v>45137.340451388889</v>
      </c>
      <c r="S1780" t="s">
        <v>101</v>
      </c>
      <c r="T1780" s="34">
        <v>45131.340451388889</v>
      </c>
      <c r="U1780" s="34">
        <v>45133.340451388889</v>
      </c>
      <c r="V1780" s="32">
        <v>45133.340451388889</v>
      </c>
      <c r="W1780" s="32">
        <v>45134.340451388889</v>
      </c>
      <c r="X1780">
        <v>1</v>
      </c>
      <c r="Y1780" s="34">
        <v>45137.340451388889</v>
      </c>
      <c r="Z1780" s="34">
        <v>45140.340451388889</v>
      </c>
      <c r="AA1780" s="34">
        <v>45143.340451388889</v>
      </c>
      <c r="AB1780" s="36" t="s">
        <v>7476</v>
      </c>
      <c r="AC1780" s="10">
        <v>45155.340451388889</v>
      </c>
      <c r="AD1780" t="s">
        <v>5537</v>
      </c>
      <c r="AE1780" t="s">
        <v>5538</v>
      </c>
      <c r="AF1780" s="16">
        <v>45116</v>
      </c>
      <c r="AG1780" t="s">
        <v>98</v>
      </c>
      <c r="AH1780">
        <v>6</v>
      </c>
      <c r="AI1780" s="8">
        <f>IFERROR(R1780-AF1780,"")</f>
        <v>21.340451388889051</v>
      </c>
      <c r="AJ1780" s="8">
        <f>IFERROR(O1780-AF1780,"")</f>
        <v>14.340451388889051</v>
      </c>
      <c r="AK1780" s="38">
        <f t="shared" si="691"/>
        <v>45313.340451388889</v>
      </c>
      <c r="AL1780">
        <f>IFERROR(Z1780-W1780,"")</f>
        <v>6</v>
      </c>
      <c r="AM1780">
        <f>IFERROR(R1780-J1780,"")</f>
        <v>16</v>
      </c>
      <c r="AN1780">
        <f>IFERROR(V1780-O1780,"")</f>
        <v>3</v>
      </c>
      <c r="AO1780">
        <f>IFERROR(J1780-I1780,"")</f>
        <v>1</v>
      </c>
      <c r="AP1780">
        <f>IFERROR(AC1780-X1780,"")</f>
        <v>45154.340451388889</v>
      </c>
      <c r="AQ1780">
        <f>IFERROR(AA1780-W1780,"")</f>
        <v>9</v>
      </c>
    </row>
    <row r="1781" spans="1:43" x14ac:dyDescent="0.35">
      <c r="A1781">
        <v>887</v>
      </c>
      <c r="B1781" t="s">
        <v>5539</v>
      </c>
      <c r="C1781" t="s">
        <v>4471</v>
      </c>
      <c r="D1781" t="str">
        <f t="shared" si="689"/>
        <v>Finance</v>
      </c>
      <c r="E1781" t="s">
        <v>5308</v>
      </c>
      <c r="F1781" t="s">
        <v>5433</v>
      </c>
      <c r="G1781" t="s">
        <v>5434</v>
      </c>
      <c r="H1781" t="s">
        <v>48</v>
      </c>
      <c r="I1781" s="32">
        <v>44824.199942129628</v>
      </c>
      <c r="J1781" s="32">
        <v>44827.199942129628</v>
      </c>
      <c r="K1781" s="32">
        <v>44831.199942129628</v>
      </c>
      <c r="L1781" s="8">
        <f t="shared" si="690"/>
        <v>7</v>
      </c>
      <c r="M1781" s="7">
        <v>44836.199942129628</v>
      </c>
      <c r="N1781" t="s">
        <v>49</v>
      </c>
      <c r="O1781" s="34">
        <v>44848.199942129628</v>
      </c>
      <c r="P1781" t="s">
        <v>50</v>
      </c>
      <c r="Q1781" t="s">
        <v>125</v>
      </c>
      <c r="R1781" s="32" t="s">
        <v>7472</v>
      </c>
      <c r="S1781" t="s">
        <v>7476</v>
      </c>
      <c r="T1781" s="34" t="s">
        <v>7476</v>
      </c>
      <c r="U1781" s="34" t="s">
        <v>7476</v>
      </c>
      <c r="V1781" s="32" t="s">
        <v>7476</v>
      </c>
      <c r="W1781" s="32" t="s">
        <v>7476</v>
      </c>
      <c r="X1781">
        <v>0</v>
      </c>
      <c r="Y1781" s="34" t="s">
        <v>7476</v>
      </c>
      <c r="Z1781" s="34" t="s">
        <v>7476</v>
      </c>
      <c r="AA1781" s="34" t="s">
        <v>7476</v>
      </c>
      <c r="AB1781" s="36" t="s">
        <v>52</v>
      </c>
      <c r="AD1781" t="s">
        <v>5540</v>
      </c>
      <c r="AE1781" t="s">
        <v>5541</v>
      </c>
      <c r="AF1781" s="16">
        <v>44829</v>
      </c>
      <c r="AG1781" t="s">
        <v>68</v>
      </c>
      <c r="AH1781">
        <v>6</v>
      </c>
      <c r="AI1781" s="8" t="str">
        <f>IFERROR(R1781-AF1781,"")</f>
        <v/>
      </c>
      <c r="AJ1781" s="8">
        <f>IFERROR(O1781-AF1781,"")</f>
        <v>19.199942129627743</v>
      </c>
      <c r="AK1781" s="38" t="str">
        <f t="shared" si="691"/>
        <v/>
      </c>
      <c r="AL1781" t="str">
        <f>IFERROR(Z1781-W1781,"")</f>
        <v/>
      </c>
      <c r="AM1781" t="str">
        <f>IFERROR(R1781-J1781,"")</f>
        <v/>
      </c>
      <c r="AN1781" t="str">
        <f>IFERROR(V1781-O1781,"")</f>
        <v/>
      </c>
      <c r="AO1781">
        <f>IFERROR(J1781-I1781,"")</f>
        <v>3</v>
      </c>
      <c r="AP1781">
        <f>IFERROR(AC1781-X1781,"")</f>
        <v>0</v>
      </c>
      <c r="AQ1781" t="str">
        <f>IFERROR(AA1781-W1781,"")</f>
        <v/>
      </c>
    </row>
    <row r="1782" spans="1:43" x14ac:dyDescent="0.35">
      <c r="A1782">
        <v>864</v>
      </c>
      <c r="B1782" t="s">
        <v>5542</v>
      </c>
      <c r="C1782" t="s">
        <v>4471</v>
      </c>
      <c r="D1782" t="str">
        <f t="shared" si="689"/>
        <v>Finance</v>
      </c>
      <c r="E1782" t="s">
        <v>5308</v>
      </c>
      <c r="F1782" t="s">
        <v>5433</v>
      </c>
      <c r="G1782" t="s">
        <v>5434</v>
      </c>
      <c r="H1782" t="s">
        <v>48</v>
      </c>
      <c r="I1782" s="32">
        <v>45126.103344907409</v>
      </c>
      <c r="J1782" s="32">
        <v>45128.103344907409</v>
      </c>
      <c r="K1782" s="32" t="s">
        <v>7473</v>
      </c>
      <c r="L1782" s="8" t="str">
        <f t="shared" si="690"/>
        <v/>
      </c>
      <c r="M1782" s="7">
        <v>45139.103344907409</v>
      </c>
      <c r="N1782" t="s">
        <v>49</v>
      </c>
      <c r="O1782" s="34">
        <v>45139.103344907409</v>
      </c>
      <c r="P1782" t="s">
        <v>50</v>
      </c>
      <c r="Q1782" t="s">
        <v>84</v>
      </c>
      <c r="R1782" s="32" t="s">
        <v>7472</v>
      </c>
      <c r="S1782" t="s">
        <v>7476</v>
      </c>
      <c r="T1782" s="34" t="s">
        <v>7476</v>
      </c>
      <c r="U1782" s="34" t="s">
        <v>7476</v>
      </c>
      <c r="V1782" s="32" t="s">
        <v>7476</v>
      </c>
      <c r="W1782" s="32" t="s">
        <v>7476</v>
      </c>
      <c r="X1782">
        <v>0</v>
      </c>
      <c r="Y1782" s="34" t="s">
        <v>7476</v>
      </c>
      <c r="Z1782" s="34" t="s">
        <v>7476</v>
      </c>
      <c r="AA1782" s="34" t="s">
        <v>7476</v>
      </c>
      <c r="AB1782" s="36" t="s">
        <v>95</v>
      </c>
      <c r="AD1782" t="s">
        <v>5543</v>
      </c>
      <c r="AE1782" t="s">
        <v>5544</v>
      </c>
      <c r="AF1782" s="16">
        <v>45130</v>
      </c>
      <c r="AG1782" t="s">
        <v>98</v>
      </c>
      <c r="AH1782">
        <v>6</v>
      </c>
      <c r="AK1782" s="38" t="str">
        <f t="shared" si="691"/>
        <v/>
      </c>
    </row>
    <row r="1783" spans="1:43" x14ac:dyDescent="0.35">
      <c r="A1783">
        <v>851</v>
      </c>
      <c r="B1783" t="s">
        <v>5545</v>
      </c>
      <c r="C1783" t="s">
        <v>4502</v>
      </c>
      <c r="D1783" t="str">
        <f t="shared" si="689"/>
        <v>Finance</v>
      </c>
      <c r="E1783" t="s">
        <v>5308</v>
      </c>
      <c r="F1783" t="s">
        <v>5433</v>
      </c>
      <c r="G1783" t="s">
        <v>5434</v>
      </c>
      <c r="H1783" t="s">
        <v>48</v>
      </c>
      <c r="I1783" s="32">
        <v>44961.002604166657</v>
      </c>
      <c r="J1783" s="32">
        <v>44963.002604166657</v>
      </c>
      <c r="K1783" s="32">
        <v>44964.002604166657</v>
      </c>
      <c r="L1783" s="8">
        <f t="shared" si="690"/>
        <v>3</v>
      </c>
      <c r="M1783" s="7">
        <v>44969.002604166657</v>
      </c>
      <c r="N1783" t="s">
        <v>49</v>
      </c>
      <c r="O1783" s="34">
        <v>44969.002604166657</v>
      </c>
      <c r="P1783" t="s">
        <v>60</v>
      </c>
      <c r="R1783" s="32">
        <v>44974.002604166657</v>
      </c>
      <c r="S1783" t="s">
        <v>61</v>
      </c>
      <c r="T1783" s="34" t="s">
        <v>7476</v>
      </c>
      <c r="U1783" s="34" t="s">
        <v>7476</v>
      </c>
      <c r="V1783" s="32">
        <v>44971.002604166657</v>
      </c>
      <c r="W1783" s="32" t="s">
        <v>7476</v>
      </c>
      <c r="X1783">
        <v>0</v>
      </c>
      <c r="Y1783" s="34" t="s">
        <v>7476</v>
      </c>
      <c r="Z1783" s="34" t="s">
        <v>7476</v>
      </c>
      <c r="AA1783" s="34" t="s">
        <v>7476</v>
      </c>
      <c r="AB1783" s="36" t="s">
        <v>7476</v>
      </c>
      <c r="AD1783" t="s">
        <v>5546</v>
      </c>
      <c r="AE1783" t="s">
        <v>5547</v>
      </c>
      <c r="AF1783" s="16">
        <v>44960</v>
      </c>
      <c r="AG1783" t="s">
        <v>68</v>
      </c>
      <c r="AH1783">
        <v>3</v>
      </c>
      <c r="AI1783" s="8">
        <f>IFERROR(R1783-AF1783,"")</f>
        <v>14.002604166656965</v>
      </c>
      <c r="AJ1783" s="8">
        <f>IFERROR(O1783-AF1783,"")</f>
        <v>9.0026041666569654</v>
      </c>
      <c r="AK1783" s="38">
        <f t="shared" si="691"/>
        <v>45061.002604166657</v>
      </c>
      <c r="AL1783" t="str">
        <f>IFERROR(Z1783-W1783,"")</f>
        <v/>
      </c>
      <c r="AM1783">
        <f>IFERROR(R1783-J1783,"")</f>
        <v>11</v>
      </c>
      <c r="AN1783">
        <f>IFERROR(V1783-O1783,"")</f>
        <v>2</v>
      </c>
      <c r="AO1783">
        <f>IFERROR(J1783-I1783,"")</f>
        <v>2</v>
      </c>
      <c r="AP1783">
        <f>IFERROR(AC1783-X1783,"")</f>
        <v>0</v>
      </c>
      <c r="AQ1783" t="str">
        <f>IFERROR(AA1783-W1783,"")</f>
        <v/>
      </c>
    </row>
    <row r="1784" spans="1:43" x14ac:dyDescent="0.35">
      <c r="A1784">
        <v>746</v>
      </c>
      <c r="B1784" t="s">
        <v>5548</v>
      </c>
      <c r="C1784" t="s">
        <v>4502</v>
      </c>
      <c r="D1784" t="str">
        <f t="shared" si="689"/>
        <v>Finance</v>
      </c>
      <c r="E1784" t="s">
        <v>5308</v>
      </c>
      <c r="F1784" t="s">
        <v>5433</v>
      </c>
      <c r="G1784" t="s">
        <v>5434</v>
      </c>
      <c r="H1784" t="s">
        <v>48</v>
      </c>
      <c r="I1784" s="32" t="s">
        <v>7471</v>
      </c>
      <c r="J1784" s="32">
        <v>44869.220567129632</v>
      </c>
      <c r="K1784" s="32">
        <v>44874.220567129632</v>
      </c>
      <c r="L1784" s="8" t="str">
        <f t="shared" si="690"/>
        <v/>
      </c>
      <c r="M1784" s="7">
        <v>44883.220567129632</v>
      </c>
      <c r="N1784" t="s">
        <v>72</v>
      </c>
      <c r="O1784" s="34" t="s">
        <v>7474</v>
      </c>
      <c r="R1784" s="32" t="s">
        <v>7472</v>
      </c>
      <c r="S1784" t="s">
        <v>7476</v>
      </c>
      <c r="T1784" s="34" t="s">
        <v>7476</v>
      </c>
      <c r="U1784" s="34" t="s">
        <v>7476</v>
      </c>
      <c r="V1784" s="32" t="s">
        <v>7476</v>
      </c>
      <c r="W1784" s="32" t="s">
        <v>7476</v>
      </c>
      <c r="X1784">
        <v>0</v>
      </c>
      <c r="Y1784" s="34" t="s">
        <v>7476</v>
      </c>
      <c r="Z1784" s="34" t="s">
        <v>7476</v>
      </c>
      <c r="AA1784" s="34" t="s">
        <v>7476</v>
      </c>
      <c r="AB1784" s="36" t="s">
        <v>7476</v>
      </c>
      <c r="AD1784" t="s">
        <v>5549</v>
      </c>
      <c r="AE1784" t="s">
        <v>5550</v>
      </c>
      <c r="AG1784" t="s">
        <v>98</v>
      </c>
      <c r="AH1784">
        <v>3</v>
      </c>
      <c r="AK1784" s="38" t="str">
        <f t="shared" si="691"/>
        <v/>
      </c>
    </row>
    <row r="1785" spans="1:43" x14ac:dyDescent="0.35">
      <c r="A1785">
        <v>743</v>
      </c>
      <c r="B1785" t="s">
        <v>5551</v>
      </c>
      <c r="C1785" t="s">
        <v>4471</v>
      </c>
      <c r="D1785" t="str">
        <f t="shared" si="689"/>
        <v>Finance</v>
      </c>
      <c r="E1785" t="s">
        <v>5308</v>
      </c>
      <c r="F1785" t="s">
        <v>5433</v>
      </c>
      <c r="G1785" t="s">
        <v>5434</v>
      </c>
      <c r="H1785" t="s">
        <v>48</v>
      </c>
      <c r="I1785" s="32">
        <v>44870.220567129632</v>
      </c>
      <c r="J1785" s="32">
        <v>44871.220567129632</v>
      </c>
      <c r="K1785" s="32">
        <v>44874.220567129632</v>
      </c>
      <c r="L1785" s="8">
        <f t="shared" si="690"/>
        <v>4</v>
      </c>
      <c r="M1785" s="7">
        <v>44890.220567129632</v>
      </c>
      <c r="N1785" t="s">
        <v>72</v>
      </c>
      <c r="O1785" s="34" t="s">
        <v>7474</v>
      </c>
      <c r="R1785" s="32" t="s">
        <v>7472</v>
      </c>
      <c r="S1785" t="s">
        <v>7476</v>
      </c>
      <c r="T1785" s="34" t="s">
        <v>7476</v>
      </c>
      <c r="U1785" s="34" t="s">
        <v>7476</v>
      </c>
      <c r="V1785" s="32" t="s">
        <v>7476</v>
      </c>
      <c r="W1785" s="32" t="s">
        <v>7476</v>
      </c>
      <c r="X1785">
        <v>0</v>
      </c>
      <c r="Y1785" s="34" t="s">
        <v>7476</v>
      </c>
      <c r="Z1785" s="34" t="s">
        <v>7476</v>
      </c>
      <c r="AA1785" s="34" t="s">
        <v>7476</v>
      </c>
      <c r="AB1785" s="36" t="s">
        <v>7476</v>
      </c>
      <c r="AD1785" t="s">
        <v>5552</v>
      </c>
      <c r="AE1785" t="s">
        <v>5553</v>
      </c>
      <c r="AG1785" t="s">
        <v>68</v>
      </c>
      <c r="AH1785">
        <v>6</v>
      </c>
      <c r="AI1785" s="8" t="str">
        <f>IFERROR(R1785-AF1785,"")</f>
        <v/>
      </c>
      <c r="AJ1785" s="8" t="str">
        <f>IFERROR(O1785-AF1785,"")</f>
        <v/>
      </c>
      <c r="AK1785" s="38" t="str">
        <f t="shared" si="691"/>
        <v/>
      </c>
      <c r="AL1785" t="str">
        <f>IFERROR(Z1785-W1785,"")</f>
        <v/>
      </c>
      <c r="AM1785" t="str">
        <f>IFERROR(R1785-J1785,"")</f>
        <v/>
      </c>
      <c r="AN1785" t="str">
        <f>IFERROR(V1785-O1785,"")</f>
        <v/>
      </c>
      <c r="AO1785">
        <f>IFERROR(J1785-I1785,"")</f>
        <v>1</v>
      </c>
      <c r="AP1785">
        <f>IFERROR(AC1785-X1785,"")</f>
        <v>0</v>
      </c>
      <c r="AQ1785" t="str">
        <f>IFERROR(AA1785-W1785,"")</f>
        <v/>
      </c>
    </row>
    <row r="1786" spans="1:43" x14ac:dyDescent="0.35">
      <c r="A1786">
        <v>703</v>
      </c>
      <c r="B1786" t="s">
        <v>5554</v>
      </c>
      <c r="C1786" t="s">
        <v>4480</v>
      </c>
      <c r="D1786" t="str">
        <f t="shared" si="689"/>
        <v>Finance</v>
      </c>
      <c r="E1786" t="s">
        <v>5308</v>
      </c>
      <c r="F1786" t="s">
        <v>5433</v>
      </c>
      <c r="G1786" t="s">
        <v>5434</v>
      </c>
      <c r="H1786" t="s">
        <v>48</v>
      </c>
      <c r="I1786" s="32">
        <v>45115.640983796293</v>
      </c>
      <c r="J1786" s="32" t="s">
        <v>7471</v>
      </c>
      <c r="K1786" s="32" t="s">
        <v>7473</v>
      </c>
      <c r="L1786" s="8" t="str">
        <f t="shared" si="690"/>
        <v/>
      </c>
      <c r="M1786" s="7">
        <v>45143.640983796293</v>
      </c>
      <c r="N1786" t="s">
        <v>49</v>
      </c>
      <c r="O1786" s="34">
        <v>45134.640983796293</v>
      </c>
      <c r="P1786" t="s">
        <v>101</v>
      </c>
      <c r="R1786" s="32">
        <v>45139.640983796293</v>
      </c>
      <c r="S1786" t="s">
        <v>101</v>
      </c>
      <c r="T1786" s="34">
        <v>45135.640983796293</v>
      </c>
      <c r="U1786" s="34">
        <v>45138.640983796293</v>
      </c>
      <c r="V1786" s="32">
        <v>45136.640983796293</v>
      </c>
      <c r="W1786" s="32">
        <v>45144.640983796293</v>
      </c>
      <c r="X1786">
        <v>1</v>
      </c>
      <c r="Y1786" s="34">
        <v>45147.640983796293</v>
      </c>
      <c r="Z1786" s="34">
        <v>45150.640983796293</v>
      </c>
      <c r="AA1786" s="34">
        <v>45151.640983796293</v>
      </c>
      <c r="AB1786" s="36" t="s">
        <v>7476</v>
      </c>
      <c r="AC1786" s="10">
        <v>45160.640983796293</v>
      </c>
      <c r="AD1786" t="s">
        <v>5555</v>
      </c>
      <c r="AE1786" t="s">
        <v>5556</v>
      </c>
      <c r="AF1786" s="16">
        <v>45129</v>
      </c>
      <c r="AG1786" t="s">
        <v>93</v>
      </c>
      <c r="AH1786">
        <v>3</v>
      </c>
      <c r="AK1786" s="38">
        <f t="shared" si="691"/>
        <v>45226.640983796293</v>
      </c>
    </row>
    <row r="1787" spans="1:43" x14ac:dyDescent="0.35">
      <c r="A1787">
        <v>702</v>
      </c>
      <c r="B1787" t="s">
        <v>5557</v>
      </c>
      <c r="C1787" t="s">
        <v>4471</v>
      </c>
      <c r="D1787" t="str">
        <f t="shared" si="689"/>
        <v>Finance</v>
      </c>
      <c r="E1787" t="s">
        <v>5308</v>
      </c>
      <c r="F1787" t="s">
        <v>5433</v>
      </c>
      <c r="G1787" t="s">
        <v>5434</v>
      </c>
      <c r="H1787" t="s">
        <v>48</v>
      </c>
      <c r="I1787" s="32">
        <v>45119.640983796293</v>
      </c>
      <c r="J1787" s="32">
        <v>45120.640983796293</v>
      </c>
      <c r="K1787" s="32">
        <v>45121.640983796293</v>
      </c>
      <c r="L1787" s="8">
        <f t="shared" si="690"/>
        <v>2</v>
      </c>
      <c r="M1787" s="7">
        <v>45129.640983796293</v>
      </c>
      <c r="N1787" t="s">
        <v>49</v>
      </c>
      <c r="O1787" s="34">
        <v>45126.640983796293</v>
      </c>
      <c r="P1787" t="s">
        <v>50</v>
      </c>
      <c r="Q1787" t="s">
        <v>125</v>
      </c>
      <c r="R1787" s="32" t="s">
        <v>7472</v>
      </c>
      <c r="S1787" t="s">
        <v>7476</v>
      </c>
      <c r="T1787" s="34" t="s">
        <v>7476</v>
      </c>
      <c r="U1787" s="34" t="s">
        <v>7476</v>
      </c>
      <c r="V1787" s="32">
        <v>45127.640983796293</v>
      </c>
      <c r="W1787" s="32" t="s">
        <v>7476</v>
      </c>
      <c r="X1787">
        <v>0</v>
      </c>
      <c r="Y1787" s="34" t="s">
        <v>7476</v>
      </c>
      <c r="Z1787" s="34" t="s">
        <v>7476</v>
      </c>
      <c r="AA1787" s="34" t="s">
        <v>7476</v>
      </c>
      <c r="AB1787" s="36" t="s">
        <v>52</v>
      </c>
      <c r="AD1787" t="s">
        <v>5558</v>
      </c>
      <c r="AE1787" t="s">
        <v>5559</v>
      </c>
      <c r="AF1787" s="16">
        <v>45206</v>
      </c>
      <c r="AG1787" t="s">
        <v>64</v>
      </c>
      <c r="AH1787">
        <v>6</v>
      </c>
      <c r="AI1787" s="8" t="str">
        <f>IFERROR(R1787-AF1787,"")</f>
        <v/>
      </c>
      <c r="AJ1787" s="8">
        <f>IFERROR(O1787-AF1787,"")</f>
        <v>-79.359016203707142</v>
      </c>
      <c r="AK1787" s="38">
        <f t="shared" si="691"/>
        <v>45307.640983796293</v>
      </c>
      <c r="AL1787" t="str">
        <f>IFERROR(Z1787-W1787,"")</f>
        <v/>
      </c>
      <c r="AM1787" t="str">
        <f>IFERROR(R1787-J1787,"")</f>
        <v/>
      </c>
      <c r="AN1787">
        <f>IFERROR(V1787-O1787,"")</f>
        <v>1</v>
      </c>
      <c r="AO1787">
        <f>IFERROR(J1787-I1787,"")</f>
        <v>1</v>
      </c>
      <c r="AP1787">
        <f>IFERROR(AC1787-X1787,"")</f>
        <v>0</v>
      </c>
      <c r="AQ1787" t="str">
        <f>IFERROR(AA1787-W1787,"")</f>
        <v/>
      </c>
    </row>
    <row r="1788" spans="1:43" x14ac:dyDescent="0.35">
      <c r="A1788">
        <v>607</v>
      </c>
      <c r="B1788" t="s">
        <v>5560</v>
      </c>
      <c r="C1788" t="s">
        <v>4480</v>
      </c>
      <c r="D1788" t="str">
        <f t="shared" si="689"/>
        <v>Finance</v>
      </c>
      <c r="E1788" t="s">
        <v>5308</v>
      </c>
      <c r="F1788" t="s">
        <v>5433</v>
      </c>
      <c r="G1788" t="s">
        <v>5434</v>
      </c>
      <c r="H1788" t="s">
        <v>48</v>
      </c>
      <c r="I1788" s="32">
        <v>44569.309340277781</v>
      </c>
      <c r="J1788" s="32">
        <v>44571.309340277781</v>
      </c>
      <c r="K1788" s="32">
        <v>44576.309340277781</v>
      </c>
      <c r="L1788" s="8">
        <f t="shared" si="690"/>
        <v>7</v>
      </c>
      <c r="M1788" s="7">
        <v>44595.309340277781</v>
      </c>
      <c r="N1788" t="s">
        <v>49</v>
      </c>
      <c r="O1788" s="34">
        <v>44581.309340277781</v>
      </c>
      <c r="P1788" t="s">
        <v>60</v>
      </c>
      <c r="R1788" s="32">
        <v>44588.309340277781</v>
      </c>
      <c r="S1788" t="s">
        <v>61</v>
      </c>
      <c r="T1788" s="34" t="s">
        <v>7476</v>
      </c>
      <c r="U1788" s="34" t="s">
        <v>7476</v>
      </c>
      <c r="V1788" s="32">
        <v>44584.309340277781</v>
      </c>
      <c r="W1788" s="32" t="s">
        <v>7476</v>
      </c>
      <c r="X1788">
        <v>0</v>
      </c>
      <c r="Y1788" s="34" t="s">
        <v>7476</v>
      </c>
      <c r="Z1788" s="34" t="s">
        <v>7476</v>
      </c>
      <c r="AA1788" s="34" t="s">
        <v>7476</v>
      </c>
      <c r="AB1788" s="36" t="s">
        <v>7476</v>
      </c>
      <c r="AD1788" t="s">
        <v>5561</v>
      </c>
      <c r="AE1788" t="s">
        <v>5562</v>
      </c>
      <c r="AF1788" s="16">
        <v>44566</v>
      </c>
      <c r="AG1788" t="s">
        <v>98</v>
      </c>
      <c r="AH1788">
        <v>6</v>
      </c>
      <c r="AI1788" s="8">
        <f>IFERROR(R1788-AF1788,"")</f>
        <v>22.309340277781303</v>
      </c>
      <c r="AJ1788" s="8">
        <f>IFERROR(O1788-AF1788,"")</f>
        <v>15.309340277781303</v>
      </c>
      <c r="AK1788" s="38">
        <f t="shared" si="691"/>
        <v>44764.309340277781</v>
      </c>
      <c r="AL1788" t="str">
        <f>IFERROR(Z1788-W1788,"")</f>
        <v/>
      </c>
      <c r="AM1788">
        <f>IFERROR(R1788-J1788,"")</f>
        <v>17</v>
      </c>
      <c r="AN1788">
        <f>IFERROR(V1788-O1788,"")</f>
        <v>3</v>
      </c>
      <c r="AO1788">
        <f>IFERROR(J1788-I1788,"")</f>
        <v>2</v>
      </c>
      <c r="AP1788">
        <f>IFERROR(AC1788-X1788,"")</f>
        <v>0</v>
      </c>
      <c r="AQ1788" t="str">
        <f>IFERROR(AA1788-W1788,"")</f>
        <v/>
      </c>
    </row>
    <row r="1789" spans="1:43" x14ac:dyDescent="0.35">
      <c r="A1789">
        <v>601</v>
      </c>
      <c r="B1789" t="s">
        <v>5563</v>
      </c>
      <c r="C1789" t="s">
        <v>4480</v>
      </c>
      <c r="D1789" t="str">
        <f t="shared" si="689"/>
        <v>Finance</v>
      </c>
      <c r="E1789" t="s">
        <v>5308</v>
      </c>
      <c r="F1789" t="s">
        <v>5433</v>
      </c>
      <c r="G1789" t="s">
        <v>5434</v>
      </c>
      <c r="H1789" t="s">
        <v>48</v>
      </c>
      <c r="I1789" s="32">
        <v>44569.309340277781</v>
      </c>
      <c r="J1789" s="32">
        <v>44572.309340277781</v>
      </c>
      <c r="K1789" s="32">
        <v>44576.309340277781</v>
      </c>
      <c r="L1789" s="8">
        <f t="shared" si="690"/>
        <v>7</v>
      </c>
      <c r="M1789" s="7">
        <v>44590.309340277781</v>
      </c>
      <c r="N1789" t="s">
        <v>72</v>
      </c>
      <c r="O1789" s="34" t="s">
        <v>7474</v>
      </c>
      <c r="R1789" s="32" t="s">
        <v>7472</v>
      </c>
      <c r="S1789" t="s">
        <v>7476</v>
      </c>
      <c r="T1789" s="34" t="s">
        <v>7476</v>
      </c>
      <c r="U1789" s="34" t="s">
        <v>7476</v>
      </c>
      <c r="V1789" s="32" t="s">
        <v>7476</v>
      </c>
      <c r="W1789" s="32" t="s">
        <v>7476</v>
      </c>
      <c r="X1789">
        <v>0</v>
      </c>
      <c r="Y1789" s="34" t="s">
        <v>7476</v>
      </c>
      <c r="Z1789" s="34" t="s">
        <v>7476</v>
      </c>
      <c r="AA1789" s="34" t="s">
        <v>7476</v>
      </c>
      <c r="AB1789" s="36" t="s">
        <v>7476</v>
      </c>
      <c r="AD1789" t="s">
        <v>5564</v>
      </c>
      <c r="AE1789" t="s">
        <v>5565</v>
      </c>
      <c r="AG1789" t="s">
        <v>98</v>
      </c>
      <c r="AH1789">
        <v>6</v>
      </c>
      <c r="AI1789" s="8" t="str">
        <f>IFERROR(R1789-AF1789,"")</f>
        <v/>
      </c>
      <c r="AJ1789" s="8" t="str">
        <f>IFERROR(O1789-AF1789,"")</f>
        <v/>
      </c>
      <c r="AK1789" s="38" t="str">
        <f t="shared" si="691"/>
        <v/>
      </c>
      <c r="AL1789" t="str">
        <f>IFERROR(Z1789-W1789,"")</f>
        <v/>
      </c>
      <c r="AM1789" t="str">
        <f>IFERROR(R1789-J1789,"")</f>
        <v/>
      </c>
      <c r="AN1789" t="str">
        <f>IFERROR(V1789-O1789,"")</f>
        <v/>
      </c>
      <c r="AO1789">
        <f>IFERROR(J1789-I1789,"")</f>
        <v>3</v>
      </c>
      <c r="AP1789">
        <f>IFERROR(AC1789-X1789,"")</f>
        <v>0</v>
      </c>
      <c r="AQ1789" t="str">
        <f>IFERROR(AA1789-W1789,"")</f>
        <v/>
      </c>
    </row>
    <row r="1790" spans="1:43" x14ac:dyDescent="0.35">
      <c r="A1790">
        <v>599</v>
      </c>
      <c r="B1790" t="s">
        <v>5566</v>
      </c>
      <c r="C1790" t="s">
        <v>4471</v>
      </c>
      <c r="D1790" t="str">
        <f t="shared" si="689"/>
        <v>Finance</v>
      </c>
      <c r="E1790" t="s">
        <v>5308</v>
      </c>
      <c r="F1790" t="s">
        <v>5433</v>
      </c>
      <c r="G1790" t="s">
        <v>5434</v>
      </c>
      <c r="H1790" t="s">
        <v>48</v>
      </c>
      <c r="I1790" s="32">
        <v>44881.821550925917</v>
      </c>
      <c r="J1790" s="32">
        <v>44883.821550925917</v>
      </c>
      <c r="K1790" s="32">
        <v>44886.821550925917</v>
      </c>
      <c r="L1790" s="8">
        <f t="shared" si="690"/>
        <v>5</v>
      </c>
      <c r="M1790" s="7">
        <v>44891.821550925917</v>
      </c>
      <c r="N1790" t="s">
        <v>49</v>
      </c>
      <c r="O1790" s="34">
        <v>44899.821550925917</v>
      </c>
      <c r="P1790" t="s">
        <v>50</v>
      </c>
      <c r="Q1790" t="s">
        <v>51</v>
      </c>
      <c r="R1790" s="32" t="s">
        <v>7472</v>
      </c>
      <c r="S1790" t="s">
        <v>7476</v>
      </c>
      <c r="T1790" s="34" t="s">
        <v>7476</v>
      </c>
      <c r="U1790" s="34" t="s">
        <v>7476</v>
      </c>
      <c r="V1790" s="32" t="s">
        <v>7476</v>
      </c>
      <c r="W1790" s="32" t="s">
        <v>7476</v>
      </c>
      <c r="X1790">
        <v>0</v>
      </c>
      <c r="Y1790" s="34" t="s">
        <v>7476</v>
      </c>
      <c r="Z1790" s="34" t="s">
        <v>7476</v>
      </c>
      <c r="AA1790" s="34" t="s">
        <v>7476</v>
      </c>
      <c r="AB1790" s="36" t="s">
        <v>95</v>
      </c>
      <c r="AD1790" t="s">
        <v>5567</v>
      </c>
      <c r="AE1790" t="s">
        <v>5568</v>
      </c>
      <c r="AF1790" s="16">
        <v>44890</v>
      </c>
      <c r="AG1790" t="s">
        <v>64</v>
      </c>
      <c r="AH1790">
        <v>6</v>
      </c>
      <c r="AI1790" s="8" t="str">
        <f>IFERROR(R1790-AF1790,"")</f>
        <v/>
      </c>
      <c r="AJ1790" s="8">
        <f>IFERROR(O1790-AF1790,"")</f>
        <v>9.8215509259171085</v>
      </c>
      <c r="AK1790" s="38" t="str">
        <f t="shared" si="691"/>
        <v/>
      </c>
      <c r="AL1790" t="str">
        <f>IFERROR(Z1790-W1790,"")</f>
        <v/>
      </c>
      <c r="AM1790" t="str">
        <f>IFERROR(R1790-J1790,"")</f>
        <v/>
      </c>
      <c r="AN1790" t="str">
        <f>IFERROR(V1790-O1790,"")</f>
        <v/>
      </c>
      <c r="AO1790">
        <f>IFERROR(J1790-I1790,"")</f>
        <v>2</v>
      </c>
      <c r="AP1790">
        <f>IFERROR(AC1790-X1790,"")</f>
        <v>0</v>
      </c>
      <c r="AQ1790" t="str">
        <f>IFERROR(AA1790-W1790,"")</f>
        <v/>
      </c>
    </row>
    <row r="1791" spans="1:43" x14ac:dyDescent="0.35">
      <c r="A1791">
        <v>460</v>
      </c>
      <c r="B1791" t="s">
        <v>5569</v>
      </c>
      <c r="C1791" t="s">
        <v>4502</v>
      </c>
      <c r="D1791" t="str">
        <f t="shared" si="689"/>
        <v>Finance</v>
      </c>
      <c r="E1791" t="s">
        <v>5308</v>
      </c>
      <c r="F1791" t="s">
        <v>5433</v>
      </c>
      <c r="G1791" t="s">
        <v>5434</v>
      </c>
      <c r="H1791" t="s">
        <v>48</v>
      </c>
      <c r="I1791" s="32">
        <v>44970.571030092593</v>
      </c>
      <c r="J1791" s="32">
        <v>44973.571030092593</v>
      </c>
      <c r="K1791" s="32">
        <v>44979.571030092593</v>
      </c>
      <c r="L1791" s="8">
        <f t="shared" si="690"/>
        <v>9</v>
      </c>
      <c r="M1791" s="7">
        <v>45004.571030092593</v>
      </c>
      <c r="N1791" t="s">
        <v>49</v>
      </c>
      <c r="O1791" s="34">
        <v>44984.571030092593</v>
      </c>
      <c r="P1791" t="s">
        <v>60</v>
      </c>
      <c r="R1791" s="32">
        <v>44989.571030092593</v>
      </c>
      <c r="S1791" t="s">
        <v>61</v>
      </c>
      <c r="T1791" s="34" t="s">
        <v>7476</v>
      </c>
      <c r="U1791" s="34" t="s">
        <v>7476</v>
      </c>
      <c r="V1791" s="32">
        <v>44986.571030092593</v>
      </c>
      <c r="W1791" s="32" t="s">
        <v>7476</v>
      </c>
      <c r="X1791">
        <v>0</v>
      </c>
      <c r="Y1791" s="34" t="s">
        <v>7476</v>
      </c>
      <c r="Z1791" s="34" t="s">
        <v>7476</v>
      </c>
      <c r="AA1791" s="34" t="s">
        <v>7476</v>
      </c>
      <c r="AB1791" s="36" t="s">
        <v>7476</v>
      </c>
      <c r="AD1791" t="s">
        <v>5570</v>
      </c>
      <c r="AE1791" t="s">
        <v>5571</v>
      </c>
      <c r="AF1791" s="16">
        <v>44966</v>
      </c>
      <c r="AG1791" t="s">
        <v>64</v>
      </c>
      <c r="AH1791">
        <v>3</v>
      </c>
      <c r="AI1791" s="8">
        <f>IFERROR(R1791-AF1791,"")</f>
        <v>23.571030092592991</v>
      </c>
      <c r="AJ1791" s="8">
        <f>IFERROR(O1791-AF1791,"")</f>
        <v>18.571030092592991</v>
      </c>
      <c r="AK1791" s="38">
        <f t="shared" si="691"/>
        <v>45076.571030092593</v>
      </c>
      <c r="AL1791" t="str">
        <f>IFERROR(Z1791-W1791,"")</f>
        <v/>
      </c>
      <c r="AM1791">
        <f>IFERROR(R1791-J1791,"")</f>
        <v>16</v>
      </c>
      <c r="AN1791">
        <f>IFERROR(V1791-O1791,"")</f>
        <v>2</v>
      </c>
      <c r="AO1791">
        <f>IFERROR(J1791-I1791,"")</f>
        <v>3</v>
      </c>
      <c r="AP1791">
        <f>IFERROR(AC1791-X1791,"")</f>
        <v>0</v>
      </c>
      <c r="AQ1791" t="str">
        <f>IFERROR(AA1791-W1791,"")</f>
        <v/>
      </c>
    </row>
    <row r="1792" spans="1:43" x14ac:dyDescent="0.35">
      <c r="A1792">
        <v>454</v>
      </c>
      <c r="B1792" t="s">
        <v>5572</v>
      </c>
      <c r="C1792" t="s">
        <v>4471</v>
      </c>
      <c r="D1792" t="str">
        <f t="shared" si="689"/>
        <v>Finance</v>
      </c>
      <c r="E1792" t="s">
        <v>5308</v>
      </c>
      <c r="F1792" t="s">
        <v>5433</v>
      </c>
      <c r="G1792" t="s">
        <v>5434</v>
      </c>
      <c r="H1792" t="s">
        <v>48</v>
      </c>
      <c r="I1792" s="32">
        <v>44971.571030092593</v>
      </c>
      <c r="J1792" s="32">
        <v>44974.571030092593</v>
      </c>
      <c r="K1792" s="32" t="s">
        <v>7473</v>
      </c>
      <c r="L1792" s="8" t="str">
        <f t="shared" si="690"/>
        <v/>
      </c>
      <c r="M1792" s="7">
        <v>45002.571030092593</v>
      </c>
      <c r="N1792" t="s">
        <v>49</v>
      </c>
      <c r="O1792" s="34">
        <v>44994.571030092593</v>
      </c>
      <c r="P1792" t="s">
        <v>50</v>
      </c>
      <c r="Q1792" t="s">
        <v>84</v>
      </c>
      <c r="R1792" s="32" t="s">
        <v>7472</v>
      </c>
      <c r="S1792" t="s">
        <v>7476</v>
      </c>
      <c r="T1792" s="34" t="s">
        <v>7476</v>
      </c>
      <c r="U1792" s="34" t="s">
        <v>7476</v>
      </c>
      <c r="V1792" s="32" t="s">
        <v>7476</v>
      </c>
      <c r="W1792" s="32" t="s">
        <v>7476</v>
      </c>
      <c r="X1792">
        <v>0</v>
      </c>
      <c r="Y1792" s="34" t="s">
        <v>7476</v>
      </c>
      <c r="Z1792" s="34" t="s">
        <v>7476</v>
      </c>
      <c r="AA1792" s="34" t="s">
        <v>7476</v>
      </c>
      <c r="AB1792" s="36" t="s">
        <v>52</v>
      </c>
      <c r="AD1792" t="s">
        <v>5573</v>
      </c>
      <c r="AE1792" t="s">
        <v>5574</v>
      </c>
      <c r="AF1792" s="16">
        <v>44975</v>
      </c>
      <c r="AG1792" t="s">
        <v>98</v>
      </c>
      <c r="AH1792">
        <v>3</v>
      </c>
      <c r="AK1792" s="38" t="str">
        <f t="shared" si="691"/>
        <v/>
      </c>
    </row>
    <row r="1793" spans="1:43" x14ac:dyDescent="0.35">
      <c r="A1793">
        <v>453</v>
      </c>
      <c r="B1793" t="s">
        <v>5575</v>
      </c>
      <c r="C1793" t="s">
        <v>4480</v>
      </c>
      <c r="D1793" t="str">
        <f t="shared" si="689"/>
        <v>Finance</v>
      </c>
      <c r="E1793" t="s">
        <v>5308</v>
      </c>
      <c r="F1793" t="s">
        <v>5433</v>
      </c>
      <c r="G1793" t="s">
        <v>5434</v>
      </c>
      <c r="H1793" t="s">
        <v>48</v>
      </c>
      <c r="I1793" s="32">
        <v>44969.571030092593</v>
      </c>
      <c r="J1793" s="32">
        <v>44973.571030092593</v>
      </c>
      <c r="K1793" s="32">
        <v>44979.571030092593</v>
      </c>
      <c r="L1793" s="8">
        <f t="shared" si="690"/>
        <v>10</v>
      </c>
      <c r="M1793" s="7">
        <v>45005.571030092593</v>
      </c>
      <c r="N1793" t="s">
        <v>49</v>
      </c>
      <c r="O1793" s="34">
        <v>44983.571030092593</v>
      </c>
      <c r="P1793" t="s">
        <v>50</v>
      </c>
      <c r="Q1793" t="s">
        <v>51</v>
      </c>
      <c r="R1793" s="32" t="s">
        <v>7472</v>
      </c>
      <c r="S1793" t="s">
        <v>7476</v>
      </c>
      <c r="T1793" s="34" t="s">
        <v>7476</v>
      </c>
      <c r="U1793" s="34" t="s">
        <v>7476</v>
      </c>
      <c r="V1793" s="32" t="s">
        <v>7476</v>
      </c>
      <c r="W1793" s="32" t="s">
        <v>7476</v>
      </c>
      <c r="X1793">
        <v>0</v>
      </c>
      <c r="Y1793" s="34" t="s">
        <v>7476</v>
      </c>
      <c r="Z1793" s="34" t="s">
        <v>7476</v>
      </c>
      <c r="AA1793" s="34" t="s">
        <v>7476</v>
      </c>
      <c r="AB1793" s="36" t="s">
        <v>52</v>
      </c>
      <c r="AD1793" t="s">
        <v>5576</v>
      </c>
      <c r="AE1793" t="s">
        <v>5577</v>
      </c>
      <c r="AF1793" s="16">
        <v>44972</v>
      </c>
      <c r="AG1793" t="s">
        <v>68</v>
      </c>
      <c r="AH1793">
        <v>6</v>
      </c>
      <c r="AI1793" s="8" t="str">
        <f t="shared" ref="AI1793:AI1802" si="708">IFERROR(R1793-AF1793,"")</f>
        <v/>
      </c>
      <c r="AJ1793" s="8">
        <f t="shared" ref="AJ1793:AJ1802" si="709">IFERROR(O1793-AF1793,"")</f>
        <v>11.571030092592991</v>
      </c>
      <c r="AK1793" s="38" t="str">
        <f t="shared" si="691"/>
        <v/>
      </c>
      <c r="AL1793" t="str">
        <f t="shared" ref="AL1793:AL1802" si="710">IFERROR(Z1793-W1793,"")</f>
        <v/>
      </c>
      <c r="AM1793" t="str">
        <f t="shared" ref="AM1793:AM1802" si="711">IFERROR(R1793-J1793,"")</f>
        <v/>
      </c>
      <c r="AN1793" t="str">
        <f t="shared" ref="AN1793:AN1802" si="712">IFERROR(V1793-O1793,"")</f>
        <v/>
      </c>
      <c r="AO1793">
        <f t="shared" ref="AO1793:AO1802" si="713">IFERROR(J1793-I1793,"")</f>
        <v>4</v>
      </c>
      <c r="AP1793">
        <f t="shared" ref="AP1793:AP1802" si="714">IFERROR(AC1793-X1793,"")</f>
        <v>0</v>
      </c>
      <c r="AQ1793" t="str">
        <f t="shared" ref="AQ1793:AQ1802" si="715">IFERROR(AA1793-W1793,"")</f>
        <v/>
      </c>
    </row>
    <row r="1794" spans="1:43" x14ac:dyDescent="0.35">
      <c r="A1794">
        <v>394</v>
      </c>
      <c r="B1794" t="s">
        <v>5578</v>
      </c>
      <c r="C1794" t="s">
        <v>4502</v>
      </c>
      <c r="D1794" t="str">
        <f t="shared" ref="D1794:D1857" si="716">TRIM(C1794)</f>
        <v>Finance</v>
      </c>
      <c r="E1794" t="s">
        <v>5308</v>
      </c>
      <c r="F1794" t="s">
        <v>5433</v>
      </c>
      <c r="G1794" t="s">
        <v>5434</v>
      </c>
      <c r="H1794" t="s">
        <v>48</v>
      </c>
      <c r="I1794" s="32">
        <v>44973.686574074083</v>
      </c>
      <c r="J1794" s="32">
        <v>44976.686574074083</v>
      </c>
      <c r="K1794" s="32">
        <v>44977.686574074083</v>
      </c>
      <c r="L1794" s="8">
        <f t="shared" ref="L1794:L1857" si="717">IFERROR(K1794-I1794,"")</f>
        <v>4</v>
      </c>
      <c r="M1794" s="7">
        <v>44987.686574074083</v>
      </c>
      <c r="N1794" t="s">
        <v>49</v>
      </c>
      <c r="O1794" s="34">
        <v>44984.686574074083</v>
      </c>
      <c r="P1794" t="s">
        <v>60</v>
      </c>
      <c r="R1794" s="32">
        <v>44986.686574074083</v>
      </c>
      <c r="S1794" t="s">
        <v>61</v>
      </c>
      <c r="T1794" s="34" t="s">
        <v>7476</v>
      </c>
      <c r="U1794" s="34" t="s">
        <v>7476</v>
      </c>
      <c r="V1794" s="32">
        <v>44985.686574074083</v>
      </c>
      <c r="W1794" s="32" t="s">
        <v>7476</v>
      </c>
      <c r="X1794">
        <v>0</v>
      </c>
      <c r="Y1794" s="34" t="s">
        <v>7476</v>
      </c>
      <c r="Z1794" s="34" t="s">
        <v>7476</v>
      </c>
      <c r="AA1794" s="34" t="s">
        <v>7476</v>
      </c>
      <c r="AB1794" s="36" t="s">
        <v>7476</v>
      </c>
      <c r="AD1794" t="s">
        <v>5579</v>
      </c>
      <c r="AE1794" t="s">
        <v>5580</v>
      </c>
      <c r="AF1794" s="16">
        <v>44968</v>
      </c>
      <c r="AG1794" t="s">
        <v>68</v>
      </c>
      <c r="AH1794">
        <v>3</v>
      </c>
      <c r="AI1794" s="8">
        <f t="shared" si="708"/>
        <v>18.686574074083182</v>
      </c>
      <c r="AJ1794" s="8">
        <f t="shared" si="709"/>
        <v>16.686574074083182</v>
      </c>
      <c r="AK1794" s="38">
        <f t="shared" si="691"/>
        <v>45075.686574074083</v>
      </c>
      <c r="AL1794" t="str">
        <f t="shared" si="710"/>
        <v/>
      </c>
      <c r="AM1794">
        <f t="shared" si="711"/>
        <v>10</v>
      </c>
      <c r="AN1794">
        <f t="shared" si="712"/>
        <v>1</v>
      </c>
      <c r="AO1794">
        <f t="shared" si="713"/>
        <v>3</v>
      </c>
      <c r="AP1794">
        <f t="shared" si="714"/>
        <v>0</v>
      </c>
      <c r="AQ1794" t="str">
        <f t="shared" si="715"/>
        <v/>
      </c>
    </row>
    <row r="1795" spans="1:43" x14ac:dyDescent="0.35">
      <c r="A1795">
        <v>350</v>
      </c>
      <c r="B1795" t="s">
        <v>5581</v>
      </c>
      <c r="C1795" t="s">
        <v>4471</v>
      </c>
      <c r="D1795" t="str">
        <f t="shared" si="716"/>
        <v>Finance</v>
      </c>
      <c r="E1795" t="s">
        <v>5308</v>
      </c>
      <c r="F1795" t="s">
        <v>5433</v>
      </c>
      <c r="G1795" t="s">
        <v>5434</v>
      </c>
      <c r="H1795" t="s">
        <v>48</v>
      </c>
      <c r="I1795" s="32">
        <v>44683.644375000003</v>
      </c>
      <c r="J1795" s="32">
        <v>44684.644375000003</v>
      </c>
      <c r="K1795" s="32">
        <v>44690.644375000003</v>
      </c>
      <c r="L1795" s="8">
        <f t="shared" si="717"/>
        <v>7</v>
      </c>
      <c r="M1795" s="7">
        <v>44716.644375000003</v>
      </c>
      <c r="N1795" t="s">
        <v>72</v>
      </c>
      <c r="O1795" s="34" t="s">
        <v>7474</v>
      </c>
      <c r="R1795" s="32" t="s">
        <v>7472</v>
      </c>
      <c r="S1795" t="s">
        <v>7476</v>
      </c>
      <c r="T1795" s="34" t="s">
        <v>7476</v>
      </c>
      <c r="U1795" s="34" t="s">
        <v>7476</v>
      </c>
      <c r="V1795" s="32" t="s">
        <v>7476</v>
      </c>
      <c r="W1795" s="32" t="s">
        <v>7476</v>
      </c>
      <c r="X1795">
        <v>0</v>
      </c>
      <c r="Y1795" s="34" t="s">
        <v>7476</v>
      </c>
      <c r="Z1795" s="34" t="s">
        <v>7476</v>
      </c>
      <c r="AA1795" s="34" t="s">
        <v>7476</v>
      </c>
      <c r="AB1795" s="36" t="s">
        <v>7476</v>
      </c>
      <c r="AD1795" t="s">
        <v>5582</v>
      </c>
      <c r="AE1795" t="s">
        <v>5583</v>
      </c>
      <c r="AG1795" t="s">
        <v>68</v>
      </c>
      <c r="AH1795">
        <v>6</v>
      </c>
      <c r="AI1795" s="8" t="str">
        <f t="shared" si="708"/>
        <v/>
      </c>
      <c r="AJ1795" s="8" t="str">
        <f t="shared" si="709"/>
        <v/>
      </c>
      <c r="AK1795" s="38" t="str">
        <f t="shared" ref="AK1795:AK1858" si="718">IFERROR(V1795+(AH1795*30),"")</f>
        <v/>
      </c>
      <c r="AL1795" t="str">
        <f t="shared" si="710"/>
        <v/>
      </c>
      <c r="AM1795" t="str">
        <f t="shared" si="711"/>
        <v/>
      </c>
      <c r="AN1795" t="str">
        <f t="shared" si="712"/>
        <v/>
      </c>
      <c r="AO1795">
        <f t="shared" si="713"/>
        <v>1</v>
      </c>
      <c r="AP1795">
        <f t="shared" si="714"/>
        <v>0</v>
      </c>
      <c r="AQ1795" t="str">
        <f t="shared" si="715"/>
        <v/>
      </c>
    </row>
    <row r="1796" spans="1:43" x14ac:dyDescent="0.35">
      <c r="A1796">
        <v>290</v>
      </c>
      <c r="B1796" t="s">
        <v>5584</v>
      </c>
      <c r="C1796" t="s">
        <v>4480</v>
      </c>
      <c r="D1796" t="str">
        <f t="shared" si="716"/>
        <v>Finance</v>
      </c>
      <c r="E1796" t="s">
        <v>5308</v>
      </c>
      <c r="F1796" t="s">
        <v>5433</v>
      </c>
      <c r="G1796" t="s">
        <v>5434</v>
      </c>
      <c r="H1796" t="s">
        <v>48</v>
      </c>
      <c r="I1796" s="32">
        <v>44700.67763888889</v>
      </c>
      <c r="J1796" s="32">
        <v>44704.67763888889</v>
      </c>
      <c r="K1796" s="32">
        <v>44706.67763888889</v>
      </c>
      <c r="L1796" s="8">
        <f t="shared" si="717"/>
        <v>6</v>
      </c>
      <c r="M1796" s="7">
        <v>44721.67763888889</v>
      </c>
      <c r="N1796" t="s">
        <v>49</v>
      </c>
      <c r="O1796" s="34">
        <v>44715.67763888889</v>
      </c>
      <c r="P1796" t="s">
        <v>60</v>
      </c>
      <c r="R1796" s="32">
        <v>44722.67763888889</v>
      </c>
      <c r="S1796" t="s">
        <v>61</v>
      </c>
      <c r="T1796" s="34" t="s">
        <v>7476</v>
      </c>
      <c r="U1796" s="34" t="s">
        <v>7476</v>
      </c>
      <c r="V1796" s="32">
        <v>44718.67763888889</v>
      </c>
      <c r="W1796" s="32" t="s">
        <v>7476</v>
      </c>
      <c r="X1796">
        <v>0</v>
      </c>
      <c r="Y1796" s="34" t="s">
        <v>7476</v>
      </c>
      <c r="Z1796" s="34" t="s">
        <v>7476</v>
      </c>
      <c r="AA1796" s="34" t="s">
        <v>7476</v>
      </c>
      <c r="AB1796" s="36" t="s">
        <v>7476</v>
      </c>
      <c r="AD1796" t="s">
        <v>5585</v>
      </c>
      <c r="AE1796" t="s">
        <v>5586</v>
      </c>
      <c r="AF1796" s="16">
        <v>44697</v>
      </c>
      <c r="AG1796" t="s">
        <v>68</v>
      </c>
      <c r="AH1796">
        <v>6</v>
      </c>
      <c r="AI1796" s="8">
        <f t="shared" si="708"/>
        <v>25.677638888890215</v>
      </c>
      <c r="AJ1796" s="8">
        <f t="shared" si="709"/>
        <v>18.677638888890215</v>
      </c>
      <c r="AK1796" s="38">
        <f t="shared" si="718"/>
        <v>44898.67763888889</v>
      </c>
      <c r="AL1796" t="str">
        <f t="shared" si="710"/>
        <v/>
      </c>
      <c r="AM1796">
        <f t="shared" si="711"/>
        <v>18</v>
      </c>
      <c r="AN1796">
        <f t="shared" si="712"/>
        <v>3</v>
      </c>
      <c r="AO1796">
        <f t="shared" si="713"/>
        <v>4</v>
      </c>
      <c r="AP1796">
        <f t="shared" si="714"/>
        <v>0</v>
      </c>
      <c r="AQ1796" t="str">
        <f t="shared" si="715"/>
        <v/>
      </c>
    </row>
    <row r="1797" spans="1:43" x14ac:dyDescent="0.35">
      <c r="A1797">
        <v>288</v>
      </c>
      <c r="B1797" t="s">
        <v>5587</v>
      </c>
      <c r="C1797" t="s">
        <v>4502</v>
      </c>
      <c r="D1797" t="str">
        <f t="shared" si="716"/>
        <v>Finance</v>
      </c>
      <c r="E1797" t="s">
        <v>5308</v>
      </c>
      <c r="F1797" t="s">
        <v>5433</v>
      </c>
      <c r="G1797" t="s">
        <v>5434</v>
      </c>
      <c r="H1797" t="s">
        <v>48</v>
      </c>
      <c r="I1797" s="32">
        <v>44700.67763888889</v>
      </c>
      <c r="J1797" s="32">
        <v>44701.67763888889</v>
      </c>
      <c r="K1797" s="32">
        <v>44706.67763888889</v>
      </c>
      <c r="L1797" s="8">
        <f t="shared" si="717"/>
        <v>6</v>
      </c>
      <c r="M1797" s="7">
        <v>44719.67763888889</v>
      </c>
      <c r="N1797" t="s">
        <v>49</v>
      </c>
      <c r="O1797" s="34">
        <v>44709.67763888889</v>
      </c>
      <c r="P1797" t="s">
        <v>60</v>
      </c>
      <c r="R1797" s="32">
        <v>44712.67763888889</v>
      </c>
      <c r="S1797" t="s">
        <v>61</v>
      </c>
      <c r="T1797" s="34" t="s">
        <v>7476</v>
      </c>
      <c r="U1797" s="34" t="s">
        <v>7476</v>
      </c>
      <c r="V1797" s="32">
        <v>44710.67763888889</v>
      </c>
      <c r="W1797" s="32" t="s">
        <v>7476</v>
      </c>
      <c r="X1797">
        <v>0</v>
      </c>
      <c r="Y1797" s="34" t="s">
        <v>7476</v>
      </c>
      <c r="Z1797" s="34" t="s">
        <v>7476</v>
      </c>
      <c r="AA1797" s="34" t="s">
        <v>7476</v>
      </c>
      <c r="AB1797" s="36" t="s">
        <v>7476</v>
      </c>
      <c r="AD1797" t="s">
        <v>5588</v>
      </c>
      <c r="AE1797" t="s">
        <v>5589</v>
      </c>
      <c r="AF1797" s="16">
        <v>44690</v>
      </c>
      <c r="AG1797" t="s">
        <v>68</v>
      </c>
      <c r="AH1797">
        <v>3</v>
      </c>
      <c r="AI1797" s="8">
        <f t="shared" si="708"/>
        <v>22.677638888890215</v>
      </c>
      <c r="AJ1797" s="8">
        <f t="shared" si="709"/>
        <v>19.677638888890215</v>
      </c>
      <c r="AK1797" s="38">
        <f t="shared" si="718"/>
        <v>44800.67763888889</v>
      </c>
      <c r="AL1797" t="str">
        <f t="shared" si="710"/>
        <v/>
      </c>
      <c r="AM1797">
        <f t="shared" si="711"/>
        <v>11</v>
      </c>
      <c r="AN1797">
        <f t="shared" si="712"/>
        <v>1</v>
      </c>
      <c r="AO1797">
        <f t="shared" si="713"/>
        <v>1</v>
      </c>
      <c r="AP1797">
        <f t="shared" si="714"/>
        <v>0</v>
      </c>
      <c r="AQ1797" t="str">
        <f t="shared" si="715"/>
        <v/>
      </c>
    </row>
    <row r="1798" spans="1:43" x14ac:dyDescent="0.35">
      <c r="A1798">
        <v>208</v>
      </c>
      <c r="B1798" t="s">
        <v>5590</v>
      </c>
      <c r="C1798" t="s">
        <v>4480</v>
      </c>
      <c r="D1798" t="str">
        <f t="shared" si="716"/>
        <v>Finance</v>
      </c>
      <c r="E1798" t="s">
        <v>5308</v>
      </c>
      <c r="F1798" t="s">
        <v>5433</v>
      </c>
      <c r="G1798" t="s">
        <v>5434</v>
      </c>
      <c r="H1798" t="s">
        <v>48</v>
      </c>
      <c r="I1798" s="32">
        <v>44751.342893518522</v>
      </c>
      <c r="J1798" s="32">
        <v>44752.342893518522</v>
      </c>
      <c r="K1798" s="32">
        <v>44754.342893518522</v>
      </c>
      <c r="L1798" s="8">
        <f t="shared" si="717"/>
        <v>3</v>
      </c>
      <c r="M1798" s="7">
        <v>44783.342893518522</v>
      </c>
      <c r="N1798" t="s">
        <v>72</v>
      </c>
      <c r="O1798" s="34" t="s">
        <v>7474</v>
      </c>
      <c r="R1798" s="32" t="s">
        <v>7472</v>
      </c>
      <c r="S1798" t="s">
        <v>7476</v>
      </c>
      <c r="T1798" s="34" t="s">
        <v>7476</v>
      </c>
      <c r="U1798" s="34" t="s">
        <v>7476</v>
      </c>
      <c r="V1798" s="32" t="s">
        <v>7476</v>
      </c>
      <c r="W1798" s="32" t="s">
        <v>7476</v>
      </c>
      <c r="X1798">
        <v>0</v>
      </c>
      <c r="Y1798" s="34" t="s">
        <v>7476</v>
      </c>
      <c r="Z1798" s="34" t="s">
        <v>7476</v>
      </c>
      <c r="AA1798" s="34" t="s">
        <v>7476</v>
      </c>
      <c r="AB1798" s="36" t="s">
        <v>7476</v>
      </c>
      <c r="AD1798" t="s">
        <v>5591</v>
      </c>
      <c r="AE1798" t="s">
        <v>5592</v>
      </c>
      <c r="AG1798" t="s">
        <v>68</v>
      </c>
      <c r="AH1798">
        <v>3</v>
      </c>
      <c r="AI1798" s="8" t="str">
        <f t="shared" si="708"/>
        <v/>
      </c>
      <c r="AJ1798" s="8" t="str">
        <f t="shared" si="709"/>
        <v/>
      </c>
      <c r="AK1798" s="38" t="str">
        <f t="shared" si="718"/>
        <v/>
      </c>
      <c r="AL1798" t="str">
        <f t="shared" si="710"/>
        <v/>
      </c>
      <c r="AM1798" t="str">
        <f t="shared" si="711"/>
        <v/>
      </c>
      <c r="AN1798" t="str">
        <f t="shared" si="712"/>
        <v/>
      </c>
      <c r="AO1798">
        <f t="shared" si="713"/>
        <v>1</v>
      </c>
      <c r="AP1798">
        <f t="shared" si="714"/>
        <v>0</v>
      </c>
      <c r="AQ1798" t="str">
        <f t="shared" si="715"/>
        <v/>
      </c>
    </row>
    <row r="1799" spans="1:43" x14ac:dyDescent="0.35">
      <c r="A1799">
        <v>206</v>
      </c>
      <c r="B1799" t="s">
        <v>5593</v>
      </c>
      <c r="C1799" t="s">
        <v>4480</v>
      </c>
      <c r="D1799" t="str">
        <f t="shared" si="716"/>
        <v>Finance</v>
      </c>
      <c r="E1799" t="s">
        <v>5308</v>
      </c>
      <c r="F1799" t="s">
        <v>5433</v>
      </c>
      <c r="G1799" t="s">
        <v>5434</v>
      </c>
      <c r="H1799" t="s">
        <v>48</v>
      </c>
      <c r="I1799" s="32">
        <v>44747.342893518522</v>
      </c>
      <c r="J1799" s="32">
        <v>44748.342893518522</v>
      </c>
      <c r="K1799" s="32">
        <v>44754.342893518522</v>
      </c>
      <c r="L1799" s="8">
        <f t="shared" si="717"/>
        <v>7</v>
      </c>
      <c r="M1799" s="7">
        <v>44761.342893518522</v>
      </c>
      <c r="N1799" t="s">
        <v>49</v>
      </c>
      <c r="O1799" s="34">
        <v>44760.342893518522</v>
      </c>
      <c r="P1799" t="s">
        <v>50</v>
      </c>
      <c r="Q1799" t="s">
        <v>125</v>
      </c>
      <c r="R1799" s="32" t="s">
        <v>7472</v>
      </c>
      <c r="S1799" t="s">
        <v>7476</v>
      </c>
      <c r="T1799" s="34" t="s">
        <v>7476</v>
      </c>
      <c r="U1799" s="34" t="s">
        <v>7476</v>
      </c>
      <c r="V1799" s="32">
        <v>44763.342893518522</v>
      </c>
      <c r="W1799" s="32" t="s">
        <v>7476</v>
      </c>
      <c r="X1799">
        <v>0</v>
      </c>
      <c r="Y1799" s="34" t="s">
        <v>7476</v>
      </c>
      <c r="Z1799" s="34" t="s">
        <v>7476</v>
      </c>
      <c r="AA1799" s="34" t="s">
        <v>7476</v>
      </c>
      <c r="AB1799" s="36" t="s">
        <v>95</v>
      </c>
      <c r="AD1799" t="s">
        <v>5594</v>
      </c>
      <c r="AE1799" t="s">
        <v>5595</v>
      </c>
      <c r="AF1799" s="16">
        <v>44741</v>
      </c>
      <c r="AG1799" t="s">
        <v>68</v>
      </c>
      <c r="AH1799">
        <v>3</v>
      </c>
      <c r="AI1799" s="8" t="str">
        <f t="shared" si="708"/>
        <v/>
      </c>
      <c r="AJ1799" s="8">
        <f t="shared" si="709"/>
        <v>19.342893518522033</v>
      </c>
      <c r="AK1799" s="38">
        <f t="shared" si="718"/>
        <v>44853.342893518522</v>
      </c>
      <c r="AL1799" t="str">
        <f t="shared" si="710"/>
        <v/>
      </c>
      <c r="AM1799" t="str">
        <f t="shared" si="711"/>
        <v/>
      </c>
      <c r="AN1799">
        <f t="shared" si="712"/>
        <v>3</v>
      </c>
      <c r="AO1799">
        <f t="shared" si="713"/>
        <v>1</v>
      </c>
      <c r="AP1799">
        <f t="shared" si="714"/>
        <v>0</v>
      </c>
      <c r="AQ1799" t="str">
        <f t="shared" si="715"/>
        <v/>
      </c>
    </row>
    <row r="1800" spans="1:43" x14ac:dyDescent="0.35">
      <c r="A1800">
        <v>205</v>
      </c>
      <c r="B1800" t="s">
        <v>5596</v>
      </c>
      <c r="C1800" t="s">
        <v>4480</v>
      </c>
      <c r="D1800" t="str">
        <f t="shared" si="716"/>
        <v>Finance</v>
      </c>
      <c r="E1800" t="s">
        <v>5308</v>
      </c>
      <c r="F1800" t="s">
        <v>5433</v>
      </c>
      <c r="G1800" t="s">
        <v>5434</v>
      </c>
      <c r="H1800" t="s">
        <v>48</v>
      </c>
      <c r="I1800" s="32">
        <v>44750.342893518522</v>
      </c>
      <c r="J1800" s="32">
        <v>44751.342893518522</v>
      </c>
      <c r="K1800" s="32">
        <v>44754.342893518522</v>
      </c>
      <c r="L1800" s="8">
        <f t="shared" si="717"/>
        <v>4</v>
      </c>
      <c r="M1800" s="7">
        <v>44780.342893518522</v>
      </c>
      <c r="N1800" t="s">
        <v>49</v>
      </c>
      <c r="O1800" s="34">
        <v>44758.342893518522</v>
      </c>
      <c r="P1800" t="s">
        <v>50</v>
      </c>
      <c r="Q1800" t="s">
        <v>236</v>
      </c>
      <c r="R1800" s="32" t="s">
        <v>7472</v>
      </c>
      <c r="S1800" t="s">
        <v>7476</v>
      </c>
      <c r="T1800" s="34" t="s">
        <v>7476</v>
      </c>
      <c r="U1800" s="34" t="s">
        <v>7476</v>
      </c>
      <c r="V1800" s="32">
        <v>44762.342893518522</v>
      </c>
      <c r="W1800" s="32" t="s">
        <v>7476</v>
      </c>
      <c r="X1800">
        <v>0</v>
      </c>
      <c r="Y1800" s="34" t="s">
        <v>7476</v>
      </c>
      <c r="Z1800" s="34" t="s">
        <v>7476</v>
      </c>
      <c r="AA1800" s="34" t="s">
        <v>7476</v>
      </c>
      <c r="AB1800" s="36" t="s">
        <v>52</v>
      </c>
      <c r="AD1800" t="s">
        <v>5597</v>
      </c>
      <c r="AE1800" t="s">
        <v>5598</v>
      </c>
      <c r="AF1800" s="16">
        <v>44748</v>
      </c>
      <c r="AG1800" t="s">
        <v>64</v>
      </c>
      <c r="AH1800">
        <v>6</v>
      </c>
      <c r="AI1800" s="8" t="str">
        <f t="shared" si="708"/>
        <v/>
      </c>
      <c r="AJ1800" s="8">
        <f t="shared" si="709"/>
        <v>10.342893518522033</v>
      </c>
      <c r="AK1800" s="38">
        <f t="shared" si="718"/>
        <v>44942.342893518522</v>
      </c>
      <c r="AL1800" t="str">
        <f t="shared" si="710"/>
        <v/>
      </c>
      <c r="AM1800" t="str">
        <f t="shared" si="711"/>
        <v/>
      </c>
      <c r="AN1800">
        <f t="shared" si="712"/>
        <v>4</v>
      </c>
      <c r="AO1800">
        <f t="shared" si="713"/>
        <v>1</v>
      </c>
      <c r="AP1800">
        <f t="shared" si="714"/>
        <v>0</v>
      </c>
      <c r="AQ1800" t="str">
        <f t="shared" si="715"/>
        <v/>
      </c>
    </row>
    <row r="1801" spans="1:43" x14ac:dyDescent="0.35">
      <c r="A1801">
        <v>180</v>
      </c>
      <c r="B1801" t="s">
        <v>5599</v>
      </c>
      <c r="C1801" t="s">
        <v>4471</v>
      </c>
      <c r="D1801" t="str">
        <f t="shared" si="716"/>
        <v>Finance</v>
      </c>
      <c r="E1801" t="s">
        <v>5308</v>
      </c>
      <c r="F1801" t="s">
        <v>5433</v>
      </c>
      <c r="G1801" t="s">
        <v>5434</v>
      </c>
      <c r="H1801" t="s">
        <v>48</v>
      </c>
      <c r="I1801" s="32">
        <v>45088.370925925927</v>
      </c>
      <c r="J1801" s="32">
        <v>45091.370925925927</v>
      </c>
      <c r="K1801" s="32">
        <v>45097.370925925927</v>
      </c>
      <c r="L1801" s="8">
        <f t="shared" si="717"/>
        <v>9</v>
      </c>
      <c r="M1801" s="7">
        <v>45107.370925925927</v>
      </c>
      <c r="N1801" t="s">
        <v>49</v>
      </c>
      <c r="O1801" s="34">
        <v>45106.370925925927</v>
      </c>
      <c r="P1801" t="s">
        <v>50</v>
      </c>
      <c r="Q1801" t="s">
        <v>125</v>
      </c>
      <c r="R1801" s="32" t="s">
        <v>7472</v>
      </c>
      <c r="S1801" t="s">
        <v>7476</v>
      </c>
      <c r="T1801" s="34" t="s">
        <v>7476</v>
      </c>
      <c r="U1801" s="34" t="s">
        <v>7476</v>
      </c>
      <c r="V1801" s="32">
        <v>45107.370925925927</v>
      </c>
      <c r="W1801" s="32" t="s">
        <v>7476</v>
      </c>
      <c r="X1801">
        <v>0</v>
      </c>
      <c r="Y1801" s="34" t="s">
        <v>7476</v>
      </c>
      <c r="Z1801" s="34" t="s">
        <v>7476</v>
      </c>
      <c r="AA1801" s="34" t="s">
        <v>7476</v>
      </c>
      <c r="AB1801" s="36" t="s">
        <v>95</v>
      </c>
      <c r="AD1801" t="s">
        <v>5600</v>
      </c>
      <c r="AE1801" t="s">
        <v>5601</v>
      </c>
      <c r="AF1801" s="16">
        <v>45090</v>
      </c>
      <c r="AG1801" t="s">
        <v>98</v>
      </c>
      <c r="AH1801">
        <v>6</v>
      </c>
      <c r="AI1801" s="8" t="str">
        <f t="shared" si="708"/>
        <v/>
      </c>
      <c r="AJ1801" s="8">
        <f t="shared" si="709"/>
        <v>16.370925925926713</v>
      </c>
      <c r="AK1801" s="38">
        <f t="shared" si="718"/>
        <v>45287.370925925927</v>
      </c>
      <c r="AL1801" t="str">
        <f t="shared" si="710"/>
        <v/>
      </c>
      <c r="AM1801" t="str">
        <f t="shared" si="711"/>
        <v/>
      </c>
      <c r="AN1801">
        <f t="shared" si="712"/>
        <v>1</v>
      </c>
      <c r="AO1801">
        <f t="shared" si="713"/>
        <v>3</v>
      </c>
      <c r="AP1801">
        <f t="shared" si="714"/>
        <v>0</v>
      </c>
      <c r="AQ1801" t="str">
        <f t="shared" si="715"/>
        <v/>
      </c>
    </row>
    <row r="1802" spans="1:43" x14ac:dyDescent="0.35">
      <c r="A1802">
        <v>108</v>
      </c>
      <c r="B1802" t="s">
        <v>5602</v>
      </c>
      <c r="C1802" t="s">
        <v>4502</v>
      </c>
      <c r="D1802" t="str">
        <f t="shared" si="716"/>
        <v>Finance</v>
      </c>
      <c r="E1802" t="s">
        <v>5308</v>
      </c>
      <c r="F1802" t="s">
        <v>5433</v>
      </c>
      <c r="G1802" t="s">
        <v>5434</v>
      </c>
      <c r="H1802" t="s">
        <v>48</v>
      </c>
      <c r="I1802" s="32">
        <v>45015.880046296297</v>
      </c>
      <c r="J1802" s="32">
        <v>45016.880046296297</v>
      </c>
      <c r="K1802" s="32">
        <v>45019.880046296297</v>
      </c>
      <c r="L1802" s="8">
        <f t="shared" si="717"/>
        <v>4</v>
      </c>
      <c r="M1802" s="7">
        <v>45048.880046296297</v>
      </c>
      <c r="N1802" t="s">
        <v>72</v>
      </c>
      <c r="O1802" s="34" t="s">
        <v>7474</v>
      </c>
      <c r="R1802" s="32" t="s">
        <v>7472</v>
      </c>
      <c r="S1802" t="s">
        <v>7476</v>
      </c>
      <c r="T1802" s="34" t="s">
        <v>7476</v>
      </c>
      <c r="U1802" s="34" t="s">
        <v>7476</v>
      </c>
      <c r="V1802" s="32" t="s">
        <v>7476</v>
      </c>
      <c r="W1802" s="32" t="s">
        <v>7476</v>
      </c>
      <c r="X1802">
        <v>0</v>
      </c>
      <c r="Y1802" s="34" t="s">
        <v>7476</v>
      </c>
      <c r="Z1802" s="34" t="s">
        <v>7476</v>
      </c>
      <c r="AA1802" s="34" t="s">
        <v>7476</v>
      </c>
      <c r="AB1802" s="36" t="s">
        <v>7476</v>
      </c>
      <c r="AD1802" t="s">
        <v>5603</v>
      </c>
      <c r="AE1802" t="s">
        <v>5604</v>
      </c>
      <c r="AG1802" t="s">
        <v>68</v>
      </c>
      <c r="AH1802">
        <v>3</v>
      </c>
      <c r="AI1802" s="8" t="str">
        <f t="shared" si="708"/>
        <v/>
      </c>
      <c r="AJ1802" s="8" t="str">
        <f t="shared" si="709"/>
        <v/>
      </c>
      <c r="AK1802" s="38" t="str">
        <f t="shared" si="718"/>
        <v/>
      </c>
      <c r="AL1802" t="str">
        <f t="shared" si="710"/>
        <v/>
      </c>
      <c r="AM1802" t="str">
        <f t="shared" si="711"/>
        <v/>
      </c>
      <c r="AN1802" t="str">
        <f t="shared" si="712"/>
        <v/>
      </c>
      <c r="AO1802">
        <f t="shared" si="713"/>
        <v>1</v>
      </c>
      <c r="AP1802">
        <f t="shared" si="714"/>
        <v>0</v>
      </c>
      <c r="AQ1802" t="str">
        <f t="shared" si="715"/>
        <v/>
      </c>
    </row>
    <row r="1803" spans="1:43" x14ac:dyDescent="0.35">
      <c r="A1803">
        <v>78</v>
      </c>
      <c r="B1803" t="s">
        <v>5605</v>
      </c>
      <c r="C1803" t="s">
        <v>4480</v>
      </c>
      <c r="D1803" t="str">
        <f t="shared" si="716"/>
        <v>Finance</v>
      </c>
      <c r="E1803" t="s">
        <v>5308</v>
      </c>
      <c r="F1803" t="s">
        <v>5433</v>
      </c>
      <c r="G1803" t="s">
        <v>5434</v>
      </c>
      <c r="H1803" t="s">
        <v>48</v>
      </c>
      <c r="I1803" s="32">
        <v>44750.410798611112</v>
      </c>
      <c r="J1803" s="32" t="s">
        <v>7471</v>
      </c>
      <c r="K1803" s="32">
        <v>44754.410798611112</v>
      </c>
      <c r="L1803" s="8">
        <f t="shared" si="717"/>
        <v>4</v>
      </c>
      <c r="M1803" s="7">
        <v>44778.410798611112</v>
      </c>
      <c r="N1803" t="s">
        <v>49</v>
      </c>
      <c r="O1803" s="34">
        <v>44758.410798611112</v>
      </c>
      <c r="P1803" t="s">
        <v>50</v>
      </c>
      <c r="Q1803" t="s">
        <v>236</v>
      </c>
      <c r="R1803" s="32" t="s">
        <v>7472</v>
      </c>
      <c r="S1803" t="s">
        <v>7476</v>
      </c>
      <c r="T1803" s="34" t="s">
        <v>7476</v>
      </c>
      <c r="U1803" s="34" t="s">
        <v>7476</v>
      </c>
      <c r="V1803" s="32">
        <v>44762.410798611112</v>
      </c>
      <c r="W1803" s="32" t="s">
        <v>7476</v>
      </c>
      <c r="X1803">
        <v>0</v>
      </c>
      <c r="Y1803" s="34" t="s">
        <v>7476</v>
      </c>
      <c r="Z1803" s="34" t="s">
        <v>7476</v>
      </c>
      <c r="AA1803" s="34" t="s">
        <v>7476</v>
      </c>
      <c r="AB1803" s="36" t="s">
        <v>95</v>
      </c>
      <c r="AD1803" t="s">
        <v>5606</v>
      </c>
      <c r="AE1803" t="s">
        <v>5607</v>
      </c>
      <c r="AF1803" s="16">
        <v>44742</v>
      </c>
      <c r="AG1803" t="s">
        <v>64</v>
      </c>
      <c r="AH1803">
        <v>6</v>
      </c>
      <c r="AK1803" s="38">
        <f t="shared" si="718"/>
        <v>44942.410798611112</v>
      </c>
    </row>
    <row r="1804" spans="1:43" x14ac:dyDescent="0.35">
      <c r="A1804">
        <v>77</v>
      </c>
      <c r="B1804" t="s">
        <v>5608</v>
      </c>
      <c r="C1804" t="s">
        <v>4471</v>
      </c>
      <c r="D1804" t="str">
        <f t="shared" si="716"/>
        <v>Finance</v>
      </c>
      <c r="E1804" t="s">
        <v>5308</v>
      </c>
      <c r="F1804" t="s">
        <v>5433</v>
      </c>
      <c r="G1804" t="s">
        <v>5434</v>
      </c>
      <c r="H1804" t="s">
        <v>48</v>
      </c>
      <c r="I1804" s="32" t="s">
        <v>7471</v>
      </c>
      <c r="J1804" s="32">
        <v>44752.410798611112</v>
      </c>
      <c r="K1804" s="32" t="s">
        <v>7473</v>
      </c>
      <c r="L1804" s="8" t="str">
        <f t="shared" si="717"/>
        <v/>
      </c>
      <c r="M1804" s="7">
        <v>44777.410798611112</v>
      </c>
      <c r="N1804" t="s">
        <v>49</v>
      </c>
      <c r="O1804" s="34">
        <v>44764.410798611112</v>
      </c>
      <c r="P1804" t="s">
        <v>60</v>
      </c>
      <c r="R1804" s="32">
        <v>44772.410798611112</v>
      </c>
      <c r="S1804" t="s">
        <v>61</v>
      </c>
      <c r="T1804" s="34" t="s">
        <v>7476</v>
      </c>
      <c r="U1804" s="34" t="s">
        <v>7476</v>
      </c>
      <c r="V1804" s="32">
        <v>44768.410798611112</v>
      </c>
      <c r="W1804" s="32" t="s">
        <v>7476</v>
      </c>
      <c r="X1804">
        <v>0</v>
      </c>
      <c r="Y1804" s="34" t="s">
        <v>7476</v>
      </c>
      <c r="Z1804" s="34" t="s">
        <v>7476</v>
      </c>
      <c r="AA1804" s="34" t="s">
        <v>7476</v>
      </c>
      <c r="AB1804" s="36" t="s">
        <v>7476</v>
      </c>
      <c r="AD1804" t="s">
        <v>5609</v>
      </c>
      <c r="AE1804" t="s">
        <v>5610</v>
      </c>
      <c r="AF1804" s="16">
        <v>44758</v>
      </c>
      <c r="AG1804" t="s">
        <v>98</v>
      </c>
      <c r="AH1804">
        <v>3</v>
      </c>
      <c r="AK1804" s="38">
        <f t="shared" si="718"/>
        <v>44858.410798611112</v>
      </c>
    </row>
    <row r="1805" spans="1:43" x14ac:dyDescent="0.35">
      <c r="A1805">
        <v>74</v>
      </c>
      <c r="B1805" t="s">
        <v>5611</v>
      </c>
      <c r="C1805" t="s">
        <v>4502</v>
      </c>
      <c r="D1805" t="str">
        <f t="shared" si="716"/>
        <v>Finance</v>
      </c>
      <c r="E1805" t="s">
        <v>5308</v>
      </c>
      <c r="F1805" t="s">
        <v>5433</v>
      </c>
      <c r="G1805" t="s">
        <v>5434</v>
      </c>
      <c r="H1805" t="s">
        <v>48</v>
      </c>
      <c r="I1805" s="32">
        <v>44745.410798611112</v>
      </c>
      <c r="J1805" s="32">
        <v>44749.410798611112</v>
      </c>
      <c r="K1805" s="32">
        <v>44754.410798611112</v>
      </c>
      <c r="L1805" s="8">
        <f t="shared" si="717"/>
        <v>9</v>
      </c>
      <c r="M1805" s="7">
        <v>44773.410798611112</v>
      </c>
      <c r="N1805" t="s">
        <v>49</v>
      </c>
      <c r="O1805" s="34">
        <v>44770.410798611112</v>
      </c>
      <c r="P1805" t="s">
        <v>60</v>
      </c>
      <c r="R1805" s="32">
        <v>44777.410798611112</v>
      </c>
      <c r="S1805" t="s">
        <v>61</v>
      </c>
      <c r="T1805" s="34" t="s">
        <v>7476</v>
      </c>
      <c r="U1805" s="34" t="s">
        <v>7476</v>
      </c>
      <c r="V1805" s="32">
        <v>44774.410798611112</v>
      </c>
      <c r="W1805" s="32" t="s">
        <v>7476</v>
      </c>
      <c r="X1805">
        <v>0</v>
      </c>
      <c r="Y1805" s="34" t="s">
        <v>7476</v>
      </c>
      <c r="Z1805" s="34" t="s">
        <v>7476</v>
      </c>
      <c r="AA1805" s="34" t="s">
        <v>7476</v>
      </c>
      <c r="AB1805" s="36" t="s">
        <v>7476</v>
      </c>
      <c r="AD1805" t="s">
        <v>5612</v>
      </c>
      <c r="AE1805" t="s">
        <v>5613</v>
      </c>
      <c r="AF1805" s="16">
        <v>44761</v>
      </c>
      <c r="AG1805" t="s">
        <v>64</v>
      </c>
      <c r="AH1805">
        <v>6</v>
      </c>
      <c r="AI1805" s="8">
        <f>IFERROR(R1805-AF1805,"")</f>
        <v>16.410798611112114</v>
      </c>
      <c r="AJ1805" s="8">
        <f>IFERROR(O1805-AF1805,"")</f>
        <v>9.4107986111121136</v>
      </c>
      <c r="AK1805" s="38">
        <f t="shared" si="718"/>
        <v>44954.410798611112</v>
      </c>
      <c r="AL1805" t="str">
        <f>IFERROR(Z1805-W1805,"")</f>
        <v/>
      </c>
      <c r="AM1805">
        <f>IFERROR(R1805-J1805,"")</f>
        <v>28</v>
      </c>
      <c r="AN1805">
        <f>IFERROR(V1805-O1805,"")</f>
        <v>4</v>
      </c>
      <c r="AO1805">
        <f>IFERROR(J1805-I1805,"")</f>
        <v>4</v>
      </c>
      <c r="AP1805">
        <f>IFERROR(AC1805-X1805,"")</f>
        <v>0</v>
      </c>
      <c r="AQ1805" t="str">
        <f>IFERROR(AA1805-W1805,"")</f>
        <v/>
      </c>
    </row>
    <row r="1806" spans="1:43" x14ac:dyDescent="0.35">
      <c r="A1806">
        <v>72</v>
      </c>
      <c r="B1806" t="s">
        <v>5614</v>
      </c>
      <c r="C1806" t="s">
        <v>4471</v>
      </c>
      <c r="D1806" t="str">
        <f t="shared" si="716"/>
        <v>Finance</v>
      </c>
      <c r="E1806" t="s">
        <v>5308</v>
      </c>
      <c r="F1806" t="s">
        <v>5433</v>
      </c>
      <c r="G1806" t="s">
        <v>5434</v>
      </c>
      <c r="H1806" t="s">
        <v>48</v>
      </c>
      <c r="I1806" s="32">
        <v>44750.410798611112</v>
      </c>
      <c r="J1806" s="32">
        <v>44753.410798611112</v>
      </c>
      <c r="K1806" s="32">
        <v>44754.410798611112</v>
      </c>
      <c r="L1806" s="8">
        <f t="shared" si="717"/>
        <v>4</v>
      </c>
      <c r="M1806" s="7">
        <v>44759.410798611112</v>
      </c>
      <c r="N1806" t="s">
        <v>49</v>
      </c>
      <c r="O1806" s="34">
        <v>44756.410798611112</v>
      </c>
      <c r="P1806" t="s">
        <v>60</v>
      </c>
      <c r="R1806" s="32">
        <v>44761.410798611112</v>
      </c>
      <c r="S1806" t="s">
        <v>61</v>
      </c>
      <c r="T1806" s="34" t="s">
        <v>7476</v>
      </c>
      <c r="U1806" s="34" t="s">
        <v>7476</v>
      </c>
      <c r="V1806" s="32">
        <v>44758.410798611112</v>
      </c>
      <c r="W1806" s="32" t="s">
        <v>7476</v>
      </c>
      <c r="X1806">
        <v>0</v>
      </c>
      <c r="Y1806" s="34" t="s">
        <v>7476</v>
      </c>
      <c r="Z1806" s="34" t="s">
        <v>7476</v>
      </c>
      <c r="AA1806" s="34" t="s">
        <v>7476</v>
      </c>
      <c r="AB1806" s="36" t="s">
        <v>7476</v>
      </c>
      <c r="AD1806" t="s">
        <v>5615</v>
      </c>
      <c r="AE1806" t="s">
        <v>5616</v>
      </c>
      <c r="AF1806" s="16">
        <v>44658</v>
      </c>
      <c r="AG1806" t="s">
        <v>98</v>
      </c>
      <c r="AH1806">
        <v>6</v>
      </c>
      <c r="AI1806" s="8">
        <f>IFERROR(R1806-AF1806,"")</f>
        <v>103.41079861111211</v>
      </c>
      <c r="AJ1806" s="8">
        <f>IFERROR(O1806-AF1806,"")</f>
        <v>98.410798611112114</v>
      </c>
      <c r="AK1806" s="38">
        <f t="shared" si="718"/>
        <v>44938.410798611112</v>
      </c>
      <c r="AL1806" t="str">
        <f>IFERROR(Z1806-W1806,"")</f>
        <v/>
      </c>
      <c r="AM1806">
        <f>IFERROR(R1806-J1806,"")</f>
        <v>8</v>
      </c>
      <c r="AN1806">
        <f>IFERROR(V1806-O1806,"")</f>
        <v>2</v>
      </c>
      <c r="AO1806">
        <f>IFERROR(J1806-I1806,"")</f>
        <v>3</v>
      </c>
      <c r="AP1806">
        <f>IFERROR(AC1806-X1806,"")</f>
        <v>0</v>
      </c>
      <c r="AQ1806" t="str">
        <f>IFERROR(AA1806-W1806,"")</f>
        <v/>
      </c>
    </row>
    <row r="1807" spans="1:43" x14ac:dyDescent="0.35">
      <c r="A1807">
        <v>15</v>
      </c>
      <c r="B1807" t="s">
        <v>5617</v>
      </c>
      <c r="C1807" t="s">
        <v>4480</v>
      </c>
      <c r="D1807" t="str">
        <f t="shared" si="716"/>
        <v>Finance</v>
      </c>
      <c r="E1807" t="s">
        <v>5308</v>
      </c>
      <c r="F1807" t="s">
        <v>5433</v>
      </c>
      <c r="G1807" t="s">
        <v>5434</v>
      </c>
      <c r="H1807" t="s">
        <v>48</v>
      </c>
      <c r="I1807" s="32">
        <v>44637.901284722233</v>
      </c>
      <c r="J1807" s="32">
        <v>44638.901284722233</v>
      </c>
      <c r="K1807" s="32">
        <v>44642.901284722233</v>
      </c>
      <c r="L1807" s="8">
        <f t="shared" si="717"/>
        <v>5</v>
      </c>
      <c r="M1807" s="7">
        <v>44649.901284722233</v>
      </c>
      <c r="N1807" t="s">
        <v>49</v>
      </c>
      <c r="O1807" s="34">
        <v>44644.901284722233</v>
      </c>
      <c r="P1807" t="s">
        <v>101</v>
      </c>
      <c r="R1807" s="32">
        <v>44646.901284722233</v>
      </c>
      <c r="S1807" t="s">
        <v>101</v>
      </c>
      <c r="T1807" s="34">
        <v>44645.901284722233</v>
      </c>
      <c r="U1807" s="34">
        <v>44646.901284722233</v>
      </c>
      <c r="V1807" s="32">
        <v>44645.901284722233</v>
      </c>
      <c r="W1807" s="32">
        <v>44654.901284722233</v>
      </c>
      <c r="X1807">
        <v>1</v>
      </c>
      <c r="Y1807" s="34">
        <v>44656.901284722233</v>
      </c>
      <c r="Z1807" s="34">
        <v>44657.901284722233</v>
      </c>
      <c r="AA1807" s="34">
        <v>44658.901284722233</v>
      </c>
      <c r="AB1807" s="36" t="s">
        <v>7476</v>
      </c>
      <c r="AC1807" s="10">
        <v>44679.901284722233</v>
      </c>
      <c r="AD1807" t="s">
        <v>5618</v>
      </c>
      <c r="AE1807" t="s">
        <v>5619</v>
      </c>
      <c r="AF1807" s="16">
        <v>44633</v>
      </c>
      <c r="AG1807" t="s">
        <v>68</v>
      </c>
      <c r="AH1807">
        <v>3</v>
      </c>
      <c r="AI1807" s="8">
        <f>IFERROR(R1807-AF1807,"")</f>
        <v>13.901284722232958</v>
      </c>
      <c r="AJ1807" s="8">
        <f>IFERROR(O1807-AF1807,"")</f>
        <v>11.901284722232958</v>
      </c>
      <c r="AK1807" s="38">
        <f t="shared" si="718"/>
        <v>44735.901284722233</v>
      </c>
      <c r="AL1807">
        <f>IFERROR(Z1807-W1807,"")</f>
        <v>3</v>
      </c>
      <c r="AM1807">
        <f>IFERROR(R1807-J1807,"")</f>
        <v>8</v>
      </c>
      <c r="AN1807">
        <f>IFERROR(V1807-O1807,"")</f>
        <v>1</v>
      </c>
      <c r="AO1807">
        <f>IFERROR(J1807-I1807,"")</f>
        <v>1</v>
      </c>
      <c r="AP1807">
        <f>IFERROR(AC1807-X1807,"")</f>
        <v>44678.901284722233</v>
      </c>
      <c r="AQ1807">
        <f>IFERROR(AA1807-W1807,"")</f>
        <v>4</v>
      </c>
    </row>
    <row r="1808" spans="1:43" x14ac:dyDescent="0.35">
      <c r="A1808">
        <v>2290</v>
      </c>
      <c r="B1808" t="s">
        <v>5620</v>
      </c>
      <c r="C1808" t="s">
        <v>4480</v>
      </c>
      <c r="D1808" t="str">
        <f t="shared" si="716"/>
        <v>Finance</v>
      </c>
      <c r="E1808" t="s">
        <v>5621</v>
      </c>
      <c r="F1808" t="s">
        <v>2984</v>
      </c>
      <c r="G1808" t="s">
        <v>5622</v>
      </c>
      <c r="H1808" t="s">
        <v>80</v>
      </c>
      <c r="I1808" s="32">
        <v>44762.489282407398</v>
      </c>
      <c r="J1808" s="32">
        <v>44766.489282407398</v>
      </c>
      <c r="K1808" s="32">
        <v>44769.489282407398</v>
      </c>
      <c r="L1808" s="8">
        <f t="shared" si="717"/>
        <v>7</v>
      </c>
      <c r="M1808" s="7">
        <v>44793.489282407398</v>
      </c>
      <c r="N1808" t="s">
        <v>72</v>
      </c>
      <c r="O1808" s="34" t="s">
        <v>7474</v>
      </c>
      <c r="R1808" s="32" t="s">
        <v>7472</v>
      </c>
      <c r="S1808" t="s">
        <v>7476</v>
      </c>
      <c r="T1808" s="34" t="s">
        <v>7476</v>
      </c>
      <c r="U1808" s="34" t="s">
        <v>7476</v>
      </c>
      <c r="V1808" s="32" t="s">
        <v>7476</v>
      </c>
      <c r="W1808" s="32" t="s">
        <v>7476</v>
      </c>
      <c r="X1808">
        <v>0</v>
      </c>
      <c r="Y1808" s="34" t="s">
        <v>7476</v>
      </c>
      <c r="Z1808" s="34" t="s">
        <v>7476</v>
      </c>
      <c r="AA1808" s="34" t="s">
        <v>7476</v>
      </c>
      <c r="AB1808" s="36" t="s">
        <v>7476</v>
      </c>
      <c r="AD1808" t="s">
        <v>5623</v>
      </c>
      <c r="AE1808" t="s">
        <v>5624</v>
      </c>
      <c r="AG1808" t="s">
        <v>64</v>
      </c>
      <c r="AH1808">
        <v>3</v>
      </c>
      <c r="AI1808" s="8" t="str">
        <f>IFERROR(R1808-AF1808,"")</f>
        <v/>
      </c>
      <c r="AJ1808" s="8" t="str">
        <f>IFERROR(O1808-AF1808,"")</f>
        <v/>
      </c>
      <c r="AK1808" s="38" t="str">
        <f t="shared" si="718"/>
        <v/>
      </c>
      <c r="AL1808" t="str">
        <f>IFERROR(Z1808-W1808,"")</f>
        <v/>
      </c>
      <c r="AM1808" t="str">
        <f>IFERROR(R1808-J1808,"")</f>
        <v/>
      </c>
      <c r="AN1808" t="str">
        <f>IFERROR(V1808-O1808,"")</f>
        <v/>
      </c>
      <c r="AO1808">
        <f>IFERROR(J1808-I1808,"")</f>
        <v>4</v>
      </c>
      <c r="AP1808">
        <f>IFERROR(AC1808-X1808,"")</f>
        <v>0</v>
      </c>
      <c r="AQ1808" t="str">
        <f>IFERROR(AA1808-W1808,"")</f>
        <v/>
      </c>
    </row>
    <row r="1809" spans="1:43" x14ac:dyDescent="0.35">
      <c r="A1809">
        <v>2028</v>
      </c>
      <c r="B1809" t="s">
        <v>5625</v>
      </c>
      <c r="C1809" t="s">
        <v>4480</v>
      </c>
      <c r="D1809" t="str">
        <f t="shared" si="716"/>
        <v>Finance</v>
      </c>
      <c r="E1809" t="s">
        <v>5621</v>
      </c>
      <c r="F1809" t="s">
        <v>2984</v>
      </c>
      <c r="G1809" t="s">
        <v>5622</v>
      </c>
      <c r="H1809" t="s">
        <v>80</v>
      </c>
      <c r="I1809" s="32">
        <v>44787.679872685178</v>
      </c>
      <c r="J1809" s="32">
        <v>44788.679872685178</v>
      </c>
      <c r="K1809" s="32">
        <v>44790.679872685178</v>
      </c>
      <c r="L1809" s="8">
        <f t="shared" si="717"/>
        <v>3</v>
      </c>
      <c r="M1809" s="7">
        <v>44817.679872685178</v>
      </c>
      <c r="N1809" t="s">
        <v>72</v>
      </c>
      <c r="O1809" s="34" t="s">
        <v>7474</v>
      </c>
      <c r="R1809" s="32" t="s">
        <v>7472</v>
      </c>
      <c r="S1809" t="s">
        <v>7476</v>
      </c>
      <c r="T1809" s="34" t="s">
        <v>7476</v>
      </c>
      <c r="U1809" s="34" t="s">
        <v>7476</v>
      </c>
      <c r="V1809" s="32" t="s">
        <v>7476</v>
      </c>
      <c r="W1809" s="32" t="s">
        <v>7476</v>
      </c>
      <c r="X1809">
        <v>0</v>
      </c>
      <c r="Y1809" s="34" t="s">
        <v>7476</v>
      </c>
      <c r="Z1809" s="34" t="s">
        <v>7476</v>
      </c>
      <c r="AA1809" s="34" t="s">
        <v>7476</v>
      </c>
      <c r="AB1809" s="36" t="s">
        <v>7476</v>
      </c>
      <c r="AD1809" t="s">
        <v>5626</v>
      </c>
      <c r="AE1809" t="s">
        <v>5627</v>
      </c>
      <c r="AG1809" t="s">
        <v>64</v>
      </c>
      <c r="AH1809">
        <v>3</v>
      </c>
      <c r="AI1809" s="8" t="str">
        <f>IFERROR(R1809-AF1809,"")</f>
        <v/>
      </c>
      <c r="AJ1809" s="8" t="str">
        <f>IFERROR(O1809-AF1809,"")</f>
        <v/>
      </c>
      <c r="AK1809" s="38" t="str">
        <f t="shared" si="718"/>
        <v/>
      </c>
      <c r="AL1809" t="str">
        <f>IFERROR(Z1809-W1809,"")</f>
        <v/>
      </c>
      <c r="AM1809" t="str">
        <f>IFERROR(R1809-J1809,"")</f>
        <v/>
      </c>
      <c r="AN1809" t="str">
        <f>IFERROR(V1809-O1809,"")</f>
        <v/>
      </c>
      <c r="AO1809">
        <f>IFERROR(J1809-I1809,"")</f>
        <v>1</v>
      </c>
      <c r="AP1809">
        <f>IFERROR(AC1809-X1809,"")</f>
        <v>0</v>
      </c>
      <c r="AQ1809" t="str">
        <f>IFERROR(AA1809-W1809,"")</f>
        <v/>
      </c>
    </row>
    <row r="1810" spans="1:43" x14ac:dyDescent="0.35">
      <c r="A1810">
        <v>1829</v>
      </c>
      <c r="B1810" t="s">
        <v>5628</v>
      </c>
      <c r="C1810" t="s">
        <v>4480</v>
      </c>
      <c r="D1810" t="str">
        <f t="shared" si="716"/>
        <v>Finance</v>
      </c>
      <c r="E1810" t="s">
        <v>5621</v>
      </c>
      <c r="F1810" t="s">
        <v>2984</v>
      </c>
      <c r="G1810" t="s">
        <v>5622</v>
      </c>
      <c r="H1810" t="s">
        <v>80</v>
      </c>
      <c r="I1810" s="32">
        <v>44661.459594907406</v>
      </c>
      <c r="J1810" s="32" t="s">
        <v>7471</v>
      </c>
      <c r="K1810" s="32">
        <v>44668.459594907406</v>
      </c>
      <c r="L1810" s="8">
        <f t="shared" si="717"/>
        <v>7</v>
      </c>
      <c r="M1810" s="7">
        <v>44679.459594907406</v>
      </c>
      <c r="N1810" t="s">
        <v>72</v>
      </c>
      <c r="O1810" s="34" t="s">
        <v>7474</v>
      </c>
      <c r="R1810" s="32" t="s">
        <v>7472</v>
      </c>
      <c r="S1810" t="s">
        <v>7476</v>
      </c>
      <c r="T1810" s="34" t="s">
        <v>7476</v>
      </c>
      <c r="U1810" s="34" t="s">
        <v>7476</v>
      </c>
      <c r="V1810" s="32" t="s">
        <v>7476</v>
      </c>
      <c r="W1810" s="32" t="s">
        <v>7476</v>
      </c>
      <c r="X1810">
        <v>0</v>
      </c>
      <c r="Y1810" s="34" t="s">
        <v>7476</v>
      </c>
      <c r="Z1810" s="34" t="s">
        <v>7476</v>
      </c>
      <c r="AA1810" s="34" t="s">
        <v>7476</v>
      </c>
      <c r="AB1810" s="36" t="s">
        <v>7476</v>
      </c>
      <c r="AD1810" t="s">
        <v>5629</v>
      </c>
      <c r="AE1810" t="s">
        <v>5630</v>
      </c>
      <c r="AG1810" t="s">
        <v>68</v>
      </c>
      <c r="AH1810">
        <v>6</v>
      </c>
      <c r="AK1810" s="38" t="str">
        <f t="shared" si="718"/>
        <v/>
      </c>
    </row>
    <row r="1811" spans="1:43" x14ac:dyDescent="0.35">
      <c r="A1811">
        <v>1759</v>
      </c>
      <c r="B1811" t="s">
        <v>5631</v>
      </c>
      <c r="C1811" t="s">
        <v>4480</v>
      </c>
      <c r="D1811" t="str">
        <f t="shared" si="716"/>
        <v>Finance</v>
      </c>
      <c r="E1811" t="s">
        <v>5621</v>
      </c>
      <c r="F1811" t="s">
        <v>2984</v>
      </c>
      <c r="G1811" t="s">
        <v>5622</v>
      </c>
      <c r="H1811" t="s">
        <v>80</v>
      </c>
      <c r="I1811" s="32">
        <v>44714.645821759259</v>
      </c>
      <c r="J1811" s="32">
        <v>44715.645821759259</v>
      </c>
      <c r="K1811" s="32">
        <v>44718.645821759259</v>
      </c>
      <c r="L1811" s="8">
        <f t="shared" si="717"/>
        <v>4</v>
      </c>
      <c r="M1811" s="7">
        <v>44741.645821759259</v>
      </c>
      <c r="N1811" t="s">
        <v>72</v>
      </c>
      <c r="O1811" s="34" t="s">
        <v>7474</v>
      </c>
      <c r="R1811" s="32" t="s">
        <v>7472</v>
      </c>
      <c r="S1811" t="s">
        <v>7476</v>
      </c>
      <c r="T1811" s="34" t="s">
        <v>7476</v>
      </c>
      <c r="U1811" s="34" t="s">
        <v>7476</v>
      </c>
      <c r="V1811" s="32" t="s">
        <v>7476</v>
      </c>
      <c r="W1811" s="32" t="s">
        <v>7476</v>
      </c>
      <c r="X1811">
        <v>0</v>
      </c>
      <c r="Y1811" s="34" t="s">
        <v>7476</v>
      </c>
      <c r="Z1811" s="34" t="s">
        <v>7476</v>
      </c>
      <c r="AA1811" s="34" t="s">
        <v>7476</v>
      </c>
      <c r="AB1811" s="36" t="s">
        <v>7476</v>
      </c>
      <c r="AD1811" t="s">
        <v>5632</v>
      </c>
      <c r="AE1811" t="s">
        <v>5633</v>
      </c>
      <c r="AG1811" t="s">
        <v>98</v>
      </c>
      <c r="AH1811">
        <v>3</v>
      </c>
      <c r="AI1811" s="8" t="str">
        <f>IFERROR(R1811-AF1811,"")</f>
        <v/>
      </c>
      <c r="AJ1811" s="8" t="str">
        <f>IFERROR(O1811-AF1811,"")</f>
        <v/>
      </c>
      <c r="AK1811" s="38" t="str">
        <f t="shared" si="718"/>
        <v/>
      </c>
      <c r="AL1811" t="str">
        <f>IFERROR(Z1811-W1811,"")</f>
        <v/>
      </c>
      <c r="AM1811" t="str">
        <f>IFERROR(R1811-J1811,"")</f>
        <v/>
      </c>
      <c r="AN1811" t="str">
        <f>IFERROR(V1811-O1811,"")</f>
        <v/>
      </c>
      <c r="AO1811">
        <f>IFERROR(J1811-I1811,"")</f>
        <v>1</v>
      </c>
      <c r="AP1811">
        <f>IFERROR(AC1811-X1811,"")</f>
        <v>0</v>
      </c>
      <c r="AQ1811" t="str">
        <f>IFERROR(AA1811-W1811,"")</f>
        <v/>
      </c>
    </row>
    <row r="1812" spans="1:43" x14ac:dyDescent="0.35">
      <c r="A1812">
        <v>1632</v>
      </c>
      <c r="B1812" t="s">
        <v>5634</v>
      </c>
      <c r="C1812" t="s">
        <v>4480</v>
      </c>
      <c r="D1812" t="str">
        <f t="shared" si="716"/>
        <v>Finance</v>
      </c>
      <c r="E1812" t="s">
        <v>5621</v>
      </c>
      <c r="F1812" t="s">
        <v>2984</v>
      </c>
      <c r="G1812" t="s">
        <v>5622</v>
      </c>
      <c r="H1812" t="s">
        <v>80</v>
      </c>
      <c r="I1812" s="32">
        <v>45171.320416666669</v>
      </c>
      <c r="J1812" s="32" t="s">
        <v>7471</v>
      </c>
      <c r="K1812" s="32">
        <v>45178.320416666669</v>
      </c>
      <c r="L1812" s="8">
        <f t="shared" si="717"/>
        <v>7</v>
      </c>
      <c r="M1812" s="7">
        <v>45204.320416666669</v>
      </c>
      <c r="N1812" t="s">
        <v>72</v>
      </c>
      <c r="O1812" s="34" t="s">
        <v>7474</v>
      </c>
      <c r="R1812" s="32" t="s">
        <v>7472</v>
      </c>
      <c r="S1812" t="s">
        <v>7476</v>
      </c>
      <c r="T1812" s="34" t="s">
        <v>7476</v>
      </c>
      <c r="U1812" s="34" t="s">
        <v>7476</v>
      </c>
      <c r="V1812" s="32" t="s">
        <v>7476</v>
      </c>
      <c r="W1812" s="32" t="s">
        <v>7476</v>
      </c>
      <c r="X1812">
        <v>0</v>
      </c>
      <c r="Y1812" s="34" t="s">
        <v>7476</v>
      </c>
      <c r="Z1812" s="34" t="s">
        <v>7476</v>
      </c>
      <c r="AA1812" s="34" t="s">
        <v>7476</v>
      </c>
      <c r="AB1812" s="36" t="s">
        <v>7476</v>
      </c>
      <c r="AD1812" t="s">
        <v>5635</v>
      </c>
      <c r="AE1812" t="s">
        <v>5636</v>
      </c>
      <c r="AG1812" t="s">
        <v>64</v>
      </c>
      <c r="AH1812">
        <v>3</v>
      </c>
      <c r="AK1812" s="38" t="str">
        <f t="shared" si="718"/>
        <v/>
      </c>
    </row>
    <row r="1813" spans="1:43" x14ac:dyDescent="0.35">
      <c r="A1813">
        <v>1516</v>
      </c>
      <c r="B1813" t="s">
        <v>5637</v>
      </c>
      <c r="C1813" t="s">
        <v>4480</v>
      </c>
      <c r="D1813" t="str">
        <f t="shared" si="716"/>
        <v>Finance</v>
      </c>
      <c r="E1813" t="s">
        <v>5621</v>
      </c>
      <c r="F1813" t="s">
        <v>2984</v>
      </c>
      <c r="G1813" t="s">
        <v>5622</v>
      </c>
      <c r="H1813" t="s">
        <v>80</v>
      </c>
      <c r="I1813" s="32">
        <v>44925.208773148152</v>
      </c>
      <c r="J1813" s="32">
        <v>44926.208773148152</v>
      </c>
      <c r="K1813" s="32">
        <v>44927.208773148152</v>
      </c>
      <c r="L1813" s="8">
        <f t="shared" si="717"/>
        <v>2</v>
      </c>
      <c r="M1813" s="7">
        <v>44938.208773148152</v>
      </c>
      <c r="N1813" t="s">
        <v>72</v>
      </c>
      <c r="O1813" s="34" t="s">
        <v>7474</v>
      </c>
      <c r="R1813" s="32" t="s">
        <v>7472</v>
      </c>
      <c r="S1813" t="s">
        <v>7476</v>
      </c>
      <c r="T1813" s="34" t="s">
        <v>7476</v>
      </c>
      <c r="U1813" s="34" t="s">
        <v>7476</v>
      </c>
      <c r="V1813" s="32" t="s">
        <v>7476</v>
      </c>
      <c r="W1813" s="32" t="s">
        <v>7476</v>
      </c>
      <c r="X1813">
        <v>0</v>
      </c>
      <c r="Y1813" s="34" t="s">
        <v>7476</v>
      </c>
      <c r="Z1813" s="34" t="s">
        <v>7476</v>
      </c>
      <c r="AA1813" s="34" t="s">
        <v>7476</v>
      </c>
      <c r="AB1813" s="36" t="s">
        <v>7476</v>
      </c>
      <c r="AD1813" t="s">
        <v>5638</v>
      </c>
      <c r="AE1813" t="s">
        <v>5639</v>
      </c>
      <c r="AG1813" t="s">
        <v>68</v>
      </c>
      <c r="AH1813">
        <v>3</v>
      </c>
      <c r="AI1813" s="8" t="str">
        <f t="shared" ref="AI1813:AI1818" si="719">IFERROR(R1813-AF1813,"")</f>
        <v/>
      </c>
      <c r="AJ1813" s="8" t="str">
        <f t="shared" ref="AJ1813:AJ1818" si="720">IFERROR(O1813-AF1813,"")</f>
        <v/>
      </c>
      <c r="AK1813" s="38" t="str">
        <f t="shared" si="718"/>
        <v/>
      </c>
      <c r="AL1813" t="str">
        <f t="shared" ref="AL1813:AL1818" si="721">IFERROR(Z1813-W1813,"")</f>
        <v/>
      </c>
      <c r="AM1813" t="str">
        <f t="shared" ref="AM1813:AM1818" si="722">IFERROR(R1813-J1813,"")</f>
        <v/>
      </c>
      <c r="AN1813" t="str">
        <f t="shared" ref="AN1813:AN1818" si="723">IFERROR(V1813-O1813,"")</f>
        <v/>
      </c>
      <c r="AO1813">
        <f t="shared" ref="AO1813:AO1818" si="724">IFERROR(J1813-I1813,"")</f>
        <v>1</v>
      </c>
      <c r="AP1813">
        <f t="shared" ref="AP1813:AP1818" si="725">IFERROR(AC1813-X1813,"")</f>
        <v>0</v>
      </c>
      <c r="AQ1813" t="str">
        <f t="shared" ref="AQ1813:AQ1818" si="726">IFERROR(AA1813-W1813,"")</f>
        <v/>
      </c>
    </row>
    <row r="1814" spans="1:43" x14ac:dyDescent="0.35">
      <c r="A1814">
        <v>1435</v>
      </c>
      <c r="B1814" t="s">
        <v>5640</v>
      </c>
      <c r="C1814" t="s">
        <v>4480</v>
      </c>
      <c r="D1814" t="str">
        <f t="shared" si="716"/>
        <v>Finance</v>
      </c>
      <c r="E1814" t="s">
        <v>5621</v>
      </c>
      <c r="F1814" t="s">
        <v>2984</v>
      </c>
      <c r="G1814" t="s">
        <v>5622</v>
      </c>
      <c r="H1814" t="s">
        <v>80</v>
      </c>
      <c r="I1814" s="32">
        <v>45085.936932870369</v>
      </c>
      <c r="J1814" s="32">
        <v>45089.936932870369</v>
      </c>
      <c r="K1814" s="32">
        <v>45092.936932870369</v>
      </c>
      <c r="L1814" s="8">
        <f t="shared" si="717"/>
        <v>7</v>
      </c>
      <c r="M1814" s="7">
        <v>45121.936932870369</v>
      </c>
      <c r="N1814" t="s">
        <v>72</v>
      </c>
      <c r="O1814" s="34" t="s">
        <v>7474</v>
      </c>
      <c r="R1814" s="32" t="s">
        <v>7472</v>
      </c>
      <c r="S1814" t="s">
        <v>7476</v>
      </c>
      <c r="T1814" s="34" t="s">
        <v>7476</v>
      </c>
      <c r="U1814" s="34" t="s">
        <v>7476</v>
      </c>
      <c r="V1814" s="32" t="s">
        <v>7476</v>
      </c>
      <c r="W1814" s="32" t="s">
        <v>7476</v>
      </c>
      <c r="X1814">
        <v>0</v>
      </c>
      <c r="Y1814" s="34" t="s">
        <v>7476</v>
      </c>
      <c r="Z1814" s="34" t="s">
        <v>7476</v>
      </c>
      <c r="AA1814" s="34" t="s">
        <v>7476</v>
      </c>
      <c r="AB1814" s="36" t="s">
        <v>7476</v>
      </c>
      <c r="AD1814" t="s">
        <v>5641</v>
      </c>
      <c r="AE1814" t="s">
        <v>5642</v>
      </c>
      <c r="AG1814" t="s">
        <v>64</v>
      </c>
      <c r="AH1814">
        <v>6</v>
      </c>
      <c r="AI1814" s="8" t="str">
        <f t="shared" si="719"/>
        <v/>
      </c>
      <c r="AJ1814" s="8" t="str">
        <f t="shared" si="720"/>
        <v/>
      </c>
      <c r="AK1814" s="38" t="str">
        <f t="shared" si="718"/>
        <v/>
      </c>
      <c r="AL1814" t="str">
        <f t="shared" si="721"/>
        <v/>
      </c>
      <c r="AM1814" t="str">
        <f t="shared" si="722"/>
        <v/>
      </c>
      <c r="AN1814" t="str">
        <f t="shared" si="723"/>
        <v/>
      </c>
      <c r="AO1814">
        <f t="shared" si="724"/>
        <v>4</v>
      </c>
      <c r="AP1814">
        <f t="shared" si="725"/>
        <v>0</v>
      </c>
      <c r="AQ1814" t="str">
        <f t="shared" si="726"/>
        <v/>
      </c>
    </row>
    <row r="1815" spans="1:43" x14ac:dyDescent="0.35">
      <c r="A1815">
        <v>1149</v>
      </c>
      <c r="B1815" t="s">
        <v>5643</v>
      </c>
      <c r="C1815" t="s">
        <v>4502</v>
      </c>
      <c r="D1815" t="str">
        <f t="shared" si="716"/>
        <v>Finance</v>
      </c>
      <c r="E1815" t="s">
        <v>5621</v>
      </c>
      <c r="F1815" t="s">
        <v>2984</v>
      </c>
      <c r="G1815" t="s">
        <v>5622</v>
      </c>
      <c r="H1815" t="s">
        <v>80</v>
      </c>
      <c r="I1815" s="32">
        <v>45140.067280092589</v>
      </c>
      <c r="J1815" s="32">
        <v>45143.067280092589</v>
      </c>
      <c r="K1815" s="32">
        <v>45148.067280092589</v>
      </c>
      <c r="L1815" s="8">
        <f t="shared" si="717"/>
        <v>8</v>
      </c>
      <c r="M1815" s="7">
        <v>45157.067280092589</v>
      </c>
      <c r="N1815" t="s">
        <v>72</v>
      </c>
      <c r="O1815" s="34" t="s">
        <v>7474</v>
      </c>
      <c r="R1815" s="32" t="s">
        <v>7472</v>
      </c>
      <c r="S1815" t="s">
        <v>7476</v>
      </c>
      <c r="T1815" s="34" t="s">
        <v>7476</v>
      </c>
      <c r="U1815" s="34" t="s">
        <v>7476</v>
      </c>
      <c r="V1815" s="32" t="s">
        <v>7476</v>
      </c>
      <c r="W1815" s="32" t="s">
        <v>7476</v>
      </c>
      <c r="X1815">
        <v>0</v>
      </c>
      <c r="Y1815" s="34" t="s">
        <v>7476</v>
      </c>
      <c r="Z1815" s="34" t="s">
        <v>7476</v>
      </c>
      <c r="AA1815" s="34" t="s">
        <v>7476</v>
      </c>
      <c r="AB1815" s="36" t="s">
        <v>7476</v>
      </c>
      <c r="AD1815" t="s">
        <v>5644</v>
      </c>
      <c r="AE1815" t="s">
        <v>5645</v>
      </c>
      <c r="AG1815" t="s">
        <v>64</v>
      </c>
      <c r="AH1815">
        <v>3</v>
      </c>
      <c r="AI1815" s="8" t="str">
        <f t="shared" si="719"/>
        <v/>
      </c>
      <c r="AJ1815" s="8" t="str">
        <f t="shared" si="720"/>
        <v/>
      </c>
      <c r="AK1815" s="38" t="str">
        <f t="shared" si="718"/>
        <v/>
      </c>
      <c r="AL1815" t="str">
        <f t="shared" si="721"/>
        <v/>
      </c>
      <c r="AM1815" t="str">
        <f t="shared" si="722"/>
        <v/>
      </c>
      <c r="AN1815" t="str">
        <f t="shared" si="723"/>
        <v/>
      </c>
      <c r="AO1815">
        <f t="shared" si="724"/>
        <v>3</v>
      </c>
      <c r="AP1815">
        <f t="shared" si="725"/>
        <v>0</v>
      </c>
      <c r="AQ1815" t="str">
        <f t="shared" si="726"/>
        <v/>
      </c>
    </row>
    <row r="1816" spans="1:43" x14ac:dyDescent="0.35">
      <c r="A1816">
        <v>1034</v>
      </c>
      <c r="B1816" t="s">
        <v>5646</v>
      </c>
      <c r="C1816" t="s">
        <v>4471</v>
      </c>
      <c r="D1816" t="str">
        <f t="shared" si="716"/>
        <v>Finance</v>
      </c>
      <c r="E1816" t="s">
        <v>5621</v>
      </c>
      <c r="F1816" t="s">
        <v>2984</v>
      </c>
      <c r="G1816" t="s">
        <v>5622</v>
      </c>
      <c r="H1816" t="s">
        <v>80</v>
      </c>
      <c r="I1816" s="32">
        <v>44986.822372685187</v>
      </c>
      <c r="J1816" s="32">
        <v>44987.822372685187</v>
      </c>
      <c r="K1816" s="32">
        <v>44993.822372685187</v>
      </c>
      <c r="L1816" s="8">
        <f t="shared" si="717"/>
        <v>7</v>
      </c>
      <c r="M1816" s="7">
        <v>45007.822372685187</v>
      </c>
      <c r="N1816" t="s">
        <v>72</v>
      </c>
      <c r="O1816" s="34" t="s">
        <v>7474</v>
      </c>
      <c r="R1816" s="32" t="s">
        <v>7472</v>
      </c>
      <c r="S1816" t="s">
        <v>7476</v>
      </c>
      <c r="T1816" s="34" t="s">
        <v>7476</v>
      </c>
      <c r="U1816" s="34" t="s">
        <v>7476</v>
      </c>
      <c r="V1816" s="32" t="s">
        <v>7476</v>
      </c>
      <c r="W1816" s="32" t="s">
        <v>7476</v>
      </c>
      <c r="X1816">
        <v>0</v>
      </c>
      <c r="Y1816" s="34" t="s">
        <v>7476</v>
      </c>
      <c r="Z1816" s="34" t="s">
        <v>7476</v>
      </c>
      <c r="AA1816" s="34" t="s">
        <v>7476</v>
      </c>
      <c r="AB1816" s="36" t="s">
        <v>7476</v>
      </c>
      <c r="AD1816" t="s">
        <v>5647</v>
      </c>
      <c r="AE1816" t="s">
        <v>5648</v>
      </c>
      <c r="AG1816" t="s">
        <v>68</v>
      </c>
      <c r="AH1816">
        <v>6</v>
      </c>
      <c r="AI1816" s="8" t="str">
        <f t="shared" si="719"/>
        <v/>
      </c>
      <c r="AJ1816" s="8" t="str">
        <f t="shared" si="720"/>
        <v/>
      </c>
      <c r="AK1816" s="38" t="str">
        <f t="shared" si="718"/>
        <v/>
      </c>
      <c r="AL1816" t="str">
        <f t="shared" si="721"/>
        <v/>
      </c>
      <c r="AM1816" t="str">
        <f t="shared" si="722"/>
        <v/>
      </c>
      <c r="AN1816" t="str">
        <f t="shared" si="723"/>
        <v/>
      </c>
      <c r="AO1816">
        <f t="shared" si="724"/>
        <v>1</v>
      </c>
      <c r="AP1816">
        <f t="shared" si="725"/>
        <v>0</v>
      </c>
      <c r="AQ1816" t="str">
        <f t="shared" si="726"/>
        <v/>
      </c>
    </row>
    <row r="1817" spans="1:43" x14ac:dyDescent="0.35">
      <c r="A1817">
        <v>974</v>
      </c>
      <c r="B1817" t="s">
        <v>5649</v>
      </c>
      <c r="C1817" t="s">
        <v>4480</v>
      </c>
      <c r="D1817" t="str">
        <f t="shared" si="716"/>
        <v>Finance</v>
      </c>
      <c r="E1817" t="s">
        <v>5621</v>
      </c>
      <c r="F1817" t="s">
        <v>2984</v>
      </c>
      <c r="G1817" t="s">
        <v>5622</v>
      </c>
      <c r="H1817" t="s">
        <v>80</v>
      </c>
      <c r="I1817" s="32">
        <v>44754.699247685188</v>
      </c>
      <c r="J1817" s="32">
        <v>44758.699247685188</v>
      </c>
      <c r="K1817" s="32">
        <v>44764.699247685188</v>
      </c>
      <c r="L1817" s="8">
        <f t="shared" si="717"/>
        <v>10</v>
      </c>
      <c r="M1817" s="7">
        <v>44784.699247685188</v>
      </c>
      <c r="N1817" t="s">
        <v>49</v>
      </c>
      <c r="O1817" s="34">
        <v>44781.699247685188</v>
      </c>
      <c r="P1817" t="s">
        <v>60</v>
      </c>
      <c r="R1817" s="32">
        <v>44786.699247685188</v>
      </c>
      <c r="S1817" t="s">
        <v>61</v>
      </c>
      <c r="T1817" s="34" t="s">
        <v>7476</v>
      </c>
      <c r="U1817" s="34" t="s">
        <v>7476</v>
      </c>
      <c r="V1817" s="32">
        <v>44785.699247685188</v>
      </c>
      <c r="W1817" s="32" t="s">
        <v>7476</v>
      </c>
      <c r="X1817">
        <v>0</v>
      </c>
      <c r="Y1817" s="34" t="s">
        <v>7476</v>
      </c>
      <c r="Z1817" s="34" t="s">
        <v>7476</v>
      </c>
      <c r="AA1817" s="34" t="s">
        <v>7476</v>
      </c>
      <c r="AB1817" s="36" t="s">
        <v>7476</v>
      </c>
      <c r="AD1817" t="s">
        <v>5650</v>
      </c>
      <c r="AE1817" t="s">
        <v>5651</v>
      </c>
      <c r="AF1817" s="16">
        <v>44764</v>
      </c>
      <c r="AG1817" t="s">
        <v>64</v>
      </c>
      <c r="AH1817">
        <v>3</v>
      </c>
      <c r="AI1817" s="8">
        <f t="shared" si="719"/>
        <v>22.699247685188311</v>
      </c>
      <c r="AJ1817" s="8">
        <f t="shared" si="720"/>
        <v>17.699247685188311</v>
      </c>
      <c r="AK1817" s="38">
        <f t="shared" si="718"/>
        <v>44875.699247685188</v>
      </c>
      <c r="AL1817" t="str">
        <f t="shared" si="721"/>
        <v/>
      </c>
      <c r="AM1817">
        <f t="shared" si="722"/>
        <v>28</v>
      </c>
      <c r="AN1817">
        <f t="shared" si="723"/>
        <v>4</v>
      </c>
      <c r="AO1817">
        <f t="shared" si="724"/>
        <v>4</v>
      </c>
      <c r="AP1817">
        <f t="shared" si="725"/>
        <v>0</v>
      </c>
      <c r="AQ1817" t="str">
        <f t="shared" si="726"/>
        <v/>
      </c>
    </row>
    <row r="1818" spans="1:43" x14ac:dyDescent="0.35">
      <c r="A1818">
        <v>961</v>
      </c>
      <c r="B1818" t="s">
        <v>5652</v>
      </c>
      <c r="C1818" t="s">
        <v>4471</v>
      </c>
      <c r="D1818" t="str">
        <f t="shared" si="716"/>
        <v>Finance</v>
      </c>
      <c r="E1818" t="s">
        <v>5621</v>
      </c>
      <c r="F1818" t="s">
        <v>2984</v>
      </c>
      <c r="G1818" t="s">
        <v>5622</v>
      </c>
      <c r="H1818" t="s">
        <v>80</v>
      </c>
      <c r="I1818" s="32">
        <v>45122.340451388889</v>
      </c>
      <c r="J1818" s="32">
        <v>45124.340451388889</v>
      </c>
      <c r="K1818" s="32">
        <v>45127.340451388889</v>
      </c>
      <c r="L1818" s="8">
        <f t="shared" si="717"/>
        <v>5</v>
      </c>
      <c r="M1818" s="7">
        <v>45151.340451388889</v>
      </c>
      <c r="N1818" t="s">
        <v>49</v>
      </c>
      <c r="O1818" s="34">
        <v>45141.340451388889</v>
      </c>
      <c r="P1818" t="s">
        <v>101</v>
      </c>
      <c r="R1818" s="32">
        <v>45144.340451388889</v>
      </c>
      <c r="S1818" t="s">
        <v>101</v>
      </c>
      <c r="T1818" s="34">
        <v>45143.340451388889</v>
      </c>
      <c r="U1818" s="34">
        <v>45147.340451388889</v>
      </c>
      <c r="V1818" s="32">
        <v>45142.340451388889</v>
      </c>
      <c r="W1818" s="32">
        <v>45149.340451388889</v>
      </c>
      <c r="X1818">
        <v>1</v>
      </c>
      <c r="Y1818" s="34">
        <v>45152.340451388889</v>
      </c>
      <c r="Z1818" s="34">
        <v>45155.340451388889</v>
      </c>
      <c r="AA1818" s="34">
        <v>45156.340451388889</v>
      </c>
      <c r="AB1818" s="36" t="s">
        <v>7476</v>
      </c>
      <c r="AC1818" s="10">
        <v>45166.340451388889</v>
      </c>
      <c r="AD1818" t="s">
        <v>5653</v>
      </c>
      <c r="AE1818" t="s">
        <v>5654</v>
      </c>
      <c r="AF1818" s="16">
        <v>45123</v>
      </c>
      <c r="AG1818" t="s">
        <v>64</v>
      </c>
      <c r="AH1818">
        <v>6</v>
      </c>
      <c r="AI1818" s="8">
        <f t="shared" si="719"/>
        <v>21.340451388889051</v>
      </c>
      <c r="AJ1818" s="8">
        <f t="shared" si="720"/>
        <v>18.340451388889051</v>
      </c>
      <c r="AK1818" s="38">
        <f t="shared" si="718"/>
        <v>45322.340451388889</v>
      </c>
      <c r="AL1818">
        <f t="shared" si="721"/>
        <v>6</v>
      </c>
      <c r="AM1818">
        <f t="shared" si="722"/>
        <v>20</v>
      </c>
      <c r="AN1818">
        <f t="shared" si="723"/>
        <v>1</v>
      </c>
      <c r="AO1818">
        <f t="shared" si="724"/>
        <v>2</v>
      </c>
      <c r="AP1818">
        <f t="shared" si="725"/>
        <v>45165.340451388889</v>
      </c>
      <c r="AQ1818">
        <f t="shared" si="726"/>
        <v>7</v>
      </c>
    </row>
    <row r="1819" spans="1:43" x14ac:dyDescent="0.35">
      <c r="A1819">
        <v>900</v>
      </c>
      <c r="B1819" t="s">
        <v>5655</v>
      </c>
      <c r="C1819" t="s">
        <v>4502</v>
      </c>
      <c r="D1819" t="str">
        <f t="shared" si="716"/>
        <v>Finance</v>
      </c>
      <c r="E1819" t="s">
        <v>5621</v>
      </c>
      <c r="F1819" t="s">
        <v>2984</v>
      </c>
      <c r="G1819" t="s">
        <v>5622</v>
      </c>
      <c r="H1819" t="s">
        <v>80</v>
      </c>
      <c r="I1819" s="32">
        <v>44843.939814814818</v>
      </c>
      <c r="J1819" s="32">
        <v>44847.939814814818</v>
      </c>
      <c r="K1819" s="32" t="s">
        <v>7473</v>
      </c>
      <c r="L1819" s="8" t="str">
        <f t="shared" si="717"/>
        <v/>
      </c>
      <c r="M1819" s="7">
        <v>44877.939814814818</v>
      </c>
      <c r="N1819" t="s">
        <v>49</v>
      </c>
      <c r="O1819" s="34">
        <v>44855.939814814818</v>
      </c>
      <c r="P1819" t="s">
        <v>50</v>
      </c>
      <c r="Q1819" t="s">
        <v>198</v>
      </c>
      <c r="R1819" s="32" t="s">
        <v>7472</v>
      </c>
      <c r="S1819" t="s">
        <v>7476</v>
      </c>
      <c r="T1819" s="34" t="s">
        <v>7476</v>
      </c>
      <c r="U1819" s="34" t="s">
        <v>7476</v>
      </c>
      <c r="V1819" s="32">
        <v>44858.939814814818</v>
      </c>
      <c r="W1819" s="32" t="s">
        <v>7476</v>
      </c>
      <c r="X1819">
        <v>0</v>
      </c>
      <c r="Y1819" s="34" t="s">
        <v>7476</v>
      </c>
      <c r="Z1819" s="34" t="s">
        <v>7476</v>
      </c>
      <c r="AA1819" s="34" t="s">
        <v>7476</v>
      </c>
      <c r="AB1819" s="36" t="s">
        <v>95</v>
      </c>
      <c r="AD1819" t="s">
        <v>5656</v>
      </c>
      <c r="AE1819" t="s">
        <v>5657</v>
      </c>
      <c r="AF1819" s="16">
        <v>44875</v>
      </c>
      <c r="AG1819" t="s">
        <v>93</v>
      </c>
      <c r="AH1819">
        <v>6</v>
      </c>
      <c r="AK1819" s="38">
        <f t="shared" si="718"/>
        <v>45038.939814814818</v>
      </c>
    </row>
    <row r="1820" spans="1:43" x14ac:dyDescent="0.35">
      <c r="A1820">
        <v>896</v>
      </c>
      <c r="B1820" t="s">
        <v>5658</v>
      </c>
      <c r="C1820" t="s">
        <v>4480</v>
      </c>
      <c r="D1820" t="str">
        <f t="shared" si="716"/>
        <v>Finance</v>
      </c>
      <c r="E1820" t="s">
        <v>5621</v>
      </c>
      <c r="F1820" t="s">
        <v>2984</v>
      </c>
      <c r="G1820" t="s">
        <v>5622</v>
      </c>
      <c r="H1820" t="s">
        <v>80</v>
      </c>
      <c r="I1820" s="32">
        <v>44846.939814814818</v>
      </c>
      <c r="J1820" s="32">
        <v>44848.939814814818</v>
      </c>
      <c r="K1820" s="32">
        <v>44850.939814814818</v>
      </c>
      <c r="L1820" s="8">
        <f t="shared" si="717"/>
        <v>4</v>
      </c>
      <c r="M1820" s="7">
        <v>44855.939814814818</v>
      </c>
      <c r="N1820" t="s">
        <v>49</v>
      </c>
      <c r="O1820" s="34">
        <v>44857.939814814818</v>
      </c>
      <c r="P1820" t="s">
        <v>50</v>
      </c>
      <c r="Q1820" t="s">
        <v>198</v>
      </c>
      <c r="R1820" s="32" t="s">
        <v>7472</v>
      </c>
      <c r="S1820" t="s">
        <v>7476</v>
      </c>
      <c r="T1820" s="34" t="s">
        <v>7476</v>
      </c>
      <c r="U1820" s="34" t="s">
        <v>7476</v>
      </c>
      <c r="V1820" s="32">
        <v>44859.939814814818</v>
      </c>
      <c r="W1820" s="32" t="s">
        <v>7476</v>
      </c>
      <c r="X1820">
        <v>0</v>
      </c>
      <c r="Y1820" s="34" t="s">
        <v>7476</v>
      </c>
      <c r="Z1820" s="34" t="s">
        <v>7476</v>
      </c>
      <c r="AA1820" s="34" t="s">
        <v>7476</v>
      </c>
      <c r="AB1820" s="36" t="s">
        <v>95</v>
      </c>
      <c r="AD1820" t="s">
        <v>5659</v>
      </c>
      <c r="AE1820" t="s">
        <v>5660</v>
      </c>
      <c r="AF1820" s="16">
        <v>44849</v>
      </c>
      <c r="AG1820" t="s">
        <v>64</v>
      </c>
      <c r="AH1820">
        <v>3</v>
      </c>
      <c r="AI1820" s="8" t="str">
        <f>IFERROR(R1820-AF1820,"")</f>
        <v/>
      </c>
      <c r="AJ1820" s="8">
        <f>IFERROR(O1820-AF1820,"")</f>
        <v>8.9398148148175096</v>
      </c>
      <c r="AK1820" s="38">
        <f t="shared" si="718"/>
        <v>44949.939814814818</v>
      </c>
      <c r="AL1820" t="str">
        <f>IFERROR(Z1820-W1820,"")</f>
        <v/>
      </c>
      <c r="AM1820" t="str">
        <f>IFERROR(R1820-J1820,"")</f>
        <v/>
      </c>
      <c r="AN1820">
        <f>IFERROR(V1820-O1820,"")</f>
        <v>2</v>
      </c>
      <c r="AO1820">
        <f>IFERROR(J1820-I1820,"")</f>
        <v>2</v>
      </c>
      <c r="AP1820">
        <f>IFERROR(AC1820-X1820,"")</f>
        <v>0</v>
      </c>
      <c r="AQ1820" t="str">
        <f>IFERROR(AA1820-W1820,"")</f>
        <v/>
      </c>
    </row>
    <row r="1821" spans="1:43" x14ac:dyDescent="0.35">
      <c r="A1821">
        <v>893</v>
      </c>
      <c r="B1821" t="s">
        <v>5661</v>
      </c>
      <c r="C1821" t="s">
        <v>4480</v>
      </c>
      <c r="D1821" t="str">
        <f t="shared" si="716"/>
        <v>Finance</v>
      </c>
      <c r="E1821" t="s">
        <v>5621</v>
      </c>
      <c r="F1821" t="s">
        <v>5662</v>
      </c>
      <c r="G1821" t="s">
        <v>5663</v>
      </c>
      <c r="H1821" t="s">
        <v>80</v>
      </c>
      <c r="I1821" s="32">
        <v>44842.939814814818</v>
      </c>
      <c r="J1821" s="32">
        <v>44844.939814814818</v>
      </c>
      <c r="K1821" s="32">
        <v>44850.939814814818</v>
      </c>
      <c r="L1821" s="8">
        <f t="shared" si="717"/>
        <v>8</v>
      </c>
      <c r="M1821" s="7">
        <v>44865.939814814818</v>
      </c>
      <c r="N1821" t="s">
        <v>49</v>
      </c>
      <c r="O1821" s="34">
        <v>44857.939814814818</v>
      </c>
      <c r="P1821" t="s">
        <v>50</v>
      </c>
      <c r="Q1821" t="s">
        <v>125</v>
      </c>
      <c r="R1821" s="32" t="s">
        <v>7472</v>
      </c>
      <c r="S1821" t="s">
        <v>7476</v>
      </c>
      <c r="T1821" s="34" t="s">
        <v>7476</v>
      </c>
      <c r="U1821" s="34" t="s">
        <v>7476</v>
      </c>
      <c r="V1821" s="32" t="s">
        <v>7476</v>
      </c>
      <c r="W1821" s="32" t="s">
        <v>7476</v>
      </c>
      <c r="X1821">
        <v>0</v>
      </c>
      <c r="Y1821" s="34" t="s">
        <v>7476</v>
      </c>
      <c r="Z1821" s="34" t="s">
        <v>7476</v>
      </c>
      <c r="AA1821" s="34" t="s">
        <v>7476</v>
      </c>
      <c r="AB1821" s="36" t="s">
        <v>95</v>
      </c>
      <c r="AD1821" t="s">
        <v>5664</v>
      </c>
      <c r="AE1821" t="s">
        <v>5665</v>
      </c>
      <c r="AF1821" s="16">
        <v>44847</v>
      </c>
      <c r="AG1821" t="s">
        <v>98</v>
      </c>
      <c r="AH1821">
        <v>6</v>
      </c>
      <c r="AI1821" s="8" t="str">
        <f>IFERROR(R1821-AF1821,"")</f>
        <v/>
      </c>
      <c r="AJ1821" s="8">
        <f>IFERROR(O1821-AF1821,"")</f>
        <v>10.93981481481751</v>
      </c>
      <c r="AK1821" s="38" t="str">
        <f t="shared" si="718"/>
        <v/>
      </c>
      <c r="AL1821" t="str">
        <f>IFERROR(Z1821-W1821,"")</f>
        <v/>
      </c>
      <c r="AM1821" t="str">
        <f>IFERROR(R1821-J1821,"")</f>
        <v/>
      </c>
      <c r="AN1821" t="str">
        <f>IFERROR(V1821-O1821,"")</f>
        <v/>
      </c>
      <c r="AO1821">
        <f>IFERROR(J1821-I1821,"")</f>
        <v>2</v>
      </c>
      <c r="AP1821">
        <f>IFERROR(AC1821-X1821,"")</f>
        <v>0</v>
      </c>
      <c r="AQ1821" t="str">
        <f>IFERROR(AA1821-W1821,"")</f>
        <v/>
      </c>
    </row>
    <row r="1822" spans="1:43" x14ac:dyDescent="0.35">
      <c r="A1822">
        <v>891</v>
      </c>
      <c r="B1822" t="s">
        <v>5666</v>
      </c>
      <c r="C1822" t="s">
        <v>4480</v>
      </c>
      <c r="D1822" t="str">
        <f t="shared" si="716"/>
        <v>Finance</v>
      </c>
      <c r="E1822" t="s">
        <v>5621</v>
      </c>
      <c r="F1822" t="s">
        <v>5662</v>
      </c>
      <c r="G1822" t="s">
        <v>5663</v>
      </c>
      <c r="H1822" t="s">
        <v>80</v>
      </c>
      <c r="I1822" s="32">
        <v>44845.939814814818</v>
      </c>
      <c r="J1822" s="32">
        <v>44849.939814814818</v>
      </c>
      <c r="K1822" s="32">
        <v>44850.939814814818</v>
      </c>
      <c r="L1822" s="8">
        <f t="shared" si="717"/>
        <v>5</v>
      </c>
      <c r="M1822" s="7">
        <v>44876.939814814818</v>
      </c>
      <c r="N1822" t="s">
        <v>49</v>
      </c>
      <c r="O1822" s="34">
        <v>44866.939814814818</v>
      </c>
      <c r="P1822" t="s">
        <v>60</v>
      </c>
      <c r="R1822" s="32">
        <v>44869.939814814818</v>
      </c>
      <c r="S1822" t="s">
        <v>61</v>
      </c>
      <c r="T1822" s="34" t="s">
        <v>7476</v>
      </c>
      <c r="U1822" s="34" t="s">
        <v>7476</v>
      </c>
      <c r="V1822" s="32">
        <v>44867.939814814818</v>
      </c>
      <c r="W1822" s="32" t="s">
        <v>7476</v>
      </c>
      <c r="X1822">
        <v>0</v>
      </c>
      <c r="Y1822" s="34" t="s">
        <v>7476</v>
      </c>
      <c r="Z1822" s="34" t="s">
        <v>7476</v>
      </c>
      <c r="AA1822" s="34" t="s">
        <v>7476</v>
      </c>
      <c r="AB1822" s="36" t="s">
        <v>7476</v>
      </c>
      <c r="AD1822" t="s">
        <v>5667</v>
      </c>
      <c r="AE1822" t="s">
        <v>5668</v>
      </c>
      <c r="AF1822" s="16">
        <v>44854</v>
      </c>
      <c r="AG1822" t="s">
        <v>68</v>
      </c>
      <c r="AH1822">
        <v>3</v>
      </c>
      <c r="AI1822" s="8">
        <f>IFERROR(R1822-AF1822,"")</f>
        <v>15.93981481481751</v>
      </c>
      <c r="AJ1822" s="8">
        <f>IFERROR(O1822-AF1822,"")</f>
        <v>12.93981481481751</v>
      </c>
      <c r="AK1822" s="38">
        <f t="shared" si="718"/>
        <v>44957.939814814818</v>
      </c>
      <c r="AL1822" t="str">
        <f>IFERROR(Z1822-W1822,"")</f>
        <v/>
      </c>
      <c r="AM1822">
        <f>IFERROR(R1822-J1822,"")</f>
        <v>20</v>
      </c>
      <c r="AN1822">
        <f>IFERROR(V1822-O1822,"")</f>
        <v>1</v>
      </c>
      <c r="AO1822">
        <f>IFERROR(J1822-I1822,"")</f>
        <v>4</v>
      </c>
      <c r="AP1822">
        <f>IFERROR(AC1822-X1822,"")</f>
        <v>0</v>
      </c>
      <c r="AQ1822" t="str">
        <f>IFERROR(AA1822-W1822,"")</f>
        <v/>
      </c>
    </row>
    <row r="1823" spans="1:43" x14ac:dyDescent="0.35">
      <c r="A1823">
        <v>888</v>
      </c>
      <c r="B1823" t="s">
        <v>5669</v>
      </c>
      <c r="C1823" t="s">
        <v>4471</v>
      </c>
      <c r="D1823" t="str">
        <f t="shared" si="716"/>
        <v>Finance</v>
      </c>
      <c r="E1823" t="s">
        <v>5621</v>
      </c>
      <c r="F1823" t="s">
        <v>5662</v>
      </c>
      <c r="G1823" t="s">
        <v>5663</v>
      </c>
      <c r="H1823" t="s">
        <v>80</v>
      </c>
      <c r="I1823" s="32" t="s">
        <v>7471</v>
      </c>
      <c r="J1823" s="32">
        <v>44826.199942129628</v>
      </c>
      <c r="K1823" s="32">
        <v>44831.199942129628</v>
      </c>
      <c r="L1823" s="8" t="str">
        <f t="shared" si="717"/>
        <v/>
      </c>
      <c r="M1823" s="7">
        <v>44841.199942129628</v>
      </c>
      <c r="N1823" t="s">
        <v>49</v>
      </c>
      <c r="O1823" s="34">
        <v>44841.199942129628</v>
      </c>
      <c r="P1823" t="s">
        <v>50</v>
      </c>
      <c r="Q1823" t="s">
        <v>51</v>
      </c>
      <c r="R1823" s="32" t="s">
        <v>7472</v>
      </c>
      <c r="S1823" t="s">
        <v>7476</v>
      </c>
      <c r="T1823" s="34" t="s">
        <v>7476</v>
      </c>
      <c r="U1823" s="34" t="s">
        <v>7476</v>
      </c>
      <c r="V1823" s="32">
        <v>44844.199942129628</v>
      </c>
      <c r="W1823" s="32" t="s">
        <v>7476</v>
      </c>
      <c r="X1823">
        <v>0</v>
      </c>
      <c r="Y1823" s="34" t="s">
        <v>7476</v>
      </c>
      <c r="Z1823" s="34" t="s">
        <v>7476</v>
      </c>
      <c r="AA1823" s="34" t="s">
        <v>7476</v>
      </c>
      <c r="AB1823" s="36" t="s">
        <v>95</v>
      </c>
      <c r="AD1823" t="s">
        <v>5670</v>
      </c>
      <c r="AE1823" t="s">
        <v>5671</v>
      </c>
      <c r="AF1823" s="16">
        <v>44827</v>
      </c>
      <c r="AG1823" t="s">
        <v>68</v>
      </c>
      <c r="AH1823">
        <v>6</v>
      </c>
      <c r="AK1823" s="38">
        <f t="shared" si="718"/>
        <v>45024.199942129628</v>
      </c>
    </row>
    <row r="1824" spans="1:43" x14ac:dyDescent="0.35">
      <c r="A1824">
        <v>883</v>
      </c>
      <c r="B1824" t="s">
        <v>5672</v>
      </c>
      <c r="C1824" t="s">
        <v>4480</v>
      </c>
      <c r="D1824" t="str">
        <f t="shared" si="716"/>
        <v>Finance</v>
      </c>
      <c r="E1824" t="s">
        <v>5621</v>
      </c>
      <c r="F1824" t="s">
        <v>5662</v>
      </c>
      <c r="G1824" t="s">
        <v>5663</v>
      </c>
      <c r="H1824" t="s">
        <v>80</v>
      </c>
      <c r="I1824" s="32">
        <v>44824.199942129628</v>
      </c>
      <c r="J1824" s="32">
        <v>44826.199942129628</v>
      </c>
      <c r="K1824" s="32">
        <v>44831.199942129628</v>
      </c>
      <c r="L1824" s="8">
        <f t="shared" si="717"/>
        <v>7</v>
      </c>
      <c r="M1824" s="7">
        <v>44840.199942129628</v>
      </c>
      <c r="N1824" t="s">
        <v>49</v>
      </c>
      <c r="O1824" s="34">
        <v>44833.199942129628</v>
      </c>
      <c r="P1824" t="s">
        <v>50</v>
      </c>
      <c r="Q1824" t="s">
        <v>198</v>
      </c>
      <c r="R1824" s="32" t="s">
        <v>7472</v>
      </c>
      <c r="S1824" t="s">
        <v>7476</v>
      </c>
      <c r="T1824" s="34" t="s">
        <v>7476</v>
      </c>
      <c r="U1824" s="34" t="s">
        <v>7476</v>
      </c>
      <c r="V1824" s="32" t="s">
        <v>7476</v>
      </c>
      <c r="W1824" s="32" t="s">
        <v>7476</v>
      </c>
      <c r="X1824">
        <v>0</v>
      </c>
      <c r="Y1824" s="34" t="s">
        <v>7476</v>
      </c>
      <c r="Z1824" s="34" t="s">
        <v>7476</v>
      </c>
      <c r="AA1824" s="34" t="s">
        <v>7476</v>
      </c>
      <c r="AB1824" s="36" t="s">
        <v>52</v>
      </c>
      <c r="AD1824" t="s">
        <v>5673</v>
      </c>
      <c r="AE1824" t="s">
        <v>5674</v>
      </c>
      <c r="AF1824" s="16">
        <v>44821</v>
      </c>
      <c r="AG1824" t="s">
        <v>64</v>
      </c>
      <c r="AH1824">
        <v>3</v>
      </c>
      <c r="AI1824" s="8" t="str">
        <f t="shared" ref="AI1824:AI1831" si="727">IFERROR(R1824-AF1824,"")</f>
        <v/>
      </c>
      <c r="AJ1824" s="8">
        <f t="shared" ref="AJ1824:AJ1831" si="728">IFERROR(O1824-AF1824,"")</f>
        <v>12.199942129627743</v>
      </c>
      <c r="AK1824" s="38" t="str">
        <f t="shared" si="718"/>
        <v/>
      </c>
      <c r="AL1824" t="str">
        <f t="shared" ref="AL1824:AL1831" si="729">IFERROR(Z1824-W1824,"")</f>
        <v/>
      </c>
      <c r="AM1824" t="str">
        <f t="shared" ref="AM1824:AM1831" si="730">IFERROR(R1824-J1824,"")</f>
        <v/>
      </c>
      <c r="AN1824" t="str">
        <f t="shared" ref="AN1824:AN1831" si="731">IFERROR(V1824-O1824,"")</f>
        <v/>
      </c>
      <c r="AO1824">
        <f t="shared" ref="AO1824:AO1831" si="732">IFERROR(J1824-I1824,"")</f>
        <v>2</v>
      </c>
      <c r="AP1824">
        <f t="shared" ref="AP1824:AP1831" si="733">IFERROR(AC1824-X1824,"")</f>
        <v>0</v>
      </c>
      <c r="AQ1824" t="str">
        <f t="shared" ref="AQ1824:AQ1831" si="734">IFERROR(AA1824-W1824,"")</f>
        <v/>
      </c>
    </row>
    <row r="1825" spans="1:43" x14ac:dyDescent="0.35">
      <c r="A1825">
        <v>882</v>
      </c>
      <c r="B1825" t="s">
        <v>5675</v>
      </c>
      <c r="C1825" t="s">
        <v>4480</v>
      </c>
      <c r="D1825" t="str">
        <f t="shared" si="716"/>
        <v>Finance</v>
      </c>
      <c r="E1825" t="s">
        <v>5621</v>
      </c>
      <c r="F1825" t="s">
        <v>5662</v>
      </c>
      <c r="G1825" t="s">
        <v>5663</v>
      </c>
      <c r="H1825" t="s">
        <v>80</v>
      </c>
      <c r="I1825" s="32">
        <v>44826.199942129628</v>
      </c>
      <c r="J1825" s="32">
        <v>44830.199942129628</v>
      </c>
      <c r="K1825" s="32">
        <v>44831.199942129628</v>
      </c>
      <c r="L1825" s="8">
        <f t="shared" si="717"/>
        <v>5</v>
      </c>
      <c r="M1825" s="7">
        <v>44852.199942129628</v>
      </c>
      <c r="N1825" t="s">
        <v>49</v>
      </c>
      <c r="O1825" s="34">
        <v>44839.199942129628</v>
      </c>
      <c r="P1825" t="s">
        <v>50</v>
      </c>
      <c r="Q1825" t="s">
        <v>51</v>
      </c>
      <c r="R1825" s="32" t="s">
        <v>7472</v>
      </c>
      <c r="S1825" t="s">
        <v>7476</v>
      </c>
      <c r="T1825" s="34" t="s">
        <v>7476</v>
      </c>
      <c r="U1825" s="34" t="s">
        <v>7476</v>
      </c>
      <c r="V1825" s="32">
        <v>44843.199942129628</v>
      </c>
      <c r="W1825" s="32" t="s">
        <v>7476</v>
      </c>
      <c r="X1825">
        <v>0</v>
      </c>
      <c r="Y1825" s="34" t="s">
        <v>7476</v>
      </c>
      <c r="Z1825" s="34" t="s">
        <v>7476</v>
      </c>
      <c r="AA1825" s="34" t="s">
        <v>7476</v>
      </c>
      <c r="AB1825" s="36" t="s">
        <v>95</v>
      </c>
      <c r="AD1825" t="s">
        <v>5676</v>
      </c>
      <c r="AE1825" t="s">
        <v>5677</v>
      </c>
      <c r="AF1825" s="16">
        <v>44821</v>
      </c>
      <c r="AG1825" t="s">
        <v>64</v>
      </c>
      <c r="AH1825">
        <v>6</v>
      </c>
      <c r="AI1825" s="8" t="str">
        <f t="shared" si="727"/>
        <v/>
      </c>
      <c r="AJ1825" s="8">
        <f t="shared" si="728"/>
        <v>18.199942129627743</v>
      </c>
      <c r="AK1825" s="38">
        <f t="shared" si="718"/>
        <v>45023.199942129628</v>
      </c>
      <c r="AL1825" t="str">
        <f t="shared" si="729"/>
        <v/>
      </c>
      <c r="AM1825" t="str">
        <f t="shared" si="730"/>
        <v/>
      </c>
      <c r="AN1825">
        <f t="shared" si="731"/>
        <v>4</v>
      </c>
      <c r="AO1825">
        <f t="shared" si="732"/>
        <v>4</v>
      </c>
      <c r="AP1825">
        <f t="shared" si="733"/>
        <v>0</v>
      </c>
      <c r="AQ1825" t="str">
        <f t="shared" si="734"/>
        <v/>
      </c>
    </row>
    <row r="1826" spans="1:43" x14ac:dyDescent="0.35">
      <c r="A1826">
        <v>869</v>
      </c>
      <c r="B1826" t="s">
        <v>5678</v>
      </c>
      <c r="C1826" t="s">
        <v>4502</v>
      </c>
      <c r="D1826" t="str">
        <f t="shared" si="716"/>
        <v>Finance</v>
      </c>
      <c r="E1826" t="s">
        <v>5621</v>
      </c>
      <c r="F1826" t="s">
        <v>5662</v>
      </c>
      <c r="G1826" t="s">
        <v>5663</v>
      </c>
      <c r="H1826" t="s">
        <v>80</v>
      </c>
      <c r="I1826" s="32">
        <v>45121.103344907409</v>
      </c>
      <c r="J1826" s="32">
        <v>45125.103344907409</v>
      </c>
      <c r="K1826" s="32">
        <v>45131.103344907409</v>
      </c>
      <c r="L1826" s="8">
        <f t="shared" si="717"/>
        <v>10</v>
      </c>
      <c r="M1826" s="7">
        <v>45158.103344907409</v>
      </c>
      <c r="N1826" t="s">
        <v>72</v>
      </c>
      <c r="O1826" s="34" t="s">
        <v>7474</v>
      </c>
      <c r="R1826" s="32" t="s">
        <v>7472</v>
      </c>
      <c r="S1826" t="s">
        <v>7476</v>
      </c>
      <c r="T1826" s="34" t="s">
        <v>7476</v>
      </c>
      <c r="U1826" s="34" t="s">
        <v>7476</v>
      </c>
      <c r="V1826" s="32" t="s">
        <v>7476</v>
      </c>
      <c r="W1826" s="32" t="s">
        <v>7476</v>
      </c>
      <c r="X1826">
        <v>0</v>
      </c>
      <c r="Y1826" s="34" t="s">
        <v>7476</v>
      </c>
      <c r="Z1826" s="34" t="s">
        <v>7476</v>
      </c>
      <c r="AA1826" s="34" t="s">
        <v>7476</v>
      </c>
      <c r="AB1826" s="36" t="s">
        <v>7476</v>
      </c>
      <c r="AD1826" t="s">
        <v>5679</v>
      </c>
      <c r="AE1826" t="s">
        <v>5680</v>
      </c>
      <c r="AG1826" t="s">
        <v>64</v>
      </c>
      <c r="AH1826">
        <v>3</v>
      </c>
      <c r="AI1826" s="8" t="str">
        <f t="shared" si="727"/>
        <v/>
      </c>
      <c r="AJ1826" s="8" t="str">
        <f t="shared" si="728"/>
        <v/>
      </c>
      <c r="AK1826" s="38" t="str">
        <f t="shared" si="718"/>
        <v/>
      </c>
      <c r="AL1826" t="str">
        <f t="shared" si="729"/>
        <v/>
      </c>
      <c r="AM1826" t="str">
        <f t="shared" si="730"/>
        <v/>
      </c>
      <c r="AN1826" t="str">
        <f t="shared" si="731"/>
        <v/>
      </c>
      <c r="AO1826">
        <f t="shared" si="732"/>
        <v>4</v>
      </c>
      <c r="AP1826">
        <f t="shared" si="733"/>
        <v>0</v>
      </c>
      <c r="AQ1826" t="str">
        <f t="shared" si="734"/>
        <v/>
      </c>
    </row>
    <row r="1827" spans="1:43" x14ac:dyDescent="0.35">
      <c r="A1827">
        <v>868</v>
      </c>
      <c r="B1827" t="s">
        <v>5681</v>
      </c>
      <c r="C1827" t="s">
        <v>4471</v>
      </c>
      <c r="D1827" t="str">
        <f t="shared" si="716"/>
        <v>Finance</v>
      </c>
      <c r="E1827" t="s">
        <v>5621</v>
      </c>
      <c r="F1827" t="s">
        <v>5662</v>
      </c>
      <c r="G1827" t="s">
        <v>5663</v>
      </c>
      <c r="H1827" t="s">
        <v>80</v>
      </c>
      <c r="I1827" s="32">
        <v>45124.103344907409</v>
      </c>
      <c r="J1827" s="32">
        <v>45125.103344907409</v>
      </c>
      <c r="K1827" s="32">
        <v>45131.103344907409</v>
      </c>
      <c r="L1827" s="8">
        <f t="shared" si="717"/>
        <v>7</v>
      </c>
      <c r="M1827" s="7">
        <v>45141.103344907409</v>
      </c>
      <c r="N1827" t="s">
        <v>49</v>
      </c>
      <c r="O1827" s="34">
        <v>45136.103344907409</v>
      </c>
      <c r="P1827" t="s">
        <v>50</v>
      </c>
      <c r="Q1827" t="s">
        <v>125</v>
      </c>
      <c r="R1827" s="32" t="s">
        <v>7472</v>
      </c>
      <c r="S1827" t="s">
        <v>7476</v>
      </c>
      <c r="T1827" s="34" t="s">
        <v>7476</v>
      </c>
      <c r="U1827" s="34" t="s">
        <v>7476</v>
      </c>
      <c r="V1827" s="32">
        <v>45139.103344907409</v>
      </c>
      <c r="W1827" s="32" t="s">
        <v>7476</v>
      </c>
      <c r="X1827">
        <v>0</v>
      </c>
      <c r="Y1827" s="34" t="s">
        <v>7476</v>
      </c>
      <c r="Z1827" s="34" t="s">
        <v>7476</v>
      </c>
      <c r="AA1827" s="34" t="s">
        <v>7476</v>
      </c>
      <c r="AB1827" s="36" t="s">
        <v>52</v>
      </c>
      <c r="AD1827" t="s">
        <v>5682</v>
      </c>
      <c r="AE1827" t="s">
        <v>5683</v>
      </c>
      <c r="AF1827" s="16">
        <v>45122</v>
      </c>
      <c r="AG1827" t="s">
        <v>98</v>
      </c>
      <c r="AH1827">
        <v>6</v>
      </c>
      <c r="AI1827" s="8" t="str">
        <f t="shared" si="727"/>
        <v/>
      </c>
      <c r="AJ1827" s="8">
        <f t="shared" si="728"/>
        <v>14.103344907409337</v>
      </c>
      <c r="AK1827" s="38">
        <f t="shared" si="718"/>
        <v>45319.103344907409</v>
      </c>
      <c r="AL1827" t="str">
        <f t="shared" si="729"/>
        <v/>
      </c>
      <c r="AM1827" t="str">
        <f t="shared" si="730"/>
        <v/>
      </c>
      <c r="AN1827">
        <f t="shared" si="731"/>
        <v>3</v>
      </c>
      <c r="AO1827">
        <f t="shared" si="732"/>
        <v>1</v>
      </c>
      <c r="AP1827">
        <f t="shared" si="733"/>
        <v>0</v>
      </c>
      <c r="AQ1827" t="str">
        <f t="shared" si="734"/>
        <v/>
      </c>
    </row>
    <row r="1828" spans="1:43" x14ac:dyDescent="0.35">
      <c r="A1828">
        <v>867</v>
      </c>
      <c r="B1828" t="s">
        <v>5684</v>
      </c>
      <c r="C1828" t="s">
        <v>4471</v>
      </c>
      <c r="D1828" t="str">
        <f t="shared" si="716"/>
        <v>Finance</v>
      </c>
      <c r="E1828" t="s">
        <v>5621</v>
      </c>
      <c r="F1828" t="s">
        <v>5662</v>
      </c>
      <c r="G1828" t="s">
        <v>5663</v>
      </c>
      <c r="H1828" t="s">
        <v>80</v>
      </c>
      <c r="I1828" s="32">
        <v>45123.103344907409</v>
      </c>
      <c r="J1828" s="32">
        <v>45126.103344907409</v>
      </c>
      <c r="K1828" s="32">
        <v>45131.103344907409</v>
      </c>
      <c r="L1828" s="8">
        <f t="shared" si="717"/>
        <v>8</v>
      </c>
      <c r="M1828" s="7">
        <v>45158.103344907409</v>
      </c>
      <c r="N1828" t="s">
        <v>49</v>
      </c>
      <c r="O1828" s="34">
        <v>45141.103344907409</v>
      </c>
      <c r="P1828" t="s">
        <v>101</v>
      </c>
      <c r="R1828" s="32">
        <v>45145.103344907409</v>
      </c>
      <c r="S1828" t="s">
        <v>101</v>
      </c>
      <c r="T1828" s="34">
        <v>45142.103344907409</v>
      </c>
      <c r="U1828" s="34">
        <v>45145.103344907409</v>
      </c>
      <c r="V1828" s="32">
        <v>45142.103344907409</v>
      </c>
      <c r="W1828" s="32">
        <v>45151.103344907409</v>
      </c>
      <c r="X1828">
        <v>1</v>
      </c>
      <c r="Y1828" s="34">
        <v>45152.103344907409</v>
      </c>
      <c r="Z1828" s="34">
        <v>45155.103344907409</v>
      </c>
      <c r="AA1828" s="34">
        <v>45158.103344907409</v>
      </c>
      <c r="AB1828" s="36" t="s">
        <v>7476</v>
      </c>
      <c r="AC1828" s="10">
        <v>45170.103344907409</v>
      </c>
      <c r="AD1828" t="s">
        <v>5685</v>
      </c>
      <c r="AE1828" t="s">
        <v>5686</v>
      </c>
      <c r="AF1828" s="16">
        <v>45127</v>
      </c>
      <c r="AG1828" t="s">
        <v>98</v>
      </c>
      <c r="AH1828">
        <v>3</v>
      </c>
      <c r="AI1828" s="8">
        <f t="shared" si="727"/>
        <v>18.103344907409337</v>
      </c>
      <c r="AJ1828" s="8">
        <f t="shared" si="728"/>
        <v>14.103344907409337</v>
      </c>
      <c r="AK1828" s="38">
        <f t="shared" si="718"/>
        <v>45232.103344907409</v>
      </c>
      <c r="AL1828">
        <f t="shared" si="729"/>
        <v>4</v>
      </c>
      <c r="AM1828">
        <f t="shared" si="730"/>
        <v>19</v>
      </c>
      <c r="AN1828">
        <f t="shared" si="731"/>
        <v>1</v>
      </c>
      <c r="AO1828">
        <f t="shared" si="732"/>
        <v>3</v>
      </c>
      <c r="AP1828">
        <f t="shared" si="733"/>
        <v>45169.103344907409</v>
      </c>
      <c r="AQ1828">
        <f t="shared" si="734"/>
        <v>7</v>
      </c>
    </row>
    <row r="1829" spans="1:43" x14ac:dyDescent="0.35">
      <c r="A1829">
        <v>857</v>
      </c>
      <c r="B1829" t="s">
        <v>5687</v>
      </c>
      <c r="C1829" t="s">
        <v>4480</v>
      </c>
      <c r="D1829" t="str">
        <f t="shared" si="716"/>
        <v>Finance</v>
      </c>
      <c r="E1829" t="s">
        <v>5621</v>
      </c>
      <c r="F1829" t="s">
        <v>5662</v>
      </c>
      <c r="G1829" t="s">
        <v>5663</v>
      </c>
      <c r="H1829" t="s">
        <v>80</v>
      </c>
      <c r="I1829" s="32">
        <v>44957.002604166657</v>
      </c>
      <c r="J1829" s="32">
        <v>44961.002604166657</v>
      </c>
      <c r="K1829" s="32">
        <v>44964.002604166657</v>
      </c>
      <c r="L1829" s="8">
        <f t="shared" si="717"/>
        <v>7</v>
      </c>
      <c r="M1829" s="7">
        <v>44985.002604166657</v>
      </c>
      <c r="N1829" t="s">
        <v>49</v>
      </c>
      <c r="O1829" s="34">
        <v>44973.002604166657</v>
      </c>
      <c r="P1829" t="s">
        <v>101</v>
      </c>
      <c r="R1829" s="32">
        <v>44977.002604166657</v>
      </c>
      <c r="S1829" t="s">
        <v>101</v>
      </c>
      <c r="T1829" s="34">
        <v>44975.002604166657</v>
      </c>
      <c r="U1829" s="34">
        <v>44977.002604166657</v>
      </c>
      <c r="V1829" s="32">
        <v>44976.002604166657</v>
      </c>
      <c r="W1829" s="32">
        <v>44980.002604166657</v>
      </c>
      <c r="X1829">
        <v>1</v>
      </c>
      <c r="Y1829" s="34">
        <v>44984.002604166657</v>
      </c>
      <c r="Z1829" s="34">
        <v>44987.002604166657</v>
      </c>
      <c r="AA1829" s="34">
        <v>44989.002604166657</v>
      </c>
      <c r="AB1829" s="36" t="s">
        <v>7476</v>
      </c>
      <c r="AC1829" s="10">
        <v>45006.002604166657</v>
      </c>
      <c r="AD1829" t="s">
        <v>5688</v>
      </c>
      <c r="AE1829" t="s">
        <v>5689</v>
      </c>
      <c r="AF1829" s="16">
        <v>44962</v>
      </c>
      <c r="AG1829" t="s">
        <v>64</v>
      </c>
      <c r="AH1829">
        <v>6</v>
      </c>
      <c r="AI1829" s="8">
        <f t="shared" si="727"/>
        <v>15.002604166656965</v>
      </c>
      <c r="AJ1829" s="8">
        <f t="shared" si="728"/>
        <v>11.002604166656965</v>
      </c>
      <c r="AK1829" s="38">
        <f t="shared" si="718"/>
        <v>45156.002604166657</v>
      </c>
      <c r="AL1829">
        <f t="shared" si="729"/>
        <v>7</v>
      </c>
      <c r="AM1829">
        <f t="shared" si="730"/>
        <v>16</v>
      </c>
      <c r="AN1829">
        <f t="shared" si="731"/>
        <v>3</v>
      </c>
      <c r="AO1829">
        <f t="shared" si="732"/>
        <v>4</v>
      </c>
      <c r="AP1829">
        <f t="shared" si="733"/>
        <v>45005.002604166657</v>
      </c>
      <c r="AQ1829">
        <f t="shared" si="734"/>
        <v>9</v>
      </c>
    </row>
    <row r="1830" spans="1:43" x14ac:dyDescent="0.35">
      <c r="A1830">
        <v>854</v>
      </c>
      <c r="B1830" t="s">
        <v>5690</v>
      </c>
      <c r="C1830" t="s">
        <v>4502</v>
      </c>
      <c r="D1830" t="str">
        <f t="shared" si="716"/>
        <v>Finance</v>
      </c>
      <c r="E1830" t="s">
        <v>5621</v>
      </c>
      <c r="F1830" t="s">
        <v>5662</v>
      </c>
      <c r="G1830" t="s">
        <v>5663</v>
      </c>
      <c r="H1830" t="s">
        <v>80</v>
      </c>
      <c r="I1830" s="32">
        <v>44955.002604166657</v>
      </c>
      <c r="J1830" s="32">
        <v>44958.002604166657</v>
      </c>
      <c r="K1830" s="32">
        <v>44964.002604166657</v>
      </c>
      <c r="L1830" s="8">
        <f t="shared" si="717"/>
        <v>9</v>
      </c>
      <c r="M1830" s="7">
        <v>44977.002604166657</v>
      </c>
      <c r="N1830" t="s">
        <v>72</v>
      </c>
      <c r="O1830" s="34" t="s">
        <v>7474</v>
      </c>
      <c r="R1830" s="32" t="s">
        <v>7472</v>
      </c>
      <c r="S1830" t="s">
        <v>7476</v>
      </c>
      <c r="T1830" s="34" t="s">
        <v>7476</v>
      </c>
      <c r="U1830" s="34" t="s">
        <v>7476</v>
      </c>
      <c r="V1830" s="32" t="s">
        <v>7476</v>
      </c>
      <c r="W1830" s="32" t="s">
        <v>7476</v>
      </c>
      <c r="X1830">
        <v>0</v>
      </c>
      <c r="Y1830" s="34" t="s">
        <v>7476</v>
      </c>
      <c r="Z1830" s="34" t="s">
        <v>7476</v>
      </c>
      <c r="AA1830" s="34" t="s">
        <v>7476</v>
      </c>
      <c r="AB1830" s="36" t="s">
        <v>7476</v>
      </c>
      <c r="AD1830" t="s">
        <v>5691</v>
      </c>
      <c r="AE1830" t="s">
        <v>5692</v>
      </c>
      <c r="AG1830" t="s">
        <v>98</v>
      </c>
      <c r="AH1830">
        <v>6</v>
      </c>
      <c r="AI1830" s="8" t="str">
        <f t="shared" si="727"/>
        <v/>
      </c>
      <c r="AJ1830" s="8" t="str">
        <f t="shared" si="728"/>
        <v/>
      </c>
      <c r="AK1830" s="38" t="str">
        <f t="shared" si="718"/>
        <v/>
      </c>
      <c r="AL1830" t="str">
        <f t="shared" si="729"/>
        <v/>
      </c>
      <c r="AM1830" t="str">
        <f t="shared" si="730"/>
        <v/>
      </c>
      <c r="AN1830" t="str">
        <f t="shared" si="731"/>
        <v/>
      </c>
      <c r="AO1830">
        <f t="shared" si="732"/>
        <v>3</v>
      </c>
      <c r="AP1830">
        <f t="shared" si="733"/>
        <v>0</v>
      </c>
      <c r="AQ1830" t="str">
        <f t="shared" si="734"/>
        <v/>
      </c>
    </row>
    <row r="1831" spans="1:43" x14ac:dyDescent="0.35">
      <c r="A1831">
        <v>853</v>
      </c>
      <c r="B1831" t="s">
        <v>5693</v>
      </c>
      <c r="C1831" t="s">
        <v>4502</v>
      </c>
      <c r="D1831" t="str">
        <f t="shared" si="716"/>
        <v>Finance</v>
      </c>
      <c r="E1831" t="s">
        <v>5621</v>
      </c>
      <c r="F1831" t="s">
        <v>5662</v>
      </c>
      <c r="G1831" t="s">
        <v>5663</v>
      </c>
      <c r="H1831" t="s">
        <v>80</v>
      </c>
      <c r="I1831" s="32">
        <v>44957.002604166657</v>
      </c>
      <c r="J1831" s="32">
        <v>44959.002604166657</v>
      </c>
      <c r="K1831" s="32">
        <v>44964.002604166657</v>
      </c>
      <c r="L1831" s="8">
        <f t="shared" si="717"/>
        <v>7</v>
      </c>
      <c r="M1831" s="7">
        <v>44973.002604166657</v>
      </c>
      <c r="N1831" t="s">
        <v>49</v>
      </c>
      <c r="O1831" s="34">
        <v>44979.002604166657</v>
      </c>
      <c r="P1831" t="s">
        <v>101</v>
      </c>
      <c r="R1831" s="32">
        <v>44983.002604166657</v>
      </c>
      <c r="S1831" t="s">
        <v>101</v>
      </c>
      <c r="T1831" s="34">
        <v>44981.002604166657</v>
      </c>
      <c r="U1831" s="34">
        <v>44985.002604166657</v>
      </c>
      <c r="V1831" s="32">
        <v>44980.002604166657</v>
      </c>
      <c r="W1831" s="32">
        <v>44984.002604166657</v>
      </c>
      <c r="X1831">
        <v>1</v>
      </c>
      <c r="Y1831" s="34">
        <v>44988.002604166657</v>
      </c>
      <c r="Z1831" s="34">
        <v>44989.002604166657</v>
      </c>
      <c r="AA1831" s="34">
        <v>44991.002604166657</v>
      </c>
      <c r="AB1831" s="36" t="s">
        <v>7476</v>
      </c>
      <c r="AC1831" s="10">
        <v>45008.002604166657</v>
      </c>
      <c r="AD1831" t="s">
        <v>5694</v>
      </c>
      <c r="AE1831" t="s">
        <v>5695</v>
      </c>
      <c r="AF1831" s="16">
        <v>44965</v>
      </c>
      <c r="AG1831" t="s">
        <v>98</v>
      </c>
      <c r="AH1831">
        <v>3</v>
      </c>
      <c r="AI1831" s="8">
        <f t="shared" si="727"/>
        <v>18.002604166656965</v>
      </c>
      <c r="AJ1831" s="8">
        <f t="shared" si="728"/>
        <v>14.002604166656965</v>
      </c>
      <c r="AK1831" s="38">
        <f t="shared" si="718"/>
        <v>45070.002604166657</v>
      </c>
      <c r="AL1831">
        <f t="shared" si="729"/>
        <v>5</v>
      </c>
      <c r="AM1831">
        <f t="shared" si="730"/>
        <v>24</v>
      </c>
      <c r="AN1831">
        <f t="shared" si="731"/>
        <v>1</v>
      </c>
      <c r="AO1831">
        <f t="shared" si="732"/>
        <v>2</v>
      </c>
      <c r="AP1831">
        <f t="shared" si="733"/>
        <v>45007.002604166657</v>
      </c>
      <c r="AQ1831">
        <f t="shared" si="734"/>
        <v>7</v>
      </c>
    </row>
    <row r="1832" spans="1:43" x14ac:dyDescent="0.35">
      <c r="A1832">
        <v>742</v>
      </c>
      <c r="B1832" t="s">
        <v>5696</v>
      </c>
      <c r="C1832" t="s">
        <v>4480</v>
      </c>
      <c r="D1832" t="str">
        <f t="shared" si="716"/>
        <v>Finance</v>
      </c>
      <c r="E1832" t="s">
        <v>5621</v>
      </c>
      <c r="F1832" t="s">
        <v>5662</v>
      </c>
      <c r="G1832" t="s">
        <v>5663</v>
      </c>
      <c r="H1832" t="s">
        <v>80</v>
      </c>
      <c r="I1832" s="32">
        <v>44864.220567129632</v>
      </c>
      <c r="J1832" s="32" t="s">
        <v>7471</v>
      </c>
      <c r="K1832" s="32">
        <v>44874.220567129632</v>
      </c>
      <c r="L1832" s="8">
        <f t="shared" si="717"/>
        <v>10</v>
      </c>
      <c r="M1832" s="7">
        <v>44885.220567129632</v>
      </c>
      <c r="N1832" t="s">
        <v>49</v>
      </c>
      <c r="O1832" s="34">
        <v>44885.220567129632</v>
      </c>
      <c r="P1832" t="s">
        <v>50</v>
      </c>
      <c r="Q1832" t="s">
        <v>198</v>
      </c>
      <c r="R1832" s="32" t="s">
        <v>7472</v>
      </c>
      <c r="S1832" t="s">
        <v>7476</v>
      </c>
      <c r="T1832" s="34" t="s">
        <v>7476</v>
      </c>
      <c r="U1832" s="34" t="s">
        <v>7476</v>
      </c>
      <c r="V1832" s="32" t="s">
        <v>7476</v>
      </c>
      <c r="W1832" s="32" t="s">
        <v>7476</v>
      </c>
      <c r="X1832">
        <v>0</v>
      </c>
      <c r="Y1832" s="34" t="s">
        <v>7476</v>
      </c>
      <c r="Z1832" s="34" t="s">
        <v>7476</v>
      </c>
      <c r="AA1832" s="34" t="s">
        <v>7476</v>
      </c>
      <c r="AB1832" s="36" t="s">
        <v>95</v>
      </c>
      <c r="AD1832" t="s">
        <v>5697</v>
      </c>
      <c r="AE1832" t="s">
        <v>5698</v>
      </c>
      <c r="AF1832" s="16">
        <v>44879</v>
      </c>
      <c r="AG1832" t="s">
        <v>68</v>
      </c>
      <c r="AH1832">
        <v>3</v>
      </c>
      <c r="AK1832" s="38" t="str">
        <f t="shared" si="718"/>
        <v/>
      </c>
    </row>
    <row r="1833" spans="1:43" x14ac:dyDescent="0.35">
      <c r="A1833">
        <v>741</v>
      </c>
      <c r="B1833" t="s">
        <v>5699</v>
      </c>
      <c r="C1833" t="s">
        <v>4471</v>
      </c>
      <c r="D1833" t="str">
        <f t="shared" si="716"/>
        <v>Finance</v>
      </c>
      <c r="E1833" t="s">
        <v>5621</v>
      </c>
      <c r="F1833" t="s">
        <v>5662</v>
      </c>
      <c r="G1833" t="s">
        <v>5663</v>
      </c>
      <c r="H1833" t="s">
        <v>80</v>
      </c>
      <c r="I1833" s="32">
        <v>44869.220567129632</v>
      </c>
      <c r="J1833" s="32">
        <v>44870.220567129632</v>
      </c>
      <c r="K1833" s="32" t="s">
        <v>7473</v>
      </c>
      <c r="L1833" s="8" t="str">
        <f t="shared" si="717"/>
        <v/>
      </c>
      <c r="M1833" s="7">
        <v>44899.220567129632</v>
      </c>
      <c r="N1833" t="s">
        <v>49</v>
      </c>
      <c r="O1833" s="34">
        <v>44892.220567129632</v>
      </c>
      <c r="P1833" t="s">
        <v>392</v>
      </c>
      <c r="R1833" s="32">
        <v>44896.220567129632</v>
      </c>
      <c r="S1833" t="s">
        <v>392</v>
      </c>
      <c r="T1833" s="34" t="s">
        <v>7476</v>
      </c>
      <c r="U1833" s="34" t="s">
        <v>7476</v>
      </c>
      <c r="V1833" s="32">
        <v>44894.220567129632</v>
      </c>
      <c r="W1833" s="32" t="s">
        <v>7476</v>
      </c>
      <c r="X1833">
        <v>0</v>
      </c>
      <c r="Y1833" s="34" t="s">
        <v>7476</v>
      </c>
      <c r="Z1833" s="34" t="s">
        <v>7476</v>
      </c>
      <c r="AA1833" s="34" t="s">
        <v>7476</v>
      </c>
      <c r="AB1833" s="36" t="s">
        <v>7476</v>
      </c>
      <c r="AD1833" t="s">
        <v>5700</v>
      </c>
      <c r="AE1833" t="s">
        <v>5701</v>
      </c>
      <c r="AF1833" s="16">
        <v>44880</v>
      </c>
      <c r="AG1833" t="s">
        <v>98</v>
      </c>
      <c r="AH1833">
        <v>3</v>
      </c>
      <c r="AK1833" s="38">
        <f t="shared" si="718"/>
        <v>44984.220567129632</v>
      </c>
    </row>
    <row r="1834" spans="1:43" x14ac:dyDescent="0.35">
      <c r="A1834">
        <v>709</v>
      </c>
      <c r="B1834" t="s">
        <v>5702</v>
      </c>
      <c r="C1834" t="s">
        <v>4480</v>
      </c>
      <c r="D1834" t="str">
        <f t="shared" si="716"/>
        <v>Finance</v>
      </c>
      <c r="E1834" t="s">
        <v>5621</v>
      </c>
      <c r="F1834" t="s">
        <v>5662</v>
      </c>
      <c r="G1834" t="s">
        <v>5663</v>
      </c>
      <c r="H1834" t="s">
        <v>80</v>
      </c>
      <c r="I1834" s="32">
        <v>45113.640983796293</v>
      </c>
      <c r="J1834" s="32">
        <v>45117.640983796293</v>
      </c>
      <c r="K1834" s="32">
        <v>45121.640983796293</v>
      </c>
      <c r="L1834" s="8">
        <f t="shared" si="717"/>
        <v>8</v>
      </c>
      <c r="M1834" s="7">
        <v>45147.640983796293</v>
      </c>
      <c r="N1834" t="s">
        <v>49</v>
      </c>
      <c r="O1834" s="34">
        <v>45136.640983796293</v>
      </c>
      <c r="P1834" t="s">
        <v>50</v>
      </c>
      <c r="Q1834" t="s">
        <v>198</v>
      </c>
      <c r="R1834" s="32" t="s">
        <v>7472</v>
      </c>
      <c r="S1834" t="s">
        <v>7476</v>
      </c>
      <c r="T1834" s="34" t="s">
        <v>7476</v>
      </c>
      <c r="U1834" s="34" t="s">
        <v>7476</v>
      </c>
      <c r="V1834" s="32">
        <v>45140.640983796293</v>
      </c>
      <c r="W1834" s="32" t="s">
        <v>7476</v>
      </c>
      <c r="X1834">
        <v>0</v>
      </c>
      <c r="Y1834" s="34" t="s">
        <v>7476</v>
      </c>
      <c r="Z1834" s="34" t="s">
        <v>7476</v>
      </c>
      <c r="AA1834" s="34" t="s">
        <v>7476</v>
      </c>
      <c r="AB1834" s="36" t="s">
        <v>52</v>
      </c>
      <c r="AD1834" t="s">
        <v>5703</v>
      </c>
      <c r="AE1834" t="s">
        <v>5704</v>
      </c>
      <c r="AF1834" s="16">
        <v>45123</v>
      </c>
      <c r="AG1834" t="s">
        <v>68</v>
      </c>
      <c r="AH1834">
        <v>3</v>
      </c>
      <c r="AI1834" s="8" t="str">
        <f>IFERROR(R1834-AF1834,"")</f>
        <v/>
      </c>
      <c r="AJ1834" s="8">
        <f>IFERROR(O1834-AF1834,"")</f>
        <v>13.640983796292858</v>
      </c>
      <c r="AK1834" s="38">
        <f t="shared" si="718"/>
        <v>45230.640983796293</v>
      </c>
      <c r="AL1834" t="str">
        <f>IFERROR(Z1834-W1834,"")</f>
        <v/>
      </c>
      <c r="AM1834" t="str">
        <f>IFERROR(R1834-J1834,"")</f>
        <v/>
      </c>
      <c r="AN1834">
        <f>IFERROR(V1834-O1834,"")</f>
        <v>4</v>
      </c>
      <c r="AO1834">
        <f>IFERROR(J1834-I1834,"")</f>
        <v>4</v>
      </c>
      <c r="AP1834">
        <f>IFERROR(AC1834-X1834,"")</f>
        <v>0</v>
      </c>
      <c r="AQ1834" t="str">
        <f>IFERROR(AA1834-W1834,"")</f>
        <v/>
      </c>
    </row>
    <row r="1835" spans="1:43" x14ac:dyDescent="0.35">
      <c r="A1835">
        <v>708</v>
      </c>
      <c r="B1835" t="s">
        <v>5705</v>
      </c>
      <c r="C1835" t="s">
        <v>4480</v>
      </c>
      <c r="D1835" t="str">
        <f t="shared" si="716"/>
        <v>Finance</v>
      </c>
      <c r="E1835" t="s">
        <v>5621</v>
      </c>
      <c r="F1835" t="s">
        <v>5662</v>
      </c>
      <c r="G1835" t="s">
        <v>5663</v>
      </c>
      <c r="H1835" t="s">
        <v>80</v>
      </c>
      <c r="I1835" s="32">
        <v>45114.640983796293</v>
      </c>
      <c r="J1835" s="32" t="s">
        <v>7471</v>
      </c>
      <c r="K1835" s="32">
        <v>45121.640983796293</v>
      </c>
      <c r="L1835" s="8">
        <f t="shared" si="717"/>
        <v>7</v>
      </c>
      <c r="M1835" s="7">
        <v>45147.640983796293</v>
      </c>
      <c r="N1835" t="s">
        <v>49</v>
      </c>
      <c r="O1835" s="34">
        <v>45128.640983796293</v>
      </c>
      <c r="P1835" t="s">
        <v>60</v>
      </c>
      <c r="R1835" s="32">
        <v>45131.640983796293</v>
      </c>
      <c r="S1835" t="s">
        <v>61</v>
      </c>
      <c r="T1835" s="34" t="s">
        <v>7476</v>
      </c>
      <c r="U1835" s="34" t="s">
        <v>7476</v>
      </c>
      <c r="V1835" s="32">
        <v>45130.640983796293</v>
      </c>
      <c r="W1835" s="32" t="s">
        <v>7476</v>
      </c>
      <c r="X1835">
        <v>0</v>
      </c>
      <c r="Y1835" s="34" t="s">
        <v>7476</v>
      </c>
      <c r="Z1835" s="34" t="s">
        <v>7476</v>
      </c>
      <c r="AA1835" s="34" t="s">
        <v>7476</v>
      </c>
      <c r="AB1835" s="36" t="s">
        <v>7476</v>
      </c>
      <c r="AD1835" t="s">
        <v>5706</v>
      </c>
      <c r="AE1835" t="s">
        <v>5707</v>
      </c>
      <c r="AF1835" s="16">
        <v>45120</v>
      </c>
      <c r="AG1835" t="s">
        <v>55</v>
      </c>
      <c r="AH1835">
        <v>6</v>
      </c>
      <c r="AK1835" s="38">
        <f t="shared" si="718"/>
        <v>45310.640983796293</v>
      </c>
    </row>
    <row r="1836" spans="1:43" x14ac:dyDescent="0.35">
      <c r="A1836">
        <v>706</v>
      </c>
      <c r="B1836" t="s">
        <v>5708</v>
      </c>
      <c r="C1836" t="s">
        <v>4480</v>
      </c>
      <c r="D1836" t="str">
        <f t="shared" si="716"/>
        <v>Finance</v>
      </c>
      <c r="E1836" t="s">
        <v>5621</v>
      </c>
      <c r="F1836" t="s">
        <v>5662</v>
      </c>
      <c r="G1836" t="s">
        <v>5663</v>
      </c>
      <c r="H1836" t="s">
        <v>80</v>
      </c>
      <c r="I1836" s="32">
        <v>45115.640983796293</v>
      </c>
      <c r="J1836" s="32">
        <v>45117.640983796293</v>
      </c>
      <c r="K1836" s="32" t="s">
        <v>7473</v>
      </c>
      <c r="L1836" s="8" t="str">
        <f t="shared" si="717"/>
        <v/>
      </c>
      <c r="M1836" s="7">
        <v>45134.640983796293</v>
      </c>
      <c r="N1836" t="s">
        <v>49</v>
      </c>
      <c r="O1836" s="34">
        <v>45126.640983796293</v>
      </c>
      <c r="P1836" t="s">
        <v>392</v>
      </c>
      <c r="R1836" s="32">
        <v>45130.640983796293</v>
      </c>
      <c r="S1836" t="s">
        <v>392</v>
      </c>
      <c r="T1836" s="34" t="s">
        <v>7476</v>
      </c>
      <c r="U1836" s="34" t="s">
        <v>7476</v>
      </c>
      <c r="V1836" s="32">
        <v>45128.640983796293</v>
      </c>
      <c r="W1836" s="32" t="s">
        <v>7476</v>
      </c>
      <c r="X1836">
        <v>0</v>
      </c>
      <c r="Y1836" s="34" t="s">
        <v>7476</v>
      </c>
      <c r="Z1836" s="34" t="s">
        <v>7476</v>
      </c>
      <c r="AA1836" s="34" t="s">
        <v>7476</v>
      </c>
      <c r="AB1836" s="36" t="s">
        <v>7476</v>
      </c>
      <c r="AD1836" t="s">
        <v>5709</v>
      </c>
      <c r="AE1836" t="s">
        <v>5710</v>
      </c>
      <c r="AF1836" s="16">
        <v>45121</v>
      </c>
      <c r="AG1836" t="s">
        <v>93</v>
      </c>
      <c r="AH1836">
        <v>6</v>
      </c>
      <c r="AK1836" s="38">
        <f t="shared" si="718"/>
        <v>45308.640983796293</v>
      </c>
    </row>
    <row r="1837" spans="1:43" x14ac:dyDescent="0.35">
      <c r="A1837">
        <v>604</v>
      </c>
      <c r="B1837" t="s">
        <v>5711</v>
      </c>
      <c r="C1837" t="s">
        <v>4480</v>
      </c>
      <c r="D1837" t="str">
        <f t="shared" si="716"/>
        <v>Finance</v>
      </c>
      <c r="E1837" t="s">
        <v>5621</v>
      </c>
      <c r="F1837" t="s">
        <v>5662</v>
      </c>
      <c r="G1837" t="s">
        <v>5663</v>
      </c>
      <c r="H1837" t="s">
        <v>80</v>
      </c>
      <c r="I1837" s="32">
        <v>44568.309340277781</v>
      </c>
      <c r="J1837" s="32">
        <v>44571.309340277781</v>
      </c>
      <c r="K1837" s="32">
        <v>44576.309340277781</v>
      </c>
      <c r="L1837" s="8">
        <f t="shared" si="717"/>
        <v>8</v>
      </c>
      <c r="M1837" s="7">
        <v>44598.309340277781</v>
      </c>
      <c r="N1837" t="s">
        <v>49</v>
      </c>
      <c r="O1837" s="34">
        <v>44588.309340277781</v>
      </c>
      <c r="P1837" t="s">
        <v>392</v>
      </c>
      <c r="R1837" s="32">
        <v>44594.309340277781</v>
      </c>
      <c r="S1837" t="s">
        <v>392</v>
      </c>
      <c r="T1837" s="34" t="s">
        <v>7476</v>
      </c>
      <c r="U1837" s="34" t="s">
        <v>7476</v>
      </c>
      <c r="V1837" s="32">
        <v>44591.309340277781</v>
      </c>
      <c r="W1837" s="32" t="s">
        <v>7476</v>
      </c>
      <c r="X1837">
        <v>0</v>
      </c>
      <c r="Y1837" s="34" t="s">
        <v>7476</v>
      </c>
      <c r="Z1837" s="34" t="s">
        <v>7476</v>
      </c>
      <c r="AA1837" s="34" t="s">
        <v>7476</v>
      </c>
      <c r="AB1837" s="36" t="s">
        <v>7476</v>
      </c>
      <c r="AD1837" t="s">
        <v>5712</v>
      </c>
      <c r="AE1837" t="s">
        <v>5713</v>
      </c>
      <c r="AF1837" s="16">
        <v>44569</v>
      </c>
      <c r="AG1837" t="s">
        <v>68</v>
      </c>
      <c r="AH1837">
        <v>6</v>
      </c>
      <c r="AI1837" s="8">
        <f>IFERROR(R1837-AF1837,"")</f>
        <v>25.309340277781303</v>
      </c>
      <c r="AJ1837" s="8">
        <f>IFERROR(O1837-AF1837,"")</f>
        <v>19.309340277781303</v>
      </c>
      <c r="AK1837" s="38">
        <f t="shared" si="718"/>
        <v>44771.309340277781</v>
      </c>
      <c r="AL1837" t="str">
        <f>IFERROR(Z1837-W1837,"")</f>
        <v/>
      </c>
      <c r="AM1837">
        <f>IFERROR(R1837-J1837,"")</f>
        <v>23</v>
      </c>
      <c r="AN1837">
        <f>IFERROR(V1837-O1837,"")</f>
        <v>3</v>
      </c>
      <c r="AO1837">
        <f>IFERROR(J1837-I1837,"")</f>
        <v>3</v>
      </c>
      <c r="AP1837">
        <f>IFERROR(AC1837-X1837,"")</f>
        <v>0</v>
      </c>
      <c r="AQ1837" t="str">
        <f>IFERROR(AA1837-W1837,"")</f>
        <v/>
      </c>
    </row>
    <row r="1838" spans="1:43" x14ac:dyDescent="0.35">
      <c r="A1838">
        <v>603</v>
      </c>
      <c r="B1838" t="s">
        <v>5714</v>
      </c>
      <c r="C1838" t="s">
        <v>4480</v>
      </c>
      <c r="D1838" t="str">
        <f t="shared" si="716"/>
        <v>Finance</v>
      </c>
      <c r="E1838" t="s">
        <v>5621</v>
      </c>
      <c r="F1838" t="s">
        <v>5662</v>
      </c>
      <c r="G1838" t="s">
        <v>5663</v>
      </c>
      <c r="H1838" t="s">
        <v>80</v>
      </c>
      <c r="I1838" s="32">
        <v>44572.309340277781</v>
      </c>
      <c r="J1838" s="32">
        <v>44573.309340277781</v>
      </c>
      <c r="K1838" s="32">
        <v>44576.309340277781</v>
      </c>
      <c r="L1838" s="8">
        <f t="shared" si="717"/>
        <v>4</v>
      </c>
      <c r="M1838" s="7">
        <v>44591.309340277781</v>
      </c>
      <c r="N1838" t="s">
        <v>49</v>
      </c>
      <c r="O1838" s="34">
        <v>44589.309340277781</v>
      </c>
      <c r="P1838" t="s">
        <v>101</v>
      </c>
      <c r="R1838" s="32">
        <v>44597.309340277781</v>
      </c>
      <c r="S1838" t="s">
        <v>101</v>
      </c>
      <c r="T1838" s="34">
        <v>44590.309340277781</v>
      </c>
      <c r="U1838" s="34">
        <v>44592.309340277781</v>
      </c>
      <c r="V1838" s="32">
        <v>44593.309340277781</v>
      </c>
      <c r="W1838" s="32">
        <v>44601.309340277781</v>
      </c>
      <c r="X1838">
        <v>1</v>
      </c>
      <c r="Y1838" s="34">
        <v>44603.309340277781</v>
      </c>
      <c r="Z1838" s="34">
        <v>44604.309340277781</v>
      </c>
      <c r="AA1838" s="34">
        <v>44606.309340277781</v>
      </c>
      <c r="AB1838" s="36" t="s">
        <v>7476</v>
      </c>
      <c r="AC1838" s="10">
        <v>44617.309340277781</v>
      </c>
      <c r="AD1838" t="s">
        <v>5715</v>
      </c>
      <c r="AE1838" t="s">
        <v>5716</v>
      </c>
      <c r="AF1838" s="16">
        <v>44571</v>
      </c>
      <c r="AG1838" t="s">
        <v>98</v>
      </c>
      <c r="AH1838">
        <v>3</v>
      </c>
      <c r="AI1838" s="8">
        <f>IFERROR(R1838-AF1838,"")</f>
        <v>26.309340277781303</v>
      </c>
      <c r="AJ1838" s="8">
        <f>IFERROR(O1838-AF1838,"")</f>
        <v>18.309340277781303</v>
      </c>
      <c r="AK1838" s="38">
        <f t="shared" si="718"/>
        <v>44683.309340277781</v>
      </c>
      <c r="AL1838">
        <f>IFERROR(Z1838-W1838,"")</f>
        <v>3</v>
      </c>
      <c r="AM1838">
        <f>IFERROR(R1838-J1838,"")</f>
        <v>24</v>
      </c>
      <c r="AN1838">
        <f>IFERROR(V1838-O1838,"")</f>
        <v>4</v>
      </c>
      <c r="AO1838">
        <f>IFERROR(J1838-I1838,"")</f>
        <v>1</v>
      </c>
      <c r="AP1838">
        <f>IFERROR(AC1838-X1838,"")</f>
        <v>44616.309340277781</v>
      </c>
      <c r="AQ1838">
        <f>IFERROR(AA1838-W1838,"")</f>
        <v>5</v>
      </c>
    </row>
    <row r="1839" spans="1:43" x14ac:dyDescent="0.35">
      <c r="A1839">
        <v>602</v>
      </c>
      <c r="B1839" t="s">
        <v>5717</v>
      </c>
      <c r="C1839" t="s">
        <v>4502</v>
      </c>
      <c r="D1839" t="str">
        <f t="shared" si="716"/>
        <v>Finance</v>
      </c>
      <c r="E1839" t="s">
        <v>5621</v>
      </c>
      <c r="F1839" t="s">
        <v>5662</v>
      </c>
      <c r="G1839" t="s">
        <v>5663</v>
      </c>
      <c r="H1839" t="s">
        <v>80</v>
      </c>
      <c r="I1839" s="32">
        <v>44571.309340277781</v>
      </c>
      <c r="J1839" s="32">
        <v>44574.309340277781</v>
      </c>
      <c r="K1839" s="32" t="s">
        <v>7473</v>
      </c>
      <c r="L1839" s="8" t="str">
        <f t="shared" si="717"/>
        <v/>
      </c>
      <c r="M1839" s="7">
        <v>44586.309340277781</v>
      </c>
      <c r="N1839" t="s">
        <v>49</v>
      </c>
      <c r="O1839" s="34">
        <v>44586.309340277781</v>
      </c>
      <c r="P1839" t="s">
        <v>60</v>
      </c>
      <c r="R1839" s="32">
        <v>44591.309340277781</v>
      </c>
      <c r="S1839" t="s">
        <v>61</v>
      </c>
      <c r="T1839" s="34" t="s">
        <v>7476</v>
      </c>
      <c r="U1839" s="34" t="s">
        <v>7476</v>
      </c>
      <c r="V1839" s="32">
        <v>44588.309340277781</v>
      </c>
      <c r="W1839" s="32" t="s">
        <v>7476</v>
      </c>
      <c r="X1839">
        <v>0</v>
      </c>
      <c r="Y1839" s="34" t="s">
        <v>7476</v>
      </c>
      <c r="Z1839" s="34" t="s">
        <v>7476</v>
      </c>
      <c r="AA1839" s="34" t="s">
        <v>7476</v>
      </c>
      <c r="AB1839" s="36" t="s">
        <v>7476</v>
      </c>
      <c r="AD1839" t="s">
        <v>5718</v>
      </c>
      <c r="AE1839" t="s">
        <v>5719</v>
      </c>
      <c r="AF1839" s="16">
        <v>44576</v>
      </c>
      <c r="AG1839" t="s">
        <v>98</v>
      </c>
      <c r="AH1839">
        <v>3</v>
      </c>
      <c r="AK1839" s="38">
        <f t="shared" si="718"/>
        <v>44678.309340277781</v>
      </c>
    </row>
    <row r="1840" spans="1:43" x14ac:dyDescent="0.35">
      <c r="A1840">
        <v>598</v>
      </c>
      <c r="B1840" t="s">
        <v>5720</v>
      </c>
      <c r="C1840" t="s">
        <v>4480</v>
      </c>
      <c r="D1840" t="str">
        <f t="shared" si="716"/>
        <v>Finance</v>
      </c>
      <c r="E1840" t="s">
        <v>5621</v>
      </c>
      <c r="F1840" t="s">
        <v>5662</v>
      </c>
      <c r="G1840" t="s">
        <v>5663</v>
      </c>
      <c r="H1840" t="s">
        <v>80</v>
      </c>
      <c r="I1840" s="32">
        <v>44880.821550925917</v>
      </c>
      <c r="J1840" s="32">
        <v>44884.821550925917</v>
      </c>
      <c r="K1840" s="32">
        <v>44886.821550925917</v>
      </c>
      <c r="L1840" s="8">
        <f t="shared" si="717"/>
        <v>6</v>
      </c>
      <c r="M1840" s="7">
        <v>44916.821550925917</v>
      </c>
      <c r="N1840" t="s">
        <v>49</v>
      </c>
      <c r="O1840" s="34">
        <v>44892.821550925917</v>
      </c>
      <c r="P1840" t="s">
        <v>101</v>
      </c>
      <c r="R1840" s="32">
        <v>44895.821550925917</v>
      </c>
      <c r="S1840" t="s">
        <v>101</v>
      </c>
      <c r="T1840" s="34">
        <v>44894.821550925917</v>
      </c>
      <c r="U1840" s="34">
        <v>44895.821550925917</v>
      </c>
      <c r="V1840" s="32">
        <v>44893.821550925917</v>
      </c>
      <c r="W1840" s="32">
        <v>44898.821550925917</v>
      </c>
      <c r="X1840">
        <v>1</v>
      </c>
      <c r="Y1840" s="34">
        <v>44902.821550925917</v>
      </c>
      <c r="Z1840" s="34">
        <v>44905.821550925917</v>
      </c>
      <c r="AA1840" s="34">
        <v>44907.821550925917</v>
      </c>
      <c r="AB1840" s="36" t="s">
        <v>7476</v>
      </c>
      <c r="AC1840" s="10">
        <v>44919.821550925917</v>
      </c>
      <c r="AD1840" t="s">
        <v>5721</v>
      </c>
      <c r="AE1840" t="s">
        <v>5722</v>
      </c>
      <c r="AF1840" s="16">
        <v>44882</v>
      </c>
      <c r="AG1840" t="s">
        <v>68</v>
      </c>
      <c r="AH1840">
        <v>3</v>
      </c>
      <c r="AI1840" s="8">
        <f t="shared" ref="AI1840:AI1846" si="735">IFERROR(R1840-AF1840,"")</f>
        <v>13.821550925917109</v>
      </c>
      <c r="AJ1840" s="8">
        <f t="shared" ref="AJ1840:AJ1846" si="736">IFERROR(O1840-AF1840,"")</f>
        <v>10.821550925917109</v>
      </c>
      <c r="AK1840" s="38">
        <f t="shared" si="718"/>
        <v>44983.821550925917</v>
      </c>
      <c r="AL1840">
        <f t="shared" ref="AL1840:AL1846" si="737">IFERROR(Z1840-W1840,"")</f>
        <v>7</v>
      </c>
      <c r="AM1840">
        <f t="shared" ref="AM1840:AM1846" si="738">IFERROR(R1840-J1840,"")</f>
        <v>11</v>
      </c>
      <c r="AN1840">
        <f t="shared" ref="AN1840:AN1846" si="739">IFERROR(V1840-O1840,"")</f>
        <v>1</v>
      </c>
      <c r="AO1840">
        <f t="shared" ref="AO1840:AO1846" si="740">IFERROR(J1840-I1840,"")</f>
        <v>4</v>
      </c>
      <c r="AP1840">
        <f t="shared" ref="AP1840:AP1846" si="741">IFERROR(AC1840-X1840,"")</f>
        <v>44918.821550925917</v>
      </c>
      <c r="AQ1840">
        <f t="shared" ref="AQ1840:AQ1846" si="742">IFERROR(AA1840-W1840,"")</f>
        <v>9</v>
      </c>
    </row>
    <row r="1841" spans="1:43" x14ac:dyDescent="0.35">
      <c r="A1841">
        <v>596</v>
      </c>
      <c r="B1841" t="s">
        <v>5723</v>
      </c>
      <c r="C1841" t="s">
        <v>4502</v>
      </c>
      <c r="D1841" t="str">
        <f t="shared" si="716"/>
        <v>Finance</v>
      </c>
      <c r="E1841" t="s">
        <v>5621</v>
      </c>
      <c r="F1841" t="s">
        <v>5662</v>
      </c>
      <c r="G1841" t="s">
        <v>5663</v>
      </c>
      <c r="H1841" t="s">
        <v>80</v>
      </c>
      <c r="I1841" s="32">
        <v>44878.821550925917</v>
      </c>
      <c r="J1841" s="32">
        <v>44881.821550925917</v>
      </c>
      <c r="K1841" s="32">
        <v>44886.821550925917</v>
      </c>
      <c r="L1841" s="8">
        <f t="shared" si="717"/>
        <v>8</v>
      </c>
      <c r="M1841" s="7">
        <v>44911.821550925917</v>
      </c>
      <c r="N1841" t="s">
        <v>49</v>
      </c>
      <c r="O1841" s="34">
        <v>44895.821550925917</v>
      </c>
      <c r="P1841" t="s">
        <v>101</v>
      </c>
      <c r="R1841" s="32">
        <v>44900.821550925917</v>
      </c>
      <c r="S1841" t="s">
        <v>101</v>
      </c>
      <c r="T1841" s="34">
        <v>44897.821550925917</v>
      </c>
      <c r="U1841" s="34">
        <v>44898.821550925917</v>
      </c>
      <c r="V1841" s="32">
        <v>44898.821550925917</v>
      </c>
      <c r="W1841" s="32">
        <v>44907.821550925917</v>
      </c>
      <c r="X1841">
        <v>1</v>
      </c>
      <c r="Y1841" s="34">
        <v>44909.821550925917</v>
      </c>
      <c r="Z1841" s="34">
        <v>44910.821550925917</v>
      </c>
      <c r="AA1841" s="34">
        <v>44913.821550925917</v>
      </c>
      <c r="AB1841" s="36" t="s">
        <v>7476</v>
      </c>
      <c r="AC1841" s="10">
        <v>44928.821550925917</v>
      </c>
      <c r="AD1841" t="s">
        <v>5724</v>
      </c>
      <c r="AE1841" t="s">
        <v>5725</v>
      </c>
      <c r="AF1841" s="16">
        <v>44889</v>
      </c>
      <c r="AG1841" t="s">
        <v>68</v>
      </c>
      <c r="AH1841">
        <v>3</v>
      </c>
      <c r="AI1841" s="8">
        <f t="shared" si="735"/>
        <v>11.821550925917109</v>
      </c>
      <c r="AJ1841" s="8">
        <f t="shared" si="736"/>
        <v>6.8215509259171085</v>
      </c>
      <c r="AK1841" s="38">
        <f t="shared" si="718"/>
        <v>44988.821550925917</v>
      </c>
      <c r="AL1841">
        <f t="shared" si="737"/>
        <v>3</v>
      </c>
      <c r="AM1841">
        <f t="shared" si="738"/>
        <v>19</v>
      </c>
      <c r="AN1841">
        <f t="shared" si="739"/>
        <v>3</v>
      </c>
      <c r="AO1841">
        <f t="shared" si="740"/>
        <v>3</v>
      </c>
      <c r="AP1841">
        <f t="shared" si="741"/>
        <v>44927.821550925917</v>
      </c>
      <c r="AQ1841">
        <f t="shared" si="742"/>
        <v>6</v>
      </c>
    </row>
    <row r="1842" spans="1:43" x14ac:dyDescent="0.35">
      <c r="A1842">
        <v>593</v>
      </c>
      <c r="B1842" t="s">
        <v>5726</v>
      </c>
      <c r="C1842" t="s">
        <v>4471</v>
      </c>
      <c r="D1842" t="str">
        <f t="shared" si="716"/>
        <v>Finance</v>
      </c>
      <c r="E1842" t="s">
        <v>5621</v>
      </c>
      <c r="F1842" t="s">
        <v>5662</v>
      </c>
      <c r="G1842" t="s">
        <v>5663</v>
      </c>
      <c r="H1842" t="s">
        <v>80</v>
      </c>
      <c r="I1842" s="32">
        <v>44877.821550925917</v>
      </c>
      <c r="J1842" s="32">
        <v>44881.821550925917</v>
      </c>
      <c r="K1842" s="32">
        <v>44886.821550925917</v>
      </c>
      <c r="L1842" s="8">
        <f t="shared" si="717"/>
        <v>9</v>
      </c>
      <c r="M1842" s="7">
        <v>44892.821550925917</v>
      </c>
      <c r="N1842" t="s">
        <v>49</v>
      </c>
      <c r="O1842" s="34">
        <v>44892.821550925917</v>
      </c>
      <c r="P1842" t="s">
        <v>101</v>
      </c>
      <c r="R1842" s="32">
        <v>44898.821550925917</v>
      </c>
      <c r="S1842" t="s">
        <v>101</v>
      </c>
      <c r="T1842" s="34">
        <v>44894.821550925917</v>
      </c>
      <c r="U1842" s="34">
        <v>44896.821550925917</v>
      </c>
      <c r="V1842" s="32">
        <v>44896.821550925917</v>
      </c>
      <c r="W1842" s="32">
        <v>44900.821550925917</v>
      </c>
      <c r="X1842">
        <v>1</v>
      </c>
      <c r="Y1842" s="34">
        <v>44901.821550925917</v>
      </c>
      <c r="Z1842" s="34">
        <v>44902.821550925917</v>
      </c>
      <c r="AA1842" s="34">
        <v>44903.821550925917</v>
      </c>
      <c r="AB1842" s="36" t="s">
        <v>7476</v>
      </c>
      <c r="AC1842" s="10">
        <v>44923.821550925917</v>
      </c>
      <c r="AD1842" t="s">
        <v>5727</v>
      </c>
      <c r="AE1842" t="s">
        <v>5728</v>
      </c>
      <c r="AF1842" s="16">
        <v>44884</v>
      </c>
      <c r="AG1842" t="s">
        <v>98</v>
      </c>
      <c r="AH1842">
        <v>6</v>
      </c>
      <c r="AI1842" s="8">
        <f t="shared" si="735"/>
        <v>14.821550925917109</v>
      </c>
      <c r="AJ1842" s="8">
        <f t="shared" si="736"/>
        <v>8.8215509259171085</v>
      </c>
      <c r="AK1842" s="38">
        <f t="shared" si="718"/>
        <v>45076.821550925917</v>
      </c>
      <c r="AL1842">
        <f t="shared" si="737"/>
        <v>2</v>
      </c>
      <c r="AM1842">
        <f t="shared" si="738"/>
        <v>17</v>
      </c>
      <c r="AN1842">
        <f t="shared" si="739"/>
        <v>4</v>
      </c>
      <c r="AO1842">
        <f t="shared" si="740"/>
        <v>4</v>
      </c>
      <c r="AP1842">
        <f t="shared" si="741"/>
        <v>44922.821550925917</v>
      </c>
      <c r="AQ1842">
        <f t="shared" si="742"/>
        <v>3</v>
      </c>
    </row>
    <row r="1843" spans="1:43" x14ac:dyDescent="0.35">
      <c r="A1843">
        <v>592</v>
      </c>
      <c r="B1843" t="s">
        <v>5729</v>
      </c>
      <c r="C1843" t="s">
        <v>4471</v>
      </c>
      <c r="D1843" t="str">
        <f t="shared" si="716"/>
        <v>Finance</v>
      </c>
      <c r="E1843" t="s">
        <v>5621</v>
      </c>
      <c r="F1843" t="s">
        <v>5662</v>
      </c>
      <c r="G1843" t="s">
        <v>5663</v>
      </c>
      <c r="H1843" t="s">
        <v>80</v>
      </c>
      <c r="I1843" s="32">
        <v>44878.821550925917</v>
      </c>
      <c r="J1843" s="32">
        <v>44880.821550925917</v>
      </c>
      <c r="K1843" s="32">
        <v>44886.821550925917</v>
      </c>
      <c r="L1843" s="8">
        <f t="shared" si="717"/>
        <v>8</v>
      </c>
      <c r="M1843" s="7">
        <v>44902.821550925917</v>
      </c>
      <c r="N1843" t="s">
        <v>49</v>
      </c>
      <c r="O1843" s="34">
        <v>44897.821550925917</v>
      </c>
      <c r="P1843" t="s">
        <v>101</v>
      </c>
      <c r="R1843" s="32">
        <v>44902.821550925917</v>
      </c>
      <c r="S1843" t="s">
        <v>101</v>
      </c>
      <c r="T1843" s="34">
        <v>44899.821550925917</v>
      </c>
      <c r="U1843" s="34">
        <v>44900.821550925917</v>
      </c>
      <c r="V1843" s="32">
        <v>44898.821550925917</v>
      </c>
      <c r="W1843" s="32">
        <v>44907.821550925917</v>
      </c>
      <c r="X1843">
        <v>1</v>
      </c>
      <c r="Y1843" s="34">
        <v>44909.821550925917</v>
      </c>
      <c r="Z1843" s="34">
        <v>44912.821550925917</v>
      </c>
      <c r="AA1843" s="34">
        <v>44914.821550925917</v>
      </c>
      <c r="AB1843" s="36" t="s">
        <v>7476</v>
      </c>
      <c r="AC1843" s="10">
        <v>44935.821550925917</v>
      </c>
      <c r="AD1843" t="s">
        <v>5730</v>
      </c>
      <c r="AE1843" t="s">
        <v>5731</v>
      </c>
      <c r="AF1843" s="16">
        <v>44881</v>
      </c>
      <c r="AG1843" t="s">
        <v>68</v>
      </c>
      <c r="AH1843">
        <v>6</v>
      </c>
      <c r="AI1843" s="8">
        <f t="shared" si="735"/>
        <v>21.821550925917109</v>
      </c>
      <c r="AJ1843" s="8">
        <f t="shared" si="736"/>
        <v>16.821550925917109</v>
      </c>
      <c r="AK1843" s="38">
        <f t="shared" si="718"/>
        <v>45078.821550925917</v>
      </c>
      <c r="AL1843">
        <f t="shared" si="737"/>
        <v>5</v>
      </c>
      <c r="AM1843">
        <f t="shared" si="738"/>
        <v>22</v>
      </c>
      <c r="AN1843">
        <f t="shared" si="739"/>
        <v>1</v>
      </c>
      <c r="AO1843">
        <f t="shared" si="740"/>
        <v>2</v>
      </c>
      <c r="AP1843">
        <f t="shared" si="741"/>
        <v>44934.821550925917</v>
      </c>
      <c r="AQ1843">
        <f t="shared" si="742"/>
        <v>7</v>
      </c>
    </row>
    <row r="1844" spans="1:43" x14ac:dyDescent="0.35">
      <c r="A1844">
        <v>457</v>
      </c>
      <c r="B1844" t="s">
        <v>5732</v>
      </c>
      <c r="C1844" t="s">
        <v>4480</v>
      </c>
      <c r="D1844" t="str">
        <f t="shared" si="716"/>
        <v>Finance</v>
      </c>
      <c r="E1844" t="s">
        <v>5621</v>
      </c>
      <c r="F1844" t="s">
        <v>5662</v>
      </c>
      <c r="G1844" t="s">
        <v>5663</v>
      </c>
      <c r="H1844" t="s">
        <v>80</v>
      </c>
      <c r="I1844" s="32">
        <v>44970.571030092593</v>
      </c>
      <c r="J1844" s="32">
        <v>44973.571030092593</v>
      </c>
      <c r="K1844" s="32">
        <v>44979.571030092593</v>
      </c>
      <c r="L1844" s="8">
        <f t="shared" si="717"/>
        <v>9</v>
      </c>
      <c r="M1844" s="7">
        <v>44992.571030092593</v>
      </c>
      <c r="N1844" t="s">
        <v>49</v>
      </c>
      <c r="O1844" s="34">
        <v>44993.571030092593</v>
      </c>
      <c r="P1844" t="s">
        <v>60</v>
      </c>
      <c r="R1844" s="32">
        <v>45001.571030092593</v>
      </c>
      <c r="S1844" t="s">
        <v>61</v>
      </c>
      <c r="T1844" s="34" t="s">
        <v>7476</v>
      </c>
      <c r="U1844" s="34" t="s">
        <v>7476</v>
      </c>
      <c r="V1844" s="32">
        <v>44997.571030092593</v>
      </c>
      <c r="W1844" s="32" t="s">
        <v>7476</v>
      </c>
      <c r="X1844">
        <v>0</v>
      </c>
      <c r="Y1844" s="34" t="s">
        <v>7476</v>
      </c>
      <c r="Z1844" s="34" t="s">
        <v>7476</v>
      </c>
      <c r="AA1844" s="34" t="s">
        <v>7476</v>
      </c>
      <c r="AB1844" s="36" t="s">
        <v>7476</v>
      </c>
      <c r="AD1844" t="s">
        <v>5733</v>
      </c>
      <c r="AE1844" t="s">
        <v>5734</v>
      </c>
      <c r="AF1844" s="16">
        <v>44976</v>
      </c>
      <c r="AG1844" t="s">
        <v>98</v>
      </c>
      <c r="AH1844">
        <v>3</v>
      </c>
      <c r="AI1844" s="8">
        <f t="shared" si="735"/>
        <v>25.571030092592991</v>
      </c>
      <c r="AJ1844" s="8">
        <f t="shared" si="736"/>
        <v>17.571030092592991</v>
      </c>
      <c r="AK1844" s="38">
        <f t="shared" si="718"/>
        <v>45087.571030092593</v>
      </c>
      <c r="AL1844" t="str">
        <f t="shared" si="737"/>
        <v/>
      </c>
      <c r="AM1844">
        <f t="shared" si="738"/>
        <v>28</v>
      </c>
      <c r="AN1844">
        <f t="shared" si="739"/>
        <v>4</v>
      </c>
      <c r="AO1844">
        <f t="shared" si="740"/>
        <v>3</v>
      </c>
      <c r="AP1844">
        <f t="shared" si="741"/>
        <v>0</v>
      </c>
      <c r="AQ1844" t="str">
        <f t="shared" si="742"/>
        <v/>
      </c>
    </row>
    <row r="1845" spans="1:43" x14ac:dyDescent="0.35">
      <c r="A1845">
        <v>398</v>
      </c>
      <c r="B1845" t="s">
        <v>5735</v>
      </c>
      <c r="C1845" t="s">
        <v>4480</v>
      </c>
      <c r="D1845" t="str">
        <f t="shared" si="716"/>
        <v>Finance</v>
      </c>
      <c r="E1845" t="s">
        <v>5621</v>
      </c>
      <c r="F1845" t="s">
        <v>5662</v>
      </c>
      <c r="G1845" t="s">
        <v>5663</v>
      </c>
      <c r="H1845" t="s">
        <v>80</v>
      </c>
      <c r="I1845" s="32">
        <v>44969.686574074083</v>
      </c>
      <c r="J1845" s="32">
        <v>44972.686574074083</v>
      </c>
      <c r="K1845" s="32">
        <v>44977.686574074083</v>
      </c>
      <c r="L1845" s="8">
        <f t="shared" si="717"/>
        <v>8</v>
      </c>
      <c r="M1845" s="7">
        <v>44987.686574074083</v>
      </c>
      <c r="N1845" t="s">
        <v>49</v>
      </c>
      <c r="O1845" s="34">
        <v>44983.686574074083</v>
      </c>
      <c r="P1845" t="s">
        <v>50</v>
      </c>
      <c r="Q1845" t="s">
        <v>51</v>
      </c>
      <c r="R1845" s="32" t="s">
        <v>7472</v>
      </c>
      <c r="S1845" t="s">
        <v>7476</v>
      </c>
      <c r="T1845" s="34" t="s">
        <v>7476</v>
      </c>
      <c r="U1845" s="34" t="s">
        <v>7476</v>
      </c>
      <c r="V1845" s="32">
        <v>44987.686574074083</v>
      </c>
      <c r="W1845" s="32" t="s">
        <v>7476</v>
      </c>
      <c r="X1845">
        <v>0</v>
      </c>
      <c r="Y1845" s="34" t="s">
        <v>7476</v>
      </c>
      <c r="Z1845" s="34" t="s">
        <v>7476</v>
      </c>
      <c r="AA1845" s="34" t="s">
        <v>7476</v>
      </c>
      <c r="AB1845" s="36" t="s">
        <v>52</v>
      </c>
      <c r="AD1845" t="s">
        <v>5736</v>
      </c>
      <c r="AE1845" t="s">
        <v>5737</v>
      </c>
      <c r="AF1845" s="16">
        <v>44971</v>
      </c>
      <c r="AG1845" t="s">
        <v>68</v>
      </c>
      <c r="AH1845">
        <v>3</v>
      </c>
      <c r="AI1845" s="8" t="str">
        <f t="shared" si="735"/>
        <v/>
      </c>
      <c r="AJ1845" s="8">
        <f t="shared" si="736"/>
        <v>12.686574074083182</v>
      </c>
      <c r="AK1845" s="38">
        <f t="shared" si="718"/>
        <v>45077.686574074083</v>
      </c>
      <c r="AL1845" t="str">
        <f t="shared" si="737"/>
        <v/>
      </c>
      <c r="AM1845" t="str">
        <f t="shared" si="738"/>
        <v/>
      </c>
      <c r="AN1845">
        <f t="shared" si="739"/>
        <v>4</v>
      </c>
      <c r="AO1845">
        <f t="shared" si="740"/>
        <v>3</v>
      </c>
      <c r="AP1845">
        <f t="shared" si="741"/>
        <v>0</v>
      </c>
      <c r="AQ1845" t="str">
        <f t="shared" si="742"/>
        <v/>
      </c>
    </row>
    <row r="1846" spans="1:43" x14ac:dyDescent="0.35">
      <c r="A1846">
        <v>397</v>
      </c>
      <c r="B1846" t="s">
        <v>5738</v>
      </c>
      <c r="C1846" t="s">
        <v>4471</v>
      </c>
      <c r="D1846" t="str">
        <f t="shared" si="716"/>
        <v>Finance</v>
      </c>
      <c r="E1846" t="s">
        <v>5621</v>
      </c>
      <c r="F1846" t="s">
        <v>5662</v>
      </c>
      <c r="G1846" t="s">
        <v>5663</v>
      </c>
      <c r="H1846" t="s">
        <v>80</v>
      </c>
      <c r="I1846" s="32">
        <v>44971.686574074083</v>
      </c>
      <c r="J1846" s="32">
        <v>44973.686574074083</v>
      </c>
      <c r="K1846" s="32">
        <v>44977.686574074083</v>
      </c>
      <c r="L1846" s="8">
        <f t="shared" si="717"/>
        <v>6</v>
      </c>
      <c r="M1846" s="7">
        <v>44989.686574074083</v>
      </c>
      <c r="N1846" t="s">
        <v>72</v>
      </c>
      <c r="O1846" s="34" t="s">
        <v>7474</v>
      </c>
      <c r="R1846" s="32" t="s">
        <v>7472</v>
      </c>
      <c r="S1846" t="s">
        <v>7476</v>
      </c>
      <c r="T1846" s="34" t="s">
        <v>7476</v>
      </c>
      <c r="U1846" s="34" t="s">
        <v>7476</v>
      </c>
      <c r="V1846" s="32" t="s">
        <v>7476</v>
      </c>
      <c r="W1846" s="32" t="s">
        <v>7476</v>
      </c>
      <c r="X1846">
        <v>0</v>
      </c>
      <c r="Y1846" s="34" t="s">
        <v>7476</v>
      </c>
      <c r="Z1846" s="34" t="s">
        <v>7476</v>
      </c>
      <c r="AA1846" s="34" t="s">
        <v>7476</v>
      </c>
      <c r="AB1846" s="36" t="s">
        <v>7476</v>
      </c>
      <c r="AD1846" t="s">
        <v>5739</v>
      </c>
      <c r="AE1846" t="s">
        <v>5740</v>
      </c>
      <c r="AG1846" t="s">
        <v>68</v>
      </c>
      <c r="AH1846">
        <v>6</v>
      </c>
      <c r="AI1846" s="8" t="str">
        <f t="shared" si="735"/>
        <v/>
      </c>
      <c r="AJ1846" s="8" t="str">
        <f t="shared" si="736"/>
        <v/>
      </c>
      <c r="AK1846" s="38" t="str">
        <f t="shared" si="718"/>
        <v/>
      </c>
      <c r="AL1846" t="str">
        <f t="shared" si="737"/>
        <v/>
      </c>
      <c r="AM1846" t="str">
        <f t="shared" si="738"/>
        <v/>
      </c>
      <c r="AN1846" t="str">
        <f t="shared" si="739"/>
        <v/>
      </c>
      <c r="AO1846">
        <f t="shared" si="740"/>
        <v>2</v>
      </c>
      <c r="AP1846">
        <f t="shared" si="741"/>
        <v>0</v>
      </c>
      <c r="AQ1846" t="str">
        <f t="shared" si="742"/>
        <v/>
      </c>
    </row>
    <row r="1847" spans="1:43" x14ac:dyDescent="0.35">
      <c r="A1847">
        <v>391</v>
      </c>
      <c r="B1847" t="s">
        <v>5741</v>
      </c>
      <c r="C1847" t="s">
        <v>4480</v>
      </c>
      <c r="D1847" t="str">
        <f t="shared" si="716"/>
        <v>Finance</v>
      </c>
      <c r="E1847" t="s">
        <v>5621</v>
      </c>
      <c r="F1847" t="s">
        <v>5662</v>
      </c>
      <c r="G1847" t="s">
        <v>5663</v>
      </c>
      <c r="H1847" t="s">
        <v>80</v>
      </c>
      <c r="I1847" s="32" t="s">
        <v>7471</v>
      </c>
      <c r="J1847" s="32">
        <v>44976.686574074083</v>
      </c>
      <c r="K1847" s="32" t="s">
        <v>7473</v>
      </c>
      <c r="L1847" s="8" t="str">
        <f t="shared" si="717"/>
        <v/>
      </c>
      <c r="M1847" s="7">
        <v>44985.686574074083</v>
      </c>
      <c r="N1847" t="s">
        <v>49</v>
      </c>
      <c r="O1847" s="34">
        <v>44986.686574074083</v>
      </c>
      <c r="P1847" t="s">
        <v>50</v>
      </c>
      <c r="Q1847" t="s">
        <v>236</v>
      </c>
      <c r="R1847" s="32" t="s">
        <v>7472</v>
      </c>
      <c r="S1847" t="s">
        <v>7476</v>
      </c>
      <c r="T1847" s="34" t="s">
        <v>7476</v>
      </c>
      <c r="U1847" s="34" t="s">
        <v>7476</v>
      </c>
      <c r="V1847" s="32" t="s">
        <v>7476</v>
      </c>
      <c r="W1847" s="32" t="s">
        <v>7476</v>
      </c>
      <c r="X1847">
        <v>0</v>
      </c>
      <c r="Y1847" s="34" t="s">
        <v>7476</v>
      </c>
      <c r="Z1847" s="34" t="s">
        <v>7476</v>
      </c>
      <c r="AA1847" s="34" t="s">
        <v>7476</v>
      </c>
      <c r="AB1847" s="36" t="s">
        <v>52</v>
      </c>
      <c r="AD1847" t="s">
        <v>5742</v>
      </c>
      <c r="AE1847" t="s">
        <v>5743</v>
      </c>
      <c r="AF1847" s="16">
        <v>44973</v>
      </c>
      <c r="AG1847" t="s">
        <v>75</v>
      </c>
      <c r="AH1847">
        <v>6</v>
      </c>
      <c r="AK1847" s="38" t="str">
        <f t="shared" si="718"/>
        <v/>
      </c>
    </row>
    <row r="1848" spans="1:43" x14ac:dyDescent="0.35">
      <c r="A1848">
        <v>348</v>
      </c>
      <c r="B1848" t="s">
        <v>5744</v>
      </c>
      <c r="C1848" t="s">
        <v>4502</v>
      </c>
      <c r="D1848" t="str">
        <f t="shared" si="716"/>
        <v>Finance</v>
      </c>
      <c r="E1848" t="s">
        <v>5621</v>
      </c>
      <c r="F1848" t="s">
        <v>5662</v>
      </c>
      <c r="G1848" t="s">
        <v>5663</v>
      </c>
      <c r="H1848" t="s">
        <v>80</v>
      </c>
      <c r="I1848" s="32" t="s">
        <v>7471</v>
      </c>
      <c r="J1848" s="32">
        <v>44685.644375000003</v>
      </c>
      <c r="K1848" s="32">
        <v>44690.644375000003</v>
      </c>
      <c r="L1848" s="8" t="str">
        <f t="shared" si="717"/>
        <v/>
      </c>
      <c r="M1848" s="7">
        <v>44719.644375000003</v>
      </c>
      <c r="N1848" t="s">
        <v>49</v>
      </c>
      <c r="O1848" s="34">
        <v>44693.644375000003</v>
      </c>
      <c r="P1848" t="s">
        <v>101</v>
      </c>
      <c r="R1848" s="32">
        <v>44697.644375000003</v>
      </c>
      <c r="S1848" t="s">
        <v>101</v>
      </c>
      <c r="T1848" s="34">
        <v>44694.644375000003</v>
      </c>
      <c r="U1848" s="34">
        <v>44698.644375000003</v>
      </c>
      <c r="V1848" s="32">
        <v>44696.644375000003</v>
      </c>
      <c r="W1848" s="32">
        <v>44703.644375000003</v>
      </c>
      <c r="X1848">
        <v>1</v>
      </c>
      <c r="Y1848" s="34">
        <v>44705.644375000003</v>
      </c>
      <c r="Z1848" s="34">
        <v>44706.644375000003</v>
      </c>
      <c r="AA1848" s="34">
        <v>44708.644375000003</v>
      </c>
      <c r="AB1848" s="36" t="s">
        <v>7476</v>
      </c>
      <c r="AC1848" s="10">
        <v>44725.644375000003</v>
      </c>
      <c r="AD1848" t="s">
        <v>5745</v>
      </c>
      <c r="AE1848" t="s">
        <v>5746</v>
      </c>
      <c r="AF1848" s="16">
        <v>44678</v>
      </c>
      <c r="AG1848" t="s">
        <v>64</v>
      </c>
      <c r="AH1848">
        <v>3</v>
      </c>
      <c r="AK1848" s="38">
        <f t="shared" si="718"/>
        <v>44786.644375000003</v>
      </c>
    </row>
    <row r="1849" spans="1:43" x14ac:dyDescent="0.35">
      <c r="A1849">
        <v>344</v>
      </c>
      <c r="B1849" t="s">
        <v>5747</v>
      </c>
      <c r="C1849" t="s">
        <v>4471</v>
      </c>
      <c r="D1849" t="str">
        <f t="shared" si="716"/>
        <v>Finance</v>
      </c>
      <c r="E1849" t="s">
        <v>5621</v>
      </c>
      <c r="F1849" t="s">
        <v>5662</v>
      </c>
      <c r="G1849" t="s">
        <v>5663</v>
      </c>
      <c r="H1849" t="s">
        <v>80</v>
      </c>
      <c r="I1849" s="32">
        <v>44681.644375000003</v>
      </c>
      <c r="J1849" s="32">
        <v>44685.644375000003</v>
      </c>
      <c r="K1849" s="32">
        <v>44690.644375000003</v>
      </c>
      <c r="L1849" s="8">
        <f t="shared" si="717"/>
        <v>9</v>
      </c>
      <c r="M1849" s="7">
        <v>44709.644375000003</v>
      </c>
      <c r="N1849" t="s">
        <v>72</v>
      </c>
      <c r="O1849" s="34" t="s">
        <v>7474</v>
      </c>
      <c r="R1849" s="32" t="s">
        <v>7472</v>
      </c>
      <c r="S1849" t="s">
        <v>7476</v>
      </c>
      <c r="T1849" s="34" t="s">
        <v>7476</v>
      </c>
      <c r="U1849" s="34" t="s">
        <v>7476</v>
      </c>
      <c r="V1849" s="32" t="s">
        <v>7476</v>
      </c>
      <c r="W1849" s="32" t="s">
        <v>7476</v>
      </c>
      <c r="X1849">
        <v>0</v>
      </c>
      <c r="Y1849" s="34" t="s">
        <v>7476</v>
      </c>
      <c r="Z1849" s="34" t="s">
        <v>7476</v>
      </c>
      <c r="AA1849" s="34" t="s">
        <v>7476</v>
      </c>
      <c r="AB1849" s="36" t="s">
        <v>7476</v>
      </c>
      <c r="AD1849" t="s">
        <v>5748</v>
      </c>
      <c r="AE1849" t="s">
        <v>5749</v>
      </c>
      <c r="AG1849" t="s">
        <v>64</v>
      </c>
      <c r="AH1849">
        <v>3</v>
      </c>
      <c r="AI1849" s="8" t="str">
        <f>IFERROR(R1849-AF1849,"")</f>
        <v/>
      </c>
      <c r="AJ1849" s="8" t="str">
        <f>IFERROR(O1849-AF1849,"")</f>
        <v/>
      </c>
      <c r="AK1849" s="38" t="str">
        <f t="shared" si="718"/>
        <v/>
      </c>
      <c r="AL1849" t="str">
        <f>IFERROR(Z1849-W1849,"")</f>
        <v/>
      </c>
      <c r="AM1849" t="str">
        <f>IFERROR(R1849-J1849,"")</f>
        <v/>
      </c>
      <c r="AN1849" t="str">
        <f>IFERROR(V1849-O1849,"")</f>
        <v/>
      </c>
      <c r="AO1849">
        <f>IFERROR(J1849-I1849,"")</f>
        <v>4</v>
      </c>
      <c r="AP1849">
        <f>IFERROR(AC1849-X1849,"")</f>
        <v>0</v>
      </c>
      <c r="AQ1849" t="str">
        <f>IFERROR(AA1849-W1849,"")</f>
        <v/>
      </c>
    </row>
    <row r="1850" spans="1:43" x14ac:dyDescent="0.35">
      <c r="A1850">
        <v>343</v>
      </c>
      <c r="B1850" t="s">
        <v>5750</v>
      </c>
      <c r="C1850" t="s">
        <v>4502</v>
      </c>
      <c r="D1850" t="str">
        <f t="shared" si="716"/>
        <v>Finance</v>
      </c>
      <c r="E1850" t="s">
        <v>5621</v>
      </c>
      <c r="F1850" t="s">
        <v>5662</v>
      </c>
      <c r="G1850" t="s">
        <v>5663</v>
      </c>
      <c r="H1850" t="s">
        <v>80</v>
      </c>
      <c r="I1850" s="32">
        <v>44688.644375000003</v>
      </c>
      <c r="J1850" s="32">
        <v>44689.644375000003</v>
      </c>
      <c r="K1850" s="32">
        <v>44690.644375000003</v>
      </c>
      <c r="L1850" s="8">
        <f t="shared" si="717"/>
        <v>2</v>
      </c>
      <c r="M1850" s="7">
        <v>44717.644375000003</v>
      </c>
      <c r="N1850" t="s">
        <v>49</v>
      </c>
      <c r="O1850" s="34">
        <v>44706.644375000003</v>
      </c>
      <c r="P1850" t="s">
        <v>50</v>
      </c>
      <c r="Q1850" t="s">
        <v>236</v>
      </c>
      <c r="R1850" s="32" t="s">
        <v>7472</v>
      </c>
      <c r="S1850" t="s">
        <v>7476</v>
      </c>
      <c r="T1850" s="34" t="s">
        <v>7476</v>
      </c>
      <c r="U1850" s="34" t="s">
        <v>7476</v>
      </c>
      <c r="V1850" s="32">
        <v>44707.644375000003</v>
      </c>
      <c r="W1850" s="32" t="s">
        <v>7476</v>
      </c>
      <c r="X1850">
        <v>0</v>
      </c>
      <c r="Y1850" s="34" t="s">
        <v>7476</v>
      </c>
      <c r="Z1850" s="34" t="s">
        <v>7476</v>
      </c>
      <c r="AA1850" s="34" t="s">
        <v>7476</v>
      </c>
      <c r="AB1850" s="36" t="s">
        <v>95</v>
      </c>
      <c r="AD1850" t="s">
        <v>5751</v>
      </c>
      <c r="AE1850" t="s">
        <v>5752</v>
      </c>
      <c r="AF1850" s="16">
        <v>44696</v>
      </c>
      <c r="AG1850" t="s">
        <v>68</v>
      </c>
      <c r="AH1850">
        <v>3</v>
      </c>
      <c r="AI1850" s="8" t="str">
        <f>IFERROR(R1850-AF1850,"")</f>
        <v/>
      </c>
      <c r="AJ1850" s="8">
        <f>IFERROR(O1850-AF1850,"")</f>
        <v>10.644375000003492</v>
      </c>
      <c r="AK1850" s="38">
        <f t="shared" si="718"/>
        <v>44797.644375000003</v>
      </c>
      <c r="AL1850" t="str">
        <f>IFERROR(Z1850-W1850,"")</f>
        <v/>
      </c>
      <c r="AM1850" t="str">
        <f>IFERROR(R1850-J1850,"")</f>
        <v/>
      </c>
      <c r="AN1850">
        <f>IFERROR(V1850-O1850,"")</f>
        <v>1</v>
      </c>
      <c r="AO1850">
        <f>IFERROR(J1850-I1850,"")</f>
        <v>1</v>
      </c>
      <c r="AP1850">
        <f>IFERROR(AC1850-X1850,"")</f>
        <v>0</v>
      </c>
      <c r="AQ1850" t="str">
        <f>IFERROR(AA1850-W1850,"")</f>
        <v/>
      </c>
    </row>
    <row r="1851" spans="1:43" x14ac:dyDescent="0.35">
      <c r="A1851">
        <v>289</v>
      </c>
      <c r="B1851" t="s">
        <v>5753</v>
      </c>
      <c r="C1851" t="s">
        <v>4471</v>
      </c>
      <c r="D1851" t="str">
        <f t="shared" si="716"/>
        <v>Finance</v>
      </c>
      <c r="E1851" t="s">
        <v>5621</v>
      </c>
      <c r="F1851" t="s">
        <v>5662</v>
      </c>
      <c r="G1851" t="s">
        <v>5663</v>
      </c>
      <c r="H1851" t="s">
        <v>80</v>
      </c>
      <c r="I1851" s="32">
        <v>44698.67763888889</v>
      </c>
      <c r="J1851" s="32">
        <v>44700.67763888889</v>
      </c>
      <c r="K1851" s="32" t="s">
        <v>7473</v>
      </c>
      <c r="L1851" s="8" t="str">
        <f t="shared" si="717"/>
        <v/>
      </c>
      <c r="M1851" s="7">
        <v>44713.67763888889</v>
      </c>
      <c r="N1851" t="s">
        <v>49</v>
      </c>
      <c r="O1851" s="34">
        <v>44723.67763888889</v>
      </c>
      <c r="P1851" t="s">
        <v>101</v>
      </c>
      <c r="R1851" s="32">
        <v>44727.67763888889</v>
      </c>
      <c r="S1851" t="s">
        <v>101</v>
      </c>
      <c r="T1851" s="34">
        <v>44724.67763888889</v>
      </c>
      <c r="U1851" s="34">
        <v>44728.67763888889</v>
      </c>
      <c r="V1851" s="32">
        <v>44726.67763888889</v>
      </c>
      <c r="W1851" s="32">
        <v>44735.67763888889</v>
      </c>
      <c r="X1851">
        <v>1</v>
      </c>
      <c r="Y1851" s="34">
        <v>44738.67763888889</v>
      </c>
      <c r="Z1851" s="34">
        <v>44739.67763888889</v>
      </c>
      <c r="AA1851" s="34">
        <v>44742.67763888889</v>
      </c>
      <c r="AB1851" s="36" t="s">
        <v>7476</v>
      </c>
      <c r="AC1851" s="10">
        <v>44756.67763888889</v>
      </c>
      <c r="AD1851" t="s">
        <v>5754</v>
      </c>
      <c r="AE1851" t="s">
        <v>5755</v>
      </c>
      <c r="AF1851" s="16">
        <v>44709</v>
      </c>
      <c r="AG1851" t="s">
        <v>55</v>
      </c>
      <c r="AH1851">
        <v>6</v>
      </c>
      <c r="AK1851" s="38">
        <f t="shared" si="718"/>
        <v>44906.67763888889</v>
      </c>
    </row>
    <row r="1852" spans="1:43" x14ac:dyDescent="0.35">
      <c r="A1852">
        <v>281</v>
      </c>
      <c r="B1852" t="s">
        <v>5756</v>
      </c>
      <c r="C1852" t="s">
        <v>4471</v>
      </c>
      <c r="D1852" t="str">
        <f t="shared" si="716"/>
        <v>Finance</v>
      </c>
      <c r="E1852" t="s">
        <v>5621</v>
      </c>
      <c r="F1852" t="s">
        <v>78</v>
      </c>
      <c r="G1852" t="s">
        <v>5757</v>
      </c>
      <c r="H1852" t="s">
        <v>80</v>
      </c>
      <c r="I1852" s="32">
        <v>44699.67763888889</v>
      </c>
      <c r="J1852" s="32">
        <v>44701.67763888889</v>
      </c>
      <c r="K1852" s="32">
        <v>44706.67763888889</v>
      </c>
      <c r="L1852" s="8">
        <f t="shared" si="717"/>
        <v>7</v>
      </c>
      <c r="M1852" s="7">
        <v>44712.67763888889</v>
      </c>
      <c r="N1852" t="s">
        <v>49</v>
      </c>
      <c r="O1852" s="34">
        <v>44716.67763888889</v>
      </c>
      <c r="P1852" t="s">
        <v>50</v>
      </c>
      <c r="Q1852" t="s">
        <v>198</v>
      </c>
      <c r="R1852" s="32" t="s">
        <v>7472</v>
      </c>
      <c r="S1852" t="s">
        <v>7476</v>
      </c>
      <c r="T1852" s="34" t="s">
        <v>7476</v>
      </c>
      <c r="U1852" s="34" t="s">
        <v>7476</v>
      </c>
      <c r="V1852" s="32">
        <v>44719.67763888889</v>
      </c>
      <c r="W1852" s="32" t="s">
        <v>7476</v>
      </c>
      <c r="X1852">
        <v>0</v>
      </c>
      <c r="Y1852" s="34" t="s">
        <v>7476</v>
      </c>
      <c r="Z1852" s="34" t="s">
        <v>7476</v>
      </c>
      <c r="AA1852" s="34" t="s">
        <v>7476</v>
      </c>
      <c r="AB1852" s="36" t="s">
        <v>95</v>
      </c>
      <c r="AD1852" t="s">
        <v>5758</v>
      </c>
      <c r="AE1852" t="s">
        <v>5759</v>
      </c>
      <c r="AF1852" s="16">
        <v>44711</v>
      </c>
      <c r="AG1852" t="s">
        <v>68</v>
      </c>
      <c r="AH1852">
        <v>3</v>
      </c>
      <c r="AI1852" s="8" t="str">
        <f>IFERROR(R1852-AF1852,"")</f>
        <v/>
      </c>
      <c r="AJ1852" s="8">
        <f>IFERROR(O1852-AF1852,"")</f>
        <v>5.6776388888902147</v>
      </c>
      <c r="AK1852" s="38">
        <f t="shared" si="718"/>
        <v>44809.67763888889</v>
      </c>
      <c r="AL1852" t="str">
        <f>IFERROR(Z1852-W1852,"")</f>
        <v/>
      </c>
      <c r="AM1852" t="str">
        <f>IFERROR(R1852-J1852,"")</f>
        <v/>
      </c>
      <c r="AN1852">
        <f>IFERROR(V1852-O1852,"")</f>
        <v>3</v>
      </c>
      <c r="AO1852">
        <f>IFERROR(J1852-I1852,"")</f>
        <v>2</v>
      </c>
      <c r="AP1852">
        <f>IFERROR(AC1852-X1852,"")</f>
        <v>0</v>
      </c>
      <c r="AQ1852" t="str">
        <f>IFERROR(AA1852-W1852,"")</f>
        <v/>
      </c>
    </row>
    <row r="1853" spans="1:43" x14ac:dyDescent="0.35">
      <c r="A1853">
        <v>209</v>
      </c>
      <c r="B1853" t="s">
        <v>5760</v>
      </c>
      <c r="C1853" t="s">
        <v>4471</v>
      </c>
      <c r="D1853" t="str">
        <f t="shared" si="716"/>
        <v>Finance</v>
      </c>
      <c r="E1853" t="s">
        <v>5621</v>
      </c>
      <c r="F1853" t="s">
        <v>78</v>
      </c>
      <c r="G1853" t="s">
        <v>5757</v>
      </c>
      <c r="H1853" t="s">
        <v>80</v>
      </c>
      <c r="I1853" s="32">
        <v>44744.342893518522</v>
      </c>
      <c r="J1853" s="32">
        <v>44748.342893518522</v>
      </c>
      <c r="K1853" s="32">
        <v>44754.342893518522</v>
      </c>
      <c r="L1853" s="8">
        <f t="shared" si="717"/>
        <v>10</v>
      </c>
      <c r="M1853" s="7">
        <v>44944.342893518522</v>
      </c>
      <c r="N1853" t="s">
        <v>49</v>
      </c>
      <c r="O1853" s="34">
        <v>44764.342893518522</v>
      </c>
      <c r="P1853" t="s">
        <v>50</v>
      </c>
      <c r="Q1853" t="s">
        <v>51</v>
      </c>
      <c r="R1853" s="32" t="s">
        <v>7472</v>
      </c>
      <c r="S1853" t="s">
        <v>7476</v>
      </c>
      <c r="T1853" s="34" t="s">
        <v>7476</v>
      </c>
      <c r="U1853" s="34" t="s">
        <v>7476</v>
      </c>
      <c r="V1853" s="32">
        <v>44768.342893518522</v>
      </c>
      <c r="W1853" s="32" t="s">
        <v>7476</v>
      </c>
      <c r="X1853">
        <v>0</v>
      </c>
      <c r="Y1853" s="34" t="s">
        <v>7476</v>
      </c>
      <c r="Z1853" s="34" t="s">
        <v>7476</v>
      </c>
      <c r="AA1853" s="34" t="s">
        <v>7476</v>
      </c>
      <c r="AB1853" s="36" t="s">
        <v>95</v>
      </c>
      <c r="AD1853" t="s">
        <v>5761</v>
      </c>
      <c r="AE1853" t="s">
        <v>5762</v>
      </c>
      <c r="AF1853" s="16">
        <v>44757</v>
      </c>
      <c r="AG1853" t="s">
        <v>64</v>
      </c>
      <c r="AH1853">
        <v>3</v>
      </c>
      <c r="AI1853" s="8" t="str">
        <f>IFERROR(R1853-AF1853,"")</f>
        <v/>
      </c>
      <c r="AJ1853" s="8">
        <f>IFERROR(O1853-AF1853,"")</f>
        <v>7.3428935185220325</v>
      </c>
      <c r="AK1853" s="38">
        <f t="shared" si="718"/>
        <v>44858.342893518522</v>
      </c>
      <c r="AL1853" t="str">
        <f>IFERROR(Z1853-W1853,"")</f>
        <v/>
      </c>
      <c r="AM1853" t="str">
        <f>IFERROR(R1853-J1853,"")</f>
        <v/>
      </c>
      <c r="AN1853">
        <f>IFERROR(V1853-O1853,"")</f>
        <v>4</v>
      </c>
      <c r="AO1853">
        <f>IFERROR(J1853-I1853,"")</f>
        <v>4</v>
      </c>
      <c r="AP1853">
        <f>IFERROR(AC1853-X1853,"")</f>
        <v>0</v>
      </c>
      <c r="AQ1853" t="str">
        <f>IFERROR(AA1853-W1853,"")</f>
        <v/>
      </c>
    </row>
    <row r="1854" spans="1:43" x14ac:dyDescent="0.35">
      <c r="A1854">
        <v>201</v>
      </c>
      <c r="B1854" t="s">
        <v>5763</v>
      </c>
      <c r="C1854" t="s">
        <v>4480</v>
      </c>
      <c r="D1854" t="str">
        <f t="shared" si="716"/>
        <v>Finance</v>
      </c>
      <c r="E1854" t="s">
        <v>5621</v>
      </c>
      <c r="F1854" t="s">
        <v>78</v>
      </c>
      <c r="G1854" t="s">
        <v>5757</v>
      </c>
      <c r="H1854" t="s">
        <v>80</v>
      </c>
      <c r="I1854" s="32">
        <v>44748.342893518522</v>
      </c>
      <c r="J1854" s="32">
        <v>44752.342893518522</v>
      </c>
      <c r="K1854" s="32">
        <v>44754.342893518522</v>
      </c>
      <c r="L1854" s="8">
        <f t="shared" si="717"/>
        <v>6</v>
      </c>
      <c r="M1854" s="7">
        <v>44944.342893518522</v>
      </c>
      <c r="N1854" t="s">
        <v>72</v>
      </c>
      <c r="O1854" s="34" t="s">
        <v>7474</v>
      </c>
      <c r="R1854" s="32" t="s">
        <v>7472</v>
      </c>
      <c r="S1854" t="s">
        <v>7476</v>
      </c>
      <c r="T1854" s="34" t="s">
        <v>7476</v>
      </c>
      <c r="U1854" s="34" t="s">
        <v>7476</v>
      </c>
      <c r="V1854" s="32" t="s">
        <v>7476</v>
      </c>
      <c r="W1854" s="32" t="s">
        <v>7476</v>
      </c>
      <c r="X1854">
        <v>0</v>
      </c>
      <c r="Y1854" s="34" t="s">
        <v>7476</v>
      </c>
      <c r="Z1854" s="34" t="s">
        <v>7476</v>
      </c>
      <c r="AA1854" s="34" t="s">
        <v>7476</v>
      </c>
      <c r="AB1854" s="36" t="s">
        <v>7476</v>
      </c>
      <c r="AD1854" t="s">
        <v>5764</v>
      </c>
      <c r="AE1854" t="s">
        <v>5765</v>
      </c>
      <c r="AG1854" t="s">
        <v>68</v>
      </c>
      <c r="AH1854">
        <v>6</v>
      </c>
      <c r="AI1854" s="8" t="str">
        <f>IFERROR(R1854-AF1854,"")</f>
        <v/>
      </c>
      <c r="AJ1854" s="8" t="str">
        <f>IFERROR(O1854-AF1854,"")</f>
        <v/>
      </c>
      <c r="AK1854" s="38" t="str">
        <f t="shared" si="718"/>
        <v/>
      </c>
      <c r="AL1854" t="str">
        <f>IFERROR(Z1854-W1854,"")</f>
        <v/>
      </c>
      <c r="AM1854" t="str">
        <f>IFERROR(R1854-J1854,"")</f>
        <v/>
      </c>
      <c r="AN1854" t="str">
        <f>IFERROR(V1854-O1854,"")</f>
        <v/>
      </c>
      <c r="AO1854">
        <f>IFERROR(J1854-I1854,"")</f>
        <v>4</v>
      </c>
      <c r="AP1854">
        <f>IFERROR(AC1854-X1854,"")</f>
        <v>0</v>
      </c>
      <c r="AQ1854" t="str">
        <f>IFERROR(AA1854-W1854,"")</f>
        <v/>
      </c>
    </row>
    <row r="1855" spans="1:43" x14ac:dyDescent="0.35">
      <c r="A1855">
        <v>107</v>
      </c>
      <c r="B1855" t="s">
        <v>5766</v>
      </c>
      <c r="C1855" t="s">
        <v>4471</v>
      </c>
      <c r="D1855" t="str">
        <f t="shared" si="716"/>
        <v>Finance</v>
      </c>
      <c r="E1855" t="s">
        <v>5621</v>
      </c>
      <c r="F1855" t="s">
        <v>78</v>
      </c>
      <c r="G1855" t="s">
        <v>5757</v>
      </c>
      <c r="H1855" t="s">
        <v>80</v>
      </c>
      <c r="I1855" s="32">
        <v>45013.880046296297</v>
      </c>
      <c r="J1855" s="32">
        <v>45016.880046296297</v>
      </c>
      <c r="K1855" s="32">
        <v>45019.880046296297</v>
      </c>
      <c r="L1855" s="8">
        <f t="shared" si="717"/>
        <v>6</v>
      </c>
      <c r="M1855" s="7">
        <v>45031.880046296297</v>
      </c>
      <c r="N1855" t="s">
        <v>49</v>
      </c>
      <c r="O1855" s="34">
        <v>45022.880046296297</v>
      </c>
      <c r="P1855" t="s">
        <v>392</v>
      </c>
      <c r="R1855" s="32">
        <v>45030.880046296297</v>
      </c>
      <c r="S1855" t="s">
        <v>392</v>
      </c>
      <c r="T1855" s="34" t="s">
        <v>7476</v>
      </c>
      <c r="U1855" s="34" t="s">
        <v>7476</v>
      </c>
      <c r="V1855" s="32">
        <v>45026.880046296297</v>
      </c>
      <c r="W1855" s="32" t="s">
        <v>7476</v>
      </c>
      <c r="X1855">
        <v>0</v>
      </c>
      <c r="Y1855" s="34" t="s">
        <v>7476</v>
      </c>
      <c r="Z1855" s="34" t="s">
        <v>7476</v>
      </c>
      <c r="AA1855" s="34" t="s">
        <v>7476</v>
      </c>
      <c r="AB1855" s="36" t="s">
        <v>7476</v>
      </c>
      <c r="AD1855" t="s">
        <v>5767</v>
      </c>
      <c r="AE1855" t="s">
        <v>5768</v>
      </c>
      <c r="AF1855" s="16">
        <v>45005</v>
      </c>
      <c r="AG1855" t="s">
        <v>64</v>
      </c>
      <c r="AH1855">
        <v>3</v>
      </c>
      <c r="AI1855" s="8">
        <f>IFERROR(R1855-AF1855,"")</f>
        <v>25.880046296297223</v>
      </c>
      <c r="AJ1855" s="8">
        <f>IFERROR(O1855-AF1855,"")</f>
        <v>17.880046296297223</v>
      </c>
      <c r="AK1855" s="38">
        <f t="shared" si="718"/>
        <v>45116.880046296297</v>
      </c>
      <c r="AL1855" t="str">
        <f>IFERROR(Z1855-W1855,"")</f>
        <v/>
      </c>
      <c r="AM1855">
        <f>IFERROR(R1855-J1855,"")</f>
        <v>14</v>
      </c>
      <c r="AN1855">
        <f>IFERROR(V1855-O1855,"")</f>
        <v>4</v>
      </c>
      <c r="AO1855">
        <f>IFERROR(J1855-I1855,"")</f>
        <v>3</v>
      </c>
      <c r="AP1855">
        <f>IFERROR(AC1855-X1855,"")</f>
        <v>0</v>
      </c>
      <c r="AQ1855" t="str">
        <f>IFERROR(AA1855-W1855,"")</f>
        <v/>
      </c>
    </row>
    <row r="1856" spans="1:43" x14ac:dyDescent="0.35">
      <c r="A1856">
        <v>96</v>
      </c>
      <c r="B1856" t="s">
        <v>5769</v>
      </c>
      <c r="C1856" t="s">
        <v>4502</v>
      </c>
      <c r="D1856" t="str">
        <f t="shared" si="716"/>
        <v>Finance</v>
      </c>
      <c r="E1856" t="s">
        <v>5621</v>
      </c>
      <c r="F1856" t="s">
        <v>78</v>
      </c>
      <c r="G1856" t="s">
        <v>5757</v>
      </c>
      <c r="H1856" t="s">
        <v>80</v>
      </c>
      <c r="I1856" s="32">
        <v>44840.587280092594</v>
      </c>
      <c r="J1856" s="32" t="s">
        <v>7471</v>
      </c>
      <c r="K1856" s="32">
        <v>44847.587280092594</v>
      </c>
      <c r="L1856" s="8">
        <f t="shared" si="717"/>
        <v>7</v>
      </c>
      <c r="M1856" s="7">
        <v>44862.587280092594</v>
      </c>
      <c r="N1856" t="s">
        <v>49</v>
      </c>
      <c r="O1856" s="34">
        <v>44855.587280092594</v>
      </c>
      <c r="P1856" t="s">
        <v>50</v>
      </c>
      <c r="Q1856" t="s">
        <v>125</v>
      </c>
      <c r="R1856" s="32" t="s">
        <v>7472</v>
      </c>
      <c r="S1856" t="s">
        <v>7476</v>
      </c>
      <c r="T1856" s="34" t="s">
        <v>7476</v>
      </c>
      <c r="U1856" s="34" t="s">
        <v>7476</v>
      </c>
      <c r="V1856" s="32">
        <v>44857.587280092594</v>
      </c>
      <c r="W1856" s="32" t="s">
        <v>7476</v>
      </c>
      <c r="X1856">
        <v>0</v>
      </c>
      <c r="Y1856" s="34" t="s">
        <v>7476</v>
      </c>
      <c r="Z1856" s="34" t="s">
        <v>7476</v>
      </c>
      <c r="AA1856" s="34" t="s">
        <v>7476</v>
      </c>
      <c r="AB1856" s="36" t="s">
        <v>95</v>
      </c>
      <c r="AD1856" t="s">
        <v>5770</v>
      </c>
      <c r="AE1856" t="s">
        <v>5771</v>
      </c>
      <c r="AF1856" s="16">
        <v>44849</v>
      </c>
      <c r="AG1856" t="s">
        <v>93</v>
      </c>
      <c r="AH1856">
        <v>6</v>
      </c>
      <c r="AK1856" s="38">
        <f t="shared" si="718"/>
        <v>45037.587280092594</v>
      </c>
    </row>
    <row r="1857" spans="1:43" x14ac:dyDescent="0.35">
      <c r="A1857">
        <v>75</v>
      </c>
      <c r="B1857" t="s">
        <v>5772</v>
      </c>
      <c r="C1857" t="s">
        <v>4480</v>
      </c>
      <c r="D1857" t="str">
        <f t="shared" si="716"/>
        <v>Finance</v>
      </c>
      <c r="E1857" t="s">
        <v>5621</v>
      </c>
      <c r="F1857" t="s">
        <v>78</v>
      </c>
      <c r="G1857" t="s">
        <v>5757</v>
      </c>
      <c r="H1857" t="s">
        <v>80</v>
      </c>
      <c r="I1857" s="32">
        <v>44747.410798611112</v>
      </c>
      <c r="J1857" s="32">
        <v>44748.410798611112</v>
      </c>
      <c r="K1857" s="32">
        <v>44754.410798611112</v>
      </c>
      <c r="L1857" s="8">
        <f t="shared" si="717"/>
        <v>7</v>
      </c>
      <c r="M1857" s="7">
        <v>44771.410798611112</v>
      </c>
      <c r="N1857" t="s">
        <v>49</v>
      </c>
      <c r="O1857" s="34">
        <v>44769.410798611112</v>
      </c>
      <c r="P1857" t="s">
        <v>50</v>
      </c>
      <c r="Q1857" t="s">
        <v>198</v>
      </c>
      <c r="R1857" s="32" t="s">
        <v>7472</v>
      </c>
      <c r="S1857" t="s">
        <v>7476</v>
      </c>
      <c r="T1857" s="34" t="s">
        <v>7476</v>
      </c>
      <c r="U1857" s="34" t="s">
        <v>7476</v>
      </c>
      <c r="V1857" s="32" t="s">
        <v>7476</v>
      </c>
      <c r="W1857" s="32" t="s">
        <v>7476</v>
      </c>
      <c r="X1857">
        <v>0</v>
      </c>
      <c r="Y1857" s="34" t="s">
        <v>7476</v>
      </c>
      <c r="Z1857" s="34" t="s">
        <v>7476</v>
      </c>
      <c r="AA1857" s="34" t="s">
        <v>7476</v>
      </c>
      <c r="AB1857" s="36" t="s">
        <v>95</v>
      </c>
      <c r="AD1857" t="s">
        <v>5773</v>
      </c>
      <c r="AE1857" t="s">
        <v>5774</v>
      </c>
      <c r="AF1857" s="16">
        <v>44753</v>
      </c>
      <c r="AG1857" t="s">
        <v>68</v>
      </c>
      <c r="AH1857">
        <v>6</v>
      </c>
      <c r="AI1857" s="8" t="str">
        <f>IFERROR(R1857-AF1857,"")</f>
        <v/>
      </c>
      <c r="AJ1857" s="8">
        <f>IFERROR(O1857-AF1857,"")</f>
        <v>16.410798611112114</v>
      </c>
      <c r="AK1857" s="38" t="str">
        <f t="shared" si="718"/>
        <v/>
      </c>
      <c r="AL1857" t="str">
        <f>IFERROR(Z1857-W1857,"")</f>
        <v/>
      </c>
      <c r="AM1857" t="str">
        <f>IFERROR(R1857-J1857,"")</f>
        <v/>
      </c>
      <c r="AN1857" t="str">
        <f>IFERROR(V1857-O1857,"")</f>
        <v/>
      </c>
      <c r="AO1857">
        <f>IFERROR(J1857-I1857,"")</f>
        <v>1</v>
      </c>
      <c r="AP1857">
        <f>IFERROR(AC1857-X1857,"")</f>
        <v>0</v>
      </c>
      <c r="AQ1857" t="str">
        <f>IFERROR(AA1857-W1857,"")</f>
        <v/>
      </c>
    </row>
    <row r="1858" spans="1:43" x14ac:dyDescent="0.35">
      <c r="A1858">
        <v>73</v>
      </c>
      <c r="B1858" t="s">
        <v>5775</v>
      </c>
      <c r="C1858" t="s">
        <v>4480</v>
      </c>
      <c r="D1858" t="str">
        <f t="shared" ref="D1858:D1921" si="743">TRIM(C1858)</f>
        <v>Finance</v>
      </c>
      <c r="E1858" t="s">
        <v>5621</v>
      </c>
      <c r="F1858" t="s">
        <v>78</v>
      </c>
      <c r="G1858" t="s">
        <v>5757</v>
      </c>
      <c r="H1858" t="s">
        <v>80</v>
      </c>
      <c r="I1858" s="32">
        <v>44748.410798611112</v>
      </c>
      <c r="J1858" s="32">
        <v>44749.410798611112</v>
      </c>
      <c r="K1858" s="32">
        <v>44754.410798611112</v>
      </c>
      <c r="L1858" s="8">
        <f t="shared" ref="L1858:L1921" si="744">IFERROR(K1858-I1858,"")</f>
        <v>6</v>
      </c>
      <c r="M1858" s="7">
        <v>44782.410798611112</v>
      </c>
      <c r="N1858" t="s">
        <v>49</v>
      </c>
      <c r="O1858" s="34">
        <v>44759.410798611112</v>
      </c>
      <c r="P1858" t="s">
        <v>101</v>
      </c>
      <c r="R1858" s="32">
        <v>44764.410798611112</v>
      </c>
      <c r="S1858" t="s">
        <v>101</v>
      </c>
      <c r="T1858" s="34">
        <v>44760.410798611112</v>
      </c>
      <c r="U1858" s="34">
        <v>44764.410798611112</v>
      </c>
      <c r="V1858" s="32">
        <v>44763.410798611112</v>
      </c>
      <c r="W1858" s="32">
        <v>44772.410798611112</v>
      </c>
      <c r="X1858">
        <v>1</v>
      </c>
      <c r="Y1858" s="34">
        <v>44776.410798611112</v>
      </c>
      <c r="Z1858" s="34">
        <v>44777.410798611112</v>
      </c>
      <c r="AA1858" s="34">
        <v>44779.410798611112</v>
      </c>
      <c r="AB1858" s="36" t="s">
        <v>7476</v>
      </c>
      <c r="AC1858" s="10">
        <v>44796.410798611112</v>
      </c>
      <c r="AD1858" t="s">
        <v>5776</v>
      </c>
      <c r="AE1858" t="s">
        <v>5777</v>
      </c>
      <c r="AF1858" s="16">
        <v>44599</v>
      </c>
      <c r="AG1858" t="s">
        <v>98</v>
      </c>
      <c r="AH1858">
        <v>6</v>
      </c>
      <c r="AI1858" s="8">
        <f>IFERROR(R1858-AF1858,"")</f>
        <v>165.41079861111211</v>
      </c>
      <c r="AJ1858" s="8">
        <f>IFERROR(O1858-AF1858,"")</f>
        <v>160.41079861111211</v>
      </c>
      <c r="AK1858" s="38">
        <f t="shared" si="718"/>
        <v>44943.410798611112</v>
      </c>
      <c r="AL1858">
        <f>IFERROR(Z1858-W1858,"")</f>
        <v>5</v>
      </c>
      <c r="AM1858">
        <f>IFERROR(R1858-J1858,"")</f>
        <v>15</v>
      </c>
      <c r="AN1858">
        <f>IFERROR(V1858-O1858,"")</f>
        <v>4</v>
      </c>
      <c r="AO1858">
        <f>IFERROR(J1858-I1858,"")</f>
        <v>1</v>
      </c>
      <c r="AP1858">
        <f>IFERROR(AC1858-X1858,"")</f>
        <v>44795.410798611112</v>
      </c>
      <c r="AQ1858">
        <f>IFERROR(AA1858-W1858,"")</f>
        <v>7</v>
      </c>
    </row>
    <row r="1859" spans="1:43" x14ac:dyDescent="0.35">
      <c r="A1859">
        <v>71</v>
      </c>
      <c r="B1859" t="s">
        <v>5778</v>
      </c>
      <c r="C1859" t="s">
        <v>4471</v>
      </c>
      <c r="D1859" t="str">
        <f t="shared" si="743"/>
        <v>Finance</v>
      </c>
      <c r="E1859" t="s">
        <v>5621</v>
      </c>
      <c r="F1859" t="s">
        <v>78</v>
      </c>
      <c r="G1859" t="s">
        <v>5757</v>
      </c>
      <c r="H1859" t="s">
        <v>80</v>
      </c>
      <c r="I1859" s="32">
        <v>44752.410798611112</v>
      </c>
      <c r="J1859" s="32">
        <v>44753.410798611112</v>
      </c>
      <c r="K1859" s="32">
        <v>44754.410798611112</v>
      </c>
      <c r="L1859" s="8">
        <f t="shared" si="744"/>
        <v>2</v>
      </c>
      <c r="M1859" s="7">
        <v>44765.410798611112</v>
      </c>
      <c r="N1859" t="s">
        <v>49</v>
      </c>
      <c r="O1859" s="34">
        <v>44762.410798611112</v>
      </c>
      <c r="P1859" t="s">
        <v>392</v>
      </c>
      <c r="R1859" s="32">
        <v>44768.410798611112</v>
      </c>
      <c r="S1859" t="s">
        <v>392</v>
      </c>
      <c r="T1859" s="34" t="s">
        <v>7476</v>
      </c>
      <c r="U1859" s="34" t="s">
        <v>7476</v>
      </c>
      <c r="V1859" s="32">
        <v>44766.410798611112</v>
      </c>
      <c r="W1859" s="32" t="s">
        <v>7476</v>
      </c>
      <c r="X1859">
        <v>0</v>
      </c>
      <c r="Y1859" s="34" t="s">
        <v>7476</v>
      </c>
      <c r="Z1859" s="34" t="s">
        <v>7476</v>
      </c>
      <c r="AA1859" s="34" t="s">
        <v>7476</v>
      </c>
      <c r="AB1859" s="36" t="s">
        <v>7476</v>
      </c>
      <c r="AD1859" t="s">
        <v>5779</v>
      </c>
      <c r="AE1859" t="s">
        <v>5780</v>
      </c>
      <c r="AF1859" s="16">
        <v>44748</v>
      </c>
      <c r="AG1859" t="s">
        <v>98</v>
      </c>
      <c r="AH1859">
        <v>3</v>
      </c>
      <c r="AI1859" s="8">
        <f>IFERROR(R1859-AF1859,"")</f>
        <v>20.410798611112114</v>
      </c>
      <c r="AJ1859" s="8">
        <f>IFERROR(O1859-AF1859,"")</f>
        <v>14.410798611112114</v>
      </c>
      <c r="AK1859" s="38">
        <f t="shared" ref="AK1859:AK1922" si="745">IFERROR(V1859+(AH1859*30),"")</f>
        <v>44856.410798611112</v>
      </c>
      <c r="AL1859" t="str">
        <f>IFERROR(Z1859-W1859,"")</f>
        <v/>
      </c>
      <c r="AM1859">
        <f>IFERROR(R1859-J1859,"")</f>
        <v>15</v>
      </c>
      <c r="AN1859">
        <f>IFERROR(V1859-O1859,"")</f>
        <v>4</v>
      </c>
      <c r="AO1859">
        <f>IFERROR(J1859-I1859,"")</f>
        <v>1</v>
      </c>
      <c r="AP1859">
        <f>IFERROR(AC1859-X1859,"")</f>
        <v>0</v>
      </c>
      <c r="AQ1859" t="str">
        <f>IFERROR(AA1859-W1859,"")</f>
        <v/>
      </c>
    </row>
    <row r="1860" spans="1:43" x14ac:dyDescent="0.35">
      <c r="A1860">
        <v>27</v>
      </c>
      <c r="B1860" t="s">
        <v>5781</v>
      </c>
      <c r="C1860" t="s">
        <v>4471</v>
      </c>
      <c r="D1860" t="str">
        <f t="shared" si="743"/>
        <v>Finance</v>
      </c>
      <c r="E1860" t="s">
        <v>5621</v>
      </c>
      <c r="F1860" t="s">
        <v>78</v>
      </c>
      <c r="G1860" t="s">
        <v>5757</v>
      </c>
      <c r="H1860" t="s">
        <v>80</v>
      </c>
      <c r="I1860" s="32" t="s">
        <v>7471</v>
      </c>
      <c r="J1860" s="32">
        <v>44921.453449074077</v>
      </c>
      <c r="K1860" s="32">
        <v>44927.453449074077</v>
      </c>
      <c r="L1860" s="8" t="str">
        <f t="shared" si="744"/>
        <v/>
      </c>
      <c r="M1860" s="7">
        <v>44939.453449074077</v>
      </c>
      <c r="N1860" t="s">
        <v>49</v>
      </c>
      <c r="O1860" s="34">
        <v>44933.453449074077</v>
      </c>
      <c r="P1860" t="s">
        <v>392</v>
      </c>
      <c r="R1860" s="32">
        <v>44938.453449074077</v>
      </c>
      <c r="S1860" t="s">
        <v>392</v>
      </c>
      <c r="T1860" s="34" t="s">
        <v>7476</v>
      </c>
      <c r="U1860" s="34" t="s">
        <v>7476</v>
      </c>
      <c r="V1860" s="32">
        <v>44934.453449074077</v>
      </c>
      <c r="W1860" s="32" t="s">
        <v>7476</v>
      </c>
      <c r="X1860">
        <v>0</v>
      </c>
      <c r="Y1860" s="34" t="s">
        <v>7476</v>
      </c>
      <c r="Z1860" s="34" t="s">
        <v>7476</v>
      </c>
      <c r="AA1860" s="34" t="s">
        <v>7476</v>
      </c>
      <c r="AB1860" s="36" t="s">
        <v>7476</v>
      </c>
      <c r="AD1860" t="s">
        <v>5782</v>
      </c>
      <c r="AE1860" t="s">
        <v>5783</v>
      </c>
      <c r="AF1860" s="16">
        <v>44927</v>
      </c>
      <c r="AG1860" t="s">
        <v>93</v>
      </c>
      <c r="AH1860">
        <v>3</v>
      </c>
      <c r="AK1860" s="38">
        <f t="shared" si="745"/>
        <v>45024.453449074077</v>
      </c>
    </row>
    <row r="1861" spans="1:43" x14ac:dyDescent="0.35">
      <c r="A1861">
        <v>26</v>
      </c>
      <c r="B1861" t="s">
        <v>5784</v>
      </c>
      <c r="C1861" t="s">
        <v>4471</v>
      </c>
      <c r="D1861" t="str">
        <f t="shared" si="743"/>
        <v>Finance</v>
      </c>
      <c r="E1861" t="s">
        <v>5621</v>
      </c>
      <c r="F1861" t="s">
        <v>78</v>
      </c>
      <c r="G1861" t="s">
        <v>5757</v>
      </c>
      <c r="H1861" t="s">
        <v>80</v>
      </c>
      <c r="I1861" s="32">
        <v>44922.453449074077</v>
      </c>
      <c r="J1861" s="32">
        <v>44926.453449074077</v>
      </c>
      <c r="K1861" s="32">
        <v>44927.453449074077</v>
      </c>
      <c r="L1861" s="8">
        <f t="shared" si="744"/>
        <v>5</v>
      </c>
      <c r="M1861" s="7">
        <v>44938.453449074077</v>
      </c>
      <c r="N1861" t="s">
        <v>49</v>
      </c>
      <c r="O1861" s="34">
        <v>44945.453449074077</v>
      </c>
      <c r="P1861" t="s">
        <v>101</v>
      </c>
      <c r="R1861" s="32">
        <v>44952.453449074077</v>
      </c>
      <c r="S1861" t="s">
        <v>101</v>
      </c>
      <c r="T1861" s="34">
        <v>44946.453449074077</v>
      </c>
      <c r="U1861" s="34">
        <v>44948.453449074077</v>
      </c>
      <c r="V1861" s="32">
        <v>44948.453449074077</v>
      </c>
      <c r="W1861" s="32">
        <v>44953.453449074077</v>
      </c>
      <c r="X1861">
        <v>1</v>
      </c>
      <c r="Y1861" s="34">
        <v>44954.453449074077</v>
      </c>
      <c r="Z1861" s="34">
        <v>44955.453449074077</v>
      </c>
      <c r="AA1861" s="34">
        <v>44958.453449074077</v>
      </c>
      <c r="AB1861" s="36" t="s">
        <v>7476</v>
      </c>
      <c r="AC1861" s="10">
        <v>44970.453449074077</v>
      </c>
      <c r="AD1861" t="s">
        <v>5785</v>
      </c>
      <c r="AE1861" t="s">
        <v>5786</v>
      </c>
      <c r="AF1861" s="16">
        <v>45170</v>
      </c>
      <c r="AG1861" t="s">
        <v>64</v>
      </c>
      <c r="AH1861">
        <v>3</v>
      </c>
      <c r="AI1861" s="8">
        <f>IFERROR(R1861-AF1861,"")</f>
        <v>-217.54655092592293</v>
      </c>
      <c r="AJ1861" s="8">
        <f>IFERROR(O1861-AF1861,"")</f>
        <v>-224.54655092592293</v>
      </c>
      <c r="AK1861" s="38">
        <f t="shared" si="745"/>
        <v>45038.453449074077</v>
      </c>
      <c r="AL1861">
        <f>IFERROR(Z1861-W1861,"")</f>
        <v>2</v>
      </c>
      <c r="AM1861">
        <f>IFERROR(R1861-J1861,"")</f>
        <v>26</v>
      </c>
      <c r="AN1861">
        <f>IFERROR(V1861-O1861,"")</f>
        <v>3</v>
      </c>
      <c r="AO1861">
        <f>IFERROR(J1861-I1861,"")</f>
        <v>4</v>
      </c>
      <c r="AP1861">
        <f>IFERROR(AC1861-X1861,"")</f>
        <v>44969.453449074077</v>
      </c>
      <c r="AQ1861">
        <f>IFERROR(AA1861-W1861,"")</f>
        <v>5</v>
      </c>
    </row>
    <row r="1862" spans="1:43" x14ac:dyDescent="0.35">
      <c r="A1862">
        <v>25</v>
      </c>
      <c r="B1862" t="s">
        <v>5787</v>
      </c>
      <c r="C1862" t="s">
        <v>4502</v>
      </c>
      <c r="D1862" t="str">
        <f t="shared" si="743"/>
        <v>Finance</v>
      </c>
      <c r="E1862" t="s">
        <v>5621</v>
      </c>
      <c r="F1862" t="s">
        <v>78</v>
      </c>
      <c r="G1862" t="s">
        <v>5757</v>
      </c>
      <c r="H1862" t="s">
        <v>80</v>
      </c>
      <c r="I1862" s="32">
        <v>44917.453449074077</v>
      </c>
      <c r="J1862" s="32">
        <v>44921.453449074077</v>
      </c>
      <c r="K1862" s="32">
        <v>44927.453449074077</v>
      </c>
      <c r="L1862" s="8">
        <f t="shared" si="744"/>
        <v>10</v>
      </c>
      <c r="M1862" s="7">
        <v>44951.453449074077</v>
      </c>
      <c r="N1862" t="s">
        <v>49</v>
      </c>
      <c r="O1862" s="34">
        <v>44938.453449074077</v>
      </c>
      <c r="P1862" t="s">
        <v>50</v>
      </c>
      <c r="Q1862" t="s">
        <v>198</v>
      </c>
      <c r="R1862" s="32" t="s">
        <v>7472</v>
      </c>
      <c r="S1862" t="s">
        <v>7476</v>
      </c>
      <c r="T1862" s="34" t="s">
        <v>7476</v>
      </c>
      <c r="U1862" s="34" t="s">
        <v>7476</v>
      </c>
      <c r="V1862" s="32">
        <v>44939.453449074077</v>
      </c>
      <c r="W1862" s="32" t="s">
        <v>7476</v>
      </c>
      <c r="X1862">
        <v>0</v>
      </c>
      <c r="Y1862" s="34" t="s">
        <v>7476</v>
      </c>
      <c r="Z1862" s="34" t="s">
        <v>7476</v>
      </c>
      <c r="AA1862" s="34" t="s">
        <v>7476</v>
      </c>
      <c r="AB1862" s="36" t="s">
        <v>52</v>
      </c>
      <c r="AD1862" t="s">
        <v>5788</v>
      </c>
      <c r="AE1862" t="s">
        <v>5789</v>
      </c>
      <c r="AF1862" s="16">
        <v>44932</v>
      </c>
      <c r="AG1862" t="s">
        <v>98</v>
      </c>
      <c r="AH1862">
        <v>6</v>
      </c>
      <c r="AI1862" s="8" t="str">
        <f>IFERROR(R1862-AF1862,"")</f>
        <v/>
      </c>
      <c r="AJ1862" s="8">
        <f>IFERROR(O1862-AF1862,"")</f>
        <v>6.4534490740770707</v>
      </c>
      <c r="AK1862" s="38">
        <f t="shared" si="745"/>
        <v>45119.453449074077</v>
      </c>
      <c r="AL1862" t="str">
        <f>IFERROR(Z1862-W1862,"")</f>
        <v/>
      </c>
      <c r="AM1862" t="str">
        <f>IFERROR(R1862-J1862,"")</f>
        <v/>
      </c>
      <c r="AN1862">
        <f>IFERROR(V1862-O1862,"")</f>
        <v>1</v>
      </c>
      <c r="AO1862">
        <f>IFERROR(J1862-I1862,"")</f>
        <v>4</v>
      </c>
      <c r="AP1862">
        <f>IFERROR(AC1862-X1862,"")</f>
        <v>0</v>
      </c>
      <c r="AQ1862" t="str">
        <f>IFERROR(AA1862-W1862,"")</f>
        <v/>
      </c>
    </row>
    <row r="1863" spans="1:43" x14ac:dyDescent="0.35">
      <c r="A1863">
        <v>19</v>
      </c>
      <c r="B1863" t="s">
        <v>5790</v>
      </c>
      <c r="C1863" t="s">
        <v>4480</v>
      </c>
      <c r="D1863" t="str">
        <f t="shared" si="743"/>
        <v>Finance</v>
      </c>
      <c r="E1863" t="s">
        <v>5621</v>
      </c>
      <c r="F1863" t="s">
        <v>78</v>
      </c>
      <c r="G1863" t="s">
        <v>5757</v>
      </c>
      <c r="H1863" t="s">
        <v>80</v>
      </c>
      <c r="I1863" s="32">
        <v>44637.901284722233</v>
      </c>
      <c r="J1863" s="32">
        <v>44639.901284722233</v>
      </c>
      <c r="K1863" s="32">
        <v>44642.901284722233</v>
      </c>
      <c r="L1863" s="8">
        <f t="shared" si="744"/>
        <v>5</v>
      </c>
      <c r="M1863" s="7">
        <v>44651.901284722233</v>
      </c>
      <c r="N1863" t="s">
        <v>49</v>
      </c>
      <c r="O1863" s="34">
        <v>44649.901284722233</v>
      </c>
      <c r="P1863" t="s">
        <v>50</v>
      </c>
      <c r="Q1863" t="s">
        <v>51</v>
      </c>
      <c r="R1863" s="32" t="s">
        <v>7472</v>
      </c>
      <c r="S1863" t="s">
        <v>7476</v>
      </c>
      <c r="T1863" s="34" t="s">
        <v>7476</v>
      </c>
      <c r="U1863" s="34" t="s">
        <v>7476</v>
      </c>
      <c r="V1863" s="32" t="s">
        <v>7476</v>
      </c>
      <c r="W1863" s="32" t="s">
        <v>7476</v>
      </c>
      <c r="X1863">
        <v>0</v>
      </c>
      <c r="Y1863" s="34" t="s">
        <v>7476</v>
      </c>
      <c r="Z1863" s="34" t="s">
        <v>7476</v>
      </c>
      <c r="AA1863" s="34" t="s">
        <v>7476</v>
      </c>
      <c r="AB1863" s="36" t="s">
        <v>95</v>
      </c>
      <c r="AD1863" t="s">
        <v>5791</v>
      </c>
      <c r="AE1863" t="s">
        <v>5792</v>
      </c>
      <c r="AF1863" s="16">
        <v>44640</v>
      </c>
      <c r="AG1863" t="s">
        <v>98</v>
      </c>
      <c r="AH1863">
        <v>6</v>
      </c>
      <c r="AI1863" s="8" t="str">
        <f>IFERROR(R1863-AF1863,"")</f>
        <v/>
      </c>
      <c r="AJ1863" s="8">
        <f>IFERROR(O1863-AF1863,"")</f>
        <v>9.9012847222329583</v>
      </c>
      <c r="AK1863" s="38" t="str">
        <f t="shared" si="745"/>
        <v/>
      </c>
      <c r="AL1863" t="str">
        <f>IFERROR(Z1863-W1863,"")</f>
        <v/>
      </c>
      <c r="AM1863" t="str">
        <f>IFERROR(R1863-J1863,"")</f>
        <v/>
      </c>
      <c r="AN1863" t="str">
        <f>IFERROR(V1863-O1863,"")</f>
        <v/>
      </c>
      <c r="AO1863">
        <f>IFERROR(J1863-I1863,"")</f>
        <v>2</v>
      </c>
      <c r="AP1863">
        <f>IFERROR(AC1863-X1863,"")</f>
        <v>0</v>
      </c>
      <c r="AQ1863" t="str">
        <f>IFERROR(AA1863-W1863,"")</f>
        <v/>
      </c>
    </row>
    <row r="1864" spans="1:43" x14ac:dyDescent="0.35">
      <c r="A1864">
        <v>13</v>
      </c>
      <c r="B1864" t="s">
        <v>5793</v>
      </c>
      <c r="C1864" t="s">
        <v>4480</v>
      </c>
      <c r="D1864" t="str">
        <f t="shared" si="743"/>
        <v>Finance</v>
      </c>
      <c r="E1864" t="s">
        <v>5621</v>
      </c>
      <c r="F1864" t="s">
        <v>78</v>
      </c>
      <c r="G1864" t="s">
        <v>5757</v>
      </c>
      <c r="H1864" t="s">
        <v>80</v>
      </c>
      <c r="I1864" s="32">
        <v>44632.901284722233</v>
      </c>
      <c r="J1864" s="32">
        <v>44636.901284722233</v>
      </c>
      <c r="K1864" s="32">
        <v>44642.901284722233</v>
      </c>
      <c r="L1864" s="8">
        <f t="shared" si="744"/>
        <v>10</v>
      </c>
      <c r="M1864" s="7">
        <v>44662.901284722233</v>
      </c>
      <c r="N1864" t="s">
        <v>49</v>
      </c>
      <c r="O1864" s="34">
        <v>44648.901284722233</v>
      </c>
      <c r="P1864" t="s">
        <v>50</v>
      </c>
      <c r="Q1864" t="s">
        <v>198</v>
      </c>
      <c r="R1864" s="32" t="s">
        <v>7472</v>
      </c>
      <c r="S1864" t="s">
        <v>7476</v>
      </c>
      <c r="T1864" s="34" t="s">
        <v>7476</v>
      </c>
      <c r="U1864" s="34" t="s">
        <v>7476</v>
      </c>
      <c r="V1864" s="32" t="s">
        <v>7476</v>
      </c>
      <c r="W1864" s="32" t="s">
        <v>7476</v>
      </c>
      <c r="X1864">
        <v>0</v>
      </c>
      <c r="Y1864" s="34" t="s">
        <v>7476</v>
      </c>
      <c r="Z1864" s="34" t="s">
        <v>7476</v>
      </c>
      <c r="AA1864" s="34" t="s">
        <v>7476</v>
      </c>
      <c r="AB1864" s="36" t="s">
        <v>95</v>
      </c>
      <c r="AD1864" t="s">
        <v>5794</v>
      </c>
      <c r="AE1864" t="s">
        <v>5795</v>
      </c>
      <c r="AF1864" s="16">
        <v>44637</v>
      </c>
      <c r="AG1864" t="s">
        <v>98</v>
      </c>
      <c r="AH1864">
        <v>6</v>
      </c>
      <c r="AI1864" s="8" t="str">
        <f>IFERROR(R1864-AF1864,"")</f>
        <v/>
      </c>
      <c r="AJ1864" s="8">
        <f>IFERROR(O1864-AF1864,"")</f>
        <v>11.901284722232958</v>
      </c>
      <c r="AK1864" s="38" t="str">
        <f t="shared" si="745"/>
        <v/>
      </c>
      <c r="AL1864" t="str">
        <f>IFERROR(Z1864-W1864,"")</f>
        <v/>
      </c>
      <c r="AM1864" t="str">
        <f>IFERROR(R1864-J1864,"")</f>
        <v/>
      </c>
      <c r="AN1864" t="str">
        <f>IFERROR(V1864-O1864,"")</f>
        <v/>
      </c>
      <c r="AO1864">
        <f>IFERROR(J1864-I1864,"")</f>
        <v>4</v>
      </c>
      <c r="AP1864">
        <f>IFERROR(AC1864-X1864,"")</f>
        <v>0</v>
      </c>
      <c r="AQ1864" t="str">
        <f>IFERROR(AA1864-W1864,"")</f>
        <v/>
      </c>
    </row>
    <row r="1865" spans="1:43" x14ac:dyDescent="0.35">
      <c r="A1865">
        <v>11</v>
      </c>
      <c r="B1865" t="s">
        <v>5796</v>
      </c>
      <c r="C1865" t="s">
        <v>4471</v>
      </c>
      <c r="D1865" t="str">
        <f t="shared" si="743"/>
        <v>Finance</v>
      </c>
      <c r="E1865" t="s">
        <v>5621</v>
      </c>
      <c r="F1865" t="s">
        <v>78</v>
      </c>
      <c r="G1865" t="s">
        <v>5757</v>
      </c>
      <c r="H1865" t="s">
        <v>80</v>
      </c>
      <c r="I1865" s="32">
        <v>44634.901284722233</v>
      </c>
      <c r="J1865" s="32" t="s">
        <v>7471</v>
      </c>
      <c r="K1865" s="32">
        <v>44642.901284722233</v>
      </c>
      <c r="L1865" s="8">
        <f t="shared" si="744"/>
        <v>8</v>
      </c>
      <c r="M1865" s="7">
        <v>44668.901284722233</v>
      </c>
      <c r="N1865" t="s">
        <v>49</v>
      </c>
      <c r="O1865" s="34">
        <v>44655.901284722233</v>
      </c>
      <c r="P1865" t="s">
        <v>50</v>
      </c>
      <c r="Q1865" t="s">
        <v>125</v>
      </c>
      <c r="R1865" s="32" t="s">
        <v>7472</v>
      </c>
      <c r="S1865" t="s">
        <v>7476</v>
      </c>
      <c r="T1865" s="34" t="s">
        <v>7476</v>
      </c>
      <c r="U1865" s="34" t="s">
        <v>7476</v>
      </c>
      <c r="V1865" s="32">
        <v>44658.901284722233</v>
      </c>
      <c r="W1865" s="32" t="s">
        <v>7476</v>
      </c>
      <c r="X1865">
        <v>0</v>
      </c>
      <c r="Y1865" s="34" t="s">
        <v>7476</v>
      </c>
      <c r="Z1865" s="34" t="s">
        <v>7476</v>
      </c>
      <c r="AA1865" s="34" t="s">
        <v>7476</v>
      </c>
      <c r="AB1865" s="36" t="s">
        <v>52</v>
      </c>
      <c r="AD1865" t="s">
        <v>5797</v>
      </c>
      <c r="AE1865" t="s">
        <v>5798</v>
      </c>
      <c r="AF1865" s="16">
        <v>44638</v>
      </c>
      <c r="AG1865" t="s">
        <v>93</v>
      </c>
      <c r="AH1865">
        <v>6</v>
      </c>
      <c r="AK1865" s="38">
        <f t="shared" si="745"/>
        <v>44838.901284722233</v>
      </c>
    </row>
    <row r="1866" spans="1:43" x14ac:dyDescent="0.35">
      <c r="A1866">
        <v>2760</v>
      </c>
      <c r="B1866" t="s">
        <v>5799</v>
      </c>
      <c r="C1866" t="s">
        <v>4471</v>
      </c>
      <c r="D1866" t="str">
        <f t="shared" si="743"/>
        <v>Finance</v>
      </c>
      <c r="E1866" t="s">
        <v>5800</v>
      </c>
      <c r="F1866" t="s">
        <v>5801</v>
      </c>
      <c r="G1866" t="s">
        <v>5802</v>
      </c>
      <c r="H1866" t="s">
        <v>59</v>
      </c>
      <c r="I1866" s="32">
        <v>45026.765081018522</v>
      </c>
      <c r="J1866" s="32">
        <v>45029.765081018522</v>
      </c>
      <c r="K1866" s="32">
        <v>45032.765081018522</v>
      </c>
      <c r="L1866" s="8">
        <f t="shared" si="744"/>
        <v>6</v>
      </c>
      <c r="M1866" s="7">
        <v>45050.765081018522</v>
      </c>
      <c r="N1866" t="s">
        <v>49</v>
      </c>
      <c r="O1866" s="34">
        <v>45037.765081018522</v>
      </c>
      <c r="P1866" t="s">
        <v>50</v>
      </c>
      <c r="Q1866" t="s">
        <v>84</v>
      </c>
      <c r="R1866" s="32" t="s">
        <v>7472</v>
      </c>
      <c r="S1866" t="s">
        <v>7476</v>
      </c>
      <c r="T1866" s="34" t="s">
        <v>7476</v>
      </c>
      <c r="U1866" s="34" t="s">
        <v>7476</v>
      </c>
      <c r="V1866" s="32">
        <v>45040.765081018522</v>
      </c>
      <c r="W1866" s="32" t="s">
        <v>7476</v>
      </c>
      <c r="X1866">
        <v>0</v>
      </c>
      <c r="Y1866" s="34" t="s">
        <v>7476</v>
      </c>
      <c r="Z1866" s="34" t="s">
        <v>7476</v>
      </c>
      <c r="AA1866" s="34" t="s">
        <v>7476</v>
      </c>
      <c r="AB1866" s="36" t="s">
        <v>52</v>
      </c>
      <c r="AD1866" t="s">
        <v>5803</v>
      </c>
      <c r="AE1866" t="s">
        <v>5804</v>
      </c>
      <c r="AF1866" s="16">
        <v>45025</v>
      </c>
      <c r="AG1866" t="s">
        <v>68</v>
      </c>
      <c r="AH1866">
        <v>6</v>
      </c>
      <c r="AI1866" s="8" t="str">
        <f t="shared" ref="AI1866:AI1871" si="746">IFERROR(R1866-AF1866,"")</f>
        <v/>
      </c>
      <c r="AJ1866" s="8">
        <f t="shared" ref="AJ1866:AJ1871" si="747">IFERROR(O1866-AF1866,"")</f>
        <v>12.765081018522324</v>
      </c>
      <c r="AK1866" s="38">
        <f t="shared" si="745"/>
        <v>45220.765081018522</v>
      </c>
      <c r="AL1866" t="str">
        <f t="shared" ref="AL1866:AL1871" si="748">IFERROR(Z1866-W1866,"")</f>
        <v/>
      </c>
      <c r="AM1866" t="str">
        <f t="shared" ref="AM1866:AM1871" si="749">IFERROR(R1866-J1866,"")</f>
        <v/>
      </c>
      <c r="AN1866">
        <f t="shared" ref="AN1866:AN1871" si="750">IFERROR(V1866-O1866,"")</f>
        <v>3</v>
      </c>
      <c r="AO1866">
        <f t="shared" ref="AO1866:AO1871" si="751">IFERROR(J1866-I1866,"")</f>
        <v>3</v>
      </c>
      <c r="AP1866">
        <f t="shared" ref="AP1866:AP1871" si="752">IFERROR(AC1866-X1866,"")</f>
        <v>0</v>
      </c>
      <c r="AQ1866" t="str">
        <f t="shared" ref="AQ1866:AQ1871" si="753">IFERROR(AA1866-W1866,"")</f>
        <v/>
      </c>
    </row>
    <row r="1867" spans="1:43" x14ac:dyDescent="0.35">
      <c r="A1867">
        <v>2684</v>
      </c>
      <c r="B1867" t="s">
        <v>5805</v>
      </c>
      <c r="C1867" t="s">
        <v>4471</v>
      </c>
      <c r="D1867" t="str">
        <f t="shared" si="743"/>
        <v>Finance</v>
      </c>
      <c r="E1867" t="s">
        <v>5800</v>
      </c>
      <c r="F1867" t="s">
        <v>5801</v>
      </c>
      <c r="G1867" t="s">
        <v>5802</v>
      </c>
      <c r="H1867" t="s">
        <v>59</v>
      </c>
      <c r="I1867" s="32">
        <v>45136.716412037043</v>
      </c>
      <c r="J1867" s="32">
        <v>45138.716412037043</v>
      </c>
      <c r="K1867" s="32">
        <v>45142.716412037043</v>
      </c>
      <c r="L1867" s="8">
        <f t="shared" si="744"/>
        <v>6</v>
      </c>
      <c r="M1867" s="7">
        <v>45172.716412037043</v>
      </c>
      <c r="N1867" t="s">
        <v>72</v>
      </c>
      <c r="O1867" s="34" t="s">
        <v>7474</v>
      </c>
      <c r="R1867" s="32" t="s">
        <v>7472</v>
      </c>
      <c r="S1867" t="s">
        <v>7476</v>
      </c>
      <c r="T1867" s="34" t="s">
        <v>7476</v>
      </c>
      <c r="U1867" s="34" t="s">
        <v>7476</v>
      </c>
      <c r="V1867" s="32" t="s">
        <v>7476</v>
      </c>
      <c r="W1867" s="32" t="s">
        <v>7476</v>
      </c>
      <c r="X1867">
        <v>0</v>
      </c>
      <c r="Y1867" s="34" t="s">
        <v>7476</v>
      </c>
      <c r="Z1867" s="34" t="s">
        <v>7476</v>
      </c>
      <c r="AA1867" s="34" t="s">
        <v>7476</v>
      </c>
      <c r="AB1867" s="36" t="s">
        <v>7476</v>
      </c>
      <c r="AD1867" t="s">
        <v>5806</v>
      </c>
      <c r="AE1867" t="s">
        <v>5807</v>
      </c>
      <c r="AG1867" t="s">
        <v>68</v>
      </c>
      <c r="AH1867">
        <v>6</v>
      </c>
      <c r="AI1867" s="8" t="str">
        <f t="shared" si="746"/>
        <v/>
      </c>
      <c r="AJ1867" s="8" t="str">
        <f t="shared" si="747"/>
        <v/>
      </c>
      <c r="AK1867" s="38" t="str">
        <f t="shared" si="745"/>
        <v/>
      </c>
      <c r="AL1867" t="str">
        <f t="shared" si="748"/>
        <v/>
      </c>
      <c r="AM1867" t="str">
        <f t="shared" si="749"/>
        <v/>
      </c>
      <c r="AN1867" t="str">
        <f t="shared" si="750"/>
        <v/>
      </c>
      <c r="AO1867">
        <f t="shared" si="751"/>
        <v>2</v>
      </c>
      <c r="AP1867">
        <f t="shared" si="752"/>
        <v>0</v>
      </c>
      <c r="AQ1867" t="str">
        <f t="shared" si="753"/>
        <v/>
      </c>
    </row>
    <row r="1868" spans="1:43" x14ac:dyDescent="0.35">
      <c r="A1868">
        <v>2679</v>
      </c>
      <c r="B1868" t="s">
        <v>5808</v>
      </c>
      <c r="C1868" t="s">
        <v>4480</v>
      </c>
      <c r="D1868" t="str">
        <f t="shared" si="743"/>
        <v>Finance</v>
      </c>
      <c r="E1868" t="s">
        <v>5800</v>
      </c>
      <c r="F1868" t="s">
        <v>5801</v>
      </c>
      <c r="G1868" t="s">
        <v>5802</v>
      </c>
      <c r="H1868" t="s">
        <v>59</v>
      </c>
      <c r="I1868" s="32">
        <v>44600.141087962962</v>
      </c>
      <c r="J1868" s="32">
        <v>44603.141087962962</v>
      </c>
      <c r="K1868" s="32">
        <v>44608.141087962962</v>
      </c>
      <c r="L1868" s="8">
        <f t="shared" si="744"/>
        <v>8</v>
      </c>
      <c r="M1868" s="7">
        <v>44628.141087962962</v>
      </c>
      <c r="N1868" t="s">
        <v>49</v>
      </c>
      <c r="O1868" s="34">
        <v>44623.141087962962</v>
      </c>
      <c r="P1868" t="s">
        <v>101</v>
      </c>
      <c r="R1868" s="32">
        <v>44627.141087962962</v>
      </c>
      <c r="S1868" t="s">
        <v>101</v>
      </c>
      <c r="T1868" s="34">
        <v>44625.141087962962</v>
      </c>
      <c r="U1868" s="34">
        <v>44627.141087962962</v>
      </c>
      <c r="V1868" s="32">
        <v>44626.141087962962</v>
      </c>
      <c r="W1868" s="32">
        <v>44630.141087962962</v>
      </c>
      <c r="X1868">
        <v>1</v>
      </c>
      <c r="Y1868" s="34">
        <v>44634.141087962962</v>
      </c>
      <c r="Z1868" s="34">
        <v>44637.141087962962</v>
      </c>
      <c r="AA1868" s="34">
        <v>44638.141087962962</v>
      </c>
      <c r="AB1868" s="36" t="s">
        <v>7476</v>
      </c>
      <c r="AC1868" s="10">
        <v>44649.141087962962</v>
      </c>
      <c r="AD1868" t="s">
        <v>5809</v>
      </c>
      <c r="AE1868" t="s">
        <v>5810</v>
      </c>
      <c r="AF1868" s="16">
        <v>44611</v>
      </c>
      <c r="AG1868" t="s">
        <v>98</v>
      </c>
      <c r="AH1868">
        <v>3</v>
      </c>
      <c r="AI1868" s="8">
        <f t="shared" si="746"/>
        <v>16.141087962962047</v>
      </c>
      <c r="AJ1868" s="8">
        <f t="shared" si="747"/>
        <v>12.141087962962047</v>
      </c>
      <c r="AK1868" s="38">
        <f t="shared" si="745"/>
        <v>44716.141087962962</v>
      </c>
      <c r="AL1868">
        <f t="shared" si="748"/>
        <v>7</v>
      </c>
      <c r="AM1868">
        <f t="shared" si="749"/>
        <v>24</v>
      </c>
      <c r="AN1868">
        <f t="shared" si="750"/>
        <v>3</v>
      </c>
      <c r="AO1868">
        <f t="shared" si="751"/>
        <v>3</v>
      </c>
      <c r="AP1868">
        <f t="shared" si="752"/>
        <v>44648.141087962962</v>
      </c>
      <c r="AQ1868">
        <f t="shared" si="753"/>
        <v>8</v>
      </c>
    </row>
    <row r="1869" spans="1:43" x14ac:dyDescent="0.35">
      <c r="A1869">
        <v>2672</v>
      </c>
      <c r="B1869" t="s">
        <v>5811</v>
      </c>
      <c r="C1869" t="s">
        <v>4502</v>
      </c>
      <c r="D1869" t="str">
        <f t="shared" si="743"/>
        <v>Finance</v>
      </c>
      <c r="E1869" t="s">
        <v>5800</v>
      </c>
      <c r="F1869" t="s">
        <v>5801</v>
      </c>
      <c r="G1869" t="s">
        <v>5802</v>
      </c>
      <c r="H1869" t="s">
        <v>59</v>
      </c>
      <c r="I1869" s="32">
        <v>44604.141087962962</v>
      </c>
      <c r="J1869" s="32">
        <v>44607.141087962962</v>
      </c>
      <c r="K1869" s="32">
        <v>44608.141087962962</v>
      </c>
      <c r="L1869" s="8">
        <f t="shared" si="744"/>
        <v>4</v>
      </c>
      <c r="M1869" s="7">
        <v>44628.141087962962</v>
      </c>
      <c r="N1869" t="s">
        <v>49</v>
      </c>
      <c r="O1869" s="34">
        <v>44613.141087962962</v>
      </c>
      <c r="P1869" t="s">
        <v>50</v>
      </c>
      <c r="Q1869" t="s">
        <v>51</v>
      </c>
      <c r="R1869" s="32" t="s">
        <v>7472</v>
      </c>
      <c r="S1869" t="s">
        <v>7476</v>
      </c>
      <c r="T1869" s="34" t="s">
        <v>7476</v>
      </c>
      <c r="U1869" s="34" t="s">
        <v>7476</v>
      </c>
      <c r="V1869" s="32">
        <v>44616.141087962962</v>
      </c>
      <c r="W1869" s="32" t="s">
        <v>7476</v>
      </c>
      <c r="X1869">
        <v>0</v>
      </c>
      <c r="Y1869" s="34" t="s">
        <v>7476</v>
      </c>
      <c r="Z1869" s="34" t="s">
        <v>7476</v>
      </c>
      <c r="AA1869" s="34" t="s">
        <v>7476</v>
      </c>
      <c r="AB1869" s="36" t="s">
        <v>52</v>
      </c>
      <c r="AD1869" t="s">
        <v>5812</v>
      </c>
      <c r="AE1869" t="s">
        <v>5813</v>
      </c>
      <c r="AF1869" s="16">
        <v>44604</v>
      </c>
      <c r="AG1869" t="s">
        <v>68</v>
      </c>
      <c r="AH1869">
        <v>3</v>
      </c>
      <c r="AI1869" s="8" t="str">
        <f t="shared" si="746"/>
        <v/>
      </c>
      <c r="AJ1869" s="8">
        <f t="shared" si="747"/>
        <v>9.1410879629620467</v>
      </c>
      <c r="AK1869" s="38">
        <f t="shared" si="745"/>
        <v>44706.141087962962</v>
      </c>
      <c r="AL1869" t="str">
        <f t="shared" si="748"/>
        <v/>
      </c>
      <c r="AM1869" t="str">
        <f t="shared" si="749"/>
        <v/>
      </c>
      <c r="AN1869">
        <f t="shared" si="750"/>
        <v>3</v>
      </c>
      <c r="AO1869">
        <f t="shared" si="751"/>
        <v>3</v>
      </c>
      <c r="AP1869">
        <f t="shared" si="752"/>
        <v>0</v>
      </c>
      <c r="AQ1869" t="str">
        <f t="shared" si="753"/>
        <v/>
      </c>
    </row>
    <row r="1870" spans="1:43" x14ac:dyDescent="0.35">
      <c r="A1870">
        <v>2548</v>
      </c>
      <c r="B1870" t="s">
        <v>5814</v>
      </c>
      <c r="C1870" t="s">
        <v>4480</v>
      </c>
      <c r="D1870" t="str">
        <f t="shared" si="743"/>
        <v>Finance</v>
      </c>
      <c r="E1870" t="s">
        <v>5800</v>
      </c>
      <c r="F1870" t="s">
        <v>5801</v>
      </c>
      <c r="G1870" t="s">
        <v>5802</v>
      </c>
      <c r="H1870" t="s">
        <v>59</v>
      </c>
      <c r="I1870" s="32">
        <v>45107.479166666657</v>
      </c>
      <c r="J1870" s="32">
        <v>45110.479166666657</v>
      </c>
      <c r="K1870" s="32">
        <v>45112.479166666657</v>
      </c>
      <c r="L1870" s="8">
        <f t="shared" si="744"/>
        <v>5</v>
      </c>
      <c r="M1870" s="7">
        <v>45128.479166666657</v>
      </c>
      <c r="N1870" t="s">
        <v>49</v>
      </c>
      <c r="O1870" s="34">
        <v>45125.479166666657</v>
      </c>
      <c r="P1870" t="s">
        <v>50</v>
      </c>
      <c r="Q1870" t="s">
        <v>125</v>
      </c>
      <c r="R1870" s="32" t="s">
        <v>7472</v>
      </c>
      <c r="S1870" t="s">
        <v>7476</v>
      </c>
      <c r="T1870" s="34" t="s">
        <v>7476</v>
      </c>
      <c r="U1870" s="34" t="s">
        <v>7476</v>
      </c>
      <c r="V1870" s="32" t="s">
        <v>7476</v>
      </c>
      <c r="W1870" s="32" t="s">
        <v>7476</v>
      </c>
      <c r="X1870">
        <v>0</v>
      </c>
      <c r="Y1870" s="34" t="s">
        <v>7476</v>
      </c>
      <c r="Z1870" s="34" t="s">
        <v>7476</v>
      </c>
      <c r="AA1870" s="34" t="s">
        <v>7476</v>
      </c>
      <c r="AB1870" s="36" t="s">
        <v>52</v>
      </c>
      <c r="AD1870" t="s">
        <v>5815</v>
      </c>
      <c r="AE1870" t="s">
        <v>5816</v>
      </c>
      <c r="AF1870" s="16">
        <v>45084</v>
      </c>
      <c r="AG1870" t="s">
        <v>64</v>
      </c>
      <c r="AH1870">
        <v>3</v>
      </c>
      <c r="AI1870" s="8" t="str">
        <f t="shared" si="746"/>
        <v/>
      </c>
      <c r="AJ1870" s="8">
        <f t="shared" si="747"/>
        <v>41.479166666656965</v>
      </c>
      <c r="AK1870" s="38" t="str">
        <f t="shared" si="745"/>
        <v/>
      </c>
      <c r="AL1870" t="str">
        <f t="shared" si="748"/>
        <v/>
      </c>
      <c r="AM1870" t="str">
        <f t="shared" si="749"/>
        <v/>
      </c>
      <c r="AN1870" t="str">
        <f t="shared" si="750"/>
        <v/>
      </c>
      <c r="AO1870">
        <f t="shared" si="751"/>
        <v>3</v>
      </c>
      <c r="AP1870">
        <f t="shared" si="752"/>
        <v>0</v>
      </c>
      <c r="AQ1870" t="str">
        <f t="shared" si="753"/>
        <v/>
      </c>
    </row>
    <row r="1871" spans="1:43" x14ac:dyDescent="0.35">
      <c r="A1871">
        <v>2546</v>
      </c>
      <c r="B1871" t="s">
        <v>5817</v>
      </c>
      <c r="C1871" t="s">
        <v>4480</v>
      </c>
      <c r="D1871" t="str">
        <f t="shared" si="743"/>
        <v>Finance</v>
      </c>
      <c r="E1871" t="s">
        <v>5800</v>
      </c>
      <c r="F1871" t="s">
        <v>5801</v>
      </c>
      <c r="G1871" t="s">
        <v>5802</v>
      </c>
      <c r="H1871" t="s">
        <v>59</v>
      </c>
      <c r="I1871" s="32">
        <v>45108.479166666657</v>
      </c>
      <c r="J1871" s="32">
        <v>45109.479166666657</v>
      </c>
      <c r="K1871" s="32">
        <v>45112.479166666657</v>
      </c>
      <c r="L1871" s="8">
        <f t="shared" si="744"/>
        <v>4</v>
      </c>
      <c r="M1871" s="7">
        <v>45139.479166666657</v>
      </c>
      <c r="N1871" t="s">
        <v>49</v>
      </c>
      <c r="O1871" s="34">
        <v>45126.479166666657</v>
      </c>
      <c r="P1871" t="s">
        <v>101</v>
      </c>
      <c r="R1871" s="32">
        <v>45134.479166666657</v>
      </c>
      <c r="S1871" t="s">
        <v>101</v>
      </c>
      <c r="T1871" s="34">
        <v>45128.479166666657</v>
      </c>
      <c r="U1871" s="34">
        <v>45132.479166666657</v>
      </c>
      <c r="V1871" s="32">
        <v>45130.479166666657</v>
      </c>
      <c r="W1871" s="32">
        <v>45135.479166666657</v>
      </c>
      <c r="X1871">
        <v>1</v>
      </c>
      <c r="Y1871" s="34">
        <v>45138.479166666657</v>
      </c>
      <c r="Z1871" s="34">
        <v>45141.479166666657</v>
      </c>
      <c r="AA1871" s="34">
        <v>45143.479166666657</v>
      </c>
      <c r="AB1871" s="36" t="s">
        <v>7476</v>
      </c>
      <c r="AC1871" s="10">
        <v>45152.479166666657</v>
      </c>
      <c r="AD1871" t="s">
        <v>5818</v>
      </c>
      <c r="AE1871" t="s">
        <v>5819</v>
      </c>
      <c r="AF1871" s="16">
        <v>45111</v>
      </c>
      <c r="AG1871" t="s">
        <v>64</v>
      </c>
      <c r="AH1871">
        <v>6</v>
      </c>
      <c r="AI1871" s="8">
        <f t="shared" si="746"/>
        <v>23.479166666656965</v>
      </c>
      <c r="AJ1871" s="8">
        <f t="shared" si="747"/>
        <v>15.479166666656965</v>
      </c>
      <c r="AK1871" s="38">
        <f t="shared" si="745"/>
        <v>45310.479166666657</v>
      </c>
      <c r="AL1871">
        <f t="shared" si="748"/>
        <v>6</v>
      </c>
      <c r="AM1871">
        <f t="shared" si="749"/>
        <v>25</v>
      </c>
      <c r="AN1871">
        <f t="shared" si="750"/>
        <v>4</v>
      </c>
      <c r="AO1871">
        <f t="shared" si="751"/>
        <v>1</v>
      </c>
      <c r="AP1871">
        <f t="shared" si="752"/>
        <v>45151.479166666657</v>
      </c>
      <c r="AQ1871">
        <f t="shared" si="753"/>
        <v>8</v>
      </c>
    </row>
    <row r="1872" spans="1:43" x14ac:dyDescent="0.35">
      <c r="A1872">
        <v>2509</v>
      </c>
      <c r="B1872" t="s">
        <v>5820</v>
      </c>
      <c r="C1872" t="s">
        <v>4480</v>
      </c>
      <c r="D1872" t="str">
        <f t="shared" si="743"/>
        <v>Finance</v>
      </c>
      <c r="E1872" t="s">
        <v>5800</v>
      </c>
      <c r="F1872" t="s">
        <v>5801</v>
      </c>
      <c r="G1872" t="s">
        <v>5802</v>
      </c>
      <c r="H1872" t="s">
        <v>59</v>
      </c>
      <c r="I1872" s="32">
        <v>44738.776979166672</v>
      </c>
      <c r="J1872" s="32">
        <v>44741.776979166672</v>
      </c>
      <c r="K1872" s="32" t="s">
        <v>7473</v>
      </c>
      <c r="L1872" s="8" t="str">
        <f t="shared" si="744"/>
        <v/>
      </c>
      <c r="M1872" s="7">
        <v>44763.776979166672</v>
      </c>
      <c r="N1872" t="s">
        <v>49</v>
      </c>
      <c r="O1872" s="34">
        <v>44753.776979166672</v>
      </c>
      <c r="P1872" t="s">
        <v>60</v>
      </c>
      <c r="R1872" s="32">
        <v>44758.776979166672</v>
      </c>
      <c r="S1872" t="s">
        <v>61</v>
      </c>
      <c r="T1872" s="34" t="s">
        <v>7476</v>
      </c>
      <c r="U1872" s="34" t="s">
        <v>7476</v>
      </c>
      <c r="V1872" s="32">
        <v>44754.776979166672</v>
      </c>
      <c r="W1872" s="32" t="s">
        <v>7476</v>
      </c>
      <c r="X1872">
        <v>0</v>
      </c>
      <c r="Y1872" s="34" t="s">
        <v>7476</v>
      </c>
      <c r="Z1872" s="34" t="s">
        <v>7476</v>
      </c>
      <c r="AA1872" s="34" t="s">
        <v>7476</v>
      </c>
      <c r="AB1872" s="36" t="s">
        <v>7476</v>
      </c>
      <c r="AD1872" t="s">
        <v>5821</v>
      </c>
      <c r="AE1872" t="s">
        <v>5822</v>
      </c>
      <c r="AF1872" s="16">
        <v>44738</v>
      </c>
      <c r="AG1872" t="s">
        <v>93</v>
      </c>
      <c r="AH1872">
        <v>6</v>
      </c>
      <c r="AK1872" s="38">
        <f t="shared" si="745"/>
        <v>44934.776979166672</v>
      </c>
    </row>
    <row r="1873" spans="1:43" x14ac:dyDescent="0.35">
      <c r="A1873">
        <v>2504</v>
      </c>
      <c r="B1873" t="s">
        <v>5823</v>
      </c>
      <c r="C1873" t="s">
        <v>4480</v>
      </c>
      <c r="D1873" t="str">
        <f t="shared" si="743"/>
        <v>Finance</v>
      </c>
      <c r="E1873" t="s">
        <v>5800</v>
      </c>
      <c r="F1873" t="s">
        <v>5801</v>
      </c>
      <c r="G1873" t="s">
        <v>5802</v>
      </c>
      <c r="H1873" t="s">
        <v>59</v>
      </c>
      <c r="I1873" s="32" t="s">
        <v>7471</v>
      </c>
      <c r="J1873" s="32">
        <v>44740.776979166672</v>
      </c>
      <c r="K1873" s="32">
        <v>44743.776979166672</v>
      </c>
      <c r="L1873" s="8" t="str">
        <f t="shared" si="744"/>
        <v/>
      </c>
      <c r="M1873" s="7">
        <v>44767.776979166672</v>
      </c>
      <c r="N1873" t="s">
        <v>49</v>
      </c>
      <c r="O1873" s="34">
        <v>44760.776979166672</v>
      </c>
      <c r="P1873" t="s">
        <v>50</v>
      </c>
      <c r="Q1873" t="s">
        <v>51</v>
      </c>
      <c r="R1873" s="32" t="s">
        <v>7472</v>
      </c>
      <c r="S1873" t="s">
        <v>7476</v>
      </c>
      <c r="T1873" s="34" t="s">
        <v>7476</v>
      </c>
      <c r="U1873" s="34" t="s">
        <v>7476</v>
      </c>
      <c r="V1873" s="32">
        <v>44763.776979166672</v>
      </c>
      <c r="W1873" s="32" t="s">
        <v>7476</v>
      </c>
      <c r="X1873">
        <v>0</v>
      </c>
      <c r="Y1873" s="34" t="s">
        <v>7476</v>
      </c>
      <c r="Z1873" s="34" t="s">
        <v>7476</v>
      </c>
      <c r="AA1873" s="34" t="s">
        <v>7476</v>
      </c>
      <c r="AB1873" s="36" t="s">
        <v>95</v>
      </c>
      <c r="AD1873" t="s">
        <v>5824</v>
      </c>
      <c r="AE1873" t="s">
        <v>5825</v>
      </c>
      <c r="AF1873" s="16">
        <v>44741</v>
      </c>
      <c r="AG1873" t="s">
        <v>75</v>
      </c>
      <c r="AH1873">
        <v>6</v>
      </c>
      <c r="AK1873" s="38">
        <f t="shared" si="745"/>
        <v>44943.776979166672</v>
      </c>
    </row>
    <row r="1874" spans="1:43" x14ac:dyDescent="0.35">
      <c r="A1874">
        <v>2501</v>
      </c>
      <c r="B1874" t="s">
        <v>5826</v>
      </c>
      <c r="C1874" t="s">
        <v>4502</v>
      </c>
      <c r="D1874" t="str">
        <f t="shared" si="743"/>
        <v>Finance</v>
      </c>
      <c r="E1874" t="s">
        <v>5800</v>
      </c>
      <c r="F1874" t="s">
        <v>5801</v>
      </c>
      <c r="G1874" t="s">
        <v>5802</v>
      </c>
      <c r="H1874" t="s">
        <v>59</v>
      </c>
      <c r="I1874" s="32">
        <v>44734.776979166672</v>
      </c>
      <c r="J1874" s="32">
        <v>44738.776979166672</v>
      </c>
      <c r="K1874" s="32" t="s">
        <v>7473</v>
      </c>
      <c r="L1874" s="8" t="str">
        <f t="shared" si="744"/>
        <v/>
      </c>
      <c r="M1874" s="7">
        <v>44765.776979166672</v>
      </c>
      <c r="N1874" t="s">
        <v>49</v>
      </c>
      <c r="O1874" s="34">
        <v>44751.776979166672</v>
      </c>
      <c r="P1874" t="s">
        <v>50</v>
      </c>
      <c r="Q1874" t="s">
        <v>84</v>
      </c>
      <c r="R1874" s="32" t="s">
        <v>7472</v>
      </c>
      <c r="S1874" t="s">
        <v>7476</v>
      </c>
      <c r="T1874" s="34" t="s">
        <v>7476</v>
      </c>
      <c r="U1874" s="34" t="s">
        <v>7476</v>
      </c>
      <c r="V1874" s="32">
        <v>44754.776979166672</v>
      </c>
      <c r="W1874" s="32" t="s">
        <v>7476</v>
      </c>
      <c r="X1874">
        <v>0</v>
      </c>
      <c r="Y1874" s="34" t="s">
        <v>7476</v>
      </c>
      <c r="Z1874" s="34" t="s">
        <v>7476</v>
      </c>
      <c r="AA1874" s="34" t="s">
        <v>7476</v>
      </c>
      <c r="AB1874" s="36" t="s">
        <v>95</v>
      </c>
      <c r="AD1874" t="s">
        <v>5827</v>
      </c>
      <c r="AE1874" t="s">
        <v>5828</v>
      </c>
      <c r="AF1874" s="16">
        <v>44743</v>
      </c>
      <c r="AG1874" t="s">
        <v>75</v>
      </c>
      <c r="AH1874">
        <v>3</v>
      </c>
      <c r="AK1874" s="38">
        <f t="shared" si="745"/>
        <v>44844.776979166672</v>
      </c>
    </row>
    <row r="1875" spans="1:43" x14ac:dyDescent="0.35">
      <c r="A1875">
        <v>2475</v>
      </c>
      <c r="B1875" t="s">
        <v>5829</v>
      </c>
      <c r="C1875" t="s">
        <v>4480</v>
      </c>
      <c r="D1875" t="str">
        <f t="shared" si="743"/>
        <v>Finance</v>
      </c>
      <c r="E1875" t="s">
        <v>5800</v>
      </c>
      <c r="F1875" t="s">
        <v>5801</v>
      </c>
      <c r="G1875" t="s">
        <v>5802</v>
      </c>
      <c r="H1875" t="s">
        <v>59</v>
      </c>
      <c r="I1875" s="32">
        <v>44915.430844907409</v>
      </c>
      <c r="J1875" s="32">
        <v>44917.430844907409</v>
      </c>
      <c r="K1875" s="32" t="s">
        <v>7473</v>
      </c>
      <c r="L1875" s="8" t="str">
        <f t="shared" si="744"/>
        <v/>
      </c>
      <c r="M1875" s="7">
        <v>44926.430844907409</v>
      </c>
      <c r="N1875" t="s">
        <v>49</v>
      </c>
      <c r="O1875" s="34">
        <v>44926.430844907409</v>
      </c>
      <c r="P1875" t="s">
        <v>60</v>
      </c>
      <c r="R1875" s="32">
        <v>44929.430844907409</v>
      </c>
      <c r="S1875" t="s">
        <v>61</v>
      </c>
      <c r="T1875" s="34" t="s">
        <v>7476</v>
      </c>
      <c r="U1875" s="34" t="s">
        <v>7476</v>
      </c>
      <c r="V1875" s="32">
        <v>44928.430844907409</v>
      </c>
      <c r="W1875" s="32" t="s">
        <v>7476</v>
      </c>
      <c r="X1875">
        <v>0</v>
      </c>
      <c r="Y1875" s="34" t="s">
        <v>7476</v>
      </c>
      <c r="Z1875" s="34" t="s">
        <v>7476</v>
      </c>
      <c r="AA1875" s="34" t="s">
        <v>7476</v>
      </c>
      <c r="AB1875" s="36" t="s">
        <v>7476</v>
      </c>
      <c r="AD1875" t="s">
        <v>5830</v>
      </c>
      <c r="AE1875" t="s">
        <v>5831</v>
      </c>
      <c r="AF1875" s="16">
        <v>44913</v>
      </c>
      <c r="AG1875" t="s">
        <v>75</v>
      </c>
      <c r="AH1875">
        <v>6</v>
      </c>
      <c r="AK1875" s="38">
        <f t="shared" si="745"/>
        <v>45108.430844907409</v>
      </c>
    </row>
    <row r="1876" spans="1:43" x14ac:dyDescent="0.35">
      <c r="A1876">
        <v>2353</v>
      </c>
      <c r="B1876" t="s">
        <v>5832</v>
      </c>
      <c r="C1876" t="s">
        <v>4480</v>
      </c>
      <c r="D1876" t="str">
        <f t="shared" si="743"/>
        <v>Finance</v>
      </c>
      <c r="E1876" t="s">
        <v>5800</v>
      </c>
      <c r="F1876" t="s">
        <v>5801</v>
      </c>
      <c r="G1876" t="s">
        <v>5802</v>
      </c>
      <c r="H1876" t="s">
        <v>59</v>
      </c>
      <c r="I1876" s="32" t="s">
        <v>7471</v>
      </c>
      <c r="J1876" s="32" t="s">
        <v>7471</v>
      </c>
      <c r="K1876" s="32">
        <v>45032.526319444441</v>
      </c>
      <c r="L1876" s="8" t="str">
        <f t="shared" si="744"/>
        <v/>
      </c>
      <c r="M1876" s="7">
        <v>45046.526319444441</v>
      </c>
      <c r="N1876" t="s">
        <v>49</v>
      </c>
      <c r="O1876" s="34">
        <v>45040.526319444441</v>
      </c>
      <c r="P1876" t="s">
        <v>50</v>
      </c>
      <c r="Q1876" t="s">
        <v>125</v>
      </c>
      <c r="R1876" s="32" t="s">
        <v>7472</v>
      </c>
      <c r="S1876" t="s">
        <v>7476</v>
      </c>
      <c r="T1876" s="34" t="s">
        <v>7476</v>
      </c>
      <c r="U1876" s="34" t="s">
        <v>7476</v>
      </c>
      <c r="V1876" s="32" t="s">
        <v>7476</v>
      </c>
      <c r="W1876" s="32" t="s">
        <v>7476</v>
      </c>
      <c r="X1876">
        <v>0</v>
      </c>
      <c r="Y1876" s="34" t="s">
        <v>7476</v>
      </c>
      <c r="Z1876" s="34" t="s">
        <v>7476</v>
      </c>
      <c r="AA1876" s="34" t="s">
        <v>7476</v>
      </c>
      <c r="AB1876" s="36" t="s">
        <v>52</v>
      </c>
      <c r="AD1876" t="s">
        <v>5833</v>
      </c>
      <c r="AE1876" t="s">
        <v>5834</v>
      </c>
      <c r="AF1876" s="16">
        <v>45034</v>
      </c>
      <c r="AG1876" t="s">
        <v>64</v>
      </c>
      <c r="AH1876">
        <v>3</v>
      </c>
      <c r="AK1876" s="38" t="str">
        <f t="shared" si="745"/>
        <v/>
      </c>
    </row>
    <row r="1877" spans="1:43" x14ac:dyDescent="0.35">
      <c r="A1877">
        <v>2351</v>
      </c>
      <c r="B1877" t="s">
        <v>5835</v>
      </c>
      <c r="C1877" t="s">
        <v>4471</v>
      </c>
      <c r="D1877" t="str">
        <f t="shared" si="743"/>
        <v>Finance</v>
      </c>
      <c r="E1877" t="s">
        <v>5800</v>
      </c>
      <c r="F1877" t="s">
        <v>5801</v>
      </c>
      <c r="G1877" t="s">
        <v>5802</v>
      </c>
      <c r="H1877" t="s">
        <v>59</v>
      </c>
      <c r="I1877" s="32">
        <v>45022.526319444441</v>
      </c>
      <c r="J1877" s="32">
        <v>45026.526319444441</v>
      </c>
      <c r="K1877" s="32">
        <v>45032.526319444441</v>
      </c>
      <c r="L1877" s="8">
        <f t="shared" si="744"/>
        <v>10</v>
      </c>
      <c r="M1877" s="7">
        <v>45059.526319444441</v>
      </c>
      <c r="N1877" t="s">
        <v>49</v>
      </c>
      <c r="O1877" s="34">
        <v>45044.526319444441</v>
      </c>
      <c r="P1877" t="s">
        <v>101</v>
      </c>
      <c r="R1877" s="32">
        <v>45050.526319444441</v>
      </c>
      <c r="S1877" t="s">
        <v>101</v>
      </c>
      <c r="T1877" s="34">
        <v>45045.526319444441</v>
      </c>
      <c r="U1877" s="34">
        <v>45049.526319444441</v>
      </c>
      <c r="V1877" s="32">
        <v>45048.526319444441</v>
      </c>
      <c r="W1877" s="32">
        <v>45053.526319444441</v>
      </c>
      <c r="X1877">
        <v>1</v>
      </c>
      <c r="Y1877" s="34">
        <v>45056.526319444441</v>
      </c>
      <c r="Z1877" s="34">
        <v>45059.526319444441</v>
      </c>
      <c r="AA1877" s="34">
        <v>45062.526319444441</v>
      </c>
      <c r="AB1877" s="36" t="s">
        <v>7476</v>
      </c>
      <c r="AC1877" s="10">
        <v>45070.526319444441</v>
      </c>
      <c r="AD1877" t="s">
        <v>5836</v>
      </c>
      <c r="AE1877" t="s">
        <v>5837</v>
      </c>
      <c r="AF1877" s="16">
        <v>45027</v>
      </c>
      <c r="AG1877" t="s">
        <v>68</v>
      </c>
      <c r="AH1877">
        <v>3</v>
      </c>
      <c r="AI1877" s="8">
        <f>IFERROR(R1877-AF1877,"")</f>
        <v>23.526319444441469</v>
      </c>
      <c r="AJ1877" s="8">
        <f>IFERROR(O1877-AF1877,"")</f>
        <v>17.526319444441469</v>
      </c>
      <c r="AK1877" s="38">
        <f t="shared" si="745"/>
        <v>45138.526319444441</v>
      </c>
      <c r="AL1877">
        <f>IFERROR(Z1877-W1877,"")</f>
        <v>6</v>
      </c>
      <c r="AM1877">
        <f>IFERROR(R1877-J1877,"")</f>
        <v>24</v>
      </c>
      <c r="AN1877">
        <f>IFERROR(V1877-O1877,"")</f>
        <v>4</v>
      </c>
      <c r="AO1877">
        <f>IFERROR(J1877-I1877,"")</f>
        <v>4</v>
      </c>
      <c r="AP1877">
        <f>IFERROR(AC1877-X1877,"")</f>
        <v>45069.526319444441</v>
      </c>
      <c r="AQ1877">
        <f>IFERROR(AA1877-W1877,"")</f>
        <v>9</v>
      </c>
    </row>
    <row r="1878" spans="1:43" x14ac:dyDescent="0.35">
      <c r="A1878">
        <v>2326</v>
      </c>
      <c r="B1878" t="s">
        <v>5838</v>
      </c>
      <c r="C1878" t="s">
        <v>4480</v>
      </c>
      <c r="D1878" t="str">
        <f t="shared" si="743"/>
        <v>Finance</v>
      </c>
      <c r="E1878" t="s">
        <v>5800</v>
      </c>
      <c r="F1878" t="s">
        <v>5801</v>
      </c>
      <c r="G1878" t="s">
        <v>5802</v>
      </c>
      <c r="H1878" t="s">
        <v>59</v>
      </c>
      <c r="I1878" s="32">
        <v>44598.265613425923</v>
      </c>
      <c r="J1878" s="32">
        <v>44602.265613425923</v>
      </c>
      <c r="K1878" s="32">
        <v>44603.265613425923</v>
      </c>
      <c r="L1878" s="8">
        <f t="shared" si="744"/>
        <v>5</v>
      </c>
      <c r="M1878" s="7">
        <v>44610.265613425923</v>
      </c>
      <c r="N1878" t="s">
        <v>49</v>
      </c>
      <c r="O1878" s="34">
        <v>44608.265613425923</v>
      </c>
      <c r="P1878" t="s">
        <v>101</v>
      </c>
      <c r="R1878" s="32">
        <v>44613.265613425923</v>
      </c>
      <c r="S1878" t="s">
        <v>101</v>
      </c>
      <c r="T1878" s="34">
        <v>44610.265613425923</v>
      </c>
      <c r="U1878" s="34">
        <v>44614.265613425923</v>
      </c>
      <c r="V1878" s="32">
        <v>44610.265613425923</v>
      </c>
      <c r="W1878" s="32">
        <v>44620.265613425923</v>
      </c>
      <c r="X1878">
        <v>1</v>
      </c>
      <c r="Y1878" s="34">
        <v>44624.265613425923</v>
      </c>
      <c r="Z1878" s="34">
        <v>44627.265613425923</v>
      </c>
      <c r="AA1878" s="34">
        <v>44628.265613425923</v>
      </c>
      <c r="AB1878" s="36" t="s">
        <v>7476</v>
      </c>
      <c r="AC1878" s="10">
        <v>44649.265613425923</v>
      </c>
      <c r="AD1878" t="s">
        <v>5839</v>
      </c>
      <c r="AE1878" t="s">
        <v>5840</v>
      </c>
      <c r="AF1878" s="16">
        <v>44601</v>
      </c>
      <c r="AG1878" t="s">
        <v>98</v>
      </c>
      <c r="AH1878">
        <v>6</v>
      </c>
      <c r="AI1878" s="8">
        <f>IFERROR(R1878-AF1878,"")</f>
        <v>12.26561342592322</v>
      </c>
      <c r="AJ1878" s="8">
        <f>IFERROR(O1878-AF1878,"")</f>
        <v>7.2656134259232203</v>
      </c>
      <c r="AK1878" s="38">
        <f t="shared" si="745"/>
        <v>44790.265613425923</v>
      </c>
      <c r="AL1878">
        <f>IFERROR(Z1878-W1878,"")</f>
        <v>7</v>
      </c>
      <c r="AM1878">
        <f>IFERROR(R1878-J1878,"")</f>
        <v>11</v>
      </c>
      <c r="AN1878">
        <f>IFERROR(V1878-O1878,"")</f>
        <v>2</v>
      </c>
      <c r="AO1878">
        <f>IFERROR(J1878-I1878,"")</f>
        <v>4</v>
      </c>
      <c r="AP1878">
        <f>IFERROR(AC1878-X1878,"")</f>
        <v>44648.265613425923</v>
      </c>
      <c r="AQ1878">
        <f>IFERROR(AA1878-W1878,"")</f>
        <v>8</v>
      </c>
    </row>
    <row r="1879" spans="1:43" x14ac:dyDescent="0.35">
      <c r="A1879">
        <v>2321</v>
      </c>
      <c r="B1879" t="s">
        <v>5841</v>
      </c>
      <c r="C1879" t="s">
        <v>4480</v>
      </c>
      <c r="D1879" t="str">
        <f t="shared" si="743"/>
        <v>Finance</v>
      </c>
      <c r="E1879" t="s">
        <v>5800</v>
      </c>
      <c r="F1879" t="s">
        <v>5801</v>
      </c>
      <c r="G1879" t="s">
        <v>5802</v>
      </c>
      <c r="H1879" t="s">
        <v>59</v>
      </c>
      <c r="I1879" s="32">
        <v>44596.265613425923</v>
      </c>
      <c r="J1879" s="32">
        <v>44600.265613425923</v>
      </c>
      <c r="K1879" s="32">
        <v>44603.265613425923</v>
      </c>
      <c r="L1879" s="8">
        <f t="shared" si="744"/>
        <v>7</v>
      </c>
      <c r="M1879" s="7">
        <v>44609.265613425923</v>
      </c>
      <c r="N1879" t="s">
        <v>49</v>
      </c>
      <c r="O1879" s="34">
        <v>44615.265613425923</v>
      </c>
      <c r="P1879" t="s">
        <v>50</v>
      </c>
      <c r="Q1879" t="s">
        <v>198</v>
      </c>
      <c r="R1879" s="32" t="s">
        <v>7472</v>
      </c>
      <c r="S1879" t="s">
        <v>7476</v>
      </c>
      <c r="T1879" s="34" t="s">
        <v>7476</v>
      </c>
      <c r="U1879" s="34" t="s">
        <v>7476</v>
      </c>
      <c r="V1879" s="32">
        <v>44617.265613425923</v>
      </c>
      <c r="W1879" s="32" t="s">
        <v>7476</v>
      </c>
      <c r="X1879">
        <v>0</v>
      </c>
      <c r="Y1879" s="34" t="s">
        <v>7476</v>
      </c>
      <c r="Z1879" s="34" t="s">
        <v>7476</v>
      </c>
      <c r="AA1879" s="34" t="s">
        <v>7476</v>
      </c>
      <c r="AB1879" s="36" t="s">
        <v>52</v>
      </c>
      <c r="AD1879" t="s">
        <v>5842</v>
      </c>
      <c r="AE1879" t="s">
        <v>5843</v>
      </c>
      <c r="AF1879" s="16">
        <v>44605</v>
      </c>
      <c r="AG1879" t="s">
        <v>68</v>
      </c>
      <c r="AH1879">
        <v>6</v>
      </c>
      <c r="AI1879" s="8" t="str">
        <f>IFERROR(R1879-AF1879,"")</f>
        <v/>
      </c>
      <c r="AJ1879" s="8">
        <f>IFERROR(O1879-AF1879,"")</f>
        <v>10.26561342592322</v>
      </c>
      <c r="AK1879" s="38">
        <f t="shared" si="745"/>
        <v>44797.265613425923</v>
      </c>
      <c r="AL1879" t="str">
        <f>IFERROR(Z1879-W1879,"")</f>
        <v/>
      </c>
      <c r="AM1879" t="str">
        <f>IFERROR(R1879-J1879,"")</f>
        <v/>
      </c>
      <c r="AN1879">
        <f>IFERROR(V1879-O1879,"")</f>
        <v>2</v>
      </c>
      <c r="AO1879">
        <f>IFERROR(J1879-I1879,"")</f>
        <v>4</v>
      </c>
      <c r="AP1879">
        <f>IFERROR(AC1879-X1879,"")</f>
        <v>0</v>
      </c>
      <c r="AQ1879" t="str">
        <f>IFERROR(AA1879-W1879,"")</f>
        <v/>
      </c>
    </row>
    <row r="1880" spans="1:43" x14ac:dyDescent="0.35">
      <c r="A1880">
        <v>2306</v>
      </c>
      <c r="B1880" t="s">
        <v>5844</v>
      </c>
      <c r="C1880" t="s">
        <v>4471</v>
      </c>
      <c r="D1880" t="str">
        <f t="shared" si="743"/>
        <v>Finance</v>
      </c>
      <c r="E1880" t="s">
        <v>5800</v>
      </c>
      <c r="F1880" t="s">
        <v>5801</v>
      </c>
      <c r="G1880" t="s">
        <v>5802</v>
      </c>
      <c r="H1880" t="s">
        <v>59</v>
      </c>
      <c r="I1880" s="32">
        <v>45101.08085648148</v>
      </c>
      <c r="J1880" s="32">
        <v>45102.08085648148</v>
      </c>
      <c r="K1880" s="32">
        <v>45105.08085648148</v>
      </c>
      <c r="L1880" s="8">
        <f t="shared" si="744"/>
        <v>4</v>
      </c>
      <c r="M1880" s="7">
        <v>45121.08085648148</v>
      </c>
      <c r="N1880" t="s">
        <v>49</v>
      </c>
      <c r="O1880" s="34">
        <v>45115.08085648148</v>
      </c>
      <c r="P1880" t="s">
        <v>50</v>
      </c>
      <c r="Q1880" t="s">
        <v>236</v>
      </c>
      <c r="R1880" s="32" t="s">
        <v>7472</v>
      </c>
      <c r="S1880" t="s">
        <v>7476</v>
      </c>
      <c r="T1880" s="34" t="s">
        <v>7476</v>
      </c>
      <c r="U1880" s="34" t="s">
        <v>7476</v>
      </c>
      <c r="V1880" s="32" t="s">
        <v>7476</v>
      </c>
      <c r="W1880" s="32" t="s">
        <v>7476</v>
      </c>
      <c r="X1880">
        <v>0</v>
      </c>
      <c r="Y1880" s="34" t="s">
        <v>7476</v>
      </c>
      <c r="Z1880" s="34" t="s">
        <v>7476</v>
      </c>
      <c r="AA1880" s="34" t="s">
        <v>7476</v>
      </c>
      <c r="AB1880" s="36" t="s">
        <v>95</v>
      </c>
      <c r="AD1880" t="s">
        <v>5845</v>
      </c>
      <c r="AE1880" t="s">
        <v>5846</v>
      </c>
      <c r="AF1880" s="16">
        <v>45107</v>
      </c>
      <c r="AG1880" t="s">
        <v>68</v>
      </c>
      <c r="AH1880">
        <v>3</v>
      </c>
      <c r="AI1880" s="8" t="str">
        <f>IFERROR(R1880-AF1880,"")</f>
        <v/>
      </c>
      <c r="AJ1880" s="8">
        <f>IFERROR(O1880-AF1880,"")</f>
        <v>8.0808564814797137</v>
      </c>
      <c r="AK1880" s="38" t="str">
        <f t="shared" si="745"/>
        <v/>
      </c>
      <c r="AL1880" t="str">
        <f>IFERROR(Z1880-W1880,"")</f>
        <v/>
      </c>
      <c r="AM1880" t="str">
        <f>IFERROR(R1880-J1880,"")</f>
        <v/>
      </c>
      <c r="AN1880" t="str">
        <f>IFERROR(V1880-O1880,"")</f>
        <v/>
      </c>
      <c r="AO1880">
        <f>IFERROR(J1880-I1880,"")</f>
        <v>1</v>
      </c>
      <c r="AP1880">
        <f>IFERROR(AC1880-X1880,"")</f>
        <v>0</v>
      </c>
      <c r="AQ1880" t="str">
        <f>IFERROR(AA1880-W1880,"")</f>
        <v/>
      </c>
    </row>
    <row r="1881" spans="1:43" x14ac:dyDescent="0.35">
      <c r="A1881">
        <v>2302</v>
      </c>
      <c r="B1881" t="s">
        <v>5847</v>
      </c>
      <c r="C1881" t="s">
        <v>4471</v>
      </c>
      <c r="D1881" t="str">
        <f t="shared" si="743"/>
        <v>Finance</v>
      </c>
      <c r="E1881" t="s">
        <v>5800</v>
      </c>
      <c r="F1881" t="s">
        <v>5801</v>
      </c>
      <c r="G1881" t="s">
        <v>5802</v>
      </c>
      <c r="H1881" t="s">
        <v>59</v>
      </c>
      <c r="I1881" s="32">
        <v>45097.08085648148</v>
      </c>
      <c r="J1881" s="32">
        <v>45101.08085648148</v>
      </c>
      <c r="K1881" s="32" t="s">
        <v>7473</v>
      </c>
      <c r="L1881" s="8" t="str">
        <f t="shared" si="744"/>
        <v/>
      </c>
      <c r="M1881" s="7">
        <v>45115.08085648148</v>
      </c>
      <c r="N1881" t="s">
        <v>49</v>
      </c>
      <c r="O1881" s="34">
        <v>45110.08085648148</v>
      </c>
      <c r="P1881" t="s">
        <v>50</v>
      </c>
      <c r="Q1881" t="s">
        <v>125</v>
      </c>
      <c r="R1881" s="32" t="s">
        <v>7472</v>
      </c>
      <c r="S1881" t="s">
        <v>7476</v>
      </c>
      <c r="T1881" s="34" t="s">
        <v>7476</v>
      </c>
      <c r="U1881" s="34" t="s">
        <v>7476</v>
      </c>
      <c r="V1881" s="32">
        <v>45111.08085648148</v>
      </c>
      <c r="W1881" s="32" t="s">
        <v>7476</v>
      </c>
      <c r="X1881">
        <v>0</v>
      </c>
      <c r="Y1881" s="34" t="s">
        <v>7476</v>
      </c>
      <c r="Z1881" s="34" t="s">
        <v>7476</v>
      </c>
      <c r="AA1881" s="34" t="s">
        <v>7476</v>
      </c>
      <c r="AB1881" s="36" t="s">
        <v>52</v>
      </c>
      <c r="AD1881" t="s">
        <v>5848</v>
      </c>
      <c r="AE1881" t="s">
        <v>5849</v>
      </c>
      <c r="AF1881" s="16">
        <v>45095</v>
      </c>
      <c r="AG1881" t="s">
        <v>93</v>
      </c>
      <c r="AH1881">
        <v>6</v>
      </c>
      <c r="AK1881" s="38">
        <f t="shared" si="745"/>
        <v>45291.08085648148</v>
      </c>
    </row>
    <row r="1882" spans="1:43" x14ac:dyDescent="0.35">
      <c r="A1882">
        <v>2271</v>
      </c>
      <c r="B1882" t="s">
        <v>5850</v>
      </c>
      <c r="C1882" t="s">
        <v>4471</v>
      </c>
      <c r="D1882" t="str">
        <f t="shared" si="743"/>
        <v>Finance</v>
      </c>
      <c r="E1882" t="s">
        <v>5800</v>
      </c>
      <c r="F1882" t="s">
        <v>5801</v>
      </c>
      <c r="G1882" t="s">
        <v>5802</v>
      </c>
      <c r="H1882" t="s">
        <v>59</v>
      </c>
      <c r="I1882" s="32">
        <v>45167.90388888889</v>
      </c>
      <c r="J1882" s="32">
        <v>45168.90388888889</v>
      </c>
      <c r="K1882" s="32">
        <v>45171.90388888889</v>
      </c>
      <c r="L1882" s="8">
        <f t="shared" si="744"/>
        <v>4</v>
      </c>
      <c r="M1882" s="7">
        <v>45196.90388888889</v>
      </c>
      <c r="N1882" t="s">
        <v>49</v>
      </c>
      <c r="O1882" s="34">
        <v>45173.90388888889</v>
      </c>
      <c r="P1882" t="s">
        <v>101</v>
      </c>
      <c r="R1882" s="32">
        <v>45178.90388888889</v>
      </c>
      <c r="S1882" t="s">
        <v>101</v>
      </c>
      <c r="T1882" s="34">
        <v>45174.90388888889</v>
      </c>
      <c r="U1882" s="34">
        <v>45175.90388888889</v>
      </c>
      <c r="V1882" s="32">
        <v>45175.90388888889</v>
      </c>
      <c r="W1882" s="32">
        <v>45182.90388888889</v>
      </c>
      <c r="X1882">
        <v>1</v>
      </c>
      <c r="Y1882" s="34">
        <v>45184.90388888889</v>
      </c>
      <c r="Z1882" s="34">
        <v>45185.90388888889</v>
      </c>
      <c r="AA1882" s="34">
        <v>45188.90388888889</v>
      </c>
      <c r="AB1882" s="36" t="s">
        <v>7476</v>
      </c>
      <c r="AC1882" s="10">
        <v>45209.90388888889</v>
      </c>
      <c r="AD1882" t="s">
        <v>5851</v>
      </c>
      <c r="AE1882" t="s">
        <v>5852</v>
      </c>
      <c r="AF1882" s="16">
        <v>45160</v>
      </c>
      <c r="AG1882" t="s">
        <v>98</v>
      </c>
      <c r="AH1882">
        <v>6</v>
      </c>
      <c r="AI1882" s="8">
        <f t="shared" ref="AI1882:AI1887" si="754">IFERROR(R1882-AF1882,"")</f>
        <v>18.903888888889924</v>
      </c>
      <c r="AJ1882" s="8">
        <f t="shared" ref="AJ1882:AJ1887" si="755">IFERROR(O1882-AF1882,"")</f>
        <v>13.903888888889924</v>
      </c>
      <c r="AK1882" s="38">
        <f t="shared" si="745"/>
        <v>45355.90388888889</v>
      </c>
      <c r="AL1882">
        <f t="shared" ref="AL1882:AL1887" si="756">IFERROR(Z1882-W1882,"")</f>
        <v>3</v>
      </c>
      <c r="AM1882">
        <f t="shared" ref="AM1882:AM1887" si="757">IFERROR(R1882-J1882,"")</f>
        <v>10</v>
      </c>
      <c r="AN1882">
        <f t="shared" ref="AN1882:AN1887" si="758">IFERROR(V1882-O1882,"")</f>
        <v>2</v>
      </c>
      <c r="AO1882">
        <f t="shared" ref="AO1882:AO1887" si="759">IFERROR(J1882-I1882,"")</f>
        <v>1</v>
      </c>
      <c r="AP1882">
        <f t="shared" ref="AP1882:AP1887" si="760">IFERROR(AC1882-X1882,"")</f>
        <v>45208.90388888889</v>
      </c>
      <c r="AQ1882">
        <f t="shared" ref="AQ1882:AQ1887" si="761">IFERROR(AA1882-W1882,"")</f>
        <v>6</v>
      </c>
    </row>
    <row r="1883" spans="1:43" x14ac:dyDescent="0.35">
      <c r="A1883">
        <v>2229</v>
      </c>
      <c r="B1883" t="s">
        <v>5853</v>
      </c>
      <c r="C1883" t="s">
        <v>4480</v>
      </c>
      <c r="D1883" t="str">
        <f t="shared" si="743"/>
        <v>Finance</v>
      </c>
      <c r="E1883" t="s">
        <v>5800</v>
      </c>
      <c r="F1883" t="s">
        <v>5801</v>
      </c>
      <c r="G1883" t="s">
        <v>5802</v>
      </c>
      <c r="H1883" t="s">
        <v>59</v>
      </c>
      <c r="I1883" s="32">
        <v>45151.534872685188</v>
      </c>
      <c r="J1883" s="32">
        <v>45155.534872685188</v>
      </c>
      <c r="K1883" s="32">
        <v>45161.534872685188</v>
      </c>
      <c r="L1883" s="8">
        <f t="shared" si="744"/>
        <v>10</v>
      </c>
      <c r="M1883" s="7">
        <v>45191.534872685188</v>
      </c>
      <c r="N1883" t="s">
        <v>49</v>
      </c>
      <c r="O1883" s="34">
        <v>45176.534872685188</v>
      </c>
      <c r="P1883" t="s">
        <v>50</v>
      </c>
      <c r="Q1883" t="s">
        <v>236</v>
      </c>
      <c r="R1883" s="32" t="s">
        <v>7472</v>
      </c>
      <c r="S1883" t="s">
        <v>7476</v>
      </c>
      <c r="T1883" s="34" t="s">
        <v>7476</v>
      </c>
      <c r="U1883" s="34" t="s">
        <v>7476</v>
      </c>
      <c r="V1883" s="32">
        <v>45177.534872685188</v>
      </c>
      <c r="W1883" s="32" t="s">
        <v>7476</v>
      </c>
      <c r="X1883">
        <v>0</v>
      </c>
      <c r="Y1883" s="34" t="s">
        <v>7476</v>
      </c>
      <c r="Z1883" s="34" t="s">
        <v>7476</v>
      </c>
      <c r="AA1883" s="34" t="s">
        <v>7476</v>
      </c>
      <c r="AB1883" s="36" t="s">
        <v>95</v>
      </c>
      <c r="AD1883" t="s">
        <v>5854</v>
      </c>
      <c r="AE1883" t="s">
        <v>5855</v>
      </c>
      <c r="AF1883" s="16">
        <v>45160</v>
      </c>
      <c r="AG1883" t="s">
        <v>98</v>
      </c>
      <c r="AH1883">
        <v>3</v>
      </c>
      <c r="AI1883" s="8" t="str">
        <f t="shared" si="754"/>
        <v/>
      </c>
      <c r="AJ1883" s="8">
        <f t="shared" si="755"/>
        <v>16.53487268518802</v>
      </c>
      <c r="AK1883" s="38">
        <f t="shared" si="745"/>
        <v>45267.534872685188</v>
      </c>
      <c r="AL1883" t="str">
        <f t="shared" si="756"/>
        <v/>
      </c>
      <c r="AM1883" t="str">
        <f t="shared" si="757"/>
        <v/>
      </c>
      <c r="AN1883">
        <f t="shared" si="758"/>
        <v>1</v>
      </c>
      <c r="AO1883">
        <f t="shared" si="759"/>
        <v>4</v>
      </c>
      <c r="AP1883">
        <f t="shared" si="760"/>
        <v>0</v>
      </c>
      <c r="AQ1883" t="str">
        <f t="shared" si="761"/>
        <v/>
      </c>
    </row>
    <row r="1884" spans="1:43" x14ac:dyDescent="0.35">
      <c r="A1884">
        <v>2227</v>
      </c>
      <c r="B1884" t="s">
        <v>5856</v>
      </c>
      <c r="C1884" t="s">
        <v>4502</v>
      </c>
      <c r="D1884" t="str">
        <f t="shared" si="743"/>
        <v>Finance</v>
      </c>
      <c r="E1884" t="s">
        <v>5800</v>
      </c>
      <c r="F1884" t="s">
        <v>5801</v>
      </c>
      <c r="G1884" t="s">
        <v>5802</v>
      </c>
      <c r="H1884" t="s">
        <v>59</v>
      </c>
      <c r="I1884" s="32">
        <v>45155.534872685188</v>
      </c>
      <c r="J1884" s="32">
        <v>45158.534872685188</v>
      </c>
      <c r="K1884" s="32">
        <v>45161.534872685188</v>
      </c>
      <c r="L1884" s="8">
        <f t="shared" si="744"/>
        <v>6</v>
      </c>
      <c r="M1884" s="7">
        <v>45170.534872685188</v>
      </c>
      <c r="N1884" t="s">
        <v>49</v>
      </c>
      <c r="O1884" s="34">
        <v>45165.534872685188</v>
      </c>
      <c r="P1884" t="s">
        <v>101</v>
      </c>
      <c r="R1884" s="32">
        <v>45169.534872685188</v>
      </c>
      <c r="S1884" t="s">
        <v>101</v>
      </c>
      <c r="T1884" s="34">
        <v>45167.534872685188</v>
      </c>
      <c r="U1884" s="34">
        <v>45169.534872685188</v>
      </c>
      <c r="V1884" s="32">
        <v>45166.534872685188</v>
      </c>
      <c r="W1884" s="32">
        <v>45176.534872685188</v>
      </c>
      <c r="X1884">
        <v>1</v>
      </c>
      <c r="Y1884" s="34">
        <v>45180.534872685188</v>
      </c>
      <c r="Z1884" s="34">
        <v>45183.534872685188</v>
      </c>
      <c r="AA1884" s="34">
        <v>45186.534872685188</v>
      </c>
      <c r="AB1884" s="36" t="s">
        <v>7476</v>
      </c>
      <c r="AC1884" s="10">
        <v>45204.534872685188</v>
      </c>
      <c r="AD1884" t="s">
        <v>5857</v>
      </c>
      <c r="AE1884" t="s">
        <v>5858</v>
      </c>
      <c r="AF1884" s="16">
        <v>45156</v>
      </c>
      <c r="AG1884" t="s">
        <v>98</v>
      </c>
      <c r="AH1884">
        <v>3</v>
      </c>
      <c r="AI1884" s="8">
        <f t="shared" si="754"/>
        <v>13.53487268518802</v>
      </c>
      <c r="AJ1884" s="8">
        <f t="shared" si="755"/>
        <v>9.5348726851880201</v>
      </c>
      <c r="AK1884" s="38">
        <f t="shared" si="745"/>
        <v>45256.534872685188</v>
      </c>
      <c r="AL1884">
        <f t="shared" si="756"/>
        <v>7</v>
      </c>
      <c r="AM1884">
        <f t="shared" si="757"/>
        <v>11</v>
      </c>
      <c r="AN1884">
        <f t="shared" si="758"/>
        <v>1</v>
      </c>
      <c r="AO1884">
        <f t="shared" si="759"/>
        <v>3</v>
      </c>
      <c r="AP1884">
        <f t="shared" si="760"/>
        <v>45203.534872685188</v>
      </c>
      <c r="AQ1884">
        <f t="shared" si="761"/>
        <v>10</v>
      </c>
    </row>
    <row r="1885" spans="1:43" x14ac:dyDescent="0.35">
      <c r="A1885">
        <v>2221</v>
      </c>
      <c r="B1885" t="s">
        <v>5859</v>
      </c>
      <c r="C1885" t="s">
        <v>4480</v>
      </c>
      <c r="D1885" t="str">
        <f t="shared" si="743"/>
        <v>Finance</v>
      </c>
      <c r="E1885" t="s">
        <v>5800</v>
      </c>
      <c r="F1885" t="s">
        <v>5801</v>
      </c>
      <c r="G1885" t="s">
        <v>5802</v>
      </c>
      <c r="H1885" t="s">
        <v>59</v>
      </c>
      <c r="I1885" s="32">
        <v>45158.534872685188</v>
      </c>
      <c r="J1885" s="32">
        <v>45159.534872685188</v>
      </c>
      <c r="K1885" s="32">
        <v>45161.534872685188</v>
      </c>
      <c r="L1885" s="8">
        <f t="shared" si="744"/>
        <v>3</v>
      </c>
      <c r="M1885" s="7">
        <v>45175.534872685188</v>
      </c>
      <c r="N1885" t="s">
        <v>49</v>
      </c>
      <c r="O1885" s="34">
        <v>45178.534872685188</v>
      </c>
      <c r="P1885" t="s">
        <v>60</v>
      </c>
      <c r="R1885" s="32">
        <v>45181.534872685188</v>
      </c>
      <c r="S1885" t="s">
        <v>61</v>
      </c>
      <c r="T1885" s="34" t="s">
        <v>7476</v>
      </c>
      <c r="U1885" s="34" t="s">
        <v>7476</v>
      </c>
      <c r="V1885" s="32">
        <v>45179.534872685188</v>
      </c>
      <c r="W1885" s="32" t="s">
        <v>7476</v>
      </c>
      <c r="X1885">
        <v>0</v>
      </c>
      <c r="Y1885" s="34" t="s">
        <v>7476</v>
      </c>
      <c r="Z1885" s="34" t="s">
        <v>7476</v>
      </c>
      <c r="AA1885" s="34" t="s">
        <v>7476</v>
      </c>
      <c r="AB1885" s="36" t="s">
        <v>7476</v>
      </c>
      <c r="AD1885" t="s">
        <v>5860</v>
      </c>
      <c r="AE1885" t="s">
        <v>5861</v>
      </c>
      <c r="AF1885" s="16">
        <v>45167</v>
      </c>
      <c r="AG1885" t="s">
        <v>98</v>
      </c>
      <c r="AH1885">
        <v>3</v>
      </c>
      <c r="AI1885" s="8">
        <f t="shared" si="754"/>
        <v>14.53487268518802</v>
      </c>
      <c r="AJ1885" s="8">
        <f t="shared" si="755"/>
        <v>11.53487268518802</v>
      </c>
      <c r="AK1885" s="38">
        <f t="shared" si="745"/>
        <v>45269.534872685188</v>
      </c>
      <c r="AL1885" t="str">
        <f t="shared" si="756"/>
        <v/>
      </c>
      <c r="AM1885">
        <f t="shared" si="757"/>
        <v>22</v>
      </c>
      <c r="AN1885">
        <f t="shared" si="758"/>
        <v>1</v>
      </c>
      <c r="AO1885">
        <f t="shared" si="759"/>
        <v>1</v>
      </c>
      <c r="AP1885">
        <f t="shared" si="760"/>
        <v>0</v>
      </c>
      <c r="AQ1885" t="str">
        <f t="shared" si="761"/>
        <v/>
      </c>
    </row>
    <row r="1886" spans="1:43" x14ac:dyDescent="0.35">
      <c r="A1886">
        <v>2178</v>
      </c>
      <c r="B1886" t="s">
        <v>5862</v>
      </c>
      <c r="C1886" t="s">
        <v>4480</v>
      </c>
      <c r="D1886" t="str">
        <f t="shared" si="743"/>
        <v>Finance</v>
      </c>
      <c r="E1886" t="s">
        <v>5800</v>
      </c>
      <c r="F1886" t="s">
        <v>5801</v>
      </c>
      <c r="G1886" t="s">
        <v>5802</v>
      </c>
      <c r="H1886" t="s">
        <v>59</v>
      </c>
      <c r="I1886" s="32">
        <v>44756.601967592593</v>
      </c>
      <c r="J1886" s="32">
        <v>44758.601967592593</v>
      </c>
      <c r="K1886" s="32">
        <v>44759.601967592593</v>
      </c>
      <c r="L1886" s="8">
        <f t="shared" si="744"/>
        <v>3</v>
      </c>
      <c r="M1886" s="7">
        <v>44768.601967592593</v>
      </c>
      <c r="N1886" t="s">
        <v>49</v>
      </c>
      <c r="O1886" s="34">
        <v>44773.601967592593</v>
      </c>
      <c r="P1886" t="s">
        <v>101</v>
      </c>
      <c r="R1886" s="32">
        <v>44777.601967592593</v>
      </c>
      <c r="S1886" t="s">
        <v>101</v>
      </c>
      <c r="T1886" s="34">
        <v>44775.601967592593</v>
      </c>
      <c r="U1886" s="34">
        <v>44776.601967592593</v>
      </c>
      <c r="V1886" s="32">
        <v>44776.601967592593</v>
      </c>
      <c r="W1886" s="32">
        <v>44777.601967592593</v>
      </c>
      <c r="X1886">
        <v>1</v>
      </c>
      <c r="Y1886" s="34">
        <v>44780.601967592593</v>
      </c>
      <c r="Z1886" s="34">
        <v>44783.601967592593</v>
      </c>
      <c r="AA1886" s="34">
        <v>44784.601967592593</v>
      </c>
      <c r="AB1886" s="36" t="s">
        <v>7476</v>
      </c>
      <c r="AC1886" s="10">
        <v>44797.601967592593</v>
      </c>
      <c r="AD1886" t="s">
        <v>5863</v>
      </c>
      <c r="AE1886" t="s">
        <v>5864</v>
      </c>
      <c r="AF1886" s="16">
        <v>44761</v>
      </c>
      <c r="AG1886" t="s">
        <v>68</v>
      </c>
      <c r="AH1886">
        <v>6</v>
      </c>
      <c r="AI1886" s="8">
        <f t="shared" si="754"/>
        <v>16.6019675925927</v>
      </c>
      <c r="AJ1886" s="8">
        <f t="shared" si="755"/>
        <v>12.6019675925927</v>
      </c>
      <c r="AK1886" s="38">
        <f t="shared" si="745"/>
        <v>44956.601967592593</v>
      </c>
      <c r="AL1886">
        <f t="shared" si="756"/>
        <v>6</v>
      </c>
      <c r="AM1886">
        <f t="shared" si="757"/>
        <v>19</v>
      </c>
      <c r="AN1886">
        <f t="shared" si="758"/>
        <v>3</v>
      </c>
      <c r="AO1886">
        <f t="shared" si="759"/>
        <v>2</v>
      </c>
      <c r="AP1886">
        <f t="shared" si="760"/>
        <v>44796.601967592593</v>
      </c>
      <c r="AQ1886">
        <f t="shared" si="761"/>
        <v>7</v>
      </c>
    </row>
    <row r="1887" spans="1:43" x14ac:dyDescent="0.35">
      <c r="A1887">
        <v>2177</v>
      </c>
      <c r="B1887" t="s">
        <v>5865</v>
      </c>
      <c r="C1887" t="s">
        <v>4471</v>
      </c>
      <c r="D1887" t="str">
        <f t="shared" si="743"/>
        <v>Finance</v>
      </c>
      <c r="E1887" t="s">
        <v>5800</v>
      </c>
      <c r="F1887" t="s">
        <v>5801</v>
      </c>
      <c r="G1887" t="s">
        <v>5802</v>
      </c>
      <c r="H1887" t="s">
        <v>59</v>
      </c>
      <c r="I1887" s="32">
        <v>44750.601967592593</v>
      </c>
      <c r="J1887" s="32">
        <v>44753.601967592593</v>
      </c>
      <c r="K1887" s="32">
        <v>44759.601967592593</v>
      </c>
      <c r="L1887" s="8">
        <f t="shared" si="744"/>
        <v>9</v>
      </c>
      <c r="M1887" s="7">
        <v>44769.601967592593</v>
      </c>
      <c r="N1887" t="s">
        <v>49</v>
      </c>
      <c r="O1887" s="34">
        <v>44764.601967592593</v>
      </c>
      <c r="P1887" t="s">
        <v>50</v>
      </c>
      <c r="Q1887" t="s">
        <v>84</v>
      </c>
      <c r="R1887" s="32" t="s">
        <v>7472</v>
      </c>
      <c r="S1887" t="s">
        <v>7476</v>
      </c>
      <c r="T1887" s="34" t="s">
        <v>7476</v>
      </c>
      <c r="U1887" s="34" t="s">
        <v>7476</v>
      </c>
      <c r="V1887" s="32">
        <v>44766.601967592593</v>
      </c>
      <c r="W1887" s="32" t="s">
        <v>7476</v>
      </c>
      <c r="X1887">
        <v>0</v>
      </c>
      <c r="Y1887" s="34" t="s">
        <v>7476</v>
      </c>
      <c r="Z1887" s="34" t="s">
        <v>7476</v>
      </c>
      <c r="AA1887" s="34" t="s">
        <v>7476</v>
      </c>
      <c r="AB1887" s="36" t="s">
        <v>52</v>
      </c>
      <c r="AD1887" t="s">
        <v>5866</v>
      </c>
      <c r="AE1887" t="s">
        <v>5867</v>
      </c>
      <c r="AF1887" s="16">
        <v>44745</v>
      </c>
      <c r="AG1887" t="s">
        <v>64</v>
      </c>
      <c r="AH1887">
        <v>6</v>
      </c>
      <c r="AI1887" s="8" t="str">
        <f t="shared" si="754"/>
        <v/>
      </c>
      <c r="AJ1887" s="8">
        <f t="shared" si="755"/>
        <v>19.6019675925927</v>
      </c>
      <c r="AK1887" s="38">
        <f t="shared" si="745"/>
        <v>44946.601967592593</v>
      </c>
      <c r="AL1887" t="str">
        <f t="shared" si="756"/>
        <v/>
      </c>
      <c r="AM1887" t="str">
        <f t="shared" si="757"/>
        <v/>
      </c>
      <c r="AN1887">
        <f t="shared" si="758"/>
        <v>2</v>
      </c>
      <c r="AO1887">
        <f t="shared" si="759"/>
        <v>3</v>
      </c>
      <c r="AP1887">
        <f t="shared" si="760"/>
        <v>0</v>
      </c>
      <c r="AQ1887" t="str">
        <f t="shared" si="761"/>
        <v/>
      </c>
    </row>
    <row r="1888" spans="1:43" x14ac:dyDescent="0.35">
      <c r="A1888">
        <v>2159</v>
      </c>
      <c r="B1888" t="s">
        <v>5868</v>
      </c>
      <c r="C1888" t="s">
        <v>4502</v>
      </c>
      <c r="D1888" t="str">
        <f t="shared" si="743"/>
        <v>Finance</v>
      </c>
      <c r="E1888" t="s">
        <v>5800</v>
      </c>
      <c r="F1888" t="s">
        <v>5801</v>
      </c>
      <c r="G1888" t="s">
        <v>5802</v>
      </c>
      <c r="H1888" t="s">
        <v>59</v>
      </c>
      <c r="I1888" s="32" t="s">
        <v>7471</v>
      </c>
      <c r="J1888" s="32">
        <v>45142.393807870372</v>
      </c>
      <c r="K1888" s="32">
        <v>45147.393807870372</v>
      </c>
      <c r="L1888" s="8" t="str">
        <f t="shared" si="744"/>
        <v/>
      </c>
      <c r="M1888" s="7">
        <v>45162.393807870372</v>
      </c>
      <c r="N1888" t="s">
        <v>49</v>
      </c>
      <c r="O1888" s="34">
        <v>45152.393807870372</v>
      </c>
      <c r="P1888" t="s">
        <v>50</v>
      </c>
      <c r="Q1888" t="s">
        <v>236</v>
      </c>
      <c r="R1888" s="32" t="s">
        <v>7472</v>
      </c>
      <c r="S1888" t="s">
        <v>7476</v>
      </c>
      <c r="T1888" s="34" t="s">
        <v>7476</v>
      </c>
      <c r="U1888" s="34" t="s">
        <v>7476</v>
      </c>
      <c r="V1888" s="32">
        <v>45156.393807870372</v>
      </c>
      <c r="W1888" s="32" t="s">
        <v>7476</v>
      </c>
      <c r="X1888">
        <v>0</v>
      </c>
      <c r="Y1888" s="34" t="s">
        <v>7476</v>
      </c>
      <c r="Z1888" s="34" t="s">
        <v>7476</v>
      </c>
      <c r="AA1888" s="34" t="s">
        <v>7476</v>
      </c>
      <c r="AB1888" s="36" t="s">
        <v>95</v>
      </c>
      <c r="AD1888" t="s">
        <v>5869</v>
      </c>
      <c r="AE1888" t="s">
        <v>5870</v>
      </c>
      <c r="AF1888" s="16">
        <v>45085</v>
      </c>
      <c r="AG1888" t="s">
        <v>55</v>
      </c>
      <c r="AH1888">
        <v>6</v>
      </c>
      <c r="AK1888" s="38">
        <f t="shared" si="745"/>
        <v>45336.393807870372</v>
      </c>
    </row>
    <row r="1889" spans="1:43" x14ac:dyDescent="0.35">
      <c r="A1889">
        <v>2157</v>
      </c>
      <c r="B1889" t="s">
        <v>5871</v>
      </c>
      <c r="C1889" t="s">
        <v>4480</v>
      </c>
      <c r="D1889" t="str">
        <f t="shared" si="743"/>
        <v>Finance</v>
      </c>
      <c r="E1889" t="s">
        <v>5800</v>
      </c>
      <c r="F1889" t="s">
        <v>5801</v>
      </c>
      <c r="G1889" t="s">
        <v>5802</v>
      </c>
      <c r="H1889" t="s">
        <v>59</v>
      </c>
      <c r="I1889" s="32">
        <v>45140.393807870372</v>
      </c>
      <c r="J1889" s="32">
        <v>45141.393807870372</v>
      </c>
      <c r="K1889" s="32">
        <v>45147.393807870372</v>
      </c>
      <c r="L1889" s="8">
        <f t="shared" si="744"/>
        <v>7</v>
      </c>
      <c r="M1889" s="7">
        <v>45161.393807870372</v>
      </c>
      <c r="N1889" t="s">
        <v>49</v>
      </c>
      <c r="O1889" s="34">
        <v>45153.393807870372</v>
      </c>
      <c r="P1889" t="s">
        <v>60</v>
      </c>
      <c r="R1889" s="32">
        <v>45159.393807870372</v>
      </c>
      <c r="S1889" t="s">
        <v>61</v>
      </c>
      <c r="T1889" s="34" t="s">
        <v>7476</v>
      </c>
      <c r="U1889" s="34" t="s">
        <v>7476</v>
      </c>
      <c r="V1889" s="32">
        <v>45156.393807870372</v>
      </c>
      <c r="W1889" s="32" t="s">
        <v>7476</v>
      </c>
      <c r="X1889">
        <v>0</v>
      </c>
      <c r="Y1889" s="34" t="s">
        <v>7476</v>
      </c>
      <c r="Z1889" s="34" t="s">
        <v>7476</v>
      </c>
      <c r="AA1889" s="34" t="s">
        <v>7476</v>
      </c>
      <c r="AB1889" s="36" t="s">
        <v>7476</v>
      </c>
      <c r="AD1889" t="s">
        <v>5872</v>
      </c>
      <c r="AE1889" t="s">
        <v>5873</v>
      </c>
      <c r="AF1889" s="16">
        <v>45141</v>
      </c>
      <c r="AG1889" t="s">
        <v>68</v>
      </c>
      <c r="AH1889">
        <v>3</v>
      </c>
      <c r="AI1889" s="8">
        <f>IFERROR(R1889-AF1889,"")</f>
        <v>18.393807870372257</v>
      </c>
      <c r="AJ1889" s="8">
        <f>IFERROR(O1889-AF1889,"")</f>
        <v>12.393807870372257</v>
      </c>
      <c r="AK1889" s="38">
        <f t="shared" si="745"/>
        <v>45246.393807870372</v>
      </c>
      <c r="AL1889" t="str">
        <f>IFERROR(Z1889-W1889,"")</f>
        <v/>
      </c>
      <c r="AM1889">
        <f>IFERROR(R1889-J1889,"")</f>
        <v>18</v>
      </c>
      <c r="AN1889">
        <f>IFERROR(V1889-O1889,"")</f>
        <v>3</v>
      </c>
      <c r="AO1889">
        <f>IFERROR(J1889-I1889,"")</f>
        <v>1</v>
      </c>
      <c r="AP1889">
        <f>IFERROR(AC1889-X1889,"")</f>
        <v>0</v>
      </c>
      <c r="AQ1889" t="str">
        <f>IFERROR(AA1889-W1889,"")</f>
        <v/>
      </c>
    </row>
    <row r="1890" spans="1:43" x14ac:dyDescent="0.35">
      <c r="A1890">
        <v>2085</v>
      </c>
      <c r="B1890" t="s">
        <v>5874</v>
      </c>
      <c r="C1890" t="s">
        <v>4480</v>
      </c>
      <c r="D1890" t="str">
        <f t="shared" si="743"/>
        <v>Finance</v>
      </c>
      <c r="E1890" t="s">
        <v>5800</v>
      </c>
      <c r="F1890" t="s">
        <v>5801</v>
      </c>
      <c r="G1890" t="s">
        <v>5802</v>
      </c>
      <c r="H1890" t="s">
        <v>59</v>
      </c>
      <c r="I1890" s="32">
        <v>44838.879004629627</v>
      </c>
      <c r="J1890" s="32">
        <v>44839.879004629627</v>
      </c>
      <c r="K1890" s="32">
        <v>44841.879004629627</v>
      </c>
      <c r="L1890" s="8">
        <f t="shared" si="744"/>
        <v>3</v>
      </c>
      <c r="M1890" s="7">
        <v>44852.879004629627</v>
      </c>
      <c r="N1890" t="s">
        <v>49</v>
      </c>
      <c r="O1890" s="34">
        <v>44845.879004629627</v>
      </c>
      <c r="P1890" t="s">
        <v>101</v>
      </c>
      <c r="R1890" s="32">
        <v>44849.879004629627</v>
      </c>
      <c r="S1890" t="s">
        <v>101</v>
      </c>
      <c r="T1890" s="34">
        <v>44846.879004629627</v>
      </c>
      <c r="U1890" s="34">
        <v>44848.879004629627</v>
      </c>
      <c r="V1890" s="32">
        <v>44846.879004629627</v>
      </c>
      <c r="W1890" s="32">
        <v>44848.879004629627</v>
      </c>
      <c r="X1890">
        <v>1</v>
      </c>
      <c r="Y1890" s="34">
        <v>44852.879004629627</v>
      </c>
      <c r="Z1890" s="34">
        <v>44854.879004629627</v>
      </c>
      <c r="AA1890" s="34">
        <v>44855.879004629627</v>
      </c>
      <c r="AB1890" s="36" t="s">
        <v>7476</v>
      </c>
      <c r="AC1890" s="10">
        <v>44872.879004629627</v>
      </c>
      <c r="AD1890" t="s">
        <v>5875</v>
      </c>
      <c r="AE1890" t="s">
        <v>5876</v>
      </c>
      <c r="AF1890" s="16">
        <v>44691</v>
      </c>
      <c r="AG1890" t="s">
        <v>68</v>
      </c>
      <c r="AH1890">
        <v>6</v>
      </c>
      <c r="AI1890" s="8">
        <f>IFERROR(R1890-AF1890,"")</f>
        <v>158.87900462962716</v>
      </c>
      <c r="AJ1890" s="8">
        <f>IFERROR(O1890-AF1890,"")</f>
        <v>154.87900462962716</v>
      </c>
      <c r="AK1890" s="38">
        <f t="shared" si="745"/>
        <v>45026.879004629627</v>
      </c>
      <c r="AL1890">
        <f>IFERROR(Z1890-W1890,"")</f>
        <v>6</v>
      </c>
      <c r="AM1890">
        <f>IFERROR(R1890-J1890,"")</f>
        <v>10</v>
      </c>
      <c r="AN1890">
        <f>IFERROR(V1890-O1890,"")</f>
        <v>1</v>
      </c>
      <c r="AO1890">
        <f>IFERROR(J1890-I1890,"")</f>
        <v>1</v>
      </c>
      <c r="AP1890">
        <f>IFERROR(AC1890-X1890,"")</f>
        <v>44871.879004629627</v>
      </c>
      <c r="AQ1890">
        <f>IFERROR(AA1890-W1890,"")</f>
        <v>7</v>
      </c>
    </row>
    <row r="1891" spans="1:43" x14ac:dyDescent="0.35">
      <c r="A1891">
        <v>2024</v>
      </c>
      <c r="B1891" t="s">
        <v>5877</v>
      </c>
      <c r="C1891" t="s">
        <v>4502</v>
      </c>
      <c r="D1891" t="str">
        <f t="shared" si="743"/>
        <v>Finance</v>
      </c>
      <c r="E1891" t="s">
        <v>5800</v>
      </c>
      <c r="F1891" t="s">
        <v>5801</v>
      </c>
      <c r="G1891" t="s">
        <v>5802</v>
      </c>
      <c r="H1891" t="s">
        <v>59</v>
      </c>
      <c r="I1891" s="32">
        <v>44782.679872685178</v>
      </c>
      <c r="J1891" s="32">
        <v>44785.679872685178</v>
      </c>
      <c r="K1891" s="32">
        <v>44790.679872685178</v>
      </c>
      <c r="L1891" s="8">
        <f t="shared" si="744"/>
        <v>8</v>
      </c>
      <c r="M1891" s="7">
        <v>44800.679872685178</v>
      </c>
      <c r="N1891" t="s">
        <v>49</v>
      </c>
      <c r="O1891" s="34">
        <v>44802.679872685178</v>
      </c>
      <c r="P1891" t="s">
        <v>50</v>
      </c>
      <c r="Q1891" t="s">
        <v>236</v>
      </c>
      <c r="R1891" s="32" t="s">
        <v>7472</v>
      </c>
      <c r="S1891" t="s">
        <v>7476</v>
      </c>
      <c r="T1891" s="34" t="s">
        <v>7476</v>
      </c>
      <c r="U1891" s="34" t="s">
        <v>7476</v>
      </c>
      <c r="V1891" s="32" t="s">
        <v>7476</v>
      </c>
      <c r="W1891" s="32" t="s">
        <v>7476</v>
      </c>
      <c r="X1891">
        <v>0</v>
      </c>
      <c r="Y1891" s="34" t="s">
        <v>7476</v>
      </c>
      <c r="Z1891" s="34" t="s">
        <v>7476</v>
      </c>
      <c r="AA1891" s="34" t="s">
        <v>7476</v>
      </c>
      <c r="AB1891" s="36" t="s">
        <v>95</v>
      </c>
      <c r="AD1891" t="s">
        <v>5878</v>
      </c>
      <c r="AE1891" t="s">
        <v>5879</v>
      </c>
      <c r="AF1891" s="16">
        <v>44792</v>
      </c>
      <c r="AG1891" t="s">
        <v>64</v>
      </c>
      <c r="AH1891">
        <v>3</v>
      </c>
      <c r="AI1891" s="8" t="str">
        <f>IFERROR(R1891-AF1891,"")</f>
        <v/>
      </c>
      <c r="AJ1891" s="8">
        <f>IFERROR(O1891-AF1891,"")</f>
        <v>10.679872685177543</v>
      </c>
      <c r="AK1891" s="38" t="str">
        <f t="shared" si="745"/>
        <v/>
      </c>
      <c r="AL1891" t="str">
        <f>IFERROR(Z1891-W1891,"")</f>
        <v/>
      </c>
      <c r="AM1891" t="str">
        <f>IFERROR(R1891-J1891,"")</f>
        <v/>
      </c>
      <c r="AN1891" t="str">
        <f>IFERROR(V1891-O1891,"")</f>
        <v/>
      </c>
      <c r="AO1891">
        <f>IFERROR(J1891-I1891,"")</f>
        <v>3</v>
      </c>
      <c r="AP1891">
        <f>IFERROR(AC1891-X1891,"")</f>
        <v>0</v>
      </c>
      <c r="AQ1891" t="str">
        <f>IFERROR(AA1891-W1891,"")</f>
        <v/>
      </c>
    </row>
    <row r="1892" spans="1:43" x14ac:dyDescent="0.35">
      <c r="A1892">
        <v>1888</v>
      </c>
      <c r="B1892" t="s">
        <v>5880</v>
      </c>
      <c r="C1892" t="s">
        <v>4471</v>
      </c>
      <c r="D1892" t="str">
        <f t="shared" si="743"/>
        <v>Finance</v>
      </c>
      <c r="E1892" t="s">
        <v>5800</v>
      </c>
      <c r="F1892" t="s">
        <v>5801</v>
      </c>
      <c r="G1892" t="s">
        <v>5802</v>
      </c>
      <c r="H1892" t="s">
        <v>59</v>
      </c>
      <c r="I1892" s="32">
        <v>44840.425185185188</v>
      </c>
      <c r="J1892" s="32">
        <v>44844.425185185188</v>
      </c>
      <c r="K1892" s="32" t="s">
        <v>7473</v>
      </c>
      <c r="L1892" s="8" t="str">
        <f t="shared" si="744"/>
        <v/>
      </c>
      <c r="M1892" s="7">
        <v>44862.425185185188</v>
      </c>
      <c r="N1892" t="s">
        <v>49</v>
      </c>
      <c r="O1892" s="34">
        <v>44852.425185185188</v>
      </c>
      <c r="P1892" t="s">
        <v>50</v>
      </c>
      <c r="Q1892" t="s">
        <v>198</v>
      </c>
      <c r="R1892" s="32" t="s">
        <v>7472</v>
      </c>
      <c r="S1892" t="s">
        <v>7476</v>
      </c>
      <c r="T1892" s="34" t="s">
        <v>7476</v>
      </c>
      <c r="U1892" s="34" t="s">
        <v>7476</v>
      </c>
      <c r="V1892" s="32">
        <v>44854.425185185188</v>
      </c>
      <c r="W1892" s="32" t="s">
        <v>7476</v>
      </c>
      <c r="X1892">
        <v>0</v>
      </c>
      <c r="Y1892" s="34" t="s">
        <v>7476</v>
      </c>
      <c r="Z1892" s="34" t="s">
        <v>7476</v>
      </c>
      <c r="AA1892" s="34" t="s">
        <v>7476</v>
      </c>
      <c r="AB1892" s="36" t="s">
        <v>95</v>
      </c>
      <c r="AD1892" t="s">
        <v>5881</v>
      </c>
      <c r="AE1892" t="s">
        <v>5882</v>
      </c>
      <c r="AF1892" s="16">
        <v>44630</v>
      </c>
      <c r="AG1892" t="s">
        <v>64</v>
      </c>
      <c r="AH1892">
        <v>3</v>
      </c>
      <c r="AK1892" s="38">
        <f t="shared" si="745"/>
        <v>44944.425185185188</v>
      </c>
    </row>
    <row r="1893" spans="1:43" x14ac:dyDescent="0.35">
      <c r="A1893">
        <v>1830</v>
      </c>
      <c r="B1893" t="s">
        <v>5883</v>
      </c>
      <c r="C1893" t="s">
        <v>4480</v>
      </c>
      <c r="D1893" t="str">
        <f t="shared" si="743"/>
        <v>Finance</v>
      </c>
      <c r="E1893" t="s">
        <v>5800</v>
      </c>
      <c r="F1893" t="s">
        <v>5801</v>
      </c>
      <c r="G1893" t="s">
        <v>5802</v>
      </c>
      <c r="H1893" t="s">
        <v>59</v>
      </c>
      <c r="I1893" s="32">
        <v>44662.459594907406</v>
      </c>
      <c r="J1893" s="32">
        <v>44664.459594907406</v>
      </c>
      <c r="K1893" s="32">
        <v>44668.459594907406</v>
      </c>
      <c r="L1893" s="8">
        <f t="shared" si="744"/>
        <v>6</v>
      </c>
      <c r="M1893" s="7">
        <v>44678.459594907406</v>
      </c>
      <c r="N1893" t="s">
        <v>72</v>
      </c>
      <c r="O1893" s="34" t="s">
        <v>7474</v>
      </c>
      <c r="R1893" s="32" t="s">
        <v>7472</v>
      </c>
      <c r="S1893" t="s">
        <v>7476</v>
      </c>
      <c r="T1893" s="34" t="s">
        <v>7476</v>
      </c>
      <c r="U1893" s="34" t="s">
        <v>7476</v>
      </c>
      <c r="V1893" s="32" t="s">
        <v>7476</v>
      </c>
      <c r="W1893" s="32" t="s">
        <v>7476</v>
      </c>
      <c r="X1893">
        <v>0</v>
      </c>
      <c r="Y1893" s="34" t="s">
        <v>7476</v>
      </c>
      <c r="Z1893" s="34" t="s">
        <v>7476</v>
      </c>
      <c r="AA1893" s="34" t="s">
        <v>7476</v>
      </c>
      <c r="AB1893" s="36" t="s">
        <v>7476</v>
      </c>
      <c r="AD1893" t="s">
        <v>5884</v>
      </c>
      <c r="AE1893" t="s">
        <v>5885</v>
      </c>
      <c r="AG1893" t="s">
        <v>68</v>
      </c>
      <c r="AH1893">
        <v>3</v>
      </c>
      <c r="AI1893" s="8" t="str">
        <f>IFERROR(R1893-AF1893,"")</f>
        <v/>
      </c>
      <c r="AJ1893" s="8" t="str">
        <f>IFERROR(O1893-AF1893,"")</f>
        <v/>
      </c>
      <c r="AK1893" s="38" t="str">
        <f t="shared" si="745"/>
        <v/>
      </c>
      <c r="AL1893" t="str">
        <f>IFERROR(Z1893-W1893,"")</f>
        <v/>
      </c>
      <c r="AM1893" t="str">
        <f>IFERROR(R1893-J1893,"")</f>
        <v/>
      </c>
      <c r="AN1893" t="str">
        <f>IFERROR(V1893-O1893,"")</f>
        <v/>
      </c>
      <c r="AO1893">
        <f>IFERROR(J1893-I1893,"")</f>
        <v>2</v>
      </c>
      <c r="AP1893">
        <f>IFERROR(AC1893-X1893,"")</f>
        <v>0</v>
      </c>
      <c r="AQ1893" t="str">
        <f>IFERROR(AA1893-W1893,"")</f>
        <v/>
      </c>
    </row>
    <row r="1894" spans="1:43" x14ac:dyDescent="0.35">
      <c r="A1894">
        <v>1826</v>
      </c>
      <c r="B1894" t="s">
        <v>5886</v>
      </c>
      <c r="C1894" t="s">
        <v>4502</v>
      </c>
      <c r="D1894" t="str">
        <f t="shared" si="743"/>
        <v>Finance</v>
      </c>
      <c r="E1894" t="s">
        <v>5800</v>
      </c>
      <c r="F1894" t="s">
        <v>5801</v>
      </c>
      <c r="G1894" t="s">
        <v>5802</v>
      </c>
      <c r="H1894" t="s">
        <v>59</v>
      </c>
      <c r="I1894" s="32">
        <v>44664.459594907406</v>
      </c>
      <c r="J1894" s="32">
        <v>44665.459594907406</v>
      </c>
      <c r="K1894" s="32">
        <v>44668.459594907406</v>
      </c>
      <c r="L1894" s="8">
        <f t="shared" si="744"/>
        <v>4</v>
      </c>
      <c r="M1894" s="7">
        <v>44686.459594907406</v>
      </c>
      <c r="N1894" t="s">
        <v>49</v>
      </c>
      <c r="O1894" s="34">
        <v>44672.459594907406</v>
      </c>
      <c r="P1894" t="s">
        <v>60</v>
      </c>
      <c r="R1894" s="32">
        <v>44675.459594907406</v>
      </c>
      <c r="S1894" t="s">
        <v>61</v>
      </c>
      <c r="T1894" s="34" t="s">
        <v>7476</v>
      </c>
      <c r="U1894" s="34" t="s">
        <v>7476</v>
      </c>
      <c r="V1894" s="32">
        <v>44673.459594907406</v>
      </c>
      <c r="W1894" s="32" t="s">
        <v>7476</v>
      </c>
      <c r="X1894">
        <v>0</v>
      </c>
      <c r="Y1894" s="34" t="s">
        <v>7476</v>
      </c>
      <c r="Z1894" s="34" t="s">
        <v>7476</v>
      </c>
      <c r="AA1894" s="34" t="s">
        <v>7476</v>
      </c>
      <c r="AB1894" s="36" t="s">
        <v>7476</v>
      </c>
      <c r="AD1894" t="s">
        <v>5887</v>
      </c>
      <c r="AE1894" t="s">
        <v>5888</v>
      </c>
      <c r="AF1894" s="16">
        <v>44664</v>
      </c>
      <c r="AG1894" t="s">
        <v>68</v>
      </c>
      <c r="AH1894">
        <v>3</v>
      </c>
      <c r="AI1894" s="8">
        <f>IFERROR(R1894-AF1894,"")</f>
        <v>11.459594907406427</v>
      </c>
      <c r="AJ1894" s="8">
        <f>IFERROR(O1894-AF1894,"")</f>
        <v>8.4595949074064265</v>
      </c>
      <c r="AK1894" s="38">
        <f t="shared" si="745"/>
        <v>44763.459594907406</v>
      </c>
      <c r="AL1894" t="str">
        <f>IFERROR(Z1894-W1894,"")</f>
        <v/>
      </c>
      <c r="AM1894">
        <f>IFERROR(R1894-J1894,"")</f>
        <v>10</v>
      </c>
      <c r="AN1894">
        <f>IFERROR(V1894-O1894,"")</f>
        <v>1</v>
      </c>
      <c r="AO1894">
        <f>IFERROR(J1894-I1894,"")</f>
        <v>1</v>
      </c>
      <c r="AP1894">
        <f>IFERROR(AC1894-X1894,"")</f>
        <v>0</v>
      </c>
      <c r="AQ1894" t="str">
        <f>IFERROR(AA1894-W1894,"")</f>
        <v/>
      </c>
    </row>
    <row r="1895" spans="1:43" x14ac:dyDescent="0.35">
      <c r="A1895">
        <v>1823</v>
      </c>
      <c r="B1895" t="s">
        <v>5889</v>
      </c>
      <c r="C1895" t="s">
        <v>4502</v>
      </c>
      <c r="D1895" t="str">
        <f t="shared" si="743"/>
        <v>Finance</v>
      </c>
      <c r="E1895" t="s">
        <v>5800</v>
      </c>
      <c r="F1895" t="s">
        <v>5801</v>
      </c>
      <c r="G1895" t="s">
        <v>5802</v>
      </c>
      <c r="H1895" t="s">
        <v>59</v>
      </c>
      <c r="I1895" s="32">
        <v>44666.459594907406</v>
      </c>
      <c r="J1895" s="32" t="s">
        <v>7471</v>
      </c>
      <c r="K1895" s="32">
        <v>44668.459594907406</v>
      </c>
      <c r="L1895" s="8">
        <f t="shared" si="744"/>
        <v>2</v>
      </c>
      <c r="M1895" s="7">
        <v>44697.459594907406</v>
      </c>
      <c r="N1895" t="s">
        <v>49</v>
      </c>
      <c r="O1895" s="34">
        <v>44678.459594907406</v>
      </c>
      <c r="P1895" t="s">
        <v>60</v>
      </c>
      <c r="R1895" s="32">
        <v>44686.459594907406</v>
      </c>
      <c r="S1895" t="s">
        <v>61</v>
      </c>
      <c r="T1895" s="34" t="s">
        <v>7476</v>
      </c>
      <c r="U1895" s="34" t="s">
        <v>7476</v>
      </c>
      <c r="V1895" s="32">
        <v>44682.459594907406</v>
      </c>
      <c r="W1895" s="32" t="s">
        <v>7476</v>
      </c>
      <c r="X1895">
        <v>0</v>
      </c>
      <c r="Y1895" s="34" t="s">
        <v>7476</v>
      </c>
      <c r="Z1895" s="34" t="s">
        <v>7476</v>
      </c>
      <c r="AA1895" s="34" t="s">
        <v>7476</v>
      </c>
      <c r="AB1895" s="36" t="s">
        <v>7476</v>
      </c>
      <c r="AD1895" t="s">
        <v>5890</v>
      </c>
      <c r="AE1895" t="s">
        <v>5891</v>
      </c>
      <c r="AF1895" s="16">
        <v>44665</v>
      </c>
      <c r="AG1895" t="s">
        <v>64</v>
      </c>
      <c r="AH1895">
        <v>6</v>
      </c>
      <c r="AK1895" s="38">
        <f t="shared" si="745"/>
        <v>44862.459594907406</v>
      </c>
    </row>
    <row r="1896" spans="1:43" x14ac:dyDescent="0.35">
      <c r="A1896">
        <v>1754</v>
      </c>
      <c r="B1896" t="s">
        <v>5892</v>
      </c>
      <c r="C1896" t="s">
        <v>4480</v>
      </c>
      <c r="D1896" t="str">
        <f t="shared" si="743"/>
        <v>Finance</v>
      </c>
      <c r="E1896" t="s">
        <v>5800</v>
      </c>
      <c r="F1896" t="s">
        <v>5801</v>
      </c>
      <c r="G1896" t="s">
        <v>5802</v>
      </c>
      <c r="H1896" t="s">
        <v>59</v>
      </c>
      <c r="I1896" s="32">
        <v>44715.645821759259</v>
      </c>
      <c r="J1896" s="32">
        <v>44716.645821759259</v>
      </c>
      <c r="K1896" s="32">
        <v>44718.645821759259</v>
      </c>
      <c r="L1896" s="8">
        <f t="shared" si="744"/>
        <v>3</v>
      </c>
      <c r="M1896" s="7">
        <v>44746.645821759259</v>
      </c>
      <c r="N1896" t="s">
        <v>49</v>
      </c>
      <c r="O1896" s="34">
        <v>44730.645821759259</v>
      </c>
      <c r="P1896" t="s">
        <v>50</v>
      </c>
      <c r="Q1896" t="s">
        <v>84</v>
      </c>
      <c r="R1896" s="32" t="s">
        <v>7472</v>
      </c>
      <c r="S1896" t="s">
        <v>7476</v>
      </c>
      <c r="T1896" s="34" t="s">
        <v>7476</v>
      </c>
      <c r="U1896" s="34" t="s">
        <v>7476</v>
      </c>
      <c r="V1896" s="32">
        <v>44734.645821759259</v>
      </c>
      <c r="W1896" s="32" t="s">
        <v>7476</v>
      </c>
      <c r="X1896">
        <v>0</v>
      </c>
      <c r="Y1896" s="34" t="s">
        <v>7476</v>
      </c>
      <c r="Z1896" s="34" t="s">
        <v>7476</v>
      </c>
      <c r="AA1896" s="34" t="s">
        <v>7476</v>
      </c>
      <c r="AB1896" s="36" t="s">
        <v>95</v>
      </c>
      <c r="AD1896" t="s">
        <v>5893</v>
      </c>
      <c r="AE1896" t="s">
        <v>5894</v>
      </c>
      <c r="AF1896" s="16">
        <v>44723</v>
      </c>
      <c r="AG1896" t="s">
        <v>64</v>
      </c>
      <c r="AH1896">
        <v>3</v>
      </c>
      <c r="AI1896" s="8" t="str">
        <f>IFERROR(R1896-AF1896,"")</f>
        <v/>
      </c>
      <c r="AJ1896" s="8">
        <f>IFERROR(O1896-AF1896,"")</f>
        <v>7.645821759258979</v>
      </c>
      <c r="AK1896" s="38">
        <f t="shared" si="745"/>
        <v>44824.645821759259</v>
      </c>
      <c r="AL1896" t="str">
        <f>IFERROR(Z1896-W1896,"")</f>
        <v/>
      </c>
      <c r="AM1896" t="str">
        <f>IFERROR(R1896-J1896,"")</f>
        <v/>
      </c>
      <c r="AN1896">
        <f>IFERROR(V1896-O1896,"")</f>
        <v>4</v>
      </c>
      <c r="AO1896">
        <f>IFERROR(J1896-I1896,"")</f>
        <v>1</v>
      </c>
      <c r="AP1896">
        <f>IFERROR(AC1896-X1896,"")</f>
        <v>0</v>
      </c>
      <c r="AQ1896" t="str">
        <f>IFERROR(AA1896-W1896,"")</f>
        <v/>
      </c>
    </row>
    <row r="1897" spans="1:43" x14ac:dyDescent="0.35">
      <c r="A1897">
        <v>1751</v>
      </c>
      <c r="B1897" t="s">
        <v>5895</v>
      </c>
      <c r="C1897" t="s">
        <v>4502</v>
      </c>
      <c r="D1897" t="str">
        <f t="shared" si="743"/>
        <v>Finance</v>
      </c>
      <c r="E1897" t="s">
        <v>5800</v>
      </c>
      <c r="F1897" t="s">
        <v>5801</v>
      </c>
      <c r="G1897" t="s">
        <v>5802</v>
      </c>
      <c r="H1897" t="s">
        <v>59</v>
      </c>
      <c r="I1897" s="32">
        <v>44713.645821759259</v>
      </c>
      <c r="J1897" s="32">
        <v>44716.645821759259</v>
      </c>
      <c r="K1897" s="32">
        <v>44718.645821759259</v>
      </c>
      <c r="L1897" s="8">
        <f t="shared" si="744"/>
        <v>5</v>
      </c>
      <c r="M1897" s="7">
        <v>44746.645821759259</v>
      </c>
      <c r="N1897" t="s">
        <v>49</v>
      </c>
      <c r="O1897" s="34">
        <v>44733.645821759259</v>
      </c>
      <c r="P1897" t="s">
        <v>50</v>
      </c>
      <c r="Q1897" t="s">
        <v>125</v>
      </c>
      <c r="R1897" s="32" t="s">
        <v>7472</v>
      </c>
      <c r="S1897" t="s">
        <v>7476</v>
      </c>
      <c r="T1897" s="34" t="s">
        <v>7476</v>
      </c>
      <c r="U1897" s="34" t="s">
        <v>7476</v>
      </c>
      <c r="V1897" s="32" t="s">
        <v>7476</v>
      </c>
      <c r="W1897" s="32" t="s">
        <v>7476</v>
      </c>
      <c r="X1897">
        <v>0</v>
      </c>
      <c r="Y1897" s="34" t="s">
        <v>7476</v>
      </c>
      <c r="Z1897" s="34" t="s">
        <v>7476</v>
      </c>
      <c r="AA1897" s="34" t="s">
        <v>7476</v>
      </c>
      <c r="AB1897" s="36" t="s">
        <v>95</v>
      </c>
      <c r="AD1897" t="s">
        <v>5896</v>
      </c>
      <c r="AE1897" t="s">
        <v>5897</v>
      </c>
      <c r="AF1897" s="16">
        <v>44722</v>
      </c>
      <c r="AG1897" t="s">
        <v>98</v>
      </c>
      <c r="AH1897">
        <v>3</v>
      </c>
      <c r="AI1897" s="8" t="str">
        <f>IFERROR(R1897-AF1897,"")</f>
        <v/>
      </c>
      <c r="AJ1897" s="8">
        <f>IFERROR(O1897-AF1897,"")</f>
        <v>11.645821759258979</v>
      </c>
      <c r="AK1897" s="38" t="str">
        <f t="shared" si="745"/>
        <v/>
      </c>
      <c r="AL1897" t="str">
        <f>IFERROR(Z1897-W1897,"")</f>
        <v/>
      </c>
      <c r="AM1897" t="str">
        <f>IFERROR(R1897-J1897,"")</f>
        <v/>
      </c>
      <c r="AN1897" t="str">
        <f>IFERROR(V1897-O1897,"")</f>
        <v/>
      </c>
      <c r="AO1897">
        <f>IFERROR(J1897-I1897,"")</f>
        <v>3</v>
      </c>
      <c r="AP1897">
        <f>IFERROR(AC1897-X1897,"")</f>
        <v>0</v>
      </c>
      <c r="AQ1897" t="str">
        <f>IFERROR(AA1897-W1897,"")</f>
        <v/>
      </c>
    </row>
    <row r="1898" spans="1:43" x14ac:dyDescent="0.35">
      <c r="A1898">
        <v>1732</v>
      </c>
      <c r="B1898" t="s">
        <v>5898</v>
      </c>
      <c r="C1898" t="s">
        <v>4480</v>
      </c>
      <c r="D1898" t="str">
        <f t="shared" si="743"/>
        <v>Finance</v>
      </c>
      <c r="E1898" t="s">
        <v>5800</v>
      </c>
      <c r="F1898" t="s">
        <v>5801</v>
      </c>
      <c r="G1898" t="s">
        <v>5802</v>
      </c>
      <c r="H1898" t="s">
        <v>59</v>
      </c>
      <c r="I1898" s="32">
        <v>44561.634641203702</v>
      </c>
      <c r="J1898" s="32">
        <v>44563.634641203702</v>
      </c>
      <c r="K1898" s="32">
        <v>44568.634641203702</v>
      </c>
      <c r="L1898" s="8">
        <f t="shared" si="744"/>
        <v>7</v>
      </c>
      <c r="M1898" s="7">
        <v>44593.634641203702</v>
      </c>
      <c r="N1898" t="s">
        <v>49</v>
      </c>
      <c r="O1898" s="34">
        <v>44581.634641203702</v>
      </c>
      <c r="P1898" t="s">
        <v>60</v>
      </c>
      <c r="R1898" s="32">
        <v>44586.634641203702</v>
      </c>
      <c r="S1898" t="s">
        <v>61</v>
      </c>
      <c r="T1898" s="34" t="s">
        <v>7476</v>
      </c>
      <c r="U1898" s="34" t="s">
        <v>7476</v>
      </c>
      <c r="V1898" s="32">
        <v>44584.634641203702</v>
      </c>
      <c r="W1898" s="32" t="s">
        <v>7476</v>
      </c>
      <c r="X1898">
        <v>0</v>
      </c>
      <c r="Y1898" s="34" t="s">
        <v>7476</v>
      </c>
      <c r="Z1898" s="34" t="s">
        <v>7476</v>
      </c>
      <c r="AA1898" s="34" t="s">
        <v>7476</v>
      </c>
      <c r="AB1898" s="36" t="s">
        <v>7476</v>
      </c>
      <c r="AD1898" t="s">
        <v>5899</v>
      </c>
      <c r="AE1898" t="s">
        <v>5900</v>
      </c>
      <c r="AF1898" s="16">
        <v>44568</v>
      </c>
      <c r="AG1898" t="s">
        <v>64</v>
      </c>
      <c r="AH1898">
        <v>3</v>
      </c>
      <c r="AI1898" s="8">
        <f>IFERROR(R1898-AF1898,"")</f>
        <v>18.634641203701904</v>
      </c>
      <c r="AJ1898" s="8">
        <f>IFERROR(O1898-AF1898,"")</f>
        <v>13.634641203701904</v>
      </c>
      <c r="AK1898" s="38">
        <f t="shared" si="745"/>
        <v>44674.634641203702</v>
      </c>
      <c r="AL1898" t="str">
        <f>IFERROR(Z1898-W1898,"")</f>
        <v/>
      </c>
      <c r="AM1898">
        <f>IFERROR(R1898-J1898,"")</f>
        <v>23</v>
      </c>
      <c r="AN1898">
        <f>IFERROR(V1898-O1898,"")</f>
        <v>3</v>
      </c>
      <c r="AO1898">
        <f>IFERROR(J1898-I1898,"")</f>
        <v>2</v>
      </c>
      <c r="AP1898">
        <f>IFERROR(AC1898-X1898,"")</f>
        <v>0</v>
      </c>
      <c r="AQ1898" t="str">
        <f>IFERROR(AA1898-W1898,"")</f>
        <v/>
      </c>
    </row>
    <row r="1899" spans="1:43" x14ac:dyDescent="0.35">
      <c r="A1899">
        <v>1706</v>
      </c>
      <c r="B1899" t="s">
        <v>5901</v>
      </c>
      <c r="C1899" t="s">
        <v>4480</v>
      </c>
      <c r="D1899" t="str">
        <f t="shared" si="743"/>
        <v>Finance</v>
      </c>
      <c r="E1899" t="s">
        <v>5800</v>
      </c>
      <c r="F1899" t="s">
        <v>5801</v>
      </c>
      <c r="G1899" t="s">
        <v>5802</v>
      </c>
      <c r="H1899" t="s">
        <v>59</v>
      </c>
      <c r="I1899" s="32">
        <v>44986.751342592594</v>
      </c>
      <c r="J1899" s="32">
        <v>44990.751342592594</v>
      </c>
      <c r="K1899" s="32" t="s">
        <v>7473</v>
      </c>
      <c r="L1899" s="8" t="str">
        <f t="shared" si="744"/>
        <v/>
      </c>
      <c r="M1899" s="7">
        <v>45024.751342592594</v>
      </c>
      <c r="N1899" t="s">
        <v>49</v>
      </c>
      <c r="O1899" s="34">
        <v>45010.751342592594</v>
      </c>
      <c r="P1899" t="s">
        <v>50</v>
      </c>
      <c r="Q1899" t="s">
        <v>198</v>
      </c>
      <c r="R1899" s="32" t="s">
        <v>7472</v>
      </c>
      <c r="S1899" t="s">
        <v>7476</v>
      </c>
      <c r="T1899" s="34" t="s">
        <v>7476</v>
      </c>
      <c r="U1899" s="34" t="s">
        <v>7476</v>
      </c>
      <c r="V1899" s="32">
        <v>45013.751342592594</v>
      </c>
      <c r="W1899" s="32" t="s">
        <v>7476</v>
      </c>
      <c r="X1899">
        <v>0</v>
      </c>
      <c r="Y1899" s="34" t="s">
        <v>7476</v>
      </c>
      <c r="Z1899" s="34" t="s">
        <v>7476</v>
      </c>
      <c r="AA1899" s="34" t="s">
        <v>7476</v>
      </c>
      <c r="AB1899" s="36" t="s">
        <v>52</v>
      </c>
      <c r="AD1899" t="s">
        <v>5902</v>
      </c>
      <c r="AE1899" t="s">
        <v>5903</v>
      </c>
      <c r="AF1899" s="16">
        <v>45001</v>
      </c>
      <c r="AG1899" t="s">
        <v>68</v>
      </c>
      <c r="AH1899">
        <v>3</v>
      </c>
      <c r="AK1899" s="38">
        <f t="shared" si="745"/>
        <v>45103.751342592594</v>
      </c>
    </row>
    <row r="1900" spans="1:43" x14ac:dyDescent="0.35">
      <c r="A1900">
        <v>1704</v>
      </c>
      <c r="B1900" t="s">
        <v>5904</v>
      </c>
      <c r="C1900" t="s">
        <v>4471</v>
      </c>
      <c r="D1900" t="str">
        <f t="shared" si="743"/>
        <v>Finance</v>
      </c>
      <c r="E1900" t="s">
        <v>5800</v>
      </c>
      <c r="F1900" t="s">
        <v>5801</v>
      </c>
      <c r="G1900" t="s">
        <v>5802</v>
      </c>
      <c r="H1900" t="s">
        <v>59</v>
      </c>
      <c r="I1900" s="32">
        <v>44987.751342592594</v>
      </c>
      <c r="J1900" s="32">
        <v>44988.751342592594</v>
      </c>
      <c r="K1900" s="32">
        <v>44994.751342592594</v>
      </c>
      <c r="L1900" s="8">
        <f t="shared" si="744"/>
        <v>7</v>
      </c>
      <c r="M1900" s="7">
        <v>45020.751342592594</v>
      </c>
      <c r="N1900" t="s">
        <v>49</v>
      </c>
      <c r="O1900" s="34">
        <v>45006.751342592594</v>
      </c>
      <c r="P1900" t="s">
        <v>60</v>
      </c>
      <c r="R1900" s="32">
        <v>45012.751342592594</v>
      </c>
      <c r="S1900" t="s">
        <v>61</v>
      </c>
      <c r="T1900" s="34" t="s">
        <v>7476</v>
      </c>
      <c r="U1900" s="34" t="s">
        <v>7476</v>
      </c>
      <c r="V1900" s="32">
        <v>45010.751342592594</v>
      </c>
      <c r="W1900" s="32" t="s">
        <v>7476</v>
      </c>
      <c r="X1900">
        <v>0</v>
      </c>
      <c r="Y1900" s="34" t="s">
        <v>7476</v>
      </c>
      <c r="Z1900" s="34" t="s">
        <v>7476</v>
      </c>
      <c r="AA1900" s="34" t="s">
        <v>7476</v>
      </c>
      <c r="AB1900" s="36" t="s">
        <v>7476</v>
      </c>
      <c r="AD1900" t="s">
        <v>5905</v>
      </c>
      <c r="AE1900" t="s">
        <v>5906</v>
      </c>
      <c r="AF1900" s="16">
        <v>44987</v>
      </c>
      <c r="AG1900" t="s">
        <v>68</v>
      </c>
      <c r="AH1900">
        <v>6</v>
      </c>
      <c r="AI1900" s="8">
        <f>IFERROR(R1900-AF1900,"")</f>
        <v>25.751342592593573</v>
      </c>
      <c r="AJ1900" s="8">
        <f>IFERROR(O1900-AF1900,"")</f>
        <v>19.751342592593573</v>
      </c>
      <c r="AK1900" s="38">
        <f t="shared" si="745"/>
        <v>45190.751342592594</v>
      </c>
      <c r="AL1900" t="str">
        <f>IFERROR(Z1900-W1900,"")</f>
        <v/>
      </c>
      <c r="AM1900">
        <f>IFERROR(R1900-J1900,"")</f>
        <v>24</v>
      </c>
      <c r="AN1900">
        <f>IFERROR(V1900-O1900,"")</f>
        <v>4</v>
      </c>
      <c r="AO1900">
        <f>IFERROR(J1900-I1900,"")</f>
        <v>1</v>
      </c>
      <c r="AP1900">
        <f>IFERROR(AC1900-X1900,"")</f>
        <v>0</v>
      </c>
      <c r="AQ1900" t="str">
        <f>IFERROR(AA1900-W1900,"")</f>
        <v/>
      </c>
    </row>
    <row r="1901" spans="1:43" x14ac:dyDescent="0.35">
      <c r="A1901">
        <v>1674</v>
      </c>
      <c r="B1901" t="s">
        <v>5907</v>
      </c>
      <c r="C1901" t="s">
        <v>4480</v>
      </c>
      <c r="D1901" t="str">
        <f t="shared" si="743"/>
        <v>Finance</v>
      </c>
      <c r="E1901" t="s">
        <v>5800</v>
      </c>
      <c r="F1901" t="s">
        <v>5801</v>
      </c>
      <c r="G1901" t="s">
        <v>5802</v>
      </c>
      <c r="H1901" t="s">
        <v>59</v>
      </c>
      <c r="I1901" s="32">
        <v>44871.144270833327</v>
      </c>
      <c r="J1901" s="32" t="s">
        <v>7471</v>
      </c>
      <c r="K1901" s="32">
        <v>44877.144270833327</v>
      </c>
      <c r="L1901" s="8">
        <f t="shared" si="744"/>
        <v>6</v>
      </c>
      <c r="M1901" s="7">
        <v>44889.144270833327</v>
      </c>
      <c r="N1901" t="s">
        <v>72</v>
      </c>
      <c r="O1901" s="34" t="s">
        <v>7474</v>
      </c>
      <c r="R1901" s="32" t="s">
        <v>7472</v>
      </c>
      <c r="S1901" t="s">
        <v>7476</v>
      </c>
      <c r="T1901" s="34" t="s">
        <v>7476</v>
      </c>
      <c r="U1901" s="34" t="s">
        <v>7476</v>
      </c>
      <c r="V1901" s="32" t="s">
        <v>7476</v>
      </c>
      <c r="W1901" s="32" t="s">
        <v>7476</v>
      </c>
      <c r="X1901">
        <v>0</v>
      </c>
      <c r="Y1901" s="34" t="s">
        <v>7476</v>
      </c>
      <c r="Z1901" s="34" t="s">
        <v>7476</v>
      </c>
      <c r="AA1901" s="34" t="s">
        <v>7476</v>
      </c>
      <c r="AB1901" s="36" t="s">
        <v>7476</v>
      </c>
      <c r="AD1901" t="s">
        <v>5908</v>
      </c>
      <c r="AE1901" t="s">
        <v>5909</v>
      </c>
      <c r="AG1901" t="s">
        <v>93</v>
      </c>
      <c r="AH1901">
        <v>6</v>
      </c>
      <c r="AK1901" s="38" t="str">
        <f t="shared" si="745"/>
        <v/>
      </c>
    </row>
    <row r="1902" spans="1:43" x14ac:dyDescent="0.35">
      <c r="A1902">
        <v>1672</v>
      </c>
      <c r="B1902" t="s">
        <v>5910</v>
      </c>
      <c r="C1902" t="s">
        <v>4471</v>
      </c>
      <c r="D1902" t="str">
        <f t="shared" si="743"/>
        <v>Finance</v>
      </c>
      <c r="E1902" t="s">
        <v>5800</v>
      </c>
      <c r="F1902" t="s">
        <v>5801</v>
      </c>
      <c r="G1902" t="s">
        <v>5802</v>
      </c>
      <c r="H1902" t="s">
        <v>59</v>
      </c>
      <c r="I1902" s="32">
        <v>44870.144270833327</v>
      </c>
      <c r="J1902" s="32">
        <v>44874.144270833327</v>
      </c>
      <c r="K1902" s="32">
        <v>44877.144270833327</v>
      </c>
      <c r="L1902" s="8">
        <f t="shared" si="744"/>
        <v>7</v>
      </c>
      <c r="M1902" s="7">
        <v>44893.144270833327</v>
      </c>
      <c r="N1902" t="s">
        <v>49</v>
      </c>
      <c r="O1902" s="34">
        <v>44892.144270833327</v>
      </c>
      <c r="P1902" t="s">
        <v>101</v>
      </c>
      <c r="R1902" s="32">
        <v>44895.144270833327</v>
      </c>
      <c r="S1902" t="s">
        <v>101</v>
      </c>
      <c r="T1902" s="34">
        <v>44894.144270833327</v>
      </c>
      <c r="U1902" s="34">
        <v>44895.144270833327</v>
      </c>
      <c r="V1902" s="32">
        <v>44893.144270833327</v>
      </c>
      <c r="W1902" s="32">
        <v>44896.144270833327</v>
      </c>
      <c r="X1902">
        <v>1</v>
      </c>
      <c r="Y1902" s="34">
        <v>44898.144270833327</v>
      </c>
      <c r="Z1902" s="34">
        <v>44900.144270833327</v>
      </c>
      <c r="AA1902" s="34">
        <v>44901.144270833327</v>
      </c>
      <c r="AB1902" s="36" t="s">
        <v>7476</v>
      </c>
      <c r="AC1902" s="10">
        <v>44924.144270833327</v>
      </c>
      <c r="AD1902" t="s">
        <v>5911</v>
      </c>
      <c r="AE1902" t="s">
        <v>5912</v>
      </c>
      <c r="AF1902" s="16">
        <v>44875</v>
      </c>
      <c r="AG1902" t="s">
        <v>68</v>
      </c>
      <c r="AH1902">
        <v>6</v>
      </c>
      <c r="AI1902" s="8">
        <f>IFERROR(R1902-AF1902,"")</f>
        <v>20.144270833327028</v>
      </c>
      <c r="AJ1902" s="8">
        <f>IFERROR(O1902-AF1902,"")</f>
        <v>17.144270833327028</v>
      </c>
      <c r="AK1902" s="38">
        <f t="shared" si="745"/>
        <v>45073.144270833327</v>
      </c>
      <c r="AL1902">
        <f>IFERROR(Z1902-W1902,"")</f>
        <v>4</v>
      </c>
      <c r="AM1902">
        <f>IFERROR(R1902-J1902,"")</f>
        <v>21</v>
      </c>
      <c r="AN1902">
        <f>IFERROR(V1902-O1902,"")</f>
        <v>1</v>
      </c>
      <c r="AO1902">
        <f>IFERROR(J1902-I1902,"")</f>
        <v>4</v>
      </c>
      <c r="AP1902">
        <f>IFERROR(AC1902-X1902,"")</f>
        <v>44923.144270833327</v>
      </c>
      <c r="AQ1902">
        <f>IFERROR(AA1902-W1902,"")</f>
        <v>5</v>
      </c>
    </row>
    <row r="1903" spans="1:43" x14ac:dyDescent="0.35">
      <c r="A1903">
        <v>1671</v>
      </c>
      <c r="B1903" t="s">
        <v>5913</v>
      </c>
      <c r="C1903" t="s">
        <v>4471</v>
      </c>
      <c r="D1903" t="str">
        <f t="shared" si="743"/>
        <v>Finance</v>
      </c>
      <c r="E1903" t="s">
        <v>5800</v>
      </c>
      <c r="F1903" t="s">
        <v>5801</v>
      </c>
      <c r="G1903" t="s">
        <v>5802</v>
      </c>
      <c r="H1903" t="s">
        <v>59</v>
      </c>
      <c r="I1903" s="32">
        <v>44870.144270833327</v>
      </c>
      <c r="J1903" s="32">
        <v>44874.144270833327</v>
      </c>
      <c r="K1903" s="32">
        <v>44877.144270833327</v>
      </c>
      <c r="L1903" s="8">
        <f t="shared" si="744"/>
        <v>7</v>
      </c>
      <c r="M1903" s="7">
        <v>44901.144270833327</v>
      </c>
      <c r="N1903" t="s">
        <v>49</v>
      </c>
      <c r="O1903" s="34">
        <v>44892.144270833327</v>
      </c>
      <c r="P1903" t="s">
        <v>50</v>
      </c>
      <c r="Q1903" t="s">
        <v>198</v>
      </c>
      <c r="R1903" s="32" t="s">
        <v>7472</v>
      </c>
      <c r="S1903" t="s">
        <v>7476</v>
      </c>
      <c r="T1903" s="34" t="s">
        <v>7476</v>
      </c>
      <c r="U1903" s="34" t="s">
        <v>7476</v>
      </c>
      <c r="V1903" s="32" t="s">
        <v>7476</v>
      </c>
      <c r="W1903" s="32" t="s">
        <v>7476</v>
      </c>
      <c r="X1903">
        <v>0</v>
      </c>
      <c r="Y1903" s="34" t="s">
        <v>7476</v>
      </c>
      <c r="Z1903" s="34" t="s">
        <v>7476</v>
      </c>
      <c r="AA1903" s="34" t="s">
        <v>7476</v>
      </c>
      <c r="AB1903" s="36" t="s">
        <v>52</v>
      </c>
      <c r="AD1903" t="s">
        <v>5914</v>
      </c>
      <c r="AE1903" t="s">
        <v>5915</v>
      </c>
      <c r="AF1903" s="16">
        <v>44881</v>
      </c>
      <c r="AG1903" t="s">
        <v>98</v>
      </c>
      <c r="AH1903">
        <v>6</v>
      </c>
      <c r="AI1903" s="8" t="str">
        <f>IFERROR(R1903-AF1903,"")</f>
        <v/>
      </c>
      <c r="AJ1903" s="8">
        <f>IFERROR(O1903-AF1903,"")</f>
        <v>11.144270833327028</v>
      </c>
      <c r="AK1903" s="38" t="str">
        <f t="shared" si="745"/>
        <v/>
      </c>
      <c r="AL1903" t="str">
        <f>IFERROR(Z1903-W1903,"")</f>
        <v/>
      </c>
      <c r="AM1903" t="str">
        <f>IFERROR(R1903-J1903,"")</f>
        <v/>
      </c>
      <c r="AN1903" t="str">
        <f>IFERROR(V1903-O1903,"")</f>
        <v/>
      </c>
      <c r="AO1903">
        <f>IFERROR(J1903-I1903,"")</f>
        <v>4</v>
      </c>
      <c r="AP1903">
        <f>IFERROR(AC1903-X1903,"")</f>
        <v>0</v>
      </c>
      <c r="AQ1903" t="str">
        <f>IFERROR(AA1903-W1903,"")</f>
        <v/>
      </c>
    </row>
    <row r="1904" spans="1:43" x14ac:dyDescent="0.35">
      <c r="A1904">
        <v>1640</v>
      </c>
      <c r="B1904" t="s">
        <v>5916</v>
      </c>
      <c r="C1904" t="s">
        <v>4471</v>
      </c>
      <c r="D1904" t="str">
        <f t="shared" si="743"/>
        <v>Finance</v>
      </c>
      <c r="E1904" t="s">
        <v>5800</v>
      </c>
      <c r="F1904" t="s">
        <v>5801</v>
      </c>
      <c r="G1904" t="s">
        <v>5802</v>
      </c>
      <c r="H1904" t="s">
        <v>59</v>
      </c>
      <c r="I1904" s="32">
        <v>45173.320416666669</v>
      </c>
      <c r="J1904" s="32">
        <v>45175.320416666669</v>
      </c>
      <c r="K1904" s="32">
        <v>45178.320416666669</v>
      </c>
      <c r="L1904" s="8">
        <f t="shared" si="744"/>
        <v>5</v>
      </c>
      <c r="M1904" s="7">
        <v>45185.320416666669</v>
      </c>
      <c r="N1904" t="s">
        <v>72</v>
      </c>
      <c r="O1904" s="34" t="s">
        <v>7474</v>
      </c>
      <c r="R1904" s="32" t="s">
        <v>7472</v>
      </c>
      <c r="S1904" t="s">
        <v>7476</v>
      </c>
      <c r="T1904" s="34" t="s">
        <v>7476</v>
      </c>
      <c r="U1904" s="34" t="s">
        <v>7476</v>
      </c>
      <c r="V1904" s="32" t="s">
        <v>7476</v>
      </c>
      <c r="W1904" s="32" t="s">
        <v>7476</v>
      </c>
      <c r="X1904">
        <v>0</v>
      </c>
      <c r="Y1904" s="34" t="s">
        <v>7476</v>
      </c>
      <c r="Z1904" s="34" t="s">
        <v>7476</v>
      </c>
      <c r="AA1904" s="34" t="s">
        <v>7476</v>
      </c>
      <c r="AB1904" s="36" t="s">
        <v>7476</v>
      </c>
      <c r="AD1904" t="s">
        <v>5917</v>
      </c>
      <c r="AE1904" t="s">
        <v>5918</v>
      </c>
      <c r="AG1904" t="s">
        <v>64</v>
      </c>
      <c r="AH1904">
        <v>6</v>
      </c>
      <c r="AI1904" s="8" t="str">
        <f>IFERROR(R1904-AF1904,"")</f>
        <v/>
      </c>
      <c r="AJ1904" s="8" t="str">
        <f>IFERROR(O1904-AF1904,"")</f>
        <v/>
      </c>
      <c r="AK1904" s="38" t="str">
        <f t="shared" si="745"/>
        <v/>
      </c>
      <c r="AL1904" t="str">
        <f>IFERROR(Z1904-W1904,"")</f>
        <v/>
      </c>
      <c r="AM1904" t="str">
        <f>IFERROR(R1904-J1904,"")</f>
        <v/>
      </c>
      <c r="AN1904" t="str">
        <f>IFERROR(V1904-O1904,"")</f>
        <v/>
      </c>
      <c r="AO1904">
        <f>IFERROR(J1904-I1904,"")</f>
        <v>2</v>
      </c>
      <c r="AP1904">
        <f>IFERROR(AC1904-X1904,"")</f>
        <v>0</v>
      </c>
      <c r="AQ1904" t="str">
        <f>IFERROR(AA1904-W1904,"")</f>
        <v/>
      </c>
    </row>
    <row r="1905" spans="1:43" x14ac:dyDescent="0.35">
      <c r="A1905">
        <v>1590</v>
      </c>
      <c r="B1905" t="s">
        <v>5919</v>
      </c>
      <c r="C1905" t="s">
        <v>4471</v>
      </c>
      <c r="D1905" t="str">
        <f t="shared" si="743"/>
        <v>Finance</v>
      </c>
      <c r="E1905" t="s">
        <v>5800</v>
      </c>
      <c r="F1905" t="s">
        <v>5801</v>
      </c>
      <c r="G1905" t="s">
        <v>5802</v>
      </c>
      <c r="H1905" t="s">
        <v>59</v>
      </c>
      <c r="I1905" s="32" t="s">
        <v>7471</v>
      </c>
      <c r="J1905" s="32">
        <v>45187.840821759259</v>
      </c>
      <c r="K1905" s="32">
        <v>45188.840821759259</v>
      </c>
      <c r="L1905" s="8" t="str">
        <f t="shared" si="744"/>
        <v/>
      </c>
      <c r="M1905" s="7">
        <v>45208.840821759259</v>
      </c>
      <c r="N1905" t="s">
        <v>49</v>
      </c>
      <c r="O1905" s="34">
        <v>45202.840821759259</v>
      </c>
      <c r="P1905" t="s">
        <v>60</v>
      </c>
      <c r="R1905" s="32">
        <v>45208.840821759259</v>
      </c>
      <c r="S1905" t="s">
        <v>61</v>
      </c>
      <c r="T1905" s="34" t="s">
        <v>7476</v>
      </c>
      <c r="U1905" s="34" t="s">
        <v>7476</v>
      </c>
      <c r="V1905" s="32">
        <v>45205.840821759259</v>
      </c>
      <c r="W1905" s="32" t="s">
        <v>7476</v>
      </c>
      <c r="X1905">
        <v>0</v>
      </c>
      <c r="Y1905" s="34" t="s">
        <v>7476</v>
      </c>
      <c r="Z1905" s="34" t="s">
        <v>7476</v>
      </c>
      <c r="AA1905" s="34" t="s">
        <v>7476</v>
      </c>
      <c r="AB1905" s="36" t="s">
        <v>7476</v>
      </c>
      <c r="AD1905" t="s">
        <v>5920</v>
      </c>
      <c r="AE1905" t="s">
        <v>5921</v>
      </c>
      <c r="AF1905" s="16">
        <v>45194</v>
      </c>
      <c r="AG1905" t="s">
        <v>98</v>
      </c>
      <c r="AH1905">
        <v>6</v>
      </c>
      <c r="AK1905" s="38">
        <f t="shared" si="745"/>
        <v>45385.840821759259</v>
      </c>
    </row>
    <row r="1906" spans="1:43" x14ac:dyDescent="0.35">
      <c r="A1906">
        <v>1588</v>
      </c>
      <c r="B1906" t="s">
        <v>5922</v>
      </c>
      <c r="C1906" t="s">
        <v>4502</v>
      </c>
      <c r="D1906" t="str">
        <f t="shared" si="743"/>
        <v>Finance</v>
      </c>
      <c r="E1906" t="s">
        <v>5800</v>
      </c>
      <c r="F1906" t="s">
        <v>5801</v>
      </c>
      <c r="G1906" t="s">
        <v>5802</v>
      </c>
      <c r="H1906" t="s">
        <v>59</v>
      </c>
      <c r="I1906" s="32">
        <v>45182.840821759259</v>
      </c>
      <c r="J1906" s="32">
        <v>45184.840821759259</v>
      </c>
      <c r="K1906" s="32" t="s">
        <v>7473</v>
      </c>
      <c r="L1906" s="8" t="str">
        <f t="shared" si="744"/>
        <v/>
      </c>
      <c r="M1906" s="7">
        <v>45198.840821759259</v>
      </c>
      <c r="N1906" t="s">
        <v>49</v>
      </c>
      <c r="O1906" s="34">
        <v>45193.840821759259</v>
      </c>
      <c r="P1906" t="s">
        <v>50</v>
      </c>
      <c r="Q1906" t="s">
        <v>198</v>
      </c>
      <c r="R1906" s="32" t="s">
        <v>7472</v>
      </c>
      <c r="S1906" t="s">
        <v>7476</v>
      </c>
      <c r="T1906" s="34" t="s">
        <v>7476</v>
      </c>
      <c r="U1906" s="34" t="s">
        <v>7476</v>
      </c>
      <c r="V1906" s="32" t="s">
        <v>7476</v>
      </c>
      <c r="W1906" s="32" t="s">
        <v>7476</v>
      </c>
      <c r="X1906">
        <v>0</v>
      </c>
      <c r="Y1906" s="34" t="s">
        <v>7476</v>
      </c>
      <c r="Z1906" s="34" t="s">
        <v>7476</v>
      </c>
      <c r="AA1906" s="34" t="s">
        <v>7476</v>
      </c>
      <c r="AB1906" s="36" t="s">
        <v>52</v>
      </c>
      <c r="AD1906" t="s">
        <v>5923</v>
      </c>
      <c r="AE1906" t="s">
        <v>5924</v>
      </c>
      <c r="AF1906" s="16">
        <v>45178</v>
      </c>
      <c r="AG1906" t="s">
        <v>93</v>
      </c>
      <c r="AH1906">
        <v>6</v>
      </c>
      <c r="AK1906" s="38" t="str">
        <f t="shared" si="745"/>
        <v/>
      </c>
    </row>
    <row r="1907" spans="1:43" x14ac:dyDescent="0.35">
      <c r="A1907">
        <v>1584</v>
      </c>
      <c r="B1907" t="s">
        <v>5925</v>
      </c>
      <c r="C1907" t="s">
        <v>4480</v>
      </c>
      <c r="D1907" t="str">
        <f t="shared" si="743"/>
        <v>Finance</v>
      </c>
      <c r="E1907" t="s">
        <v>5800</v>
      </c>
      <c r="F1907" t="s">
        <v>5801</v>
      </c>
      <c r="G1907" t="s">
        <v>5802</v>
      </c>
      <c r="H1907" t="s">
        <v>59</v>
      </c>
      <c r="I1907" s="32">
        <v>45181.840821759259</v>
      </c>
      <c r="J1907" s="32">
        <v>45184.840821759259</v>
      </c>
      <c r="K1907" s="32">
        <v>45188.840821759259</v>
      </c>
      <c r="L1907" s="8">
        <f t="shared" si="744"/>
        <v>7</v>
      </c>
      <c r="M1907" s="7">
        <v>45199.840821759259</v>
      </c>
      <c r="N1907" t="s">
        <v>49</v>
      </c>
      <c r="O1907" s="34">
        <v>45191.840821759259</v>
      </c>
      <c r="P1907" t="s">
        <v>392</v>
      </c>
      <c r="R1907" s="32">
        <v>45197.840821759259</v>
      </c>
      <c r="S1907" t="s">
        <v>392</v>
      </c>
      <c r="T1907" s="34" t="s">
        <v>7476</v>
      </c>
      <c r="U1907" s="34" t="s">
        <v>7476</v>
      </c>
      <c r="V1907" s="32">
        <v>45193.840821759259</v>
      </c>
      <c r="W1907" s="32" t="s">
        <v>7476</v>
      </c>
      <c r="X1907">
        <v>0</v>
      </c>
      <c r="Y1907" s="34" t="s">
        <v>7476</v>
      </c>
      <c r="Z1907" s="34" t="s">
        <v>7476</v>
      </c>
      <c r="AA1907" s="34" t="s">
        <v>7476</v>
      </c>
      <c r="AB1907" s="36" t="s">
        <v>7476</v>
      </c>
      <c r="AD1907" t="s">
        <v>5926</v>
      </c>
      <c r="AE1907" t="s">
        <v>5927</v>
      </c>
      <c r="AF1907" s="16">
        <v>45176</v>
      </c>
      <c r="AG1907" t="s">
        <v>68</v>
      </c>
      <c r="AH1907">
        <v>3</v>
      </c>
      <c r="AI1907" s="8">
        <f>IFERROR(R1907-AF1907,"")</f>
        <v>21.840821759258688</v>
      </c>
      <c r="AJ1907" s="8">
        <f>IFERROR(O1907-AF1907,"")</f>
        <v>15.840821759258688</v>
      </c>
      <c r="AK1907" s="38">
        <f t="shared" si="745"/>
        <v>45283.840821759259</v>
      </c>
      <c r="AL1907" t="str">
        <f>IFERROR(Z1907-W1907,"")</f>
        <v/>
      </c>
      <c r="AM1907">
        <f>IFERROR(R1907-J1907,"")</f>
        <v>13</v>
      </c>
      <c r="AN1907">
        <f>IFERROR(V1907-O1907,"")</f>
        <v>2</v>
      </c>
      <c r="AO1907">
        <f>IFERROR(J1907-I1907,"")</f>
        <v>3</v>
      </c>
      <c r="AP1907">
        <f>IFERROR(AC1907-X1907,"")</f>
        <v>0</v>
      </c>
      <c r="AQ1907" t="str">
        <f>IFERROR(AA1907-W1907,"")</f>
        <v/>
      </c>
    </row>
    <row r="1908" spans="1:43" x14ac:dyDescent="0.35">
      <c r="A1908">
        <v>1583</v>
      </c>
      <c r="B1908" t="s">
        <v>5928</v>
      </c>
      <c r="C1908" t="s">
        <v>4502</v>
      </c>
      <c r="D1908" t="str">
        <f t="shared" si="743"/>
        <v>Finance</v>
      </c>
      <c r="E1908" t="s">
        <v>5800</v>
      </c>
      <c r="F1908" t="s">
        <v>5801</v>
      </c>
      <c r="G1908" t="s">
        <v>5802</v>
      </c>
      <c r="H1908" t="s">
        <v>59</v>
      </c>
      <c r="I1908" s="32" t="s">
        <v>7471</v>
      </c>
      <c r="J1908" s="32">
        <v>45184.840821759259</v>
      </c>
      <c r="K1908" s="32">
        <v>45188.840821759259</v>
      </c>
      <c r="L1908" s="8" t="str">
        <f t="shared" si="744"/>
        <v/>
      </c>
      <c r="M1908" s="7">
        <v>45211.840821759259</v>
      </c>
      <c r="N1908" t="s">
        <v>49</v>
      </c>
      <c r="O1908" s="34">
        <v>45198.840821759259</v>
      </c>
      <c r="P1908" t="s">
        <v>50</v>
      </c>
      <c r="Q1908" t="s">
        <v>236</v>
      </c>
      <c r="R1908" s="32" t="s">
        <v>7472</v>
      </c>
      <c r="S1908" t="s">
        <v>7476</v>
      </c>
      <c r="T1908" s="34" t="s">
        <v>7476</v>
      </c>
      <c r="U1908" s="34" t="s">
        <v>7476</v>
      </c>
      <c r="V1908" s="32" t="s">
        <v>7476</v>
      </c>
      <c r="W1908" s="32" t="s">
        <v>7476</v>
      </c>
      <c r="X1908">
        <v>0</v>
      </c>
      <c r="Y1908" s="34" t="s">
        <v>7476</v>
      </c>
      <c r="Z1908" s="34" t="s">
        <v>7476</v>
      </c>
      <c r="AA1908" s="34" t="s">
        <v>7476</v>
      </c>
      <c r="AB1908" s="36" t="s">
        <v>52</v>
      </c>
      <c r="AD1908" t="s">
        <v>5929</v>
      </c>
      <c r="AE1908" t="s">
        <v>5930</v>
      </c>
      <c r="AF1908" s="16">
        <v>45190</v>
      </c>
      <c r="AG1908" t="s">
        <v>68</v>
      </c>
      <c r="AH1908">
        <v>6</v>
      </c>
      <c r="AK1908" s="38" t="str">
        <f t="shared" si="745"/>
        <v/>
      </c>
    </row>
    <row r="1909" spans="1:43" x14ac:dyDescent="0.35">
      <c r="A1909">
        <v>1563</v>
      </c>
      <c r="B1909" t="s">
        <v>5931</v>
      </c>
      <c r="C1909" t="s">
        <v>4471</v>
      </c>
      <c r="D1909" t="str">
        <f t="shared" si="743"/>
        <v>Finance</v>
      </c>
      <c r="E1909" t="s">
        <v>5800</v>
      </c>
      <c r="F1909" t="s">
        <v>5801</v>
      </c>
      <c r="G1909" t="s">
        <v>5802</v>
      </c>
      <c r="H1909" t="s">
        <v>59</v>
      </c>
      <c r="I1909" s="32">
        <v>44641.490486111114</v>
      </c>
      <c r="J1909" s="32">
        <v>44643.490486111114</v>
      </c>
      <c r="K1909" s="32">
        <v>44645.490486111114</v>
      </c>
      <c r="L1909" s="8">
        <f t="shared" si="744"/>
        <v>4</v>
      </c>
      <c r="M1909" s="7">
        <v>44656.490486111114</v>
      </c>
      <c r="N1909" t="s">
        <v>72</v>
      </c>
      <c r="O1909" s="34" t="s">
        <v>7474</v>
      </c>
      <c r="R1909" s="32" t="s">
        <v>7472</v>
      </c>
      <c r="S1909" t="s">
        <v>7476</v>
      </c>
      <c r="T1909" s="34" t="s">
        <v>7476</v>
      </c>
      <c r="U1909" s="34" t="s">
        <v>7476</v>
      </c>
      <c r="V1909" s="32" t="s">
        <v>7476</v>
      </c>
      <c r="W1909" s="32" t="s">
        <v>7476</v>
      </c>
      <c r="X1909">
        <v>0</v>
      </c>
      <c r="Y1909" s="34" t="s">
        <v>7476</v>
      </c>
      <c r="Z1909" s="34" t="s">
        <v>7476</v>
      </c>
      <c r="AA1909" s="34" t="s">
        <v>7476</v>
      </c>
      <c r="AB1909" s="36" t="s">
        <v>7476</v>
      </c>
      <c r="AD1909" t="s">
        <v>5932</v>
      </c>
      <c r="AE1909" t="s">
        <v>5933</v>
      </c>
      <c r="AG1909" t="s">
        <v>98</v>
      </c>
      <c r="AH1909">
        <v>6</v>
      </c>
      <c r="AI1909" s="8" t="str">
        <f t="shared" ref="AI1909:AI1918" si="762">IFERROR(R1909-AF1909,"")</f>
        <v/>
      </c>
      <c r="AJ1909" s="8" t="str">
        <f t="shared" ref="AJ1909:AJ1918" si="763">IFERROR(O1909-AF1909,"")</f>
        <v/>
      </c>
      <c r="AK1909" s="38" t="str">
        <f t="shared" si="745"/>
        <v/>
      </c>
      <c r="AL1909" t="str">
        <f t="shared" ref="AL1909:AL1918" si="764">IFERROR(Z1909-W1909,"")</f>
        <v/>
      </c>
      <c r="AM1909" t="str">
        <f t="shared" ref="AM1909:AM1918" si="765">IFERROR(R1909-J1909,"")</f>
        <v/>
      </c>
      <c r="AN1909" t="str">
        <f t="shared" ref="AN1909:AN1918" si="766">IFERROR(V1909-O1909,"")</f>
        <v/>
      </c>
      <c r="AO1909">
        <f t="shared" ref="AO1909:AO1918" si="767">IFERROR(J1909-I1909,"")</f>
        <v>2</v>
      </c>
      <c r="AP1909">
        <f t="shared" ref="AP1909:AP1918" si="768">IFERROR(AC1909-X1909,"")</f>
        <v>0</v>
      </c>
      <c r="AQ1909" t="str">
        <f t="shared" ref="AQ1909:AQ1918" si="769">IFERROR(AA1909-W1909,"")</f>
        <v/>
      </c>
    </row>
    <row r="1910" spans="1:43" x14ac:dyDescent="0.35">
      <c r="A1910">
        <v>1550</v>
      </c>
      <c r="B1910" t="s">
        <v>5934</v>
      </c>
      <c r="C1910" t="s">
        <v>4471</v>
      </c>
      <c r="D1910" t="str">
        <f t="shared" si="743"/>
        <v>Finance</v>
      </c>
      <c r="E1910" t="s">
        <v>5800</v>
      </c>
      <c r="F1910" t="s">
        <v>5801</v>
      </c>
      <c r="G1910" t="s">
        <v>5802</v>
      </c>
      <c r="H1910" t="s">
        <v>59</v>
      </c>
      <c r="I1910" s="32">
        <v>45072.849814814806</v>
      </c>
      <c r="J1910" s="32">
        <v>45074.849814814806</v>
      </c>
      <c r="K1910" s="32">
        <v>45079.849814814806</v>
      </c>
      <c r="L1910" s="8">
        <f t="shared" si="744"/>
        <v>7</v>
      </c>
      <c r="M1910" s="7">
        <v>45088.849814814806</v>
      </c>
      <c r="N1910" t="s">
        <v>49</v>
      </c>
      <c r="O1910" s="34">
        <v>45082.849814814806</v>
      </c>
      <c r="P1910" t="s">
        <v>101</v>
      </c>
      <c r="R1910" s="32">
        <v>45088.849814814806</v>
      </c>
      <c r="S1910" t="s">
        <v>101</v>
      </c>
      <c r="T1910" s="34">
        <v>45084.849814814806</v>
      </c>
      <c r="U1910" s="34">
        <v>45086.849814814806</v>
      </c>
      <c r="V1910" s="32">
        <v>45084.849814814806</v>
      </c>
      <c r="W1910" s="32">
        <v>45086.849814814806</v>
      </c>
      <c r="X1910">
        <v>1</v>
      </c>
      <c r="Y1910" s="34">
        <v>45087.849814814806</v>
      </c>
      <c r="Z1910" s="34">
        <v>45089.849814814806</v>
      </c>
      <c r="AA1910" s="34">
        <v>45092.849814814806</v>
      </c>
      <c r="AB1910" s="36" t="s">
        <v>7476</v>
      </c>
      <c r="AC1910" s="10">
        <v>45106.849814814806</v>
      </c>
      <c r="AD1910" t="s">
        <v>5935</v>
      </c>
      <c r="AE1910" t="s">
        <v>5936</v>
      </c>
      <c r="AF1910" s="16">
        <v>45069</v>
      </c>
      <c r="AG1910" t="s">
        <v>64</v>
      </c>
      <c r="AH1910">
        <v>3</v>
      </c>
      <c r="AI1910" s="8">
        <f t="shared" si="762"/>
        <v>19.84981481480645</v>
      </c>
      <c r="AJ1910" s="8">
        <f t="shared" si="763"/>
        <v>13.84981481480645</v>
      </c>
      <c r="AK1910" s="38">
        <f t="shared" si="745"/>
        <v>45174.849814814806</v>
      </c>
      <c r="AL1910">
        <f t="shared" si="764"/>
        <v>3</v>
      </c>
      <c r="AM1910">
        <f t="shared" si="765"/>
        <v>14</v>
      </c>
      <c r="AN1910">
        <f t="shared" si="766"/>
        <v>2</v>
      </c>
      <c r="AO1910">
        <f t="shared" si="767"/>
        <v>2</v>
      </c>
      <c r="AP1910">
        <f t="shared" si="768"/>
        <v>45105.849814814806</v>
      </c>
      <c r="AQ1910">
        <f t="shared" si="769"/>
        <v>6</v>
      </c>
    </row>
    <row r="1911" spans="1:43" x14ac:dyDescent="0.35">
      <c r="A1911">
        <v>1545</v>
      </c>
      <c r="B1911" t="s">
        <v>5937</v>
      </c>
      <c r="C1911" t="s">
        <v>4471</v>
      </c>
      <c r="D1911" t="str">
        <f t="shared" si="743"/>
        <v>Finance</v>
      </c>
      <c r="E1911" t="s">
        <v>5800</v>
      </c>
      <c r="F1911" t="s">
        <v>5801</v>
      </c>
      <c r="G1911" t="s">
        <v>5802</v>
      </c>
      <c r="H1911" t="s">
        <v>59</v>
      </c>
      <c r="I1911" s="32">
        <v>45073.849814814806</v>
      </c>
      <c r="J1911" s="32">
        <v>45075.849814814806</v>
      </c>
      <c r="K1911" s="32">
        <v>45079.849814814806</v>
      </c>
      <c r="L1911" s="8">
        <f t="shared" si="744"/>
        <v>6</v>
      </c>
      <c r="M1911" s="7">
        <v>45088.849814814806</v>
      </c>
      <c r="N1911" t="s">
        <v>49</v>
      </c>
      <c r="O1911" s="34">
        <v>45092.849814814806</v>
      </c>
      <c r="P1911" t="s">
        <v>50</v>
      </c>
      <c r="Q1911" t="s">
        <v>51</v>
      </c>
      <c r="R1911" s="32" t="s">
        <v>7472</v>
      </c>
      <c r="S1911" t="s">
        <v>7476</v>
      </c>
      <c r="T1911" s="34" t="s">
        <v>7476</v>
      </c>
      <c r="U1911" s="34" t="s">
        <v>7476</v>
      </c>
      <c r="V1911" s="32">
        <v>45096.849814814806</v>
      </c>
      <c r="W1911" s="32" t="s">
        <v>7476</v>
      </c>
      <c r="X1911">
        <v>0</v>
      </c>
      <c r="Y1911" s="34" t="s">
        <v>7476</v>
      </c>
      <c r="Z1911" s="34" t="s">
        <v>7476</v>
      </c>
      <c r="AA1911" s="34" t="s">
        <v>7476</v>
      </c>
      <c r="AB1911" s="36" t="s">
        <v>95</v>
      </c>
      <c r="AD1911" t="s">
        <v>5938</v>
      </c>
      <c r="AE1911" t="s">
        <v>5939</v>
      </c>
      <c r="AF1911" s="16">
        <v>44963</v>
      </c>
      <c r="AG1911" t="s">
        <v>68</v>
      </c>
      <c r="AH1911">
        <v>6</v>
      </c>
      <c r="AI1911" s="8" t="str">
        <f t="shared" si="762"/>
        <v/>
      </c>
      <c r="AJ1911" s="8">
        <f t="shared" si="763"/>
        <v>129.84981481480645</v>
      </c>
      <c r="AK1911" s="38">
        <f t="shared" si="745"/>
        <v>45276.849814814806</v>
      </c>
      <c r="AL1911" t="str">
        <f t="shared" si="764"/>
        <v/>
      </c>
      <c r="AM1911" t="str">
        <f t="shared" si="765"/>
        <v/>
      </c>
      <c r="AN1911">
        <f t="shared" si="766"/>
        <v>4</v>
      </c>
      <c r="AO1911">
        <f t="shared" si="767"/>
        <v>2</v>
      </c>
      <c r="AP1911">
        <f t="shared" si="768"/>
        <v>0</v>
      </c>
      <c r="AQ1911" t="str">
        <f t="shared" si="769"/>
        <v/>
      </c>
    </row>
    <row r="1912" spans="1:43" x14ac:dyDescent="0.35">
      <c r="A1912">
        <v>1528</v>
      </c>
      <c r="B1912" t="s">
        <v>5940</v>
      </c>
      <c r="C1912" t="s">
        <v>4471</v>
      </c>
      <c r="D1912" t="str">
        <f t="shared" si="743"/>
        <v>Finance</v>
      </c>
      <c r="E1912" t="s">
        <v>5800</v>
      </c>
      <c r="F1912" t="s">
        <v>5433</v>
      </c>
      <c r="G1912" t="s">
        <v>5434</v>
      </c>
      <c r="H1912" t="s">
        <v>59</v>
      </c>
      <c r="I1912" s="32">
        <v>44928.025208333333</v>
      </c>
      <c r="J1912" s="32">
        <v>44929.025208333333</v>
      </c>
      <c r="K1912" s="32">
        <v>44933.025208333333</v>
      </c>
      <c r="L1912" s="8">
        <f t="shared" si="744"/>
        <v>5</v>
      </c>
      <c r="M1912" s="7">
        <v>44953.025208333333</v>
      </c>
      <c r="N1912" t="s">
        <v>49</v>
      </c>
      <c r="O1912" s="34">
        <v>44943.025208333333</v>
      </c>
      <c r="P1912" t="s">
        <v>101</v>
      </c>
      <c r="R1912" s="32">
        <v>44948.025208333333</v>
      </c>
      <c r="S1912" t="s">
        <v>101</v>
      </c>
      <c r="T1912" s="34">
        <v>44944.025208333333</v>
      </c>
      <c r="U1912" s="34">
        <v>44946.025208333333</v>
      </c>
      <c r="V1912" s="32">
        <v>44945.025208333333</v>
      </c>
      <c r="W1912" s="32">
        <v>44952.025208333333</v>
      </c>
      <c r="X1912">
        <v>1</v>
      </c>
      <c r="Y1912" s="34">
        <v>44956.025208333333</v>
      </c>
      <c r="Z1912" s="34">
        <v>44959.025208333333</v>
      </c>
      <c r="AA1912" s="34">
        <v>44960.025208333333</v>
      </c>
      <c r="AB1912" s="36" t="s">
        <v>7476</v>
      </c>
      <c r="AC1912" s="10">
        <v>44974.025208333333</v>
      </c>
      <c r="AD1912" t="s">
        <v>5941</v>
      </c>
      <c r="AE1912" t="s">
        <v>5942</v>
      </c>
      <c r="AF1912" s="16">
        <v>44927</v>
      </c>
      <c r="AG1912" t="s">
        <v>64</v>
      </c>
      <c r="AH1912">
        <v>3</v>
      </c>
      <c r="AI1912" s="8">
        <f t="shared" si="762"/>
        <v>21.025208333332557</v>
      </c>
      <c r="AJ1912" s="8">
        <f t="shared" si="763"/>
        <v>16.025208333332557</v>
      </c>
      <c r="AK1912" s="38">
        <f t="shared" si="745"/>
        <v>45035.025208333333</v>
      </c>
      <c r="AL1912">
        <f t="shared" si="764"/>
        <v>7</v>
      </c>
      <c r="AM1912">
        <f t="shared" si="765"/>
        <v>19</v>
      </c>
      <c r="AN1912">
        <f t="shared" si="766"/>
        <v>2</v>
      </c>
      <c r="AO1912">
        <f t="shared" si="767"/>
        <v>1</v>
      </c>
      <c r="AP1912">
        <f t="shared" si="768"/>
        <v>44973.025208333333</v>
      </c>
      <c r="AQ1912">
        <f t="shared" si="769"/>
        <v>8</v>
      </c>
    </row>
    <row r="1913" spans="1:43" x14ac:dyDescent="0.35">
      <c r="A1913">
        <v>1525</v>
      </c>
      <c r="B1913" t="s">
        <v>5943</v>
      </c>
      <c r="C1913" t="s">
        <v>4471</v>
      </c>
      <c r="D1913" t="str">
        <f t="shared" si="743"/>
        <v>Finance</v>
      </c>
      <c r="E1913" t="s">
        <v>5800</v>
      </c>
      <c r="F1913" t="s">
        <v>5433</v>
      </c>
      <c r="G1913" t="s">
        <v>5434</v>
      </c>
      <c r="H1913" t="s">
        <v>59</v>
      </c>
      <c r="I1913" s="32">
        <v>44928.025208333333</v>
      </c>
      <c r="J1913" s="32">
        <v>44932.025208333333</v>
      </c>
      <c r="K1913" s="32">
        <v>44933.025208333333</v>
      </c>
      <c r="L1913" s="8">
        <f t="shared" si="744"/>
        <v>5</v>
      </c>
      <c r="M1913" s="7">
        <v>44961.025208333333</v>
      </c>
      <c r="N1913" t="s">
        <v>49</v>
      </c>
      <c r="O1913" s="34">
        <v>44945.025208333333</v>
      </c>
      <c r="P1913" t="s">
        <v>50</v>
      </c>
      <c r="Q1913" t="s">
        <v>125</v>
      </c>
      <c r="R1913" s="32" t="s">
        <v>7472</v>
      </c>
      <c r="S1913" t="s">
        <v>7476</v>
      </c>
      <c r="T1913" s="34" t="s">
        <v>7476</v>
      </c>
      <c r="U1913" s="34" t="s">
        <v>7476</v>
      </c>
      <c r="V1913" s="32">
        <v>44946.025208333333</v>
      </c>
      <c r="W1913" s="32" t="s">
        <v>7476</v>
      </c>
      <c r="X1913">
        <v>0</v>
      </c>
      <c r="Y1913" s="34" t="s">
        <v>7476</v>
      </c>
      <c r="Z1913" s="34" t="s">
        <v>7476</v>
      </c>
      <c r="AA1913" s="34" t="s">
        <v>7476</v>
      </c>
      <c r="AB1913" s="36" t="s">
        <v>52</v>
      </c>
      <c r="AD1913" t="s">
        <v>5944</v>
      </c>
      <c r="AE1913" t="s">
        <v>5945</v>
      </c>
      <c r="AF1913" s="16">
        <v>44986</v>
      </c>
      <c r="AG1913" t="s">
        <v>64</v>
      </c>
      <c r="AH1913">
        <v>6</v>
      </c>
      <c r="AI1913" s="8" t="str">
        <f t="shared" si="762"/>
        <v/>
      </c>
      <c r="AJ1913" s="8">
        <f t="shared" si="763"/>
        <v>-40.974791666667443</v>
      </c>
      <c r="AK1913" s="38">
        <f t="shared" si="745"/>
        <v>45126.025208333333</v>
      </c>
      <c r="AL1913" t="str">
        <f t="shared" si="764"/>
        <v/>
      </c>
      <c r="AM1913" t="str">
        <f t="shared" si="765"/>
        <v/>
      </c>
      <c r="AN1913">
        <f t="shared" si="766"/>
        <v>1</v>
      </c>
      <c r="AO1913">
        <f t="shared" si="767"/>
        <v>4</v>
      </c>
      <c r="AP1913">
        <f t="shared" si="768"/>
        <v>0</v>
      </c>
      <c r="AQ1913" t="str">
        <f t="shared" si="769"/>
        <v/>
      </c>
    </row>
    <row r="1914" spans="1:43" x14ac:dyDescent="0.35">
      <c r="A1914">
        <v>1523</v>
      </c>
      <c r="B1914" t="s">
        <v>5946</v>
      </c>
      <c r="C1914" t="s">
        <v>4502</v>
      </c>
      <c r="D1914" t="str">
        <f t="shared" si="743"/>
        <v>Finance</v>
      </c>
      <c r="E1914" t="s">
        <v>5800</v>
      </c>
      <c r="F1914" t="s">
        <v>5433</v>
      </c>
      <c r="G1914" t="s">
        <v>5434</v>
      </c>
      <c r="H1914" t="s">
        <v>59</v>
      </c>
      <c r="I1914" s="32">
        <v>44927.025208333333</v>
      </c>
      <c r="J1914" s="32">
        <v>44930.025208333333</v>
      </c>
      <c r="K1914" s="32">
        <v>44933.025208333333</v>
      </c>
      <c r="L1914" s="8">
        <f t="shared" si="744"/>
        <v>6</v>
      </c>
      <c r="M1914" s="7">
        <v>44963.025208333333</v>
      </c>
      <c r="N1914" t="s">
        <v>49</v>
      </c>
      <c r="O1914" s="34">
        <v>44945.025208333333</v>
      </c>
      <c r="P1914" t="s">
        <v>60</v>
      </c>
      <c r="R1914" s="32">
        <v>44949.025208333333</v>
      </c>
      <c r="S1914" t="s">
        <v>61</v>
      </c>
      <c r="T1914" s="34" t="s">
        <v>7476</v>
      </c>
      <c r="U1914" s="34" t="s">
        <v>7476</v>
      </c>
      <c r="V1914" s="32">
        <v>44948.025208333333</v>
      </c>
      <c r="W1914" s="32" t="s">
        <v>7476</v>
      </c>
      <c r="X1914">
        <v>0</v>
      </c>
      <c r="Y1914" s="34" t="s">
        <v>7476</v>
      </c>
      <c r="Z1914" s="34" t="s">
        <v>7476</v>
      </c>
      <c r="AA1914" s="34" t="s">
        <v>7476</v>
      </c>
      <c r="AB1914" s="36" t="s">
        <v>7476</v>
      </c>
      <c r="AD1914" t="s">
        <v>5947</v>
      </c>
      <c r="AE1914" t="s">
        <v>5948</v>
      </c>
      <c r="AF1914" s="16">
        <v>44927</v>
      </c>
      <c r="AG1914" t="s">
        <v>64</v>
      </c>
      <c r="AH1914">
        <v>6</v>
      </c>
      <c r="AI1914" s="8">
        <f t="shared" si="762"/>
        <v>22.025208333332557</v>
      </c>
      <c r="AJ1914" s="8">
        <f t="shared" si="763"/>
        <v>18.025208333332557</v>
      </c>
      <c r="AK1914" s="38">
        <f t="shared" si="745"/>
        <v>45128.025208333333</v>
      </c>
      <c r="AL1914" t="str">
        <f t="shared" si="764"/>
        <v/>
      </c>
      <c r="AM1914">
        <f t="shared" si="765"/>
        <v>19</v>
      </c>
      <c r="AN1914">
        <f t="shared" si="766"/>
        <v>3</v>
      </c>
      <c r="AO1914">
        <f t="shared" si="767"/>
        <v>3</v>
      </c>
      <c r="AP1914">
        <f t="shared" si="768"/>
        <v>0</v>
      </c>
      <c r="AQ1914" t="str">
        <f t="shared" si="769"/>
        <v/>
      </c>
    </row>
    <row r="1915" spans="1:43" x14ac:dyDescent="0.35">
      <c r="A1915">
        <v>1515</v>
      </c>
      <c r="B1915" t="s">
        <v>5949</v>
      </c>
      <c r="C1915" t="s">
        <v>4502</v>
      </c>
      <c r="D1915" t="str">
        <f t="shared" si="743"/>
        <v>Finance</v>
      </c>
      <c r="E1915" t="s">
        <v>5800</v>
      </c>
      <c r="F1915" t="s">
        <v>5433</v>
      </c>
      <c r="G1915" t="s">
        <v>5434</v>
      </c>
      <c r="H1915" t="s">
        <v>59</v>
      </c>
      <c r="I1915" s="32">
        <v>44920.208773148152</v>
      </c>
      <c r="J1915" s="32">
        <v>44924.208773148152</v>
      </c>
      <c r="K1915" s="32">
        <v>44927.208773148152</v>
      </c>
      <c r="L1915" s="8">
        <f t="shared" si="744"/>
        <v>7</v>
      </c>
      <c r="M1915" s="7">
        <v>44939.208773148152</v>
      </c>
      <c r="N1915" t="s">
        <v>49</v>
      </c>
      <c r="O1915" s="34">
        <v>44928.208773148152</v>
      </c>
      <c r="P1915" t="s">
        <v>60</v>
      </c>
      <c r="R1915" s="32">
        <v>44931.208773148152</v>
      </c>
      <c r="S1915" t="s">
        <v>61</v>
      </c>
      <c r="T1915" s="34" t="s">
        <v>7476</v>
      </c>
      <c r="U1915" s="34" t="s">
        <v>7476</v>
      </c>
      <c r="V1915" s="32">
        <v>44929.208773148152</v>
      </c>
      <c r="W1915" s="32" t="s">
        <v>7476</v>
      </c>
      <c r="X1915">
        <v>0</v>
      </c>
      <c r="Y1915" s="34" t="s">
        <v>7476</v>
      </c>
      <c r="Z1915" s="34" t="s">
        <v>7476</v>
      </c>
      <c r="AA1915" s="34" t="s">
        <v>7476</v>
      </c>
      <c r="AB1915" s="36" t="s">
        <v>7476</v>
      </c>
      <c r="AD1915" t="s">
        <v>5950</v>
      </c>
      <c r="AE1915" t="s">
        <v>5951</v>
      </c>
      <c r="AF1915" s="16">
        <v>44911</v>
      </c>
      <c r="AG1915" t="s">
        <v>98</v>
      </c>
      <c r="AH1915">
        <v>3</v>
      </c>
      <c r="AI1915" s="8">
        <f t="shared" si="762"/>
        <v>20.208773148151522</v>
      </c>
      <c r="AJ1915" s="8">
        <f t="shared" si="763"/>
        <v>17.208773148151522</v>
      </c>
      <c r="AK1915" s="38">
        <f t="shared" si="745"/>
        <v>45019.208773148152</v>
      </c>
      <c r="AL1915" t="str">
        <f t="shared" si="764"/>
        <v/>
      </c>
      <c r="AM1915">
        <f t="shared" si="765"/>
        <v>7</v>
      </c>
      <c r="AN1915">
        <f t="shared" si="766"/>
        <v>1</v>
      </c>
      <c r="AO1915">
        <f t="shared" si="767"/>
        <v>4</v>
      </c>
      <c r="AP1915">
        <f t="shared" si="768"/>
        <v>0</v>
      </c>
      <c r="AQ1915" t="str">
        <f t="shared" si="769"/>
        <v/>
      </c>
    </row>
    <row r="1916" spans="1:43" x14ac:dyDescent="0.35">
      <c r="A1916">
        <v>1513</v>
      </c>
      <c r="B1916" t="s">
        <v>5952</v>
      </c>
      <c r="C1916" t="s">
        <v>4480</v>
      </c>
      <c r="D1916" t="str">
        <f t="shared" si="743"/>
        <v>Finance</v>
      </c>
      <c r="E1916" t="s">
        <v>5800</v>
      </c>
      <c r="F1916" t="s">
        <v>5433</v>
      </c>
      <c r="G1916" t="s">
        <v>5434</v>
      </c>
      <c r="H1916" t="s">
        <v>59</v>
      </c>
      <c r="I1916" s="32">
        <v>44925.208773148152</v>
      </c>
      <c r="J1916" s="32">
        <v>44926.208773148152</v>
      </c>
      <c r="K1916" s="32">
        <v>44927.208773148152</v>
      </c>
      <c r="L1916" s="8">
        <f t="shared" si="744"/>
        <v>2</v>
      </c>
      <c r="M1916" s="7">
        <v>44940.208773148152</v>
      </c>
      <c r="N1916" t="s">
        <v>49</v>
      </c>
      <c r="O1916" s="34">
        <v>44937.208773148152</v>
      </c>
      <c r="P1916" t="s">
        <v>50</v>
      </c>
      <c r="Q1916" t="s">
        <v>236</v>
      </c>
      <c r="R1916" s="32" t="s">
        <v>7472</v>
      </c>
      <c r="S1916" t="s">
        <v>7476</v>
      </c>
      <c r="T1916" s="34" t="s">
        <v>7476</v>
      </c>
      <c r="U1916" s="34" t="s">
        <v>7476</v>
      </c>
      <c r="V1916" s="32" t="s">
        <v>7476</v>
      </c>
      <c r="W1916" s="32" t="s">
        <v>7476</v>
      </c>
      <c r="X1916">
        <v>0</v>
      </c>
      <c r="Y1916" s="34" t="s">
        <v>7476</v>
      </c>
      <c r="Z1916" s="34" t="s">
        <v>7476</v>
      </c>
      <c r="AA1916" s="34" t="s">
        <v>7476</v>
      </c>
      <c r="AB1916" s="36" t="s">
        <v>52</v>
      </c>
      <c r="AD1916" t="s">
        <v>5953</v>
      </c>
      <c r="AE1916" t="s">
        <v>5954</v>
      </c>
      <c r="AF1916" s="16">
        <v>44986</v>
      </c>
      <c r="AG1916" t="s">
        <v>68</v>
      </c>
      <c r="AH1916">
        <v>6</v>
      </c>
      <c r="AI1916" s="8" t="str">
        <f t="shared" si="762"/>
        <v/>
      </c>
      <c r="AJ1916" s="8">
        <f t="shared" si="763"/>
        <v>-48.791226851848478</v>
      </c>
      <c r="AK1916" s="38" t="str">
        <f t="shared" si="745"/>
        <v/>
      </c>
      <c r="AL1916" t="str">
        <f t="shared" si="764"/>
        <v/>
      </c>
      <c r="AM1916" t="str">
        <f t="shared" si="765"/>
        <v/>
      </c>
      <c r="AN1916" t="str">
        <f t="shared" si="766"/>
        <v/>
      </c>
      <c r="AO1916">
        <f t="shared" si="767"/>
        <v>1</v>
      </c>
      <c r="AP1916">
        <f t="shared" si="768"/>
        <v>0</v>
      </c>
      <c r="AQ1916" t="str">
        <f t="shared" si="769"/>
        <v/>
      </c>
    </row>
    <row r="1917" spans="1:43" x14ac:dyDescent="0.35">
      <c r="A1917">
        <v>1433</v>
      </c>
      <c r="B1917" t="s">
        <v>5955</v>
      </c>
      <c r="C1917" t="s">
        <v>4480</v>
      </c>
      <c r="D1917" t="str">
        <f t="shared" si="743"/>
        <v>Finance</v>
      </c>
      <c r="E1917" t="s">
        <v>5800</v>
      </c>
      <c r="F1917" t="s">
        <v>5433</v>
      </c>
      <c r="G1917" t="s">
        <v>5434</v>
      </c>
      <c r="H1917" t="s">
        <v>59</v>
      </c>
      <c r="I1917" s="32">
        <v>45085.936932870369</v>
      </c>
      <c r="J1917" s="32">
        <v>45088.936932870369</v>
      </c>
      <c r="K1917" s="32">
        <v>45092.936932870369</v>
      </c>
      <c r="L1917" s="8">
        <f t="shared" si="744"/>
        <v>7</v>
      </c>
      <c r="M1917" s="7">
        <v>45100.936932870369</v>
      </c>
      <c r="N1917" t="s">
        <v>49</v>
      </c>
      <c r="O1917" s="34">
        <v>45106.936932870369</v>
      </c>
      <c r="P1917" t="s">
        <v>101</v>
      </c>
      <c r="R1917" s="32">
        <v>45110.936932870369</v>
      </c>
      <c r="S1917" t="s">
        <v>101</v>
      </c>
      <c r="T1917" s="34">
        <v>45108.936932870369</v>
      </c>
      <c r="U1917" s="34">
        <v>45110.936932870369</v>
      </c>
      <c r="V1917" s="32">
        <v>45108.936932870369</v>
      </c>
      <c r="W1917" s="32">
        <v>45116.936932870369</v>
      </c>
      <c r="X1917">
        <v>1</v>
      </c>
      <c r="Y1917" s="34">
        <v>45118.936932870369</v>
      </c>
      <c r="Z1917" s="34">
        <v>45121.936932870369</v>
      </c>
      <c r="AA1917" s="34">
        <v>45122.936932870369</v>
      </c>
      <c r="AB1917" s="36" t="s">
        <v>7476</v>
      </c>
      <c r="AC1917" s="10">
        <v>45142.936932870369</v>
      </c>
      <c r="AD1917" t="s">
        <v>5956</v>
      </c>
      <c r="AE1917" t="s">
        <v>5957</v>
      </c>
      <c r="AF1917" s="16">
        <v>45090</v>
      </c>
      <c r="AG1917" t="s">
        <v>64</v>
      </c>
      <c r="AH1917">
        <v>3</v>
      </c>
      <c r="AI1917" s="8">
        <f t="shared" si="762"/>
        <v>20.936932870368764</v>
      </c>
      <c r="AJ1917" s="8">
        <f t="shared" si="763"/>
        <v>16.936932870368764</v>
      </c>
      <c r="AK1917" s="38">
        <f t="shared" si="745"/>
        <v>45198.936932870369</v>
      </c>
      <c r="AL1917">
        <f t="shared" si="764"/>
        <v>5</v>
      </c>
      <c r="AM1917">
        <f t="shared" si="765"/>
        <v>22</v>
      </c>
      <c r="AN1917">
        <f t="shared" si="766"/>
        <v>2</v>
      </c>
      <c r="AO1917">
        <f t="shared" si="767"/>
        <v>3</v>
      </c>
      <c r="AP1917">
        <f t="shared" si="768"/>
        <v>45141.936932870369</v>
      </c>
      <c r="AQ1917">
        <f t="shared" si="769"/>
        <v>6</v>
      </c>
    </row>
    <row r="1918" spans="1:43" x14ac:dyDescent="0.35">
      <c r="A1918">
        <v>1392</v>
      </c>
      <c r="B1918" t="s">
        <v>5958</v>
      </c>
      <c r="C1918" t="s">
        <v>4471</v>
      </c>
      <c r="D1918" t="str">
        <f t="shared" si="743"/>
        <v>Finance</v>
      </c>
      <c r="E1918" t="s">
        <v>5800</v>
      </c>
      <c r="F1918" t="s">
        <v>5433</v>
      </c>
      <c r="G1918" t="s">
        <v>5434</v>
      </c>
      <c r="H1918" t="s">
        <v>59</v>
      </c>
      <c r="I1918" s="32">
        <v>44792.359849537039</v>
      </c>
      <c r="J1918" s="32">
        <v>44795.359849537039</v>
      </c>
      <c r="K1918" s="32">
        <v>44796.359849537039</v>
      </c>
      <c r="L1918" s="8">
        <f t="shared" si="744"/>
        <v>4</v>
      </c>
      <c r="M1918" s="7">
        <v>44807.359849537039</v>
      </c>
      <c r="N1918" t="s">
        <v>49</v>
      </c>
      <c r="O1918" s="34">
        <v>44802.359849537039</v>
      </c>
      <c r="P1918" t="s">
        <v>60</v>
      </c>
      <c r="R1918" s="32">
        <v>44807.359849537039</v>
      </c>
      <c r="S1918" t="s">
        <v>61</v>
      </c>
      <c r="T1918" s="34" t="s">
        <v>7476</v>
      </c>
      <c r="U1918" s="34" t="s">
        <v>7476</v>
      </c>
      <c r="V1918" s="32">
        <v>44805.359849537039</v>
      </c>
      <c r="W1918" s="32" t="s">
        <v>7476</v>
      </c>
      <c r="X1918">
        <v>0</v>
      </c>
      <c r="Y1918" s="34" t="s">
        <v>7476</v>
      </c>
      <c r="Z1918" s="34" t="s">
        <v>7476</v>
      </c>
      <c r="AA1918" s="34" t="s">
        <v>7476</v>
      </c>
      <c r="AB1918" s="36" t="s">
        <v>7476</v>
      </c>
      <c r="AD1918" t="s">
        <v>5959</v>
      </c>
      <c r="AE1918" t="s">
        <v>5960</v>
      </c>
      <c r="AF1918" s="16">
        <v>44903</v>
      </c>
      <c r="AG1918" t="s">
        <v>64</v>
      </c>
      <c r="AH1918">
        <v>6</v>
      </c>
      <c r="AI1918" s="8">
        <f t="shared" si="762"/>
        <v>-95.640150462961174</v>
      </c>
      <c r="AJ1918" s="8">
        <f t="shared" si="763"/>
        <v>-100.64015046296117</v>
      </c>
      <c r="AK1918" s="38">
        <f t="shared" si="745"/>
        <v>44985.359849537039</v>
      </c>
      <c r="AL1918" t="str">
        <f t="shared" si="764"/>
        <v/>
      </c>
      <c r="AM1918">
        <f t="shared" si="765"/>
        <v>12</v>
      </c>
      <c r="AN1918">
        <f t="shared" si="766"/>
        <v>3</v>
      </c>
      <c r="AO1918">
        <f t="shared" si="767"/>
        <v>3</v>
      </c>
      <c r="AP1918">
        <f t="shared" si="768"/>
        <v>0</v>
      </c>
      <c r="AQ1918" t="str">
        <f t="shared" si="769"/>
        <v/>
      </c>
    </row>
    <row r="1919" spans="1:43" x14ac:dyDescent="0.35">
      <c r="A1919">
        <v>1335</v>
      </c>
      <c r="B1919" t="s">
        <v>5961</v>
      </c>
      <c r="C1919" t="s">
        <v>4480</v>
      </c>
      <c r="D1919" t="str">
        <f t="shared" si="743"/>
        <v>Finance</v>
      </c>
      <c r="E1919" t="s">
        <v>5800</v>
      </c>
      <c r="F1919" t="s">
        <v>5433</v>
      </c>
      <c r="G1919" t="s">
        <v>5434</v>
      </c>
      <c r="H1919" t="s">
        <v>59</v>
      </c>
      <c r="I1919" s="32">
        <v>45169.691018518519</v>
      </c>
      <c r="J1919" s="32">
        <v>45172.691018518519</v>
      </c>
      <c r="K1919" s="32" t="s">
        <v>7473</v>
      </c>
      <c r="L1919" s="8" t="str">
        <f t="shared" si="744"/>
        <v/>
      </c>
      <c r="M1919" s="7">
        <v>45182.691018518519</v>
      </c>
      <c r="N1919" t="s">
        <v>72</v>
      </c>
      <c r="O1919" s="34" t="s">
        <v>7474</v>
      </c>
      <c r="R1919" s="32" t="s">
        <v>7472</v>
      </c>
      <c r="S1919" t="s">
        <v>7476</v>
      </c>
      <c r="T1919" s="34" t="s">
        <v>7476</v>
      </c>
      <c r="U1919" s="34" t="s">
        <v>7476</v>
      </c>
      <c r="V1919" s="32" t="s">
        <v>7476</v>
      </c>
      <c r="W1919" s="32" t="s">
        <v>7476</v>
      </c>
      <c r="X1919">
        <v>0</v>
      </c>
      <c r="Y1919" s="34" t="s">
        <v>7476</v>
      </c>
      <c r="Z1919" s="34" t="s">
        <v>7476</v>
      </c>
      <c r="AA1919" s="34" t="s">
        <v>7476</v>
      </c>
      <c r="AB1919" s="36" t="s">
        <v>7476</v>
      </c>
      <c r="AD1919" t="s">
        <v>5962</v>
      </c>
      <c r="AE1919" t="s">
        <v>5963</v>
      </c>
      <c r="AG1919" t="s">
        <v>75</v>
      </c>
      <c r="AH1919">
        <v>3</v>
      </c>
      <c r="AK1919" s="38" t="str">
        <f t="shared" si="745"/>
        <v/>
      </c>
    </row>
    <row r="1920" spans="1:43" x14ac:dyDescent="0.35">
      <c r="A1920">
        <v>1305</v>
      </c>
      <c r="B1920" t="s">
        <v>5964</v>
      </c>
      <c r="C1920" t="s">
        <v>4480</v>
      </c>
      <c r="D1920" t="str">
        <f t="shared" si="743"/>
        <v>Finance</v>
      </c>
      <c r="E1920" t="s">
        <v>5800</v>
      </c>
      <c r="F1920" t="s">
        <v>5433</v>
      </c>
      <c r="G1920" t="s">
        <v>5434</v>
      </c>
      <c r="H1920" t="s">
        <v>59</v>
      </c>
      <c r="I1920" s="32">
        <v>44914.189664351848</v>
      </c>
      <c r="J1920" s="32">
        <v>44916.189664351848</v>
      </c>
      <c r="K1920" s="32">
        <v>44922.189664351848</v>
      </c>
      <c r="L1920" s="8">
        <f t="shared" si="744"/>
        <v>8</v>
      </c>
      <c r="M1920" s="7">
        <v>44928.189664351848</v>
      </c>
      <c r="N1920" t="s">
        <v>49</v>
      </c>
      <c r="O1920" s="34">
        <v>44927.189664351848</v>
      </c>
      <c r="P1920" t="s">
        <v>50</v>
      </c>
      <c r="Q1920" t="s">
        <v>236</v>
      </c>
      <c r="R1920" s="32" t="s">
        <v>7472</v>
      </c>
      <c r="S1920" t="s">
        <v>7476</v>
      </c>
      <c r="T1920" s="34" t="s">
        <v>7476</v>
      </c>
      <c r="U1920" s="34" t="s">
        <v>7476</v>
      </c>
      <c r="V1920" s="32">
        <v>44928.189664351848</v>
      </c>
      <c r="W1920" s="32" t="s">
        <v>7476</v>
      </c>
      <c r="X1920">
        <v>0</v>
      </c>
      <c r="Y1920" s="34" t="s">
        <v>7476</v>
      </c>
      <c r="Z1920" s="34" t="s">
        <v>7476</v>
      </c>
      <c r="AA1920" s="34" t="s">
        <v>7476</v>
      </c>
      <c r="AB1920" s="36" t="s">
        <v>95</v>
      </c>
      <c r="AD1920" t="s">
        <v>5965</v>
      </c>
      <c r="AE1920" t="s">
        <v>5966</v>
      </c>
      <c r="AF1920" s="16">
        <v>44918</v>
      </c>
      <c r="AG1920" t="s">
        <v>98</v>
      </c>
      <c r="AH1920">
        <v>6</v>
      </c>
      <c r="AI1920" s="8" t="str">
        <f t="shared" ref="AI1920:AI1927" si="770">IFERROR(R1920-AF1920,"")</f>
        <v/>
      </c>
      <c r="AJ1920" s="8">
        <f t="shared" ref="AJ1920:AJ1927" si="771">IFERROR(O1920-AF1920,"")</f>
        <v>9.189664351848478</v>
      </c>
      <c r="AK1920" s="38">
        <f t="shared" si="745"/>
        <v>45108.189664351848</v>
      </c>
      <c r="AL1920" t="str">
        <f t="shared" ref="AL1920:AL1927" si="772">IFERROR(Z1920-W1920,"")</f>
        <v/>
      </c>
      <c r="AM1920" t="str">
        <f t="shared" ref="AM1920:AM1927" si="773">IFERROR(R1920-J1920,"")</f>
        <v/>
      </c>
      <c r="AN1920">
        <f t="shared" ref="AN1920:AN1927" si="774">IFERROR(V1920-O1920,"")</f>
        <v>1</v>
      </c>
      <c r="AO1920">
        <f t="shared" ref="AO1920:AO1927" si="775">IFERROR(J1920-I1920,"")</f>
        <v>2</v>
      </c>
      <c r="AP1920">
        <f t="shared" ref="AP1920:AP1927" si="776">IFERROR(AC1920-X1920,"")</f>
        <v>0</v>
      </c>
      <c r="AQ1920" t="str">
        <f t="shared" ref="AQ1920:AQ1927" si="777">IFERROR(AA1920-W1920,"")</f>
        <v/>
      </c>
    </row>
    <row r="1921" spans="1:43" x14ac:dyDescent="0.35">
      <c r="A1921">
        <v>1290</v>
      </c>
      <c r="B1921" t="s">
        <v>5967</v>
      </c>
      <c r="C1921" t="s">
        <v>4480</v>
      </c>
      <c r="D1921" t="str">
        <f t="shared" si="743"/>
        <v>Finance</v>
      </c>
      <c r="E1921" t="s">
        <v>5800</v>
      </c>
      <c r="F1921" t="s">
        <v>5433</v>
      </c>
      <c r="G1921" t="s">
        <v>5434</v>
      </c>
      <c r="H1921" t="s">
        <v>59</v>
      </c>
      <c r="I1921" s="32">
        <v>44644.736006944448</v>
      </c>
      <c r="J1921" s="32">
        <v>44645.736006944448</v>
      </c>
      <c r="K1921" s="32">
        <v>44650.736006944448</v>
      </c>
      <c r="L1921" s="8">
        <f t="shared" si="744"/>
        <v>6</v>
      </c>
      <c r="M1921" s="7">
        <v>44672.736006944448</v>
      </c>
      <c r="N1921" t="s">
        <v>49</v>
      </c>
      <c r="O1921" s="34">
        <v>44652.736006944448</v>
      </c>
      <c r="P1921" t="s">
        <v>50</v>
      </c>
      <c r="Q1921" t="s">
        <v>84</v>
      </c>
      <c r="R1921" s="32" t="s">
        <v>7472</v>
      </c>
      <c r="S1921" t="s">
        <v>7476</v>
      </c>
      <c r="T1921" s="34" t="s">
        <v>7476</v>
      </c>
      <c r="U1921" s="34" t="s">
        <v>7476</v>
      </c>
      <c r="V1921" s="32" t="s">
        <v>7476</v>
      </c>
      <c r="W1921" s="32" t="s">
        <v>7476</v>
      </c>
      <c r="X1921">
        <v>0</v>
      </c>
      <c r="Y1921" s="34" t="s">
        <v>7476</v>
      </c>
      <c r="Z1921" s="34" t="s">
        <v>7476</v>
      </c>
      <c r="AA1921" s="34" t="s">
        <v>7476</v>
      </c>
      <c r="AB1921" s="36" t="s">
        <v>52</v>
      </c>
      <c r="AD1921" t="s">
        <v>5968</v>
      </c>
      <c r="AE1921" t="s">
        <v>5969</v>
      </c>
      <c r="AF1921" s="16">
        <v>44638</v>
      </c>
      <c r="AG1921" t="s">
        <v>64</v>
      </c>
      <c r="AH1921">
        <v>6</v>
      </c>
      <c r="AI1921" s="8" t="str">
        <f t="shared" si="770"/>
        <v/>
      </c>
      <c r="AJ1921" s="8">
        <f t="shared" si="771"/>
        <v>14.736006944447581</v>
      </c>
      <c r="AK1921" s="38" t="str">
        <f t="shared" si="745"/>
        <v/>
      </c>
      <c r="AL1921" t="str">
        <f t="shared" si="772"/>
        <v/>
      </c>
      <c r="AM1921" t="str">
        <f t="shared" si="773"/>
        <v/>
      </c>
      <c r="AN1921" t="str">
        <f t="shared" si="774"/>
        <v/>
      </c>
      <c r="AO1921">
        <f t="shared" si="775"/>
        <v>1</v>
      </c>
      <c r="AP1921">
        <f t="shared" si="776"/>
        <v>0</v>
      </c>
      <c r="AQ1921" t="str">
        <f t="shared" si="777"/>
        <v/>
      </c>
    </row>
    <row r="1922" spans="1:43" x14ac:dyDescent="0.35">
      <c r="A1922">
        <v>1257</v>
      </c>
      <c r="B1922" t="s">
        <v>5970</v>
      </c>
      <c r="C1922" t="s">
        <v>4471</v>
      </c>
      <c r="D1922" t="str">
        <f t="shared" ref="D1922:D1985" si="778">TRIM(C1922)</f>
        <v>Finance</v>
      </c>
      <c r="E1922" t="s">
        <v>5800</v>
      </c>
      <c r="F1922" t="s">
        <v>5433</v>
      </c>
      <c r="G1922" t="s">
        <v>5434</v>
      </c>
      <c r="H1922" t="s">
        <v>59</v>
      </c>
      <c r="I1922" s="32">
        <v>44739.170439814807</v>
      </c>
      <c r="J1922" s="32">
        <v>44740.170439814807</v>
      </c>
      <c r="K1922" s="32">
        <v>44743.170439814807</v>
      </c>
      <c r="L1922" s="8">
        <f t="shared" ref="L1922:L1985" si="779">IFERROR(K1922-I1922,"")</f>
        <v>4</v>
      </c>
      <c r="M1922" s="7">
        <v>44749.170439814807</v>
      </c>
      <c r="N1922" t="s">
        <v>49</v>
      </c>
      <c r="O1922" s="34">
        <v>44749.170439814807</v>
      </c>
      <c r="P1922" t="s">
        <v>392</v>
      </c>
      <c r="R1922" s="32">
        <v>44754.170439814807</v>
      </c>
      <c r="S1922" t="s">
        <v>392</v>
      </c>
      <c r="T1922" s="34" t="s">
        <v>7476</v>
      </c>
      <c r="U1922" s="34" t="s">
        <v>7476</v>
      </c>
      <c r="V1922" s="32">
        <v>44752.170439814807</v>
      </c>
      <c r="W1922" s="32" t="s">
        <v>7476</v>
      </c>
      <c r="X1922">
        <v>0</v>
      </c>
      <c r="Y1922" s="34" t="s">
        <v>7476</v>
      </c>
      <c r="Z1922" s="34" t="s">
        <v>7476</v>
      </c>
      <c r="AA1922" s="34" t="s">
        <v>7476</v>
      </c>
      <c r="AB1922" s="36" t="s">
        <v>7476</v>
      </c>
      <c r="AD1922" t="s">
        <v>5971</v>
      </c>
      <c r="AE1922" t="s">
        <v>5972</v>
      </c>
      <c r="AF1922" s="16">
        <v>44742</v>
      </c>
      <c r="AG1922" t="s">
        <v>98</v>
      </c>
      <c r="AH1922">
        <v>3</v>
      </c>
      <c r="AI1922" s="8">
        <f t="shared" si="770"/>
        <v>12.170439814806741</v>
      </c>
      <c r="AJ1922" s="8">
        <f t="shared" si="771"/>
        <v>7.1704398148067412</v>
      </c>
      <c r="AK1922" s="38">
        <f t="shared" si="745"/>
        <v>44842.170439814807</v>
      </c>
      <c r="AL1922" t="str">
        <f t="shared" si="772"/>
        <v/>
      </c>
      <c r="AM1922">
        <f t="shared" si="773"/>
        <v>14</v>
      </c>
      <c r="AN1922">
        <f t="shared" si="774"/>
        <v>3</v>
      </c>
      <c r="AO1922">
        <f t="shared" si="775"/>
        <v>1</v>
      </c>
      <c r="AP1922">
        <f t="shared" si="776"/>
        <v>0</v>
      </c>
      <c r="AQ1922" t="str">
        <f t="shared" si="777"/>
        <v/>
      </c>
    </row>
    <row r="1923" spans="1:43" x14ac:dyDescent="0.35">
      <c r="A1923">
        <v>1255</v>
      </c>
      <c r="B1923" t="s">
        <v>5973</v>
      </c>
      <c r="C1923" t="s">
        <v>4471</v>
      </c>
      <c r="D1923" t="str">
        <f t="shared" si="778"/>
        <v>Finance</v>
      </c>
      <c r="E1923" t="s">
        <v>5800</v>
      </c>
      <c r="F1923" t="s">
        <v>5433</v>
      </c>
      <c r="G1923" t="s">
        <v>5434</v>
      </c>
      <c r="H1923" t="s">
        <v>59</v>
      </c>
      <c r="I1923" s="32">
        <v>44738.170439814807</v>
      </c>
      <c r="J1923" s="32">
        <v>44740.170439814807</v>
      </c>
      <c r="K1923" s="32">
        <v>44743.170439814807</v>
      </c>
      <c r="L1923" s="8">
        <f t="shared" si="779"/>
        <v>5</v>
      </c>
      <c r="M1923" s="7">
        <v>44758.170439814807</v>
      </c>
      <c r="N1923" t="s">
        <v>49</v>
      </c>
      <c r="O1923" s="34">
        <v>44744.170439814807</v>
      </c>
      <c r="P1923" t="s">
        <v>50</v>
      </c>
      <c r="Q1923" t="s">
        <v>125</v>
      </c>
      <c r="R1923" s="32" t="s">
        <v>7472</v>
      </c>
      <c r="S1923" t="s">
        <v>7476</v>
      </c>
      <c r="T1923" s="34" t="s">
        <v>7476</v>
      </c>
      <c r="U1923" s="34" t="s">
        <v>7476</v>
      </c>
      <c r="V1923" s="32">
        <v>44748.170439814807</v>
      </c>
      <c r="W1923" s="32" t="s">
        <v>7476</v>
      </c>
      <c r="X1923">
        <v>0</v>
      </c>
      <c r="Y1923" s="34" t="s">
        <v>7476</v>
      </c>
      <c r="Z1923" s="34" t="s">
        <v>7476</v>
      </c>
      <c r="AA1923" s="34" t="s">
        <v>7476</v>
      </c>
      <c r="AB1923" s="36" t="s">
        <v>52</v>
      </c>
      <c r="AD1923" t="s">
        <v>5974</v>
      </c>
      <c r="AE1923" t="s">
        <v>5975</v>
      </c>
      <c r="AF1923" s="16">
        <v>44733</v>
      </c>
      <c r="AG1923" t="s">
        <v>68</v>
      </c>
      <c r="AH1923">
        <v>3</v>
      </c>
      <c r="AI1923" s="8" t="str">
        <f t="shared" si="770"/>
        <v/>
      </c>
      <c r="AJ1923" s="8">
        <f t="shared" si="771"/>
        <v>11.170439814806741</v>
      </c>
      <c r="AK1923" s="38">
        <f t="shared" ref="AK1923:AK1986" si="780">IFERROR(V1923+(AH1923*30),"")</f>
        <v>44838.170439814807</v>
      </c>
      <c r="AL1923" t="str">
        <f t="shared" si="772"/>
        <v/>
      </c>
      <c r="AM1923" t="str">
        <f t="shared" si="773"/>
        <v/>
      </c>
      <c r="AN1923">
        <f t="shared" si="774"/>
        <v>4</v>
      </c>
      <c r="AO1923">
        <f t="shared" si="775"/>
        <v>2</v>
      </c>
      <c r="AP1923">
        <f t="shared" si="776"/>
        <v>0</v>
      </c>
      <c r="AQ1923" t="str">
        <f t="shared" si="777"/>
        <v/>
      </c>
    </row>
    <row r="1924" spans="1:43" x14ac:dyDescent="0.35">
      <c r="A1924">
        <v>1253</v>
      </c>
      <c r="B1924" t="s">
        <v>5976</v>
      </c>
      <c r="C1924" t="s">
        <v>4471</v>
      </c>
      <c r="D1924" t="str">
        <f t="shared" si="778"/>
        <v>Finance</v>
      </c>
      <c r="E1924" t="s">
        <v>5800</v>
      </c>
      <c r="F1924" t="s">
        <v>5433</v>
      </c>
      <c r="G1924" t="s">
        <v>5434</v>
      </c>
      <c r="H1924" t="s">
        <v>59</v>
      </c>
      <c r="I1924" s="32">
        <v>44736.170439814807</v>
      </c>
      <c r="J1924" s="32">
        <v>44739.170439814807</v>
      </c>
      <c r="K1924" s="32">
        <v>44743.170439814807</v>
      </c>
      <c r="L1924" s="8">
        <f t="shared" si="779"/>
        <v>7</v>
      </c>
      <c r="M1924" s="7">
        <v>44759.170439814807</v>
      </c>
      <c r="N1924" t="s">
        <v>49</v>
      </c>
      <c r="O1924" s="34">
        <v>44761.170439814807</v>
      </c>
      <c r="P1924" t="s">
        <v>101</v>
      </c>
      <c r="R1924" s="32">
        <v>44768.170439814807</v>
      </c>
      <c r="S1924" t="s">
        <v>101</v>
      </c>
      <c r="T1924" s="34">
        <v>44763.170439814807</v>
      </c>
      <c r="U1924" s="34">
        <v>44764.170439814807</v>
      </c>
      <c r="V1924" s="32">
        <v>44764.170439814807</v>
      </c>
      <c r="W1924" s="32">
        <v>44771.170439814807</v>
      </c>
      <c r="X1924">
        <v>1</v>
      </c>
      <c r="Y1924" s="34">
        <v>44773.170439814807</v>
      </c>
      <c r="Z1924" s="34">
        <v>44776.170439814807</v>
      </c>
      <c r="AA1924" s="34">
        <v>44778.170439814807</v>
      </c>
      <c r="AB1924" s="36" t="s">
        <v>7476</v>
      </c>
      <c r="AC1924" s="10">
        <v>44788.170439814807</v>
      </c>
      <c r="AD1924" t="s">
        <v>5977</v>
      </c>
      <c r="AE1924" t="s">
        <v>5978</v>
      </c>
      <c r="AF1924" s="16">
        <v>44744</v>
      </c>
      <c r="AG1924" t="s">
        <v>68</v>
      </c>
      <c r="AH1924">
        <v>6</v>
      </c>
      <c r="AI1924" s="8">
        <f t="shared" si="770"/>
        <v>24.170439814806741</v>
      </c>
      <c r="AJ1924" s="8">
        <f t="shared" si="771"/>
        <v>17.170439814806741</v>
      </c>
      <c r="AK1924" s="38">
        <f t="shared" si="780"/>
        <v>44944.170439814807</v>
      </c>
      <c r="AL1924">
        <f t="shared" si="772"/>
        <v>5</v>
      </c>
      <c r="AM1924">
        <f t="shared" si="773"/>
        <v>29</v>
      </c>
      <c r="AN1924">
        <f t="shared" si="774"/>
        <v>3</v>
      </c>
      <c r="AO1924">
        <f t="shared" si="775"/>
        <v>3</v>
      </c>
      <c r="AP1924">
        <f t="shared" si="776"/>
        <v>44787.170439814807</v>
      </c>
      <c r="AQ1924">
        <f t="shared" si="777"/>
        <v>7</v>
      </c>
    </row>
    <row r="1925" spans="1:43" x14ac:dyDescent="0.35">
      <c r="A1925">
        <v>1148</v>
      </c>
      <c r="B1925" t="s">
        <v>5979</v>
      </c>
      <c r="C1925" t="s">
        <v>4480</v>
      </c>
      <c r="D1925" t="str">
        <f t="shared" si="778"/>
        <v>Finance</v>
      </c>
      <c r="E1925" t="s">
        <v>5800</v>
      </c>
      <c r="F1925" t="s">
        <v>5433</v>
      </c>
      <c r="G1925" t="s">
        <v>5434</v>
      </c>
      <c r="H1925" t="s">
        <v>59</v>
      </c>
      <c r="I1925" s="32">
        <v>45141.067280092589</v>
      </c>
      <c r="J1925" s="32">
        <v>45144.067280092589</v>
      </c>
      <c r="K1925" s="32">
        <v>45148.067280092589</v>
      </c>
      <c r="L1925" s="8">
        <f t="shared" si="779"/>
        <v>7</v>
      </c>
      <c r="M1925" s="7">
        <v>45163.067280092589</v>
      </c>
      <c r="N1925" t="s">
        <v>49</v>
      </c>
      <c r="O1925" s="34">
        <v>45155.067280092589</v>
      </c>
      <c r="P1925" t="s">
        <v>50</v>
      </c>
      <c r="Q1925" t="s">
        <v>236</v>
      </c>
      <c r="R1925" s="32" t="s">
        <v>7472</v>
      </c>
      <c r="S1925" t="s">
        <v>7476</v>
      </c>
      <c r="T1925" s="34" t="s">
        <v>7476</v>
      </c>
      <c r="U1925" s="34" t="s">
        <v>7476</v>
      </c>
      <c r="V1925" s="32" t="s">
        <v>7476</v>
      </c>
      <c r="W1925" s="32" t="s">
        <v>7476</v>
      </c>
      <c r="X1925">
        <v>0</v>
      </c>
      <c r="Y1925" s="34" t="s">
        <v>7476</v>
      </c>
      <c r="Z1925" s="34" t="s">
        <v>7476</v>
      </c>
      <c r="AA1925" s="34" t="s">
        <v>7476</v>
      </c>
      <c r="AB1925" s="36" t="s">
        <v>52</v>
      </c>
      <c r="AD1925" t="s">
        <v>5980</v>
      </c>
      <c r="AE1925" t="s">
        <v>5981</v>
      </c>
      <c r="AF1925" s="16">
        <v>45238</v>
      </c>
      <c r="AG1925" t="s">
        <v>64</v>
      </c>
      <c r="AH1925">
        <v>6</v>
      </c>
      <c r="AI1925" s="8" t="str">
        <f t="shared" si="770"/>
        <v/>
      </c>
      <c r="AJ1925" s="8">
        <f t="shared" si="771"/>
        <v>-82.932719907410501</v>
      </c>
      <c r="AK1925" s="38" t="str">
        <f t="shared" si="780"/>
        <v/>
      </c>
      <c r="AL1925" t="str">
        <f t="shared" si="772"/>
        <v/>
      </c>
      <c r="AM1925" t="str">
        <f t="shared" si="773"/>
        <v/>
      </c>
      <c r="AN1925" t="str">
        <f t="shared" si="774"/>
        <v/>
      </c>
      <c r="AO1925">
        <f t="shared" si="775"/>
        <v>3</v>
      </c>
      <c r="AP1925">
        <f t="shared" si="776"/>
        <v>0</v>
      </c>
      <c r="AQ1925" t="str">
        <f t="shared" si="777"/>
        <v/>
      </c>
    </row>
    <row r="1926" spans="1:43" x14ac:dyDescent="0.35">
      <c r="A1926">
        <v>1145</v>
      </c>
      <c r="B1926" t="s">
        <v>5982</v>
      </c>
      <c r="C1926" t="s">
        <v>4471</v>
      </c>
      <c r="D1926" t="str">
        <f t="shared" si="778"/>
        <v>Finance</v>
      </c>
      <c r="E1926" t="s">
        <v>5800</v>
      </c>
      <c r="F1926" t="s">
        <v>5433</v>
      </c>
      <c r="G1926" t="s">
        <v>5434</v>
      </c>
      <c r="H1926" t="s">
        <v>59</v>
      </c>
      <c r="I1926" s="32">
        <v>45144.067280092589</v>
      </c>
      <c r="J1926" s="32">
        <v>45145.067280092589</v>
      </c>
      <c r="K1926" s="32">
        <v>45148.067280092589</v>
      </c>
      <c r="L1926" s="8">
        <f t="shared" si="779"/>
        <v>4</v>
      </c>
      <c r="M1926" s="7">
        <v>45170.067280092589</v>
      </c>
      <c r="N1926" t="s">
        <v>49</v>
      </c>
      <c r="O1926" s="34">
        <v>45151.067280092589</v>
      </c>
      <c r="P1926" t="s">
        <v>50</v>
      </c>
      <c r="Q1926" t="s">
        <v>125</v>
      </c>
      <c r="R1926" s="32" t="s">
        <v>7472</v>
      </c>
      <c r="S1926" t="s">
        <v>7476</v>
      </c>
      <c r="T1926" s="34" t="s">
        <v>7476</v>
      </c>
      <c r="U1926" s="34" t="s">
        <v>7476</v>
      </c>
      <c r="V1926" s="32">
        <v>45155.067280092589</v>
      </c>
      <c r="W1926" s="32" t="s">
        <v>7476</v>
      </c>
      <c r="X1926">
        <v>0</v>
      </c>
      <c r="Y1926" s="34" t="s">
        <v>7476</v>
      </c>
      <c r="Z1926" s="34" t="s">
        <v>7476</v>
      </c>
      <c r="AA1926" s="34" t="s">
        <v>7476</v>
      </c>
      <c r="AB1926" s="36" t="s">
        <v>95</v>
      </c>
      <c r="AD1926" t="s">
        <v>5983</v>
      </c>
      <c r="AE1926" t="s">
        <v>5984</v>
      </c>
      <c r="AF1926" s="16">
        <v>45132</v>
      </c>
      <c r="AG1926" t="s">
        <v>64</v>
      </c>
      <c r="AH1926">
        <v>6</v>
      </c>
      <c r="AI1926" s="8" t="str">
        <f t="shared" si="770"/>
        <v/>
      </c>
      <c r="AJ1926" s="8">
        <f t="shared" si="771"/>
        <v>19.067280092589499</v>
      </c>
      <c r="AK1926" s="38">
        <f t="shared" si="780"/>
        <v>45335.067280092589</v>
      </c>
      <c r="AL1926" t="str">
        <f t="shared" si="772"/>
        <v/>
      </c>
      <c r="AM1926" t="str">
        <f t="shared" si="773"/>
        <v/>
      </c>
      <c r="AN1926">
        <f t="shared" si="774"/>
        <v>4</v>
      </c>
      <c r="AO1926">
        <f t="shared" si="775"/>
        <v>1</v>
      </c>
      <c r="AP1926">
        <f t="shared" si="776"/>
        <v>0</v>
      </c>
      <c r="AQ1926" t="str">
        <f t="shared" si="777"/>
        <v/>
      </c>
    </row>
    <row r="1927" spans="1:43" x14ac:dyDescent="0.35">
      <c r="A1927">
        <v>1119</v>
      </c>
      <c r="B1927" t="s">
        <v>5985</v>
      </c>
      <c r="C1927" t="s">
        <v>4471</v>
      </c>
      <c r="D1927" t="str">
        <f t="shared" si="778"/>
        <v>Finance</v>
      </c>
      <c r="E1927" t="s">
        <v>5800</v>
      </c>
      <c r="F1927" t="s">
        <v>5433</v>
      </c>
      <c r="G1927" t="s">
        <v>5434</v>
      </c>
      <c r="H1927" t="s">
        <v>59</v>
      </c>
      <c r="I1927" s="32">
        <v>45019.266469907408</v>
      </c>
      <c r="J1927" s="32">
        <v>45022.266469907408</v>
      </c>
      <c r="K1927" s="32">
        <v>45027.266469907408</v>
      </c>
      <c r="L1927" s="8">
        <f t="shared" si="779"/>
        <v>8</v>
      </c>
      <c r="M1927" s="7">
        <v>45035.266469907408</v>
      </c>
      <c r="N1927" t="s">
        <v>72</v>
      </c>
      <c r="O1927" s="34" t="s">
        <v>7474</v>
      </c>
      <c r="R1927" s="32" t="s">
        <v>7472</v>
      </c>
      <c r="S1927" t="s">
        <v>7476</v>
      </c>
      <c r="T1927" s="34" t="s">
        <v>7476</v>
      </c>
      <c r="U1927" s="34" t="s">
        <v>7476</v>
      </c>
      <c r="V1927" s="32" t="s">
        <v>7476</v>
      </c>
      <c r="W1927" s="32" t="s">
        <v>7476</v>
      </c>
      <c r="X1927">
        <v>0</v>
      </c>
      <c r="Y1927" s="34" t="s">
        <v>7476</v>
      </c>
      <c r="Z1927" s="34" t="s">
        <v>7476</v>
      </c>
      <c r="AA1927" s="34" t="s">
        <v>7476</v>
      </c>
      <c r="AB1927" s="36" t="s">
        <v>7476</v>
      </c>
      <c r="AD1927" t="s">
        <v>5986</v>
      </c>
      <c r="AE1927" t="s">
        <v>5987</v>
      </c>
      <c r="AG1927" t="s">
        <v>68</v>
      </c>
      <c r="AH1927">
        <v>6</v>
      </c>
      <c r="AI1927" s="8" t="str">
        <f t="shared" si="770"/>
        <v/>
      </c>
      <c r="AJ1927" s="8" t="str">
        <f t="shared" si="771"/>
        <v/>
      </c>
      <c r="AK1927" s="38" t="str">
        <f t="shared" si="780"/>
        <v/>
      </c>
      <c r="AL1927" t="str">
        <f t="shared" si="772"/>
        <v/>
      </c>
      <c r="AM1927" t="str">
        <f t="shared" si="773"/>
        <v/>
      </c>
      <c r="AN1927" t="str">
        <f t="shared" si="774"/>
        <v/>
      </c>
      <c r="AO1927">
        <f t="shared" si="775"/>
        <v>3</v>
      </c>
      <c r="AP1927">
        <f t="shared" si="776"/>
        <v>0</v>
      </c>
      <c r="AQ1927" t="str">
        <f t="shared" si="777"/>
        <v/>
      </c>
    </row>
    <row r="1928" spans="1:43" x14ac:dyDescent="0.35">
      <c r="A1928">
        <v>1114</v>
      </c>
      <c r="B1928" t="s">
        <v>5988</v>
      </c>
      <c r="C1928" t="s">
        <v>4480</v>
      </c>
      <c r="D1928" t="str">
        <f t="shared" si="778"/>
        <v>Finance</v>
      </c>
      <c r="E1928" t="s">
        <v>5800</v>
      </c>
      <c r="F1928" t="s">
        <v>5433</v>
      </c>
      <c r="G1928" t="s">
        <v>5434</v>
      </c>
      <c r="H1928" t="s">
        <v>59</v>
      </c>
      <c r="I1928" s="32">
        <v>45021.266469907408</v>
      </c>
      <c r="J1928" s="32" t="s">
        <v>7471</v>
      </c>
      <c r="K1928" s="32">
        <v>45027.266469907408</v>
      </c>
      <c r="L1928" s="8">
        <f t="shared" si="779"/>
        <v>6</v>
      </c>
      <c r="M1928" s="7">
        <v>45036.266469907408</v>
      </c>
      <c r="N1928" t="s">
        <v>72</v>
      </c>
      <c r="O1928" s="34" t="s">
        <v>7474</v>
      </c>
      <c r="R1928" s="32" t="s">
        <v>7472</v>
      </c>
      <c r="S1928" t="s">
        <v>7476</v>
      </c>
      <c r="T1928" s="34" t="s">
        <v>7476</v>
      </c>
      <c r="U1928" s="34" t="s">
        <v>7476</v>
      </c>
      <c r="V1928" s="32" t="s">
        <v>7476</v>
      </c>
      <c r="W1928" s="32" t="s">
        <v>7476</v>
      </c>
      <c r="X1928">
        <v>0</v>
      </c>
      <c r="Y1928" s="34" t="s">
        <v>7476</v>
      </c>
      <c r="Z1928" s="34" t="s">
        <v>7476</v>
      </c>
      <c r="AA1928" s="34" t="s">
        <v>7476</v>
      </c>
      <c r="AB1928" s="36" t="s">
        <v>7476</v>
      </c>
      <c r="AD1928" t="s">
        <v>5989</v>
      </c>
      <c r="AE1928" t="s">
        <v>5990</v>
      </c>
      <c r="AG1928" t="s">
        <v>93</v>
      </c>
      <c r="AH1928">
        <v>6</v>
      </c>
      <c r="AK1928" s="38" t="str">
        <f t="shared" si="780"/>
        <v/>
      </c>
    </row>
    <row r="1929" spans="1:43" x14ac:dyDescent="0.35">
      <c r="A1929">
        <v>1064</v>
      </c>
      <c r="B1929" t="s">
        <v>5991</v>
      </c>
      <c r="C1929" t="s">
        <v>4471</v>
      </c>
      <c r="D1929" t="str">
        <f t="shared" si="778"/>
        <v>Finance</v>
      </c>
      <c r="E1929" t="s">
        <v>5800</v>
      </c>
      <c r="F1929" t="s">
        <v>5433</v>
      </c>
      <c r="G1929" t="s">
        <v>5434</v>
      </c>
      <c r="H1929" t="s">
        <v>59</v>
      </c>
      <c r="I1929" s="32">
        <v>44782.414236111108</v>
      </c>
      <c r="J1929" s="32" t="s">
        <v>7471</v>
      </c>
      <c r="K1929" s="32">
        <v>44786.414236111108</v>
      </c>
      <c r="L1929" s="8">
        <f t="shared" si="779"/>
        <v>4</v>
      </c>
      <c r="M1929" s="7">
        <v>44810.414236111108</v>
      </c>
      <c r="N1929" t="s">
        <v>49</v>
      </c>
      <c r="O1929" s="34">
        <v>44789.414236111108</v>
      </c>
      <c r="P1929" t="s">
        <v>50</v>
      </c>
      <c r="Q1929" t="s">
        <v>236</v>
      </c>
      <c r="R1929" s="32" t="s">
        <v>7472</v>
      </c>
      <c r="S1929" t="s">
        <v>7476</v>
      </c>
      <c r="T1929" s="34" t="s">
        <v>7476</v>
      </c>
      <c r="U1929" s="34" t="s">
        <v>7476</v>
      </c>
      <c r="V1929" s="32" t="s">
        <v>7476</v>
      </c>
      <c r="W1929" s="32" t="s">
        <v>7476</v>
      </c>
      <c r="X1929">
        <v>0</v>
      </c>
      <c r="Y1929" s="34" t="s">
        <v>7476</v>
      </c>
      <c r="Z1929" s="34" t="s">
        <v>7476</v>
      </c>
      <c r="AA1929" s="34" t="s">
        <v>7476</v>
      </c>
      <c r="AB1929" s="36" t="s">
        <v>52</v>
      </c>
      <c r="AD1929" t="s">
        <v>5992</v>
      </c>
      <c r="AE1929" t="s">
        <v>5993</v>
      </c>
      <c r="AF1929" s="16">
        <v>44780</v>
      </c>
      <c r="AG1929" t="s">
        <v>75</v>
      </c>
      <c r="AH1929">
        <v>3</v>
      </c>
      <c r="AK1929" s="38" t="str">
        <f t="shared" si="780"/>
        <v/>
      </c>
    </row>
    <row r="1930" spans="1:43" x14ac:dyDescent="0.35">
      <c r="A1930">
        <v>1062</v>
      </c>
      <c r="B1930" t="s">
        <v>5994</v>
      </c>
      <c r="C1930" t="s">
        <v>4502</v>
      </c>
      <c r="D1930" t="str">
        <f t="shared" si="778"/>
        <v>Finance</v>
      </c>
      <c r="E1930" t="s">
        <v>5800</v>
      </c>
      <c r="F1930" t="s">
        <v>5433</v>
      </c>
      <c r="G1930" t="s">
        <v>5434</v>
      </c>
      <c r="H1930" t="s">
        <v>59</v>
      </c>
      <c r="I1930" s="32">
        <v>44779.414236111108</v>
      </c>
      <c r="J1930" s="32">
        <v>44780.414236111108</v>
      </c>
      <c r="K1930" s="32">
        <v>44786.414236111108</v>
      </c>
      <c r="L1930" s="8">
        <f t="shared" si="779"/>
        <v>7</v>
      </c>
      <c r="M1930" s="7">
        <v>44811.414236111108</v>
      </c>
      <c r="N1930" t="s">
        <v>49</v>
      </c>
      <c r="O1930" s="34">
        <v>44790.414236111108</v>
      </c>
      <c r="P1930" t="s">
        <v>50</v>
      </c>
      <c r="Q1930" t="s">
        <v>198</v>
      </c>
      <c r="R1930" s="32" t="s">
        <v>7472</v>
      </c>
      <c r="S1930" t="s">
        <v>7476</v>
      </c>
      <c r="T1930" s="34" t="s">
        <v>7476</v>
      </c>
      <c r="U1930" s="34" t="s">
        <v>7476</v>
      </c>
      <c r="V1930" s="32">
        <v>44793.414236111108</v>
      </c>
      <c r="W1930" s="32" t="s">
        <v>7476</v>
      </c>
      <c r="X1930">
        <v>0</v>
      </c>
      <c r="Y1930" s="34" t="s">
        <v>7476</v>
      </c>
      <c r="Z1930" s="34" t="s">
        <v>7476</v>
      </c>
      <c r="AA1930" s="34" t="s">
        <v>7476</v>
      </c>
      <c r="AB1930" s="36" t="s">
        <v>95</v>
      </c>
      <c r="AD1930" t="s">
        <v>5995</v>
      </c>
      <c r="AE1930" t="s">
        <v>5996</v>
      </c>
      <c r="AF1930" s="16">
        <v>44779</v>
      </c>
      <c r="AG1930" t="s">
        <v>98</v>
      </c>
      <c r="AH1930">
        <v>6</v>
      </c>
      <c r="AI1930" s="8" t="str">
        <f t="shared" ref="AI1930:AI1942" si="781">IFERROR(R1930-AF1930,"")</f>
        <v/>
      </c>
      <c r="AJ1930" s="8">
        <f t="shared" ref="AJ1930:AJ1942" si="782">IFERROR(O1930-AF1930,"")</f>
        <v>11.414236111108039</v>
      </c>
      <c r="AK1930" s="38">
        <f t="shared" si="780"/>
        <v>44973.414236111108</v>
      </c>
      <c r="AL1930" t="str">
        <f t="shared" ref="AL1930:AL1942" si="783">IFERROR(Z1930-W1930,"")</f>
        <v/>
      </c>
      <c r="AM1930" t="str">
        <f t="shared" ref="AM1930:AM1942" si="784">IFERROR(R1930-J1930,"")</f>
        <v/>
      </c>
      <c r="AN1930">
        <f t="shared" ref="AN1930:AN1942" si="785">IFERROR(V1930-O1930,"")</f>
        <v>3</v>
      </c>
      <c r="AO1930">
        <f t="shared" ref="AO1930:AO1942" si="786">IFERROR(J1930-I1930,"")</f>
        <v>1</v>
      </c>
      <c r="AP1930">
        <f t="shared" ref="AP1930:AP1942" si="787">IFERROR(AC1930-X1930,"")</f>
        <v>0</v>
      </c>
      <c r="AQ1930" t="str">
        <f t="shared" ref="AQ1930:AQ1942" si="788">IFERROR(AA1930-W1930,"")</f>
        <v/>
      </c>
    </row>
    <row r="1931" spans="1:43" x14ac:dyDescent="0.35">
      <c r="A1931">
        <v>1036</v>
      </c>
      <c r="B1931" t="s">
        <v>5997</v>
      </c>
      <c r="C1931" t="s">
        <v>4480</v>
      </c>
      <c r="D1931" t="str">
        <f t="shared" si="778"/>
        <v>Finance</v>
      </c>
      <c r="E1931" t="s">
        <v>5800</v>
      </c>
      <c r="F1931" t="s">
        <v>5433</v>
      </c>
      <c r="G1931" t="s">
        <v>5434</v>
      </c>
      <c r="H1931" t="s">
        <v>59</v>
      </c>
      <c r="I1931" s="32">
        <v>44988.822372685187</v>
      </c>
      <c r="J1931" s="32">
        <v>44990.822372685187</v>
      </c>
      <c r="K1931" s="32">
        <v>44993.822372685187</v>
      </c>
      <c r="L1931" s="8">
        <f t="shared" si="779"/>
        <v>5</v>
      </c>
      <c r="M1931" s="7">
        <v>45012.822372685187</v>
      </c>
      <c r="N1931" t="s">
        <v>49</v>
      </c>
      <c r="O1931" s="34">
        <v>45006.822372685187</v>
      </c>
      <c r="P1931" t="s">
        <v>50</v>
      </c>
      <c r="Q1931" t="s">
        <v>51</v>
      </c>
      <c r="R1931" s="32" t="s">
        <v>7472</v>
      </c>
      <c r="S1931" t="s">
        <v>7476</v>
      </c>
      <c r="T1931" s="34" t="s">
        <v>7476</v>
      </c>
      <c r="U1931" s="34" t="s">
        <v>7476</v>
      </c>
      <c r="V1931" s="32" t="s">
        <v>7476</v>
      </c>
      <c r="W1931" s="32" t="s">
        <v>7476</v>
      </c>
      <c r="X1931">
        <v>0</v>
      </c>
      <c r="Y1931" s="34" t="s">
        <v>7476</v>
      </c>
      <c r="Z1931" s="34" t="s">
        <v>7476</v>
      </c>
      <c r="AA1931" s="34" t="s">
        <v>7476</v>
      </c>
      <c r="AB1931" s="36" t="s">
        <v>95</v>
      </c>
      <c r="AD1931" t="s">
        <v>5998</v>
      </c>
      <c r="AE1931" t="s">
        <v>5999</v>
      </c>
      <c r="AF1931" s="16">
        <v>44999</v>
      </c>
      <c r="AG1931" t="s">
        <v>68</v>
      </c>
      <c r="AH1931">
        <v>3</v>
      </c>
      <c r="AI1931" s="8" t="str">
        <f t="shared" si="781"/>
        <v/>
      </c>
      <c r="AJ1931" s="8">
        <f t="shared" si="782"/>
        <v>7.8223726851865649</v>
      </c>
      <c r="AK1931" s="38" t="str">
        <f t="shared" si="780"/>
        <v/>
      </c>
      <c r="AL1931" t="str">
        <f t="shared" si="783"/>
        <v/>
      </c>
      <c r="AM1931" t="str">
        <f t="shared" si="784"/>
        <v/>
      </c>
      <c r="AN1931" t="str">
        <f t="shared" si="785"/>
        <v/>
      </c>
      <c r="AO1931">
        <f t="shared" si="786"/>
        <v>2</v>
      </c>
      <c r="AP1931">
        <f t="shared" si="787"/>
        <v>0</v>
      </c>
      <c r="AQ1931" t="str">
        <f t="shared" si="788"/>
        <v/>
      </c>
    </row>
    <row r="1932" spans="1:43" x14ac:dyDescent="0.35">
      <c r="A1932">
        <v>1031</v>
      </c>
      <c r="B1932" t="s">
        <v>6000</v>
      </c>
      <c r="C1932" t="s">
        <v>4471</v>
      </c>
      <c r="D1932" t="str">
        <f t="shared" si="778"/>
        <v>Finance</v>
      </c>
      <c r="E1932" t="s">
        <v>5800</v>
      </c>
      <c r="F1932" t="s">
        <v>5433</v>
      </c>
      <c r="G1932" t="s">
        <v>5434</v>
      </c>
      <c r="H1932" t="s">
        <v>59</v>
      </c>
      <c r="I1932" s="32">
        <v>44990.822372685187</v>
      </c>
      <c r="J1932" s="32">
        <v>44991.822372685187</v>
      </c>
      <c r="K1932" s="32">
        <v>44993.822372685187</v>
      </c>
      <c r="L1932" s="8">
        <f t="shared" si="779"/>
        <v>3</v>
      </c>
      <c r="M1932" s="7">
        <v>45018.822372685187</v>
      </c>
      <c r="N1932" t="s">
        <v>49</v>
      </c>
      <c r="O1932" s="34">
        <v>44997.822372685187</v>
      </c>
      <c r="P1932" t="s">
        <v>60</v>
      </c>
      <c r="R1932" s="32">
        <v>44999.822372685187</v>
      </c>
      <c r="S1932" t="s">
        <v>61</v>
      </c>
      <c r="T1932" s="34" t="s">
        <v>7476</v>
      </c>
      <c r="U1932" s="34" t="s">
        <v>7476</v>
      </c>
      <c r="V1932" s="32">
        <v>44998.822372685187</v>
      </c>
      <c r="W1932" s="32" t="s">
        <v>7476</v>
      </c>
      <c r="X1932">
        <v>0</v>
      </c>
      <c r="Y1932" s="34" t="s">
        <v>7476</v>
      </c>
      <c r="Z1932" s="34" t="s">
        <v>7476</v>
      </c>
      <c r="AA1932" s="34" t="s">
        <v>7476</v>
      </c>
      <c r="AB1932" s="36" t="s">
        <v>7476</v>
      </c>
      <c r="AD1932" t="s">
        <v>6001</v>
      </c>
      <c r="AE1932" t="s">
        <v>6002</v>
      </c>
      <c r="AF1932" s="16">
        <v>44989</v>
      </c>
      <c r="AG1932" t="s">
        <v>64</v>
      </c>
      <c r="AH1932">
        <v>3</v>
      </c>
      <c r="AI1932" s="8">
        <f t="shared" si="781"/>
        <v>10.822372685186565</v>
      </c>
      <c r="AJ1932" s="8">
        <f t="shared" si="782"/>
        <v>8.8223726851865649</v>
      </c>
      <c r="AK1932" s="38">
        <f t="shared" si="780"/>
        <v>45088.822372685187</v>
      </c>
      <c r="AL1932" t="str">
        <f t="shared" si="783"/>
        <v/>
      </c>
      <c r="AM1932">
        <f t="shared" si="784"/>
        <v>8</v>
      </c>
      <c r="AN1932">
        <f t="shared" si="785"/>
        <v>1</v>
      </c>
      <c r="AO1932">
        <f t="shared" si="786"/>
        <v>1</v>
      </c>
      <c r="AP1932">
        <f t="shared" si="787"/>
        <v>0</v>
      </c>
      <c r="AQ1932" t="str">
        <f t="shared" si="788"/>
        <v/>
      </c>
    </row>
    <row r="1933" spans="1:43" x14ac:dyDescent="0.35">
      <c r="A1933">
        <v>1018</v>
      </c>
      <c r="B1933" t="s">
        <v>6003</v>
      </c>
      <c r="C1933" t="s">
        <v>4502</v>
      </c>
      <c r="D1933" t="str">
        <f t="shared" si="778"/>
        <v>Finance</v>
      </c>
      <c r="E1933" t="s">
        <v>5800</v>
      </c>
      <c r="F1933" t="s">
        <v>5433</v>
      </c>
      <c r="G1933" t="s">
        <v>5434</v>
      </c>
      <c r="H1933" t="s">
        <v>59</v>
      </c>
      <c r="I1933" s="32">
        <v>44599.329571759263</v>
      </c>
      <c r="J1933" s="32">
        <v>44600.329571759263</v>
      </c>
      <c r="K1933" s="32">
        <v>44602.329571759263</v>
      </c>
      <c r="L1933" s="8">
        <f t="shared" si="779"/>
        <v>3</v>
      </c>
      <c r="M1933" s="7">
        <v>44617.329571759263</v>
      </c>
      <c r="N1933" t="s">
        <v>49</v>
      </c>
      <c r="O1933" s="34">
        <v>44613.329571759263</v>
      </c>
      <c r="P1933" t="s">
        <v>101</v>
      </c>
      <c r="R1933" s="32">
        <v>44615.329571759263</v>
      </c>
      <c r="S1933" t="s">
        <v>101</v>
      </c>
      <c r="T1933" s="34">
        <v>44615.329571759263</v>
      </c>
      <c r="U1933" s="34">
        <v>44616.329571759263</v>
      </c>
      <c r="V1933" s="32">
        <v>44614.329571759263</v>
      </c>
      <c r="W1933" s="32">
        <v>44624.329571759263</v>
      </c>
      <c r="X1933">
        <v>1</v>
      </c>
      <c r="Y1933" s="34">
        <v>44625.329571759263</v>
      </c>
      <c r="Z1933" s="34">
        <v>44627.329571759263</v>
      </c>
      <c r="AA1933" s="34">
        <v>44630.329571759263</v>
      </c>
      <c r="AB1933" s="36" t="s">
        <v>7476</v>
      </c>
      <c r="AC1933" s="10">
        <v>44639.329571759263</v>
      </c>
      <c r="AD1933" t="s">
        <v>6004</v>
      </c>
      <c r="AE1933" t="s">
        <v>6005</v>
      </c>
      <c r="AF1933" s="16">
        <v>44606</v>
      </c>
      <c r="AG1933" t="s">
        <v>98</v>
      </c>
      <c r="AH1933">
        <v>3</v>
      </c>
      <c r="AI1933" s="8">
        <f t="shared" si="781"/>
        <v>9.3295717592627625</v>
      </c>
      <c r="AJ1933" s="8">
        <f t="shared" si="782"/>
        <v>7.3295717592627625</v>
      </c>
      <c r="AK1933" s="38">
        <f t="shared" si="780"/>
        <v>44704.329571759263</v>
      </c>
      <c r="AL1933">
        <f t="shared" si="783"/>
        <v>3</v>
      </c>
      <c r="AM1933">
        <f t="shared" si="784"/>
        <v>15</v>
      </c>
      <c r="AN1933">
        <f t="shared" si="785"/>
        <v>1</v>
      </c>
      <c r="AO1933">
        <f t="shared" si="786"/>
        <v>1</v>
      </c>
      <c r="AP1933">
        <f t="shared" si="787"/>
        <v>44638.329571759263</v>
      </c>
      <c r="AQ1933">
        <f t="shared" si="788"/>
        <v>6</v>
      </c>
    </row>
    <row r="1934" spans="1:43" x14ac:dyDescent="0.35">
      <c r="A1934">
        <v>1012</v>
      </c>
      <c r="B1934" t="s">
        <v>6006</v>
      </c>
      <c r="C1934" t="s">
        <v>4502</v>
      </c>
      <c r="D1934" t="str">
        <f t="shared" si="778"/>
        <v>Finance</v>
      </c>
      <c r="E1934" t="s">
        <v>5800</v>
      </c>
      <c r="F1934" t="s">
        <v>5433</v>
      </c>
      <c r="G1934" t="s">
        <v>5434</v>
      </c>
      <c r="H1934" t="s">
        <v>59</v>
      </c>
      <c r="I1934" s="32">
        <v>44594.329571759263</v>
      </c>
      <c r="J1934" s="32">
        <v>44596.329571759263</v>
      </c>
      <c r="K1934" s="32">
        <v>44602.329571759263</v>
      </c>
      <c r="L1934" s="8">
        <f t="shared" si="779"/>
        <v>8</v>
      </c>
      <c r="M1934" s="7">
        <v>44631.329571759263</v>
      </c>
      <c r="N1934" t="s">
        <v>49</v>
      </c>
      <c r="O1934" s="34">
        <v>44616.329571759263</v>
      </c>
      <c r="P1934" t="s">
        <v>50</v>
      </c>
      <c r="Q1934" t="s">
        <v>236</v>
      </c>
      <c r="R1934" s="32" t="s">
        <v>7472</v>
      </c>
      <c r="S1934" t="s">
        <v>7476</v>
      </c>
      <c r="T1934" s="34" t="s">
        <v>7476</v>
      </c>
      <c r="U1934" s="34" t="s">
        <v>7476</v>
      </c>
      <c r="V1934" s="32">
        <v>44620.329571759263</v>
      </c>
      <c r="W1934" s="32" t="s">
        <v>7476</v>
      </c>
      <c r="X1934">
        <v>0</v>
      </c>
      <c r="Y1934" s="34" t="s">
        <v>7476</v>
      </c>
      <c r="Z1934" s="34" t="s">
        <v>7476</v>
      </c>
      <c r="AA1934" s="34" t="s">
        <v>7476</v>
      </c>
      <c r="AB1934" s="36" t="s">
        <v>95</v>
      </c>
      <c r="AD1934" t="s">
        <v>6007</v>
      </c>
      <c r="AE1934" t="s">
        <v>6008</v>
      </c>
      <c r="AF1934" s="16">
        <v>44867</v>
      </c>
      <c r="AG1934" t="s">
        <v>98</v>
      </c>
      <c r="AH1934">
        <v>6</v>
      </c>
      <c r="AI1934" s="8" t="str">
        <f t="shared" si="781"/>
        <v/>
      </c>
      <c r="AJ1934" s="8">
        <f t="shared" si="782"/>
        <v>-250.67042824073724</v>
      </c>
      <c r="AK1934" s="38">
        <f t="shared" si="780"/>
        <v>44800.329571759263</v>
      </c>
      <c r="AL1934" t="str">
        <f t="shared" si="783"/>
        <v/>
      </c>
      <c r="AM1934" t="str">
        <f t="shared" si="784"/>
        <v/>
      </c>
      <c r="AN1934">
        <f t="shared" si="785"/>
        <v>4</v>
      </c>
      <c r="AO1934">
        <f t="shared" si="786"/>
        <v>2</v>
      </c>
      <c r="AP1934">
        <f t="shared" si="787"/>
        <v>0</v>
      </c>
      <c r="AQ1934" t="str">
        <f t="shared" si="788"/>
        <v/>
      </c>
    </row>
    <row r="1935" spans="1:43" x14ac:dyDescent="0.35">
      <c r="A1935">
        <v>977</v>
      </c>
      <c r="B1935" t="s">
        <v>6009</v>
      </c>
      <c r="C1935" t="s">
        <v>4480</v>
      </c>
      <c r="D1935" t="str">
        <f t="shared" si="778"/>
        <v>Finance</v>
      </c>
      <c r="E1935" t="s">
        <v>5800</v>
      </c>
      <c r="F1935" t="s">
        <v>5433</v>
      </c>
      <c r="G1935" t="s">
        <v>5434</v>
      </c>
      <c r="H1935" t="s">
        <v>59</v>
      </c>
      <c r="I1935" s="32">
        <v>44759.699247685188</v>
      </c>
      <c r="J1935" s="32">
        <v>44760.699247685188</v>
      </c>
      <c r="K1935" s="32">
        <v>44764.699247685188</v>
      </c>
      <c r="L1935" s="8">
        <f t="shared" si="779"/>
        <v>5</v>
      </c>
      <c r="M1935" s="7">
        <v>44793.699247685188</v>
      </c>
      <c r="N1935" t="s">
        <v>49</v>
      </c>
      <c r="O1935" s="34">
        <v>44777.699247685188</v>
      </c>
      <c r="P1935" t="s">
        <v>50</v>
      </c>
      <c r="Q1935" t="s">
        <v>198</v>
      </c>
      <c r="R1935" s="32" t="s">
        <v>7472</v>
      </c>
      <c r="S1935" t="s">
        <v>7476</v>
      </c>
      <c r="T1935" s="34" t="s">
        <v>7476</v>
      </c>
      <c r="U1935" s="34" t="s">
        <v>7476</v>
      </c>
      <c r="V1935" s="32" t="s">
        <v>7476</v>
      </c>
      <c r="W1935" s="32" t="s">
        <v>7476</v>
      </c>
      <c r="X1935">
        <v>0</v>
      </c>
      <c r="Y1935" s="34" t="s">
        <v>7476</v>
      </c>
      <c r="Z1935" s="34" t="s">
        <v>7476</v>
      </c>
      <c r="AA1935" s="34" t="s">
        <v>7476</v>
      </c>
      <c r="AB1935" s="36" t="s">
        <v>52</v>
      </c>
      <c r="AD1935" t="s">
        <v>6010</v>
      </c>
      <c r="AE1935" t="s">
        <v>6011</v>
      </c>
      <c r="AF1935" s="16">
        <v>44768</v>
      </c>
      <c r="AG1935" t="s">
        <v>68</v>
      </c>
      <c r="AH1935">
        <v>3</v>
      </c>
      <c r="AI1935" s="8" t="str">
        <f t="shared" si="781"/>
        <v/>
      </c>
      <c r="AJ1935" s="8">
        <f t="shared" si="782"/>
        <v>9.6992476851883112</v>
      </c>
      <c r="AK1935" s="38" t="str">
        <f t="shared" si="780"/>
        <v/>
      </c>
      <c r="AL1935" t="str">
        <f t="shared" si="783"/>
        <v/>
      </c>
      <c r="AM1935" t="str">
        <f t="shared" si="784"/>
        <v/>
      </c>
      <c r="AN1935" t="str">
        <f t="shared" si="785"/>
        <v/>
      </c>
      <c r="AO1935">
        <f t="shared" si="786"/>
        <v>1</v>
      </c>
      <c r="AP1935">
        <f t="shared" si="787"/>
        <v>0</v>
      </c>
      <c r="AQ1935" t="str">
        <f t="shared" si="788"/>
        <v/>
      </c>
    </row>
    <row r="1936" spans="1:43" x14ac:dyDescent="0.35">
      <c r="A1936">
        <v>969</v>
      </c>
      <c r="B1936" t="s">
        <v>6012</v>
      </c>
      <c r="C1936" t="s">
        <v>4502</v>
      </c>
      <c r="D1936" t="str">
        <f t="shared" si="778"/>
        <v>Finance</v>
      </c>
      <c r="E1936" t="s">
        <v>5800</v>
      </c>
      <c r="F1936" t="s">
        <v>5433</v>
      </c>
      <c r="G1936" t="s">
        <v>5434</v>
      </c>
      <c r="H1936" t="s">
        <v>59</v>
      </c>
      <c r="I1936" s="32">
        <v>45119.340451388889</v>
      </c>
      <c r="J1936" s="32">
        <v>45122.340451388889</v>
      </c>
      <c r="K1936" s="32">
        <v>45127.340451388889</v>
      </c>
      <c r="L1936" s="8">
        <f t="shared" si="779"/>
        <v>8</v>
      </c>
      <c r="M1936" s="7">
        <v>45147.340451388889</v>
      </c>
      <c r="N1936" t="s">
        <v>49</v>
      </c>
      <c r="O1936" s="34">
        <v>45140.340451388889</v>
      </c>
      <c r="P1936" t="s">
        <v>60</v>
      </c>
      <c r="R1936" s="32">
        <v>45148.340451388889</v>
      </c>
      <c r="S1936" t="s">
        <v>61</v>
      </c>
      <c r="T1936" s="34" t="s">
        <v>7476</v>
      </c>
      <c r="U1936" s="34" t="s">
        <v>7476</v>
      </c>
      <c r="V1936" s="32">
        <v>45144.340451388889</v>
      </c>
      <c r="W1936" s="32" t="s">
        <v>7476</v>
      </c>
      <c r="X1936">
        <v>0</v>
      </c>
      <c r="Y1936" s="34" t="s">
        <v>7476</v>
      </c>
      <c r="Z1936" s="34" t="s">
        <v>7476</v>
      </c>
      <c r="AA1936" s="34" t="s">
        <v>7476</v>
      </c>
      <c r="AB1936" s="36" t="s">
        <v>7476</v>
      </c>
      <c r="AD1936" t="s">
        <v>6013</v>
      </c>
      <c r="AE1936" t="s">
        <v>6014</v>
      </c>
      <c r="AF1936" s="16">
        <v>45125</v>
      </c>
      <c r="AG1936" t="s">
        <v>68</v>
      </c>
      <c r="AH1936">
        <v>6</v>
      </c>
      <c r="AI1936" s="8">
        <f t="shared" si="781"/>
        <v>23.340451388889051</v>
      </c>
      <c r="AJ1936" s="8">
        <f t="shared" si="782"/>
        <v>15.340451388889051</v>
      </c>
      <c r="AK1936" s="38">
        <f t="shared" si="780"/>
        <v>45324.340451388889</v>
      </c>
      <c r="AL1936" t="str">
        <f t="shared" si="783"/>
        <v/>
      </c>
      <c r="AM1936">
        <f t="shared" si="784"/>
        <v>26</v>
      </c>
      <c r="AN1936">
        <f t="shared" si="785"/>
        <v>4</v>
      </c>
      <c r="AO1936">
        <f t="shared" si="786"/>
        <v>3</v>
      </c>
      <c r="AP1936">
        <f t="shared" si="787"/>
        <v>0</v>
      </c>
      <c r="AQ1936" t="str">
        <f t="shared" si="788"/>
        <v/>
      </c>
    </row>
    <row r="1937" spans="1:43" x14ac:dyDescent="0.35">
      <c r="A1937">
        <v>963</v>
      </c>
      <c r="B1937" t="s">
        <v>6015</v>
      </c>
      <c r="C1937" t="s">
        <v>4480</v>
      </c>
      <c r="D1937" t="str">
        <f t="shared" si="778"/>
        <v>Finance</v>
      </c>
      <c r="E1937" t="s">
        <v>5800</v>
      </c>
      <c r="F1937" t="s">
        <v>5433</v>
      </c>
      <c r="G1937" t="s">
        <v>5434</v>
      </c>
      <c r="H1937" t="s">
        <v>59</v>
      </c>
      <c r="I1937" s="32">
        <v>45125.340451388889</v>
      </c>
      <c r="J1937" s="32">
        <v>45126.340451388889</v>
      </c>
      <c r="K1937" s="32">
        <v>45127.340451388889</v>
      </c>
      <c r="L1937" s="8">
        <f t="shared" si="779"/>
        <v>2</v>
      </c>
      <c r="M1937" s="7">
        <v>45132.340451388889</v>
      </c>
      <c r="N1937" t="s">
        <v>49</v>
      </c>
      <c r="O1937" s="34">
        <v>45130.340451388889</v>
      </c>
      <c r="P1937" t="s">
        <v>50</v>
      </c>
      <c r="Q1937" t="s">
        <v>236</v>
      </c>
      <c r="R1937" s="32" t="s">
        <v>7472</v>
      </c>
      <c r="S1937" t="s">
        <v>7476</v>
      </c>
      <c r="T1937" s="34" t="s">
        <v>7476</v>
      </c>
      <c r="U1937" s="34" t="s">
        <v>7476</v>
      </c>
      <c r="V1937" s="32" t="s">
        <v>7476</v>
      </c>
      <c r="W1937" s="32" t="s">
        <v>7476</v>
      </c>
      <c r="X1937">
        <v>0</v>
      </c>
      <c r="Y1937" s="34" t="s">
        <v>7476</v>
      </c>
      <c r="Z1937" s="34" t="s">
        <v>7476</v>
      </c>
      <c r="AA1937" s="34" t="s">
        <v>7476</v>
      </c>
      <c r="AB1937" s="36" t="s">
        <v>95</v>
      </c>
      <c r="AD1937" t="s">
        <v>6016</v>
      </c>
      <c r="AE1937" t="s">
        <v>6017</v>
      </c>
      <c r="AF1937" s="16">
        <v>45053</v>
      </c>
      <c r="AG1937" t="s">
        <v>64</v>
      </c>
      <c r="AH1937">
        <v>6</v>
      </c>
      <c r="AI1937" s="8" t="str">
        <f t="shared" si="781"/>
        <v/>
      </c>
      <c r="AJ1937" s="8">
        <f t="shared" si="782"/>
        <v>77.340451388889051</v>
      </c>
      <c r="AK1937" s="38" t="str">
        <f t="shared" si="780"/>
        <v/>
      </c>
      <c r="AL1937" t="str">
        <f t="shared" si="783"/>
        <v/>
      </c>
      <c r="AM1937" t="str">
        <f t="shared" si="784"/>
        <v/>
      </c>
      <c r="AN1937" t="str">
        <f t="shared" si="785"/>
        <v/>
      </c>
      <c r="AO1937">
        <f t="shared" si="786"/>
        <v>1</v>
      </c>
      <c r="AP1937">
        <f t="shared" si="787"/>
        <v>0</v>
      </c>
      <c r="AQ1937" t="str">
        <f t="shared" si="788"/>
        <v/>
      </c>
    </row>
    <row r="1938" spans="1:43" x14ac:dyDescent="0.35">
      <c r="A1938">
        <v>898</v>
      </c>
      <c r="B1938" t="s">
        <v>6018</v>
      </c>
      <c r="C1938" t="s">
        <v>4502</v>
      </c>
      <c r="D1938" t="str">
        <f t="shared" si="778"/>
        <v>Finance</v>
      </c>
      <c r="E1938" t="s">
        <v>5800</v>
      </c>
      <c r="F1938" t="s">
        <v>5433</v>
      </c>
      <c r="G1938" t="s">
        <v>5434</v>
      </c>
      <c r="H1938" t="s">
        <v>59</v>
      </c>
      <c r="I1938" s="32">
        <v>44844.939814814818</v>
      </c>
      <c r="J1938" s="32">
        <v>44845.939814814818</v>
      </c>
      <c r="K1938" s="32">
        <v>44850.939814814818</v>
      </c>
      <c r="L1938" s="8">
        <f t="shared" si="779"/>
        <v>6</v>
      </c>
      <c r="M1938" s="7">
        <v>44876.939814814818</v>
      </c>
      <c r="N1938" t="s">
        <v>49</v>
      </c>
      <c r="O1938" s="34">
        <v>44853.939814814818</v>
      </c>
      <c r="P1938" t="s">
        <v>50</v>
      </c>
      <c r="Q1938" t="s">
        <v>51</v>
      </c>
      <c r="R1938" s="32" t="s">
        <v>7472</v>
      </c>
      <c r="S1938" t="s">
        <v>7476</v>
      </c>
      <c r="T1938" s="34" t="s">
        <v>7476</v>
      </c>
      <c r="U1938" s="34" t="s">
        <v>7476</v>
      </c>
      <c r="V1938" s="32">
        <v>44857.939814814818</v>
      </c>
      <c r="W1938" s="32" t="s">
        <v>7476</v>
      </c>
      <c r="X1938">
        <v>0</v>
      </c>
      <c r="Y1938" s="34" t="s">
        <v>7476</v>
      </c>
      <c r="Z1938" s="34" t="s">
        <v>7476</v>
      </c>
      <c r="AA1938" s="34" t="s">
        <v>7476</v>
      </c>
      <c r="AB1938" s="36" t="s">
        <v>95</v>
      </c>
      <c r="AD1938" t="s">
        <v>6019</v>
      </c>
      <c r="AE1938" t="s">
        <v>6020</v>
      </c>
      <c r="AF1938" s="16">
        <v>44836</v>
      </c>
      <c r="AG1938" t="s">
        <v>98</v>
      </c>
      <c r="AH1938">
        <v>6</v>
      </c>
      <c r="AI1938" s="8" t="str">
        <f t="shared" si="781"/>
        <v/>
      </c>
      <c r="AJ1938" s="8">
        <f t="shared" si="782"/>
        <v>17.93981481481751</v>
      </c>
      <c r="AK1938" s="38">
        <f t="shared" si="780"/>
        <v>45037.939814814818</v>
      </c>
      <c r="AL1938" t="str">
        <f t="shared" si="783"/>
        <v/>
      </c>
      <c r="AM1938" t="str">
        <f t="shared" si="784"/>
        <v/>
      </c>
      <c r="AN1938">
        <f t="shared" si="785"/>
        <v>4</v>
      </c>
      <c r="AO1938">
        <f t="shared" si="786"/>
        <v>1</v>
      </c>
      <c r="AP1938">
        <f t="shared" si="787"/>
        <v>0</v>
      </c>
      <c r="AQ1938" t="str">
        <f t="shared" si="788"/>
        <v/>
      </c>
    </row>
    <row r="1939" spans="1:43" x14ac:dyDescent="0.35">
      <c r="A1939">
        <v>897</v>
      </c>
      <c r="B1939" t="s">
        <v>6021</v>
      </c>
      <c r="C1939" t="s">
        <v>4502</v>
      </c>
      <c r="D1939" t="str">
        <f t="shared" si="778"/>
        <v>Finance</v>
      </c>
      <c r="E1939" t="s">
        <v>5800</v>
      </c>
      <c r="F1939" t="s">
        <v>5433</v>
      </c>
      <c r="G1939" t="s">
        <v>5434</v>
      </c>
      <c r="H1939" t="s">
        <v>59</v>
      </c>
      <c r="I1939" s="32">
        <v>44844.939814814818</v>
      </c>
      <c r="J1939" s="32">
        <v>44847.939814814818</v>
      </c>
      <c r="K1939" s="32">
        <v>44850.939814814818</v>
      </c>
      <c r="L1939" s="8">
        <f t="shared" si="779"/>
        <v>6</v>
      </c>
      <c r="M1939" s="7">
        <v>44857.939814814818</v>
      </c>
      <c r="N1939" t="s">
        <v>49</v>
      </c>
      <c r="O1939" s="34">
        <v>44859.939814814818</v>
      </c>
      <c r="P1939" t="s">
        <v>50</v>
      </c>
      <c r="Q1939" t="s">
        <v>125</v>
      </c>
      <c r="R1939" s="32" t="s">
        <v>7472</v>
      </c>
      <c r="S1939" t="s">
        <v>7476</v>
      </c>
      <c r="T1939" s="34" t="s">
        <v>7476</v>
      </c>
      <c r="U1939" s="34" t="s">
        <v>7476</v>
      </c>
      <c r="V1939" s="32" t="s">
        <v>7476</v>
      </c>
      <c r="W1939" s="32" t="s">
        <v>7476</v>
      </c>
      <c r="X1939">
        <v>0</v>
      </c>
      <c r="Y1939" s="34" t="s">
        <v>7476</v>
      </c>
      <c r="Z1939" s="34" t="s">
        <v>7476</v>
      </c>
      <c r="AA1939" s="34" t="s">
        <v>7476</v>
      </c>
      <c r="AB1939" s="36" t="s">
        <v>95</v>
      </c>
      <c r="AD1939" t="s">
        <v>6022</v>
      </c>
      <c r="AE1939" t="s">
        <v>6023</v>
      </c>
      <c r="AF1939" s="16">
        <v>44854</v>
      </c>
      <c r="AG1939" t="s">
        <v>64</v>
      </c>
      <c r="AH1939">
        <v>6</v>
      </c>
      <c r="AI1939" s="8" t="str">
        <f t="shared" si="781"/>
        <v/>
      </c>
      <c r="AJ1939" s="8">
        <f t="shared" si="782"/>
        <v>5.9398148148175096</v>
      </c>
      <c r="AK1939" s="38" t="str">
        <f t="shared" si="780"/>
        <v/>
      </c>
      <c r="AL1939" t="str">
        <f t="shared" si="783"/>
        <v/>
      </c>
      <c r="AM1939" t="str">
        <f t="shared" si="784"/>
        <v/>
      </c>
      <c r="AN1939" t="str">
        <f t="shared" si="785"/>
        <v/>
      </c>
      <c r="AO1939">
        <f t="shared" si="786"/>
        <v>3</v>
      </c>
      <c r="AP1939">
        <f t="shared" si="787"/>
        <v>0</v>
      </c>
      <c r="AQ1939" t="str">
        <f t="shared" si="788"/>
        <v/>
      </c>
    </row>
    <row r="1940" spans="1:43" x14ac:dyDescent="0.35">
      <c r="A1940">
        <v>895</v>
      </c>
      <c r="B1940" t="s">
        <v>6024</v>
      </c>
      <c r="C1940" t="s">
        <v>4502</v>
      </c>
      <c r="D1940" t="str">
        <f t="shared" si="778"/>
        <v>Finance</v>
      </c>
      <c r="E1940" t="s">
        <v>5800</v>
      </c>
      <c r="F1940" t="s">
        <v>5433</v>
      </c>
      <c r="G1940" t="s">
        <v>5434</v>
      </c>
      <c r="H1940" t="s">
        <v>59</v>
      </c>
      <c r="I1940" s="32">
        <v>44846.939814814818</v>
      </c>
      <c r="J1940" s="32">
        <v>44848.939814814818</v>
      </c>
      <c r="K1940" s="32">
        <v>44850.939814814818</v>
      </c>
      <c r="L1940" s="8">
        <f t="shared" si="779"/>
        <v>4</v>
      </c>
      <c r="M1940" s="7">
        <v>44868.939814814818</v>
      </c>
      <c r="N1940" t="s">
        <v>49</v>
      </c>
      <c r="O1940" s="34">
        <v>44861.939814814818</v>
      </c>
      <c r="P1940" t="s">
        <v>50</v>
      </c>
      <c r="Q1940" t="s">
        <v>198</v>
      </c>
      <c r="R1940" s="32" t="s">
        <v>7472</v>
      </c>
      <c r="S1940" t="s">
        <v>7476</v>
      </c>
      <c r="T1940" s="34" t="s">
        <v>7476</v>
      </c>
      <c r="U1940" s="34" t="s">
        <v>7476</v>
      </c>
      <c r="V1940" s="32" t="s">
        <v>7476</v>
      </c>
      <c r="W1940" s="32" t="s">
        <v>7476</v>
      </c>
      <c r="X1940">
        <v>0</v>
      </c>
      <c r="Y1940" s="34" t="s">
        <v>7476</v>
      </c>
      <c r="Z1940" s="34" t="s">
        <v>7476</v>
      </c>
      <c r="AA1940" s="34" t="s">
        <v>7476</v>
      </c>
      <c r="AB1940" s="36" t="s">
        <v>95</v>
      </c>
      <c r="AD1940" t="s">
        <v>6025</v>
      </c>
      <c r="AE1940" t="s">
        <v>6026</v>
      </c>
      <c r="AF1940" s="16">
        <v>44847</v>
      </c>
      <c r="AG1940" t="s">
        <v>98</v>
      </c>
      <c r="AH1940">
        <v>6</v>
      </c>
      <c r="AI1940" s="8" t="str">
        <f t="shared" si="781"/>
        <v/>
      </c>
      <c r="AJ1940" s="8">
        <f t="shared" si="782"/>
        <v>14.93981481481751</v>
      </c>
      <c r="AK1940" s="38" t="str">
        <f t="shared" si="780"/>
        <v/>
      </c>
      <c r="AL1940" t="str">
        <f t="shared" si="783"/>
        <v/>
      </c>
      <c r="AM1940" t="str">
        <f t="shared" si="784"/>
        <v/>
      </c>
      <c r="AN1940" t="str">
        <f t="shared" si="785"/>
        <v/>
      </c>
      <c r="AO1940">
        <f t="shared" si="786"/>
        <v>2</v>
      </c>
      <c r="AP1940">
        <f t="shared" si="787"/>
        <v>0</v>
      </c>
      <c r="AQ1940" t="str">
        <f t="shared" si="788"/>
        <v/>
      </c>
    </row>
    <row r="1941" spans="1:43" x14ac:dyDescent="0.35">
      <c r="A1941">
        <v>884</v>
      </c>
      <c r="B1941" t="s">
        <v>6027</v>
      </c>
      <c r="C1941" t="s">
        <v>4480</v>
      </c>
      <c r="D1941" t="str">
        <f t="shared" si="778"/>
        <v>Finance</v>
      </c>
      <c r="E1941" t="s">
        <v>5800</v>
      </c>
      <c r="F1941" t="s">
        <v>5433</v>
      </c>
      <c r="G1941" t="s">
        <v>5434</v>
      </c>
      <c r="H1941" t="s">
        <v>59</v>
      </c>
      <c r="I1941" s="32">
        <v>44827.199942129628</v>
      </c>
      <c r="J1941" s="32">
        <v>44829.199942129628</v>
      </c>
      <c r="K1941" s="32">
        <v>44831.199942129628</v>
      </c>
      <c r="L1941" s="8">
        <f t="shared" si="779"/>
        <v>4</v>
      </c>
      <c r="M1941" s="7">
        <v>44853.199942129628</v>
      </c>
      <c r="N1941" t="s">
        <v>49</v>
      </c>
      <c r="O1941" s="34">
        <v>44838.199942129628</v>
      </c>
      <c r="P1941" t="s">
        <v>50</v>
      </c>
      <c r="Q1941" t="s">
        <v>51</v>
      </c>
      <c r="R1941" s="32" t="s">
        <v>7472</v>
      </c>
      <c r="S1941" t="s">
        <v>7476</v>
      </c>
      <c r="T1941" s="34" t="s">
        <v>7476</v>
      </c>
      <c r="U1941" s="34" t="s">
        <v>7476</v>
      </c>
      <c r="V1941" s="32" t="s">
        <v>7476</v>
      </c>
      <c r="W1941" s="32" t="s">
        <v>7476</v>
      </c>
      <c r="X1941">
        <v>0</v>
      </c>
      <c r="Y1941" s="34" t="s">
        <v>7476</v>
      </c>
      <c r="Z1941" s="34" t="s">
        <v>7476</v>
      </c>
      <c r="AA1941" s="34" t="s">
        <v>7476</v>
      </c>
      <c r="AB1941" s="36" t="s">
        <v>95</v>
      </c>
      <c r="AD1941" t="s">
        <v>6028</v>
      </c>
      <c r="AE1941" t="s">
        <v>6029</v>
      </c>
      <c r="AF1941" s="16">
        <v>44824</v>
      </c>
      <c r="AG1941" t="s">
        <v>68</v>
      </c>
      <c r="AH1941">
        <v>6</v>
      </c>
      <c r="AI1941" s="8" t="str">
        <f t="shared" si="781"/>
        <v/>
      </c>
      <c r="AJ1941" s="8">
        <f t="shared" si="782"/>
        <v>14.199942129627743</v>
      </c>
      <c r="AK1941" s="38" t="str">
        <f t="shared" si="780"/>
        <v/>
      </c>
      <c r="AL1941" t="str">
        <f t="shared" si="783"/>
        <v/>
      </c>
      <c r="AM1941" t="str">
        <f t="shared" si="784"/>
        <v/>
      </c>
      <c r="AN1941" t="str">
        <f t="shared" si="785"/>
        <v/>
      </c>
      <c r="AO1941">
        <f t="shared" si="786"/>
        <v>2</v>
      </c>
      <c r="AP1941">
        <f t="shared" si="787"/>
        <v>0</v>
      </c>
      <c r="AQ1941" t="str">
        <f t="shared" si="788"/>
        <v/>
      </c>
    </row>
    <row r="1942" spans="1:43" x14ac:dyDescent="0.35">
      <c r="A1942">
        <v>881</v>
      </c>
      <c r="B1942" t="s">
        <v>6030</v>
      </c>
      <c r="C1942" t="s">
        <v>4502</v>
      </c>
      <c r="D1942" t="str">
        <f t="shared" si="778"/>
        <v>Finance</v>
      </c>
      <c r="E1942" t="s">
        <v>5800</v>
      </c>
      <c r="F1942" t="s">
        <v>5433</v>
      </c>
      <c r="G1942" t="s">
        <v>5434</v>
      </c>
      <c r="H1942" t="s">
        <v>59</v>
      </c>
      <c r="I1942" s="32">
        <v>44824.199942129628</v>
      </c>
      <c r="J1942" s="32">
        <v>44828.199942129628</v>
      </c>
      <c r="K1942" s="32">
        <v>44831.199942129628</v>
      </c>
      <c r="L1942" s="8">
        <f t="shared" si="779"/>
        <v>7</v>
      </c>
      <c r="M1942" s="7">
        <v>44849.199942129628</v>
      </c>
      <c r="N1942" t="s">
        <v>49</v>
      </c>
      <c r="O1942" s="34">
        <v>44832.199942129628</v>
      </c>
      <c r="P1942" t="s">
        <v>101</v>
      </c>
      <c r="R1942" s="32">
        <v>44835.199942129628</v>
      </c>
      <c r="S1942" t="s">
        <v>101</v>
      </c>
      <c r="T1942" s="34">
        <v>44834.199942129628</v>
      </c>
      <c r="U1942" s="34">
        <v>44837.199942129628</v>
      </c>
      <c r="V1942" s="32">
        <v>44834.199942129628</v>
      </c>
      <c r="W1942" s="32">
        <v>44835.199942129628</v>
      </c>
      <c r="X1942">
        <v>1</v>
      </c>
      <c r="Y1942" s="34">
        <v>44839.199942129628</v>
      </c>
      <c r="Z1942" s="34">
        <v>44842.199942129628</v>
      </c>
      <c r="AA1942" s="34">
        <v>44843.199942129628</v>
      </c>
      <c r="AB1942" s="36" t="s">
        <v>7476</v>
      </c>
      <c r="AC1942" s="10">
        <v>44860.199942129628</v>
      </c>
      <c r="AD1942" t="s">
        <v>6031</v>
      </c>
      <c r="AE1942" t="s">
        <v>6032</v>
      </c>
      <c r="AF1942" s="16">
        <v>44826</v>
      </c>
      <c r="AG1942" t="s">
        <v>98</v>
      </c>
      <c r="AH1942">
        <v>3</v>
      </c>
      <c r="AI1942" s="8">
        <f t="shared" si="781"/>
        <v>9.1999421296277433</v>
      </c>
      <c r="AJ1942" s="8">
        <f t="shared" si="782"/>
        <v>6.1999421296277433</v>
      </c>
      <c r="AK1942" s="38">
        <f t="shared" si="780"/>
        <v>44924.199942129628</v>
      </c>
      <c r="AL1942">
        <f t="shared" si="783"/>
        <v>7</v>
      </c>
      <c r="AM1942">
        <f t="shared" si="784"/>
        <v>7</v>
      </c>
      <c r="AN1942">
        <f t="shared" si="785"/>
        <v>2</v>
      </c>
      <c r="AO1942">
        <f t="shared" si="786"/>
        <v>4</v>
      </c>
      <c r="AP1942">
        <f t="shared" si="787"/>
        <v>44859.199942129628</v>
      </c>
      <c r="AQ1942">
        <f t="shared" si="788"/>
        <v>8</v>
      </c>
    </row>
    <row r="1943" spans="1:43" x14ac:dyDescent="0.35">
      <c r="A1943">
        <v>855</v>
      </c>
      <c r="B1943" t="s">
        <v>6033</v>
      </c>
      <c r="C1943" t="s">
        <v>4480</v>
      </c>
      <c r="D1943" t="str">
        <f t="shared" si="778"/>
        <v>Finance</v>
      </c>
      <c r="E1943" t="s">
        <v>5800</v>
      </c>
      <c r="F1943" t="s">
        <v>5433</v>
      </c>
      <c r="G1943" t="s">
        <v>5434</v>
      </c>
      <c r="H1943" t="s">
        <v>59</v>
      </c>
      <c r="I1943" s="32" t="s">
        <v>7471</v>
      </c>
      <c r="J1943" s="32">
        <v>44960.002604166657</v>
      </c>
      <c r="K1943" s="32" t="s">
        <v>7473</v>
      </c>
      <c r="L1943" s="8" t="str">
        <f t="shared" si="779"/>
        <v/>
      </c>
      <c r="M1943" s="7">
        <v>44978.002604166657</v>
      </c>
      <c r="N1943" t="s">
        <v>49</v>
      </c>
      <c r="O1943" s="34">
        <v>44966.002604166657</v>
      </c>
      <c r="P1943" t="s">
        <v>101</v>
      </c>
      <c r="R1943" s="32">
        <v>44971.002604166657</v>
      </c>
      <c r="S1943" t="s">
        <v>101</v>
      </c>
      <c r="T1943" s="34">
        <v>44968.002604166657</v>
      </c>
      <c r="U1943" s="34">
        <v>44969.002604166657</v>
      </c>
      <c r="V1943" s="32">
        <v>44967.002604166657</v>
      </c>
      <c r="W1943" s="32">
        <v>44969.002604166657</v>
      </c>
      <c r="X1943">
        <v>1</v>
      </c>
      <c r="Y1943" s="34">
        <v>44971.002604166657</v>
      </c>
      <c r="Z1943" s="34">
        <v>44973.002604166657</v>
      </c>
      <c r="AA1943" s="34">
        <v>44975.002604166657</v>
      </c>
      <c r="AB1943" s="36" t="s">
        <v>7476</v>
      </c>
      <c r="AC1943" s="10">
        <v>44985.002604166657</v>
      </c>
      <c r="AD1943" t="s">
        <v>6034</v>
      </c>
      <c r="AE1943" t="s">
        <v>6035</v>
      </c>
      <c r="AF1943" s="16">
        <v>44949</v>
      </c>
      <c r="AG1943" t="s">
        <v>98</v>
      </c>
      <c r="AH1943">
        <v>6</v>
      </c>
      <c r="AK1943" s="38">
        <f t="shared" si="780"/>
        <v>45147.002604166657</v>
      </c>
    </row>
    <row r="1944" spans="1:43" x14ac:dyDescent="0.35">
      <c r="A1944">
        <v>852</v>
      </c>
      <c r="B1944" t="s">
        <v>6036</v>
      </c>
      <c r="C1944" t="s">
        <v>4471</v>
      </c>
      <c r="D1944" t="str">
        <f t="shared" si="778"/>
        <v>Finance</v>
      </c>
      <c r="E1944" t="s">
        <v>5800</v>
      </c>
      <c r="F1944" t="s">
        <v>5433</v>
      </c>
      <c r="G1944" t="s">
        <v>5434</v>
      </c>
      <c r="H1944" t="s">
        <v>59</v>
      </c>
      <c r="I1944" s="32" t="s">
        <v>7471</v>
      </c>
      <c r="J1944" s="32" t="s">
        <v>7471</v>
      </c>
      <c r="K1944" s="32">
        <v>44964.002604166657</v>
      </c>
      <c r="L1944" s="8" t="str">
        <f t="shared" si="779"/>
        <v/>
      </c>
      <c r="M1944" s="7">
        <v>44976.002604166657</v>
      </c>
      <c r="N1944" t="s">
        <v>49</v>
      </c>
      <c r="O1944" s="34">
        <v>44981.002604166657</v>
      </c>
      <c r="P1944" t="s">
        <v>50</v>
      </c>
      <c r="Q1944" t="s">
        <v>198</v>
      </c>
      <c r="R1944" s="32" t="s">
        <v>7472</v>
      </c>
      <c r="S1944" t="s">
        <v>7476</v>
      </c>
      <c r="T1944" s="34" t="s">
        <v>7476</v>
      </c>
      <c r="U1944" s="34" t="s">
        <v>7476</v>
      </c>
      <c r="V1944" s="32" t="s">
        <v>7476</v>
      </c>
      <c r="W1944" s="32" t="s">
        <v>7476</v>
      </c>
      <c r="X1944">
        <v>0</v>
      </c>
      <c r="Y1944" s="34" t="s">
        <v>7476</v>
      </c>
      <c r="Z1944" s="34" t="s">
        <v>7476</v>
      </c>
      <c r="AA1944" s="34" t="s">
        <v>7476</v>
      </c>
      <c r="AB1944" s="36" t="s">
        <v>52</v>
      </c>
      <c r="AD1944" t="s">
        <v>6037</v>
      </c>
      <c r="AE1944" t="s">
        <v>6038</v>
      </c>
      <c r="AF1944" s="16">
        <v>44973</v>
      </c>
      <c r="AG1944" t="s">
        <v>75</v>
      </c>
      <c r="AH1944">
        <v>6</v>
      </c>
      <c r="AK1944" s="38" t="str">
        <f t="shared" si="780"/>
        <v/>
      </c>
    </row>
    <row r="1945" spans="1:43" x14ac:dyDescent="0.35">
      <c r="A1945">
        <v>749</v>
      </c>
      <c r="B1945" t="s">
        <v>6039</v>
      </c>
      <c r="C1945" t="s">
        <v>4502</v>
      </c>
      <c r="D1945" t="str">
        <f t="shared" si="778"/>
        <v>Finance</v>
      </c>
      <c r="E1945" t="s">
        <v>5800</v>
      </c>
      <c r="F1945" t="s">
        <v>5433</v>
      </c>
      <c r="G1945" t="s">
        <v>5434</v>
      </c>
      <c r="H1945" t="s">
        <v>59</v>
      </c>
      <c r="I1945" s="32">
        <v>44868.220567129632</v>
      </c>
      <c r="J1945" s="32">
        <v>44869.220567129632</v>
      </c>
      <c r="K1945" s="32">
        <v>44874.220567129632</v>
      </c>
      <c r="L1945" s="8">
        <f t="shared" si="779"/>
        <v>6</v>
      </c>
      <c r="M1945" s="7">
        <v>44884.220567129632</v>
      </c>
      <c r="N1945" t="s">
        <v>49</v>
      </c>
      <c r="O1945" s="34">
        <v>44879.220567129632</v>
      </c>
      <c r="P1945" t="s">
        <v>60</v>
      </c>
      <c r="R1945" s="32">
        <v>44882.220567129632</v>
      </c>
      <c r="S1945" t="s">
        <v>61</v>
      </c>
      <c r="T1945" s="34" t="s">
        <v>7476</v>
      </c>
      <c r="U1945" s="34" t="s">
        <v>7476</v>
      </c>
      <c r="V1945" s="32">
        <v>44881.220567129632</v>
      </c>
      <c r="W1945" s="32" t="s">
        <v>7476</v>
      </c>
      <c r="X1945">
        <v>0</v>
      </c>
      <c r="Y1945" s="34" t="s">
        <v>7476</v>
      </c>
      <c r="Z1945" s="34" t="s">
        <v>7476</v>
      </c>
      <c r="AA1945" s="34" t="s">
        <v>7476</v>
      </c>
      <c r="AB1945" s="36" t="s">
        <v>7476</v>
      </c>
      <c r="AD1945" t="s">
        <v>6040</v>
      </c>
      <c r="AE1945" t="s">
        <v>6041</v>
      </c>
      <c r="AF1945" s="16">
        <v>44863</v>
      </c>
      <c r="AG1945" t="s">
        <v>64</v>
      </c>
      <c r="AH1945">
        <v>6</v>
      </c>
      <c r="AI1945" s="8">
        <f>IFERROR(R1945-AF1945,"")</f>
        <v>19.2205671296324</v>
      </c>
      <c r="AJ1945" s="8">
        <f>IFERROR(O1945-AF1945,"")</f>
        <v>16.2205671296324</v>
      </c>
      <c r="AK1945" s="38">
        <f t="shared" si="780"/>
        <v>45061.220567129632</v>
      </c>
      <c r="AL1945" t="str">
        <f>IFERROR(Z1945-W1945,"")</f>
        <v/>
      </c>
      <c r="AM1945">
        <f>IFERROR(R1945-J1945,"")</f>
        <v>13</v>
      </c>
      <c r="AN1945">
        <f>IFERROR(V1945-O1945,"")</f>
        <v>2</v>
      </c>
      <c r="AO1945">
        <f>IFERROR(J1945-I1945,"")</f>
        <v>1</v>
      </c>
      <c r="AP1945">
        <f>IFERROR(AC1945-X1945,"")</f>
        <v>0</v>
      </c>
      <c r="AQ1945" t="str">
        <f>IFERROR(AA1945-W1945,"")</f>
        <v/>
      </c>
    </row>
    <row r="1946" spans="1:43" x14ac:dyDescent="0.35">
      <c r="A1946">
        <v>744</v>
      </c>
      <c r="B1946" t="s">
        <v>6042</v>
      </c>
      <c r="C1946" t="s">
        <v>4502</v>
      </c>
      <c r="D1946" t="str">
        <f t="shared" si="778"/>
        <v>Finance</v>
      </c>
      <c r="E1946" t="s">
        <v>5800</v>
      </c>
      <c r="F1946" t="s">
        <v>5433</v>
      </c>
      <c r="G1946" t="s">
        <v>5434</v>
      </c>
      <c r="H1946" t="s">
        <v>59</v>
      </c>
      <c r="I1946" s="32">
        <v>44872.220567129632</v>
      </c>
      <c r="J1946" s="32">
        <v>44873.220567129632</v>
      </c>
      <c r="K1946" s="32" t="s">
        <v>7473</v>
      </c>
      <c r="L1946" s="8" t="str">
        <f t="shared" si="779"/>
        <v/>
      </c>
      <c r="M1946" s="7">
        <v>44894.220567129632</v>
      </c>
      <c r="N1946" t="s">
        <v>72</v>
      </c>
      <c r="O1946" s="34" t="s">
        <v>7474</v>
      </c>
      <c r="R1946" s="32" t="s">
        <v>7472</v>
      </c>
      <c r="S1946" t="s">
        <v>7476</v>
      </c>
      <c r="T1946" s="34" t="s">
        <v>7476</v>
      </c>
      <c r="U1946" s="34" t="s">
        <v>7476</v>
      </c>
      <c r="V1946" s="32" t="s">
        <v>7476</v>
      </c>
      <c r="W1946" s="32" t="s">
        <v>7476</v>
      </c>
      <c r="X1946">
        <v>0</v>
      </c>
      <c r="Y1946" s="34" t="s">
        <v>7476</v>
      </c>
      <c r="Z1946" s="34" t="s">
        <v>7476</v>
      </c>
      <c r="AA1946" s="34" t="s">
        <v>7476</v>
      </c>
      <c r="AB1946" s="36" t="s">
        <v>7476</v>
      </c>
      <c r="AD1946" t="s">
        <v>6043</v>
      </c>
      <c r="AE1946" t="s">
        <v>6044</v>
      </c>
      <c r="AG1946" t="s">
        <v>64</v>
      </c>
      <c r="AH1946">
        <v>3</v>
      </c>
      <c r="AK1946" s="38" t="str">
        <f t="shared" si="780"/>
        <v/>
      </c>
    </row>
    <row r="1947" spans="1:43" x14ac:dyDescent="0.35">
      <c r="A1947">
        <v>610</v>
      </c>
      <c r="B1947" t="s">
        <v>6045</v>
      </c>
      <c r="C1947" t="s">
        <v>4480</v>
      </c>
      <c r="D1947" t="str">
        <f t="shared" si="778"/>
        <v>Finance</v>
      </c>
      <c r="E1947" t="s">
        <v>5800</v>
      </c>
      <c r="F1947" t="s">
        <v>5433</v>
      </c>
      <c r="G1947" t="s">
        <v>5434</v>
      </c>
      <c r="H1947" t="s">
        <v>59</v>
      </c>
      <c r="I1947" s="32" t="s">
        <v>7471</v>
      </c>
      <c r="J1947" s="32">
        <v>44571.309340277781</v>
      </c>
      <c r="K1947" s="32">
        <v>44576.309340277781</v>
      </c>
      <c r="L1947" s="8" t="str">
        <f t="shared" si="779"/>
        <v/>
      </c>
      <c r="M1947" s="7">
        <v>44604.309340277781</v>
      </c>
      <c r="N1947" t="s">
        <v>49</v>
      </c>
      <c r="O1947" s="34">
        <v>44587.309340277781</v>
      </c>
      <c r="P1947" t="s">
        <v>50</v>
      </c>
      <c r="Q1947" t="s">
        <v>125</v>
      </c>
      <c r="R1947" s="32" t="s">
        <v>7472</v>
      </c>
      <c r="S1947" t="s">
        <v>7476</v>
      </c>
      <c r="T1947" s="34" t="s">
        <v>7476</v>
      </c>
      <c r="U1947" s="34" t="s">
        <v>7476</v>
      </c>
      <c r="V1947" s="32">
        <v>44590.309340277781</v>
      </c>
      <c r="W1947" s="32" t="s">
        <v>7476</v>
      </c>
      <c r="X1947">
        <v>0</v>
      </c>
      <c r="Y1947" s="34" t="s">
        <v>7476</v>
      </c>
      <c r="Z1947" s="34" t="s">
        <v>7476</v>
      </c>
      <c r="AA1947" s="34" t="s">
        <v>7476</v>
      </c>
      <c r="AB1947" s="36" t="s">
        <v>95</v>
      </c>
      <c r="AD1947" t="s">
        <v>6046</v>
      </c>
      <c r="AE1947" t="s">
        <v>6047</v>
      </c>
      <c r="AF1947" s="16">
        <v>44579</v>
      </c>
      <c r="AG1947" t="s">
        <v>93</v>
      </c>
      <c r="AH1947">
        <v>6</v>
      </c>
      <c r="AK1947" s="38">
        <f t="shared" si="780"/>
        <v>44770.309340277781</v>
      </c>
    </row>
    <row r="1948" spans="1:43" x14ac:dyDescent="0.35">
      <c r="A1948">
        <v>458</v>
      </c>
      <c r="B1948" t="s">
        <v>6048</v>
      </c>
      <c r="C1948" t="s">
        <v>4471</v>
      </c>
      <c r="D1948" t="str">
        <f t="shared" si="778"/>
        <v>Finance</v>
      </c>
      <c r="E1948" t="s">
        <v>5800</v>
      </c>
      <c r="F1948" t="s">
        <v>5433</v>
      </c>
      <c r="G1948" t="s">
        <v>5434</v>
      </c>
      <c r="H1948" t="s">
        <v>59</v>
      </c>
      <c r="I1948" s="32">
        <v>44970.571030092593</v>
      </c>
      <c r="J1948" s="32" t="s">
        <v>7471</v>
      </c>
      <c r="K1948" s="32" t="s">
        <v>7473</v>
      </c>
      <c r="L1948" s="8" t="str">
        <f t="shared" si="779"/>
        <v/>
      </c>
      <c r="M1948" s="7">
        <v>44994.571030092593</v>
      </c>
      <c r="N1948" t="s">
        <v>72</v>
      </c>
      <c r="O1948" s="34" t="s">
        <v>7474</v>
      </c>
      <c r="R1948" s="32" t="s">
        <v>7472</v>
      </c>
      <c r="S1948" t="s">
        <v>7476</v>
      </c>
      <c r="T1948" s="34" t="s">
        <v>7476</v>
      </c>
      <c r="U1948" s="34" t="s">
        <v>7476</v>
      </c>
      <c r="V1948" s="32" t="s">
        <v>7476</v>
      </c>
      <c r="W1948" s="32" t="s">
        <v>7476</v>
      </c>
      <c r="X1948">
        <v>0</v>
      </c>
      <c r="Y1948" s="34" t="s">
        <v>7476</v>
      </c>
      <c r="Z1948" s="34" t="s">
        <v>7476</v>
      </c>
      <c r="AA1948" s="34" t="s">
        <v>7476</v>
      </c>
      <c r="AB1948" s="36" t="s">
        <v>7476</v>
      </c>
      <c r="AD1948" t="s">
        <v>6049</v>
      </c>
      <c r="AE1948" t="s">
        <v>6050</v>
      </c>
      <c r="AG1948" t="s">
        <v>98</v>
      </c>
      <c r="AH1948">
        <v>6</v>
      </c>
      <c r="AK1948" s="38" t="str">
        <f t="shared" si="780"/>
        <v/>
      </c>
    </row>
    <row r="1949" spans="1:43" x14ac:dyDescent="0.35">
      <c r="A1949">
        <v>456</v>
      </c>
      <c r="B1949" t="s">
        <v>6051</v>
      </c>
      <c r="C1949" t="s">
        <v>4471</v>
      </c>
      <c r="D1949" t="str">
        <f t="shared" si="778"/>
        <v>Finance</v>
      </c>
      <c r="E1949" t="s">
        <v>5800</v>
      </c>
      <c r="F1949" t="s">
        <v>5433</v>
      </c>
      <c r="G1949" t="s">
        <v>5434</v>
      </c>
      <c r="H1949" t="s">
        <v>59</v>
      </c>
      <c r="I1949" s="32" t="s">
        <v>7471</v>
      </c>
      <c r="J1949" s="32">
        <v>44974.571030092593</v>
      </c>
      <c r="K1949" s="32">
        <v>44979.571030092593</v>
      </c>
      <c r="L1949" s="8" t="str">
        <f t="shared" si="779"/>
        <v/>
      </c>
      <c r="M1949" s="7">
        <v>45008.571030092593</v>
      </c>
      <c r="N1949" t="s">
        <v>72</v>
      </c>
      <c r="O1949" s="34" t="s">
        <v>7474</v>
      </c>
      <c r="R1949" s="32" t="s">
        <v>7472</v>
      </c>
      <c r="S1949" t="s">
        <v>7476</v>
      </c>
      <c r="T1949" s="34" t="s">
        <v>7476</v>
      </c>
      <c r="U1949" s="34" t="s">
        <v>7476</v>
      </c>
      <c r="V1949" s="32" t="s">
        <v>7476</v>
      </c>
      <c r="W1949" s="32" t="s">
        <v>7476</v>
      </c>
      <c r="X1949">
        <v>0</v>
      </c>
      <c r="Y1949" s="34" t="s">
        <v>7476</v>
      </c>
      <c r="Z1949" s="34" t="s">
        <v>7476</v>
      </c>
      <c r="AA1949" s="34" t="s">
        <v>7476</v>
      </c>
      <c r="AB1949" s="36" t="s">
        <v>7476</v>
      </c>
      <c r="AD1949" t="s">
        <v>6052</v>
      </c>
      <c r="AE1949" t="s">
        <v>6053</v>
      </c>
      <c r="AG1949" t="s">
        <v>55</v>
      </c>
      <c r="AH1949">
        <v>6</v>
      </c>
      <c r="AK1949" s="38" t="str">
        <f t="shared" si="780"/>
        <v/>
      </c>
    </row>
    <row r="1950" spans="1:43" x14ac:dyDescent="0.35">
      <c r="A1950">
        <v>399</v>
      </c>
      <c r="B1950" t="s">
        <v>6054</v>
      </c>
      <c r="C1950" t="s">
        <v>4480</v>
      </c>
      <c r="D1950" t="str">
        <f t="shared" si="778"/>
        <v>Finance</v>
      </c>
      <c r="E1950" t="s">
        <v>5800</v>
      </c>
      <c r="F1950" t="s">
        <v>5433</v>
      </c>
      <c r="G1950" t="s">
        <v>5434</v>
      </c>
      <c r="H1950" t="s">
        <v>59</v>
      </c>
      <c r="I1950" s="32">
        <v>44972.686574074083</v>
      </c>
      <c r="J1950" s="32">
        <v>44976.686574074083</v>
      </c>
      <c r="K1950" s="32">
        <v>44977.686574074083</v>
      </c>
      <c r="L1950" s="8">
        <f t="shared" si="779"/>
        <v>5</v>
      </c>
      <c r="M1950" s="7">
        <v>45005.686574074083</v>
      </c>
      <c r="N1950" t="s">
        <v>49</v>
      </c>
      <c r="O1950" s="34">
        <v>44981.686574074083</v>
      </c>
      <c r="P1950" t="s">
        <v>50</v>
      </c>
      <c r="Q1950" t="s">
        <v>51</v>
      </c>
      <c r="R1950" s="32" t="s">
        <v>7472</v>
      </c>
      <c r="S1950" t="s">
        <v>7476</v>
      </c>
      <c r="T1950" s="34" t="s">
        <v>7476</v>
      </c>
      <c r="U1950" s="34" t="s">
        <v>7476</v>
      </c>
      <c r="V1950" s="32">
        <v>44983.686574074083</v>
      </c>
      <c r="W1950" s="32" t="s">
        <v>7476</v>
      </c>
      <c r="X1950">
        <v>0</v>
      </c>
      <c r="Y1950" s="34" t="s">
        <v>7476</v>
      </c>
      <c r="Z1950" s="34" t="s">
        <v>7476</v>
      </c>
      <c r="AA1950" s="34" t="s">
        <v>7476</v>
      </c>
      <c r="AB1950" s="36" t="s">
        <v>95</v>
      </c>
      <c r="AD1950" t="s">
        <v>6055</v>
      </c>
      <c r="AE1950" t="s">
        <v>6056</v>
      </c>
      <c r="AF1950" s="16">
        <v>44972</v>
      </c>
      <c r="AG1950" t="s">
        <v>98</v>
      </c>
      <c r="AH1950">
        <v>6</v>
      </c>
      <c r="AI1950" s="8" t="str">
        <f t="shared" ref="AI1950:AI1955" si="789">IFERROR(R1950-AF1950,"")</f>
        <v/>
      </c>
      <c r="AJ1950" s="8">
        <f t="shared" ref="AJ1950:AJ1955" si="790">IFERROR(O1950-AF1950,"")</f>
        <v>9.6865740740831825</v>
      </c>
      <c r="AK1950" s="38">
        <f t="shared" si="780"/>
        <v>45163.686574074083</v>
      </c>
      <c r="AL1950" t="str">
        <f t="shared" ref="AL1950:AL1955" si="791">IFERROR(Z1950-W1950,"")</f>
        <v/>
      </c>
      <c r="AM1950" t="str">
        <f t="shared" ref="AM1950:AM1955" si="792">IFERROR(R1950-J1950,"")</f>
        <v/>
      </c>
      <c r="AN1950">
        <f t="shared" ref="AN1950:AN1955" si="793">IFERROR(V1950-O1950,"")</f>
        <v>2</v>
      </c>
      <c r="AO1950">
        <f t="shared" ref="AO1950:AO1955" si="794">IFERROR(J1950-I1950,"")</f>
        <v>4</v>
      </c>
      <c r="AP1950">
        <f t="shared" ref="AP1950:AP1955" si="795">IFERROR(AC1950-X1950,"")</f>
        <v>0</v>
      </c>
      <c r="AQ1950" t="str">
        <f t="shared" ref="AQ1950:AQ1955" si="796">IFERROR(AA1950-W1950,"")</f>
        <v/>
      </c>
    </row>
    <row r="1951" spans="1:43" x14ac:dyDescent="0.35">
      <c r="A1951">
        <v>396</v>
      </c>
      <c r="B1951" t="s">
        <v>6057</v>
      </c>
      <c r="C1951" t="s">
        <v>4502</v>
      </c>
      <c r="D1951" t="str">
        <f t="shared" si="778"/>
        <v>Finance</v>
      </c>
      <c r="E1951" t="s">
        <v>5800</v>
      </c>
      <c r="F1951" t="s">
        <v>6058</v>
      </c>
      <c r="G1951" t="s">
        <v>6059</v>
      </c>
      <c r="H1951" t="s">
        <v>59</v>
      </c>
      <c r="I1951" s="32">
        <v>44970.686574074083</v>
      </c>
      <c r="J1951" s="32">
        <v>44974.686574074083</v>
      </c>
      <c r="K1951" s="32">
        <v>44977.686574074083</v>
      </c>
      <c r="L1951" s="8">
        <f t="shared" si="779"/>
        <v>7</v>
      </c>
      <c r="M1951" s="7">
        <v>44987.686574074083</v>
      </c>
      <c r="N1951" t="s">
        <v>72</v>
      </c>
      <c r="O1951" s="34" t="s">
        <v>7474</v>
      </c>
      <c r="R1951" s="32" t="s">
        <v>7472</v>
      </c>
      <c r="S1951" t="s">
        <v>7476</v>
      </c>
      <c r="T1951" s="34" t="s">
        <v>7476</v>
      </c>
      <c r="U1951" s="34" t="s">
        <v>7476</v>
      </c>
      <c r="V1951" s="32" t="s">
        <v>7476</v>
      </c>
      <c r="W1951" s="32" t="s">
        <v>7476</v>
      </c>
      <c r="X1951">
        <v>0</v>
      </c>
      <c r="Y1951" s="34" t="s">
        <v>7476</v>
      </c>
      <c r="Z1951" s="34" t="s">
        <v>7476</v>
      </c>
      <c r="AA1951" s="34" t="s">
        <v>7476</v>
      </c>
      <c r="AB1951" s="36" t="s">
        <v>7476</v>
      </c>
      <c r="AD1951" t="s">
        <v>6060</v>
      </c>
      <c r="AE1951" t="s">
        <v>6061</v>
      </c>
      <c r="AG1951" t="s">
        <v>98</v>
      </c>
      <c r="AH1951">
        <v>6</v>
      </c>
      <c r="AI1951" s="8" t="str">
        <f t="shared" si="789"/>
        <v/>
      </c>
      <c r="AJ1951" s="8" t="str">
        <f t="shared" si="790"/>
        <v/>
      </c>
      <c r="AK1951" s="38" t="str">
        <f t="shared" si="780"/>
        <v/>
      </c>
      <c r="AL1951" t="str">
        <f t="shared" si="791"/>
        <v/>
      </c>
      <c r="AM1951" t="str">
        <f t="shared" si="792"/>
        <v/>
      </c>
      <c r="AN1951" t="str">
        <f t="shared" si="793"/>
        <v/>
      </c>
      <c r="AO1951">
        <f t="shared" si="794"/>
        <v>4</v>
      </c>
      <c r="AP1951">
        <f t="shared" si="795"/>
        <v>0</v>
      </c>
      <c r="AQ1951" t="str">
        <f t="shared" si="796"/>
        <v/>
      </c>
    </row>
    <row r="1952" spans="1:43" x14ac:dyDescent="0.35">
      <c r="A1952">
        <v>395</v>
      </c>
      <c r="B1952" t="s">
        <v>6062</v>
      </c>
      <c r="C1952" t="s">
        <v>4471</v>
      </c>
      <c r="D1952" t="str">
        <f t="shared" si="778"/>
        <v>Finance</v>
      </c>
      <c r="E1952" t="s">
        <v>5800</v>
      </c>
      <c r="F1952" t="s">
        <v>6058</v>
      </c>
      <c r="G1952" t="s">
        <v>6059</v>
      </c>
      <c r="H1952" t="s">
        <v>59</v>
      </c>
      <c r="I1952" s="32">
        <v>44974.686574074083</v>
      </c>
      <c r="J1952" s="32">
        <v>44975.686574074083</v>
      </c>
      <c r="K1952" s="32">
        <v>44977.686574074083</v>
      </c>
      <c r="L1952" s="8">
        <f t="shared" si="779"/>
        <v>3</v>
      </c>
      <c r="M1952" s="7">
        <v>45001.686574074083</v>
      </c>
      <c r="N1952" t="s">
        <v>72</v>
      </c>
      <c r="O1952" s="34" t="s">
        <v>7474</v>
      </c>
      <c r="R1952" s="32" t="s">
        <v>7472</v>
      </c>
      <c r="S1952" t="s">
        <v>7476</v>
      </c>
      <c r="T1952" s="34" t="s">
        <v>7476</v>
      </c>
      <c r="U1952" s="34" t="s">
        <v>7476</v>
      </c>
      <c r="V1952" s="32" t="s">
        <v>7476</v>
      </c>
      <c r="W1952" s="32" t="s">
        <v>7476</v>
      </c>
      <c r="X1952">
        <v>0</v>
      </c>
      <c r="Y1952" s="34" t="s">
        <v>7476</v>
      </c>
      <c r="Z1952" s="34" t="s">
        <v>7476</v>
      </c>
      <c r="AA1952" s="34" t="s">
        <v>7476</v>
      </c>
      <c r="AB1952" s="36" t="s">
        <v>7476</v>
      </c>
      <c r="AD1952" t="s">
        <v>6063</v>
      </c>
      <c r="AE1952" t="s">
        <v>6064</v>
      </c>
      <c r="AG1952" t="s">
        <v>98</v>
      </c>
      <c r="AH1952">
        <v>3</v>
      </c>
      <c r="AI1952" s="8" t="str">
        <f t="shared" si="789"/>
        <v/>
      </c>
      <c r="AJ1952" s="8" t="str">
        <f t="shared" si="790"/>
        <v/>
      </c>
      <c r="AK1952" s="38" t="str">
        <f t="shared" si="780"/>
        <v/>
      </c>
      <c r="AL1952" t="str">
        <f t="shared" si="791"/>
        <v/>
      </c>
      <c r="AM1952" t="str">
        <f t="shared" si="792"/>
        <v/>
      </c>
      <c r="AN1952" t="str">
        <f t="shared" si="793"/>
        <v/>
      </c>
      <c r="AO1952">
        <f t="shared" si="794"/>
        <v>1</v>
      </c>
      <c r="AP1952">
        <f t="shared" si="795"/>
        <v>0</v>
      </c>
      <c r="AQ1952" t="str">
        <f t="shared" si="796"/>
        <v/>
      </c>
    </row>
    <row r="1953" spans="1:43" x14ac:dyDescent="0.35">
      <c r="A1953">
        <v>286</v>
      </c>
      <c r="B1953" t="s">
        <v>6065</v>
      </c>
      <c r="C1953" t="s">
        <v>4502</v>
      </c>
      <c r="D1953" t="str">
        <f t="shared" si="778"/>
        <v>Finance</v>
      </c>
      <c r="E1953" t="s">
        <v>5800</v>
      </c>
      <c r="F1953" t="s">
        <v>6058</v>
      </c>
      <c r="G1953" t="s">
        <v>6059</v>
      </c>
      <c r="H1953" t="s">
        <v>59</v>
      </c>
      <c r="I1953" s="32">
        <v>44703.67763888889</v>
      </c>
      <c r="J1953" s="32">
        <v>44705.67763888889</v>
      </c>
      <c r="K1953" s="32">
        <v>44706.67763888889</v>
      </c>
      <c r="L1953" s="8">
        <f t="shared" si="779"/>
        <v>3</v>
      </c>
      <c r="M1953" s="7">
        <v>44733.67763888889</v>
      </c>
      <c r="N1953" t="s">
        <v>49</v>
      </c>
      <c r="O1953" s="34">
        <v>44721.67763888889</v>
      </c>
      <c r="P1953" t="s">
        <v>101</v>
      </c>
      <c r="R1953" s="32">
        <v>44726.67763888889</v>
      </c>
      <c r="S1953" t="s">
        <v>101</v>
      </c>
      <c r="T1953" s="34">
        <v>44722.67763888889</v>
      </c>
      <c r="U1953" s="34">
        <v>44723.67763888889</v>
      </c>
      <c r="V1953" s="32">
        <v>44725.67763888889</v>
      </c>
      <c r="W1953" s="32">
        <v>44732.67763888889</v>
      </c>
      <c r="X1953">
        <v>1</v>
      </c>
      <c r="Y1953" s="34">
        <v>44734.67763888889</v>
      </c>
      <c r="Z1953" s="34">
        <v>44737.67763888889</v>
      </c>
      <c r="AA1953" s="34">
        <v>44740.67763888889</v>
      </c>
      <c r="AB1953" s="36" t="s">
        <v>7476</v>
      </c>
      <c r="AC1953" s="10">
        <v>44759.67763888889</v>
      </c>
      <c r="AD1953" t="s">
        <v>6066</v>
      </c>
      <c r="AE1953" t="s">
        <v>6067</v>
      </c>
      <c r="AF1953" s="16">
        <v>44626</v>
      </c>
      <c r="AG1953" t="s">
        <v>64</v>
      </c>
      <c r="AH1953">
        <v>6</v>
      </c>
      <c r="AI1953" s="8">
        <f t="shared" si="789"/>
        <v>100.67763888889021</v>
      </c>
      <c r="AJ1953" s="8">
        <f t="shared" si="790"/>
        <v>95.677638888890215</v>
      </c>
      <c r="AK1953" s="38">
        <f t="shared" si="780"/>
        <v>44905.67763888889</v>
      </c>
      <c r="AL1953">
        <f t="shared" si="791"/>
        <v>5</v>
      </c>
      <c r="AM1953">
        <f t="shared" si="792"/>
        <v>21</v>
      </c>
      <c r="AN1953">
        <f t="shared" si="793"/>
        <v>4</v>
      </c>
      <c r="AO1953">
        <f t="shared" si="794"/>
        <v>2</v>
      </c>
      <c r="AP1953">
        <f t="shared" si="795"/>
        <v>44758.67763888889</v>
      </c>
      <c r="AQ1953">
        <f t="shared" si="796"/>
        <v>8</v>
      </c>
    </row>
    <row r="1954" spans="1:43" x14ac:dyDescent="0.35">
      <c r="A1954">
        <v>283</v>
      </c>
      <c r="B1954" t="s">
        <v>6068</v>
      </c>
      <c r="C1954" t="s">
        <v>4480</v>
      </c>
      <c r="D1954" t="str">
        <f t="shared" si="778"/>
        <v>Finance</v>
      </c>
      <c r="E1954" t="s">
        <v>5800</v>
      </c>
      <c r="F1954" t="s">
        <v>6058</v>
      </c>
      <c r="G1954" t="s">
        <v>6059</v>
      </c>
      <c r="H1954" t="s">
        <v>59</v>
      </c>
      <c r="I1954" s="32">
        <v>44704.67763888889</v>
      </c>
      <c r="J1954" s="32">
        <v>44705.67763888889</v>
      </c>
      <c r="K1954" s="32">
        <v>44706.67763888889</v>
      </c>
      <c r="L1954" s="8">
        <f t="shared" si="779"/>
        <v>2</v>
      </c>
      <c r="M1954" s="7">
        <v>44723.67763888889</v>
      </c>
      <c r="N1954" t="s">
        <v>49</v>
      </c>
      <c r="O1954" s="34">
        <v>44721.67763888889</v>
      </c>
      <c r="P1954" t="s">
        <v>50</v>
      </c>
      <c r="Q1954" t="s">
        <v>51</v>
      </c>
      <c r="R1954" s="32" t="s">
        <v>7472</v>
      </c>
      <c r="S1954" t="s">
        <v>7476</v>
      </c>
      <c r="T1954" s="34" t="s">
        <v>7476</v>
      </c>
      <c r="U1954" s="34" t="s">
        <v>7476</v>
      </c>
      <c r="V1954" s="32">
        <v>44722.67763888889</v>
      </c>
      <c r="W1954" s="32" t="s">
        <v>7476</v>
      </c>
      <c r="X1954">
        <v>0</v>
      </c>
      <c r="Y1954" s="34" t="s">
        <v>7476</v>
      </c>
      <c r="Z1954" s="34" t="s">
        <v>7476</v>
      </c>
      <c r="AA1954" s="34" t="s">
        <v>7476</v>
      </c>
      <c r="AB1954" s="36" t="s">
        <v>52</v>
      </c>
      <c r="AD1954" t="s">
        <v>6069</v>
      </c>
      <c r="AE1954" t="s">
        <v>6070</v>
      </c>
      <c r="AF1954" s="16">
        <v>44704</v>
      </c>
      <c r="AG1954" t="s">
        <v>68</v>
      </c>
      <c r="AH1954">
        <v>6</v>
      </c>
      <c r="AI1954" s="8" t="str">
        <f t="shared" si="789"/>
        <v/>
      </c>
      <c r="AJ1954" s="8">
        <f t="shared" si="790"/>
        <v>17.677638888890215</v>
      </c>
      <c r="AK1954" s="38">
        <f t="shared" si="780"/>
        <v>44902.67763888889</v>
      </c>
      <c r="AL1954" t="str">
        <f t="shared" si="791"/>
        <v/>
      </c>
      <c r="AM1954" t="str">
        <f t="shared" si="792"/>
        <v/>
      </c>
      <c r="AN1954">
        <f t="shared" si="793"/>
        <v>1</v>
      </c>
      <c r="AO1954">
        <f t="shared" si="794"/>
        <v>1</v>
      </c>
      <c r="AP1954">
        <f t="shared" si="795"/>
        <v>0</v>
      </c>
      <c r="AQ1954" t="str">
        <f t="shared" si="796"/>
        <v/>
      </c>
    </row>
    <row r="1955" spans="1:43" x14ac:dyDescent="0.35">
      <c r="A1955">
        <v>204</v>
      </c>
      <c r="B1955" t="s">
        <v>6071</v>
      </c>
      <c r="C1955" t="s">
        <v>4480</v>
      </c>
      <c r="D1955" t="str">
        <f t="shared" si="778"/>
        <v>Finance</v>
      </c>
      <c r="E1955" t="s">
        <v>5800</v>
      </c>
      <c r="F1955" t="s">
        <v>6058</v>
      </c>
      <c r="G1955" t="s">
        <v>6059</v>
      </c>
      <c r="H1955" t="s">
        <v>59</v>
      </c>
      <c r="I1955" s="32">
        <v>44749.342893518522</v>
      </c>
      <c r="J1955" s="32">
        <v>44752.342893518522</v>
      </c>
      <c r="K1955" s="32">
        <v>44754.342893518522</v>
      </c>
      <c r="L1955" s="8">
        <f t="shared" si="779"/>
        <v>5</v>
      </c>
      <c r="M1955" s="7">
        <v>44767.342893518522</v>
      </c>
      <c r="N1955" t="s">
        <v>49</v>
      </c>
      <c r="O1955" s="34">
        <v>44763.342893518522</v>
      </c>
      <c r="P1955" t="s">
        <v>50</v>
      </c>
      <c r="Q1955" t="s">
        <v>84</v>
      </c>
      <c r="R1955" s="32" t="s">
        <v>7472</v>
      </c>
      <c r="S1955" t="s">
        <v>7476</v>
      </c>
      <c r="T1955" s="34" t="s">
        <v>7476</v>
      </c>
      <c r="U1955" s="34" t="s">
        <v>7476</v>
      </c>
      <c r="V1955" s="32" t="s">
        <v>7476</v>
      </c>
      <c r="W1955" s="32" t="s">
        <v>7476</v>
      </c>
      <c r="X1955">
        <v>0</v>
      </c>
      <c r="Y1955" s="34" t="s">
        <v>7476</v>
      </c>
      <c r="Z1955" s="34" t="s">
        <v>7476</v>
      </c>
      <c r="AA1955" s="34" t="s">
        <v>7476</v>
      </c>
      <c r="AB1955" s="36" t="s">
        <v>95</v>
      </c>
      <c r="AD1955" t="s">
        <v>6072</v>
      </c>
      <c r="AE1955" t="s">
        <v>6073</v>
      </c>
      <c r="AF1955" s="16">
        <v>44758</v>
      </c>
      <c r="AG1955" t="s">
        <v>64</v>
      </c>
      <c r="AH1955">
        <v>3</v>
      </c>
      <c r="AI1955" s="8" t="str">
        <f t="shared" si="789"/>
        <v/>
      </c>
      <c r="AJ1955" s="8">
        <f t="shared" si="790"/>
        <v>5.3428935185220325</v>
      </c>
      <c r="AK1955" s="38" t="str">
        <f t="shared" si="780"/>
        <v/>
      </c>
      <c r="AL1955" t="str">
        <f t="shared" si="791"/>
        <v/>
      </c>
      <c r="AM1955" t="str">
        <f t="shared" si="792"/>
        <v/>
      </c>
      <c r="AN1955" t="str">
        <f t="shared" si="793"/>
        <v/>
      </c>
      <c r="AO1955">
        <f t="shared" si="794"/>
        <v>3</v>
      </c>
      <c r="AP1955">
        <f t="shared" si="795"/>
        <v>0</v>
      </c>
      <c r="AQ1955" t="str">
        <f t="shared" si="796"/>
        <v/>
      </c>
    </row>
    <row r="1956" spans="1:43" x14ac:dyDescent="0.35">
      <c r="A1956">
        <v>178</v>
      </c>
      <c r="B1956" t="s">
        <v>6074</v>
      </c>
      <c r="C1956" t="s">
        <v>4480</v>
      </c>
      <c r="D1956" t="str">
        <f t="shared" si="778"/>
        <v>Finance</v>
      </c>
      <c r="E1956" t="s">
        <v>5800</v>
      </c>
      <c r="F1956" t="s">
        <v>6058</v>
      </c>
      <c r="G1956" t="s">
        <v>6059</v>
      </c>
      <c r="H1956" t="s">
        <v>59</v>
      </c>
      <c r="I1956" s="32">
        <v>45093.370925925927</v>
      </c>
      <c r="J1956" s="32">
        <v>45094.370925925927</v>
      </c>
      <c r="K1956" s="32" t="s">
        <v>7473</v>
      </c>
      <c r="L1956" s="8" t="str">
        <f t="shared" si="779"/>
        <v/>
      </c>
      <c r="M1956" s="7">
        <v>45127.370925925927</v>
      </c>
      <c r="N1956" t="s">
        <v>49</v>
      </c>
      <c r="O1956" s="34">
        <v>45110.370925925927</v>
      </c>
      <c r="P1956" t="s">
        <v>50</v>
      </c>
      <c r="Q1956" t="s">
        <v>236</v>
      </c>
      <c r="R1956" s="32" t="s">
        <v>7472</v>
      </c>
      <c r="S1956" t="s">
        <v>7476</v>
      </c>
      <c r="T1956" s="34" t="s">
        <v>7476</v>
      </c>
      <c r="U1956" s="34" t="s">
        <v>7476</v>
      </c>
      <c r="V1956" s="32" t="s">
        <v>7476</v>
      </c>
      <c r="W1956" s="32" t="s">
        <v>7476</v>
      </c>
      <c r="X1956">
        <v>0</v>
      </c>
      <c r="Y1956" s="34" t="s">
        <v>7476</v>
      </c>
      <c r="Z1956" s="34" t="s">
        <v>7476</v>
      </c>
      <c r="AA1956" s="34" t="s">
        <v>7476</v>
      </c>
      <c r="AB1956" s="36" t="s">
        <v>95</v>
      </c>
      <c r="AD1956" t="s">
        <v>6075</v>
      </c>
      <c r="AE1956" t="s">
        <v>6076</v>
      </c>
      <c r="AF1956" s="16">
        <v>45093</v>
      </c>
      <c r="AG1956" t="s">
        <v>98</v>
      </c>
      <c r="AH1956">
        <v>6</v>
      </c>
      <c r="AK1956" s="38" t="str">
        <f t="shared" si="780"/>
        <v/>
      </c>
    </row>
    <row r="1957" spans="1:43" x14ac:dyDescent="0.35">
      <c r="A1957">
        <v>106</v>
      </c>
      <c r="B1957" t="s">
        <v>6077</v>
      </c>
      <c r="C1957" t="s">
        <v>4480</v>
      </c>
      <c r="D1957" t="str">
        <f t="shared" si="778"/>
        <v>Finance</v>
      </c>
      <c r="E1957" t="s">
        <v>5800</v>
      </c>
      <c r="F1957" t="s">
        <v>6058</v>
      </c>
      <c r="G1957" t="s">
        <v>6059</v>
      </c>
      <c r="H1957" t="s">
        <v>59</v>
      </c>
      <c r="I1957" s="32">
        <v>45014.880046296297</v>
      </c>
      <c r="J1957" s="32">
        <v>45015.880046296297</v>
      </c>
      <c r="K1957" s="32">
        <v>45019.880046296297</v>
      </c>
      <c r="L1957" s="8">
        <f t="shared" si="779"/>
        <v>5</v>
      </c>
      <c r="M1957" s="7">
        <v>45045.880046296297</v>
      </c>
      <c r="N1957" t="s">
        <v>49</v>
      </c>
      <c r="O1957" s="34">
        <v>45032.880046296297</v>
      </c>
      <c r="P1957" t="s">
        <v>50</v>
      </c>
      <c r="Q1957" t="s">
        <v>84</v>
      </c>
      <c r="R1957" s="32" t="s">
        <v>7472</v>
      </c>
      <c r="S1957" t="s">
        <v>7476</v>
      </c>
      <c r="T1957" s="34" t="s">
        <v>7476</v>
      </c>
      <c r="U1957" s="34" t="s">
        <v>7476</v>
      </c>
      <c r="V1957" s="32" t="s">
        <v>7476</v>
      </c>
      <c r="W1957" s="32" t="s">
        <v>7476</v>
      </c>
      <c r="X1957">
        <v>0</v>
      </c>
      <c r="Y1957" s="34" t="s">
        <v>7476</v>
      </c>
      <c r="Z1957" s="34" t="s">
        <v>7476</v>
      </c>
      <c r="AA1957" s="34" t="s">
        <v>7476</v>
      </c>
      <c r="AB1957" s="36" t="s">
        <v>52</v>
      </c>
      <c r="AD1957" t="s">
        <v>6078</v>
      </c>
      <c r="AE1957" t="s">
        <v>6079</v>
      </c>
      <c r="AF1957" s="16">
        <v>45025</v>
      </c>
      <c r="AG1957" t="s">
        <v>68</v>
      </c>
      <c r="AH1957">
        <v>6</v>
      </c>
      <c r="AI1957" s="8" t="str">
        <f>IFERROR(R1957-AF1957,"")</f>
        <v/>
      </c>
      <c r="AJ1957" s="8">
        <f>IFERROR(O1957-AF1957,"")</f>
        <v>7.8800462962972233</v>
      </c>
      <c r="AK1957" s="38" t="str">
        <f t="shared" si="780"/>
        <v/>
      </c>
      <c r="AL1957" t="str">
        <f>IFERROR(Z1957-W1957,"")</f>
        <v/>
      </c>
      <c r="AM1957" t="str">
        <f>IFERROR(R1957-J1957,"")</f>
        <v/>
      </c>
      <c r="AN1957" t="str">
        <f>IFERROR(V1957-O1957,"")</f>
        <v/>
      </c>
      <c r="AO1957">
        <f>IFERROR(J1957-I1957,"")</f>
        <v>1</v>
      </c>
      <c r="AP1957">
        <f>IFERROR(AC1957-X1957,"")</f>
        <v>0</v>
      </c>
      <c r="AQ1957" t="str">
        <f>IFERROR(AA1957-W1957,"")</f>
        <v/>
      </c>
    </row>
    <row r="1958" spans="1:43" x14ac:dyDescent="0.35">
      <c r="A1958">
        <v>105</v>
      </c>
      <c r="B1958" t="s">
        <v>6080</v>
      </c>
      <c r="C1958" t="s">
        <v>4471</v>
      </c>
      <c r="D1958" t="str">
        <f t="shared" si="778"/>
        <v>Finance</v>
      </c>
      <c r="E1958" t="s">
        <v>5800</v>
      </c>
      <c r="F1958" t="s">
        <v>6058</v>
      </c>
      <c r="G1958" t="s">
        <v>6059</v>
      </c>
      <c r="H1958" t="s">
        <v>59</v>
      </c>
      <c r="I1958" s="32">
        <v>45010.880046296297</v>
      </c>
      <c r="J1958" s="32">
        <v>45014.880046296297</v>
      </c>
      <c r="K1958" s="32">
        <v>45019.880046296297</v>
      </c>
      <c r="L1958" s="8">
        <f t="shared" si="779"/>
        <v>9</v>
      </c>
      <c r="M1958" s="7">
        <v>45036.880046296297</v>
      </c>
      <c r="N1958" t="s">
        <v>49</v>
      </c>
      <c r="O1958" s="34">
        <v>45027.880046296297</v>
      </c>
      <c r="P1958" t="s">
        <v>60</v>
      </c>
      <c r="R1958" s="32">
        <v>45032.880046296297</v>
      </c>
      <c r="S1958" t="s">
        <v>61</v>
      </c>
      <c r="T1958" s="34" t="s">
        <v>7476</v>
      </c>
      <c r="U1958" s="34" t="s">
        <v>7476</v>
      </c>
      <c r="V1958" s="32">
        <v>45030.880046296297</v>
      </c>
      <c r="W1958" s="32" t="s">
        <v>7476</v>
      </c>
      <c r="X1958">
        <v>0</v>
      </c>
      <c r="Y1958" s="34" t="s">
        <v>7476</v>
      </c>
      <c r="Z1958" s="34" t="s">
        <v>7476</v>
      </c>
      <c r="AA1958" s="34" t="s">
        <v>7476</v>
      </c>
      <c r="AB1958" s="36" t="s">
        <v>7476</v>
      </c>
      <c r="AD1958" t="s">
        <v>6081</v>
      </c>
      <c r="AE1958" t="s">
        <v>6082</v>
      </c>
      <c r="AF1958" s="16">
        <v>45010</v>
      </c>
      <c r="AG1958" t="s">
        <v>64</v>
      </c>
      <c r="AH1958">
        <v>3</v>
      </c>
      <c r="AI1958" s="8">
        <f>IFERROR(R1958-AF1958,"")</f>
        <v>22.880046296297223</v>
      </c>
      <c r="AJ1958" s="8">
        <f>IFERROR(O1958-AF1958,"")</f>
        <v>17.880046296297223</v>
      </c>
      <c r="AK1958" s="38">
        <f t="shared" si="780"/>
        <v>45120.880046296297</v>
      </c>
      <c r="AL1958" t="str">
        <f>IFERROR(Z1958-W1958,"")</f>
        <v/>
      </c>
      <c r="AM1958">
        <f>IFERROR(R1958-J1958,"")</f>
        <v>18</v>
      </c>
      <c r="AN1958">
        <f>IFERROR(V1958-O1958,"")</f>
        <v>3</v>
      </c>
      <c r="AO1958">
        <f>IFERROR(J1958-I1958,"")</f>
        <v>4</v>
      </c>
      <c r="AP1958">
        <f>IFERROR(AC1958-X1958,"")</f>
        <v>0</v>
      </c>
      <c r="AQ1958" t="str">
        <f>IFERROR(AA1958-W1958,"")</f>
        <v/>
      </c>
    </row>
    <row r="1959" spans="1:43" x14ac:dyDescent="0.35">
      <c r="A1959">
        <v>101</v>
      </c>
      <c r="B1959" t="s">
        <v>6083</v>
      </c>
      <c r="C1959" t="s">
        <v>4502</v>
      </c>
      <c r="D1959" t="str">
        <f t="shared" si="778"/>
        <v>Finance</v>
      </c>
      <c r="E1959" t="s">
        <v>5800</v>
      </c>
      <c r="F1959" t="s">
        <v>6058</v>
      </c>
      <c r="G1959" t="s">
        <v>6059</v>
      </c>
      <c r="H1959" t="s">
        <v>59</v>
      </c>
      <c r="I1959" s="32">
        <v>45014.880046296297</v>
      </c>
      <c r="J1959" s="32">
        <v>45016.880046296297</v>
      </c>
      <c r="K1959" s="32" t="s">
        <v>7473</v>
      </c>
      <c r="L1959" s="8" t="str">
        <f t="shared" si="779"/>
        <v/>
      </c>
      <c r="M1959" s="7">
        <v>45038.880046296297</v>
      </c>
      <c r="N1959" t="s">
        <v>49</v>
      </c>
      <c r="O1959" s="34">
        <v>45034.880046296297</v>
      </c>
      <c r="P1959" t="s">
        <v>50</v>
      </c>
      <c r="Q1959" t="s">
        <v>84</v>
      </c>
      <c r="R1959" s="32" t="s">
        <v>7472</v>
      </c>
      <c r="S1959" t="s">
        <v>7476</v>
      </c>
      <c r="T1959" s="34" t="s">
        <v>7476</v>
      </c>
      <c r="U1959" s="34" t="s">
        <v>7476</v>
      </c>
      <c r="V1959" s="32" t="s">
        <v>7476</v>
      </c>
      <c r="W1959" s="32" t="s">
        <v>7476</v>
      </c>
      <c r="X1959">
        <v>0</v>
      </c>
      <c r="Y1959" s="34" t="s">
        <v>7476</v>
      </c>
      <c r="Z1959" s="34" t="s">
        <v>7476</v>
      </c>
      <c r="AA1959" s="34" t="s">
        <v>7476</v>
      </c>
      <c r="AB1959" s="36" t="s">
        <v>95</v>
      </c>
      <c r="AD1959" t="s">
        <v>6084</v>
      </c>
      <c r="AE1959" t="s">
        <v>6085</v>
      </c>
      <c r="AF1959" s="16">
        <v>45264</v>
      </c>
      <c r="AG1959" t="s">
        <v>55</v>
      </c>
      <c r="AH1959">
        <v>3</v>
      </c>
      <c r="AK1959" s="38" t="str">
        <f t="shared" si="780"/>
        <v/>
      </c>
    </row>
    <row r="1960" spans="1:43" x14ac:dyDescent="0.35">
      <c r="A1960">
        <v>100</v>
      </c>
      <c r="B1960" t="s">
        <v>6086</v>
      </c>
      <c r="C1960" t="s">
        <v>4502</v>
      </c>
      <c r="D1960" t="str">
        <f t="shared" si="778"/>
        <v>Finance</v>
      </c>
      <c r="E1960" t="s">
        <v>5800</v>
      </c>
      <c r="F1960" t="s">
        <v>6058</v>
      </c>
      <c r="G1960" t="s">
        <v>6059</v>
      </c>
      <c r="H1960" t="s">
        <v>59</v>
      </c>
      <c r="I1960" s="32">
        <v>44837.587280092594</v>
      </c>
      <c r="J1960" s="32">
        <v>44841.587280092594</v>
      </c>
      <c r="K1960" s="32">
        <v>44847.587280092594</v>
      </c>
      <c r="L1960" s="8">
        <f t="shared" si="779"/>
        <v>10</v>
      </c>
      <c r="M1960" s="7">
        <v>44863.587280092594</v>
      </c>
      <c r="N1960" t="s">
        <v>72</v>
      </c>
      <c r="O1960" s="34" t="s">
        <v>7474</v>
      </c>
      <c r="R1960" s="32" t="s">
        <v>7472</v>
      </c>
      <c r="S1960" t="s">
        <v>7476</v>
      </c>
      <c r="T1960" s="34" t="s">
        <v>7476</v>
      </c>
      <c r="U1960" s="34" t="s">
        <v>7476</v>
      </c>
      <c r="V1960" s="32" t="s">
        <v>7476</v>
      </c>
      <c r="W1960" s="32" t="s">
        <v>7476</v>
      </c>
      <c r="X1960">
        <v>0</v>
      </c>
      <c r="Y1960" s="34" t="s">
        <v>7476</v>
      </c>
      <c r="Z1960" s="34" t="s">
        <v>7476</v>
      </c>
      <c r="AA1960" s="34" t="s">
        <v>7476</v>
      </c>
      <c r="AB1960" s="36" t="s">
        <v>7476</v>
      </c>
      <c r="AD1960" t="s">
        <v>6087</v>
      </c>
      <c r="AE1960" t="s">
        <v>6088</v>
      </c>
      <c r="AG1960" t="s">
        <v>68</v>
      </c>
      <c r="AH1960">
        <v>3</v>
      </c>
      <c r="AI1960" s="8" t="str">
        <f>IFERROR(R1960-AF1960,"")</f>
        <v/>
      </c>
      <c r="AJ1960" s="8" t="str">
        <f>IFERROR(O1960-AF1960,"")</f>
        <v/>
      </c>
      <c r="AK1960" s="38" t="str">
        <f t="shared" si="780"/>
        <v/>
      </c>
      <c r="AL1960" t="str">
        <f>IFERROR(Z1960-W1960,"")</f>
        <v/>
      </c>
      <c r="AM1960" t="str">
        <f>IFERROR(R1960-J1960,"")</f>
        <v/>
      </c>
      <c r="AN1960" t="str">
        <f>IFERROR(V1960-O1960,"")</f>
        <v/>
      </c>
      <c r="AO1960">
        <f>IFERROR(J1960-I1960,"")</f>
        <v>4</v>
      </c>
      <c r="AP1960">
        <f>IFERROR(AC1960-X1960,"")</f>
        <v>0</v>
      </c>
      <c r="AQ1960" t="str">
        <f>IFERROR(AA1960-W1960,"")</f>
        <v/>
      </c>
    </row>
    <row r="1961" spans="1:43" x14ac:dyDescent="0.35">
      <c r="A1961">
        <v>91</v>
      </c>
      <c r="B1961" t="s">
        <v>6089</v>
      </c>
      <c r="C1961" t="s">
        <v>4471</v>
      </c>
      <c r="D1961" t="str">
        <f t="shared" si="778"/>
        <v>Finance</v>
      </c>
      <c r="E1961" t="s">
        <v>5800</v>
      </c>
      <c r="F1961" t="s">
        <v>6058</v>
      </c>
      <c r="G1961" t="s">
        <v>6059</v>
      </c>
      <c r="H1961" t="s">
        <v>59</v>
      </c>
      <c r="I1961" s="32">
        <v>44842.587280092594</v>
      </c>
      <c r="J1961" s="32">
        <v>44844.587280092594</v>
      </c>
      <c r="K1961" s="32">
        <v>44847.587280092594</v>
      </c>
      <c r="L1961" s="8">
        <f t="shared" si="779"/>
        <v>5</v>
      </c>
      <c r="M1961" s="7">
        <v>44858.587280092594</v>
      </c>
      <c r="N1961" t="s">
        <v>49</v>
      </c>
      <c r="O1961" s="34">
        <v>44859.587280092594</v>
      </c>
      <c r="P1961" t="s">
        <v>60</v>
      </c>
      <c r="R1961" s="32">
        <v>44864.587280092594</v>
      </c>
      <c r="S1961" t="s">
        <v>61</v>
      </c>
      <c r="T1961" s="34" t="s">
        <v>7476</v>
      </c>
      <c r="U1961" s="34" t="s">
        <v>7476</v>
      </c>
      <c r="V1961" s="32">
        <v>44860.587280092594</v>
      </c>
      <c r="W1961" s="32" t="s">
        <v>7476</v>
      </c>
      <c r="X1961">
        <v>0</v>
      </c>
      <c r="Y1961" s="34" t="s">
        <v>7476</v>
      </c>
      <c r="Z1961" s="34" t="s">
        <v>7476</v>
      </c>
      <c r="AA1961" s="34" t="s">
        <v>7476</v>
      </c>
      <c r="AB1961" s="36" t="s">
        <v>7476</v>
      </c>
      <c r="AD1961" t="s">
        <v>6090</v>
      </c>
      <c r="AE1961" t="s">
        <v>6091</v>
      </c>
      <c r="AF1961" s="16">
        <v>44847</v>
      </c>
      <c r="AG1961" t="s">
        <v>68</v>
      </c>
      <c r="AH1961">
        <v>3</v>
      </c>
      <c r="AI1961" s="8">
        <f>IFERROR(R1961-AF1961,"")</f>
        <v>17.587280092593573</v>
      </c>
      <c r="AJ1961" s="8">
        <f>IFERROR(O1961-AF1961,"")</f>
        <v>12.587280092593573</v>
      </c>
      <c r="AK1961" s="38">
        <f t="shared" si="780"/>
        <v>44950.587280092594</v>
      </c>
      <c r="AL1961" t="str">
        <f>IFERROR(Z1961-W1961,"")</f>
        <v/>
      </c>
      <c r="AM1961">
        <f>IFERROR(R1961-J1961,"")</f>
        <v>20</v>
      </c>
      <c r="AN1961">
        <f>IFERROR(V1961-O1961,"")</f>
        <v>1</v>
      </c>
      <c r="AO1961">
        <f>IFERROR(J1961-I1961,"")</f>
        <v>2</v>
      </c>
      <c r="AP1961">
        <f>IFERROR(AC1961-X1961,"")</f>
        <v>0</v>
      </c>
      <c r="AQ1961" t="str">
        <f>IFERROR(AA1961-W1961,"")</f>
        <v/>
      </c>
    </row>
    <row r="1962" spans="1:43" x14ac:dyDescent="0.35">
      <c r="A1962">
        <v>30</v>
      </c>
      <c r="B1962" t="s">
        <v>6092</v>
      </c>
      <c r="C1962" t="s">
        <v>4480</v>
      </c>
      <c r="D1962" t="str">
        <f t="shared" si="778"/>
        <v>Finance</v>
      </c>
      <c r="E1962" t="s">
        <v>5800</v>
      </c>
      <c r="F1962" t="s">
        <v>6058</v>
      </c>
      <c r="G1962" t="s">
        <v>6059</v>
      </c>
      <c r="H1962" t="s">
        <v>59</v>
      </c>
      <c r="I1962" s="32">
        <v>44920.453449074077</v>
      </c>
      <c r="J1962" s="32">
        <v>44924.453449074077</v>
      </c>
      <c r="K1962" s="32" t="s">
        <v>7473</v>
      </c>
      <c r="L1962" s="8" t="str">
        <f t="shared" si="779"/>
        <v/>
      </c>
      <c r="M1962" s="7">
        <v>44937.453449074077</v>
      </c>
      <c r="N1962" t="s">
        <v>72</v>
      </c>
      <c r="O1962" s="34" t="s">
        <v>7474</v>
      </c>
      <c r="R1962" s="32" t="s">
        <v>7472</v>
      </c>
      <c r="S1962" t="s">
        <v>7476</v>
      </c>
      <c r="T1962" s="34" t="s">
        <v>7476</v>
      </c>
      <c r="U1962" s="34" t="s">
        <v>7476</v>
      </c>
      <c r="V1962" s="32" t="s">
        <v>7476</v>
      </c>
      <c r="W1962" s="32" t="s">
        <v>7476</v>
      </c>
      <c r="X1962">
        <v>0</v>
      </c>
      <c r="Y1962" s="34" t="s">
        <v>7476</v>
      </c>
      <c r="Z1962" s="34" t="s">
        <v>7476</v>
      </c>
      <c r="AA1962" s="34" t="s">
        <v>7476</v>
      </c>
      <c r="AB1962" s="36" t="s">
        <v>7476</v>
      </c>
      <c r="AD1962" t="s">
        <v>6093</v>
      </c>
      <c r="AE1962" t="s">
        <v>6094</v>
      </c>
      <c r="AG1962" t="s">
        <v>64</v>
      </c>
      <c r="AH1962">
        <v>3</v>
      </c>
      <c r="AK1962" s="38" t="str">
        <f t="shared" si="780"/>
        <v/>
      </c>
    </row>
    <row r="1963" spans="1:43" x14ac:dyDescent="0.35">
      <c r="A1963">
        <v>23</v>
      </c>
      <c r="B1963" t="s">
        <v>6095</v>
      </c>
      <c r="C1963" t="s">
        <v>4480</v>
      </c>
      <c r="D1963" t="str">
        <f t="shared" si="778"/>
        <v>Finance</v>
      </c>
      <c r="E1963" t="s">
        <v>5800</v>
      </c>
      <c r="F1963" t="s">
        <v>6058</v>
      </c>
      <c r="G1963" t="s">
        <v>6059</v>
      </c>
      <c r="H1963" t="s">
        <v>59</v>
      </c>
      <c r="I1963" s="32" t="s">
        <v>7471</v>
      </c>
      <c r="J1963" s="32" t="s">
        <v>7471</v>
      </c>
      <c r="K1963" s="32">
        <v>44927.453449074077</v>
      </c>
      <c r="L1963" s="8" t="str">
        <f t="shared" si="779"/>
        <v/>
      </c>
      <c r="M1963" s="7">
        <v>44953.453449074077</v>
      </c>
      <c r="N1963" t="s">
        <v>72</v>
      </c>
      <c r="O1963" s="34" t="s">
        <v>7474</v>
      </c>
      <c r="R1963" s="32" t="s">
        <v>7472</v>
      </c>
      <c r="S1963" t="s">
        <v>7476</v>
      </c>
      <c r="T1963" s="34" t="s">
        <v>7476</v>
      </c>
      <c r="U1963" s="34" t="s">
        <v>7476</v>
      </c>
      <c r="V1963" s="32" t="s">
        <v>7476</v>
      </c>
      <c r="W1963" s="32" t="s">
        <v>7476</v>
      </c>
      <c r="X1963">
        <v>0</v>
      </c>
      <c r="Y1963" s="34" t="s">
        <v>7476</v>
      </c>
      <c r="Z1963" s="34" t="s">
        <v>7476</v>
      </c>
      <c r="AA1963" s="34" t="s">
        <v>7476</v>
      </c>
      <c r="AB1963" s="36" t="s">
        <v>7476</v>
      </c>
      <c r="AD1963" t="s">
        <v>6096</v>
      </c>
      <c r="AE1963" t="s">
        <v>6097</v>
      </c>
      <c r="AG1963" t="s">
        <v>55</v>
      </c>
      <c r="AH1963">
        <v>3</v>
      </c>
      <c r="AK1963" s="38" t="str">
        <f t="shared" si="780"/>
        <v/>
      </c>
    </row>
    <row r="1964" spans="1:43" x14ac:dyDescent="0.35">
      <c r="A1964">
        <v>21</v>
      </c>
      <c r="B1964" t="s">
        <v>6098</v>
      </c>
      <c r="C1964" t="s">
        <v>4502</v>
      </c>
      <c r="D1964" t="str">
        <f t="shared" si="778"/>
        <v>Finance</v>
      </c>
      <c r="E1964" t="s">
        <v>5800</v>
      </c>
      <c r="F1964" t="s">
        <v>6058</v>
      </c>
      <c r="G1964" t="s">
        <v>6059</v>
      </c>
      <c r="H1964" t="s">
        <v>59</v>
      </c>
      <c r="I1964" s="32">
        <v>44920.453449074077</v>
      </c>
      <c r="J1964" s="32">
        <v>44921.453449074077</v>
      </c>
      <c r="K1964" s="32">
        <v>44927.453449074077</v>
      </c>
      <c r="L1964" s="8">
        <f t="shared" si="779"/>
        <v>7</v>
      </c>
      <c r="M1964" s="7">
        <v>44945.453449074077</v>
      </c>
      <c r="N1964" t="s">
        <v>49</v>
      </c>
      <c r="O1964" s="34">
        <v>44941.453449074077</v>
      </c>
      <c r="P1964" t="s">
        <v>101</v>
      </c>
      <c r="R1964" s="32">
        <v>44947.453449074077</v>
      </c>
      <c r="S1964" t="s">
        <v>101</v>
      </c>
      <c r="T1964" s="34">
        <v>44943.453449074077</v>
      </c>
      <c r="U1964" s="34">
        <v>44944.453449074077</v>
      </c>
      <c r="V1964" s="32">
        <v>44944.453449074077</v>
      </c>
      <c r="W1964" s="32">
        <v>44949.453449074077</v>
      </c>
      <c r="X1964">
        <v>1</v>
      </c>
      <c r="Y1964" s="34">
        <v>44950.453449074077</v>
      </c>
      <c r="Z1964" s="34">
        <v>44953.453449074077</v>
      </c>
      <c r="AA1964" s="34">
        <v>44956.453449074077</v>
      </c>
      <c r="AB1964" s="36" t="s">
        <v>7476</v>
      </c>
      <c r="AC1964" s="10">
        <v>44976.453449074077</v>
      </c>
      <c r="AD1964" t="s">
        <v>6099</v>
      </c>
      <c r="AE1964" t="s">
        <v>6100</v>
      </c>
      <c r="AF1964" s="16">
        <v>44986</v>
      </c>
      <c r="AG1964" t="s">
        <v>64</v>
      </c>
      <c r="AH1964">
        <v>6</v>
      </c>
      <c r="AI1964" s="8">
        <f t="shared" ref="AI1964:AI1974" si="797">IFERROR(R1964-AF1964,"")</f>
        <v>-38.546550925922929</v>
      </c>
      <c r="AJ1964" s="8">
        <f t="shared" ref="AJ1964:AJ1974" si="798">IFERROR(O1964-AF1964,"")</f>
        <v>-44.546550925922929</v>
      </c>
      <c r="AK1964" s="38">
        <f t="shared" si="780"/>
        <v>45124.453449074077</v>
      </c>
      <c r="AL1964">
        <f t="shared" ref="AL1964:AL1974" si="799">IFERROR(Z1964-W1964,"")</f>
        <v>4</v>
      </c>
      <c r="AM1964">
        <f t="shared" ref="AM1964:AM1974" si="800">IFERROR(R1964-J1964,"")</f>
        <v>26</v>
      </c>
      <c r="AN1964">
        <f t="shared" ref="AN1964:AN1974" si="801">IFERROR(V1964-O1964,"")</f>
        <v>3</v>
      </c>
      <c r="AO1964">
        <f t="shared" ref="AO1964:AO1974" si="802">IFERROR(J1964-I1964,"")</f>
        <v>1</v>
      </c>
      <c r="AP1964">
        <f t="shared" ref="AP1964:AP1974" si="803">IFERROR(AC1964-X1964,"")</f>
        <v>44975.453449074077</v>
      </c>
      <c r="AQ1964">
        <f t="shared" ref="AQ1964:AQ1974" si="804">IFERROR(AA1964-W1964,"")</f>
        <v>7</v>
      </c>
    </row>
    <row r="1965" spans="1:43" x14ac:dyDescent="0.35">
      <c r="A1965">
        <v>20</v>
      </c>
      <c r="B1965" t="s">
        <v>6101</v>
      </c>
      <c r="C1965" t="s">
        <v>4471</v>
      </c>
      <c r="D1965" t="str">
        <f t="shared" si="778"/>
        <v>Finance</v>
      </c>
      <c r="E1965" t="s">
        <v>5800</v>
      </c>
      <c r="F1965" t="s">
        <v>6058</v>
      </c>
      <c r="G1965" t="s">
        <v>6059</v>
      </c>
      <c r="H1965" t="s">
        <v>59</v>
      </c>
      <c r="I1965" s="32">
        <v>44634.901284722233</v>
      </c>
      <c r="J1965" s="32">
        <v>44637.901284722233</v>
      </c>
      <c r="K1965" s="32">
        <v>44642.901284722233</v>
      </c>
      <c r="L1965" s="8">
        <f t="shared" si="779"/>
        <v>8</v>
      </c>
      <c r="M1965" s="7">
        <v>44661.901284722233</v>
      </c>
      <c r="N1965" t="s">
        <v>49</v>
      </c>
      <c r="O1965" s="34">
        <v>44652.901284722233</v>
      </c>
      <c r="P1965" t="s">
        <v>60</v>
      </c>
      <c r="R1965" s="32">
        <v>44657.901284722233</v>
      </c>
      <c r="S1965" t="s">
        <v>61</v>
      </c>
      <c r="T1965" s="34" t="s">
        <v>7476</v>
      </c>
      <c r="U1965" s="34" t="s">
        <v>7476</v>
      </c>
      <c r="V1965" s="32">
        <v>44656.901284722233</v>
      </c>
      <c r="W1965" s="32" t="s">
        <v>7476</v>
      </c>
      <c r="X1965">
        <v>0</v>
      </c>
      <c r="Y1965" s="34" t="s">
        <v>7476</v>
      </c>
      <c r="Z1965" s="34" t="s">
        <v>7476</v>
      </c>
      <c r="AA1965" s="34" t="s">
        <v>7476</v>
      </c>
      <c r="AB1965" s="36" t="s">
        <v>7476</v>
      </c>
      <c r="AD1965" t="s">
        <v>6102</v>
      </c>
      <c r="AE1965" t="s">
        <v>6103</v>
      </c>
      <c r="AF1965" s="16">
        <v>44635</v>
      </c>
      <c r="AG1965" t="s">
        <v>64</v>
      </c>
      <c r="AH1965">
        <v>6</v>
      </c>
      <c r="AI1965" s="8">
        <f t="shared" si="797"/>
        <v>22.901284722232958</v>
      </c>
      <c r="AJ1965" s="8">
        <f t="shared" si="798"/>
        <v>17.901284722232958</v>
      </c>
      <c r="AK1965" s="38">
        <f t="shared" si="780"/>
        <v>44836.901284722233</v>
      </c>
      <c r="AL1965" t="str">
        <f t="shared" si="799"/>
        <v/>
      </c>
      <c r="AM1965">
        <f t="shared" si="800"/>
        <v>20</v>
      </c>
      <c r="AN1965">
        <f t="shared" si="801"/>
        <v>4</v>
      </c>
      <c r="AO1965">
        <f t="shared" si="802"/>
        <v>3</v>
      </c>
      <c r="AP1965">
        <f t="shared" si="803"/>
        <v>0</v>
      </c>
      <c r="AQ1965" t="str">
        <f t="shared" si="804"/>
        <v/>
      </c>
    </row>
    <row r="1966" spans="1:43" x14ac:dyDescent="0.35">
      <c r="A1966">
        <v>12</v>
      </c>
      <c r="B1966" t="s">
        <v>6104</v>
      </c>
      <c r="C1966" t="s">
        <v>4480</v>
      </c>
      <c r="D1966" t="str">
        <f t="shared" si="778"/>
        <v>Finance</v>
      </c>
      <c r="E1966" t="s">
        <v>5800</v>
      </c>
      <c r="F1966" t="s">
        <v>6058</v>
      </c>
      <c r="G1966" t="s">
        <v>6059</v>
      </c>
      <c r="H1966" t="s">
        <v>59</v>
      </c>
      <c r="I1966" s="32">
        <v>44636.901284722233</v>
      </c>
      <c r="J1966" s="32">
        <v>44638.901284722233</v>
      </c>
      <c r="K1966" s="32">
        <v>44642.901284722233</v>
      </c>
      <c r="L1966" s="8">
        <f t="shared" si="779"/>
        <v>6</v>
      </c>
      <c r="M1966" s="7">
        <v>44661.901284722233</v>
      </c>
      <c r="N1966" t="s">
        <v>72</v>
      </c>
      <c r="O1966" s="34" t="s">
        <v>7474</v>
      </c>
      <c r="R1966" s="32" t="s">
        <v>7472</v>
      </c>
      <c r="S1966" t="s">
        <v>7476</v>
      </c>
      <c r="T1966" s="34" t="s">
        <v>7476</v>
      </c>
      <c r="U1966" s="34" t="s">
        <v>7476</v>
      </c>
      <c r="V1966" s="32" t="s">
        <v>7476</v>
      </c>
      <c r="W1966" s="32" t="s">
        <v>7476</v>
      </c>
      <c r="X1966">
        <v>0</v>
      </c>
      <c r="Y1966" s="34" t="s">
        <v>7476</v>
      </c>
      <c r="Z1966" s="34" t="s">
        <v>7476</v>
      </c>
      <c r="AA1966" s="34" t="s">
        <v>7476</v>
      </c>
      <c r="AB1966" s="36" t="s">
        <v>7476</v>
      </c>
      <c r="AD1966" t="s">
        <v>6105</v>
      </c>
      <c r="AE1966" t="s">
        <v>6106</v>
      </c>
      <c r="AG1966" t="s">
        <v>98</v>
      </c>
      <c r="AH1966">
        <v>6</v>
      </c>
      <c r="AI1966" s="8" t="str">
        <f t="shared" si="797"/>
        <v/>
      </c>
      <c r="AJ1966" s="8" t="str">
        <f t="shared" si="798"/>
        <v/>
      </c>
      <c r="AK1966" s="38" t="str">
        <f t="shared" si="780"/>
        <v/>
      </c>
      <c r="AL1966" t="str">
        <f t="shared" si="799"/>
        <v/>
      </c>
      <c r="AM1966" t="str">
        <f t="shared" si="800"/>
        <v/>
      </c>
      <c r="AN1966" t="str">
        <f t="shared" si="801"/>
        <v/>
      </c>
      <c r="AO1966">
        <f t="shared" si="802"/>
        <v>2</v>
      </c>
      <c r="AP1966">
        <f t="shared" si="803"/>
        <v>0</v>
      </c>
      <c r="AQ1966" t="str">
        <f t="shared" si="804"/>
        <v/>
      </c>
    </row>
    <row r="1967" spans="1:43" x14ac:dyDescent="0.35">
      <c r="A1967">
        <v>439</v>
      </c>
      <c r="B1967" t="s">
        <v>6107</v>
      </c>
      <c r="C1967" t="s">
        <v>6108</v>
      </c>
      <c r="D1967" t="str">
        <f t="shared" si="778"/>
        <v>Communication and Advocacy</v>
      </c>
      <c r="E1967" t="s">
        <v>6109</v>
      </c>
      <c r="F1967" t="s">
        <v>204</v>
      </c>
      <c r="G1967" t="s">
        <v>6110</v>
      </c>
      <c r="H1967" t="s">
        <v>206</v>
      </c>
      <c r="I1967" s="32">
        <v>44736.315601851849</v>
      </c>
      <c r="J1967" s="32">
        <v>44738.315601851849</v>
      </c>
      <c r="K1967" s="32">
        <v>44741.315601851849</v>
      </c>
      <c r="L1967" s="8">
        <f t="shared" si="779"/>
        <v>5</v>
      </c>
      <c r="M1967" s="7">
        <v>44754.315601851849</v>
      </c>
      <c r="N1967" t="s">
        <v>49</v>
      </c>
      <c r="O1967" s="34">
        <v>44754.315601851849</v>
      </c>
      <c r="P1967" t="s">
        <v>50</v>
      </c>
      <c r="Q1967" t="s">
        <v>236</v>
      </c>
      <c r="R1967" s="32" t="s">
        <v>7472</v>
      </c>
      <c r="S1967" t="s">
        <v>7476</v>
      </c>
      <c r="T1967" s="34" t="s">
        <v>7476</v>
      </c>
      <c r="U1967" s="34" t="s">
        <v>7476</v>
      </c>
      <c r="V1967" s="32">
        <v>44755.315601851849</v>
      </c>
      <c r="W1967" s="32" t="s">
        <v>7476</v>
      </c>
      <c r="X1967">
        <v>0</v>
      </c>
      <c r="Y1967" s="34" t="s">
        <v>7476</v>
      </c>
      <c r="Z1967" s="34" t="s">
        <v>7476</v>
      </c>
      <c r="AA1967" s="34" t="s">
        <v>7476</v>
      </c>
      <c r="AB1967" s="36" t="s">
        <v>95</v>
      </c>
      <c r="AD1967" t="s">
        <v>6111</v>
      </c>
      <c r="AE1967" t="s">
        <v>6112</v>
      </c>
      <c r="AF1967" s="16">
        <v>44745</v>
      </c>
      <c r="AG1967" t="s">
        <v>68</v>
      </c>
      <c r="AH1967">
        <v>6</v>
      </c>
      <c r="AI1967" s="8" t="str">
        <f t="shared" si="797"/>
        <v/>
      </c>
      <c r="AJ1967" s="8">
        <f t="shared" si="798"/>
        <v>9.3156018518493511</v>
      </c>
      <c r="AK1967" s="38">
        <f t="shared" si="780"/>
        <v>44935.315601851849</v>
      </c>
      <c r="AL1967" t="str">
        <f t="shared" si="799"/>
        <v/>
      </c>
      <c r="AM1967" t="str">
        <f t="shared" si="800"/>
        <v/>
      </c>
      <c r="AN1967">
        <f t="shared" si="801"/>
        <v>1</v>
      </c>
      <c r="AO1967">
        <f t="shared" si="802"/>
        <v>2</v>
      </c>
      <c r="AP1967">
        <f t="shared" si="803"/>
        <v>0</v>
      </c>
      <c r="AQ1967" t="str">
        <f t="shared" si="804"/>
        <v/>
      </c>
    </row>
    <row r="1968" spans="1:43" x14ac:dyDescent="0.35">
      <c r="A1968">
        <v>432</v>
      </c>
      <c r="B1968" t="s">
        <v>6113</v>
      </c>
      <c r="C1968" t="s">
        <v>6108</v>
      </c>
      <c r="D1968" t="str">
        <f t="shared" si="778"/>
        <v>Communication and Advocacy</v>
      </c>
      <c r="E1968" t="s">
        <v>6109</v>
      </c>
      <c r="F1968" t="s">
        <v>204</v>
      </c>
      <c r="G1968" t="s">
        <v>6110</v>
      </c>
      <c r="H1968" t="s">
        <v>206</v>
      </c>
      <c r="I1968" s="32">
        <v>44735.315601851849</v>
      </c>
      <c r="J1968" s="32">
        <v>44736.315601851849</v>
      </c>
      <c r="K1968" s="32">
        <v>44741.315601851849</v>
      </c>
      <c r="L1968" s="8">
        <f t="shared" si="779"/>
        <v>6</v>
      </c>
      <c r="M1968" s="7">
        <v>44771.315601851849</v>
      </c>
      <c r="N1968" t="s">
        <v>49</v>
      </c>
      <c r="O1968" s="34">
        <v>44756.315601851849</v>
      </c>
      <c r="P1968" t="s">
        <v>50</v>
      </c>
      <c r="Q1968" t="s">
        <v>84</v>
      </c>
      <c r="R1968" s="32" t="s">
        <v>7472</v>
      </c>
      <c r="S1968" t="s">
        <v>7476</v>
      </c>
      <c r="T1968" s="34" t="s">
        <v>7476</v>
      </c>
      <c r="U1968" s="34" t="s">
        <v>7476</v>
      </c>
      <c r="V1968" s="32" t="s">
        <v>7476</v>
      </c>
      <c r="W1968" s="32" t="s">
        <v>7476</v>
      </c>
      <c r="X1968">
        <v>0</v>
      </c>
      <c r="Y1968" s="34" t="s">
        <v>7476</v>
      </c>
      <c r="Z1968" s="34" t="s">
        <v>7476</v>
      </c>
      <c r="AA1968" s="34" t="s">
        <v>7476</v>
      </c>
      <c r="AB1968" s="36" t="s">
        <v>52</v>
      </c>
      <c r="AD1968" t="s">
        <v>6114</v>
      </c>
      <c r="AE1968" t="s">
        <v>6115</v>
      </c>
      <c r="AF1968" s="16">
        <v>44747</v>
      </c>
      <c r="AG1968" t="s">
        <v>98</v>
      </c>
      <c r="AH1968">
        <v>6</v>
      </c>
      <c r="AI1968" s="8" t="str">
        <f t="shared" si="797"/>
        <v/>
      </c>
      <c r="AJ1968" s="8">
        <f t="shared" si="798"/>
        <v>9.3156018518493511</v>
      </c>
      <c r="AK1968" s="38" t="str">
        <f t="shared" si="780"/>
        <v/>
      </c>
      <c r="AL1968" t="str">
        <f t="shared" si="799"/>
        <v/>
      </c>
      <c r="AM1968" t="str">
        <f t="shared" si="800"/>
        <v/>
      </c>
      <c r="AN1968" t="str">
        <f t="shared" si="801"/>
        <v/>
      </c>
      <c r="AO1968">
        <f t="shared" si="802"/>
        <v>1</v>
      </c>
      <c r="AP1968">
        <f t="shared" si="803"/>
        <v>0</v>
      </c>
      <c r="AQ1968" t="str">
        <f t="shared" si="804"/>
        <v/>
      </c>
    </row>
    <row r="1969" spans="1:43" x14ac:dyDescent="0.35">
      <c r="A1969">
        <v>365</v>
      </c>
      <c r="B1969" t="s">
        <v>6116</v>
      </c>
      <c r="C1969" t="s">
        <v>6108</v>
      </c>
      <c r="D1969" t="str">
        <f t="shared" si="778"/>
        <v>Communication and Advocacy</v>
      </c>
      <c r="E1969" t="s">
        <v>6109</v>
      </c>
      <c r="F1969" t="s">
        <v>204</v>
      </c>
      <c r="G1969" t="s">
        <v>6110</v>
      </c>
      <c r="H1969" t="s">
        <v>206</v>
      </c>
      <c r="I1969" s="32">
        <v>44679.751585648148</v>
      </c>
      <c r="J1969" s="32">
        <v>44683.751585648148</v>
      </c>
      <c r="K1969" s="32">
        <v>44689.751585648148</v>
      </c>
      <c r="L1969" s="8">
        <f t="shared" si="779"/>
        <v>10</v>
      </c>
      <c r="M1969" s="7">
        <v>44717.751585648148</v>
      </c>
      <c r="N1969" t="s">
        <v>49</v>
      </c>
      <c r="O1969" s="34">
        <v>44696.751585648148</v>
      </c>
      <c r="P1969" t="s">
        <v>60</v>
      </c>
      <c r="R1969" s="32">
        <v>44702.751585648148</v>
      </c>
      <c r="S1969" t="s">
        <v>61</v>
      </c>
      <c r="T1969" s="34" t="s">
        <v>7476</v>
      </c>
      <c r="U1969" s="34" t="s">
        <v>7476</v>
      </c>
      <c r="V1969" s="32">
        <v>44698.751585648148</v>
      </c>
      <c r="W1969" s="32" t="s">
        <v>7476</v>
      </c>
      <c r="X1969">
        <v>0</v>
      </c>
      <c r="Y1969" s="34" t="s">
        <v>7476</v>
      </c>
      <c r="Z1969" s="34" t="s">
        <v>7476</v>
      </c>
      <c r="AA1969" s="34" t="s">
        <v>7476</v>
      </c>
      <c r="AB1969" s="36" t="s">
        <v>7476</v>
      </c>
      <c r="AD1969" t="s">
        <v>6117</v>
      </c>
      <c r="AE1969" t="s">
        <v>6118</v>
      </c>
      <c r="AF1969" s="16">
        <v>44679</v>
      </c>
      <c r="AG1969" t="s">
        <v>68</v>
      </c>
      <c r="AH1969">
        <v>6</v>
      </c>
      <c r="AI1969" s="8">
        <f t="shared" si="797"/>
        <v>23.751585648147739</v>
      </c>
      <c r="AJ1969" s="8">
        <f t="shared" si="798"/>
        <v>17.751585648147739</v>
      </c>
      <c r="AK1969" s="38">
        <f t="shared" si="780"/>
        <v>44878.751585648148</v>
      </c>
      <c r="AL1969" t="str">
        <f t="shared" si="799"/>
        <v/>
      </c>
      <c r="AM1969">
        <f t="shared" si="800"/>
        <v>19</v>
      </c>
      <c r="AN1969">
        <f t="shared" si="801"/>
        <v>2</v>
      </c>
      <c r="AO1969">
        <f t="shared" si="802"/>
        <v>4</v>
      </c>
      <c r="AP1969">
        <f t="shared" si="803"/>
        <v>0</v>
      </c>
      <c r="AQ1969" t="str">
        <f t="shared" si="804"/>
        <v/>
      </c>
    </row>
    <row r="1970" spans="1:43" x14ac:dyDescent="0.35">
      <c r="A1970">
        <v>364</v>
      </c>
      <c r="B1970" t="s">
        <v>6119</v>
      </c>
      <c r="C1970" t="s">
        <v>6108</v>
      </c>
      <c r="D1970" t="str">
        <f t="shared" si="778"/>
        <v>Communication and Advocacy</v>
      </c>
      <c r="E1970" t="s">
        <v>6109</v>
      </c>
      <c r="F1970" t="s">
        <v>204</v>
      </c>
      <c r="G1970" t="s">
        <v>6110</v>
      </c>
      <c r="H1970" t="s">
        <v>206</v>
      </c>
      <c r="I1970" s="32">
        <v>44682.751585648148</v>
      </c>
      <c r="J1970" s="32">
        <v>44685.751585648148</v>
      </c>
      <c r="K1970" s="32">
        <v>44689.751585648148</v>
      </c>
      <c r="L1970" s="8">
        <f t="shared" si="779"/>
        <v>7</v>
      </c>
      <c r="M1970" s="7">
        <v>44713.751585648148</v>
      </c>
      <c r="N1970" t="s">
        <v>49</v>
      </c>
      <c r="O1970" s="34">
        <v>44702.751585648148</v>
      </c>
      <c r="P1970" t="s">
        <v>101</v>
      </c>
      <c r="R1970" s="32">
        <v>44706.751585648148</v>
      </c>
      <c r="S1970" t="s">
        <v>101</v>
      </c>
      <c r="T1970" s="34">
        <v>44704.751585648148</v>
      </c>
      <c r="U1970" s="34">
        <v>44708.751585648148</v>
      </c>
      <c r="V1970" s="32">
        <v>44703.751585648148</v>
      </c>
      <c r="W1970" s="32">
        <v>44705.751585648148</v>
      </c>
      <c r="X1970">
        <v>1</v>
      </c>
      <c r="Y1970" s="34">
        <v>44708.751585648148</v>
      </c>
      <c r="Z1970" s="34">
        <v>44711.751585648148</v>
      </c>
      <c r="AA1970" s="34">
        <v>44712.751585648148</v>
      </c>
      <c r="AB1970" s="36" t="s">
        <v>7476</v>
      </c>
      <c r="AC1970" s="10">
        <v>44732.751585648148</v>
      </c>
      <c r="AD1970" t="s">
        <v>6120</v>
      </c>
      <c r="AE1970" t="s">
        <v>6121</v>
      </c>
      <c r="AF1970" s="16">
        <v>44686</v>
      </c>
      <c r="AG1970" t="s">
        <v>68</v>
      </c>
      <c r="AH1970">
        <v>3</v>
      </c>
      <c r="AI1970" s="8">
        <f t="shared" si="797"/>
        <v>20.751585648147739</v>
      </c>
      <c r="AJ1970" s="8">
        <f t="shared" si="798"/>
        <v>16.751585648147739</v>
      </c>
      <c r="AK1970" s="38">
        <f t="shared" si="780"/>
        <v>44793.751585648148</v>
      </c>
      <c r="AL1970">
        <f t="shared" si="799"/>
        <v>6</v>
      </c>
      <c r="AM1970">
        <f t="shared" si="800"/>
        <v>21</v>
      </c>
      <c r="AN1970">
        <f t="shared" si="801"/>
        <v>1</v>
      </c>
      <c r="AO1970">
        <f t="shared" si="802"/>
        <v>3</v>
      </c>
      <c r="AP1970">
        <f t="shared" si="803"/>
        <v>44731.751585648148</v>
      </c>
      <c r="AQ1970">
        <f t="shared" si="804"/>
        <v>7</v>
      </c>
    </row>
    <row r="1971" spans="1:43" x14ac:dyDescent="0.35">
      <c r="A1971">
        <v>360</v>
      </c>
      <c r="B1971" t="s">
        <v>6122</v>
      </c>
      <c r="C1971" t="s">
        <v>6123</v>
      </c>
      <c r="D1971" t="str">
        <f t="shared" si="778"/>
        <v>Communication and Advocacy</v>
      </c>
      <c r="E1971" t="s">
        <v>6109</v>
      </c>
      <c r="F1971" t="s">
        <v>204</v>
      </c>
      <c r="G1971" t="s">
        <v>6110</v>
      </c>
      <c r="H1971" t="s">
        <v>206</v>
      </c>
      <c r="I1971" s="32">
        <v>44842.176585648151</v>
      </c>
      <c r="J1971" s="32">
        <v>44843.176585648151</v>
      </c>
      <c r="K1971" s="32">
        <v>44844.176585648151</v>
      </c>
      <c r="L1971" s="8">
        <f t="shared" si="779"/>
        <v>2</v>
      </c>
      <c r="M1971" s="7">
        <v>44864.176585648151</v>
      </c>
      <c r="N1971" t="s">
        <v>49</v>
      </c>
      <c r="O1971" s="34">
        <v>44852.176585648151</v>
      </c>
      <c r="P1971" t="s">
        <v>50</v>
      </c>
      <c r="Q1971" t="s">
        <v>84</v>
      </c>
      <c r="R1971" s="32" t="s">
        <v>7472</v>
      </c>
      <c r="S1971" t="s">
        <v>7476</v>
      </c>
      <c r="T1971" s="34" t="s">
        <v>7476</v>
      </c>
      <c r="U1971" s="34" t="s">
        <v>7476</v>
      </c>
      <c r="V1971" s="32">
        <v>44854.176585648151</v>
      </c>
      <c r="W1971" s="32" t="s">
        <v>7476</v>
      </c>
      <c r="X1971">
        <v>0</v>
      </c>
      <c r="Y1971" s="34" t="s">
        <v>7476</v>
      </c>
      <c r="Z1971" s="34" t="s">
        <v>7476</v>
      </c>
      <c r="AA1971" s="34" t="s">
        <v>7476</v>
      </c>
      <c r="AB1971" s="36" t="s">
        <v>95</v>
      </c>
      <c r="AD1971" t="s">
        <v>6124</v>
      </c>
      <c r="AE1971" t="s">
        <v>6125</v>
      </c>
      <c r="AF1971" s="16">
        <v>44846</v>
      </c>
      <c r="AG1971" t="s">
        <v>64</v>
      </c>
      <c r="AH1971">
        <v>3</v>
      </c>
      <c r="AI1971" s="8" t="str">
        <f t="shared" si="797"/>
        <v/>
      </c>
      <c r="AJ1971" s="8">
        <f t="shared" si="798"/>
        <v>6.1765856481506489</v>
      </c>
      <c r="AK1971" s="38">
        <f t="shared" si="780"/>
        <v>44944.176585648151</v>
      </c>
      <c r="AL1971" t="str">
        <f t="shared" si="799"/>
        <v/>
      </c>
      <c r="AM1971" t="str">
        <f t="shared" si="800"/>
        <v/>
      </c>
      <c r="AN1971">
        <f t="shared" si="801"/>
        <v>2</v>
      </c>
      <c r="AO1971">
        <f t="shared" si="802"/>
        <v>1</v>
      </c>
      <c r="AP1971">
        <f t="shared" si="803"/>
        <v>0</v>
      </c>
      <c r="AQ1971" t="str">
        <f t="shared" si="804"/>
        <v/>
      </c>
    </row>
    <row r="1972" spans="1:43" x14ac:dyDescent="0.35">
      <c r="A1972">
        <v>358</v>
      </c>
      <c r="B1972" t="s">
        <v>6126</v>
      </c>
      <c r="C1972" t="s">
        <v>6123</v>
      </c>
      <c r="D1972" t="str">
        <f t="shared" si="778"/>
        <v>Communication and Advocacy</v>
      </c>
      <c r="E1972" t="s">
        <v>6109</v>
      </c>
      <c r="F1972" t="s">
        <v>204</v>
      </c>
      <c r="G1972" t="s">
        <v>6110</v>
      </c>
      <c r="H1972" t="s">
        <v>206</v>
      </c>
      <c r="I1972" s="32">
        <v>44837.176585648151</v>
      </c>
      <c r="J1972" s="32">
        <v>44841.176585648151</v>
      </c>
      <c r="K1972" s="32">
        <v>44844.176585648151</v>
      </c>
      <c r="L1972" s="8">
        <f t="shared" si="779"/>
        <v>7</v>
      </c>
      <c r="M1972" s="7">
        <v>44863.176585648151</v>
      </c>
      <c r="N1972" t="s">
        <v>49</v>
      </c>
      <c r="O1972" s="34">
        <v>44850.176585648151</v>
      </c>
      <c r="P1972" t="s">
        <v>50</v>
      </c>
      <c r="Q1972" t="s">
        <v>84</v>
      </c>
      <c r="R1972" s="32" t="s">
        <v>7472</v>
      </c>
      <c r="S1972" t="s">
        <v>7476</v>
      </c>
      <c r="T1972" s="34" t="s">
        <v>7476</v>
      </c>
      <c r="U1972" s="34" t="s">
        <v>7476</v>
      </c>
      <c r="V1972" s="32">
        <v>44854.176585648151</v>
      </c>
      <c r="W1972" s="32" t="s">
        <v>7476</v>
      </c>
      <c r="X1972">
        <v>0</v>
      </c>
      <c r="Y1972" s="34" t="s">
        <v>7476</v>
      </c>
      <c r="Z1972" s="34" t="s">
        <v>7476</v>
      </c>
      <c r="AA1972" s="34" t="s">
        <v>7476</v>
      </c>
      <c r="AB1972" s="36" t="s">
        <v>95</v>
      </c>
      <c r="AD1972" t="s">
        <v>6127</v>
      </c>
      <c r="AE1972" t="s">
        <v>6128</v>
      </c>
      <c r="AF1972" s="16">
        <v>44838</v>
      </c>
      <c r="AG1972" t="s">
        <v>98</v>
      </c>
      <c r="AH1972">
        <v>3</v>
      </c>
      <c r="AI1972" s="8" t="str">
        <f t="shared" si="797"/>
        <v/>
      </c>
      <c r="AJ1972" s="8">
        <f t="shared" si="798"/>
        <v>12.176585648150649</v>
      </c>
      <c r="AK1972" s="38">
        <f t="shared" si="780"/>
        <v>44944.176585648151</v>
      </c>
      <c r="AL1972" t="str">
        <f t="shared" si="799"/>
        <v/>
      </c>
      <c r="AM1972" t="str">
        <f t="shared" si="800"/>
        <v/>
      </c>
      <c r="AN1972">
        <f t="shared" si="801"/>
        <v>4</v>
      </c>
      <c r="AO1972">
        <f t="shared" si="802"/>
        <v>4</v>
      </c>
      <c r="AP1972">
        <f t="shared" si="803"/>
        <v>0</v>
      </c>
      <c r="AQ1972" t="str">
        <f t="shared" si="804"/>
        <v/>
      </c>
    </row>
    <row r="1973" spans="1:43" x14ac:dyDescent="0.35">
      <c r="A1973">
        <v>354</v>
      </c>
      <c r="B1973" t="s">
        <v>6129</v>
      </c>
      <c r="C1973" t="s">
        <v>6123</v>
      </c>
      <c r="D1973" t="str">
        <f t="shared" si="778"/>
        <v>Communication and Advocacy</v>
      </c>
      <c r="E1973" t="s">
        <v>6109</v>
      </c>
      <c r="F1973" t="s">
        <v>204</v>
      </c>
      <c r="G1973" t="s">
        <v>6110</v>
      </c>
      <c r="H1973" t="s">
        <v>206</v>
      </c>
      <c r="I1973" s="32">
        <v>44835.176585648151</v>
      </c>
      <c r="J1973" s="32">
        <v>44838.176585648151</v>
      </c>
      <c r="K1973" s="32">
        <v>44844.176585648151</v>
      </c>
      <c r="L1973" s="8">
        <f t="shared" si="779"/>
        <v>9</v>
      </c>
      <c r="M1973" s="7">
        <v>44849.176585648151</v>
      </c>
      <c r="N1973" t="s">
        <v>49</v>
      </c>
      <c r="O1973" s="34">
        <v>44851.176585648151</v>
      </c>
      <c r="P1973" t="s">
        <v>60</v>
      </c>
      <c r="R1973" s="32">
        <v>44853.176585648151</v>
      </c>
      <c r="S1973" t="s">
        <v>61</v>
      </c>
      <c r="T1973" s="34" t="s">
        <v>7476</v>
      </c>
      <c r="U1973" s="34" t="s">
        <v>7476</v>
      </c>
      <c r="V1973" s="32">
        <v>44852.176585648151</v>
      </c>
      <c r="W1973" s="32" t="s">
        <v>7476</v>
      </c>
      <c r="X1973">
        <v>0</v>
      </c>
      <c r="Y1973" s="34" t="s">
        <v>7476</v>
      </c>
      <c r="Z1973" s="34" t="s">
        <v>7476</v>
      </c>
      <c r="AA1973" s="34" t="s">
        <v>7476</v>
      </c>
      <c r="AB1973" s="36" t="s">
        <v>7476</v>
      </c>
      <c r="AD1973" t="s">
        <v>6130</v>
      </c>
      <c r="AE1973" t="s">
        <v>6131</v>
      </c>
      <c r="AF1973" s="16">
        <v>44845</v>
      </c>
      <c r="AG1973" t="s">
        <v>64</v>
      </c>
      <c r="AH1973">
        <v>6</v>
      </c>
      <c r="AI1973" s="8">
        <f t="shared" si="797"/>
        <v>8.1765856481506489</v>
      </c>
      <c r="AJ1973" s="8">
        <f t="shared" si="798"/>
        <v>6.1765856481506489</v>
      </c>
      <c r="AK1973" s="38">
        <f t="shared" si="780"/>
        <v>45032.176585648151</v>
      </c>
      <c r="AL1973" t="str">
        <f t="shared" si="799"/>
        <v/>
      </c>
      <c r="AM1973">
        <f t="shared" si="800"/>
        <v>15</v>
      </c>
      <c r="AN1973">
        <f t="shared" si="801"/>
        <v>1</v>
      </c>
      <c r="AO1973">
        <f t="shared" si="802"/>
        <v>3</v>
      </c>
      <c r="AP1973">
        <f t="shared" si="803"/>
        <v>0</v>
      </c>
      <c r="AQ1973" t="str">
        <f t="shared" si="804"/>
        <v/>
      </c>
    </row>
    <row r="1974" spans="1:43" x14ac:dyDescent="0.35">
      <c r="A1974">
        <v>326</v>
      </c>
      <c r="B1974" t="s">
        <v>6132</v>
      </c>
      <c r="C1974" t="s">
        <v>6133</v>
      </c>
      <c r="D1974" t="str">
        <f t="shared" si="778"/>
        <v>Communication and Advocacy</v>
      </c>
      <c r="E1974" t="s">
        <v>6109</v>
      </c>
      <c r="F1974" t="s">
        <v>204</v>
      </c>
      <c r="G1974" t="s">
        <v>6110</v>
      </c>
      <c r="H1974" t="s">
        <v>206</v>
      </c>
      <c r="I1974" s="32">
        <v>44577.917696759258</v>
      </c>
      <c r="J1974" s="32">
        <v>44578.917696759258</v>
      </c>
      <c r="K1974" s="32">
        <v>44582.917696759258</v>
      </c>
      <c r="L1974" s="8">
        <f t="shared" si="779"/>
        <v>5</v>
      </c>
      <c r="M1974" s="7">
        <v>44610.917696759258</v>
      </c>
      <c r="N1974" t="s">
        <v>49</v>
      </c>
      <c r="O1974" s="34">
        <v>44584.917696759258</v>
      </c>
      <c r="P1974" t="s">
        <v>60</v>
      </c>
      <c r="R1974" s="32">
        <v>44586.917696759258</v>
      </c>
      <c r="S1974" t="s">
        <v>61</v>
      </c>
      <c r="T1974" s="34" t="s">
        <v>7476</v>
      </c>
      <c r="U1974" s="34" t="s">
        <v>7476</v>
      </c>
      <c r="V1974" s="32">
        <v>44585.917696759258</v>
      </c>
      <c r="W1974" s="32" t="s">
        <v>7476</v>
      </c>
      <c r="X1974">
        <v>0</v>
      </c>
      <c r="Y1974" s="34" t="s">
        <v>7476</v>
      </c>
      <c r="Z1974" s="34" t="s">
        <v>7476</v>
      </c>
      <c r="AA1974" s="34" t="s">
        <v>7476</v>
      </c>
      <c r="AB1974" s="36" t="s">
        <v>7476</v>
      </c>
      <c r="AD1974" t="s">
        <v>6134</v>
      </c>
      <c r="AE1974" t="s">
        <v>6135</v>
      </c>
      <c r="AF1974" s="16">
        <v>44835</v>
      </c>
      <c r="AG1974" t="s">
        <v>68</v>
      </c>
      <c r="AH1974">
        <v>6</v>
      </c>
      <c r="AI1974" s="8">
        <f t="shared" si="797"/>
        <v>-248.08230324074248</v>
      </c>
      <c r="AJ1974" s="8">
        <f t="shared" si="798"/>
        <v>-250.08230324074248</v>
      </c>
      <c r="AK1974" s="38">
        <f t="shared" si="780"/>
        <v>44765.917696759258</v>
      </c>
      <c r="AL1974" t="str">
        <f t="shared" si="799"/>
        <v/>
      </c>
      <c r="AM1974">
        <f t="shared" si="800"/>
        <v>8</v>
      </c>
      <c r="AN1974">
        <f t="shared" si="801"/>
        <v>1</v>
      </c>
      <c r="AO1974">
        <f t="shared" si="802"/>
        <v>1</v>
      </c>
      <c r="AP1974">
        <f t="shared" si="803"/>
        <v>0</v>
      </c>
      <c r="AQ1974" t="str">
        <f t="shared" si="804"/>
        <v/>
      </c>
    </row>
    <row r="1975" spans="1:43" x14ac:dyDescent="0.35">
      <c r="A1975">
        <v>324</v>
      </c>
      <c r="B1975" t="s">
        <v>6136</v>
      </c>
      <c r="C1975" t="s">
        <v>6108</v>
      </c>
      <c r="D1975" t="str">
        <f t="shared" si="778"/>
        <v>Communication and Advocacy</v>
      </c>
      <c r="E1975" t="s">
        <v>6109</v>
      </c>
      <c r="F1975" t="s">
        <v>204</v>
      </c>
      <c r="G1975" t="s">
        <v>6110</v>
      </c>
      <c r="H1975" t="s">
        <v>206</v>
      </c>
      <c r="I1975" s="32" t="s">
        <v>7471</v>
      </c>
      <c r="J1975" s="32">
        <v>44581.917696759258</v>
      </c>
      <c r="K1975" s="32">
        <v>44582.917696759258</v>
      </c>
      <c r="L1975" s="8" t="str">
        <f t="shared" si="779"/>
        <v/>
      </c>
      <c r="M1975" s="7">
        <v>44609.917696759258</v>
      </c>
      <c r="N1975" t="s">
        <v>49</v>
      </c>
      <c r="O1975" s="34">
        <v>44585.917696759258</v>
      </c>
      <c r="P1975" t="s">
        <v>101</v>
      </c>
      <c r="R1975" s="32">
        <v>44591.917696759258</v>
      </c>
      <c r="S1975" t="s">
        <v>101</v>
      </c>
      <c r="T1975" s="34">
        <v>44586.917696759258</v>
      </c>
      <c r="U1975" s="34">
        <v>44590.917696759258</v>
      </c>
      <c r="V1975" s="32">
        <v>44587.917696759258</v>
      </c>
      <c r="W1975" s="32">
        <v>44592.917696759258</v>
      </c>
      <c r="X1975">
        <v>1</v>
      </c>
      <c r="Y1975" s="34">
        <v>44593.917696759258</v>
      </c>
      <c r="Z1975" s="34">
        <v>44594.917696759258</v>
      </c>
      <c r="AA1975" s="34">
        <v>44595.917696759258</v>
      </c>
      <c r="AB1975" s="36" t="s">
        <v>7476</v>
      </c>
      <c r="AC1975" s="10">
        <v>44618.917696759258</v>
      </c>
      <c r="AD1975" t="s">
        <v>6137</v>
      </c>
      <c r="AE1975" t="s">
        <v>6138</v>
      </c>
      <c r="AF1975" s="16">
        <v>44570</v>
      </c>
      <c r="AG1975" t="s">
        <v>55</v>
      </c>
      <c r="AH1975">
        <v>6</v>
      </c>
      <c r="AK1975" s="38">
        <f t="shared" si="780"/>
        <v>44767.917696759258</v>
      </c>
    </row>
    <row r="1976" spans="1:43" x14ac:dyDescent="0.35">
      <c r="A1976">
        <v>323</v>
      </c>
      <c r="B1976" t="s">
        <v>6139</v>
      </c>
      <c r="C1976" t="s">
        <v>6108</v>
      </c>
      <c r="D1976" t="str">
        <f t="shared" si="778"/>
        <v>Communication and Advocacy</v>
      </c>
      <c r="E1976" t="s">
        <v>6109</v>
      </c>
      <c r="F1976" t="s">
        <v>204</v>
      </c>
      <c r="G1976" t="s">
        <v>6110</v>
      </c>
      <c r="H1976" t="s">
        <v>206</v>
      </c>
      <c r="I1976" s="32">
        <v>44576.917696759258</v>
      </c>
      <c r="J1976" s="32">
        <v>44578.917696759258</v>
      </c>
      <c r="K1976" s="32">
        <v>44582.917696759258</v>
      </c>
      <c r="L1976" s="8">
        <f t="shared" si="779"/>
        <v>6</v>
      </c>
      <c r="M1976" s="7">
        <v>44607.917696759258</v>
      </c>
      <c r="N1976" t="s">
        <v>49</v>
      </c>
      <c r="O1976" s="34">
        <v>44594.917696759258</v>
      </c>
      <c r="P1976" t="s">
        <v>392</v>
      </c>
      <c r="R1976" s="32">
        <v>44597.917696759258</v>
      </c>
      <c r="S1976" t="s">
        <v>392</v>
      </c>
      <c r="T1976" s="34" t="s">
        <v>7476</v>
      </c>
      <c r="U1976" s="34" t="s">
        <v>7476</v>
      </c>
      <c r="V1976" s="32">
        <v>44595.917696759258</v>
      </c>
      <c r="W1976" s="32" t="s">
        <v>7476</v>
      </c>
      <c r="X1976">
        <v>0</v>
      </c>
      <c r="Y1976" s="34" t="s">
        <v>7476</v>
      </c>
      <c r="Z1976" s="34" t="s">
        <v>7476</v>
      </c>
      <c r="AA1976" s="34" t="s">
        <v>7476</v>
      </c>
      <c r="AB1976" s="36" t="s">
        <v>7476</v>
      </c>
      <c r="AD1976" t="s">
        <v>6140</v>
      </c>
      <c r="AE1976" t="s">
        <v>6141</v>
      </c>
      <c r="AF1976" s="16">
        <v>44588</v>
      </c>
      <c r="AG1976" t="s">
        <v>98</v>
      </c>
      <c r="AH1976">
        <v>6</v>
      </c>
      <c r="AI1976" s="8">
        <f>IFERROR(R1976-AF1976,"")</f>
        <v>9.9176967592575238</v>
      </c>
      <c r="AJ1976" s="8">
        <f>IFERROR(O1976-AF1976,"")</f>
        <v>6.9176967592575238</v>
      </c>
      <c r="AK1976" s="38">
        <f t="shared" si="780"/>
        <v>44775.917696759258</v>
      </c>
      <c r="AL1976" t="str">
        <f>IFERROR(Z1976-W1976,"")</f>
        <v/>
      </c>
      <c r="AM1976">
        <f>IFERROR(R1976-J1976,"")</f>
        <v>19</v>
      </c>
      <c r="AN1976">
        <f>IFERROR(V1976-O1976,"")</f>
        <v>1</v>
      </c>
      <c r="AO1976">
        <f>IFERROR(J1976-I1976,"")</f>
        <v>2</v>
      </c>
      <c r="AP1976">
        <f>IFERROR(AC1976-X1976,"")</f>
        <v>0</v>
      </c>
      <c r="AQ1976" t="str">
        <f>IFERROR(AA1976-W1976,"")</f>
        <v/>
      </c>
    </row>
    <row r="1977" spans="1:43" x14ac:dyDescent="0.35">
      <c r="A1977">
        <v>297</v>
      </c>
      <c r="B1977" t="s">
        <v>6142</v>
      </c>
      <c r="C1977" t="s">
        <v>6133</v>
      </c>
      <c r="D1977" t="str">
        <f t="shared" si="778"/>
        <v>Communication and Advocacy</v>
      </c>
      <c r="E1977" t="s">
        <v>6109</v>
      </c>
      <c r="F1977" t="s">
        <v>204</v>
      </c>
      <c r="G1977" t="s">
        <v>6110</v>
      </c>
      <c r="H1977" t="s">
        <v>206</v>
      </c>
      <c r="I1977" s="32">
        <v>45134.740011574067</v>
      </c>
      <c r="J1977" s="32">
        <v>45137.740011574067</v>
      </c>
      <c r="K1977" s="32">
        <v>45138.740011574067</v>
      </c>
      <c r="L1977" s="8">
        <f t="shared" si="779"/>
        <v>4</v>
      </c>
      <c r="M1977" s="7">
        <v>45163.740011574067</v>
      </c>
      <c r="N1977" t="s">
        <v>49</v>
      </c>
      <c r="O1977" s="34">
        <v>45149.740011574067</v>
      </c>
      <c r="P1977" t="s">
        <v>60</v>
      </c>
      <c r="R1977" s="32">
        <v>45154.740011574067</v>
      </c>
      <c r="S1977" t="s">
        <v>61</v>
      </c>
      <c r="T1977" s="34" t="s">
        <v>7476</v>
      </c>
      <c r="U1977" s="34" t="s">
        <v>7476</v>
      </c>
      <c r="V1977" s="32">
        <v>45152.740011574067</v>
      </c>
      <c r="W1977" s="32" t="s">
        <v>7476</v>
      </c>
      <c r="X1977">
        <v>0</v>
      </c>
      <c r="Y1977" s="34" t="s">
        <v>7476</v>
      </c>
      <c r="Z1977" s="34" t="s">
        <v>7476</v>
      </c>
      <c r="AA1977" s="34" t="s">
        <v>7476</v>
      </c>
      <c r="AB1977" s="36" t="s">
        <v>7476</v>
      </c>
      <c r="AD1977" t="s">
        <v>6143</v>
      </c>
      <c r="AE1977" t="s">
        <v>6144</v>
      </c>
      <c r="AF1977" s="16">
        <v>45143</v>
      </c>
      <c r="AG1977" t="s">
        <v>68</v>
      </c>
      <c r="AH1977">
        <v>3</v>
      </c>
      <c r="AI1977" s="8">
        <f>IFERROR(R1977-AF1977,"")</f>
        <v>11.740011574067466</v>
      </c>
      <c r="AJ1977" s="8">
        <f>IFERROR(O1977-AF1977,"")</f>
        <v>6.7400115740674664</v>
      </c>
      <c r="AK1977" s="38">
        <f t="shared" si="780"/>
        <v>45242.740011574067</v>
      </c>
      <c r="AL1977" t="str">
        <f>IFERROR(Z1977-W1977,"")</f>
        <v/>
      </c>
      <c r="AM1977">
        <f>IFERROR(R1977-J1977,"")</f>
        <v>17</v>
      </c>
      <c r="AN1977">
        <f>IFERROR(V1977-O1977,"")</f>
        <v>3</v>
      </c>
      <c r="AO1977">
        <f>IFERROR(J1977-I1977,"")</f>
        <v>3</v>
      </c>
      <c r="AP1977">
        <f>IFERROR(AC1977-X1977,"")</f>
        <v>0</v>
      </c>
      <c r="AQ1977" t="str">
        <f>IFERROR(AA1977-W1977,"")</f>
        <v/>
      </c>
    </row>
    <row r="1978" spans="1:43" x14ac:dyDescent="0.35">
      <c r="A1978">
        <v>279</v>
      </c>
      <c r="B1978" t="s">
        <v>6145</v>
      </c>
      <c r="C1978" t="s">
        <v>6123</v>
      </c>
      <c r="D1978" t="str">
        <f t="shared" si="778"/>
        <v>Communication and Advocacy</v>
      </c>
      <c r="E1978" t="s">
        <v>6109</v>
      </c>
      <c r="F1978" t="s">
        <v>204</v>
      </c>
      <c r="G1978" t="s">
        <v>6110</v>
      </c>
      <c r="H1978" t="s">
        <v>206</v>
      </c>
      <c r="I1978" s="32" t="s">
        <v>7471</v>
      </c>
      <c r="J1978" s="32">
        <v>44848.592418981483</v>
      </c>
      <c r="K1978" s="32">
        <v>44852.592418981483</v>
      </c>
      <c r="L1978" s="8" t="str">
        <f t="shared" si="779"/>
        <v/>
      </c>
      <c r="M1978" s="7">
        <v>44874.592418981483</v>
      </c>
      <c r="N1978" t="s">
        <v>49</v>
      </c>
      <c r="O1978" s="34">
        <v>44860.592418981483</v>
      </c>
      <c r="P1978" t="s">
        <v>50</v>
      </c>
      <c r="Q1978" t="s">
        <v>236</v>
      </c>
      <c r="R1978" s="32" t="s">
        <v>7472</v>
      </c>
      <c r="S1978" t="s">
        <v>7476</v>
      </c>
      <c r="T1978" s="34" t="s">
        <v>7476</v>
      </c>
      <c r="U1978" s="34" t="s">
        <v>7476</v>
      </c>
      <c r="V1978" s="32" t="s">
        <v>7476</v>
      </c>
      <c r="W1978" s="32" t="s">
        <v>7476</v>
      </c>
      <c r="X1978">
        <v>0</v>
      </c>
      <c r="Y1978" s="34" t="s">
        <v>7476</v>
      </c>
      <c r="Z1978" s="34" t="s">
        <v>7476</v>
      </c>
      <c r="AA1978" s="34" t="s">
        <v>7476</v>
      </c>
      <c r="AB1978" s="36" t="s">
        <v>95</v>
      </c>
      <c r="AD1978" t="s">
        <v>6146</v>
      </c>
      <c r="AE1978" t="s">
        <v>6147</v>
      </c>
      <c r="AF1978" s="16">
        <v>44843</v>
      </c>
      <c r="AG1978" t="s">
        <v>98</v>
      </c>
      <c r="AH1978">
        <v>3</v>
      </c>
      <c r="AK1978" s="38" t="str">
        <f t="shared" si="780"/>
        <v/>
      </c>
    </row>
    <row r="1979" spans="1:43" x14ac:dyDescent="0.35">
      <c r="A1979">
        <v>278</v>
      </c>
      <c r="B1979" t="s">
        <v>6148</v>
      </c>
      <c r="C1979" t="s">
        <v>6123</v>
      </c>
      <c r="D1979" t="str">
        <f t="shared" si="778"/>
        <v>Communication and Advocacy</v>
      </c>
      <c r="E1979" t="s">
        <v>6109</v>
      </c>
      <c r="F1979" t="s">
        <v>204</v>
      </c>
      <c r="G1979" t="s">
        <v>6110</v>
      </c>
      <c r="H1979" t="s">
        <v>206</v>
      </c>
      <c r="I1979" s="32" t="s">
        <v>7471</v>
      </c>
      <c r="J1979" s="32">
        <v>44846.592418981483</v>
      </c>
      <c r="K1979" s="32">
        <v>44852.592418981483</v>
      </c>
      <c r="L1979" s="8" t="str">
        <f t="shared" si="779"/>
        <v/>
      </c>
      <c r="M1979" s="7">
        <v>44866.592418981483</v>
      </c>
      <c r="N1979" t="s">
        <v>49</v>
      </c>
      <c r="O1979" s="34">
        <v>44867.592418981483</v>
      </c>
      <c r="P1979" t="s">
        <v>50</v>
      </c>
      <c r="Q1979" t="s">
        <v>125</v>
      </c>
      <c r="R1979" s="32" t="s">
        <v>7472</v>
      </c>
      <c r="S1979" t="s">
        <v>7476</v>
      </c>
      <c r="T1979" s="34" t="s">
        <v>7476</v>
      </c>
      <c r="U1979" s="34" t="s">
        <v>7476</v>
      </c>
      <c r="V1979" s="32">
        <v>44868.592418981483</v>
      </c>
      <c r="W1979" s="32" t="s">
        <v>7476</v>
      </c>
      <c r="X1979">
        <v>0</v>
      </c>
      <c r="Y1979" s="34" t="s">
        <v>7476</v>
      </c>
      <c r="Z1979" s="34" t="s">
        <v>7476</v>
      </c>
      <c r="AA1979" s="34" t="s">
        <v>7476</v>
      </c>
      <c r="AB1979" s="36" t="s">
        <v>95</v>
      </c>
      <c r="AD1979" t="s">
        <v>6149</v>
      </c>
      <c r="AE1979" t="s">
        <v>6150</v>
      </c>
      <c r="AF1979" s="16">
        <v>44855</v>
      </c>
      <c r="AG1979" t="s">
        <v>64</v>
      </c>
      <c r="AH1979">
        <v>6</v>
      </c>
      <c r="AK1979" s="38">
        <f t="shared" si="780"/>
        <v>45048.592418981483</v>
      </c>
    </row>
    <row r="1980" spans="1:43" x14ac:dyDescent="0.35">
      <c r="A1980">
        <v>271</v>
      </c>
      <c r="B1980" t="s">
        <v>6151</v>
      </c>
      <c r="C1980" t="s">
        <v>6133</v>
      </c>
      <c r="D1980" t="str">
        <f t="shared" si="778"/>
        <v>Communication and Advocacy</v>
      </c>
      <c r="E1980" t="s">
        <v>6109</v>
      </c>
      <c r="F1980" t="s">
        <v>204</v>
      </c>
      <c r="G1980" t="s">
        <v>6110</v>
      </c>
      <c r="H1980" t="s">
        <v>206</v>
      </c>
      <c r="I1980" s="32">
        <v>44846.592418981483</v>
      </c>
      <c r="J1980" s="32">
        <v>44849.592418981483</v>
      </c>
      <c r="K1980" s="32">
        <v>44852.592418981483</v>
      </c>
      <c r="L1980" s="8">
        <f t="shared" si="779"/>
        <v>6</v>
      </c>
      <c r="M1980" s="7">
        <v>44862.592418981483</v>
      </c>
      <c r="N1980" t="s">
        <v>49</v>
      </c>
      <c r="O1980" s="34">
        <v>44861.592418981483</v>
      </c>
      <c r="P1980" t="s">
        <v>101</v>
      </c>
      <c r="R1980" s="32">
        <v>44865.592418981483</v>
      </c>
      <c r="S1980" t="s">
        <v>101</v>
      </c>
      <c r="T1980" s="34">
        <v>44863.592418981483</v>
      </c>
      <c r="U1980" s="34">
        <v>44866.592418981483</v>
      </c>
      <c r="V1980" s="32">
        <v>44862.592418981483</v>
      </c>
      <c r="W1980" s="32">
        <v>44867.592418981483</v>
      </c>
      <c r="X1980">
        <v>1</v>
      </c>
      <c r="Y1980" s="34">
        <v>44870.592418981483</v>
      </c>
      <c r="Z1980" s="34">
        <v>44871.592418981483</v>
      </c>
      <c r="AA1980" s="34">
        <v>44872.592418981483</v>
      </c>
      <c r="AB1980" s="36" t="s">
        <v>7476</v>
      </c>
      <c r="AC1980" s="10">
        <v>44889.592418981483</v>
      </c>
      <c r="AD1980" t="s">
        <v>6152</v>
      </c>
      <c r="AE1980" t="s">
        <v>6153</v>
      </c>
      <c r="AF1980" s="16">
        <v>44855</v>
      </c>
      <c r="AG1980" t="s">
        <v>98</v>
      </c>
      <c r="AH1980">
        <v>3</v>
      </c>
      <c r="AI1980" s="8">
        <f>IFERROR(R1980-AF1980,"")</f>
        <v>10.592418981483206</v>
      </c>
      <c r="AJ1980" s="8">
        <f>IFERROR(O1980-AF1980,"")</f>
        <v>6.5924189814832062</v>
      </c>
      <c r="AK1980" s="38">
        <f t="shared" si="780"/>
        <v>44952.592418981483</v>
      </c>
      <c r="AL1980">
        <f>IFERROR(Z1980-W1980,"")</f>
        <v>4</v>
      </c>
      <c r="AM1980">
        <f>IFERROR(R1980-J1980,"")</f>
        <v>16</v>
      </c>
      <c r="AN1980">
        <f>IFERROR(V1980-O1980,"")</f>
        <v>1</v>
      </c>
      <c r="AO1980">
        <f>IFERROR(J1980-I1980,"")</f>
        <v>3</v>
      </c>
      <c r="AP1980">
        <f>IFERROR(AC1980-X1980,"")</f>
        <v>44888.592418981483</v>
      </c>
      <c r="AQ1980">
        <f>IFERROR(AA1980-W1980,"")</f>
        <v>5</v>
      </c>
    </row>
    <row r="1981" spans="1:43" x14ac:dyDescent="0.35">
      <c r="A1981">
        <v>249</v>
      </c>
      <c r="B1981" t="s">
        <v>6154</v>
      </c>
      <c r="C1981" t="s">
        <v>6108</v>
      </c>
      <c r="D1981" t="str">
        <f t="shared" si="778"/>
        <v>Communication and Advocacy</v>
      </c>
      <c r="E1981" t="s">
        <v>6109</v>
      </c>
      <c r="F1981" t="s">
        <v>204</v>
      </c>
      <c r="G1981" t="s">
        <v>6110</v>
      </c>
      <c r="H1981" t="s">
        <v>206</v>
      </c>
      <c r="I1981" s="32" t="s">
        <v>7471</v>
      </c>
      <c r="J1981" s="32">
        <v>44676.34851851852</v>
      </c>
      <c r="K1981" s="32" t="s">
        <v>7473</v>
      </c>
      <c r="L1981" s="8" t="str">
        <f t="shared" si="779"/>
        <v/>
      </c>
      <c r="M1981" s="7">
        <v>44710.34851851852</v>
      </c>
      <c r="N1981" t="s">
        <v>49</v>
      </c>
      <c r="O1981" s="34">
        <v>44688.34851851852</v>
      </c>
      <c r="P1981" t="s">
        <v>60</v>
      </c>
      <c r="R1981" s="32">
        <v>44691.34851851852</v>
      </c>
      <c r="S1981" t="s">
        <v>61</v>
      </c>
      <c r="T1981" s="34" t="s">
        <v>7476</v>
      </c>
      <c r="U1981" s="34" t="s">
        <v>7476</v>
      </c>
      <c r="V1981" s="32">
        <v>44689.34851851852</v>
      </c>
      <c r="W1981" s="32" t="s">
        <v>7476</v>
      </c>
      <c r="X1981">
        <v>0</v>
      </c>
      <c r="Y1981" s="34" t="s">
        <v>7476</v>
      </c>
      <c r="Z1981" s="34" t="s">
        <v>7476</v>
      </c>
      <c r="AA1981" s="34" t="s">
        <v>7476</v>
      </c>
      <c r="AB1981" s="36" t="s">
        <v>7476</v>
      </c>
      <c r="AD1981" t="s">
        <v>6155</v>
      </c>
      <c r="AE1981" t="s">
        <v>6156</v>
      </c>
      <c r="AF1981" s="16">
        <v>44674</v>
      </c>
      <c r="AG1981" t="s">
        <v>55</v>
      </c>
      <c r="AH1981">
        <v>3</v>
      </c>
      <c r="AK1981" s="38">
        <f t="shared" si="780"/>
        <v>44779.34851851852</v>
      </c>
    </row>
    <row r="1982" spans="1:43" x14ac:dyDescent="0.35">
      <c r="A1982">
        <v>247</v>
      </c>
      <c r="B1982" t="s">
        <v>6157</v>
      </c>
      <c r="C1982" t="s">
        <v>6108</v>
      </c>
      <c r="D1982" t="str">
        <f t="shared" si="778"/>
        <v>Communication and Advocacy</v>
      </c>
      <c r="E1982" t="s">
        <v>6109</v>
      </c>
      <c r="F1982" t="s">
        <v>204</v>
      </c>
      <c r="G1982" t="s">
        <v>6110</v>
      </c>
      <c r="H1982" t="s">
        <v>206</v>
      </c>
      <c r="I1982" s="32">
        <v>44673.34851851852</v>
      </c>
      <c r="J1982" s="32">
        <v>44676.34851851852</v>
      </c>
      <c r="K1982" s="32">
        <v>44682.34851851852</v>
      </c>
      <c r="L1982" s="8">
        <f t="shared" si="779"/>
        <v>9</v>
      </c>
      <c r="M1982" s="7">
        <v>44703.34851851852</v>
      </c>
      <c r="N1982" t="s">
        <v>49</v>
      </c>
      <c r="O1982" s="34">
        <v>44695.34851851852</v>
      </c>
      <c r="P1982" t="s">
        <v>101</v>
      </c>
      <c r="R1982" s="32">
        <v>44699.34851851852</v>
      </c>
      <c r="S1982" t="s">
        <v>101</v>
      </c>
      <c r="T1982" s="34">
        <v>44697.34851851852</v>
      </c>
      <c r="U1982" s="34">
        <v>44700.34851851852</v>
      </c>
      <c r="V1982" s="32">
        <v>44698.34851851852</v>
      </c>
      <c r="W1982" s="32">
        <v>44706.34851851852</v>
      </c>
      <c r="X1982">
        <v>1</v>
      </c>
      <c r="Y1982" s="34">
        <v>44707.34851851852</v>
      </c>
      <c r="Z1982" s="34">
        <v>44709.34851851852</v>
      </c>
      <c r="AA1982" s="34">
        <v>44711.34851851852</v>
      </c>
      <c r="AB1982" s="36" t="s">
        <v>7476</v>
      </c>
      <c r="AC1982" s="10">
        <v>44733.34851851852</v>
      </c>
      <c r="AD1982" t="s">
        <v>6158</v>
      </c>
      <c r="AE1982" t="s">
        <v>6159</v>
      </c>
      <c r="AF1982" s="16">
        <v>44656</v>
      </c>
      <c r="AG1982" t="s">
        <v>68</v>
      </c>
      <c r="AH1982">
        <v>6</v>
      </c>
      <c r="AI1982" s="8">
        <f>IFERROR(R1982-AF1982,"")</f>
        <v>43.348518518519995</v>
      </c>
      <c r="AJ1982" s="8">
        <f>IFERROR(O1982-AF1982,"")</f>
        <v>39.348518518519995</v>
      </c>
      <c r="AK1982" s="38">
        <f t="shared" si="780"/>
        <v>44878.34851851852</v>
      </c>
      <c r="AL1982">
        <f>IFERROR(Z1982-W1982,"")</f>
        <v>3</v>
      </c>
      <c r="AM1982">
        <f>IFERROR(R1982-J1982,"")</f>
        <v>23</v>
      </c>
      <c r="AN1982">
        <f>IFERROR(V1982-O1982,"")</f>
        <v>3</v>
      </c>
      <c r="AO1982">
        <f>IFERROR(J1982-I1982,"")</f>
        <v>3</v>
      </c>
      <c r="AP1982">
        <f>IFERROR(AC1982-X1982,"")</f>
        <v>44732.34851851852</v>
      </c>
      <c r="AQ1982">
        <f>IFERROR(AA1982-W1982,"")</f>
        <v>5</v>
      </c>
    </row>
    <row r="1983" spans="1:43" x14ac:dyDescent="0.35">
      <c r="A1983">
        <v>242</v>
      </c>
      <c r="B1983" t="s">
        <v>6160</v>
      </c>
      <c r="C1983" t="s">
        <v>6133</v>
      </c>
      <c r="D1983" t="str">
        <f t="shared" si="778"/>
        <v>Communication and Advocacy</v>
      </c>
      <c r="E1983" t="s">
        <v>6109</v>
      </c>
      <c r="F1983" t="s">
        <v>204</v>
      </c>
      <c r="G1983" t="s">
        <v>6110</v>
      </c>
      <c r="H1983" t="s">
        <v>206</v>
      </c>
      <c r="I1983" s="32">
        <v>44677.34851851852</v>
      </c>
      <c r="J1983" s="32">
        <v>44680.34851851852</v>
      </c>
      <c r="K1983" s="32">
        <v>44682.34851851852</v>
      </c>
      <c r="L1983" s="8">
        <f t="shared" si="779"/>
        <v>5</v>
      </c>
      <c r="M1983" s="7">
        <v>44694.34851851852</v>
      </c>
      <c r="N1983" t="s">
        <v>49</v>
      </c>
      <c r="O1983" s="34">
        <v>44696.34851851852</v>
      </c>
      <c r="P1983" t="s">
        <v>50</v>
      </c>
      <c r="Q1983" t="s">
        <v>125</v>
      </c>
      <c r="R1983" s="32" t="s">
        <v>7472</v>
      </c>
      <c r="S1983" t="s">
        <v>7476</v>
      </c>
      <c r="T1983" s="34" t="s">
        <v>7476</v>
      </c>
      <c r="U1983" s="34" t="s">
        <v>7476</v>
      </c>
      <c r="V1983" s="32" t="s">
        <v>7476</v>
      </c>
      <c r="W1983" s="32" t="s">
        <v>7476</v>
      </c>
      <c r="X1983">
        <v>0</v>
      </c>
      <c r="Y1983" s="34" t="s">
        <v>7476</v>
      </c>
      <c r="Z1983" s="34" t="s">
        <v>7476</v>
      </c>
      <c r="AA1983" s="34" t="s">
        <v>7476</v>
      </c>
      <c r="AB1983" s="36" t="s">
        <v>95</v>
      </c>
      <c r="AD1983" t="s">
        <v>6161</v>
      </c>
      <c r="AE1983" t="s">
        <v>6162</v>
      </c>
      <c r="AF1983" s="16">
        <v>44683</v>
      </c>
      <c r="AG1983" t="s">
        <v>64</v>
      </c>
      <c r="AH1983">
        <v>3</v>
      </c>
      <c r="AI1983" s="8" t="str">
        <f>IFERROR(R1983-AF1983,"")</f>
        <v/>
      </c>
      <c r="AJ1983" s="8">
        <f>IFERROR(O1983-AF1983,"")</f>
        <v>13.348518518519995</v>
      </c>
      <c r="AK1983" s="38" t="str">
        <f t="shared" si="780"/>
        <v/>
      </c>
      <c r="AL1983" t="str">
        <f>IFERROR(Z1983-W1983,"")</f>
        <v/>
      </c>
      <c r="AM1983" t="str">
        <f>IFERROR(R1983-J1983,"")</f>
        <v/>
      </c>
      <c r="AN1983" t="str">
        <f>IFERROR(V1983-O1983,"")</f>
        <v/>
      </c>
      <c r="AO1983">
        <f>IFERROR(J1983-I1983,"")</f>
        <v>3</v>
      </c>
      <c r="AP1983">
        <f>IFERROR(AC1983-X1983,"")</f>
        <v>0</v>
      </c>
      <c r="AQ1983" t="str">
        <f>IFERROR(AA1983-W1983,"")</f>
        <v/>
      </c>
    </row>
    <row r="1984" spans="1:43" x14ac:dyDescent="0.35">
      <c r="A1984">
        <v>126</v>
      </c>
      <c r="B1984" t="s">
        <v>6163</v>
      </c>
      <c r="C1984" t="s">
        <v>6108</v>
      </c>
      <c r="D1984" t="str">
        <f t="shared" si="778"/>
        <v>Communication and Advocacy</v>
      </c>
      <c r="E1984" t="s">
        <v>6109</v>
      </c>
      <c r="F1984" t="s">
        <v>204</v>
      </c>
      <c r="G1984" t="s">
        <v>6110</v>
      </c>
      <c r="H1984" t="s">
        <v>206</v>
      </c>
      <c r="I1984" s="32">
        <v>44825.472696759258</v>
      </c>
      <c r="J1984" s="32">
        <v>44827.472696759258</v>
      </c>
      <c r="K1984" s="32">
        <v>44833.472696759258</v>
      </c>
      <c r="L1984" s="8">
        <f t="shared" si="779"/>
        <v>8</v>
      </c>
      <c r="M1984" s="7">
        <v>44841.472696759258</v>
      </c>
      <c r="N1984" t="s">
        <v>49</v>
      </c>
      <c r="O1984" s="34">
        <v>44848.472696759258</v>
      </c>
      <c r="P1984" t="s">
        <v>101</v>
      </c>
      <c r="R1984" s="32">
        <v>44850.472696759258</v>
      </c>
      <c r="S1984" t="s">
        <v>101</v>
      </c>
      <c r="T1984" s="34">
        <v>44849.472696759258</v>
      </c>
      <c r="U1984" s="34">
        <v>44852.472696759258</v>
      </c>
      <c r="V1984" s="32">
        <v>44849.472696759258</v>
      </c>
      <c r="W1984" s="32">
        <v>44856.472696759258</v>
      </c>
      <c r="X1984">
        <v>1</v>
      </c>
      <c r="Y1984" s="34">
        <v>44860.472696759258</v>
      </c>
      <c r="Z1984" s="34">
        <v>44863.472696759258</v>
      </c>
      <c r="AA1984" s="34">
        <v>44864.472696759258</v>
      </c>
      <c r="AB1984" s="36" t="s">
        <v>7476</v>
      </c>
      <c r="AC1984" s="10">
        <v>44879.472696759258</v>
      </c>
      <c r="AD1984" t="s">
        <v>6164</v>
      </c>
      <c r="AE1984" t="s">
        <v>6165</v>
      </c>
      <c r="AF1984" s="16">
        <v>44833</v>
      </c>
      <c r="AG1984" t="s">
        <v>64</v>
      </c>
      <c r="AH1984">
        <v>6</v>
      </c>
      <c r="AI1984" s="8">
        <f>IFERROR(R1984-AF1984,"")</f>
        <v>17.472696759257815</v>
      </c>
      <c r="AJ1984" s="8">
        <f>IFERROR(O1984-AF1984,"")</f>
        <v>15.472696759257815</v>
      </c>
      <c r="AK1984" s="38">
        <f t="shared" si="780"/>
        <v>45029.472696759258</v>
      </c>
      <c r="AL1984">
        <f>IFERROR(Z1984-W1984,"")</f>
        <v>7</v>
      </c>
      <c r="AM1984">
        <f>IFERROR(R1984-J1984,"")</f>
        <v>23</v>
      </c>
      <c r="AN1984">
        <f>IFERROR(V1984-O1984,"")</f>
        <v>1</v>
      </c>
      <c r="AO1984">
        <f>IFERROR(J1984-I1984,"")</f>
        <v>2</v>
      </c>
      <c r="AP1984">
        <f>IFERROR(AC1984-X1984,"")</f>
        <v>44878.472696759258</v>
      </c>
      <c r="AQ1984">
        <f>IFERROR(AA1984-W1984,"")</f>
        <v>8</v>
      </c>
    </row>
    <row r="1985" spans="1:43" x14ac:dyDescent="0.35">
      <c r="A1985">
        <v>123</v>
      </c>
      <c r="B1985" t="s">
        <v>6166</v>
      </c>
      <c r="C1985" t="s">
        <v>6123</v>
      </c>
      <c r="D1985" t="str">
        <f t="shared" si="778"/>
        <v>Communication and Advocacy</v>
      </c>
      <c r="E1985" t="s">
        <v>6109</v>
      </c>
      <c r="F1985" t="s">
        <v>204</v>
      </c>
      <c r="G1985" t="s">
        <v>6110</v>
      </c>
      <c r="H1985" t="s">
        <v>206</v>
      </c>
      <c r="I1985" s="32">
        <v>44824.472696759258</v>
      </c>
      <c r="J1985" s="32" t="s">
        <v>7471</v>
      </c>
      <c r="K1985" s="32">
        <v>44833.472696759258</v>
      </c>
      <c r="L1985" s="8">
        <f t="shared" si="779"/>
        <v>9</v>
      </c>
      <c r="M1985" s="7">
        <v>44842.472696759258</v>
      </c>
      <c r="N1985" t="s">
        <v>72</v>
      </c>
      <c r="O1985" s="34" t="s">
        <v>7474</v>
      </c>
      <c r="R1985" s="32" t="s">
        <v>7472</v>
      </c>
      <c r="S1985" t="s">
        <v>7476</v>
      </c>
      <c r="T1985" s="34" t="s">
        <v>7476</v>
      </c>
      <c r="U1985" s="34" t="s">
        <v>7476</v>
      </c>
      <c r="V1985" s="32" t="s">
        <v>7476</v>
      </c>
      <c r="W1985" s="32" t="s">
        <v>7476</v>
      </c>
      <c r="X1985">
        <v>0</v>
      </c>
      <c r="Y1985" s="34" t="s">
        <v>7476</v>
      </c>
      <c r="Z1985" s="34" t="s">
        <v>7476</v>
      </c>
      <c r="AA1985" s="34" t="s">
        <v>7476</v>
      </c>
      <c r="AB1985" s="36" t="s">
        <v>7476</v>
      </c>
      <c r="AD1985" t="s">
        <v>6167</v>
      </c>
      <c r="AE1985" t="s">
        <v>6168</v>
      </c>
      <c r="AG1985" t="s">
        <v>64</v>
      </c>
      <c r="AH1985">
        <v>6</v>
      </c>
      <c r="AK1985" s="38" t="str">
        <f t="shared" si="780"/>
        <v/>
      </c>
    </row>
    <row r="1986" spans="1:43" x14ac:dyDescent="0.35">
      <c r="A1986">
        <v>88</v>
      </c>
      <c r="B1986" t="s">
        <v>6169</v>
      </c>
      <c r="C1986" t="s">
        <v>6133</v>
      </c>
      <c r="D1986" t="str">
        <f t="shared" ref="D1986:D2049" si="805">TRIM(C1986)</f>
        <v>Communication and Advocacy</v>
      </c>
      <c r="E1986" t="s">
        <v>6109</v>
      </c>
      <c r="F1986" t="s">
        <v>204</v>
      </c>
      <c r="G1986" t="s">
        <v>6110</v>
      </c>
      <c r="H1986" t="s">
        <v>206</v>
      </c>
      <c r="I1986" s="32">
        <v>44725.092650462961</v>
      </c>
      <c r="J1986" s="32">
        <v>44728.092650462961</v>
      </c>
      <c r="K1986" s="32">
        <v>44731.092650462961</v>
      </c>
      <c r="L1986" s="8">
        <f t="shared" ref="L1986:L2049" si="806">IFERROR(K1986-I1986,"")</f>
        <v>6</v>
      </c>
      <c r="M1986" s="7">
        <v>44754.092650462961</v>
      </c>
      <c r="N1986" t="s">
        <v>72</v>
      </c>
      <c r="O1986" s="34" t="s">
        <v>7474</v>
      </c>
      <c r="R1986" s="32" t="s">
        <v>7472</v>
      </c>
      <c r="S1986" t="s">
        <v>7476</v>
      </c>
      <c r="T1986" s="34" t="s">
        <v>7476</v>
      </c>
      <c r="U1986" s="34" t="s">
        <v>7476</v>
      </c>
      <c r="V1986" s="32" t="s">
        <v>7476</v>
      </c>
      <c r="W1986" s="32" t="s">
        <v>7476</v>
      </c>
      <c r="X1986">
        <v>0</v>
      </c>
      <c r="Y1986" s="34" t="s">
        <v>7476</v>
      </c>
      <c r="Z1986" s="34" t="s">
        <v>7476</v>
      </c>
      <c r="AA1986" s="34" t="s">
        <v>7476</v>
      </c>
      <c r="AB1986" s="36" t="s">
        <v>7476</v>
      </c>
      <c r="AD1986" t="s">
        <v>6170</v>
      </c>
      <c r="AE1986" t="s">
        <v>6171</v>
      </c>
      <c r="AG1986" t="s">
        <v>64</v>
      </c>
      <c r="AH1986">
        <v>3</v>
      </c>
      <c r="AI1986" s="8" t="str">
        <f>IFERROR(R1986-AF1986,"")</f>
        <v/>
      </c>
      <c r="AJ1986" s="8" t="str">
        <f>IFERROR(O1986-AF1986,"")</f>
        <v/>
      </c>
      <c r="AK1986" s="38" t="str">
        <f t="shared" si="780"/>
        <v/>
      </c>
      <c r="AL1986" t="str">
        <f>IFERROR(Z1986-W1986,"")</f>
        <v/>
      </c>
      <c r="AM1986" t="str">
        <f>IFERROR(R1986-J1986,"")</f>
        <v/>
      </c>
      <c r="AN1986" t="str">
        <f>IFERROR(V1986-O1986,"")</f>
        <v/>
      </c>
      <c r="AO1986">
        <f>IFERROR(J1986-I1986,"")</f>
        <v>3</v>
      </c>
      <c r="AP1986">
        <f>IFERROR(AC1986-X1986,"")</f>
        <v>0</v>
      </c>
      <c r="AQ1986" t="str">
        <f>IFERROR(AA1986-W1986,"")</f>
        <v/>
      </c>
    </row>
    <row r="1987" spans="1:43" x14ac:dyDescent="0.35">
      <c r="A1987">
        <v>86</v>
      </c>
      <c r="B1987" t="s">
        <v>6172</v>
      </c>
      <c r="C1987" t="s">
        <v>6133</v>
      </c>
      <c r="D1987" t="str">
        <f t="shared" si="805"/>
        <v>Communication and Advocacy</v>
      </c>
      <c r="E1987" t="s">
        <v>6109</v>
      </c>
      <c r="F1987" t="s">
        <v>204</v>
      </c>
      <c r="G1987" t="s">
        <v>6110</v>
      </c>
      <c r="H1987" t="s">
        <v>206</v>
      </c>
      <c r="I1987" s="32">
        <v>44724.092650462961</v>
      </c>
      <c r="J1987" s="32">
        <v>44726.092650462961</v>
      </c>
      <c r="K1987" s="32">
        <v>44731.092650462961</v>
      </c>
      <c r="L1987" s="8">
        <f t="shared" si="806"/>
        <v>7</v>
      </c>
      <c r="M1987" s="7">
        <v>44739.092650462961</v>
      </c>
      <c r="N1987" t="s">
        <v>49</v>
      </c>
      <c r="O1987" s="34">
        <v>44737.092650462961</v>
      </c>
      <c r="P1987" t="s">
        <v>101</v>
      </c>
      <c r="R1987" s="32">
        <v>44742.092650462961</v>
      </c>
      <c r="S1987" t="s">
        <v>101</v>
      </c>
      <c r="T1987" s="34">
        <v>44739.092650462961</v>
      </c>
      <c r="U1987" s="34">
        <v>44741.092650462961</v>
      </c>
      <c r="V1987" s="32">
        <v>44741.092650462961</v>
      </c>
      <c r="W1987" s="32">
        <v>44751.092650462961</v>
      </c>
      <c r="X1987">
        <v>1</v>
      </c>
      <c r="Y1987" s="34">
        <v>44752.092650462961</v>
      </c>
      <c r="Z1987" s="34">
        <v>44753.092650462961</v>
      </c>
      <c r="AA1987" s="34">
        <v>44755.092650462961</v>
      </c>
      <c r="AB1987" s="36" t="s">
        <v>7476</v>
      </c>
      <c r="AC1987" s="10">
        <v>44776.092650462961</v>
      </c>
      <c r="AD1987" t="s">
        <v>6173</v>
      </c>
      <c r="AE1987" t="s">
        <v>6174</v>
      </c>
      <c r="AF1987" s="16">
        <v>44727</v>
      </c>
      <c r="AG1987" t="s">
        <v>68</v>
      </c>
      <c r="AH1987">
        <v>6</v>
      </c>
      <c r="AI1987" s="8">
        <f>IFERROR(R1987-AF1987,"")</f>
        <v>15.092650462960592</v>
      </c>
      <c r="AJ1987" s="8">
        <f>IFERROR(O1987-AF1987,"")</f>
        <v>10.092650462960592</v>
      </c>
      <c r="AK1987" s="38">
        <f t="shared" ref="AK1987:AK2050" si="807">IFERROR(V1987+(AH1987*30),"")</f>
        <v>44921.092650462961</v>
      </c>
      <c r="AL1987">
        <f>IFERROR(Z1987-W1987,"")</f>
        <v>2</v>
      </c>
      <c r="AM1987">
        <f>IFERROR(R1987-J1987,"")</f>
        <v>16</v>
      </c>
      <c r="AN1987">
        <f>IFERROR(V1987-O1987,"")</f>
        <v>4</v>
      </c>
      <c r="AO1987">
        <f>IFERROR(J1987-I1987,"")</f>
        <v>2</v>
      </c>
      <c r="AP1987">
        <f>IFERROR(AC1987-X1987,"")</f>
        <v>44775.092650462961</v>
      </c>
      <c r="AQ1987">
        <f>IFERROR(AA1987-W1987,"")</f>
        <v>4</v>
      </c>
    </row>
    <row r="1988" spans="1:43" x14ac:dyDescent="0.35">
      <c r="A1988">
        <v>43</v>
      </c>
      <c r="B1988" t="s">
        <v>6175</v>
      </c>
      <c r="C1988" t="s">
        <v>6108</v>
      </c>
      <c r="D1988" t="str">
        <f t="shared" si="805"/>
        <v>Communication and Advocacy</v>
      </c>
      <c r="E1988" t="s">
        <v>6109</v>
      </c>
      <c r="F1988" t="s">
        <v>204</v>
      </c>
      <c r="G1988" t="s">
        <v>6110</v>
      </c>
      <c r="H1988" t="s">
        <v>206</v>
      </c>
      <c r="I1988" s="32">
        <v>44625.885358796288</v>
      </c>
      <c r="J1988" s="32">
        <v>44626.885358796288</v>
      </c>
      <c r="K1988" s="32">
        <v>44629.885358796288</v>
      </c>
      <c r="L1988" s="8">
        <f t="shared" si="806"/>
        <v>4</v>
      </c>
      <c r="M1988" s="7">
        <v>44641.885358796288</v>
      </c>
      <c r="N1988" t="s">
        <v>72</v>
      </c>
      <c r="O1988" s="34" t="s">
        <v>7474</v>
      </c>
      <c r="R1988" s="32" t="s">
        <v>7472</v>
      </c>
      <c r="S1988" t="s">
        <v>7476</v>
      </c>
      <c r="T1988" s="34" t="s">
        <v>7476</v>
      </c>
      <c r="U1988" s="34" t="s">
        <v>7476</v>
      </c>
      <c r="V1988" s="32" t="s">
        <v>7476</v>
      </c>
      <c r="W1988" s="32" t="s">
        <v>7476</v>
      </c>
      <c r="X1988">
        <v>0</v>
      </c>
      <c r="Y1988" s="34" t="s">
        <v>7476</v>
      </c>
      <c r="Z1988" s="34" t="s">
        <v>7476</v>
      </c>
      <c r="AA1988" s="34" t="s">
        <v>7476</v>
      </c>
      <c r="AB1988" s="36" t="s">
        <v>7476</v>
      </c>
      <c r="AD1988" t="s">
        <v>6176</v>
      </c>
      <c r="AE1988" t="s">
        <v>6177</v>
      </c>
      <c r="AG1988" t="s">
        <v>68</v>
      </c>
      <c r="AH1988">
        <v>6</v>
      </c>
      <c r="AI1988" s="8" t="str">
        <f>IFERROR(R1988-AF1988,"")</f>
        <v/>
      </c>
      <c r="AJ1988" s="8" t="str">
        <f>IFERROR(O1988-AF1988,"")</f>
        <v/>
      </c>
      <c r="AK1988" s="38" t="str">
        <f t="shared" si="807"/>
        <v/>
      </c>
      <c r="AL1988" t="str">
        <f>IFERROR(Z1988-W1988,"")</f>
        <v/>
      </c>
      <c r="AM1988" t="str">
        <f>IFERROR(R1988-J1988,"")</f>
        <v/>
      </c>
      <c r="AN1988" t="str">
        <f>IFERROR(V1988-O1988,"")</f>
        <v/>
      </c>
      <c r="AO1988">
        <f>IFERROR(J1988-I1988,"")</f>
        <v>1</v>
      </c>
      <c r="AP1988">
        <f>IFERROR(AC1988-X1988,"")</f>
        <v>0</v>
      </c>
      <c r="AQ1988" t="str">
        <f>IFERROR(AA1988-W1988,"")</f>
        <v/>
      </c>
    </row>
    <row r="1989" spans="1:43" x14ac:dyDescent="0.35">
      <c r="A1989">
        <v>41</v>
      </c>
      <c r="B1989" t="s">
        <v>6178</v>
      </c>
      <c r="C1989" t="s">
        <v>6133</v>
      </c>
      <c r="D1989" t="str">
        <f t="shared" si="805"/>
        <v>Communication and Advocacy</v>
      </c>
      <c r="E1989" t="s">
        <v>6109</v>
      </c>
      <c r="F1989" t="s">
        <v>204</v>
      </c>
      <c r="G1989" t="s">
        <v>6110</v>
      </c>
      <c r="H1989" t="s">
        <v>206</v>
      </c>
      <c r="I1989" s="32" t="s">
        <v>7471</v>
      </c>
      <c r="J1989" s="32">
        <v>44625.885358796288</v>
      </c>
      <c r="K1989" s="32">
        <v>44629.885358796288</v>
      </c>
      <c r="L1989" s="8" t="str">
        <f t="shared" si="806"/>
        <v/>
      </c>
      <c r="M1989" s="7">
        <v>44652.885358796288</v>
      </c>
      <c r="N1989" t="s">
        <v>49</v>
      </c>
      <c r="O1989" s="34">
        <v>44641.885358796288</v>
      </c>
      <c r="P1989" t="s">
        <v>50</v>
      </c>
      <c r="Q1989" t="s">
        <v>236</v>
      </c>
      <c r="R1989" s="32" t="s">
        <v>7472</v>
      </c>
      <c r="S1989" t="s">
        <v>7476</v>
      </c>
      <c r="T1989" s="34" t="s">
        <v>7476</v>
      </c>
      <c r="U1989" s="34" t="s">
        <v>7476</v>
      </c>
      <c r="V1989" s="32" t="s">
        <v>7476</v>
      </c>
      <c r="W1989" s="32" t="s">
        <v>7476</v>
      </c>
      <c r="X1989">
        <v>0</v>
      </c>
      <c r="Y1989" s="34" t="s">
        <v>7476</v>
      </c>
      <c r="Z1989" s="34" t="s">
        <v>7476</v>
      </c>
      <c r="AA1989" s="34" t="s">
        <v>7476</v>
      </c>
      <c r="AB1989" s="36" t="s">
        <v>95</v>
      </c>
      <c r="AD1989" t="s">
        <v>6179</v>
      </c>
      <c r="AE1989" t="s">
        <v>6180</v>
      </c>
      <c r="AF1989" s="16">
        <v>44622</v>
      </c>
      <c r="AG1989" t="s">
        <v>93</v>
      </c>
      <c r="AH1989">
        <v>3</v>
      </c>
      <c r="AK1989" s="38" t="str">
        <f t="shared" si="807"/>
        <v/>
      </c>
    </row>
    <row r="1990" spans="1:43" x14ac:dyDescent="0.35">
      <c r="A1990">
        <v>2724</v>
      </c>
      <c r="B1990" t="s">
        <v>6181</v>
      </c>
      <c r="C1990" t="s">
        <v>6108</v>
      </c>
      <c r="D1990" t="str">
        <f t="shared" si="805"/>
        <v>Communication and Advocacy</v>
      </c>
      <c r="E1990" t="s">
        <v>6182</v>
      </c>
      <c r="F1990" t="s">
        <v>1046</v>
      </c>
      <c r="G1990" t="s">
        <v>6183</v>
      </c>
      <c r="H1990" t="s">
        <v>334</v>
      </c>
      <c r="I1990" s="32">
        <v>45065.24894675926</v>
      </c>
      <c r="J1990" s="32">
        <v>45066.24894675926</v>
      </c>
      <c r="K1990" s="32">
        <v>45071.24894675926</v>
      </c>
      <c r="L1990" s="8">
        <f t="shared" si="806"/>
        <v>6</v>
      </c>
      <c r="M1990" s="7">
        <v>45094.24894675926</v>
      </c>
      <c r="N1990" t="s">
        <v>72</v>
      </c>
      <c r="O1990" s="34" t="s">
        <v>7474</v>
      </c>
      <c r="R1990" s="32" t="s">
        <v>7472</v>
      </c>
      <c r="S1990" t="s">
        <v>7476</v>
      </c>
      <c r="T1990" s="34" t="s">
        <v>7476</v>
      </c>
      <c r="U1990" s="34" t="s">
        <v>7476</v>
      </c>
      <c r="V1990" s="32" t="s">
        <v>7476</v>
      </c>
      <c r="W1990" s="32" t="s">
        <v>7476</v>
      </c>
      <c r="X1990">
        <v>0</v>
      </c>
      <c r="Y1990" s="34" t="s">
        <v>7476</v>
      </c>
      <c r="Z1990" s="34" t="s">
        <v>7476</v>
      </c>
      <c r="AA1990" s="34" t="s">
        <v>7476</v>
      </c>
      <c r="AB1990" s="36" t="s">
        <v>7476</v>
      </c>
      <c r="AD1990" t="s">
        <v>6184</v>
      </c>
      <c r="AE1990" t="s">
        <v>6185</v>
      </c>
      <c r="AG1990" t="s">
        <v>98</v>
      </c>
      <c r="AH1990">
        <v>3</v>
      </c>
      <c r="AI1990" s="8" t="str">
        <f>IFERROR(R1990-AF1990,"")</f>
        <v/>
      </c>
      <c r="AJ1990" s="8" t="str">
        <f>IFERROR(O1990-AF1990,"")</f>
        <v/>
      </c>
      <c r="AK1990" s="38" t="str">
        <f t="shared" si="807"/>
        <v/>
      </c>
      <c r="AL1990" t="str">
        <f>IFERROR(Z1990-W1990,"")</f>
        <v/>
      </c>
      <c r="AM1990" t="str">
        <f>IFERROR(R1990-J1990,"")</f>
        <v/>
      </c>
      <c r="AN1990" t="str">
        <f>IFERROR(V1990-O1990,"")</f>
        <v/>
      </c>
      <c r="AO1990">
        <f>IFERROR(J1990-I1990,"")</f>
        <v>1</v>
      </c>
      <c r="AP1990">
        <f>IFERROR(AC1990-X1990,"")</f>
        <v>0</v>
      </c>
      <c r="AQ1990" t="str">
        <f>IFERROR(AA1990-W1990,"")</f>
        <v/>
      </c>
    </row>
    <row r="1991" spans="1:43" x14ac:dyDescent="0.35">
      <c r="A1991">
        <v>2648</v>
      </c>
      <c r="B1991" t="s">
        <v>6186</v>
      </c>
      <c r="C1991" t="s">
        <v>6108</v>
      </c>
      <c r="D1991" t="str">
        <f t="shared" si="805"/>
        <v>Communication and Advocacy</v>
      </c>
      <c r="E1991" t="s">
        <v>6182</v>
      </c>
      <c r="F1991" t="s">
        <v>1046</v>
      </c>
      <c r="G1991" t="s">
        <v>6183</v>
      </c>
      <c r="H1991" t="s">
        <v>334</v>
      </c>
      <c r="I1991" s="32">
        <v>44589.587569444448</v>
      </c>
      <c r="J1991" s="32">
        <v>44590.587569444448</v>
      </c>
      <c r="K1991" s="32" t="s">
        <v>7473</v>
      </c>
      <c r="L1991" s="8" t="str">
        <f t="shared" si="806"/>
        <v/>
      </c>
      <c r="M1991" s="7">
        <v>44620.587569444448</v>
      </c>
      <c r="N1991" t="s">
        <v>49</v>
      </c>
      <c r="O1991" s="34">
        <v>44605.587569444448</v>
      </c>
      <c r="P1991" t="s">
        <v>101</v>
      </c>
      <c r="R1991" s="32">
        <v>44610.587569444448</v>
      </c>
      <c r="S1991" t="s">
        <v>101</v>
      </c>
      <c r="T1991" s="34">
        <v>44607.587569444448</v>
      </c>
      <c r="U1991" s="34">
        <v>44609.587569444448</v>
      </c>
      <c r="V1991" s="32">
        <v>44606.587569444448</v>
      </c>
      <c r="W1991" s="32">
        <v>44616.587569444448</v>
      </c>
      <c r="X1991">
        <v>1</v>
      </c>
      <c r="Y1991" s="34">
        <v>44619.587569444448</v>
      </c>
      <c r="Z1991" s="34">
        <v>44620.587569444448</v>
      </c>
      <c r="AA1991" s="34">
        <v>44622.587569444448</v>
      </c>
      <c r="AB1991" s="36" t="s">
        <v>7476</v>
      </c>
      <c r="AC1991" s="10">
        <v>44640.587569444448</v>
      </c>
      <c r="AD1991" t="s">
        <v>6187</v>
      </c>
      <c r="AE1991" t="s">
        <v>6188</v>
      </c>
      <c r="AF1991" s="16">
        <v>44586</v>
      </c>
      <c r="AG1991" t="s">
        <v>68</v>
      </c>
      <c r="AH1991">
        <v>6</v>
      </c>
      <c r="AK1991" s="38">
        <f t="shared" si="807"/>
        <v>44786.587569444448</v>
      </c>
    </row>
    <row r="1992" spans="1:43" x14ac:dyDescent="0.35">
      <c r="A1992">
        <v>2371</v>
      </c>
      <c r="B1992" t="s">
        <v>6189</v>
      </c>
      <c r="C1992" t="s">
        <v>6108</v>
      </c>
      <c r="D1992" t="str">
        <f t="shared" si="805"/>
        <v>Communication and Advocacy</v>
      </c>
      <c r="E1992" t="s">
        <v>6182</v>
      </c>
      <c r="F1992" t="s">
        <v>1046</v>
      </c>
      <c r="G1992" t="s">
        <v>6183</v>
      </c>
      <c r="H1992" t="s">
        <v>334</v>
      </c>
      <c r="I1992" s="32">
        <v>45029.917395833327</v>
      </c>
      <c r="J1992" s="32">
        <v>45031.917395833327</v>
      </c>
      <c r="K1992" s="32">
        <v>45036.917395833327</v>
      </c>
      <c r="L1992" s="8">
        <f t="shared" si="806"/>
        <v>7</v>
      </c>
      <c r="M1992" s="7">
        <v>45062.917395833327</v>
      </c>
      <c r="N1992" t="s">
        <v>72</v>
      </c>
      <c r="O1992" s="34" t="s">
        <v>7474</v>
      </c>
      <c r="R1992" s="32" t="s">
        <v>7472</v>
      </c>
      <c r="S1992" t="s">
        <v>7476</v>
      </c>
      <c r="T1992" s="34" t="s">
        <v>7476</v>
      </c>
      <c r="U1992" s="34" t="s">
        <v>7476</v>
      </c>
      <c r="V1992" s="32" t="s">
        <v>7476</v>
      </c>
      <c r="W1992" s="32" t="s">
        <v>7476</v>
      </c>
      <c r="X1992">
        <v>0</v>
      </c>
      <c r="Y1992" s="34" t="s">
        <v>7476</v>
      </c>
      <c r="Z1992" s="34" t="s">
        <v>7476</v>
      </c>
      <c r="AA1992" s="34" t="s">
        <v>7476</v>
      </c>
      <c r="AB1992" s="36" t="s">
        <v>7476</v>
      </c>
      <c r="AD1992" t="s">
        <v>6190</v>
      </c>
      <c r="AE1992" t="s">
        <v>6191</v>
      </c>
      <c r="AG1992" t="s">
        <v>98</v>
      </c>
      <c r="AH1992">
        <v>3</v>
      </c>
      <c r="AI1992" s="8" t="str">
        <f>IFERROR(R1992-AF1992,"")</f>
        <v/>
      </c>
      <c r="AJ1992" s="8" t="str">
        <f>IFERROR(O1992-AF1992,"")</f>
        <v/>
      </c>
      <c r="AK1992" s="38" t="str">
        <f t="shared" si="807"/>
        <v/>
      </c>
      <c r="AL1992" t="str">
        <f>IFERROR(Z1992-W1992,"")</f>
        <v/>
      </c>
      <c r="AM1992" t="str">
        <f>IFERROR(R1992-J1992,"")</f>
        <v/>
      </c>
      <c r="AN1992" t="str">
        <f>IFERROR(V1992-O1992,"")</f>
        <v/>
      </c>
      <c r="AO1992">
        <f>IFERROR(J1992-I1992,"")</f>
        <v>2</v>
      </c>
      <c r="AP1992">
        <f>IFERROR(AC1992-X1992,"")</f>
        <v>0</v>
      </c>
      <c r="AQ1992" t="str">
        <f>IFERROR(AA1992-W1992,"")</f>
        <v/>
      </c>
    </row>
    <row r="1993" spans="1:43" x14ac:dyDescent="0.35">
      <c r="A1993">
        <v>2331</v>
      </c>
      <c r="B1993" t="s">
        <v>6192</v>
      </c>
      <c r="C1993" t="s">
        <v>6108</v>
      </c>
      <c r="D1993" t="str">
        <f t="shared" si="805"/>
        <v>Communication and Advocacy</v>
      </c>
      <c r="E1993" t="s">
        <v>6182</v>
      </c>
      <c r="F1993" t="s">
        <v>1046</v>
      </c>
      <c r="G1993" t="s">
        <v>6183</v>
      </c>
      <c r="H1993" t="s">
        <v>334</v>
      </c>
      <c r="I1993" s="32">
        <v>44692.386030092603</v>
      </c>
      <c r="J1993" s="32">
        <v>44694.386030092603</v>
      </c>
      <c r="K1993" s="32" t="s">
        <v>7473</v>
      </c>
      <c r="L1993" s="8" t="str">
        <f t="shared" si="806"/>
        <v/>
      </c>
      <c r="M1993" s="7">
        <v>44720.386030092603</v>
      </c>
      <c r="N1993" t="s">
        <v>72</v>
      </c>
      <c r="O1993" s="34" t="s">
        <v>7474</v>
      </c>
      <c r="R1993" s="32" t="s">
        <v>7472</v>
      </c>
      <c r="S1993" t="s">
        <v>7476</v>
      </c>
      <c r="T1993" s="34" t="s">
        <v>7476</v>
      </c>
      <c r="U1993" s="34" t="s">
        <v>7476</v>
      </c>
      <c r="V1993" s="32" t="s">
        <v>7476</v>
      </c>
      <c r="W1993" s="32" t="s">
        <v>7476</v>
      </c>
      <c r="X1993">
        <v>0</v>
      </c>
      <c r="Y1993" s="34" t="s">
        <v>7476</v>
      </c>
      <c r="Z1993" s="34" t="s">
        <v>7476</v>
      </c>
      <c r="AA1993" s="34" t="s">
        <v>7476</v>
      </c>
      <c r="AB1993" s="36" t="s">
        <v>7476</v>
      </c>
      <c r="AD1993" t="s">
        <v>6193</v>
      </c>
      <c r="AE1993" t="s">
        <v>6194</v>
      </c>
      <c r="AG1993" t="s">
        <v>55</v>
      </c>
      <c r="AH1993">
        <v>3</v>
      </c>
      <c r="AK1993" s="38" t="str">
        <f t="shared" si="807"/>
        <v/>
      </c>
    </row>
    <row r="1994" spans="1:43" x14ac:dyDescent="0.35">
      <c r="A1994">
        <v>2141</v>
      </c>
      <c r="B1994" t="s">
        <v>6195</v>
      </c>
      <c r="C1994" t="s">
        <v>6108</v>
      </c>
      <c r="D1994" t="str">
        <f t="shared" si="805"/>
        <v>Communication and Advocacy</v>
      </c>
      <c r="E1994" t="s">
        <v>6182</v>
      </c>
      <c r="F1994" t="s">
        <v>1046</v>
      </c>
      <c r="G1994" t="s">
        <v>6183</v>
      </c>
      <c r="H1994" t="s">
        <v>334</v>
      </c>
      <c r="I1994" s="32">
        <v>44749.830833333333</v>
      </c>
      <c r="J1994" s="32" t="s">
        <v>7471</v>
      </c>
      <c r="K1994" s="32">
        <v>44754.830833333333</v>
      </c>
      <c r="L1994" s="8">
        <f t="shared" si="806"/>
        <v>5</v>
      </c>
      <c r="M1994" s="7">
        <v>44779.830833333333</v>
      </c>
      <c r="N1994" t="s">
        <v>49</v>
      </c>
      <c r="O1994" s="34">
        <v>44760.830833333333</v>
      </c>
      <c r="P1994" t="s">
        <v>101</v>
      </c>
      <c r="R1994" s="32">
        <v>44765.830833333333</v>
      </c>
      <c r="S1994" t="s">
        <v>101</v>
      </c>
      <c r="T1994" s="34">
        <v>44762.830833333333</v>
      </c>
      <c r="U1994" s="34">
        <v>44764.830833333333</v>
      </c>
      <c r="V1994" s="32">
        <v>44761.830833333333</v>
      </c>
      <c r="W1994" s="32">
        <v>44765.830833333333</v>
      </c>
      <c r="X1994">
        <v>1</v>
      </c>
      <c r="Y1994" s="34">
        <v>44767.830833333333</v>
      </c>
      <c r="Z1994" s="34">
        <v>44769.830833333333</v>
      </c>
      <c r="AA1994" s="34">
        <v>44771.830833333333</v>
      </c>
      <c r="AB1994" s="36" t="s">
        <v>7476</v>
      </c>
      <c r="AC1994" s="10">
        <v>44787.830833333333</v>
      </c>
      <c r="AD1994" t="s">
        <v>6196</v>
      </c>
      <c r="AE1994" t="s">
        <v>6197</v>
      </c>
      <c r="AF1994" s="16">
        <v>44841</v>
      </c>
      <c r="AG1994" t="s">
        <v>68</v>
      </c>
      <c r="AH1994">
        <v>6</v>
      </c>
      <c r="AK1994" s="38">
        <f t="shared" si="807"/>
        <v>44941.830833333333</v>
      </c>
    </row>
    <row r="1995" spans="1:43" x14ac:dyDescent="0.35">
      <c r="A1995">
        <v>2057</v>
      </c>
      <c r="B1995" t="s">
        <v>6198</v>
      </c>
      <c r="C1995" t="s">
        <v>6123</v>
      </c>
      <c r="D1995" t="str">
        <f t="shared" si="805"/>
        <v>Communication and Advocacy</v>
      </c>
      <c r="E1995" t="s">
        <v>6182</v>
      </c>
      <c r="F1995" t="s">
        <v>1046</v>
      </c>
      <c r="G1995" t="s">
        <v>6183</v>
      </c>
      <c r="H1995" t="s">
        <v>334</v>
      </c>
      <c r="I1995" s="32">
        <v>44576.831099537027</v>
      </c>
      <c r="J1995" s="32">
        <v>44578.831099537027</v>
      </c>
      <c r="K1995" s="32">
        <v>44580.831099537027</v>
      </c>
      <c r="L1995" s="8">
        <f t="shared" si="806"/>
        <v>4</v>
      </c>
      <c r="M1995" s="7">
        <v>44593.831099537027</v>
      </c>
      <c r="N1995" t="s">
        <v>49</v>
      </c>
      <c r="O1995" s="34">
        <v>44587.831099537027</v>
      </c>
      <c r="P1995" t="s">
        <v>101</v>
      </c>
      <c r="R1995" s="32">
        <v>44591.831099537027</v>
      </c>
      <c r="S1995" t="s">
        <v>101</v>
      </c>
      <c r="T1995" s="34">
        <v>44589.831099537027</v>
      </c>
      <c r="U1995" s="34">
        <v>44592.831099537027</v>
      </c>
      <c r="V1995" s="32">
        <v>44589.831099537027</v>
      </c>
      <c r="W1995" s="32">
        <v>44594.831099537027</v>
      </c>
      <c r="X1995">
        <v>1</v>
      </c>
      <c r="Y1995" s="34">
        <v>44596.831099537027</v>
      </c>
      <c r="Z1995" s="34">
        <v>44598.831099537027</v>
      </c>
      <c r="AA1995" s="34">
        <v>44601.831099537027</v>
      </c>
      <c r="AB1995" s="36" t="s">
        <v>7476</v>
      </c>
      <c r="AC1995" s="10">
        <v>44613.831099537027</v>
      </c>
      <c r="AD1995" t="s">
        <v>6199</v>
      </c>
      <c r="AE1995" t="s">
        <v>6200</v>
      </c>
      <c r="AF1995" s="16">
        <v>44574</v>
      </c>
      <c r="AG1995" t="s">
        <v>68</v>
      </c>
      <c r="AH1995">
        <v>3</v>
      </c>
      <c r="AI1995" s="8">
        <f>IFERROR(R1995-AF1995,"")</f>
        <v>17.831099537026603</v>
      </c>
      <c r="AJ1995" s="8">
        <f>IFERROR(O1995-AF1995,"")</f>
        <v>13.831099537026603</v>
      </c>
      <c r="AK1995" s="38">
        <f t="shared" si="807"/>
        <v>44679.831099537027</v>
      </c>
      <c r="AL1995">
        <f>IFERROR(Z1995-W1995,"")</f>
        <v>4</v>
      </c>
      <c r="AM1995">
        <f>IFERROR(R1995-J1995,"")</f>
        <v>13</v>
      </c>
      <c r="AN1995">
        <f>IFERROR(V1995-O1995,"")</f>
        <v>2</v>
      </c>
      <c r="AO1995">
        <f>IFERROR(J1995-I1995,"")</f>
        <v>2</v>
      </c>
      <c r="AP1995">
        <f>IFERROR(AC1995-X1995,"")</f>
        <v>44612.831099537027</v>
      </c>
      <c r="AQ1995">
        <f>IFERROR(AA1995-W1995,"")</f>
        <v>7</v>
      </c>
    </row>
    <row r="1996" spans="1:43" x14ac:dyDescent="0.35">
      <c r="A1996">
        <v>1955</v>
      </c>
      <c r="B1996" t="s">
        <v>6201</v>
      </c>
      <c r="C1996" t="s">
        <v>6108</v>
      </c>
      <c r="D1996" t="str">
        <f t="shared" si="805"/>
        <v>Communication and Advocacy</v>
      </c>
      <c r="E1996" t="s">
        <v>6182</v>
      </c>
      <c r="F1996" t="s">
        <v>1046</v>
      </c>
      <c r="G1996" t="s">
        <v>6183</v>
      </c>
      <c r="H1996" t="s">
        <v>334</v>
      </c>
      <c r="I1996" s="32">
        <v>44820.042395833327</v>
      </c>
      <c r="J1996" s="32">
        <v>44822.042395833327</v>
      </c>
      <c r="K1996" s="32">
        <v>44825.042395833327</v>
      </c>
      <c r="L1996" s="8">
        <f t="shared" si="806"/>
        <v>5</v>
      </c>
      <c r="M1996" s="7">
        <v>44852.042395833327</v>
      </c>
      <c r="N1996" t="s">
        <v>72</v>
      </c>
      <c r="O1996" s="34" t="s">
        <v>7474</v>
      </c>
      <c r="R1996" s="32" t="s">
        <v>7472</v>
      </c>
      <c r="S1996" t="s">
        <v>7476</v>
      </c>
      <c r="T1996" s="34" t="s">
        <v>7476</v>
      </c>
      <c r="U1996" s="34" t="s">
        <v>7476</v>
      </c>
      <c r="V1996" s="32" t="s">
        <v>7476</v>
      </c>
      <c r="W1996" s="32" t="s">
        <v>7476</v>
      </c>
      <c r="X1996">
        <v>0</v>
      </c>
      <c r="Y1996" s="34" t="s">
        <v>7476</v>
      </c>
      <c r="Z1996" s="34" t="s">
        <v>7476</v>
      </c>
      <c r="AA1996" s="34" t="s">
        <v>7476</v>
      </c>
      <c r="AB1996" s="36" t="s">
        <v>7476</v>
      </c>
      <c r="AD1996" t="s">
        <v>6202</v>
      </c>
      <c r="AE1996" t="s">
        <v>6203</v>
      </c>
      <c r="AG1996" t="s">
        <v>98</v>
      </c>
      <c r="AH1996">
        <v>6</v>
      </c>
      <c r="AI1996" s="8" t="str">
        <f>IFERROR(R1996-AF1996,"")</f>
        <v/>
      </c>
      <c r="AJ1996" s="8" t="str">
        <f>IFERROR(O1996-AF1996,"")</f>
        <v/>
      </c>
      <c r="AK1996" s="38" t="str">
        <f t="shared" si="807"/>
        <v/>
      </c>
      <c r="AL1996" t="str">
        <f>IFERROR(Z1996-W1996,"")</f>
        <v/>
      </c>
      <c r="AM1996" t="str">
        <f>IFERROR(R1996-J1996,"")</f>
        <v/>
      </c>
      <c r="AN1996" t="str">
        <f>IFERROR(V1996-O1996,"")</f>
        <v/>
      </c>
      <c r="AO1996">
        <f>IFERROR(J1996-I1996,"")</f>
        <v>2</v>
      </c>
      <c r="AP1996">
        <f>IFERROR(AC1996-X1996,"")</f>
        <v>0</v>
      </c>
      <c r="AQ1996" t="str">
        <f>IFERROR(AA1996-W1996,"")</f>
        <v/>
      </c>
    </row>
    <row r="1997" spans="1:43" x14ac:dyDescent="0.35">
      <c r="A1997">
        <v>1920</v>
      </c>
      <c r="B1997" t="s">
        <v>6204</v>
      </c>
      <c r="C1997" t="s">
        <v>6133</v>
      </c>
      <c r="D1997" t="str">
        <f t="shared" si="805"/>
        <v>Communication and Advocacy</v>
      </c>
      <c r="E1997" t="s">
        <v>6182</v>
      </c>
      <c r="F1997" t="s">
        <v>1046</v>
      </c>
      <c r="G1997" t="s">
        <v>6183</v>
      </c>
      <c r="H1997" t="s">
        <v>334</v>
      </c>
      <c r="I1997" s="32">
        <v>44682.892118055563</v>
      </c>
      <c r="J1997" s="32">
        <v>44686.892118055563</v>
      </c>
      <c r="K1997" s="32">
        <v>44689.892118055563</v>
      </c>
      <c r="L1997" s="8">
        <f t="shared" si="806"/>
        <v>7</v>
      </c>
      <c r="M1997" s="7">
        <v>44696.892118055563</v>
      </c>
      <c r="N1997" t="s">
        <v>72</v>
      </c>
      <c r="O1997" s="34" t="s">
        <v>7474</v>
      </c>
      <c r="R1997" s="32" t="s">
        <v>7472</v>
      </c>
      <c r="S1997" t="s">
        <v>7476</v>
      </c>
      <c r="T1997" s="34" t="s">
        <v>7476</v>
      </c>
      <c r="U1997" s="34" t="s">
        <v>7476</v>
      </c>
      <c r="V1997" s="32" t="s">
        <v>7476</v>
      </c>
      <c r="W1997" s="32" t="s">
        <v>7476</v>
      </c>
      <c r="X1997">
        <v>0</v>
      </c>
      <c r="Y1997" s="34" t="s">
        <v>7476</v>
      </c>
      <c r="Z1997" s="34" t="s">
        <v>7476</v>
      </c>
      <c r="AA1997" s="34" t="s">
        <v>7476</v>
      </c>
      <c r="AB1997" s="36" t="s">
        <v>7476</v>
      </c>
      <c r="AD1997" t="s">
        <v>6205</v>
      </c>
      <c r="AE1997" t="s">
        <v>6206</v>
      </c>
      <c r="AG1997" t="s">
        <v>64</v>
      </c>
      <c r="AH1997">
        <v>6</v>
      </c>
      <c r="AI1997" s="8" t="str">
        <f>IFERROR(R1997-AF1997,"")</f>
        <v/>
      </c>
      <c r="AJ1997" s="8" t="str">
        <f>IFERROR(O1997-AF1997,"")</f>
        <v/>
      </c>
      <c r="AK1997" s="38" t="str">
        <f t="shared" si="807"/>
        <v/>
      </c>
      <c r="AL1997" t="str">
        <f>IFERROR(Z1997-W1997,"")</f>
        <v/>
      </c>
      <c r="AM1997" t="str">
        <f>IFERROR(R1997-J1997,"")</f>
        <v/>
      </c>
      <c r="AN1997" t="str">
        <f>IFERROR(V1997-O1997,"")</f>
        <v/>
      </c>
      <c r="AO1997">
        <f>IFERROR(J1997-I1997,"")</f>
        <v>4</v>
      </c>
      <c r="AP1997">
        <f>IFERROR(AC1997-X1997,"")</f>
        <v>0</v>
      </c>
      <c r="AQ1997" t="str">
        <f>IFERROR(AA1997-W1997,"")</f>
        <v/>
      </c>
    </row>
    <row r="1998" spans="1:43" x14ac:dyDescent="0.35">
      <c r="A1998">
        <v>1750</v>
      </c>
      <c r="B1998" t="s">
        <v>6207</v>
      </c>
      <c r="C1998" t="s">
        <v>6123</v>
      </c>
      <c r="D1998" t="str">
        <f t="shared" si="805"/>
        <v>Communication and Advocacy</v>
      </c>
      <c r="E1998" t="s">
        <v>6182</v>
      </c>
      <c r="F1998" t="s">
        <v>1046</v>
      </c>
      <c r="G1998" t="s">
        <v>6183</v>
      </c>
      <c r="H1998" t="s">
        <v>334</v>
      </c>
      <c r="I1998" s="32">
        <v>44947.798078703701</v>
      </c>
      <c r="J1998" s="32">
        <v>44949.798078703701</v>
      </c>
      <c r="K1998" s="32">
        <v>44953.798078703701</v>
      </c>
      <c r="L1998" s="8">
        <f t="shared" si="806"/>
        <v>6</v>
      </c>
      <c r="M1998" s="7">
        <v>44977.798078703701</v>
      </c>
      <c r="N1998" t="s">
        <v>49</v>
      </c>
      <c r="O1998" s="34">
        <v>44964.798078703701</v>
      </c>
      <c r="P1998" t="s">
        <v>101</v>
      </c>
      <c r="R1998" s="32">
        <v>44967.798078703701</v>
      </c>
      <c r="S1998" t="s">
        <v>101</v>
      </c>
      <c r="T1998" s="34">
        <v>44965.798078703701</v>
      </c>
      <c r="U1998" s="34">
        <v>44969.798078703701</v>
      </c>
      <c r="V1998" s="32">
        <v>44966.798078703701</v>
      </c>
      <c r="W1998" s="32">
        <v>44976.798078703701</v>
      </c>
      <c r="X1998">
        <v>1</v>
      </c>
      <c r="Y1998" s="34">
        <v>44978.798078703701</v>
      </c>
      <c r="Z1998" s="34">
        <v>44980.798078703701</v>
      </c>
      <c r="AA1998" s="34">
        <v>44981.798078703701</v>
      </c>
      <c r="AB1998" s="36" t="s">
        <v>7476</v>
      </c>
      <c r="AC1998" s="10">
        <v>45001.798078703701</v>
      </c>
      <c r="AD1998" t="s">
        <v>6208</v>
      </c>
      <c r="AE1998" t="s">
        <v>6209</v>
      </c>
      <c r="AF1998" s="16">
        <v>44957</v>
      </c>
      <c r="AG1998" t="s">
        <v>68</v>
      </c>
      <c r="AH1998">
        <v>6</v>
      </c>
      <c r="AI1998" s="8">
        <f>IFERROR(R1998-AF1998,"")</f>
        <v>10.798078703701322</v>
      </c>
      <c r="AJ1998" s="8">
        <f>IFERROR(O1998-AF1998,"")</f>
        <v>7.7980787037013215</v>
      </c>
      <c r="AK1998" s="38">
        <f t="shared" si="807"/>
        <v>45146.798078703701</v>
      </c>
      <c r="AL1998">
        <f>IFERROR(Z1998-W1998,"")</f>
        <v>4</v>
      </c>
      <c r="AM1998">
        <f>IFERROR(R1998-J1998,"")</f>
        <v>18</v>
      </c>
      <c r="AN1998">
        <f>IFERROR(V1998-O1998,"")</f>
        <v>2</v>
      </c>
      <c r="AO1998">
        <f>IFERROR(J1998-I1998,"")</f>
        <v>2</v>
      </c>
      <c r="AP1998">
        <f>IFERROR(AC1998-X1998,"")</f>
        <v>45000.798078703701</v>
      </c>
      <c r="AQ1998">
        <f>IFERROR(AA1998-W1998,"")</f>
        <v>5</v>
      </c>
    </row>
    <row r="1999" spans="1:43" x14ac:dyDescent="0.35">
      <c r="A1999">
        <v>1749</v>
      </c>
      <c r="B1999" t="s">
        <v>6210</v>
      </c>
      <c r="C1999" t="s">
        <v>6133</v>
      </c>
      <c r="D1999" t="str">
        <f t="shared" si="805"/>
        <v>Communication and Advocacy</v>
      </c>
      <c r="E1999" t="s">
        <v>6182</v>
      </c>
      <c r="F1999" t="s">
        <v>1046</v>
      </c>
      <c r="G1999" t="s">
        <v>6183</v>
      </c>
      <c r="H1999" t="s">
        <v>334</v>
      </c>
      <c r="I1999" s="32">
        <v>44950.798078703701</v>
      </c>
      <c r="J1999" s="32">
        <v>44952.798078703701</v>
      </c>
      <c r="K1999" s="32" t="s">
        <v>7473</v>
      </c>
      <c r="L1999" s="8" t="str">
        <f t="shared" si="806"/>
        <v/>
      </c>
      <c r="M1999" s="7">
        <v>44971.798078703701</v>
      </c>
      <c r="N1999" t="s">
        <v>72</v>
      </c>
      <c r="O1999" s="34" t="s">
        <v>7474</v>
      </c>
      <c r="R1999" s="32" t="s">
        <v>7472</v>
      </c>
      <c r="S1999" t="s">
        <v>7476</v>
      </c>
      <c r="T1999" s="34" t="s">
        <v>7476</v>
      </c>
      <c r="U1999" s="34" t="s">
        <v>7476</v>
      </c>
      <c r="V1999" s="32" t="s">
        <v>7476</v>
      </c>
      <c r="W1999" s="32" t="s">
        <v>7476</v>
      </c>
      <c r="X1999">
        <v>0</v>
      </c>
      <c r="Y1999" s="34" t="s">
        <v>7476</v>
      </c>
      <c r="Z1999" s="34" t="s">
        <v>7476</v>
      </c>
      <c r="AA1999" s="34" t="s">
        <v>7476</v>
      </c>
      <c r="AB1999" s="36" t="s">
        <v>7476</v>
      </c>
      <c r="AD1999" t="s">
        <v>6211</v>
      </c>
      <c r="AE1999" t="s">
        <v>6212</v>
      </c>
      <c r="AG1999" t="s">
        <v>98</v>
      </c>
      <c r="AH1999">
        <v>3</v>
      </c>
      <c r="AK1999" s="38" t="str">
        <f t="shared" si="807"/>
        <v/>
      </c>
    </row>
    <row r="2000" spans="1:43" x14ac:dyDescent="0.35">
      <c r="A2000">
        <v>1742</v>
      </c>
      <c r="B2000" t="s">
        <v>6213</v>
      </c>
      <c r="C2000" t="s">
        <v>6133</v>
      </c>
      <c r="D2000" t="str">
        <f t="shared" si="805"/>
        <v>Communication and Advocacy</v>
      </c>
      <c r="E2000" t="s">
        <v>6182</v>
      </c>
      <c r="F2000" t="s">
        <v>1046</v>
      </c>
      <c r="G2000" t="s">
        <v>6183</v>
      </c>
      <c r="H2000" t="s">
        <v>334</v>
      </c>
      <c r="I2000" s="32" t="s">
        <v>7471</v>
      </c>
      <c r="J2000" s="32">
        <v>44949.798078703701</v>
      </c>
      <c r="K2000" s="32">
        <v>44953.798078703701</v>
      </c>
      <c r="L2000" s="8" t="str">
        <f t="shared" si="806"/>
        <v/>
      </c>
      <c r="M2000" s="7">
        <v>44979.798078703701</v>
      </c>
      <c r="N2000" t="s">
        <v>72</v>
      </c>
      <c r="O2000" s="34" t="s">
        <v>7474</v>
      </c>
      <c r="R2000" s="32" t="s">
        <v>7472</v>
      </c>
      <c r="S2000" t="s">
        <v>7476</v>
      </c>
      <c r="T2000" s="34" t="s">
        <v>7476</v>
      </c>
      <c r="U2000" s="34" t="s">
        <v>7476</v>
      </c>
      <c r="V2000" s="32" t="s">
        <v>7476</v>
      </c>
      <c r="W2000" s="32" t="s">
        <v>7476</v>
      </c>
      <c r="X2000">
        <v>0</v>
      </c>
      <c r="Y2000" s="34" t="s">
        <v>7476</v>
      </c>
      <c r="Z2000" s="34" t="s">
        <v>7476</v>
      </c>
      <c r="AA2000" s="34" t="s">
        <v>7476</v>
      </c>
      <c r="AB2000" s="36" t="s">
        <v>7476</v>
      </c>
      <c r="AD2000" t="s">
        <v>6214</v>
      </c>
      <c r="AE2000" t="s">
        <v>6215</v>
      </c>
      <c r="AG2000" t="s">
        <v>55</v>
      </c>
      <c r="AH2000">
        <v>3</v>
      </c>
      <c r="AK2000" s="38" t="str">
        <f t="shared" si="807"/>
        <v/>
      </c>
    </row>
    <row r="2001" spans="1:43" x14ac:dyDescent="0.35">
      <c r="A2001">
        <v>1650</v>
      </c>
      <c r="B2001" t="s">
        <v>6216</v>
      </c>
      <c r="C2001" t="s">
        <v>6108</v>
      </c>
      <c r="D2001" t="str">
        <f t="shared" si="805"/>
        <v>Communication and Advocacy</v>
      </c>
      <c r="E2001" t="s">
        <v>6182</v>
      </c>
      <c r="F2001" t="s">
        <v>1046</v>
      </c>
      <c r="G2001" t="s">
        <v>6183</v>
      </c>
      <c r="H2001" t="s">
        <v>334</v>
      </c>
      <c r="I2001" s="32">
        <v>44915.661261574067</v>
      </c>
      <c r="J2001" s="32">
        <v>44918.661261574067</v>
      </c>
      <c r="K2001" s="32">
        <v>44920.661261574067</v>
      </c>
      <c r="L2001" s="8">
        <f t="shared" si="806"/>
        <v>5</v>
      </c>
      <c r="M2001" s="7">
        <v>44949.661261574067</v>
      </c>
      <c r="N2001" t="s">
        <v>49</v>
      </c>
      <c r="O2001" s="34">
        <v>44930.661261574067</v>
      </c>
      <c r="P2001" t="s">
        <v>101</v>
      </c>
      <c r="R2001" s="32">
        <v>44935.661261574067</v>
      </c>
      <c r="S2001" t="s">
        <v>101</v>
      </c>
      <c r="T2001" s="34">
        <v>44932.661261574067</v>
      </c>
      <c r="U2001" s="34">
        <v>44935.661261574067</v>
      </c>
      <c r="V2001" s="32">
        <v>44932.661261574067</v>
      </c>
      <c r="W2001" s="32">
        <v>44940.661261574067</v>
      </c>
      <c r="X2001">
        <v>1</v>
      </c>
      <c r="Y2001" s="34">
        <v>44943.661261574067</v>
      </c>
      <c r="Z2001" s="34">
        <v>44945.661261574067</v>
      </c>
      <c r="AA2001" s="34">
        <v>44946.661261574067</v>
      </c>
      <c r="AB2001" s="36" t="s">
        <v>7476</v>
      </c>
      <c r="AC2001" s="10">
        <v>44962.661261574067</v>
      </c>
      <c r="AD2001" t="s">
        <v>6217</v>
      </c>
      <c r="AE2001" t="s">
        <v>6218</v>
      </c>
      <c r="AF2001" s="16">
        <v>44913</v>
      </c>
      <c r="AG2001" t="s">
        <v>64</v>
      </c>
      <c r="AH2001">
        <v>6</v>
      </c>
      <c r="AI2001" s="8">
        <f>IFERROR(R2001-AF2001,"")</f>
        <v>22.661261574066884</v>
      </c>
      <c r="AJ2001" s="8">
        <f>IFERROR(O2001-AF2001,"")</f>
        <v>17.661261574066884</v>
      </c>
      <c r="AK2001" s="38">
        <f t="shared" si="807"/>
        <v>45112.661261574067</v>
      </c>
      <c r="AL2001">
        <f>IFERROR(Z2001-W2001,"")</f>
        <v>5</v>
      </c>
      <c r="AM2001">
        <f>IFERROR(R2001-J2001,"")</f>
        <v>17</v>
      </c>
      <c r="AN2001">
        <f>IFERROR(V2001-O2001,"")</f>
        <v>2</v>
      </c>
      <c r="AO2001">
        <f>IFERROR(J2001-I2001,"")</f>
        <v>3</v>
      </c>
      <c r="AP2001">
        <f>IFERROR(AC2001-X2001,"")</f>
        <v>44961.661261574067</v>
      </c>
      <c r="AQ2001">
        <f>IFERROR(AA2001-W2001,"")</f>
        <v>6</v>
      </c>
    </row>
    <row r="2002" spans="1:43" x14ac:dyDescent="0.35">
      <c r="A2002">
        <v>1533</v>
      </c>
      <c r="B2002" t="s">
        <v>6219</v>
      </c>
      <c r="C2002" t="s">
        <v>6133</v>
      </c>
      <c r="D2002" t="str">
        <f t="shared" si="805"/>
        <v>Communication and Advocacy</v>
      </c>
      <c r="E2002" t="s">
        <v>6182</v>
      </c>
      <c r="F2002" t="s">
        <v>1046</v>
      </c>
      <c r="G2002" t="s">
        <v>6183</v>
      </c>
      <c r="H2002" t="s">
        <v>334</v>
      </c>
      <c r="I2002" s="32">
        <v>45055.546423611107</v>
      </c>
      <c r="J2002" s="32">
        <v>45059.546423611107</v>
      </c>
      <c r="K2002" s="32">
        <v>45060.546423611107</v>
      </c>
      <c r="L2002" s="8">
        <f t="shared" si="806"/>
        <v>5</v>
      </c>
      <c r="M2002" s="7">
        <v>45074.546423611107</v>
      </c>
      <c r="N2002" t="s">
        <v>49</v>
      </c>
      <c r="O2002" s="34">
        <v>45076.546423611107</v>
      </c>
      <c r="P2002" t="s">
        <v>101</v>
      </c>
      <c r="R2002" s="32">
        <v>45083.546423611107</v>
      </c>
      <c r="S2002" t="s">
        <v>101</v>
      </c>
      <c r="T2002" s="34">
        <v>45077.546423611107</v>
      </c>
      <c r="U2002" s="34">
        <v>45079.546423611107</v>
      </c>
      <c r="V2002" s="32">
        <v>45079.546423611107</v>
      </c>
      <c r="W2002" s="32">
        <v>45089.546423611107</v>
      </c>
      <c r="X2002">
        <v>1</v>
      </c>
      <c r="Y2002" s="34">
        <v>45092.546423611107</v>
      </c>
      <c r="Z2002" s="34">
        <v>45095.546423611107</v>
      </c>
      <c r="AA2002" s="34">
        <v>45098.546423611107</v>
      </c>
      <c r="AB2002" s="36" t="s">
        <v>7476</v>
      </c>
      <c r="AC2002" s="10">
        <v>45114.546423611107</v>
      </c>
      <c r="AD2002" t="s">
        <v>6220</v>
      </c>
      <c r="AE2002" t="s">
        <v>6221</v>
      </c>
      <c r="AF2002" s="16">
        <v>45062</v>
      </c>
      <c r="AG2002" t="s">
        <v>68</v>
      </c>
      <c r="AH2002">
        <v>3</v>
      </c>
      <c r="AI2002" s="8">
        <f>IFERROR(R2002-AF2002,"")</f>
        <v>21.546423611107457</v>
      </c>
      <c r="AJ2002" s="8">
        <f>IFERROR(O2002-AF2002,"")</f>
        <v>14.546423611107457</v>
      </c>
      <c r="AK2002" s="38">
        <f t="shared" si="807"/>
        <v>45169.546423611107</v>
      </c>
      <c r="AL2002">
        <f>IFERROR(Z2002-W2002,"")</f>
        <v>6</v>
      </c>
      <c r="AM2002">
        <f>IFERROR(R2002-J2002,"")</f>
        <v>24</v>
      </c>
      <c r="AN2002">
        <f>IFERROR(V2002-O2002,"")</f>
        <v>3</v>
      </c>
      <c r="AO2002">
        <f>IFERROR(J2002-I2002,"")</f>
        <v>4</v>
      </c>
      <c r="AP2002">
        <f>IFERROR(AC2002-X2002,"")</f>
        <v>45113.546423611107</v>
      </c>
      <c r="AQ2002">
        <f>IFERROR(AA2002-W2002,"")</f>
        <v>9</v>
      </c>
    </row>
    <row r="2003" spans="1:43" x14ac:dyDescent="0.35">
      <c r="A2003">
        <v>1503</v>
      </c>
      <c r="B2003" t="s">
        <v>6222</v>
      </c>
      <c r="C2003" t="s">
        <v>6133</v>
      </c>
      <c r="D2003" t="str">
        <f t="shared" si="805"/>
        <v>Communication and Advocacy</v>
      </c>
      <c r="E2003" t="s">
        <v>6182</v>
      </c>
      <c r="F2003" t="s">
        <v>1046</v>
      </c>
      <c r="G2003" t="s">
        <v>6183</v>
      </c>
      <c r="H2003" t="s">
        <v>334</v>
      </c>
      <c r="I2003" s="32">
        <v>44757.346215277779</v>
      </c>
      <c r="J2003" s="32">
        <v>44761.346215277779</v>
      </c>
      <c r="K2003" s="32">
        <v>44762.346215277779</v>
      </c>
      <c r="L2003" s="8">
        <f t="shared" si="806"/>
        <v>5</v>
      </c>
      <c r="M2003" s="7">
        <v>44779.346215277779</v>
      </c>
      <c r="N2003" t="s">
        <v>72</v>
      </c>
      <c r="O2003" s="34" t="s">
        <v>7474</v>
      </c>
      <c r="R2003" s="32" t="s">
        <v>7472</v>
      </c>
      <c r="S2003" t="s">
        <v>7476</v>
      </c>
      <c r="T2003" s="34" t="s">
        <v>7476</v>
      </c>
      <c r="U2003" s="34" t="s">
        <v>7476</v>
      </c>
      <c r="V2003" s="32" t="s">
        <v>7476</v>
      </c>
      <c r="W2003" s="32" t="s">
        <v>7476</v>
      </c>
      <c r="X2003">
        <v>0</v>
      </c>
      <c r="Y2003" s="34" t="s">
        <v>7476</v>
      </c>
      <c r="Z2003" s="34" t="s">
        <v>7476</v>
      </c>
      <c r="AA2003" s="34" t="s">
        <v>7476</v>
      </c>
      <c r="AB2003" s="36" t="s">
        <v>7476</v>
      </c>
      <c r="AD2003" t="s">
        <v>6223</v>
      </c>
      <c r="AE2003" t="s">
        <v>6224</v>
      </c>
      <c r="AG2003" t="s">
        <v>64</v>
      </c>
      <c r="AH2003">
        <v>6</v>
      </c>
      <c r="AI2003" s="8" t="str">
        <f>IFERROR(R2003-AF2003,"")</f>
        <v/>
      </c>
      <c r="AJ2003" s="8" t="str">
        <f>IFERROR(O2003-AF2003,"")</f>
        <v/>
      </c>
      <c r="AK2003" s="38" t="str">
        <f t="shared" si="807"/>
        <v/>
      </c>
      <c r="AL2003" t="str">
        <f>IFERROR(Z2003-W2003,"")</f>
        <v/>
      </c>
      <c r="AM2003" t="str">
        <f>IFERROR(R2003-J2003,"")</f>
        <v/>
      </c>
      <c r="AN2003" t="str">
        <f>IFERROR(V2003-O2003,"")</f>
        <v/>
      </c>
      <c r="AO2003">
        <f>IFERROR(J2003-I2003,"")</f>
        <v>4</v>
      </c>
      <c r="AP2003">
        <f>IFERROR(AC2003-X2003,"")</f>
        <v>0</v>
      </c>
      <c r="AQ2003" t="str">
        <f>IFERROR(AA2003-W2003,"")</f>
        <v/>
      </c>
    </row>
    <row r="2004" spans="1:43" x14ac:dyDescent="0.35">
      <c r="A2004">
        <v>1497</v>
      </c>
      <c r="B2004" t="s">
        <v>6225</v>
      </c>
      <c r="C2004" t="s">
        <v>6123</v>
      </c>
      <c r="D2004" t="str">
        <f t="shared" si="805"/>
        <v>Communication and Advocacy</v>
      </c>
      <c r="E2004" t="s">
        <v>6182</v>
      </c>
      <c r="F2004" t="s">
        <v>1046</v>
      </c>
      <c r="G2004" t="s">
        <v>6183</v>
      </c>
      <c r="H2004" t="s">
        <v>334</v>
      </c>
      <c r="I2004" s="32">
        <v>44696.569456018522</v>
      </c>
      <c r="J2004" s="32">
        <v>44699.569456018522</v>
      </c>
      <c r="K2004" s="32">
        <v>44701.569456018522</v>
      </c>
      <c r="L2004" s="8">
        <f t="shared" si="806"/>
        <v>5</v>
      </c>
      <c r="M2004" s="7">
        <v>44719.569456018522</v>
      </c>
      <c r="N2004" t="s">
        <v>49</v>
      </c>
      <c r="O2004" s="34">
        <v>44703.569456018522</v>
      </c>
      <c r="P2004" t="s">
        <v>101</v>
      </c>
      <c r="R2004" s="32">
        <v>44708.569456018522</v>
      </c>
      <c r="S2004" t="s">
        <v>101</v>
      </c>
      <c r="T2004" s="34">
        <v>44705.569456018522</v>
      </c>
      <c r="U2004" s="34">
        <v>44709.569456018522</v>
      </c>
      <c r="V2004" s="32">
        <v>44707.569456018522</v>
      </c>
      <c r="W2004" s="32">
        <v>44711.569456018522</v>
      </c>
      <c r="X2004">
        <v>1</v>
      </c>
      <c r="Y2004" s="34">
        <v>44713.569456018522</v>
      </c>
      <c r="Z2004" s="34">
        <v>44714.569456018522</v>
      </c>
      <c r="AA2004" s="34">
        <v>44715.569456018522</v>
      </c>
      <c r="AB2004" s="36" t="s">
        <v>7476</v>
      </c>
      <c r="AC2004" s="10">
        <v>44737.569456018522</v>
      </c>
      <c r="AD2004" t="s">
        <v>6226</v>
      </c>
      <c r="AE2004" t="s">
        <v>6227</v>
      </c>
      <c r="AF2004" s="16">
        <v>44870</v>
      </c>
      <c r="AG2004" t="s">
        <v>68</v>
      </c>
      <c r="AH2004">
        <v>3</v>
      </c>
      <c r="AI2004" s="8">
        <f>IFERROR(R2004-AF2004,"")</f>
        <v>-161.43054398147797</v>
      </c>
      <c r="AJ2004" s="8">
        <f>IFERROR(O2004-AF2004,"")</f>
        <v>-166.43054398147797</v>
      </c>
      <c r="AK2004" s="38">
        <f t="shared" si="807"/>
        <v>44797.569456018522</v>
      </c>
      <c r="AL2004">
        <f>IFERROR(Z2004-W2004,"")</f>
        <v>3</v>
      </c>
      <c r="AM2004">
        <f>IFERROR(R2004-J2004,"")</f>
        <v>9</v>
      </c>
      <c r="AN2004">
        <f>IFERROR(V2004-O2004,"")</f>
        <v>4</v>
      </c>
      <c r="AO2004">
        <f>IFERROR(J2004-I2004,"")</f>
        <v>3</v>
      </c>
      <c r="AP2004">
        <f>IFERROR(AC2004-X2004,"")</f>
        <v>44736.569456018522</v>
      </c>
      <c r="AQ2004">
        <f>IFERROR(AA2004-W2004,"")</f>
        <v>4</v>
      </c>
    </row>
    <row r="2005" spans="1:43" x14ac:dyDescent="0.35">
      <c r="A2005">
        <v>1368</v>
      </c>
      <c r="B2005" t="s">
        <v>6228</v>
      </c>
      <c r="C2005" t="s">
        <v>6108</v>
      </c>
      <c r="D2005" t="str">
        <f t="shared" si="805"/>
        <v>Communication and Advocacy</v>
      </c>
      <c r="E2005" t="s">
        <v>6182</v>
      </c>
      <c r="F2005" t="s">
        <v>1046</v>
      </c>
      <c r="G2005" t="s">
        <v>6183</v>
      </c>
      <c r="H2005" t="s">
        <v>334</v>
      </c>
      <c r="I2005" s="32">
        <v>44853.163807870369</v>
      </c>
      <c r="J2005" s="32">
        <v>44854.163807870369</v>
      </c>
      <c r="K2005" s="32">
        <v>44856.163807870369</v>
      </c>
      <c r="L2005" s="8">
        <f t="shared" si="806"/>
        <v>3</v>
      </c>
      <c r="M2005" s="7">
        <v>44866.163807870369</v>
      </c>
      <c r="N2005" t="s">
        <v>72</v>
      </c>
      <c r="O2005" s="34" t="s">
        <v>7474</v>
      </c>
      <c r="R2005" s="32" t="s">
        <v>7472</v>
      </c>
      <c r="S2005" t="s">
        <v>7476</v>
      </c>
      <c r="T2005" s="34" t="s">
        <v>7476</v>
      </c>
      <c r="U2005" s="34" t="s">
        <v>7476</v>
      </c>
      <c r="V2005" s="32" t="s">
        <v>7476</v>
      </c>
      <c r="W2005" s="32" t="s">
        <v>7476</v>
      </c>
      <c r="X2005">
        <v>0</v>
      </c>
      <c r="Y2005" s="34" t="s">
        <v>7476</v>
      </c>
      <c r="Z2005" s="34" t="s">
        <v>7476</v>
      </c>
      <c r="AA2005" s="34" t="s">
        <v>7476</v>
      </c>
      <c r="AB2005" s="36" t="s">
        <v>7476</v>
      </c>
      <c r="AD2005" t="s">
        <v>6229</v>
      </c>
      <c r="AE2005" t="s">
        <v>6230</v>
      </c>
      <c r="AG2005" t="s">
        <v>68</v>
      </c>
      <c r="AH2005">
        <v>6</v>
      </c>
      <c r="AI2005" s="8" t="str">
        <f>IFERROR(R2005-AF2005,"")</f>
        <v/>
      </c>
      <c r="AJ2005" s="8" t="str">
        <f>IFERROR(O2005-AF2005,"")</f>
        <v/>
      </c>
      <c r="AK2005" s="38" t="str">
        <f t="shared" si="807"/>
        <v/>
      </c>
      <c r="AL2005" t="str">
        <f>IFERROR(Z2005-W2005,"")</f>
        <v/>
      </c>
      <c r="AM2005" t="str">
        <f>IFERROR(R2005-J2005,"")</f>
        <v/>
      </c>
      <c r="AN2005" t="str">
        <f>IFERROR(V2005-O2005,"")</f>
        <v/>
      </c>
      <c r="AO2005">
        <f>IFERROR(J2005-I2005,"")</f>
        <v>1</v>
      </c>
      <c r="AP2005">
        <f>IFERROR(AC2005-X2005,"")</f>
        <v>0</v>
      </c>
      <c r="AQ2005" t="str">
        <f>IFERROR(AA2005-W2005,"")</f>
        <v/>
      </c>
    </row>
    <row r="2006" spans="1:43" x14ac:dyDescent="0.35">
      <c r="A2006">
        <v>1213</v>
      </c>
      <c r="B2006" t="s">
        <v>6231</v>
      </c>
      <c r="C2006" t="s">
        <v>6133</v>
      </c>
      <c r="D2006" t="str">
        <f t="shared" si="805"/>
        <v>Communication and Advocacy</v>
      </c>
      <c r="E2006" t="s">
        <v>6182</v>
      </c>
      <c r="F2006" t="s">
        <v>1046</v>
      </c>
      <c r="G2006" t="s">
        <v>6183</v>
      </c>
      <c r="H2006" t="s">
        <v>334</v>
      </c>
      <c r="I2006" s="32">
        <v>45130.004317129627</v>
      </c>
      <c r="J2006" s="32" t="s">
        <v>7471</v>
      </c>
      <c r="K2006" s="32" t="s">
        <v>7473</v>
      </c>
      <c r="L2006" s="8" t="str">
        <f t="shared" si="806"/>
        <v/>
      </c>
      <c r="M2006" s="7">
        <v>45143.004317129627</v>
      </c>
      <c r="N2006" t="s">
        <v>72</v>
      </c>
      <c r="O2006" s="34" t="s">
        <v>7474</v>
      </c>
      <c r="R2006" s="32" t="s">
        <v>7472</v>
      </c>
      <c r="S2006" t="s">
        <v>7476</v>
      </c>
      <c r="T2006" s="34" t="s">
        <v>7476</v>
      </c>
      <c r="U2006" s="34" t="s">
        <v>7476</v>
      </c>
      <c r="V2006" s="32" t="s">
        <v>7476</v>
      </c>
      <c r="W2006" s="32" t="s">
        <v>7476</v>
      </c>
      <c r="X2006">
        <v>0</v>
      </c>
      <c r="Y2006" s="34" t="s">
        <v>7476</v>
      </c>
      <c r="Z2006" s="34" t="s">
        <v>7476</v>
      </c>
      <c r="AA2006" s="34" t="s">
        <v>7476</v>
      </c>
      <c r="AB2006" s="36" t="s">
        <v>7476</v>
      </c>
      <c r="AD2006" t="s">
        <v>6232</v>
      </c>
      <c r="AE2006" t="s">
        <v>6233</v>
      </c>
      <c r="AG2006" t="s">
        <v>55</v>
      </c>
      <c r="AH2006">
        <v>6</v>
      </c>
      <c r="AK2006" s="38" t="str">
        <f t="shared" si="807"/>
        <v/>
      </c>
    </row>
    <row r="2007" spans="1:43" x14ac:dyDescent="0.35">
      <c r="A2007">
        <v>1131</v>
      </c>
      <c r="B2007" t="s">
        <v>6234</v>
      </c>
      <c r="C2007" t="s">
        <v>6133</v>
      </c>
      <c r="D2007" t="str">
        <f t="shared" si="805"/>
        <v>Communication and Advocacy</v>
      </c>
      <c r="E2007" t="s">
        <v>6182</v>
      </c>
      <c r="F2007" t="s">
        <v>1046</v>
      </c>
      <c r="G2007" t="s">
        <v>6183</v>
      </c>
      <c r="H2007" t="s">
        <v>334</v>
      </c>
      <c r="I2007" s="32">
        <v>44636.796018518522</v>
      </c>
      <c r="J2007" s="32">
        <v>44637.796018518522</v>
      </c>
      <c r="K2007" s="32">
        <v>44639.796018518522</v>
      </c>
      <c r="L2007" s="8">
        <f t="shared" si="806"/>
        <v>3</v>
      </c>
      <c r="M2007" s="7">
        <v>44649.796018518522</v>
      </c>
      <c r="N2007" t="s">
        <v>72</v>
      </c>
      <c r="O2007" s="34" t="s">
        <v>7474</v>
      </c>
      <c r="R2007" s="32" t="s">
        <v>7472</v>
      </c>
      <c r="S2007" t="s">
        <v>7476</v>
      </c>
      <c r="T2007" s="34" t="s">
        <v>7476</v>
      </c>
      <c r="U2007" s="34" t="s">
        <v>7476</v>
      </c>
      <c r="V2007" s="32" t="s">
        <v>7476</v>
      </c>
      <c r="W2007" s="32" t="s">
        <v>7476</v>
      </c>
      <c r="X2007">
        <v>0</v>
      </c>
      <c r="Y2007" s="34" t="s">
        <v>7476</v>
      </c>
      <c r="Z2007" s="34" t="s">
        <v>7476</v>
      </c>
      <c r="AA2007" s="34" t="s">
        <v>7476</v>
      </c>
      <c r="AB2007" s="36" t="s">
        <v>7476</v>
      </c>
      <c r="AD2007" t="s">
        <v>6235</v>
      </c>
      <c r="AE2007" t="s">
        <v>6236</v>
      </c>
      <c r="AG2007" t="s">
        <v>68</v>
      </c>
      <c r="AH2007">
        <v>3</v>
      </c>
      <c r="AI2007" s="8" t="str">
        <f>IFERROR(R2007-AF2007,"")</f>
        <v/>
      </c>
      <c r="AJ2007" s="8" t="str">
        <f>IFERROR(O2007-AF2007,"")</f>
        <v/>
      </c>
      <c r="AK2007" s="38" t="str">
        <f t="shared" si="807"/>
        <v/>
      </c>
      <c r="AL2007" t="str">
        <f>IFERROR(Z2007-W2007,"")</f>
        <v/>
      </c>
      <c r="AM2007" t="str">
        <f>IFERROR(R2007-J2007,"")</f>
        <v/>
      </c>
      <c r="AN2007" t="str">
        <f>IFERROR(V2007-O2007,"")</f>
        <v/>
      </c>
      <c r="AO2007">
        <f>IFERROR(J2007-I2007,"")</f>
        <v>1</v>
      </c>
      <c r="AP2007">
        <f>IFERROR(AC2007-X2007,"")</f>
        <v>0</v>
      </c>
      <c r="AQ2007" t="str">
        <f>IFERROR(AA2007-W2007,"")</f>
        <v/>
      </c>
    </row>
    <row r="2008" spans="1:43" x14ac:dyDescent="0.35">
      <c r="A2008">
        <v>1085</v>
      </c>
      <c r="B2008" t="s">
        <v>6237</v>
      </c>
      <c r="C2008" t="s">
        <v>6133</v>
      </c>
      <c r="D2008" t="str">
        <f t="shared" si="805"/>
        <v>Communication and Advocacy</v>
      </c>
      <c r="E2008" t="s">
        <v>6182</v>
      </c>
      <c r="F2008" t="s">
        <v>1046</v>
      </c>
      <c r="G2008" t="s">
        <v>6183</v>
      </c>
      <c r="H2008" t="s">
        <v>334</v>
      </c>
      <c r="I2008" s="32">
        <v>44894.976215277777</v>
      </c>
      <c r="J2008" s="32">
        <v>44898.976215277777</v>
      </c>
      <c r="K2008" s="32">
        <v>44899.976215277777</v>
      </c>
      <c r="L2008" s="8">
        <f t="shared" si="806"/>
        <v>5</v>
      </c>
      <c r="M2008" s="7">
        <v>44911.976215277777</v>
      </c>
      <c r="N2008" t="s">
        <v>72</v>
      </c>
      <c r="O2008" s="34" t="s">
        <v>7474</v>
      </c>
      <c r="R2008" s="32" t="s">
        <v>7472</v>
      </c>
      <c r="S2008" t="s">
        <v>7476</v>
      </c>
      <c r="T2008" s="34" t="s">
        <v>7476</v>
      </c>
      <c r="U2008" s="34" t="s">
        <v>7476</v>
      </c>
      <c r="V2008" s="32" t="s">
        <v>7476</v>
      </c>
      <c r="W2008" s="32" t="s">
        <v>7476</v>
      </c>
      <c r="X2008">
        <v>0</v>
      </c>
      <c r="Y2008" s="34" t="s">
        <v>7476</v>
      </c>
      <c r="Z2008" s="34" t="s">
        <v>7476</v>
      </c>
      <c r="AA2008" s="34" t="s">
        <v>7476</v>
      </c>
      <c r="AB2008" s="36" t="s">
        <v>7476</v>
      </c>
      <c r="AD2008" t="s">
        <v>6238</v>
      </c>
      <c r="AE2008" t="s">
        <v>6239</v>
      </c>
      <c r="AG2008" t="s">
        <v>68</v>
      </c>
      <c r="AH2008">
        <v>6</v>
      </c>
      <c r="AI2008" s="8" t="str">
        <f>IFERROR(R2008-AF2008,"")</f>
        <v/>
      </c>
      <c r="AJ2008" s="8" t="str">
        <f>IFERROR(O2008-AF2008,"")</f>
        <v/>
      </c>
      <c r="AK2008" s="38" t="str">
        <f t="shared" si="807"/>
        <v/>
      </c>
      <c r="AL2008" t="str">
        <f>IFERROR(Z2008-W2008,"")</f>
        <v/>
      </c>
      <c r="AM2008" t="str">
        <f>IFERROR(R2008-J2008,"")</f>
        <v/>
      </c>
      <c r="AN2008" t="str">
        <f>IFERROR(V2008-O2008,"")</f>
        <v/>
      </c>
      <c r="AO2008">
        <f>IFERROR(J2008-I2008,"")</f>
        <v>4</v>
      </c>
      <c r="AP2008">
        <f>IFERROR(AC2008-X2008,"")</f>
        <v>0</v>
      </c>
      <c r="AQ2008" t="str">
        <f>IFERROR(AA2008-W2008,"")</f>
        <v/>
      </c>
    </row>
    <row r="2009" spans="1:43" x14ac:dyDescent="0.35">
      <c r="A2009">
        <v>1047</v>
      </c>
      <c r="B2009" t="s">
        <v>6240</v>
      </c>
      <c r="C2009" t="s">
        <v>6108</v>
      </c>
      <c r="D2009" t="str">
        <f t="shared" si="805"/>
        <v>Communication and Advocacy</v>
      </c>
      <c r="E2009" t="s">
        <v>6182</v>
      </c>
      <c r="F2009" t="s">
        <v>1046</v>
      </c>
      <c r="G2009" t="s">
        <v>6183</v>
      </c>
      <c r="H2009" t="s">
        <v>334</v>
      </c>
      <c r="I2009" s="32">
        <v>44885.960578703707</v>
      </c>
      <c r="J2009" s="32">
        <v>44888.960578703707</v>
      </c>
      <c r="K2009" s="32">
        <v>44891.960578703707</v>
      </c>
      <c r="L2009" s="8">
        <f t="shared" si="806"/>
        <v>6</v>
      </c>
      <c r="M2009" s="7">
        <v>44902.960578703707</v>
      </c>
      <c r="N2009" t="s">
        <v>72</v>
      </c>
      <c r="O2009" s="34" t="s">
        <v>7474</v>
      </c>
      <c r="R2009" s="32" t="s">
        <v>7472</v>
      </c>
      <c r="S2009" t="s">
        <v>7476</v>
      </c>
      <c r="T2009" s="34" t="s">
        <v>7476</v>
      </c>
      <c r="U2009" s="34" t="s">
        <v>7476</v>
      </c>
      <c r="V2009" s="32" t="s">
        <v>7476</v>
      </c>
      <c r="W2009" s="32" t="s">
        <v>7476</v>
      </c>
      <c r="X2009">
        <v>0</v>
      </c>
      <c r="Y2009" s="34" t="s">
        <v>7476</v>
      </c>
      <c r="Z2009" s="34" t="s">
        <v>7476</v>
      </c>
      <c r="AA2009" s="34" t="s">
        <v>7476</v>
      </c>
      <c r="AB2009" s="36" t="s">
        <v>7476</v>
      </c>
      <c r="AD2009" t="s">
        <v>6241</v>
      </c>
      <c r="AE2009" t="s">
        <v>6242</v>
      </c>
      <c r="AG2009" t="s">
        <v>68</v>
      </c>
      <c r="AH2009">
        <v>3</v>
      </c>
      <c r="AI2009" s="8" t="str">
        <f>IFERROR(R2009-AF2009,"")</f>
        <v/>
      </c>
      <c r="AJ2009" s="8" t="str">
        <f>IFERROR(O2009-AF2009,"")</f>
        <v/>
      </c>
      <c r="AK2009" s="38" t="str">
        <f t="shared" si="807"/>
        <v/>
      </c>
      <c r="AL2009" t="str">
        <f>IFERROR(Z2009-W2009,"")</f>
        <v/>
      </c>
      <c r="AM2009" t="str">
        <f>IFERROR(R2009-J2009,"")</f>
        <v/>
      </c>
      <c r="AN2009" t="str">
        <f>IFERROR(V2009-O2009,"")</f>
        <v/>
      </c>
      <c r="AO2009">
        <f>IFERROR(J2009-I2009,"")</f>
        <v>3</v>
      </c>
      <c r="AP2009">
        <f>IFERROR(AC2009-X2009,"")</f>
        <v>0</v>
      </c>
      <c r="AQ2009" t="str">
        <f>IFERROR(AA2009-W2009,"")</f>
        <v/>
      </c>
    </row>
    <row r="2010" spans="1:43" x14ac:dyDescent="0.35">
      <c r="A2010">
        <v>1030</v>
      </c>
      <c r="B2010" t="s">
        <v>6243</v>
      </c>
      <c r="C2010" t="s">
        <v>6108</v>
      </c>
      <c r="D2010" t="str">
        <f t="shared" si="805"/>
        <v>Communication and Advocacy</v>
      </c>
      <c r="E2010" t="s">
        <v>6182</v>
      </c>
      <c r="F2010" t="s">
        <v>1046</v>
      </c>
      <c r="G2010" t="s">
        <v>6183</v>
      </c>
      <c r="H2010" t="s">
        <v>334</v>
      </c>
      <c r="I2010" s="32">
        <v>44951.791134259263</v>
      </c>
      <c r="J2010" s="32" t="s">
        <v>7471</v>
      </c>
      <c r="K2010" s="32">
        <v>44958.791134259263</v>
      </c>
      <c r="L2010" s="8">
        <f t="shared" si="806"/>
        <v>7</v>
      </c>
      <c r="M2010" s="7">
        <v>44965.791134259263</v>
      </c>
      <c r="N2010" t="s">
        <v>49</v>
      </c>
      <c r="O2010" s="34">
        <v>44960.791134259263</v>
      </c>
      <c r="P2010" t="s">
        <v>101</v>
      </c>
      <c r="R2010" s="32">
        <v>44967.791134259263</v>
      </c>
      <c r="S2010" t="s">
        <v>101</v>
      </c>
      <c r="T2010" s="34">
        <v>44961.791134259263</v>
      </c>
      <c r="U2010" s="34">
        <v>44962.791134259263</v>
      </c>
      <c r="V2010" s="32">
        <v>44964.791134259263</v>
      </c>
      <c r="W2010" s="32">
        <v>44968.791134259263</v>
      </c>
      <c r="X2010">
        <v>1</v>
      </c>
      <c r="Y2010" s="34">
        <v>44971.791134259263</v>
      </c>
      <c r="Z2010" s="34">
        <v>44972.791134259263</v>
      </c>
      <c r="AA2010" s="34">
        <v>44974.791134259263</v>
      </c>
      <c r="AB2010" s="36" t="s">
        <v>7476</v>
      </c>
      <c r="AC2010" s="10">
        <v>44993.791134259263</v>
      </c>
      <c r="AD2010" t="s">
        <v>6244</v>
      </c>
      <c r="AE2010" t="s">
        <v>6245</v>
      </c>
      <c r="AF2010" s="16">
        <v>44953</v>
      </c>
      <c r="AG2010" t="s">
        <v>75</v>
      </c>
      <c r="AH2010">
        <v>3</v>
      </c>
      <c r="AK2010" s="38">
        <f t="shared" si="807"/>
        <v>45054.791134259263</v>
      </c>
    </row>
    <row r="2011" spans="1:43" x14ac:dyDescent="0.35">
      <c r="A2011">
        <v>938</v>
      </c>
      <c r="B2011" t="s">
        <v>6246</v>
      </c>
      <c r="C2011" t="s">
        <v>6133</v>
      </c>
      <c r="D2011" t="str">
        <f t="shared" si="805"/>
        <v>Communication and Advocacy</v>
      </c>
      <c r="E2011" t="s">
        <v>6182</v>
      </c>
      <c r="F2011" t="s">
        <v>1046</v>
      </c>
      <c r="G2011" t="s">
        <v>6183</v>
      </c>
      <c r="H2011" t="s">
        <v>334</v>
      </c>
      <c r="I2011" s="32">
        <v>45001.704907407409</v>
      </c>
      <c r="J2011" s="32">
        <v>45003.704907407409</v>
      </c>
      <c r="K2011" s="32" t="s">
        <v>7473</v>
      </c>
      <c r="L2011" s="8" t="str">
        <f t="shared" si="806"/>
        <v/>
      </c>
      <c r="M2011" s="7">
        <v>45016.704907407409</v>
      </c>
      <c r="N2011" t="s">
        <v>49</v>
      </c>
      <c r="O2011" s="34">
        <v>45007.704907407409</v>
      </c>
      <c r="P2011" t="s">
        <v>50</v>
      </c>
      <c r="Q2011" t="s">
        <v>198</v>
      </c>
      <c r="R2011" s="32" t="s">
        <v>7472</v>
      </c>
      <c r="S2011" t="s">
        <v>7476</v>
      </c>
      <c r="T2011" s="34" t="s">
        <v>7476</v>
      </c>
      <c r="U2011" s="34" t="s">
        <v>7476</v>
      </c>
      <c r="V2011" s="32">
        <v>45010.704907407409</v>
      </c>
      <c r="W2011" s="32" t="s">
        <v>7476</v>
      </c>
      <c r="X2011">
        <v>0</v>
      </c>
      <c r="Y2011" s="34" t="s">
        <v>7476</v>
      </c>
      <c r="Z2011" s="34" t="s">
        <v>7476</v>
      </c>
      <c r="AA2011" s="34" t="s">
        <v>7476</v>
      </c>
      <c r="AB2011" s="36" t="s">
        <v>52</v>
      </c>
      <c r="AD2011" t="s">
        <v>6247</v>
      </c>
      <c r="AE2011" t="s">
        <v>6248</v>
      </c>
      <c r="AF2011" s="16">
        <v>45001</v>
      </c>
      <c r="AG2011" t="s">
        <v>75</v>
      </c>
      <c r="AH2011">
        <v>3</v>
      </c>
      <c r="AK2011" s="38">
        <f t="shared" si="807"/>
        <v>45100.704907407409</v>
      </c>
    </row>
    <row r="2012" spans="1:43" x14ac:dyDescent="0.35">
      <c r="A2012">
        <v>931</v>
      </c>
      <c r="B2012" t="s">
        <v>6249</v>
      </c>
      <c r="C2012" t="s">
        <v>6133</v>
      </c>
      <c r="D2012" t="str">
        <f t="shared" si="805"/>
        <v>Communication and Advocacy</v>
      </c>
      <c r="E2012" t="s">
        <v>6182</v>
      </c>
      <c r="F2012" t="s">
        <v>1046</v>
      </c>
      <c r="G2012" t="s">
        <v>6183</v>
      </c>
      <c r="H2012" t="s">
        <v>334</v>
      </c>
      <c r="I2012" s="32">
        <v>44997.704907407409</v>
      </c>
      <c r="J2012" s="32" t="s">
        <v>7471</v>
      </c>
      <c r="K2012" s="32">
        <v>45005.704907407409</v>
      </c>
      <c r="L2012" s="8">
        <f t="shared" si="806"/>
        <v>8</v>
      </c>
      <c r="M2012" s="7">
        <v>45027.704907407409</v>
      </c>
      <c r="N2012" t="s">
        <v>49</v>
      </c>
      <c r="O2012" s="34">
        <v>45014.704907407409</v>
      </c>
      <c r="P2012" t="s">
        <v>60</v>
      </c>
      <c r="R2012" s="32">
        <v>45020.704907407409</v>
      </c>
      <c r="S2012" t="s">
        <v>61</v>
      </c>
      <c r="T2012" s="34" t="s">
        <v>7476</v>
      </c>
      <c r="U2012" s="34" t="s">
        <v>7476</v>
      </c>
      <c r="V2012" s="32">
        <v>45016.704907407409</v>
      </c>
      <c r="W2012" s="32" t="s">
        <v>7476</v>
      </c>
      <c r="X2012">
        <v>0</v>
      </c>
      <c r="Y2012" s="34" t="s">
        <v>7476</v>
      </c>
      <c r="Z2012" s="34" t="s">
        <v>7476</v>
      </c>
      <c r="AA2012" s="34" t="s">
        <v>7476</v>
      </c>
      <c r="AB2012" s="36" t="s">
        <v>7476</v>
      </c>
      <c r="AD2012" t="s">
        <v>6250</v>
      </c>
      <c r="AE2012" t="s">
        <v>6251</v>
      </c>
      <c r="AF2012" s="16">
        <v>44999</v>
      </c>
      <c r="AG2012" t="s">
        <v>68</v>
      </c>
      <c r="AH2012">
        <v>3</v>
      </c>
      <c r="AK2012" s="38">
        <f t="shared" si="807"/>
        <v>45106.704907407409</v>
      </c>
    </row>
    <row r="2013" spans="1:43" x14ac:dyDescent="0.35">
      <c r="A2013">
        <v>849</v>
      </c>
      <c r="B2013" t="s">
        <v>6252</v>
      </c>
      <c r="C2013" t="s">
        <v>6133</v>
      </c>
      <c r="D2013" t="str">
        <f t="shared" si="805"/>
        <v>Communication and Advocacy</v>
      </c>
      <c r="E2013" t="s">
        <v>6182</v>
      </c>
      <c r="F2013" t="s">
        <v>1046</v>
      </c>
      <c r="G2013" t="s">
        <v>6183</v>
      </c>
      <c r="H2013" t="s">
        <v>334</v>
      </c>
      <c r="I2013" s="32">
        <v>44779.836053240739</v>
      </c>
      <c r="J2013" s="32">
        <v>44780.836053240739</v>
      </c>
      <c r="K2013" s="32">
        <v>44783.836053240739</v>
      </c>
      <c r="L2013" s="8">
        <f t="shared" si="806"/>
        <v>4</v>
      </c>
      <c r="M2013" s="7">
        <v>44811.836053240739</v>
      </c>
      <c r="N2013" t="s">
        <v>49</v>
      </c>
      <c r="O2013" s="34">
        <v>44794.836053240739</v>
      </c>
      <c r="P2013" t="s">
        <v>50</v>
      </c>
      <c r="Q2013" t="s">
        <v>51</v>
      </c>
      <c r="R2013" s="32" t="s">
        <v>7472</v>
      </c>
      <c r="S2013" t="s">
        <v>7476</v>
      </c>
      <c r="T2013" s="34" t="s">
        <v>7476</v>
      </c>
      <c r="U2013" s="34" t="s">
        <v>7476</v>
      </c>
      <c r="V2013" s="32" t="s">
        <v>7476</v>
      </c>
      <c r="W2013" s="32" t="s">
        <v>7476</v>
      </c>
      <c r="X2013">
        <v>0</v>
      </c>
      <c r="Y2013" s="34" t="s">
        <v>7476</v>
      </c>
      <c r="Z2013" s="34" t="s">
        <v>7476</v>
      </c>
      <c r="AA2013" s="34" t="s">
        <v>7476</v>
      </c>
      <c r="AB2013" s="36" t="s">
        <v>95</v>
      </c>
      <c r="AD2013" t="s">
        <v>6253</v>
      </c>
      <c r="AE2013" t="s">
        <v>6254</v>
      </c>
      <c r="AF2013" s="16">
        <v>44785</v>
      </c>
      <c r="AG2013" t="s">
        <v>64</v>
      </c>
      <c r="AH2013">
        <v>6</v>
      </c>
      <c r="AI2013" s="8" t="str">
        <f>IFERROR(R2013-AF2013,"")</f>
        <v/>
      </c>
      <c r="AJ2013" s="8">
        <f>IFERROR(O2013-AF2013,"")</f>
        <v>9.8360532407386927</v>
      </c>
      <c r="AK2013" s="38" t="str">
        <f t="shared" si="807"/>
        <v/>
      </c>
      <c r="AL2013" t="str">
        <f>IFERROR(Z2013-W2013,"")</f>
        <v/>
      </c>
      <c r="AM2013" t="str">
        <f>IFERROR(R2013-J2013,"")</f>
        <v/>
      </c>
      <c r="AN2013" t="str">
        <f>IFERROR(V2013-O2013,"")</f>
        <v/>
      </c>
      <c r="AO2013">
        <f>IFERROR(J2013-I2013,"")</f>
        <v>1</v>
      </c>
      <c r="AP2013">
        <f>IFERROR(AC2013-X2013,"")</f>
        <v>0</v>
      </c>
      <c r="AQ2013" t="str">
        <f>IFERROR(AA2013-W2013,"")</f>
        <v/>
      </c>
    </row>
    <row r="2014" spans="1:43" x14ac:dyDescent="0.35">
      <c r="A2014">
        <v>843</v>
      </c>
      <c r="B2014" t="s">
        <v>6255</v>
      </c>
      <c r="C2014" t="s">
        <v>6133</v>
      </c>
      <c r="D2014" t="str">
        <f t="shared" si="805"/>
        <v>Communication and Advocacy</v>
      </c>
      <c r="E2014" t="s">
        <v>6182</v>
      </c>
      <c r="F2014" t="s">
        <v>1046</v>
      </c>
      <c r="G2014" t="s">
        <v>6183</v>
      </c>
      <c r="H2014" t="s">
        <v>334</v>
      </c>
      <c r="I2014" s="32">
        <v>44776.836053240739</v>
      </c>
      <c r="J2014" s="32" t="s">
        <v>7471</v>
      </c>
      <c r="K2014" s="32">
        <v>44783.836053240739</v>
      </c>
      <c r="L2014" s="8">
        <f t="shared" si="806"/>
        <v>7</v>
      </c>
      <c r="M2014" s="7">
        <v>44802.836053240739</v>
      </c>
      <c r="N2014" t="s">
        <v>49</v>
      </c>
      <c r="O2014" s="34">
        <v>44785.836053240739</v>
      </c>
      <c r="P2014" t="s">
        <v>50</v>
      </c>
      <c r="Q2014" t="s">
        <v>51</v>
      </c>
      <c r="R2014" s="32" t="s">
        <v>7472</v>
      </c>
      <c r="S2014" t="s">
        <v>7476</v>
      </c>
      <c r="T2014" s="34" t="s">
        <v>7476</v>
      </c>
      <c r="U2014" s="34" t="s">
        <v>7476</v>
      </c>
      <c r="V2014" s="32">
        <v>44788.836053240739</v>
      </c>
      <c r="W2014" s="32" t="s">
        <v>7476</v>
      </c>
      <c r="X2014">
        <v>0</v>
      </c>
      <c r="Y2014" s="34" t="s">
        <v>7476</v>
      </c>
      <c r="Z2014" s="34" t="s">
        <v>7476</v>
      </c>
      <c r="AA2014" s="34" t="s">
        <v>7476</v>
      </c>
      <c r="AB2014" s="36" t="s">
        <v>52</v>
      </c>
      <c r="AD2014" t="s">
        <v>6256</v>
      </c>
      <c r="AE2014" t="s">
        <v>6257</v>
      </c>
      <c r="AF2014" s="16">
        <v>44770</v>
      </c>
      <c r="AG2014" t="s">
        <v>75</v>
      </c>
      <c r="AH2014">
        <v>6</v>
      </c>
      <c r="AK2014" s="38">
        <f t="shared" si="807"/>
        <v>44968.836053240739</v>
      </c>
    </row>
    <row r="2015" spans="1:43" x14ac:dyDescent="0.35">
      <c r="A2015">
        <v>820</v>
      </c>
      <c r="B2015" t="s">
        <v>6258</v>
      </c>
      <c r="C2015" t="s">
        <v>6108</v>
      </c>
      <c r="D2015" t="str">
        <f t="shared" si="805"/>
        <v>Communication and Advocacy</v>
      </c>
      <c r="E2015" t="s">
        <v>6182</v>
      </c>
      <c r="F2015" t="s">
        <v>1046</v>
      </c>
      <c r="G2015" t="s">
        <v>6183</v>
      </c>
      <c r="H2015" t="s">
        <v>334</v>
      </c>
      <c r="I2015" s="32">
        <v>44672.895150462973</v>
      </c>
      <c r="J2015" s="32" t="s">
        <v>7471</v>
      </c>
      <c r="K2015" s="32">
        <v>44676.895150462973</v>
      </c>
      <c r="L2015" s="8">
        <f t="shared" si="806"/>
        <v>4</v>
      </c>
      <c r="M2015" s="7">
        <v>44688.895150462973</v>
      </c>
      <c r="N2015" t="s">
        <v>49</v>
      </c>
      <c r="O2015" s="34">
        <v>44689.895150462973</v>
      </c>
      <c r="P2015" t="s">
        <v>50</v>
      </c>
      <c r="Q2015" t="s">
        <v>84</v>
      </c>
      <c r="R2015" s="32" t="s">
        <v>7472</v>
      </c>
      <c r="S2015" t="s">
        <v>7476</v>
      </c>
      <c r="T2015" s="34" t="s">
        <v>7476</v>
      </c>
      <c r="U2015" s="34" t="s">
        <v>7476</v>
      </c>
      <c r="V2015" s="32" t="s">
        <v>7476</v>
      </c>
      <c r="W2015" s="32" t="s">
        <v>7476</v>
      </c>
      <c r="X2015">
        <v>0</v>
      </c>
      <c r="Y2015" s="34" t="s">
        <v>7476</v>
      </c>
      <c r="Z2015" s="34" t="s">
        <v>7476</v>
      </c>
      <c r="AA2015" s="34" t="s">
        <v>7476</v>
      </c>
      <c r="AB2015" s="36" t="s">
        <v>52</v>
      </c>
      <c r="AD2015" t="s">
        <v>6259</v>
      </c>
      <c r="AE2015" t="s">
        <v>6260</v>
      </c>
      <c r="AF2015" s="16">
        <v>44676</v>
      </c>
      <c r="AG2015" t="s">
        <v>98</v>
      </c>
      <c r="AH2015">
        <v>3</v>
      </c>
      <c r="AK2015" s="38" t="str">
        <f t="shared" si="807"/>
        <v/>
      </c>
    </row>
    <row r="2016" spans="1:43" x14ac:dyDescent="0.35">
      <c r="A2016">
        <v>816</v>
      </c>
      <c r="B2016" t="s">
        <v>6261</v>
      </c>
      <c r="C2016" t="s">
        <v>6133</v>
      </c>
      <c r="D2016" t="str">
        <f t="shared" si="805"/>
        <v>Communication and Advocacy</v>
      </c>
      <c r="E2016" t="s">
        <v>6182</v>
      </c>
      <c r="F2016" t="s">
        <v>1046</v>
      </c>
      <c r="G2016" t="s">
        <v>6183</v>
      </c>
      <c r="H2016" t="s">
        <v>334</v>
      </c>
      <c r="I2016" s="32">
        <v>44666.895150462973</v>
      </c>
      <c r="J2016" s="32">
        <v>44670.895150462973</v>
      </c>
      <c r="K2016" s="32">
        <v>44676.895150462973</v>
      </c>
      <c r="L2016" s="8">
        <f t="shared" si="806"/>
        <v>10</v>
      </c>
      <c r="M2016" s="7">
        <v>44694.895150462973</v>
      </c>
      <c r="N2016" t="s">
        <v>49</v>
      </c>
      <c r="O2016" s="34">
        <v>44684.895150462973</v>
      </c>
      <c r="P2016" t="s">
        <v>50</v>
      </c>
      <c r="Q2016" t="s">
        <v>198</v>
      </c>
      <c r="R2016" s="32" t="s">
        <v>7472</v>
      </c>
      <c r="S2016" t="s">
        <v>7476</v>
      </c>
      <c r="T2016" s="34" t="s">
        <v>7476</v>
      </c>
      <c r="U2016" s="34" t="s">
        <v>7476</v>
      </c>
      <c r="V2016" s="32">
        <v>44685.895150462973</v>
      </c>
      <c r="W2016" s="32" t="s">
        <v>7476</v>
      </c>
      <c r="X2016">
        <v>0</v>
      </c>
      <c r="Y2016" s="34" t="s">
        <v>7476</v>
      </c>
      <c r="Z2016" s="34" t="s">
        <v>7476</v>
      </c>
      <c r="AA2016" s="34" t="s">
        <v>7476</v>
      </c>
      <c r="AB2016" s="36" t="s">
        <v>95</v>
      </c>
      <c r="AD2016" t="s">
        <v>6262</v>
      </c>
      <c r="AE2016" t="s">
        <v>6263</v>
      </c>
      <c r="AF2016" s="16">
        <v>44671</v>
      </c>
      <c r="AG2016" t="s">
        <v>98</v>
      </c>
      <c r="AH2016">
        <v>6</v>
      </c>
      <c r="AI2016" s="8" t="str">
        <f>IFERROR(R2016-AF2016,"")</f>
        <v/>
      </c>
      <c r="AJ2016" s="8">
        <f>IFERROR(O2016-AF2016,"")</f>
        <v>13.895150462973106</v>
      </c>
      <c r="AK2016" s="38">
        <f t="shared" si="807"/>
        <v>44865.895150462973</v>
      </c>
      <c r="AL2016" t="str">
        <f>IFERROR(Z2016-W2016,"")</f>
        <v/>
      </c>
      <c r="AM2016" t="str">
        <f>IFERROR(R2016-J2016,"")</f>
        <v/>
      </c>
      <c r="AN2016">
        <f>IFERROR(V2016-O2016,"")</f>
        <v>1</v>
      </c>
      <c r="AO2016">
        <f>IFERROR(J2016-I2016,"")</f>
        <v>4</v>
      </c>
      <c r="AP2016">
        <f>IFERROR(AC2016-X2016,"")</f>
        <v>0</v>
      </c>
      <c r="AQ2016" t="str">
        <f>IFERROR(AA2016-W2016,"")</f>
        <v/>
      </c>
    </row>
    <row r="2017" spans="1:43" x14ac:dyDescent="0.35">
      <c r="A2017">
        <v>787</v>
      </c>
      <c r="B2017" t="s">
        <v>6264</v>
      </c>
      <c r="C2017" t="s">
        <v>6133</v>
      </c>
      <c r="D2017" t="str">
        <f t="shared" si="805"/>
        <v>Communication and Advocacy</v>
      </c>
      <c r="E2017" t="s">
        <v>6182</v>
      </c>
      <c r="F2017" t="s">
        <v>1046</v>
      </c>
      <c r="G2017" t="s">
        <v>6183</v>
      </c>
      <c r="H2017" t="s">
        <v>334</v>
      </c>
      <c r="I2017" s="32">
        <v>44931.996932870366</v>
      </c>
      <c r="J2017" s="32" t="s">
        <v>7471</v>
      </c>
      <c r="K2017" s="32">
        <v>44941.996932870366</v>
      </c>
      <c r="L2017" s="8">
        <f t="shared" si="806"/>
        <v>10</v>
      </c>
      <c r="M2017" s="7">
        <v>44954.996932870366</v>
      </c>
      <c r="N2017" t="s">
        <v>49</v>
      </c>
      <c r="O2017" s="34">
        <v>44956.996932870366</v>
      </c>
      <c r="P2017" t="s">
        <v>50</v>
      </c>
      <c r="Q2017" t="s">
        <v>125</v>
      </c>
      <c r="R2017" s="32" t="s">
        <v>7472</v>
      </c>
      <c r="S2017" t="s">
        <v>7476</v>
      </c>
      <c r="T2017" s="34" t="s">
        <v>7476</v>
      </c>
      <c r="U2017" s="34" t="s">
        <v>7476</v>
      </c>
      <c r="V2017" s="32">
        <v>44957.996932870366</v>
      </c>
      <c r="W2017" s="32" t="s">
        <v>7476</v>
      </c>
      <c r="X2017">
        <v>0</v>
      </c>
      <c r="Y2017" s="34" t="s">
        <v>7476</v>
      </c>
      <c r="Z2017" s="34" t="s">
        <v>7476</v>
      </c>
      <c r="AA2017" s="34" t="s">
        <v>7476</v>
      </c>
      <c r="AB2017" s="36" t="s">
        <v>95</v>
      </c>
      <c r="AD2017" t="s">
        <v>6265</v>
      </c>
      <c r="AE2017" t="s">
        <v>6266</v>
      </c>
      <c r="AF2017" s="16">
        <v>44942</v>
      </c>
      <c r="AG2017" t="s">
        <v>93</v>
      </c>
      <c r="AH2017">
        <v>6</v>
      </c>
      <c r="AK2017" s="38">
        <f t="shared" si="807"/>
        <v>45137.996932870366</v>
      </c>
    </row>
    <row r="2018" spans="1:43" x14ac:dyDescent="0.35">
      <c r="A2018">
        <v>739</v>
      </c>
      <c r="B2018" t="s">
        <v>6267</v>
      </c>
      <c r="C2018" t="s">
        <v>6133</v>
      </c>
      <c r="D2018" t="str">
        <f t="shared" si="805"/>
        <v>Communication and Advocacy</v>
      </c>
      <c r="E2018" t="s">
        <v>6182</v>
      </c>
      <c r="F2018" t="s">
        <v>1046</v>
      </c>
      <c r="G2018" t="s">
        <v>6183</v>
      </c>
      <c r="H2018" t="s">
        <v>334</v>
      </c>
      <c r="I2018" s="32">
        <v>45043.644548611112</v>
      </c>
      <c r="J2018" s="32">
        <v>45044.644548611112</v>
      </c>
      <c r="K2018" s="32">
        <v>45047.644548611112</v>
      </c>
      <c r="L2018" s="8">
        <f t="shared" si="806"/>
        <v>4</v>
      </c>
      <c r="M2018" s="7">
        <v>45071.644548611112</v>
      </c>
      <c r="N2018" t="s">
        <v>49</v>
      </c>
      <c r="O2018" s="34">
        <v>45057.644548611112</v>
      </c>
      <c r="P2018" t="s">
        <v>50</v>
      </c>
      <c r="Q2018" t="s">
        <v>51</v>
      </c>
      <c r="R2018" s="32" t="s">
        <v>7472</v>
      </c>
      <c r="S2018" t="s">
        <v>7476</v>
      </c>
      <c r="T2018" s="34" t="s">
        <v>7476</v>
      </c>
      <c r="U2018" s="34" t="s">
        <v>7476</v>
      </c>
      <c r="V2018" s="32">
        <v>45060.644548611112</v>
      </c>
      <c r="W2018" s="32" t="s">
        <v>7476</v>
      </c>
      <c r="X2018">
        <v>0</v>
      </c>
      <c r="Y2018" s="34" t="s">
        <v>7476</v>
      </c>
      <c r="Z2018" s="34" t="s">
        <v>7476</v>
      </c>
      <c r="AA2018" s="34" t="s">
        <v>7476</v>
      </c>
      <c r="AB2018" s="36" t="s">
        <v>95</v>
      </c>
      <c r="AD2018" t="s">
        <v>6268</v>
      </c>
      <c r="AE2018" t="s">
        <v>6269</v>
      </c>
      <c r="AF2018" s="16">
        <v>45039</v>
      </c>
      <c r="AG2018" t="s">
        <v>98</v>
      </c>
      <c r="AH2018">
        <v>6</v>
      </c>
      <c r="AI2018" s="8" t="str">
        <f>IFERROR(R2018-AF2018,"")</f>
        <v/>
      </c>
      <c r="AJ2018" s="8">
        <f>IFERROR(O2018-AF2018,"")</f>
        <v>18.644548611111531</v>
      </c>
      <c r="AK2018" s="38">
        <f t="shared" si="807"/>
        <v>45240.644548611112</v>
      </c>
      <c r="AL2018" t="str">
        <f>IFERROR(Z2018-W2018,"")</f>
        <v/>
      </c>
      <c r="AM2018" t="str">
        <f>IFERROR(R2018-J2018,"")</f>
        <v/>
      </c>
      <c r="AN2018">
        <f>IFERROR(V2018-O2018,"")</f>
        <v>3</v>
      </c>
      <c r="AO2018">
        <f>IFERROR(J2018-I2018,"")</f>
        <v>1</v>
      </c>
      <c r="AP2018">
        <f>IFERROR(AC2018-X2018,"")</f>
        <v>0</v>
      </c>
      <c r="AQ2018" t="str">
        <f>IFERROR(AA2018-W2018,"")</f>
        <v/>
      </c>
    </row>
    <row r="2019" spans="1:43" x14ac:dyDescent="0.35">
      <c r="A2019">
        <v>734</v>
      </c>
      <c r="B2019" t="s">
        <v>6270</v>
      </c>
      <c r="C2019" t="s">
        <v>6108</v>
      </c>
      <c r="D2019" t="str">
        <f t="shared" si="805"/>
        <v>Communication and Advocacy</v>
      </c>
      <c r="E2019" t="s">
        <v>6182</v>
      </c>
      <c r="F2019" t="s">
        <v>1046</v>
      </c>
      <c r="G2019" t="s">
        <v>6183</v>
      </c>
      <c r="H2019" t="s">
        <v>334</v>
      </c>
      <c r="I2019" s="32">
        <v>45041.644548611112</v>
      </c>
      <c r="J2019" s="32">
        <v>45043.644548611112</v>
      </c>
      <c r="K2019" s="32">
        <v>45047.644548611112</v>
      </c>
      <c r="L2019" s="8">
        <f t="shared" si="806"/>
        <v>6</v>
      </c>
      <c r="M2019" s="7">
        <v>45069.644548611112</v>
      </c>
      <c r="N2019" t="s">
        <v>49</v>
      </c>
      <c r="O2019" s="34">
        <v>45050.644548611112</v>
      </c>
      <c r="P2019" t="s">
        <v>60</v>
      </c>
      <c r="R2019" s="32">
        <v>45057.644548611112</v>
      </c>
      <c r="S2019" t="s">
        <v>61</v>
      </c>
      <c r="T2019" s="34" t="s">
        <v>7476</v>
      </c>
      <c r="U2019" s="34" t="s">
        <v>7476</v>
      </c>
      <c r="V2019" s="32">
        <v>45053.644548611112</v>
      </c>
      <c r="W2019" s="32" t="s">
        <v>7476</v>
      </c>
      <c r="X2019">
        <v>0</v>
      </c>
      <c r="Y2019" s="34" t="s">
        <v>7476</v>
      </c>
      <c r="Z2019" s="34" t="s">
        <v>7476</v>
      </c>
      <c r="AA2019" s="34" t="s">
        <v>7476</v>
      </c>
      <c r="AB2019" s="36" t="s">
        <v>7476</v>
      </c>
      <c r="AD2019" t="s">
        <v>6271</v>
      </c>
      <c r="AE2019" t="s">
        <v>6272</v>
      </c>
      <c r="AF2019" s="16">
        <v>45040</v>
      </c>
      <c r="AG2019" t="s">
        <v>98</v>
      </c>
      <c r="AH2019">
        <v>3</v>
      </c>
      <c r="AI2019" s="8">
        <f>IFERROR(R2019-AF2019,"")</f>
        <v>17.644548611111531</v>
      </c>
      <c r="AJ2019" s="8">
        <f>IFERROR(O2019-AF2019,"")</f>
        <v>10.644548611111531</v>
      </c>
      <c r="AK2019" s="38">
        <f t="shared" si="807"/>
        <v>45143.644548611112</v>
      </c>
      <c r="AL2019" t="str">
        <f>IFERROR(Z2019-W2019,"")</f>
        <v/>
      </c>
      <c r="AM2019">
        <f>IFERROR(R2019-J2019,"")</f>
        <v>14</v>
      </c>
      <c r="AN2019">
        <f>IFERROR(V2019-O2019,"")</f>
        <v>3</v>
      </c>
      <c r="AO2019">
        <f>IFERROR(J2019-I2019,"")</f>
        <v>2</v>
      </c>
      <c r="AP2019">
        <f>IFERROR(AC2019-X2019,"")</f>
        <v>0</v>
      </c>
      <c r="AQ2019" t="str">
        <f>IFERROR(AA2019-W2019,"")</f>
        <v/>
      </c>
    </row>
    <row r="2020" spans="1:43" x14ac:dyDescent="0.35">
      <c r="A2020">
        <v>688</v>
      </c>
      <c r="B2020" t="s">
        <v>6273</v>
      </c>
      <c r="C2020" t="s">
        <v>6123</v>
      </c>
      <c r="D2020" t="str">
        <f t="shared" si="805"/>
        <v>Communication and Advocacy</v>
      </c>
      <c r="E2020" t="s">
        <v>6182</v>
      </c>
      <c r="F2020" t="s">
        <v>1046</v>
      </c>
      <c r="G2020" t="s">
        <v>6183</v>
      </c>
      <c r="H2020" t="s">
        <v>334</v>
      </c>
      <c r="I2020" s="32">
        <v>45102.115520833337</v>
      </c>
      <c r="J2020" s="32" t="s">
        <v>7471</v>
      </c>
      <c r="K2020" s="32">
        <v>45106.115520833337</v>
      </c>
      <c r="L2020" s="8">
        <f t="shared" si="806"/>
        <v>4</v>
      </c>
      <c r="M2020" s="7">
        <v>45120.115520833337</v>
      </c>
      <c r="N2020" t="s">
        <v>49</v>
      </c>
      <c r="O2020" s="34">
        <v>45119.115520833337</v>
      </c>
      <c r="P2020" t="s">
        <v>60</v>
      </c>
      <c r="R2020" s="32">
        <v>45121.115520833337</v>
      </c>
      <c r="S2020" t="s">
        <v>61</v>
      </c>
      <c r="T2020" s="34" t="s">
        <v>7476</v>
      </c>
      <c r="U2020" s="34" t="s">
        <v>7476</v>
      </c>
      <c r="V2020" s="32">
        <v>45120.115520833337</v>
      </c>
      <c r="W2020" s="32" t="s">
        <v>7476</v>
      </c>
      <c r="X2020">
        <v>0</v>
      </c>
      <c r="Y2020" s="34" t="s">
        <v>7476</v>
      </c>
      <c r="Z2020" s="34" t="s">
        <v>7476</v>
      </c>
      <c r="AA2020" s="34" t="s">
        <v>7476</v>
      </c>
      <c r="AB2020" s="36" t="s">
        <v>7476</v>
      </c>
      <c r="AD2020" t="s">
        <v>6274</v>
      </c>
      <c r="AE2020" t="s">
        <v>6275</v>
      </c>
      <c r="AF2020" s="16">
        <v>44992</v>
      </c>
      <c r="AG2020" t="s">
        <v>55</v>
      </c>
      <c r="AH2020">
        <v>6</v>
      </c>
      <c r="AK2020" s="38">
        <f t="shared" si="807"/>
        <v>45300.115520833337</v>
      </c>
    </row>
    <row r="2021" spans="1:43" x14ac:dyDescent="0.35">
      <c r="A2021">
        <v>682</v>
      </c>
      <c r="B2021" t="s">
        <v>6276</v>
      </c>
      <c r="C2021" t="s">
        <v>6123</v>
      </c>
      <c r="D2021" t="str">
        <f t="shared" si="805"/>
        <v>Communication and Advocacy</v>
      </c>
      <c r="E2021" t="s">
        <v>6182</v>
      </c>
      <c r="F2021" t="s">
        <v>1046</v>
      </c>
      <c r="G2021" t="s">
        <v>6183</v>
      </c>
      <c r="H2021" t="s">
        <v>334</v>
      </c>
      <c r="I2021" s="32">
        <v>45103.115520833337</v>
      </c>
      <c r="J2021" s="32" t="s">
        <v>7471</v>
      </c>
      <c r="K2021" s="32">
        <v>45106.115520833337</v>
      </c>
      <c r="L2021" s="8">
        <f t="shared" si="806"/>
        <v>3</v>
      </c>
      <c r="M2021" s="7">
        <v>45134.115520833337</v>
      </c>
      <c r="N2021" t="s">
        <v>49</v>
      </c>
      <c r="O2021" s="34">
        <v>45108.115520833337</v>
      </c>
      <c r="P2021" t="s">
        <v>50</v>
      </c>
      <c r="Q2021" t="s">
        <v>84</v>
      </c>
      <c r="R2021" s="32" t="s">
        <v>7472</v>
      </c>
      <c r="S2021" t="s">
        <v>7476</v>
      </c>
      <c r="T2021" s="34" t="s">
        <v>7476</v>
      </c>
      <c r="U2021" s="34" t="s">
        <v>7476</v>
      </c>
      <c r="V2021" s="32" t="s">
        <v>7476</v>
      </c>
      <c r="W2021" s="32" t="s">
        <v>7476</v>
      </c>
      <c r="X2021">
        <v>0</v>
      </c>
      <c r="Y2021" s="34" t="s">
        <v>7476</v>
      </c>
      <c r="Z2021" s="34" t="s">
        <v>7476</v>
      </c>
      <c r="AA2021" s="34" t="s">
        <v>7476</v>
      </c>
      <c r="AB2021" s="36" t="s">
        <v>95</v>
      </c>
      <c r="AD2021" t="s">
        <v>6277</v>
      </c>
      <c r="AE2021" t="s">
        <v>6278</v>
      </c>
      <c r="AF2021" s="16">
        <v>45101</v>
      </c>
      <c r="AG2021" t="s">
        <v>68</v>
      </c>
      <c r="AH2021">
        <v>3</v>
      </c>
      <c r="AK2021" s="38" t="str">
        <f t="shared" si="807"/>
        <v/>
      </c>
    </row>
    <row r="2022" spans="1:43" x14ac:dyDescent="0.35">
      <c r="A2022">
        <v>567</v>
      </c>
      <c r="B2022" t="s">
        <v>6279</v>
      </c>
      <c r="C2022" t="s">
        <v>6123</v>
      </c>
      <c r="D2022" t="str">
        <f t="shared" si="805"/>
        <v>Communication and Advocacy</v>
      </c>
      <c r="E2022" t="s">
        <v>6182</v>
      </c>
      <c r="F2022" t="s">
        <v>1046</v>
      </c>
      <c r="G2022" t="s">
        <v>6183</v>
      </c>
      <c r="H2022" t="s">
        <v>334</v>
      </c>
      <c r="I2022" s="32">
        <v>44870.965416666673</v>
      </c>
      <c r="J2022" s="32">
        <v>44872.965416666673</v>
      </c>
      <c r="K2022" s="32">
        <v>44873.965416666673</v>
      </c>
      <c r="L2022" s="8">
        <f t="shared" si="806"/>
        <v>3</v>
      </c>
      <c r="M2022" s="7">
        <v>44878.965416666673</v>
      </c>
      <c r="N2022" t="s">
        <v>49</v>
      </c>
      <c r="O2022" s="34">
        <v>44876.965416666673</v>
      </c>
      <c r="P2022" t="s">
        <v>50</v>
      </c>
      <c r="Q2022" t="s">
        <v>236</v>
      </c>
      <c r="R2022" s="32" t="s">
        <v>7472</v>
      </c>
      <c r="S2022" t="s">
        <v>7476</v>
      </c>
      <c r="T2022" s="34" t="s">
        <v>7476</v>
      </c>
      <c r="U2022" s="34" t="s">
        <v>7476</v>
      </c>
      <c r="V2022" s="32" t="s">
        <v>7476</v>
      </c>
      <c r="W2022" s="32" t="s">
        <v>7476</v>
      </c>
      <c r="X2022">
        <v>0</v>
      </c>
      <c r="Y2022" s="34" t="s">
        <v>7476</v>
      </c>
      <c r="Z2022" s="34" t="s">
        <v>7476</v>
      </c>
      <c r="AA2022" s="34" t="s">
        <v>7476</v>
      </c>
      <c r="AB2022" s="36" t="s">
        <v>52</v>
      </c>
      <c r="AD2022" t="s">
        <v>6280</v>
      </c>
      <c r="AE2022" t="s">
        <v>6281</v>
      </c>
      <c r="AF2022" s="16">
        <v>44865</v>
      </c>
      <c r="AG2022" t="s">
        <v>98</v>
      </c>
      <c r="AH2022">
        <v>3</v>
      </c>
      <c r="AI2022" s="8" t="str">
        <f t="shared" ref="AI2022:AI2037" si="808">IFERROR(R2022-AF2022,"")</f>
        <v/>
      </c>
      <c r="AJ2022" s="8">
        <f t="shared" ref="AJ2022:AJ2037" si="809">IFERROR(O2022-AF2022,"")</f>
        <v>11.965416666673264</v>
      </c>
      <c r="AK2022" s="38" t="str">
        <f t="shared" si="807"/>
        <v/>
      </c>
      <c r="AL2022" t="str">
        <f t="shared" ref="AL2022:AL2037" si="810">IFERROR(Z2022-W2022,"")</f>
        <v/>
      </c>
      <c r="AM2022" t="str">
        <f t="shared" ref="AM2022:AM2037" si="811">IFERROR(R2022-J2022,"")</f>
        <v/>
      </c>
      <c r="AN2022" t="str">
        <f t="shared" ref="AN2022:AN2037" si="812">IFERROR(V2022-O2022,"")</f>
        <v/>
      </c>
      <c r="AO2022">
        <f t="shared" ref="AO2022:AO2037" si="813">IFERROR(J2022-I2022,"")</f>
        <v>2</v>
      </c>
      <c r="AP2022">
        <f t="shared" ref="AP2022:AP2037" si="814">IFERROR(AC2022-X2022,"")</f>
        <v>0</v>
      </c>
      <c r="AQ2022" t="str">
        <f t="shared" ref="AQ2022:AQ2037" si="815">IFERROR(AA2022-W2022,"")</f>
        <v/>
      </c>
    </row>
    <row r="2023" spans="1:43" x14ac:dyDescent="0.35">
      <c r="A2023">
        <v>369</v>
      </c>
      <c r="B2023" t="s">
        <v>6282</v>
      </c>
      <c r="C2023" t="s">
        <v>6133</v>
      </c>
      <c r="D2023" t="str">
        <f t="shared" si="805"/>
        <v>Communication and Advocacy</v>
      </c>
      <c r="E2023" t="s">
        <v>6182</v>
      </c>
      <c r="F2023" t="s">
        <v>1046</v>
      </c>
      <c r="G2023" t="s">
        <v>6183</v>
      </c>
      <c r="H2023" t="s">
        <v>334</v>
      </c>
      <c r="I2023" s="32">
        <v>44685.751585648148</v>
      </c>
      <c r="J2023" s="32">
        <v>44687.751585648148</v>
      </c>
      <c r="K2023" s="32">
        <v>44689.751585648148</v>
      </c>
      <c r="L2023" s="8">
        <f t="shared" si="806"/>
        <v>4</v>
      </c>
      <c r="M2023" s="7">
        <v>44704.751585648148</v>
      </c>
      <c r="N2023" t="s">
        <v>49</v>
      </c>
      <c r="O2023" s="34">
        <v>44706.751585648148</v>
      </c>
      <c r="P2023" t="s">
        <v>50</v>
      </c>
      <c r="Q2023" t="s">
        <v>51</v>
      </c>
      <c r="R2023" s="32" t="s">
        <v>7472</v>
      </c>
      <c r="S2023" t="s">
        <v>7476</v>
      </c>
      <c r="T2023" s="34" t="s">
        <v>7476</v>
      </c>
      <c r="U2023" s="34" t="s">
        <v>7476</v>
      </c>
      <c r="V2023" s="32" t="s">
        <v>7476</v>
      </c>
      <c r="W2023" s="32" t="s">
        <v>7476</v>
      </c>
      <c r="X2023">
        <v>0</v>
      </c>
      <c r="Y2023" s="34" t="s">
        <v>7476</v>
      </c>
      <c r="Z2023" s="34" t="s">
        <v>7476</v>
      </c>
      <c r="AA2023" s="34" t="s">
        <v>7476</v>
      </c>
      <c r="AB2023" s="36" t="s">
        <v>95</v>
      </c>
      <c r="AD2023" t="s">
        <v>6283</v>
      </c>
      <c r="AE2023" t="s">
        <v>6284</v>
      </c>
      <c r="AF2023" s="16">
        <v>44701</v>
      </c>
      <c r="AG2023" t="s">
        <v>68</v>
      </c>
      <c r="AH2023">
        <v>6</v>
      </c>
      <c r="AI2023" s="8" t="str">
        <f t="shared" si="808"/>
        <v/>
      </c>
      <c r="AJ2023" s="8">
        <f t="shared" si="809"/>
        <v>5.7515856481477385</v>
      </c>
      <c r="AK2023" s="38" t="str">
        <f t="shared" si="807"/>
        <v/>
      </c>
      <c r="AL2023" t="str">
        <f t="shared" si="810"/>
        <v/>
      </c>
      <c r="AM2023" t="str">
        <f t="shared" si="811"/>
        <v/>
      </c>
      <c r="AN2023" t="str">
        <f t="shared" si="812"/>
        <v/>
      </c>
      <c r="AO2023">
        <f t="shared" si="813"/>
        <v>2</v>
      </c>
      <c r="AP2023">
        <f t="shared" si="814"/>
        <v>0</v>
      </c>
      <c r="AQ2023" t="str">
        <f t="shared" si="815"/>
        <v/>
      </c>
    </row>
    <row r="2024" spans="1:43" x14ac:dyDescent="0.35">
      <c r="A2024">
        <v>366</v>
      </c>
      <c r="B2024" t="s">
        <v>6285</v>
      </c>
      <c r="C2024" t="s">
        <v>6123</v>
      </c>
      <c r="D2024" t="str">
        <f t="shared" si="805"/>
        <v>Communication and Advocacy</v>
      </c>
      <c r="E2024" t="s">
        <v>6182</v>
      </c>
      <c r="F2024" t="s">
        <v>1046</v>
      </c>
      <c r="G2024" t="s">
        <v>6183</v>
      </c>
      <c r="H2024" t="s">
        <v>334</v>
      </c>
      <c r="I2024" s="32">
        <v>44685.751585648148</v>
      </c>
      <c r="J2024" s="32">
        <v>44688.751585648148</v>
      </c>
      <c r="K2024" s="32">
        <v>44689.751585648148</v>
      </c>
      <c r="L2024" s="8">
        <f t="shared" si="806"/>
        <v>4</v>
      </c>
      <c r="M2024" s="7">
        <v>44697.751585648148</v>
      </c>
      <c r="N2024" t="s">
        <v>49</v>
      </c>
      <c r="O2024" s="34">
        <v>44696.751585648148</v>
      </c>
      <c r="P2024" t="s">
        <v>60</v>
      </c>
      <c r="R2024" s="32">
        <v>44700.751585648148</v>
      </c>
      <c r="S2024" t="s">
        <v>61</v>
      </c>
      <c r="T2024" s="34" t="s">
        <v>7476</v>
      </c>
      <c r="U2024" s="34" t="s">
        <v>7476</v>
      </c>
      <c r="V2024" s="32">
        <v>44699.751585648148</v>
      </c>
      <c r="W2024" s="32" t="s">
        <v>7476</v>
      </c>
      <c r="X2024">
        <v>0</v>
      </c>
      <c r="Y2024" s="34" t="s">
        <v>7476</v>
      </c>
      <c r="Z2024" s="34" t="s">
        <v>7476</v>
      </c>
      <c r="AA2024" s="34" t="s">
        <v>7476</v>
      </c>
      <c r="AB2024" s="36" t="s">
        <v>7476</v>
      </c>
      <c r="AD2024" t="s">
        <v>6286</v>
      </c>
      <c r="AE2024" t="s">
        <v>6287</v>
      </c>
      <c r="AF2024" s="16">
        <v>44717</v>
      </c>
      <c r="AG2024" t="s">
        <v>64</v>
      </c>
      <c r="AH2024">
        <v>3</v>
      </c>
      <c r="AI2024" s="8">
        <f t="shared" si="808"/>
        <v>-16.248414351852261</v>
      </c>
      <c r="AJ2024" s="8">
        <f t="shared" si="809"/>
        <v>-20.248414351852261</v>
      </c>
      <c r="AK2024" s="38">
        <f t="shared" si="807"/>
        <v>44789.751585648148</v>
      </c>
      <c r="AL2024" t="str">
        <f t="shared" si="810"/>
        <v/>
      </c>
      <c r="AM2024">
        <f t="shared" si="811"/>
        <v>12</v>
      </c>
      <c r="AN2024">
        <f t="shared" si="812"/>
        <v>3</v>
      </c>
      <c r="AO2024">
        <f t="shared" si="813"/>
        <v>3</v>
      </c>
      <c r="AP2024">
        <f t="shared" si="814"/>
        <v>0</v>
      </c>
      <c r="AQ2024" t="str">
        <f t="shared" si="815"/>
        <v/>
      </c>
    </row>
    <row r="2025" spans="1:43" x14ac:dyDescent="0.35">
      <c r="A2025">
        <v>363</v>
      </c>
      <c r="B2025" t="s">
        <v>6288</v>
      </c>
      <c r="C2025" t="s">
        <v>6123</v>
      </c>
      <c r="D2025" t="str">
        <f t="shared" si="805"/>
        <v>Communication and Advocacy</v>
      </c>
      <c r="E2025" t="s">
        <v>6182</v>
      </c>
      <c r="F2025" t="s">
        <v>1046</v>
      </c>
      <c r="G2025" t="s">
        <v>6183</v>
      </c>
      <c r="H2025" t="s">
        <v>334</v>
      </c>
      <c r="I2025" s="32">
        <v>44682.751585648148</v>
      </c>
      <c r="J2025" s="32">
        <v>44684.751585648148</v>
      </c>
      <c r="K2025" s="32">
        <v>44689.751585648148</v>
      </c>
      <c r="L2025" s="8">
        <f t="shared" si="806"/>
        <v>7</v>
      </c>
      <c r="M2025" s="7">
        <v>44706.751585648148</v>
      </c>
      <c r="N2025" t="s">
        <v>49</v>
      </c>
      <c r="O2025" s="34">
        <v>44694.751585648148</v>
      </c>
      <c r="P2025" t="s">
        <v>60</v>
      </c>
      <c r="R2025" s="32">
        <v>44699.751585648148</v>
      </c>
      <c r="S2025" t="s">
        <v>61</v>
      </c>
      <c r="T2025" s="34" t="s">
        <v>7476</v>
      </c>
      <c r="U2025" s="34" t="s">
        <v>7476</v>
      </c>
      <c r="V2025" s="32">
        <v>44696.751585648148</v>
      </c>
      <c r="W2025" s="32" t="s">
        <v>7476</v>
      </c>
      <c r="X2025">
        <v>0</v>
      </c>
      <c r="Y2025" s="34" t="s">
        <v>7476</v>
      </c>
      <c r="Z2025" s="34" t="s">
        <v>7476</v>
      </c>
      <c r="AA2025" s="34" t="s">
        <v>7476</v>
      </c>
      <c r="AB2025" s="36" t="s">
        <v>7476</v>
      </c>
      <c r="AD2025" t="s">
        <v>6289</v>
      </c>
      <c r="AE2025" t="s">
        <v>6290</v>
      </c>
      <c r="AF2025" s="16">
        <v>44685</v>
      </c>
      <c r="AG2025" t="s">
        <v>68</v>
      </c>
      <c r="AH2025">
        <v>3</v>
      </c>
      <c r="AI2025" s="8">
        <f t="shared" si="808"/>
        <v>14.751585648147739</v>
      </c>
      <c r="AJ2025" s="8">
        <f t="shared" si="809"/>
        <v>9.7515856481477385</v>
      </c>
      <c r="AK2025" s="38">
        <f t="shared" si="807"/>
        <v>44786.751585648148</v>
      </c>
      <c r="AL2025" t="str">
        <f t="shared" si="810"/>
        <v/>
      </c>
      <c r="AM2025">
        <f t="shared" si="811"/>
        <v>15</v>
      </c>
      <c r="AN2025">
        <f t="shared" si="812"/>
        <v>2</v>
      </c>
      <c r="AO2025">
        <f t="shared" si="813"/>
        <v>2</v>
      </c>
      <c r="AP2025">
        <f t="shared" si="814"/>
        <v>0</v>
      </c>
      <c r="AQ2025" t="str">
        <f t="shared" si="815"/>
        <v/>
      </c>
    </row>
    <row r="2026" spans="1:43" x14ac:dyDescent="0.35">
      <c r="A2026">
        <v>357</v>
      </c>
      <c r="B2026" t="s">
        <v>6291</v>
      </c>
      <c r="C2026" t="s">
        <v>6123</v>
      </c>
      <c r="D2026" t="str">
        <f t="shared" si="805"/>
        <v>Communication and Advocacy</v>
      </c>
      <c r="E2026" t="s">
        <v>6182</v>
      </c>
      <c r="F2026" t="s">
        <v>1046</v>
      </c>
      <c r="G2026" t="s">
        <v>6183</v>
      </c>
      <c r="H2026" t="s">
        <v>334</v>
      </c>
      <c r="I2026" s="32">
        <v>44839.176585648151</v>
      </c>
      <c r="J2026" s="32">
        <v>44842.176585648151</v>
      </c>
      <c r="K2026" s="32">
        <v>44844.176585648151</v>
      </c>
      <c r="L2026" s="8">
        <f t="shared" si="806"/>
        <v>5</v>
      </c>
      <c r="M2026" s="7">
        <v>44872.176585648151</v>
      </c>
      <c r="N2026" t="s">
        <v>49</v>
      </c>
      <c r="O2026" s="34">
        <v>44854.176585648151</v>
      </c>
      <c r="P2026" t="s">
        <v>101</v>
      </c>
      <c r="R2026" s="32">
        <v>44858.176585648151</v>
      </c>
      <c r="S2026" t="s">
        <v>101</v>
      </c>
      <c r="T2026" s="34">
        <v>44855.176585648151</v>
      </c>
      <c r="U2026" s="34">
        <v>44858.176585648151</v>
      </c>
      <c r="V2026" s="32">
        <v>44856.176585648151</v>
      </c>
      <c r="W2026" s="32">
        <v>44861.176585648151</v>
      </c>
      <c r="X2026">
        <v>1</v>
      </c>
      <c r="Y2026" s="34">
        <v>44864.176585648151</v>
      </c>
      <c r="Z2026" s="34">
        <v>44865.176585648151</v>
      </c>
      <c r="AA2026" s="34">
        <v>44867.176585648151</v>
      </c>
      <c r="AB2026" s="36" t="s">
        <v>7476</v>
      </c>
      <c r="AC2026" s="10">
        <v>44878.176585648151</v>
      </c>
      <c r="AD2026" t="s">
        <v>6292</v>
      </c>
      <c r="AE2026" t="s">
        <v>6293</v>
      </c>
      <c r="AF2026" s="16">
        <v>44722</v>
      </c>
      <c r="AG2026" t="s">
        <v>64</v>
      </c>
      <c r="AH2026">
        <v>6</v>
      </c>
      <c r="AI2026" s="8">
        <f t="shared" si="808"/>
        <v>136.17658564815065</v>
      </c>
      <c r="AJ2026" s="8">
        <f t="shared" si="809"/>
        <v>132.17658564815065</v>
      </c>
      <c r="AK2026" s="38">
        <f t="shared" si="807"/>
        <v>45036.176585648151</v>
      </c>
      <c r="AL2026">
        <f t="shared" si="810"/>
        <v>4</v>
      </c>
      <c r="AM2026">
        <f t="shared" si="811"/>
        <v>16</v>
      </c>
      <c r="AN2026">
        <f t="shared" si="812"/>
        <v>2</v>
      </c>
      <c r="AO2026">
        <f t="shared" si="813"/>
        <v>3</v>
      </c>
      <c r="AP2026">
        <f t="shared" si="814"/>
        <v>44877.176585648151</v>
      </c>
      <c r="AQ2026">
        <f t="shared" si="815"/>
        <v>6</v>
      </c>
    </row>
    <row r="2027" spans="1:43" x14ac:dyDescent="0.35">
      <c r="A2027">
        <v>329</v>
      </c>
      <c r="B2027" t="s">
        <v>6294</v>
      </c>
      <c r="C2027" t="s">
        <v>6133</v>
      </c>
      <c r="D2027" t="str">
        <f t="shared" si="805"/>
        <v>Communication and Advocacy</v>
      </c>
      <c r="E2027" t="s">
        <v>6182</v>
      </c>
      <c r="F2027" t="s">
        <v>3301</v>
      </c>
      <c r="G2027" t="s">
        <v>6295</v>
      </c>
      <c r="H2027" t="s">
        <v>334</v>
      </c>
      <c r="I2027" s="32">
        <v>44577.917696759258</v>
      </c>
      <c r="J2027" s="32">
        <v>44579.917696759258</v>
      </c>
      <c r="K2027" s="32">
        <v>44582.917696759258</v>
      </c>
      <c r="L2027" s="8">
        <f t="shared" si="806"/>
        <v>5</v>
      </c>
      <c r="M2027" s="7">
        <v>44595.917696759258</v>
      </c>
      <c r="N2027" t="s">
        <v>49</v>
      </c>
      <c r="O2027" s="34">
        <v>44598.917696759258</v>
      </c>
      <c r="P2027" t="s">
        <v>101</v>
      </c>
      <c r="R2027" s="32">
        <v>44600.917696759258</v>
      </c>
      <c r="S2027" t="s">
        <v>101</v>
      </c>
      <c r="T2027" s="34">
        <v>44600.917696759258</v>
      </c>
      <c r="U2027" s="34">
        <v>44604.917696759258</v>
      </c>
      <c r="V2027" s="32">
        <v>44599.917696759258</v>
      </c>
      <c r="W2027" s="32">
        <v>44606.917696759258</v>
      </c>
      <c r="X2027">
        <v>1</v>
      </c>
      <c r="Y2027" s="34">
        <v>44609.917696759258</v>
      </c>
      <c r="Z2027" s="34">
        <v>44612.917696759258</v>
      </c>
      <c r="AA2027" s="34">
        <v>44615.917696759258</v>
      </c>
      <c r="AB2027" s="36" t="s">
        <v>7476</v>
      </c>
      <c r="AC2027" s="10">
        <v>44625.917696759258</v>
      </c>
      <c r="AD2027" t="s">
        <v>6296</v>
      </c>
      <c r="AE2027" t="s">
        <v>6297</v>
      </c>
      <c r="AF2027" s="16">
        <v>44582</v>
      </c>
      <c r="AG2027" t="s">
        <v>98</v>
      </c>
      <c r="AH2027">
        <v>3</v>
      </c>
      <c r="AI2027" s="8">
        <f t="shared" si="808"/>
        <v>18.917696759257524</v>
      </c>
      <c r="AJ2027" s="8">
        <f t="shared" si="809"/>
        <v>16.917696759257524</v>
      </c>
      <c r="AK2027" s="38">
        <f t="shared" si="807"/>
        <v>44689.917696759258</v>
      </c>
      <c r="AL2027">
        <f t="shared" si="810"/>
        <v>6</v>
      </c>
      <c r="AM2027">
        <f t="shared" si="811"/>
        <v>21</v>
      </c>
      <c r="AN2027">
        <f t="shared" si="812"/>
        <v>1</v>
      </c>
      <c r="AO2027">
        <f t="shared" si="813"/>
        <v>2</v>
      </c>
      <c r="AP2027">
        <f t="shared" si="814"/>
        <v>44624.917696759258</v>
      </c>
      <c r="AQ2027">
        <f t="shared" si="815"/>
        <v>9</v>
      </c>
    </row>
    <row r="2028" spans="1:43" x14ac:dyDescent="0.35">
      <c r="A2028">
        <v>293</v>
      </c>
      <c r="B2028" t="s">
        <v>6298</v>
      </c>
      <c r="C2028" t="s">
        <v>6123</v>
      </c>
      <c r="D2028" t="str">
        <f t="shared" si="805"/>
        <v>Communication and Advocacy</v>
      </c>
      <c r="E2028" t="s">
        <v>6182</v>
      </c>
      <c r="F2028" t="s">
        <v>3301</v>
      </c>
      <c r="G2028" t="s">
        <v>6295</v>
      </c>
      <c r="H2028" t="s">
        <v>334</v>
      </c>
      <c r="I2028" s="32">
        <v>45134.740011574067</v>
      </c>
      <c r="J2028" s="32">
        <v>45137.740011574067</v>
      </c>
      <c r="K2028" s="32">
        <v>45138.740011574067</v>
      </c>
      <c r="L2028" s="8">
        <f t="shared" si="806"/>
        <v>4</v>
      </c>
      <c r="M2028" s="7">
        <v>45164.740011574067</v>
      </c>
      <c r="N2028" t="s">
        <v>49</v>
      </c>
      <c r="O2028" s="34">
        <v>45143.740011574067</v>
      </c>
      <c r="P2028" t="s">
        <v>50</v>
      </c>
      <c r="Q2028" t="s">
        <v>198</v>
      </c>
      <c r="R2028" s="32" t="s">
        <v>7472</v>
      </c>
      <c r="S2028" t="s">
        <v>7476</v>
      </c>
      <c r="T2028" s="34" t="s">
        <v>7476</v>
      </c>
      <c r="U2028" s="34" t="s">
        <v>7476</v>
      </c>
      <c r="V2028" s="32" t="s">
        <v>7476</v>
      </c>
      <c r="W2028" s="32" t="s">
        <v>7476</v>
      </c>
      <c r="X2028">
        <v>0</v>
      </c>
      <c r="Y2028" s="34" t="s">
        <v>7476</v>
      </c>
      <c r="Z2028" s="34" t="s">
        <v>7476</v>
      </c>
      <c r="AA2028" s="34" t="s">
        <v>7476</v>
      </c>
      <c r="AB2028" s="36" t="s">
        <v>95</v>
      </c>
      <c r="AD2028" t="s">
        <v>6299</v>
      </c>
      <c r="AE2028" t="s">
        <v>6300</v>
      </c>
      <c r="AF2028" s="16">
        <v>45128</v>
      </c>
      <c r="AG2028" t="s">
        <v>68</v>
      </c>
      <c r="AH2028">
        <v>6</v>
      </c>
      <c r="AI2028" s="8" t="str">
        <f t="shared" si="808"/>
        <v/>
      </c>
      <c r="AJ2028" s="8">
        <f t="shared" si="809"/>
        <v>15.740011574067466</v>
      </c>
      <c r="AK2028" s="38" t="str">
        <f t="shared" si="807"/>
        <v/>
      </c>
      <c r="AL2028" t="str">
        <f t="shared" si="810"/>
        <v/>
      </c>
      <c r="AM2028" t="str">
        <f t="shared" si="811"/>
        <v/>
      </c>
      <c r="AN2028" t="str">
        <f t="shared" si="812"/>
        <v/>
      </c>
      <c r="AO2028">
        <f t="shared" si="813"/>
        <v>3</v>
      </c>
      <c r="AP2028">
        <f t="shared" si="814"/>
        <v>0</v>
      </c>
      <c r="AQ2028" t="str">
        <f t="shared" si="815"/>
        <v/>
      </c>
    </row>
    <row r="2029" spans="1:43" x14ac:dyDescent="0.35">
      <c r="A2029">
        <v>274</v>
      </c>
      <c r="B2029" t="s">
        <v>6301</v>
      </c>
      <c r="C2029" t="s">
        <v>6108</v>
      </c>
      <c r="D2029" t="str">
        <f t="shared" si="805"/>
        <v>Communication and Advocacy</v>
      </c>
      <c r="E2029" t="s">
        <v>6182</v>
      </c>
      <c r="F2029" t="s">
        <v>3301</v>
      </c>
      <c r="G2029" t="s">
        <v>6295</v>
      </c>
      <c r="H2029" t="s">
        <v>334</v>
      </c>
      <c r="I2029" s="32">
        <v>44846.592418981483</v>
      </c>
      <c r="J2029" s="32">
        <v>44850.592418981483</v>
      </c>
      <c r="K2029" s="32">
        <v>44852.592418981483</v>
      </c>
      <c r="L2029" s="8">
        <f t="shared" si="806"/>
        <v>6</v>
      </c>
      <c r="M2029" s="7">
        <v>44868.592418981483</v>
      </c>
      <c r="N2029" t="s">
        <v>49</v>
      </c>
      <c r="O2029" s="34">
        <v>44858.592418981483</v>
      </c>
      <c r="P2029" t="s">
        <v>50</v>
      </c>
      <c r="Q2029" t="s">
        <v>125</v>
      </c>
      <c r="R2029" s="32" t="s">
        <v>7472</v>
      </c>
      <c r="S2029" t="s">
        <v>7476</v>
      </c>
      <c r="T2029" s="34" t="s">
        <v>7476</v>
      </c>
      <c r="U2029" s="34" t="s">
        <v>7476</v>
      </c>
      <c r="V2029" s="32">
        <v>44860.592418981483</v>
      </c>
      <c r="W2029" s="32" t="s">
        <v>7476</v>
      </c>
      <c r="X2029">
        <v>0</v>
      </c>
      <c r="Y2029" s="34" t="s">
        <v>7476</v>
      </c>
      <c r="Z2029" s="34" t="s">
        <v>7476</v>
      </c>
      <c r="AA2029" s="34" t="s">
        <v>7476</v>
      </c>
      <c r="AB2029" s="36" t="s">
        <v>52</v>
      </c>
      <c r="AD2029" t="s">
        <v>6302</v>
      </c>
      <c r="AE2029" t="s">
        <v>6303</v>
      </c>
      <c r="AF2029" s="16">
        <v>44850</v>
      </c>
      <c r="AG2029" t="s">
        <v>68</v>
      </c>
      <c r="AH2029">
        <v>3</v>
      </c>
      <c r="AI2029" s="8" t="str">
        <f t="shared" si="808"/>
        <v/>
      </c>
      <c r="AJ2029" s="8">
        <f t="shared" si="809"/>
        <v>8.5924189814832062</v>
      </c>
      <c r="AK2029" s="38">
        <f t="shared" si="807"/>
        <v>44950.592418981483</v>
      </c>
      <c r="AL2029" t="str">
        <f t="shared" si="810"/>
        <v/>
      </c>
      <c r="AM2029" t="str">
        <f t="shared" si="811"/>
        <v/>
      </c>
      <c r="AN2029">
        <f t="shared" si="812"/>
        <v>2</v>
      </c>
      <c r="AO2029">
        <f t="shared" si="813"/>
        <v>4</v>
      </c>
      <c r="AP2029">
        <f t="shared" si="814"/>
        <v>0</v>
      </c>
      <c r="AQ2029" t="str">
        <f t="shared" si="815"/>
        <v/>
      </c>
    </row>
    <row r="2030" spans="1:43" x14ac:dyDescent="0.35">
      <c r="A2030">
        <v>199</v>
      </c>
      <c r="B2030" t="s">
        <v>6304</v>
      </c>
      <c r="C2030" t="s">
        <v>6133</v>
      </c>
      <c r="D2030" t="str">
        <f t="shared" si="805"/>
        <v>Communication and Advocacy</v>
      </c>
      <c r="E2030" t="s">
        <v>6182</v>
      </c>
      <c r="F2030" t="s">
        <v>3301</v>
      </c>
      <c r="G2030" t="s">
        <v>6295</v>
      </c>
      <c r="H2030" t="s">
        <v>334</v>
      </c>
      <c r="I2030" s="32">
        <v>44723.769965277781</v>
      </c>
      <c r="J2030" s="32">
        <v>44725.769965277781</v>
      </c>
      <c r="K2030" s="32">
        <v>44731.769965277781</v>
      </c>
      <c r="L2030" s="8">
        <f t="shared" si="806"/>
        <v>8</v>
      </c>
      <c r="M2030" s="7">
        <v>44752.769965277781</v>
      </c>
      <c r="N2030" t="s">
        <v>49</v>
      </c>
      <c r="O2030" s="34">
        <v>44737.769965277781</v>
      </c>
      <c r="P2030" t="s">
        <v>101</v>
      </c>
      <c r="R2030" s="32">
        <v>44742.769965277781</v>
      </c>
      <c r="S2030" t="s">
        <v>101</v>
      </c>
      <c r="T2030" s="34">
        <v>44738.769965277781</v>
      </c>
      <c r="U2030" s="34">
        <v>44742.769965277781</v>
      </c>
      <c r="V2030" s="32">
        <v>44739.769965277781</v>
      </c>
      <c r="W2030" s="32">
        <v>44743.769965277781</v>
      </c>
      <c r="X2030">
        <v>1</v>
      </c>
      <c r="Y2030" s="34">
        <v>44746.769965277781</v>
      </c>
      <c r="Z2030" s="34">
        <v>44749.769965277781</v>
      </c>
      <c r="AA2030" s="34">
        <v>44751.769965277781</v>
      </c>
      <c r="AB2030" s="36" t="s">
        <v>7476</v>
      </c>
      <c r="AC2030" s="10">
        <v>44773.769965277781</v>
      </c>
      <c r="AD2030" t="s">
        <v>6305</v>
      </c>
      <c r="AE2030" t="s">
        <v>6306</v>
      </c>
      <c r="AF2030" s="16">
        <v>44748</v>
      </c>
      <c r="AG2030" t="s">
        <v>68</v>
      </c>
      <c r="AH2030">
        <v>6</v>
      </c>
      <c r="AI2030" s="8">
        <f t="shared" si="808"/>
        <v>-5.2300347222189885</v>
      </c>
      <c r="AJ2030" s="8">
        <f t="shared" si="809"/>
        <v>-10.230034722218988</v>
      </c>
      <c r="AK2030" s="38">
        <f t="shared" si="807"/>
        <v>44919.769965277781</v>
      </c>
      <c r="AL2030">
        <f t="shared" si="810"/>
        <v>6</v>
      </c>
      <c r="AM2030">
        <f t="shared" si="811"/>
        <v>17</v>
      </c>
      <c r="AN2030">
        <f t="shared" si="812"/>
        <v>2</v>
      </c>
      <c r="AO2030">
        <f t="shared" si="813"/>
        <v>2</v>
      </c>
      <c r="AP2030">
        <f t="shared" si="814"/>
        <v>44772.769965277781</v>
      </c>
      <c r="AQ2030">
        <f t="shared" si="815"/>
        <v>8</v>
      </c>
    </row>
    <row r="2031" spans="1:43" x14ac:dyDescent="0.35">
      <c r="A2031">
        <v>194</v>
      </c>
      <c r="B2031" t="s">
        <v>6307</v>
      </c>
      <c r="C2031" t="s">
        <v>6133</v>
      </c>
      <c r="D2031" t="str">
        <f t="shared" si="805"/>
        <v>Communication and Advocacy</v>
      </c>
      <c r="E2031" t="s">
        <v>6182</v>
      </c>
      <c r="F2031" t="s">
        <v>3301</v>
      </c>
      <c r="G2031" t="s">
        <v>6295</v>
      </c>
      <c r="H2031" t="s">
        <v>334</v>
      </c>
      <c r="I2031" s="32">
        <v>44722.769965277781</v>
      </c>
      <c r="J2031" s="32">
        <v>44725.769965277781</v>
      </c>
      <c r="K2031" s="32">
        <v>44731.769965277781</v>
      </c>
      <c r="L2031" s="8">
        <f t="shared" si="806"/>
        <v>9</v>
      </c>
      <c r="M2031" s="7">
        <v>44757.769965277781</v>
      </c>
      <c r="N2031" t="s">
        <v>49</v>
      </c>
      <c r="O2031" s="34">
        <v>44733.769965277781</v>
      </c>
      <c r="P2031" t="s">
        <v>60</v>
      </c>
      <c r="R2031" s="32">
        <v>44741.769965277781</v>
      </c>
      <c r="S2031" t="s">
        <v>61</v>
      </c>
      <c r="T2031" s="34" t="s">
        <v>7476</v>
      </c>
      <c r="U2031" s="34" t="s">
        <v>7476</v>
      </c>
      <c r="V2031" s="32">
        <v>44737.769965277781</v>
      </c>
      <c r="W2031" s="32" t="s">
        <v>7476</v>
      </c>
      <c r="X2031">
        <v>0</v>
      </c>
      <c r="Y2031" s="34" t="s">
        <v>7476</v>
      </c>
      <c r="Z2031" s="34" t="s">
        <v>7476</v>
      </c>
      <c r="AA2031" s="34" t="s">
        <v>7476</v>
      </c>
      <c r="AB2031" s="36" t="s">
        <v>7476</v>
      </c>
      <c r="AD2031" t="s">
        <v>6308</v>
      </c>
      <c r="AE2031" t="s">
        <v>6309</v>
      </c>
      <c r="AF2031" s="16">
        <v>44626</v>
      </c>
      <c r="AG2031" t="s">
        <v>64</v>
      </c>
      <c r="AH2031">
        <v>6</v>
      </c>
      <c r="AI2031" s="8">
        <f t="shared" si="808"/>
        <v>115.76996527778101</v>
      </c>
      <c r="AJ2031" s="8">
        <f t="shared" si="809"/>
        <v>107.76996527778101</v>
      </c>
      <c r="AK2031" s="38">
        <f t="shared" si="807"/>
        <v>44917.769965277781</v>
      </c>
      <c r="AL2031" t="str">
        <f t="shared" si="810"/>
        <v/>
      </c>
      <c r="AM2031">
        <f t="shared" si="811"/>
        <v>16</v>
      </c>
      <c r="AN2031">
        <f t="shared" si="812"/>
        <v>4</v>
      </c>
      <c r="AO2031">
        <f t="shared" si="813"/>
        <v>3</v>
      </c>
      <c r="AP2031">
        <f t="shared" si="814"/>
        <v>0</v>
      </c>
      <c r="AQ2031" t="str">
        <f t="shared" si="815"/>
        <v/>
      </c>
    </row>
    <row r="2032" spans="1:43" x14ac:dyDescent="0.35">
      <c r="A2032">
        <v>169</v>
      </c>
      <c r="B2032" t="s">
        <v>6310</v>
      </c>
      <c r="C2032" t="s">
        <v>6133</v>
      </c>
      <c r="D2032" t="str">
        <f t="shared" si="805"/>
        <v>Communication and Advocacy</v>
      </c>
      <c r="E2032" t="s">
        <v>6182</v>
      </c>
      <c r="F2032" t="s">
        <v>3301</v>
      </c>
      <c r="G2032" t="s">
        <v>6295</v>
      </c>
      <c r="H2032" t="s">
        <v>334</v>
      </c>
      <c r="I2032" s="32">
        <v>44906.64775462963</v>
      </c>
      <c r="J2032" s="32">
        <v>44907.64775462963</v>
      </c>
      <c r="K2032" s="32">
        <v>44911.64775462963</v>
      </c>
      <c r="L2032" s="8">
        <f t="shared" si="806"/>
        <v>5</v>
      </c>
      <c r="M2032" s="7">
        <v>44940.64775462963</v>
      </c>
      <c r="N2032" t="s">
        <v>49</v>
      </c>
      <c r="O2032" s="34">
        <v>44918.64775462963</v>
      </c>
      <c r="P2032" t="s">
        <v>50</v>
      </c>
      <c r="Q2032" t="s">
        <v>125</v>
      </c>
      <c r="R2032" s="32" t="s">
        <v>7472</v>
      </c>
      <c r="S2032" t="s">
        <v>7476</v>
      </c>
      <c r="T2032" s="34" t="s">
        <v>7476</v>
      </c>
      <c r="U2032" s="34" t="s">
        <v>7476</v>
      </c>
      <c r="V2032" s="32" t="s">
        <v>7476</v>
      </c>
      <c r="W2032" s="32" t="s">
        <v>7476</v>
      </c>
      <c r="X2032">
        <v>0</v>
      </c>
      <c r="Y2032" s="34" t="s">
        <v>7476</v>
      </c>
      <c r="Z2032" s="34" t="s">
        <v>7476</v>
      </c>
      <c r="AA2032" s="34" t="s">
        <v>7476</v>
      </c>
      <c r="AB2032" s="36" t="s">
        <v>95</v>
      </c>
      <c r="AD2032" t="s">
        <v>6311</v>
      </c>
      <c r="AE2032" t="s">
        <v>6312</v>
      </c>
      <c r="AF2032" s="16">
        <v>44912</v>
      </c>
      <c r="AG2032" t="s">
        <v>98</v>
      </c>
      <c r="AH2032">
        <v>6</v>
      </c>
      <c r="AI2032" s="8" t="str">
        <f t="shared" si="808"/>
        <v/>
      </c>
      <c r="AJ2032" s="8">
        <f t="shared" si="809"/>
        <v>6.6477546296300716</v>
      </c>
      <c r="AK2032" s="38" t="str">
        <f t="shared" si="807"/>
        <v/>
      </c>
      <c r="AL2032" t="str">
        <f t="shared" si="810"/>
        <v/>
      </c>
      <c r="AM2032" t="str">
        <f t="shared" si="811"/>
        <v/>
      </c>
      <c r="AN2032" t="str">
        <f t="shared" si="812"/>
        <v/>
      </c>
      <c r="AO2032">
        <f t="shared" si="813"/>
        <v>1</v>
      </c>
      <c r="AP2032">
        <f t="shared" si="814"/>
        <v>0</v>
      </c>
      <c r="AQ2032" t="str">
        <f t="shared" si="815"/>
        <v/>
      </c>
    </row>
    <row r="2033" spans="1:43" x14ac:dyDescent="0.35">
      <c r="A2033">
        <v>167</v>
      </c>
      <c r="B2033" t="s">
        <v>6313</v>
      </c>
      <c r="C2033" t="s">
        <v>6108</v>
      </c>
      <c r="D2033" t="str">
        <f t="shared" si="805"/>
        <v>Communication and Advocacy</v>
      </c>
      <c r="E2033" t="s">
        <v>6182</v>
      </c>
      <c r="F2033" t="s">
        <v>3301</v>
      </c>
      <c r="G2033" t="s">
        <v>6295</v>
      </c>
      <c r="H2033" t="s">
        <v>334</v>
      </c>
      <c r="I2033" s="32">
        <v>44906.64775462963</v>
      </c>
      <c r="J2033" s="32">
        <v>44907.64775462963</v>
      </c>
      <c r="K2033" s="32">
        <v>44911.64775462963</v>
      </c>
      <c r="L2033" s="8">
        <f t="shared" si="806"/>
        <v>5</v>
      </c>
      <c r="M2033" s="7">
        <v>44924.64775462963</v>
      </c>
      <c r="N2033" t="s">
        <v>49</v>
      </c>
      <c r="O2033" s="34">
        <v>44922.64775462963</v>
      </c>
      <c r="P2033" t="s">
        <v>101</v>
      </c>
      <c r="R2033" s="32">
        <v>44928.64775462963</v>
      </c>
      <c r="S2033" t="s">
        <v>101</v>
      </c>
      <c r="T2033" s="34">
        <v>44923.64775462963</v>
      </c>
      <c r="U2033" s="34">
        <v>44927.64775462963</v>
      </c>
      <c r="V2033" s="32">
        <v>44924.64775462963</v>
      </c>
      <c r="W2033" s="32">
        <v>44929.64775462963</v>
      </c>
      <c r="X2033">
        <v>1</v>
      </c>
      <c r="Y2033" s="34">
        <v>44932.64775462963</v>
      </c>
      <c r="Z2033" s="34">
        <v>44934.64775462963</v>
      </c>
      <c r="AA2033" s="34">
        <v>44935.64775462963</v>
      </c>
      <c r="AB2033" s="36" t="s">
        <v>7476</v>
      </c>
      <c r="AC2033" s="10">
        <v>44946.64775462963</v>
      </c>
      <c r="AD2033" t="s">
        <v>6314</v>
      </c>
      <c r="AE2033" t="s">
        <v>6315</v>
      </c>
      <c r="AF2033" s="16">
        <v>44907</v>
      </c>
      <c r="AG2033" t="s">
        <v>64</v>
      </c>
      <c r="AH2033">
        <v>3</v>
      </c>
      <c r="AI2033" s="8">
        <f t="shared" si="808"/>
        <v>21.647754629630072</v>
      </c>
      <c r="AJ2033" s="8">
        <f t="shared" si="809"/>
        <v>15.647754629630072</v>
      </c>
      <c r="AK2033" s="38">
        <f t="shared" si="807"/>
        <v>45014.64775462963</v>
      </c>
      <c r="AL2033">
        <f t="shared" si="810"/>
        <v>5</v>
      </c>
      <c r="AM2033">
        <f t="shared" si="811"/>
        <v>21</v>
      </c>
      <c r="AN2033">
        <f t="shared" si="812"/>
        <v>2</v>
      </c>
      <c r="AO2033">
        <f t="shared" si="813"/>
        <v>1</v>
      </c>
      <c r="AP2033">
        <f t="shared" si="814"/>
        <v>44945.64775462963</v>
      </c>
      <c r="AQ2033">
        <f t="shared" si="815"/>
        <v>6</v>
      </c>
    </row>
    <row r="2034" spans="1:43" x14ac:dyDescent="0.35">
      <c r="A2034">
        <v>166</v>
      </c>
      <c r="B2034" t="s">
        <v>6316</v>
      </c>
      <c r="C2034" t="s">
        <v>6123</v>
      </c>
      <c r="D2034" t="str">
        <f t="shared" si="805"/>
        <v>Communication and Advocacy</v>
      </c>
      <c r="E2034" t="s">
        <v>6182</v>
      </c>
      <c r="F2034" t="s">
        <v>3301</v>
      </c>
      <c r="G2034" t="s">
        <v>6295</v>
      </c>
      <c r="H2034" t="s">
        <v>334</v>
      </c>
      <c r="I2034" s="32">
        <v>44906.64775462963</v>
      </c>
      <c r="J2034" s="32">
        <v>44909.64775462963</v>
      </c>
      <c r="K2034" s="32">
        <v>44911.64775462963</v>
      </c>
      <c r="L2034" s="8">
        <f t="shared" si="806"/>
        <v>5</v>
      </c>
      <c r="M2034" s="7">
        <v>44931.64775462963</v>
      </c>
      <c r="N2034" t="s">
        <v>49</v>
      </c>
      <c r="O2034" s="34">
        <v>44914.64775462963</v>
      </c>
      <c r="P2034" t="s">
        <v>60</v>
      </c>
      <c r="R2034" s="32">
        <v>44922.64775462963</v>
      </c>
      <c r="S2034" t="s">
        <v>61</v>
      </c>
      <c r="T2034" s="34" t="s">
        <v>7476</v>
      </c>
      <c r="U2034" s="34" t="s">
        <v>7476</v>
      </c>
      <c r="V2034" s="32">
        <v>44918.64775462963</v>
      </c>
      <c r="W2034" s="32" t="s">
        <v>7476</v>
      </c>
      <c r="X2034">
        <v>0</v>
      </c>
      <c r="Y2034" s="34" t="s">
        <v>7476</v>
      </c>
      <c r="Z2034" s="34" t="s">
        <v>7476</v>
      </c>
      <c r="AA2034" s="34" t="s">
        <v>7476</v>
      </c>
      <c r="AB2034" s="36" t="s">
        <v>7476</v>
      </c>
      <c r="AD2034" t="s">
        <v>6317</v>
      </c>
      <c r="AE2034" t="s">
        <v>6318</v>
      </c>
      <c r="AF2034" s="16">
        <v>44903</v>
      </c>
      <c r="AG2034" t="s">
        <v>98</v>
      </c>
      <c r="AH2034">
        <v>3</v>
      </c>
      <c r="AI2034" s="8">
        <f t="shared" si="808"/>
        <v>19.647754629630072</v>
      </c>
      <c r="AJ2034" s="8">
        <f t="shared" si="809"/>
        <v>11.647754629630072</v>
      </c>
      <c r="AK2034" s="38">
        <f t="shared" si="807"/>
        <v>45008.64775462963</v>
      </c>
      <c r="AL2034" t="str">
        <f t="shared" si="810"/>
        <v/>
      </c>
      <c r="AM2034">
        <f t="shared" si="811"/>
        <v>13</v>
      </c>
      <c r="AN2034">
        <f t="shared" si="812"/>
        <v>4</v>
      </c>
      <c r="AO2034">
        <f t="shared" si="813"/>
        <v>3</v>
      </c>
      <c r="AP2034">
        <f t="shared" si="814"/>
        <v>0</v>
      </c>
      <c r="AQ2034" t="str">
        <f t="shared" si="815"/>
        <v/>
      </c>
    </row>
    <row r="2035" spans="1:43" x14ac:dyDescent="0.35">
      <c r="A2035">
        <v>163</v>
      </c>
      <c r="B2035" t="s">
        <v>6319</v>
      </c>
      <c r="C2035" t="s">
        <v>6133</v>
      </c>
      <c r="D2035" t="str">
        <f t="shared" si="805"/>
        <v>Communication and Advocacy</v>
      </c>
      <c r="E2035" t="s">
        <v>6182</v>
      </c>
      <c r="F2035" t="s">
        <v>3301</v>
      </c>
      <c r="G2035" t="s">
        <v>6295</v>
      </c>
      <c r="H2035" t="s">
        <v>334</v>
      </c>
      <c r="I2035" s="32">
        <v>44905.64775462963</v>
      </c>
      <c r="J2035" s="32">
        <v>44909.64775462963</v>
      </c>
      <c r="K2035" s="32">
        <v>44911.64775462963</v>
      </c>
      <c r="L2035" s="8">
        <f t="shared" si="806"/>
        <v>6</v>
      </c>
      <c r="M2035" s="7">
        <v>44930.64775462963</v>
      </c>
      <c r="N2035" t="s">
        <v>72</v>
      </c>
      <c r="O2035" s="34" t="s">
        <v>7474</v>
      </c>
      <c r="R2035" s="32" t="s">
        <v>7472</v>
      </c>
      <c r="S2035" t="s">
        <v>7476</v>
      </c>
      <c r="T2035" s="34" t="s">
        <v>7476</v>
      </c>
      <c r="U2035" s="34" t="s">
        <v>7476</v>
      </c>
      <c r="V2035" s="32" t="s">
        <v>7476</v>
      </c>
      <c r="W2035" s="32" t="s">
        <v>7476</v>
      </c>
      <c r="X2035">
        <v>0</v>
      </c>
      <c r="Y2035" s="34" t="s">
        <v>7476</v>
      </c>
      <c r="Z2035" s="34" t="s">
        <v>7476</v>
      </c>
      <c r="AA2035" s="34" t="s">
        <v>7476</v>
      </c>
      <c r="AB2035" s="36" t="s">
        <v>7476</v>
      </c>
      <c r="AD2035" t="s">
        <v>6320</v>
      </c>
      <c r="AE2035" t="s">
        <v>6321</v>
      </c>
      <c r="AG2035" t="s">
        <v>64</v>
      </c>
      <c r="AH2035">
        <v>3</v>
      </c>
      <c r="AI2035" s="8" t="str">
        <f t="shared" si="808"/>
        <v/>
      </c>
      <c r="AJ2035" s="8" t="str">
        <f t="shared" si="809"/>
        <v/>
      </c>
      <c r="AK2035" s="38" t="str">
        <f t="shared" si="807"/>
        <v/>
      </c>
      <c r="AL2035" t="str">
        <f t="shared" si="810"/>
        <v/>
      </c>
      <c r="AM2035" t="str">
        <f t="shared" si="811"/>
        <v/>
      </c>
      <c r="AN2035" t="str">
        <f t="shared" si="812"/>
        <v/>
      </c>
      <c r="AO2035">
        <f t="shared" si="813"/>
        <v>4</v>
      </c>
      <c r="AP2035">
        <f t="shared" si="814"/>
        <v>0</v>
      </c>
      <c r="AQ2035" t="str">
        <f t="shared" si="815"/>
        <v/>
      </c>
    </row>
    <row r="2036" spans="1:43" x14ac:dyDescent="0.35">
      <c r="A2036">
        <v>125</v>
      </c>
      <c r="B2036" t="s">
        <v>6322</v>
      </c>
      <c r="C2036" t="s">
        <v>6133</v>
      </c>
      <c r="D2036" t="str">
        <f t="shared" si="805"/>
        <v>Communication and Advocacy</v>
      </c>
      <c r="E2036" t="s">
        <v>6182</v>
      </c>
      <c r="F2036" t="s">
        <v>3301</v>
      </c>
      <c r="G2036" t="s">
        <v>6295</v>
      </c>
      <c r="H2036" t="s">
        <v>334</v>
      </c>
      <c r="I2036" s="32">
        <v>44827.472696759258</v>
      </c>
      <c r="J2036" s="32">
        <v>44830.472696759258</v>
      </c>
      <c r="K2036" s="32">
        <v>44833.472696759258</v>
      </c>
      <c r="L2036" s="8">
        <f t="shared" si="806"/>
        <v>6</v>
      </c>
      <c r="M2036" s="7">
        <v>44852.472696759258</v>
      </c>
      <c r="N2036" t="s">
        <v>72</v>
      </c>
      <c r="O2036" s="34" t="s">
        <v>7474</v>
      </c>
      <c r="R2036" s="32" t="s">
        <v>7472</v>
      </c>
      <c r="S2036" t="s">
        <v>7476</v>
      </c>
      <c r="T2036" s="34" t="s">
        <v>7476</v>
      </c>
      <c r="U2036" s="34" t="s">
        <v>7476</v>
      </c>
      <c r="V2036" s="32" t="s">
        <v>7476</v>
      </c>
      <c r="W2036" s="32" t="s">
        <v>7476</v>
      </c>
      <c r="X2036">
        <v>0</v>
      </c>
      <c r="Y2036" s="34" t="s">
        <v>7476</v>
      </c>
      <c r="Z2036" s="34" t="s">
        <v>7476</v>
      </c>
      <c r="AA2036" s="34" t="s">
        <v>7476</v>
      </c>
      <c r="AB2036" s="36" t="s">
        <v>7476</v>
      </c>
      <c r="AD2036" t="s">
        <v>6323</v>
      </c>
      <c r="AE2036" t="s">
        <v>6324</v>
      </c>
      <c r="AG2036" t="s">
        <v>68</v>
      </c>
      <c r="AH2036">
        <v>6</v>
      </c>
      <c r="AI2036" s="8" t="str">
        <f t="shared" si="808"/>
        <v/>
      </c>
      <c r="AJ2036" s="8" t="str">
        <f t="shared" si="809"/>
        <v/>
      </c>
      <c r="AK2036" s="38" t="str">
        <f t="shared" si="807"/>
        <v/>
      </c>
      <c r="AL2036" t="str">
        <f t="shared" si="810"/>
        <v/>
      </c>
      <c r="AM2036" t="str">
        <f t="shared" si="811"/>
        <v/>
      </c>
      <c r="AN2036" t="str">
        <f t="shared" si="812"/>
        <v/>
      </c>
      <c r="AO2036">
        <f t="shared" si="813"/>
        <v>3</v>
      </c>
      <c r="AP2036">
        <f t="shared" si="814"/>
        <v>0</v>
      </c>
      <c r="AQ2036" t="str">
        <f t="shared" si="815"/>
        <v/>
      </c>
    </row>
    <row r="2037" spans="1:43" x14ac:dyDescent="0.35">
      <c r="A2037">
        <v>85</v>
      </c>
      <c r="B2037" t="s">
        <v>6325</v>
      </c>
      <c r="C2037" t="s">
        <v>6108</v>
      </c>
      <c r="D2037" t="str">
        <f t="shared" si="805"/>
        <v>Communication and Advocacy</v>
      </c>
      <c r="E2037" t="s">
        <v>6182</v>
      </c>
      <c r="F2037" t="s">
        <v>3301</v>
      </c>
      <c r="G2037" t="s">
        <v>6295</v>
      </c>
      <c r="H2037" t="s">
        <v>334</v>
      </c>
      <c r="I2037" s="32">
        <v>44724.092650462961</v>
      </c>
      <c r="J2037" s="32">
        <v>44728.092650462961</v>
      </c>
      <c r="K2037" s="32">
        <v>44731.092650462961</v>
      </c>
      <c r="L2037" s="8">
        <f t="shared" si="806"/>
        <v>7</v>
      </c>
      <c r="M2037" s="7">
        <v>44751.092650462961</v>
      </c>
      <c r="N2037" t="s">
        <v>49</v>
      </c>
      <c r="O2037" s="34">
        <v>44742.092650462961</v>
      </c>
      <c r="P2037" t="s">
        <v>60</v>
      </c>
      <c r="R2037" s="32">
        <v>44747.092650462961</v>
      </c>
      <c r="S2037" t="s">
        <v>61</v>
      </c>
      <c r="T2037" s="34" t="s">
        <v>7476</v>
      </c>
      <c r="U2037" s="34" t="s">
        <v>7476</v>
      </c>
      <c r="V2037" s="32">
        <v>44745.092650462961</v>
      </c>
      <c r="W2037" s="32" t="s">
        <v>7476</v>
      </c>
      <c r="X2037">
        <v>0</v>
      </c>
      <c r="Y2037" s="34" t="s">
        <v>7476</v>
      </c>
      <c r="Z2037" s="34" t="s">
        <v>7476</v>
      </c>
      <c r="AA2037" s="34" t="s">
        <v>7476</v>
      </c>
      <c r="AB2037" s="36" t="s">
        <v>7476</v>
      </c>
      <c r="AD2037" t="s">
        <v>6326</v>
      </c>
      <c r="AE2037" t="s">
        <v>6327</v>
      </c>
      <c r="AF2037" s="16">
        <v>44732</v>
      </c>
      <c r="AG2037" t="s">
        <v>64</v>
      </c>
      <c r="AH2037">
        <v>3</v>
      </c>
      <c r="AI2037" s="8">
        <f t="shared" si="808"/>
        <v>15.092650462960592</v>
      </c>
      <c r="AJ2037" s="8">
        <f t="shared" si="809"/>
        <v>10.092650462960592</v>
      </c>
      <c r="AK2037" s="38">
        <f t="shared" si="807"/>
        <v>44835.092650462961</v>
      </c>
      <c r="AL2037" t="str">
        <f t="shared" si="810"/>
        <v/>
      </c>
      <c r="AM2037">
        <f t="shared" si="811"/>
        <v>19</v>
      </c>
      <c r="AN2037">
        <f t="shared" si="812"/>
        <v>3</v>
      </c>
      <c r="AO2037">
        <f t="shared" si="813"/>
        <v>4</v>
      </c>
      <c r="AP2037">
        <f t="shared" si="814"/>
        <v>0</v>
      </c>
      <c r="AQ2037" t="str">
        <f t="shared" si="815"/>
        <v/>
      </c>
    </row>
    <row r="2038" spans="1:43" x14ac:dyDescent="0.35">
      <c r="A2038">
        <v>84</v>
      </c>
      <c r="B2038" t="s">
        <v>6328</v>
      </c>
      <c r="C2038" t="s">
        <v>6108</v>
      </c>
      <c r="D2038" t="str">
        <f t="shared" si="805"/>
        <v>Communication and Advocacy</v>
      </c>
      <c r="E2038" t="s">
        <v>6182</v>
      </c>
      <c r="F2038" t="s">
        <v>3301</v>
      </c>
      <c r="G2038" t="s">
        <v>6295</v>
      </c>
      <c r="H2038" t="s">
        <v>334</v>
      </c>
      <c r="I2038" s="32" t="s">
        <v>7471</v>
      </c>
      <c r="J2038" s="32">
        <v>44728.092650462961</v>
      </c>
      <c r="K2038" s="32">
        <v>44731.092650462961</v>
      </c>
      <c r="L2038" s="8" t="str">
        <f t="shared" si="806"/>
        <v/>
      </c>
      <c r="M2038" s="7">
        <v>44748.092650462961</v>
      </c>
      <c r="N2038" t="s">
        <v>72</v>
      </c>
      <c r="O2038" s="34" t="s">
        <v>7474</v>
      </c>
      <c r="R2038" s="32" t="s">
        <v>7472</v>
      </c>
      <c r="S2038" t="s">
        <v>7476</v>
      </c>
      <c r="T2038" s="34" t="s">
        <v>7476</v>
      </c>
      <c r="U2038" s="34" t="s">
        <v>7476</v>
      </c>
      <c r="V2038" s="32" t="s">
        <v>7476</v>
      </c>
      <c r="W2038" s="32" t="s">
        <v>7476</v>
      </c>
      <c r="X2038">
        <v>0</v>
      </c>
      <c r="Y2038" s="34" t="s">
        <v>7476</v>
      </c>
      <c r="Z2038" s="34" t="s">
        <v>7476</v>
      </c>
      <c r="AA2038" s="34" t="s">
        <v>7476</v>
      </c>
      <c r="AB2038" s="36" t="s">
        <v>7476</v>
      </c>
      <c r="AD2038" t="s">
        <v>6329</v>
      </c>
      <c r="AE2038" t="s">
        <v>6330</v>
      </c>
      <c r="AG2038" t="s">
        <v>75</v>
      </c>
      <c r="AH2038">
        <v>3</v>
      </c>
      <c r="AK2038" s="38" t="str">
        <f t="shared" si="807"/>
        <v/>
      </c>
    </row>
    <row r="2039" spans="1:43" x14ac:dyDescent="0.35">
      <c r="A2039">
        <v>49</v>
      </c>
      <c r="B2039" t="s">
        <v>6331</v>
      </c>
      <c r="C2039" t="s">
        <v>6123</v>
      </c>
      <c r="D2039" t="str">
        <f t="shared" si="805"/>
        <v>Communication and Advocacy</v>
      </c>
      <c r="E2039" t="s">
        <v>6182</v>
      </c>
      <c r="F2039" t="s">
        <v>3301</v>
      </c>
      <c r="G2039" t="s">
        <v>6295</v>
      </c>
      <c r="H2039" t="s">
        <v>334</v>
      </c>
      <c r="I2039" s="32">
        <v>44624.885358796288</v>
      </c>
      <c r="J2039" s="32">
        <v>44627.885358796288</v>
      </c>
      <c r="K2039" s="32">
        <v>44629.885358796288</v>
      </c>
      <c r="L2039" s="8">
        <f t="shared" si="806"/>
        <v>5</v>
      </c>
      <c r="M2039" s="7">
        <v>44653.885358796288</v>
      </c>
      <c r="N2039" t="s">
        <v>49</v>
      </c>
      <c r="O2039" s="34">
        <v>44646.885358796288</v>
      </c>
      <c r="P2039" t="s">
        <v>50</v>
      </c>
      <c r="Q2039" t="s">
        <v>51</v>
      </c>
      <c r="R2039" s="32" t="s">
        <v>7472</v>
      </c>
      <c r="S2039" t="s">
        <v>7476</v>
      </c>
      <c r="T2039" s="34" t="s">
        <v>7476</v>
      </c>
      <c r="U2039" s="34" t="s">
        <v>7476</v>
      </c>
      <c r="V2039" s="32" t="s">
        <v>7476</v>
      </c>
      <c r="W2039" s="32" t="s">
        <v>7476</v>
      </c>
      <c r="X2039">
        <v>0</v>
      </c>
      <c r="Y2039" s="34" t="s">
        <v>7476</v>
      </c>
      <c r="Z2039" s="34" t="s">
        <v>7476</v>
      </c>
      <c r="AA2039" s="34" t="s">
        <v>7476</v>
      </c>
      <c r="AB2039" s="36" t="s">
        <v>95</v>
      </c>
      <c r="AD2039" t="s">
        <v>6332</v>
      </c>
      <c r="AE2039" t="s">
        <v>6333</v>
      </c>
      <c r="AF2039" s="16">
        <v>44641</v>
      </c>
      <c r="AG2039" t="s">
        <v>64</v>
      </c>
      <c r="AH2039">
        <v>6</v>
      </c>
      <c r="AI2039" s="8" t="str">
        <f>IFERROR(R2039-AF2039,"")</f>
        <v/>
      </c>
      <c r="AJ2039" s="8">
        <f>IFERROR(O2039-AF2039,"")</f>
        <v>5.885358796287619</v>
      </c>
      <c r="AK2039" s="38" t="str">
        <f t="shared" si="807"/>
        <v/>
      </c>
      <c r="AL2039" t="str">
        <f>IFERROR(Z2039-W2039,"")</f>
        <v/>
      </c>
      <c r="AM2039" t="str">
        <f>IFERROR(R2039-J2039,"")</f>
        <v/>
      </c>
      <c r="AN2039" t="str">
        <f>IFERROR(V2039-O2039,"")</f>
        <v/>
      </c>
      <c r="AO2039">
        <f>IFERROR(J2039-I2039,"")</f>
        <v>3</v>
      </c>
      <c r="AP2039">
        <f>IFERROR(AC2039-X2039,"")</f>
        <v>0</v>
      </c>
      <c r="AQ2039" t="str">
        <f>IFERROR(AA2039-W2039,"")</f>
        <v/>
      </c>
    </row>
    <row r="2040" spans="1:43" x14ac:dyDescent="0.35">
      <c r="A2040">
        <v>48</v>
      </c>
      <c r="B2040" t="s">
        <v>6334</v>
      </c>
      <c r="C2040" t="s">
        <v>6133</v>
      </c>
      <c r="D2040" t="str">
        <f t="shared" si="805"/>
        <v>Communication and Advocacy</v>
      </c>
      <c r="E2040" t="s">
        <v>6182</v>
      </c>
      <c r="F2040" t="s">
        <v>3301</v>
      </c>
      <c r="G2040" t="s">
        <v>6295</v>
      </c>
      <c r="H2040" t="s">
        <v>334</v>
      </c>
      <c r="I2040" s="32" t="s">
        <v>7471</v>
      </c>
      <c r="J2040" s="32">
        <v>44624.885358796288</v>
      </c>
      <c r="K2040" s="32">
        <v>44629.885358796288</v>
      </c>
      <c r="L2040" s="8" t="str">
        <f t="shared" si="806"/>
        <v/>
      </c>
      <c r="M2040" s="7">
        <v>44647.885358796288</v>
      </c>
      <c r="N2040" t="s">
        <v>49</v>
      </c>
      <c r="O2040" s="34">
        <v>44633.885358796288</v>
      </c>
      <c r="P2040" t="s">
        <v>50</v>
      </c>
      <c r="Q2040" t="s">
        <v>51</v>
      </c>
      <c r="R2040" s="32" t="s">
        <v>7472</v>
      </c>
      <c r="S2040" t="s">
        <v>7476</v>
      </c>
      <c r="T2040" s="34" t="s">
        <v>7476</v>
      </c>
      <c r="U2040" s="34" t="s">
        <v>7476</v>
      </c>
      <c r="V2040" s="32">
        <v>44635.885358796288</v>
      </c>
      <c r="W2040" s="32" t="s">
        <v>7476</v>
      </c>
      <c r="X2040">
        <v>0</v>
      </c>
      <c r="Y2040" s="34" t="s">
        <v>7476</v>
      </c>
      <c r="Z2040" s="34" t="s">
        <v>7476</v>
      </c>
      <c r="AA2040" s="34" t="s">
        <v>7476</v>
      </c>
      <c r="AB2040" s="36" t="s">
        <v>52</v>
      </c>
      <c r="AD2040" t="s">
        <v>6335</v>
      </c>
      <c r="AE2040" t="s">
        <v>6336</v>
      </c>
      <c r="AF2040" s="16">
        <v>44615</v>
      </c>
      <c r="AG2040" t="s">
        <v>98</v>
      </c>
      <c r="AH2040">
        <v>6</v>
      </c>
      <c r="AK2040" s="38">
        <f t="shared" si="807"/>
        <v>44815.885358796288</v>
      </c>
    </row>
    <row r="2041" spans="1:43" x14ac:dyDescent="0.35">
      <c r="A2041">
        <v>42</v>
      </c>
      <c r="B2041" t="s">
        <v>6337</v>
      </c>
      <c r="C2041" t="s">
        <v>6133</v>
      </c>
      <c r="D2041" t="str">
        <f t="shared" si="805"/>
        <v>Communication and Advocacy</v>
      </c>
      <c r="E2041" t="s">
        <v>6182</v>
      </c>
      <c r="F2041" t="s">
        <v>3301</v>
      </c>
      <c r="G2041" t="s">
        <v>6295</v>
      </c>
      <c r="H2041" t="s">
        <v>334</v>
      </c>
      <c r="I2041" s="32">
        <v>44623.885358796288</v>
      </c>
      <c r="J2041" s="32">
        <v>44624.885358796288</v>
      </c>
      <c r="K2041" s="32">
        <v>44629.885358796288</v>
      </c>
      <c r="L2041" s="8">
        <f t="shared" si="806"/>
        <v>6</v>
      </c>
      <c r="M2041" s="7">
        <v>44657.885358796288</v>
      </c>
      <c r="N2041" t="s">
        <v>49</v>
      </c>
      <c r="O2041" s="34">
        <v>44633.885358796288</v>
      </c>
      <c r="P2041" t="s">
        <v>50</v>
      </c>
      <c r="Q2041" t="s">
        <v>198</v>
      </c>
      <c r="R2041" s="32" t="s">
        <v>7472</v>
      </c>
      <c r="S2041" t="s">
        <v>7476</v>
      </c>
      <c r="T2041" s="34" t="s">
        <v>7476</v>
      </c>
      <c r="U2041" s="34" t="s">
        <v>7476</v>
      </c>
      <c r="V2041" s="32">
        <v>44635.885358796288</v>
      </c>
      <c r="W2041" s="32" t="s">
        <v>7476</v>
      </c>
      <c r="X2041">
        <v>0</v>
      </c>
      <c r="Y2041" s="34" t="s">
        <v>7476</v>
      </c>
      <c r="Z2041" s="34" t="s">
        <v>7476</v>
      </c>
      <c r="AA2041" s="34" t="s">
        <v>7476</v>
      </c>
      <c r="AB2041" s="36" t="s">
        <v>52</v>
      </c>
      <c r="AD2041" t="s">
        <v>6338</v>
      </c>
      <c r="AE2041" t="s">
        <v>6339</v>
      </c>
      <c r="AF2041" s="16">
        <v>44622</v>
      </c>
      <c r="AG2041" t="s">
        <v>68</v>
      </c>
      <c r="AH2041">
        <v>3</v>
      </c>
      <c r="AI2041" s="8" t="str">
        <f t="shared" ref="AI2041:AI2048" si="816">IFERROR(R2041-AF2041,"")</f>
        <v/>
      </c>
      <c r="AJ2041" s="8">
        <f t="shared" ref="AJ2041:AJ2048" si="817">IFERROR(O2041-AF2041,"")</f>
        <v>11.885358796287619</v>
      </c>
      <c r="AK2041" s="38">
        <f t="shared" si="807"/>
        <v>44725.885358796288</v>
      </c>
      <c r="AL2041" t="str">
        <f t="shared" ref="AL2041:AL2048" si="818">IFERROR(Z2041-W2041,"")</f>
        <v/>
      </c>
      <c r="AM2041" t="str">
        <f t="shared" ref="AM2041:AM2048" si="819">IFERROR(R2041-J2041,"")</f>
        <v/>
      </c>
      <c r="AN2041">
        <f t="shared" ref="AN2041:AN2048" si="820">IFERROR(V2041-O2041,"")</f>
        <v>2</v>
      </c>
      <c r="AO2041">
        <f t="shared" ref="AO2041:AO2048" si="821">IFERROR(J2041-I2041,"")</f>
        <v>1</v>
      </c>
      <c r="AP2041">
        <f t="shared" ref="AP2041:AP2048" si="822">IFERROR(AC2041-X2041,"")</f>
        <v>0</v>
      </c>
      <c r="AQ2041" t="str">
        <f t="shared" ref="AQ2041:AQ2048" si="823">IFERROR(AA2041-W2041,"")</f>
        <v/>
      </c>
    </row>
    <row r="2042" spans="1:43" x14ac:dyDescent="0.35">
      <c r="A2042">
        <v>2948</v>
      </c>
      <c r="B2042" t="s">
        <v>6340</v>
      </c>
      <c r="C2042" t="s">
        <v>6123</v>
      </c>
      <c r="D2042" t="str">
        <f t="shared" si="805"/>
        <v>Communication and Advocacy</v>
      </c>
      <c r="E2042" t="s">
        <v>6341</v>
      </c>
      <c r="F2042" t="s">
        <v>695</v>
      </c>
      <c r="G2042" t="s">
        <v>6342</v>
      </c>
      <c r="H2042" t="s">
        <v>697</v>
      </c>
      <c r="I2042" s="32">
        <v>44725.484722222223</v>
      </c>
      <c r="J2042" s="32">
        <v>44727.484722222223</v>
      </c>
      <c r="K2042" s="32">
        <v>44735.484722222223</v>
      </c>
      <c r="L2042" s="8">
        <f t="shared" si="806"/>
        <v>10</v>
      </c>
      <c r="M2042" s="7">
        <v>44780.484722222223</v>
      </c>
      <c r="N2042" t="s">
        <v>72</v>
      </c>
      <c r="O2042" s="34" t="s">
        <v>7474</v>
      </c>
      <c r="R2042" s="32" t="s">
        <v>7472</v>
      </c>
      <c r="S2042" t="s">
        <v>7476</v>
      </c>
      <c r="T2042" s="34" t="s">
        <v>7476</v>
      </c>
      <c r="U2042" s="34" t="s">
        <v>7476</v>
      </c>
      <c r="V2042" s="32" t="s">
        <v>7476</v>
      </c>
      <c r="W2042" s="32" t="s">
        <v>7476</v>
      </c>
      <c r="X2042">
        <v>0</v>
      </c>
      <c r="Y2042" s="34" t="s">
        <v>7476</v>
      </c>
      <c r="Z2042" s="34" t="s">
        <v>7476</v>
      </c>
      <c r="AA2042" s="34" t="s">
        <v>7476</v>
      </c>
      <c r="AB2042" s="36" t="s">
        <v>7476</v>
      </c>
      <c r="AD2042" t="s">
        <v>6343</v>
      </c>
      <c r="AE2042" t="s">
        <v>6344</v>
      </c>
      <c r="AG2042" t="s">
        <v>68</v>
      </c>
      <c r="AH2042">
        <v>6</v>
      </c>
      <c r="AI2042" s="8" t="str">
        <f t="shared" si="816"/>
        <v/>
      </c>
      <c r="AJ2042" s="8" t="str">
        <f t="shared" si="817"/>
        <v/>
      </c>
      <c r="AK2042" s="38" t="str">
        <f t="shared" si="807"/>
        <v/>
      </c>
      <c r="AL2042" t="str">
        <f t="shared" si="818"/>
        <v/>
      </c>
      <c r="AM2042" t="str">
        <f t="shared" si="819"/>
        <v/>
      </c>
      <c r="AN2042" t="str">
        <f t="shared" si="820"/>
        <v/>
      </c>
      <c r="AO2042">
        <f t="shared" si="821"/>
        <v>2</v>
      </c>
      <c r="AP2042">
        <f t="shared" si="822"/>
        <v>0</v>
      </c>
      <c r="AQ2042" t="str">
        <f t="shared" si="823"/>
        <v/>
      </c>
    </row>
    <row r="2043" spans="1:43" x14ac:dyDescent="0.35">
      <c r="A2043">
        <v>2941</v>
      </c>
      <c r="B2043" t="s">
        <v>6345</v>
      </c>
      <c r="C2043" t="s">
        <v>6133</v>
      </c>
      <c r="D2043" t="str">
        <f t="shared" si="805"/>
        <v>Communication and Advocacy</v>
      </c>
      <c r="E2043" t="s">
        <v>6341</v>
      </c>
      <c r="F2043" t="s">
        <v>695</v>
      </c>
      <c r="G2043" t="s">
        <v>6342</v>
      </c>
      <c r="H2043" t="s">
        <v>697</v>
      </c>
      <c r="I2043" s="32">
        <v>44722.484722222223</v>
      </c>
      <c r="J2043" s="32">
        <v>44725.484722222223</v>
      </c>
      <c r="K2043" s="32">
        <v>44733.484722222223</v>
      </c>
      <c r="L2043" s="8">
        <f t="shared" si="806"/>
        <v>11</v>
      </c>
      <c r="M2043" s="7">
        <v>44778.484722222223</v>
      </c>
      <c r="N2043" t="s">
        <v>72</v>
      </c>
      <c r="O2043" s="34" t="s">
        <v>7474</v>
      </c>
      <c r="R2043" s="32" t="s">
        <v>7472</v>
      </c>
      <c r="S2043" t="s">
        <v>7476</v>
      </c>
      <c r="T2043" s="34" t="s">
        <v>7476</v>
      </c>
      <c r="U2043" s="34" t="s">
        <v>7476</v>
      </c>
      <c r="V2043" s="32" t="s">
        <v>7476</v>
      </c>
      <c r="W2043" s="32" t="s">
        <v>7476</v>
      </c>
      <c r="X2043">
        <v>0</v>
      </c>
      <c r="Y2043" s="34" t="s">
        <v>7476</v>
      </c>
      <c r="Z2043" s="34" t="s">
        <v>7476</v>
      </c>
      <c r="AA2043" s="34" t="s">
        <v>7476</v>
      </c>
      <c r="AB2043" s="36" t="s">
        <v>7476</v>
      </c>
      <c r="AD2043" t="s">
        <v>6346</v>
      </c>
      <c r="AE2043" t="s">
        <v>6347</v>
      </c>
      <c r="AG2043" t="s">
        <v>64</v>
      </c>
      <c r="AH2043">
        <v>3</v>
      </c>
      <c r="AI2043" s="8" t="str">
        <f t="shared" si="816"/>
        <v/>
      </c>
      <c r="AJ2043" s="8" t="str">
        <f t="shared" si="817"/>
        <v/>
      </c>
      <c r="AK2043" s="38" t="str">
        <f t="shared" si="807"/>
        <v/>
      </c>
      <c r="AL2043" t="str">
        <f t="shared" si="818"/>
        <v/>
      </c>
      <c r="AM2043" t="str">
        <f t="shared" si="819"/>
        <v/>
      </c>
      <c r="AN2043" t="str">
        <f t="shared" si="820"/>
        <v/>
      </c>
      <c r="AO2043">
        <f t="shared" si="821"/>
        <v>3</v>
      </c>
      <c r="AP2043">
        <f t="shared" si="822"/>
        <v>0</v>
      </c>
      <c r="AQ2043" t="str">
        <f t="shared" si="823"/>
        <v/>
      </c>
    </row>
    <row r="2044" spans="1:43" x14ac:dyDescent="0.35">
      <c r="A2044">
        <v>2336</v>
      </c>
      <c r="B2044" t="s">
        <v>6348</v>
      </c>
      <c r="C2044" t="s">
        <v>6123</v>
      </c>
      <c r="D2044" t="str">
        <f t="shared" si="805"/>
        <v>Communication and Advocacy</v>
      </c>
      <c r="E2044" t="s">
        <v>6341</v>
      </c>
      <c r="F2044" t="s">
        <v>695</v>
      </c>
      <c r="G2044" t="s">
        <v>6342</v>
      </c>
      <c r="H2044" t="s">
        <v>697</v>
      </c>
      <c r="I2044" s="32">
        <v>44692.386030092603</v>
      </c>
      <c r="J2044" s="32">
        <v>44696.386030092603</v>
      </c>
      <c r="K2044" s="32">
        <v>44700.386030092603</v>
      </c>
      <c r="L2044" s="8">
        <f t="shared" si="806"/>
        <v>8</v>
      </c>
      <c r="M2044" s="7">
        <v>44726.386030092603</v>
      </c>
      <c r="N2044" t="s">
        <v>72</v>
      </c>
      <c r="O2044" s="34" t="s">
        <v>7474</v>
      </c>
      <c r="R2044" s="32" t="s">
        <v>7472</v>
      </c>
      <c r="S2044" t="s">
        <v>7476</v>
      </c>
      <c r="T2044" s="34" t="s">
        <v>7476</v>
      </c>
      <c r="U2044" s="34" t="s">
        <v>7476</v>
      </c>
      <c r="V2044" s="32" t="s">
        <v>7476</v>
      </c>
      <c r="W2044" s="32" t="s">
        <v>7476</v>
      </c>
      <c r="X2044">
        <v>0</v>
      </c>
      <c r="Y2044" s="34" t="s">
        <v>7476</v>
      </c>
      <c r="Z2044" s="34" t="s">
        <v>7476</v>
      </c>
      <c r="AA2044" s="34" t="s">
        <v>7476</v>
      </c>
      <c r="AB2044" s="36" t="s">
        <v>7476</v>
      </c>
      <c r="AD2044" t="s">
        <v>6349</v>
      </c>
      <c r="AE2044" t="s">
        <v>6350</v>
      </c>
      <c r="AG2044" t="s">
        <v>64</v>
      </c>
      <c r="AH2044">
        <v>6</v>
      </c>
      <c r="AI2044" s="8" t="str">
        <f t="shared" si="816"/>
        <v/>
      </c>
      <c r="AJ2044" s="8" t="str">
        <f t="shared" si="817"/>
        <v/>
      </c>
      <c r="AK2044" s="38" t="str">
        <f t="shared" si="807"/>
        <v/>
      </c>
      <c r="AL2044" t="str">
        <f t="shared" si="818"/>
        <v/>
      </c>
      <c r="AM2044" t="str">
        <f t="shared" si="819"/>
        <v/>
      </c>
      <c r="AN2044" t="str">
        <f t="shared" si="820"/>
        <v/>
      </c>
      <c r="AO2044">
        <f t="shared" si="821"/>
        <v>4</v>
      </c>
      <c r="AP2044">
        <f t="shared" si="822"/>
        <v>0</v>
      </c>
      <c r="AQ2044" t="str">
        <f t="shared" si="823"/>
        <v/>
      </c>
    </row>
    <row r="2045" spans="1:43" x14ac:dyDescent="0.35">
      <c r="A2045">
        <v>2335</v>
      </c>
      <c r="B2045" t="s">
        <v>6351</v>
      </c>
      <c r="C2045" t="s">
        <v>6133</v>
      </c>
      <c r="D2045" t="str">
        <f t="shared" si="805"/>
        <v>Communication and Advocacy</v>
      </c>
      <c r="E2045" t="s">
        <v>6341</v>
      </c>
      <c r="F2045" t="s">
        <v>695</v>
      </c>
      <c r="G2045" t="s">
        <v>6342</v>
      </c>
      <c r="H2045" t="s">
        <v>697</v>
      </c>
      <c r="I2045" s="32">
        <v>44691.386030092603</v>
      </c>
      <c r="J2045" s="32">
        <v>44694.386030092603</v>
      </c>
      <c r="K2045" s="32">
        <v>44700.386030092603</v>
      </c>
      <c r="L2045" s="8">
        <f t="shared" si="806"/>
        <v>9</v>
      </c>
      <c r="M2045" s="7">
        <v>44727.386030092603</v>
      </c>
      <c r="N2045" t="s">
        <v>72</v>
      </c>
      <c r="O2045" s="34" t="s">
        <v>7474</v>
      </c>
      <c r="R2045" s="32" t="s">
        <v>7472</v>
      </c>
      <c r="S2045" t="s">
        <v>7476</v>
      </c>
      <c r="T2045" s="34" t="s">
        <v>7476</v>
      </c>
      <c r="U2045" s="34" t="s">
        <v>7476</v>
      </c>
      <c r="V2045" s="32" t="s">
        <v>7476</v>
      </c>
      <c r="W2045" s="32" t="s">
        <v>7476</v>
      </c>
      <c r="X2045">
        <v>0</v>
      </c>
      <c r="Y2045" s="34" t="s">
        <v>7476</v>
      </c>
      <c r="Z2045" s="34" t="s">
        <v>7476</v>
      </c>
      <c r="AA2045" s="34" t="s">
        <v>7476</v>
      </c>
      <c r="AB2045" s="36" t="s">
        <v>7476</v>
      </c>
      <c r="AD2045" t="s">
        <v>6352</v>
      </c>
      <c r="AE2045" t="s">
        <v>6353</v>
      </c>
      <c r="AG2045" t="s">
        <v>68</v>
      </c>
      <c r="AH2045">
        <v>6</v>
      </c>
      <c r="AI2045" s="8" t="str">
        <f t="shared" si="816"/>
        <v/>
      </c>
      <c r="AJ2045" s="8" t="str">
        <f t="shared" si="817"/>
        <v/>
      </c>
      <c r="AK2045" s="38" t="str">
        <f t="shared" si="807"/>
        <v/>
      </c>
      <c r="AL2045" t="str">
        <f t="shared" si="818"/>
        <v/>
      </c>
      <c r="AM2045" t="str">
        <f t="shared" si="819"/>
        <v/>
      </c>
      <c r="AN2045" t="str">
        <f t="shared" si="820"/>
        <v/>
      </c>
      <c r="AO2045">
        <f t="shared" si="821"/>
        <v>3</v>
      </c>
      <c r="AP2045">
        <f t="shared" si="822"/>
        <v>0</v>
      </c>
      <c r="AQ2045" t="str">
        <f t="shared" si="823"/>
        <v/>
      </c>
    </row>
    <row r="2046" spans="1:43" x14ac:dyDescent="0.35">
      <c r="A2046">
        <v>2058</v>
      </c>
      <c r="B2046" t="s">
        <v>6354</v>
      </c>
      <c r="C2046" t="s">
        <v>6108</v>
      </c>
      <c r="D2046" t="str">
        <f t="shared" si="805"/>
        <v>Communication and Advocacy</v>
      </c>
      <c r="E2046" t="s">
        <v>6341</v>
      </c>
      <c r="F2046" t="s">
        <v>695</v>
      </c>
      <c r="G2046" t="s">
        <v>6342</v>
      </c>
      <c r="H2046" t="s">
        <v>697</v>
      </c>
      <c r="I2046" s="32">
        <v>44577.831099537027</v>
      </c>
      <c r="J2046" s="32">
        <v>44578.831099537027</v>
      </c>
      <c r="K2046" s="32">
        <v>44580.831099537027</v>
      </c>
      <c r="L2046" s="8">
        <f t="shared" si="806"/>
        <v>3</v>
      </c>
      <c r="M2046" s="7">
        <v>44587.831099537027</v>
      </c>
      <c r="N2046" t="s">
        <v>72</v>
      </c>
      <c r="O2046" s="34" t="s">
        <v>7474</v>
      </c>
      <c r="R2046" s="32" t="s">
        <v>7472</v>
      </c>
      <c r="S2046" t="s">
        <v>7476</v>
      </c>
      <c r="T2046" s="34" t="s">
        <v>7476</v>
      </c>
      <c r="U2046" s="34" t="s">
        <v>7476</v>
      </c>
      <c r="V2046" s="32" t="s">
        <v>7476</v>
      </c>
      <c r="W2046" s="32" t="s">
        <v>7476</v>
      </c>
      <c r="X2046">
        <v>0</v>
      </c>
      <c r="Y2046" s="34" t="s">
        <v>7476</v>
      </c>
      <c r="Z2046" s="34" t="s">
        <v>7476</v>
      </c>
      <c r="AA2046" s="34" t="s">
        <v>7476</v>
      </c>
      <c r="AB2046" s="36" t="s">
        <v>7476</v>
      </c>
      <c r="AD2046" t="s">
        <v>6355</v>
      </c>
      <c r="AE2046" t="s">
        <v>6356</v>
      </c>
      <c r="AG2046" t="s">
        <v>98</v>
      </c>
      <c r="AH2046">
        <v>6</v>
      </c>
      <c r="AI2046" s="8" t="str">
        <f t="shared" si="816"/>
        <v/>
      </c>
      <c r="AJ2046" s="8" t="str">
        <f t="shared" si="817"/>
        <v/>
      </c>
      <c r="AK2046" s="38" t="str">
        <f t="shared" si="807"/>
        <v/>
      </c>
      <c r="AL2046" t="str">
        <f t="shared" si="818"/>
        <v/>
      </c>
      <c r="AM2046" t="str">
        <f t="shared" si="819"/>
        <v/>
      </c>
      <c r="AN2046" t="str">
        <f t="shared" si="820"/>
        <v/>
      </c>
      <c r="AO2046">
        <f t="shared" si="821"/>
        <v>1</v>
      </c>
      <c r="AP2046">
        <f t="shared" si="822"/>
        <v>0</v>
      </c>
      <c r="AQ2046" t="str">
        <f t="shared" si="823"/>
        <v/>
      </c>
    </row>
    <row r="2047" spans="1:43" x14ac:dyDescent="0.35">
      <c r="A2047">
        <v>2056</v>
      </c>
      <c r="B2047" t="s">
        <v>6357</v>
      </c>
      <c r="C2047" t="s">
        <v>6133</v>
      </c>
      <c r="D2047" t="str">
        <f t="shared" si="805"/>
        <v>Communication and Advocacy</v>
      </c>
      <c r="E2047" t="s">
        <v>6341</v>
      </c>
      <c r="F2047" t="s">
        <v>695</v>
      </c>
      <c r="G2047" t="s">
        <v>6342</v>
      </c>
      <c r="H2047" t="s">
        <v>697</v>
      </c>
      <c r="I2047" s="32">
        <v>44573.831099537027</v>
      </c>
      <c r="J2047" s="32">
        <v>44575.831099537027</v>
      </c>
      <c r="K2047" s="32">
        <v>44580.831099537027</v>
      </c>
      <c r="L2047" s="8">
        <f t="shared" si="806"/>
        <v>7</v>
      </c>
      <c r="M2047" s="7">
        <v>44607.831099537027</v>
      </c>
      <c r="N2047" t="s">
        <v>72</v>
      </c>
      <c r="O2047" s="34" t="s">
        <v>7474</v>
      </c>
      <c r="R2047" s="32" t="s">
        <v>7472</v>
      </c>
      <c r="S2047" t="s">
        <v>7476</v>
      </c>
      <c r="T2047" s="34" t="s">
        <v>7476</v>
      </c>
      <c r="U2047" s="34" t="s">
        <v>7476</v>
      </c>
      <c r="V2047" s="32" t="s">
        <v>7476</v>
      </c>
      <c r="W2047" s="32" t="s">
        <v>7476</v>
      </c>
      <c r="X2047">
        <v>0</v>
      </c>
      <c r="Y2047" s="34" t="s">
        <v>7476</v>
      </c>
      <c r="Z2047" s="34" t="s">
        <v>7476</v>
      </c>
      <c r="AA2047" s="34" t="s">
        <v>7476</v>
      </c>
      <c r="AB2047" s="36" t="s">
        <v>7476</v>
      </c>
      <c r="AD2047" t="s">
        <v>6358</v>
      </c>
      <c r="AE2047" t="s">
        <v>6359</v>
      </c>
      <c r="AG2047" t="s">
        <v>68</v>
      </c>
      <c r="AH2047">
        <v>3</v>
      </c>
      <c r="AI2047" s="8" t="str">
        <f t="shared" si="816"/>
        <v/>
      </c>
      <c r="AJ2047" s="8" t="str">
        <f t="shared" si="817"/>
        <v/>
      </c>
      <c r="AK2047" s="38" t="str">
        <f t="shared" si="807"/>
        <v/>
      </c>
      <c r="AL2047" t="str">
        <f t="shared" si="818"/>
        <v/>
      </c>
      <c r="AM2047" t="str">
        <f t="shared" si="819"/>
        <v/>
      </c>
      <c r="AN2047" t="str">
        <f t="shared" si="820"/>
        <v/>
      </c>
      <c r="AO2047">
        <f t="shared" si="821"/>
        <v>2</v>
      </c>
      <c r="AP2047">
        <f t="shared" si="822"/>
        <v>0</v>
      </c>
      <c r="AQ2047" t="str">
        <f t="shared" si="823"/>
        <v/>
      </c>
    </row>
    <row r="2048" spans="1:43" x14ac:dyDescent="0.35">
      <c r="A2048">
        <v>2054</v>
      </c>
      <c r="B2048" t="s">
        <v>6360</v>
      </c>
      <c r="C2048" t="s">
        <v>6133</v>
      </c>
      <c r="D2048" t="str">
        <f t="shared" si="805"/>
        <v>Communication and Advocacy</v>
      </c>
      <c r="E2048" t="s">
        <v>6341</v>
      </c>
      <c r="F2048" t="s">
        <v>695</v>
      </c>
      <c r="G2048" t="s">
        <v>6342</v>
      </c>
      <c r="H2048" t="s">
        <v>697</v>
      </c>
      <c r="I2048" s="32">
        <v>44576.831099537027</v>
      </c>
      <c r="J2048" s="32">
        <v>44577.831099537027</v>
      </c>
      <c r="K2048" s="32">
        <v>44580.831099537027</v>
      </c>
      <c r="L2048" s="8">
        <f t="shared" si="806"/>
        <v>4</v>
      </c>
      <c r="M2048" s="7">
        <v>44610.831099537027</v>
      </c>
      <c r="N2048" t="s">
        <v>49</v>
      </c>
      <c r="O2048" s="34">
        <v>44596.831099537027</v>
      </c>
      <c r="P2048" t="s">
        <v>101</v>
      </c>
      <c r="R2048" s="32">
        <v>44601.831099537027</v>
      </c>
      <c r="S2048" t="s">
        <v>101</v>
      </c>
      <c r="T2048" s="34">
        <v>44597.831099537027</v>
      </c>
      <c r="U2048" s="34">
        <v>44600.831099537027</v>
      </c>
      <c r="V2048" s="32">
        <v>44600.831099537027</v>
      </c>
      <c r="W2048" s="32">
        <v>44602.831099537027</v>
      </c>
      <c r="X2048">
        <v>1</v>
      </c>
      <c r="Y2048" s="34">
        <v>44606.831099537027</v>
      </c>
      <c r="Z2048" s="34">
        <v>44607.831099537027</v>
      </c>
      <c r="AA2048" s="34">
        <v>44610.831099537027</v>
      </c>
      <c r="AB2048" s="36" t="s">
        <v>7476</v>
      </c>
      <c r="AC2048" s="10">
        <v>44618.831099537027</v>
      </c>
      <c r="AD2048" t="s">
        <v>6361</v>
      </c>
      <c r="AE2048" t="s">
        <v>6362</v>
      </c>
      <c r="AF2048" s="16">
        <v>44587</v>
      </c>
      <c r="AG2048" t="s">
        <v>68</v>
      </c>
      <c r="AH2048">
        <v>3</v>
      </c>
      <c r="AI2048" s="8">
        <f t="shared" si="816"/>
        <v>14.831099537026603</v>
      </c>
      <c r="AJ2048" s="8">
        <f t="shared" si="817"/>
        <v>9.8310995370266028</v>
      </c>
      <c r="AK2048" s="38">
        <f t="shared" si="807"/>
        <v>44690.831099537027</v>
      </c>
      <c r="AL2048">
        <f t="shared" si="818"/>
        <v>5</v>
      </c>
      <c r="AM2048">
        <f t="shared" si="819"/>
        <v>24</v>
      </c>
      <c r="AN2048">
        <f t="shared" si="820"/>
        <v>4</v>
      </c>
      <c r="AO2048">
        <f t="shared" si="821"/>
        <v>1</v>
      </c>
      <c r="AP2048">
        <f t="shared" si="822"/>
        <v>44617.831099537027</v>
      </c>
      <c r="AQ2048">
        <f t="shared" si="823"/>
        <v>8</v>
      </c>
    </row>
    <row r="2049" spans="1:43" x14ac:dyDescent="0.35">
      <c r="A2049">
        <v>1911</v>
      </c>
      <c r="B2049" t="s">
        <v>6363</v>
      </c>
      <c r="C2049" t="s">
        <v>6123</v>
      </c>
      <c r="D2049" t="str">
        <f t="shared" si="805"/>
        <v>Communication and Advocacy</v>
      </c>
      <c r="E2049" t="s">
        <v>6341</v>
      </c>
      <c r="F2049" t="s">
        <v>695</v>
      </c>
      <c r="G2049" t="s">
        <v>6342</v>
      </c>
      <c r="H2049" t="s">
        <v>697</v>
      </c>
      <c r="I2049" s="32">
        <v>44685.892118055563</v>
      </c>
      <c r="J2049" s="32">
        <v>44687.892118055563</v>
      </c>
      <c r="K2049" s="32" t="s">
        <v>7473</v>
      </c>
      <c r="L2049" s="8" t="str">
        <f t="shared" si="806"/>
        <v/>
      </c>
      <c r="M2049" s="7">
        <v>44704.892118055563</v>
      </c>
      <c r="N2049" t="s">
        <v>72</v>
      </c>
      <c r="O2049" s="34" t="s">
        <v>7474</v>
      </c>
      <c r="R2049" s="32" t="s">
        <v>7472</v>
      </c>
      <c r="S2049" t="s">
        <v>7476</v>
      </c>
      <c r="T2049" s="34" t="s">
        <v>7476</v>
      </c>
      <c r="U2049" s="34" t="s">
        <v>7476</v>
      </c>
      <c r="V2049" s="32" t="s">
        <v>7476</v>
      </c>
      <c r="W2049" s="32" t="s">
        <v>7476</v>
      </c>
      <c r="X2049">
        <v>0</v>
      </c>
      <c r="Y2049" s="34" t="s">
        <v>7476</v>
      </c>
      <c r="Z2049" s="34" t="s">
        <v>7476</v>
      </c>
      <c r="AA2049" s="34" t="s">
        <v>7476</v>
      </c>
      <c r="AB2049" s="36" t="s">
        <v>7476</v>
      </c>
      <c r="AD2049" t="s">
        <v>6364</v>
      </c>
      <c r="AE2049" t="s">
        <v>6365</v>
      </c>
      <c r="AG2049" t="s">
        <v>68</v>
      </c>
      <c r="AH2049">
        <v>6</v>
      </c>
      <c r="AK2049" s="38" t="str">
        <f t="shared" si="807"/>
        <v/>
      </c>
    </row>
    <row r="2050" spans="1:43" x14ac:dyDescent="0.35">
      <c r="A2050">
        <v>1745</v>
      </c>
      <c r="B2050" t="s">
        <v>6366</v>
      </c>
      <c r="C2050" t="s">
        <v>6133</v>
      </c>
      <c r="D2050" t="str">
        <f t="shared" ref="D2050:D2113" si="824">TRIM(C2050)</f>
        <v>Communication and Advocacy</v>
      </c>
      <c r="E2050" t="s">
        <v>6341</v>
      </c>
      <c r="F2050" t="s">
        <v>695</v>
      </c>
      <c r="G2050" t="s">
        <v>6342</v>
      </c>
      <c r="H2050" t="s">
        <v>697</v>
      </c>
      <c r="I2050" s="32">
        <v>44946.798078703701</v>
      </c>
      <c r="J2050" s="32">
        <v>44950.798078703701</v>
      </c>
      <c r="K2050" s="32">
        <v>44953.798078703701</v>
      </c>
      <c r="L2050" s="8">
        <f t="shared" ref="L2050:L2113" si="825">IFERROR(K2050-I2050,"")</f>
        <v>7</v>
      </c>
      <c r="M2050" s="7">
        <v>44967.798078703701</v>
      </c>
      <c r="N2050" t="s">
        <v>72</v>
      </c>
      <c r="O2050" s="34" t="s">
        <v>7474</v>
      </c>
      <c r="R2050" s="32" t="s">
        <v>7472</v>
      </c>
      <c r="S2050" t="s">
        <v>7476</v>
      </c>
      <c r="T2050" s="34" t="s">
        <v>7476</v>
      </c>
      <c r="U2050" s="34" t="s">
        <v>7476</v>
      </c>
      <c r="V2050" s="32" t="s">
        <v>7476</v>
      </c>
      <c r="W2050" s="32" t="s">
        <v>7476</v>
      </c>
      <c r="X2050">
        <v>0</v>
      </c>
      <c r="Y2050" s="34" t="s">
        <v>7476</v>
      </c>
      <c r="Z2050" s="34" t="s">
        <v>7476</v>
      </c>
      <c r="AA2050" s="34" t="s">
        <v>7476</v>
      </c>
      <c r="AB2050" s="36" t="s">
        <v>7476</v>
      </c>
      <c r="AD2050" t="s">
        <v>6367</v>
      </c>
      <c r="AE2050" t="s">
        <v>6368</v>
      </c>
      <c r="AG2050" t="s">
        <v>98</v>
      </c>
      <c r="AH2050">
        <v>6</v>
      </c>
      <c r="AI2050" s="8" t="str">
        <f>IFERROR(R2050-AF2050,"")</f>
        <v/>
      </c>
      <c r="AJ2050" s="8" t="str">
        <f>IFERROR(O2050-AF2050,"")</f>
        <v/>
      </c>
      <c r="AK2050" s="38" t="str">
        <f t="shared" si="807"/>
        <v/>
      </c>
      <c r="AL2050" t="str">
        <f>IFERROR(Z2050-W2050,"")</f>
        <v/>
      </c>
      <c r="AM2050" t="str">
        <f>IFERROR(R2050-J2050,"")</f>
        <v/>
      </c>
      <c r="AN2050" t="str">
        <f>IFERROR(V2050-O2050,"")</f>
        <v/>
      </c>
      <c r="AO2050">
        <f>IFERROR(J2050-I2050,"")</f>
        <v>4</v>
      </c>
      <c r="AP2050">
        <f>IFERROR(AC2050-X2050,"")</f>
        <v>0</v>
      </c>
      <c r="AQ2050" t="str">
        <f>IFERROR(AA2050-W2050,"")</f>
        <v/>
      </c>
    </row>
    <row r="2051" spans="1:43" x14ac:dyDescent="0.35">
      <c r="A2051">
        <v>1597</v>
      </c>
      <c r="B2051" t="s">
        <v>6369</v>
      </c>
      <c r="C2051" t="s">
        <v>6133</v>
      </c>
      <c r="D2051" t="str">
        <f t="shared" si="824"/>
        <v>Communication and Advocacy</v>
      </c>
      <c r="E2051" t="s">
        <v>6341</v>
      </c>
      <c r="F2051" t="s">
        <v>695</v>
      </c>
      <c r="G2051" t="s">
        <v>6342</v>
      </c>
      <c r="H2051" t="s">
        <v>697</v>
      </c>
      <c r="I2051" s="32">
        <v>44991.164201388892</v>
      </c>
      <c r="J2051" s="32">
        <v>44994.164201388892</v>
      </c>
      <c r="K2051" s="32">
        <v>45000.164201388892</v>
      </c>
      <c r="L2051" s="8">
        <f t="shared" si="825"/>
        <v>9</v>
      </c>
      <c r="M2051" s="7">
        <v>45012.164201388892</v>
      </c>
      <c r="N2051" t="s">
        <v>72</v>
      </c>
      <c r="O2051" s="34" t="s">
        <v>7474</v>
      </c>
      <c r="R2051" s="32" t="s">
        <v>7472</v>
      </c>
      <c r="S2051" t="s">
        <v>7476</v>
      </c>
      <c r="T2051" s="34" t="s">
        <v>7476</v>
      </c>
      <c r="U2051" s="34" t="s">
        <v>7476</v>
      </c>
      <c r="V2051" s="32" t="s">
        <v>7476</v>
      </c>
      <c r="W2051" s="32" t="s">
        <v>7476</v>
      </c>
      <c r="X2051">
        <v>0</v>
      </c>
      <c r="Y2051" s="34" t="s">
        <v>7476</v>
      </c>
      <c r="Z2051" s="34" t="s">
        <v>7476</v>
      </c>
      <c r="AA2051" s="34" t="s">
        <v>7476</v>
      </c>
      <c r="AB2051" s="36" t="s">
        <v>7476</v>
      </c>
      <c r="AD2051" t="s">
        <v>6370</v>
      </c>
      <c r="AE2051" t="s">
        <v>6371</v>
      </c>
      <c r="AG2051" t="s">
        <v>68</v>
      </c>
      <c r="AH2051">
        <v>6</v>
      </c>
      <c r="AI2051" s="8" t="str">
        <f>IFERROR(R2051-AF2051,"")</f>
        <v/>
      </c>
      <c r="AJ2051" s="8" t="str">
        <f>IFERROR(O2051-AF2051,"")</f>
        <v/>
      </c>
      <c r="AK2051" s="38" t="str">
        <f t="shared" ref="AK2051:AK2114" si="826">IFERROR(V2051+(AH2051*30),"")</f>
        <v/>
      </c>
      <c r="AL2051" t="str">
        <f>IFERROR(Z2051-W2051,"")</f>
        <v/>
      </c>
      <c r="AM2051" t="str">
        <f>IFERROR(R2051-J2051,"")</f>
        <v/>
      </c>
      <c r="AN2051" t="str">
        <f>IFERROR(V2051-O2051,"")</f>
        <v/>
      </c>
      <c r="AO2051">
        <f>IFERROR(J2051-I2051,"")</f>
        <v>3</v>
      </c>
      <c r="AP2051">
        <f>IFERROR(AC2051-X2051,"")</f>
        <v>0</v>
      </c>
      <c r="AQ2051" t="str">
        <f>IFERROR(AA2051-W2051,"")</f>
        <v/>
      </c>
    </row>
    <row r="2052" spans="1:43" x14ac:dyDescent="0.35">
      <c r="A2052">
        <v>1579</v>
      </c>
      <c r="B2052" t="s">
        <v>6372</v>
      </c>
      <c r="C2052" t="s">
        <v>6123</v>
      </c>
      <c r="D2052" t="str">
        <f t="shared" si="824"/>
        <v>Communication and Advocacy</v>
      </c>
      <c r="E2052" t="s">
        <v>6341</v>
      </c>
      <c r="F2052" t="s">
        <v>695</v>
      </c>
      <c r="G2052" t="s">
        <v>6342</v>
      </c>
      <c r="H2052" t="s">
        <v>697</v>
      </c>
      <c r="I2052" s="32">
        <v>44809.733078703714</v>
      </c>
      <c r="J2052" s="32">
        <v>44812.733078703714</v>
      </c>
      <c r="K2052" s="32">
        <v>44813.733078703714</v>
      </c>
      <c r="L2052" s="8">
        <f t="shared" si="825"/>
        <v>4</v>
      </c>
      <c r="M2052" s="7">
        <v>44841.733078703714</v>
      </c>
      <c r="N2052" t="s">
        <v>49</v>
      </c>
      <c r="O2052" s="34">
        <v>44820.733078703714</v>
      </c>
      <c r="P2052" t="s">
        <v>101</v>
      </c>
      <c r="R2052" s="32">
        <v>44823.733078703714</v>
      </c>
      <c r="S2052" t="s">
        <v>101</v>
      </c>
      <c r="T2052" s="34">
        <v>44822.733078703714</v>
      </c>
      <c r="U2052" s="34">
        <v>44826.733078703714</v>
      </c>
      <c r="V2052" s="32">
        <v>44822.733078703714</v>
      </c>
      <c r="W2052" s="32">
        <v>44830.733078703714</v>
      </c>
      <c r="X2052">
        <v>1</v>
      </c>
      <c r="Y2052" s="34">
        <v>44833.733078703714</v>
      </c>
      <c r="Z2052" s="34">
        <v>44836.733078703714</v>
      </c>
      <c r="AA2052" s="34">
        <v>44838.733078703714</v>
      </c>
      <c r="AB2052" s="36" t="s">
        <v>7476</v>
      </c>
      <c r="AC2052" s="10">
        <v>44854.733078703714</v>
      </c>
      <c r="AD2052" t="s">
        <v>6373</v>
      </c>
      <c r="AE2052" t="s">
        <v>6374</v>
      </c>
      <c r="AF2052" s="16">
        <v>44801</v>
      </c>
      <c r="AG2052" t="s">
        <v>64</v>
      </c>
      <c r="AH2052">
        <v>3</v>
      </c>
      <c r="AI2052" s="8">
        <f>IFERROR(R2052-AF2052,"")</f>
        <v>22.733078703713545</v>
      </c>
      <c r="AJ2052" s="8">
        <f>IFERROR(O2052-AF2052,"")</f>
        <v>19.733078703713545</v>
      </c>
      <c r="AK2052" s="38">
        <f t="shared" si="826"/>
        <v>44912.733078703714</v>
      </c>
      <c r="AL2052">
        <f>IFERROR(Z2052-W2052,"")</f>
        <v>6</v>
      </c>
      <c r="AM2052">
        <f>IFERROR(R2052-J2052,"")</f>
        <v>11</v>
      </c>
      <c r="AN2052">
        <f>IFERROR(V2052-O2052,"")</f>
        <v>2</v>
      </c>
      <c r="AO2052">
        <f>IFERROR(J2052-I2052,"")</f>
        <v>3</v>
      </c>
      <c r="AP2052">
        <f>IFERROR(AC2052-X2052,"")</f>
        <v>44853.733078703714</v>
      </c>
      <c r="AQ2052">
        <f>IFERROR(AA2052-W2052,"")</f>
        <v>8</v>
      </c>
    </row>
    <row r="2053" spans="1:43" x14ac:dyDescent="0.35">
      <c r="A2053">
        <v>1576</v>
      </c>
      <c r="B2053" t="s">
        <v>6375</v>
      </c>
      <c r="C2053" t="s">
        <v>6108</v>
      </c>
      <c r="D2053" t="str">
        <f t="shared" si="824"/>
        <v>Communication and Advocacy</v>
      </c>
      <c r="E2053" t="s">
        <v>6341</v>
      </c>
      <c r="F2053" t="s">
        <v>695</v>
      </c>
      <c r="G2053" t="s">
        <v>6342</v>
      </c>
      <c r="H2053" t="s">
        <v>697</v>
      </c>
      <c r="I2053" s="32">
        <v>44805.733078703714</v>
      </c>
      <c r="J2053" s="32">
        <v>44807.733078703714</v>
      </c>
      <c r="K2053" s="32">
        <v>44813.733078703714</v>
      </c>
      <c r="L2053" s="8">
        <f t="shared" si="825"/>
        <v>8</v>
      </c>
      <c r="M2053" s="7">
        <v>44834.733078703714</v>
      </c>
      <c r="N2053" t="s">
        <v>49</v>
      </c>
      <c r="O2053" s="34">
        <v>44828.733078703714</v>
      </c>
      <c r="P2053" t="s">
        <v>101</v>
      </c>
      <c r="R2053" s="32">
        <v>44833.733078703714</v>
      </c>
      <c r="S2053" t="s">
        <v>101</v>
      </c>
      <c r="T2053" s="34">
        <v>44830.733078703714</v>
      </c>
      <c r="U2053" s="34">
        <v>44832.733078703714</v>
      </c>
      <c r="V2053" s="32">
        <v>44831.733078703714</v>
      </c>
      <c r="W2053" s="32">
        <v>44834.733078703714</v>
      </c>
      <c r="X2053">
        <v>1</v>
      </c>
      <c r="Y2053" s="34">
        <v>44836.733078703714</v>
      </c>
      <c r="Z2053" s="34">
        <v>44837.733078703714</v>
      </c>
      <c r="AA2053" s="34">
        <v>44840.733078703714</v>
      </c>
      <c r="AB2053" s="36" t="s">
        <v>7476</v>
      </c>
      <c r="AC2053" s="10">
        <v>44858.733078703714</v>
      </c>
      <c r="AD2053" t="s">
        <v>6376</v>
      </c>
      <c r="AE2053" t="s">
        <v>6377</v>
      </c>
      <c r="AF2053" s="16">
        <v>44820</v>
      </c>
      <c r="AG2053" t="s">
        <v>64</v>
      </c>
      <c r="AH2053">
        <v>3</v>
      </c>
      <c r="AI2053" s="8">
        <f>IFERROR(R2053-AF2053,"")</f>
        <v>13.733078703713545</v>
      </c>
      <c r="AJ2053" s="8">
        <f>IFERROR(O2053-AF2053,"")</f>
        <v>8.7330787037135451</v>
      </c>
      <c r="AK2053" s="38">
        <f t="shared" si="826"/>
        <v>44921.733078703714</v>
      </c>
      <c r="AL2053">
        <f>IFERROR(Z2053-W2053,"")</f>
        <v>3</v>
      </c>
      <c r="AM2053">
        <f>IFERROR(R2053-J2053,"")</f>
        <v>26</v>
      </c>
      <c r="AN2053">
        <f>IFERROR(V2053-O2053,"")</f>
        <v>3</v>
      </c>
      <c r="AO2053">
        <f>IFERROR(J2053-I2053,"")</f>
        <v>2</v>
      </c>
      <c r="AP2053">
        <f>IFERROR(AC2053-X2053,"")</f>
        <v>44857.733078703714</v>
      </c>
      <c r="AQ2053">
        <f>IFERROR(AA2053-W2053,"")</f>
        <v>6</v>
      </c>
    </row>
    <row r="2054" spans="1:43" x14ac:dyDescent="0.35">
      <c r="A2054">
        <v>1504</v>
      </c>
      <c r="B2054" t="s">
        <v>6378</v>
      </c>
      <c r="C2054" t="s">
        <v>6133</v>
      </c>
      <c r="D2054" t="str">
        <f t="shared" si="824"/>
        <v>Communication and Advocacy</v>
      </c>
      <c r="E2054" t="s">
        <v>6341</v>
      </c>
      <c r="F2054" t="s">
        <v>695</v>
      </c>
      <c r="G2054" t="s">
        <v>6342</v>
      </c>
      <c r="H2054" t="s">
        <v>697</v>
      </c>
      <c r="I2054" s="32">
        <v>44752.346215277779</v>
      </c>
      <c r="J2054" s="32" t="s">
        <v>7471</v>
      </c>
      <c r="K2054" s="32">
        <v>44762.346215277779</v>
      </c>
      <c r="L2054" s="8">
        <f t="shared" si="825"/>
        <v>10</v>
      </c>
      <c r="M2054" s="7">
        <v>44784.346215277779</v>
      </c>
      <c r="N2054" t="s">
        <v>49</v>
      </c>
      <c r="O2054" s="34">
        <v>44766.346215277779</v>
      </c>
      <c r="P2054" t="s">
        <v>101</v>
      </c>
      <c r="R2054" s="32">
        <v>44773.346215277779</v>
      </c>
      <c r="S2054" t="s">
        <v>101</v>
      </c>
      <c r="T2054" s="34">
        <v>44768.346215277779</v>
      </c>
      <c r="U2054" s="34">
        <v>44770.346215277779</v>
      </c>
      <c r="V2054" s="32">
        <v>44770.346215277779</v>
      </c>
      <c r="W2054" s="32">
        <v>44772.346215277779</v>
      </c>
      <c r="X2054">
        <v>1</v>
      </c>
      <c r="Y2054" s="34">
        <v>44776.346215277779</v>
      </c>
      <c r="Z2054" s="34">
        <v>44778.346215277779</v>
      </c>
      <c r="AA2054" s="34">
        <v>44780.346215277779</v>
      </c>
      <c r="AB2054" s="36" t="s">
        <v>7476</v>
      </c>
      <c r="AC2054" s="10">
        <v>44797.346215277779</v>
      </c>
      <c r="AD2054" t="s">
        <v>6379</v>
      </c>
      <c r="AE2054" t="s">
        <v>6380</v>
      </c>
      <c r="AF2054" s="16">
        <v>44752</v>
      </c>
      <c r="AG2054" t="s">
        <v>75</v>
      </c>
      <c r="AH2054">
        <v>3</v>
      </c>
      <c r="AK2054" s="38">
        <f t="shared" si="826"/>
        <v>44860.346215277779</v>
      </c>
    </row>
    <row r="2055" spans="1:43" x14ac:dyDescent="0.35">
      <c r="A2055">
        <v>1494</v>
      </c>
      <c r="B2055" t="s">
        <v>6381</v>
      </c>
      <c r="C2055" t="s">
        <v>6133</v>
      </c>
      <c r="D2055" t="str">
        <f t="shared" si="824"/>
        <v>Communication and Advocacy</v>
      </c>
      <c r="E2055" t="s">
        <v>6341</v>
      </c>
      <c r="F2055" t="s">
        <v>695</v>
      </c>
      <c r="G2055" t="s">
        <v>6342</v>
      </c>
      <c r="H2055" t="s">
        <v>697</v>
      </c>
      <c r="I2055" s="32" t="s">
        <v>7471</v>
      </c>
      <c r="J2055" s="32" t="s">
        <v>7471</v>
      </c>
      <c r="K2055" s="32">
        <v>44701.569456018522</v>
      </c>
      <c r="L2055" s="8" t="str">
        <f t="shared" si="825"/>
        <v/>
      </c>
      <c r="M2055" s="7">
        <v>44716.569456018522</v>
      </c>
      <c r="N2055" t="s">
        <v>49</v>
      </c>
      <c r="O2055" s="34">
        <v>44710.569456018522</v>
      </c>
      <c r="P2055" t="s">
        <v>101</v>
      </c>
      <c r="R2055" s="32">
        <v>44716.569456018522</v>
      </c>
      <c r="S2055" t="s">
        <v>101</v>
      </c>
      <c r="T2055" s="34">
        <v>44712.569456018522</v>
      </c>
      <c r="U2055" s="34">
        <v>44715.569456018522</v>
      </c>
      <c r="V2055" s="32">
        <v>44713.569456018522</v>
      </c>
      <c r="W2055" s="32">
        <v>44716.569456018522</v>
      </c>
      <c r="X2055">
        <v>1</v>
      </c>
      <c r="Y2055" s="34">
        <v>44717.569456018522</v>
      </c>
      <c r="Z2055" s="34">
        <v>44719.569456018522</v>
      </c>
      <c r="AA2055" s="34">
        <v>44720.569456018522</v>
      </c>
      <c r="AB2055" s="36" t="s">
        <v>7476</v>
      </c>
      <c r="AC2055" s="10">
        <v>44732.569456018522</v>
      </c>
      <c r="AD2055" t="s">
        <v>6382</v>
      </c>
      <c r="AE2055" t="s">
        <v>6383</v>
      </c>
      <c r="AF2055" s="16">
        <v>44696</v>
      </c>
      <c r="AG2055" t="s">
        <v>93</v>
      </c>
      <c r="AH2055">
        <v>3</v>
      </c>
      <c r="AK2055" s="38">
        <f t="shared" si="826"/>
        <v>44803.569456018522</v>
      </c>
    </row>
    <row r="2056" spans="1:43" x14ac:dyDescent="0.35">
      <c r="A2056">
        <v>1315</v>
      </c>
      <c r="B2056" t="s">
        <v>6384</v>
      </c>
      <c r="C2056" t="s">
        <v>6133</v>
      </c>
      <c r="D2056" t="str">
        <f t="shared" si="824"/>
        <v>Communication and Advocacy</v>
      </c>
      <c r="E2056" t="s">
        <v>6341</v>
      </c>
      <c r="F2056" t="s">
        <v>695</v>
      </c>
      <c r="G2056" t="s">
        <v>6342</v>
      </c>
      <c r="H2056" t="s">
        <v>697</v>
      </c>
      <c r="I2056" s="32">
        <v>45148.233067129629</v>
      </c>
      <c r="J2056" s="32">
        <v>45151.233067129629</v>
      </c>
      <c r="K2056" s="32">
        <v>45155.233067129629</v>
      </c>
      <c r="L2056" s="8">
        <f t="shared" si="825"/>
        <v>7</v>
      </c>
      <c r="M2056" s="7">
        <v>45172.233067129629</v>
      </c>
      <c r="N2056" t="s">
        <v>72</v>
      </c>
      <c r="O2056" s="34" t="s">
        <v>7474</v>
      </c>
      <c r="R2056" s="32" t="s">
        <v>7472</v>
      </c>
      <c r="S2056" t="s">
        <v>7476</v>
      </c>
      <c r="T2056" s="34" t="s">
        <v>7476</v>
      </c>
      <c r="U2056" s="34" t="s">
        <v>7476</v>
      </c>
      <c r="V2056" s="32" t="s">
        <v>7476</v>
      </c>
      <c r="W2056" s="32" t="s">
        <v>7476</v>
      </c>
      <c r="X2056">
        <v>0</v>
      </c>
      <c r="Y2056" s="34" t="s">
        <v>7476</v>
      </c>
      <c r="Z2056" s="34" t="s">
        <v>7476</v>
      </c>
      <c r="AA2056" s="34" t="s">
        <v>7476</v>
      </c>
      <c r="AB2056" s="36" t="s">
        <v>7476</v>
      </c>
      <c r="AD2056" t="s">
        <v>6385</v>
      </c>
      <c r="AE2056" t="s">
        <v>6386</v>
      </c>
      <c r="AG2056" t="s">
        <v>64</v>
      </c>
      <c r="AH2056">
        <v>3</v>
      </c>
      <c r="AI2056" s="8" t="str">
        <f>IFERROR(R2056-AF2056,"")</f>
        <v/>
      </c>
      <c r="AJ2056" s="8" t="str">
        <f>IFERROR(O2056-AF2056,"")</f>
        <v/>
      </c>
      <c r="AK2056" s="38" t="str">
        <f t="shared" si="826"/>
        <v/>
      </c>
      <c r="AL2056" t="str">
        <f>IFERROR(Z2056-W2056,"")</f>
        <v/>
      </c>
      <c r="AM2056" t="str">
        <f>IFERROR(R2056-J2056,"")</f>
        <v/>
      </c>
      <c r="AN2056" t="str">
        <f>IFERROR(V2056-O2056,"")</f>
        <v/>
      </c>
      <c r="AO2056">
        <f>IFERROR(J2056-I2056,"")</f>
        <v>3</v>
      </c>
      <c r="AP2056">
        <f>IFERROR(AC2056-X2056,"")</f>
        <v>0</v>
      </c>
      <c r="AQ2056" t="str">
        <f>IFERROR(AA2056-W2056,"")</f>
        <v/>
      </c>
    </row>
    <row r="2057" spans="1:43" x14ac:dyDescent="0.35">
      <c r="A2057">
        <v>1023</v>
      </c>
      <c r="B2057" t="s">
        <v>6387</v>
      </c>
      <c r="C2057" t="s">
        <v>6108</v>
      </c>
      <c r="D2057" t="str">
        <f t="shared" si="824"/>
        <v>Communication and Advocacy</v>
      </c>
      <c r="E2057" t="s">
        <v>6341</v>
      </c>
      <c r="F2057" t="s">
        <v>695</v>
      </c>
      <c r="G2057" t="s">
        <v>6342</v>
      </c>
      <c r="H2057" t="s">
        <v>697</v>
      </c>
      <c r="I2057" s="32">
        <v>44951.791134259263</v>
      </c>
      <c r="J2057" s="32">
        <v>44953.791134259263</v>
      </c>
      <c r="K2057" s="32">
        <v>44958.791134259263</v>
      </c>
      <c r="L2057" s="8">
        <f t="shared" si="825"/>
        <v>7</v>
      </c>
      <c r="M2057" s="7">
        <v>44971.791134259263</v>
      </c>
      <c r="N2057" t="s">
        <v>72</v>
      </c>
      <c r="O2057" s="34" t="s">
        <v>7474</v>
      </c>
      <c r="R2057" s="32" t="s">
        <v>7472</v>
      </c>
      <c r="S2057" t="s">
        <v>7476</v>
      </c>
      <c r="T2057" s="34" t="s">
        <v>7476</v>
      </c>
      <c r="U2057" s="34" t="s">
        <v>7476</v>
      </c>
      <c r="V2057" s="32" t="s">
        <v>7476</v>
      </c>
      <c r="W2057" s="32" t="s">
        <v>7476</v>
      </c>
      <c r="X2057">
        <v>0</v>
      </c>
      <c r="Y2057" s="34" t="s">
        <v>7476</v>
      </c>
      <c r="Z2057" s="34" t="s">
        <v>7476</v>
      </c>
      <c r="AA2057" s="34" t="s">
        <v>7476</v>
      </c>
      <c r="AB2057" s="36" t="s">
        <v>7476</v>
      </c>
      <c r="AD2057" t="s">
        <v>6388</v>
      </c>
      <c r="AE2057" t="s">
        <v>6389</v>
      </c>
      <c r="AG2057" t="s">
        <v>64</v>
      </c>
      <c r="AH2057">
        <v>6</v>
      </c>
      <c r="AI2057" s="8" t="str">
        <f>IFERROR(R2057-AF2057,"")</f>
        <v/>
      </c>
      <c r="AJ2057" s="8" t="str">
        <f>IFERROR(O2057-AF2057,"")</f>
        <v/>
      </c>
      <c r="AK2057" s="38" t="str">
        <f t="shared" si="826"/>
        <v/>
      </c>
      <c r="AL2057" t="str">
        <f>IFERROR(Z2057-W2057,"")</f>
        <v/>
      </c>
      <c r="AM2057" t="str">
        <f>IFERROR(R2057-J2057,"")</f>
        <v/>
      </c>
      <c r="AN2057" t="str">
        <f>IFERROR(V2057-O2057,"")</f>
        <v/>
      </c>
      <c r="AO2057">
        <f>IFERROR(J2057-I2057,"")</f>
        <v>2</v>
      </c>
      <c r="AP2057">
        <f>IFERROR(AC2057-X2057,"")</f>
        <v>0</v>
      </c>
      <c r="AQ2057" t="str">
        <f>IFERROR(AA2057-W2057,"")</f>
        <v/>
      </c>
    </row>
    <row r="2058" spans="1:43" x14ac:dyDescent="0.35">
      <c r="A2058">
        <v>841</v>
      </c>
      <c r="B2058" t="s">
        <v>6390</v>
      </c>
      <c r="C2058" t="s">
        <v>6123</v>
      </c>
      <c r="D2058" t="str">
        <f t="shared" si="824"/>
        <v>Communication and Advocacy</v>
      </c>
      <c r="E2058" t="s">
        <v>6341</v>
      </c>
      <c r="F2058" t="s">
        <v>695</v>
      </c>
      <c r="G2058" t="s">
        <v>6342</v>
      </c>
      <c r="H2058" t="s">
        <v>697</v>
      </c>
      <c r="I2058" s="32">
        <v>44777.836053240739</v>
      </c>
      <c r="J2058" s="32">
        <v>44780.836053240739</v>
      </c>
      <c r="K2058" s="32">
        <v>44783.836053240739</v>
      </c>
      <c r="L2058" s="8">
        <f t="shared" si="825"/>
        <v>6</v>
      </c>
      <c r="M2058" s="7">
        <v>44793.836053240739</v>
      </c>
      <c r="N2058" t="s">
        <v>49</v>
      </c>
      <c r="O2058" s="34">
        <v>44799.836053240739</v>
      </c>
      <c r="P2058" t="s">
        <v>60</v>
      </c>
      <c r="R2058" s="32">
        <v>44804.836053240739</v>
      </c>
      <c r="S2058" t="s">
        <v>61</v>
      </c>
      <c r="T2058" s="34" t="s">
        <v>7476</v>
      </c>
      <c r="U2058" s="34" t="s">
        <v>7476</v>
      </c>
      <c r="V2058" s="32">
        <v>44802.836053240739</v>
      </c>
      <c r="W2058" s="32" t="s">
        <v>7476</v>
      </c>
      <c r="X2058">
        <v>0</v>
      </c>
      <c r="Y2058" s="34" t="s">
        <v>7476</v>
      </c>
      <c r="Z2058" s="34" t="s">
        <v>7476</v>
      </c>
      <c r="AA2058" s="34" t="s">
        <v>7476</v>
      </c>
      <c r="AB2058" s="36" t="s">
        <v>7476</v>
      </c>
      <c r="AD2058" t="s">
        <v>6391</v>
      </c>
      <c r="AE2058" t="s">
        <v>6392</v>
      </c>
      <c r="AF2058" s="16">
        <v>44787</v>
      </c>
      <c r="AG2058" t="s">
        <v>68</v>
      </c>
      <c r="AH2058">
        <v>3</v>
      </c>
      <c r="AI2058" s="8">
        <f>IFERROR(R2058-AF2058,"")</f>
        <v>17.836053240738693</v>
      </c>
      <c r="AJ2058" s="8">
        <f>IFERROR(O2058-AF2058,"")</f>
        <v>12.836053240738693</v>
      </c>
      <c r="AK2058" s="38">
        <f t="shared" si="826"/>
        <v>44892.836053240739</v>
      </c>
      <c r="AL2058" t="str">
        <f>IFERROR(Z2058-W2058,"")</f>
        <v/>
      </c>
      <c r="AM2058">
        <f>IFERROR(R2058-J2058,"")</f>
        <v>24</v>
      </c>
      <c r="AN2058">
        <f>IFERROR(V2058-O2058,"")</f>
        <v>3</v>
      </c>
      <c r="AO2058">
        <f>IFERROR(J2058-I2058,"")</f>
        <v>3</v>
      </c>
      <c r="AP2058">
        <f>IFERROR(AC2058-X2058,"")</f>
        <v>0</v>
      </c>
      <c r="AQ2058" t="str">
        <f>IFERROR(AA2058-W2058,"")</f>
        <v/>
      </c>
    </row>
    <row r="2059" spans="1:43" x14ac:dyDescent="0.35">
      <c r="A2059">
        <v>789</v>
      </c>
      <c r="B2059" t="s">
        <v>6393</v>
      </c>
      <c r="C2059" t="s">
        <v>6133</v>
      </c>
      <c r="D2059" t="str">
        <f t="shared" si="824"/>
        <v>Communication and Advocacy</v>
      </c>
      <c r="E2059" t="s">
        <v>6341</v>
      </c>
      <c r="F2059" t="s">
        <v>695</v>
      </c>
      <c r="G2059" t="s">
        <v>6342</v>
      </c>
      <c r="H2059" t="s">
        <v>697</v>
      </c>
      <c r="I2059" s="32">
        <v>44932.996932870366</v>
      </c>
      <c r="J2059" s="32">
        <v>44935.996932870366</v>
      </c>
      <c r="K2059" s="32">
        <v>44941.996932870366</v>
      </c>
      <c r="L2059" s="8">
        <f t="shared" si="825"/>
        <v>9</v>
      </c>
      <c r="M2059" s="7">
        <v>44950.996932870366</v>
      </c>
      <c r="N2059" t="s">
        <v>49</v>
      </c>
      <c r="O2059" s="34">
        <v>44951.996932870366</v>
      </c>
      <c r="P2059" t="s">
        <v>60</v>
      </c>
      <c r="R2059" s="32">
        <v>44955.996932870366</v>
      </c>
      <c r="S2059" t="s">
        <v>61</v>
      </c>
      <c r="T2059" s="34" t="s">
        <v>7476</v>
      </c>
      <c r="U2059" s="34" t="s">
        <v>7476</v>
      </c>
      <c r="V2059" s="32">
        <v>44952.996932870366</v>
      </c>
      <c r="W2059" s="32" t="s">
        <v>7476</v>
      </c>
      <c r="X2059">
        <v>0</v>
      </c>
      <c r="Y2059" s="34" t="s">
        <v>7476</v>
      </c>
      <c r="Z2059" s="34" t="s">
        <v>7476</v>
      </c>
      <c r="AA2059" s="34" t="s">
        <v>7476</v>
      </c>
      <c r="AB2059" s="36" t="s">
        <v>7476</v>
      </c>
      <c r="AD2059" t="s">
        <v>6394</v>
      </c>
      <c r="AE2059" t="s">
        <v>6395</v>
      </c>
      <c r="AF2059" s="16">
        <v>45078</v>
      </c>
      <c r="AG2059" t="s">
        <v>98</v>
      </c>
      <c r="AH2059">
        <v>3</v>
      </c>
      <c r="AI2059" s="8">
        <f>IFERROR(R2059-AF2059,"")</f>
        <v>-122.00306712963356</v>
      </c>
      <c r="AJ2059" s="8">
        <f>IFERROR(O2059-AF2059,"")</f>
        <v>-126.00306712963356</v>
      </c>
      <c r="AK2059" s="38">
        <f t="shared" si="826"/>
        <v>45042.996932870366</v>
      </c>
      <c r="AL2059" t="str">
        <f>IFERROR(Z2059-W2059,"")</f>
        <v/>
      </c>
      <c r="AM2059">
        <f>IFERROR(R2059-J2059,"")</f>
        <v>20</v>
      </c>
      <c r="AN2059">
        <f>IFERROR(V2059-O2059,"")</f>
        <v>1</v>
      </c>
      <c r="AO2059">
        <f>IFERROR(J2059-I2059,"")</f>
        <v>3</v>
      </c>
      <c r="AP2059">
        <f>IFERROR(AC2059-X2059,"")</f>
        <v>0</v>
      </c>
      <c r="AQ2059" t="str">
        <f>IFERROR(AA2059-W2059,"")</f>
        <v/>
      </c>
    </row>
    <row r="2060" spans="1:43" x14ac:dyDescent="0.35">
      <c r="A2060">
        <v>738</v>
      </c>
      <c r="B2060" t="s">
        <v>6396</v>
      </c>
      <c r="C2060" t="s">
        <v>6133</v>
      </c>
      <c r="D2060" t="str">
        <f t="shared" si="824"/>
        <v>Communication and Advocacy</v>
      </c>
      <c r="E2060" t="s">
        <v>6341</v>
      </c>
      <c r="F2060" t="s">
        <v>695</v>
      </c>
      <c r="G2060" t="s">
        <v>6342</v>
      </c>
      <c r="H2060" t="s">
        <v>697</v>
      </c>
      <c r="I2060" s="32">
        <v>45039.644548611112</v>
      </c>
      <c r="J2060" s="32">
        <v>45043.644548611112</v>
      </c>
      <c r="K2060" s="32">
        <v>45047.644548611112</v>
      </c>
      <c r="L2060" s="8">
        <f t="shared" si="825"/>
        <v>8</v>
      </c>
      <c r="M2060" s="7">
        <v>45076.644548611112</v>
      </c>
      <c r="N2060" t="s">
        <v>49</v>
      </c>
      <c r="O2060" s="34">
        <v>45053.644548611112</v>
      </c>
      <c r="P2060" t="s">
        <v>50</v>
      </c>
      <c r="Q2060" t="s">
        <v>236</v>
      </c>
      <c r="R2060" s="32" t="s">
        <v>7472</v>
      </c>
      <c r="S2060" t="s">
        <v>7476</v>
      </c>
      <c r="T2060" s="34" t="s">
        <v>7476</v>
      </c>
      <c r="U2060" s="34" t="s">
        <v>7476</v>
      </c>
      <c r="V2060" s="32">
        <v>45056.644548611112</v>
      </c>
      <c r="W2060" s="32" t="s">
        <v>7476</v>
      </c>
      <c r="X2060">
        <v>0</v>
      </c>
      <c r="Y2060" s="34" t="s">
        <v>7476</v>
      </c>
      <c r="Z2060" s="34" t="s">
        <v>7476</v>
      </c>
      <c r="AA2060" s="34" t="s">
        <v>7476</v>
      </c>
      <c r="AB2060" s="36" t="s">
        <v>95</v>
      </c>
      <c r="AD2060" t="s">
        <v>6397</v>
      </c>
      <c r="AE2060" t="s">
        <v>6398</v>
      </c>
      <c r="AF2060" s="16">
        <v>45045</v>
      </c>
      <c r="AG2060" t="s">
        <v>98</v>
      </c>
      <c r="AH2060">
        <v>6</v>
      </c>
      <c r="AI2060" s="8" t="str">
        <f>IFERROR(R2060-AF2060,"")</f>
        <v/>
      </c>
      <c r="AJ2060" s="8">
        <f>IFERROR(O2060-AF2060,"")</f>
        <v>8.6445486111115315</v>
      </c>
      <c r="AK2060" s="38">
        <f t="shared" si="826"/>
        <v>45236.644548611112</v>
      </c>
      <c r="AL2060" t="str">
        <f>IFERROR(Z2060-W2060,"")</f>
        <v/>
      </c>
      <c r="AM2060" t="str">
        <f>IFERROR(R2060-J2060,"")</f>
        <v/>
      </c>
      <c r="AN2060">
        <f>IFERROR(V2060-O2060,"")</f>
        <v>3</v>
      </c>
      <c r="AO2060">
        <f>IFERROR(J2060-I2060,"")</f>
        <v>4</v>
      </c>
      <c r="AP2060">
        <f>IFERROR(AC2060-X2060,"")</f>
        <v>0</v>
      </c>
      <c r="AQ2060" t="str">
        <f>IFERROR(AA2060-W2060,"")</f>
        <v/>
      </c>
    </row>
    <row r="2061" spans="1:43" x14ac:dyDescent="0.35">
      <c r="A2061">
        <v>737</v>
      </c>
      <c r="B2061" t="s">
        <v>6399</v>
      </c>
      <c r="C2061" t="s">
        <v>6123</v>
      </c>
      <c r="D2061" t="str">
        <f t="shared" si="824"/>
        <v>Communication and Advocacy</v>
      </c>
      <c r="E2061" t="s">
        <v>6341</v>
      </c>
      <c r="F2061" t="s">
        <v>695</v>
      </c>
      <c r="G2061" t="s">
        <v>6342</v>
      </c>
      <c r="H2061" t="s">
        <v>697</v>
      </c>
      <c r="I2061" s="32">
        <v>45037.644548611112</v>
      </c>
      <c r="J2061" s="32" t="s">
        <v>7471</v>
      </c>
      <c r="K2061" s="32">
        <v>45047.644548611112</v>
      </c>
      <c r="L2061" s="8">
        <f t="shared" si="825"/>
        <v>10</v>
      </c>
      <c r="M2061" s="7">
        <v>45069.644548611112</v>
      </c>
      <c r="N2061" t="s">
        <v>49</v>
      </c>
      <c r="O2061" s="34">
        <v>45051.644548611112</v>
      </c>
      <c r="P2061" t="s">
        <v>392</v>
      </c>
      <c r="R2061" s="32">
        <v>45059.644548611112</v>
      </c>
      <c r="S2061" t="s">
        <v>392</v>
      </c>
      <c r="T2061" s="34" t="s">
        <v>7476</v>
      </c>
      <c r="U2061" s="34" t="s">
        <v>7476</v>
      </c>
      <c r="V2061" s="32">
        <v>45055.644548611112</v>
      </c>
      <c r="W2061" s="32" t="s">
        <v>7476</v>
      </c>
      <c r="X2061">
        <v>0</v>
      </c>
      <c r="Y2061" s="34" t="s">
        <v>7476</v>
      </c>
      <c r="Z2061" s="34" t="s">
        <v>7476</v>
      </c>
      <c r="AA2061" s="34" t="s">
        <v>7476</v>
      </c>
      <c r="AB2061" s="36" t="s">
        <v>7476</v>
      </c>
      <c r="AD2061" t="s">
        <v>6400</v>
      </c>
      <c r="AE2061" t="s">
        <v>6401</v>
      </c>
      <c r="AF2061" s="16">
        <v>45037</v>
      </c>
      <c r="AG2061" t="s">
        <v>75</v>
      </c>
      <c r="AH2061">
        <v>3</v>
      </c>
      <c r="AK2061" s="38">
        <f t="shared" si="826"/>
        <v>45145.644548611112</v>
      </c>
    </row>
    <row r="2062" spans="1:43" x14ac:dyDescent="0.35">
      <c r="A2062">
        <v>735</v>
      </c>
      <c r="B2062" t="s">
        <v>6402</v>
      </c>
      <c r="C2062" t="s">
        <v>6108</v>
      </c>
      <c r="D2062" t="str">
        <f t="shared" si="824"/>
        <v>Communication and Advocacy</v>
      </c>
      <c r="E2062" t="s">
        <v>6341</v>
      </c>
      <c r="F2062" t="s">
        <v>695</v>
      </c>
      <c r="G2062" t="s">
        <v>6342</v>
      </c>
      <c r="H2062" t="s">
        <v>697</v>
      </c>
      <c r="I2062" s="32">
        <v>45043.644548611112</v>
      </c>
      <c r="J2062" s="32">
        <v>45046.644548611112</v>
      </c>
      <c r="K2062" s="32">
        <v>45047.644548611112</v>
      </c>
      <c r="L2062" s="8">
        <f t="shared" si="825"/>
        <v>4</v>
      </c>
      <c r="M2062" s="7">
        <v>45059.644548611112</v>
      </c>
      <c r="N2062" t="s">
        <v>49</v>
      </c>
      <c r="O2062" s="34">
        <v>45059.644548611112</v>
      </c>
      <c r="P2062" t="s">
        <v>101</v>
      </c>
      <c r="R2062" s="32">
        <v>45066.644548611112</v>
      </c>
      <c r="S2062" t="s">
        <v>101</v>
      </c>
      <c r="T2062" s="34">
        <v>45060.644548611112</v>
      </c>
      <c r="U2062" s="34">
        <v>45061.644548611112</v>
      </c>
      <c r="V2062" s="32">
        <v>45063.644548611112</v>
      </c>
      <c r="W2062" s="32">
        <v>45070.644548611112</v>
      </c>
      <c r="X2062">
        <v>1</v>
      </c>
      <c r="Y2062" s="34">
        <v>45072.644548611112</v>
      </c>
      <c r="Z2062" s="34">
        <v>45074.644548611112</v>
      </c>
      <c r="AA2062" s="34">
        <v>45075.644548611112</v>
      </c>
      <c r="AB2062" s="36" t="s">
        <v>7476</v>
      </c>
      <c r="AC2062" s="10">
        <v>45084.644548611112</v>
      </c>
      <c r="AD2062" t="s">
        <v>6403</v>
      </c>
      <c r="AE2062" t="s">
        <v>6404</v>
      </c>
      <c r="AF2062" s="16">
        <v>45042</v>
      </c>
      <c r="AG2062" t="s">
        <v>98</v>
      </c>
      <c r="AH2062">
        <v>3</v>
      </c>
      <c r="AI2062" s="8">
        <f>IFERROR(R2062-AF2062,"")</f>
        <v>24.644548611111531</v>
      </c>
      <c r="AJ2062" s="8">
        <f>IFERROR(O2062-AF2062,"")</f>
        <v>17.644548611111531</v>
      </c>
      <c r="AK2062" s="38">
        <f t="shared" si="826"/>
        <v>45153.644548611112</v>
      </c>
      <c r="AL2062">
        <f>IFERROR(Z2062-W2062,"")</f>
        <v>4</v>
      </c>
      <c r="AM2062">
        <f>IFERROR(R2062-J2062,"")</f>
        <v>20</v>
      </c>
      <c r="AN2062">
        <f>IFERROR(V2062-O2062,"")</f>
        <v>4</v>
      </c>
      <c r="AO2062">
        <f>IFERROR(J2062-I2062,"")</f>
        <v>3</v>
      </c>
      <c r="AP2062">
        <f>IFERROR(AC2062-X2062,"")</f>
        <v>45083.644548611112</v>
      </c>
      <c r="AQ2062">
        <f>IFERROR(AA2062-W2062,"")</f>
        <v>5</v>
      </c>
    </row>
    <row r="2063" spans="1:43" x14ac:dyDescent="0.35">
      <c r="A2063">
        <v>689</v>
      </c>
      <c r="B2063" t="s">
        <v>6405</v>
      </c>
      <c r="C2063" t="s">
        <v>6133</v>
      </c>
      <c r="D2063" t="str">
        <f t="shared" si="824"/>
        <v>Communication and Advocacy</v>
      </c>
      <c r="E2063" t="s">
        <v>6341</v>
      </c>
      <c r="F2063" t="s">
        <v>695</v>
      </c>
      <c r="G2063" t="s">
        <v>6342</v>
      </c>
      <c r="H2063" t="s">
        <v>697</v>
      </c>
      <c r="I2063" s="32" t="s">
        <v>7471</v>
      </c>
      <c r="J2063" s="32">
        <v>45105.115520833337</v>
      </c>
      <c r="K2063" s="32">
        <v>45106.115520833337</v>
      </c>
      <c r="L2063" s="8" t="str">
        <f t="shared" si="825"/>
        <v/>
      </c>
      <c r="M2063" s="7">
        <v>45123.115520833337</v>
      </c>
      <c r="N2063" t="s">
        <v>49</v>
      </c>
      <c r="O2063" s="34">
        <v>45113.115520833337</v>
      </c>
      <c r="P2063" t="s">
        <v>50</v>
      </c>
      <c r="Q2063" t="s">
        <v>198</v>
      </c>
      <c r="R2063" s="32" t="s">
        <v>7472</v>
      </c>
      <c r="S2063" t="s">
        <v>7476</v>
      </c>
      <c r="T2063" s="34" t="s">
        <v>7476</v>
      </c>
      <c r="U2063" s="34" t="s">
        <v>7476</v>
      </c>
      <c r="V2063" s="32" t="s">
        <v>7476</v>
      </c>
      <c r="W2063" s="32" t="s">
        <v>7476</v>
      </c>
      <c r="X2063">
        <v>0</v>
      </c>
      <c r="Y2063" s="34" t="s">
        <v>7476</v>
      </c>
      <c r="Z2063" s="34" t="s">
        <v>7476</v>
      </c>
      <c r="AA2063" s="34" t="s">
        <v>7476</v>
      </c>
      <c r="AB2063" s="36" t="s">
        <v>95</v>
      </c>
      <c r="AD2063" t="s">
        <v>6406</v>
      </c>
      <c r="AE2063" t="s">
        <v>6407</v>
      </c>
      <c r="AF2063" s="16">
        <v>45106</v>
      </c>
      <c r="AG2063" t="s">
        <v>64</v>
      </c>
      <c r="AH2063">
        <v>6</v>
      </c>
      <c r="AK2063" s="38" t="str">
        <f t="shared" si="826"/>
        <v/>
      </c>
    </row>
    <row r="2064" spans="1:43" x14ac:dyDescent="0.35">
      <c r="A2064">
        <v>687</v>
      </c>
      <c r="B2064" t="s">
        <v>6408</v>
      </c>
      <c r="C2064" t="s">
        <v>6133</v>
      </c>
      <c r="D2064" t="str">
        <f t="shared" si="824"/>
        <v>Communication and Advocacy</v>
      </c>
      <c r="E2064" t="s">
        <v>6341</v>
      </c>
      <c r="F2064" t="s">
        <v>695</v>
      </c>
      <c r="G2064" t="s">
        <v>6342</v>
      </c>
      <c r="H2064" t="s">
        <v>697</v>
      </c>
      <c r="I2064" s="32">
        <v>45099.115520833337</v>
      </c>
      <c r="J2064" s="32">
        <v>45100.115520833337</v>
      </c>
      <c r="K2064" s="32">
        <v>45106.115520833337</v>
      </c>
      <c r="L2064" s="8">
        <f t="shared" si="825"/>
        <v>7</v>
      </c>
      <c r="M2064" s="7">
        <v>45130.115520833337</v>
      </c>
      <c r="N2064" t="s">
        <v>49</v>
      </c>
      <c r="O2064" s="34">
        <v>45122.115520833337</v>
      </c>
      <c r="P2064" t="s">
        <v>101</v>
      </c>
      <c r="R2064" s="32">
        <v>45128.115520833337</v>
      </c>
      <c r="S2064" t="s">
        <v>101</v>
      </c>
      <c r="T2064" s="34">
        <v>45123.115520833337</v>
      </c>
      <c r="U2064" s="34">
        <v>45127.115520833337</v>
      </c>
      <c r="V2064" s="32">
        <v>45126.115520833337</v>
      </c>
      <c r="W2064" s="32">
        <v>45133.115520833337</v>
      </c>
      <c r="X2064">
        <v>1</v>
      </c>
      <c r="Y2064" s="34">
        <v>45136.115520833337</v>
      </c>
      <c r="Z2064" s="34">
        <v>45138.115520833337</v>
      </c>
      <c r="AA2064" s="34">
        <v>45141.115520833337</v>
      </c>
      <c r="AB2064" s="36" t="s">
        <v>7476</v>
      </c>
      <c r="AC2064" s="10">
        <v>45155.115520833337</v>
      </c>
      <c r="AD2064" t="s">
        <v>6409</v>
      </c>
      <c r="AE2064" t="s">
        <v>6410</v>
      </c>
      <c r="AF2064" s="16">
        <v>45104</v>
      </c>
      <c r="AG2064" t="s">
        <v>98</v>
      </c>
      <c r="AH2064">
        <v>3</v>
      </c>
      <c r="AI2064" s="8">
        <f>IFERROR(R2064-AF2064,"")</f>
        <v>24.115520833336632</v>
      </c>
      <c r="AJ2064" s="8">
        <f>IFERROR(O2064-AF2064,"")</f>
        <v>18.115520833336632</v>
      </c>
      <c r="AK2064" s="38">
        <f t="shared" si="826"/>
        <v>45216.115520833337</v>
      </c>
      <c r="AL2064">
        <f>IFERROR(Z2064-W2064,"")</f>
        <v>5</v>
      </c>
      <c r="AM2064">
        <f>IFERROR(R2064-J2064,"")</f>
        <v>28</v>
      </c>
      <c r="AN2064">
        <f>IFERROR(V2064-O2064,"")</f>
        <v>4</v>
      </c>
      <c r="AO2064">
        <f>IFERROR(J2064-I2064,"")</f>
        <v>1</v>
      </c>
      <c r="AP2064">
        <f>IFERROR(AC2064-X2064,"")</f>
        <v>45154.115520833337</v>
      </c>
      <c r="AQ2064">
        <f>IFERROR(AA2064-W2064,"")</f>
        <v>8</v>
      </c>
    </row>
    <row r="2065" spans="1:43" x14ac:dyDescent="0.35">
      <c r="A2065">
        <v>685</v>
      </c>
      <c r="B2065" t="s">
        <v>6411</v>
      </c>
      <c r="C2065" t="s">
        <v>6133</v>
      </c>
      <c r="D2065" t="str">
        <f t="shared" si="824"/>
        <v>Communication and Advocacy</v>
      </c>
      <c r="E2065" t="s">
        <v>6341</v>
      </c>
      <c r="F2065" t="s">
        <v>695</v>
      </c>
      <c r="G2065" t="s">
        <v>6342</v>
      </c>
      <c r="H2065" t="s">
        <v>697</v>
      </c>
      <c r="I2065" s="32">
        <v>45101.115520833337</v>
      </c>
      <c r="J2065" s="32" t="s">
        <v>7471</v>
      </c>
      <c r="K2065" s="32">
        <v>45106.115520833337</v>
      </c>
      <c r="L2065" s="8">
        <f t="shared" si="825"/>
        <v>5</v>
      </c>
      <c r="M2065" s="7">
        <v>45128.115520833337</v>
      </c>
      <c r="N2065" t="s">
        <v>49</v>
      </c>
      <c r="O2065" s="34">
        <v>45122.115520833337</v>
      </c>
      <c r="P2065" t="s">
        <v>50</v>
      </c>
      <c r="Q2065" t="s">
        <v>84</v>
      </c>
      <c r="R2065" s="32" t="s">
        <v>7472</v>
      </c>
      <c r="S2065" t="s">
        <v>7476</v>
      </c>
      <c r="T2065" s="34" t="s">
        <v>7476</v>
      </c>
      <c r="U2065" s="34" t="s">
        <v>7476</v>
      </c>
      <c r="V2065" s="32">
        <v>45125.115520833337</v>
      </c>
      <c r="W2065" s="32" t="s">
        <v>7476</v>
      </c>
      <c r="X2065">
        <v>0</v>
      </c>
      <c r="Y2065" s="34" t="s">
        <v>7476</v>
      </c>
      <c r="Z2065" s="34" t="s">
        <v>7476</v>
      </c>
      <c r="AA2065" s="34" t="s">
        <v>7476</v>
      </c>
      <c r="AB2065" s="36" t="s">
        <v>95</v>
      </c>
      <c r="AD2065" t="s">
        <v>6412</v>
      </c>
      <c r="AE2065" t="s">
        <v>6413</v>
      </c>
      <c r="AF2065" s="16">
        <v>45106</v>
      </c>
      <c r="AG2065" t="s">
        <v>93</v>
      </c>
      <c r="AH2065">
        <v>3</v>
      </c>
      <c r="AK2065" s="38">
        <f t="shared" si="826"/>
        <v>45215.115520833337</v>
      </c>
    </row>
    <row r="2066" spans="1:43" x14ac:dyDescent="0.35">
      <c r="A2066">
        <v>570</v>
      </c>
      <c r="B2066" t="s">
        <v>6414</v>
      </c>
      <c r="C2066" t="s">
        <v>6123</v>
      </c>
      <c r="D2066" t="str">
        <f t="shared" si="824"/>
        <v>Communication and Advocacy</v>
      </c>
      <c r="E2066" t="s">
        <v>6341</v>
      </c>
      <c r="F2066" t="s">
        <v>695</v>
      </c>
      <c r="G2066" t="s">
        <v>6342</v>
      </c>
      <c r="H2066" t="s">
        <v>697</v>
      </c>
      <c r="I2066" s="32">
        <v>44868.965416666673</v>
      </c>
      <c r="J2066" s="32">
        <v>44870.965416666673</v>
      </c>
      <c r="K2066" s="32">
        <v>44873.965416666673</v>
      </c>
      <c r="L2066" s="8">
        <f t="shared" si="825"/>
        <v>5</v>
      </c>
      <c r="M2066" s="7">
        <v>44888.965416666673</v>
      </c>
      <c r="N2066" t="s">
        <v>49</v>
      </c>
      <c r="O2066" s="34">
        <v>44888.965416666673</v>
      </c>
      <c r="P2066" t="s">
        <v>50</v>
      </c>
      <c r="Q2066" t="s">
        <v>125</v>
      </c>
      <c r="R2066" s="32" t="s">
        <v>7472</v>
      </c>
      <c r="S2066" t="s">
        <v>7476</v>
      </c>
      <c r="T2066" s="34" t="s">
        <v>7476</v>
      </c>
      <c r="U2066" s="34" t="s">
        <v>7476</v>
      </c>
      <c r="V2066" s="32">
        <v>44892.965416666673</v>
      </c>
      <c r="W2066" s="32" t="s">
        <v>7476</v>
      </c>
      <c r="X2066">
        <v>0</v>
      </c>
      <c r="Y2066" s="34" t="s">
        <v>7476</v>
      </c>
      <c r="Z2066" s="34" t="s">
        <v>7476</v>
      </c>
      <c r="AA2066" s="34" t="s">
        <v>7476</v>
      </c>
      <c r="AB2066" s="36" t="s">
        <v>52</v>
      </c>
      <c r="AD2066" t="s">
        <v>6415</v>
      </c>
      <c r="AE2066" t="s">
        <v>6416</v>
      </c>
      <c r="AF2066" s="16">
        <v>44876</v>
      </c>
      <c r="AG2066" t="s">
        <v>64</v>
      </c>
      <c r="AH2066">
        <v>6</v>
      </c>
      <c r="AI2066" s="8" t="str">
        <f>IFERROR(R2066-AF2066,"")</f>
        <v/>
      </c>
      <c r="AJ2066" s="8">
        <f>IFERROR(O2066-AF2066,"")</f>
        <v>12.965416666673264</v>
      </c>
      <c r="AK2066" s="38">
        <f t="shared" si="826"/>
        <v>45072.965416666673</v>
      </c>
      <c r="AL2066" t="str">
        <f>IFERROR(Z2066-W2066,"")</f>
        <v/>
      </c>
      <c r="AM2066" t="str">
        <f>IFERROR(R2066-J2066,"")</f>
        <v/>
      </c>
      <c r="AN2066">
        <f>IFERROR(V2066-O2066,"")</f>
        <v>4</v>
      </c>
      <c r="AO2066">
        <f>IFERROR(J2066-I2066,"")</f>
        <v>2</v>
      </c>
      <c r="AP2066">
        <f>IFERROR(AC2066-X2066,"")</f>
        <v>0</v>
      </c>
      <c r="AQ2066" t="str">
        <f>IFERROR(AA2066-W2066,"")</f>
        <v/>
      </c>
    </row>
    <row r="2067" spans="1:43" x14ac:dyDescent="0.35">
      <c r="A2067">
        <v>566</v>
      </c>
      <c r="B2067" t="s">
        <v>6417</v>
      </c>
      <c r="C2067" t="s">
        <v>6123</v>
      </c>
      <c r="D2067" t="str">
        <f t="shared" si="824"/>
        <v>Communication and Advocacy</v>
      </c>
      <c r="E2067" t="s">
        <v>6341</v>
      </c>
      <c r="F2067" t="s">
        <v>695</v>
      </c>
      <c r="G2067" t="s">
        <v>6342</v>
      </c>
      <c r="H2067" t="s">
        <v>697</v>
      </c>
      <c r="I2067" s="32">
        <v>44867.965416666673</v>
      </c>
      <c r="J2067" s="32">
        <v>44868.965416666673</v>
      </c>
      <c r="K2067" s="32">
        <v>44873.965416666673</v>
      </c>
      <c r="L2067" s="8">
        <f t="shared" si="825"/>
        <v>6</v>
      </c>
      <c r="M2067" s="7">
        <v>44884.965416666673</v>
      </c>
      <c r="N2067" t="s">
        <v>49</v>
      </c>
      <c r="O2067" s="34">
        <v>44889.965416666673</v>
      </c>
      <c r="P2067" t="s">
        <v>60</v>
      </c>
      <c r="R2067" s="32">
        <v>44893.965416666673</v>
      </c>
      <c r="S2067" t="s">
        <v>61</v>
      </c>
      <c r="T2067" s="34" t="s">
        <v>7476</v>
      </c>
      <c r="U2067" s="34" t="s">
        <v>7476</v>
      </c>
      <c r="V2067" s="32">
        <v>44890.965416666673</v>
      </c>
      <c r="W2067" s="32" t="s">
        <v>7476</v>
      </c>
      <c r="X2067">
        <v>0</v>
      </c>
      <c r="Y2067" s="34" t="s">
        <v>7476</v>
      </c>
      <c r="Z2067" s="34" t="s">
        <v>7476</v>
      </c>
      <c r="AA2067" s="34" t="s">
        <v>7476</v>
      </c>
      <c r="AB2067" s="36" t="s">
        <v>7476</v>
      </c>
      <c r="AD2067" t="s">
        <v>6418</v>
      </c>
      <c r="AE2067" t="s">
        <v>6419</v>
      </c>
      <c r="AF2067" s="16">
        <v>44880</v>
      </c>
      <c r="AG2067" t="s">
        <v>98</v>
      </c>
      <c r="AH2067">
        <v>6</v>
      </c>
      <c r="AI2067" s="8">
        <f>IFERROR(R2067-AF2067,"")</f>
        <v>13.965416666673264</v>
      </c>
      <c r="AJ2067" s="8">
        <f>IFERROR(O2067-AF2067,"")</f>
        <v>9.9654166666732635</v>
      </c>
      <c r="AK2067" s="38">
        <f t="shared" si="826"/>
        <v>45070.965416666673</v>
      </c>
      <c r="AL2067" t="str">
        <f>IFERROR(Z2067-W2067,"")</f>
        <v/>
      </c>
      <c r="AM2067">
        <f>IFERROR(R2067-J2067,"")</f>
        <v>25</v>
      </c>
      <c r="AN2067">
        <f>IFERROR(V2067-O2067,"")</f>
        <v>1</v>
      </c>
      <c r="AO2067">
        <f>IFERROR(J2067-I2067,"")</f>
        <v>1</v>
      </c>
      <c r="AP2067">
        <f>IFERROR(AC2067-X2067,"")</f>
        <v>0</v>
      </c>
      <c r="AQ2067" t="str">
        <f>IFERROR(AA2067-W2067,"")</f>
        <v/>
      </c>
    </row>
    <row r="2068" spans="1:43" x14ac:dyDescent="0.35">
      <c r="A2068">
        <v>563</v>
      </c>
      <c r="B2068" t="s">
        <v>6420</v>
      </c>
      <c r="C2068" t="s">
        <v>6133</v>
      </c>
      <c r="D2068" t="str">
        <f t="shared" si="824"/>
        <v>Communication and Advocacy</v>
      </c>
      <c r="E2068" t="s">
        <v>6341</v>
      </c>
      <c r="F2068" t="s">
        <v>695</v>
      </c>
      <c r="G2068" t="s">
        <v>6342</v>
      </c>
      <c r="H2068" t="s">
        <v>697</v>
      </c>
      <c r="I2068" s="32">
        <v>44867.965416666673</v>
      </c>
      <c r="J2068" s="32" t="s">
        <v>7471</v>
      </c>
      <c r="K2068" s="32">
        <v>44873.965416666673</v>
      </c>
      <c r="L2068" s="8">
        <f t="shared" si="825"/>
        <v>6</v>
      </c>
      <c r="M2068" s="7">
        <v>44895.965416666673</v>
      </c>
      <c r="N2068" t="s">
        <v>49</v>
      </c>
      <c r="O2068" s="34">
        <v>44881.965416666673</v>
      </c>
      <c r="P2068" t="s">
        <v>50</v>
      </c>
      <c r="Q2068" t="s">
        <v>198</v>
      </c>
      <c r="R2068" s="32" t="s">
        <v>7472</v>
      </c>
      <c r="S2068" t="s">
        <v>7476</v>
      </c>
      <c r="T2068" s="34" t="s">
        <v>7476</v>
      </c>
      <c r="U2068" s="34" t="s">
        <v>7476</v>
      </c>
      <c r="V2068" s="32" t="s">
        <v>7476</v>
      </c>
      <c r="W2068" s="32" t="s">
        <v>7476</v>
      </c>
      <c r="X2068">
        <v>0</v>
      </c>
      <c r="Y2068" s="34" t="s">
        <v>7476</v>
      </c>
      <c r="Z2068" s="34" t="s">
        <v>7476</v>
      </c>
      <c r="AA2068" s="34" t="s">
        <v>7476</v>
      </c>
      <c r="AB2068" s="36" t="s">
        <v>52</v>
      </c>
      <c r="AD2068" t="s">
        <v>6421</v>
      </c>
      <c r="AE2068" t="s">
        <v>6422</v>
      </c>
      <c r="AF2068" s="16">
        <v>44871</v>
      </c>
      <c r="AG2068" t="s">
        <v>93</v>
      </c>
      <c r="AH2068">
        <v>6</v>
      </c>
      <c r="AK2068" s="38" t="str">
        <f t="shared" si="826"/>
        <v/>
      </c>
    </row>
    <row r="2069" spans="1:43" x14ac:dyDescent="0.35">
      <c r="A2069">
        <v>437</v>
      </c>
      <c r="B2069" t="s">
        <v>6423</v>
      </c>
      <c r="C2069" t="s">
        <v>6133</v>
      </c>
      <c r="D2069" t="str">
        <f t="shared" si="824"/>
        <v>Communication and Advocacy</v>
      </c>
      <c r="E2069" t="s">
        <v>6341</v>
      </c>
      <c r="F2069" t="s">
        <v>695</v>
      </c>
      <c r="G2069" t="s">
        <v>6342</v>
      </c>
      <c r="H2069" t="s">
        <v>697</v>
      </c>
      <c r="I2069" s="32">
        <v>44734.315601851849</v>
      </c>
      <c r="J2069" s="32">
        <v>44736.315601851849</v>
      </c>
      <c r="K2069" s="32">
        <v>44741.315601851849</v>
      </c>
      <c r="L2069" s="8">
        <f t="shared" si="825"/>
        <v>7</v>
      </c>
      <c r="M2069" s="7">
        <v>44750.315601851849</v>
      </c>
      <c r="N2069" t="s">
        <v>49</v>
      </c>
      <c r="O2069" s="34">
        <v>44744.315601851849</v>
      </c>
      <c r="P2069" t="s">
        <v>392</v>
      </c>
      <c r="R2069" s="32">
        <v>44750.315601851849</v>
      </c>
      <c r="S2069" t="s">
        <v>392</v>
      </c>
      <c r="T2069" s="34" t="s">
        <v>7476</v>
      </c>
      <c r="U2069" s="34" t="s">
        <v>7476</v>
      </c>
      <c r="V2069" s="32">
        <v>44748.315601851849</v>
      </c>
      <c r="W2069" s="32" t="s">
        <v>7476</v>
      </c>
      <c r="X2069">
        <v>0</v>
      </c>
      <c r="Y2069" s="34" t="s">
        <v>7476</v>
      </c>
      <c r="Z2069" s="34" t="s">
        <v>7476</v>
      </c>
      <c r="AA2069" s="34" t="s">
        <v>7476</v>
      </c>
      <c r="AB2069" s="36" t="s">
        <v>7476</v>
      </c>
      <c r="AD2069" t="s">
        <v>6424</v>
      </c>
      <c r="AE2069" t="s">
        <v>6425</v>
      </c>
      <c r="AF2069" s="16">
        <v>44739</v>
      </c>
      <c r="AG2069" t="s">
        <v>98</v>
      </c>
      <c r="AH2069">
        <v>3</v>
      </c>
      <c r="AI2069" s="8">
        <f>IFERROR(R2069-AF2069,"")</f>
        <v>11.315601851849351</v>
      </c>
      <c r="AJ2069" s="8">
        <f>IFERROR(O2069-AF2069,"")</f>
        <v>5.3156018518493511</v>
      </c>
      <c r="AK2069" s="38">
        <f t="shared" si="826"/>
        <v>44838.315601851849</v>
      </c>
      <c r="AL2069" t="str">
        <f>IFERROR(Z2069-W2069,"")</f>
        <v/>
      </c>
      <c r="AM2069">
        <f>IFERROR(R2069-J2069,"")</f>
        <v>14</v>
      </c>
      <c r="AN2069">
        <f>IFERROR(V2069-O2069,"")</f>
        <v>4</v>
      </c>
      <c r="AO2069">
        <f>IFERROR(J2069-I2069,"")</f>
        <v>2</v>
      </c>
      <c r="AP2069">
        <f>IFERROR(AC2069-X2069,"")</f>
        <v>0</v>
      </c>
      <c r="AQ2069" t="str">
        <f>IFERROR(AA2069-W2069,"")</f>
        <v/>
      </c>
    </row>
    <row r="2070" spans="1:43" x14ac:dyDescent="0.35">
      <c r="A2070">
        <v>434</v>
      </c>
      <c r="B2070" t="s">
        <v>6426</v>
      </c>
      <c r="C2070" t="s">
        <v>6108</v>
      </c>
      <c r="D2070" t="str">
        <f t="shared" si="824"/>
        <v>Communication and Advocacy</v>
      </c>
      <c r="E2070" t="s">
        <v>6341</v>
      </c>
      <c r="F2070" t="s">
        <v>695</v>
      </c>
      <c r="G2070" t="s">
        <v>6342</v>
      </c>
      <c r="H2070" t="s">
        <v>697</v>
      </c>
      <c r="I2070" s="32">
        <v>44735.315601851849</v>
      </c>
      <c r="J2070" s="32">
        <v>44738.315601851849</v>
      </c>
      <c r="K2070" s="32">
        <v>44741.315601851849</v>
      </c>
      <c r="L2070" s="8">
        <f t="shared" si="825"/>
        <v>6</v>
      </c>
      <c r="M2070" s="7">
        <v>44761.315601851849</v>
      </c>
      <c r="N2070" t="s">
        <v>49</v>
      </c>
      <c r="O2070" s="34">
        <v>44752.315601851849</v>
      </c>
      <c r="P2070" t="s">
        <v>50</v>
      </c>
      <c r="Q2070" t="s">
        <v>84</v>
      </c>
      <c r="R2070" s="32" t="s">
        <v>7472</v>
      </c>
      <c r="S2070" t="s">
        <v>7476</v>
      </c>
      <c r="T2070" s="34" t="s">
        <v>7476</v>
      </c>
      <c r="U2070" s="34" t="s">
        <v>7476</v>
      </c>
      <c r="V2070" s="32">
        <v>44756.315601851849</v>
      </c>
      <c r="W2070" s="32" t="s">
        <v>7476</v>
      </c>
      <c r="X2070">
        <v>0</v>
      </c>
      <c r="Y2070" s="34" t="s">
        <v>7476</v>
      </c>
      <c r="Z2070" s="34" t="s">
        <v>7476</v>
      </c>
      <c r="AA2070" s="34" t="s">
        <v>7476</v>
      </c>
      <c r="AB2070" s="36" t="s">
        <v>52</v>
      </c>
      <c r="AD2070" t="s">
        <v>6427</v>
      </c>
      <c r="AE2070" t="s">
        <v>6428</v>
      </c>
      <c r="AF2070" s="16">
        <v>44744</v>
      </c>
      <c r="AG2070" t="s">
        <v>98</v>
      </c>
      <c r="AH2070">
        <v>6</v>
      </c>
      <c r="AI2070" s="8" t="str">
        <f>IFERROR(R2070-AF2070,"")</f>
        <v/>
      </c>
      <c r="AJ2070" s="8">
        <f>IFERROR(O2070-AF2070,"")</f>
        <v>8.3156018518493511</v>
      </c>
      <c r="AK2070" s="38">
        <f t="shared" si="826"/>
        <v>44936.315601851849</v>
      </c>
      <c r="AL2070" t="str">
        <f>IFERROR(Z2070-W2070,"")</f>
        <v/>
      </c>
      <c r="AM2070" t="str">
        <f>IFERROR(R2070-J2070,"")</f>
        <v/>
      </c>
      <c r="AN2070">
        <f>IFERROR(V2070-O2070,"")</f>
        <v>4</v>
      </c>
      <c r="AO2070">
        <f>IFERROR(J2070-I2070,"")</f>
        <v>3</v>
      </c>
      <c r="AP2070">
        <f>IFERROR(AC2070-X2070,"")</f>
        <v>0</v>
      </c>
      <c r="AQ2070" t="str">
        <f>IFERROR(AA2070-W2070,"")</f>
        <v/>
      </c>
    </row>
    <row r="2071" spans="1:43" x14ac:dyDescent="0.35">
      <c r="A2071">
        <v>353</v>
      </c>
      <c r="B2071" t="s">
        <v>6429</v>
      </c>
      <c r="C2071" t="s">
        <v>6133</v>
      </c>
      <c r="D2071" t="str">
        <f t="shared" si="824"/>
        <v>Communication and Advocacy</v>
      </c>
      <c r="E2071" t="s">
        <v>6341</v>
      </c>
      <c r="F2071" t="s">
        <v>695</v>
      </c>
      <c r="G2071" t="s">
        <v>6342</v>
      </c>
      <c r="H2071" t="s">
        <v>697</v>
      </c>
      <c r="I2071" s="32">
        <v>44836.176585648151</v>
      </c>
      <c r="J2071" s="32">
        <v>44839.176585648151</v>
      </c>
      <c r="K2071" s="32" t="s">
        <v>7473</v>
      </c>
      <c r="L2071" s="8" t="str">
        <f t="shared" si="825"/>
        <v/>
      </c>
      <c r="M2071" s="7">
        <v>44869.176585648151</v>
      </c>
      <c r="N2071" t="s">
        <v>49</v>
      </c>
      <c r="O2071" s="34">
        <v>44858.176585648151</v>
      </c>
      <c r="P2071" t="s">
        <v>50</v>
      </c>
      <c r="Q2071" t="s">
        <v>51</v>
      </c>
      <c r="R2071" s="32" t="s">
        <v>7472</v>
      </c>
      <c r="S2071" t="s">
        <v>7476</v>
      </c>
      <c r="T2071" s="34" t="s">
        <v>7476</v>
      </c>
      <c r="U2071" s="34" t="s">
        <v>7476</v>
      </c>
      <c r="V2071" s="32" t="s">
        <v>7476</v>
      </c>
      <c r="W2071" s="32" t="s">
        <v>7476</v>
      </c>
      <c r="X2071">
        <v>0</v>
      </c>
      <c r="Y2071" s="34" t="s">
        <v>7476</v>
      </c>
      <c r="Z2071" s="34" t="s">
        <v>7476</v>
      </c>
      <c r="AA2071" s="34" t="s">
        <v>7476</v>
      </c>
      <c r="AB2071" s="36" t="s">
        <v>95</v>
      </c>
      <c r="AD2071" t="s">
        <v>6430</v>
      </c>
      <c r="AE2071" t="s">
        <v>6431</v>
      </c>
      <c r="AF2071" s="16">
        <v>44849</v>
      </c>
      <c r="AG2071" t="s">
        <v>64</v>
      </c>
      <c r="AH2071">
        <v>3</v>
      </c>
      <c r="AK2071" s="38" t="str">
        <f t="shared" si="826"/>
        <v/>
      </c>
    </row>
    <row r="2072" spans="1:43" x14ac:dyDescent="0.35">
      <c r="A2072">
        <v>352</v>
      </c>
      <c r="B2072" t="s">
        <v>6432</v>
      </c>
      <c r="C2072" t="s">
        <v>6108</v>
      </c>
      <c r="D2072" t="str">
        <f t="shared" si="824"/>
        <v>Communication and Advocacy</v>
      </c>
      <c r="E2072" t="s">
        <v>6341</v>
      </c>
      <c r="F2072" t="s">
        <v>695</v>
      </c>
      <c r="G2072" t="s">
        <v>6342</v>
      </c>
      <c r="H2072" t="s">
        <v>697</v>
      </c>
      <c r="I2072" s="32">
        <v>44842.176585648151</v>
      </c>
      <c r="J2072" s="32">
        <v>44843.176585648151</v>
      </c>
      <c r="K2072" s="32">
        <v>44844.176585648151</v>
      </c>
      <c r="L2072" s="8">
        <f t="shared" si="825"/>
        <v>2</v>
      </c>
      <c r="M2072" s="7">
        <v>44855.176585648151</v>
      </c>
      <c r="N2072" t="s">
        <v>49</v>
      </c>
      <c r="O2072" s="34">
        <v>44849.176585648151</v>
      </c>
      <c r="P2072" t="s">
        <v>60</v>
      </c>
      <c r="R2072" s="32">
        <v>44856.176585648151</v>
      </c>
      <c r="S2072" t="s">
        <v>61</v>
      </c>
      <c r="T2072" s="34" t="s">
        <v>7476</v>
      </c>
      <c r="U2072" s="34" t="s">
        <v>7476</v>
      </c>
      <c r="V2072" s="32">
        <v>44852.176585648151</v>
      </c>
      <c r="W2072" s="32" t="s">
        <v>7476</v>
      </c>
      <c r="X2072">
        <v>0</v>
      </c>
      <c r="Y2072" s="34" t="s">
        <v>7476</v>
      </c>
      <c r="Z2072" s="34" t="s">
        <v>7476</v>
      </c>
      <c r="AA2072" s="34" t="s">
        <v>7476</v>
      </c>
      <c r="AB2072" s="36" t="s">
        <v>7476</v>
      </c>
      <c r="AD2072" t="s">
        <v>6433</v>
      </c>
      <c r="AE2072" t="s">
        <v>6434</v>
      </c>
      <c r="AF2072" s="16">
        <v>44840</v>
      </c>
      <c r="AG2072" t="s">
        <v>98</v>
      </c>
      <c r="AH2072">
        <v>3</v>
      </c>
      <c r="AI2072" s="8">
        <f>IFERROR(R2072-AF2072,"")</f>
        <v>16.176585648150649</v>
      </c>
      <c r="AJ2072" s="8">
        <f>IFERROR(O2072-AF2072,"")</f>
        <v>9.1765856481506489</v>
      </c>
      <c r="AK2072" s="38">
        <f t="shared" si="826"/>
        <v>44942.176585648151</v>
      </c>
      <c r="AL2072" t="str">
        <f>IFERROR(Z2072-W2072,"")</f>
        <v/>
      </c>
      <c r="AM2072">
        <f>IFERROR(R2072-J2072,"")</f>
        <v>13</v>
      </c>
      <c r="AN2072">
        <f>IFERROR(V2072-O2072,"")</f>
        <v>3</v>
      </c>
      <c r="AO2072">
        <f>IFERROR(J2072-I2072,"")</f>
        <v>1</v>
      </c>
      <c r="AP2072">
        <f>IFERROR(AC2072-X2072,"")</f>
        <v>0</v>
      </c>
      <c r="AQ2072" t="str">
        <f>IFERROR(AA2072-W2072,"")</f>
        <v/>
      </c>
    </row>
    <row r="2073" spans="1:43" x14ac:dyDescent="0.35">
      <c r="A2073">
        <v>327</v>
      </c>
      <c r="B2073" t="s">
        <v>6435</v>
      </c>
      <c r="C2073" t="s">
        <v>6108</v>
      </c>
      <c r="D2073" t="str">
        <f t="shared" si="824"/>
        <v>Communication and Advocacy</v>
      </c>
      <c r="E2073" t="s">
        <v>6341</v>
      </c>
      <c r="F2073" t="s">
        <v>695</v>
      </c>
      <c r="G2073" t="s">
        <v>6342</v>
      </c>
      <c r="H2073" t="s">
        <v>697</v>
      </c>
      <c r="I2073" s="32">
        <v>44578.917696759258</v>
      </c>
      <c r="J2073" s="32">
        <v>44580.917696759258</v>
      </c>
      <c r="K2073" s="32">
        <v>44582.917696759258</v>
      </c>
      <c r="L2073" s="8">
        <f t="shared" si="825"/>
        <v>4</v>
      </c>
      <c r="M2073" s="7">
        <v>44604.917696759258</v>
      </c>
      <c r="N2073" t="s">
        <v>49</v>
      </c>
      <c r="O2073" s="34">
        <v>44587.917696759258</v>
      </c>
      <c r="P2073" t="s">
        <v>60</v>
      </c>
      <c r="R2073" s="32">
        <v>44590.917696759258</v>
      </c>
      <c r="S2073" t="s">
        <v>61</v>
      </c>
      <c r="T2073" s="34" t="s">
        <v>7476</v>
      </c>
      <c r="U2073" s="34" t="s">
        <v>7476</v>
      </c>
      <c r="V2073" s="32">
        <v>44588.917696759258</v>
      </c>
      <c r="W2073" s="32" t="s">
        <v>7476</v>
      </c>
      <c r="X2073">
        <v>0</v>
      </c>
      <c r="Y2073" s="34" t="s">
        <v>7476</v>
      </c>
      <c r="Z2073" s="34" t="s">
        <v>7476</v>
      </c>
      <c r="AA2073" s="34" t="s">
        <v>7476</v>
      </c>
      <c r="AB2073" s="36" t="s">
        <v>7476</v>
      </c>
      <c r="AD2073" t="s">
        <v>6436</v>
      </c>
      <c r="AE2073" t="s">
        <v>6437</v>
      </c>
      <c r="AF2073" s="16">
        <v>44578</v>
      </c>
      <c r="AG2073" t="s">
        <v>68</v>
      </c>
      <c r="AH2073">
        <v>6</v>
      </c>
      <c r="AI2073" s="8">
        <f>IFERROR(R2073-AF2073,"")</f>
        <v>12.917696759257524</v>
      </c>
      <c r="AJ2073" s="8">
        <f>IFERROR(O2073-AF2073,"")</f>
        <v>9.9176967592575238</v>
      </c>
      <c r="AK2073" s="38">
        <f t="shared" si="826"/>
        <v>44768.917696759258</v>
      </c>
      <c r="AL2073" t="str">
        <f>IFERROR(Z2073-W2073,"")</f>
        <v/>
      </c>
      <c r="AM2073">
        <f>IFERROR(R2073-J2073,"")</f>
        <v>10</v>
      </c>
      <c r="AN2073">
        <f>IFERROR(V2073-O2073,"")</f>
        <v>1</v>
      </c>
      <c r="AO2073">
        <f>IFERROR(J2073-I2073,"")</f>
        <v>2</v>
      </c>
      <c r="AP2073">
        <f>IFERROR(AC2073-X2073,"")</f>
        <v>0</v>
      </c>
      <c r="AQ2073" t="str">
        <f>IFERROR(AA2073-W2073,"")</f>
        <v/>
      </c>
    </row>
    <row r="2074" spans="1:43" x14ac:dyDescent="0.35">
      <c r="A2074">
        <v>298</v>
      </c>
      <c r="B2074" t="s">
        <v>6438</v>
      </c>
      <c r="C2074" t="s">
        <v>6133</v>
      </c>
      <c r="D2074" t="str">
        <f t="shared" si="824"/>
        <v>Communication and Advocacy</v>
      </c>
      <c r="E2074" t="s">
        <v>6341</v>
      </c>
      <c r="F2074" t="s">
        <v>695</v>
      </c>
      <c r="G2074" t="s">
        <v>6342</v>
      </c>
      <c r="H2074" t="s">
        <v>697</v>
      </c>
      <c r="I2074" s="32">
        <v>45132.740011574067</v>
      </c>
      <c r="J2074" s="32">
        <v>45133.740011574067</v>
      </c>
      <c r="K2074" s="32">
        <v>45138.740011574067</v>
      </c>
      <c r="L2074" s="8">
        <f t="shared" si="825"/>
        <v>6</v>
      </c>
      <c r="M2074" s="7">
        <v>45154.740011574067</v>
      </c>
      <c r="N2074" t="s">
        <v>49</v>
      </c>
      <c r="O2074" s="34">
        <v>45152.740011574067</v>
      </c>
      <c r="P2074" t="s">
        <v>101</v>
      </c>
      <c r="R2074" s="32">
        <v>45157.740011574067</v>
      </c>
      <c r="S2074" t="s">
        <v>101</v>
      </c>
      <c r="T2074" s="34">
        <v>45154.740011574067</v>
      </c>
      <c r="U2074" s="34">
        <v>45158.740011574067</v>
      </c>
      <c r="V2074" s="32">
        <v>45156.740011574067</v>
      </c>
      <c r="W2074" s="32">
        <v>45159.740011574067</v>
      </c>
      <c r="X2074">
        <v>1</v>
      </c>
      <c r="Y2074" s="34">
        <v>45161.740011574067</v>
      </c>
      <c r="Z2074" s="34">
        <v>45163.740011574067</v>
      </c>
      <c r="AA2074" s="34">
        <v>45164.740011574067</v>
      </c>
      <c r="AB2074" s="36" t="s">
        <v>7476</v>
      </c>
      <c r="AC2074" s="10">
        <v>45183.740011574067</v>
      </c>
      <c r="AD2074" t="s">
        <v>6439</v>
      </c>
      <c r="AE2074" t="s">
        <v>6440</v>
      </c>
      <c r="AF2074" s="16">
        <v>45133</v>
      </c>
      <c r="AG2074" t="s">
        <v>64</v>
      </c>
      <c r="AH2074">
        <v>6</v>
      </c>
      <c r="AI2074" s="8">
        <f>IFERROR(R2074-AF2074,"")</f>
        <v>24.740011574067466</v>
      </c>
      <c r="AJ2074" s="8">
        <f>IFERROR(O2074-AF2074,"")</f>
        <v>19.740011574067466</v>
      </c>
      <c r="AK2074" s="38">
        <f t="shared" si="826"/>
        <v>45336.740011574067</v>
      </c>
      <c r="AL2074">
        <f>IFERROR(Z2074-W2074,"")</f>
        <v>4</v>
      </c>
      <c r="AM2074">
        <f>IFERROR(R2074-J2074,"")</f>
        <v>24</v>
      </c>
      <c r="AN2074">
        <f>IFERROR(V2074-O2074,"")</f>
        <v>4</v>
      </c>
      <c r="AO2074">
        <f>IFERROR(J2074-I2074,"")</f>
        <v>1</v>
      </c>
      <c r="AP2074">
        <f>IFERROR(AC2074-X2074,"")</f>
        <v>45182.740011574067</v>
      </c>
      <c r="AQ2074">
        <f>IFERROR(AA2074-W2074,"")</f>
        <v>5</v>
      </c>
    </row>
    <row r="2075" spans="1:43" x14ac:dyDescent="0.35">
      <c r="A2075">
        <v>280</v>
      </c>
      <c r="B2075" t="s">
        <v>6441</v>
      </c>
      <c r="C2075" t="s">
        <v>6108</v>
      </c>
      <c r="D2075" t="str">
        <f t="shared" si="824"/>
        <v>Communication and Advocacy</v>
      </c>
      <c r="E2075" t="s">
        <v>6341</v>
      </c>
      <c r="F2075" t="s">
        <v>695</v>
      </c>
      <c r="G2075" t="s">
        <v>6342</v>
      </c>
      <c r="H2075" t="s">
        <v>697</v>
      </c>
      <c r="I2075" s="32">
        <v>44846.592418981483</v>
      </c>
      <c r="J2075" s="32">
        <v>44850.592418981483</v>
      </c>
      <c r="K2075" s="32">
        <v>44852.592418981483</v>
      </c>
      <c r="L2075" s="8">
        <f t="shared" si="825"/>
        <v>6</v>
      </c>
      <c r="M2075" s="7">
        <v>44860.592418981483</v>
      </c>
      <c r="N2075" t="s">
        <v>49</v>
      </c>
      <c r="O2075" s="34">
        <v>44856.592418981483</v>
      </c>
      <c r="P2075" t="s">
        <v>101</v>
      </c>
      <c r="R2075" s="32">
        <v>44858.592418981483</v>
      </c>
      <c r="S2075" t="s">
        <v>101</v>
      </c>
      <c r="T2075" s="34">
        <v>44857.592418981483</v>
      </c>
      <c r="U2075" s="34">
        <v>44861.592418981483</v>
      </c>
      <c r="V2075" s="32">
        <v>44857.592418981483</v>
      </c>
      <c r="W2075" s="32">
        <v>44866.592418981483</v>
      </c>
      <c r="X2075">
        <v>1</v>
      </c>
      <c r="Y2075" s="34">
        <v>44869.592418981483</v>
      </c>
      <c r="Z2075" s="34">
        <v>44872.592418981483</v>
      </c>
      <c r="AA2075" s="34">
        <v>44873.592418981483</v>
      </c>
      <c r="AB2075" s="36" t="s">
        <v>7476</v>
      </c>
      <c r="AC2075" s="10">
        <v>44884.592418981483</v>
      </c>
      <c r="AD2075" t="s">
        <v>6442</v>
      </c>
      <c r="AE2075" t="s">
        <v>6443</v>
      </c>
      <c r="AF2075" s="16">
        <v>44845</v>
      </c>
      <c r="AG2075" t="s">
        <v>98</v>
      </c>
      <c r="AH2075">
        <v>3</v>
      </c>
      <c r="AI2075" s="8">
        <f>IFERROR(R2075-AF2075,"")</f>
        <v>13.592418981483206</v>
      </c>
      <c r="AJ2075" s="8">
        <f>IFERROR(O2075-AF2075,"")</f>
        <v>11.592418981483206</v>
      </c>
      <c r="AK2075" s="38">
        <f t="shared" si="826"/>
        <v>44947.592418981483</v>
      </c>
      <c r="AL2075">
        <f>IFERROR(Z2075-W2075,"")</f>
        <v>6</v>
      </c>
      <c r="AM2075">
        <f>IFERROR(R2075-J2075,"")</f>
        <v>8</v>
      </c>
      <c r="AN2075">
        <f>IFERROR(V2075-O2075,"")</f>
        <v>1</v>
      </c>
      <c r="AO2075">
        <f>IFERROR(J2075-I2075,"")</f>
        <v>4</v>
      </c>
      <c r="AP2075">
        <f>IFERROR(AC2075-X2075,"")</f>
        <v>44883.592418981483</v>
      </c>
      <c r="AQ2075">
        <f>IFERROR(AA2075-W2075,"")</f>
        <v>7</v>
      </c>
    </row>
    <row r="2076" spans="1:43" x14ac:dyDescent="0.35">
      <c r="A2076">
        <v>272</v>
      </c>
      <c r="B2076" t="s">
        <v>6444</v>
      </c>
      <c r="C2076" t="s">
        <v>6133</v>
      </c>
      <c r="D2076" t="str">
        <f t="shared" si="824"/>
        <v>Communication and Advocacy</v>
      </c>
      <c r="E2076" t="s">
        <v>6341</v>
      </c>
      <c r="F2076" t="s">
        <v>695</v>
      </c>
      <c r="G2076" t="s">
        <v>6342</v>
      </c>
      <c r="H2076" t="s">
        <v>697</v>
      </c>
      <c r="I2076" s="32">
        <v>44848.592418981483</v>
      </c>
      <c r="J2076" s="32">
        <v>44849.592418981483</v>
      </c>
      <c r="K2076" s="32" t="s">
        <v>7473</v>
      </c>
      <c r="L2076" s="8" t="str">
        <f t="shared" si="825"/>
        <v/>
      </c>
      <c r="M2076" s="7">
        <v>44880.592418981483</v>
      </c>
      <c r="N2076" t="s">
        <v>49</v>
      </c>
      <c r="O2076" s="34">
        <v>44862.592418981483</v>
      </c>
      <c r="P2076" t="s">
        <v>60</v>
      </c>
      <c r="R2076" s="32">
        <v>44869.592418981483</v>
      </c>
      <c r="S2076" t="s">
        <v>61</v>
      </c>
      <c r="T2076" s="34" t="s">
        <v>7476</v>
      </c>
      <c r="U2076" s="34" t="s">
        <v>7476</v>
      </c>
      <c r="V2076" s="32">
        <v>44865.592418981483</v>
      </c>
      <c r="W2076" s="32" t="s">
        <v>7476</v>
      </c>
      <c r="X2076">
        <v>0</v>
      </c>
      <c r="Y2076" s="34" t="s">
        <v>7476</v>
      </c>
      <c r="Z2076" s="34" t="s">
        <v>7476</v>
      </c>
      <c r="AA2076" s="34" t="s">
        <v>7476</v>
      </c>
      <c r="AB2076" s="36" t="s">
        <v>7476</v>
      </c>
      <c r="AD2076" t="s">
        <v>6445</v>
      </c>
      <c r="AE2076" t="s">
        <v>6446</v>
      </c>
      <c r="AF2076" s="16">
        <v>44843</v>
      </c>
      <c r="AG2076" t="s">
        <v>68</v>
      </c>
      <c r="AH2076">
        <v>6</v>
      </c>
      <c r="AK2076" s="38">
        <f t="shared" si="826"/>
        <v>45045.592418981483</v>
      </c>
    </row>
    <row r="2077" spans="1:43" x14ac:dyDescent="0.35">
      <c r="A2077">
        <v>244</v>
      </c>
      <c r="B2077" t="s">
        <v>6447</v>
      </c>
      <c r="C2077" t="s">
        <v>6108</v>
      </c>
      <c r="D2077" t="str">
        <f t="shared" si="824"/>
        <v>Communication and Advocacy</v>
      </c>
      <c r="E2077" t="s">
        <v>6341</v>
      </c>
      <c r="F2077" t="s">
        <v>695</v>
      </c>
      <c r="G2077" t="s">
        <v>6342</v>
      </c>
      <c r="H2077" t="s">
        <v>697</v>
      </c>
      <c r="I2077" s="32">
        <v>44676.34851851852</v>
      </c>
      <c r="J2077" s="32">
        <v>44677.34851851852</v>
      </c>
      <c r="K2077" s="32">
        <v>44682.34851851852</v>
      </c>
      <c r="L2077" s="8">
        <f t="shared" si="825"/>
        <v>6</v>
      </c>
      <c r="M2077" s="7">
        <v>44690.34851851852</v>
      </c>
      <c r="N2077" t="s">
        <v>49</v>
      </c>
      <c r="O2077" s="34">
        <v>44693.34851851852</v>
      </c>
      <c r="P2077" t="s">
        <v>50</v>
      </c>
      <c r="Q2077" t="s">
        <v>84</v>
      </c>
      <c r="R2077" s="32" t="s">
        <v>7472</v>
      </c>
      <c r="S2077" t="s">
        <v>7476</v>
      </c>
      <c r="T2077" s="34" t="s">
        <v>7476</v>
      </c>
      <c r="U2077" s="34" t="s">
        <v>7476</v>
      </c>
      <c r="V2077" s="32" t="s">
        <v>7476</v>
      </c>
      <c r="W2077" s="32" t="s">
        <v>7476</v>
      </c>
      <c r="X2077">
        <v>0</v>
      </c>
      <c r="Y2077" s="34" t="s">
        <v>7476</v>
      </c>
      <c r="Z2077" s="34" t="s">
        <v>7476</v>
      </c>
      <c r="AA2077" s="34" t="s">
        <v>7476</v>
      </c>
      <c r="AB2077" s="36" t="s">
        <v>52</v>
      </c>
      <c r="AD2077" t="s">
        <v>6448</v>
      </c>
      <c r="AE2077" t="s">
        <v>6449</v>
      </c>
      <c r="AF2077" s="16">
        <v>44597</v>
      </c>
      <c r="AG2077" t="s">
        <v>64</v>
      </c>
      <c r="AH2077">
        <v>6</v>
      </c>
      <c r="AI2077" s="8" t="str">
        <f>IFERROR(R2077-AF2077,"")</f>
        <v/>
      </c>
      <c r="AJ2077" s="8">
        <f>IFERROR(O2077-AF2077,"")</f>
        <v>96.348518518519995</v>
      </c>
      <c r="AK2077" s="38" t="str">
        <f t="shared" si="826"/>
        <v/>
      </c>
      <c r="AL2077" t="str">
        <f>IFERROR(Z2077-W2077,"")</f>
        <v/>
      </c>
      <c r="AM2077" t="str">
        <f>IFERROR(R2077-J2077,"")</f>
        <v/>
      </c>
      <c r="AN2077" t="str">
        <f>IFERROR(V2077-O2077,"")</f>
        <v/>
      </c>
      <c r="AO2077">
        <f>IFERROR(J2077-I2077,"")</f>
        <v>1</v>
      </c>
      <c r="AP2077">
        <f>IFERROR(AC2077-X2077,"")</f>
        <v>0</v>
      </c>
      <c r="AQ2077" t="str">
        <f>IFERROR(AA2077-W2077,"")</f>
        <v/>
      </c>
    </row>
    <row r="2078" spans="1:43" x14ac:dyDescent="0.35">
      <c r="A2078">
        <v>241</v>
      </c>
      <c r="B2078" t="s">
        <v>6450</v>
      </c>
      <c r="C2078" t="s">
        <v>6133</v>
      </c>
      <c r="D2078" t="str">
        <f t="shared" si="824"/>
        <v>Communication and Advocacy</v>
      </c>
      <c r="E2078" t="s">
        <v>6341</v>
      </c>
      <c r="F2078" t="s">
        <v>695</v>
      </c>
      <c r="G2078" t="s">
        <v>6342</v>
      </c>
      <c r="H2078" t="s">
        <v>697</v>
      </c>
      <c r="I2078" s="32">
        <v>44676.34851851852</v>
      </c>
      <c r="J2078" s="32">
        <v>44678.34851851852</v>
      </c>
      <c r="K2078" s="32">
        <v>44682.34851851852</v>
      </c>
      <c r="L2078" s="8">
        <f t="shared" si="825"/>
        <v>6</v>
      </c>
      <c r="M2078" s="7">
        <v>44695.34851851852</v>
      </c>
      <c r="N2078" t="s">
        <v>49</v>
      </c>
      <c r="O2078" s="34">
        <v>44684.34851851852</v>
      </c>
      <c r="P2078" t="s">
        <v>50</v>
      </c>
      <c r="Q2078" t="s">
        <v>125</v>
      </c>
      <c r="R2078" s="32" t="s">
        <v>7472</v>
      </c>
      <c r="S2078" t="s">
        <v>7476</v>
      </c>
      <c r="T2078" s="34" t="s">
        <v>7476</v>
      </c>
      <c r="U2078" s="34" t="s">
        <v>7476</v>
      </c>
      <c r="V2078" s="32" t="s">
        <v>7476</v>
      </c>
      <c r="W2078" s="32" t="s">
        <v>7476</v>
      </c>
      <c r="X2078">
        <v>0</v>
      </c>
      <c r="Y2078" s="34" t="s">
        <v>7476</v>
      </c>
      <c r="Z2078" s="34" t="s">
        <v>7476</v>
      </c>
      <c r="AA2078" s="34" t="s">
        <v>7476</v>
      </c>
      <c r="AB2078" s="36" t="s">
        <v>52</v>
      </c>
      <c r="AD2078" t="s">
        <v>6451</v>
      </c>
      <c r="AE2078" t="s">
        <v>6452</v>
      </c>
      <c r="AF2078" s="16">
        <v>44674</v>
      </c>
      <c r="AG2078" t="s">
        <v>68</v>
      </c>
      <c r="AH2078">
        <v>6</v>
      </c>
      <c r="AI2078" s="8" t="str">
        <f>IFERROR(R2078-AF2078,"")</f>
        <v/>
      </c>
      <c r="AJ2078" s="8">
        <f>IFERROR(O2078-AF2078,"")</f>
        <v>10.348518518519995</v>
      </c>
      <c r="AK2078" s="38" t="str">
        <f t="shared" si="826"/>
        <v/>
      </c>
      <c r="AL2078" t="str">
        <f>IFERROR(Z2078-W2078,"")</f>
        <v/>
      </c>
      <c r="AM2078" t="str">
        <f>IFERROR(R2078-J2078,"")</f>
        <v/>
      </c>
      <c r="AN2078" t="str">
        <f>IFERROR(V2078-O2078,"")</f>
        <v/>
      </c>
      <c r="AO2078">
        <f>IFERROR(J2078-I2078,"")</f>
        <v>2</v>
      </c>
      <c r="AP2078">
        <f>IFERROR(AC2078-X2078,"")</f>
        <v>0</v>
      </c>
      <c r="AQ2078" t="str">
        <f>IFERROR(AA2078-W2078,"")</f>
        <v/>
      </c>
    </row>
    <row r="2079" spans="1:43" x14ac:dyDescent="0.35">
      <c r="A2079">
        <v>197</v>
      </c>
      <c r="B2079" t="s">
        <v>6453</v>
      </c>
      <c r="C2079" t="s">
        <v>6108</v>
      </c>
      <c r="D2079" t="str">
        <f t="shared" si="824"/>
        <v>Communication and Advocacy</v>
      </c>
      <c r="E2079" t="s">
        <v>6341</v>
      </c>
      <c r="F2079" t="s">
        <v>695</v>
      </c>
      <c r="G2079" t="s">
        <v>6342</v>
      </c>
      <c r="H2079" t="s">
        <v>697</v>
      </c>
      <c r="I2079" s="32">
        <v>44727.769965277781</v>
      </c>
      <c r="J2079" s="32">
        <v>44730.769965277781</v>
      </c>
      <c r="K2079" s="32">
        <v>44731.769965277781</v>
      </c>
      <c r="L2079" s="8">
        <f t="shared" si="825"/>
        <v>4</v>
      </c>
      <c r="M2079" s="7">
        <v>44749.769965277781</v>
      </c>
      <c r="N2079" t="s">
        <v>49</v>
      </c>
      <c r="O2079" s="34">
        <v>44733.769965277781</v>
      </c>
      <c r="P2079" t="s">
        <v>101</v>
      </c>
      <c r="R2079" s="32">
        <v>44739.769965277781</v>
      </c>
      <c r="S2079" t="s">
        <v>101</v>
      </c>
      <c r="T2079" s="34">
        <v>44735.769965277781</v>
      </c>
      <c r="U2079" s="34">
        <v>44739.769965277781</v>
      </c>
      <c r="V2079" s="32">
        <v>44737.769965277781</v>
      </c>
      <c r="W2079" s="32">
        <v>44738.769965277781</v>
      </c>
      <c r="X2079">
        <v>1</v>
      </c>
      <c r="Y2079" s="34">
        <v>44739.769965277781</v>
      </c>
      <c r="Z2079" s="34">
        <v>44740.769965277781</v>
      </c>
      <c r="AA2079" s="34">
        <v>44742.769965277781</v>
      </c>
      <c r="AB2079" s="36" t="s">
        <v>7476</v>
      </c>
      <c r="AC2079" s="10">
        <v>44755.769965277781</v>
      </c>
      <c r="AD2079" t="s">
        <v>6454</v>
      </c>
      <c r="AE2079" t="s">
        <v>6455</v>
      </c>
      <c r="AF2079" s="16">
        <v>44726</v>
      </c>
      <c r="AG2079" t="s">
        <v>64</v>
      </c>
      <c r="AH2079">
        <v>6</v>
      </c>
      <c r="AI2079" s="8">
        <f>IFERROR(R2079-AF2079,"")</f>
        <v>13.769965277781012</v>
      </c>
      <c r="AJ2079" s="8">
        <f>IFERROR(O2079-AF2079,"")</f>
        <v>7.7699652777810115</v>
      </c>
      <c r="AK2079" s="38">
        <f t="shared" si="826"/>
        <v>44917.769965277781</v>
      </c>
      <c r="AL2079">
        <f>IFERROR(Z2079-W2079,"")</f>
        <v>2</v>
      </c>
      <c r="AM2079">
        <f>IFERROR(R2079-J2079,"")</f>
        <v>9</v>
      </c>
      <c r="AN2079">
        <f>IFERROR(V2079-O2079,"")</f>
        <v>4</v>
      </c>
      <c r="AO2079">
        <f>IFERROR(J2079-I2079,"")</f>
        <v>3</v>
      </c>
      <c r="AP2079">
        <f>IFERROR(AC2079-X2079,"")</f>
        <v>44754.769965277781</v>
      </c>
      <c r="AQ2079">
        <f>IFERROR(AA2079-W2079,"")</f>
        <v>4</v>
      </c>
    </row>
    <row r="2080" spans="1:43" x14ac:dyDescent="0.35">
      <c r="A2080">
        <v>192</v>
      </c>
      <c r="B2080" t="s">
        <v>6456</v>
      </c>
      <c r="C2080" t="s">
        <v>6133</v>
      </c>
      <c r="D2080" t="str">
        <f t="shared" si="824"/>
        <v>Communication and Advocacy</v>
      </c>
      <c r="E2080" t="s">
        <v>6341</v>
      </c>
      <c r="F2080" t="s">
        <v>695</v>
      </c>
      <c r="G2080" t="s">
        <v>6342</v>
      </c>
      <c r="H2080" t="s">
        <v>697</v>
      </c>
      <c r="I2080" s="32">
        <v>44727.769965277781</v>
      </c>
      <c r="J2080" s="32">
        <v>44730.769965277781</v>
      </c>
      <c r="K2080" s="32">
        <v>44731.769965277781</v>
      </c>
      <c r="L2080" s="8">
        <f t="shared" si="825"/>
        <v>4</v>
      </c>
      <c r="M2080" s="7">
        <v>44748.769965277781</v>
      </c>
      <c r="N2080" t="s">
        <v>49</v>
      </c>
      <c r="O2080" s="34">
        <v>44739.769965277781</v>
      </c>
      <c r="P2080" t="s">
        <v>101</v>
      </c>
      <c r="R2080" s="32">
        <v>44744.769965277781</v>
      </c>
      <c r="S2080" t="s">
        <v>101</v>
      </c>
      <c r="T2080" s="34">
        <v>44740.769965277781</v>
      </c>
      <c r="U2080" s="34">
        <v>44743.769965277781</v>
      </c>
      <c r="V2080" s="32">
        <v>44742.769965277781</v>
      </c>
      <c r="W2080" s="32">
        <v>44751.769965277781</v>
      </c>
      <c r="X2080">
        <v>1</v>
      </c>
      <c r="Y2080" s="34">
        <v>44753.769965277781</v>
      </c>
      <c r="Z2080" s="34">
        <v>44755.769965277781</v>
      </c>
      <c r="AA2080" s="34">
        <v>44758.769965277781</v>
      </c>
      <c r="AB2080" s="36" t="s">
        <v>7476</v>
      </c>
      <c r="AC2080" s="10">
        <v>44773.769965277781</v>
      </c>
      <c r="AD2080" t="s">
        <v>6457</v>
      </c>
      <c r="AE2080" t="s">
        <v>6458</v>
      </c>
      <c r="AF2080" s="16">
        <v>44727</v>
      </c>
      <c r="AG2080" t="s">
        <v>68</v>
      </c>
      <c r="AH2080">
        <v>6</v>
      </c>
      <c r="AI2080" s="8">
        <f>IFERROR(R2080-AF2080,"")</f>
        <v>17.769965277781012</v>
      </c>
      <c r="AJ2080" s="8">
        <f>IFERROR(O2080-AF2080,"")</f>
        <v>12.769965277781012</v>
      </c>
      <c r="AK2080" s="38">
        <f t="shared" si="826"/>
        <v>44922.769965277781</v>
      </c>
      <c r="AL2080">
        <f>IFERROR(Z2080-W2080,"")</f>
        <v>4</v>
      </c>
      <c r="AM2080">
        <f>IFERROR(R2080-J2080,"")</f>
        <v>14</v>
      </c>
      <c r="AN2080">
        <f>IFERROR(V2080-O2080,"")</f>
        <v>3</v>
      </c>
      <c r="AO2080">
        <f>IFERROR(J2080-I2080,"")</f>
        <v>3</v>
      </c>
      <c r="AP2080">
        <f>IFERROR(AC2080-X2080,"")</f>
        <v>44772.769965277781</v>
      </c>
      <c r="AQ2080">
        <f>IFERROR(AA2080-W2080,"")</f>
        <v>7</v>
      </c>
    </row>
    <row r="2081" spans="1:43" x14ac:dyDescent="0.35">
      <c r="A2081">
        <v>168</v>
      </c>
      <c r="B2081" t="s">
        <v>6459</v>
      </c>
      <c r="C2081" t="s">
        <v>6123</v>
      </c>
      <c r="D2081" t="str">
        <f t="shared" si="824"/>
        <v>Communication and Advocacy</v>
      </c>
      <c r="E2081" t="s">
        <v>6341</v>
      </c>
      <c r="F2081" t="s">
        <v>695</v>
      </c>
      <c r="G2081" t="s">
        <v>6342</v>
      </c>
      <c r="H2081" t="s">
        <v>697</v>
      </c>
      <c r="I2081" s="32">
        <v>44907.64775462963</v>
      </c>
      <c r="J2081" s="32">
        <v>44909.64775462963</v>
      </c>
      <c r="K2081" s="32">
        <v>44911.64775462963</v>
      </c>
      <c r="L2081" s="8">
        <f t="shared" si="825"/>
        <v>4</v>
      </c>
      <c r="M2081" s="7">
        <v>44924.64775462963</v>
      </c>
      <c r="N2081" t="s">
        <v>49</v>
      </c>
      <c r="O2081" s="34">
        <v>44921.64775462963</v>
      </c>
      <c r="P2081" t="s">
        <v>50</v>
      </c>
      <c r="Q2081" t="s">
        <v>198</v>
      </c>
      <c r="R2081" s="32" t="s">
        <v>7472</v>
      </c>
      <c r="S2081" t="s">
        <v>7476</v>
      </c>
      <c r="T2081" s="34" t="s">
        <v>7476</v>
      </c>
      <c r="U2081" s="34" t="s">
        <v>7476</v>
      </c>
      <c r="V2081" s="32">
        <v>44922.64775462963</v>
      </c>
      <c r="W2081" s="32" t="s">
        <v>7476</v>
      </c>
      <c r="X2081">
        <v>0</v>
      </c>
      <c r="Y2081" s="34" t="s">
        <v>7476</v>
      </c>
      <c r="Z2081" s="34" t="s">
        <v>7476</v>
      </c>
      <c r="AA2081" s="34" t="s">
        <v>7476</v>
      </c>
      <c r="AB2081" s="36" t="s">
        <v>95</v>
      </c>
      <c r="AD2081" t="s">
        <v>6460</v>
      </c>
      <c r="AE2081" t="s">
        <v>6461</v>
      </c>
      <c r="AF2081" s="16">
        <v>44916</v>
      </c>
      <c r="AG2081" t="s">
        <v>68</v>
      </c>
      <c r="AH2081">
        <v>6</v>
      </c>
      <c r="AI2081" s="8" t="str">
        <f>IFERROR(R2081-AF2081,"")</f>
        <v/>
      </c>
      <c r="AJ2081" s="8">
        <f>IFERROR(O2081-AF2081,"")</f>
        <v>5.6477546296300716</v>
      </c>
      <c r="AK2081" s="38">
        <f t="shared" si="826"/>
        <v>45102.64775462963</v>
      </c>
      <c r="AL2081" t="str">
        <f>IFERROR(Z2081-W2081,"")</f>
        <v/>
      </c>
      <c r="AM2081" t="str">
        <f>IFERROR(R2081-J2081,"")</f>
        <v/>
      </c>
      <c r="AN2081">
        <f>IFERROR(V2081-O2081,"")</f>
        <v>1</v>
      </c>
      <c r="AO2081">
        <f>IFERROR(J2081-I2081,"")</f>
        <v>2</v>
      </c>
      <c r="AP2081">
        <f>IFERROR(AC2081-X2081,"")</f>
        <v>0</v>
      </c>
      <c r="AQ2081" t="str">
        <f>IFERROR(AA2081-W2081,"")</f>
        <v/>
      </c>
    </row>
    <row r="2082" spans="1:43" x14ac:dyDescent="0.35">
      <c r="A2082">
        <v>124</v>
      </c>
      <c r="B2082" t="s">
        <v>6462</v>
      </c>
      <c r="C2082" t="s">
        <v>6123</v>
      </c>
      <c r="D2082" t="str">
        <f t="shared" si="824"/>
        <v>Communication and Advocacy</v>
      </c>
      <c r="E2082" t="s">
        <v>6341</v>
      </c>
      <c r="F2082" t="s">
        <v>695</v>
      </c>
      <c r="G2082" t="s">
        <v>6342</v>
      </c>
      <c r="H2082" t="s">
        <v>697</v>
      </c>
      <c r="I2082" s="32">
        <v>44829.472696759258</v>
      </c>
      <c r="J2082" s="32">
        <v>44831.472696759258</v>
      </c>
      <c r="K2082" s="32" t="s">
        <v>7473</v>
      </c>
      <c r="L2082" s="8" t="str">
        <f t="shared" si="825"/>
        <v/>
      </c>
      <c r="M2082" s="7">
        <v>44863.472696759258</v>
      </c>
      <c r="N2082" t="s">
        <v>49</v>
      </c>
      <c r="O2082" s="34">
        <v>44838.472696759258</v>
      </c>
      <c r="P2082" t="s">
        <v>101</v>
      </c>
      <c r="R2082" s="32">
        <v>44844.472696759258</v>
      </c>
      <c r="S2082" t="s">
        <v>101</v>
      </c>
      <c r="T2082" s="34">
        <v>44840.472696759258</v>
      </c>
      <c r="U2082" s="34">
        <v>44843.472696759258</v>
      </c>
      <c r="V2082" s="32">
        <v>44841.472696759258</v>
      </c>
      <c r="W2082" s="32">
        <v>44846.472696759258</v>
      </c>
      <c r="X2082">
        <v>1</v>
      </c>
      <c r="Y2082" s="34">
        <v>44849.472696759258</v>
      </c>
      <c r="Z2082" s="34">
        <v>44851.472696759258</v>
      </c>
      <c r="AA2082" s="34">
        <v>44853.472696759258</v>
      </c>
      <c r="AB2082" s="36" t="s">
        <v>7476</v>
      </c>
      <c r="AC2082" s="10">
        <v>44874.472696759258</v>
      </c>
      <c r="AD2082" t="s">
        <v>6463</v>
      </c>
      <c r="AE2082" t="s">
        <v>6464</v>
      </c>
      <c r="AF2082" s="16">
        <v>44826</v>
      </c>
      <c r="AG2082" t="s">
        <v>55</v>
      </c>
      <c r="AH2082">
        <v>6</v>
      </c>
      <c r="AK2082" s="38">
        <f t="shared" si="826"/>
        <v>45021.472696759258</v>
      </c>
    </row>
    <row r="2083" spans="1:43" x14ac:dyDescent="0.35">
      <c r="A2083">
        <v>50</v>
      </c>
      <c r="B2083" t="s">
        <v>6465</v>
      </c>
      <c r="C2083" t="s">
        <v>6133</v>
      </c>
      <c r="D2083" t="str">
        <f t="shared" si="824"/>
        <v>Communication and Advocacy</v>
      </c>
      <c r="E2083" t="s">
        <v>6341</v>
      </c>
      <c r="F2083" t="s">
        <v>695</v>
      </c>
      <c r="G2083" t="s">
        <v>6342</v>
      </c>
      <c r="H2083" t="s">
        <v>697</v>
      </c>
      <c r="I2083" s="32">
        <v>44625.885358796288</v>
      </c>
      <c r="J2083" s="32">
        <v>44627.885358796288</v>
      </c>
      <c r="K2083" s="32" t="s">
        <v>7473</v>
      </c>
      <c r="L2083" s="8" t="str">
        <f t="shared" si="825"/>
        <v/>
      </c>
      <c r="M2083" s="7">
        <v>44635.885358796288</v>
      </c>
      <c r="N2083" t="s">
        <v>72</v>
      </c>
      <c r="O2083" s="34" t="s">
        <v>7474</v>
      </c>
      <c r="R2083" s="32" t="s">
        <v>7472</v>
      </c>
      <c r="S2083" t="s">
        <v>7476</v>
      </c>
      <c r="T2083" s="34" t="s">
        <v>7476</v>
      </c>
      <c r="U2083" s="34" t="s">
        <v>7476</v>
      </c>
      <c r="V2083" s="32" t="s">
        <v>7476</v>
      </c>
      <c r="W2083" s="32" t="s">
        <v>7476</v>
      </c>
      <c r="X2083">
        <v>0</v>
      </c>
      <c r="Y2083" s="34" t="s">
        <v>7476</v>
      </c>
      <c r="Z2083" s="34" t="s">
        <v>7476</v>
      </c>
      <c r="AA2083" s="34" t="s">
        <v>7476</v>
      </c>
      <c r="AB2083" s="36" t="s">
        <v>7476</v>
      </c>
      <c r="AD2083" t="s">
        <v>6466</v>
      </c>
      <c r="AE2083" t="s">
        <v>6467</v>
      </c>
      <c r="AG2083" t="s">
        <v>98</v>
      </c>
      <c r="AH2083">
        <v>3</v>
      </c>
      <c r="AK2083" s="38" t="str">
        <f t="shared" si="826"/>
        <v/>
      </c>
    </row>
    <row r="2084" spans="1:43" x14ac:dyDescent="0.35">
      <c r="A2084">
        <v>44</v>
      </c>
      <c r="B2084" t="s">
        <v>6468</v>
      </c>
      <c r="C2084" t="s">
        <v>6123</v>
      </c>
      <c r="D2084" t="str">
        <f t="shared" si="824"/>
        <v>Communication and Advocacy</v>
      </c>
      <c r="E2084" t="s">
        <v>6341</v>
      </c>
      <c r="F2084" t="s">
        <v>695</v>
      </c>
      <c r="G2084" t="s">
        <v>6342</v>
      </c>
      <c r="H2084" t="s">
        <v>697</v>
      </c>
      <c r="I2084" s="32">
        <v>44624.885358796288</v>
      </c>
      <c r="J2084" s="32">
        <v>44625.885358796288</v>
      </c>
      <c r="K2084" s="32">
        <v>44629.885358796288</v>
      </c>
      <c r="L2084" s="8">
        <f t="shared" si="825"/>
        <v>5</v>
      </c>
      <c r="M2084" s="7">
        <v>44652.885358796288</v>
      </c>
      <c r="N2084" t="s">
        <v>49</v>
      </c>
      <c r="O2084" s="34">
        <v>44637.885358796288</v>
      </c>
      <c r="P2084" t="s">
        <v>50</v>
      </c>
      <c r="Q2084" t="s">
        <v>236</v>
      </c>
      <c r="R2084" s="32" t="s">
        <v>7472</v>
      </c>
      <c r="S2084" t="s">
        <v>7476</v>
      </c>
      <c r="T2084" s="34" t="s">
        <v>7476</v>
      </c>
      <c r="U2084" s="34" t="s">
        <v>7476</v>
      </c>
      <c r="V2084" s="32" t="s">
        <v>7476</v>
      </c>
      <c r="W2084" s="32" t="s">
        <v>7476</v>
      </c>
      <c r="X2084">
        <v>0</v>
      </c>
      <c r="Y2084" s="34" t="s">
        <v>7476</v>
      </c>
      <c r="Z2084" s="34" t="s">
        <v>7476</v>
      </c>
      <c r="AA2084" s="34" t="s">
        <v>7476</v>
      </c>
      <c r="AB2084" s="36" t="s">
        <v>95</v>
      </c>
      <c r="AD2084" t="s">
        <v>6469</v>
      </c>
      <c r="AE2084" t="s">
        <v>6470</v>
      </c>
      <c r="AF2084" s="16">
        <v>44629</v>
      </c>
      <c r="AG2084" t="s">
        <v>64</v>
      </c>
      <c r="AH2084">
        <v>3</v>
      </c>
      <c r="AI2084" s="8" t="str">
        <f>IFERROR(R2084-AF2084,"")</f>
        <v/>
      </c>
      <c r="AJ2084" s="8">
        <f>IFERROR(O2084-AF2084,"")</f>
        <v>8.885358796287619</v>
      </c>
      <c r="AK2084" s="38" t="str">
        <f t="shared" si="826"/>
        <v/>
      </c>
      <c r="AL2084" t="str">
        <f>IFERROR(Z2084-W2084,"")</f>
        <v/>
      </c>
      <c r="AM2084" t="str">
        <f>IFERROR(R2084-J2084,"")</f>
        <v/>
      </c>
      <c r="AN2084" t="str">
        <f>IFERROR(V2084-O2084,"")</f>
        <v/>
      </c>
      <c r="AO2084">
        <f>IFERROR(J2084-I2084,"")</f>
        <v>1</v>
      </c>
      <c r="AP2084">
        <f>IFERROR(AC2084-X2084,"")</f>
        <v>0</v>
      </c>
      <c r="AQ2084" t="str">
        <f>IFERROR(AA2084-W2084,"")</f>
        <v/>
      </c>
    </row>
    <row r="2085" spans="1:43" x14ac:dyDescent="0.35">
      <c r="A2085">
        <v>355</v>
      </c>
      <c r="B2085" t="s">
        <v>6471</v>
      </c>
      <c r="C2085" t="s">
        <v>6123</v>
      </c>
      <c r="D2085" t="str">
        <f t="shared" si="824"/>
        <v>Communication and Advocacy</v>
      </c>
      <c r="E2085" t="s">
        <v>6472</v>
      </c>
      <c r="F2085" t="s">
        <v>46</v>
      </c>
      <c r="G2085" t="s">
        <v>6473</v>
      </c>
      <c r="H2085" t="s">
        <v>48</v>
      </c>
      <c r="I2085" s="32">
        <v>44835.176585648151</v>
      </c>
      <c r="J2085" s="32">
        <v>44838.176585648151</v>
      </c>
      <c r="K2085" s="32" t="s">
        <v>7473</v>
      </c>
      <c r="L2085" s="8" t="str">
        <f t="shared" si="825"/>
        <v/>
      </c>
      <c r="M2085" s="7">
        <v>44863.176585648151</v>
      </c>
      <c r="N2085" t="s">
        <v>49</v>
      </c>
      <c r="O2085" s="34">
        <v>44850.176585648151</v>
      </c>
      <c r="P2085" t="s">
        <v>50</v>
      </c>
      <c r="Q2085" t="s">
        <v>51</v>
      </c>
      <c r="R2085" s="32" t="s">
        <v>7472</v>
      </c>
      <c r="S2085" t="s">
        <v>7476</v>
      </c>
      <c r="T2085" s="34" t="s">
        <v>7476</v>
      </c>
      <c r="U2085" s="34" t="s">
        <v>7476</v>
      </c>
      <c r="V2085" s="32" t="s">
        <v>7476</v>
      </c>
      <c r="W2085" s="32" t="s">
        <v>7476</v>
      </c>
      <c r="X2085">
        <v>0</v>
      </c>
      <c r="Y2085" s="34" t="s">
        <v>7476</v>
      </c>
      <c r="Z2085" s="34" t="s">
        <v>7476</v>
      </c>
      <c r="AA2085" s="34" t="s">
        <v>7476</v>
      </c>
      <c r="AB2085" s="36" t="s">
        <v>95</v>
      </c>
      <c r="AD2085" t="s">
        <v>6474</v>
      </c>
      <c r="AE2085" t="s">
        <v>6475</v>
      </c>
      <c r="AF2085" s="16">
        <v>44837</v>
      </c>
      <c r="AG2085" t="s">
        <v>75</v>
      </c>
      <c r="AH2085">
        <v>3</v>
      </c>
      <c r="AK2085" s="38" t="str">
        <f t="shared" si="826"/>
        <v/>
      </c>
    </row>
    <row r="2086" spans="1:43" x14ac:dyDescent="0.35">
      <c r="A2086">
        <v>330</v>
      </c>
      <c r="B2086" t="s">
        <v>6476</v>
      </c>
      <c r="C2086" t="s">
        <v>6133</v>
      </c>
      <c r="D2086" t="str">
        <f t="shared" si="824"/>
        <v>Communication and Advocacy</v>
      </c>
      <c r="E2086" t="s">
        <v>6472</v>
      </c>
      <c r="F2086" t="s">
        <v>46</v>
      </c>
      <c r="G2086" t="s">
        <v>6473</v>
      </c>
      <c r="H2086" t="s">
        <v>48</v>
      </c>
      <c r="I2086" s="32">
        <v>44573.917696759258</v>
      </c>
      <c r="J2086" s="32">
        <v>44576.917696759258</v>
      </c>
      <c r="K2086" s="32">
        <v>44582.917696759258</v>
      </c>
      <c r="L2086" s="8">
        <f t="shared" si="825"/>
        <v>9</v>
      </c>
      <c r="M2086" s="7">
        <v>44611.917696759258</v>
      </c>
      <c r="N2086" t="s">
        <v>49</v>
      </c>
      <c r="O2086" s="34">
        <v>44590.917696759258</v>
      </c>
      <c r="P2086" t="s">
        <v>50</v>
      </c>
      <c r="Q2086" t="s">
        <v>125</v>
      </c>
      <c r="R2086" s="32" t="s">
        <v>7472</v>
      </c>
      <c r="S2086" t="s">
        <v>7476</v>
      </c>
      <c r="T2086" s="34" t="s">
        <v>7476</v>
      </c>
      <c r="U2086" s="34" t="s">
        <v>7476</v>
      </c>
      <c r="V2086" s="32">
        <v>44593.917696759258</v>
      </c>
      <c r="W2086" s="32" t="s">
        <v>7476</v>
      </c>
      <c r="X2086">
        <v>0</v>
      </c>
      <c r="Y2086" s="34" t="s">
        <v>7476</v>
      </c>
      <c r="Z2086" s="34" t="s">
        <v>7476</v>
      </c>
      <c r="AA2086" s="34" t="s">
        <v>7476</v>
      </c>
      <c r="AB2086" s="36" t="s">
        <v>52</v>
      </c>
      <c r="AD2086" t="s">
        <v>6477</v>
      </c>
      <c r="AE2086" t="s">
        <v>6478</v>
      </c>
      <c r="AF2086" s="16">
        <v>44578</v>
      </c>
      <c r="AG2086" t="s">
        <v>64</v>
      </c>
      <c r="AH2086">
        <v>3</v>
      </c>
      <c r="AI2086" s="8" t="str">
        <f>IFERROR(R2086-AF2086,"")</f>
        <v/>
      </c>
      <c r="AJ2086" s="8">
        <f>IFERROR(O2086-AF2086,"")</f>
        <v>12.917696759257524</v>
      </c>
      <c r="AK2086" s="38">
        <f t="shared" si="826"/>
        <v>44683.917696759258</v>
      </c>
      <c r="AL2086" t="str">
        <f>IFERROR(Z2086-W2086,"")</f>
        <v/>
      </c>
      <c r="AM2086" t="str">
        <f>IFERROR(R2086-J2086,"")</f>
        <v/>
      </c>
      <c r="AN2086">
        <f>IFERROR(V2086-O2086,"")</f>
        <v>3</v>
      </c>
      <c r="AO2086">
        <f>IFERROR(J2086-I2086,"")</f>
        <v>3</v>
      </c>
      <c r="AP2086">
        <f>IFERROR(AC2086-X2086,"")</f>
        <v>0</v>
      </c>
      <c r="AQ2086" t="str">
        <f>IFERROR(AA2086-W2086,"")</f>
        <v/>
      </c>
    </row>
    <row r="2087" spans="1:43" x14ac:dyDescent="0.35">
      <c r="A2087">
        <v>296</v>
      </c>
      <c r="B2087" t="s">
        <v>6479</v>
      </c>
      <c r="C2087" t="s">
        <v>6108</v>
      </c>
      <c r="D2087" t="str">
        <f t="shared" si="824"/>
        <v>Communication and Advocacy</v>
      </c>
      <c r="E2087" t="s">
        <v>6472</v>
      </c>
      <c r="F2087" t="s">
        <v>46</v>
      </c>
      <c r="G2087" t="s">
        <v>6473</v>
      </c>
      <c r="H2087" t="s">
        <v>48</v>
      </c>
      <c r="I2087" s="32">
        <v>45130.740011574067</v>
      </c>
      <c r="J2087" s="32">
        <v>45133.740011574067</v>
      </c>
      <c r="K2087" s="32">
        <v>45138.740011574067</v>
      </c>
      <c r="L2087" s="8">
        <f t="shared" si="825"/>
        <v>8</v>
      </c>
      <c r="M2087" s="7">
        <v>45143.740011574067</v>
      </c>
      <c r="N2087" t="s">
        <v>49</v>
      </c>
      <c r="O2087" s="34">
        <v>45150.740011574067</v>
      </c>
      <c r="P2087" t="s">
        <v>50</v>
      </c>
      <c r="Q2087" t="s">
        <v>198</v>
      </c>
      <c r="R2087" s="32" t="s">
        <v>7472</v>
      </c>
      <c r="S2087" t="s">
        <v>7476</v>
      </c>
      <c r="T2087" s="34" t="s">
        <v>7476</v>
      </c>
      <c r="U2087" s="34" t="s">
        <v>7476</v>
      </c>
      <c r="V2087" s="32" t="s">
        <v>7476</v>
      </c>
      <c r="W2087" s="32" t="s">
        <v>7476</v>
      </c>
      <c r="X2087">
        <v>0</v>
      </c>
      <c r="Y2087" s="34" t="s">
        <v>7476</v>
      </c>
      <c r="Z2087" s="34" t="s">
        <v>7476</v>
      </c>
      <c r="AA2087" s="34" t="s">
        <v>7476</v>
      </c>
      <c r="AB2087" s="36" t="s">
        <v>52</v>
      </c>
      <c r="AD2087" t="s">
        <v>6480</v>
      </c>
      <c r="AE2087" t="s">
        <v>6481</v>
      </c>
      <c r="AF2087" s="16">
        <v>45136</v>
      </c>
      <c r="AG2087" t="s">
        <v>68</v>
      </c>
      <c r="AH2087">
        <v>6</v>
      </c>
      <c r="AI2087" s="8" t="str">
        <f>IFERROR(R2087-AF2087,"")</f>
        <v/>
      </c>
      <c r="AJ2087" s="8">
        <f>IFERROR(O2087-AF2087,"")</f>
        <v>14.740011574067466</v>
      </c>
      <c r="AK2087" s="38" t="str">
        <f t="shared" si="826"/>
        <v/>
      </c>
      <c r="AL2087" t="str">
        <f>IFERROR(Z2087-W2087,"")</f>
        <v/>
      </c>
      <c r="AM2087" t="str">
        <f>IFERROR(R2087-J2087,"")</f>
        <v/>
      </c>
      <c r="AN2087" t="str">
        <f>IFERROR(V2087-O2087,"")</f>
        <v/>
      </c>
      <c r="AO2087">
        <f>IFERROR(J2087-I2087,"")</f>
        <v>3</v>
      </c>
      <c r="AP2087">
        <f>IFERROR(AC2087-X2087,"")</f>
        <v>0</v>
      </c>
      <c r="AQ2087" t="str">
        <f>IFERROR(AA2087-W2087,"")</f>
        <v/>
      </c>
    </row>
    <row r="2088" spans="1:43" x14ac:dyDescent="0.35">
      <c r="A2088">
        <v>277</v>
      </c>
      <c r="B2088" t="s">
        <v>6482</v>
      </c>
      <c r="C2088" t="s">
        <v>6133</v>
      </c>
      <c r="D2088" t="str">
        <f t="shared" si="824"/>
        <v>Communication and Advocacy</v>
      </c>
      <c r="E2088" t="s">
        <v>6472</v>
      </c>
      <c r="F2088" t="s">
        <v>46</v>
      </c>
      <c r="G2088" t="s">
        <v>6473</v>
      </c>
      <c r="H2088" t="s">
        <v>48</v>
      </c>
      <c r="I2088" s="32">
        <v>44845.592418981483</v>
      </c>
      <c r="J2088" s="32" t="s">
        <v>7471</v>
      </c>
      <c r="K2088" s="32">
        <v>44852.592418981483</v>
      </c>
      <c r="L2088" s="8">
        <f t="shared" si="825"/>
        <v>7</v>
      </c>
      <c r="M2088" s="7">
        <v>44877.592418981483</v>
      </c>
      <c r="N2088" t="s">
        <v>49</v>
      </c>
      <c r="O2088" s="34">
        <v>44866.592418981483</v>
      </c>
      <c r="P2088" t="s">
        <v>50</v>
      </c>
      <c r="Q2088" t="s">
        <v>198</v>
      </c>
      <c r="R2088" s="32" t="s">
        <v>7472</v>
      </c>
      <c r="S2088" t="s">
        <v>7476</v>
      </c>
      <c r="T2088" s="34" t="s">
        <v>7476</v>
      </c>
      <c r="U2088" s="34" t="s">
        <v>7476</v>
      </c>
      <c r="V2088" s="32">
        <v>44870.592418981483</v>
      </c>
      <c r="W2088" s="32" t="s">
        <v>7476</v>
      </c>
      <c r="X2088">
        <v>0</v>
      </c>
      <c r="Y2088" s="34" t="s">
        <v>7476</v>
      </c>
      <c r="Z2088" s="34" t="s">
        <v>7476</v>
      </c>
      <c r="AA2088" s="34" t="s">
        <v>7476</v>
      </c>
      <c r="AB2088" s="36" t="s">
        <v>52</v>
      </c>
      <c r="AD2088" t="s">
        <v>6483</v>
      </c>
      <c r="AE2088" t="s">
        <v>6484</v>
      </c>
      <c r="AF2088" s="16">
        <v>44859</v>
      </c>
      <c r="AG2088" t="s">
        <v>98</v>
      </c>
      <c r="AH2088">
        <v>6</v>
      </c>
      <c r="AK2088" s="38">
        <f t="shared" si="826"/>
        <v>45050.592418981483</v>
      </c>
    </row>
    <row r="2089" spans="1:43" x14ac:dyDescent="0.35">
      <c r="A2089">
        <v>273</v>
      </c>
      <c r="B2089" t="s">
        <v>6485</v>
      </c>
      <c r="C2089" t="s">
        <v>6133</v>
      </c>
      <c r="D2089" t="str">
        <f t="shared" si="824"/>
        <v>Communication and Advocacy</v>
      </c>
      <c r="E2089" t="s">
        <v>6472</v>
      </c>
      <c r="F2089" t="s">
        <v>46</v>
      </c>
      <c r="G2089" t="s">
        <v>6473</v>
      </c>
      <c r="H2089" t="s">
        <v>48</v>
      </c>
      <c r="I2089" s="32">
        <v>44848.592418981483</v>
      </c>
      <c r="J2089" s="32">
        <v>44850.592418981483</v>
      </c>
      <c r="K2089" s="32">
        <v>44852.592418981483</v>
      </c>
      <c r="L2089" s="8">
        <f t="shared" si="825"/>
        <v>4</v>
      </c>
      <c r="M2089" s="7">
        <v>44869.592418981483</v>
      </c>
      <c r="N2089" t="s">
        <v>49</v>
      </c>
      <c r="O2089" s="34">
        <v>44866.592418981483</v>
      </c>
      <c r="P2089" t="s">
        <v>392</v>
      </c>
      <c r="R2089" s="32">
        <v>44870.592418981483</v>
      </c>
      <c r="S2089" t="s">
        <v>392</v>
      </c>
      <c r="T2089" s="34" t="s">
        <v>7476</v>
      </c>
      <c r="U2089" s="34" t="s">
        <v>7476</v>
      </c>
      <c r="V2089" s="32">
        <v>44867.592418981483</v>
      </c>
      <c r="W2089" s="32" t="s">
        <v>7476</v>
      </c>
      <c r="X2089">
        <v>0</v>
      </c>
      <c r="Y2089" s="34" t="s">
        <v>7476</v>
      </c>
      <c r="Z2089" s="34" t="s">
        <v>7476</v>
      </c>
      <c r="AA2089" s="34" t="s">
        <v>7476</v>
      </c>
      <c r="AB2089" s="36" t="s">
        <v>7476</v>
      </c>
      <c r="AD2089" t="s">
        <v>6486</v>
      </c>
      <c r="AE2089" t="s">
        <v>6487</v>
      </c>
      <c r="AF2089" s="16">
        <v>44849</v>
      </c>
      <c r="AG2089" t="s">
        <v>98</v>
      </c>
      <c r="AH2089">
        <v>3</v>
      </c>
      <c r="AI2089" s="8">
        <f>IFERROR(R2089-AF2089,"")</f>
        <v>21.592418981483206</v>
      </c>
      <c r="AJ2089" s="8">
        <f>IFERROR(O2089-AF2089,"")</f>
        <v>17.592418981483206</v>
      </c>
      <c r="AK2089" s="38">
        <f t="shared" si="826"/>
        <v>44957.592418981483</v>
      </c>
      <c r="AL2089" t="str">
        <f>IFERROR(Z2089-W2089,"")</f>
        <v/>
      </c>
      <c r="AM2089">
        <f>IFERROR(R2089-J2089,"")</f>
        <v>20</v>
      </c>
      <c r="AN2089">
        <f>IFERROR(V2089-O2089,"")</f>
        <v>1</v>
      </c>
      <c r="AO2089">
        <f>IFERROR(J2089-I2089,"")</f>
        <v>2</v>
      </c>
      <c r="AP2089">
        <f>IFERROR(AC2089-X2089,"")</f>
        <v>0</v>
      </c>
      <c r="AQ2089" t="str">
        <f>IFERROR(AA2089-W2089,"")</f>
        <v/>
      </c>
    </row>
    <row r="2090" spans="1:43" x14ac:dyDescent="0.35">
      <c r="A2090">
        <v>196</v>
      </c>
      <c r="B2090" t="s">
        <v>6488</v>
      </c>
      <c r="C2090" t="s">
        <v>6108</v>
      </c>
      <c r="D2090" t="str">
        <f t="shared" si="824"/>
        <v>Communication and Advocacy</v>
      </c>
      <c r="E2090" t="s">
        <v>6472</v>
      </c>
      <c r="F2090" t="s">
        <v>46</v>
      </c>
      <c r="G2090" t="s">
        <v>6473</v>
      </c>
      <c r="H2090" t="s">
        <v>48</v>
      </c>
      <c r="I2090" s="32">
        <v>44722.769965277781</v>
      </c>
      <c r="J2090" s="32" t="s">
        <v>7471</v>
      </c>
      <c r="K2090" s="32" t="s">
        <v>7473</v>
      </c>
      <c r="L2090" s="8" t="str">
        <f t="shared" si="825"/>
        <v/>
      </c>
      <c r="M2090" s="7">
        <v>44761.769965277781</v>
      </c>
      <c r="N2090" t="s">
        <v>49</v>
      </c>
      <c r="O2090" s="34">
        <v>44743.769965277781</v>
      </c>
      <c r="P2090" t="s">
        <v>60</v>
      </c>
      <c r="R2090" s="32">
        <v>44749.769965277781</v>
      </c>
      <c r="S2090" t="s">
        <v>61</v>
      </c>
      <c r="T2090" s="34" t="s">
        <v>7476</v>
      </c>
      <c r="U2090" s="34" t="s">
        <v>7476</v>
      </c>
      <c r="V2090" s="32">
        <v>44746.769965277781</v>
      </c>
      <c r="W2090" s="32" t="s">
        <v>7476</v>
      </c>
      <c r="X2090">
        <v>0</v>
      </c>
      <c r="Y2090" s="34" t="s">
        <v>7476</v>
      </c>
      <c r="Z2090" s="34" t="s">
        <v>7476</v>
      </c>
      <c r="AA2090" s="34" t="s">
        <v>7476</v>
      </c>
      <c r="AB2090" s="36" t="s">
        <v>7476</v>
      </c>
      <c r="AD2090" t="s">
        <v>6489</v>
      </c>
      <c r="AE2090" t="s">
        <v>6490</v>
      </c>
      <c r="AF2090" s="16">
        <v>44724</v>
      </c>
      <c r="AG2090" t="s">
        <v>98</v>
      </c>
      <c r="AH2090">
        <v>3</v>
      </c>
      <c r="AK2090" s="38">
        <f t="shared" si="826"/>
        <v>44836.769965277781</v>
      </c>
    </row>
    <row r="2091" spans="1:43" x14ac:dyDescent="0.35">
      <c r="A2091">
        <v>170</v>
      </c>
      <c r="B2091" t="s">
        <v>6491</v>
      </c>
      <c r="C2091" t="s">
        <v>6108</v>
      </c>
      <c r="D2091" t="str">
        <f t="shared" si="824"/>
        <v>Communication and Advocacy</v>
      </c>
      <c r="E2091" t="s">
        <v>6472</v>
      </c>
      <c r="F2091" t="s">
        <v>46</v>
      </c>
      <c r="G2091" t="s">
        <v>6473</v>
      </c>
      <c r="H2091" t="s">
        <v>48</v>
      </c>
      <c r="I2091" s="32" t="s">
        <v>7471</v>
      </c>
      <c r="J2091" s="32">
        <v>44905.64775462963</v>
      </c>
      <c r="K2091" s="32">
        <v>44911.64775462963</v>
      </c>
      <c r="L2091" s="8" t="str">
        <f t="shared" si="825"/>
        <v/>
      </c>
      <c r="M2091" s="7">
        <v>44921.64775462963</v>
      </c>
      <c r="N2091" t="s">
        <v>49</v>
      </c>
      <c r="O2091" s="34">
        <v>44915.64775462963</v>
      </c>
      <c r="P2091" t="s">
        <v>60</v>
      </c>
      <c r="R2091" s="32">
        <v>44919.64775462963</v>
      </c>
      <c r="S2091" t="s">
        <v>61</v>
      </c>
      <c r="T2091" s="34" t="s">
        <v>7476</v>
      </c>
      <c r="U2091" s="34" t="s">
        <v>7476</v>
      </c>
      <c r="V2091" s="32">
        <v>44917.64775462963</v>
      </c>
      <c r="W2091" s="32" t="s">
        <v>7476</v>
      </c>
      <c r="X2091">
        <v>0</v>
      </c>
      <c r="Y2091" s="34" t="s">
        <v>7476</v>
      </c>
      <c r="Z2091" s="34" t="s">
        <v>7476</v>
      </c>
      <c r="AA2091" s="34" t="s">
        <v>7476</v>
      </c>
      <c r="AB2091" s="36" t="s">
        <v>7476</v>
      </c>
      <c r="AD2091" t="s">
        <v>6492</v>
      </c>
      <c r="AE2091" t="s">
        <v>6493</v>
      </c>
      <c r="AF2091" s="16">
        <v>44906</v>
      </c>
      <c r="AG2091" t="s">
        <v>75</v>
      </c>
      <c r="AH2091">
        <v>3</v>
      </c>
      <c r="AK2091" s="38">
        <f t="shared" si="826"/>
        <v>45007.64775462963</v>
      </c>
    </row>
    <row r="2092" spans="1:43" x14ac:dyDescent="0.35">
      <c r="A2092">
        <v>165</v>
      </c>
      <c r="B2092" t="s">
        <v>6494</v>
      </c>
      <c r="C2092" t="s">
        <v>6133</v>
      </c>
      <c r="D2092" t="str">
        <f t="shared" si="824"/>
        <v>Communication and Advocacy</v>
      </c>
      <c r="E2092" t="s">
        <v>6472</v>
      </c>
      <c r="F2092" t="s">
        <v>46</v>
      </c>
      <c r="G2092" t="s">
        <v>6473</v>
      </c>
      <c r="H2092" t="s">
        <v>48</v>
      </c>
      <c r="I2092" s="32">
        <v>44902.64775462963</v>
      </c>
      <c r="J2092" s="32">
        <v>44906.64775462963</v>
      </c>
      <c r="K2092" s="32">
        <v>44911.64775462963</v>
      </c>
      <c r="L2092" s="8">
        <f t="shared" si="825"/>
        <v>9</v>
      </c>
      <c r="M2092" s="7">
        <v>44941.64775462963</v>
      </c>
      <c r="N2092" t="s">
        <v>49</v>
      </c>
      <c r="O2092" s="34">
        <v>44922.64775462963</v>
      </c>
      <c r="P2092" t="s">
        <v>50</v>
      </c>
      <c r="Q2092" t="s">
        <v>125</v>
      </c>
      <c r="R2092" s="32" t="s">
        <v>7472</v>
      </c>
      <c r="S2092" t="s">
        <v>7476</v>
      </c>
      <c r="T2092" s="34" t="s">
        <v>7476</v>
      </c>
      <c r="U2092" s="34" t="s">
        <v>7476</v>
      </c>
      <c r="V2092" s="32" t="s">
        <v>7476</v>
      </c>
      <c r="W2092" s="32" t="s">
        <v>7476</v>
      </c>
      <c r="X2092">
        <v>0</v>
      </c>
      <c r="Y2092" s="34" t="s">
        <v>7476</v>
      </c>
      <c r="Z2092" s="34" t="s">
        <v>7476</v>
      </c>
      <c r="AA2092" s="34" t="s">
        <v>7476</v>
      </c>
      <c r="AB2092" s="36" t="s">
        <v>52</v>
      </c>
      <c r="AD2092" t="s">
        <v>6495</v>
      </c>
      <c r="AE2092" t="s">
        <v>6496</v>
      </c>
      <c r="AF2092" s="16">
        <v>44914</v>
      </c>
      <c r="AG2092" t="s">
        <v>68</v>
      </c>
      <c r="AH2092">
        <v>3</v>
      </c>
      <c r="AI2092" s="8" t="str">
        <f>IFERROR(R2092-AF2092,"")</f>
        <v/>
      </c>
      <c r="AJ2092" s="8">
        <f>IFERROR(O2092-AF2092,"")</f>
        <v>8.6477546296300716</v>
      </c>
      <c r="AK2092" s="38" t="str">
        <f t="shared" si="826"/>
        <v/>
      </c>
      <c r="AL2092" t="str">
        <f>IFERROR(Z2092-W2092,"")</f>
        <v/>
      </c>
      <c r="AM2092" t="str">
        <f>IFERROR(R2092-J2092,"")</f>
        <v/>
      </c>
      <c r="AN2092" t="str">
        <f>IFERROR(V2092-O2092,"")</f>
        <v/>
      </c>
      <c r="AO2092">
        <f>IFERROR(J2092-I2092,"")</f>
        <v>4</v>
      </c>
      <c r="AP2092">
        <f>IFERROR(AC2092-X2092,"")</f>
        <v>0</v>
      </c>
      <c r="AQ2092" t="str">
        <f>IFERROR(AA2092-W2092,"")</f>
        <v/>
      </c>
    </row>
    <row r="2093" spans="1:43" x14ac:dyDescent="0.35">
      <c r="A2093">
        <v>130</v>
      </c>
      <c r="B2093" t="s">
        <v>6497</v>
      </c>
      <c r="C2093" t="s">
        <v>6108</v>
      </c>
      <c r="D2093" t="str">
        <f t="shared" si="824"/>
        <v>Communication and Advocacy</v>
      </c>
      <c r="E2093" t="s">
        <v>6472</v>
      </c>
      <c r="F2093" t="s">
        <v>46</v>
      </c>
      <c r="G2093" t="s">
        <v>6473</v>
      </c>
      <c r="H2093" t="s">
        <v>48</v>
      </c>
      <c r="I2093" s="32" t="s">
        <v>7471</v>
      </c>
      <c r="J2093" s="32">
        <v>44832.472696759258</v>
      </c>
      <c r="K2093" s="32" t="s">
        <v>7473</v>
      </c>
      <c r="L2093" s="8" t="str">
        <f t="shared" si="825"/>
        <v/>
      </c>
      <c r="M2093" s="7">
        <v>44848.472696759258</v>
      </c>
      <c r="N2093" t="s">
        <v>49</v>
      </c>
      <c r="O2093" s="34">
        <v>44837.472696759258</v>
      </c>
      <c r="P2093" t="s">
        <v>50</v>
      </c>
      <c r="Q2093" t="s">
        <v>236</v>
      </c>
      <c r="R2093" s="32" t="s">
        <v>7472</v>
      </c>
      <c r="S2093" t="s">
        <v>7476</v>
      </c>
      <c r="T2093" s="34" t="s">
        <v>7476</v>
      </c>
      <c r="U2093" s="34" t="s">
        <v>7476</v>
      </c>
      <c r="V2093" s="32" t="s">
        <v>7476</v>
      </c>
      <c r="W2093" s="32" t="s">
        <v>7476</v>
      </c>
      <c r="X2093">
        <v>0</v>
      </c>
      <c r="Y2093" s="34" t="s">
        <v>7476</v>
      </c>
      <c r="Z2093" s="34" t="s">
        <v>7476</v>
      </c>
      <c r="AA2093" s="34" t="s">
        <v>7476</v>
      </c>
      <c r="AB2093" s="36" t="s">
        <v>95</v>
      </c>
      <c r="AD2093" t="s">
        <v>6498</v>
      </c>
      <c r="AE2093" t="s">
        <v>6499</v>
      </c>
      <c r="AF2093" s="16">
        <v>44831</v>
      </c>
      <c r="AG2093" t="s">
        <v>93</v>
      </c>
      <c r="AH2093">
        <v>6</v>
      </c>
      <c r="AK2093" s="38" t="str">
        <f t="shared" si="826"/>
        <v/>
      </c>
    </row>
    <row r="2094" spans="1:43" x14ac:dyDescent="0.35">
      <c r="A2094">
        <v>129</v>
      </c>
      <c r="B2094" t="s">
        <v>6500</v>
      </c>
      <c r="C2094" t="s">
        <v>6108</v>
      </c>
      <c r="D2094" t="str">
        <f t="shared" si="824"/>
        <v>Communication and Advocacy</v>
      </c>
      <c r="E2094" t="s">
        <v>6472</v>
      </c>
      <c r="F2094" t="s">
        <v>46</v>
      </c>
      <c r="G2094" t="s">
        <v>6473</v>
      </c>
      <c r="H2094" t="s">
        <v>48</v>
      </c>
      <c r="I2094" s="32">
        <v>44829.472696759258</v>
      </c>
      <c r="J2094" s="32">
        <v>44830.472696759258</v>
      </c>
      <c r="K2094" s="32">
        <v>44833.472696759258</v>
      </c>
      <c r="L2094" s="8">
        <f t="shared" si="825"/>
        <v>4</v>
      </c>
      <c r="M2094" s="7">
        <v>44858.472696759258</v>
      </c>
      <c r="N2094" t="s">
        <v>49</v>
      </c>
      <c r="O2094" s="34">
        <v>44843.472696759258</v>
      </c>
      <c r="P2094" t="s">
        <v>101</v>
      </c>
      <c r="R2094" s="32">
        <v>44848.472696759258</v>
      </c>
      <c r="S2094" t="s">
        <v>101</v>
      </c>
      <c r="T2094" s="34">
        <v>44844.472696759258</v>
      </c>
      <c r="U2094" s="34">
        <v>44846.472696759258</v>
      </c>
      <c r="V2094" s="32">
        <v>44847.472696759258</v>
      </c>
      <c r="W2094" s="32">
        <v>44854.472696759258</v>
      </c>
      <c r="X2094">
        <v>1</v>
      </c>
      <c r="Y2094" s="34">
        <v>44857.472696759258</v>
      </c>
      <c r="Z2094" s="34">
        <v>44860.472696759258</v>
      </c>
      <c r="AA2094" s="34">
        <v>44863.472696759258</v>
      </c>
      <c r="AB2094" s="36" t="s">
        <v>7476</v>
      </c>
      <c r="AC2094" s="10">
        <v>44873.472696759258</v>
      </c>
      <c r="AD2094" t="s">
        <v>6501</v>
      </c>
      <c r="AE2094" t="s">
        <v>6502</v>
      </c>
      <c r="AF2094" s="16">
        <v>44826</v>
      </c>
      <c r="AG2094" t="s">
        <v>64</v>
      </c>
      <c r="AH2094">
        <v>6</v>
      </c>
      <c r="AI2094" s="8">
        <f>IFERROR(R2094-AF2094,"")</f>
        <v>22.472696759257815</v>
      </c>
      <c r="AJ2094" s="8">
        <f>IFERROR(O2094-AF2094,"")</f>
        <v>17.472696759257815</v>
      </c>
      <c r="AK2094" s="38">
        <f t="shared" si="826"/>
        <v>45027.472696759258</v>
      </c>
      <c r="AL2094">
        <f>IFERROR(Z2094-W2094,"")</f>
        <v>6</v>
      </c>
      <c r="AM2094">
        <f>IFERROR(R2094-J2094,"")</f>
        <v>18</v>
      </c>
      <c r="AN2094">
        <f>IFERROR(V2094-O2094,"")</f>
        <v>4</v>
      </c>
      <c r="AO2094">
        <f>IFERROR(J2094-I2094,"")</f>
        <v>1</v>
      </c>
      <c r="AP2094">
        <f>IFERROR(AC2094-X2094,"")</f>
        <v>44872.472696759258</v>
      </c>
      <c r="AQ2094">
        <f>IFERROR(AA2094-W2094,"")</f>
        <v>9</v>
      </c>
    </row>
    <row r="2095" spans="1:43" x14ac:dyDescent="0.35">
      <c r="A2095">
        <v>128</v>
      </c>
      <c r="B2095" t="s">
        <v>6503</v>
      </c>
      <c r="C2095" t="s">
        <v>6133</v>
      </c>
      <c r="D2095" t="str">
        <f t="shared" si="824"/>
        <v>Communication and Advocacy</v>
      </c>
      <c r="E2095" t="s">
        <v>6472</v>
      </c>
      <c r="F2095" t="s">
        <v>46</v>
      </c>
      <c r="G2095" t="s">
        <v>6473</v>
      </c>
      <c r="H2095" t="s">
        <v>48</v>
      </c>
      <c r="I2095" s="32">
        <v>44827.472696759258</v>
      </c>
      <c r="J2095" s="32">
        <v>44829.472696759258</v>
      </c>
      <c r="K2095" s="32">
        <v>44833.472696759258</v>
      </c>
      <c r="L2095" s="8">
        <f t="shared" si="825"/>
        <v>6</v>
      </c>
      <c r="M2095" s="7">
        <v>44839.472696759258</v>
      </c>
      <c r="N2095" t="s">
        <v>49</v>
      </c>
      <c r="O2095" s="34">
        <v>44850.472696759258</v>
      </c>
      <c r="P2095" t="s">
        <v>392</v>
      </c>
      <c r="R2095" s="32">
        <v>44856.472696759258</v>
      </c>
      <c r="S2095" t="s">
        <v>392</v>
      </c>
      <c r="T2095" s="34" t="s">
        <v>7476</v>
      </c>
      <c r="U2095" s="34" t="s">
        <v>7476</v>
      </c>
      <c r="V2095" s="32">
        <v>44852.472696759258</v>
      </c>
      <c r="W2095" s="32" t="s">
        <v>7476</v>
      </c>
      <c r="X2095">
        <v>0</v>
      </c>
      <c r="Y2095" s="34" t="s">
        <v>7476</v>
      </c>
      <c r="Z2095" s="34" t="s">
        <v>7476</v>
      </c>
      <c r="AA2095" s="34" t="s">
        <v>7476</v>
      </c>
      <c r="AB2095" s="36" t="s">
        <v>7476</v>
      </c>
      <c r="AD2095" t="s">
        <v>6504</v>
      </c>
      <c r="AE2095" t="s">
        <v>6505</v>
      </c>
      <c r="AF2095" s="16">
        <v>44840</v>
      </c>
      <c r="AG2095" t="s">
        <v>64</v>
      </c>
      <c r="AH2095">
        <v>6</v>
      </c>
      <c r="AI2095" s="8">
        <f>IFERROR(R2095-AF2095,"")</f>
        <v>16.472696759257815</v>
      </c>
      <c r="AJ2095" s="8">
        <f>IFERROR(O2095-AF2095,"")</f>
        <v>10.472696759257815</v>
      </c>
      <c r="AK2095" s="38">
        <f t="shared" si="826"/>
        <v>45032.472696759258</v>
      </c>
      <c r="AL2095" t="str">
        <f>IFERROR(Z2095-W2095,"")</f>
        <v/>
      </c>
      <c r="AM2095">
        <f>IFERROR(R2095-J2095,"")</f>
        <v>27</v>
      </c>
      <c r="AN2095">
        <f>IFERROR(V2095-O2095,"")</f>
        <v>2</v>
      </c>
      <c r="AO2095">
        <f>IFERROR(J2095-I2095,"")</f>
        <v>2</v>
      </c>
      <c r="AP2095">
        <f>IFERROR(AC2095-X2095,"")</f>
        <v>0</v>
      </c>
      <c r="AQ2095" t="str">
        <f>IFERROR(AA2095-W2095,"")</f>
        <v/>
      </c>
    </row>
    <row r="2096" spans="1:43" x14ac:dyDescent="0.35">
      <c r="A2096">
        <v>127</v>
      </c>
      <c r="B2096" t="s">
        <v>6506</v>
      </c>
      <c r="C2096" t="s">
        <v>6133</v>
      </c>
      <c r="D2096" t="str">
        <f t="shared" si="824"/>
        <v>Communication and Advocacy</v>
      </c>
      <c r="E2096" t="s">
        <v>6472</v>
      </c>
      <c r="F2096" t="s">
        <v>46</v>
      </c>
      <c r="G2096" t="s">
        <v>6473</v>
      </c>
      <c r="H2096" t="s">
        <v>48</v>
      </c>
      <c r="I2096" s="32">
        <v>44826.472696759258</v>
      </c>
      <c r="J2096" s="32">
        <v>44827.472696759258</v>
      </c>
      <c r="K2096" s="32">
        <v>44833.472696759258</v>
      </c>
      <c r="L2096" s="8">
        <f t="shared" si="825"/>
        <v>7</v>
      </c>
      <c r="M2096" s="7">
        <v>44857.472696759258</v>
      </c>
      <c r="N2096" t="s">
        <v>49</v>
      </c>
      <c r="O2096" s="34">
        <v>44842.472696759258</v>
      </c>
      <c r="P2096" t="s">
        <v>50</v>
      </c>
      <c r="Q2096" t="s">
        <v>51</v>
      </c>
      <c r="R2096" s="32" t="s">
        <v>7472</v>
      </c>
      <c r="S2096" t="s">
        <v>7476</v>
      </c>
      <c r="T2096" s="34" t="s">
        <v>7476</v>
      </c>
      <c r="U2096" s="34" t="s">
        <v>7476</v>
      </c>
      <c r="V2096" s="32">
        <v>44844.472696759258</v>
      </c>
      <c r="W2096" s="32" t="s">
        <v>7476</v>
      </c>
      <c r="X2096">
        <v>0</v>
      </c>
      <c r="Y2096" s="34" t="s">
        <v>7476</v>
      </c>
      <c r="Z2096" s="34" t="s">
        <v>7476</v>
      </c>
      <c r="AA2096" s="34" t="s">
        <v>7476</v>
      </c>
      <c r="AB2096" s="36" t="s">
        <v>52</v>
      </c>
      <c r="AD2096" t="s">
        <v>6507</v>
      </c>
      <c r="AE2096" t="s">
        <v>6508</v>
      </c>
      <c r="AF2096" s="16">
        <v>44836</v>
      </c>
      <c r="AG2096" t="s">
        <v>64</v>
      </c>
      <c r="AH2096">
        <v>6</v>
      </c>
      <c r="AI2096" s="8" t="str">
        <f>IFERROR(R2096-AF2096,"")</f>
        <v/>
      </c>
      <c r="AJ2096" s="8">
        <f>IFERROR(O2096-AF2096,"")</f>
        <v>6.4726967592578148</v>
      </c>
      <c r="AK2096" s="38">
        <f t="shared" si="826"/>
        <v>45024.472696759258</v>
      </c>
      <c r="AL2096" t="str">
        <f>IFERROR(Z2096-W2096,"")</f>
        <v/>
      </c>
      <c r="AM2096" t="str">
        <f>IFERROR(R2096-J2096,"")</f>
        <v/>
      </c>
      <c r="AN2096">
        <f>IFERROR(V2096-O2096,"")</f>
        <v>2</v>
      </c>
      <c r="AO2096">
        <f>IFERROR(J2096-I2096,"")</f>
        <v>1</v>
      </c>
      <c r="AP2096">
        <f>IFERROR(AC2096-X2096,"")</f>
        <v>0</v>
      </c>
      <c r="AQ2096" t="str">
        <f>IFERROR(AA2096-W2096,"")</f>
        <v/>
      </c>
    </row>
    <row r="2097" spans="1:43" x14ac:dyDescent="0.35">
      <c r="A2097">
        <v>122</v>
      </c>
      <c r="B2097" t="s">
        <v>6509</v>
      </c>
      <c r="C2097" t="s">
        <v>6123</v>
      </c>
      <c r="D2097" t="str">
        <f t="shared" si="824"/>
        <v>Communication and Advocacy</v>
      </c>
      <c r="E2097" t="s">
        <v>6472</v>
      </c>
      <c r="F2097" t="s">
        <v>46</v>
      </c>
      <c r="G2097" t="s">
        <v>6473</v>
      </c>
      <c r="H2097" t="s">
        <v>48</v>
      </c>
      <c r="I2097" s="32">
        <v>44828.472696759258</v>
      </c>
      <c r="J2097" s="32">
        <v>44830.472696759258</v>
      </c>
      <c r="K2097" s="32">
        <v>44833.472696759258</v>
      </c>
      <c r="L2097" s="8">
        <f t="shared" si="825"/>
        <v>5</v>
      </c>
      <c r="M2097" s="7">
        <v>44839.472696759258</v>
      </c>
      <c r="N2097" t="s">
        <v>49</v>
      </c>
      <c r="O2097" s="34">
        <v>44836.472696759258</v>
      </c>
      <c r="P2097" t="s">
        <v>101</v>
      </c>
      <c r="R2097" s="32">
        <v>44843.472696759258</v>
      </c>
      <c r="S2097" t="s">
        <v>101</v>
      </c>
      <c r="T2097" s="34">
        <v>44838.472696759258</v>
      </c>
      <c r="U2097" s="34">
        <v>44842.472696759258</v>
      </c>
      <c r="V2097" s="32">
        <v>44839.472696759258</v>
      </c>
      <c r="W2097" s="32">
        <v>44846.472696759258</v>
      </c>
      <c r="X2097">
        <v>1</v>
      </c>
      <c r="Y2097" s="34">
        <v>44849.472696759258</v>
      </c>
      <c r="Z2097" s="34">
        <v>44852.472696759258</v>
      </c>
      <c r="AA2097" s="34">
        <v>44853.472696759258</v>
      </c>
      <c r="AB2097" s="36" t="s">
        <v>7476</v>
      </c>
      <c r="AC2097" s="10">
        <v>44873.472696759258</v>
      </c>
      <c r="AD2097" t="s">
        <v>6510</v>
      </c>
      <c r="AE2097" t="s">
        <v>6511</v>
      </c>
      <c r="AF2097" s="16">
        <v>44817</v>
      </c>
      <c r="AG2097" t="s">
        <v>68</v>
      </c>
      <c r="AH2097">
        <v>6</v>
      </c>
      <c r="AI2097" s="8">
        <f>IFERROR(R2097-AF2097,"")</f>
        <v>26.472696759257815</v>
      </c>
      <c r="AJ2097" s="8">
        <f>IFERROR(O2097-AF2097,"")</f>
        <v>19.472696759257815</v>
      </c>
      <c r="AK2097" s="38">
        <f t="shared" si="826"/>
        <v>45019.472696759258</v>
      </c>
      <c r="AL2097">
        <f>IFERROR(Z2097-W2097,"")</f>
        <v>6</v>
      </c>
      <c r="AM2097">
        <f>IFERROR(R2097-J2097,"")</f>
        <v>13</v>
      </c>
      <c r="AN2097">
        <f>IFERROR(V2097-O2097,"")</f>
        <v>3</v>
      </c>
      <c r="AO2097">
        <f>IFERROR(J2097-I2097,"")</f>
        <v>2</v>
      </c>
      <c r="AP2097">
        <f>IFERROR(AC2097-X2097,"")</f>
        <v>44872.472696759258</v>
      </c>
      <c r="AQ2097">
        <f>IFERROR(AA2097-W2097,"")</f>
        <v>7</v>
      </c>
    </row>
    <row r="2098" spans="1:43" x14ac:dyDescent="0.35">
      <c r="A2098">
        <v>90</v>
      </c>
      <c r="B2098" t="s">
        <v>6512</v>
      </c>
      <c r="C2098" t="s">
        <v>6133</v>
      </c>
      <c r="D2098" t="str">
        <f t="shared" si="824"/>
        <v>Communication and Advocacy</v>
      </c>
      <c r="E2098" t="s">
        <v>6472</v>
      </c>
      <c r="F2098" t="s">
        <v>46</v>
      </c>
      <c r="G2098" t="s">
        <v>6473</v>
      </c>
      <c r="H2098" t="s">
        <v>48</v>
      </c>
      <c r="I2098" s="32">
        <v>44725.092650462961</v>
      </c>
      <c r="J2098" s="32">
        <v>44728.092650462961</v>
      </c>
      <c r="K2098" s="32">
        <v>44731.092650462961</v>
      </c>
      <c r="L2098" s="8">
        <f t="shared" si="825"/>
        <v>6</v>
      </c>
      <c r="M2098" s="7">
        <v>44757.092650462961</v>
      </c>
      <c r="N2098" t="s">
        <v>72</v>
      </c>
      <c r="O2098" s="34" t="s">
        <v>7474</v>
      </c>
      <c r="R2098" s="32" t="s">
        <v>7472</v>
      </c>
      <c r="S2098" t="s">
        <v>7476</v>
      </c>
      <c r="T2098" s="34" t="s">
        <v>7476</v>
      </c>
      <c r="U2098" s="34" t="s">
        <v>7476</v>
      </c>
      <c r="V2098" s="32" t="s">
        <v>7476</v>
      </c>
      <c r="W2098" s="32" t="s">
        <v>7476</v>
      </c>
      <c r="X2098">
        <v>0</v>
      </c>
      <c r="Y2098" s="34" t="s">
        <v>7476</v>
      </c>
      <c r="Z2098" s="34" t="s">
        <v>7476</v>
      </c>
      <c r="AA2098" s="34" t="s">
        <v>7476</v>
      </c>
      <c r="AB2098" s="36" t="s">
        <v>7476</v>
      </c>
      <c r="AD2098" t="s">
        <v>6513</v>
      </c>
      <c r="AE2098" t="s">
        <v>6514</v>
      </c>
      <c r="AG2098" t="s">
        <v>68</v>
      </c>
      <c r="AH2098">
        <v>6</v>
      </c>
      <c r="AI2098" s="8" t="str">
        <f>IFERROR(R2098-AF2098,"")</f>
        <v/>
      </c>
      <c r="AJ2098" s="8" t="str">
        <f>IFERROR(O2098-AF2098,"")</f>
        <v/>
      </c>
      <c r="AK2098" s="38" t="str">
        <f t="shared" si="826"/>
        <v/>
      </c>
      <c r="AL2098" t="str">
        <f>IFERROR(Z2098-W2098,"")</f>
        <v/>
      </c>
      <c r="AM2098" t="str">
        <f>IFERROR(R2098-J2098,"")</f>
        <v/>
      </c>
      <c r="AN2098" t="str">
        <f>IFERROR(V2098-O2098,"")</f>
        <v/>
      </c>
      <c r="AO2098">
        <f>IFERROR(J2098-I2098,"")</f>
        <v>3</v>
      </c>
      <c r="AP2098">
        <f>IFERROR(AC2098-X2098,"")</f>
        <v>0</v>
      </c>
      <c r="AQ2098" t="str">
        <f>IFERROR(AA2098-W2098,"")</f>
        <v/>
      </c>
    </row>
    <row r="2099" spans="1:43" x14ac:dyDescent="0.35">
      <c r="A2099">
        <v>87</v>
      </c>
      <c r="B2099" t="s">
        <v>6515</v>
      </c>
      <c r="C2099" t="s">
        <v>6133</v>
      </c>
      <c r="D2099" t="str">
        <f t="shared" si="824"/>
        <v>Communication and Advocacy</v>
      </c>
      <c r="E2099" t="s">
        <v>6472</v>
      </c>
      <c r="F2099" t="s">
        <v>46</v>
      </c>
      <c r="G2099" t="s">
        <v>6473</v>
      </c>
      <c r="H2099" t="s">
        <v>48</v>
      </c>
      <c r="I2099" s="32">
        <v>44726.092650462961</v>
      </c>
      <c r="J2099" s="32">
        <v>44727.092650462961</v>
      </c>
      <c r="K2099" s="32" t="s">
        <v>7473</v>
      </c>
      <c r="L2099" s="8" t="str">
        <f t="shared" si="825"/>
        <v/>
      </c>
      <c r="M2099" s="7">
        <v>44753.092650462961</v>
      </c>
      <c r="N2099" t="s">
        <v>49</v>
      </c>
      <c r="O2099" s="34">
        <v>44744.092650462961</v>
      </c>
      <c r="P2099" t="s">
        <v>101</v>
      </c>
      <c r="R2099" s="32">
        <v>44747.092650462961</v>
      </c>
      <c r="S2099" t="s">
        <v>101</v>
      </c>
      <c r="T2099" s="34">
        <v>44746.092650462961</v>
      </c>
      <c r="U2099" s="34">
        <v>44747.092650462961</v>
      </c>
      <c r="V2099" s="32">
        <v>44746.092650462961</v>
      </c>
      <c r="W2099" s="32">
        <v>44755.092650462961</v>
      </c>
      <c r="X2099">
        <v>1</v>
      </c>
      <c r="Y2099" s="34">
        <v>44756.092650462961</v>
      </c>
      <c r="Z2099" s="34">
        <v>44759.092650462961</v>
      </c>
      <c r="AA2099" s="34">
        <v>44762.092650462961</v>
      </c>
      <c r="AB2099" s="36" t="s">
        <v>7476</v>
      </c>
      <c r="AC2099" s="10">
        <v>44769.092650462961</v>
      </c>
      <c r="AD2099" t="s">
        <v>6516</v>
      </c>
      <c r="AE2099" t="s">
        <v>6517</v>
      </c>
      <c r="AF2099" s="16">
        <v>44738</v>
      </c>
      <c r="AG2099" t="s">
        <v>93</v>
      </c>
      <c r="AH2099">
        <v>6</v>
      </c>
      <c r="AK2099" s="38">
        <f t="shared" si="826"/>
        <v>44926.092650462961</v>
      </c>
    </row>
    <row r="2100" spans="1:43" x14ac:dyDescent="0.35">
      <c r="A2100">
        <v>81</v>
      </c>
      <c r="B2100" t="s">
        <v>6518</v>
      </c>
      <c r="C2100" t="s">
        <v>6133</v>
      </c>
      <c r="D2100" t="str">
        <f t="shared" si="824"/>
        <v>Communication and Advocacy</v>
      </c>
      <c r="E2100" t="s">
        <v>6472</v>
      </c>
      <c r="F2100" t="s">
        <v>46</v>
      </c>
      <c r="G2100" t="s">
        <v>6473</v>
      </c>
      <c r="H2100" t="s">
        <v>48</v>
      </c>
      <c r="I2100" s="32">
        <v>44727.092650462961</v>
      </c>
      <c r="J2100" s="32">
        <v>44728.092650462961</v>
      </c>
      <c r="K2100" s="32">
        <v>44731.092650462961</v>
      </c>
      <c r="L2100" s="8">
        <f t="shared" si="825"/>
        <v>4</v>
      </c>
      <c r="M2100" s="7">
        <v>44739.092650462961</v>
      </c>
      <c r="N2100" t="s">
        <v>72</v>
      </c>
      <c r="O2100" s="34" t="s">
        <v>7474</v>
      </c>
      <c r="R2100" s="32" t="s">
        <v>7472</v>
      </c>
      <c r="S2100" t="s">
        <v>7476</v>
      </c>
      <c r="T2100" s="34" t="s">
        <v>7476</v>
      </c>
      <c r="U2100" s="34" t="s">
        <v>7476</v>
      </c>
      <c r="V2100" s="32" t="s">
        <v>7476</v>
      </c>
      <c r="W2100" s="32" t="s">
        <v>7476</v>
      </c>
      <c r="X2100">
        <v>0</v>
      </c>
      <c r="Y2100" s="34" t="s">
        <v>7476</v>
      </c>
      <c r="Z2100" s="34" t="s">
        <v>7476</v>
      </c>
      <c r="AA2100" s="34" t="s">
        <v>7476</v>
      </c>
      <c r="AB2100" s="36" t="s">
        <v>7476</v>
      </c>
      <c r="AD2100" t="s">
        <v>6519</v>
      </c>
      <c r="AE2100" t="s">
        <v>6520</v>
      </c>
      <c r="AG2100" t="s">
        <v>68</v>
      </c>
      <c r="AH2100">
        <v>6</v>
      </c>
      <c r="AI2100" s="8" t="str">
        <f t="shared" ref="AI2100:AI2107" si="827">IFERROR(R2100-AF2100,"")</f>
        <v/>
      </c>
      <c r="AJ2100" s="8" t="str">
        <f t="shared" ref="AJ2100:AJ2107" si="828">IFERROR(O2100-AF2100,"")</f>
        <v/>
      </c>
      <c r="AK2100" s="38" t="str">
        <f t="shared" si="826"/>
        <v/>
      </c>
      <c r="AL2100" t="str">
        <f t="shared" ref="AL2100:AL2107" si="829">IFERROR(Z2100-W2100,"")</f>
        <v/>
      </c>
      <c r="AM2100" t="str">
        <f t="shared" ref="AM2100:AM2107" si="830">IFERROR(R2100-J2100,"")</f>
        <v/>
      </c>
      <c r="AN2100" t="str">
        <f t="shared" ref="AN2100:AN2107" si="831">IFERROR(V2100-O2100,"")</f>
        <v/>
      </c>
      <c r="AO2100">
        <f t="shared" ref="AO2100:AO2107" si="832">IFERROR(J2100-I2100,"")</f>
        <v>1</v>
      </c>
      <c r="AP2100">
        <f t="shared" ref="AP2100:AP2107" si="833">IFERROR(AC2100-X2100,"")</f>
        <v>0</v>
      </c>
      <c r="AQ2100" t="str">
        <f t="shared" ref="AQ2100:AQ2107" si="834">IFERROR(AA2100-W2100,"")</f>
        <v/>
      </c>
    </row>
    <row r="2101" spans="1:43" x14ac:dyDescent="0.35">
      <c r="A2101">
        <v>47</v>
      </c>
      <c r="B2101" t="s">
        <v>6521</v>
      </c>
      <c r="C2101" t="s">
        <v>6108</v>
      </c>
      <c r="D2101" t="str">
        <f t="shared" si="824"/>
        <v>Communication and Advocacy</v>
      </c>
      <c r="E2101" t="s">
        <v>6472</v>
      </c>
      <c r="F2101" t="s">
        <v>46</v>
      </c>
      <c r="G2101" t="s">
        <v>6473</v>
      </c>
      <c r="H2101" t="s">
        <v>48</v>
      </c>
      <c r="I2101" s="32">
        <v>44621.885358796288</v>
      </c>
      <c r="J2101" s="32">
        <v>44625.885358796288</v>
      </c>
      <c r="K2101" s="32">
        <v>44629.885358796288</v>
      </c>
      <c r="L2101" s="8">
        <f t="shared" si="825"/>
        <v>8</v>
      </c>
      <c r="M2101" s="7">
        <v>44646.885358796288</v>
      </c>
      <c r="N2101" t="s">
        <v>72</v>
      </c>
      <c r="O2101" s="34" t="s">
        <v>7474</v>
      </c>
      <c r="R2101" s="32" t="s">
        <v>7472</v>
      </c>
      <c r="S2101" t="s">
        <v>7476</v>
      </c>
      <c r="T2101" s="34" t="s">
        <v>7476</v>
      </c>
      <c r="U2101" s="34" t="s">
        <v>7476</v>
      </c>
      <c r="V2101" s="32" t="s">
        <v>7476</v>
      </c>
      <c r="W2101" s="32" t="s">
        <v>7476</v>
      </c>
      <c r="X2101">
        <v>0</v>
      </c>
      <c r="Y2101" s="34" t="s">
        <v>7476</v>
      </c>
      <c r="Z2101" s="34" t="s">
        <v>7476</v>
      </c>
      <c r="AA2101" s="34" t="s">
        <v>7476</v>
      </c>
      <c r="AB2101" s="36" t="s">
        <v>7476</v>
      </c>
      <c r="AD2101" t="s">
        <v>6522</v>
      </c>
      <c r="AE2101" t="s">
        <v>6523</v>
      </c>
      <c r="AG2101" t="s">
        <v>64</v>
      </c>
      <c r="AH2101">
        <v>3</v>
      </c>
      <c r="AI2101" s="8" t="str">
        <f t="shared" si="827"/>
        <v/>
      </c>
      <c r="AJ2101" s="8" t="str">
        <f t="shared" si="828"/>
        <v/>
      </c>
      <c r="AK2101" s="38" t="str">
        <f t="shared" si="826"/>
        <v/>
      </c>
      <c r="AL2101" t="str">
        <f t="shared" si="829"/>
        <v/>
      </c>
      <c r="AM2101" t="str">
        <f t="shared" si="830"/>
        <v/>
      </c>
      <c r="AN2101" t="str">
        <f t="shared" si="831"/>
        <v/>
      </c>
      <c r="AO2101">
        <f t="shared" si="832"/>
        <v>4</v>
      </c>
      <c r="AP2101">
        <f t="shared" si="833"/>
        <v>0</v>
      </c>
      <c r="AQ2101" t="str">
        <f t="shared" si="834"/>
        <v/>
      </c>
    </row>
    <row r="2102" spans="1:43" x14ac:dyDescent="0.35">
      <c r="A2102">
        <v>508</v>
      </c>
      <c r="B2102" t="s">
        <v>6524</v>
      </c>
      <c r="C2102" t="s">
        <v>6525</v>
      </c>
      <c r="D2102" t="str">
        <f t="shared" si="824"/>
        <v>Capacity Building</v>
      </c>
      <c r="E2102" t="s">
        <v>6526</v>
      </c>
      <c r="F2102" t="s">
        <v>204</v>
      </c>
      <c r="G2102" t="s">
        <v>6527</v>
      </c>
      <c r="H2102" t="s">
        <v>206</v>
      </c>
      <c r="I2102" s="32">
        <v>44744.103750000002</v>
      </c>
      <c r="J2102" s="32">
        <v>44745.103750000002</v>
      </c>
      <c r="K2102" s="32">
        <v>44749.103750000002</v>
      </c>
      <c r="L2102" s="8">
        <f t="shared" si="825"/>
        <v>5</v>
      </c>
      <c r="M2102" s="7">
        <v>44760.103750000002</v>
      </c>
      <c r="N2102" t="s">
        <v>49</v>
      </c>
      <c r="O2102" s="34">
        <v>44754.103750000002</v>
      </c>
      <c r="P2102" t="s">
        <v>392</v>
      </c>
      <c r="R2102" s="32">
        <v>44759.103750000002</v>
      </c>
      <c r="S2102" t="s">
        <v>392</v>
      </c>
      <c r="T2102" s="34" t="s">
        <v>7476</v>
      </c>
      <c r="U2102" s="34" t="s">
        <v>7476</v>
      </c>
      <c r="V2102" s="32">
        <v>44755.103750000002</v>
      </c>
      <c r="W2102" s="32" t="s">
        <v>7476</v>
      </c>
      <c r="X2102">
        <v>0</v>
      </c>
      <c r="Y2102" s="34" t="s">
        <v>7476</v>
      </c>
      <c r="Z2102" s="34" t="s">
        <v>7476</v>
      </c>
      <c r="AA2102" s="34" t="s">
        <v>7476</v>
      </c>
      <c r="AB2102" s="36" t="s">
        <v>7476</v>
      </c>
      <c r="AD2102" t="s">
        <v>6528</v>
      </c>
      <c r="AE2102" t="s">
        <v>6529</v>
      </c>
      <c r="AF2102" s="16">
        <v>44745</v>
      </c>
      <c r="AG2102" t="s">
        <v>98</v>
      </c>
      <c r="AH2102">
        <v>6</v>
      </c>
      <c r="AI2102" s="8">
        <f t="shared" si="827"/>
        <v>14.103750000002037</v>
      </c>
      <c r="AJ2102" s="8">
        <f t="shared" si="828"/>
        <v>9.1037500000020373</v>
      </c>
      <c r="AK2102" s="38">
        <f t="shared" si="826"/>
        <v>44935.103750000002</v>
      </c>
      <c r="AL2102" t="str">
        <f t="shared" si="829"/>
        <v/>
      </c>
      <c r="AM2102">
        <f t="shared" si="830"/>
        <v>14</v>
      </c>
      <c r="AN2102">
        <f t="shared" si="831"/>
        <v>1</v>
      </c>
      <c r="AO2102">
        <f t="shared" si="832"/>
        <v>1</v>
      </c>
      <c r="AP2102">
        <f t="shared" si="833"/>
        <v>0</v>
      </c>
      <c r="AQ2102" t="str">
        <f t="shared" si="834"/>
        <v/>
      </c>
    </row>
    <row r="2103" spans="1:43" x14ac:dyDescent="0.35">
      <c r="A2103">
        <v>506</v>
      </c>
      <c r="B2103" t="s">
        <v>6530</v>
      </c>
      <c r="C2103" t="s">
        <v>6531</v>
      </c>
      <c r="D2103" t="str">
        <f t="shared" si="824"/>
        <v>Capacity Building</v>
      </c>
      <c r="E2103" t="s">
        <v>6526</v>
      </c>
      <c r="F2103" t="s">
        <v>204</v>
      </c>
      <c r="G2103" t="s">
        <v>6527</v>
      </c>
      <c r="H2103" t="s">
        <v>206</v>
      </c>
      <c r="I2103" s="32">
        <v>44742.103750000002</v>
      </c>
      <c r="J2103" s="32">
        <v>44745.103750000002</v>
      </c>
      <c r="K2103" s="32">
        <v>44749.103750000002</v>
      </c>
      <c r="L2103" s="8">
        <f t="shared" si="825"/>
        <v>7</v>
      </c>
      <c r="M2103" s="7">
        <v>44766.103750000002</v>
      </c>
      <c r="N2103" t="s">
        <v>49</v>
      </c>
      <c r="O2103" s="34">
        <v>44762.103750000002</v>
      </c>
      <c r="P2103" t="s">
        <v>50</v>
      </c>
      <c r="Q2103" t="s">
        <v>236</v>
      </c>
      <c r="R2103" s="32" t="s">
        <v>7472</v>
      </c>
      <c r="S2103" t="s">
        <v>7476</v>
      </c>
      <c r="T2103" s="34" t="s">
        <v>7476</v>
      </c>
      <c r="U2103" s="34" t="s">
        <v>7476</v>
      </c>
      <c r="V2103" s="32">
        <v>44766.103750000002</v>
      </c>
      <c r="W2103" s="32" t="s">
        <v>7476</v>
      </c>
      <c r="X2103">
        <v>0</v>
      </c>
      <c r="Y2103" s="34" t="s">
        <v>7476</v>
      </c>
      <c r="Z2103" s="34" t="s">
        <v>7476</v>
      </c>
      <c r="AA2103" s="34" t="s">
        <v>7476</v>
      </c>
      <c r="AB2103" s="36" t="s">
        <v>52</v>
      </c>
      <c r="AD2103" t="s">
        <v>6532</v>
      </c>
      <c r="AE2103" t="s">
        <v>6533</v>
      </c>
      <c r="AF2103" s="16">
        <v>44754</v>
      </c>
      <c r="AG2103" t="s">
        <v>68</v>
      </c>
      <c r="AH2103">
        <v>6</v>
      </c>
      <c r="AI2103" s="8" t="str">
        <f t="shared" si="827"/>
        <v/>
      </c>
      <c r="AJ2103" s="8">
        <f t="shared" si="828"/>
        <v>8.1037500000020373</v>
      </c>
      <c r="AK2103" s="38">
        <f t="shared" si="826"/>
        <v>44946.103750000002</v>
      </c>
      <c r="AL2103" t="str">
        <f t="shared" si="829"/>
        <v/>
      </c>
      <c r="AM2103" t="str">
        <f t="shared" si="830"/>
        <v/>
      </c>
      <c r="AN2103">
        <f t="shared" si="831"/>
        <v>4</v>
      </c>
      <c r="AO2103">
        <f t="shared" si="832"/>
        <v>3</v>
      </c>
      <c r="AP2103">
        <f t="shared" si="833"/>
        <v>0</v>
      </c>
      <c r="AQ2103" t="str">
        <f t="shared" si="834"/>
        <v/>
      </c>
    </row>
    <row r="2104" spans="1:43" x14ac:dyDescent="0.35">
      <c r="A2104">
        <v>503</v>
      </c>
      <c r="B2104" t="s">
        <v>6534</v>
      </c>
      <c r="C2104" t="s">
        <v>6525</v>
      </c>
      <c r="D2104" t="str">
        <f t="shared" si="824"/>
        <v>Capacity Building</v>
      </c>
      <c r="E2104" t="s">
        <v>6526</v>
      </c>
      <c r="F2104" t="s">
        <v>204</v>
      </c>
      <c r="G2104" t="s">
        <v>6527</v>
      </c>
      <c r="H2104" t="s">
        <v>206</v>
      </c>
      <c r="I2104" s="32">
        <v>44745.103750000002</v>
      </c>
      <c r="J2104" s="32">
        <v>44748.103750000002</v>
      </c>
      <c r="K2104" s="32">
        <v>44749.103750000002</v>
      </c>
      <c r="L2104" s="8">
        <f t="shared" si="825"/>
        <v>4</v>
      </c>
      <c r="M2104" s="7">
        <v>44767.103750000002</v>
      </c>
      <c r="N2104" t="s">
        <v>49</v>
      </c>
      <c r="O2104" s="34">
        <v>44756.103750000002</v>
      </c>
      <c r="P2104" t="s">
        <v>60</v>
      </c>
      <c r="R2104" s="32">
        <v>44762.103750000002</v>
      </c>
      <c r="S2104" t="s">
        <v>61</v>
      </c>
      <c r="T2104" s="34" t="s">
        <v>7476</v>
      </c>
      <c r="U2104" s="34" t="s">
        <v>7476</v>
      </c>
      <c r="V2104" s="32">
        <v>44759.103750000002</v>
      </c>
      <c r="W2104" s="32" t="s">
        <v>7476</v>
      </c>
      <c r="X2104">
        <v>0</v>
      </c>
      <c r="Y2104" s="34" t="s">
        <v>7476</v>
      </c>
      <c r="Z2104" s="34" t="s">
        <v>7476</v>
      </c>
      <c r="AA2104" s="34" t="s">
        <v>7476</v>
      </c>
      <c r="AB2104" s="36" t="s">
        <v>7476</v>
      </c>
      <c r="AD2104" t="s">
        <v>6535</v>
      </c>
      <c r="AE2104" t="s">
        <v>6536</v>
      </c>
      <c r="AF2104" s="16">
        <v>44658</v>
      </c>
      <c r="AG2104" t="s">
        <v>98</v>
      </c>
      <c r="AH2104">
        <v>3</v>
      </c>
      <c r="AI2104" s="8">
        <f t="shared" si="827"/>
        <v>104.10375000000204</v>
      </c>
      <c r="AJ2104" s="8">
        <f t="shared" si="828"/>
        <v>98.103750000002037</v>
      </c>
      <c r="AK2104" s="38">
        <f t="shared" si="826"/>
        <v>44849.103750000002</v>
      </c>
      <c r="AL2104" t="str">
        <f t="shared" si="829"/>
        <v/>
      </c>
      <c r="AM2104">
        <f t="shared" si="830"/>
        <v>14</v>
      </c>
      <c r="AN2104">
        <f t="shared" si="831"/>
        <v>3</v>
      </c>
      <c r="AO2104">
        <f t="shared" si="832"/>
        <v>3</v>
      </c>
      <c r="AP2104">
        <f t="shared" si="833"/>
        <v>0</v>
      </c>
      <c r="AQ2104" t="str">
        <f t="shared" si="834"/>
        <v/>
      </c>
    </row>
    <row r="2105" spans="1:43" x14ac:dyDescent="0.35">
      <c r="A2105">
        <v>502</v>
      </c>
      <c r="B2105" t="s">
        <v>6537</v>
      </c>
      <c r="C2105" t="s">
        <v>6531</v>
      </c>
      <c r="D2105" t="str">
        <f t="shared" si="824"/>
        <v>Capacity Building</v>
      </c>
      <c r="E2105" t="s">
        <v>6526</v>
      </c>
      <c r="F2105" t="s">
        <v>204</v>
      </c>
      <c r="G2105" t="s">
        <v>6527</v>
      </c>
      <c r="H2105" t="s">
        <v>206</v>
      </c>
      <c r="I2105" s="32">
        <v>44742.103750000002</v>
      </c>
      <c r="J2105" s="32">
        <v>44744.103750000002</v>
      </c>
      <c r="K2105" s="32">
        <v>44749.103750000002</v>
      </c>
      <c r="L2105" s="8">
        <f t="shared" si="825"/>
        <v>7</v>
      </c>
      <c r="M2105" s="7">
        <v>44769.103750000002</v>
      </c>
      <c r="N2105" t="s">
        <v>49</v>
      </c>
      <c r="O2105" s="34">
        <v>44763.103750000002</v>
      </c>
      <c r="P2105" t="s">
        <v>101</v>
      </c>
      <c r="R2105" s="32">
        <v>44767.103750000002</v>
      </c>
      <c r="S2105" t="s">
        <v>101</v>
      </c>
      <c r="T2105" s="34">
        <v>44765.103750000002</v>
      </c>
      <c r="U2105" s="34">
        <v>44769.103750000002</v>
      </c>
      <c r="V2105" s="32">
        <v>44764.103750000002</v>
      </c>
      <c r="W2105" s="32">
        <v>44768.103750000002</v>
      </c>
      <c r="X2105">
        <v>1</v>
      </c>
      <c r="Y2105" s="34">
        <v>44772.103750000002</v>
      </c>
      <c r="Z2105" s="34">
        <v>44773.103750000002</v>
      </c>
      <c r="AA2105" s="34">
        <v>44776.103750000002</v>
      </c>
      <c r="AB2105" s="36" t="s">
        <v>7476</v>
      </c>
      <c r="AC2105" s="10">
        <v>44796.103750000002</v>
      </c>
      <c r="AD2105" t="s">
        <v>6538</v>
      </c>
      <c r="AE2105" t="s">
        <v>6539</v>
      </c>
      <c r="AF2105" s="16">
        <v>44749</v>
      </c>
      <c r="AG2105" t="s">
        <v>98</v>
      </c>
      <c r="AH2105">
        <v>6</v>
      </c>
      <c r="AI2105" s="8">
        <f t="shared" si="827"/>
        <v>18.103750000002037</v>
      </c>
      <c r="AJ2105" s="8">
        <f t="shared" si="828"/>
        <v>14.103750000002037</v>
      </c>
      <c r="AK2105" s="38">
        <f t="shared" si="826"/>
        <v>44944.103750000002</v>
      </c>
      <c r="AL2105">
        <f t="shared" si="829"/>
        <v>5</v>
      </c>
      <c r="AM2105">
        <f t="shared" si="830"/>
        <v>23</v>
      </c>
      <c r="AN2105">
        <f t="shared" si="831"/>
        <v>1</v>
      </c>
      <c r="AO2105">
        <f t="shared" si="832"/>
        <v>2</v>
      </c>
      <c r="AP2105">
        <f t="shared" si="833"/>
        <v>44795.103750000002</v>
      </c>
      <c r="AQ2105">
        <f t="shared" si="834"/>
        <v>8</v>
      </c>
    </row>
    <row r="2106" spans="1:43" x14ac:dyDescent="0.35">
      <c r="A2106">
        <v>416</v>
      </c>
      <c r="B2106" t="s">
        <v>6540</v>
      </c>
      <c r="C2106" t="s">
        <v>6525</v>
      </c>
      <c r="D2106" t="str">
        <f t="shared" si="824"/>
        <v>Capacity Building</v>
      </c>
      <c r="E2106" t="s">
        <v>6526</v>
      </c>
      <c r="F2106" t="s">
        <v>204</v>
      </c>
      <c r="G2106" t="s">
        <v>6527</v>
      </c>
      <c r="H2106" t="s">
        <v>206</v>
      </c>
      <c r="I2106" s="32">
        <v>45094.637766203698</v>
      </c>
      <c r="J2106" s="32">
        <v>45098.637766203698</v>
      </c>
      <c r="K2106" s="32">
        <v>45100.637766203698</v>
      </c>
      <c r="L2106" s="8">
        <f t="shared" si="825"/>
        <v>6</v>
      </c>
      <c r="M2106" s="7">
        <v>45114.637766203698</v>
      </c>
      <c r="N2106" t="s">
        <v>49</v>
      </c>
      <c r="O2106" s="34">
        <v>45101.637766203698</v>
      </c>
      <c r="P2106" t="s">
        <v>50</v>
      </c>
      <c r="Q2106" t="s">
        <v>51</v>
      </c>
      <c r="R2106" s="32" t="s">
        <v>7472</v>
      </c>
      <c r="S2106" t="s">
        <v>7476</v>
      </c>
      <c r="T2106" s="34" t="s">
        <v>7476</v>
      </c>
      <c r="U2106" s="34" t="s">
        <v>7476</v>
      </c>
      <c r="V2106" s="32">
        <v>45102.637766203698</v>
      </c>
      <c r="W2106" s="32" t="s">
        <v>7476</v>
      </c>
      <c r="X2106">
        <v>0</v>
      </c>
      <c r="Y2106" s="34" t="s">
        <v>7476</v>
      </c>
      <c r="Z2106" s="34" t="s">
        <v>7476</v>
      </c>
      <c r="AA2106" s="34" t="s">
        <v>7476</v>
      </c>
      <c r="AB2106" s="36" t="s">
        <v>52</v>
      </c>
      <c r="AD2106" t="s">
        <v>6541</v>
      </c>
      <c r="AE2106" t="s">
        <v>6542</v>
      </c>
      <c r="AF2106" s="16">
        <v>45096</v>
      </c>
      <c r="AG2106" t="s">
        <v>68</v>
      </c>
      <c r="AH2106">
        <v>3</v>
      </c>
      <c r="AI2106" s="8" t="str">
        <f t="shared" si="827"/>
        <v/>
      </c>
      <c r="AJ2106" s="8">
        <f t="shared" si="828"/>
        <v>5.637766203697538</v>
      </c>
      <c r="AK2106" s="38">
        <f t="shared" si="826"/>
        <v>45192.637766203698</v>
      </c>
      <c r="AL2106" t="str">
        <f t="shared" si="829"/>
        <v/>
      </c>
      <c r="AM2106" t="str">
        <f t="shared" si="830"/>
        <v/>
      </c>
      <c r="AN2106">
        <f t="shared" si="831"/>
        <v>1</v>
      </c>
      <c r="AO2106">
        <f t="shared" si="832"/>
        <v>4</v>
      </c>
      <c r="AP2106">
        <f t="shared" si="833"/>
        <v>0</v>
      </c>
      <c r="AQ2106" t="str">
        <f t="shared" si="834"/>
        <v/>
      </c>
    </row>
    <row r="2107" spans="1:43" x14ac:dyDescent="0.35">
      <c r="A2107">
        <v>413</v>
      </c>
      <c r="B2107" t="s">
        <v>6543</v>
      </c>
      <c r="C2107" t="s">
        <v>6525</v>
      </c>
      <c r="D2107" t="str">
        <f t="shared" si="824"/>
        <v>Capacity Building</v>
      </c>
      <c r="E2107" t="s">
        <v>6526</v>
      </c>
      <c r="F2107" t="s">
        <v>204</v>
      </c>
      <c r="G2107" t="s">
        <v>6527</v>
      </c>
      <c r="H2107" t="s">
        <v>206</v>
      </c>
      <c r="I2107" s="32">
        <v>45095.637766203698</v>
      </c>
      <c r="J2107" s="32">
        <v>45098.637766203698</v>
      </c>
      <c r="K2107" s="32">
        <v>45100.637766203698</v>
      </c>
      <c r="L2107" s="8">
        <f t="shared" si="825"/>
        <v>5</v>
      </c>
      <c r="M2107" s="7">
        <v>45113.637766203698</v>
      </c>
      <c r="N2107" t="s">
        <v>49</v>
      </c>
      <c r="O2107" s="34">
        <v>45102.637766203698</v>
      </c>
      <c r="P2107" t="s">
        <v>50</v>
      </c>
      <c r="Q2107" t="s">
        <v>51</v>
      </c>
      <c r="R2107" s="32" t="s">
        <v>7472</v>
      </c>
      <c r="S2107" t="s">
        <v>7476</v>
      </c>
      <c r="T2107" s="34" t="s">
        <v>7476</v>
      </c>
      <c r="U2107" s="34" t="s">
        <v>7476</v>
      </c>
      <c r="V2107" s="32" t="s">
        <v>7476</v>
      </c>
      <c r="W2107" s="32" t="s">
        <v>7476</v>
      </c>
      <c r="X2107">
        <v>0</v>
      </c>
      <c r="Y2107" s="34" t="s">
        <v>7476</v>
      </c>
      <c r="Z2107" s="34" t="s">
        <v>7476</v>
      </c>
      <c r="AA2107" s="34" t="s">
        <v>7476</v>
      </c>
      <c r="AB2107" s="36" t="s">
        <v>95</v>
      </c>
      <c r="AD2107" t="s">
        <v>6544</v>
      </c>
      <c r="AE2107" t="s">
        <v>6545</v>
      </c>
      <c r="AF2107" s="16">
        <v>45089</v>
      </c>
      <c r="AG2107" t="s">
        <v>68</v>
      </c>
      <c r="AH2107">
        <v>3</v>
      </c>
      <c r="AI2107" s="8" t="str">
        <f t="shared" si="827"/>
        <v/>
      </c>
      <c r="AJ2107" s="8">
        <f t="shared" si="828"/>
        <v>13.637766203697538</v>
      </c>
      <c r="AK2107" s="38" t="str">
        <f t="shared" si="826"/>
        <v/>
      </c>
      <c r="AL2107" t="str">
        <f t="shared" si="829"/>
        <v/>
      </c>
      <c r="AM2107" t="str">
        <f t="shared" si="830"/>
        <v/>
      </c>
      <c r="AN2107" t="str">
        <f t="shared" si="831"/>
        <v/>
      </c>
      <c r="AO2107">
        <f t="shared" si="832"/>
        <v>3</v>
      </c>
      <c r="AP2107">
        <f t="shared" si="833"/>
        <v>0</v>
      </c>
      <c r="AQ2107" t="str">
        <f t="shared" si="834"/>
        <v/>
      </c>
    </row>
    <row r="2108" spans="1:43" x14ac:dyDescent="0.35">
      <c r="A2108">
        <v>412</v>
      </c>
      <c r="B2108" t="s">
        <v>6546</v>
      </c>
      <c r="C2108" t="s">
        <v>6531</v>
      </c>
      <c r="D2108" t="str">
        <f t="shared" si="824"/>
        <v>Capacity Building</v>
      </c>
      <c r="E2108" t="s">
        <v>6526</v>
      </c>
      <c r="F2108" t="s">
        <v>204</v>
      </c>
      <c r="G2108" t="s">
        <v>6527</v>
      </c>
      <c r="H2108" t="s">
        <v>206</v>
      </c>
      <c r="I2108" s="32" t="s">
        <v>7471</v>
      </c>
      <c r="J2108" s="32">
        <v>45096.637766203698</v>
      </c>
      <c r="K2108" s="32" t="s">
        <v>7473</v>
      </c>
      <c r="L2108" s="8" t="str">
        <f t="shared" si="825"/>
        <v/>
      </c>
      <c r="M2108" s="7">
        <v>45124.637766203698</v>
      </c>
      <c r="N2108" t="s">
        <v>49</v>
      </c>
      <c r="O2108" s="34">
        <v>45113.637766203698</v>
      </c>
      <c r="P2108" t="s">
        <v>50</v>
      </c>
      <c r="Q2108" t="s">
        <v>236</v>
      </c>
      <c r="R2108" s="32" t="s">
        <v>7472</v>
      </c>
      <c r="S2108" t="s">
        <v>7476</v>
      </c>
      <c r="T2108" s="34" t="s">
        <v>7476</v>
      </c>
      <c r="U2108" s="34" t="s">
        <v>7476</v>
      </c>
      <c r="V2108" s="32" t="s">
        <v>7476</v>
      </c>
      <c r="W2108" s="32" t="s">
        <v>7476</v>
      </c>
      <c r="X2108">
        <v>0</v>
      </c>
      <c r="Y2108" s="34" t="s">
        <v>7476</v>
      </c>
      <c r="Z2108" s="34" t="s">
        <v>7476</v>
      </c>
      <c r="AA2108" s="34" t="s">
        <v>7476</v>
      </c>
      <c r="AB2108" s="36" t="s">
        <v>52</v>
      </c>
      <c r="AD2108" t="s">
        <v>6547</v>
      </c>
      <c r="AE2108" t="s">
        <v>6548</v>
      </c>
      <c r="AF2108" s="16">
        <v>45099</v>
      </c>
      <c r="AG2108" t="s">
        <v>75</v>
      </c>
      <c r="AH2108">
        <v>3</v>
      </c>
      <c r="AK2108" s="38" t="str">
        <f t="shared" si="826"/>
        <v/>
      </c>
    </row>
    <row r="2109" spans="1:43" x14ac:dyDescent="0.35">
      <c r="A2109">
        <v>265</v>
      </c>
      <c r="B2109" t="s">
        <v>6549</v>
      </c>
      <c r="C2109" t="s">
        <v>6550</v>
      </c>
      <c r="D2109" t="str">
        <f t="shared" si="824"/>
        <v>Capacity Building</v>
      </c>
      <c r="E2109" t="s">
        <v>6526</v>
      </c>
      <c r="F2109" t="s">
        <v>204</v>
      </c>
      <c r="G2109" t="s">
        <v>6527</v>
      </c>
      <c r="H2109" t="s">
        <v>206</v>
      </c>
      <c r="I2109" s="32">
        <v>44767.282581018517</v>
      </c>
      <c r="J2109" s="32" t="s">
        <v>7471</v>
      </c>
      <c r="K2109" s="32">
        <v>44770.282581018517</v>
      </c>
      <c r="L2109" s="8">
        <f t="shared" si="825"/>
        <v>3</v>
      </c>
      <c r="M2109" s="7">
        <v>44800.282581018517</v>
      </c>
      <c r="N2109" t="s">
        <v>49</v>
      </c>
      <c r="O2109" s="34">
        <v>44777.282581018517</v>
      </c>
      <c r="P2109" t="s">
        <v>60</v>
      </c>
      <c r="R2109" s="32">
        <v>44779.282581018517</v>
      </c>
      <c r="S2109" t="s">
        <v>61</v>
      </c>
      <c r="T2109" s="34" t="s">
        <v>7476</v>
      </c>
      <c r="U2109" s="34" t="s">
        <v>7476</v>
      </c>
      <c r="V2109" s="32">
        <v>44778.282581018517</v>
      </c>
      <c r="W2109" s="32" t="s">
        <v>7476</v>
      </c>
      <c r="X2109">
        <v>0</v>
      </c>
      <c r="Y2109" s="34" t="s">
        <v>7476</v>
      </c>
      <c r="Z2109" s="34" t="s">
        <v>7476</v>
      </c>
      <c r="AA2109" s="34" t="s">
        <v>7476</v>
      </c>
      <c r="AB2109" s="36" t="s">
        <v>7476</v>
      </c>
      <c r="AD2109" t="s">
        <v>6551</v>
      </c>
      <c r="AE2109" t="s">
        <v>6552</v>
      </c>
      <c r="AF2109" s="16">
        <v>44764</v>
      </c>
      <c r="AG2109" t="s">
        <v>68</v>
      </c>
      <c r="AH2109">
        <v>3</v>
      </c>
      <c r="AK2109" s="38">
        <f t="shared" si="826"/>
        <v>44868.282581018517</v>
      </c>
    </row>
    <row r="2110" spans="1:43" x14ac:dyDescent="0.35">
      <c r="A2110">
        <v>264</v>
      </c>
      <c r="B2110" t="s">
        <v>6553</v>
      </c>
      <c r="C2110" t="s">
        <v>6525</v>
      </c>
      <c r="D2110" t="str">
        <f t="shared" si="824"/>
        <v>Capacity Building</v>
      </c>
      <c r="E2110" t="s">
        <v>6526</v>
      </c>
      <c r="F2110" t="s">
        <v>204</v>
      </c>
      <c r="G2110" t="s">
        <v>6527</v>
      </c>
      <c r="H2110" t="s">
        <v>206</v>
      </c>
      <c r="I2110" s="32">
        <v>44763.282581018517</v>
      </c>
      <c r="J2110" s="32">
        <v>44767.282581018517</v>
      </c>
      <c r="K2110" s="32">
        <v>44770.282581018517</v>
      </c>
      <c r="L2110" s="8">
        <f t="shared" si="825"/>
        <v>7</v>
      </c>
      <c r="M2110" s="7">
        <v>44783.282581018517</v>
      </c>
      <c r="N2110" t="s">
        <v>49</v>
      </c>
      <c r="O2110" s="34">
        <v>44784.282581018517</v>
      </c>
      <c r="P2110" t="s">
        <v>60</v>
      </c>
      <c r="R2110" s="32">
        <v>44789.282581018517</v>
      </c>
      <c r="S2110" t="s">
        <v>61</v>
      </c>
      <c r="T2110" s="34" t="s">
        <v>7476</v>
      </c>
      <c r="U2110" s="34" t="s">
        <v>7476</v>
      </c>
      <c r="V2110" s="32">
        <v>44785.282581018517</v>
      </c>
      <c r="W2110" s="32" t="s">
        <v>7476</v>
      </c>
      <c r="X2110">
        <v>0</v>
      </c>
      <c r="Y2110" s="34" t="s">
        <v>7476</v>
      </c>
      <c r="Z2110" s="34" t="s">
        <v>7476</v>
      </c>
      <c r="AA2110" s="34" t="s">
        <v>7476</v>
      </c>
      <c r="AB2110" s="36" t="s">
        <v>7476</v>
      </c>
      <c r="AD2110" t="s">
        <v>6554</v>
      </c>
      <c r="AE2110" t="s">
        <v>6555</v>
      </c>
      <c r="AF2110" s="16">
        <v>44765</v>
      </c>
      <c r="AG2110" t="s">
        <v>68</v>
      </c>
      <c r="AH2110">
        <v>3</v>
      </c>
      <c r="AI2110" s="8">
        <f>IFERROR(R2110-AF2110,"")</f>
        <v>24.282581018516794</v>
      </c>
      <c r="AJ2110" s="8">
        <f>IFERROR(O2110-AF2110,"")</f>
        <v>19.282581018516794</v>
      </c>
      <c r="AK2110" s="38">
        <f t="shared" si="826"/>
        <v>44875.282581018517</v>
      </c>
      <c r="AL2110" t="str">
        <f>IFERROR(Z2110-W2110,"")</f>
        <v/>
      </c>
      <c r="AM2110">
        <f>IFERROR(R2110-J2110,"")</f>
        <v>22</v>
      </c>
      <c r="AN2110">
        <f>IFERROR(V2110-O2110,"")</f>
        <v>1</v>
      </c>
      <c r="AO2110">
        <f>IFERROR(J2110-I2110,"")</f>
        <v>4</v>
      </c>
      <c r="AP2110">
        <f>IFERROR(AC2110-X2110,"")</f>
        <v>0</v>
      </c>
      <c r="AQ2110" t="str">
        <f>IFERROR(AA2110-W2110,"")</f>
        <v/>
      </c>
    </row>
    <row r="2111" spans="1:43" x14ac:dyDescent="0.35">
      <c r="A2111">
        <v>258</v>
      </c>
      <c r="B2111" t="s">
        <v>6556</v>
      </c>
      <c r="C2111" t="s">
        <v>6550</v>
      </c>
      <c r="D2111" t="str">
        <f t="shared" si="824"/>
        <v>Capacity Building</v>
      </c>
      <c r="E2111" t="s">
        <v>6526</v>
      </c>
      <c r="F2111" t="s">
        <v>204</v>
      </c>
      <c r="G2111" t="s">
        <v>6527</v>
      </c>
      <c r="H2111" t="s">
        <v>206</v>
      </c>
      <c r="I2111" s="32">
        <v>44705.632962962962</v>
      </c>
      <c r="J2111" s="32">
        <v>44709.632962962962</v>
      </c>
      <c r="K2111" s="32">
        <v>44713.632962962962</v>
      </c>
      <c r="L2111" s="8">
        <f t="shared" si="825"/>
        <v>8</v>
      </c>
      <c r="M2111" s="7">
        <v>44724.632962962962</v>
      </c>
      <c r="N2111" t="s">
        <v>72</v>
      </c>
      <c r="O2111" s="34" t="s">
        <v>7474</v>
      </c>
      <c r="R2111" s="32" t="s">
        <v>7472</v>
      </c>
      <c r="S2111" t="s">
        <v>7476</v>
      </c>
      <c r="T2111" s="34" t="s">
        <v>7476</v>
      </c>
      <c r="U2111" s="34" t="s">
        <v>7476</v>
      </c>
      <c r="V2111" s="32" t="s">
        <v>7476</v>
      </c>
      <c r="W2111" s="32" t="s">
        <v>7476</v>
      </c>
      <c r="X2111">
        <v>0</v>
      </c>
      <c r="Y2111" s="34" t="s">
        <v>7476</v>
      </c>
      <c r="Z2111" s="34" t="s">
        <v>7476</v>
      </c>
      <c r="AA2111" s="34" t="s">
        <v>7476</v>
      </c>
      <c r="AB2111" s="36" t="s">
        <v>7476</v>
      </c>
      <c r="AD2111" t="s">
        <v>6557</v>
      </c>
      <c r="AE2111" t="s">
        <v>6558</v>
      </c>
      <c r="AG2111" t="s">
        <v>98</v>
      </c>
      <c r="AH2111">
        <v>6</v>
      </c>
      <c r="AI2111" s="8" t="str">
        <f>IFERROR(R2111-AF2111,"")</f>
        <v/>
      </c>
      <c r="AJ2111" s="8" t="str">
        <f>IFERROR(O2111-AF2111,"")</f>
        <v/>
      </c>
      <c r="AK2111" s="38" t="str">
        <f t="shared" si="826"/>
        <v/>
      </c>
      <c r="AL2111" t="str">
        <f>IFERROR(Z2111-W2111,"")</f>
        <v/>
      </c>
      <c r="AM2111" t="str">
        <f>IFERROR(R2111-J2111,"")</f>
        <v/>
      </c>
      <c r="AN2111" t="str">
        <f>IFERROR(V2111-O2111,"")</f>
        <v/>
      </c>
      <c r="AO2111">
        <f>IFERROR(J2111-I2111,"")</f>
        <v>4</v>
      </c>
      <c r="AP2111">
        <f>IFERROR(AC2111-X2111,"")</f>
        <v>0</v>
      </c>
      <c r="AQ2111" t="str">
        <f>IFERROR(AA2111-W2111,"")</f>
        <v/>
      </c>
    </row>
    <row r="2112" spans="1:43" x14ac:dyDescent="0.35">
      <c r="A2112">
        <v>236</v>
      </c>
      <c r="B2112" t="s">
        <v>6559</v>
      </c>
      <c r="C2112" t="s">
        <v>6531</v>
      </c>
      <c r="D2112" t="str">
        <f t="shared" si="824"/>
        <v>Capacity Building</v>
      </c>
      <c r="E2112" t="s">
        <v>6526</v>
      </c>
      <c r="F2112" t="s">
        <v>204</v>
      </c>
      <c r="G2112" t="s">
        <v>6527</v>
      </c>
      <c r="H2112" t="s">
        <v>206</v>
      </c>
      <c r="I2112" s="32" t="s">
        <v>7471</v>
      </c>
      <c r="J2112" s="32">
        <v>44600.810960648138</v>
      </c>
      <c r="K2112" s="32">
        <v>44603.810960648138</v>
      </c>
      <c r="L2112" s="8" t="str">
        <f t="shared" si="825"/>
        <v/>
      </c>
      <c r="M2112" s="7">
        <v>44624.810960648138</v>
      </c>
      <c r="N2112" t="s">
        <v>49</v>
      </c>
      <c r="O2112" s="34">
        <v>44614.810960648138</v>
      </c>
      <c r="P2112" t="s">
        <v>101</v>
      </c>
      <c r="R2112" s="32">
        <v>44618.810960648138</v>
      </c>
      <c r="S2112" t="s">
        <v>101</v>
      </c>
      <c r="T2112" s="34">
        <v>44615.810960648138</v>
      </c>
      <c r="U2112" s="34">
        <v>44616.810960648138</v>
      </c>
      <c r="V2112" s="32">
        <v>44617.810960648138</v>
      </c>
      <c r="W2112" s="32">
        <v>44618.810960648138</v>
      </c>
      <c r="X2112">
        <v>1</v>
      </c>
      <c r="Y2112" s="34">
        <v>44619.810960648138</v>
      </c>
      <c r="Z2112" s="34">
        <v>44622.810960648138</v>
      </c>
      <c r="AA2112" s="34">
        <v>44625.810960648138</v>
      </c>
      <c r="AB2112" s="36" t="s">
        <v>7476</v>
      </c>
      <c r="AC2112" s="10">
        <v>44645.810960648138</v>
      </c>
      <c r="AD2112" t="s">
        <v>6560</v>
      </c>
      <c r="AE2112" t="s">
        <v>6561</v>
      </c>
      <c r="AF2112" s="16">
        <v>44867</v>
      </c>
      <c r="AG2112" t="s">
        <v>75</v>
      </c>
      <c r="AH2112">
        <v>3</v>
      </c>
      <c r="AK2112" s="38">
        <f t="shared" si="826"/>
        <v>44707.810960648138</v>
      </c>
    </row>
    <row r="2113" spans="1:43" x14ac:dyDescent="0.35">
      <c r="A2113">
        <v>235</v>
      </c>
      <c r="B2113" t="s">
        <v>6562</v>
      </c>
      <c r="C2113" t="s">
        <v>6531</v>
      </c>
      <c r="D2113" t="str">
        <f t="shared" si="824"/>
        <v>Capacity Building</v>
      </c>
      <c r="E2113" t="s">
        <v>6526</v>
      </c>
      <c r="F2113" t="s">
        <v>204</v>
      </c>
      <c r="G2113" t="s">
        <v>6527</v>
      </c>
      <c r="H2113" t="s">
        <v>206</v>
      </c>
      <c r="I2113" s="32">
        <v>44597.810960648138</v>
      </c>
      <c r="J2113" s="32" t="s">
        <v>7471</v>
      </c>
      <c r="K2113" s="32">
        <v>44603.810960648138</v>
      </c>
      <c r="L2113" s="8">
        <f t="shared" si="825"/>
        <v>6</v>
      </c>
      <c r="M2113" s="7">
        <v>44632.810960648138</v>
      </c>
      <c r="N2113" t="s">
        <v>49</v>
      </c>
      <c r="O2113" s="34">
        <v>44617.810960648138</v>
      </c>
      <c r="P2113" t="s">
        <v>392</v>
      </c>
      <c r="R2113" s="32">
        <v>44622.810960648138</v>
      </c>
      <c r="S2113" t="s">
        <v>392</v>
      </c>
      <c r="T2113" s="34" t="s">
        <v>7476</v>
      </c>
      <c r="U2113" s="34" t="s">
        <v>7476</v>
      </c>
      <c r="V2113" s="32">
        <v>44620.810960648138</v>
      </c>
      <c r="W2113" s="32" t="s">
        <v>7476</v>
      </c>
      <c r="X2113">
        <v>0</v>
      </c>
      <c r="Y2113" s="34" t="s">
        <v>7476</v>
      </c>
      <c r="Z2113" s="34" t="s">
        <v>7476</v>
      </c>
      <c r="AA2113" s="34" t="s">
        <v>7476</v>
      </c>
      <c r="AB2113" s="36" t="s">
        <v>7476</v>
      </c>
      <c r="AD2113" t="s">
        <v>6563</v>
      </c>
      <c r="AE2113" t="s">
        <v>6564</v>
      </c>
      <c r="AF2113" s="16">
        <v>44606</v>
      </c>
      <c r="AG2113" t="s">
        <v>98</v>
      </c>
      <c r="AH2113">
        <v>3</v>
      </c>
      <c r="AK2113" s="38">
        <f t="shared" si="826"/>
        <v>44710.810960648138</v>
      </c>
    </row>
    <row r="2114" spans="1:43" x14ac:dyDescent="0.35">
      <c r="A2114">
        <v>233</v>
      </c>
      <c r="B2114" t="s">
        <v>6565</v>
      </c>
      <c r="C2114" t="s">
        <v>6531</v>
      </c>
      <c r="D2114" t="str">
        <f t="shared" ref="D2114:D2177" si="835">TRIM(C2114)</f>
        <v>Capacity Building</v>
      </c>
      <c r="E2114" t="s">
        <v>6526</v>
      </c>
      <c r="F2114" t="s">
        <v>204</v>
      </c>
      <c r="G2114" t="s">
        <v>6527</v>
      </c>
      <c r="H2114" t="s">
        <v>206</v>
      </c>
      <c r="I2114" s="32" t="s">
        <v>7471</v>
      </c>
      <c r="J2114" s="32">
        <v>44600.810960648138</v>
      </c>
      <c r="K2114" s="32">
        <v>44603.810960648138</v>
      </c>
      <c r="L2114" s="8" t="str">
        <f t="shared" ref="L2114:L2177" si="836">IFERROR(K2114-I2114,"")</f>
        <v/>
      </c>
      <c r="M2114" s="7">
        <v>44630.810960648138</v>
      </c>
      <c r="N2114" t="s">
        <v>49</v>
      </c>
      <c r="O2114" s="34">
        <v>44617.810960648138</v>
      </c>
      <c r="P2114" t="s">
        <v>392</v>
      </c>
      <c r="R2114" s="32">
        <v>44619.810960648138</v>
      </c>
      <c r="S2114" t="s">
        <v>392</v>
      </c>
      <c r="T2114" s="34" t="s">
        <v>7476</v>
      </c>
      <c r="U2114" s="34" t="s">
        <v>7476</v>
      </c>
      <c r="V2114" s="32">
        <v>44618.810960648138</v>
      </c>
      <c r="W2114" s="32" t="s">
        <v>7476</v>
      </c>
      <c r="X2114">
        <v>0</v>
      </c>
      <c r="Y2114" s="34" t="s">
        <v>7476</v>
      </c>
      <c r="Z2114" s="34" t="s">
        <v>7476</v>
      </c>
      <c r="AA2114" s="34" t="s">
        <v>7476</v>
      </c>
      <c r="AB2114" s="36" t="s">
        <v>7476</v>
      </c>
      <c r="AD2114" t="s">
        <v>6566</v>
      </c>
      <c r="AE2114" t="s">
        <v>6567</v>
      </c>
      <c r="AF2114" s="16">
        <v>44599</v>
      </c>
      <c r="AG2114" t="s">
        <v>93</v>
      </c>
      <c r="AH2114">
        <v>3</v>
      </c>
      <c r="AK2114" s="38">
        <f t="shared" si="826"/>
        <v>44708.810960648138</v>
      </c>
    </row>
    <row r="2115" spans="1:43" x14ac:dyDescent="0.35">
      <c r="A2115">
        <v>160</v>
      </c>
      <c r="B2115" t="s">
        <v>6568</v>
      </c>
      <c r="C2115" t="s">
        <v>6550</v>
      </c>
      <c r="D2115" t="str">
        <f t="shared" si="835"/>
        <v>Capacity Building</v>
      </c>
      <c r="E2115" t="s">
        <v>6526</v>
      </c>
      <c r="F2115" t="s">
        <v>204</v>
      </c>
      <c r="G2115" t="s">
        <v>6527</v>
      </c>
      <c r="H2115" t="s">
        <v>206</v>
      </c>
      <c r="I2115" s="32">
        <v>44934.64434027778</v>
      </c>
      <c r="J2115" s="32" t="s">
        <v>7471</v>
      </c>
      <c r="K2115" s="32">
        <v>44938.64434027778</v>
      </c>
      <c r="L2115" s="8">
        <f t="shared" si="836"/>
        <v>4</v>
      </c>
      <c r="M2115" s="7">
        <v>44962.64434027778</v>
      </c>
      <c r="N2115" t="s">
        <v>49</v>
      </c>
      <c r="O2115" s="34">
        <v>44949.64434027778</v>
      </c>
      <c r="P2115" t="s">
        <v>50</v>
      </c>
      <c r="Q2115" t="s">
        <v>51</v>
      </c>
      <c r="R2115" s="32" t="s">
        <v>7472</v>
      </c>
      <c r="S2115" t="s">
        <v>7476</v>
      </c>
      <c r="T2115" s="34" t="s">
        <v>7476</v>
      </c>
      <c r="U2115" s="34" t="s">
        <v>7476</v>
      </c>
      <c r="V2115" s="32">
        <v>44953.64434027778</v>
      </c>
      <c r="W2115" s="32" t="s">
        <v>7476</v>
      </c>
      <c r="X2115">
        <v>0</v>
      </c>
      <c r="Y2115" s="34" t="s">
        <v>7476</v>
      </c>
      <c r="Z2115" s="34" t="s">
        <v>7476</v>
      </c>
      <c r="AA2115" s="34" t="s">
        <v>7476</v>
      </c>
      <c r="AB2115" s="36" t="s">
        <v>52</v>
      </c>
      <c r="AD2115" t="s">
        <v>6569</v>
      </c>
      <c r="AE2115" t="s">
        <v>6570</v>
      </c>
      <c r="AF2115" s="16">
        <v>45231</v>
      </c>
      <c r="AG2115" t="s">
        <v>68</v>
      </c>
      <c r="AH2115">
        <v>3</v>
      </c>
      <c r="AK2115" s="38">
        <f t="shared" ref="AK2115:AK2178" si="837">IFERROR(V2115+(AH2115*30),"")</f>
        <v>45043.64434027778</v>
      </c>
    </row>
    <row r="2116" spans="1:43" x14ac:dyDescent="0.35">
      <c r="A2116">
        <v>157</v>
      </c>
      <c r="B2116" t="s">
        <v>6571</v>
      </c>
      <c r="C2116" t="s">
        <v>6525</v>
      </c>
      <c r="D2116" t="str">
        <f t="shared" si="835"/>
        <v>Capacity Building</v>
      </c>
      <c r="E2116" t="s">
        <v>6526</v>
      </c>
      <c r="F2116" t="s">
        <v>204</v>
      </c>
      <c r="G2116" t="s">
        <v>6527</v>
      </c>
      <c r="H2116" t="s">
        <v>206</v>
      </c>
      <c r="I2116" s="32">
        <v>44929.64434027778</v>
      </c>
      <c r="J2116" s="32">
        <v>44932.64434027778</v>
      </c>
      <c r="K2116" s="32">
        <v>44938.64434027778</v>
      </c>
      <c r="L2116" s="8">
        <f t="shared" si="836"/>
        <v>9</v>
      </c>
      <c r="M2116" s="7">
        <v>44949.64434027778</v>
      </c>
      <c r="N2116" t="s">
        <v>49</v>
      </c>
      <c r="O2116" s="34">
        <v>44943.64434027778</v>
      </c>
      <c r="P2116" t="s">
        <v>50</v>
      </c>
      <c r="Q2116" t="s">
        <v>198</v>
      </c>
      <c r="R2116" s="32" t="s">
        <v>7472</v>
      </c>
      <c r="S2116" t="s">
        <v>7476</v>
      </c>
      <c r="T2116" s="34" t="s">
        <v>7476</v>
      </c>
      <c r="U2116" s="34" t="s">
        <v>7476</v>
      </c>
      <c r="V2116" s="32">
        <v>44946.64434027778</v>
      </c>
      <c r="W2116" s="32" t="s">
        <v>7476</v>
      </c>
      <c r="X2116">
        <v>0</v>
      </c>
      <c r="Y2116" s="34" t="s">
        <v>7476</v>
      </c>
      <c r="Z2116" s="34" t="s">
        <v>7476</v>
      </c>
      <c r="AA2116" s="34" t="s">
        <v>7476</v>
      </c>
      <c r="AB2116" s="36" t="s">
        <v>95</v>
      </c>
      <c r="AD2116" t="s">
        <v>6572</v>
      </c>
      <c r="AE2116" t="s">
        <v>6573</v>
      </c>
      <c r="AF2116" s="16">
        <v>44936</v>
      </c>
      <c r="AG2116" t="s">
        <v>68</v>
      </c>
      <c r="AH2116">
        <v>3</v>
      </c>
      <c r="AI2116" s="8" t="str">
        <f>IFERROR(R2116-AF2116,"")</f>
        <v/>
      </c>
      <c r="AJ2116" s="8">
        <f>IFERROR(O2116-AF2116,"")</f>
        <v>7.6443402777804295</v>
      </c>
      <c r="AK2116" s="38">
        <f t="shared" si="837"/>
        <v>45036.64434027778</v>
      </c>
      <c r="AL2116" t="str">
        <f>IFERROR(Z2116-W2116,"")</f>
        <v/>
      </c>
      <c r="AM2116" t="str">
        <f>IFERROR(R2116-J2116,"")</f>
        <v/>
      </c>
      <c r="AN2116">
        <f>IFERROR(V2116-O2116,"")</f>
        <v>3</v>
      </c>
      <c r="AO2116">
        <f>IFERROR(J2116-I2116,"")</f>
        <v>3</v>
      </c>
      <c r="AP2116">
        <f>IFERROR(AC2116-X2116,"")</f>
        <v>0</v>
      </c>
      <c r="AQ2116" t="str">
        <f>IFERROR(AA2116-W2116,"")</f>
        <v/>
      </c>
    </row>
    <row r="2117" spans="1:43" x14ac:dyDescent="0.35">
      <c r="A2117">
        <v>144</v>
      </c>
      <c r="B2117" t="s">
        <v>6574</v>
      </c>
      <c r="C2117" t="s">
        <v>6525</v>
      </c>
      <c r="D2117" t="str">
        <f t="shared" si="835"/>
        <v>Capacity Building</v>
      </c>
      <c r="E2117" t="s">
        <v>6526</v>
      </c>
      <c r="F2117" t="s">
        <v>204</v>
      </c>
      <c r="G2117" t="s">
        <v>6527</v>
      </c>
      <c r="H2117" t="s">
        <v>206</v>
      </c>
      <c r="I2117" s="32">
        <v>44629.982245370367</v>
      </c>
      <c r="J2117" s="32">
        <v>44630.982245370367</v>
      </c>
      <c r="K2117" s="32">
        <v>44636.982245370367</v>
      </c>
      <c r="L2117" s="8">
        <f t="shared" si="836"/>
        <v>7</v>
      </c>
      <c r="M2117" s="7">
        <v>44653.982245370367</v>
      </c>
      <c r="N2117" t="s">
        <v>49</v>
      </c>
      <c r="O2117" s="34">
        <v>44641.982245370367</v>
      </c>
      <c r="P2117" t="s">
        <v>101</v>
      </c>
      <c r="R2117" s="32">
        <v>44645.982245370367</v>
      </c>
      <c r="S2117" t="s">
        <v>101</v>
      </c>
      <c r="T2117" s="34">
        <v>44643.982245370367</v>
      </c>
      <c r="U2117" s="34">
        <v>44646.982245370367</v>
      </c>
      <c r="V2117" s="32">
        <v>44642.982245370367</v>
      </c>
      <c r="W2117" s="32">
        <v>44649.982245370367</v>
      </c>
      <c r="X2117">
        <v>1</v>
      </c>
      <c r="Y2117" s="34">
        <v>44652.982245370367</v>
      </c>
      <c r="Z2117" s="34">
        <v>44653.982245370367</v>
      </c>
      <c r="AA2117" s="34">
        <v>44654.982245370367</v>
      </c>
      <c r="AB2117" s="36" t="s">
        <v>7476</v>
      </c>
      <c r="AC2117" s="10">
        <v>44670.982245370367</v>
      </c>
      <c r="AD2117" t="s">
        <v>6575</v>
      </c>
      <c r="AE2117" t="s">
        <v>6576</v>
      </c>
      <c r="AF2117" s="16">
        <v>44635</v>
      </c>
      <c r="AG2117" t="s">
        <v>64</v>
      </c>
      <c r="AH2117">
        <v>3</v>
      </c>
      <c r="AI2117" s="8">
        <f>IFERROR(R2117-AF2117,"")</f>
        <v>10.982245370367309</v>
      </c>
      <c r="AJ2117" s="8">
        <f>IFERROR(O2117-AF2117,"")</f>
        <v>6.9822453703673091</v>
      </c>
      <c r="AK2117" s="38">
        <f t="shared" si="837"/>
        <v>44732.982245370367</v>
      </c>
      <c r="AL2117">
        <f>IFERROR(Z2117-W2117,"")</f>
        <v>4</v>
      </c>
      <c r="AM2117">
        <f>IFERROR(R2117-J2117,"")</f>
        <v>15</v>
      </c>
      <c r="AN2117">
        <f>IFERROR(V2117-O2117,"")</f>
        <v>1</v>
      </c>
      <c r="AO2117">
        <f>IFERROR(J2117-I2117,"")</f>
        <v>1</v>
      </c>
      <c r="AP2117">
        <f>IFERROR(AC2117-X2117,"")</f>
        <v>44669.982245370367</v>
      </c>
      <c r="AQ2117">
        <f>IFERROR(AA2117-W2117,"")</f>
        <v>5</v>
      </c>
    </row>
    <row r="2118" spans="1:43" x14ac:dyDescent="0.35">
      <c r="A2118">
        <v>119</v>
      </c>
      <c r="B2118" t="s">
        <v>6577</v>
      </c>
      <c r="C2118" t="s">
        <v>6525</v>
      </c>
      <c r="D2118" t="str">
        <f t="shared" si="835"/>
        <v>Capacity Building</v>
      </c>
      <c r="E2118" t="s">
        <v>6526</v>
      </c>
      <c r="F2118" t="s">
        <v>204</v>
      </c>
      <c r="G2118" t="s">
        <v>6527</v>
      </c>
      <c r="H2118" t="s">
        <v>206</v>
      </c>
      <c r="I2118" s="32">
        <v>44739.19809027778</v>
      </c>
      <c r="J2118" s="32">
        <v>44741.19809027778</v>
      </c>
      <c r="K2118" s="32">
        <v>44746.19809027778</v>
      </c>
      <c r="L2118" s="8">
        <f t="shared" si="836"/>
        <v>7</v>
      </c>
      <c r="M2118" s="7">
        <v>44759.19809027778</v>
      </c>
      <c r="N2118" t="s">
        <v>49</v>
      </c>
      <c r="O2118" s="34">
        <v>44762.19809027778</v>
      </c>
      <c r="P2118" t="s">
        <v>101</v>
      </c>
      <c r="R2118" s="32">
        <v>44766.19809027778</v>
      </c>
      <c r="S2118" t="s">
        <v>101</v>
      </c>
      <c r="T2118" s="34">
        <v>44764.19809027778</v>
      </c>
      <c r="U2118" s="34">
        <v>44766.19809027778</v>
      </c>
      <c r="V2118" s="32">
        <v>44764.19809027778</v>
      </c>
      <c r="W2118" s="32">
        <v>44771.19809027778</v>
      </c>
      <c r="X2118">
        <v>1</v>
      </c>
      <c r="Y2118" s="34">
        <v>44773.19809027778</v>
      </c>
      <c r="Z2118" s="34">
        <v>44774.19809027778</v>
      </c>
      <c r="AA2118" s="34">
        <v>44775.19809027778</v>
      </c>
      <c r="AB2118" s="36" t="s">
        <v>7476</v>
      </c>
      <c r="AC2118" s="10">
        <v>44786.19809027778</v>
      </c>
      <c r="AD2118" t="s">
        <v>6578</v>
      </c>
      <c r="AE2118" t="s">
        <v>6579</v>
      </c>
      <c r="AF2118" s="16">
        <v>44757</v>
      </c>
      <c r="AG2118" t="s">
        <v>68</v>
      </c>
      <c r="AH2118">
        <v>6</v>
      </c>
      <c r="AI2118" s="8">
        <f>IFERROR(R2118-AF2118,"")</f>
        <v>9.1980902777795563</v>
      </c>
      <c r="AJ2118" s="8">
        <f>IFERROR(O2118-AF2118,"")</f>
        <v>5.1980902777795563</v>
      </c>
      <c r="AK2118" s="38">
        <f t="shared" si="837"/>
        <v>44944.19809027778</v>
      </c>
      <c r="AL2118">
        <f>IFERROR(Z2118-W2118,"")</f>
        <v>3</v>
      </c>
      <c r="AM2118">
        <f>IFERROR(R2118-J2118,"")</f>
        <v>25</v>
      </c>
      <c r="AN2118">
        <f>IFERROR(V2118-O2118,"")</f>
        <v>2</v>
      </c>
      <c r="AO2118">
        <f>IFERROR(J2118-I2118,"")</f>
        <v>2</v>
      </c>
      <c r="AP2118">
        <f>IFERROR(AC2118-X2118,"")</f>
        <v>44785.19809027778</v>
      </c>
      <c r="AQ2118">
        <f>IFERROR(AA2118-W2118,"")</f>
        <v>4</v>
      </c>
    </row>
    <row r="2119" spans="1:43" x14ac:dyDescent="0.35">
      <c r="A2119">
        <v>113</v>
      </c>
      <c r="B2119" t="s">
        <v>6580</v>
      </c>
      <c r="C2119" t="s">
        <v>6525</v>
      </c>
      <c r="D2119" t="str">
        <f t="shared" si="835"/>
        <v>Capacity Building</v>
      </c>
      <c r="E2119" t="s">
        <v>6526</v>
      </c>
      <c r="F2119" t="s">
        <v>204</v>
      </c>
      <c r="G2119" t="s">
        <v>6527</v>
      </c>
      <c r="H2119" t="s">
        <v>206</v>
      </c>
      <c r="I2119" s="32">
        <v>44738.19809027778</v>
      </c>
      <c r="J2119" s="32">
        <v>44742.19809027778</v>
      </c>
      <c r="K2119" s="32">
        <v>44746.19809027778</v>
      </c>
      <c r="L2119" s="8">
        <f t="shared" si="836"/>
        <v>8</v>
      </c>
      <c r="M2119" s="7">
        <v>44766.19809027778</v>
      </c>
      <c r="N2119" t="s">
        <v>49</v>
      </c>
      <c r="O2119" s="34">
        <v>44761.19809027778</v>
      </c>
      <c r="P2119" t="s">
        <v>60</v>
      </c>
      <c r="R2119" s="32">
        <v>44766.19809027778</v>
      </c>
      <c r="S2119" t="s">
        <v>61</v>
      </c>
      <c r="T2119" s="34" t="s">
        <v>7476</v>
      </c>
      <c r="U2119" s="34" t="s">
        <v>7476</v>
      </c>
      <c r="V2119" s="32">
        <v>44762.19809027778</v>
      </c>
      <c r="W2119" s="32" t="s">
        <v>7476</v>
      </c>
      <c r="X2119">
        <v>0</v>
      </c>
      <c r="Y2119" s="34" t="s">
        <v>7476</v>
      </c>
      <c r="Z2119" s="34" t="s">
        <v>7476</v>
      </c>
      <c r="AA2119" s="34" t="s">
        <v>7476</v>
      </c>
      <c r="AB2119" s="36" t="s">
        <v>7476</v>
      </c>
      <c r="AD2119" t="s">
        <v>6581</v>
      </c>
      <c r="AE2119" t="s">
        <v>6582</v>
      </c>
      <c r="AF2119" s="16">
        <v>44780</v>
      </c>
      <c r="AG2119" t="s">
        <v>98</v>
      </c>
      <c r="AH2119">
        <v>6</v>
      </c>
      <c r="AI2119" s="8">
        <f>IFERROR(R2119-AF2119,"")</f>
        <v>-13.801909722220444</v>
      </c>
      <c r="AJ2119" s="8">
        <f>IFERROR(O2119-AF2119,"")</f>
        <v>-18.801909722220444</v>
      </c>
      <c r="AK2119" s="38">
        <f t="shared" si="837"/>
        <v>44942.19809027778</v>
      </c>
      <c r="AL2119" t="str">
        <f>IFERROR(Z2119-W2119,"")</f>
        <v/>
      </c>
      <c r="AM2119">
        <f>IFERROR(R2119-J2119,"")</f>
        <v>24</v>
      </c>
      <c r="AN2119">
        <f>IFERROR(V2119-O2119,"")</f>
        <v>1</v>
      </c>
      <c r="AO2119">
        <f>IFERROR(J2119-I2119,"")</f>
        <v>4</v>
      </c>
      <c r="AP2119">
        <f>IFERROR(AC2119-X2119,"")</f>
        <v>0</v>
      </c>
      <c r="AQ2119" t="str">
        <f>IFERROR(AA2119-W2119,"")</f>
        <v/>
      </c>
    </row>
    <row r="2120" spans="1:43" x14ac:dyDescent="0.35">
      <c r="A2120">
        <v>53</v>
      </c>
      <c r="B2120" t="s">
        <v>6583</v>
      </c>
      <c r="C2120" t="s">
        <v>6531</v>
      </c>
      <c r="D2120" t="str">
        <f t="shared" si="835"/>
        <v>Capacity Building</v>
      </c>
      <c r="E2120" t="s">
        <v>6526</v>
      </c>
      <c r="F2120" t="s">
        <v>204</v>
      </c>
      <c r="G2120" t="s">
        <v>6527</v>
      </c>
      <c r="H2120" t="s">
        <v>206</v>
      </c>
      <c r="I2120" s="32">
        <v>44770.01295138889</v>
      </c>
      <c r="J2120" s="32" t="s">
        <v>7471</v>
      </c>
      <c r="K2120" s="32">
        <v>44777.01295138889</v>
      </c>
      <c r="L2120" s="8">
        <f t="shared" si="836"/>
        <v>7</v>
      </c>
      <c r="M2120" s="7">
        <v>44784.01295138889</v>
      </c>
      <c r="N2120" t="s">
        <v>49</v>
      </c>
      <c r="O2120" s="34">
        <v>44779.01295138889</v>
      </c>
      <c r="P2120" t="s">
        <v>50</v>
      </c>
      <c r="Q2120" t="s">
        <v>125</v>
      </c>
      <c r="R2120" s="32" t="s">
        <v>7472</v>
      </c>
      <c r="S2120" t="s">
        <v>7476</v>
      </c>
      <c r="T2120" s="34" t="s">
        <v>7476</v>
      </c>
      <c r="U2120" s="34" t="s">
        <v>7476</v>
      </c>
      <c r="V2120" s="32" t="s">
        <v>7476</v>
      </c>
      <c r="W2120" s="32" t="s">
        <v>7476</v>
      </c>
      <c r="X2120">
        <v>0</v>
      </c>
      <c r="Y2120" s="34" t="s">
        <v>7476</v>
      </c>
      <c r="Z2120" s="34" t="s">
        <v>7476</v>
      </c>
      <c r="AA2120" s="34" t="s">
        <v>7476</v>
      </c>
      <c r="AB2120" s="36" t="s">
        <v>52</v>
      </c>
      <c r="AD2120" t="s">
        <v>6584</v>
      </c>
      <c r="AE2120" t="s">
        <v>6585</v>
      </c>
      <c r="AF2120" s="16">
        <v>44771</v>
      </c>
      <c r="AG2120" t="s">
        <v>64</v>
      </c>
      <c r="AH2120">
        <v>3</v>
      </c>
      <c r="AK2120" s="38" t="str">
        <f t="shared" si="837"/>
        <v/>
      </c>
    </row>
    <row r="2121" spans="1:43" x14ac:dyDescent="0.35">
      <c r="A2121">
        <v>3000</v>
      </c>
      <c r="B2121" t="s">
        <v>6586</v>
      </c>
      <c r="C2121" t="s">
        <v>6550</v>
      </c>
      <c r="D2121" t="str">
        <f t="shared" si="835"/>
        <v>Capacity Building</v>
      </c>
      <c r="E2121" t="s">
        <v>6587</v>
      </c>
      <c r="F2121" t="s">
        <v>1046</v>
      </c>
      <c r="G2121" t="s">
        <v>6588</v>
      </c>
      <c r="H2121" t="s">
        <v>334</v>
      </c>
      <c r="I2121" s="32">
        <v>44989.039479166669</v>
      </c>
      <c r="J2121" s="32">
        <v>44992.039479166669</v>
      </c>
      <c r="K2121" s="32">
        <v>44993.039479166669</v>
      </c>
      <c r="L2121" s="8">
        <f t="shared" si="836"/>
        <v>4</v>
      </c>
      <c r="M2121" s="7">
        <v>45007.039479166669</v>
      </c>
      <c r="N2121" t="s">
        <v>72</v>
      </c>
      <c r="O2121" s="34" t="s">
        <v>7474</v>
      </c>
      <c r="R2121" s="32" t="s">
        <v>7472</v>
      </c>
      <c r="S2121" t="s">
        <v>7476</v>
      </c>
      <c r="T2121" s="34" t="s">
        <v>7476</v>
      </c>
      <c r="U2121" s="34" t="s">
        <v>7476</v>
      </c>
      <c r="V2121" s="32" t="s">
        <v>7476</v>
      </c>
      <c r="W2121" s="32" t="s">
        <v>7476</v>
      </c>
      <c r="X2121">
        <v>0</v>
      </c>
      <c r="Y2121" s="34" t="s">
        <v>7476</v>
      </c>
      <c r="Z2121" s="34" t="s">
        <v>7476</v>
      </c>
      <c r="AA2121" s="34" t="s">
        <v>7476</v>
      </c>
      <c r="AB2121" s="36" t="s">
        <v>7476</v>
      </c>
      <c r="AD2121" t="s">
        <v>6589</v>
      </c>
      <c r="AE2121" t="s">
        <v>6590</v>
      </c>
      <c r="AG2121" t="s">
        <v>98</v>
      </c>
      <c r="AH2121">
        <v>3</v>
      </c>
      <c r="AI2121" s="8" t="str">
        <f>IFERROR(R2121-AF2121,"")</f>
        <v/>
      </c>
      <c r="AJ2121" s="8" t="str">
        <f>IFERROR(O2121-AF2121,"")</f>
        <v/>
      </c>
      <c r="AK2121" s="38" t="str">
        <f t="shared" si="837"/>
        <v/>
      </c>
      <c r="AL2121" t="str">
        <f>IFERROR(Z2121-W2121,"")</f>
        <v/>
      </c>
      <c r="AM2121" t="str">
        <f>IFERROR(R2121-J2121,"")</f>
        <v/>
      </c>
      <c r="AN2121" t="str">
        <f>IFERROR(V2121-O2121,"")</f>
        <v/>
      </c>
      <c r="AO2121">
        <f>IFERROR(J2121-I2121,"")</f>
        <v>3</v>
      </c>
      <c r="AP2121">
        <f>IFERROR(AC2121-X2121,"")</f>
        <v>0</v>
      </c>
      <c r="AQ2121" t="str">
        <f>IFERROR(AA2121-W2121,"")</f>
        <v/>
      </c>
    </row>
    <row r="2122" spans="1:43" x14ac:dyDescent="0.35">
      <c r="A2122">
        <v>2925</v>
      </c>
      <c r="B2122" t="s">
        <v>6591</v>
      </c>
      <c r="C2122" t="s">
        <v>6525</v>
      </c>
      <c r="D2122" t="str">
        <f t="shared" si="835"/>
        <v>Capacity Building</v>
      </c>
      <c r="E2122" t="s">
        <v>6587</v>
      </c>
      <c r="F2122" t="s">
        <v>1046</v>
      </c>
      <c r="G2122" t="s">
        <v>6588</v>
      </c>
      <c r="H2122" t="s">
        <v>334</v>
      </c>
      <c r="I2122" s="32" t="s">
        <v>7471</v>
      </c>
      <c r="J2122" s="32">
        <v>45177.386689814812</v>
      </c>
      <c r="K2122" s="32">
        <v>45185.386689814812</v>
      </c>
      <c r="L2122" s="8" t="str">
        <f t="shared" si="836"/>
        <v/>
      </c>
      <c r="M2122" s="7">
        <v>45230.386689814812</v>
      </c>
      <c r="N2122" t="s">
        <v>49</v>
      </c>
      <c r="O2122" s="34">
        <v>45188.386689814812</v>
      </c>
      <c r="P2122" t="s">
        <v>101</v>
      </c>
      <c r="R2122" s="32">
        <v>45192.386689814812</v>
      </c>
      <c r="S2122" t="s">
        <v>101</v>
      </c>
      <c r="T2122" s="34">
        <v>45190.386689814812</v>
      </c>
      <c r="U2122" s="34">
        <v>45191.386689814812</v>
      </c>
      <c r="V2122" s="32">
        <v>45190.386689814812</v>
      </c>
      <c r="W2122" s="32">
        <v>45199.386689814812</v>
      </c>
      <c r="X2122">
        <v>1</v>
      </c>
      <c r="Y2122" s="34">
        <v>45200.386689814812</v>
      </c>
      <c r="Z2122" s="34">
        <v>45201.386689814812</v>
      </c>
      <c r="AA2122" s="34">
        <v>45203.386689814812</v>
      </c>
      <c r="AB2122" s="36" t="s">
        <v>7476</v>
      </c>
      <c r="AC2122" s="10">
        <v>45214.386689814812</v>
      </c>
      <c r="AD2122" t="s">
        <v>6592</v>
      </c>
      <c r="AE2122" t="s">
        <v>6593</v>
      </c>
      <c r="AF2122" s="16">
        <v>45183</v>
      </c>
      <c r="AG2122" t="s">
        <v>68</v>
      </c>
      <c r="AH2122">
        <v>6</v>
      </c>
      <c r="AK2122" s="38">
        <f t="shared" si="837"/>
        <v>45370.386689814812</v>
      </c>
    </row>
    <row r="2123" spans="1:43" x14ac:dyDescent="0.35">
      <c r="A2123">
        <v>2915</v>
      </c>
      <c r="B2123" t="s">
        <v>6594</v>
      </c>
      <c r="C2123" t="s">
        <v>6550</v>
      </c>
      <c r="D2123" t="str">
        <f t="shared" si="835"/>
        <v>Capacity Building</v>
      </c>
      <c r="E2123" t="s">
        <v>6587</v>
      </c>
      <c r="F2123" t="s">
        <v>1046</v>
      </c>
      <c r="G2123" t="s">
        <v>6588</v>
      </c>
      <c r="H2123" t="s">
        <v>334</v>
      </c>
      <c r="I2123" s="32">
        <v>44598.794965277782</v>
      </c>
      <c r="J2123" s="32">
        <v>44600.794965277782</v>
      </c>
      <c r="K2123" s="32">
        <v>44608.794965277782</v>
      </c>
      <c r="L2123" s="8">
        <f t="shared" si="836"/>
        <v>10</v>
      </c>
      <c r="M2123" s="7">
        <v>44653.794965277782</v>
      </c>
      <c r="N2123" t="s">
        <v>49</v>
      </c>
      <c r="O2123" s="34">
        <v>44614.794965277782</v>
      </c>
      <c r="P2123" t="s">
        <v>101</v>
      </c>
      <c r="R2123" s="32">
        <v>44622.794965277782</v>
      </c>
      <c r="S2123" t="s">
        <v>101</v>
      </c>
      <c r="T2123" s="34">
        <v>44616.794965277782</v>
      </c>
      <c r="U2123" s="34">
        <v>44618.794965277782</v>
      </c>
      <c r="V2123" s="32">
        <v>44618.794965277782</v>
      </c>
      <c r="W2123" s="32">
        <v>44628.794965277782</v>
      </c>
      <c r="X2123">
        <v>1</v>
      </c>
      <c r="Y2123" s="34">
        <v>44629.794965277782</v>
      </c>
      <c r="Z2123" s="34">
        <v>44630.794965277782</v>
      </c>
      <c r="AA2123" s="34">
        <v>44631.794965277782</v>
      </c>
      <c r="AB2123" s="36" t="s">
        <v>7476</v>
      </c>
      <c r="AC2123" s="10">
        <v>44642.794965277782</v>
      </c>
      <c r="AD2123" t="s">
        <v>6595</v>
      </c>
      <c r="AE2123" t="s">
        <v>6596</v>
      </c>
      <c r="AF2123" s="16">
        <v>44598</v>
      </c>
      <c r="AG2123" t="s">
        <v>68</v>
      </c>
      <c r="AH2123">
        <v>3</v>
      </c>
      <c r="AI2123" s="8">
        <f>IFERROR(R2123-AF2123,"")</f>
        <v>24.794965277782467</v>
      </c>
      <c r="AJ2123" s="8">
        <f>IFERROR(O2123-AF2123,"")</f>
        <v>16.794965277782467</v>
      </c>
      <c r="AK2123" s="38">
        <f t="shared" si="837"/>
        <v>44708.794965277782</v>
      </c>
      <c r="AL2123">
        <f>IFERROR(Z2123-W2123,"")</f>
        <v>2</v>
      </c>
      <c r="AM2123">
        <f>IFERROR(R2123-J2123,"")</f>
        <v>22</v>
      </c>
      <c r="AN2123">
        <f>IFERROR(V2123-O2123,"")</f>
        <v>4</v>
      </c>
      <c r="AO2123">
        <f>IFERROR(J2123-I2123,"")</f>
        <v>2</v>
      </c>
      <c r="AP2123">
        <f>IFERROR(AC2123-X2123,"")</f>
        <v>44641.794965277782</v>
      </c>
      <c r="AQ2123">
        <f>IFERROR(AA2123-W2123,"")</f>
        <v>3</v>
      </c>
    </row>
    <row r="2124" spans="1:43" x14ac:dyDescent="0.35">
      <c r="A2124">
        <v>2825</v>
      </c>
      <c r="B2124" t="s">
        <v>6597</v>
      </c>
      <c r="C2124" t="s">
        <v>6531</v>
      </c>
      <c r="D2124" t="str">
        <f t="shared" si="835"/>
        <v>Capacity Building</v>
      </c>
      <c r="E2124" t="s">
        <v>6587</v>
      </c>
      <c r="F2124" t="s">
        <v>1046</v>
      </c>
      <c r="G2124" t="s">
        <v>6588</v>
      </c>
      <c r="H2124" t="s">
        <v>334</v>
      </c>
      <c r="I2124" s="32" t="s">
        <v>7471</v>
      </c>
      <c r="J2124" s="32">
        <v>44570.055902777778</v>
      </c>
      <c r="K2124" s="32">
        <v>44571.055902777778</v>
      </c>
      <c r="L2124" s="8" t="str">
        <f t="shared" si="836"/>
        <v/>
      </c>
      <c r="M2124" s="7">
        <v>44600.055902777778</v>
      </c>
      <c r="N2124" t="s">
        <v>72</v>
      </c>
      <c r="O2124" s="34" t="s">
        <v>7474</v>
      </c>
      <c r="R2124" s="32" t="s">
        <v>7472</v>
      </c>
      <c r="S2124" t="s">
        <v>7476</v>
      </c>
      <c r="T2124" s="34" t="s">
        <v>7476</v>
      </c>
      <c r="U2124" s="34" t="s">
        <v>7476</v>
      </c>
      <c r="V2124" s="32" t="s">
        <v>7476</v>
      </c>
      <c r="W2124" s="32" t="s">
        <v>7476</v>
      </c>
      <c r="X2124">
        <v>0</v>
      </c>
      <c r="Y2124" s="34" t="s">
        <v>7476</v>
      </c>
      <c r="Z2124" s="34" t="s">
        <v>7476</v>
      </c>
      <c r="AA2124" s="34" t="s">
        <v>7476</v>
      </c>
      <c r="AB2124" s="36" t="s">
        <v>7476</v>
      </c>
      <c r="AD2124" t="s">
        <v>6598</v>
      </c>
      <c r="AE2124" t="s">
        <v>6599</v>
      </c>
      <c r="AG2124" t="s">
        <v>93</v>
      </c>
      <c r="AH2124">
        <v>3</v>
      </c>
      <c r="AK2124" s="38" t="str">
        <f t="shared" si="837"/>
        <v/>
      </c>
    </row>
    <row r="2125" spans="1:43" x14ac:dyDescent="0.35">
      <c r="A2125">
        <v>2703</v>
      </c>
      <c r="B2125" t="s">
        <v>6600</v>
      </c>
      <c r="C2125" t="s">
        <v>6525</v>
      </c>
      <c r="D2125" t="str">
        <f t="shared" si="835"/>
        <v>Capacity Building</v>
      </c>
      <c r="E2125" t="s">
        <v>6587</v>
      </c>
      <c r="F2125" t="s">
        <v>1046</v>
      </c>
      <c r="G2125" t="s">
        <v>6588</v>
      </c>
      <c r="H2125" t="s">
        <v>334</v>
      </c>
      <c r="I2125" s="32" t="s">
        <v>7471</v>
      </c>
      <c r="J2125" s="32">
        <v>44832.495787037027</v>
      </c>
      <c r="K2125" s="32">
        <v>44837.495787037027</v>
      </c>
      <c r="L2125" s="8" t="str">
        <f t="shared" si="836"/>
        <v/>
      </c>
      <c r="M2125" s="7">
        <v>44854.495787037027</v>
      </c>
      <c r="N2125" t="s">
        <v>72</v>
      </c>
      <c r="O2125" s="34" t="s">
        <v>7474</v>
      </c>
      <c r="R2125" s="32" t="s">
        <v>7472</v>
      </c>
      <c r="S2125" t="s">
        <v>7476</v>
      </c>
      <c r="T2125" s="34" t="s">
        <v>7476</v>
      </c>
      <c r="U2125" s="34" t="s">
        <v>7476</v>
      </c>
      <c r="V2125" s="32" t="s">
        <v>7476</v>
      </c>
      <c r="W2125" s="32" t="s">
        <v>7476</v>
      </c>
      <c r="X2125">
        <v>0</v>
      </c>
      <c r="Y2125" s="34" t="s">
        <v>7476</v>
      </c>
      <c r="Z2125" s="34" t="s">
        <v>7476</v>
      </c>
      <c r="AA2125" s="34" t="s">
        <v>7476</v>
      </c>
      <c r="AB2125" s="36" t="s">
        <v>7476</v>
      </c>
      <c r="AD2125" t="s">
        <v>6601</v>
      </c>
      <c r="AE2125" t="s">
        <v>6602</v>
      </c>
      <c r="AG2125" t="s">
        <v>68</v>
      </c>
      <c r="AH2125">
        <v>3</v>
      </c>
      <c r="AK2125" s="38" t="str">
        <f t="shared" si="837"/>
        <v/>
      </c>
    </row>
    <row r="2126" spans="1:43" x14ac:dyDescent="0.35">
      <c r="A2126">
        <v>2636</v>
      </c>
      <c r="B2126" t="s">
        <v>6603</v>
      </c>
      <c r="C2126" t="s">
        <v>6531</v>
      </c>
      <c r="D2126" t="str">
        <f t="shared" si="835"/>
        <v>Capacity Building</v>
      </c>
      <c r="E2126" t="s">
        <v>6587</v>
      </c>
      <c r="F2126" t="s">
        <v>1046</v>
      </c>
      <c r="G2126" t="s">
        <v>6588</v>
      </c>
      <c r="H2126" t="s">
        <v>334</v>
      </c>
      <c r="I2126" s="32">
        <v>44584.196851851862</v>
      </c>
      <c r="J2126" s="32">
        <v>44585.196851851862</v>
      </c>
      <c r="K2126" s="32" t="s">
        <v>7473</v>
      </c>
      <c r="L2126" s="8" t="str">
        <f t="shared" si="836"/>
        <v/>
      </c>
      <c r="M2126" s="7">
        <v>44615.196851851862</v>
      </c>
      <c r="N2126" t="s">
        <v>72</v>
      </c>
      <c r="O2126" s="34" t="s">
        <v>7474</v>
      </c>
      <c r="R2126" s="32" t="s">
        <v>7472</v>
      </c>
      <c r="S2126" t="s">
        <v>7476</v>
      </c>
      <c r="T2126" s="34" t="s">
        <v>7476</v>
      </c>
      <c r="U2126" s="34" t="s">
        <v>7476</v>
      </c>
      <c r="V2126" s="32" t="s">
        <v>7476</v>
      </c>
      <c r="W2126" s="32" t="s">
        <v>7476</v>
      </c>
      <c r="X2126">
        <v>0</v>
      </c>
      <c r="Y2126" s="34" t="s">
        <v>7476</v>
      </c>
      <c r="Z2126" s="34" t="s">
        <v>7476</v>
      </c>
      <c r="AA2126" s="34" t="s">
        <v>7476</v>
      </c>
      <c r="AB2126" s="36" t="s">
        <v>7476</v>
      </c>
      <c r="AD2126" t="s">
        <v>6604</v>
      </c>
      <c r="AE2126" t="s">
        <v>6605</v>
      </c>
      <c r="AG2126" t="s">
        <v>64</v>
      </c>
      <c r="AH2126">
        <v>6</v>
      </c>
      <c r="AK2126" s="38" t="str">
        <f t="shared" si="837"/>
        <v/>
      </c>
    </row>
    <row r="2127" spans="1:43" x14ac:dyDescent="0.35">
      <c r="A2127">
        <v>2580</v>
      </c>
      <c r="B2127" t="s">
        <v>6606</v>
      </c>
      <c r="C2127" t="s">
        <v>6525</v>
      </c>
      <c r="D2127" t="str">
        <f t="shared" si="835"/>
        <v>Capacity Building</v>
      </c>
      <c r="E2127" t="s">
        <v>6587</v>
      </c>
      <c r="F2127" t="s">
        <v>1046</v>
      </c>
      <c r="G2127" t="s">
        <v>6588</v>
      </c>
      <c r="H2127" t="s">
        <v>334</v>
      </c>
      <c r="I2127" s="32">
        <v>44641.718425925923</v>
      </c>
      <c r="J2127" s="32">
        <v>44644.718425925923</v>
      </c>
      <c r="K2127" s="32">
        <v>44645.718425925923</v>
      </c>
      <c r="L2127" s="8">
        <f t="shared" si="836"/>
        <v>4</v>
      </c>
      <c r="M2127" s="7">
        <v>44651.718425925923</v>
      </c>
      <c r="N2127" t="s">
        <v>49</v>
      </c>
      <c r="O2127" s="34">
        <v>44648.718425925923</v>
      </c>
      <c r="P2127" t="s">
        <v>101</v>
      </c>
      <c r="R2127" s="32">
        <v>44655.718425925923</v>
      </c>
      <c r="S2127" t="s">
        <v>101</v>
      </c>
      <c r="T2127" s="34">
        <v>44649.718425925923</v>
      </c>
      <c r="U2127" s="34">
        <v>44653.718425925923</v>
      </c>
      <c r="V2127" s="32">
        <v>44652.718425925923</v>
      </c>
      <c r="W2127" s="32">
        <v>44660.718425925923</v>
      </c>
      <c r="X2127">
        <v>1</v>
      </c>
      <c r="Y2127" s="34">
        <v>44662.718425925923</v>
      </c>
      <c r="Z2127" s="34">
        <v>44664.718425925923</v>
      </c>
      <c r="AA2127" s="34">
        <v>44666.718425925923</v>
      </c>
      <c r="AB2127" s="36" t="s">
        <v>7476</v>
      </c>
      <c r="AC2127" s="10">
        <v>44677.718425925923</v>
      </c>
      <c r="AD2127" t="s">
        <v>6607</v>
      </c>
      <c r="AE2127" t="s">
        <v>6608</v>
      </c>
      <c r="AF2127" s="16">
        <v>44629</v>
      </c>
      <c r="AG2127" t="s">
        <v>98</v>
      </c>
      <c r="AH2127">
        <v>6</v>
      </c>
      <c r="AI2127" s="8">
        <f t="shared" ref="AI2127:AI2133" si="838">IFERROR(R2127-AF2127,"")</f>
        <v>26.718425925922929</v>
      </c>
      <c r="AJ2127" s="8">
        <f t="shared" ref="AJ2127:AJ2133" si="839">IFERROR(O2127-AF2127,"")</f>
        <v>19.718425925922929</v>
      </c>
      <c r="AK2127" s="38">
        <f t="shared" si="837"/>
        <v>44832.718425925923</v>
      </c>
      <c r="AL2127">
        <f t="shared" ref="AL2127:AL2133" si="840">IFERROR(Z2127-W2127,"")</f>
        <v>4</v>
      </c>
      <c r="AM2127">
        <f t="shared" ref="AM2127:AM2133" si="841">IFERROR(R2127-J2127,"")</f>
        <v>11</v>
      </c>
      <c r="AN2127">
        <f t="shared" ref="AN2127:AN2133" si="842">IFERROR(V2127-O2127,"")</f>
        <v>4</v>
      </c>
      <c r="AO2127">
        <f t="shared" ref="AO2127:AO2133" si="843">IFERROR(J2127-I2127,"")</f>
        <v>3</v>
      </c>
      <c r="AP2127">
        <f t="shared" ref="AP2127:AP2133" si="844">IFERROR(AC2127-X2127,"")</f>
        <v>44676.718425925923</v>
      </c>
      <c r="AQ2127">
        <f t="shared" ref="AQ2127:AQ2133" si="845">IFERROR(AA2127-W2127,"")</f>
        <v>6</v>
      </c>
    </row>
    <row r="2128" spans="1:43" x14ac:dyDescent="0.35">
      <c r="A2128">
        <v>2140</v>
      </c>
      <c r="B2128" t="s">
        <v>6609</v>
      </c>
      <c r="C2128" t="s">
        <v>6525</v>
      </c>
      <c r="D2128" t="str">
        <f t="shared" si="835"/>
        <v>Capacity Building</v>
      </c>
      <c r="E2128" t="s">
        <v>6587</v>
      </c>
      <c r="F2128" t="s">
        <v>1046</v>
      </c>
      <c r="G2128" t="s">
        <v>6588</v>
      </c>
      <c r="H2128" t="s">
        <v>334</v>
      </c>
      <c r="I2128" s="32">
        <v>44774.516493055547</v>
      </c>
      <c r="J2128" s="32">
        <v>44776.516493055547</v>
      </c>
      <c r="K2128" s="32">
        <v>44781.516493055547</v>
      </c>
      <c r="L2128" s="8">
        <f t="shared" si="836"/>
        <v>7</v>
      </c>
      <c r="M2128" s="7">
        <v>44806.516493055547</v>
      </c>
      <c r="N2128" t="s">
        <v>72</v>
      </c>
      <c r="O2128" s="34" t="s">
        <v>7474</v>
      </c>
      <c r="R2128" s="32" t="s">
        <v>7472</v>
      </c>
      <c r="S2128" t="s">
        <v>7476</v>
      </c>
      <c r="T2128" s="34" t="s">
        <v>7476</v>
      </c>
      <c r="U2128" s="34" t="s">
        <v>7476</v>
      </c>
      <c r="V2128" s="32" t="s">
        <v>7476</v>
      </c>
      <c r="W2128" s="32" t="s">
        <v>7476</v>
      </c>
      <c r="X2128">
        <v>0</v>
      </c>
      <c r="Y2128" s="34" t="s">
        <v>7476</v>
      </c>
      <c r="Z2128" s="34" t="s">
        <v>7476</v>
      </c>
      <c r="AA2128" s="34" t="s">
        <v>7476</v>
      </c>
      <c r="AB2128" s="36" t="s">
        <v>7476</v>
      </c>
      <c r="AD2128" t="s">
        <v>6610</v>
      </c>
      <c r="AE2128" t="s">
        <v>6611</v>
      </c>
      <c r="AG2128" t="s">
        <v>68</v>
      </c>
      <c r="AH2128">
        <v>6</v>
      </c>
      <c r="AI2128" s="8" t="str">
        <f t="shared" si="838"/>
        <v/>
      </c>
      <c r="AJ2128" s="8" t="str">
        <f t="shared" si="839"/>
        <v/>
      </c>
      <c r="AK2128" s="38" t="str">
        <f t="shared" si="837"/>
        <v/>
      </c>
      <c r="AL2128" t="str">
        <f t="shared" si="840"/>
        <v/>
      </c>
      <c r="AM2128" t="str">
        <f t="shared" si="841"/>
        <v/>
      </c>
      <c r="AN2128" t="str">
        <f t="shared" si="842"/>
        <v/>
      </c>
      <c r="AO2128">
        <f t="shared" si="843"/>
        <v>2</v>
      </c>
      <c r="AP2128">
        <f t="shared" si="844"/>
        <v>0</v>
      </c>
      <c r="AQ2128" t="str">
        <f t="shared" si="845"/>
        <v/>
      </c>
    </row>
    <row r="2129" spans="1:43" x14ac:dyDescent="0.35">
      <c r="A2129">
        <v>2107</v>
      </c>
      <c r="B2129" t="s">
        <v>6612</v>
      </c>
      <c r="C2129" t="s">
        <v>6550</v>
      </c>
      <c r="D2129" t="str">
        <f t="shared" si="835"/>
        <v>Capacity Building</v>
      </c>
      <c r="E2129" t="s">
        <v>6587</v>
      </c>
      <c r="F2129" t="s">
        <v>1046</v>
      </c>
      <c r="G2129" t="s">
        <v>6588</v>
      </c>
      <c r="H2129" t="s">
        <v>334</v>
      </c>
      <c r="I2129" s="32">
        <v>44684.022326388891</v>
      </c>
      <c r="J2129" s="32">
        <v>44688.022326388891</v>
      </c>
      <c r="K2129" s="32">
        <v>44692.022326388891</v>
      </c>
      <c r="L2129" s="8">
        <f t="shared" si="836"/>
        <v>8</v>
      </c>
      <c r="M2129" s="7">
        <v>44700.022326388891</v>
      </c>
      <c r="N2129" t="s">
        <v>49</v>
      </c>
      <c r="O2129" s="34">
        <v>44702.022326388891</v>
      </c>
      <c r="P2129" t="s">
        <v>101</v>
      </c>
      <c r="R2129" s="32">
        <v>44709.022326388891</v>
      </c>
      <c r="S2129" t="s">
        <v>101</v>
      </c>
      <c r="T2129" s="34">
        <v>44703.022326388891</v>
      </c>
      <c r="U2129" s="34">
        <v>44707.022326388891</v>
      </c>
      <c r="V2129" s="32">
        <v>44705.022326388891</v>
      </c>
      <c r="W2129" s="32">
        <v>44714.022326388891</v>
      </c>
      <c r="X2129">
        <v>1</v>
      </c>
      <c r="Y2129" s="34">
        <v>44718.022326388891</v>
      </c>
      <c r="Z2129" s="34">
        <v>44719.022326388891</v>
      </c>
      <c r="AA2129" s="34">
        <v>44721.022326388891</v>
      </c>
      <c r="AB2129" s="36" t="s">
        <v>7476</v>
      </c>
      <c r="AC2129" s="10">
        <v>44737.022326388891</v>
      </c>
      <c r="AD2129" t="s">
        <v>6613</v>
      </c>
      <c r="AE2129" t="s">
        <v>6614</v>
      </c>
      <c r="AF2129" s="16">
        <v>44692</v>
      </c>
      <c r="AG2129" t="s">
        <v>64</v>
      </c>
      <c r="AH2129">
        <v>6</v>
      </c>
      <c r="AI2129" s="8">
        <f t="shared" si="838"/>
        <v>17.022326388891088</v>
      </c>
      <c r="AJ2129" s="8">
        <f t="shared" si="839"/>
        <v>10.022326388891088</v>
      </c>
      <c r="AK2129" s="38">
        <f t="shared" si="837"/>
        <v>44885.022326388891</v>
      </c>
      <c r="AL2129">
        <f t="shared" si="840"/>
        <v>5</v>
      </c>
      <c r="AM2129">
        <f t="shared" si="841"/>
        <v>21</v>
      </c>
      <c r="AN2129">
        <f t="shared" si="842"/>
        <v>3</v>
      </c>
      <c r="AO2129">
        <f t="shared" si="843"/>
        <v>4</v>
      </c>
      <c r="AP2129">
        <f t="shared" si="844"/>
        <v>44736.022326388891</v>
      </c>
      <c r="AQ2129">
        <f t="shared" si="845"/>
        <v>7</v>
      </c>
    </row>
    <row r="2130" spans="1:43" x14ac:dyDescent="0.35">
      <c r="A2130">
        <v>2100</v>
      </c>
      <c r="B2130" t="s">
        <v>6615</v>
      </c>
      <c r="C2130" t="s">
        <v>6525</v>
      </c>
      <c r="D2130" t="str">
        <f t="shared" si="835"/>
        <v>Capacity Building</v>
      </c>
      <c r="E2130" t="s">
        <v>6587</v>
      </c>
      <c r="F2130" t="s">
        <v>1046</v>
      </c>
      <c r="G2130" t="s">
        <v>6588</v>
      </c>
      <c r="H2130" t="s">
        <v>334</v>
      </c>
      <c r="I2130" s="32">
        <v>44860.987488425933</v>
      </c>
      <c r="J2130" s="32">
        <v>44861.987488425933</v>
      </c>
      <c r="K2130" s="32">
        <v>44864.987488425933</v>
      </c>
      <c r="L2130" s="8">
        <f t="shared" si="836"/>
        <v>4</v>
      </c>
      <c r="M2130" s="7">
        <v>44893.987488425933</v>
      </c>
      <c r="N2130" t="s">
        <v>72</v>
      </c>
      <c r="O2130" s="34" t="s">
        <v>7474</v>
      </c>
      <c r="R2130" s="32" t="s">
        <v>7472</v>
      </c>
      <c r="S2130" t="s">
        <v>7476</v>
      </c>
      <c r="T2130" s="34" t="s">
        <v>7476</v>
      </c>
      <c r="U2130" s="34" t="s">
        <v>7476</v>
      </c>
      <c r="V2130" s="32" t="s">
        <v>7476</v>
      </c>
      <c r="W2130" s="32" t="s">
        <v>7476</v>
      </c>
      <c r="X2130">
        <v>0</v>
      </c>
      <c r="Y2130" s="34" t="s">
        <v>7476</v>
      </c>
      <c r="Z2130" s="34" t="s">
        <v>7476</v>
      </c>
      <c r="AA2130" s="34" t="s">
        <v>7476</v>
      </c>
      <c r="AB2130" s="36" t="s">
        <v>7476</v>
      </c>
      <c r="AD2130" t="s">
        <v>6616</v>
      </c>
      <c r="AE2130" t="s">
        <v>6617</v>
      </c>
      <c r="AG2130" t="s">
        <v>64</v>
      </c>
      <c r="AH2130">
        <v>6</v>
      </c>
      <c r="AI2130" s="8" t="str">
        <f t="shared" si="838"/>
        <v/>
      </c>
      <c r="AJ2130" s="8" t="str">
        <f t="shared" si="839"/>
        <v/>
      </c>
      <c r="AK2130" s="38" t="str">
        <f t="shared" si="837"/>
        <v/>
      </c>
      <c r="AL2130" t="str">
        <f t="shared" si="840"/>
        <v/>
      </c>
      <c r="AM2130" t="str">
        <f t="shared" si="841"/>
        <v/>
      </c>
      <c r="AN2130" t="str">
        <f t="shared" si="842"/>
        <v/>
      </c>
      <c r="AO2130">
        <f t="shared" si="843"/>
        <v>1</v>
      </c>
      <c r="AP2130">
        <f t="shared" si="844"/>
        <v>0</v>
      </c>
      <c r="AQ2130" t="str">
        <f t="shared" si="845"/>
        <v/>
      </c>
    </row>
    <row r="2131" spans="1:43" x14ac:dyDescent="0.35">
      <c r="A2131">
        <v>1714</v>
      </c>
      <c r="B2131" t="s">
        <v>6618</v>
      </c>
      <c r="C2131" t="s">
        <v>6525</v>
      </c>
      <c r="D2131" t="str">
        <f t="shared" si="835"/>
        <v>Capacity Building</v>
      </c>
      <c r="E2131" t="s">
        <v>6587</v>
      </c>
      <c r="F2131" t="s">
        <v>1046</v>
      </c>
      <c r="G2131" t="s">
        <v>6588</v>
      </c>
      <c r="H2131" t="s">
        <v>334</v>
      </c>
      <c r="I2131" s="32">
        <v>44563.077685185177</v>
      </c>
      <c r="J2131" s="32">
        <v>44566.077685185177</v>
      </c>
      <c r="K2131" s="32">
        <v>44568.077685185177</v>
      </c>
      <c r="L2131" s="8">
        <f t="shared" si="836"/>
        <v>5</v>
      </c>
      <c r="M2131" s="7">
        <v>44574.077685185177</v>
      </c>
      <c r="N2131" t="s">
        <v>72</v>
      </c>
      <c r="O2131" s="34" t="s">
        <v>7474</v>
      </c>
      <c r="R2131" s="32" t="s">
        <v>7472</v>
      </c>
      <c r="S2131" t="s">
        <v>7476</v>
      </c>
      <c r="T2131" s="34" t="s">
        <v>7476</v>
      </c>
      <c r="U2131" s="34" t="s">
        <v>7476</v>
      </c>
      <c r="V2131" s="32" t="s">
        <v>7476</v>
      </c>
      <c r="W2131" s="32" t="s">
        <v>7476</v>
      </c>
      <c r="X2131">
        <v>0</v>
      </c>
      <c r="Y2131" s="34" t="s">
        <v>7476</v>
      </c>
      <c r="Z2131" s="34" t="s">
        <v>7476</v>
      </c>
      <c r="AA2131" s="34" t="s">
        <v>7476</v>
      </c>
      <c r="AB2131" s="36" t="s">
        <v>7476</v>
      </c>
      <c r="AD2131" t="s">
        <v>6619</v>
      </c>
      <c r="AE2131" t="s">
        <v>6620</v>
      </c>
      <c r="AG2131" t="s">
        <v>98</v>
      </c>
      <c r="AH2131">
        <v>6</v>
      </c>
      <c r="AI2131" s="8" t="str">
        <f t="shared" si="838"/>
        <v/>
      </c>
      <c r="AJ2131" s="8" t="str">
        <f t="shared" si="839"/>
        <v/>
      </c>
      <c r="AK2131" s="38" t="str">
        <f t="shared" si="837"/>
        <v/>
      </c>
      <c r="AL2131" t="str">
        <f t="shared" si="840"/>
        <v/>
      </c>
      <c r="AM2131" t="str">
        <f t="shared" si="841"/>
        <v/>
      </c>
      <c r="AN2131" t="str">
        <f t="shared" si="842"/>
        <v/>
      </c>
      <c r="AO2131">
        <f t="shared" si="843"/>
        <v>3</v>
      </c>
      <c r="AP2131">
        <f t="shared" si="844"/>
        <v>0</v>
      </c>
      <c r="AQ2131" t="str">
        <f t="shared" si="845"/>
        <v/>
      </c>
    </row>
    <row r="2132" spans="1:43" x14ac:dyDescent="0.35">
      <c r="A2132">
        <v>1693</v>
      </c>
      <c r="B2132" t="s">
        <v>6621</v>
      </c>
      <c r="C2132" t="s">
        <v>6525</v>
      </c>
      <c r="D2132" t="str">
        <f t="shared" si="835"/>
        <v>Capacity Building</v>
      </c>
      <c r="E2132" t="s">
        <v>6587</v>
      </c>
      <c r="F2132" t="s">
        <v>1046</v>
      </c>
      <c r="G2132" t="s">
        <v>6588</v>
      </c>
      <c r="H2132" t="s">
        <v>334</v>
      </c>
      <c r="I2132" s="32">
        <v>44980.764687499999</v>
      </c>
      <c r="J2132" s="32">
        <v>44984.764687499999</v>
      </c>
      <c r="K2132" s="32">
        <v>44989.764687499999</v>
      </c>
      <c r="L2132" s="8">
        <f t="shared" si="836"/>
        <v>9</v>
      </c>
      <c r="M2132" s="7">
        <v>45014.764687499999</v>
      </c>
      <c r="N2132" t="s">
        <v>72</v>
      </c>
      <c r="O2132" s="34" t="s">
        <v>7474</v>
      </c>
      <c r="R2132" s="32" t="s">
        <v>7472</v>
      </c>
      <c r="S2132" t="s">
        <v>7476</v>
      </c>
      <c r="T2132" s="34" t="s">
        <v>7476</v>
      </c>
      <c r="U2132" s="34" t="s">
        <v>7476</v>
      </c>
      <c r="V2132" s="32" t="s">
        <v>7476</v>
      </c>
      <c r="W2132" s="32" t="s">
        <v>7476</v>
      </c>
      <c r="X2132">
        <v>0</v>
      </c>
      <c r="Y2132" s="34" t="s">
        <v>7476</v>
      </c>
      <c r="Z2132" s="34" t="s">
        <v>7476</v>
      </c>
      <c r="AA2132" s="34" t="s">
        <v>7476</v>
      </c>
      <c r="AB2132" s="36" t="s">
        <v>7476</v>
      </c>
      <c r="AD2132" t="s">
        <v>6622</v>
      </c>
      <c r="AE2132" t="s">
        <v>6623</v>
      </c>
      <c r="AG2132" t="s">
        <v>68</v>
      </c>
      <c r="AH2132">
        <v>3</v>
      </c>
      <c r="AI2132" s="8" t="str">
        <f t="shared" si="838"/>
        <v/>
      </c>
      <c r="AJ2132" s="8" t="str">
        <f t="shared" si="839"/>
        <v/>
      </c>
      <c r="AK2132" s="38" t="str">
        <f t="shared" si="837"/>
        <v/>
      </c>
      <c r="AL2132" t="str">
        <f t="shared" si="840"/>
        <v/>
      </c>
      <c r="AM2132" t="str">
        <f t="shared" si="841"/>
        <v/>
      </c>
      <c r="AN2132" t="str">
        <f t="shared" si="842"/>
        <v/>
      </c>
      <c r="AO2132">
        <f t="shared" si="843"/>
        <v>4</v>
      </c>
      <c r="AP2132">
        <f t="shared" si="844"/>
        <v>0</v>
      </c>
      <c r="AQ2132" t="str">
        <f t="shared" si="845"/>
        <v/>
      </c>
    </row>
    <row r="2133" spans="1:43" x14ac:dyDescent="0.35">
      <c r="A2133">
        <v>1552</v>
      </c>
      <c r="B2133" t="s">
        <v>6624</v>
      </c>
      <c r="C2133" t="s">
        <v>6531</v>
      </c>
      <c r="D2133" t="str">
        <f t="shared" si="835"/>
        <v>Capacity Building</v>
      </c>
      <c r="E2133" t="s">
        <v>6587</v>
      </c>
      <c r="F2133" t="s">
        <v>1046</v>
      </c>
      <c r="G2133" t="s">
        <v>6588</v>
      </c>
      <c r="H2133" t="s">
        <v>334</v>
      </c>
      <c r="I2133" s="32">
        <v>44902.597222222219</v>
      </c>
      <c r="J2133" s="32">
        <v>44903.597222222219</v>
      </c>
      <c r="K2133" s="32">
        <v>44907.597222222219</v>
      </c>
      <c r="L2133" s="8">
        <f t="shared" si="836"/>
        <v>5</v>
      </c>
      <c r="M2133" s="7">
        <v>44933.597222222219</v>
      </c>
      <c r="N2133" t="s">
        <v>72</v>
      </c>
      <c r="O2133" s="34" t="s">
        <v>7474</v>
      </c>
      <c r="R2133" s="32" t="s">
        <v>7472</v>
      </c>
      <c r="S2133" t="s">
        <v>7476</v>
      </c>
      <c r="T2133" s="34" t="s">
        <v>7476</v>
      </c>
      <c r="U2133" s="34" t="s">
        <v>7476</v>
      </c>
      <c r="V2133" s="32" t="s">
        <v>7476</v>
      </c>
      <c r="W2133" s="32" t="s">
        <v>7476</v>
      </c>
      <c r="X2133">
        <v>0</v>
      </c>
      <c r="Y2133" s="34" t="s">
        <v>7476</v>
      </c>
      <c r="Z2133" s="34" t="s">
        <v>7476</v>
      </c>
      <c r="AA2133" s="34" t="s">
        <v>7476</v>
      </c>
      <c r="AB2133" s="36" t="s">
        <v>7476</v>
      </c>
      <c r="AD2133" t="s">
        <v>6625</v>
      </c>
      <c r="AE2133" t="s">
        <v>6626</v>
      </c>
      <c r="AG2133" t="s">
        <v>68</v>
      </c>
      <c r="AH2133">
        <v>3</v>
      </c>
      <c r="AI2133" s="8" t="str">
        <f t="shared" si="838"/>
        <v/>
      </c>
      <c r="AJ2133" s="8" t="str">
        <f t="shared" si="839"/>
        <v/>
      </c>
      <c r="AK2133" s="38" t="str">
        <f t="shared" si="837"/>
        <v/>
      </c>
      <c r="AL2133" t="str">
        <f t="shared" si="840"/>
        <v/>
      </c>
      <c r="AM2133" t="str">
        <f t="shared" si="841"/>
        <v/>
      </c>
      <c r="AN2133" t="str">
        <f t="shared" si="842"/>
        <v/>
      </c>
      <c r="AO2133">
        <f t="shared" si="843"/>
        <v>1</v>
      </c>
      <c r="AP2133">
        <f t="shared" si="844"/>
        <v>0</v>
      </c>
      <c r="AQ2133" t="str">
        <f t="shared" si="845"/>
        <v/>
      </c>
    </row>
    <row r="2134" spans="1:43" x14ac:dyDescent="0.35">
      <c r="A2134">
        <v>1200</v>
      </c>
      <c r="B2134" t="s">
        <v>6627</v>
      </c>
      <c r="C2134" t="s">
        <v>6525</v>
      </c>
      <c r="D2134" t="str">
        <f t="shared" si="835"/>
        <v>Capacity Building</v>
      </c>
      <c r="E2134" t="s">
        <v>6587</v>
      </c>
      <c r="F2134" t="s">
        <v>1046</v>
      </c>
      <c r="G2134" t="s">
        <v>6588</v>
      </c>
      <c r="H2134" t="s">
        <v>334</v>
      </c>
      <c r="I2134" s="32">
        <v>44766.966006944444</v>
      </c>
      <c r="J2134" s="32" t="s">
        <v>7471</v>
      </c>
      <c r="K2134" s="32">
        <v>44771.966006944444</v>
      </c>
      <c r="L2134" s="8">
        <f t="shared" si="836"/>
        <v>5</v>
      </c>
      <c r="M2134" s="7">
        <v>44784.966006944444</v>
      </c>
      <c r="N2134" t="s">
        <v>72</v>
      </c>
      <c r="O2134" s="34" t="s">
        <v>7474</v>
      </c>
      <c r="R2134" s="32" t="s">
        <v>7472</v>
      </c>
      <c r="S2134" t="s">
        <v>7476</v>
      </c>
      <c r="T2134" s="34" t="s">
        <v>7476</v>
      </c>
      <c r="U2134" s="34" t="s">
        <v>7476</v>
      </c>
      <c r="V2134" s="32" t="s">
        <v>7476</v>
      </c>
      <c r="W2134" s="32" t="s">
        <v>7476</v>
      </c>
      <c r="X2134">
        <v>0</v>
      </c>
      <c r="Y2134" s="34" t="s">
        <v>7476</v>
      </c>
      <c r="Z2134" s="34" t="s">
        <v>7476</v>
      </c>
      <c r="AA2134" s="34" t="s">
        <v>7476</v>
      </c>
      <c r="AB2134" s="36" t="s">
        <v>7476</v>
      </c>
      <c r="AD2134" t="s">
        <v>6628</v>
      </c>
      <c r="AE2134" t="s">
        <v>6629</v>
      </c>
      <c r="AG2134" t="s">
        <v>98</v>
      </c>
      <c r="AH2134">
        <v>3</v>
      </c>
      <c r="AK2134" s="38" t="str">
        <f t="shared" si="837"/>
        <v/>
      </c>
    </row>
    <row r="2135" spans="1:43" x14ac:dyDescent="0.35">
      <c r="A2135">
        <v>1178</v>
      </c>
      <c r="B2135" t="s">
        <v>6630</v>
      </c>
      <c r="C2135" t="s">
        <v>6531</v>
      </c>
      <c r="D2135" t="str">
        <f t="shared" si="835"/>
        <v>Capacity Building</v>
      </c>
      <c r="E2135" t="s">
        <v>6587</v>
      </c>
      <c r="F2135" t="s">
        <v>1046</v>
      </c>
      <c r="G2135" t="s">
        <v>6588</v>
      </c>
      <c r="H2135" t="s">
        <v>334</v>
      </c>
      <c r="I2135" s="32">
        <v>45063.041770833333</v>
      </c>
      <c r="J2135" s="32">
        <v>45065.041770833333</v>
      </c>
      <c r="K2135" s="32">
        <v>45066.041770833333</v>
      </c>
      <c r="L2135" s="8">
        <f t="shared" si="836"/>
        <v>3</v>
      </c>
      <c r="M2135" s="7">
        <v>45075.041770833333</v>
      </c>
      <c r="N2135" t="s">
        <v>49</v>
      </c>
      <c r="O2135" s="34">
        <v>45079.041770833333</v>
      </c>
      <c r="P2135" t="s">
        <v>101</v>
      </c>
      <c r="R2135" s="32">
        <v>45086.041770833333</v>
      </c>
      <c r="S2135" t="s">
        <v>101</v>
      </c>
      <c r="T2135" s="34">
        <v>45080.041770833333</v>
      </c>
      <c r="U2135" s="34">
        <v>45081.041770833333</v>
      </c>
      <c r="V2135" s="32">
        <v>45082.041770833333</v>
      </c>
      <c r="W2135" s="32">
        <v>45086.041770833333</v>
      </c>
      <c r="X2135">
        <v>1</v>
      </c>
      <c r="Y2135" s="34">
        <v>45087.041770833333</v>
      </c>
      <c r="Z2135" s="34">
        <v>45089.041770833333</v>
      </c>
      <c r="AA2135" s="34">
        <v>45090.041770833333</v>
      </c>
      <c r="AB2135" s="36" t="s">
        <v>7476</v>
      </c>
      <c r="AC2135" s="10">
        <v>45099.041770833333</v>
      </c>
      <c r="AD2135" t="s">
        <v>6631</v>
      </c>
      <c r="AE2135" t="s">
        <v>6632</v>
      </c>
      <c r="AF2135" s="16">
        <v>45072</v>
      </c>
      <c r="AG2135" t="s">
        <v>68</v>
      </c>
      <c r="AH2135">
        <v>6</v>
      </c>
      <c r="AI2135" s="8">
        <f>IFERROR(R2135-AF2135,"")</f>
        <v>14.04177083333343</v>
      </c>
      <c r="AJ2135" s="8">
        <f>IFERROR(O2135-AF2135,"")</f>
        <v>7.0417708333334303</v>
      </c>
      <c r="AK2135" s="38">
        <f t="shared" si="837"/>
        <v>45262.041770833333</v>
      </c>
      <c r="AL2135">
        <f>IFERROR(Z2135-W2135,"")</f>
        <v>3</v>
      </c>
      <c r="AM2135">
        <f>IFERROR(R2135-J2135,"")</f>
        <v>21</v>
      </c>
      <c r="AN2135">
        <f>IFERROR(V2135-O2135,"")</f>
        <v>3</v>
      </c>
      <c r="AO2135">
        <f>IFERROR(J2135-I2135,"")</f>
        <v>2</v>
      </c>
      <c r="AP2135">
        <f>IFERROR(AC2135-X2135,"")</f>
        <v>45098.041770833333</v>
      </c>
      <c r="AQ2135">
        <f>IFERROR(AA2135-W2135,"")</f>
        <v>4</v>
      </c>
    </row>
    <row r="2136" spans="1:43" x14ac:dyDescent="0.35">
      <c r="A2136">
        <v>1103</v>
      </c>
      <c r="B2136" t="s">
        <v>6633</v>
      </c>
      <c r="C2136" t="s">
        <v>6550</v>
      </c>
      <c r="D2136" t="str">
        <f t="shared" si="835"/>
        <v>Capacity Building</v>
      </c>
      <c r="E2136" t="s">
        <v>6587</v>
      </c>
      <c r="F2136" t="s">
        <v>1046</v>
      </c>
      <c r="G2136" t="s">
        <v>6588</v>
      </c>
      <c r="H2136" t="s">
        <v>334</v>
      </c>
      <c r="I2136" s="32">
        <v>44676.953865740739</v>
      </c>
      <c r="J2136" s="32">
        <v>44678.953865740739</v>
      </c>
      <c r="K2136" s="32">
        <v>44681.953865740739</v>
      </c>
      <c r="L2136" s="8">
        <f t="shared" si="836"/>
        <v>5</v>
      </c>
      <c r="M2136" s="7">
        <v>44693.953865740739</v>
      </c>
      <c r="N2136" t="s">
        <v>49</v>
      </c>
      <c r="O2136" s="34">
        <v>44683.953865740739</v>
      </c>
      <c r="P2136" t="s">
        <v>101</v>
      </c>
      <c r="R2136" s="32">
        <v>44686.953865740739</v>
      </c>
      <c r="S2136" t="s">
        <v>101</v>
      </c>
      <c r="T2136" s="34">
        <v>44685.953865740739</v>
      </c>
      <c r="U2136" s="34">
        <v>44687.953865740739</v>
      </c>
      <c r="V2136" s="32">
        <v>44685.953865740739</v>
      </c>
      <c r="W2136" s="32">
        <v>44693.953865740739</v>
      </c>
      <c r="X2136">
        <v>1</v>
      </c>
      <c r="Y2136" s="34">
        <v>44695.953865740739</v>
      </c>
      <c r="Z2136" s="34">
        <v>44698.953865740739</v>
      </c>
      <c r="AA2136" s="34">
        <v>44700.953865740739</v>
      </c>
      <c r="AB2136" s="36" t="s">
        <v>7476</v>
      </c>
      <c r="AC2136" s="10">
        <v>44712.953865740739</v>
      </c>
      <c r="AD2136" t="s">
        <v>6634</v>
      </c>
      <c r="AE2136" t="s">
        <v>6635</v>
      </c>
      <c r="AF2136" s="16">
        <v>44677</v>
      </c>
      <c r="AG2136" t="s">
        <v>64</v>
      </c>
      <c r="AH2136">
        <v>3</v>
      </c>
      <c r="AI2136" s="8">
        <f>IFERROR(R2136-AF2136,"")</f>
        <v>9.9538657407392748</v>
      </c>
      <c r="AJ2136" s="8">
        <f>IFERROR(O2136-AF2136,"")</f>
        <v>6.9538657407392748</v>
      </c>
      <c r="AK2136" s="38">
        <f t="shared" si="837"/>
        <v>44775.953865740739</v>
      </c>
      <c r="AL2136">
        <f>IFERROR(Z2136-W2136,"")</f>
        <v>5</v>
      </c>
      <c r="AM2136">
        <f>IFERROR(R2136-J2136,"")</f>
        <v>8</v>
      </c>
      <c r="AN2136">
        <f>IFERROR(V2136-O2136,"")</f>
        <v>2</v>
      </c>
      <c r="AO2136">
        <f>IFERROR(J2136-I2136,"")</f>
        <v>2</v>
      </c>
      <c r="AP2136">
        <f>IFERROR(AC2136-X2136,"")</f>
        <v>44711.953865740739</v>
      </c>
      <c r="AQ2136">
        <f>IFERROR(AA2136-W2136,"")</f>
        <v>7</v>
      </c>
    </row>
    <row r="2137" spans="1:43" x14ac:dyDescent="0.35">
      <c r="A2137">
        <v>1074</v>
      </c>
      <c r="B2137" t="s">
        <v>6636</v>
      </c>
      <c r="C2137" t="s">
        <v>6525</v>
      </c>
      <c r="D2137" t="str">
        <f t="shared" si="835"/>
        <v>Capacity Building</v>
      </c>
      <c r="E2137" t="s">
        <v>6587</v>
      </c>
      <c r="F2137" t="s">
        <v>1046</v>
      </c>
      <c r="G2137" t="s">
        <v>6588</v>
      </c>
      <c r="H2137" t="s">
        <v>334</v>
      </c>
      <c r="I2137" s="32">
        <v>44601.990740740737</v>
      </c>
      <c r="J2137" s="32">
        <v>44605.990740740737</v>
      </c>
      <c r="K2137" s="32">
        <v>44607.990740740737</v>
      </c>
      <c r="L2137" s="8">
        <f t="shared" si="836"/>
        <v>6</v>
      </c>
      <c r="M2137" s="7">
        <v>44635.990740740737</v>
      </c>
      <c r="N2137" t="s">
        <v>72</v>
      </c>
      <c r="O2137" s="34" t="s">
        <v>7474</v>
      </c>
      <c r="R2137" s="32" t="s">
        <v>7472</v>
      </c>
      <c r="S2137" t="s">
        <v>7476</v>
      </c>
      <c r="T2137" s="34" t="s">
        <v>7476</v>
      </c>
      <c r="U2137" s="34" t="s">
        <v>7476</v>
      </c>
      <c r="V2137" s="32" t="s">
        <v>7476</v>
      </c>
      <c r="W2137" s="32" t="s">
        <v>7476</v>
      </c>
      <c r="X2137">
        <v>0</v>
      </c>
      <c r="Y2137" s="34" t="s">
        <v>7476</v>
      </c>
      <c r="Z2137" s="34" t="s">
        <v>7476</v>
      </c>
      <c r="AA2137" s="34" t="s">
        <v>7476</v>
      </c>
      <c r="AB2137" s="36" t="s">
        <v>7476</v>
      </c>
      <c r="AD2137" t="s">
        <v>6637</v>
      </c>
      <c r="AE2137" t="s">
        <v>6638</v>
      </c>
      <c r="AG2137" t="s">
        <v>98</v>
      </c>
      <c r="AH2137">
        <v>6</v>
      </c>
      <c r="AI2137" s="8" t="str">
        <f>IFERROR(R2137-AF2137,"")</f>
        <v/>
      </c>
      <c r="AJ2137" s="8" t="str">
        <f>IFERROR(O2137-AF2137,"")</f>
        <v/>
      </c>
      <c r="AK2137" s="38" t="str">
        <f t="shared" si="837"/>
        <v/>
      </c>
      <c r="AL2137" t="str">
        <f>IFERROR(Z2137-W2137,"")</f>
        <v/>
      </c>
      <c r="AM2137" t="str">
        <f>IFERROR(R2137-J2137,"")</f>
        <v/>
      </c>
      <c r="AN2137" t="str">
        <f>IFERROR(V2137-O2137,"")</f>
        <v/>
      </c>
      <c r="AO2137">
        <f>IFERROR(J2137-I2137,"")</f>
        <v>4</v>
      </c>
      <c r="AP2137">
        <f>IFERROR(AC2137-X2137,"")</f>
        <v>0</v>
      </c>
      <c r="AQ2137" t="str">
        <f>IFERROR(AA2137-W2137,"")</f>
        <v/>
      </c>
    </row>
    <row r="2138" spans="1:43" x14ac:dyDescent="0.35">
      <c r="A2138">
        <v>923</v>
      </c>
      <c r="B2138" t="s">
        <v>6639</v>
      </c>
      <c r="C2138" t="s">
        <v>6531</v>
      </c>
      <c r="D2138" t="str">
        <f t="shared" si="835"/>
        <v>Capacity Building</v>
      </c>
      <c r="E2138" t="s">
        <v>6587</v>
      </c>
      <c r="F2138" t="s">
        <v>1046</v>
      </c>
      <c r="G2138" t="s">
        <v>6588</v>
      </c>
      <c r="H2138" t="s">
        <v>334</v>
      </c>
      <c r="I2138" s="32" t="s">
        <v>7471</v>
      </c>
      <c r="J2138" s="32">
        <v>45078.494004629632</v>
      </c>
      <c r="K2138" s="32">
        <v>45080.494004629632</v>
      </c>
      <c r="L2138" s="8" t="str">
        <f t="shared" si="836"/>
        <v/>
      </c>
      <c r="M2138" s="7">
        <v>45105.494004629632</v>
      </c>
      <c r="N2138" t="s">
        <v>49</v>
      </c>
      <c r="O2138" s="34">
        <v>45097.494004629632</v>
      </c>
      <c r="P2138" t="s">
        <v>50</v>
      </c>
      <c r="Q2138" t="s">
        <v>84</v>
      </c>
      <c r="R2138" s="32" t="s">
        <v>7472</v>
      </c>
      <c r="S2138" t="s">
        <v>7476</v>
      </c>
      <c r="T2138" s="34" t="s">
        <v>7476</v>
      </c>
      <c r="U2138" s="34" t="s">
        <v>7476</v>
      </c>
      <c r="V2138" s="32">
        <v>45099.494004629632</v>
      </c>
      <c r="W2138" s="32" t="s">
        <v>7476</v>
      </c>
      <c r="X2138">
        <v>0</v>
      </c>
      <c r="Y2138" s="34" t="s">
        <v>7476</v>
      </c>
      <c r="Z2138" s="34" t="s">
        <v>7476</v>
      </c>
      <c r="AA2138" s="34" t="s">
        <v>7476</v>
      </c>
      <c r="AB2138" s="36" t="s">
        <v>52</v>
      </c>
      <c r="AD2138" t="s">
        <v>6640</v>
      </c>
      <c r="AE2138" t="s">
        <v>6641</v>
      </c>
      <c r="AF2138" s="16">
        <v>45087</v>
      </c>
      <c r="AG2138" t="s">
        <v>68</v>
      </c>
      <c r="AH2138">
        <v>3</v>
      </c>
      <c r="AK2138" s="38">
        <f t="shared" si="837"/>
        <v>45189.494004629632</v>
      </c>
    </row>
    <row r="2139" spans="1:43" x14ac:dyDescent="0.35">
      <c r="A2139">
        <v>922</v>
      </c>
      <c r="B2139" t="s">
        <v>6642</v>
      </c>
      <c r="C2139" t="s">
        <v>6525</v>
      </c>
      <c r="D2139" t="str">
        <f t="shared" si="835"/>
        <v>Capacity Building</v>
      </c>
      <c r="E2139" t="s">
        <v>6587</v>
      </c>
      <c r="F2139" t="s">
        <v>1046</v>
      </c>
      <c r="G2139" t="s">
        <v>6588</v>
      </c>
      <c r="H2139" t="s">
        <v>334</v>
      </c>
      <c r="I2139" s="32">
        <v>45071.494004629632</v>
      </c>
      <c r="J2139" s="32">
        <v>45075.494004629632</v>
      </c>
      <c r="K2139" s="32">
        <v>45080.494004629632</v>
      </c>
      <c r="L2139" s="8">
        <f t="shared" si="836"/>
        <v>9</v>
      </c>
      <c r="M2139" s="7">
        <v>45085.494004629632</v>
      </c>
      <c r="N2139" t="s">
        <v>49</v>
      </c>
      <c r="O2139" s="34">
        <v>45086.494004629632</v>
      </c>
      <c r="P2139" t="s">
        <v>392</v>
      </c>
      <c r="R2139" s="32">
        <v>45091.494004629632</v>
      </c>
      <c r="S2139" t="s">
        <v>392</v>
      </c>
      <c r="T2139" s="34" t="s">
        <v>7476</v>
      </c>
      <c r="U2139" s="34" t="s">
        <v>7476</v>
      </c>
      <c r="V2139" s="32">
        <v>45088.494004629632</v>
      </c>
      <c r="W2139" s="32" t="s">
        <v>7476</v>
      </c>
      <c r="X2139">
        <v>0</v>
      </c>
      <c r="Y2139" s="34" t="s">
        <v>7476</v>
      </c>
      <c r="Z2139" s="34" t="s">
        <v>7476</v>
      </c>
      <c r="AA2139" s="34" t="s">
        <v>7476</v>
      </c>
      <c r="AB2139" s="36" t="s">
        <v>7476</v>
      </c>
      <c r="AD2139" t="s">
        <v>6643</v>
      </c>
      <c r="AE2139" t="s">
        <v>6644</v>
      </c>
      <c r="AF2139" s="16">
        <v>45077</v>
      </c>
      <c r="AG2139" t="s">
        <v>64</v>
      </c>
      <c r="AH2139">
        <v>6</v>
      </c>
      <c r="AI2139" s="8">
        <f t="shared" ref="AI2139:AI2154" si="846">IFERROR(R2139-AF2139,"")</f>
        <v>14.4940046296324</v>
      </c>
      <c r="AJ2139" s="8">
        <f t="shared" ref="AJ2139:AJ2154" si="847">IFERROR(O2139-AF2139,"")</f>
        <v>9.4940046296323999</v>
      </c>
      <c r="AK2139" s="38">
        <f t="shared" si="837"/>
        <v>45268.494004629632</v>
      </c>
      <c r="AL2139" t="str">
        <f t="shared" ref="AL2139:AL2154" si="848">IFERROR(Z2139-W2139,"")</f>
        <v/>
      </c>
      <c r="AM2139">
        <f t="shared" ref="AM2139:AM2154" si="849">IFERROR(R2139-J2139,"")</f>
        <v>16</v>
      </c>
      <c r="AN2139">
        <f t="shared" ref="AN2139:AN2154" si="850">IFERROR(V2139-O2139,"")</f>
        <v>2</v>
      </c>
      <c r="AO2139">
        <f t="shared" ref="AO2139:AO2154" si="851">IFERROR(J2139-I2139,"")</f>
        <v>4</v>
      </c>
      <c r="AP2139">
        <f t="shared" ref="AP2139:AP2154" si="852">IFERROR(AC2139-X2139,"")</f>
        <v>0</v>
      </c>
      <c r="AQ2139" t="str">
        <f t="shared" ref="AQ2139:AQ2154" si="853">IFERROR(AA2139-W2139,"")</f>
        <v/>
      </c>
    </row>
    <row r="2140" spans="1:43" x14ac:dyDescent="0.35">
      <c r="A2140">
        <v>921</v>
      </c>
      <c r="B2140" t="s">
        <v>6645</v>
      </c>
      <c r="C2140" t="s">
        <v>6531</v>
      </c>
      <c r="D2140" t="str">
        <f t="shared" si="835"/>
        <v>Capacity Building</v>
      </c>
      <c r="E2140" t="s">
        <v>6587</v>
      </c>
      <c r="F2140" t="s">
        <v>1046</v>
      </c>
      <c r="G2140" t="s">
        <v>6588</v>
      </c>
      <c r="H2140" t="s">
        <v>334</v>
      </c>
      <c r="I2140" s="32">
        <v>45070.494004629632</v>
      </c>
      <c r="J2140" s="32">
        <v>45074.494004629632</v>
      </c>
      <c r="K2140" s="32">
        <v>45080.494004629632</v>
      </c>
      <c r="L2140" s="8">
        <f t="shared" si="836"/>
        <v>10</v>
      </c>
      <c r="M2140" s="7">
        <v>45109.494004629632</v>
      </c>
      <c r="N2140" t="s">
        <v>49</v>
      </c>
      <c r="O2140" s="34">
        <v>45089.494004629632</v>
      </c>
      <c r="P2140" t="s">
        <v>101</v>
      </c>
      <c r="R2140" s="32">
        <v>45095.494004629632</v>
      </c>
      <c r="S2140" t="s">
        <v>101</v>
      </c>
      <c r="T2140" s="34">
        <v>45090.494004629632</v>
      </c>
      <c r="U2140" s="34">
        <v>45092.494004629632</v>
      </c>
      <c r="V2140" s="32">
        <v>45093.494004629632</v>
      </c>
      <c r="W2140" s="32">
        <v>45100.494004629632</v>
      </c>
      <c r="X2140">
        <v>1</v>
      </c>
      <c r="Y2140" s="34">
        <v>45101.494004629632</v>
      </c>
      <c r="Z2140" s="34">
        <v>45103.494004629632</v>
      </c>
      <c r="AA2140" s="34">
        <v>45106.494004629632</v>
      </c>
      <c r="AB2140" s="36" t="s">
        <v>7476</v>
      </c>
      <c r="AC2140" s="10">
        <v>45117.494004629632</v>
      </c>
      <c r="AD2140" t="s">
        <v>6646</v>
      </c>
      <c r="AE2140" t="s">
        <v>6647</v>
      </c>
      <c r="AF2140" s="16">
        <v>44991</v>
      </c>
      <c r="AG2140" t="s">
        <v>68</v>
      </c>
      <c r="AH2140">
        <v>6</v>
      </c>
      <c r="AI2140" s="8">
        <f t="shared" si="846"/>
        <v>104.4940046296324</v>
      </c>
      <c r="AJ2140" s="8">
        <f t="shared" si="847"/>
        <v>98.4940046296324</v>
      </c>
      <c r="AK2140" s="38">
        <f t="shared" si="837"/>
        <v>45273.494004629632</v>
      </c>
      <c r="AL2140">
        <f t="shared" si="848"/>
        <v>3</v>
      </c>
      <c r="AM2140">
        <f t="shared" si="849"/>
        <v>21</v>
      </c>
      <c r="AN2140">
        <f t="shared" si="850"/>
        <v>4</v>
      </c>
      <c r="AO2140">
        <f t="shared" si="851"/>
        <v>4</v>
      </c>
      <c r="AP2140">
        <f t="shared" si="852"/>
        <v>45116.494004629632</v>
      </c>
      <c r="AQ2140">
        <f t="shared" si="853"/>
        <v>6</v>
      </c>
    </row>
    <row r="2141" spans="1:43" x14ac:dyDescent="0.35">
      <c r="A2141">
        <v>808</v>
      </c>
      <c r="B2141" t="s">
        <v>6648</v>
      </c>
      <c r="C2141" t="s">
        <v>6531</v>
      </c>
      <c r="D2141" t="str">
        <f t="shared" si="835"/>
        <v>Capacity Building</v>
      </c>
      <c r="E2141" t="s">
        <v>6587</v>
      </c>
      <c r="F2141" t="s">
        <v>1046</v>
      </c>
      <c r="G2141" t="s">
        <v>6588</v>
      </c>
      <c r="H2141" t="s">
        <v>334</v>
      </c>
      <c r="I2141" s="32">
        <v>44937.903796296298</v>
      </c>
      <c r="J2141" s="32">
        <v>44941.903796296298</v>
      </c>
      <c r="K2141" s="32">
        <v>44944.903796296298</v>
      </c>
      <c r="L2141" s="8">
        <f t="shared" si="836"/>
        <v>7</v>
      </c>
      <c r="M2141" s="7">
        <v>44952.903796296298</v>
      </c>
      <c r="N2141" t="s">
        <v>49</v>
      </c>
      <c r="O2141" s="34">
        <v>44948.903796296298</v>
      </c>
      <c r="P2141" t="s">
        <v>60</v>
      </c>
      <c r="R2141" s="32">
        <v>44952.903796296298</v>
      </c>
      <c r="S2141" t="s">
        <v>61</v>
      </c>
      <c r="T2141" s="34" t="s">
        <v>7476</v>
      </c>
      <c r="U2141" s="34" t="s">
        <v>7476</v>
      </c>
      <c r="V2141" s="32">
        <v>44951.903796296298</v>
      </c>
      <c r="W2141" s="32" t="s">
        <v>7476</v>
      </c>
      <c r="X2141">
        <v>0</v>
      </c>
      <c r="Y2141" s="34" t="s">
        <v>7476</v>
      </c>
      <c r="Z2141" s="34" t="s">
        <v>7476</v>
      </c>
      <c r="AA2141" s="34" t="s">
        <v>7476</v>
      </c>
      <c r="AB2141" s="36" t="s">
        <v>7476</v>
      </c>
      <c r="AD2141" t="s">
        <v>6649</v>
      </c>
      <c r="AE2141" t="s">
        <v>6650</v>
      </c>
      <c r="AF2141" s="16">
        <v>44942</v>
      </c>
      <c r="AG2141" t="s">
        <v>64</v>
      </c>
      <c r="AH2141">
        <v>6</v>
      </c>
      <c r="AI2141" s="8">
        <f t="shared" si="846"/>
        <v>10.903796296297514</v>
      </c>
      <c r="AJ2141" s="8">
        <f t="shared" si="847"/>
        <v>6.9037962962975143</v>
      </c>
      <c r="AK2141" s="38">
        <f t="shared" si="837"/>
        <v>45131.903796296298</v>
      </c>
      <c r="AL2141" t="str">
        <f t="shared" si="848"/>
        <v/>
      </c>
      <c r="AM2141">
        <f t="shared" si="849"/>
        <v>11</v>
      </c>
      <c r="AN2141">
        <f t="shared" si="850"/>
        <v>3</v>
      </c>
      <c r="AO2141">
        <f t="shared" si="851"/>
        <v>4</v>
      </c>
      <c r="AP2141">
        <f t="shared" si="852"/>
        <v>0</v>
      </c>
      <c r="AQ2141" t="str">
        <f t="shared" si="853"/>
        <v/>
      </c>
    </row>
    <row r="2142" spans="1:43" x14ac:dyDescent="0.35">
      <c r="A2142">
        <v>803</v>
      </c>
      <c r="B2142" t="s">
        <v>6651</v>
      </c>
      <c r="C2142" t="s">
        <v>6525</v>
      </c>
      <c r="D2142" t="str">
        <f t="shared" si="835"/>
        <v>Capacity Building</v>
      </c>
      <c r="E2142" t="s">
        <v>6587</v>
      </c>
      <c r="F2142" t="s">
        <v>1046</v>
      </c>
      <c r="G2142" t="s">
        <v>6588</v>
      </c>
      <c r="H2142" t="s">
        <v>334</v>
      </c>
      <c r="I2142" s="32">
        <v>44937.903796296298</v>
      </c>
      <c r="J2142" s="32">
        <v>44938.903796296298</v>
      </c>
      <c r="K2142" s="32">
        <v>44944.903796296298</v>
      </c>
      <c r="L2142" s="8">
        <f t="shared" si="836"/>
        <v>7</v>
      </c>
      <c r="M2142" s="7">
        <v>44967.903796296298</v>
      </c>
      <c r="N2142" t="s">
        <v>49</v>
      </c>
      <c r="O2142" s="34">
        <v>44952.903796296298</v>
      </c>
      <c r="P2142" t="s">
        <v>50</v>
      </c>
      <c r="Q2142" t="s">
        <v>125</v>
      </c>
      <c r="R2142" s="32" t="s">
        <v>7472</v>
      </c>
      <c r="S2142" t="s">
        <v>7476</v>
      </c>
      <c r="T2142" s="34" t="s">
        <v>7476</v>
      </c>
      <c r="U2142" s="34" t="s">
        <v>7476</v>
      </c>
      <c r="V2142" s="32">
        <v>44954.903796296298</v>
      </c>
      <c r="W2142" s="32" t="s">
        <v>7476</v>
      </c>
      <c r="X2142">
        <v>0</v>
      </c>
      <c r="Y2142" s="34" t="s">
        <v>7476</v>
      </c>
      <c r="Z2142" s="34" t="s">
        <v>7476</v>
      </c>
      <c r="AA2142" s="34" t="s">
        <v>7476</v>
      </c>
      <c r="AB2142" s="36" t="s">
        <v>52</v>
      </c>
      <c r="AD2142" t="s">
        <v>6652</v>
      </c>
      <c r="AE2142" t="s">
        <v>6653</v>
      </c>
      <c r="AF2142" s="16">
        <v>44939</v>
      </c>
      <c r="AG2142" t="s">
        <v>98</v>
      </c>
      <c r="AH2142">
        <v>6</v>
      </c>
      <c r="AI2142" s="8" t="str">
        <f t="shared" si="846"/>
        <v/>
      </c>
      <c r="AJ2142" s="8">
        <f t="shared" si="847"/>
        <v>13.903796296297514</v>
      </c>
      <c r="AK2142" s="38">
        <f t="shared" si="837"/>
        <v>45134.903796296298</v>
      </c>
      <c r="AL2142" t="str">
        <f t="shared" si="848"/>
        <v/>
      </c>
      <c r="AM2142" t="str">
        <f t="shared" si="849"/>
        <v/>
      </c>
      <c r="AN2142">
        <f t="shared" si="850"/>
        <v>2</v>
      </c>
      <c r="AO2142">
        <f t="shared" si="851"/>
        <v>1</v>
      </c>
      <c r="AP2142">
        <f t="shared" si="852"/>
        <v>0</v>
      </c>
      <c r="AQ2142" t="str">
        <f t="shared" si="853"/>
        <v/>
      </c>
    </row>
    <row r="2143" spans="1:43" x14ac:dyDescent="0.35">
      <c r="A2143">
        <v>802</v>
      </c>
      <c r="B2143" t="s">
        <v>6654</v>
      </c>
      <c r="C2143" t="s">
        <v>6531</v>
      </c>
      <c r="D2143" t="str">
        <f t="shared" si="835"/>
        <v>Capacity Building</v>
      </c>
      <c r="E2143" t="s">
        <v>6587</v>
      </c>
      <c r="F2143" t="s">
        <v>1046</v>
      </c>
      <c r="G2143" t="s">
        <v>6588</v>
      </c>
      <c r="H2143" t="s">
        <v>334</v>
      </c>
      <c r="I2143" s="32">
        <v>44937.903796296298</v>
      </c>
      <c r="J2143" s="32">
        <v>44941.903796296298</v>
      </c>
      <c r="K2143" s="32">
        <v>44944.903796296298</v>
      </c>
      <c r="L2143" s="8">
        <f t="shared" si="836"/>
        <v>7</v>
      </c>
      <c r="M2143" s="7">
        <v>44972.903796296298</v>
      </c>
      <c r="N2143" t="s">
        <v>49</v>
      </c>
      <c r="O2143" s="34">
        <v>44946.903796296298</v>
      </c>
      <c r="P2143" t="s">
        <v>101</v>
      </c>
      <c r="R2143" s="32">
        <v>44950.903796296298</v>
      </c>
      <c r="S2143" t="s">
        <v>101</v>
      </c>
      <c r="T2143" s="34">
        <v>44947.903796296298</v>
      </c>
      <c r="U2143" s="34">
        <v>44951.903796296298</v>
      </c>
      <c r="V2143" s="32">
        <v>44949.903796296298</v>
      </c>
      <c r="W2143" s="32">
        <v>44952.903796296298</v>
      </c>
      <c r="X2143">
        <v>1</v>
      </c>
      <c r="Y2143" s="34">
        <v>44953.903796296298</v>
      </c>
      <c r="Z2143" s="34">
        <v>44954.903796296298</v>
      </c>
      <c r="AA2143" s="34">
        <v>44955.903796296298</v>
      </c>
      <c r="AB2143" s="36" t="s">
        <v>7476</v>
      </c>
      <c r="AC2143" s="10">
        <v>44970.903796296298</v>
      </c>
      <c r="AD2143" t="s">
        <v>6655</v>
      </c>
      <c r="AE2143" t="s">
        <v>6656</v>
      </c>
      <c r="AF2143" s="16">
        <v>44936</v>
      </c>
      <c r="AG2143" t="s">
        <v>68</v>
      </c>
      <c r="AH2143">
        <v>6</v>
      </c>
      <c r="AI2143" s="8">
        <f t="shared" si="846"/>
        <v>14.903796296297514</v>
      </c>
      <c r="AJ2143" s="8">
        <f t="shared" si="847"/>
        <v>10.903796296297514</v>
      </c>
      <c r="AK2143" s="38">
        <f t="shared" si="837"/>
        <v>45129.903796296298</v>
      </c>
      <c r="AL2143">
        <f t="shared" si="848"/>
        <v>2</v>
      </c>
      <c r="AM2143">
        <f t="shared" si="849"/>
        <v>9</v>
      </c>
      <c r="AN2143">
        <f t="shared" si="850"/>
        <v>3</v>
      </c>
      <c r="AO2143">
        <f t="shared" si="851"/>
        <v>4</v>
      </c>
      <c r="AP2143">
        <f t="shared" si="852"/>
        <v>44969.903796296298</v>
      </c>
      <c r="AQ2143">
        <f t="shared" si="853"/>
        <v>3</v>
      </c>
    </row>
    <row r="2144" spans="1:43" x14ac:dyDescent="0.35">
      <c r="A2144">
        <v>771</v>
      </c>
      <c r="B2144" t="s">
        <v>6657</v>
      </c>
      <c r="C2144" t="s">
        <v>6525</v>
      </c>
      <c r="D2144" t="str">
        <f t="shared" si="835"/>
        <v>Capacity Building</v>
      </c>
      <c r="E2144" t="s">
        <v>6587</v>
      </c>
      <c r="F2144" t="s">
        <v>1046</v>
      </c>
      <c r="G2144" t="s">
        <v>6588</v>
      </c>
      <c r="H2144" t="s">
        <v>334</v>
      </c>
      <c r="I2144" s="32">
        <v>45005.397060185183</v>
      </c>
      <c r="J2144" s="32">
        <v>45007.397060185183</v>
      </c>
      <c r="K2144" s="32">
        <v>45012.397060185183</v>
      </c>
      <c r="L2144" s="8">
        <f t="shared" si="836"/>
        <v>7</v>
      </c>
      <c r="M2144" s="7">
        <v>45031.397060185183</v>
      </c>
      <c r="N2144" t="s">
        <v>49</v>
      </c>
      <c r="O2144" s="34">
        <v>45024.397060185183</v>
      </c>
      <c r="P2144" t="s">
        <v>50</v>
      </c>
      <c r="Q2144" t="s">
        <v>84</v>
      </c>
      <c r="R2144" s="32" t="s">
        <v>7472</v>
      </c>
      <c r="S2144" t="s">
        <v>7476</v>
      </c>
      <c r="T2144" s="34" t="s">
        <v>7476</v>
      </c>
      <c r="U2144" s="34" t="s">
        <v>7476</v>
      </c>
      <c r="V2144" s="32" t="s">
        <v>7476</v>
      </c>
      <c r="W2144" s="32" t="s">
        <v>7476</v>
      </c>
      <c r="X2144">
        <v>0</v>
      </c>
      <c r="Y2144" s="34" t="s">
        <v>7476</v>
      </c>
      <c r="Z2144" s="34" t="s">
        <v>7476</v>
      </c>
      <c r="AA2144" s="34" t="s">
        <v>7476</v>
      </c>
      <c r="AB2144" s="36" t="s">
        <v>95</v>
      </c>
      <c r="AD2144" t="s">
        <v>6658</v>
      </c>
      <c r="AE2144" t="s">
        <v>6659</v>
      </c>
      <c r="AF2144" s="16">
        <v>45014</v>
      </c>
      <c r="AG2144" t="s">
        <v>64</v>
      </c>
      <c r="AH2144">
        <v>6</v>
      </c>
      <c r="AI2144" s="8" t="str">
        <f t="shared" si="846"/>
        <v/>
      </c>
      <c r="AJ2144" s="8">
        <f t="shared" si="847"/>
        <v>10.397060185183364</v>
      </c>
      <c r="AK2144" s="38" t="str">
        <f t="shared" si="837"/>
        <v/>
      </c>
      <c r="AL2144" t="str">
        <f t="shared" si="848"/>
        <v/>
      </c>
      <c r="AM2144" t="str">
        <f t="shared" si="849"/>
        <v/>
      </c>
      <c r="AN2144" t="str">
        <f t="shared" si="850"/>
        <v/>
      </c>
      <c r="AO2144">
        <f t="shared" si="851"/>
        <v>2</v>
      </c>
      <c r="AP2144">
        <f t="shared" si="852"/>
        <v>0</v>
      </c>
      <c r="AQ2144" t="str">
        <f t="shared" si="853"/>
        <v/>
      </c>
    </row>
    <row r="2145" spans="1:43" x14ac:dyDescent="0.35">
      <c r="A2145">
        <v>666</v>
      </c>
      <c r="B2145" t="s">
        <v>6660</v>
      </c>
      <c r="C2145" t="s">
        <v>6525</v>
      </c>
      <c r="D2145" t="str">
        <f t="shared" si="835"/>
        <v>Capacity Building</v>
      </c>
      <c r="E2145" t="s">
        <v>6587</v>
      </c>
      <c r="F2145" t="s">
        <v>3301</v>
      </c>
      <c r="G2145" t="s">
        <v>6661</v>
      </c>
      <c r="H2145" t="s">
        <v>334</v>
      </c>
      <c r="I2145" s="32">
        <v>44572.204074074078</v>
      </c>
      <c r="J2145" s="32">
        <v>44575.204074074078</v>
      </c>
      <c r="K2145" s="32">
        <v>44576.204074074078</v>
      </c>
      <c r="L2145" s="8">
        <f t="shared" si="836"/>
        <v>4</v>
      </c>
      <c r="M2145" s="7">
        <v>44593.204074074078</v>
      </c>
      <c r="N2145" t="s">
        <v>49</v>
      </c>
      <c r="O2145" s="34">
        <v>44591.204074074078</v>
      </c>
      <c r="P2145" t="s">
        <v>392</v>
      </c>
      <c r="R2145" s="32">
        <v>44595.204074074078</v>
      </c>
      <c r="S2145" t="s">
        <v>392</v>
      </c>
      <c r="T2145" s="34" t="s">
        <v>7476</v>
      </c>
      <c r="U2145" s="34" t="s">
        <v>7476</v>
      </c>
      <c r="V2145" s="32">
        <v>44592.204074074078</v>
      </c>
      <c r="W2145" s="32" t="s">
        <v>7476</v>
      </c>
      <c r="X2145">
        <v>0</v>
      </c>
      <c r="Y2145" s="34" t="s">
        <v>7476</v>
      </c>
      <c r="Z2145" s="34" t="s">
        <v>7476</v>
      </c>
      <c r="AA2145" s="34" t="s">
        <v>7476</v>
      </c>
      <c r="AB2145" s="36" t="s">
        <v>7476</v>
      </c>
      <c r="AD2145" t="s">
        <v>6662</v>
      </c>
      <c r="AE2145" t="s">
        <v>6663</v>
      </c>
      <c r="AF2145" s="16">
        <v>44586</v>
      </c>
      <c r="AG2145" t="s">
        <v>64</v>
      </c>
      <c r="AH2145">
        <v>6</v>
      </c>
      <c r="AI2145" s="8">
        <f t="shared" si="846"/>
        <v>9.2040740740776528</v>
      </c>
      <c r="AJ2145" s="8">
        <f t="shared" si="847"/>
        <v>5.2040740740776528</v>
      </c>
      <c r="AK2145" s="38">
        <f t="shared" si="837"/>
        <v>44772.204074074078</v>
      </c>
      <c r="AL2145" t="str">
        <f t="shared" si="848"/>
        <v/>
      </c>
      <c r="AM2145">
        <f t="shared" si="849"/>
        <v>20</v>
      </c>
      <c r="AN2145">
        <f t="shared" si="850"/>
        <v>1</v>
      </c>
      <c r="AO2145">
        <f t="shared" si="851"/>
        <v>3</v>
      </c>
      <c r="AP2145">
        <f t="shared" si="852"/>
        <v>0</v>
      </c>
      <c r="AQ2145" t="str">
        <f t="shared" si="853"/>
        <v/>
      </c>
    </row>
    <row r="2146" spans="1:43" x14ac:dyDescent="0.35">
      <c r="A2146">
        <v>665</v>
      </c>
      <c r="B2146" t="s">
        <v>6664</v>
      </c>
      <c r="C2146" t="s">
        <v>6531</v>
      </c>
      <c r="D2146" t="str">
        <f t="shared" si="835"/>
        <v>Capacity Building</v>
      </c>
      <c r="E2146" t="s">
        <v>6587</v>
      </c>
      <c r="F2146" t="s">
        <v>3301</v>
      </c>
      <c r="G2146" t="s">
        <v>6661</v>
      </c>
      <c r="H2146" t="s">
        <v>334</v>
      </c>
      <c r="I2146" s="32">
        <v>44570.204074074078</v>
      </c>
      <c r="J2146" s="32">
        <v>44572.204074074078</v>
      </c>
      <c r="K2146" s="32">
        <v>44576.204074074078</v>
      </c>
      <c r="L2146" s="8">
        <f t="shared" si="836"/>
        <v>6</v>
      </c>
      <c r="M2146" s="7">
        <v>44593.204074074078</v>
      </c>
      <c r="N2146" t="s">
        <v>49</v>
      </c>
      <c r="O2146" s="34">
        <v>44581.204074074078</v>
      </c>
      <c r="P2146" t="s">
        <v>60</v>
      </c>
      <c r="R2146" s="32">
        <v>44585.204074074078</v>
      </c>
      <c r="S2146" t="s">
        <v>61</v>
      </c>
      <c r="T2146" s="34" t="s">
        <v>7476</v>
      </c>
      <c r="U2146" s="34" t="s">
        <v>7476</v>
      </c>
      <c r="V2146" s="32">
        <v>44583.204074074078</v>
      </c>
      <c r="W2146" s="32" t="s">
        <v>7476</v>
      </c>
      <c r="X2146">
        <v>0</v>
      </c>
      <c r="Y2146" s="34" t="s">
        <v>7476</v>
      </c>
      <c r="Z2146" s="34" t="s">
        <v>7476</v>
      </c>
      <c r="AA2146" s="34" t="s">
        <v>7476</v>
      </c>
      <c r="AB2146" s="36" t="s">
        <v>7476</v>
      </c>
      <c r="AD2146" t="s">
        <v>6665</v>
      </c>
      <c r="AE2146" t="s">
        <v>6666</v>
      </c>
      <c r="AF2146" s="16">
        <v>44567</v>
      </c>
      <c r="AG2146" t="s">
        <v>98</v>
      </c>
      <c r="AH2146">
        <v>6</v>
      </c>
      <c r="AI2146" s="8">
        <f t="shared" si="846"/>
        <v>18.204074074077653</v>
      </c>
      <c r="AJ2146" s="8">
        <f t="shared" si="847"/>
        <v>14.204074074077653</v>
      </c>
      <c r="AK2146" s="38">
        <f t="shared" si="837"/>
        <v>44763.204074074078</v>
      </c>
      <c r="AL2146" t="str">
        <f t="shared" si="848"/>
        <v/>
      </c>
      <c r="AM2146">
        <f t="shared" si="849"/>
        <v>13</v>
      </c>
      <c r="AN2146">
        <f t="shared" si="850"/>
        <v>2</v>
      </c>
      <c r="AO2146">
        <f t="shared" si="851"/>
        <v>2</v>
      </c>
      <c r="AP2146">
        <f t="shared" si="852"/>
        <v>0</v>
      </c>
      <c r="AQ2146" t="str">
        <f t="shared" si="853"/>
        <v/>
      </c>
    </row>
    <row r="2147" spans="1:43" x14ac:dyDescent="0.35">
      <c r="A2147">
        <v>625</v>
      </c>
      <c r="B2147" t="s">
        <v>6667</v>
      </c>
      <c r="C2147" t="s">
        <v>6531</v>
      </c>
      <c r="D2147" t="str">
        <f t="shared" si="835"/>
        <v>Capacity Building</v>
      </c>
      <c r="E2147" t="s">
        <v>6587</v>
      </c>
      <c r="F2147" t="s">
        <v>3301</v>
      </c>
      <c r="G2147" t="s">
        <v>6661</v>
      </c>
      <c r="H2147" t="s">
        <v>334</v>
      </c>
      <c r="I2147" s="32">
        <v>44994.828541666669</v>
      </c>
      <c r="J2147" s="32">
        <v>44997.828541666669</v>
      </c>
      <c r="K2147" s="32">
        <v>45000.828541666669</v>
      </c>
      <c r="L2147" s="8">
        <f t="shared" si="836"/>
        <v>6</v>
      </c>
      <c r="M2147" s="7">
        <v>45015.828541666669</v>
      </c>
      <c r="N2147" t="s">
        <v>49</v>
      </c>
      <c r="O2147" s="34">
        <v>45013.828541666669</v>
      </c>
      <c r="P2147" t="s">
        <v>60</v>
      </c>
      <c r="R2147" s="32">
        <v>45018.828541666669</v>
      </c>
      <c r="S2147" t="s">
        <v>61</v>
      </c>
      <c r="T2147" s="34" t="s">
        <v>7476</v>
      </c>
      <c r="U2147" s="34" t="s">
        <v>7476</v>
      </c>
      <c r="V2147" s="32">
        <v>45016.828541666669</v>
      </c>
      <c r="W2147" s="32" t="s">
        <v>7476</v>
      </c>
      <c r="X2147">
        <v>0</v>
      </c>
      <c r="Y2147" s="34" t="s">
        <v>7476</v>
      </c>
      <c r="Z2147" s="34" t="s">
        <v>7476</v>
      </c>
      <c r="AA2147" s="34" t="s">
        <v>7476</v>
      </c>
      <c r="AB2147" s="36" t="s">
        <v>7476</v>
      </c>
      <c r="AD2147" t="s">
        <v>6668</v>
      </c>
      <c r="AE2147" t="s">
        <v>6669</v>
      </c>
      <c r="AF2147" s="16">
        <v>44998</v>
      </c>
      <c r="AG2147" t="s">
        <v>98</v>
      </c>
      <c r="AH2147">
        <v>6</v>
      </c>
      <c r="AI2147" s="8">
        <f t="shared" si="846"/>
        <v>20.82854166666948</v>
      </c>
      <c r="AJ2147" s="8">
        <f t="shared" si="847"/>
        <v>15.82854166666948</v>
      </c>
      <c r="AK2147" s="38">
        <f t="shared" si="837"/>
        <v>45196.828541666669</v>
      </c>
      <c r="AL2147" t="str">
        <f t="shared" si="848"/>
        <v/>
      </c>
      <c r="AM2147">
        <f t="shared" si="849"/>
        <v>21</v>
      </c>
      <c r="AN2147">
        <f t="shared" si="850"/>
        <v>3</v>
      </c>
      <c r="AO2147">
        <f t="shared" si="851"/>
        <v>3</v>
      </c>
      <c r="AP2147">
        <f t="shared" si="852"/>
        <v>0</v>
      </c>
      <c r="AQ2147" t="str">
        <f t="shared" si="853"/>
        <v/>
      </c>
    </row>
    <row r="2148" spans="1:43" x14ac:dyDescent="0.35">
      <c r="A2148">
        <v>624</v>
      </c>
      <c r="B2148" t="s">
        <v>6670</v>
      </c>
      <c r="C2148" t="s">
        <v>6525</v>
      </c>
      <c r="D2148" t="str">
        <f t="shared" si="835"/>
        <v>Capacity Building</v>
      </c>
      <c r="E2148" t="s">
        <v>6587</v>
      </c>
      <c r="F2148" t="s">
        <v>3301</v>
      </c>
      <c r="G2148" t="s">
        <v>6661</v>
      </c>
      <c r="H2148" t="s">
        <v>334</v>
      </c>
      <c r="I2148" s="32">
        <v>44992.828541666669</v>
      </c>
      <c r="J2148" s="32">
        <v>44994.828541666669</v>
      </c>
      <c r="K2148" s="32">
        <v>45000.828541666669</v>
      </c>
      <c r="L2148" s="8">
        <f t="shared" si="836"/>
        <v>8</v>
      </c>
      <c r="M2148" s="7">
        <v>45019.828541666669</v>
      </c>
      <c r="N2148" t="s">
        <v>49</v>
      </c>
      <c r="O2148" s="34">
        <v>45008.828541666669</v>
      </c>
      <c r="P2148" t="s">
        <v>101</v>
      </c>
      <c r="R2148" s="32">
        <v>45016.828541666669</v>
      </c>
      <c r="S2148" t="s">
        <v>101</v>
      </c>
      <c r="T2148" s="34">
        <v>45010.828541666669</v>
      </c>
      <c r="U2148" s="34">
        <v>45013.828541666669</v>
      </c>
      <c r="V2148" s="32">
        <v>45012.828541666669</v>
      </c>
      <c r="W2148" s="32">
        <v>45015.828541666669</v>
      </c>
      <c r="X2148">
        <v>1</v>
      </c>
      <c r="Y2148" s="34">
        <v>45019.828541666669</v>
      </c>
      <c r="Z2148" s="34">
        <v>45020.828541666669</v>
      </c>
      <c r="AA2148" s="34">
        <v>45021.828541666669</v>
      </c>
      <c r="AB2148" s="36" t="s">
        <v>7476</v>
      </c>
      <c r="AC2148" s="10">
        <v>45039.828541666669</v>
      </c>
      <c r="AD2148" t="s">
        <v>6671</v>
      </c>
      <c r="AE2148" t="s">
        <v>6672</v>
      </c>
      <c r="AF2148" s="16">
        <v>44998</v>
      </c>
      <c r="AG2148" t="s">
        <v>98</v>
      </c>
      <c r="AH2148">
        <v>3</v>
      </c>
      <c r="AI2148" s="8">
        <f t="shared" si="846"/>
        <v>18.82854166666948</v>
      </c>
      <c r="AJ2148" s="8">
        <f t="shared" si="847"/>
        <v>10.82854166666948</v>
      </c>
      <c r="AK2148" s="38">
        <f t="shared" si="837"/>
        <v>45102.828541666669</v>
      </c>
      <c r="AL2148">
        <f t="shared" si="848"/>
        <v>5</v>
      </c>
      <c r="AM2148">
        <f t="shared" si="849"/>
        <v>22</v>
      </c>
      <c r="AN2148">
        <f t="shared" si="850"/>
        <v>4</v>
      </c>
      <c r="AO2148">
        <f t="shared" si="851"/>
        <v>2</v>
      </c>
      <c r="AP2148">
        <f t="shared" si="852"/>
        <v>45038.828541666669</v>
      </c>
      <c r="AQ2148">
        <f t="shared" si="853"/>
        <v>6</v>
      </c>
    </row>
    <row r="2149" spans="1:43" x14ac:dyDescent="0.35">
      <c r="A2149">
        <v>540</v>
      </c>
      <c r="B2149" t="s">
        <v>6673</v>
      </c>
      <c r="C2149" t="s">
        <v>6550</v>
      </c>
      <c r="D2149" t="str">
        <f t="shared" si="835"/>
        <v>Capacity Building</v>
      </c>
      <c r="E2149" t="s">
        <v>6587</v>
      </c>
      <c r="F2149" t="s">
        <v>3301</v>
      </c>
      <c r="G2149" t="s">
        <v>6661</v>
      </c>
      <c r="H2149" t="s">
        <v>334</v>
      </c>
      <c r="I2149" s="32">
        <v>44576.271180555559</v>
      </c>
      <c r="J2149" s="32">
        <v>44577.271180555559</v>
      </c>
      <c r="K2149" s="32">
        <v>44578.271180555559</v>
      </c>
      <c r="L2149" s="8">
        <f t="shared" si="836"/>
        <v>2</v>
      </c>
      <c r="M2149" s="7">
        <v>44591.271180555559</v>
      </c>
      <c r="N2149" t="s">
        <v>72</v>
      </c>
      <c r="O2149" s="34" t="s">
        <v>7474</v>
      </c>
      <c r="R2149" s="32" t="s">
        <v>7472</v>
      </c>
      <c r="S2149" t="s">
        <v>7476</v>
      </c>
      <c r="T2149" s="34" t="s">
        <v>7476</v>
      </c>
      <c r="U2149" s="34" t="s">
        <v>7476</v>
      </c>
      <c r="V2149" s="32" t="s">
        <v>7476</v>
      </c>
      <c r="W2149" s="32" t="s">
        <v>7476</v>
      </c>
      <c r="X2149">
        <v>0</v>
      </c>
      <c r="Y2149" s="34" t="s">
        <v>7476</v>
      </c>
      <c r="Z2149" s="34" t="s">
        <v>7476</v>
      </c>
      <c r="AA2149" s="34" t="s">
        <v>7476</v>
      </c>
      <c r="AB2149" s="36" t="s">
        <v>7476</v>
      </c>
      <c r="AD2149" t="s">
        <v>6674</v>
      </c>
      <c r="AE2149" t="s">
        <v>6675</v>
      </c>
      <c r="AG2149" t="s">
        <v>64</v>
      </c>
      <c r="AH2149">
        <v>6</v>
      </c>
      <c r="AI2149" s="8" t="str">
        <f t="shared" si="846"/>
        <v/>
      </c>
      <c r="AJ2149" s="8" t="str">
        <f t="shared" si="847"/>
        <v/>
      </c>
      <c r="AK2149" s="38" t="str">
        <f t="shared" si="837"/>
        <v/>
      </c>
      <c r="AL2149" t="str">
        <f t="shared" si="848"/>
        <v/>
      </c>
      <c r="AM2149" t="str">
        <f t="shared" si="849"/>
        <v/>
      </c>
      <c r="AN2149" t="str">
        <f t="shared" si="850"/>
        <v/>
      </c>
      <c r="AO2149">
        <f t="shared" si="851"/>
        <v>1</v>
      </c>
      <c r="AP2149">
        <f t="shared" si="852"/>
        <v>0</v>
      </c>
      <c r="AQ2149" t="str">
        <f t="shared" si="853"/>
        <v/>
      </c>
    </row>
    <row r="2150" spans="1:43" x14ac:dyDescent="0.35">
      <c r="A2150">
        <v>536</v>
      </c>
      <c r="B2150" t="s">
        <v>6676</v>
      </c>
      <c r="C2150" t="s">
        <v>6531</v>
      </c>
      <c r="D2150" t="str">
        <f t="shared" si="835"/>
        <v>Capacity Building</v>
      </c>
      <c r="E2150" t="s">
        <v>6587</v>
      </c>
      <c r="F2150" t="s">
        <v>3301</v>
      </c>
      <c r="G2150" t="s">
        <v>6661</v>
      </c>
      <c r="H2150" t="s">
        <v>334</v>
      </c>
      <c r="I2150" s="32">
        <v>44574.271180555559</v>
      </c>
      <c r="J2150" s="32">
        <v>44577.271180555559</v>
      </c>
      <c r="K2150" s="32">
        <v>44578.271180555559</v>
      </c>
      <c r="L2150" s="8">
        <f t="shared" si="836"/>
        <v>4</v>
      </c>
      <c r="M2150" s="7">
        <v>44596.271180555559</v>
      </c>
      <c r="N2150" t="s">
        <v>49</v>
      </c>
      <c r="O2150" s="34">
        <v>44586.271180555559</v>
      </c>
      <c r="P2150" t="s">
        <v>392</v>
      </c>
      <c r="R2150" s="32">
        <v>44592.271180555559</v>
      </c>
      <c r="S2150" t="s">
        <v>392</v>
      </c>
      <c r="T2150" s="34" t="s">
        <v>7476</v>
      </c>
      <c r="U2150" s="34" t="s">
        <v>7476</v>
      </c>
      <c r="V2150" s="32">
        <v>44590.271180555559</v>
      </c>
      <c r="W2150" s="32" t="s">
        <v>7476</v>
      </c>
      <c r="X2150">
        <v>0</v>
      </c>
      <c r="Y2150" s="34" t="s">
        <v>7476</v>
      </c>
      <c r="Z2150" s="34" t="s">
        <v>7476</v>
      </c>
      <c r="AA2150" s="34" t="s">
        <v>7476</v>
      </c>
      <c r="AB2150" s="36" t="s">
        <v>7476</v>
      </c>
      <c r="AD2150" t="s">
        <v>6677</v>
      </c>
      <c r="AE2150" t="s">
        <v>6678</v>
      </c>
      <c r="AF2150" s="16">
        <v>44570</v>
      </c>
      <c r="AG2150" t="s">
        <v>98</v>
      </c>
      <c r="AH2150">
        <v>3</v>
      </c>
      <c r="AI2150" s="8">
        <f t="shared" si="846"/>
        <v>22.271180555559113</v>
      </c>
      <c r="AJ2150" s="8">
        <f t="shared" si="847"/>
        <v>16.271180555559113</v>
      </c>
      <c r="AK2150" s="38">
        <f t="shared" si="837"/>
        <v>44680.271180555559</v>
      </c>
      <c r="AL2150" t="str">
        <f t="shared" si="848"/>
        <v/>
      </c>
      <c r="AM2150">
        <f t="shared" si="849"/>
        <v>15</v>
      </c>
      <c r="AN2150">
        <f t="shared" si="850"/>
        <v>4</v>
      </c>
      <c r="AO2150">
        <f t="shared" si="851"/>
        <v>3</v>
      </c>
      <c r="AP2150">
        <f t="shared" si="852"/>
        <v>0</v>
      </c>
      <c r="AQ2150" t="str">
        <f t="shared" si="853"/>
        <v/>
      </c>
    </row>
    <row r="2151" spans="1:43" x14ac:dyDescent="0.35">
      <c r="A2151">
        <v>533</v>
      </c>
      <c r="B2151" t="s">
        <v>6679</v>
      </c>
      <c r="C2151" t="s">
        <v>6550</v>
      </c>
      <c r="D2151" t="str">
        <f t="shared" si="835"/>
        <v>Capacity Building</v>
      </c>
      <c r="E2151" t="s">
        <v>6587</v>
      </c>
      <c r="F2151" t="s">
        <v>3301</v>
      </c>
      <c r="G2151" t="s">
        <v>6661</v>
      </c>
      <c r="H2151" t="s">
        <v>334</v>
      </c>
      <c r="I2151" s="32">
        <v>44574.271180555559</v>
      </c>
      <c r="J2151" s="32">
        <v>44575.271180555559</v>
      </c>
      <c r="K2151" s="32">
        <v>44578.271180555559</v>
      </c>
      <c r="L2151" s="8">
        <f t="shared" si="836"/>
        <v>4</v>
      </c>
      <c r="M2151" s="7">
        <v>44585.271180555559</v>
      </c>
      <c r="N2151" t="s">
        <v>49</v>
      </c>
      <c r="O2151" s="34">
        <v>44593.271180555559</v>
      </c>
      <c r="P2151" t="s">
        <v>101</v>
      </c>
      <c r="R2151" s="32">
        <v>44598.271180555559</v>
      </c>
      <c r="S2151" t="s">
        <v>101</v>
      </c>
      <c r="T2151" s="34">
        <v>44595.271180555559</v>
      </c>
      <c r="U2151" s="34">
        <v>44598.271180555559</v>
      </c>
      <c r="V2151" s="32">
        <v>44595.271180555559</v>
      </c>
      <c r="W2151" s="32">
        <v>44602.271180555559</v>
      </c>
      <c r="X2151">
        <v>1</v>
      </c>
      <c r="Y2151" s="34">
        <v>44606.271180555559</v>
      </c>
      <c r="Z2151" s="34">
        <v>44609.271180555559</v>
      </c>
      <c r="AA2151" s="34">
        <v>44612.271180555559</v>
      </c>
      <c r="AB2151" s="36" t="s">
        <v>7476</v>
      </c>
      <c r="AC2151" s="10">
        <v>44631.271180555559</v>
      </c>
      <c r="AD2151" t="s">
        <v>6680</v>
      </c>
      <c r="AE2151" t="s">
        <v>6681</v>
      </c>
      <c r="AF2151" s="16">
        <v>44581</v>
      </c>
      <c r="AG2151" t="s">
        <v>64</v>
      </c>
      <c r="AH2151">
        <v>6</v>
      </c>
      <c r="AI2151" s="8">
        <f t="shared" si="846"/>
        <v>17.271180555559113</v>
      </c>
      <c r="AJ2151" s="8">
        <f t="shared" si="847"/>
        <v>12.271180555559113</v>
      </c>
      <c r="AK2151" s="38">
        <f t="shared" si="837"/>
        <v>44775.271180555559</v>
      </c>
      <c r="AL2151">
        <f t="shared" si="848"/>
        <v>7</v>
      </c>
      <c r="AM2151">
        <f t="shared" si="849"/>
        <v>23</v>
      </c>
      <c r="AN2151">
        <f t="shared" si="850"/>
        <v>2</v>
      </c>
      <c r="AO2151">
        <f t="shared" si="851"/>
        <v>1</v>
      </c>
      <c r="AP2151">
        <f t="shared" si="852"/>
        <v>44630.271180555559</v>
      </c>
      <c r="AQ2151">
        <f t="shared" si="853"/>
        <v>10</v>
      </c>
    </row>
    <row r="2152" spans="1:43" x14ac:dyDescent="0.35">
      <c r="A2152">
        <v>501</v>
      </c>
      <c r="B2152" t="s">
        <v>6682</v>
      </c>
      <c r="C2152" t="s">
        <v>6525</v>
      </c>
      <c r="D2152" t="str">
        <f t="shared" si="835"/>
        <v>Capacity Building</v>
      </c>
      <c r="E2152" t="s">
        <v>6587</v>
      </c>
      <c r="F2152" t="s">
        <v>3301</v>
      </c>
      <c r="G2152" t="s">
        <v>6661</v>
      </c>
      <c r="H2152" t="s">
        <v>334</v>
      </c>
      <c r="I2152" s="32">
        <v>44746.103750000002</v>
      </c>
      <c r="J2152" s="32">
        <v>44747.103750000002</v>
      </c>
      <c r="K2152" s="32">
        <v>44749.103750000002</v>
      </c>
      <c r="L2152" s="8">
        <f t="shared" si="836"/>
        <v>3</v>
      </c>
      <c r="M2152" s="7">
        <v>44759.103750000002</v>
      </c>
      <c r="N2152" t="s">
        <v>49</v>
      </c>
      <c r="O2152" s="34">
        <v>44758.103750000002</v>
      </c>
      <c r="P2152" t="s">
        <v>50</v>
      </c>
      <c r="Q2152" t="s">
        <v>125</v>
      </c>
      <c r="R2152" s="32" t="s">
        <v>7472</v>
      </c>
      <c r="S2152" t="s">
        <v>7476</v>
      </c>
      <c r="T2152" s="34" t="s">
        <v>7476</v>
      </c>
      <c r="U2152" s="34" t="s">
        <v>7476</v>
      </c>
      <c r="V2152" s="32" t="s">
        <v>7476</v>
      </c>
      <c r="W2152" s="32" t="s">
        <v>7476</v>
      </c>
      <c r="X2152">
        <v>0</v>
      </c>
      <c r="Y2152" s="34" t="s">
        <v>7476</v>
      </c>
      <c r="Z2152" s="34" t="s">
        <v>7476</v>
      </c>
      <c r="AA2152" s="34" t="s">
        <v>7476</v>
      </c>
      <c r="AB2152" s="36" t="s">
        <v>52</v>
      </c>
      <c r="AD2152" t="s">
        <v>6683</v>
      </c>
      <c r="AE2152" t="s">
        <v>6684</v>
      </c>
      <c r="AF2152" s="16">
        <v>44740</v>
      </c>
      <c r="AG2152" t="s">
        <v>98</v>
      </c>
      <c r="AH2152">
        <v>6</v>
      </c>
      <c r="AI2152" s="8" t="str">
        <f t="shared" si="846"/>
        <v/>
      </c>
      <c r="AJ2152" s="8">
        <f t="shared" si="847"/>
        <v>18.103750000002037</v>
      </c>
      <c r="AK2152" s="38" t="str">
        <f t="shared" si="837"/>
        <v/>
      </c>
      <c r="AL2152" t="str">
        <f t="shared" si="848"/>
        <v/>
      </c>
      <c r="AM2152" t="str">
        <f t="shared" si="849"/>
        <v/>
      </c>
      <c r="AN2152" t="str">
        <f t="shared" si="850"/>
        <v/>
      </c>
      <c r="AO2152">
        <f t="shared" si="851"/>
        <v>1</v>
      </c>
      <c r="AP2152">
        <f t="shared" si="852"/>
        <v>0</v>
      </c>
      <c r="AQ2152" t="str">
        <f t="shared" si="853"/>
        <v/>
      </c>
    </row>
    <row r="2153" spans="1:43" x14ac:dyDescent="0.35">
      <c r="A2153">
        <v>429</v>
      </c>
      <c r="B2153" t="s">
        <v>6685</v>
      </c>
      <c r="C2153" t="s">
        <v>6525</v>
      </c>
      <c r="D2153" t="str">
        <f t="shared" si="835"/>
        <v>Capacity Building</v>
      </c>
      <c r="E2153" t="s">
        <v>6587</v>
      </c>
      <c r="F2153" t="s">
        <v>3301</v>
      </c>
      <c r="G2153" t="s">
        <v>6661</v>
      </c>
      <c r="H2153" t="s">
        <v>334</v>
      </c>
      <c r="I2153" s="32">
        <v>44982.544421296298</v>
      </c>
      <c r="J2153" s="32">
        <v>44986.544421296298</v>
      </c>
      <c r="K2153" s="32">
        <v>44987.544421296298</v>
      </c>
      <c r="L2153" s="8">
        <f t="shared" si="836"/>
        <v>5</v>
      </c>
      <c r="M2153" s="7">
        <v>45002.544421296298</v>
      </c>
      <c r="N2153" t="s">
        <v>72</v>
      </c>
      <c r="O2153" s="34" t="s">
        <v>7474</v>
      </c>
      <c r="R2153" s="32" t="s">
        <v>7472</v>
      </c>
      <c r="S2153" t="s">
        <v>7476</v>
      </c>
      <c r="T2153" s="34" t="s">
        <v>7476</v>
      </c>
      <c r="U2153" s="34" t="s">
        <v>7476</v>
      </c>
      <c r="V2153" s="32" t="s">
        <v>7476</v>
      </c>
      <c r="W2153" s="32" t="s">
        <v>7476</v>
      </c>
      <c r="X2153">
        <v>0</v>
      </c>
      <c r="Y2153" s="34" t="s">
        <v>7476</v>
      </c>
      <c r="Z2153" s="34" t="s">
        <v>7476</v>
      </c>
      <c r="AA2153" s="34" t="s">
        <v>7476</v>
      </c>
      <c r="AB2153" s="36" t="s">
        <v>7476</v>
      </c>
      <c r="AD2153" t="s">
        <v>6686</v>
      </c>
      <c r="AE2153" t="s">
        <v>6687</v>
      </c>
      <c r="AG2153" t="s">
        <v>68</v>
      </c>
      <c r="AH2153">
        <v>3</v>
      </c>
      <c r="AI2153" s="8" t="str">
        <f t="shared" si="846"/>
        <v/>
      </c>
      <c r="AJ2153" s="8" t="str">
        <f t="shared" si="847"/>
        <v/>
      </c>
      <c r="AK2153" s="38" t="str">
        <f t="shared" si="837"/>
        <v/>
      </c>
      <c r="AL2153" t="str">
        <f t="shared" si="848"/>
        <v/>
      </c>
      <c r="AM2153" t="str">
        <f t="shared" si="849"/>
        <v/>
      </c>
      <c r="AN2153" t="str">
        <f t="shared" si="850"/>
        <v/>
      </c>
      <c r="AO2153">
        <f t="shared" si="851"/>
        <v>4</v>
      </c>
      <c r="AP2153">
        <f t="shared" si="852"/>
        <v>0</v>
      </c>
      <c r="AQ2153" t="str">
        <f t="shared" si="853"/>
        <v/>
      </c>
    </row>
    <row r="2154" spans="1:43" x14ac:dyDescent="0.35">
      <c r="A2154">
        <v>422</v>
      </c>
      <c r="B2154" t="s">
        <v>6688</v>
      </c>
      <c r="C2154" t="s">
        <v>6525</v>
      </c>
      <c r="D2154" t="str">
        <f t="shared" si="835"/>
        <v>Capacity Building</v>
      </c>
      <c r="E2154" t="s">
        <v>6587</v>
      </c>
      <c r="F2154" t="s">
        <v>3301</v>
      </c>
      <c r="G2154" t="s">
        <v>6661</v>
      </c>
      <c r="H2154" t="s">
        <v>334</v>
      </c>
      <c r="I2154" s="32">
        <v>44984.544421296298</v>
      </c>
      <c r="J2154" s="32">
        <v>44985.544421296298</v>
      </c>
      <c r="K2154" s="32">
        <v>44987.544421296298</v>
      </c>
      <c r="L2154" s="8">
        <f t="shared" si="836"/>
        <v>3</v>
      </c>
      <c r="M2154" s="7">
        <v>45000.544421296298</v>
      </c>
      <c r="N2154" t="s">
        <v>49</v>
      </c>
      <c r="O2154" s="34">
        <v>44990.544421296298</v>
      </c>
      <c r="P2154" t="s">
        <v>60</v>
      </c>
      <c r="R2154" s="32">
        <v>44998.544421296298</v>
      </c>
      <c r="S2154" t="s">
        <v>61</v>
      </c>
      <c r="T2154" s="34" t="s">
        <v>7476</v>
      </c>
      <c r="U2154" s="34" t="s">
        <v>7476</v>
      </c>
      <c r="V2154" s="32">
        <v>44994.544421296298</v>
      </c>
      <c r="W2154" s="32" t="s">
        <v>7476</v>
      </c>
      <c r="X2154">
        <v>0</v>
      </c>
      <c r="Y2154" s="34" t="s">
        <v>7476</v>
      </c>
      <c r="Z2154" s="34" t="s">
        <v>7476</v>
      </c>
      <c r="AA2154" s="34" t="s">
        <v>7476</v>
      </c>
      <c r="AB2154" s="36" t="s">
        <v>7476</v>
      </c>
      <c r="AD2154" t="s">
        <v>6689</v>
      </c>
      <c r="AE2154" t="s">
        <v>6690</v>
      </c>
      <c r="AF2154" s="16">
        <v>44978</v>
      </c>
      <c r="AG2154" t="s">
        <v>98</v>
      </c>
      <c r="AH2154">
        <v>6</v>
      </c>
      <c r="AI2154" s="8">
        <f t="shared" si="846"/>
        <v>20.544421296297514</v>
      </c>
      <c r="AJ2154" s="8">
        <f t="shared" si="847"/>
        <v>12.544421296297514</v>
      </c>
      <c r="AK2154" s="38">
        <f t="shared" si="837"/>
        <v>45174.544421296298</v>
      </c>
      <c r="AL2154" t="str">
        <f t="shared" si="848"/>
        <v/>
      </c>
      <c r="AM2154">
        <f t="shared" si="849"/>
        <v>13</v>
      </c>
      <c r="AN2154">
        <f t="shared" si="850"/>
        <v>4</v>
      </c>
      <c r="AO2154">
        <f t="shared" si="851"/>
        <v>1</v>
      </c>
      <c r="AP2154">
        <f t="shared" si="852"/>
        <v>0</v>
      </c>
      <c r="AQ2154" t="str">
        <f t="shared" si="853"/>
        <v/>
      </c>
    </row>
    <row r="2155" spans="1:43" x14ac:dyDescent="0.35">
      <c r="A2155">
        <v>411</v>
      </c>
      <c r="B2155" t="s">
        <v>6691</v>
      </c>
      <c r="C2155" t="s">
        <v>6525</v>
      </c>
      <c r="D2155" t="str">
        <f t="shared" si="835"/>
        <v>Capacity Building</v>
      </c>
      <c r="E2155" t="s">
        <v>6587</v>
      </c>
      <c r="F2155" t="s">
        <v>3301</v>
      </c>
      <c r="G2155" t="s">
        <v>6661</v>
      </c>
      <c r="H2155" t="s">
        <v>334</v>
      </c>
      <c r="I2155" s="32">
        <v>45092.637766203698</v>
      </c>
      <c r="J2155" s="32">
        <v>45094.637766203698</v>
      </c>
      <c r="K2155" s="32" t="s">
        <v>7473</v>
      </c>
      <c r="L2155" s="8" t="str">
        <f t="shared" si="836"/>
        <v/>
      </c>
      <c r="M2155" s="7">
        <v>45112.637766203698</v>
      </c>
      <c r="N2155" t="s">
        <v>72</v>
      </c>
      <c r="O2155" s="34" t="s">
        <v>7474</v>
      </c>
      <c r="R2155" s="32" t="s">
        <v>7472</v>
      </c>
      <c r="S2155" t="s">
        <v>7476</v>
      </c>
      <c r="T2155" s="34" t="s">
        <v>7476</v>
      </c>
      <c r="U2155" s="34" t="s">
        <v>7476</v>
      </c>
      <c r="V2155" s="32" t="s">
        <v>7476</v>
      </c>
      <c r="W2155" s="32" t="s">
        <v>7476</v>
      </c>
      <c r="X2155">
        <v>0</v>
      </c>
      <c r="Y2155" s="34" t="s">
        <v>7476</v>
      </c>
      <c r="Z2155" s="34" t="s">
        <v>7476</v>
      </c>
      <c r="AA2155" s="34" t="s">
        <v>7476</v>
      </c>
      <c r="AB2155" s="36" t="s">
        <v>7476</v>
      </c>
      <c r="AD2155" t="s">
        <v>6692</v>
      </c>
      <c r="AE2155" t="s">
        <v>6693</v>
      </c>
      <c r="AG2155" t="s">
        <v>68</v>
      </c>
      <c r="AH2155">
        <v>3</v>
      </c>
      <c r="AK2155" s="38" t="str">
        <f t="shared" si="837"/>
        <v/>
      </c>
    </row>
    <row r="2156" spans="1:43" x14ac:dyDescent="0.35">
      <c r="A2156">
        <v>269</v>
      </c>
      <c r="B2156" t="s">
        <v>6694</v>
      </c>
      <c r="C2156" t="s">
        <v>6525</v>
      </c>
      <c r="D2156" t="str">
        <f t="shared" si="835"/>
        <v>Capacity Building</v>
      </c>
      <c r="E2156" t="s">
        <v>6587</v>
      </c>
      <c r="F2156" t="s">
        <v>3301</v>
      </c>
      <c r="G2156" t="s">
        <v>6661</v>
      </c>
      <c r="H2156" t="s">
        <v>334</v>
      </c>
      <c r="I2156" s="32">
        <v>44768.282581018517</v>
      </c>
      <c r="J2156" s="32" t="s">
        <v>7471</v>
      </c>
      <c r="K2156" s="32">
        <v>44770.282581018517</v>
      </c>
      <c r="L2156" s="8">
        <f t="shared" si="836"/>
        <v>2</v>
      </c>
      <c r="M2156" s="7">
        <v>44788.282581018517</v>
      </c>
      <c r="N2156" t="s">
        <v>49</v>
      </c>
      <c r="O2156" s="34">
        <v>44779.282581018517</v>
      </c>
      <c r="P2156" t="s">
        <v>101</v>
      </c>
      <c r="R2156" s="32">
        <v>44785.282581018517</v>
      </c>
      <c r="S2156" t="s">
        <v>101</v>
      </c>
      <c r="T2156" s="34">
        <v>44781.282581018517</v>
      </c>
      <c r="U2156" s="34">
        <v>44783.282581018517</v>
      </c>
      <c r="V2156" s="32">
        <v>44782.282581018517</v>
      </c>
      <c r="W2156" s="32">
        <v>44790.282581018517</v>
      </c>
      <c r="X2156">
        <v>1</v>
      </c>
      <c r="Y2156" s="34">
        <v>44794.282581018517</v>
      </c>
      <c r="Z2156" s="34">
        <v>44795.282581018517</v>
      </c>
      <c r="AA2156" s="34">
        <v>44796.282581018517</v>
      </c>
      <c r="AB2156" s="36" t="s">
        <v>7476</v>
      </c>
      <c r="AC2156" s="10">
        <v>44818.282581018517</v>
      </c>
      <c r="AD2156" t="s">
        <v>6695</v>
      </c>
      <c r="AE2156" t="s">
        <v>6696</v>
      </c>
      <c r="AF2156" s="16">
        <v>44773</v>
      </c>
      <c r="AG2156" t="s">
        <v>75</v>
      </c>
      <c r="AH2156">
        <v>6</v>
      </c>
      <c r="AK2156" s="38">
        <f t="shared" si="837"/>
        <v>44962.282581018517</v>
      </c>
    </row>
    <row r="2157" spans="1:43" x14ac:dyDescent="0.35">
      <c r="A2157">
        <v>266</v>
      </c>
      <c r="B2157" t="s">
        <v>6697</v>
      </c>
      <c r="C2157" t="s">
        <v>6525</v>
      </c>
      <c r="D2157" t="str">
        <f t="shared" si="835"/>
        <v>Capacity Building</v>
      </c>
      <c r="E2157" t="s">
        <v>6587</v>
      </c>
      <c r="F2157" t="s">
        <v>3301</v>
      </c>
      <c r="G2157" t="s">
        <v>6661</v>
      </c>
      <c r="H2157" t="s">
        <v>334</v>
      </c>
      <c r="I2157" s="32">
        <v>44763.282581018517</v>
      </c>
      <c r="J2157" s="32">
        <v>44766.282581018517</v>
      </c>
      <c r="K2157" s="32">
        <v>44770.282581018517</v>
      </c>
      <c r="L2157" s="8">
        <f t="shared" si="836"/>
        <v>7</v>
      </c>
      <c r="M2157" s="7">
        <v>44790.282581018517</v>
      </c>
      <c r="N2157" t="s">
        <v>49</v>
      </c>
      <c r="O2157" s="34">
        <v>44779.282581018517</v>
      </c>
      <c r="P2157" t="s">
        <v>60</v>
      </c>
      <c r="R2157" s="32">
        <v>44785.282581018517</v>
      </c>
      <c r="S2157" t="s">
        <v>61</v>
      </c>
      <c r="T2157" s="34" t="s">
        <v>7476</v>
      </c>
      <c r="U2157" s="34" t="s">
        <v>7476</v>
      </c>
      <c r="V2157" s="32">
        <v>44781.282581018517</v>
      </c>
      <c r="W2157" s="32" t="s">
        <v>7476</v>
      </c>
      <c r="X2157">
        <v>0</v>
      </c>
      <c r="Y2157" s="34" t="s">
        <v>7476</v>
      </c>
      <c r="Z2157" s="34" t="s">
        <v>7476</v>
      </c>
      <c r="AA2157" s="34" t="s">
        <v>7476</v>
      </c>
      <c r="AB2157" s="36" t="s">
        <v>7476</v>
      </c>
      <c r="AD2157" t="s">
        <v>6698</v>
      </c>
      <c r="AE2157" t="s">
        <v>6699</v>
      </c>
      <c r="AF2157" s="16">
        <v>44762</v>
      </c>
      <c r="AG2157" t="s">
        <v>64</v>
      </c>
      <c r="AH2157">
        <v>6</v>
      </c>
      <c r="AI2157" s="8">
        <f t="shared" ref="AI2157:AI2163" si="854">IFERROR(R2157-AF2157,"")</f>
        <v>23.282581018516794</v>
      </c>
      <c r="AJ2157" s="8">
        <f t="shared" ref="AJ2157:AJ2163" si="855">IFERROR(O2157-AF2157,"")</f>
        <v>17.282581018516794</v>
      </c>
      <c r="AK2157" s="38">
        <f t="shared" si="837"/>
        <v>44961.282581018517</v>
      </c>
      <c r="AL2157" t="str">
        <f t="shared" ref="AL2157:AL2163" si="856">IFERROR(Z2157-W2157,"")</f>
        <v/>
      </c>
      <c r="AM2157">
        <f t="shared" ref="AM2157:AM2163" si="857">IFERROR(R2157-J2157,"")</f>
        <v>19</v>
      </c>
      <c r="AN2157">
        <f t="shared" ref="AN2157:AN2163" si="858">IFERROR(V2157-O2157,"")</f>
        <v>2</v>
      </c>
      <c r="AO2157">
        <f t="shared" ref="AO2157:AO2163" si="859">IFERROR(J2157-I2157,"")</f>
        <v>3</v>
      </c>
      <c r="AP2157">
        <f t="shared" ref="AP2157:AP2163" si="860">IFERROR(AC2157-X2157,"")</f>
        <v>0</v>
      </c>
      <c r="AQ2157" t="str">
        <f t="shared" ref="AQ2157:AQ2163" si="861">IFERROR(AA2157-W2157,"")</f>
        <v/>
      </c>
    </row>
    <row r="2158" spans="1:43" x14ac:dyDescent="0.35">
      <c r="A2158">
        <v>256</v>
      </c>
      <c r="B2158" t="s">
        <v>6700</v>
      </c>
      <c r="C2158" t="s">
        <v>6525</v>
      </c>
      <c r="D2158" t="str">
        <f t="shared" si="835"/>
        <v>Capacity Building</v>
      </c>
      <c r="E2158" t="s">
        <v>6587</v>
      </c>
      <c r="F2158" t="s">
        <v>3301</v>
      </c>
      <c r="G2158" t="s">
        <v>6661</v>
      </c>
      <c r="H2158" t="s">
        <v>334</v>
      </c>
      <c r="I2158" s="32">
        <v>44705.632962962962</v>
      </c>
      <c r="J2158" s="32">
        <v>44708.632962962962</v>
      </c>
      <c r="K2158" s="32">
        <v>44713.632962962962</v>
      </c>
      <c r="L2158" s="8">
        <f t="shared" si="836"/>
        <v>8</v>
      </c>
      <c r="M2158" s="7">
        <v>44743.632962962962</v>
      </c>
      <c r="N2158" t="s">
        <v>49</v>
      </c>
      <c r="O2158" s="34">
        <v>44724.632962962962</v>
      </c>
      <c r="P2158" t="s">
        <v>101</v>
      </c>
      <c r="R2158" s="32">
        <v>44731.632962962962</v>
      </c>
      <c r="S2158" t="s">
        <v>101</v>
      </c>
      <c r="T2158" s="34">
        <v>44725.632962962962</v>
      </c>
      <c r="U2158" s="34">
        <v>44727.632962962962</v>
      </c>
      <c r="V2158" s="32">
        <v>44728.632962962962</v>
      </c>
      <c r="W2158" s="32">
        <v>44732.632962962962</v>
      </c>
      <c r="X2158">
        <v>1</v>
      </c>
      <c r="Y2158" s="34">
        <v>44734.632962962962</v>
      </c>
      <c r="Z2158" s="34">
        <v>44735.632962962962</v>
      </c>
      <c r="AA2158" s="34">
        <v>44737.632962962962</v>
      </c>
      <c r="AB2158" s="36" t="s">
        <v>7476</v>
      </c>
      <c r="AC2158" s="10">
        <v>44746.632962962962</v>
      </c>
      <c r="AD2158" t="s">
        <v>6701</v>
      </c>
      <c r="AE2158" t="s">
        <v>6702</v>
      </c>
      <c r="AF2158" s="16">
        <v>44711</v>
      </c>
      <c r="AG2158" t="s">
        <v>98</v>
      </c>
      <c r="AH2158">
        <v>6</v>
      </c>
      <c r="AI2158" s="8">
        <f t="shared" si="854"/>
        <v>20.632962962961756</v>
      </c>
      <c r="AJ2158" s="8">
        <f t="shared" si="855"/>
        <v>13.632962962961756</v>
      </c>
      <c r="AK2158" s="38">
        <f t="shared" si="837"/>
        <v>44908.632962962962</v>
      </c>
      <c r="AL2158">
        <f t="shared" si="856"/>
        <v>3</v>
      </c>
      <c r="AM2158">
        <f t="shared" si="857"/>
        <v>23</v>
      </c>
      <c r="AN2158">
        <f t="shared" si="858"/>
        <v>4</v>
      </c>
      <c r="AO2158">
        <f t="shared" si="859"/>
        <v>3</v>
      </c>
      <c r="AP2158">
        <f t="shared" si="860"/>
        <v>44745.632962962962</v>
      </c>
      <c r="AQ2158">
        <f t="shared" si="861"/>
        <v>5</v>
      </c>
    </row>
    <row r="2159" spans="1:43" x14ac:dyDescent="0.35">
      <c r="A2159">
        <v>254</v>
      </c>
      <c r="B2159" t="s">
        <v>6703</v>
      </c>
      <c r="C2159" t="s">
        <v>6550</v>
      </c>
      <c r="D2159" t="str">
        <f t="shared" si="835"/>
        <v>Capacity Building</v>
      </c>
      <c r="E2159" t="s">
        <v>6587</v>
      </c>
      <c r="F2159" t="s">
        <v>3301</v>
      </c>
      <c r="G2159" t="s">
        <v>6661</v>
      </c>
      <c r="H2159" t="s">
        <v>334</v>
      </c>
      <c r="I2159" s="32">
        <v>44706.632962962962</v>
      </c>
      <c r="J2159" s="32">
        <v>44710.632962962962</v>
      </c>
      <c r="K2159" s="32">
        <v>44713.632962962962</v>
      </c>
      <c r="L2159" s="8">
        <f t="shared" si="836"/>
        <v>7</v>
      </c>
      <c r="M2159" s="7">
        <v>44738.632962962962</v>
      </c>
      <c r="N2159" t="s">
        <v>49</v>
      </c>
      <c r="O2159" s="34">
        <v>44718.632962962962</v>
      </c>
      <c r="P2159" t="s">
        <v>50</v>
      </c>
      <c r="Q2159" t="s">
        <v>84</v>
      </c>
      <c r="R2159" s="32" t="s">
        <v>7472</v>
      </c>
      <c r="S2159" t="s">
        <v>7476</v>
      </c>
      <c r="T2159" s="34" t="s">
        <v>7476</v>
      </c>
      <c r="U2159" s="34" t="s">
        <v>7476</v>
      </c>
      <c r="V2159" s="32" t="s">
        <v>7476</v>
      </c>
      <c r="W2159" s="32" t="s">
        <v>7476</v>
      </c>
      <c r="X2159">
        <v>0</v>
      </c>
      <c r="Y2159" s="34" t="s">
        <v>7476</v>
      </c>
      <c r="Z2159" s="34" t="s">
        <v>7476</v>
      </c>
      <c r="AA2159" s="34" t="s">
        <v>7476</v>
      </c>
      <c r="AB2159" s="36" t="s">
        <v>95</v>
      </c>
      <c r="AD2159" t="s">
        <v>6704</v>
      </c>
      <c r="AE2159" t="s">
        <v>6705</v>
      </c>
      <c r="AF2159" s="16">
        <v>44708</v>
      </c>
      <c r="AG2159" t="s">
        <v>68</v>
      </c>
      <c r="AH2159">
        <v>3</v>
      </c>
      <c r="AI2159" s="8" t="str">
        <f t="shared" si="854"/>
        <v/>
      </c>
      <c r="AJ2159" s="8">
        <f t="shared" si="855"/>
        <v>10.632962962961756</v>
      </c>
      <c r="AK2159" s="38" t="str">
        <f t="shared" si="837"/>
        <v/>
      </c>
      <c r="AL2159" t="str">
        <f t="shared" si="856"/>
        <v/>
      </c>
      <c r="AM2159" t="str">
        <f t="shared" si="857"/>
        <v/>
      </c>
      <c r="AN2159" t="str">
        <f t="shared" si="858"/>
        <v/>
      </c>
      <c r="AO2159">
        <f t="shared" si="859"/>
        <v>4</v>
      </c>
      <c r="AP2159">
        <f t="shared" si="860"/>
        <v>0</v>
      </c>
      <c r="AQ2159" t="str">
        <f t="shared" si="861"/>
        <v/>
      </c>
    </row>
    <row r="2160" spans="1:43" x14ac:dyDescent="0.35">
      <c r="A2160">
        <v>251</v>
      </c>
      <c r="B2160" t="s">
        <v>6706</v>
      </c>
      <c r="C2160" t="s">
        <v>6525</v>
      </c>
      <c r="D2160" t="str">
        <f t="shared" si="835"/>
        <v>Capacity Building</v>
      </c>
      <c r="E2160" t="s">
        <v>6587</v>
      </c>
      <c r="F2160" t="s">
        <v>3301</v>
      </c>
      <c r="G2160" t="s">
        <v>6661</v>
      </c>
      <c r="H2160" t="s">
        <v>334</v>
      </c>
      <c r="I2160" s="32">
        <v>44708.632962962962</v>
      </c>
      <c r="J2160" s="32">
        <v>44711.632962962962</v>
      </c>
      <c r="K2160" s="32">
        <v>44713.632962962962</v>
      </c>
      <c r="L2160" s="8">
        <f t="shared" si="836"/>
        <v>5</v>
      </c>
      <c r="M2160" s="7">
        <v>44727.632962962962</v>
      </c>
      <c r="N2160" t="s">
        <v>49</v>
      </c>
      <c r="O2160" s="34">
        <v>44726.632962962962</v>
      </c>
      <c r="P2160" t="s">
        <v>50</v>
      </c>
      <c r="Q2160" t="s">
        <v>198</v>
      </c>
      <c r="R2160" s="32" t="s">
        <v>7472</v>
      </c>
      <c r="S2160" t="s">
        <v>7476</v>
      </c>
      <c r="T2160" s="34" t="s">
        <v>7476</v>
      </c>
      <c r="U2160" s="34" t="s">
        <v>7476</v>
      </c>
      <c r="V2160" s="32">
        <v>44727.632962962962</v>
      </c>
      <c r="W2160" s="32" t="s">
        <v>7476</v>
      </c>
      <c r="X2160">
        <v>0</v>
      </c>
      <c r="Y2160" s="34" t="s">
        <v>7476</v>
      </c>
      <c r="Z2160" s="34" t="s">
        <v>7476</v>
      </c>
      <c r="AA2160" s="34" t="s">
        <v>7476</v>
      </c>
      <c r="AB2160" s="36" t="s">
        <v>52</v>
      </c>
      <c r="AD2160" t="s">
        <v>6707</v>
      </c>
      <c r="AE2160" t="s">
        <v>6708</v>
      </c>
      <c r="AF2160" s="16">
        <v>44748</v>
      </c>
      <c r="AG2160" t="s">
        <v>64</v>
      </c>
      <c r="AH2160">
        <v>6</v>
      </c>
      <c r="AI2160" s="8" t="str">
        <f t="shared" si="854"/>
        <v/>
      </c>
      <c r="AJ2160" s="8">
        <f t="shared" si="855"/>
        <v>-21.367037037038244</v>
      </c>
      <c r="AK2160" s="38">
        <f t="shared" si="837"/>
        <v>44907.632962962962</v>
      </c>
      <c r="AL2160" t="str">
        <f t="shared" si="856"/>
        <v/>
      </c>
      <c r="AM2160" t="str">
        <f t="shared" si="857"/>
        <v/>
      </c>
      <c r="AN2160">
        <f t="shared" si="858"/>
        <v>1</v>
      </c>
      <c r="AO2160">
        <f t="shared" si="859"/>
        <v>3</v>
      </c>
      <c r="AP2160">
        <f t="shared" si="860"/>
        <v>0</v>
      </c>
      <c r="AQ2160" t="str">
        <f t="shared" si="861"/>
        <v/>
      </c>
    </row>
    <row r="2161" spans="1:43" x14ac:dyDescent="0.35">
      <c r="A2161">
        <v>231</v>
      </c>
      <c r="B2161" t="s">
        <v>6709</v>
      </c>
      <c r="C2161" t="s">
        <v>6550</v>
      </c>
      <c r="D2161" t="str">
        <f t="shared" si="835"/>
        <v>Capacity Building</v>
      </c>
      <c r="E2161" t="s">
        <v>6587</v>
      </c>
      <c r="F2161" t="s">
        <v>3301</v>
      </c>
      <c r="G2161" t="s">
        <v>6661</v>
      </c>
      <c r="H2161" t="s">
        <v>334</v>
      </c>
      <c r="I2161" s="32">
        <v>44595.810960648138</v>
      </c>
      <c r="J2161" s="32">
        <v>44599.810960648138</v>
      </c>
      <c r="K2161" s="32">
        <v>44603.810960648138</v>
      </c>
      <c r="L2161" s="8">
        <f t="shared" si="836"/>
        <v>8</v>
      </c>
      <c r="M2161" s="7">
        <v>44626.810960648138</v>
      </c>
      <c r="N2161" t="s">
        <v>49</v>
      </c>
      <c r="O2161" s="34">
        <v>44604.810960648138</v>
      </c>
      <c r="P2161" t="s">
        <v>50</v>
      </c>
      <c r="Q2161" t="s">
        <v>198</v>
      </c>
      <c r="R2161" s="32" t="s">
        <v>7472</v>
      </c>
      <c r="S2161" t="s">
        <v>7476</v>
      </c>
      <c r="T2161" s="34" t="s">
        <v>7476</v>
      </c>
      <c r="U2161" s="34" t="s">
        <v>7476</v>
      </c>
      <c r="V2161" s="32">
        <v>44608.810960648138</v>
      </c>
      <c r="W2161" s="32" t="s">
        <v>7476</v>
      </c>
      <c r="X2161">
        <v>0</v>
      </c>
      <c r="Y2161" s="34" t="s">
        <v>7476</v>
      </c>
      <c r="Z2161" s="34" t="s">
        <v>7476</v>
      </c>
      <c r="AA2161" s="34" t="s">
        <v>7476</v>
      </c>
      <c r="AB2161" s="36" t="s">
        <v>52</v>
      </c>
      <c r="AD2161" t="s">
        <v>6710</v>
      </c>
      <c r="AE2161" t="s">
        <v>6711</v>
      </c>
      <c r="AF2161" s="16">
        <v>44594</v>
      </c>
      <c r="AG2161" t="s">
        <v>98</v>
      </c>
      <c r="AH2161">
        <v>6</v>
      </c>
      <c r="AI2161" s="8" t="str">
        <f t="shared" si="854"/>
        <v/>
      </c>
      <c r="AJ2161" s="8">
        <f t="shared" si="855"/>
        <v>10.810960648137552</v>
      </c>
      <c r="AK2161" s="38">
        <f t="shared" si="837"/>
        <v>44788.810960648138</v>
      </c>
      <c r="AL2161" t="str">
        <f t="shared" si="856"/>
        <v/>
      </c>
      <c r="AM2161" t="str">
        <f t="shared" si="857"/>
        <v/>
      </c>
      <c r="AN2161">
        <f t="shared" si="858"/>
        <v>4</v>
      </c>
      <c r="AO2161">
        <f t="shared" si="859"/>
        <v>4</v>
      </c>
      <c r="AP2161">
        <f t="shared" si="860"/>
        <v>0</v>
      </c>
      <c r="AQ2161" t="str">
        <f t="shared" si="861"/>
        <v/>
      </c>
    </row>
    <row r="2162" spans="1:43" x14ac:dyDescent="0.35">
      <c r="A2162">
        <v>224</v>
      </c>
      <c r="B2162" t="s">
        <v>6712</v>
      </c>
      <c r="C2162" t="s">
        <v>6525</v>
      </c>
      <c r="D2162" t="str">
        <f t="shared" si="835"/>
        <v>Capacity Building</v>
      </c>
      <c r="E2162" t="s">
        <v>6587</v>
      </c>
      <c r="F2162" t="s">
        <v>3301</v>
      </c>
      <c r="G2162" t="s">
        <v>6661</v>
      </c>
      <c r="H2162" t="s">
        <v>334</v>
      </c>
      <c r="I2162" s="32">
        <v>44741.447731481479</v>
      </c>
      <c r="J2162" s="32">
        <v>44743.447731481479</v>
      </c>
      <c r="K2162" s="32">
        <v>44744.447731481479</v>
      </c>
      <c r="L2162" s="8">
        <f t="shared" si="836"/>
        <v>3</v>
      </c>
      <c r="M2162" s="7">
        <v>44769.447731481479</v>
      </c>
      <c r="N2162" t="s">
        <v>49</v>
      </c>
      <c r="O2162" s="34">
        <v>44754.447731481479</v>
      </c>
      <c r="P2162" t="s">
        <v>50</v>
      </c>
      <c r="Q2162" t="s">
        <v>198</v>
      </c>
      <c r="R2162" s="32" t="s">
        <v>7472</v>
      </c>
      <c r="S2162" t="s">
        <v>7476</v>
      </c>
      <c r="T2162" s="34" t="s">
        <v>7476</v>
      </c>
      <c r="U2162" s="34" t="s">
        <v>7476</v>
      </c>
      <c r="V2162" s="32" t="s">
        <v>7476</v>
      </c>
      <c r="W2162" s="32" t="s">
        <v>7476</v>
      </c>
      <c r="X2162">
        <v>0</v>
      </c>
      <c r="Y2162" s="34" t="s">
        <v>7476</v>
      </c>
      <c r="Z2162" s="34" t="s">
        <v>7476</v>
      </c>
      <c r="AA2162" s="34" t="s">
        <v>7476</v>
      </c>
      <c r="AB2162" s="36" t="s">
        <v>95</v>
      </c>
      <c r="AD2162" t="s">
        <v>6713</v>
      </c>
      <c r="AE2162" t="s">
        <v>6714</v>
      </c>
      <c r="AF2162" s="16">
        <v>44738</v>
      </c>
      <c r="AG2162" t="s">
        <v>98</v>
      </c>
      <c r="AH2162">
        <v>6</v>
      </c>
      <c r="AI2162" s="8" t="str">
        <f t="shared" si="854"/>
        <v/>
      </c>
      <c r="AJ2162" s="8">
        <f t="shared" si="855"/>
        <v>16.447731481479423</v>
      </c>
      <c r="AK2162" s="38" t="str">
        <f t="shared" si="837"/>
        <v/>
      </c>
      <c r="AL2162" t="str">
        <f t="shared" si="856"/>
        <v/>
      </c>
      <c r="AM2162" t="str">
        <f t="shared" si="857"/>
        <v/>
      </c>
      <c r="AN2162" t="str">
        <f t="shared" si="858"/>
        <v/>
      </c>
      <c r="AO2162">
        <f t="shared" si="859"/>
        <v>2</v>
      </c>
      <c r="AP2162">
        <f t="shared" si="860"/>
        <v>0</v>
      </c>
      <c r="AQ2162" t="str">
        <f t="shared" si="861"/>
        <v/>
      </c>
    </row>
    <row r="2163" spans="1:43" x14ac:dyDescent="0.35">
      <c r="A2163">
        <v>223</v>
      </c>
      <c r="B2163" t="s">
        <v>6715</v>
      </c>
      <c r="C2163" t="s">
        <v>6525</v>
      </c>
      <c r="D2163" t="str">
        <f t="shared" si="835"/>
        <v>Capacity Building</v>
      </c>
      <c r="E2163" t="s">
        <v>6587</v>
      </c>
      <c r="F2163" t="s">
        <v>3301</v>
      </c>
      <c r="G2163" t="s">
        <v>6661</v>
      </c>
      <c r="H2163" t="s">
        <v>334</v>
      </c>
      <c r="I2163" s="32">
        <v>44740.447731481479</v>
      </c>
      <c r="J2163" s="32">
        <v>44742.447731481479</v>
      </c>
      <c r="K2163" s="32">
        <v>44744.447731481479</v>
      </c>
      <c r="L2163" s="8">
        <f t="shared" si="836"/>
        <v>4</v>
      </c>
      <c r="M2163" s="7">
        <v>44765.447731481479</v>
      </c>
      <c r="N2163" t="s">
        <v>49</v>
      </c>
      <c r="O2163" s="34">
        <v>44750.447731481479</v>
      </c>
      <c r="P2163" t="s">
        <v>50</v>
      </c>
      <c r="Q2163" t="s">
        <v>198</v>
      </c>
      <c r="R2163" s="32" t="s">
        <v>7472</v>
      </c>
      <c r="S2163" t="s">
        <v>7476</v>
      </c>
      <c r="T2163" s="34" t="s">
        <v>7476</v>
      </c>
      <c r="U2163" s="34" t="s">
        <v>7476</v>
      </c>
      <c r="V2163" s="32">
        <v>44753.447731481479</v>
      </c>
      <c r="W2163" s="32" t="s">
        <v>7476</v>
      </c>
      <c r="X2163">
        <v>0</v>
      </c>
      <c r="Y2163" s="34" t="s">
        <v>7476</v>
      </c>
      <c r="Z2163" s="34" t="s">
        <v>7476</v>
      </c>
      <c r="AA2163" s="34" t="s">
        <v>7476</v>
      </c>
      <c r="AB2163" s="36" t="s">
        <v>52</v>
      </c>
      <c r="AD2163" t="s">
        <v>6716</v>
      </c>
      <c r="AE2163" t="s">
        <v>6717</v>
      </c>
      <c r="AF2163" s="16">
        <v>44742</v>
      </c>
      <c r="AG2163" t="s">
        <v>98</v>
      </c>
      <c r="AH2163">
        <v>6</v>
      </c>
      <c r="AI2163" s="8" t="str">
        <f t="shared" si="854"/>
        <v/>
      </c>
      <c r="AJ2163" s="8">
        <f t="shared" si="855"/>
        <v>8.4477314814794227</v>
      </c>
      <c r="AK2163" s="38">
        <f t="shared" si="837"/>
        <v>44933.447731481479</v>
      </c>
      <c r="AL2163" t="str">
        <f t="shared" si="856"/>
        <v/>
      </c>
      <c r="AM2163" t="str">
        <f t="shared" si="857"/>
        <v/>
      </c>
      <c r="AN2163">
        <f t="shared" si="858"/>
        <v>3</v>
      </c>
      <c r="AO2163">
        <f t="shared" si="859"/>
        <v>2</v>
      </c>
      <c r="AP2163">
        <f t="shared" si="860"/>
        <v>0</v>
      </c>
      <c r="AQ2163" t="str">
        <f t="shared" si="861"/>
        <v/>
      </c>
    </row>
    <row r="2164" spans="1:43" x14ac:dyDescent="0.35">
      <c r="A2164">
        <v>158</v>
      </c>
      <c r="B2164" t="s">
        <v>6718</v>
      </c>
      <c r="C2164" t="s">
        <v>6525</v>
      </c>
      <c r="D2164" t="str">
        <f t="shared" si="835"/>
        <v>Capacity Building</v>
      </c>
      <c r="E2164" t="s">
        <v>6587</v>
      </c>
      <c r="F2164" t="s">
        <v>3301</v>
      </c>
      <c r="G2164" t="s">
        <v>6661</v>
      </c>
      <c r="H2164" t="s">
        <v>334</v>
      </c>
      <c r="I2164" s="32">
        <v>44931.64434027778</v>
      </c>
      <c r="J2164" s="32">
        <v>44932.64434027778</v>
      </c>
      <c r="K2164" s="32" t="s">
        <v>7473</v>
      </c>
      <c r="L2164" s="8" t="str">
        <f t="shared" si="836"/>
        <v/>
      </c>
      <c r="M2164" s="7">
        <v>44953.64434027778</v>
      </c>
      <c r="N2164" t="s">
        <v>49</v>
      </c>
      <c r="O2164" s="34">
        <v>44942.64434027778</v>
      </c>
      <c r="P2164" t="s">
        <v>50</v>
      </c>
      <c r="Q2164" t="s">
        <v>125</v>
      </c>
      <c r="R2164" s="32" t="s">
        <v>7472</v>
      </c>
      <c r="S2164" t="s">
        <v>7476</v>
      </c>
      <c r="T2164" s="34" t="s">
        <v>7476</v>
      </c>
      <c r="U2164" s="34" t="s">
        <v>7476</v>
      </c>
      <c r="V2164" s="32" t="s">
        <v>7476</v>
      </c>
      <c r="W2164" s="32" t="s">
        <v>7476</v>
      </c>
      <c r="X2164">
        <v>0</v>
      </c>
      <c r="Y2164" s="34" t="s">
        <v>7476</v>
      </c>
      <c r="Z2164" s="34" t="s">
        <v>7476</v>
      </c>
      <c r="AA2164" s="34" t="s">
        <v>7476</v>
      </c>
      <c r="AB2164" s="36" t="s">
        <v>52</v>
      </c>
      <c r="AD2164" t="s">
        <v>6719</v>
      </c>
      <c r="AE2164" t="s">
        <v>6720</v>
      </c>
      <c r="AF2164" s="16">
        <v>44929</v>
      </c>
      <c r="AG2164" t="s">
        <v>64</v>
      </c>
      <c r="AH2164">
        <v>3</v>
      </c>
      <c r="AK2164" s="38" t="str">
        <f t="shared" si="837"/>
        <v/>
      </c>
    </row>
    <row r="2165" spans="1:43" x14ac:dyDescent="0.35">
      <c r="A2165">
        <v>153</v>
      </c>
      <c r="B2165" t="s">
        <v>6721</v>
      </c>
      <c r="C2165" t="s">
        <v>6531</v>
      </c>
      <c r="D2165" t="str">
        <f t="shared" si="835"/>
        <v>Capacity Building</v>
      </c>
      <c r="E2165" t="s">
        <v>6587</v>
      </c>
      <c r="F2165" t="s">
        <v>3301</v>
      </c>
      <c r="G2165" t="s">
        <v>6661</v>
      </c>
      <c r="H2165" t="s">
        <v>334</v>
      </c>
      <c r="I2165" s="32">
        <v>44930.64434027778</v>
      </c>
      <c r="J2165" s="32">
        <v>44934.64434027778</v>
      </c>
      <c r="K2165" s="32">
        <v>44938.64434027778</v>
      </c>
      <c r="L2165" s="8">
        <f t="shared" si="836"/>
        <v>8</v>
      </c>
      <c r="M2165" s="7">
        <v>44955.64434027778</v>
      </c>
      <c r="N2165" t="s">
        <v>72</v>
      </c>
      <c r="O2165" s="34" t="s">
        <v>7474</v>
      </c>
      <c r="R2165" s="32" t="s">
        <v>7472</v>
      </c>
      <c r="S2165" t="s">
        <v>7476</v>
      </c>
      <c r="T2165" s="34" t="s">
        <v>7476</v>
      </c>
      <c r="U2165" s="34" t="s">
        <v>7476</v>
      </c>
      <c r="V2165" s="32" t="s">
        <v>7476</v>
      </c>
      <c r="W2165" s="32" t="s">
        <v>7476</v>
      </c>
      <c r="X2165">
        <v>0</v>
      </c>
      <c r="Y2165" s="34" t="s">
        <v>7476</v>
      </c>
      <c r="Z2165" s="34" t="s">
        <v>7476</v>
      </c>
      <c r="AA2165" s="34" t="s">
        <v>7476</v>
      </c>
      <c r="AB2165" s="36" t="s">
        <v>7476</v>
      </c>
      <c r="AD2165" t="s">
        <v>6722</v>
      </c>
      <c r="AE2165" t="s">
        <v>6723</v>
      </c>
      <c r="AG2165" t="s">
        <v>64</v>
      </c>
      <c r="AH2165">
        <v>6</v>
      </c>
      <c r="AI2165" s="8" t="str">
        <f t="shared" ref="AI2165:AI2173" si="862">IFERROR(R2165-AF2165,"")</f>
        <v/>
      </c>
      <c r="AJ2165" s="8" t="str">
        <f t="shared" ref="AJ2165:AJ2173" si="863">IFERROR(O2165-AF2165,"")</f>
        <v/>
      </c>
      <c r="AK2165" s="38" t="str">
        <f t="shared" si="837"/>
        <v/>
      </c>
      <c r="AL2165" t="str">
        <f t="shared" ref="AL2165:AL2173" si="864">IFERROR(Z2165-W2165,"")</f>
        <v/>
      </c>
      <c r="AM2165" t="str">
        <f t="shared" ref="AM2165:AM2173" si="865">IFERROR(R2165-J2165,"")</f>
        <v/>
      </c>
      <c r="AN2165" t="str">
        <f t="shared" ref="AN2165:AN2173" si="866">IFERROR(V2165-O2165,"")</f>
        <v/>
      </c>
      <c r="AO2165">
        <f t="shared" ref="AO2165:AO2173" si="867">IFERROR(J2165-I2165,"")</f>
        <v>4</v>
      </c>
      <c r="AP2165">
        <f t="shared" ref="AP2165:AP2173" si="868">IFERROR(AC2165-X2165,"")</f>
        <v>0</v>
      </c>
      <c r="AQ2165" t="str">
        <f t="shared" ref="AQ2165:AQ2173" si="869">IFERROR(AA2165-W2165,"")</f>
        <v/>
      </c>
    </row>
    <row r="2166" spans="1:43" x14ac:dyDescent="0.35">
      <c r="A2166">
        <v>142</v>
      </c>
      <c r="B2166" t="s">
        <v>6724</v>
      </c>
      <c r="C2166" t="s">
        <v>6550</v>
      </c>
      <c r="D2166" t="str">
        <f t="shared" si="835"/>
        <v>Capacity Building</v>
      </c>
      <c r="E2166" t="s">
        <v>6587</v>
      </c>
      <c r="F2166" t="s">
        <v>2314</v>
      </c>
      <c r="G2166" t="s">
        <v>6725</v>
      </c>
      <c r="H2166" t="s">
        <v>334</v>
      </c>
      <c r="I2166" s="32">
        <v>44628.982245370367</v>
      </c>
      <c r="J2166" s="32">
        <v>44632.982245370367</v>
      </c>
      <c r="K2166" s="32">
        <v>44636.982245370367</v>
      </c>
      <c r="L2166" s="8">
        <f t="shared" si="836"/>
        <v>8</v>
      </c>
      <c r="M2166" s="7">
        <v>44664.982245370367</v>
      </c>
      <c r="N2166" t="s">
        <v>49</v>
      </c>
      <c r="O2166" s="34">
        <v>44646.982245370367</v>
      </c>
      <c r="P2166" t="s">
        <v>392</v>
      </c>
      <c r="R2166" s="32">
        <v>44651.982245370367</v>
      </c>
      <c r="S2166" t="s">
        <v>392</v>
      </c>
      <c r="T2166" s="34" t="s">
        <v>7476</v>
      </c>
      <c r="U2166" s="34" t="s">
        <v>7476</v>
      </c>
      <c r="V2166" s="32">
        <v>44650.982245370367</v>
      </c>
      <c r="W2166" s="32" t="s">
        <v>7476</v>
      </c>
      <c r="X2166">
        <v>0</v>
      </c>
      <c r="Y2166" s="34" t="s">
        <v>7476</v>
      </c>
      <c r="Z2166" s="34" t="s">
        <v>7476</v>
      </c>
      <c r="AA2166" s="34" t="s">
        <v>7476</v>
      </c>
      <c r="AB2166" s="36" t="s">
        <v>7476</v>
      </c>
      <c r="AD2166" t="s">
        <v>6726</v>
      </c>
      <c r="AE2166" t="s">
        <v>6727</v>
      </c>
      <c r="AF2166" s="16">
        <v>44628</v>
      </c>
      <c r="AG2166" t="s">
        <v>64</v>
      </c>
      <c r="AH2166">
        <v>3</v>
      </c>
      <c r="AI2166" s="8">
        <f t="shared" si="862"/>
        <v>23.982245370367309</v>
      </c>
      <c r="AJ2166" s="8">
        <f t="shared" si="863"/>
        <v>18.982245370367309</v>
      </c>
      <c r="AK2166" s="38">
        <f t="shared" si="837"/>
        <v>44740.982245370367</v>
      </c>
      <c r="AL2166" t="str">
        <f t="shared" si="864"/>
        <v/>
      </c>
      <c r="AM2166">
        <f t="shared" si="865"/>
        <v>19</v>
      </c>
      <c r="AN2166">
        <f t="shared" si="866"/>
        <v>4</v>
      </c>
      <c r="AO2166">
        <f t="shared" si="867"/>
        <v>4</v>
      </c>
      <c r="AP2166">
        <f t="shared" si="868"/>
        <v>0</v>
      </c>
      <c r="AQ2166" t="str">
        <f t="shared" si="869"/>
        <v/>
      </c>
    </row>
    <row r="2167" spans="1:43" x14ac:dyDescent="0.35">
      <c r="A2167">
        <v>115</v>
      </c>
      <c r="B2167" t="s">
        <v>6728</v>
      </c>
      <c r="C2167" t="s">
        <v>6525</v>
      </c>
      <c r="D2167" t="str">
        <f t="shared" si="835"/>
        <v>Capacity Building</v>
      </c>
      <c r="E2167" t="s">
        <v>6587</v>
      </c>
      <c r="F2167" t="s">
        <v>2314</v>
      </c>
      <c r="G2167" t="s">
        <v>6725</v>
      </c>
      <c r="H2167" t="s">
        <v>334</v>
      </c>
      <c r="I2167" s="32">
        <v>44738.19809027778</v>
      </c>
      <c r="J2167" s="32">
        <v>44741.19809027778</v>
      </c>
      <c r="K2167" s="32">
        <v>44746.19809027778</v>
      </c>
      <c r="L2167" s="8">
        <f t="shared" si="836"/>
        <v>8</v>
      </c>
      <c r="M2167" s="7">
        <v>44774.19809027778</v>
      </c>
      <c r="N2167" t="s">
        <v>49</v>
      </c>
      <c r="O2167" s="34">
        <v>44760.19809027778</v>
      </c>
      <c r="P2167" t="s">
        <v>50</v>
      </c>
      <c r="Q2167" t="s">
        <v>236</v>
      </c>
      <c r="R2167" s="32" t="s">
        <v>7472</v>
      </c>
      <c r="S2167" t="s">
        <v>7476</v>
      </c>
      <c r="T2167" s="34" t="s">
        <v>7476</v>
      </c>
      <c r="U2167" s="34" t="s">
        <v>7476</v>
      </c>
      <c r="V2167" s="32" t="s">
        <v>7476</v>
      </c>
      <c r="W2167" s="32" t="s">
        <v>7476</v>
      </c>
      <c r="X2167">
        <v>0</v>
      </c>
      <c r="Y2167" s="34" t="s">
        <v>7476</v>
      </c>
      <c r="Z2167" s="34" t="s">
        <v>7476</v>
      </c>
      <c r="AA2167" s="34" t="s">
        <v>7476</v>
      </c>
      <c r="AB2167" s="36" t="s">
        <v>95</v>
      </c>
      <c r="AD2167" t="s">
        <v>6729</v>
      </c>
      <c r="AE2167" t="s">
        <v>6730</v>
      </c>
      <c r="AF2167" s="16">
        <v>44745</v>
      </c>
      <c r="AG2167" t="s">
        <v>68</v>
      </c>
      <c r="AH2167">
        <v>6</v>
      </c>
      <c r="AI2167" s="8" t="str">
        <f t="shared" si="862"/>
        <v/>
      </c>
      <c r="AJ2167" s="8">
        <f t="shared" si="863"/>
        <v>15.198090277779556</v>
      </c>
      <c r="AK2167" s="38" t="str">
        <f t="shared" si="837"/>
        <v/>
      </c>
      <c r="AL2167" t="str">
        <f t="shared" si="864"/>
        <v/>
      </c>
      <c r="AM2167" t="str">
        <f t="shared" si="865"/>
        <v/>
      </c>
      <c r="AN2167" t="str">
        <f t="shared" si="866"/>
        <v/>
      </c>
      <c r="AO2167">
        <f t="shared" si="867"/>
        <v>3</v>
      </c>
      <c r="AP2167">
        <f t="shared" si="868"/>
        <v>0</v>
      </c>
      <c r="AQ2167" t="str">
        <f t="shared" si="869"/>
        <v/>
      </c>
    </row>
    <row r="2168" spans="1:43" x14ac:dyDescent="0.35">
      <c r="A2168">
        <v>112</v>
      </c>
      <c r="B2168" t="s">
        <v>6731</v>
      </c>
      <c r="C2168" t="s">
        <v>6525</v>
      </c>
      <c r="D2168" t="str">
        <f t="shared" si="835"/>
        <v>Capacity Building</v>
      </c>
      <c r="E2168" t="s">
        <v>6587</v>
      </c>
      <c r="F2168" t="s">
        <v>2314</v>
      </c>
      <c r="G2168" t="s">
        <v>6725</v>
      </c>
      <c r="H2168" t="s">
        <v>334</v>
      </c>
      <c r="I2168" s="32">
        <v>44743.19809027778</v>
      </c>
      <c r="J2168" s="32">
        <v>44744.19809027778</v>
      </c>
      <c r="K2168" s="32">
        <v>44746.19809027778</v>
      </c>
      <c r="L2168" s="8">
        <f t="shared" si="836"/>
        <v>3</v>
      </c>
      <c r="M2168" s="7">
        <v>44773.19809027778</v>
      </c>
      <c r="N2168" t="s">
        <v>49</v>
      </c>
      <c r="O2168" s="34">
        <v>44752.19809027778</v>
      </c>
      <c r="P2168" t="s">
        <v>101</v>
      </c>
      <c r="R2168" s="32">
        <v>44758.19809027778</v>
      </c>
      <c r="S2168" t="s">
        <v>101</v>
      </c>
      <c r="T2168" s="34">
        <v>44753.19809027778</v>
      </c>
      <c r="U2168" s="34">
        <v>44757.19809027778</v>
      </c>
      <c r="V2168" s="32">
        <v>44754.19809027778</v>
      </c>
      <c r="W2168" s="32">
        <v>44755.19809027778</v>
      </c>
      <c r="X2168">
        <v>1</v>
      </c>
      <c r="Y2168" s="34">
        <v>44757.19809027778</v>
      </c>
      <c r="Z2168" s="34">
        <v>44758.19809027778</v>
      </c>
      <c r="AA2168" s="34">
        <v>44761.19809027778</v>
      </c>
      <c r="AB2168" s="36" t="s">
        <v>7476</v>
      </c>
      <c r="AC2168" s="10">
        <v>44782.19809027778</v>
      </c>
      <c r="AD2168" t="s">
        <v>6732</v>
      </c>
      <c r="AE2168" t="s">
        <v>6733</v>
      </c>
      <c r="AF2168" s="16">
        <v>44746</v>
      </c>
      <c r="AG2168" t="s">
        <v>64</v>
      </c>
      <c r="AH2168">
        <v>6</v>
      </c>
      <c r="AI2168" s="8">
        <f t="shared" si="862"/>
        <v>12.198090277779556</v>
      </c>
      <c r="AJ2168" s="8">
        <f t="shared" si="863"/>
        <v>6.1980902777795563</v>
      </c>
      <c r="AK2168" s="38">
        <f t="shared" si="837"/>
        <v>44934.19809027778</v>
      </c>
      <c r="AL2168">
        <f t="shared" si="864"/>
        <v>3</v>
      </c>
      <c r="AM2168">
        <f t="shared" si="865"/>
        <v>14</v>
      </c>
      <c r="AN2168">
        <f t="shared" si="866"/>
        <v>2</v>
      </c>
      <c r="AO2168">
        <f t="shared" si="867"/>
        <v>1</v>
      </c>
      <c r="AP2168">
        <f t="shared" si="868"/>
        <v>44781.19809027778</v>
      </c>
      <c r="AQ2168">
        <f t="shared" si="869"/>
        <v>6</v>
      </c>
    </row>
    <row r="2169" spans="1:43" x14ac:dyDescent="0.35">
      <c r="A2169">
        <v>60</v>
      </c>
      <c r="B2169" t="s">
        <v>6734</v>
      </c>
      <c r="C2169" t="s">
        <v>6531</v>
      </c>
      <c r="D2169" t="str">
        <f t="shared" si="835"/>
        <v>Capacity Building</v>
      </c>
      <c r="E2169" t="s">
        <v>6587</v>
      </c>
      <c r="F2169" t="s">
        <v>2314</v>
      </c>
      <c r="G2169" t="s">
        <v>6725</v>
      </c>
      <c r="H2169" t="s">
        <v>334</v>
      </c>
      <c r="I2169" s="32">
        <v>44773.01295138889</v>
      </c>
      <c r="J2169" s="32">
        <v>44776.01295138889</v>
      </c>
      <c r="K2169" s="32">
        <v>44777.01295138889</v>
      </c>
      <c r="L2169" s="8">
        <f t="shared" si="836"/>
        <v>4</v>
      </c>
      <c r="M2169" s="7">
        <v>44782.01295138889</v>
      </c>
      <c r="N2169" t="s">
        <v>72</v>
      </c>
      <c r="O2169" s="34" t="s">
        <v>7474</v>
      </c>
      <c r="R2169" s="32" t="s">
        <v>7472</v>
      </c>
      <c r="S2169" t="s">
        <v>7476</v>
      </c>
      <c r="T2169" s="34" t="s">
        <v>7476</v>
      </c>
      <c r="U2169" s="34" t="s">
        <v>7476</v>
      </c>
      <c r="V2169" s="32" t="s">
        <v>7476</v>
      </c>
      <c r="W2169" s="32" t="s">
        <v>7476</v>
      </c>
      <c r="X2169">
        <v>0</v>
      </c>
      <c r="Y2169" s="34" t="s">
        <v>7476</v>
      </c>
      <c r="Z2169" s="34" t="s">
        <v>7476</v>
      </c>
      <c r="AA2169" s="34" t="s">
        <v>7476</v>
      </c>
      <c r="AB2169" s="36" t="s">
        <v>7476</v>
      </c>
      <c r="AD2169" t="s">
        <v>6735</v>
      </c>
      <c r="AE2169" t="s">
        <v>6736</v>
      </c>
      <c r="AG2169" t="s">
        <v>68</v>
      </c>
      <c r="AH2169">
        <v>6</v>
      </c>
      <c r="AI2169" s="8" t="str">
        <f t="shared" si="862"/>
        <v/>
      </c>
      <c r="AJ2169" s="8" t="str">
        <f t="shared" si="863"/>
        <v/>
      </c>
      <c r="AK2169" s="38" t="str">
        <f t="shared" si="837"/>
        <v/>
      </c>
      <c r="AL2169" t="str">
        <f t="shared" si="864"/>
        <v/>
      </c>
      <c r="AM2169" t="str">
        <f t="shared" si="865"/>
        <v/>
      </c>
      <c r="AN2169" t="str">
        <f t="shared" si="866"/>
        <v/>
      </c>
      <c r="AO2169">
        <f t="shared" si="867"/>
        <v>3</v>
      </c>
      <c r="AP2169">
        <f t="shared" si="868"/>
        <v>0</v>
      </c>
      <c r="AQ2169" t="str">
        <f t="shared" si="869"/>
        <v/>
      </c>
    </row>
    <row r="2170" spans="1:43" x14ac:dyDescent="0.35">
      <c r="A2170">
        <v>59</v>
      </c>
      <c r="B2170" t="s">
        <v>6737</v>
      </c>
      <c r="C2170" t="s">
        <v>6550</v>
      </c>
      <c r="D2170" t="str">
        <f t="shared" si="835"/>
        <v>Capacity Building</v>
      </c>
      <c r="E2170" t="s">
        <v>6587</v>
      </c>
      <c r="F2170" t="s">
        <v>2314</v>
      </c>
      <c r="G2170" t="s">
        <v>6725</v>
      </c>
      <c r="H2170" t="s">
        <v>334</v>
      </c>
      <c r="I2170" s="32">
        <v>44771.01295138889</v>
      </c>
      <c r="J2170" s="32">
        <v>44772.01295138889</v>
      </c>
      <c r="K2170" s="32">
        <v>44777.01295138889</v>
      </c>
      <c r="L2170" s="8">
        <f t="shared" si="836"/>
        <v>6</v>
      </c>
      <c r="M2170" s="7">
        <v>44807.01295138889</v>
      </c>
      <c r="N2170" t="s">
        <v>49</v>
      </c>
      <c r="O2170" s="34">
        <v>44790.01295138889</v>
      </c>
      <c r="P2170" t="s">
        <v>50</v>
      </c>
      <c r="Q2170" t="s">
        <v>51</v>
      </c>
      <c r="R2170" s="32" t="s">
        <v>7472</v>
      </c>
      <c r="S2170" t="s">
        <v>7476</v>
      </c>
      <c r="T2170" s="34" t="s">
        <v>7476</v>
      </c>
      <c r="U2170" s="34" t="s">
        <v>7476</v>
      </c>
      <c r="V2170" s="32">
        <v>44793.01295138889</v>
      </c>
      <c r="W2170" s="32" t="s">
        <v>7476</v>
      </c>
      <c r="X2170">
        <v>0</v>
      </c>
      <c r="Y2170" s="34" t="s">
        <v>7476</v>
      </c>
      <c r="Z2170" s="34" t="s">
        <v>7476</v>
      </c>
      <c r="AA2170" s="34" t="s">
        <v>7476</v>
      </c>
      <c r="AB2170" s="36" t="s">
        <v>95</v>
      </c>
      <c r="AD2170" t="s">
        <v>6738</v>
      </c>
      <c r="AE2170" t="s">
        <v>6739</v>
      </c>
      <c r="AF2170" s="16">
        <v>44750</v>
      </c>
      <c r="AG2170" t="s">
        <v>64</v>
      </c>
      <c r="AH2170">
        <v>3</v>
      </c>
      <c r="AI2170" s="8" t="str">
        <f t="shared" si="862"/>
        <v/>
      </c>
      <c r="AJ2170" s="8">
        <f t="shared" si="863"/>
        <v>40.012951388889633</v>
      </c>
      <c r="AK2170" s="38">
        <f t="shared" si="837"/>
        <v>44883.01295138889</v>
      </c>
      <c r="AL2170" t="str">
        <f t="shared" si="864"/>
        <v/>
      </c>
      <c r="AM2170" t="str">
        <f t="shared" si="865"/>
        <v/>
      </c>
      <c r="AN2170">
        <f t="shared" si="866"/>
        <v>3</v>
      </c>
      <c r="AO2170">
        <f t="shared" si="867"/>
        <v>1</v>
      </c>
      <c r="AP2170">
        <f t="shared" si="868"/>
        <v>0</v>
      </c>
      <c r="AQ2170" t="str">
        <f t="shared" si="869"/>
        <v/>
      </c>
    </row>
    <row r="2171" spans="1:43" x14ac:dyDescent="0.35">
      <c r="A2171">
        <v>51</v>
      </c>
      <c r="B2171" t="s">
        <v>6740</v>
      </c>
      <c r="C2171" t="s">
        <v>6525</v>
      </c>
      <c r="D2171" t="str">
        <f t="shared" si="835"/>
        <v>Capacity Building</v>
      </c>
      <c r="E2171" t="s">
        <v>6587</v>
      </c>
      <c r="F2171" t="s">
        <v>2314</v>
      </c>
      <c r="G2171" t="s">
        <v>6725</v>
      </c>
      <c r="H2171" t="s">
        <v>334</v>
      </c>
      <c r="I2171" s="32">
        <v>44771.01295138889</v>
      </c>
      <c r="J2171" s="32">
        <v>44773.01295138889</v>
      </c>
      <c r="K2171" s="32">
        <v>44777.01295138889</v>
      </c>
      <c r="L2171" s="8">
        <f t="shared" si="836"/>
        <v>6</v>
      </c>
      <c r="M2171" s="7">
        <v>44788.01295138889</v>
      </c>
      <c r="N2171" t="s">
        <v>72</v>
      </c>
      <c r="O2171" s="34" t="s">
        <v>7474</v>
      </c>
      <c r="R2171" s="32" t="s">
        <v>7472</v>
      </c>
      <c r="S2171" t="s">
        <v>7476</v>
      </c>
      <c r="T2171" s="34" t="s">
        <v>7476</v>
      </c>
      <c r="U2171" s="34" t="s">
        <v>7476</v>
      </c>
      <c r="V2171" s="32" t="s">
        <v>7476</v>
      </c>
      <c r="W2171" s="32" t="s">
        <v>7476</v>
      </c>
      <c r="X2171">
        <v>0</v>
      </c>
      <c r="Y2171" s="34" t="s">
        <v>7476</v>
      </c>
      <c r="Z2171" s="34" t="s">
        <v>7476</v>
      </c>
      <c r="AA2171" s="34" t="s">
        <v>7476</v>
      </c>
      <c r="AB2171" s="36" t="s">
        <v>7476</v>
      </c>
      <c r="AD2171" t="s">
        <v>6741</v>
      </c>
      <c r="AE2171" t="s">
        <v>6742</v>
      </c>
      <c r="AG2171" t="s">
        <v>64</v>
      </c>
      <c r="AH2171">
        <v>3</v>
      </c>
      <c r="AI2171" s="8" t="str">
        <f t="shared" si="862"/>
        <v/>
      </c>
      <c r="AJ2171" s="8" t="str">
        <f t="shared" si="863"/>
        <v/>
      </c>
      <c r="AK2171" s="38" t="str">
        <f t="shared" si="837"/>
        <v/>
      </c>
      <c r="AL2171" t="str">
        <f t="shared" si="864"/>
        <v/>
      </c>
      <c r="AM2171" t="str">
        <f t="shared" si="865"/>
        <v/>
      </c>
      <c r="AN2171" t="str">
        <f t="shared" si="866"/>
        <v/>
      </c>
      <c r="AO2171">
        <f t="shared" si="867"/>
        <v>2</v>
      </c>
      <c r="AP2171">
        <f t="shared" si="868"/>
        <v>0</v>
      </c>
      <c r="AQ2171" t="str">
        <f t="shared" si="869"/>
        <v/>
      </c>
    </row>
    <row r="2172" spans="1:43" x14ac:dyDescent="0.35">
      <c r="A2172">
        <v>2952</v>
      </c>
      <c r="B2172" t="s">
        <v>6743</v>
      </c>
      <c r="C2172" t="s">
        <v>6550</v>
      </c>
      <c r="D2172" t="str">
        <f t="shared" si="835"/>
        <v>Capacity Building</v>
      </c>
      <c r="E2172" t="s">
        <v>6744</v>
      </c>
      <c r="F2172" t="s">
        <v>695</v>
      </c>
      <c r="G2172" t="s">
        <v>6745</v>
      </c>
      <c r="H2172" t="s">
        <v>697</v>
      </c>
      <c r="I2172" s="32">
        <v>45016.652233796303</v>
      </c>
      <c r="J2172" s="32">
        <v>45017.652233796303</v>
      </c>
      <c r="K2172" s="32">
        <v>45025.652233796303</v>
      </c>
      <c r="L2172" s="8">
        <f t="shared" si="836"/>
        <v>9</v>
      </c>
      <c r="M2172" s="7">
        <v>45070.652233796303</v>
      </c>
      <c r="N2172" t="s">
        <v>72</v>
      </c>
      <c r="O2172" s="34" t="s">
        <v>7474</v>
      </c>
      <c r="R2172" s="32" t="s">
        <v>7472</v>
      </c>
      <c r="S2172" t="s">
        <v>7476</v>
      </c>
      <c r="T2172" s="34" t="s">
        <v>7476</v>
      </c>
      <c r="U2172" s="34" t="s">
        <v>7476</v>
      </c>
      <c r="V2172" s="32" t="s">
        <v>7476</v>
      </c>
      <c r="W2172" s="32" t="s">
        <v>7476</v>
      </c>
      <c r="X2172">
        <v>0</v>
      </c>
      <c r="Y2172" s="34" t="s">
        <v>7476</v>
      </c>
      <c r="Z2172" s="34" t="s">
        <v>7476</v>
      </c>
      <c r="AA2172" s="34" t="s">
        <v>7476</v>
      </c>
      <c r="AB2172" s="36" t="s">
        <v>7476</v>
      </c>
      <c r="AD2172" t="s">
        <v>6746</v>
      </c>
      <c r="AE2172" t="s">
        <v>6747</v>
      </c>
      <c r="AG2172" t="s">
        <v>98</v>
      </c>
      <c r="AH2172">
        <v>6</v>
      </c>
      <c r="AI2172" s="8" t="str">
        <f t="shared" si="862"/>
        <v/>
      </c>
      <c r="AJ2172" s="8" t="str">
        <f t="shared" si="863"/>
        <v/>
      </c>
      <c r="AK2172" s="38" t="str">
        <f t="shared" si="837"/>
        <v/>
      </c>
      <c r="AL2172" t="str">
        <f t="shared" si="864"/>
        <v/>
      </c>
      <c r="AM2172" t="str">
        <f t="shared" si="865"/>
        <v/>
      </c>
      <c r="AN2172" t="str">
        <f t="shared" si="866"/>
        <v/>
      </c>
      <c r="AO2172">
        <f t="shared" si="867"/>
        <v>1</v>
      </c>
      <c r="AP2172">
        <f t="shared" si="868"/>
        <v>0</v>
      </c>
      <c r="AQ2172" t="str">
        <f t="shared" si="869"/>
        <v/>
      </c>
    </row>
    <row r="2173" spans="1:43" x14ac:dyDescent="0.35">
      <c r="A2173">
        <v>2934</v>
      </c>
      <c r="B2173" t="s">
        <v>6748</v>
      </c>
      <c r="C2173" t="s">
        <v>6525</v>
      </c>
      <c r="D2173" t="str">
        <f t="shared" si="835"/>
        <v>Capacity Building</v>
      </c>
      <c r="E2173" t="s">
        <v>6744</v>
      </c>
      <c r="F2173" t="s">
        <v>695</v>
      </c>
      <c r="G2173" t="s">
        <v>6745</v>
      </c>
      <c r="H2173" t="s">
        <v>697</v>
      </c>
      <c r="I2173" s="32">
        <v>44967.550104166658</v>
      </c>
      <c r="J2173" s="32">
        <v>44968.550104166658</v>
      </c>
      <c r="K2173" s="32">
        <v>44976.550104166658</v>
      </c>
      <c r="L2173" s="8">
        <f t="shared" si="836"/>
        <v>9</v>
      </c>
      <c r="M2173" s="7">
        <v>45021.550104166658</v>
      </c>
      <c r="N2173" t="s">
        <v>72</v>
      </c>
      <c r="O2173" s="34" t="s">
        <v>7474</v>
      </c>
      <c r="R2173" s="32" t="s">
        <v>7472</v>
      </c>
      <c r="S2173" t="s">
        <v>7476</v>
      </c>
      <c r="T2173" s="34" t="s">
        <v>7476</v>
      </c>
      <c r="U2173" s="34" t="s">
        <v>7476</v>
      </c>
      <c r="V2173" s="32" t="s">
        <v>7476</v>
      </c>
      <c r="W2173" s="32" t="s">
        <v>7476</v>
      </c>
      <c r="X2173">
        <v>0</v>
      </c>
      <c r="Y2173" s="34" t="s">
        <v>7476</v>
      </c>
      <c r="Z2173" s="34" t="s">
        <v>7476</v>
      </c>
      <c r="AA2173" s="34" t="s">
        <v>7476</v>
      </c>
      <c r="AB2173" s="36" t="s">
        <v>7476</v>
      </c>
      <c r="AD2173" t="s">
        <v>6749</v>
      </c>
      <c r="AE2173" t="s">
        <v>6750</v>
      </c>
      <c r="AG2173" t="s">
        <v>64</v>
      </c>
      <c r="AH2173">
        <v>3</v>
      </c>
      <c r="AI2173" s="8" t="str">
        <f t="shared" si="862"/>
        <v/>
      </c>
      <c r="AJ2173" s="8" t="str">
        <f t="shared" si="863"/>
        <v/>
      </c>
      <c r="AK2173" s="38" t="str">
        <f t="shared" si="837"/>
        <v/>
      </c>
      <c r="AL2173" t="str">
        <f t="shared" si="864"/>
        <v/>
      </c>
      <c r="AM2173" t="str">
        <f t="shared" si="865"/>
        <v/>
      </c>
      <c r="AN2173" t="str">
        <f t="shared" si="866"/>
        <v/>
      </c>
      <c r="AO2173">
        <f t="shared" si="867"/>
        <v>1</v>
      </c>
      <c r="AP2173">
        <f t="shared" si="868"/>
        <v>0</v>
      </c>
      <c r="AQ2173" t="str">
        <f t="shared" si="869"/>
        <v/>
      </c>
    </row>
    <row r="2174" spans="1:43" x14ac:dyDescent="0.35">
      <c r="A2174">
        <v>2805</v>
      </c>
      <c r="B2174" t="s">
        <v>6751</v>
      </c>
      <c r="C2174" t="s">
        <v>6531</v>
      </c>
      <c r="D2174" t="str">
        <f t="shared" si="835"/>
        <v>Capacity Building</v>
      </c>
      <c r="E2174" t="s">
        <v>6744</v>
      </c>
      <c r="F2174" t="s">
        <v>695</v>
      </c>
      <c r="G2174" t="s">
        <v>6745</v>
      </c>
      <c r="H2174" t="s">
        <v>697</v>
      </c>
      <c r="I2174" s="32">
        <v>45080.778425925928</v>
      </c>
      <c r="J2174" s="32">
        <v>45082.778425925928</v>
      </c>
      <c r="K2174" s="32" t="s">
        <v>7473</v>
      </c>
      <c r="L2174" s="8" t="str">
        <f t="shared" si="836"/>
        <v/>
      </c>
      <c r="M2174" s="7">
        <v>45100.778425925928</v>
      </c>
      <c r="N2174" t="s">
        <v>49</v>
      </c>
      <c r="O2174" s="34">
        <v>45100.778425925928</v>
      </c>
      <c r="P2174" t="s">
        <v>101</v>
      </c>
      <c r="R2174" s="32">
        <v>45104.778425925928</v>
      </c>
      <c r="S2174" t="s">
        <v>101</v>
      </c>
      <c r="T2174" s="34">
        <v>45101.778425925928</v>
      </c>
      <c r="U2174" s="34">
        <v>45104.778425925928</v>
      </c>
      <c r="V2174" s="32">
        <v>45101.778425925928</v>
      </c>
      <c r="W2174" s="32">
        <v>45111.778425925928</v>
      </c>
      <c r="X2174">
        <v>1</v>
      </c>
      <c r="Y2174" s="34">
        <v>45115.778425925928</v>
      </c>
      <c r="Z2174" s="34">
        <v>45118.778425925928</v>
      </c>
      <c r="AA2174" s="34">
        <v>45121.778425925928</v>
      </c>
      <c r="AB2174" s="36" t="s">
        <v>7476</v>
      </c>
      <c r="AC2174" s="10">
        <v>45142.778425925928</v>
      </c>
      <c r="AD2174" t="s">
        <v>6752</v>
      </c>
      <c r="AE2174" t="s">
        <v>6753</v>
      </c>
      <c r="AF2174" s="16">
        <v>45088</v>
      </c>
      <c r="AG2174" t="s">
        <v>75</v>
      </c>
      <c r="AH2174">
        <v>3</v>
      </c>
      <c r="AK2174" s="38">
        <f t="shared" si="837"/>
        <v>45191.778425925928</v>
      </c>
    </row>
    <row r="2175" spans="1:43" x14ac:dyDescent="0.35">
      <c r="A2175">
        <v>2798</v>
      </c>
      <c r="B2175" t="s">
        <v>6754</v>
      </c>
      <c r="C2175" t="s">
        <v>6525</v>
      </c>
      <c r="D2175" t="str">
        <f t="shared" si="835"/>
        <v>Capacity Building</v>
      </c>
      <c r="E2175" t="s">
        <v>6744</v>
      </c>
      <c r="F2175" t="s">
        <v>695</v>
      </c>
      <c r="G2175" t="s">
        <v>6745</v>
      </c>
      <c r="H2175" t="s">
        <v>697</v>
      </c>
      <c r="I2175" s="32">
        <v>45102.834444444437</v>
      </c>
      <c r="J2175" s="32">
        <v>45105.834444444437</v>
      </c>
      <c r="K2175" s="32">
        <v>45109.834444444437</v>
      </c>
      <c r="L2175" s="8">
        <f t="shared" si="836"/>
        <v>7</v>
      </c>
      <c r="M2175" s="7">
        <v>45121.834444444437</v>
      </c>
      <c r="N2175" t="s">
        <v>49</v>
      </c>
      <c r="O2175" s="34">
        <v>45111.834444444437</v>
      </c>
      <c r="P2175" t="s">
        <v>101</v>
      </c>
      <c r="R2175" s="32">
        <v>45114.834444444437</v>
      </c>
      <c r="S2175" t="s">
        <v>101</v>
      </c>
      <c r="T2175" s="34">
        <v>45112.834444444437</v>
      </c>
      <c r="U2175" s="34">
        <v>45116.834444444437</v>
      </c>
      <c r="V2175" s="32">
        <v>45112.834444444437</v>
      </c>
      <c r="W2175" s="32">
        <v>45118.834444444437</v>
      </c>
      <c r="X2175">
        <v>1</v>
      </c>
      <c r="Y2175" s="34">
        <v>45121.834444444437</v>
      </c>
      <c r="Z2175" s="34">
        <v>45122.834444444437</v>
      </c>
      <c r="AA2175" s="34">
        <v>45125.834444444437</v>
      </c>
      <c r="AB2175" s="36" t="s">
        <v>7476</v>
      </c>
      <c r="AC2175" s="10">
        <v>45143.834444444437</v>
      </c>
      <c r="AD2175" t="s">
        <v>6755</v>
      </c>
      <c r="AE2175" t="s">
        <v>6756</v>
      </c>
      <c r="AF2175" s="16">
        <v>45106</v>
      </c>
      <c r="AG2175" t="s">
        <v>98</v>
      </c>
      <c r="AH2175">
        <v>3</v>
      </c>
      <c r="AI2175" s="8">
        <f>IFERROR(R2175-AF2175,"")</f>
        <v>8.8344444444373948</v>
      </c>
      <c r="AJ2175" s="8">
        <f>IFERROR(O2175-AF2175,"")</f>
        <v>5.8344444444373948</v>
      </c>
      <c r="AK2175" s="38">
        <f t="shared" si="837"/>
        <v>45202.834444444437</v>
      </c>
      <c r="AL2175">
        <f>IFERROR(Z2175-W2175,"")</f>
        <v>4</v>
      </c>
      <c r="AM2175">
        <f>IFERROR(R2175-J2175,"")</f>
        <v>9</v>
      </c>
      <c r="AN2175">
        <f>IFERROR(V2175-O2175,"")</f>
        <v>1</v>
      </c>
      <c r="AO2175">
        <f>IFERROR(J2175-I2175,"")</f>
        <v>3</v>
      </c>
      <c r="AP2175">
        <f>IFERROR(AC2175-X2175,"")</f>
        <v>45142.834444444437</v>
      </c>
      <c r="AQ2175">
        <f>IFERROR(AA2175-W2175,"")</f>
        <v>7</v>
      </c>
    </row>
    <row r="2176" spans="1:43" x14ac:dyDescent="0.35">
      <c r="A2176">
        <v>2766</v>
      </c>
      <c r="B2176" t="s">
        <v>6757</v>
      </c>
      <c r="C2176" t="s">
        <v>6525</v>
      </c>
      <c r="D2176" t="str">
        <f t="shared" si="835"/>
        <v>Capacity Building</v>
      </c>
      <c r="E2176" t="s">
        <v>6744</v>
      </c>
      <c r="F2176" t="s">
        <v>695</v>
      </c>
      <c r="G2176" t="s">
        <v>6745</v>
      </c>
      <c r="H2176" t="s">
        <v>697</v>
      </c>
      <c r="I2176" s="32">
        <v>44807.301701388889</v>
      </c>
      <c r="J2176" s="32">
        <v>44808.301701388889</v>
      </c>
      <c r="K2176" s="32">
        <v>44813.301701388889</v>
      </c>
      <c r="L2176" s="8">
        <f t="shared" si="836"/>
        <v>6</v>
      </c>
      <c r="M2176" s="7">
        <v>44823.301701388889</v>
      </c>
      <c r="N2176" t="s">
        <v>49</v>
      </c>
      <c r="O2176" s="34">
        <v>44819.301701388889</v>
      </c>
      <c r="P2176" t="s">
        <v>101</v>
      </c>
      <c r="R2176" s="32">
        <v>44827.301701388889</v>
      </c>
      <c r="S2176" t="s">
        <v>101</v>
      </c>
      <c r="T2176" s="34">
        <v>44820.301701388889</v>
      </c>
      <c r="U2176" s="34">
        <v>44823.301701388889</v>
      </c>
      <c r="V2176" s="32">
        <v>44823.301701388889</v>
      </c>
      <c r="W2176" s="32">
        <v>44825.301701388889</v>
      </c>
      <c r="X2176">
        <v>1</v>
      </c>
      <c r="Y2176" s="34">
        <v>44829.301701388889</v>
      </c>
      <c r="Z2176" s="34">
        <v>44831.301701388889</v>
      </c>
      <c r="AA2176" s="34">
        <v>44833.301701388889</v>
      </c>
      <c r="AB2176" s="36" t="s">
        <v>7476</v>
      </c>
      <c r="AC2176" s="10">
        <v>44844.301701388889</v>
      </c>
      <c r="AD2176" t="s">
        <v>6758</v>
      </c>
      <c r="AE2176" t="s">
        <v>6759</v>
      </c>
      <c r="AF2176" s="16">
        <v>44803</v>
      </c>
      <c r="AG2176" t="s">
        <v>68</v>
      </c>
      <c r="AH2176">
        <v>6</v>
      </c>
      <c r="AI2176" s="8">
        <f>IFERROR(R2176-AF2176,"")</f>
        <v>24.301701388889342</v>
      </c>
      <c r="AJ2176" s="8">
        <f>IFERROR(O2176-AF2176,"")</f>
        <v>16.301701388889342</v>
      </c>
      <c r="AK2176" s="38">
        <f t="shared" si="837"/>
        <v>45003.301701388889</v>
      </c>
      <c r="AL2176">
        <f>IFERROR(Z2176-W2176,"")</f>
        <v>6</v>
      </c>
      <c r="AM2176">
        <f>IFERROR(R2176-J2176,"")</f>
        <v>19</v>
      </c>
      <c r="AN2176">
        <f>IFERROR(V2176-O2176,"")</f>
        <v>4</v>
      </c>
      <c r="AO2176">
        <f>IFERROR(J2176-I2176,"")</f>
        <v>1</v>
      </c>
      <c r="AP2176">
        <f>IFERROR(AC2176-X2176,"")</f>
        <v>44843.301701388889</v>
      </c>
      <c r="AQ2176">
        <f>IFERROR(AA2176-W2176,"")</f>
        <v>8</v>
      </c>
    </row>
    <row r="2177" spans="1:43" x14ac:dyDescent="0.35">
      <c r="A2177">
        <v>2705</v>
      </c>
      <c r="B2177" t="s">
        <v>6760</v>
      </c>
      <c r="C2177" t="s">
        <v>6525</v>
      </c>
      <c r="D2177" t="str">
        <f t="shared" si="835"/>
        <v>Capacity Building</v>
      </c>
      <c r="E2177" t="s">
        <v>6744</v>
      </c>
      <c r="F2177" t="s">
        <v>695</v>
      </c>
      <c r="G2177" t="s">
        <v>6745</v>
      </c>
      <c r="H2177" t="s">
        <v>697</v>
      </c>
      <c r="I2177" s="32">
        <v>44830.495787037027</v>
      </c>
      <c r="J2177" s="32">
        <v>44831.495787037027</v>
      </c>
      <c r="K2177" s="32" t="s">
        <v>7473</v>
      </c>
      <c r="L2177" s="8" t="str">
        <f t="shared" si="836"/>
        <v/>
      </c>
      <c r="M2177" s="7">
        <v>44864.495787037027</v>
      </c>
      <c r="N2177" t="s">
        <v>72</v>
      </c>
      <c r="O2177" s="34" t="s">
        <v>7474</v>
      </c>
      <c r="R2177" s="32" t="s">
        <v>7472</v>
      </c>
      <c r="S2177" t="s">
        <v>7476</v>
      </c>
      <c r="T2177" s="34" t="s">
        <v>7476</v>
      </c>
      <c r="U2177" s="34" t="s">
        <v>7476</v>
      </c>
      <c r="V2177" s="32" t="s">
        <v>7476</v>
      </c>
      <c r="W2177" s="32" t="s">
        <v>7476</v>
      </c>
      <c r="X2177">
        <v>0</v>
      </c>
      <c r="Y2177" s="34" t="s">
        <v>7476</v>
      </c>
      <c r="Z2177" s="34" t="s">
        <v>7476</v>
      </c>
      <c r="AA2177" s="34" t="s">
        <v>7476</v>
      </c>
      <c r="AB2177" s="36" t="s">
        <v>7476</v>
      </c>
      <c r="AD2177" t="s">
        <v>6761</v>
      </c>
      <c r="AE2177" t="s">
        <v>6762</v>
      </c>
      <c r="AG2177" t="s">
        <v>98</v>
      </c>
      <c r="AH2177">
        <v>3</v>
      </c>
      <c r="AK2177" s="38" t="str">
        <f t="shared" si="837"/>
        <v/>
      </c>
    </row>
    <row r="2178" spans="1:43" x14ac:dyDescent="0.35">
      <c r="A2178">
        <v>2615</v>
      </c>
      <c r="B2178" t="s">
        <v>6763</v>
      </c>
      <c r="C2178" t="s">
        <v>6525</v>
      </c>
      <c r="D2178" t="str">
        <f t="shared" ref="D2178:D2241" si="870">TRIM(C2178)</f>
        <v>Capacity Building</v>
      </c>
      <c r="E2178" t="s">
        <v>6744</v>
      </c>
      <c r="F2178" t="s">
        <v>695</v>
      </c>
      <c r="G2178" t="s">
        <v>6745</v>
      </c>
      <c r="H2178" t="s">
        <v>697</v>
      </c>
      <c r="I2178" s="32">
        <v>44931.379525462973</v>
      </c>
      <c r="J2178" s="32">
        <v>44933.379525462973</v>
      </c>
      <c r="K2178" s="32">
        <v>44936.379525462973</v>
      </c>
      <c r="L2178" s="8">
        <f t="shared" ref="L2178:L2241" si="871">IFERROR(K2178-I2178,"")</f>
        <v>5</v>
      </c>
      <c r="M2178" s="7">
        <v>44942.379525462973</v>
      </c>
      <c r="N2178" t="s">
        <v>72</v>
      </c>
      <c r="O2178" s="34" t="s">
        <v>7474</v>
      </c>
      <c r="R2178" s="32" t="s">
        <v>7472</v>
      </c>
      <c r="S2178" t="s">
        <v>7476</v>
      </c>
      <c r="T2178" s="34" t="s">
        <v>7476</v>
      </c>
      <c r="U2178" s="34" t="s">
        <v>7476</v>
      </c>
      <c r="V2178" s="32" t="s">
        <v>7476</v>
      </c>
      <c r="W2178" s="32" t="s">
        <v>7476</v>
      </c>
      <c r="X2178">
        <v>0</v>
      </c>
      <c r="Y2178" s="34" t="s">
        <v>7476</v>
      </c>
      <c r="Z2178" s="34" t="s">
        <v>7476</v>
      </c>
      <c r="AA2178" s="34" t="s">
        <v>7476</v>
      </c>
      <c r="AB2178" s="36" t="s">
        <v>7476</v>
      </c>
      <c r="AD2178" t="s">
        <v>6764</v>
      </c>
      <c r="AE2178" t="s">
        <v>6765</v>
      </c>
      <c r="AG2178" t="s">
        <v>68</v>
      </c>
      <c r="AH2178">
        <v>3</v>
      </c>
      <c r="AI2178" s="8" t="str">
        <f>IFERROR(R2178-AF2178,"")</f>
        <v/>
      </c>
      <c r="AJ2178" s="8" t="str">
        <f>IFERROR(O2178-AF2178,"")</f>
        <v/>
      </c>
      <c r="AK2178" s="38" t="str">
        <f t="shared" si="837"/>
        <v/>
      </c>
      <c r="AL2178" t="str">
        <f>IFERROR(Z2178-W2178,"")</f>
        <v/>
      </c>
      <c r="AM2178" t="str">
        <f>IFERROR(R2178-J2178,"")</f>
        <v/>
      </c>
      <c r="AN2178" t="str">
        <f>IFERROR(V2178-O2178,"")</f>
        <v/>
      </c>
      <c r="AO2178">
        <f>IFERROR(J2178-I2178,"")</f>
        <v>2</v>
      </c>
      <c r="AP2178">
        <f>IFERROR(AC2178-X2178,"")</f>
        <v>0</v>
      </c>
      <c r="AQ2178" t="str">
        <f>IFERROR(AA2178-W2178,"")</f>
        <v/>
      </c>
    </row>
    <row r="2179" spans="1:43" x14ac:dyDescent="0.35">
      <c r="A2179">
        <v>2611</v>
      </c>
      <c r="B2179" t="s">
        <v>6766</v>
      </c>
      <c r="C2179" t="s">
        <v>6531</v>
      </c>
      <c r="D2179" t="str">
        <f t="shared" si="870"/>
        <v>Capacity Building</v>
      </c>
      <c r="E2179" t="s">
        <v>6744</v>
      </c>
      <c r="F2179" t="s">
        <v>695</v>
      </c>
      <c r="G2179" t="s">
        <v>6745</v>
      </c>
      <c r="H2179" t="s">
        <v>697</v>
      </c>
      <c r="I2179" s="32">
        <v>44933.379525462973</v>
      </c>
      <c r="J2179" s="32">
        <v>44935.379525462973</v>
      </c>
      <c r="K2179" s="32" t="s">
        <v>7473</v>
      </c>
      <c r="L2179" s="8" t="str">
        <f t="shared" si="871"/>
        <v/>
      </c>
      <c r="M2179" s="7">
        <v>44945.379525462973</v>
      </c>
      <c r="N2179" t="s">
        <v>72</v>
      </c>
      <c r="O2179" s="34" t="s">
        <v>7474</v>
      </c>
      <c r="R2179" s="32" t="s">
        <v>7472</v>
      </c>
      <c r="S2179" t="s">
        <v>7476</v>
      </c>
      <c r="T2179" s="34" t="s">
        <v>7476</v>
      </c>
      <c r="U2179" s="34" t="s">
        <v>7476</v>
      </c>
      <c r="V2179" s="32" t="s">
        <v>7476</v>
      </c>
      <c r="W2179" s="32" t="s">
        <v>7476</v>
      </c>
      <c r="X2179">
        <v>0</v>
      </c>
      <c r="Y2179" s="34" t="s">
        <v>7476</v>
      </c>
      <c r="Z2179" s="34" t="s">
        <v>7476</v>
      </c>
      <c r="AA2179" s="34" t="s">
        <v>7476</v>
      </c>
      <c r="AB2179" s="36" t="s">
        <v>7476</v>
      </c>
      <c r="AD2179" t="s">
        <v>6767</v>
      </c>
      <c r="AE2179" t="s">
        <v>6768</v>
      </c>
      <c r="AG2179" t="s">
        <v>93</v>
      </c>
      <c r="AH2179">
        <v>6</v>
      </c>
      <c r="AK2179" s="38" t="str">
        <f t="shared" ref="AK2179:AK2242" si="872">IFERROR(V2179+(AH2179*30),"")</f>
        <v/>
      </c>
    </row>
    <row r="2180" spans="1:43" x14ac:dyDescent="0.35">
      <c r="A2180">
        <v>2575</v>
      </c>
      <c r="B2180" t="s">
        <v>6769</v>
      </c>
      <c r="C2180" t="s">
        <v>6525</v>
      </c>
      <c r="D2180" t="str">
        <f t="shared" si="870"/>
        <v>Capacity Building</v>
      </c>
      <c r="E2180" t="s">
        <v>6744</v>
      </c>
      <c r="F2180" t="s">
        <v>695</v>
      </c>
      <c r="G2180" t="s">
        <v>6745</v>
      </c>
      <c r="H2180" t="s">
        <v>697</v>
      </c>
      <c r="I2180" s="32">
        <v>44641.718425925923</v>
      </c>
      <c r="J2180" s="32">
        <v>44644.718425925923</v>
      </c>
      <c r="K2180" s="32">
        <v>44645.718425925923</v>
      </c>
      <c r="L2180" s="8">
        <f t="shared" si="871"/>
        <v>4</v>
      </c>
      <c r="M2180" s="7">
        <v>44665.718425925923</v>
      </c>
      <c r="N2180" t="s">
        <v>49</v>
      </c>
      <c r="O2180" s="34">
        <v>44650.718425925923</v>
      </c>
      <c r="P2180" t="s">
        <v>101</v>
      </c>
      <c r="R2180" s="32">
        <v>44656.718425925923</v>
      </c>
      <c r="S2180" t="s">
        <v>101</v>
      </c>
      <c r="T2180" s="34">
        <v>44651.718425925923</v>
      </c>
      <c r="U2180" s="34">
        <v>44655.718425925923</v>
      </c>
      <c r="V2180" s="32">
        <v>44654.718425925923</v>
      </c>
      <c r="W2180" s="32">
        <v>44655.718425925923</v>
      </c>
      <c r="X2180">
        <v>1</v>
      </c>
      <c r="Y2180" s="34">
        <v>44659.718425925923</v>
      </c>
      <c r="Z2180" s="34">
        <v>44661.718425925923</v>
      </c>
      <c r="AA2180" s="34">
        <v>44662.718425925923</v>
      </c>
      <c r="AB2180" s="36" t="s">
        <v>7476</v>
      </c>
      <c r="AC2180" s="10">
        <v>44673.718425925923</v>
      </c>
      <c r="AD2180" t="s">
        <v>6770</v>
      </c>
      <c r="AE2180" t="s">
        <v>6771</v>
      </c>
      <c r="AF2180" s="16">
        <v>44642</v>
      </c>
      <c r="AG2180" t="s">
        <v>64</v>
      </c>
      <c r="AH2180">
        <v>6</v>
      </c>
      <c r="AI2180" s="8">
        <f>IFERROR(R2180-AF2180,"")</f>
        <v>14.718425925922929</v>
      </c>
      <c r="AJ2180" s="8">
        <f>IFERROR(O2180-AF2180,"")</f>
        <v>8.7184259259229293</v>
      </c>
      <c r="AK2180" s="38">
        <f t="shared" si="872"/>
        <v>44834.718425925923</v>
      </c>
      <c r="AL2180">
        <f>IFERROR(Z2180-W2180,"")</f>
        <v>6</v>
      </c>
      <c r="AM2180">
        <f>IFERROR(R2180-J2180,"")</f>
        <v>12</v>
      </c>
      <c r="AN2180">
        <f>IFERROR(V2180-O2180,"")</f>
        <v>4</v>
      </c>
      <c r="AO2180">
        <f>IFERROR(J2180-I2180,"")</f>
        <v>3</v>
      </c>
      <c r="AP2180">
        <f>IFERROR(AC2180-X2180,"")</f>
        <v>44672.718425925923</v>
      </c>
      <c r="AQ2180">
        <f>IFERROR(AA2180-W2180,"")</f>
        <v>7</v>
      </c>
    </row>
    <row r="2181" spans="1:43" x14ac:dyDescent="0.35">
      <c r="A2181">
        <v>2523</v>
      </c>
      <c r="B2181" t="s">
        <v>6772</v>
      </c>
      <c r="C2181" t="s">
        <v>6525</v>
      </c>
      <c r="D2181" t="str">
        <f t="shared" si="870"/>
        <v>Capacity Building</v>
      </c>
      <c r="E2181" t="s">
        <v>6744</v>
      </c>
      <c r="F2181" t="s">
        <v>695</v>
      </c>
      <c r="G2181" t="s">
        <v>6745</v>
      </c>
      <c r="H2181" t="s">
        <v>697</v>
      </c>
      <c r="I2181" s="32">
        <v>45028.778819444437</v>
      </c>
      <c r="J2181" s="32">
        <v>45030.778819444437</v>
      </c>
      <c r="K2181" s="32" t="s">
        <v>7473</v>
      </c>
      <c r="L2181" s="8" t="str">
        <f t="shared" si="871"/>
        <v/>
      </c>
      <c r="M2181" s="7">
        <v>45041.778819444437</v>
      </c>
      <c r="N2181" t="s">
        <v>49</v>
      </c>
      <c r="O2181" s="34">
        <v>45047.778819444437</v>
      </c>
      <c r="P2181" t="s">
        <v>101</v>
      </c>
      <c r="R2181" s="32">
        <v>45054.778819444437</v>
      </c>
      <c r="S2181" t="s">
        <v>101</v>
      </c>
      <c r="T2181" s="34">
        <v>45048.778819444437</v>
      </c>
      <c r="U2181" s="34">
        <v>45049.778819444437</v>
      </c>
      <c r="V2181" s="32">
        <v>45050.778819444437</v>
      </c>
      <c r="W2181" s="32">
        <v>45053.778819444437</v>
      </c>
      <c r="X2181">
        <v>1</v>
      </c>
      <c r="Y2181" s="34">
        <v>45057.778819444437</v>
      </c>
      <c r="Z2181" s="34">
        <v>45058.778819444437</v>
      </c>
      <c r="AA2181" s="34">
        <v>45060.778819444437</v>
      </c>
      <c r="AB2181" s="36" t="s">
        <v>7476</v>
      </c>
      <c r="AC2181" s="10">
        <v>45069.778819444437</v>
      </c>
      <c r="AD2181" t="s">
        <v>6773</v>
      </c>
      <c r="AE2181" t="s">
        <v>6774</v>
      </c>
      <c r="AF2181" s="16">
        <v>45040</v>
      </c>
      <c r="AG2181" t="s">
        <v>98</v>
      </c>
      <c r="AH2181">
        <v>6</v>
      </c>
      <c r="AK2181" s="38">
        <f t="shared" si="872"/>
        <v>45230.778819444437</v>
      </c>
    </row>
    <row r="2182" spans="1:43" x14ac:dyDescent="0.35">
      <c r="A2182">
        <v>2134</v>
      </c>
      <c r="B2182" t="s">
        <v>6775</v>
      </c>
      <c r="C2182" t="s">
        <v>6550</v>
      </c>
      <c r="D2182" t="str">
        <f t="shared" si="870"/>
        <v>Capacity Building</v>
      </c>
      <c r="E2182" t="s">
        <v>6744</v>
      </c>
      <c r="F2182" t="s">
        <v>695</v>
      </c>
      <c r="G2182" t="s">
        <v>6745</v>
      </c>
      <c r="H2182" t="s">
        <v>697</v>
      </c>
      <c r="I2182" s="32">
        <v>44776.516493055547</v>
      </c>
      <c r="J2182" s="32">
        <v>44780.516493055547</v>
      </c>
      <c r="K2182" s="32">
        <v>44781.516493055547</v>
      </c>
      <c r="L2182" s="8">
        <f t="shared" si="871"/>
        <v>5</v>
      </c>
      <c r="M2182" s="7">
        <v>44802.516493055547</v>
      </c>
      <c r="N2182" t="s">
        <v>72</v>
      </c>
      <c r="O2182" s="34" t="s">
        <v>7474</v>
      </c>
      <c r="R2182" s="32" t="s">
        <v>7472</v>
      </c>
      <c r="S2182" t="s">
        <v>7476</v>
      </c>
      <c r="T2182" s="34" t="s">
        <v>7476</v>
      </c>
      <c r="U2182" s="34" t="s">
        <v>7476</v>
      </c>
      <c r="V2182" s="32" t="s">
        <v>7476</v>
      </c>
      <c r="W2182" s="32" t="s">
        <v>7476</v>
      </c>
      <c r="X2182">
        <v>0</v>
      </c>
      <c r="Y2182" s="34" t="s">
        <v>7476</v>
      </c>
      <c r="Z2182" s="34" t="s">
        <v>7476</v>
      </c>
      <c r="AA2182" s="34" t="s">
        <v>7476</v>
      </c>
      <c r="AB2182" s="36" t="s">
        <v>7476</v>
      </c>
      <c r="AD2182" t="s">
        <v>6776</v>
      </c>
      <c r="AE2182" t="s">
        <v>6777</v>
      </c>
      <c r="AG2182" t="s">
        <v>64</v>
      </c>
      <c r="AH2182">
        <v>3</v>
      </c>
      <c r="AI2182" s="8" t="str">
        <f>IFERROR(R2182-AF2182,"")</f>
        <v/>
      </c>
      <c r="AJ2182" s="8" t="str">
        <f>IFERROR(O2182-AF2182,"")</f>
        <v/>
      </c>
      <c r="AK2182" s="38" t="str">
        <f t="shared" si="872"/>
        <v/>
      </c>
      <c r="AL2182" t="str">
        <f>IFERROR(Z2182-W2182,"")</f>
        <v/>
      </c>
      <c r="AM2182" t="str">
        <f>IFERROR(R2182-J2182,"")</f>
        <v/>
      </c>
      <c r="AN2182" t="str">
        <f>IFERROR(V2182-O2182,"")</f>
        <v/>
      </c>
      <c r="AO2182">
        <f>IFERROR(J2182-I2182,"")</f>
        <v>4</v>
      </c>
      <c r="AP2182">
        <f>IFERROR(AC2182-X2182,"")</f>
        <v>0</v>
      </c>
      <c r="AQ2182" t="str">
        <f>IFERROR(AA2182-W2182,"")</f>
        <v/>
      </c>
    </row>
    <row r="2183" spans="1:43" x14ac:dyDescent="0.35">
      <c r="A2183">
        <v>2102</v>
      </c>
      <c r="B2183" t="s">
        <v>6778</v>
      </c>
      <c r="C2183" t="s">
        <v>6525</v>
      </c>
      <c r="D2183" t="str">
        <f t="shared" si="870"/>
        <v>Capacity Building</v>
      </c>
      <c r="E2183" t="s">
        <v>6744</v>
      </c>
      <c r="F2183" t="s">
        <v>695</v>
      </c>
      <c r="G2183" t="s">
        <v>6745</v>
      </c>
      <c r="H2183" t="s">
        <v>697</v>
      </c>
      <c r="I2183" s="32">
        <v>44686.022326388891</v>
      </c>
      <c r="J2183" s="32">
        <v>44690.022326388891</v>
      </c>
      <c r="K2183" s="32">
        <v>44692.022326388891</v>
      </c>
      <c r="L2183" s="8">
        <f t="shared" si="871"/>
        <v>6</v>
      </c>
      <c r="M2183" s="7">
        <v>44717.022326388891</v>
      </c>
      <c r="N2183" t="s">
        <v>72</v>
      </c>
      <c r="O2183" s="34" t="s">
        <v>7474</v>
      </c>
      <c r="R2183" s="32" t="s">
        <v>7472</v>
      </c>
      <c r="S2183" t="s">
        <v>7476</v>
      </c>
      <c r="T2183" s="34" t="s">
        <v>7476</v>
      </c>
      <c r="U2183" s="34" t="s">
        <v>7476</v>
      </c>
      <c r="V2183" s="32" t="s">
        <v>7476</v>
      </c>
      <c r="W2183" s="32" t="s">
        <v>7476</v>
      </c>
      <c r="X2183">
        <v>0</v>
      </c>
      <c r="Y2183" s="34" t="s">
        <v>7476</v>
      </c>
      <c r="Z2183" s="34" t="s">
        <v>7476</v>
      </c>
      <c r="AA2183" s="34" t="s">
        <v>7476</v>
      </c>
      <c r="AB2183" s="36" t="s">
        <v>7476</v>
      </c>
      <c r="AD2183" t="s">
        <v>6779</v>
      </c>
      <c r="AE2183" t="s">
        <v>6780</v>
      </c>
      <c r="AG2183" t="s">
        <v>68</v>
      </c>
      <c r="AH2183">
        <v>3</v>
      </c>
      <c r="AI2183" s="8" t="str">
        <f>IFERROR(R2183-AF2183,"")</f>
        <v/>
      </c>
      <c r="AJ2183" s="8" t="str">
        <f>IFERROR(O2183-AF2183,"")</f>
        <v/>
      </c>
      <c r="AK2183" s="38" t="str">
        <f t="shared" si="872"/>
        <v/>
      </c>
      <c r="AL2183" t="str">
        <f>IFERROR(Z2183-W2183,"")</f>
        <v/>
      </c>
      <c r="AM2183" t="str">
        <f>IFERROR(R2183-J2183,"")</f>
        <v/>
      </c>
      <c r="AN2183" t="str">
        <f>IFERROR(V2183-O2183,"")</f>
        <v/>
      </c>
      <c r="AO2183">
        <f>IFERROR(J2183-I2183,"")</f>
        <v>4</v>
      </c>
      <c r="AP2183">
        <f>IFERROR(AC2183-X2183,"")</f>
        <v>0</v>
      </c>
      <c r="AQ2183" t="str">
        <f>IFERROR(AA2183-W2183,"")</f>
        <v/>
      </c>
    </row>
    <row r="2184" spans="1:43" x14ac:dyDescent="0.35">
      <c r="A2184">
        <v>2039</v>
      </c>
      <c r="B2184" t="s">
        <v>6781</v>
      </c>
      <c r="C2184" t="s">
        <v>6525</v>
      </c>
      <c r="D2184" t="str">
        <f t="shared" si="870"/>
        <v>Capacity Building</v>
      </c>
      <c r="E2184" t="s">
        <v>6744</v>
      </c>
      <c r="F2184" t="s">
        <v>695</v>
      </c>
      <c r="G2184" t="s">
        <v>6745</v>
      </c>
      <c r="H2184" t="s">
        <v>697</v>
      </c>
      <c r="I2184" s="32">
        <v>44645.861122685194</v>
      </c>
      <c r="J2184" s="32" t="s">
        <v>7471</v>
      </c>
      <c r="K2184" s="32">
        <v>44652.861122685194</v>
      </c>
      <c r="L2184" s="8">
        <f t="shared" si="871"/>
        <v>7</v>
      </c>
      <c r="M2184" s="7">
        <v>44676.861122685194</v>
      </c>
      <c r="N2184" t="s">
        <v>72</v>
      </c>
      <c r="O2184" s="34" t="s">
        <v>7474</v>
      </c>
      <c r="R2184" s="32" t="s">
        <v>7472</v>
      </c>
      <c r="S2184" t="s">
        <v>7476</v>
      </c>
      <c r="T2184" s="34" t="s">
        <v>7476</v>
      </c>
      <c r="U2184" s="34" t="s">
        <v>7476</v>
      </c>
      <c r="V2184" s="32" t="s">
        <v>7476</v>
      </c>
      <c r="W2184" s="32" t="s">
        <v>7476</v>
      </c>
      <c r="X2184">
        <v>0</v>
      </c>
      <c r="Y2184" s="34" t="s">
        <v>7476</v>
      </c>
      <c r="Z2184" s="34" t="s">
        <v>7476</v>
      </c>
      <c r="AA2184" s="34" t="s">
        <v>7476</v>
      </c>
      <c r="AB2184" s="36" t="s">
        <v>7476</v>
      </c>
      <c r="AD2184" t="s">
        <v>6782</v>
      </c>
      <c r="AE2184" t="s">
        <v>6783</v>
      </c>
      <c r="AG2184" t="s">
        <v>75</v>
      </c>
      <c r="AH2184">
        <v>3</v>
      </c>
      <c r="AK2184" s="38" t="str">
        <f t="shared" si="872"/>
        <v/>
      </c>
    </row>
    <row r="2185" spans="1:43" x14ac:dyDescent="0.35">
      <c r="A2185">
        <v>1718</v>
      </c>
      <c r="B2185" t="s">
        <v>6784</v>
      </c>
      <c r="C2185" t="s">
        <v>6550</v>
      </c>
      <c r="D2185" t="str">
        <f t="shared" si="870"/>
        <v>Capacity Building</v>
      </c>
      <c r="E2185" t="s">
        <v>6744</v>
      </c>
      <c r="F2185" t="s">
        <v>695</v>
      </c>
      <c r="G2185" t="s">
        <v>6745</v>
      </c>
      <c r="H2185" t="s">
        <v>697</v>
      </c>
      <c r="I2185" s="32">
        <v>44561.077685185177</v>
      </c>
      <c r="J2185" s="32">
        <v>44564.077685185177</v>
      </c>
      <c r="K2185" s="32">
        <v>44568.077685185177</v>
      </c>
      <c r="L2185" s="8">
        <f t="shared" si="871"/>
        <v>7</v>
      </c>
      <c r="M2185" s="7">
        <v>44594.077685185177</v>
      </c>
      <c r="N2185" t="s">
        <v>72</v>
      </c>
      <c r="O2185" s="34" t="s">
        <v>7474</v>
      </c>
      <c r="R2185" s="32" t="s">
        <v>7472</v>
      </c>
      <c r="S2185" t="s">
        <v>7476</v>
      </c>
      <c r="T2185" s="34" t="s">
        <v>7476</v>
      </c>
      <c r="U2185" s="34" t="s">
        <v>7476</v>
      </c>
      <c r="V2185" s="32" t="s">
        <v>7476</v>
      </c>
      <c r="W2185" s="32" t="s">
        <v>7476</v>
      </c>
      <c r="X2185">
        <v>0</v>
      </c>
      <c r="Y2185" s="34" t="s">
        <v>7476</v>
      </c>
      <c r="Z2185" s="34" t="s">
        <v>7476</v>
      </c>
      <c r="AA2185" s="34" t="s">
        <v>7476</v>
      </c>
      <c r="AB2185" s="36" t="s">
        <v>7476</v>
      </c>
      <c r="AD2185" t="s">
        <v>6785</v>
      </c>
      <c r="AE2185" t="s">
        <v>6786</v>
      </c>
      <c r="AG2185" t="s">
        <v>98</v>
      </c>
      <c r="AH2185">
        <v>3</v>
      </c>
      <c r="AI2185" s="8" t="str">
        <f>IFERROR(R2185-AF2185,"")</f>
        <v/>
      </c>
      <c r="AJ2185" s="8" t="str">
        <f>IFERROR(O2185-AF2185,"")</f>
        <v/>
      </c>
      <c r="AK2185" s="38" t="str">
        <f t="shared" si="872"/>
        <v/>
      </c>
      <c r="AL2185" t="str">
        <f>IFERROR(Z2185-W2185,"")</f>
        <v/>
      </c>
      <c r="AM2185" t="str">
        <f>IFERROR(R2185-J2185,"")</f>
        <v/>
      </c>
      <c r="AN2185" t="str">
        <f>IFERROR(V2185-O2185,"")</f>
        <v/>
      </c>
      <c r="AO2185">
        <f>IFERROR(J2185-I2185,"")</f>
        <v>3</v>
      </c>
      <c r="AP2185">
        <f>IFERROR(AC2185-X2185,"")</f>
        <v>0</v>
      </c>
      <c r="AQ2185" t="str">
        <f>IFERROR(AA2185-W2185,"")</f>
        <v/>
      </c>
    </row>
    <row r="2186" spans="1:43" x14ac:dyDescent="0.35">
      <c r="A2186">
        <v>1716</v>
      </c>
      <c r="B2186" t="s">
        <v>6787</v>
      </c>
      <c r="C2186" t="s">
        <v>6525</v>
      </c>
      <c r="D2186" t="str">
        <f t="shared" si="870"/>
        <v>Capacity Building</v>
      </c>
      <c r="E2186" t="s">
        <v>6744</v>
      </c>
      <c r="F2186" t="s">
        <v>695</v>
      </c>
      <c r="G2186" t="s">
        <v>6745</v>
      </c>
      <c r="H2186" t="s">
        <v>697</v>
      </c>
      <c r="I2186" s="32">
        <v>44563.077685185177</v>
      </c>
      <c r="J2186" s="32">
        <v>44566.077685185177</v>
      </c>
      <c r="K2186" s="32" t="s">
        <v>7473</v>
      </c>
      <c r="L2186" s="8" t="str">
        <f t="shared" si="871"/>
        <v/>
      </c>
      <c r="M2186" s="7">
        <v>44577.077685185177</v>
      </c>
      <c r="N2186" t="s">
        <v>72</v>
      </c>
      <c r="O2186" s="34" t="s">
        <v>7474</v>
      </c>
      <c r="R2186" s="32" t="s">
        <v>7472</v>
      </c>
      <c r="S2186" t="s">
        <v>7476</v>
      </c>
      <c r="T2186" s="34" t="s">
        <v>7476</v>
      </c>
      <c r="U2186" s="34" t="s">
        <v>7476</v>
      </c>
      <c r="V2186" s="32" t="s">
        <v>7476</v>
      </c>
      <c r="W2186" s="32" t="s">
        <v>7476</v>
      </c>
      <c r="X2186">
        <v>0</v>
      </c>
      <c r="Y2186" s="34" t="s">
        <v>7476</v>
      </c>
      <c r="Z2186" s="34" t="s">
        <v>7476</v>
      </c>
      <c r="AA2186" s="34" t="s">
        <v>7476</v>
      </c>
      <c r="AB2186" s="36" t="s">
        <v>7476</v>
      </c>
      <c r="AD2186" t="s">
        <v>6788</v>
      </c>
      <c r="AE2186" t="s">
        <v>6789</v>
      </c>
      <c r="AG2186" t="s">
        <v>55</v>
      </c>
      <c r="AH2186">
        <v>6</v>
      </c>
      <c r="AK2186" s="38" t="str">
        <f t="shared" si="872"/>
        <v/>
      </c>
    </row>
    <row r="2187" spans="1:43" x14ac:dyDescent="0.35">
      <c r="A2187">
        <v>1713</v>
      </c>
      <c r="B2187" t="s">
        <v>6790</v>
      </c>
      <c r="C2187" t="s">
        <v>6550</v>
      </c>
      <c r="D2187" t="str">
        <f t="shared" si="870"/>
        <v>Capacity Building</v>
      </c>
      <c r="E2187" t="s">
        <v>6744</v>
      </c>
      <c r="F2187" t="s">
        <v>695</v>
      </c>
      <c r="G2187" t="s">
        <v>6745</v>
      </c>
      <c r="H2187" t="s">
        <v>697</v>
      </c>
      <c r="I2187" s="32">
        <v>44563.077685185177</v>
      </c>
      <c r="J2187" s="32">
        <v>44566.077685185177</v>
      </c>
      <c r="K2187" s="32">
        <v>44568.077685185177</v>
      </c>
      <c r="L2187" s="8">
        <f t="shared" si="871"/>
        <v>5</v>
      </c>
      <c r="M2187" s="7">
        <v>44598.077685185177</v>
      </c>
      <c r="N2187" t="s">
        <v>72</v>
      </c>
      <c r="O2187" s="34" t="s">
        <v>7474</v>
      </c>
      <c r="R2187" s="32" t="s">
        <v>7472</v>
      </c>
      <c r="S2187" t="s">
        <v>7476</v>
      </c>
      <c r="T2187" s="34" t="s">
        <v>7476</v>
      </c>
      <c r="U2187" s="34" t="s">
        <v>7476</v>
      </c>
      <c r="V2187" s="32" t="s">
        <v>7476</v>
      </c>
      <c r="W2187" s="32" t="s">
        <v>7476</v>
      </c>
      <c r="X2187">
        <v>0</v>
      </c>
      <c r="Y2187" s="34" t="s">
        <v>7476</v>
      </c>
      <c r="Z2187" s="34" t="s">
        <v>7476</v>
      </c>
      <c r="AA2187" s="34" t="s">
        <v>7476</v>
      </c>
      <c r="AB2187" s="36" t="s">
        <v>7476</v>
      </c>
      <c r="AD2187" t="s">
        <v>6791</v>
      </c>
      <c r="AE2187" t="s">
        <v>6792</v>
      </c>
      <c r="AG2187" t="s">
        <v>68</v>
      </c>
      <c r="AH2187">
        <v>6</v>
      </c>
      <c r="AI2187" s="8" t="str">
        <f>IFERROR(R2187-AF2187,"")</f>
        <v/>
      </c>
      <c r="AJ2187" s="8" t="str">
        <f>IFERROR(O2187-AF2187,"")</f>
        <v/>
      </c>
      <c r="AK2187" s="38" t="str">
        <f t="shared" si="872"/>
        <v/>
      </c>
      <c r="AL2187" t="str">
        <f>IFERROR(Z2187-W2187,"")</f>
        <v/>
      </c>
      <c r="AM2187" t="str">
        <f>IFERROR(R2187-J2187,"")</f>
        <v/>
      </c>
      <c r="AN2187" t="str">
        <f>IFERROR(V2187-O2187,"")</f>
        <v/>
      </c>
      <c r="AO2187">
        <f>IFERROR(J2187-I2187,"")</f>
        <v>3</v>
      </c>
      <c r="AP2187">
        <f>IFERROR(AC2187-X2187,"")</f>
        <v>0</v>
      </c>
      <c r="AQ2187" t="str">
        <f>IFERROR(AA2187-W2187,"")</f>
        <v/>
      </c>
    </row>
    <row r="2188" spans="1:43" x14ac:dyDescent="0.35">
      <c r="A2188">
        <v>1461</v>
      </c>
      <c r="B2188" t="s">
        <v>6793</v>
      </c>
      <c r="C2188" t="s">
        <v>6531</v>
      </c>
      <c r="D2188" t="str">
        <f t="shared" si="870"/>
        <v>Capacity Building</v>
      </c>
      <c r="E2188" t="s">
        <v>6744</v>
      </c>
      <c r="F2188" t="s">
        <v>695</v>
      </c>
      <c r="G2188" t="s">
        <v>6745</v>
      </c>
      <c r="H2188" t="s">
        <v>697</v>
      </c>
      <c r="I2188" s="32">
        <v>45005.141805555562</v>
      </c>
      <c r="J2188" s="32">
        <v>45006.141805555562</v>
      </c>
      <c r="K2188" s="32">
        <v>45008.141805555562</v>
      </c>
      <c r="L2188" s="8">
        <f t="shared" si="871"/>
        <v>3</v>
      </c>
      <c r="M2188" s="7">
        <v>45022.141805555562</v>
      </c>
      <c r="N2188" t="s">
        <v>49</v>
      </c>
      <c r="O2188" s="34">
        <v>45024.141805555562</v>
      </c>
      <c r="P2188" t="s">
        <v>101</v>
      </c>
      <c r="R2188" s="32">
        <v>45028.141805555562</v>
      </c>
      <c r="S2188" t="s">
        <v>101</v>
      </c>
      <c r="T2188" s="34">
        <v>45025.141805555562</v>
      </c>
      <c r="U2188" s="34">
        <v>45029.141805555562</v>
      </c>
      <c r="V2188" s="32">
        <v>45025.141805555562</v>
      </c>
      <c r="W2188" s="32">
        <v>45030.141805555562</v>
      </c>
      <c r="X2188">
        <v>1</v>
      </c>
      <c r="Y2188" s="34">
        <v>45034.141805555562</v>
      </c>
      <c r="Z2188" s="34">
        <v>45035.141805555562</v>
      </c>
      <c r="AA2188" s="34">
        <v>45037.141805555562</v>
      </c>
      <c r="AB2188" s="36" t="s">
        <v>7476</v>
      </c>
      <c r="AC2188" s="10">
        <v>45053.141805555562</v>
      </c>
      <c r="AD2188" t="s">
        <v>6794</v>
      </c>
      <c r="AE2188" t="s">
        <v>6795</v>
      </c>
      <c r="AF2188" s="16">
        <v>45005</v>
      </c>
      <c r="AG2188" t="s">
        <v>68</v>
      </c>
      <c r="AH2188">
        <v>3</v>
      </c>
      <c r="AI2188" s="8">
        <f>IFERROR(R2188-AF2188,"")</f>
        <v>23.141805555562314</v>
      </c>
      <c r="AJ2188" s="8">
        <f>IFERROR(O2188-AF2188,"")</f>
        <v>19.141805555562314</v>
      </c>
      <c r="AK2188" s="38">
        <f t="shared" si="872"/>
        <v>45115.141805555562</v>
      </c>
      <c r="AL2188">
        <f>IFERROR(Z2188-W2188,"")</f>
        <v>5</v>
      </c>
      <c r="AM2188">
        <f>IFERROR(R2188-J2188,"")</f>
        <v>22</v>
      </c>
      <c r="AN2188">
        <f>IFERROR(V2188-O2188,"")</f>
        <v>1</v>
      </c>
      <c r="AO2188">
        <f>IFERROR(J2188-I2188,"")</f>
        <v>1</v>
      </c>
      <c r="AP2188">
        <f>IFERROR(AC2188-X2188,"")</f>
        <v>45052.141805555562</v>
      </c>
      <c r="AQ2188">
        <f>IFERROR(AA2188-W2188,"")</f>
        <v>7</v>
      </c>
    </row>
    <row r="2189" spans="1:43" x14ac:dyDescent="0.35">
      <c r="A2189">
        <v>1246</v>
      </c>
      <c r="B2189" t="s">
        <v>6796</v>
      </c>
      <c r="C2189" t="s">
        <v>6531</v>
      </c>
      <c r="D2189" t="str">
        <f t="shared" si="870"/>
        <v>Capacity Building</v>
      </c>
      <c r="E2189" t="s">
        <v>6744</v>
      </c>
      <c r="F2189" t="s">
        <v>695</v>
      </c>
      <c r="G2189" t="s">
        <v>6745</v>
      </c>
      <c r="H2189" t="s">
        <v>697</v>
      </c>
      <c r="I2189" s="32">
        <v>44736.839942129627</v>
      </c>
      <c r="J2189" s="32">
        <v>44738.839942129627</v>
      </c>
      <c r="K2189" s="32">
        <v>44741.839942129627</v>
      </c>
      <c r="L2189" s="8">
        <f t="shared" si="871"/>
        <v>5</v>
      </c>
      <c r="M2189" s="7">
        <v>44771.839942129627</v>
      </c>
      <c r="N2189" t="s">
        <v>49</v>
      </c>
      <c r="O2189" s="34">
        <v>44746.839942129627</v>
      </c>
      <c r="P2189" t="s">
        <v>101</v>
      </c>
      <c r="R2189" s="32">
        <v>44750.839942129627</v>
      </c>
      <c r="S2189" t="s">
        <v>101</v>
      </c>
      <c r="T2189" s="34">
        <v>44748.839942129627</v>
      </c>
      <c r="U2189" s="34">
        <v>44752.839942129627</v>
      </c>
      <c r="V2189" s="32">
        <v>44748.839942129627</v>
      </c>
      <c r="W2189" s="32">
        <v>44749.839942129627</v>
      </c>
      <c r="X2189">
        <v>1</v>
      </c>
      <c r="Y2189" s="34">
        <v>44751.839942129627</v>
      </c>
      <c r="Z2189" s="34">
        <v>44754.839942129627</v>
      </c>
      <c r="AA2189" s="34">
        <v>44757.839942129627</v>
      </c>
      <c r="AB2189" s="36" t="s">
        <v>7476</v>
      </c>
      <c r="AC2189" s="10">
        <v>44770.839942129627</v>
      </c>
      <c r="AD2189" t="s">
        <v>6797</v>
      </c>
      <c r="AE2189" t="s">
        <v>6798</v>
      </c>
      <c r="AF2189" s="16">
        <v>44731</v>
      </c>
      <c r="AG2189" t="s">
        <v>98</v>
      </c>
      <c r="AH2189">
        <v>6</v>
      </c>
      <c r="AI2189" s="8">
        <f>IFERROR(R2189-AF2189,"")</f>
        <v>19.839942129627161</v>
      </c>
      <c r="AJ2189" s="8">
        <f>IFERROR(O2189-AF2189,"")</f>
        <v>15.839942129627161</v>
      </c>
      <c r="AK2189" s="38">
        <f t="shared" si="872"/>
        <v>44928.839942129627</v>
      </c>
      <c r="AL2189">
        <f>IFERROR(Z2189-W2189,"")</f>
        <v>5</v>
      </c>
      <c r="AM2189">
        <f>IFERROR(R2189-J2189,"")</f>
        <v>12</v>
      </c>
      <c r="AN2189">
        <f>IFERROR(V2189-O2189,"")</f>
        <v>2</v>
      </c>
      <c r="AO2189">
        <f>IFERROR(J2189-I2189,"")</f>
        <v>2</v>
      </c>
      <c r="AP2189">
        <f>IFERROR(AC2189-X2189,"")</f>
        <v>44769.839942129627</v>
      </c>
      <c r="AQ2189">
        <f>IFERROR(AA2189-W2189,"")</f>
        <v>8</v>
      </c>
    </row>
    <row r="2190" spans="1:43" x14ac:dyDescent="0.35">
      <c r="A2190">
        <v>1241</v>
      </c>
      <c r="B2190" t="s">
        <v>6799</v>
      </c>
      <c r="C2190" t="s">
        <v>6550</v>
      </c>
      <c r="D2190" t="str">
        <f t="shared" si="870"/>
        <v>Capacity Building</v>
      </c>
      <c r="E2190" t="s">
        <v>6744</v>
      </c>
      <c r="F2190" t="s">
        <v>695</v>
      </c>
      <c r="G2190" t="s">
        <v>6745</v>
      </c>
      <c r="H2190" t="s">
        <v>697</v>
      </c>
      <c r="I2190" s="32">
        <v>44734.839942129627</v>
      </c>
      <c r="J2190" s="32">
        <v>44737.839942129627</v>
      </c>
      <c r="K2190" s="32" t="s">
        <v>7473</v>
      </c>
      <c r="L2190" s="8" t="str">
        <f t="shared" si="871"/>
        <v/>
      </c>
      <c r="M2190" s="7">
        <v>44761.839942129627</v>
      </c>
      <c r="N2190" t="s">
        <v>72</v>
      </c>
      <c r="O2190" s="34" t="s">
        <v>7474</v>
      </c>
      <c r="R2190" s="32" t="s">
        <v>7472</v>
      </c>
      <c r="S2190" t="s">
        <v>7476</v>
      </c>
      <c r="T2190" s="34" t="s">
        <v>7476</v>
      </c>
      <c r="U2190" s="34" t="s">
        <v>7476</v>
      </c>
      <c r="V2190" s="32" t="s">
        <v>7476</v>
      </c>
      <c r="W2190" s="32" t="s">
        <v>7476</v>
      </c>
      <c r="X2190">
        <v>0</v>
      </c>
      <c r="Y2190" s="34" t="s">
        <v>7476</v>
      </c>
      <c r="Z2190" s="34" t="s">
        <v>7476</v>
      </c>
      <c r="AA2190" s="34" t="s">
        <v>7476</v>
      </c>
      <c r="AB2190" s="36" t="s">
        <v>7476</v>
      </c>
      <c r="AD2190" t="s">
        <v>6800</v>
      </c>
      <c r="AE2190" t="s">
        <v>6801</v>
      </c>
      <c r="AG2190" t="s">
        <v>68</v>
      </c>
      <c r="AH2190">
        <v>3</v>
      </c>
      <c r="AK2190" s="38" t="str">
        <f t="shared" si="872"/>
        <v/>
      </c>
    </row>
    <row r="2191" spans="1:43" x14ac:dyDescent="0.35">
      <c r="A2191">
        <v>1102</v>
      </c>
      <c r="B2191" t="s">
        <v>6802</v>
      </c>
      <c r="C2191" t="s">
        <v>6531</v>
      </c>
      <c r="D2191" t="str">
        <f t="shared" si="870"/>
        <v>Capacity Building</v>
      </c>
      <c r="E2191" t="s">
        <v>6744</v>
      </c>
      <c r="F2191" t="s">
        <v>695</v>
      </c>
      <c r="G2191" t="s">
        <v>6745</v>
      </c>
      <c r="H2191" t="s">
        <v>697</v>
      </c>
      <c r="I2191" s="32">
        <v>44679.953865740739</v>
      </c>
      <c r="J2191" s="32">
        <v>44680.953865740739</v>
      </c>
      <c r="K2191" s="32">
        <v>44681.953865740739</v>
      </c>
      <c r="L2191" s="8">
        <f t="shared" si="871"/>
        <v>2</v>
      </c>
      <c r="M2191" s="7">
        <v>44696.953865740739</v>
      </c>
      <c r="N2191" t="s">
        <v>72</v>
      </c>
      <c r="O2191" s="34" t="s">
        <v>7474</v>
      </c>
      <c r="R2191" s="32" t="s">
        <v>7472</v>
      </c>
      <c r="S2191" t="s">
        <v>7476</v>
      </c>
      <c r="T2191" s="34" t="s">
        <v>7476</v>
      </c>
      <c r="U2191" s="34" t="s">
        <v>7476</v>
      </c>
      <c r="V2191" s="32" t="s">
        <v>7476</v>
      </c>
      <c r="W2191" s="32" t="s">
        <v>7476</v>
      </c>
      <c r="X2191">
        <v>0</v>
      </c>
      <c r="Y2191" s="34" t="s">
        <v>7476</v>
      </c>
      <c r="Z2191" s="34" t="s">
        <v>7476</v>
      </c>
      <c r="AA2191" s="34" t="s">
        <v>7476</v>
      </c>
      <c r="AB2191" s="36" t="s">
        <v>7476</v>
      </c>
      <c r="AD2191" t="s">
        <v>6803</v>
      </c>
      <c r="AE2191" t="s">
        <v>6804</v>
      </c>
      <c r="AG2191" t="s">
        <v>64</v>
      </c>
      <c r="AH2191">
        <v>6</v>
      </c>
      <c r="AI2191" s="8" t="str">
        <f t="shared" ref="AI2191:AI2202" si="873">IFERROR(R2191-AF2191,"")</f>
        <v/>
      </c>
      <c r="AJ2191" s="8" t="str">
        <f t="shared" ref="AJ2191:AJ2202" si="874">IFERROR(O2191-AF2191,"")</f>
        <v/>
      </c>
      <c r="AK2191" s="38" t="str">
        <f t="shared" si="872"/>
        <v/>
      </c>
      <c r="AL2191" t="str">
        <f t="shared" ref="AL2191:AL2202" si="875">IFERROR(Z2191-W2191,"")</f>
        <v/>
      </c>
      <c r="AM2191" t="str">
        <f t="shared" ref="AM2191:AM2202" si="876">IFERROR(R2191-J2191,"")</f>
        <v/>
      </c>
      <c r="AN2191" t="str">
        <f t="shared" ref="AN2191:AN2202" si="877">IFERROR(V2191-O2191,"")</f>
        <v/>
      </c>
      <c r="AO2191">
        <f t="shared" ref="AO2191:AO2202" si="878">IFERROR(J2191-I2191,"")</f>
        <v>1</v>
      </c>
      <c r="AP2191">
        <f t="shared" ref="AP2191:AP2202" si="879">IFERROR(AC2191-X2191,"")</f>
        <v>0</v>
      </c>
      <c r="AQ2191" t="str">
        <f t="shared" ref="AQ2191:AQ2202" si="880">IFERROR(AA2191-W2191,"")</f>
        <v/>
      </c>
    </row>
    <row r="2192" spans="1:43" x14ac:dyDescent="0.35">
      <c r="A2192">
        <v>1079</v>
      </c>
      <c r="B2192" t="s">
        <v>6805</v>
      </c>
      <c r="C2192" t="s">
        <v>6550</v>
      </c>
      <c r="D2192" t="str">
        <f t="shared" si="870"/>
        <v>Capacity Building</v>
      </c>
      <c r="E2192" t="s">
        <v>6744</v>
      </c>
      <c r="F2192" t="s">
        <v>695</v>
      </c>
      <c r="G2192" t="s">
        <v>6745</v>
      </c>
      <c r="H2192" t="s">
        <v>697</v>
      </c>
      <c r="I2192" s="32">
        <v>44602.990740740737</v>
      </c>
      <c r="J2192" s="32">
        <v>44603.990740740737</v>
      </c>
      <c r="K2192" s="32">
        <v>44607.990740740737</v>
      </c>
      <c r="L2192" s="8">
        <f t="shared" si="871"/>
        <v>5</v>
      </c>
      <c r="M2192" s="7">
        <v>44630.990740740737</v>
      </c>
      <c r="N2192" t="s">
        <v>72</v>
      </c>
      <c r="O2192" s="34" t="s">
        <v>7474</v>
      </c>
      <c r="R2192" s="32" t="s">
        <v>7472</v>
      </c>
      <c r="S2192" t="s">
        <v>7476</v>
      </c>
      <c r="T2192" s="34" t="s">
        <v>7476</v>
      </c>
      <c r="U2192" s="34" t="s">
        <v>7476</v>
      </c>
      <c r="V2192" s="32" t="s">
        <v>7476</v>
      </c>
      <c r="W2192" s="32" t="s">
        <v>7476</v>
      </c>
      <c r="X2192">
        <v>0</v>
      </c>
      <c r="Y2192" s="34" t="s">
        <v>7476</v>
      </c>
      <c r="Z2192" s="34" t="s">
        <v>7476</v>
      </c>
      <c r="AA2192" s="34" t="s">
        <v>7476</v>
      </c>
      <c r="AB2192" s="36" t="s">
        <v>7476</v>
      </c>
      <c r="AD2192" t="s">
        <v>6806</v>
      </c>
      <c r="AE2192" t="s">
        <v>6807</v>
      </c>
      <c r="AG2192" t="s">
        <v>98</v>
      </c>
      <c r="AH2192">
        <v>6</v>
      </c>
      <c r="AI2192" s="8" t="str">
        <f t="shared" si="873"/>
        <v/>
      </c>
      <c r="AJ2192" s="8" t="str">
        <f t="shared" si="874"/>
        <v/>
      </c>
      <c r="AK2192" s="38" t="str">
        <f t="shared" si="872"/>
        <v/>
      </c>
      <c r="AL2192" t="str">
        <f t="shared" si="875"/>
        <v/>
      </c>
      <c r="AM2192" t="str">
        <f t="shared" si="876"/>
        <v/>
      </c>
      <c r="AN2192" t="str">
        <f t="shared" si="877"/>
        <v/>
      </c>
      <c r="AO2192">
        <f t="shared" si="878"/>
        <v>1</v>
      </c>
      <c r="AP2192">
        <f t="shared" si="879"/>
        <v>0</v>
      </c>
      <c r="AQ2192" t="str">
        <f t="shared" si="880"/>
        <v/>
      </c>
    </row>
    <row r="2193" spans="1:43" x14ac:dyDescent="0.35">
      <c r="A2193">
        <v>928</v>
      </c>
      <c r="B2193" t="s">
        <v>6808</v>
      </c>
      <c r="C2193" t="s">
        <v>6531</v>
      </c>
      <c r="D2193" t="str">
        <f t="shared" si="870"/>
        <v>Capacity Building</v>
      </c>
      <c r="E2193" t="s">
        <v>6744</v>
      </c>
      <c r="F2193" t="s">
        <v>695</v>
      </c>
      <c r="G2193" t="s">
        <v>6745</v>
      </c>
      <c r="H2193" t="s">
        <v>697</v>
      </c>
      <c r="I2193" s="32">
        <v>45074.494004629632</v>
      </c>
      <c r="J2193" s="32">
        <v>45078.494004629632</v>
      </c>
      <c r="K2193" s="32">
        <v>45080.494004629632</v>
      </c>
      <c r="L2193" s="8">
        <f t="shared" si="871"/>
        <v>6</v>
      </c>
      <c r="M2193" s="7">
        <v>45107.494004629632</v>
      </c>
      <c r="N2193" t="s">
        <v>72</v>
      </c>
      <c r="O2193" s="34" t="s">
        <v>7474</v>
      </c>
      <c r="R2193" s="32" t="s">
        <v>7472</v>
      </c>
      <c r="S2193" t="s">
        <v>7476</v>
      </c>
      <c r="T2193" s="34" t="s">
        <v>7476</v>
      </c>
      <c r="U2193" s="34" t="s">
        <v>7476</v>
      </c>
      <c r="V2193" s="32" t="s">
        <v>7476</v>
      </c>
      <c r="W2193" s="32" t="s">
        <v>7476</v>
      </c>
      <c r="X2193">
        <v>0</v>
      </c>
      <c r="Y2193" s="34" t="s">
        <v>7476</v>
      </c>
      <c r="Z2193" s="34" t="s">
        <v>7476</v>
      </c>
      <c r="AA2193" s="34" t="s">
        <v>7476</v>
      </c>
      <c r="AB2193" s="36" t="s">
        <v>7476</v>
      </c>
      <c r="AD2193" t="s">
        <v>6809</v>
      </c>
      <c r="AE2193" t="s">
        <v>6810</v>
      </c>
      <c r="AG2193" t="s">
        <v>98</v>
      </c>
      <c r="AH2193">
        <v>3</v>
      </c>
      <c r="AI2193" s="8" t="str">
        <f t="shared" si="873"/>
        <v/>
      </c>
      <c r="AJ2193" s="8" t="str">
        <f t="shared" si="874"/>
        <v/>
      </c>
      <c r="AK2193" s="38" t="str">
        <f t="shared" si="872"/>
        <v/>
      </c>
      <c r="AL2193" t="str">
        <f t="shared" si="875"/>
        <v/>
      </c>
      <c r="AM2193" t="str">
        <f t="shared" si="876"/>
        <v/>
      </c>
      <c r="AN2193" t="str">
        <f t="shared" si="877"/>
        <v/>
      </c>
      <c r="AO2193">
        <f t="shared" si="878"/>
        <v>4</v>
      </c>
      <c r="AP2193">
        <f t="shared" si="879"/>
        <v>0</v>
      </c>
      <c r="AQ2193" t="str">
        <f t="shared" si="880"/>
        <v/>
      </c>
    </row>
    <row r="2194" spans="1:43" x14ac:dyDescent="0.35">
      <c r="A2194">
        <v>924</v>
      </c>
      <c r="B2194" t="s">
        <v>6811</v>
      </c>
      <c r="C2194" t="s">
        <v>6550</v>
      </c>
      <c r="D2194" t="str">
        <f t="shared" si="870"/>
        <v>Capacity Building</v>
      </c>
      <c r="E2194" t="s">
        <v>6744</v>
      </c>
      <c r="F2194" t="s">
        <v>695</v>
      </c>
      <c r="G2194" t="s">
        <v>6745</v>
      </c>
      <c r="H2194" t="s">
        <v>697</v>
      </c>
      <c r="I2194" s="32">
        <v>45075.494004629632</v>
      </c>
      <c r="J2194" s="32">
        <v>45078.494004629632</v>
      </c>
      <c r="K2194" s="32">
        <v>45080.494004629632</v>
      </c>
      <c r="L2194" s="8">
        <f t="shared" si="871"/>
        <v>5</v>
      </c>
      <c r="M2194" s="7">
        <v>45085.494004629632</v>
      </c>
      <c r="N2194" t="s">
        <v>49</v>
      </c>
      <c r="O2194" s="34">
        <v>45083.494004629632</v>
      </c>
      <c r="P2194" t="s">
        <v>50</v>
      </c>
      <c r="Q2194" t="s">
        <v>125</v>
      </c>
      <c r="R2194" s="32" t="s">
        <v>7472</v>
      </c>
      <c r="S2194" t="s">
        <v>7476</v>
      </c>
      <c r="T2194" s="34" t="s">
        <v>7476</v>
      </c>
      <c r="U2194" s="34" t="s">
        <v>7476</v>
      </c>
      <c r="V2194" s="32">
        <v>45086.494004629632</v>
      </c>
      <c r="W2194" s="32" t="s">
        <v>7476</v>
      </c>
      <c r="X2194">
        <v>0</v>
      </c>
      <c r="Y2194" s="34" t="s">
        <v>7476</v>
      </c>
      <c r="Z2194" s="34" t="s">
        <v>7476</v>
      </c>
      <c r="AA2194" s="34" t="s">
        <v>7476</v>
      </c>
      <c r="AB2194" s="36" t="s">
        <v>52</v>
      </c>
      <c r="AD2194" t="s">
        <v>6812</v>
      </c>
      <c r="AE2194" t="s">
        <v>6813</v>
      </c>
      <c r="AF2194" s="16">
        <v>45067</v>
      </c>
      <c r="AG2194" t="s">
        <v>64</v>
      </c>
      <c r="AH2194">
        <v>6</v>
      </c>
      <c r="AI2194" s="8" t="str">
        <f t="shared" si="873"/>
        <v/>
      </c>
      <c r="AJ2194" s="8">
        <f t="shared" si="874"/>
        <v>16.4940046296324</v>
      </c>
      <c r="AK2194" s="38">
        <f t="shared" si="872"/>
        <v>45266.494004629632</v>
      </c>
      <c r="AL2194" t="str">
        <f t="shared" si="875"/>
        <v/>
      </c>
      <c r="AM2194" t="str">
        <f t="shared" si="876"/>
        <v/>
      </c>
      <c r="AN2194">
        <f t="shared" si="877"/>
        <v>3</v>
      </c>
      <c r="AO2194">
        <f t="shared" si="878"/>
        <v>3</v>
      </c>
      <c r="AP2194">
        <f t="shared" si="879"/>
        <v>0</v>
      </c>
      <c r="AQ2194" t="str">
        <f t="shared" si="880"/>
        <v/>
      </c>
    </row>
    <row r="2195" spans="1:43" x14ac:dyDescent="0.35">
      <c r="A2195">
        <v>806</v>
      </c>
      <c r="B2195" t="s">
        <v>6814</v>
      </c>
      <c r="C2195" t="s">
        <v>6525</v>
      </c>
      <c r="D2195" t="str">
        <f t="shared" si="870"/>
        <v>Capacity Building</v>
      </c>
      <c r="E2195" t="s">
        <v>6744</v>
      </c>
      <c r="F2195" t="s">
        <v>695</v>
      </c>
      <c r="G2195" t="s">
        <v>6745</v>
      </c>
      <c r="H2195" t="s">
        <v>697</v>
      </c>
      <c r="I2195" s="32">
        <v>44940.903796296298</v>
      </c>
      <c r="J2195" s="32">
        <v>44943.903796296298</v>
      </c>
      <c r="K2195" s="32">
        <v>44944.903796296298</v>
      </c>
      <c r="L2195" s="8">
        <f t="shared" si="871"/>
        <v>4</v>
      </c>
      <c r="M2195" s="7">
        <v>44960.903796296298</v>
      </c>
      <c r="N2195" t="s">
        <v>72</v>
      </c>
      <c r="O2195" s="34" t="s">
        <v>7474</v>
      </c>
      <c r="R2195" s="32" t="s">
        <v>7472</v>
      </c>
      <c r="S2195" t="s">
        <v>7476</v>
      </c>
      <c r="T2195" s="34" t="s">
        <v>7476</v>
      </c>
      <c r="U2195" s="34" t="s">
        <v>7476</v>
      </c>
      <c r="V2195" s="32" t="s">
        <v>7476</v>
      </c>
      <c r="W2195" s="32" t="s">
        <v>7476</v>
      </c>
      <c r="X2195">
        <v>0</v>
      </c>
      <c r="Y2195" s="34" t="s">
        <v>7476</v>
      </c>
      <c r="Z2195" s="34" t="s">
        <v>7476</v>
      </c>
      <c r="AA2195" s="34" t="s">
        <v>7476</v>
      </c>
      <c r="AB2195" s="36" t="s">
        <v>7476</v>
      </c>
      <c r="AD2195" t="s">
        <v>6815</v>
      </c>
      <c r="AE2195" t="s">
        <v>6816</v>
      </c>
      <c r="AG2195" t="s">
        <v>68</v>
      </c>
      <c r="AH2195">
        <v>3</v>
      </c>
      <c r="AI2195" s="8" t="str">
        <f t="shared" si="873"/>
        <v/>
      </c>
      <c r="AJ2195" s="8" t="str">
        <f t="shared" si="874"/>
        <v/>
      </c>
      <c r="AK2195" s="38" t="str">
        <f t="shared" si="872"/>
        <v/>
      </c>
      <c r="AL2195" t="str">
        <f t="shared" si="875"/>
        <v/>
      </c>
      <c r="AM2195" t="str">
        <f t="shared" si="876"/>
        <v/>
      </c>
      <c r="AN2195" t="str">
        <f t="shared" si="877"/>
        <v/>
      </c>
      <c r="AO2195">
        <f t="shared" si="878"/>
        <v>3</v>
      </c>
      <c r="AP2195">
        <f t="shared" si="879"/>
        <v>0</v>
      </c>
      <c r="AQ2195" t="str">
        <f t="shared" si="880"/>
        <v/>
      </c>
    </row>
    <row r="2196" spans="1:43" x14ac:dyDescent="0.35">
      <c r="A2196">
        <v>804</v>
      </c>
      <c r="B2196" t="s">
        <v>6817</v>
      </c>
      <c r="C2196" t="s">
        <v>6525</v>
      </c>
      <c r="D2196" t="str">
        <f t="shared" si="870"/>
        <v>Capacity Building</v>
      </c>
      <c r="E2196" t="s">
        <v>6744</v>
      </c>
      <c r="F2196" t="s">
        <v>695</v>
      </c>
      <c r="G2196" t="s">
        <v>6745</v>
      </c>
      <c r="H2196" t="s">
        <v>697</v>
      </c>
      <c r="I2196" s="32">
        <v>44936.903796296298</v>
      </c>
      <c r="J2196" s="32">
        <v>44940.903796296298</v>
      </c>
      <c r="K2196" s="32">
        <v>44944.903796296298</v>
      </c>
      <c r="L2196" s="8">
        <f t="shared" si="871"/>
        <v>8</v>
      </c>
      <c r="M2196" s="7">
        <v>44973.903796296298</v>
      </c>
      <c r="N2196" t="s">
        <v>49</v>
      </c>
      <c r="O2196" s="34">
        <v>44959.903796296298</v>
      </c>
      <c r="P2196" t="s">
        <v>50</v>
      </c>
      <c r="Q2196" t="s">
        <v>198</v>
      </c>
      <c r="R2196" s="32" t="s">
        <v>7472</v>
      </c>
      <c r="S2196" t="s">
        <v>7476</v>
      </c>
      <c r="T2196" s="34" t="s">
        <v>7476</v>
      </c>
      <c r="U2196" s="34" t="s">
        <v>7476</v>
      </c>
      <c r="V2196" s="32">
        <v>44960.903796296298</v>
      </c>
      <c r="W2196" s="32" t="s">
        <v>7476</v>
      </c>
      <c r="X2196">
        <v>0</v>
      </c>
      <c r="Y2196" s="34" t="s">
        <v>7476</v>
      </c>
      <c r="Z2196" s="34" t="s">
        <v>7476</v>
      </c>
      <c r="AA2196" s="34" t="s">
        <v>7476</v>
      </c>
      <c r="AB2196" s="36" t="s">
        <v>95</v>
      </c>
      <c r="AD2196" t="s">
        <v>6818</v>
      </c>
      <c r="AE2196" t="s">
        <v>6819</v>
      </c>
      <c r="AF2196" s="16">
        <v>44942</v>
      </c>
      <c r="AG2196" t="s">
        <v>98</v>
      </c>
      <c r="AH2196">
        <v>6</v>
      </c>
      <c r="AI2196" s="8" t="str">
        <f t="shared" si="873"/>
        <v/>
      </c>
      <c r="AJ2196" s="8">
        <f t="shared" si="874"/>
        <v>17.903796296297514</v>
      </c>
      <c r="AK2196" s="38">
        <f t="shared" si="872"/>
        <v>45140.903796296298</v>
      </c>
      <c r="AL2196" t="str">
        <f t="shared" si="875"/>
        <v/>
      </c>
      <c r="AM2196" t="str">
        <f t="shared" si="876"/>
        <v/>
      </c>
      <c r="AN2196">
        <f t="shared" si="877"/>
        <v>1</v>
      </c>
      <c r="AO2196">
        <f t="shared" si="878"/>
        <v>4</v>
      </c>
      <c r="AP2196">
        <f t="shared" si="879"/>
        <v>0</v>
      </c>
      <c r="AQ2196" t="str">
        <f t="shared" si="880"/>
        <v/>
      </c>
    </row>
    <row r="2197" spans="1:43" x14ac:dyDescent="0.35">
      <c r="A2197">
        <v>775</v>
      </c>
      <c r="B2197" t="s">
        <v>6820</v>
      </c>
      <c r="C2197" t="s">
        <v>6525</v>
      </c>
      <c r="D2197" t="str">
        <f t="shared" si="870"/>
        <v>Capacity Building</v>
      </c>
      <c r="E2197" t="s">
        <v>6744</v>
      </c>
      <c r="F2197" t="s">
        <v>695</v>
      </c>
      <c r="G2197" t="s">
        <v>6745</v>
      </c>
      <c r="H2197" t="s">
        <v>697</v>
      </c>
      <c r="I2197" s="32">
        <v>45010.397060185183</v>
      </c>
      <c r="J2197" s="32">
        <v>45011.397060185183</v>
      </c>
      <c r="K2197" s="32">
        <v>45012.397060185183</v>
      </c>
      <c r="L2197" s="8">
        <f t="shared" si="871"/>
        <v>2</v>
      </c>
      <c r="M2197" s="7">
        <v>45029.397060185183</v>
      </c>
      <c r="N2197" t="s">
        <v>49</v>
      </c>
      <c r="O2197" s="34">
        <v>45021.397060185183</v>
      </c>
      <c r="P2197" t="s">
        <v>50</v>
      </c>
      <c r="Q2197" t="s">
        <v>236</v>
      </c>
      <c r="R2197" s="32" t="s">
        <v>7472</v>
      </c>
      <c r="S2197" t="s">
        <v>7476</v>
      </c>
      <c r="T2197" s="34" t="s">
        <v>7476</v>
      </c>
      <c r="U2197" s="34" t="s">
        <v>7476</v>
      </c>
      <c r="V2197" s="32">
        <v>45024.397060185183</v>
      </c>
      <c r="W2197" s="32" t="s">
        <v>7476</v>
      </c>
      <c r="X2197">
        <v>0</v>
      </c>
      <c r="Y2197" s="34" t="s">
        <v>7476</v>
      </c>
      <c r="Z2197" s="34" t="s">
        <v>7476</v>
      </c>
      <c r="AA2197" s="34" t="s">
        <v>7476</v>
      </c>
      <c r="AB2197" s="36" t="s">
        <v>95</v>
      </c>
      <c r="AD2197" t="s">
        <v>6821</v>
      </c>
      <c r="AE2197" t="s">
        <v>6822</v>
      </c>
      <c r="AF2197" s="16">
        <v>45008</v>
      </c>
      <c r="AG2197" t="s">
        <v>68</v>
      </c>
      <c r="AH2197">
        <v>3</v>
      </c>
      <c r="AI2197" s="8" t="str">
        <f t="shared" si="873"/>
        <v/>
      </c>
      <c r="AJ2197" s="8">
        <f t="shared" si="874"/>
        <v>13.397060185183364</v>
      </c>
      <c r="AK2197" s="38">
        <f t="shared" si="872"/>
        <v>45114.397060185183</v>
      </c>
      <c r="AL2197" t="str">
        <f t="shared" si="875"/>
        <v/>
      </c>
      <c r="AM2197" t="str">
        <f t="shared" si="876"/>
        <v/>
      </c>
      <c r="AN2197">
        <f t="shared" si="877"/>
        <v>3</v>
      </c>
      <c r="AO2197">
        <f t="shared" si="878"/>
        <v>1</v>
      </c>
      <c r="AP2197">
        <f t="shared" si="879"/>
        <v>0</v>
      </c>
      <c r="AQ2197" t="str">
        <f t="shared" si="880"/>
        <v/>
      </c>
    </row>
    <row r="2198" spans="1:43" x14ac:dyDescent="0.35">
      <c r="A2198">
        <v>772</v>
      </c>
      <c r="B2198" t="s">
        <v>6823</v>
      </c>
      <c r="C2198" t="s">
        <v>6550</v>
      </c>
      <c r="D2198" t="str">
        <f t="shared" si="870"/>
        <v>Capacity Building</v>
      </c>
      <c r="E2198" t="s">
        <v>6744</v>
      </c>
      <c r="F2198" t="s">
        <v>695</v>
      </c>
      <c r="G2198" t="s">
        <v>6745</v>
      </c>
      <c r="H2198" t="s">
        <v>697</v>
      </c>
      <c r="I2198" s="32">
        <v>45006.397060185183</v>
      </c>
      <c r="J2198" s="32">
        <v>45009.397060185183</v>
      </c>
      <c r="K2198" s="32">
        <v>45012.397060185183</v>
      </c>
      <c r="L2198" s="8">
        <f t="shared" si="871"/>
        <v>6</v>
      </c>
      <c r="M2198" s="7">
        <v>45027.397060185183</v>
      </c>
      <c r="N2198" t="s">
        <v>49</v>
      </c>
      <c r="O2198" s="34">
        <v>45014.397060185183</v>
      </c>
      <c r="P2198" t="s">
        <v>50</v>
      </c>
      <c r="Q2198" t="s">
        <v>84</v>
      </c>
      <c r="R2198" s="32" t="s">
        <v>7472</v>
      </c>
      <c r="S2198" t="s">
        <v>7476</v>
      </c>
      <c r="T2198" s="34" t="s">
        <v>7476</v>
      </c>
      <c r="U2198" s="34" t="s">
        <v>7476</v>
      </c>
      <c r="V2198" s="32">
        <v>45015.397060185183</v>
      </c>
      <c r="W2198" s="32" t="s">
        <v>7476</v>
      </c>
      <c r="X2198">
        <v>0</v>
      </c>
      <c r="Y2198" s="34" t="s">
        <v>7476</v>
      </c>
      <c r="Z2198" s="34" t="s">
        <v>7476</v>
      </c>
      <c r="AA2198" s="34" t="s">
        <v>7476</v>
      </c>
      <c r="AB2198" s="36" t="s">
        <v>52</v>
      </c>
      <c r="AD2198" t="s">
        <v>6824</v>
      </c>
      <c r="AE2198" t="s">
        <v>6825</v>
      </c>
      <c r="AF2198" s="16">
        <v>45202</v>
      </c>
      <c r="AG2198" t="s">
        <v>68</v>
      </c>
      <c r="AH2198">
        <v>3</v>
      </c>
      <c r="AI2198" s="8" t="str">
        <f t="shared" si="873"/>
        <v/>
      </c>
      <c r="AJ2198" s="8">
        <f t="shared" si="874"/>
        <v>-187.60293981481664</v>
      </c>
      <c r="AK2198" s="38">
        <f t="shared" si="872"/>
        <v>45105.397060185183</v>
      </c>
      <c r="AL2198" t="str">
        <f t="shared" si="875"/>
        <v/>
      </c>
      <c r="AM2198" t="str">
        <f t="shared" si="876"/>
        <v/>
      </c>
      <c r="AN2198">
        <f t="shared" si="877"/>
        <v>1</v>
      </c>
      <c r="AO2198">
        <f t="shared" si="878"/>
        <v>3</v>
      </c>
      <c r="AP2198">
        <f t="shared" si="879"/>
        <v>0</v>
      </c>
      <c r="AQ2198" t="str">
        <f t="shared" si="880"/>
        <v/>
      </c>
    </row>
    <row r="2199" spans="1:43" x14ac:dyDescent="0.35">
      <c r="A2199">
        <v>669</v>
      </c>
      <c r="B2199" t="s">
        <v>6826</v>
      </c>
      <c r="C2199" t="s">
        <v>6525</v>
      </c>
      <c r="D2199" t="str">
        <f t="shared" si="870"/>
        <v>Capacity Building</v>
      </c>
      <c r="E2199" t="s">
        <v>6744</v>
      </c>
      <c r="F2199" t="s">
        <v>695</v>
      </c>
      <c r="G2199" t="s">
        <v>6745</v>
      </c>
      <c r="H2199" t="s">
        <v>697</v>
      </c>
      <c r="I2199" s="32">
        <v>44570.204074074078</v>
      </c>
      <c r="J2199" s="32">
        <v>44574.204074074078</v>
      </c>
      <c r="K2199" s="32">
        <v>44576.204074074078</v>
      </c>
      <c r="L2199" s="8">
        <f t="shared" si="871"/>
        <v>6</v>
      </c>
      <c r="M2199" s="7">
        <v>44586.204074074078</v>
      </c>
      <c r="N2199" t="s">
        <v>72</v>
      </c>
      <c r="O2199" s="34" t="s">
        <v>7474</v>
      </c>
      <c r="R2199" s="32" t="s">
        <v>7472</v>
      </c>
      <c r="S2199" t="s">
        <v>7476</v>
      </c>
      <c r="T2199" s="34" t="s">
        <v>7476</v>
      </c>
      <c r="U2199" s="34" t="s">
        <v>7476</v>
      </c>
      <c r="V2199" s="32" t="s">
        <v>7476</v>
      </c>
      <c r="W2199" s="32" t="s">
        <v>7476</v>
      </c>
      <c r="X2199">
        <v>0</v>
      </c>
      <c r="Y2199" s="34" t="s">
        <v>7476</v>
      </c>
      <c r="Z2199" s="34" t="s">
        <v>7476</v>
      </c>
      <c r="AA2199" s="34" t="s">
        <v>7476</v>
      </c>
      <c r="AB2199" s="36" t="s">
        <v>7476</v>
      </c>
      <c r="AD2199" t="s">
        <v>6827</v>
      </c>
      <c r="AE2199" t="s">
        <v>6828</v>
      </c>
      <c r="AG2199" t="s">
        <v>64</v>
      </c>
      <c r="AH2199">
        <v>6</v>
      </c>
      <c r="AI2199" s="8" t="str">
        <f t="shared" si="873"/>
        <v/>
      </c>
      <c r="AJ2199" s="8" t="str">
        <f t="shared" si="874"/>
        <v/>
      </c>
      <c r="AK2199" s="38" t="str">
        <f t="shared" si="872"/>
        <v/>
      </c>
      <c r="AL2199" t="str">
        <f t="shared" si="875"/>
        <v/>
      </c>
      <c r="AM2199" t="str">
        <f t="shared" si="876"/>
        <v/>
      </c>
      <c r="AN2199" t="str">
        <f t="shared" si="877"/>
        <v/>
      </c>
      <c r="AO2199">
        <f t="shared" si="878"/>
        <v>4</v>
      </c>
      <c r="AP2199">
        <f t="shared" si="879"/>
        <v>0</v>
      </c>
      <c r="AQ2199" t="str">
        <f t="shared" si="880"/>
        <v/>
      </c>
    </row>
    <row r="2200" spans="1:43" x14ac:dyDescent="0.35">
      <c r="A2200">
        <v>630</v>
      </c>
      <c r="B2200" t="s">
        <v>6829</v>
      </c>
      <c r="C2200" t="s">
        <v>6525</v>
      </c>
      <c r="D2200" t="str">
        <f t="shared" si="870"/>
        <v>Capacity Building</v>
      </c>
      <c r="E2200" t="s">
        <v>6744</v>
      </c>
      <c r="F2200" t="s">
        <v>695</v>
      </c>
      <c r="G2200" t="s">
        <v>6745</v>
      </c>
      <c r="H2200" t="s">
        <v>697</v>
      </c>
      <c r="I2200" s="32">
        <v>44994.828541666669</v>
      </c>
      <c r="J2200" s="32">
        <v>44998.828541666669</v>
      </c>
      <c r="K2200" s="32">
        <v>45000.828541666669</v>
      </c>
      <c r="L2200" s="8">
        <f t="shared" si="871"/>
        <v>6</v>
      </c>
      <c r="M2200" s="7">
        <v>45005.828541666669</v>
      </c>
      <c r="N2200" t="s">
        <v>49</v>
      </c>
      <c r="O2200" s="34">
        <v>45012.828541666669</v>
      </c>
      <c r="P2200" t="s">
        <v>60</v>
      </c>
      <c r="R2200" s="32">
        <v>45019.828541666669</v>
      </c>
      <c r="S2200" t="s">
        <v>61</v>
      </c>
      <c r="T2200" s="34" t="s">
        <v>7476</v>
      </c>
      <c r="U2200" s="34" t="s">
        <v>7476</v>
      </c>
      <c r="V2200" s="32">
        <v>45016.828541666669</v>
      </c>
      <c r="W2200" s="32" t="s">
        <v>7476</v>
      </c>
      <c r="X2200">
        <v>0</v>
      </c>
      <c r="Y2200" s="34" t="s">
        <v>7476</v>
      </c>
      <c r="Z2200" s="34" t="s">
        <v>7476</v>
      </c>
      <c r="AA2200" s="34" t="s">
        <v>7476</v>
      </c>
      <c r="AB2200" s="36" t="s">
        <v>7476</v>
      </c>
      <c r="AD2200" t="s">
        <v>6830</v>
      </c>
      <c r="AE2200" t="s">
        <v>6831</v>
      </c>
      <c r="AF2200" s="16">
        <v>44995</v>
      </c>
      <c r="AG2200" t="s">
        <v>64</v>
      </c>
      <c r="AH2200">
        <v>3</v>
      </c>
      <c r="AI2200" s="8">
        <f t="shared" si="873"/>
        <v>24.82854166666948</v>
      </c>
      <c r="AJ2200" s="8">
        <f t="shared" si="874"/>
        <v>17.82854166666948</v>
      </c>
      <c r="AK2200" s="38">
        <f t="shared" si="872"/>
        <v>45106.828541666669</v>
      </c>
      <c r="AL2200" t="str">
        <f t="shared" si="875"/>
        <v/>
      </c>
      <c r="AM2200">
        <f t="shared" si="876"/>
        <v>21</v>
      </c>
      <c r="AN2200">
        <f t="shared" si="877"/>
        <v>4</v>
      </c>
      <c r="AO2200">
        <f t="shared" si="878"/>
        <v>4</v>
      </c>
      <c r="AP2200">
        <f t="shared" si="879"/>
        <v>0</v>
      </c>
      <c r="AQ2200" t="str">
        <f t="shared" si="880"/>
        <v/>
      </c>
    </row>
    <row r="2201" spans="1:43" x14ac:dyDescent="0.35">
      <c r="A2201">
        <v>629</v>
      </c>
      <c r="B2201" t="s">
        <v>6832</v>
      </c>
      <c r="C2201" t="s">
        <v>6525</v>
      </c>
      <c r="D2201" t="str">
        <f t="shared" si="870"/>
        <v>Capacity Building</v>
      </c>
      <c r="E2201" t="s">
        <v>6744</v>
      </c>
      <c r="F2201" t="s">
        <v>695</v>
      </c>
      <c r="G2201" t="s">
        <v>6745</v>
      </c>
      <c r="H2201" t="s">
        <v>697</v>
      </c>
      <c r="I2201" s="32">
        <v>44993.828541666669</v>
      </c>
      <c r="J2201" s="32">
        <v>44994.828541666669</v>
      </c>
      <c r="K2201" s="32">
        <v>45000.828541666669</v>
      </c>
      <c r="L2201" s="8">
        <f t="shared" si="871"/>
        <v>7</v>
      </c>
      <c r="M2201" s="7">
        <v>45022.828541666669</v>
      </c>
      <c r="N2201" t="s">
        <v>49</v>
      </c>
      <c r="O2201" s="34">
        <v>45018.828541666669</v>
      </c>
      <c r="P2201" t="s">
        <v>50</v>
      </c>
      <c r="Q2201" t="s">
        <v>84</v>
      </c>
      <c r="R2201" s="32" t="s">
        <v>7472</v>
      </c>
      <c r="S2201" t="s">
        <v>7476</v>
      </c>
      <c r="T2201" s="34" t="s">
        <v>7476</v>
      </c>
      <c r="U2201" s="34" t="s">
        <v>7476</v>
      </c>
      <c r="V2201" s="32">
        <v>45020.828541666669</v>
      </c>
      <c r="W2201" s="32" t="s">
        <v>7476</v>
      </c>
      <c r="X2201">
        <v>0</v>
      </c>
      <c r="Y2201" s="34" t="s">
        <v>7476</v>
      </c>
      <c r="Z2201" s="34" t="s">
        <v>7476</v>
      </c>
      <c r="AA2201" s="34" t="s">
        <v>7476</v>
      </c>
      <c r="AB2201" s="36" t="s">
        <v>95</v>
      </c>
      <c r="AD2201" t="s">
        <v>6833</v>
      </c>
      <c r="AE2201" t="s">
        <v>6834</v>
      </c>
      <c r="AF2201" s="16">
        <v>45006</v>
      </c>
      <c r="AG2201" t="s">
        <v>68</v>
      </c>
      <c r="AH2201">
        <v>3</v>
      </c>
      <c r="AI2201" s="8" t="str">
        <f t="shared" si="873"/>
        <v/>
      </c>
      <c r="AJ2201" s="8">
        <f t="shared" si="874"/>
        <v>12.82854166666948</v>
      </c>
      <c r="AK2201" s="38">
        <f t="shared" si="872"/>
        <v>45110.828541666669</v>
      </c>
      <c r="AL2201" t="str">
        <f t="shared" si="875"/>
        <v/>
      </c>
      <c r="AM2201" t="str">
        <f t="shared" si="876"/>
        <v/>
      </c>
      <c r="AN2201">
        <f t="shared" si="877"/>
        <v>2</v>
      </c>
      <c r="AO2201">
        <f t="shared" si="878"/>
        <v>1</v>
      </c>
      <c r="AP2201">
        <f t="shared" si="879"/>
        <v>0</v>
      </c>
      <c r="AQ2201" t="str">
        <f t="shared" si="880"/>
        <v/>
      </c>
    </row>
    <row r="2202" spans="1:43" x14ac:dyDescent="0.35">
      <c r="A2202">
        <v>623</v>
      </c>
      <c r="B2202" t="s">
        <v>6835</v>
      </c>
      <c r="C2202" t="s">
        <v>6531</v>
      </c>
      <c r="D2202" t="str">
        <f t="shared" si="870"/>
        <v>Capacity Building</v>
      </c>
      <c r="E2202" t="s">
        <v>6744</v>
      </c>
      <c r="F2202" t="s">
        <v>695</v>
      </c>
      <c r="G2202" t="s">
        <v>6745</v>
      </c>
      <c r="H2202" t="s">
        <v>697</v>
      </c>
      <c r="I2202" s="32">
        <v>44991.828541666669</v>
      </c>
      <c r="J2202" s="32">
        <v>44994.828541666669</v>
      </c>
      <c r="K2202" s="32">
        <v>45000.828541666669</v>
      </c>
      <c r="L2202" s="8">
        <f t="shared" si="871"/>
        <v>9</v>
      </c>
      <c r="M2202" s="7">
        <v>45005.828541666669</v>
      </c>
      <c r="N2202" t="s">
        <v>49</v>
      </c>
      <c r="O2202" s="34">
        <v>45007.828541666669</v>
      </c>
      <c r="P2202" t="s">
        <v>60</v>
      </c>
      <c r="R2202" s="32">
        <v>45012.828541666669</v>
      </c>
      <c r="S2202" t="s">
        <v>61</v>
      </c>
      <c r="T2202" s="34" t="s">
        <v>7476</v>
      </c>
      <c r="U2202" s="34" t="s">
        <v>7476</v>
      </c>
      <c r="V2202" s="32">
        <v>45009.828541666669</v>
      </c>
      <c r="W2202" s="32" t="s">
        <v>7476</v>
      </c>
      <c r="X2202">
        <v>0</v>
      </c>
      <c r="Y2202" s="34" t="s">
        <v>7476</v>
      </c>
      <c r="Z2202" s="34" t="s">
        <v>7476</v>
      </c>
      <c r="AA2202" s="34" t="s">
        <v>7476</v>
      </c>
      <c r="AB2202" s="36" t="s">
        <v>7476</v>
      </c>
      <c r="AD2202" t="s">
        <v>6836</v>
      </c>
      <c r="AE2202" t="s">
        <v>6837</v>
      </c>
      <c r="AF2202" s="16">
        <v>44991</v>
      </c>
      <c r="AG2202" t="s">
        <v>98</v>
      </c>
      <c r="AH2202">
        <v>6</v>
      </c>
      <c r="AI2202" s="8">
        <f t="shared" si="873"/>
        <v>21.82854166666948</v>
      </c>
      <c r="AJ2202" s="8">
        <f t="shared" si="874"/>
        <v>16.82854166666948</v>
      </c>
      <c r="AK2202" s="38">
        <f t="shared" si="872"/>
        <v>45189.828541666669</v>
      </c>
      <c r="AL2202" t="str">
        <f t="shared" si="875"/>
        <v/>
      </c>
      <c r="AM2202">
        <f t="shared" si="876"/>
        <v>18</v>
      </c>
      <c r="AN2202">
        <f t="shared" si="877"/>
        <v>2</v>
      </c>
      <c r="AO2202">
        <f t="shared" si="878"/>
        <v>3</v>
      </c>
      <c r="AP2202">
        <f t="shared" si="879"/>
        <v>0</v>
      </c>
      <c r="AQ2202" t="str">
        <f t="shared" si="880"/>
        <v/>
      </c>
    </row>
    <row r="2203" spans="1:43" x14ac:dyDescent="0.35">
      <c r="A2203">
        <v>622</v>
      </c>
      <c r="B2203" t="s">
        <v>6838</v>
      </c>
      <c r="C2203" t="s">
        <v>6525</v>
      </c>
      <c r="D2203" t="str">
        <f t="shared" si="870"/>
        <v>Capacity Building</v>
      </c>
      <c r="E2203" t="s">
        <v>6744</v>
      </c>
      <c r="F2203" t="s">
        <v>695</v>
      </c>
      <c r="G2203" t="s">
        <v>6745</v>
      </c>
      <c r="H2203" t="s">
        <v>697</v>
      </c>
      <c r="I2203" s="32">
        <v>44992.828541666669</v>
      </c>
      <c r="J2203" s="32">
        <v>44996.828541666669</v>
      </c>
      <c r="K2203" s="32" t="s">
        <v>7473</v>
      </c>
      <c r="L2203" s="8" t="str">
        <f t="shared" si="871"/>
        <v/>
      </c>
      <c r="M2203" s="7">
        <v>45013.828541666669</v>
      </c>
      <c r="N2203" t="s">
        <v>49</v>
      </c>
      <c r="O2203" s="34">
        <v>45004.828541666669</v>
      </c>
      <c r="P2203" t="s">
        <v>60</v>
      </c>
      <c r="R2203" s="32">
        <v>45009.828541666669</v>
      </c>
      <c r="S2203" t="s">
        <v>61</v>
      </c>
      <c r="T2203" s="34" t="s">
        <v>7476</v>
      </c>
      <c r="U2203" s="34" t="s">
        <v>7476</v>
      </c>
      <c r="V2203" s="32">
        <v>45008.828541666669</v>
      </c>
      <c r="W2203" s="32" t="s">
        <v>7476</v>
      </c>
      <c r="X2203">
        <v>0</v>
      </c>
      <c r="Y2203" s="34" t="s">
        <v>7476</v>
      </c>
      <c r="Z2203" s="34" t="s">
        <v>7476</v>
      </c>
      <c r="AA2203" s="34" t="s">
        <v>7476</v>
      </c>
      <c r="AB2203" s="36" t="s">
        <v>7476</v>
      </c>
      <c r="AD2203" t="s">
        <v>6839</v>
      </c>
      <c r="AE2203" t="s">
        <v>6840</v>
      </c>
      <c r="AF2203" s="16">
        <v>44992</v>
      </c>
      <c r="AG2203" t="s">
        <v>98</v>
      </c>
      <c r="AH2203">
        <v>6</v>
      </c>
      <c r="AK2203" s="38">
        <f t="shared" si="872"/>
        <v>45188.828541666669</v>
      </c>
    </row>
    <row r="2204" spans="1:43" x14ac:dyDescent="0.35">
      <c r="A2204">
        <v>428</v>
      </c>
      <c r="B2204" t="s">
        <v>6841</v>
      </c>
      <c r="C2204" t="s">
        <v>6525</v>
      </c>
      <c r="D2204" t="str">
        <f t="shared" si="870"/>
        <v>Capacity Building</v>
      </c>
      <c r="E2204" t="s">
        <v>6744</v>
      </c>
      <c r="F2204" t="s">
        <v>695</v>
      </c>
      <c r="G2204" t="s">
        <v>6745</v>
      </c>
      <c r="H2204" t="s">
        <v>697</v>
      </c>
      <c r="I2204" s="32">
        <v>44983.544421296298</v>
      </c>
      <c r="J2204" s="32" t="s">
        <v>7471</v>
      </c>
      <c r="K2204" s="32">
        <v>44987.544421296298</v>
      </c>
      <c r="L2204" s="8">
        <f t="shared" si="871"/>
        <v>4</v>
      </c>
      <c r="M2204" s="7">
        <v>45012.544421296298</v>
      </c>
      <c r="N2204" t="s">
        <v>49</v>
      </c>
      <c r="O2204" s="34">
        <v>44998.544421296298</v>
      </c>
      <c r="P2204" t="s">
        <v>50</v>
      </c>
      <c r="Q2204" t="s">
        <v>125</v>
      </c>
      <c r="R2204" s="32" t="s">
        <v>7472</v>
      </c>
      <c r="S2204" t="s">
        <v>7476</v>
      </c>
      <c r="T2204" s="34" t="s">
        <v>7476</v>
      </c>
      <c r="U2204" s="34" t="s">
        <v>7476</v>
      </c>
      <c r="V2204" s="32" t="s">
        <v>7476</v>
      </c>
      <c r="W2204" s="32" t="s">
        <v>7476</v>
      </c>
      <c r="X2204">
        <v>0</v>
      </c>
      <c r="Y2204" s="34" t="s">
        <v>7476</v>
      </c>
      <c r="Z2204" s="34" t="s">
        <v>7476</v>
      </c>
      <c r="AA2204" s="34" t="s">
        <v>7476</v>
      </c>
      <c r="AB2204" s="36" t="s">
        <v>95</v>
      </c>
      <c r="AD2204" t="s">
        <v>6842</v>
      </c>
      <c r="AE2204" t="s">
        <v>6843</v>
      </c>
      <c r="AF2204" s="16">
        <v>44990</v>
      </c>
      <c r="AG2204" t="s">
        <v>64</v>
      </c>
      <c r="AH2204">
        <v>3</v>
      </c>
      <c r="AK2204" s="38" t="str">
        <f t="shared" si="872"/>
        <v/>
      </c>
    </row>
    <row r="2205" spans="1:43" x14ac:dyDescent="0.35">
      <c r="A2205">
        <v>423</v>
      </c>
      <c r="B2205" t="s">
        <v>6844</v>
      </c>
      <c r="C2205" t="s">
        <v>6525</v>
      </c>
      <c r="D2205" t="str">
        <f t="shared" si="870"/>
        <v>Capacity Building</v>
      </c>
      <c r="E2205" t="s">
        <v>6744</v>
      </c>
      <c r="F2205" t="s">
        <v>695</v>
      </c>
      <c r="G2205" t="s">
        <v>6745</v>
      </c>
      <c r="H2205" t="s">
        <v>697</v>
      </c>
      <c r="I2205" s="32">
        <v>44979.544421296298</v>
      </c>
      <c r="J2205" s="32">
        <v>44982.544421296298</v>
      </c>
      <c r="K2205" s="32">
        <v>44987.544421296298</v>
      </c>
      <c r="L2205" s="8">
        <f t="shared" si="871"/>
        <v>8</v>
      </c>
      <c r="M2205" s="7">
        <v>45008.544421296298</v>
      </c>
      <c r="N2205" t="s">
        <v>49</v>
      </c>
      <c r="O2205" s="34">
        <v>44998.544421296298</v>
      </c>
      <c r="P2205" t="s">
        <v>101</v>
      </c>
      <c r="R2205" s="32">
        <v>45006.544421296298</v>
      </c>
      <c r="S2205" t="s">
        <v>101</v>
      </c>
      <c r="T2205" s="34">
        <v>44999.544421296298</v>
      </c>
      <c r="U2205" s="34">
        <v>45002.544421296298</v>
      </c>
      <c r="V2205" s="32">
        <v>45002.544421296298</v>
      </c>
      <c r="W2205" s="32">
        <v>45005.544421296298</v>
      </c>
      <c r="X2205">
        <v>1</v>
      </c>
      <c r="Y2205" s="34">
        <v>45008.544421296298</v>
      </c>
      <c r="Z2205" s="34">
        <v>45009.544421296298</v>
      </c>
      <c r="AA2205" s="34">
        <v>45010.544421296298</v>
      </c>
      <c r="AB2205" s="36" t="s">
        <v>7476</v>
      </c>
      <c r="AC2205" s="10">
        <v>45021.544421296298</v>
      </c>
      <c r="AD2205" t="s">
        <v>6845</v>
      </c>
      <c r="AE2205" t="s">
        <v>6846</v>
      </c>
      <c r="AF2205" s="16">
        <v>45110</v>
      </c>
      <c r="AG2205" t="s">
        <v>98</v>
      </c>
      <c r="AH2205">
        <v>6</v>
      </c>
      <c r="AI2205" s="8">
        <f>IFERROR(R2205-AF2205,"")</f>
        <v>-103.45557870370249</v>
      </c>
      <c r="AJ2205" s="8">
        <f>IFERROR(O2205-AF2205,"")</f>
        <v>-111.45557870370249</v>
      </c>
      <c r="AK2205" s="38">
        <f t="shared" si="872"/>
        <v>45182.544421296298</v>
      </c>
      <c r="AL2205">
        <f>IFERROR(Z2205-W2205,"")</f>
        <v>4</v>
      </c>
      <c r="AM2205">
        <f>IFERROR(R2205-J2205,"")</f>
        <v>24</v>
      </c>
      <c r="AN2205">
        <f>IFERROR(V2205-O2205,"")</f>
        <v>4</v>
      </c>
      <c r="AO2205">
        <f>IFERROR(J2205-I2205,"")</f>
        <v>3</v>
      </c>
      <c r="AP2205">
        <f>IFERROR(AC2205-X2205,"")</f>
        <v>45020.544421296298</v>
      </c>
      <c r="AQ2205">
        <f>IFERROR(AA2205-W2205,"")</f>
        <v>5</v>
      </c>
    </row>
    <row r="2206" spans="1:43" x14ac:dyDescent="0.35">
      <c r="A2206">
        <v>421</v>
      </c>
      <c r="B2206" t="s">
        <v>6847</v>
      </c>
      <c r="C2206" t="s">
        <v>6525</v>
      </c>
      <c r="D2206" t="str">
        <f t="shared" si="870"/>
        <v>Capacity Building</v>
      </c>
      <c r="E2206" t="s">
        <v>6744</v>
      </c>
      <c r="F2206" t="s">
        <v>695</v>
      </c>
      <c r="G2206" t="s">
        <v>6745</v>
      </c>
      <c r="H2206" t="s">
        <v>697</v>
      </c>
      <c r="I2206" s="32" t="s">
        <v>7471</v>
      </c>
      <c r="J2206" s="32">
        <v>44985.544421296298</v>
      </c>
      <c r="K2206" s="32">
        <v>44987.544421296298</v>
      </c>
      <c r="L2206" s="8" t="str">
        <f t="shared" si="871"/>
        <v/>
      </c>
      <c r="M2206" s="7">
        <v>44992.544421296298</v>
      </c>
      <c r="N2206" t="s">
        <v>49</v>
      </c>
      <c r="O2206" s="34">
        <v>44997.544421296298</v>
      </c>
      <c r="P2206" t="s">
        <v>101</v>
      </c>
      <c r="R2206" s="32">
        <v>45001.544421296298</v>
      </c>
      <c r="S2206" t="s">
        <v>101</v>
      </c>
      <c r="T2206" s="34">
        <v>44998.544421296298</v>
      </c>
      <c r="U2206" s="34">
        <v>45001.544421296298</v>
      </c>
      <c r="V2206" s="32">
        <v>44999.544421296298</v>
      </c>
      <c r="W2206" s="32">
        <v>45005.544421296298</v>
      </c>
      <c r="X2206">
        <v>1</v>
      </c>
      <c r="Y2206" s="34">
        <v>45007.544421296298</v>
      </c>
      <c r="Z2206" s="34">
        <v>45009.544421296298</v>
      </c>
      <c r="AA2206" s="34">
        <v>45011.544421296298</v>
      </c>
      <c r="AB2206" s="36" t="s">
        <v>7476</v>
      </c>
      <c r="AC2206" s="10">
        <v>45024.544421296298</v>
      </c>
      <c r="AD2206" t="s">
        <v>6848</v>
      </c>
      <c r="AE2206" t="s">
        <v>6849</v>
      </c>
      <c r="AF2206" s="16">
        <v>44989</v>
      </c>
      <c r="AG2206" t="s">
        <v>68</v>
      </c>
      <c r="AH2206">
        <v>3</v>
      </c>
      <c r="AK2206" s="38">
        <f t="shared" si="872"/>
        <v>45089.544421296298</v>
      </c>
    </row>
    <row r="2207" spans="1:43" x14ac:dyDescent="0.35">
      <c r="A2207">
        <v>267</v>
      </c>
      <c r="B2207" t="s">
        <v>6850</v>
      </c>
      <c r="C2207" t="s">
        <v>6531</v>
      </c>
      <c r="D2207" t="str">
        <f t="shared" si="870"/>
        <v>Capacity Building</v>
      </c>
      <c r="E2207" t="s">
        <v>6744</v>
      </c>
      <c r="F2207" t="s">
        <v>695</v>
      </c>
      <c r="G2207" t="s">
        <v>6745</v>
      </c>
      <c r="H2207" t="s">
        <v>697</v>
      </c>
      <c r="I2207" s="32">
        <v>44766.282581018517</v>
      </c>
      <c r="J2207" s="32">
        <v>44767.282581018517</v>
      </c>
      <c r="K2207" s="32" t="s">
        <v>7473</v>
      </c>
      <c r="L2207" s="8" t="str">
        <f t="shared" si="871"/>
        <v/>
      </c>
      <c r="M2207" s="7">
        <v>44791.282581018517</v>
      </c>
      <c r="N2207" t="s">
        <v>49</v>
      </c>
      <c r="O2207" s="34">
        <v>44775.282581018517</v>
      </c>
      <c r="P2207" t="s">
        <v>50</v>
      </c>
      <c r="Q2207" t="s">
        <v>125</v>
      </c>
      <c r="R2207" s="32" t="s">
        <v>7472</v>
      </c>
      <c r="S2207" t="s">
        <v>7476</v>
      </c>
      <c r="T2207" s="34" t="s">
        <v>7476</v>
      </c>
      <c r="U2207" s="34" t="s">
        <v>7476</v>
      </c>
      <c r="V2207" s="32">
        <v>44779.282581018517</v>
      </c>
      <c r="W2207" s="32" t="s">
        <v>7476</v>
      </c>
      <c r="X2207">
        <v>0</v>
      </c>
      <c r="Y2207" s="34" t="s">
        <v>7476</v>
      </c>
      <c r="Z2207" s="34" t="s">
        <v>7476</v>
      </c>
      <c r="AA2207" s="34" t="s">
        <v>7476</v>
      </c>
      <c r="AB2207" s="36" t="s">
        <v>52</v>
      </c>
      <c r="AD2207" t="s">
        <v>6851</v>
      </c>
      <c r="AE2207" t="s">
        <v>6852</v>
      </c>
      <c r="AF2207" s="16">
        <v>44758</v>
      </c>
      <c r="AG2207" t="s">
        <v>64</v>
      </c>
      <c r="AH2207">
        <v>3</v>
      </c>
      <c r="AK2207" s="38">
        <f t="shared" si="872"/>
        <v>44869.282581018517</v>
      </c>
    </row>
    <row r="2208" spans="1:43" x14ac:dyDescent="0.35">
      <c r="A2208">
        <v>263</v>
      </c>
      <c r="B2208" t="s">
        <v>6853</v>
      </c>
      <c r="C2208" t="s">
        <v>6550</v>
      </c>
      <c r="D2208" t="str">
        <f t="shared" si="870"/>
        <v>Capacity Building</v>
      </c>
      <c r="E2208" t="s">
        <v>6744</v>
      </c>
      <c r="F2208" t="s">
        <v>695</v>
      </c>
      <c r="G2208" t="s">
        <v>6745</v>
      </c>
      <c r="H2208" t="s">
        <v>697</v>
      </c>
      <c r="I2208" s="32">
        <v>44761.282581018517</v>
      </c>
      <c r="J2208" s="32">
        <v>44764.282581018517</v>
      </c>
      <c r="K2208" s="32" t="s">
        <v>7473</v>
      </c>
      <c r="L2208" s="8" t="str">
        <f t="shared" si="871"/>
        <v/>
      </c>
      <c r="M2208" s="7">
        <v>44784.282581018517</v>
      </c>
      <c r="N2208" t="s">
        <v>49</v>
      </c>
      <c r="O2208" s="34">
        <v>44785.282581018517</v>
      </c>
      <c r="P2208" t="s">
        <v>60</v>
      </c>
      <c r="R2208" s="32">
        <v>44791.282581018517</v>
      </c>
      <c r="S2208" t="s">
        <v>61</v>
      </c>
      <c r="T2208" s="34" t="s">
        <v>7476</v>
      </c>
      <c r="U2208" s="34" t="s">
        <v>7476</v>
      </c>
      <c r="V2208" s="32">
        <v>44788.282581018517</v>
      </c>
      <c r="W2208" s="32" t="s">
        <v>7476</v>
      </c>
      <c r="X2208">
        <v>0</v>
      </c>
      <c r="Y2208" s="34" t="s">
        <v>7476</v>
      </c>
      <c r="Z2208" s="34" t="s">
        <v>7476</v>
      </c>
      <c r="AA2208" s="34" t="s">
        <v>7476</v>
      </c>
      <c r="AB2208" s="36" t="s">
        <v>7476</v>
      </c>
      <c r="AD2208" t="s">
        <v>6854</v>
      </c>
      <c r="AE2208" t="s">
        <v>6855</v>
      </c>
      <c r="AF2208" s="16">
        <v>44769</v>
      </c>
      <c r="AG2208" t="s">
        <v>75</v>
      </c>
      <c r="AH2208">
        <v>6</v>
      </c>
      <c r="AK2208" s="38">
        <f t="shared" si="872"/>
        <v>44968.282581018517</v>
      </c>
    </row>
    <row r="2209" spans="1:43" x14ac:dyDescent="0.35">
      <c r="A2209">
        <v>261</v>
      </c>
      <c r="B2209" t="s">
        <v>6856</v>
      </c>
      <c r="C2209" t="s">
        <v>6531</v>
      </c>
      <c r="D2209" t="str">
        <f t="shared" si="870"/>
        <v>Capacity Building</v>
      </c>
      <c r="E2209" t="s">
        <v>6744</v>
      </c>
      <c r="F2209" t="s">
        <v>695</v>
      </c>
      <c r="G2209" t="s">
        <v>6745</v>
      </c>
      <c r="H2209" t="s">
        <v>697</v>
      </c>
      <c r="I2209" s="32">
        <v>44767.282581018517</v>
      </c>
      <c r="J2209" s="32">
        <v>44769.282581018517</v>
      </c>
      <c r="K2209" s="32">
        <v>44770.282581018517</v>
      </c>
      <c r="L2209" s="8">
        <f t="shared" si="871"/>
        <v>3</v>
      </c>
      <c r="M2209" s="7">
        <v>44797.282581018517</v>
      </c>
      <c r="N2209" t="s">
        <v>72</v>
      </c>
      <c r="O2209" s="34" t="s">
        <v>7474</v>
      </c>
      <c r="R2209" s="32" t="s">
        <v>7472</v>
      </c>
      <c r="S2209" t="s">
        <v>7476</v>
      </c>
      <c r="T2209" s="34" t="s">
        <v>7476</v>
      </c>
      <c r="U2209" s="34" t="s">
        <v>7476</v>
      </c>
      <c r="V2209" s="32" t="s">
        <v>7476</v>
      </c>
      <c r="W2209" s="32" t="s">
        <v>7476</v>
      </c>
      <c r="X2209">
        <v>0</v>
      </c>
      <c r="Y2209" s="34" t="s">
        <v>7476</v>
      </c>
      <c r="Z2209" s="34" t="s">
        <v>7476</v>
      </c>
      <c r="AA2209" s="34" t="s">
        <v>7476</v>
      </c>
      <c r="AB2209" s="36" t="s">
        <v>7476</v>
      </c>
      <c r="AD2209" t="s">
        <v>6857</v>
      </c>
      <c r="AE2209" t="s">
        <v>6858</v>
      </c>
      <c r="AG2209" t="s">
        <v>68</v>
      </c>
      <c r="AH2209">
        <v>3</v>
      </c>
      <c r="AI2209" s="8" t="str">
        <f>IFERROR(R2209-AF2209,"")</f>
        <v/>
      </c>
      <c r="AJ2209" s="8" t="str">
        <f>IFERROR(O2209-AF2209,"")</f>
        <v/>
      </c>
      <c r="AK2209" s="38" t="str">
        <f t="shared" si="872"/>
        <v/>
      </c>
      <c r="AL2209" t="str">
        <f>IFERROR(Z2209-W2209,"")</f>
        <v/>
      </c>
      <c r="AM2209" t="str">
        <f>IFERROR(R2209-J2209,"")</f>
        <v/>
      </c>
      <c r="AN2209" t="str">
        <f>IFERROR(V2209-O2209,"")</f>
        <v/>
      </c>
      <c r="AO2209">
        <f>IFERROR(J2209-I2209,"")</f>
        <v>2</v>
      </c>
      <c r="AP2209">
        <f>IFERROR(AC2209-X2209,"")</f>
        <v>0</v>
      </c>
      <c r="AQ2209" t="str">
        <f>IFERROR(AA2209-W2209,"")</f>
        <v/>
      </c>
    </row>
    <row r="2210" spans="1:43" x14ac:dyDescent="0.35">
      <c r="A2210">
        <v>260</v>
      </c>
      <c r="B2210" t="s">
        <v>6859</v>
      </c>
      <c r="C2210" t="s">
        <v>6550</v>
      </c>
      <c r="D2210" t="str">
        <f t="shared" si="870"/>
        <v>Capacity Building</v>
      </c>
      <c r="E2210" t="s">
        <v>6744</v>
      </c>
      <c r="F2210" t="s">
        <v>695</v>
      </c>
      <c r="G2210" t="s">
        <v>6745</v>
      </c>
      <c r="H2210" t="s">
        <v>697</v>
      </c>
      <c r="I2210" s="32">
        <v>44704.632962962962</v>
      </c>
      <c r="J2210" s="32">
        <v>44708.632962962962</v>
      </c>
      <c r="K2210" s="32">
        <v>44713.632962962962</v>
      </c>
      <c r="L2210" s="8">
        <f t="shared" si="871"/>
        <v>9</v>
      </c>
      <c r="M2210" s="7">
        <v>44730.632962962962</v>
      </c>
      <c r="N2210" t="s">
        <v>49</v>
      </c>
      <c r="O2210" s="34">
        <v>44728.632962962962</v>
      </c>
      <c r="P2210" t="s">
        <v>60</v>
      </c>
      <c r="R2210" s="32">
        <v>44733.632962962962</v>
      </c>
      <c r="S2210" t="s">
        <v>61</v>
      </c>
      <c r="T2210" s="34" t="s">
        <v>7476</v>
      </c>
      <c r="U2210" s="34" t="s">
        <v>7476</v>
      </c>
      <c r="V2210" s="32">
        <v>44730.632962962962</v>
      </c>
      <c r="W2210" s="32" t="s">
        <v>7476</v>
      </c>
      <c r="X2210">
        <v>0</v>
      </c>
      <c r="Y2210" s="34" t="s">
        <v>7476</v>
      </c>
      <c r="Z2210" s="34" t="s">
        <v>7476</v>
      </c>
      <c r="AA2210" s="34" t="s">
        <v>7476</v>
      </c>
      <c r="AB2210" s="36" t="s">
        <v>7476</v>
      </c>
      <c r="AD2210" t="s">
        <v>6860</v>
      </c>
      <c r="AE2210" t="s">
        <v>6861</v>
      </c>
      <c r="AF2210" s="16">
        <v>44718</v>
      </c>
      <c r="AG2210" t="s">
        <v>98</v>
      </c>
      <c r="AH2210">
        <v>6</v>
      </c>
      <c r="AI2210" s="8">
        <f>IFERROR(R2210-AF2210,"")</f>
        <v>15.632962962961756</v>
      </c>
      <c r="AJ2210" s="8">
        <f>IFERROR(O2210-AF2210,"")</f>
        <v>10.632962962961756</v>
      </c>
      <c r="AK2210" s="38">
        <f t="shared" si="872"/>
        <v>44910.632962962962</v>
      </c>
      <c r="AL2210" t="str">
        <f>IFERROR(Z2210-W2210,"")</f>
        <v/>
      </c>
      <c r="AM2210">
        <f>IFERROR(R2210-J2210,"")</f>
        <v>25</v>
      </c>
      <c r="AN2210">
        <f>IFERROR(V2210-O2210,"")</f>
        <v>2</v>
      </c>
      <c r="AO2210">
        <f>IFERROR(J2210-I2210,"")</f>
        <v>4</v>
      </c>
      <c r="AP2210">
        <f>IFERROR(AC2210-X2210,"")</f>
        <v>0</v>
      </c>
      <c r="AQ2210" t="str">
        <f>IFERROR(AA2210-W2210,"")</f>
        <v/>
      </c>
    </row>
    <row r="2211" spans="1:43" x14ac:dyDescent="0.35">
      <c r="A2211">
        <v>240</v>
      </c>
      <c r="B2211" t="s">
        <v>6862</v>
      </c>
      <c r="C2211" t="s">
        <v>6525</v>
      </c>
      <c r="D2211" t="str">
        <f t="shared" si="870"/>
        <v>Capacity Building</v>
      </c>
      <c r="E2211" t="s">
        <v>6744</v>
      </c>
      <c r="F2211" t="s">
        <v>695</v>
      </c>
      <c r="G2211" t="s">
        <v>6745</v>
      </c>
      <c r="H2211" t="s">
        <v>697</v>
      </c>
      <c r="I2211" s="32">
        <v>44595.810960648138</v>
      </c>
      <c r="J2211" s="32">
        <v>44597.810960648138</v>
      </c>
      <c r="K2211" s="32">
        <v>44603.810960648138</v>
      </c>
      <c r="L2211" s="8">
        <f t="shared" si="871"/>
        <v>8</v>
      </c>
      <c r="M2211" s="7">
        <v>44618.810960648138</v>
      </c>
      <c r="N2211" t="s">
        <v>49</v>
      </c>
      <c r="O2211" s="34">
        <v>44616.810960648138</v>
      </c>
      <c r="P2211" t="s">
        <v>392</v>
      </c>
      <c r="R2211" s="32">
        <v>44621.810960648138</v>
      </c>
      <c r="S2211" t="s">
        <v>392</v>
      </c>
      <c r="T2211" s="34" t="s">
        <v>7476</v>
      </c>
      <c r="U2211" s="34" t="s">
        <v>7476</v>
      </c>
      <c r="V2211" s="32">
        <v>44617.810960648138</v>
      </c>
      <c r="W2211" s="32" t="s">
        <v>7476</v>
      </c>
      <c r="X2211">
        <v>0</v>
      </c>
      <c r="Y2211" s="34" t="s">
        <v>7476</v>
      </c>
      <c r="Z2211" s="34" t="s">
        <v>7476</v>
      </c>
      <c r="AA2211" s="34" t="s">
        <v>7476</v>
      </c>
      <c r="AB2211" s="36" t="s">
        <v>7476</v>
      </c>
      <c r="AD2211" t="s">
        <v>6863</v>
      </c>
      <c r="AE2211" t="s">
        <v>6864</v>
      </c>
      <c r="AF2211" s="16">
        <v>44609</v>
      </c>
      <c r="AG2211" t="s">
        <v>68</v>
      </c>
      <c r="AH2211">
        <v>6</v>
      </c>
      <c r="AI2211" s="8">
        <f>IFERROR(R2211-AF2211,"")</f>
        <v>12.810960648137552</v>
      </c>
      <c r="AJ2211" s="8">
        <f>IFERROR(O2211-AF2211,"")</f>
        <v>7.8109606481375522</v>
      </c>
      <c r="AK2211" s="38">
        <f t="shared" si="872"/>
        <v>44797.810960648138</v>
      </c>
      <c r="AL2211" t="str">
        <f>IFERROR(Z2211-W2211,"")</f>
        <v/>
      </c>
      <c r="AM2211">
        <f>IFERROR(R2211-J2211,"")</f>
        <v>24</v>
      </c>
      <c r="AN2211">
        <f>IFERROR(V2211-O2211,"")</f>
        <v>1</v>
      </c>
      <c r="AO2211">
        <f>IFERROR(J2211-I2211,"")</f>
        <v>2</v>
      </c>
      <c r="AP2211">
        <f>IFERROR(AC2211-X2211,"")</f>
        <v>0</v>
      </c>
      <c r="AQ2211" t="str">
        <f>IFERROR(AA2211-W2211,"")</f>
        <v/>
      </c>
    </row>
    <row r="2212" spans="1:43" x14ac:dyDescent="0.35">
      <c r="A2212">
        <v>232</v>
      </c>
      <c r="B2212" t="s">
        <v>6865</v>
      </c>
      <c r="C2212" t="s">
        <v>6525</v>
      </c>
      <c r="D2212" t="str">
        <f t="shared" si="870"/>
        <v>Capacity Building</v>
      </c>
      <c r="E2212" t="s">
        <v>6744</v>
      </c>
      <c r="F2212" t="s">
        <v>695</v>
      </c>
      <c r="G2212" t="s">
        <v>6745</v>
      </c>
      <c r="H2212" t="s">
        <v>697</v>
      </c>
      <c r="I2212" s="32">
        <v>44598.810960648138</v>
      </c>
      <c r="J2212" s="32">
        <v>44601.810960648138</v>
      </c>
      <c r="K2212" s="32">
        <v>44603.810960648138</v>
      </c>
      <c r="L2212" s="8">
        <f t="shared" si="871"/>
        <v>5</v>
      </c>
      <c r="M2212" s="7">
        <v>44613.810960648138</v>
      </c>
      <c r="N2212" t="s">
        <v>49</v>
      </c>
      <c r="O2212" s="34">
        <v>44616.810960648138</v>
      </c>
      <c r="P2212" t="s">
        <v>50</v>
      </c>
      <c r="Q2212" t="s">
        <v>198</v>
      </c>
      <c r="R2212" s="32" t="s">
        <v>7472</v>
      </c>
      <c r="S2212" t="s">
        <v>7476</v>
      </c>
      <c r="T2212" s="34" t="s">
        <v>7476</v>
      </c>
      <c r="U2212" s="34" t="s">
        <v>7476</v>
      </c>
      <c r="V2212" s="32">
        <v>44617.810960648138</v>
      </c>
      <c r="W2212" s="32" t="s">
        <v>7476</v>
      </c>
      <c r="X2212">
        <v>0</v>
      </c>
      <c r="Y2212" s="34" t="s">
        <v>7476</v>
      </c>
      <c r="Z2212" s="34" t="s">
        <v>7476</v>
      </c>
      <c r="AA2212" s="34" t="s">
        <v>7476</v>
      </c>
      <c r="AB2212" s="36" t="s">
        <v>52</v>
      </c>
      <c r="AD2212" t="s">
        <v>6866</v>
      </c>
      <c r="AE2212" t="s">
        <v>6867</v>
      </c>
      <c r="AF2212" s="16">
        <v>44806</v>
      </c>
      <c r="AG2212" t="s">
        <v>68</v>
      </c>
      <c r="AH2212">
        <v>3</v>
      </c>
      <c r="AI2212" s="8" t="str">
        <f>IFERROR(R2212-AF2212,"")</f>
        <v/>
      </c>
      <c r="AJ2212" s="8">
        <f>IFERROR(O2212-AF2212,"")</f>
        <v>-189.18903935186245</v>
      </c>
      <c r="AK2212" s="38">
        <f t="shared" si="872"/>
        <v>44707.810960648138</v>
      </c>
      <c r="AL2212" t="str">
        <f>IFERROR(Z2212-W2212,"")</f>
        <v/>
      </c>
      <c r="AM2212" t="str">
        <f>IFERROR(R2212-J2212,"")</f>
        <v/>
      </c>
      <c r="AN2212">
        <f>IFERROR(V2212-O2212,"")</f>
        <v>1</v>
      </c>
      <c r="AO2212">
        <f>IFERROR(J2212-I2212,"")</f>
        <v>3</v>
      </c>
      <c r="AP2212">
        <f>IFERROR(AC2212-X2212,"")</f>
        <v>0</v>
      </c>
      <c r="AQ2212" t="str">
        <f>IFERROR(AA2212-W2212,"")</f>
        <v/>
      </c>
    </row>
    <row r="2213" spans="1:43" x14ac:dyDescent="0.35">
      <c r="A2213">
        <v>225</v>
      </c>
      <c r="B2213" t="s">
        <v>6868</v>
      </c>
      <c r="C2213" t="s">
        <v>6550</v>
      </c>
      <c r="D2213" t="str">
        <f t="shared" si="870"/>
        <v>Capacity Building</v>
      </c>
      <c r="E2213" t="s">
        <v>6744</v>
      </c>
      <c r="F2213" t="s">
        <v>695</v>
      </c>
      <c r="G2213" t="s">
        <v>6745</v>
      </c>
      <c r="H2213" t="s">
        <v>697</v>
      </c>
      <c r="I2213" s="32" t="s">
        <v>7471</v>
      </c>
      <c r="J2213" s="32">
        <v>44742.447731481479</v>
      </c>
      <c r="K2213" s="32">
        <v>44744.447731481479</v>
      </c>
      <c r="L2213" s="8" t="str">
        <f t="shared" si="871"/>
        <v/>
      </c>
      <c r="M2213" s="7">
        <v>44762.447731481479</v>
      </c>
      <c r="N2213" t="s">
        <v>49</v>
      </c>
      <c r="O2213" s="34">
        <v>44761.447731481479</v>
      </c>
      <c r="P2213" t="s">
        <v>50</v>
      </c>
      <c r="Q2213" t="s">
        <v>84</v>
      </c>
      <c r="R2213" s="32" t="s">
        <v>7472</v>
      </c>
      <c r="S2213" t="s">
        <v>7476</v>
      </c>
      <c r="T2213" s="34" t="s">
        <v>7476</v>
      </c>
      <c r="U2213" s="34" t="s">
        <v>7476</v>
      </c>
      <c r="V2213" s="32" t="s">
        <v>7476</v>
      </c>
      <c r="W2213" s="32" t="s">
        <v>7476</v>
      </c>
      <c r="X2213">
        <v>0</v>
      </c>
      <c r="Y2213" s="34" t="s">
        <v>7476</v>
      </c>
      <c r="Z2213" s="34" t="s">
        <v>7476</v>
      </c>
      <c r="AA2213" s="34" t="s">
        <v>7476</v>
      </c>
      <c r="AB2213" s="36" t="s">
        <v>95</v>
      </c>
      <c r="AD2213" t="s">
        <v>6869</v>
      </c>
      <c r="AE2213" t="s">
        <v>6870</v>
      </c>
      <c r="AF2213" s="16">
        <v>44780</v>
      </c>
      <c r="AG2213" t="s">
        <v>64</v>
      </c>
      <c r="AH2213">
        <v>6</v>
      </c>
      <c r="AK2213" s="38" t="str">
        <f t="shared" si="872"/>
        <v/>
      </c>
    </row>
    <row r="2214" spans="1:43" x14ac:dyDescent="0.35">
      <c r="A2214">
        <v>221</v>
      </c>
      <c r="B2214" t="s">
        <v>6871</v>
      </c>
      <c r="C2214" t="s">
        <v>6525</v>
      </c>
      <c r="D2214" t="str">
        <f t="shared" si="870"/>
        <v>Capacity Building</v>
      </c>
      <c r="E2214" t="s">
        <v>6744</v>
      </c>
      <c r="F2214" t="s">
        <v>695</v>
      </c>
      <c r="G2214" t="s">
        <v>6745</v>
      </c>
      <c r="H2214" t="s">
        <v>697</v>
      </c>
      <c r="I2214" s="32">
        <v>44738.447731481479</v>
      </c>
      <c r="J2214" s="32">
        <v>44740.447731481479</v>
      </c>
      <c r="K2214" s="32" t="s">
        <v>7473</v>
      </c>
      <c r="L2214" s="8" t="str">
        <f t="shared" si="871"/>
        <v/>
      </c>
      <c r="M2214" s="7">
        <v>44764.447731481479</v>
      </c>
      <c r="N2214" t="s">
        <v>49</v>
      </c>
      <c r="O2214" s="34">
        <v>44751.447731481479</v>
      </c>
      <c r="P2214" t="s">
        <v>50</v>
      </c>
      <c r="Q2214" t="s">
        <v>236</v>
      </c>
      <c r="R2214" s="32" t="s">
        <v>7472</v>
      </c>
      <c r="S2214" t="s">
        <v>7476</v>
      </c>
      <c r="T2214" s="34" t="s">
        <v>7476</v>
      </c>
      <c r="U2214" s="34" t="s">
        <v>7476</v>
      </c>
      <c r="V2214" s="32">
        <v>44753.447731481479</v>
      </c>
      <c r="W2214" s="32" t="s">
        <v>7476</v>
      </c>
      <c r="X2214">
        <v>0</v>
      </c>
      <c r="Y2214" s="34" t="s">
        <v>7476</v>
      </c>
      <c r="Z2214" s="34" t="s">
        <v>7476</v>
      </c>
      <c r="AA2214" s="34" t="s">
        <v>7476</v>
      </c>
      <c r="AB2214" s="36" t="s">
        <v>95</v>
      </c>
      <c r="AD2214" t="s">
        <v>6872</v>
      </c>
      <c r="AE2214" t="s">
        <v>6873</v>
      </c>
      <c r="AF2214" s="16">
        <v>44742</v>
      </c>
      <c r="AG2214" t="s">
        <v>75</v>
      </c>
      <c r="AH2214">
        <v>3</v>
      </c>
      <c r="AK2214" s="38">
        <f t="shared" si="872"/>
        <v>44843.447731481479</v>
      </c>
    </row>
    <row r="2215" spans="1:43" x14ac:dyDescent="0.35">
      <c r="A2215">
        <v>152</v>
      </c>
      <c r="B2215" t="s">
        <v>6874</v>
      </c>
      <c r="C2215" t="s">
        <v>6531</v>
      </c>
      <c r="D2215" t="str">
        <f t="shared" si="870"/>
        <v>Capacity Building</v>
      </c>
      <c r="E2215" t="s">
        <v>6744</v>
      </c>
      <c r="F2215" t="s">
        <v>695</v>
      </c>
      <c r="G2215" t="s">
        <v>6745</v>
      </c>
      <c r="H2215" t="s">
        <v>697</v>
      </c>
      <c r="I2215" s="32">
        <v>44928.64434027778</v>
      </c>
      <c r="J2215" s="32" t="s">
        <v>7471</v>
      </c>
      <c r="K2215" s="32">
        <v>44938.64434027778</v>
      </c>
      <c r="L2215" s="8">
        <f t="shared" si="871"/>
        <v>10</v>
      </c>
      <c r="M2215" s="7">
        <v>44952.64434027778</v>
      </c>
      <c r="N2215" t="s">
        <v>49</v>
      </c>
      <c r="O2215" s="34">
        <v>44951.64434027778</v>
      </c>
      <c r="P2215" t="s">
        <v>392</v>
      </c>
      <c r="R2215" s="32">
        <v>44954.64434027778</v>
      </c>
      <c r="S2215" t="s">
        <v>392</v>
      </c>
      <c r="T2215" s="34" t="s">
        <v>7476</v>
      </c>
      <c r="U2215" s="34" t="s">
        <v>7476</v>
      </c>
      <c r="V2215" s="32">
        <v>44953.64434027778</v>
      </c>
      <c r="W2215" s="32" t="s">
        <v>7476</v>
      </c>
      <c r="X2215">
        <v>0</v>
      </c>
      <c r="Y2215" s="34" t="s">
        <v>7476</v>
      </c>
      <c r="Z2215" s="34" t="s">
        <v>7476</v>
      </c>
      <c r="AA2215" s="34" t="s">
        <v>7476</v>
      </c>
      <c r="AB2215" s="36" t="s">
        <v>7476</v>
      </c>
      <c r="AD2215" t="s">
        <v>6875</v>
      </c>
      <c r="AE2215" t="s">
        <v>6876</v>
      </c>
      <c r="AF2215" s="16">
        <v>44944</v>
      </c>
      <c r="AG2215" t="s">
        <v>75</v>
      </c>
      <c r="AH2215">
        <v>3</v>
      </c>
      <c r="AK2215" s="38">
        <f t="shared" si="872"/>
        <v>45043.64434027778</v>
      </c>
    </row>
    <row r="2216" spans="1:43" x14ac:dyDescent="0.35">
      <c r="A2216">
        <v>120</v>
      </c>
      <c r="B2216" t="s">
        <v>6877</v>
      </c>
      <c r="C2216" t="s">
        <v>6531</v>
      </c>
      <c r="D2216" t="str">
        <f t="shared" si="870"/>
        <v>Capacity Building</v>
      </c>
      <c r="E2216" t="s">
        <v>6744</v>
      </c>
      <c r="F2216" t="s">
        <v>695</v>
      </c>
      <c r="G2216" t="s">
        <v>6745</v>
      </c>
      <c r="H2216" t="s">
        <v>697</v>
      </c>
      <c r="I2216" s="32">
        <v>44739.19809027778</v>
      </c>
      <c r="J2216" s="32">
        <v>44743.19809027778</v>
      </c>
      <c r="K2216" s="32">
        <v>44746.19809027778</v>
      </c>
      <c r="L2216" s="8">
        <f t="shared" si="871"/>
        <v>7</v>
      </c>
      <c r="M2216" s="7">
        <v>44766.19809027778</v>
      </c>
      <c r="N2216" t="s">
        <v>72</v>
      </c>
      <c r="O2216" s="34" t="s">
        <v>7474</v>
      </c>
      <c r="R2216" s="32" t="s">
        <v>7472</v>
      </c>
      <c r="S2216" t="s">
        <v>7476</v>
      </c>
      <c r="T2216" s="34" t="s">
        <v>7476</v>
      </c>
      <c r="U2216" s="34" t="s">
        <v>7476</v>
      </c>
      <c r="V2216" s="32" t="s">
        <v>7476</v>
      </c>
      <c r="W2216" s="32" t="s">
        <v>7476</v>
      </c>
      <c r="X2216">
        <v>0</v>
      </c>
      <c r="Y2216" s="34" t="s">
        <v>7476</v>
      </c>
      <c r="Z2216" s="34" t="s">
        <v>7476</v>
      </c>
      <c r="AA2216" s="34" t="s">
        <v>7476</v>
      </c>
      <c r="AB2216" s="36" t="s">
        <v>7476</v>
      </c>
      <c r="AD2216" t="s">
        <v>6878</v>
      </c>
      <c r="AE2216" t="s">
        <v>6879</v>
      </c>
      <c r="AG2216" t="s">
        <v>64</v>
      </c>
      <c r="AH2216">
        <v>6</v>
      </c>
      <c r="AI2216" s="8" t="str">
        <f t="shared" ref="AI2216:AI2225" si="881">IFERROR(R2216-AF2216,"")</f>
        <v/>
      </c>
      <c r="AJ2216" s="8" t="str">
        <f t="shared" ref="AJ2216:AJ2225" si="882">IFERROR(O2216-AF2216,"")</f>
        <v/>
      </c>
      <c r="AK2216" s="38" t="str">
        <f t="shared" si="872"/>
        <v/>
      </c>
      <c r="AL2216" t="str">
        <f t="shared" ref="AL2216:AL2225" si="883">IFERROR(Z2216-W2216,"")</f>
        <v/>
      </c>
      <c r="AM2216" t="str">
        <f t="shared" ref="AM2216:AM2225" si="884">IFERROR(R2216-J2216,"")</f>
        <v/>
      </c>
      <c r="AN2216" t="str">
        <f t="shared" ref="AN2216:AN2225" si="885">IFERROR(V2216-O2216,"")</f>
        <v/>
      </c>
      <c r="AO2216">
        <f t="shared" ref="AO2216:AO2225" si="886">IFERROR(J2216-I2216,"")</f>
        <v>4</v>
      </c>
      <c r="AP2216">
        <f t="shared" ref="AP2216:AP2225" si="887">IFERROR(AC2216-X2216,"")</f>
        <v>0</v>
      </c>
      <c r="AQ2216" t="str">
        <f t="shared" ref="AQ2216:AQ2225" si="888">IFERROR(AA2216-W2216,"")</f>
        <v/>
      </c>
    </row>
    <row r="2217" spans="1:43" x14ac:dyDescent="0.35">
      <c r="A2217">
        <v>117</v>
      </c>
      <c r="B2217" t="s">
        <v>6880</v>
      </c>
      <c r="C2217" t="s">
        <v>6525</v>
      </c>
      <c r="D2217" t="str">
        <f t="shared" si="870"/>
        <v>Capacity Building</v>
      </c>
      <c r="E2217" t="s">
        <v>6744</v>
      </c>
      <c r="F2217" t="s">
        <v>695</v>
      </c>
      <c r="G2217" t="s">
        <v>6745</v>
      </c>
      <c r="H2217" t="s">
        <v>697</v>
      </c>
      <c r="I2217" s="32">
        <v>44737.19809027778</v>
      </c>
      <c r="J2217" s="32">
        <v>44740.19809027778</v>
      </c>
      <c r="K2217" s="32">
        <v>44746.19809027778</v>
      </c>
      <c r="L2217" s="8">
        <f t="shared" si="871"/>
        <v>9</v>
      </c>
      <c r="M2217" s="7">
        <v>44772.19809027778</v>
      </c>
      <c r="N2217" t="s">
        <v>49</v>
      </c>
      <c r="O2217" s="34">
        <v>44755.19809027778</v>
      </c>
      <c r="P2217" t="s">
        <v>101</v>
      </c>
      <c r="R2217" s="32">
        <v>44759.19809027778</v>
      </c>
      <c r="S2217" t="s">
        <v>101</v>
      </c>
      <c r="T2217" s="34">
        <v>44757.19809027778</v>
      </c>
      <c r="U2217" s="34">
        <v>44759.19809027778</v>
      </c>
      <c r="V2217" s="32">
        <v>44758.19809027778</v>
      </c>
      <c r="W2217" s="32">
        <v>44759.19809027778</v>
      </c>
      <c r="X2217">
        <v>1</v>
      </c>
      <c r="Y2217" s="34">
        <v>44763.19809027778</v>
      </c>
      <c r="Z2217" s="34">
        <v>44765.19809027778</v>
      </c>
      <c r="AA2217" s="34">
        <v>44768.19809027778</v>
      </c>
      <c r="AB2217" s="36" t="s">
        <v>7476</v>
      </c>
      <c r="AC2217" s="10">
        <v>44784.19809027778</v>
      </c>
      <c r="AD2217" t="s">
        <v>6881</v>
      </c>
      <c r="AE2217" t="s">
        <v>6882</v>
      </c>
      <c r="AF2217" s="16">
        <v>44745</v>
      </c>
      <c r="AG2217" t="s">
        <v>98</v>
      </c>
      <c r="AH2217">
        <v>3</v>
      </c>
      <c r="AI2217" s="8">
        <f t="shared" si="881"/>
        <v>14.198090277779556</v>
      </c>
      <c r="AJ2217" s="8">
        <f t="shared" si="882"/>
        <v>10.198090277779556</v>
      </c>
      <c r="AK2217" s="38">
        <f t="shared" si="872"/>
        <v>44848.19809027778</v>
      </c>
      <c r="AL2217">
        <f t="shared" si="883"/>
        <v>6</v>
      </c>
      <c r="AM2217">
        <f t="shared" si="884"/>
        <v>19</v>
      </c>
      <c r="AN2217">
        <f t="shared" si="885"/>
        <v>3</v>
      </c>
      <c r="AO2217">
        <f t="shared" si="886"/>
        <v>3</v>
      </c>
      <c r="AP2217">
        <f t="shared" si="887"/>
        <v>44783.19809027778</v>
      </c>
      <c r="AQ2217">
        <f t="shared" si="888"/>
        <v>9</v>
      </c>
    </row>
    <row r="2218" spans="1:43" x14ac:dyDescent="0.35">
      <c r="A2218">
        <v>57</v>
      </c>
      <c r="B2218" t="s">
        <v>6883</v>
      </c>
      <c r="C2218" t="s">
        <v>6531</v>
      </c>
      <c r="D2218" t="str">
        <f t="shared" si="870"/>
        <v>Capacity Building</v>
      </c>
      <c r="E2218" t="s">
        <v>6744</v>
      </c>
      <c r="F2218" t="s">
        <v>695</v>
      </c>
      <c r="G2218" t="s">
        <v>6745</v>
      </c>
      <c r="H2218" t="s">
        <v>697</v>
      </c>
      <c r="I2218" s="32">
        <v>44772.01295138889</v>
      </c>
      <c r="J2218" s="32">
        <v>44776.01295138889</v>
      </c>
      <c r="K2218" s="32">
        <v>44777.01295138889</v>
      </c>
      <c r="L2218" s="8">
        <f t="shared" si="871"/>
        <v>5</v>
      </c>
      <c r="M2218" s="7">
        <v>44785.01295138889</v>
      </c>
      <c r="N2218" t="s">
        <v>49</v>
      </c>
      <c r="O2218" s="34">
        <v>44792.01295138889</v>
      </c>
      <c r="P2218" t="s">
        <v>101</v>
      </c>
      <c r="R2218" s="32">
        <v>44798.01295138889</v>
      </c>
      <c r="S2218" t="s">
        <v>101</v>
      </c>
      <c r="T2218" s="34">
        <v>44793.01295138889</v>
      </c>
      <c r="U2218" s="34">
        <v>44794.01295138889</v>
      </c>
      <c r="V2218" s="32">
        <v>44795.01295138889</v>
      </c>
      <c r="W2218" s="32">
        <v>44800.01295138889</v>
      </c>
      <c r="X2218">
        <v>1</v>
      </c>
      <c r="Y2218" s="34">
        <v>44801.01295138889</v>
      </c>
      <c r="Z2218" s="34">
        <v>44803.01295138889</v>
      </c>
      <c r="AA2218" s="34">
        <v>44806.01295138889</v>
      </c>
      <c r="AB2218" s="36" t="s">
        <v>7476</v>
      </c>
      <c r="AC2218" s="10">
        <v>44824.01295138889</v>
      </c>
      <c r="AD2218" t="s">
        <v>6884</v>
      </c>
      <c r="AE2218" t="s">
        <v>6885</v>
      </c>
      <c r="AF2218" s="16">
        <v>44774</v>
      </c>
      <c r="AG2218" t="s">
        <v>68</v>
      </c>
      <c r="AH2218">
        <v>3</v>
      </c>
      <c r="AI2218" s="8">
        <f t="shared" si="881"/>
        <v>24.012951388889633</v>
      </c>
      <c r="AJ2218" s="8">
        <f t="shared" si="882"/>
        <v>18.012951388889633</v>
      </c>
      <c r="AK2218" s="38">
        <f t="shared" si="872"/>
        <v>44885.01295138889</v>
      </c>
      <c r="AL2218">
        <f t="shared" si="883"/>
        <v>3</v>
      </c>
      <c r="AM2218">
        <f t="shared" si="884"/>
        <v>22</v>
      </c>
      <c r="AN2218">
        <f t="shared" si="885"/>
        <v>3</v>
      </c>
      <c r="AO2218">
        <f t="shared" si="886"/>
        <v>4</v>
      </c>
      <c r="AP2218">
        <f t="shared" si="887"/>
        <v>44823.01295138889</v>
      </c>
      <c r="AQ2218">
        <f t="shared" si="888"/>
        <v>6</v>
      </c>
    </row>
    <row r="2219" spans="1:43" x14ac:dyDescent="0.35">
      <c r="A2219">
        <v>2999</v>
      </c>
      <c r="B2219" t="s">
        <v>6886</v>
      </c>
      <c r="C2219" t="s">
        <v>6525</v>
      </c>
      <c r="D2219" t="str">
        <f t="shared" si="870"/>
        <v>Capacity Building</v>
      </c>
      <c r="E2219" t="s">
        <v>6887</v>
      </c>
      <c r="F2219" t="s">
        <v>6888</v>
      </c>
      <c r="G2219" t="s">
        <v>6889</v>
      </c>
      <c r="H2219" t="s">
        <v>48</v>
      </c>
      <c r="I2219" s="32">
        <v>44989.039479166669</v>
      </c>
      <c r="J2219" s="32">
        <v>44990.039479166669</v>
      </c>
      <c r="K2219" s="32">
        <v>44993.039479166669</v>
      </c>
      <c r="L2219" s="8">
        <f t="shared" si="871"/>
        <v>4</v>
      </c>
      <c r="M2219" s="7">
        <v>45022.039479166669</v>
      </c>
      <c r="N2219" t="s">
        <v>49</v>
      </c>
      <c r="O2219" s="34">
        <v>44997.039479166669</v>
      </c>
      <c r="P2219" t="s">
        <v>101</v>
      </c>
      <c r="R2219" s="32">
        <v>45000.039479166669</v>
      </c>
      <c r="S2219" t="s">
        <v>101</v>
      </c>
      <c r="T2219" s="34">
        <v>44998.039479166669</v>
      </c>
      <c r="U2219" s="34">
        <v>45000.039479166669</v>
      </c>
      <c r="V2219" s="32">
        <v>44998.039479166669</v>
      </c>
      <c r="W2219" s="32">
        <v>45007.039479166669</v>
      </c>
      <c r="X2219">
        <v>1</v>
      </c>
      <c r="Y2219" s="34">
        <v>45011.039479166669</v>
      </c>
      <c r="Z2219" s="34">
        <v>45014.039479166669</v>
      </c>
      <c r="AA2219" s="34">
        <v>45017.039479166669</v>
      </c>
      <c r="AB2219" s="36" t="s">
        <v>7476</v>
      </c>
      <c r="AC2219" s="10">
        <v>45038.039479166669</v>
      </c>
      <c r="AD2219" t="s">
        <v>6890</v>
      </c>
      <c r="AE2219" t="s">
        <v>6891</v>
      </c>
      <c r="AF2219" s="16">
        <v>44978</v>
      </c>
      <c r="AG2219" t="s">
        <v>98</v>
      </c>
      <c r="AH2219">
        <v>3</v>
      </c>
      <c r="AI2219" s="8">
        <f t="shared" si="881"/>
        <v>22.03947916666948</v>
      </c>
      <c r="AJ2219" s="8">
        <f t="shared" si="882"/>
        <v>19.03947916666948</v>
      </c>
      <c r="AK2219" s="38">
        <f t="shared" si="872"/>
        <v>45088.039479166669</v>
      </c>
      <c r="AL2219">
        <f t="shared" si="883"/>
        <v>7</v>
      </c>
      <c r="AM2219">
        <f t="shared" si="884"/>
        <v>10</v>
      </c>
      <c r="AN2219">
        <f t="shared" si="885"/>
        <v>1</v>
      </c>
      <c r="AO2219">
        <f t="shared" si="886"/>
        <v>1</v>
      </c>
      <c r="AP2219">
        <f t="shared" si="887"/>
        <v>45037.039479166669</v>
      </c>
      <c r="AQ2219">
        <f t="shared" si="888"/>
        <v>10</v>
      </c>
    </row>
    <row r="2220" spans="1:43" x14ac:dyDescent="0.35">
      <c r="A2220">
        <v>2953</v>
      </c>
      <c r="B2220" t="s">
        <v>6892</v>
      </c>
      <c r="C2220" t="s">
        <v>6525</v>
      </c>
      <c r="D2220" t="str">
        <f t="shared" si="870"/>
        <v>Capacity Building</v>
      </c>
      <c r="E2220" t="s">
        <v>6887</v>
      </c>
      <c r="F2220" t="s">
        <v>6888</v>
      </c>
      <c r="G2220" t="s">
        <v>6889</v>
      </c>
      <c r="H2220" t="s">
        <v>48</v>
      </c>
      <c r="I2220" s="32">
        <v>45018.652233796303</v>
      </c>
      <c r="J2220" s="32">
        <v>45020.652233796303</v>
      </c>
      <c r="K2220" s="32">
        <v>45028.652233796303</v>
      </c>
      <c r="L2220" s="8">
        <f t="shared" si="871"/>
        <v>10</v>
      </c>
      <c r="M2220" s="7">
        <v>45073.652233796303</v>
      </c>
      <c r="N2220" t="s">
        <v>72</v>
      </c>
      <c r="O2220" s="34" t="s">
        <v>7474</v>
      </c>
      <c r="R2220" s="32" t="s">
        <v>7472</v>
      </c>
      <c r="S2220" t="s">
        <v>7476</v>
      </c>
      <c r="T2220" s="34" t="s">
        <v>7476</v>
      </c>
      <c r="U2220" s="34" t="s">
        <v>7476</v>
      </c>
      <c r="V2220" s="32" t="s">
        <v>7476</v>
      </c>
      <c r="W2220" s="32" t="s">
        <v>7476</v>
      </c>
      <c r="X2220">
        <v>0</v>
      </c>
      <c r="Y2220" s="34" t="s">
        <v>7476</v>
      </c>
      <c r="Z2220" s="34" t="s">
        <v>7476</v>
      </c>
      <c r="AA2220" s="34" t="s">
        <v>7476</v>
      </c>
      <c r="AB2220" s="36" t="s">
        <v>7476</v>
      </c>
      <c r="AD2220" t="s">
        <v>6893</v>
      </c>
      <c r="AE2220" t="s">
        <v>6894</v>
      </c>
      <c r="AG2220" t="s">
        <v>68</v>
      </c>
      <c r="AH2220">
        <v>6</v>
      </c>
      <c r="AI2220" s="8" t="str">
        <f t="shared" si="881"/>
        <v/>
      </c>
      <c r="AJ2220" s="8" t="str">
        <f t="shared" si="882"/>
        <v/>
      </c>
      <c r="AK2220" s="38" t="str">
        <f t="shared" si="872"/>
        <v/>
      </c>
      <c r="AL2220" t="str">
        <f t="shared" si="883"/>
        <v/>
      </c>
      <c r="AM2220" t="str">
        <f t="shared" si="884"/>
        <v/>
      </c>
      <c r="AN2220" t="str">
        <f t="shared" si="885"/>
        <v/>
      </c>
      <c r="AO2220">
        <f t="shared" si="886"/>
        <v>2</v>
      </c>
      <c r="AP2220">
        <f t="shared" si="887"/>
        <v>0</v>
      </c>
      <c r="AQ2220" t="str">
        <f t="shared" si="888"/>
        <v/>
      </c>
    </row>
    <row r="2221" spans="1:43" x14ac:dyDescent="0.35">
      <c r="A2221">
        <v>2911</v>
      </c>
      <c r="B2221" t="s">
        <v>6895</v>
      </c>
      <c r="C2221" t="s">
        <v>6531</v>
      </c>
      <c r="D2221" t="str">
        <f t="shared" si="870"/>
        <v>Capacity Building</v>
      </c>
      <c r="E2221" t="s">
        <v>6887</v>
      </c>
      <c r="F2221" t="s">
        <v>6888</v>
      </c>
      <c r="G2221" t="s">
        <v>6889</v>
      </c>
      <c r="H2221" t="s">
        <v>48</v>
      </c>
      <c r="I2221" s="32">
        <v>44601.794965277782</v>
      </c>
      <c r="J2221" s="32">
        <v>44603.794965277782</v>
      </c>
      <c r="K2221" s="32">
        <v>44604.794965277782</v>
      </c>
      <c r="L2221" s="8">
        <f t="shared" si="871"/>
        <v>3</v>
      </c>
      <c r="M2221" s="7">
        <v>44649.794965277782</v>
      </c>
      <c r="N2221" t="s">
        <v>49</v>
      </c>
      <c r="O2221" s="34">
        <v>44614.794965277782</v>
      </c>
      <c r="P2221" t="s">
        <v>101</v>
      </c>
      <c r="R2221" s="32">
        <v>44618.794965277782</v>
      </c>
      <c r="S2221" t="s">
        <v>101</v>
      </c>
      <c r="T2221" s="34">
        <v>44615.794965277782</v>
      </c>
      <c r="U2221" s="34">
        <v>44619.794965277782</v>
      </c>
      <c r="V2221" s="32">
        <v>44616.794965277782</v>
      </c>
      <c r="W2221" s="32">
        <v>44622.794965277782</v>
      </c>
      <c r="X2221">
        <v>1</v>
      </c>
      <c r="Y2221" s="34">
        <v>44623.794965277782</v>
      </c>
      <c r="Z2221" s="34">
        <v>44625.794965277782</v>
      </c>
      <c r="AA2221" s="34">
        <v>44628.794965277782</v>
      </c>
      <c r="AB2221" s="36" t="s">
        <v>7476</v>
      </c>
      <c r="AC2221" s="10">
        <v>44647.794965277782</v>
      </c>
      <c r="AD2221" t="s">
        <v>6896</v>
      </c>
      <c r="AE2221" t="s">
        <v>6897</v>
      </c>
      <c r="AF2221" s="16">
        <v>44606</v>
      </c>
      <c r="AG2221" t="s">
        <v>64</v>
      </c>
      <c r="AH2221">
        <v>3</v>
      </c>
      <c r="AI2221" s="8">
        <f t="shared" si="881"/>
        <v>12.794965277782467</v>
      </c>
      <c r="AJ2221" s="8">
        <f t="shared" si="882"/>
        <v>8.7949652777824667</v>
      </c>
      <c r="AK2221" s="38">
        <f t="shared" si="872"/>
        <v>44706.794965277782</v>
      </c>
      <c r="AL2221">
        <f t="shared" si="883"/>
        <v>3</v>
      </c>
      <c r="AM2221">
        <f t="shared" si="884"/>
        <v>15</v>
      </c>
      <c r="AN2221">
        <f t="shared" si="885"/>
        <v>2</v>
      </c>
      <c r="AO2221">
        <f t="shared" si="886"/>
        <v>2</v>
      </c>
      <c r="AP2221">
        <f t="shared" si="887"/>
        <v>44646.794965277782</v>
      </c>
      <c r="AQ2221">
        <f t="shared" si="888"/>
        <v>6</v>
      </c>
    </row>
    <row r="2222" spans="1:43" x14ac:dyDescent="0.35">
      <c r="A2222">
        <v>2797</v>
      </c>
      <c r="B2222" t="s">
        <v>6898</v>
      </c>
      <c r="C2222" t="s">
        <v>6525</v>
      </c>
      <c r="D2222" t="str">
        <f t="shared" si="870"/>
        <v>Capacity Building</v>
      </c>
      <c r="E2222" t="s">
        <v>6887</v>
      </c>
      <c r="F2222" t="s">
        <v>6888</v>
      </c>
      <c r="G2222" t="s">
        <v>6889</v>
      </c>
      <c r="H2222" t="s">
        <v>48</v>
      </c>
      <c r="I2222" s="32">
        <v>45100.834444444437</v>
      </c>
      <c r="J2222" s="32">
        <v>45104.834444444437</v>
      </c>
      <c r="K2222" s="32">
        <v>45109.834444444437</v>
      </c>
      <c r="L2222" s="8">
        <f t="shared" si="871"/>
        <v>9</v>
      </c>
      <c r="M2222" s="7">
        <v>45125.834444444437</v>
      </c>
      <c r="N2222" t="s">
        <v>72</v>
      </c>
      <c r="O2222" s="34" t="s">
        <v>7474</v>
      </c>
      <c r="R2222" s="32" t="s">
        <v>7472</v>
      </c>
      <c r="S2222" t="s">
        <v>7476</v>
      </c>
      <c r="T2222" s="34" t="s">
        <v>7476</v>
      </c>
      <c r="U2222" s="34" t="s">
        <v>7476</v>
      </c>
      <c r="V2222" s="32" t="s">
        <v>7476</v>
      </c>
      <c r="W2222" s="32" t="s">
        <v>7476</v>
      </c>
      <c r="X2222">
        <v>0</v>
      </c>
      <c r="Y2222" s="34" t="s">
        <v>7476</v>
      </c>
      <c r="Z2222" s="34" t="s">
        <v>7476</v>
      </c>
      <c r="AA2222" s="34" t="s">
        <v>7476</v>
      </c>
      <c r="AB2222" s="36" t="s">
        <v>7476</v>
      </c>
      <c r="AD2222" t="s">
        <v>6899</v>
      </c>
      <c r="AE2222" t="s">
        <v>6900</v>
      </c>
      <c r="AG2222" t="s">
        <v>98</v>
      </c>
      <c r="AH2222">
        <v>3</v>
      </c>
      <c r="AI2222" s="8" t="str">
        <f t="shared" si="881"/>
        <v/>
      </c>
      <c r="AJ2222" s="8" t="str">
        <f t="shared" si="882"/>
        <v/>
      </c>
      <c r="AK2222" s="38" t="str">
        <f t="shared" si="872"/>
        <v/>
      </c>
      <c r="AL2222" t="str">
        <f t="shared" si="883"/>
        <v/>
      </c>
      <c r="AM2222" t="str">
        <f t="shared" si="884"/>
        <v/>
      </c>
      <c r="AN2222" t="str">
        <f t="shared" si="885"/>
        <v/>
      </c>
      <c r="AO2222">
        <f t="shared" si="886"/>
        <v>4</v>
      </c>
      <c r="AP2222">
        <f t="shared" si="887"/>
        <v>0</v>
      </c>
      <c r="AQ2222" t="str">
        <f t="shared" si="888"/>
        <v/>
      </c>
    </row>
    <row r="2223" spans="1:43" x14ac:dyDescent="0.35">
      <c r="A2223">
        <v>2741</v>
      </c>
      <c r="B2223" t="s">
        <v>6901</v>
      </c>
      <c r="C2223" t="s">
        <v>6525</v>
      </c>
      <c r="D2223" t="str">
        <f t="shared" si="870"/>
        <v>Capacity Building</v>
      </c>
      <c r="E2223" t="s">
        <v>6887</v>
      </c>
      <c r="F2223" t="s">
        <v>6888</v>
      </c>
      <c r="G2223" t="s">
        <v>6889</v>
      </c>
      <c r="H2223" t="s">
        <v>48</v>
      </c>
      <c r="I2223" s="32">
        <v>44667.561030092591</v>
      </c>
      <c r="J2223" s="32">
        <v>44669.561030092591</v>
      </c>
      <c r="K2223" s="32">
        <v>44675.561030092591</v>
      </c>
      <c r="L2223" s="8">
        <f t="shared" si="871"/>
        <v>8</v>
      </c>
      <c r="M2223" s="7">
        <v>44682.561030092591</v>
      </c>
      <c r="N2223" t="s">
        <v>72</v>
      </c>
      <c r="O2223" s="34" t="s">
        <v>7474</v>
      </c>
      <c r="R2223" s="32" t="s">
        <v>7472</v>
      </c>
      <c r="S2223" t="s">
        <v>7476</v>
      </c>
      <c r="T2223" s="34" t="s">
        <v>7476</v>
      </c>
      <c r="U2223" s="34" t="s">
        <v>7476</v>
      </c>
      <c r="V2223" s="32" t="s">
        <v>7476</v>
      </c>
      <c r="W2223" s="32" t="s">
        <v>7476</v>
      </c>
      <c r="X2223">
        <v>0</v>
      </c>
      <c r="Y2223" s="34" t="s">
        <v>7476</v>
      </c>
      <c r="Z2223" s="34" t="s">
        <v>7476</v>
      </c>
      <c r="AA2223" s="34" t="s">
        <v>7476</v>
      </c>
      <c r="AB2223" s="36" t="s">
        <v>7476</v>
      </c>
      <c r="AD2223" t="s">
        <v>6902</v>
      </c>
      <c r="AE2223" t="s">
        <v>6903</v>
      </c>
      <c r="AG2223" t="s">
        <v>64</v>
      </c>
      <c r="AH2223">
        <v>6</v>
      </c>
      <c r="AI2223" s="8" t="str">
        <f t="shared" si="881"/>
        <v/>
      </c>
      <c r="AJ2223" s="8" t="str">
        <f t="shared" si="882"/>
        <v/>
      </c>
      <c r="AK2223" s="38" t="str">
        <f t="shared" si="872"/>
        <v/>
      </c>
      <c r="AL2223" t="str">
        <f t="shared" si="883"/>
        <v/>
      </c>
      <c r="AM2223" t="str">
        <f t="shared" si="884"/>
        <v/>
      </c>
      <c r="AN2223" t="str">
        <f t="shared" si="885"/>
        <v/>
      </c>
      <c r="AO2223">
        <f t="shared" si="886"/>
        <v>2</v>
      </c>
      <c r="AP2223">
        <f t="shared" si="887"/>
        <v>0</v>
      </c>
      <c r="AQ2223" t="str">
        <f t="shared" si="888"/>
        <v/>
      </c>
    </row>
    <row r="2224" spans="1:43" x14ac:dyDescent="0.35">
      <c r="A2224">
        <v>2707</v>
      </c>
      <c r="B2224" t="s">
        <v>6904</v>
      </c>
      <c r="C2224" t="s">
        <v>6525</v>
      </c>
      <c r="D2224" t="str">
        <f t="shared" si="870"/>
        <v>Capacity Building</v>
      </c>
      <c r="E2224" t="s">
        <v>6887</v>
      </c>
      <c r="F2224" t="s">
        <v>6888</v>
      </c>
      <c r="G2224" t="s">
        <v>6889</v>
      </c>
      <c r="H2224" t="s">
        <v>48</v>
      </c>
      <c r="I2224" s="32">
        <v>44829.495787037027</v>
      </c>
      <c r="J2224" s="32">
        <v>44831.495787037027</v>
      </c>
      <c r="K2224" s="32">
        <v>44837.495787037027</v>
      </c>
      <c r="L2224" s="8">
        <f t="shared" si="871"/>
        <v>8</v>
      </c>
      <c r="M2224" s="7">
        <v>44853.495787037027</v>
      </c>
      <c r="N2224" t="s">
        <v>49</v>
      </c>
      <c r="O2224" s="34">
        <v>44847.495787037027</v>
      </c>
      <c r="P2224" t="s">
        <v>101</v>
      </c>
      <c r="R2224" s="32">
        <v>44851.495787037027</v>
      </c>
      <c r="S2224" t="s">
        <v>101</v>
      </c>
      <c r="T2224" s="34">
        <v>44849.495787037027</v>
      </c>
      <c r="U2224" s="34">
        <v>44852.495787037027</v>
      </c>
      <c r="V2224" s="32">
        <v>44848.495787037027</v>
      </c>
      <c r="W2224" s="32">
        <v>44849.495787037027</v>
      </c>
      <c r="X2224">
        <v>1</v>
      </c>
      <c r="Y2224" s="34">
        <v>44851.495787037027</v>
      </c>
      <c r="Z2224" s="34">
        <v>44854.495787037027</v>
      </c>
      <c r="AA2224" s="34">
        <v>44857.495787037027</v>
      </c>
      <c r="AB2224" s="36" t="s">
        <v>7476</v>
      </c>
      <c r="AC2224" s="10">
        <v>44874.495787037027</v>
      </c>
      <c r="AD2224" t="s">
        <v>6905</v>
      </c>
      <c r="AE2224" t="s">
        <v>6906</v>
      </c>
      <c r="AF2224" s="16">
        <v>44752</v>
      </c>
      <c r="AG2224" t="s">
        <v>98</v>
      </c>
      <c r="AH2224">
        <v>3</v>
      </c>
      <c r="AI2224" s="8">
        <f t="shared" si="881"/>
        <v>99.495787037027185</v>
      </c>
      <c r="AJ2224" s="8">
        <f t="shared" si="882"/>
        <v>95.495787037027185</v>
      </c>
      <c r="AK2224" s="38">
        <f t="shared" si="872"/>
        <v>44938.495787037027</v>
      </c>
      <c r="AL2224">
        <f t="shared" si="883"/>
        <v>5</v>
      </c>
      <c r="AM2224">
        <f t="shared" si="884"/>
        <v>20</v>
      </c>
      <c r="AN2224">
        <f t="shared" si="885"/>
        <v>1</v>
      </c>
      <c r="AO2224">
        <f t="shared" si="886"/>
        <v>2</v>
      </c>
      <c r="AP2224">
        <f t="shared" si="887"/>
        <v>44873.495787037027</v>
      </c>
      <c r="AQ2224">
        <f t="shared" si="888"/>
        <v>8</v>
      </c>
    </row>
    <row r="2225" spans="1:43" x14ac:dyDescent="0.35">
      <c r="A2225">
        <v>2701</v>
      </c>
      <c r="B2225" t="s">
        <v>6907</v>
      </c>
      <c r="C2225" t="s">
        <v>6525</v>
      </c>
      <c r="D2225" t="str">
        <f t="shared" si="870"/>
        <v>Capacity Building</v>
      </c>
      <c r="E2225" t="s">
        <v>6887</v>
      </c>
      <c r="F2225" t="s">
        <v>6888</v>
      </c>
      <c r="G2225" t="s">
        <v>6889</v>
      </c>
      <c r="H2225" t="s">
        <v>48</v>
      </c>
      <c r="I2225" s="32">
        <v>44832.495787037027</v>
      </c>
      <c r="J2225" s="32">
        <v>44833.495787037027</v>
      </c>
      <c r="K2225" s="32">
        <v>44837.495787037027</v>
      </c>
      <c r="L2225" s="8">
        <f t="shared" si="871"/>
        <v>5</v>
      </c>
      <c r="M2225" s="7">
        <v>44854.495787037027</v>
      </c>
      <c r="N2225" t="s">
        <v>49</v>
      </c>
      <c r="O2225" s="34">
        <v>44841.495787037027</v>
      </c>
      <c r="P2225" t="s">
        <v>101</v>
      </c>
      <c r="R2225" s="32">
        <v>44846.495787037027</v>
      </c>
      <c r="S2225" t="s">
        <v>101</v>
      </c>
      <c r="T2225" s="34">
        <v>44842.495787037027</v>
      </c>
      <c r="U2225" s="34">
        <v>44846.495787037027</v>
      </c>
      <c r="V2225" s="32">
        <v>44844.495787037027</v>
      </c>
      <c r="W2225" s="32">
        <v>44847.495787037027</v>
      </c>
      <c r="X2225">
        <v>1</v>
      </c>
      <c r="Y2225" s="34">
        <v>44849.495787037027</v>
      </c>
      <c r="Z2225" s="34">
        <v>44850.495787037027</v>
      </c>
      <c r="AA2225" s="34">
        <v>44853.495787037027</v>
      </c>
      <c r="AB2225" s="36" t="s">
        <v>7476</v>
      </c>
      <c r="AC2225" s="10">
        <v>44868.495787037027</v>
      </c>
      <c r="AD2225" t="s">
        <v>6908</v>
      </c>
      <c r="AE2225" t="s">
        <v>6909</v>
      </c>
      <c r="AF2225" s="16">
        <v>44571</v>
      </c>
      <c r="AG2225" t="s">
        <v>68</v>
      </c>
      <c r="AH2225">
        <v>6</v>
      </c>
      <c r="AI2225" s="8">
        <f t="shared" si="881"/>
        <v>275.49578703702718</v>
      </c>
      <c r="AJ2225" s="8">
        <f t="shared" si="882"/>
        <v>270.49578703702718</v>
      </c>
      <c r="AK2225" s="38">
        <f t="shared" si="872"/>
        <v>45024.495787037027</v>
      </c>
      <c r="AL2225">
        <f t="shared" si="883"/>
        <v>3</v>
      </c>
      <c r="AM2225">
        <f t="shared" si="884"/>
        <v>13</v>
      </c>
      <c r="AN2225">
        <f t="shared" si="885"/>
        <v>3</v>
      </c>
      <c r="AO2225">
        <f t="shared" si="886"/>
        <v>1</v>
      </c>
      <c r="AP2225">
        <f t="shared" si="887"/>
        <v>44867.495787037027</v>
      </c>
      <c r="AQ2225">
        <f t="shared" si="888"/>
        <v>6</v>
      </c>
    </row>
    <row r="2226" spans="1:43" x14ac:dyDescent="0.35">
      <c r="A2226">
        <v>2640</v>
      </c>
      <c r="B2226" t="s">
        <v>6910</v>
      </c>
      <c r="C2226" t="s">
        <v>6531</v>
      </c>
      <c r="D2226" t="str">
        <f t="shared" si="870"/>
        <v>Capacity Building</v>
      </c>
      <c r="E2226" t="s">
        <v>6887</v>
      </c>
      <c r="F2226" t="s">
        <v>6888</v>
      </c>
      <c r="G2226" t="s">
        <v>6889</v>
      </c>
      <c r="H2226" t="s">
        <v>48</v>
      </c>
      <c r="I2226" s="32" t="s">
        <v>7471</v>
      </c>
      <c r="J2226" s="32">
        <v>44584.196851851862</v>
      </c>
      <c r="K2226" s="32">
        <v>44588.196851851862</v>
      </c>
      <c r="L2226" s="8" t="str">
        <f t="shared" si="871"/>
        <v/>
      </c>
      <c r="M2226" s="7">
        <v>44617.196851851862</v>
      </c>
      <c r="N2226" t="s">
        <v>49</v>
      </c>
      <c r="O2226" s="34">
        <v>44600.196851851862</v>
      </c>
      <c r="P2226" t="s">
        <v>101</v>
      </c>
      <c r="R2226" s="32">
        <v>44607.196851851862</v>
      </c>
      <c r="S2226" t="s">
        <v>101</v>
      </c>
      <c r="T2226" s="34">
        <v>44601.196851851862</v>
      </c>
      <c r="U2226" s="34">
        <v>44605.196851851862</v>
      </c>
      <c r="V2226" s="32">
        <v>44603.196851851862</v>
      </c>
      <c r="W2226" s="32">
        <v>44613.196851851862</v>
      </c>
      <c r="X2226">
        <v>1</v>
      </c>
      <c r="Y2226" s="34">
        <v>44614.196851851862</v>
      </c>
      <c r="Z2226" s="34">
        <v>44615.196851851862</v>
      </c>
      <c r="AA2226" s="34">
        <v>44616.196851851862</v>
      </c>
      <c r="AB2226" s="36" t="s">
        <v>7476</v>
      </c>
      <c r="AC2226" s="10">
        <v>44628.196851851862</v>
      </c>
      <c r="AD2226" t="s">
        <v>6911</v>
      </c>
      <c r="AE2226" t="s">
        <v>6912</v>
      </c>
      <c r="AF2226" s="16">
        <v>44622</v>
      </c>
      <c r="AG2226" t="s">
        <v>68</v>
      </c>
      <c r="AH2226">
        <v>6</v>
      </c>
      <c r="AK2226" s="38">
        <f t="shared" si="872"/>
        <v>44783.196851851862</v>
      </c>
    </row>
    <row r="2227" spans="1:43" x14ac:dyDescent="0.35">
      <c r="A2227">
        <v>2638</v>
      </c>
      <c r="B2227" t="s">
        <v>6913</v>
      </c>
      <c r="C2227" t="s">
        <v>6525</v>
      </c>
      <c r="D2227" t="str">
        <f t="shared" si="870"/>
        <v>Capacity Building</v>
      </c>
      <c r="E2227" t="s">
        <v>6887</v>
      </c>
      <c r="F2227" t="s">
        <v>6888</v>
      </c>
      <c r="G2227" t="s">
        <v>6889</v>
      </c>
      <c r="H2227" t="s">
        <v>48</v>
      </c>
      <c r="I2227" s="32">
        <v>44584.196851851862</v>
      </c>
      <c r="J2227" s="32">
        <v>44587.196851851862</v>
      </c>
      <c r="K2227" s="32" t="s">
        <v>7473</v>
      </c>
      <c r="L2227" s="8" t="str">
        <f t="shared" si="871"/>
        <v/>
      </c>
      <c r="M2227" s="7">
        <v>44594.196851851862</v>
      </c>
      <c r="N2227" t="s">
        <v>72</v>
      </c>
      <c r="O2227" s="34" t="s">
        <v>7474</v>
      </c>
      <c r="R2227" s="32" t="s">
        <v>7472</v>
      </c>
      <c r="S2227" t="s">
        <v>7476</v>
      </c>
      <c r="T2227" s="34" t="s">
        <v>7476</v>
      </c>
      <c r="U2227" s="34" t="s">
        <v>7476</v>
      </c>
      <c r="V2227" s="32" t="s">
        <v>7476</v>
      </c>
      <c r="W2227" s="32" t="s">
        <v>7476</v>
      </c>
      <c r="X2227">
        <v>0</v>
      </c>
      <c r="Y2227" s="34" t="s">
        <v>7476</v>
      </c>
      <c r="Z2227" s="34" t="s">
        <v>7476</v>
      </c>
      <c r="AA2227" s="34" t="s">
        <v>7476</v>
      </c>
      <c r="AB2227" s="36" t="s">
        <v>7476</v>
      </c>
      <c r="AD2227" t="s">
        <v>6914</v>
      </c>
      <c r="AE2227" t="s">
        <v>6915</v>
      </c>
      <c r="AG2227" t="s">
        <v>75</v>
      </c>
      <c r="AH2227">
        <v>6</v>
      </c>
      <c r="AK2227" s="38" t="str">
        <f t="shared" si="872"/>
        <v/>
      </c>
    </row>
    <row r="2228" spans="1:43" x14ac:dyDescent="0.35">
      <c r="A2228">
        <v>2627</v>
      </c>
      <c r="B2228" t="s">
        <v>6916</v>
      </c>
      <c r="C2228" t="s">
        <v>6531</v>
      </c>
      <c r="D2228" t="str">
        <f t="shared" si="870"/>
        <v>Capacity Building</v>
      </c>
      <c r="E2228" t="s">
        <v>6887</v>
      </c>
      <c r="F2228" t="s">
        <v>6888</v>
      </c>
      <c r="G2228" t="s">
        <v>6889</v>
      </c>
      <c r="H2228" t="s">
        <v>48</v>
      </c>
      <c r="I2228" s="32">
        <v>45098.668356481481</v>
      </c>
      <c r="J2228" s="32">
        <v>45099.668356481481</v>
      </c>
      <c r="K2228" s="32" t="s">
        <v>7473</v>
      </c>
      <c r="L2228" s="8" t="str">
        <f t="shared" si="871"/>
        <v/>
      </c>
      <c r="M2228" s="7">
        <v>45109.668356481481</v>
      </c>
      <c r="N2228" t="s">
        <v>72</v>
      </c>
      <c r="O2228" s="34" t="s">
        <v>7474</v>
      </c>
      <c r="R2228" s="32" t="s">
        <v>7472</v>
      </c>
      <c r="S2228" t="s">
        <v>7476</v>
      </c>
      <c r="T2228" s="34" t="s">
        <v>7476</v>
      </c>
      <c r="U2228" s="34" t="s">
        <v>7476</v>
      </c>
      <c r="V2228" s="32" t="s">
        <v>7476</v>
      </c>
      <c r="W2228" s="32" t="s">
        <v>7476</v>
      </c>
      <c r="X2228">
        <v>0</v>
      </c>
      <c r="Y2228" s="34" t="s">
        <v>7476</v>
      </c>
      <c r="Z2228" s="34" t="s">
        <v>7476</v>
      </c>
      <c r="AA2228" s="34" t="s">
        <v>7476</v>
      </c>
      <c r="AB2228" s="36" t="s">
        <v>7476</v>
      </c>
      <c r="AD2228" t="s">
        <v>6917</v>
      </c>
      <c r="AE2228" t="s">
        <v>6918</v>
      </c>
      <c r="AG2228" t="s">
        <v>64</v>
      </c>
      <c r="AH2228">
        <v>3</v>
      </c>
      <c r="AK2228" s="38" t="str">
        <f t="shared" si="872"/>
        <v/>
      </c>
    </row>
    <row r="2229" spans="1:43" x14ac:dyDescent="0.35">
      <c r="A2229">
        <v>2595</v>
      </c>
      <c r="B2229" t="s">
        <v>6919</v>
      </c>
      <c r="C2229" t="s">
        <v>6525</v>
      </c>
      <c r="D2229" t="str">
        <f t="shared" si="870"/>
        <v>Capacity Building</v>
      </c>
      <c r="E2229" t="s">
        <v>6887</v>
      </c>
      <c r="F2229" t="s">
        <v>6888</v>
      </c>
      <c r="G2229" t="s">
        <v>6889</v>
      </c>
      <c r="H2229" t="s">
        <v>48</v>
      </c>
      <c r="I2229" s="32">
        <v>44945.403136574067</v>
      </c>
      <c r="J2229" s="32">
        <v>44946.403136574067</v>
      </c>
      <c r="K2229" s="32">
        <v>44952.403136574067</v>
      </c>
      <c r="L2229" s="8">
        <f t="shared" si="871"/>
        <v>7</v>
      </c>
      <c r="M2229" s="7">
        <v>44971.403136574067</v>
      </c>
      <c r="N2229" t="s">
        <v>72</v>
      </c>
      <c r="O2229" s="34" t="s">
        <v>7474</v>
      </c>
      <c r="R2229" s="32" t="s">
        <v>7472</v>
      </c>
      <c r="S2229" t="s">
        <v>7476</v>
      </c>
      <c r="T2229" s="34" t="s">
        <v>7476</v>
      </c>
      <c r="U2229" s="34" t="s">
        <v>7476</v>
      </c>
      <c r="V2229" s="32" t="s">
        <v>7476</v>
      </c>
      <c r="W2229" s="32" t="s">
        <v>7476</v>
      </c>
      <c r="X2229">
        <v>0</v>
      </c>
      <c r="Y2229" s="34" t="s">
        <v>7476</v>
      </c>
      <c r="Z2229" s="34" t="s">
        <v>7476</v>
      </c>
      <c r="AA2229" s="34" t="s">
        <v>7476</v>
      </c>
      <c r="AB2229" s="36" t="s">
        <v>7476</v>
      </c>
      <c r="AD2229" t="s">
        <v>6920</v>
      </c>
      <c r="AE2229" t="s">
        <v>6921</v>
      </c>
      <c r="AG2229" t="s">
        <v>64</v>
      </c>
      <c r="AH2229">
        <v>3</v>
      </c>
      <c r="AI2229" s="8" t="str">
        <f>IFERROR(R2229-AF2229,"")</f>
        <v/>
      </c>
      <c r="AJ2229" s="8" t="str">
        <f>IFERROR(O2229-AF2229,"")</f>
        <v/>
      </c>
      <c r="AK2229" s="38" t="str">
        <f t="shared" si="872"/>
        <v/>
      </c>
      <c r="AL2229" t="str">
        <f>IFERROR(Z2229-W2229,"")</f>
        <v/>
      </c>
      <c r="AM2229" t="str">
        <f>IFERROR(R2229-J2229,"")</f>
        <v/>
      </c>
      <c r="AN2229" t="str">
        <f>IFERROR(V2229-O2229,"")</f>
        <v/>
      </c>
      <c r="AO2229">
        <f>IFERROR(J2229-I2229,"")</f>
        <v>1</v>
      </c>
      <c r="AP2229">
        <f>IFERROR(AC2229-X2229,"")</f>
        <v>0</v>
      </c>
      <c r="AQ2229" t="str">
        <f>IFERROR(AA2229-W2229,"")</f>
        <v/>
      </c>
    </row>
    <row r="2230" spans="1:43" x14ac:dyDescent="0.35">
      <c r="A2230">
        <v>2578</v>
      </c>
      <c r="B2230" t="s">
        <v>6922</v>
      </c>
      <c r="C2230" t="s">
        <v>6531</v>
      </c>
      <c r="D2230" t="str">
        <f t="shared" si="870"/>
        <v>Capacity Building</v>
      </c>
      <c r="E2230" t="s">
        <v>6887</v>
      </c>
      <c r="F2230" t="s">
        <v>6888</v>
      </c>
      <c r="G2230" t="s">
        <v>6889</v>
      </c>
      <c r="H2230" t="s">
        <v>48</v>
      </c>
      <c r="I2230" s="32">
        <v>44642.718425925923</v>
      </c>
      <c r="J2230" s="32" t="s">
        <v>7471</v>
      </c>
      <c r="K2230" s="32" t="s">
        <v>7473</v>
      </c>
      <c r="L2230" s="8" t="str">
        <f t="shared" si="871"/>
        <v/>
      </c>
      <c r="M2230" s="7">
        <v>44673.718425925923</v>
      </c>
      <c r="N2230" t="s">
        <v>49</v>
      </c>
      <c r="O2230" s="34">
        <v>44660.718425925923</v>
      </c>
      <c r="P2230" t="s">
        <v>101</v>
      </c>
      <c r="R2230" s="32">
        <v>44664.718425925923</v>
      </c>
      <c r="S2230" t="s">
        <v>101</v>
      </c>
      <c r="T2230" s="34">
        <v>44661.718425925923</v>
      </c>
      <c r="U2230" s="34">
        <v>44662.718425925923</v>
      </c>
      <c r="V2230" s="32">
        <v>44661.718425925923</v>
      </c>
      <c r="W2230" s="32">
        <v>44664.718425925923</v>
      </c>
      <c r="X2230">
        <v>1</v>
      </c>
      <c r="Y2230" s="34">
        <v>44667.718425925923</v>
      </c>
      <c r="Z2230" s="34">
        <v>44670.718425925923</v>
      </c>
      <c r="AA2230" s="34">
        <v>44671.718425925923</v>
      </c>
      <c r="AB2230" s="36" t="s">
        <v>7476</v>
      </c>
      <c r="AC2230" s="10">
        <v>44684.718425925923</v>
      </c>
      <c r="AD2230" t="s">
        <v>6923</v>
      </c>
      <c r="AE2230" t="s">
        <v>6924</v>
      </c>
      <c r="AF2230" s="16">
        <v>44644</v>
      </c>
      <c r="AG2230" t="s">
        <v>98</v>
      </c>
      <c r="AH2230">
        <v>6</v>
      </c>
      <c r="AK2230" s="38">
        <f t="shared" si="872"/>
        <v>44841.718425925923</v>
      </c>
    </row>
    <row r="2231" spans="1:43" x14ac:dyDescent="0.35">
      <c r="A2231">
        <v>2425</v>
      </c>
      <c r="B2231" t="s">
        <v>6925</v>
      </c>
      <c r="C2231" t="s">
        <v>6531</v>
      </c>
      <c r="D2231" t="str">
        <f t="shared" si="870"/>
        <v>Capacity Building</v>
      </c>
      <c r="E2231" t="s">
        <v>6887</v>
      </c>
      <c r="F2231" t="s">
        <v>6888</v>
      </c>
      <c r="G2231" t="s">
        <v>6889</v>
      </c>
      <c r="H2231" t="s">
        <v>48</v>
      </c>
      <c r="I2231" s="32">
        <v>44832.25509259259</v>
      </c>
      <c r="J2231" s="32">
        <v>44835.25509259259</v>
      </c>
      <c r="K2231" s="32">
        <v>44841.25509259259</v>
      </c>
      <c r="L2231" s="8">
        <f t="shared" si="871"/>
        <v>9</v>
      </c>
      <c r="M2231" s="7">
        <v>44855.25509259259</v>
      </c>
      <c r="N2231" t="s">
        <v>49</v>
      </c>
      <c r="O2231" s="34">
        <v>44853.25509259259</v>
      </c>
      <c r="P2231" t="s">
        <v>101</v>
      </c>
      <c r="R2231" s="32">
        <v>44856.25509259259</v>
      </c>
      <c r="S2231" t="s">
        <v>101</v>
      </c>
      <c r="T2231" s="34">
        <v>44855.25509259259</v>
      </c>
      <c r="U2231" s="34">
        <v>44859.25509259259</v>
      </c>
      <c r="V2231" s="32">
        <v>44855.25509259259</v>
      </c>
      <c r="W2231" s="32">
        <v>44864.25509259259</v>
      </c>
      <c r="X2231">
        <v>1</v>
      </c>
      <c r="Y2231" s="34">
        <v>44866.25509259259</v>
      </c>
      <c r="Z2231" s="34">
        <v>44868.25509259259</v>
      </c>
      <c r="AA2231" s="34">
        <v>44870.25509259259</v>
      </c>
      <c r="AB2231" s="36" t="s">
        <v>7476</v>
      </c>
      <c r="AC2231" s="10">
        <v>44881.25509259259</v>
      </c>
      <c r="AD2231" t="s">
        <v>6926</v>
      </c>
      <c r="AE2231" t="s">
        <v>6927</v>
      </c>
      <c r="AF2231" s="16">
        <v>44848</v>
      </c>
      <c r="AG2231" t="s">
        <v>68</v>
      </c>
      <c r="AH2231">
        <v>3</v>
      </c>
      <c r="AI2231" s="8">
        <f t="shared" ref="AI2231:AI2237" si="889">IFERROR(R2231-AF2231,"")</f>
        <v>8.25509259258979</v>
      </c>
      <c r="AJ2231" s="8">
        <f t="shared" ref="AJ2231:AJ2237" si="890">IFERROR(O2231-AF2231,"")</f>
        <v>5.25509259258979</v>
      </c>
      <c r="AK2231" s="38">
        <f t="shared" si="872"/>
        <v>44945.25509259259</v>
      </c>
      <c r="AL2231">
        <f t="shared" ref="AL2231:AL2237" si="891">IFERROR(Z2231-W2231,"")</f>
        <v>4</v>
      </c>
      <c r="AM2231">
        <f t="shared" ref="AM2231:AM2237" si="892">IFERROR(R2231-J2231,"")</f>
        <v>21</v>
      </c>
      <c r="AN2231">
        <f t="shared" ref="AN2231:AN2237" si="893">IFERROR(V2231-O2231,"")</f>
        <v>2</v>
      </c>
      <c r="AO2231">
        <f t="shared" ref="AO2231:AO2237" si="894">IFERROR(J2231-I2231,"")</f>
        <v>3</v>
      </c>
      <c r="AP2231">
        <f t="shared" ref="AP2231:AP2237" si="895">IFERROR(AC2231-X2231,"")</f>
        <v>44880.25509259259</v>
      </c>
      <c r="AQ2231">
        <f t="shared" ref="AQ2231:AQ2237" si="896">IFERROR(AA2231-W2231,"")</f>
        <v>6</v>
      </c>
    </row>
    <row r="2232" spans="1:43" x14ac:dyDescent="0.35">
      <c r="A2232">
        <v>2395</v>
      </c>
      <c r="B2232" t="s">
        <v>6928</v>
      </c>
      <c r="C2232" t="s">
        <v>6525</v>
      </c>
      <c r="D2232" t="str">
        <f t="shared" si="870"/>
        <v>Capacity Building</v>
      </c>
      <c r="E2232" t="s">
        <v>6887</v>
      </c>
      <c r="F2232" t="s">
        <v>6888</v>
      </c>
      <c r="G2232" t="s">
        <v>6889</v>
      </c>
      <c r="H2232" t="s">
        <v>48</v>
      </c>
      <c r="I2232" s="32">
        <v>45125.731192129628</v>
      </c>
      <c r="J2232" s="32">
        <v>45128.731192129628</v>
      </c>
      <c r="K2232" s="32">
        <v>45131.731192129628</v>
      </c>
      <c r="L2232" s="8">
        <f t="shared" si="871"/>
        <v>6</v>
      </c>
      <c r="M2232" s="7">
        <v>45142.731192129628</v>
      </c>
      <c r="N2232" t="s">
        <v>49</v>
      </c>
      <c r="O2232" s="34">
        <v>45136.731192129628</v>
      </c>
      <c r="P2232" t="s">
        <v>101</v>
      </c>
      <c r="R2232" s="32">
        <v>45141.731192129628</v>
      </c>
      <c r="S2232" t="s">
        <v>101</v>
      </c>
      <c r="T2232" s="34">
        <v>45138.731192129628</v>
      </c>
      <c r="U2232" s="34">
        <v>45140.731192129628</v>
      </c>
      <c r="V2232" s="32">
        <v>45140.731192129628</v>
      </c>
      <c r="W2232" s="32">
        <v>45146.731192129628</v>
      </c>
      <c r="X2232">
        <v>1</v>
      </c>
      <c r="Y2232" s="34">
        <v>45148.731192129628</v>
      </c>
      <c r="Z2232" s="34">
        <v>45150.731192129628</v>
      </c>
      <c r="AA2232" s="34">
        <v>45151.731192129628</v>
      </c>
      <c r="AB2232" s="36" t="s">
        <v>7476</v>
      </c>
      <c r="AC2232" s="10">
        <v>45161.731192129628</v>
      </c>
      <c r="AD2232" t="s">
        <v>6929</v>
      </c>
      <c r="AE2232" t="s">
        <v>6930</v>
      </c>
      <c r="AF2232" s="16">
        <v>45117</v>
      </c>
      <c r="AG2232" t="s">
        <v>64</v>
      </c>
      <c r="AH2232">
        <v>3</v>
      </c>
      <c r="AI2232" s="8">
        <f t="shared" si="889"/>
        <v>24.731192129627743</v>
      </c>
      <c r="AJ2232" s="8">
        <f t="shared" si="890"/>
        <v>19.731192129627743</v>
      </c>
      <c r="AK2232" s="38">
        <f t="shared" si="872"/>
        <v>45230.731192129628</v>
      </c>
      <c r="AL2232">
        <f t="shared" si="891"/>
        <v>4</v>
      </c>
      <c r="AM2232">
        <f t="shared" si="892"/>
        <v>13</v>
      </c>
      <c r="AN2232">
        <f t="shared" si="893"/>
        <v>4</v>
      </c>
      <c r="AO2232">
        <f t="shared" si="894"/>
        <v>3</v>
      </c>
      <c r="AP2232">
        <f t="shared" si="895"/>
        <v>45160.731192129628</v>
      </c>
      <c r="AQ2232">
        <f t="shared" si="896"/>
        <v>5</v>
      </c>
    </row>
    <row r="2233" spans="1:43" x14ac:dyDescent="0.35">
      <c r="A2233">
        <v>2038</v>
      </c>
      <c r="B2233" t="s">
        <v>6931</v>
      </c>
      <c r="C2233" t="s">
        <v>6525</v>
      </c>
      <c r="D2233" t="str">
        <f t="shared" si="870"/>
        <v>Capacity Building</v>
      </c>
      <c r="E2233" t="s">
        <v>6887</v>
      </c>
      <c r="F2233" t="s">
        <v>6888</v>
      </c>
      <c r="G2233" t="s">
        <v>6889</v>
      </c>
      <c r="H2233" t="s">
        <v>48</v>
      </c>
      <c r="I2233" s="32">
        <v>44646.861122685194</v>
      </c>
      <c r="J2233" s="32">
        <v>44647.861122685194</v>
      </c>
      <c r="K2233" s="32">
        <v>44652.861122685194</v>
      </c>
      <c r="L2233" s="8">
        <f t="shared" si="871"/>
        <v>6</v>
      </c>
      <c r="M2233" s="7">
        <v>44664.861122685194</v>
      </c>
      <c r="N2233" t="s">
        <v>49</v>
      </c>
      <c r="O2233" s="34">
        <v>44670.861122685194</v>
      </c>
      <c r="P2233" t="s">
        <v>101</v>
      </c>
      <c r="R2233" s="32">
        <v>44675.861122685194</v>
      </c>
      <c r="S2233" t="s">
        <v>101</v>
      </c>
      <c r="T2233" s="34">
        <v>44671.861122685194</v>
      </c>
      <c r="U2233" s="34">
        <v>44673.861122685194</v>
      </c>
      <c r="V2233" s="32">
        <v>44672.861122685194</v>
      </c>
      <c r="W2233" s="32">
        <v>44681.861122685194</v>
      </c>
      <c r="X2233">
        <v>1</v>
      </c>
      <c r="Y2233" s="34">
        <v>44682.861122685194</v>
      </c>
      <c r="Z2233" s="34">
        <v>44684.861122685194</v>
      </c>
      <c r="AA2233" s="34">
        <v>44686.861122685194</v>
      </c>
      <c r="AB2233" s="36" t="s">
        <v>7476</v>
      </c>
      <c r="AC2233" s="10">
        <v>44703.861122685194</v>
      </c>
      <c r="AD2233" t="s">
        <v>6932</v>
      </c>
      <c r="AE2233" t="s">
        <v>6933</v>
      </c>
      <c r="AF2233" s="16">
        <v>44664</v>
      </c>
      <c r="AG2233" t="s">
        <v>64</v>
      </c>
      <c r="AH2233">
        <v>6</v>
      </c>
      <c r="AI2233" s="8">
        <f t="shared" si="889"/>
        <v>11.86112268519355</v>
      </c>
      <c r="AJ2233" s="8">
        <f t="shared" si="890"/>
        <v>6.8611226851935498</v>
      </c>
      <c r="AK2233" s="38">
        <f t="shared" si="872"/>
        <v>44852.861122685194</v>
      </c>
      <c r="AL2233">
        <f t="shared" si="891"/>
        <v>3</v>
      </c>
      <c r="AM2233">
        <f t="shared" si="892"/>
        <v>28</v>
      </c>
      <c r="AN2233">
        <f t="shared" si="893"/>
        <v>2</v>
      </c>
      <c r="AO2233">
        <f t="shared" si="894"/>
        <v>1</v>
      </c>
      <c r="AP2233">
        <f t="shared" si="895"/>
        <v>44702.861122685194</v>
      </c>
      <c r="AQ2233">
        <f t="shared" si="896"/>
        <v>5</v>
      </c>
    </row>
    <row r="2234" spans="1:43" x14ac:dyDescent="0.35">
      <c r="A2234">
        <v>1871</v>
      </c>
      <c r="B2234" t="s">
        <v>6934</v>
      </c>
      <c r="C2234" t="s">
        <v>6550</v>
      </c>
      <c r="D2234" t="str">
        <f t="shared" si="870"/>
        <v>Capacity Building</v>
      </c>
      <c r="E2234" t="s">
        <v>6887</v>
      </c>
      <c r="F2234" t="s">
        <v>6888</v>
      </c>
      <c r="G2234" t="s">
        <v>6889</v>
      </c>
      <c r="H2234" t="s">
        <v>48</v>
      </c>
      <c r="I2234" s="32">
        <v>44578.732974537037</v>
      </c>
      <c r="J2234" s="32">
        <v>44580.732974537037</v>
      </c>
      <c r="K2234" s="32">
        <v>44581.732974537037</v>
      </c>
      <c r="L2234" s="8">
        <f t="shared" si="871"/>
        <v>3</v>
      </c>
      <c r="M2234" s="7">
        <v>44586.732974537037</v>
      </c>
      <c r="N2234" t="s">
        <v>49</v>
      </c>
      <c r="O2234" s="34">
        <v>44596.732974537037</v>
      </c>
      <c r="P2234" t="s">
        <v>101</v>
      </c>
      <c r="R2234" s="32">
        <v>44598.732974537037</v>
      </c>
      <c r="S2234" t="s">
        <v>101</v>
      </c>
      <c r="T2234" s="34">
        <v>44598.732974537037</v>
      </c>
      <c r="U2234" s="34">
        <v>44599.732974537037</v>
      </c>
      <c r="V2234" s="32">
        <v>44597.732974537037</v>
      </c>
      <c r="W2234" s="32">
        <v>44599.732974537037</v>
      </c>
      <c r="X2234">
        <v>1</v>
      </c>
      <c r="Y2234" s="34">
        <v>44602.732974537037</v>
      </c>
      <c r="Z2234" s="34">
        <v>44604.732974537037</v>
      </c>
      <c r="AA2234" s="34">
        <v>44605.732974537037</v>
      </c>
      <c r="AB2234" s="36" t="s">
        <v>7476</v>
      </c>
      <c r="AC2234" s="10">
        <v>44624.732974537037</v>
      </c>
      <c r="AD2234" t="s">
        <v>6935</v>
      </c>
      <c r="AE2234" t="s">
        <v>6936</v>
      </c>
      <c r="AF2234" s="16">
        <v>44582</v>
      </c>
      <c r="AG2234" t="s">
        <v>68</v>
      </c>
      <c r="AH2234">
        <v>6</v>
      </c>
      <c r="AI2234" s="8">
        <f t="shared" si="889"/>
        <v>16.73297453703708</v>
      </c>
      <c r="AJ2234" s="8">
        <f t="shared" si="890"/>
        <v>14.73297453703708</v>
      </c>
      <c r="AK2234" s="38">
        <f t="shared" si="872"/>
        <v>44777.732974537037</v>
      </c>
      <c r="AL2234">
        <f t="shared" si="891"/>
        <v>5</v>
      </c>
      <c r="AM2234">
        <f t="shared" si="892"/>
        <v>18</v>
      </c>
      <c r="AN2234">
        <f t="shared" si="893"/>
        <v>1</v>
      </c>
      <c r="AO2234">
        <f t="shared" si="894"/>
        <v>2</v>
      </c>
      <c r="AP2234">
        <f t="shared" si="895"/>
        <v>44623.732974537037</v>
      </c>
      <c r="AQ2234">
        <f t="shared" si="896"/>
        <v>6</v>
      </c>
    </row>
    <row r="2235" spans="1:43" x14ac:dyDescent="0.35">
      <c r="A2235">
        <v>1487</v>
      </c>
      <c r="B2235" t="s">
        <v>6937</v>
      </c>
      <c r="C2235" t="s">
        <v>6550</v>
      </c>
      <c r="D2235" t="str">
        <f t="shared" si="870"/>
        <v>Capacity Building</v>
      </c>
      <c r="E2235" t="s">
        <v>6887</v>
      </c>
      <c r="F2235" t="s">
        <v>6888</v>
      </c>
      <c r="G2235" t="s">
        <v>6889</v>
      </c>
      <c r="H2235" t="s">
        <v>48</v>
      </c>
      <c r="I2235" s="32">
        <v>45115.542164351849</v>
      </c>
      <c r="J2235" s="32">
        <v>45117.542164351849</v>
      </c>
      <c r="K2235" s="32">
        <v>45119.542164351849</v>
      </c>
      <c r="L2235" s="8">
        <f t="shared" si="871"/>
        <v>4</v>
      </c>
      <c r="M2235" s="7">
        <v>45131.542164351849</v>
      </c>
      <c r="N2235" t="s">
        <v>72</v>
      </c>
      <c r="O2235" s="34" t="s">
        <v>7474</v>
      </c>
      <c r="R2235" s="32" t="s">
        <v>7472</v>
      </c>
      <c r="S2235" t="s">
        <v>7476</v>
      </c>
      <c r="T2235" s="34" t="s">
        <v>7476</v>
      </c>
      <c r="U2235" s="34" t="s">
        <v>7476</v>
      </c>
      <c r="V2235" s="32" t="s">
        <v>7476</v>
      </c>
      <c r="W2235" s="32" t="s">
        <v>7476</v>
      </c>
      <c r="X2235">
        <v>0</v>
      </c>
      <c r="Y2235" s="34" t="s">
        <v>7476</v>
      </c>
      <c r="Z2235" s="34" t="s">
        <v>7476</v>
      </c>
      <c r="AA2235" s="34" t="s">
        <v>7476</v>
      </c>
      <c r="AB2235" s="36" t="s">
        <v>7476</v>
      </c>
      <c r="AD2235" t="s">
        <v>6938</v>
      </c>
      <c r="AE2235" t="s">
        <v>6939</v>
      </c>
      <c r="AG2235" t="s">
        <v>98</v>
      </c>
      <c r="AH2235">
        <v>6</v>
      </c>
      <c r="AI2235" s="8" t="str">
        <f t="shared" si="889"/>
        <v/>
      </c>
      <c r="AJ2235" s="8" t="str">
        <f t="shared" si="890"/>
        <v/>
      </c>
      <c r="AK2235" s="38" t="str">
        <f t="shared" si="872"/>
        <v/>
      </c>
      <c r="AL2235" t="str">
        <f t="shared" si="891"/>
        <v/>
      </c>
      <c r="AM2235" t="str">
        <f t="shared" si="892"/>
        <v/>
      </c>
      <c r="AN2235" t="str">
        <f t="shared" si="893"/>
        <v/>
      </c>
      <c r="AO2235">
        <f t="shared" si="894"/>
        <v>2</v>
      </c>
      <c r="AP2235">
        <f t="shared" si="895"/>
        <v>0</v>
      </c>
      <c r="AQ2235" t="str">
        <f t="shared" si="896"/>
        <v/>
      </c>
    </row>
    <row r="2236" spans="1:43" x14ac:dyDescent="0.35">
      <c r="A2236">
        <v>1247</v>
      </c>
      <c r="B2236" t="s">
        <v>6940</v>
      </c>
      <c r="C2236" t="s">
        <v>6525</v>
      </c>
      <c r="D2236" t="str">
        <f t="shared" si="870"/>
        <v>Capacity Building</v>
      </c>
      <c r="E2236" t="s">
        <v>6887</v>
      </c>
      <c r="F2236" t="s">
        <v>6888</v>
      </c>
      <c r="G2236" t="s">
        <v>6889</v>
      </c>
      <c r="H2236" t="s">
        <v>48</v>
      </c>
      <c r="I2236" s="32">
        <v>44735.839942129627</v>
      </c>
      <c r="J2236" s="32">
        <v>44739.839942129627</v>
      </c>
      <c r="K2236" s="32">
        <v>44741.839942129627</v>
      </c>
      <c r="L2236" s="8">
        <f t="shared" si="871"/>
        <v>6</v>
      </c>
      <c r="M2236" s="7">
        <v>44752.839942129627</v>
      </c>
      <c r="N2236" t="s">
        <v>72</v>
      </c>
      <c r="O2236" s="34" t="s">
        <v>7474</v>
      </c>
      <c r="R2236" s="32" t="s">
        <v>7472</v>
      </c>
      <c r="S2236" t="s">
        <v>7476</v>
      </c>
      <c r="T2236" s="34" t="s">
        <v>7476</v>
      </c>
      <c r="U2236" s="34" t="s">
        <v>7476</v>
      </c>
      <c r="V2236" s="32" t="s">
        <v>7476</v>
      </c>
      <c r="W2236" s="32" t="s">
        <v>7476</v>
      </c>
      <c r="X2236">
        <v>0</v>
      </c>
      <c r="Y2236" s="34" t="s">
        <v>7476</v>
      </c>
      <c r="Z2236" s="34" t="s">
        <v>7476</v>
      </c>
      <c r="AA2236" s="34" t="s">
        <v>7476</v>
      </c>
      <c r="AB2236" s="36" t="s">
        <v>7476</v>
      </c>
      <c r="AD2236" t="s">
        <v>6941</v>
      </c>
      <c r="AE2236" t="s">
        <v>6942</v>
      </c>
      <c r="AG2236" t="s">
        <v>68</v>
      </c>
      <c r="AH2236">
        <v>3</v>
      </c>
      <c r="AI2236" s="8" t="str">
        <f t="shared" si="889"/>
        <v/>
      </c>
      <c r="AJ2236" s="8" t="str">
        <f t="shared" si="890"/>
        <v/>
      </c>
      <c r="AK2236" s="38" t="str">
        <f t="shared" si="872"/>
        <v/>
      </c>
      <c r="AL2236" t="str">
        <f t="shared" si="891"/>
        <v/>
      </c>
      <c r="AM2236" t="str">
        <f t="shared" si="892"/>
        <v/>
      </c>
      <c r="AN2236" t="str">
        <f t="shared" si="893"/>
        <v/>
      </c>
      <c r="AO2236">
        <f t="shared" si="894"/>
        <v>4</v>
      </c>
      <c r="AP2236">
        <f t="shared" si="895"/>
        <v>0</v>
      </c>
      <c r="AQ2236" t="str">
        <f t="shared" si="896"/>
        <v/>
      </c>
    </row>
    <row r="2237" spans="1:43" x14ac:dyDescent="0.35">
      <c r="A2237">
        <v>1244</v>
      </c>
      <c r="B2237" t="s">
        <v>6943</v>
      </c>
      <c r="C2237" t="s">
        <v>6531</v>
      </c>
      <c r="D2237" t="str">
        <f t="shared" si="870"/>
        <v>Capacity Building</v>
      </c>
      <c r="E2237" t="s">
        <v>6887</v>
      </c>
      <c r="F2237" t="s">
        <v>6888</v>
      </c>
      <c r="G2237" t="s">
        <v>6889</v>
      </c>
      <c r="H2237" t="s">
        <v>48</v>
      </c>
      <c r="I2237" s="32">
        <v>44737.839942129627</v>
      </c>
      <c r="J2237" s="32">
        <v>44740.839942129627</v>
      </c>
      <c r="K2237" s="32">
        <v>44741.839942129627</v>
      </c>
      <c r="L2237" s="8">
        <f t="shared" si="871"/>
        <v>4</v>
      </c>
      <c r="M2237" s="7">
        <v>44746.839942129627</v>
      </c>
      <c r="N2237" t="s">
        <v>72</v>
      </c>
      <c r="O2237" s="34" t="s">
        <v>7474</v>
      </c>
      <c r="R2237" s="32" t="s">
        <v>7472</v>
      </c>
      <c r="S2237" t="s">
        <v>7476</v>
      </c>
      <c r="T2237" s="34" t="s">
        <v>7476</v>
      </c>
      <c r="U2237" s="34" t="s">
        <v>7476</v>
      </c>
      <c r="V2237" s="32" t="s">
        <v>7476</v>
      </c>
      <c r="W2237" s="32" t="s">
        <v>7476</v>
      </c>
      <c r="X2237">
        <v>0</v>
      </c>
      <c r="Y2237" s="34" t="s">
        <v>7476</v>
      </c>
      <c r="Z2237" s="34" t="s">
        <v>7476</v>
      </c>
      <c r="AA2237" s="34" t="s">
        <v>7476</v>
      </c>
      <c r="AB2237" s="36" t="s">
        <v>7476</v>
      </c>
      <c r="AD2237" t="s">
        <v>6944</v>
      </c>
      <c r="AE2237" t="s">
        <v>6945</v>
      </c>
      <c r="AG2237" t="s">
        <v>68</v>
      </c>
      <c r="AH2237">
        <v>3</v>
      </c>
      <c r="AI2237" s="8" t="str">
        <f t="shared" si="889"/>
        <v/>
      </c>
      <c r="AJ2237" s="8" t="str">
        <f t="shared" si="890"/>
        <v/>
      </c>
      <c r="AK2237" s="38" t="str">
        <f t="shared" si="872"/>
        <v/>
      </c>
      <c r="AL2237" t="str">
        <f t="shared" si="891"/>
        <v/>
      </c>
      <c r="AM2237" t="str">
        <f t="shared" si="892"/>
        <v/>
      </c>
      <c r="AN2237" t="str">
        <f t="shared" si="893"/>
        <v/>
      </c>
      <c r="AO2237">
        <f t="shared" si="894"/>
        <v>3</v>
      </c>
      <c r="AP2237">
        <f t="shared" si="895"/>
        <v>0</v>
      </c>
      <c r="AQ2237" t="str">
        <f t="shared" si="896"/>
        <v/>
      </c>
    </row>
    <row r="2238" spans="1:43" x14ac:dyDescent="0.35">
      <c r="A2238">
        <v>1238</v>
      </c>
      <c r="B2238" t="s">
        <v>6946</v>
      </c>
      <c r="C2238" t="s">
        <v>6525</v>
      </c>
      <c r="D2238" t="str">
        <f t="shared" si="870"/>
        <v>Capacity Building</v>
      </c>
      <c r="E2238" t="s">
        <v>6887</v>
      </c>
      <c r="F2238" t="s">
        <v>6888</v>
      </c>
      <c r="G2238" t="s">
        <v>6889</v>
      </c>
      <c r="H2238" t="s">
        <v>48</v>
      </c>
      <c r="I2238" s="32" t="s">
        <v>7471</v>
      </c>
      <c r="J2238" s="32">
        <v>44984.728877314818</v>
      </c>
      <c r="K2238" s="32">
        <v>44986.728877314818</v>
      </c>
      <c r="L2238" s="8" t="str">
        <f t="shared" si="871"/>
        <v/>
      </c>
      <c r="M2238" s="7">
        <v>45014.728877314818</v>
      </c>
      <c r="N2238" t="s">
        <v>49</v>
      </c>
      <c r="O2238" s="34">
        <v>44998.728877314818</v>
      </c>
      <c r="P2238" t="s">
        <v>101</v>
      </c>
      <c r="R2238" s="32">
        <v>45002.728877314818</v>
      </c>
      <c r="S2238" t="s">
        <v>101</v>
      </c>
      <c r="T2238" s="34">
        <v>45000.728877314818</v>
      </c>
      <c r="U2238" s="34">
        <v>45001.728877314818</v>
      </c>
      <c r="V2238" s="32">
        <v>44999.728877314818</v>
      </c>
      <c r="W2238" s="32">
        <v>45002.728877314818</v>
      </c>
      <c r="X2238">
        <v>1</v>
      </c>
      <c r="Y2238" s="34">
        <v>45006.728877314818</v>
      </c>
      <c r="Z2238" s="34">
        <v>45009.728877314818</v>
      </c>
      <c r="AA2238" s="34">
        <v>45012.728877314818</v>
      </c>
      <c r="AB2238" s="36" t="s">
        <v>7476</v>
      </c>
      <c r="AC2238" s="10">
        <v>45025.728877314818</v>
      </c>
      <c r="AD2238" t="s">
        <v>6947</v>
      </c>
      <c r="AE2238" t="s">
        <v>6948</v>
      </c>
      <c r="AF2238" s="16">
        <v>44984</v>
      </c>
      <c r="AG2238" t="s">
        <v>98</v>
      </c>
      <c r="AH2238">
        <v>3</v>
      </c>
      <c r="AK2238" s="38">
        <f t="shared" si="872"/>
        <v>45089.728877314818</v>
      </c>
    </row>
    <row r="2239" spans="1:43" x14ac:dyDescent="0.35">
      <c r="A2239">
        <v>1226</v>
      </c>
      <c r="B2239" t="s">
        <v>6949</v>
      </c>
      <c r="C2239" t="s">
        <v>6531</v>
      </c>
      <c r="D2239" t="str">
        <f t="shared" si="870"/>
        <v>Capacity Building</v>
      </c>
      <c r="E2239" t="s">
        <v>6887</v>
      </c>
      <c r="F2239" t="s">
        <v>6888</v>
      </c>
      <c r="G2239" t="s">
        <v>6889</v>
      </c>
      <c r="H2239" t="s">
        <v>48</v>
      </c>
      <c r="I2239" s="32">
        <v>44737.14203703704</v>
      </c>
      <c r="J2239" s="32">
        <v>44739.14203703704</v>
      </c>
      <c r="K2239" s="32">
        <v>44741.14203703704</v>
      </c>
      <c r="L2239" s="8">
        <f t="shared" si="871"/>
        <v>4</v>
      </c>
      <c r="M2239" s="7">
        <v>44754.14203703704</v>
      </c>
      <c r="N2239" t="s">
        <v>49</v>
      </c>
      <c r="O2239" s="34">
        <v>44753.14203703704</v>
      </c>
      <c r="P2239" t="s">
        <v>101</v>
      </c>
      <c r="R2239" s="32">
        <v>44758.14203703704</v>
      </c>
      <c r="S2239" t="s">
        <v>101</v>
      </c>
      <c r="T2239" s="34">
        <v>44754.14203703704</v>
      </c>
      <c r="U2239" s="34">
        <v>44758.14203703704</v>
      </c>
      <c r="V2239" s="32">
        <v>44755.14203703704</v>
      </c>
      <c r="W2239" s="32">
        <v>44765.14203703704</v>
      </c>
      <c r="X2239">
        <v>1</v>
      </c>
      <c r="Y2239" s="34">
        <v>44768.14203703704</v>
      </c>
      <c r="Z2239" s="34">
        <v>44769.14203703704</v>
      </c>
      <c r="AA2239" s="34">
        <v>44772.14203703704</v>
      </c>
      <c r="AB2239" s="36" t="s">
        <v>7476</v>
      </c>
      <c r="AC2239" s="10">
        <v>44792.14203703704</v>
      </c>
      <c r="AD2239" t="s">
        <v>6950</v>
      </c>
      <c r="AE2239" t="s">
        <v>6951</v>
      </c>
      <c r="AF2239" s="16">
        <v>44740</v>
      </c>
      <c r="AG2239" t="s">
        <v>98</v>
      </c>
      <c r="AH2239">
        <v>6</v>
      </c>
      <c r="AI2239" s="8">
        <f>IFERROR(R2239-AF2239,"")</f>
        <v>18.142037037039699</v>
      </c>
      <c r="AJ2239" s="8">
        <f>IFERROR(O2239-AF2239,"")</f>
        <v>13.142037037039699</v>
      </c>
      <c r="AK2239" s="38">
        <f t="shared" si="872"/>
        <v>44935.14203703704</v>
      </c>
      <c r="AL2239">
        <f>IFERROR(Z2239-W2239,"")</f>
        <v>4</v>
      </c>
      <c r="AM2239">
        <f>IFERROR(R2239-J2239,"")</f>
        <v>19</v>
      </c>
      <c r="AN2239">
        <f>IFERROR(V2239-O2239,"")</f>
        <v>2</v>
      </c>
      <c r="AO2239">
        <f>IFERROR(J2239-I2239,"")</f>
        <v>2</v>
      </c>
      <c r="AP2239">
        <f>IFERROR(AC2239-X2239,"")</f>
        <v>44791.14203703704</v>
      </c>
      <c r="AQ2239">
        <f>IFERROR(AA2239-W2239,"")</f>
        <v>7</v>
      </c>
    </row>
    <row r="2240" spans="1:43" x14ac:dyDescent="0.35">
      <c r="A2240">
        <v>1174</v>
      </c>
      <c r="B2240" t="s">
        <v>6952</v>
      </c>
      <c r="C2240" t="s">
        <v>6525</v>
      </c>
      <c r="D2240" t="str">
        <f t="shared" si="870"/>
        <v>Capacity Building</v>
      </c>
      <c r="E2240" t="s">
        <v>6887</v>
      </c>
      <c r="F2240" t="s">
        <v>6888</v>
      </c>
      <c r="G2240" t="s">
        <v>6889</v>
      </c>
      <c r="H2240" t="s">
        <v>48</v>
      </c>
      <c r="I2240" s="32">
        <v>45058.041770833333</v>
      </c>
      <c r="J2240" s="32">
        <v>45061.041770833333</v>
      </c>
      <c r="K2240" s="32">
        <v>45066.041770833333</v>
      </c>
      <c r="L2240" s="8">
        <f t="shared" si="871"/>
        <v>8</v>
      </c>
      <c r="M2240" s="7">
        <v>45090.041770833333</v>
      </c>
      <c r="N2240" t="s">
        <v>49</v>
      </c>
      <c r="O2240" s="34">
        <v>45083.041770833333</v>
      </c>
      <c r="P2240" t="s">
        <v>101</v>
      </c>
      <c r="R2240" s="32">
        <v>45088.041770833333</v>
      </c>
      <c r="S2240" t="s">
        <v>101</v>
      </c>
      <c r="T2240" s="34">
        <v>45085.041770833333</v>
      </c>
      <c r="U2240" s="34">
        <v>45089.041770833333</v>
      </c>
      <c r="V2240" s="32">
        <v>45085.041770833333</v>
      </c>
      <c r="W2240" s="32">
        <v>45090.041770833333</v>
      </c>
      <c r="X2240">
        <v>1</v>
      </c>
      <c r="Y2240" s="34">
        <v>45092.041770833333</v>
      </c>
      <c r="Z2240" s="34">
        <v>45094.041770833333</v>
      </c>
      <c r="AA2240" s="34">
        <v>45096.041770833333</v>
      </c>
      <c r="AB2240" s="36" t="s">
        <v>7476</v>
      </c>
      <c r="AC2240" s="10">
        <v>45117.041770833333</v>
      </c>
      <c r="AD2240" t="s">
        <v>6953</v>
      </c>
      <c r="AE2240" t="s">
        <v>6954</v>
      </c>
      <c r="AF2240" s="16">
        <v>45066</v>
      </c>
      <c r="AG2240" t="s">
        <v>98</v>
      </c>
      <c r="AH2240">
        <v>3</v>
      </c>
      <c r="AI2240" s="8">
        <f>IFERROR(R2240-AF2240,"")</f>
        <v>22.04177083333343</v>
      </c>
      <c r="AJ2240" s="8">
        <f>IFERROR(O2240-AF2240,"")</f>
        <v>17.04177083333343</v>
      </c>
      <c r="AK2240" s="38">
        <f t="shared" si="872"/>
        <v>45175.041770833333</v>
      </c>
      <c r="AL2240">
        <f>IFERROR(Z2240-W2240,"")</f>
        <v>4</v>
      </c>
      <c r="AM2240">
        <f>IFERROR(R2240-J2240,"")</f>
        <v>27</v>
      </c>
      <c r="AN2240">
        <f>IFERROR(V2240-O2240,"")</f>
        <v>2</v>
      </c>
      <c r="AO2240">
        <f>IFERROR(J2240-I2240,"")</f>
        <v>3</v>
      </c>
      <c r="AP2240">
        <f>IFERROR(AC2240-X2240,"")</f>
        <v>45116.041770833333</v>
      </c>
      <c r="AQ2240">
        <f>IFERROR(AA2240-W2240,"")</f>
        <v>6</v>
      </c>
    </row>
    <row r="2241" spans="1:43" x14ac:dyDescent="0.35">
      <c r="A2241">
        <v>1107</v>
      </c>
      <c r="B2241" t="s">
        <v>6955</v>
      </c>
      <c r="C2241" t="s">
        <v>6525</v>
      </c>
      <c r="D2241" t="str">
        <f t="shared" si="870"/>
        <v>Capacity Building</v>
      </c>
      <c r="E2241" t="s">
        <v>6887</v>
      </c>
      <c r="F2241" t="s">
        <v>6888</v>
      </c>
      <c r="G2241" t="s">
        <v>6889</v>
      </c>
      <c r="H2241" t="s">
        <v>48</v>
      </c>
      <c r="I2241" s="32">
        <v>44676.953865740739</v>
      </c>
      <c r="J2241" s="32">
        <v>44677.953865740739</v>
      </c>
      <c r="K2241" s="32" t="s">
        <v>7473</v>
      </c>
      <c r="L2241" s="8" t="str">
        <f t="shared" si="871"/>
        <v/>
      </c>
      <c r="M2241" s="7">
        <v>44688.953865740739</v>
      </c>
      <c r="N2241" t="s">
        <v>72</v>
      </c>
      <c r="O2241" s="34" t="s">
        <v>7474</v>
      </c>
      <c r="R2241" s="32" t="s">
        <v>7472</v>
      </c>
      <c r="S2241" t="s">
        <v>7476</v>
      </c>
      <c r="T2241" s="34" t="s">
        <v>7476</v>
      </c>
      <c r="U2241" s="34" t="s">
        <v>7476</v>
      </c>
      <c r="V2241" s="32" t="s">
        <v>7476</v>
      </c>
      <c r="W2241" s="32" t="s">
        <v>7476</v>
      </c>
      <c r="X2241">
        <v>0</v>
      </c>
      <c r="Y2241" s="34" t="s">
        <v>7476</v>
      </c>
      <c r="Z2241" s="34" t="s">
        <v>7476</v>
      </c>
      <c r="AA2241" s="34" t="s">
        <v>7476</v>
      </c>
      <c r="AB2241" s="36" t="s">
        <v>7476</v>
      </c>
      <c r="AD2241" t="s">
        <v>6956</v>
      </c>
      <c r="AE2241" t="s">
        <v>6957</v>
      </c>
      <c r="AG2241" t="s">
        <v>98</v>
      </c>
      <c r="AH2241">
        <v>6</v>
      </c>
      <c r="AK2241" s="38" t="str">
        <f t="shared" si="872"/>
        <v/>
      </c>
    </row>
    <row r="2242" spans="1:43" x14ac:dyDescent="0.35">
      <c r="A2242">
        <v>1072</v>
      </c>
      <c r="B2242" t="s">
        <v>6958</v>
      </c>
      <c r="C2242" t="s">
        <v>6525</v>
      </c>
      <c r="D2242" t="str">
        <f t="shared" ref="D2242:D2305" si="897">TRIM(C2242)</f>
        <v>Capacity Building</v>
      </c>
      <c r="E2242" t="s">
        <v>6887</v>
      </c>
      <c r="F2242" t="s">
        <v>6888</v>
      </c>
      <c r="G2242" t="s">
        <v>6889</v>
      </c>
      <c r="H2242" t="s">
        <v>48</v>
      </c>
      <c r="I2242" s="32">
        <v>44603.990740740737</v>
      </c>
      <c r="J2242" s="32">
        <v>44604.990740740737</v>
      </c>
      <c r="K2242" s="32">
        <v>44607.990740740737</v>
      </c>
      <c r="L2242" s="8">
        <f t="shared" ref="L2242:L2305" si="898">IFERROR(K2242-I2242,"")</f>
        <v>4</v>
      </c>
      <c r="M2242" s="7">
        <v>44630.990740740737</v>
      </c>
      <c r="N2242" t="s">
        <v>72</v>
      </c>
      <c r="O2242" s="34" t="s">
        <v>7474</v>
      </c>
      <c r="R2242" s="32" t="s">
        <v>7472</v>
      </c>
      <c r="S2242" t="s">
        <v>7476</v>
      </c>
      <c r="T2242" s="34" t="s">
        <v>7476</v>
      </c>
      <c r="U2242" s="34" t="s">
        <v>7476</v>
      </c>
      <c r="V2242" s="32" t="s">
        <v>7476</v>
      </c>
      <c r="W2242" s="32" t="s">
        <v>7476</v>
      </c>
      <c r="X2242">
        <v>0</v>
      </c>
      <c r="Y2242" s="34" t="s">
        <v>7476</v>
      </c>
      <c r="Z2242" s="34" t="s">
        <v>7476</v>
      </c>
      <c r="AA2242" s="34" t="s">
        <v>7476</v>
      </c>
      <c r="AB2242" s="36" t="s">
        <v>7476</v>
      </c>
      <c r="AD2242" t="s">
        <v>6959</v>
      </c>
      <c r="AE2242" t="s">
        <v>6960</v>
      </c>
      <c r="AG2242" t="s">
        <v>98</v>
      </c>
      <c r="AH2242">
        <v>6</v>
      </c>
      <c r="AI2242" s="8" t="str">
        <f>IFERROR(R2242-AF2242,"")</f>
        <v/>
      </c>
      <c r="AJ2242" s="8" t="str">
        <f>IFERROR(O2242-AF2242,"")</f>
        <v/>
      </c>
      <c r="AK2242" s="38" t="str">
        <f t="shared" si="872"/>
        <v/>
      </c>
      <c r="AL2242" t="str">
        <f>IFERROR(Z2242-W2242,"")</f>
        <v/>
      </c>
      <c r="AM2242" t="str">
        <f>IFERROR(R2242-J2242,"")</f>
        <v/>
      </c>
      <c r="AN2242" t="str">
        <f>IFERROR(V2242-O2242,"")</f>
        <v/>
      </c>
      <c r="AO2242">
        <f>IFERROR(J2242-I2242,"")</f>
        <v>1</v>
      </c>
      <c r="AP2242">
        <f>IFERROR(AC2242-X2242,"")</f>
        <v>0</v>
      </c>
      <c r="AQ2242" t="str">
        <f>IFERROR(AA2242-W2242,"")</f>
        <v/>
      </c>
    </row>
    <row r="2243" spans="1:43" x14ac:dyDescent="0.35">
      <c r="A2243">
        <v>810</v>
      </c>
      <c r="B2243" t="s">
        <v>6961</v>
      </c>
      <c r="C2243" t="s">
        <v>6525</v>
      </c>
      <c r="D2243" t="str">
        <f t="shared" si="897"/>
        <v>Capacity Building</v>
      </c>
      <c r="E2243" t="s">
        <v>6887</v>
      </c>
      <c r="F2243" t="s">
        <v>6888</v>
      </c>
      <c r="G2243" t="s">
        <v>6889</v>
      </c>
      <c r="H2243" t="s">
        <v>48</v>
      </c>
      <c r="I2243" s="32">
        <v>44940.903796296298</v>
      </c>
      <c r="J2243" s="32" t="s">
        <v>7471</v>
      </c>
      <c r="K2243" s="32">
        <v>44944.903796296298</v>
      </c>
      <c r="L2243" s="8">
        <f t="shared" si="898"/>
        <v>4</v>
      </c>
      <c r="M2243" s="7">
        <v>44959.903796296298</v>
      </c>
      <c r="N2243" t="s">
        <v>49</v>
      </c>
      <c r="O2243" s="34">
        <v>44952.903796296298</v>
      </c>
      <c r="P2243" t="s">
        <v>50</v>
      </c>
      <c r="Q2243" t="s">
        <v>236</v>
      </c>
      <c r="R2243" s="32" t="s">
        <v>7472</v>
      </c>
      <c r="S2243" t="s">
        <v>7476</v>
      </c>
      <c r="T2243" s="34" t="s">
        <v>7476</v>
      </c>
      <c r="U2243" s="34" t="s">
        <v>7476</v>
      </c>
      <c r="V2243" s="32" t="s">
        <v>7476</v>
      </c>
      <c r="W2243" s="32" t="s">
        <v>7476</v>
      </c>
      <c r="X2243">
        <v>0</v>
      </c>
      <c r="Y2243" s="34" t="s">
        <v>7476</v>
      </c>
      <c r="Z2243" s="34" t="s">
        <v>7476</v>
      </c>
      <c r="AA2243" s="34" t="s">
        <v>7476</v>
      </c>
      <c r="AB2243" s="36" t="s">
        <v>52</v>
      </c>
      <c r="AD2243" t="s">
        <v>6962</v>
      </c>
      <c r="AE2243" t="s">
        <v>6963</v>
      </c>
      <c r="AF2243" s="16">
        <v>44945</v>
      </c>
      <c r="AG2243" t="s">
        <v>64</v>
      </c>
      <c r="AH2243">
        <v>3</v>
      </c>
      <c r="AK2243" s="38" t="str">
        <f t="shared" ref="AK2243:AK2306" si="899">IFERROR(V2243+(AH2243*30),"")</f>
        <v/>
      </c>
    </row>
    <row r="2244" spans="1:43" x14ac:dyDescent="0.35">
      <c r="A2244">
        <v>779</v>
      </c>
      <c r="B2244" t="s">
        <v>6964</v>
      </c>
      <c r="C2244" t="s">
        <v>6525</v>
      </c>
      <c r="D2244" t="str">
        <f t="shared" si="897"/>
        <v>Capacity Building</v>
      </c>
      <c r="E2244" t="s">
        <v>6887</v>
      </c>
      <c r="F2244" t="s">
        <v>6888</v>
      </c>
      <c r="G2244" t="s">
        <v>6889</v>
      </c>
      <c r="H2244" t="s">
        <v>48</v>
      </c>
      <c r="I2244" s="32">
        <v>45004.397060185183</v>
      </c>
      <c r="J2244" s="32">
        <v>45008.397060185183</v>
      </c>
      <c r="K2244" s="32">
        <v>45012.397060185183</v>
      </c>
      <c r="L2244" s="8">
        <f t="shared" si="898"/>
        <v>8</v>
      </c>
      <c r="M2244" s="7">
        <v>45035.397060185183</v>
      </c>
      <c r="N2244" t="s">
        <v>49</v>
      </c>
      <c r="O2244" s="34">
        <v>45029.397060185183</v>
      </c>
      <c r="P2244" t="s">
        <v>392</v>
      </c>
      <c r="R2244" s="32">
        <v>45034.397060185183</v>
      </c>
      <c r="S2244" t="s">
        <v>392</v>
      </c>
      <c r="T2244" s="34" t="s">
        <v>7476</v>
      </c>
      <c r="U2244" s="34" t="s">
        <v>7476</v>
      </c>
      <c r="V2244" s="32">
        <v>45031.397060185183</v>
      </c>
      <c r="W2244" s="32" t="s">
        <v>7476</v>
      </c>
      <c r="X2244">
        <v>0</v>
      </c>
      <c r="Y2244" s="34" t="s">
        <v>7476</v>
      </c>
      <c r="Z2244" s="34" t="s">
        <v>7476</v>
      </c>
      <c r="AA2244" s="34" t="s">
        <v>7476</v>
      </c>
      <c r="AB2244" s="36" t="s">
        <v>7476</v>
      </c>
      <c r="AD2244" t="s">
        <v>6965</v>
      </c>
      <c r="AE2244" t="s">
        <v>6966</v>
      </c>
      <c r="AF2244" s="16">
        <v>45024</v>
      </c>
      <c r="AG2244" t="s">
        <v>98</v>
      </c>
      <c r="AH2244">
        <v>3</v>
      </c>
      <c r="AI2244" s="8">
        <f>IFERROR(R2244-AF2244,"")</f>
        <v>10.397060185183364</v>
      </c>
      <c r="AJ2244" s="8">
        <f>IFERROR(O2244-AF2244,"")</f>
        <v>5.3970601851833635</v>
      </c>
      <c r="AK2244" s="38">
        <f t="shared" si="899"/>
        <v>45121.397060185183</v>
      </c>
      <c r="AL2244" t="str">
        <f>IFERROR(Z2244-W2244,"")</f>
        <v/>
      </c>
      <c r="AM2244">
        <f>IFERROR(R2244-J2244,"")</f>
        <v>26</v>
      </c>
      <c r="AN2244">
        <f>IFERROR(V2244-O2244,"")</f>
        <v>2</v>
      </c>
      <c r="AO2244">
        <f>IFERROR(J2244-I2244,"")</f>
        <v>4</v>
      </c>
      <c r="AP2244">
        <f>IFERROR(AC2244-X2244,"")</f>
        <v>0</v>
      </c>
      <c r="AQ2244" t="str">
        <f>IFERROR(AA2244-W2244,"")</f>
        <v/>
      </c>
    </row>
    <row r="2245" spans="1:43" x14ac:dyDescent="0.35">
      <c r="A2245">
        <v>773</v>
      </c>
      <c r="B2245" t="s">
        <v>6967</v>
      </c>
      <c r="C2245" t="s">
        <v>6525</v>
      </c>
      <c r="D2245" t="str">
        <f t="shared" si="897"/>
        <v>Capacity Building</v>
      </c>
      <c r="E2245" t="s">
        <v>6887</v>
      </c>
      <c r="F2245" t="s">
        <v>6888</v>
      </c>
      <c r="G2245" t="s">
        <v>6889</v>
      </c>
      <c r="H2245" t="s">
        <v>48</v>
      </c>
      <c r="I2245" s="32">
        <v>45010.397060185183</v>
      </c>
      <c r="J2245" s="32">
        <v>45011.397060185183</v>
      </c>
      <c r="K2245" s="32">
        <v>45012.397060185183</v>
      </c>
      <c r="L2245" s="8">
        <f t="shared" si="898"/>
        <v>2</v>
      </c>
      <c r="M2245" s="7">
        <v>45040.397060185183</v>
      </c>
      <c r="N2245" t="s">
        <v>72</v>
      </c>
      <c r="O2245" s="34" t="s">
        <v>7474</v>
      </c>
      <c r="R2245" s="32" t="s">
        <v>7472</v>
      </c>
      <c r="S2245" t="s">
        <v>7476</v>
      </c>
      <c r="T2245" s="34" t="s">
        <v>7476</v>
      </c>
      <c r="U2245" s="34" t="s">
        <v>7476</v>
      </c>
      <c r="V2245" s="32" t="s">
        <v>7476</v>
      </c>
      <c r="W2245" s="32" t="s">
        <v>7476</v>
      </c>
      <c r="X2245">
        <v>0</v>
      </c>
      <c r="Y2245" s="34" t="s">
        <v>7476</v>
      </c>
      <c r="Z2245" s="34" t="s">
        <v>7476</v>
      </c>
      <c r="AA2245" s="34" t="s">
        <v>7476</v>
      </c>
      <c r="AB2245" s="36" t="s">
        <v>7476</v>
      </c>
      <c r="AD2245" t="s">
        <v>6968</v>
      </c>
      <c r="AE2245" t="s">
        <v>6969</v>
      </c>
      <c r="AG2245" t="s">
        <v>64</v>
      </c>
      <c r="AH2245">
        <v>6</v>
      </c>
      <c r="AI2245" s="8" t="str">
        <f>IFERROR(R2245-AF2245,"")</f>
        <v/>
      </c>
      <c r="AJ2245" s="8" t="str">
        <f>IFERROR(O2245-AF2245,"")</f>
        <v/>
      </c>
      <c r="AK2245" s="38" t="str">
        <f t="shared" si="899"/>
        <v/>
      </c>
      <c r="AL2245" t="str">
        <f>IFERROR(Z2245-W2245,"")</f>
        <v/>
      </c>
      <c r="AM2245" t="str">
        <f>IFERROR(R2245-J2245,"")</f>
        <v/>
      </c>
      <c r="AN2245" t="str">
        <f>IFERROR(V2245-O2245,"")</f>
        <v/>
      </c>
      <c r="AO2245">
        <f>IFERROR(J2245-I2245,"")</f>
        <v>1</v>
      </c>
      <c r="AP2245">
        <f>IFERROR(AC2245-X2245,"")</f>
        <v>0</v>
      </c>
      <c r="AQ2245" t="str">
        <f>IFERROR(AA2245-W2245,"")</f>
        <v/>
      </c>
    </row>
    <row r="2246" spans="1:43" x14ac:dyDescent="0.35">
      <c r="A2246">
        <v>664</v>
      </c>
      <c r="B2246" t="s">
        <v>6970</v>
      </c>
      <c r="C2246" t="s">
        <v>6525</v>
      </c>
      <c r="D2246" t="str">
        <f t="shared" si="897"/>
        <v>Capacity Building</v>
      </c>
      <c r="E2246" t="s">
        <v>6887</v>
      </c>
      <c r="F2246" t="s">
        <v>6888</v>
      </c>
      <c r="G2246" t="s">
        <v>6889</v>
      </c>
      <c r="H2246" t="s">
        <v>48</v>
      </c>
      <c r="I2246" s="32">
        <v>44573.204074074078</v>
      </c>
      <c r="J2246" s="32">
        <v>44575.204074074078</v>
      </c>
      <c r="K2246" s="32">
        <v>44576.204074074078</v>
      </c>
      <c r="L2246" s="8">
        <f t="shared" si="898"/>
        <v>3</v>
      </c>
      <c r="M2246" s="7">
        <v>44597.204074074078</v>
      </c>
      <c r="N2246" t="s">
        <v>49</v>
      </c>
      <c r="O2246" s="34">
        <v>44590.204074074078</v>
      </c>
      <c r="P2246" t="s">
        <v>50</v>
      </c>
      <c r="Q2246" t="s">
        <v>198</v>
      </c>
      <c r="R2246" s="32" t="s">
        <v>7472</v>
      </c>
      <c r="S2246" t="s">
        <v>7476</v>
      </c>
      <c r="T2246" s="34" t="s">
        <v>7476</v>
      </c>
      <c r="U2246" s="34" t="s">
        <v>7476</v>
      </c>
      <c r="V2246" s="32">
        <v>44594.204074074078</v>
      </c>
      <c r="W2246" s="32" t="s">
        <v>7476</v>
      </c>
      <c r="X2246">
        <v>0</v>
      </c>
      <c r="Y2246" s="34" t="s">
        <v>7476</v>
      </c>
      <c r="Z2246" s="34" t="s">
        <v>7476</v>
      </c>
      <c r="AA2246" s="34" t="s">
        <v>7476</v>
      </c>
      <c r="AB2246" s="36" t="s">
        <v>95</v>
      </c>
      <c r="AD2246" t="s">
        <v>6971</v>
      </c>
      <c r="AE2246" t="s">
        <v>6972</v>
      </c>
      <c r="AF2246" s="16">
        <v>44585</v>
      </c>
      <c r="AG2246" t="s">
        <v>64</v>
      </c>
      <c r="AH2246">
        <v>3</v>
      </c>
      <c r="AI2246" s="8" t="str">
        <f>IFERROR(R2246-AF2246,"")</f>
        <v/>
      </c>
      <c r="AJ2246" s="8">
        <f>IFERROR(O2246-AF2246,"")</f>
        <v>5.2040740740776528</v>
      </c>
      <c r="AK2246" s="38">
        <f t="shared" si="899"/>
        <v>44684.204074074078</v>
      </c>
      <c r="AL2246" t="str">
        <f>IFERROR(Z2246-W2246,"")</f>
        <v/>
      </c>
      <c r="AM2246" t="str">
        <f>IFERROR(R2246-J2246,"")</f>
        <v/>
      </c>
      <c r="AN2246">
        <f>IFERROR(V2246-O2246,"")</f>
        <v>4</v>
      </c>
      <c r="AO2246">
        <f>IFERROR(J2246-I2246,"")</f>
        <v>2</v>
      </c>
      <c r="AP2246">
        <f>IFERROR(AC2246-X2246,"")</f>
        <v>0</v>
      </c>
      <c r="AQ2246" t="str">
        <f>IFERROR(AA2246-W2246,"")</f>
        <v/>
      </c>
    </row>
    <row r="2247" spans="1:43" x14ac:dyDescent="0.35">
      <c r="A2247">
        <v>661</v>
      </c>
      <c r="B2247" t="s">
        <v>6973</v>
      </c>
      <c r="C2247" t="s">
        <v>6531</v>
      </c>
      <c r="D2247" t="str">
        <f t="shared" si="897"/>
        <v>Capacity Building</v>
      </c>
      <c r="E2247" t="s">
        <v>6887</v>
      </c>
      <c r="F2247" t="s">
        <v>6888</v>
      </c>
      <c r="G2247" t="s">
        <v>6889</v>
      </c>
      <c r="H2247" t="s">
        <v>48</v>
      </c>
      <c r="I2247" s="32">
        <v>44570.204074074078</v>
      </c>
      <c r="J2247" s="32">
        <v>44572.204074074078</v>
      </c>
      <c r="K2247" s="32">
        <v>44576.204074074078</v>
      </c>
      <c r="L2247" s="8">
        <f t="shared" si="898"/>
        <v>6</v>
      </c>
      <c r="M2247" s="7">
        <v>44585.204074074078</v>
      </c>
      <c r="N2247" t="s">
        <v>49</v>
      </c>
      <c r="O2247" s="34">
        <v>44580.204074074078</v>
      </c>
      <c r="P2247" t="s">
        <v>50</v>
      </c>
      <c r="Q2247" t="s">
        <v>236</v>
      </c>
      <c r="R2247" s="32" t="s">
        <v>7472</v>
      </c>
      <c r="S2247" t="s">
        <v>7476</v>
      </c>
      <c r="T2247" s="34" t="s">
        <v>7476</v>
      </c>
      <c r="U2247" s="34" t="s">
        <v>7476</v>
      </c>
      <c r="V2247" s="32">
        <v>44584.204074074078</v>
      </c>
      <c r="W2247" s="32" t="s">
        <v>7476</v>
      </c>
      <c r="X2247">
        <v>0</v>
      </c>
      <c r="Y2247" s="34" t="s">
        <v>7476</v>
      </c>
      <c r="Z2247" s="34" t="s">
        <v>7476</v>
      </c>
      <c r="AA2247" s="34" t="s">
        <v>7476</v>
      </c>
      <c r="AB2247" s="36" t="s">
        <v>52</v>
      </c>
      <c r="AD2247" t="s">
        <v>6974</v>
      </c>
      <c r="AE2247" t="s">
        <v>6975</v>
      </c>
      <c r="AF2247" s="16">
        <v>44563</v>
      </c>
      <c r="AG2247" t="s">
        <v>64</v>
      </c>
      <c r="AH2247">
        <v>3</v>
      </c>
      <c r="AI2247" s="8" t="str">
        <f>IFERROR(R2247-AF2247,"")</f>
        <v/>
      </c>
      <c r="AJ2247" s="8">
        <f>IFERROR(O2247-AF2247,"")</f>
        <v>17.204074074077653</v>
      </c>
      <c r="AK2247" s="38">
        <f t="shared" si="899"/>
        <v>44674.204074074078</v>
      </c>
      <c r="AL2247" t="str">
        <f>IFERROR(Z2247-W2247,"")</f>
        <v/>
      </c>
      <c r="AM2247" t="str">
        <f>IFERROR(R2247-J2247,"")</f>
        <v/>
      </c>
      <c r="AN2247">
        <f>IFERROR(V2247-O2247,"")</f>
        <v>4</v>
      </c>
      <c r="AO2247">
        <f>IFERROR(J2247-I2247,"")</f>
        <v>2</v>
      </c>
      <c r="AP2247">
        <f>IFERROR(AC2247-X2247,"")</f>
        <v>0</v>
      </c>
      <c r="AQ2247" t="str">
        <f>IFERROR(AA2247-W2247,"")</f>
        <v/>
      </c>
    </row>
    <row r="2248" spans="1:43" x14ac:dyDescent="0.35">
      <c r="A2248">
        <v>626</v>
      </c>
      <c r="B2248" t="s">
        <v>6976</v>
      </c>
      <c r="C2248" t="s">
        <v>6525</v>
      </c>
      <c r="D2248" t="str">
        <f t="shared" si="897"/>
        <v>Capacity Building</v>
      </c>
      <c r="E2248" t="s">
        <v>6887</v>
      </c>
      <c r="F2248" t="s">
        <v>6888</v>
      </c>
      <c r="G2248" t="s">
        <v>6889</v>
      </c>
      <c r="H2248" t="s">
        <v>48</v>
      </c>
      <c r="I2248" s="32" t="s">
        <v>7471</v>
      </c>
      <c r="J2248" s="32">
        <v>44996.828541666669</v>
      </c>
      <c r="K2248" s="32">
        <v>45000.828541666669</v>
      </c>
      <c r="L2248" s="8" t="str">
        <f t="shared" si="898"/>
        <v/>
      </c>
      <c r="M2248" s="7">
        <v>45019.828541666669</v>
      </c>
      <c r="N2248" t="s">
        <v>49</v>
      </c>
      <c r="O2248" s="34">
        <v>45015.828541666669</v>
      </c>
      <c r="P2248" t="s">
        <v>50</v>
      </c>
      <c r="Q2248" t="s">
        <v>236</v>
      </c>
      <c r="R2248" s="32" t="s">
        <v>7472</v>
      </c>
      <c r="S2248" t="s">
        <v>7476</v>
      </c>
      <c r="T2248" s="34" t="s">
        <v>7476</v>
      </c>
      <c r="U2248" s="34" t="s">
        <v>7476</v>
      </c>
      <c r="V2248" s="32" t="s">
        <v>7476</v>
      </c>
      <c r="W2248" s="32" t="s">
        <v>7476</v>
      </c>
      <c r="X2248">
        <v>0</v>
      </c>
      <c r="Y2248" s="34" t="s">
        <v>7476</v>
      </c>
      <c r="Z2248" s="34" t="s">
        <v>7476</v>
      </c>
      <c r="AA2248" s="34" t="s">
        <v>7476</v>
      </c>
      <c r="AB2248" s="36" t="s">
        <v>52</v>
      </c>
      <c r="AD2248" t="s">
        <v>6977</v>
      </c>
      <c r="AE2248" t="s">
        <v>6978</v>
      </c>
      <c r="AF2248" s="16">
        <v>45003</v>
      </c>
      <c r="AG2248" t="s">
        <v>75</v>
      </c>
      <c r="AH2248">
        <v>6</v>
      </c>
      <c r="AK2248" s="38" t="str">
        <f t="shared" si="899"/>
        <v/>
      </c>
    </row>
    <row r="2249" spans="1:43" x14ac:dyDescent="0.35">
      <c r="A2249">
        <v>539</v>
      </c>
      <c r="B2249" t="s">
        <v>6979</v>
      </c>
      <c r="C2249" t="s">
        <v>6525</v>
      </c>
      <c r="D2249" t="str">
        <f t="shared" si="897"/>
        <v>Capacity Building</v>
      </c>
      <c r="E2249" t="s">
        <v>6887</v>
      </c>
      <c r="F2249" t="s">
        <v>6888</v>
      </c>
      <c r="G2249" t="s">
        <v>6889</v>
      </c>
      <c r="H2249" t="s">
        <v>48</v>
      </c>
      <c r="I2249" s="32" t="s">
        <v>7471</v>
      </c>
      <c r="J2249" s="32" t="s">
        <v>7471</v>
      </c>
      <c r="K2249" s="32">
        <v>44578.271180555559</v>
      </c>
      <c r="L2249" s="8" t="str">
        <f t="shared" si="898"/>
        <v/>
      </c>
      <c r="M2249" s="7">
        <v>44605.271180555559</v>
      </c>
      <c r="N2249" t="s">
        <v>72</v>
      </c>
      <c r="O2249" s="34" t="s">
        <v>7474</v>
      </c>
      <c r="R2249" s="32" t="s">
        <v>7472</v>
      </c>
      <c r="S2249" t="s">
        <v>7476</v>
      </c>
      <c r="T2249" s="34" t="s">
        <v>7476</v>
      </c>
      <c r="U2249" s="34" t="s">
        <v>7476</v>
      </c>
      <c r="V2249" s="32" t="s">
        <v>7476</v>
      </c>
      <c r="W2249" s="32" t="s">
        <v>7476</v>
      </c>
      <c r="X2249">
        <v>0</v>
      </c>
      <c r="Y2249" s="34" t="s">
        <v>7476</v>
      </c>
      <c r="Z2249" s="34" t="s">
        <v>7476</v>
      </c>
      <c r="AA2249" s="34" t="s">
        <v>7476</v>
      </c>
      <c r="AB2249" s="36" t="s">
        <v>7476</v>
      </c>
      <c r="AD2249" t="s">
        <v>6980</v>
      </c>
      <c r="AE2249" t="s">
        <v>6981</v>
      </c>
      <c r="AG2249" t="s">
        <v>93</v>
      </c>
      <c r="AH2249">
        <v>3</v>
      </c>
      <c r="AK2249" s="38" t="str">
        <f t="shared" si="899"/>
        <v/>
      </c>
    </row>
    <row r="2250" spans="1:43" x14ac:dyDescent="0.35">
      <c r="A2250">
        <v>532</v>
      </c>
      <c r="B2250" t="s">
        <v>6982</v>
      </c>
      <c r="C2250" t="s">
        <v>6525</v>
      </c>
      <c r="D2250" t="str">
        <f t="shared" si="897"/>
        <v>Capacity Building</v>
      </c>
      <c r="E2250" t="s">
        <v>6887</v>
      </c>
      <c r="F2250" t="s">
        <v>6888</v>
      </c>
      <c r="G2250" t="s">
        <v>6889</v>
      </c>
      <c r="H2250" t="s">
        <v>48</v>
      </c>
      <c r="I2250" s="32">
        <v>44572.271180555559</v>
      </c>
      <c r="J2250" s="32">
        <v>44574.271180555559</v>
      </c>
      <c r="K2250" s="32" t="s">
        <v>7473</v>
      </c>
      <c r="L2250" s="8" t="str">
        <f t="shared" si="898"/>
        <v/>
      </c>
      <c r="M2250" s="7">
        <v>44603.271180555559</v>
      </c>
      <c r="N2250" t="s">
        <v>49</v>
      </c>
      <c r="O2250" s="34">
        <v>44591.271180555559</v>
      </c>
      <c r="P2250" t="s">
        <v>50</v>
      </c>
      <c r="Q2250" t="s">
        <v>198</v>
      </c>
      <c r="R2250" s="32" t="s">
        <v>7472</v>
      </c>
      <c r="S2250" t="s">
        <v>7476</v>
      </c>
      <c r="T2250" s="34" t="s">
        <v>7476</v>
      </c>
      <c r="U2250" s="34" t="s">
        <v>7476</v>
      </c>
      <c r="V2250" s="32" t="s">
        <v>7476</v>
      </c>
      <c r="W2250" s="32" t="s">
        <v>7476</v>
      </c>
      <c r="X2250">
        <v>0</v>
      </c>
      <c r="Y2250" s="34" t="s">
        <v>7476</v>
      </c>
      <c r="Z2250" s="34" t="s">
        <v>7476</v>
      </c>
      <c r="AA2250" s="34" t="s">
        <v>7476</v>
      </c>
      <c r="AB2250" s="36" t="s">
        <v>52</v>
      </c>
      <c r="AD2250" t="s">
        <v>6983</v>
      </c>
      <c r="AE2250" t="s">
        <v>6984</v>
      </c>
      <c r="AF2250" s="16">
        <v>44574</v>
      </c>
      <c r="AG2250" t="s">
        <v>64</v>
      </c>
      <c r="AH2250">
        <v>6</v>
      </c>
      <c r="AK2250" s="38" t="str">
        <f t="shared" si="899"/>
        <v/>
      </c>
    </row>
    <row r="2251" spans="1:43" x14ac:dyDescent="0.35">
      <c r="A2251">
        <v>509</v>
      </c>
      <c r="B2251" t="s">
        <v>6985</v>
      </c>
      <c r="C2251" t="s">
        <v>6550</v>
      </c>
      <c r="D2251" t="str">
        <f t="shared" si="897"/>
        <v>Capacity Building</v>
      </c>
      <c r="E2251" t="s">
        <v>6887</v>
      </c>
      <c r="F2251" t="s">
        <v>6888</v>
      </c>
      <c r="G2251" t="s">
        <v>6889</v>
      </c>
      <c r="H2251" t="s">
        <v>48</v>
      </c>
      <c r="I2251" s="32">
        <v>44744.103750000002</v>
      </c>
      <c r="J2251" s="32">
        <v>44747.103750000002</v>
      </c>
      <c r="K2251" s="32">
        <v>44749.103750000002</v>
      </c>
      <c r="L2251" s="8">
        <f t="shared" si="898"/>
        <v>5</v>
      </c>
      <c r="M2251" s="7">
        <v>44767.103750000002</v>
      </c>
      <c r="N2251" t="s">
        <v>49</v>
      </c>
      <c r="O2251" s="34">
        <v>44755.103750000002</v>
      </c>
      <c r="P2251" t="s">
        <v>101</v>
      </c>
      <c r="R2251" s="32">
        <v>44759.103750000002</v>
      </c>
      <c r="S2251" t="s">
        <v>101</v>
      </c>
      <c r="T2251" s="34">
        <v>44757.103750000002</v>
      </c>
      <c r="U2251" s="34">
        <v>44758.103750000002</v>
      </c>
      <c r="V2251" s="32">
        <v>44757.103750000002</v>
      </c>
      <c r="W2251" s="32">
        <v>44764.103750000002</v>
      </c>
      <c r="X2251">
        <v>1</v>
      </c>
      <c r="Y2251" s="34">
        <v>44767.103750000002</v>
      </c>
      <c r="Z2251" s="34">
        <v>44768.103750000002</v>
      </c>
      <c r="AA2251" s="34">
        <v>44769.103750000002</v>
      </c>
      <c r="AB2251" s="36" t="s">
        <v>7476</v>
      </c>
      <c r="AC2251" s="10">
        <v>44783.103750000002</v>
      </c>
      <c r="AD2251" t="s">
        <v>6986</v>
      </c>
      <c r="AE2251" t="s">
        <v>6987</v>
      </c>
      <c r="AF2251" s="16">
        <v>44741</v>
      </c>
      <c r="AG2251" t="s">
        <v>64</v>
      </c>
      <c r="AH2251">
        <v>3</v>
      </c>
      <c r="AI2251" s="8">
        <f>IFERROR(R2251-AF2251,"")</f>
        <v>18.103750000002037</v>
      </c>
      <c r="AJ2251" s="8">
        <f>IFERROR(O2251-AF2251,"")</f>
        <v>14.103750000002037</v>
      </c>
      <c r="AK2251" s="38">
        <f t="shared" si="899"/>
        <v>44847.103750000002</v>
      </c>
      <c r="AL2251">
        <f>IFERROR(Z2251-W2251,"")</f>
        <v>4</v>
      </c>
      <c r="AM2251">
        <f>IFERROR(R2251-J2251,"")</f>
        <v>12</v>
      </c>
      <c r="AN2251">
        <f>IFERROR(V2251-O2251,"")</f>
        <v>2</v>
      </c>
      <c r="AO2251">
        <f>IFERROR(J2251-I2251,"")</f>
        <v>3</v>
      </c>
      <c r="AP2251">
        <f>IFERROR(AC2251-X2251,"")</f>
        <v>44782.103750000002</v>
      </c>
      <c r="AQ2251">
        <f>IFERROR(AA2251-W2251,"")</f>
        <v>5</v>
      </c>
    </row>
    <row r="2252" spans="1:43" x14ac:dyDescent="0.35">
      <c r="A2252">
        <v>507</v>
      </c>
      <c r="B2252" t="s">
        <v>6988</v>
      </c>
      <c r="C2252" t="s">
        <v>6550</v>
      </c>
      <c r="D2252" t="str">
        <f t="shared" si="897"/>
        <v>Capacity Building</v>
      </c>
      <c r="E2252" t="s">
        <v>6887</v>
      </c>
      <c r="F2252" t="s">
        <v>6888</v>
      </c>
      <c r="G2252" t="s">
        <v>6889</v>
      </c>
      <c r="H2252" t="s">
        <v>48</v>
      </c>
      <c r="I2252" s="32">
        <v>44741.103750000002</v>
      </c>
      <c r="J2252" s="32">
        <v>44744.103750000002</v>
      </c>
      <c r="K2252" s="32">
        <v>44749.103750000002</v>
      </c>
      <c r="L2252" s="8">
        <f t="shared" si="898"/>
        <v>8</v>
      </c>
      <c r="M2252" s="7">
        <v>44775.103750000002</v>
      </c>
      <c r="N2252" t="s">
        <v>72</v>
      </c>
      <c r="O2252" s="34" t="s">
        <v>7474</v>
      </c>
      <c r="R2252" s="32" t="s">
        <v>7472</v>
      </c>
      <c r="S2252" t="s">
        <v>7476</v>
      </c>
      <c r="T2252" s="34" t="s">
        <v>7476</v>
      </c>
      <c r="U2252" s="34" t="s">
        <v>7476</v>
      </c>
      <c r="V2252" s="32" t="s">
        <v>7476</v>
      </c>
      <c r="W2252" s="32" t="s">
        <v>7476</v>
      </c>
      <c r="X2252">
        <v>0</v>
      </c>
      <c r="Y2252" s="34" t="s">
        <v>7476</v>
      </c>
      <c r="Z2252" s="34" t="s">
        <v>7476</v>
      </c>
      <c r="AA2252" s="34" t="s">
        <v>7476</v>
      </c>
      <c r="AB2252" s="36" t="s">
        <v>7476</v>
      </c>
      <c r="AD2252" t="s">
        <v>6989</v>
      </c>
      <c r="AE2252" t="s">
        <v>6990</v>
      </c>
      <c r="AG2252" t="s">
        <v>98</v>
      </c>
      <c r="AH2252">
        <v>3</v>
      </c>
      <c r="AI2252" s="8" t="str">
        <f>IFERROR(R2252-AF2252,"")</f>
        <v/>
      </c>
      <c r="AJ2252" s="8" t="str">
        <f>IFERROR(O2252-AF2252,"")</f>
        <v/>
      </c>
      <c r="AK2252" s="38" t="str">
        <f t="shared" si="899"/>
        <v/>
      </c>
      <c r="AL2252" t="str">
        <f>IFERROR(Z2252-W2252,"")</f>
        <v/>
      </c>
      <c r="AM2252" t="str">
        <f>IFERROR(R2252-J2252,"")</f>
        <v/>
      </c>
      <c r="AN2252" t="str">
        <f>IFERROR(V2252-O2252,"")</f>
        <v/>
      </c>
      <c r="AO2252">
        <f>IFERROR(J2252-I2252,"")</f>
        <v>3</v>
      </c>
      <c r="AP2252">
        <f>IFERROR(AC2252-X2252,"")</f>
        <v>0</v>
      </c>
      <c r="AQ2252" t="str">
        <f>IFERROR(AA2252-W2252,"")</f>
        <v/>
      </c>
    </row>
    <row r="2253" spans="1:43" x14ac:dyDescent="0.35">
      <c r="A2253">
        <v>505</v>
      </c>
      <c r="B2253" t="s">
        <v>6991</v>
      </c>
      <c r="C2253" t="s">
        <v>6525</v>
      </c>
      <c r="D2253" t="str">
        <f t="shared" si="897"/>
        <v>Capacity Building</v>
      </c>
      <c r="E2253" t="s">
        <v>6887</v>
      </c>
      <c r="F2253" t="s">
        <v>6888</v>
      </c>
      <c r="G2253" t="s">
        <v>6889</v>
      </c>
      <c r="H2253" t="s">
        <v>48</v>
      </c>
      <c r="I2253" s="32">
        <v>44745.103750000002</v>
      </c>
      <c r="J2253" s="32">
        <v>44747.103750000002</v>
      </c>
      <c r="K2253" s="32">
        <v>44749.103750000002</v>
      </c>
      <c r="L2253" s="8">
        <f t="shared" si="898"/>
        <v>4</v>
      </c>
      <c r="M2253" s="7">
        <v>44769.103750000002</v>
      </c>
      <c r="N2253" t="s">
        <v>72</v>
      </c>
      <c r="O2253" s="34" t="s">
        <v>7474</v>
      </c>
      <c r="R2253" s="32" t="s">
        <v>7472</v>
      </c>
      <c r="S2253" t="s">
        <v>7476</v>
      </c>
      <c r="T2253" s="34" t="s">
        <v>7476</v>
      </c>
      <c r="U2253" s="34" t="s">
        <v>7476</v>
      </c>
      <c r="V2253" s="32" t="s">
        <v>7476</v>
      </c>
      <c r="W2253" s="32" t="s">
        <v>7476</v>
      </c>
      <c r="X2253">
        <v>0</v>
      </c>
      <c r="Y2253" s="34" t="s">
        <v>7476</v>
      </c>
      <c r="Z2253" s="34" t="s">
        <v>7476</v>
      </c>
      <c r="AA2253" s="34" t="s">
        <v>7476</v>
      </c>
      <c r="AB2253" s="36" t="s">
        <v>7476</v>
      </c>
      <c r="AD2253" t="s">
        <v>6992</v>
      </c>
      <c r="AE2253" t="s">
        <v>6993</v>
      </c>
      <c r="AG2253" t="s">
        <v>98</v>
      </c>
      <c r="AH2253">
        <v>3</v>
      </c>
      <c r="AI2253" s="8" t="str">
        <f>IFERROR(R2253-AF2253,"")</f>
        <v/>
      </c>
      <c r="AJ2253" s="8" t="str">
        <f>IFERROR(O2253-AF2253,"")</f>
        <v/>
      </c>
      <c r="AK2253" s="38" t="str">
        <f t="shared" si="899"/>
        <v/>
      </c>
      <c r="AL2253" t="str">
        <f>IFERROR(Z2253-W2253,"")</f>
        <v/>
      </c>
      <c r="AM2253" t="str">
        <f>IFERROR(R2253-J2253,"")</f>
        <v/>
      </c>
      <c r="AN2253" t="str">
        <f>IFERROR(V2253-O2253,"")</f>
        <v/>
      </c>
      <c r="AO2253">
        <f>IFERROR(J2253-I2253,"")</f>
        <v>2</v>
      </c>
      <c r="AP2253">
        <f>IFERROR(AC2253-X2253,"")</f>
        <v>0</v>
      </c>
      <c r="AQ2253" t="str">
        <f>IFERROR(AA2253-W2253,"")</f>
        <v/>
      </c>
    </row>
    <row r="2254" spans="1:43" x14ac:dyDescent="0.35">
      <c r="A2254">
        <v>504</v>
      </c>
      <c r="B2254" t="s">
        <v>6994</v>
      </c>
      <c r="C2254" t="s">
        <v>6550</v>
      </c>
      <c r="D2254" t="str">
        <f t="shared" si="897"/>
        <v>Capacity Building</v>
      </c>
      <c r="E2254" t="s">
        <v>6887</v>
      </c>
      <c r="F2254" t="s">
        <v>6888</v>
      </c>
      <c r="G2254" t="s">
        <v>6889</v>
      </c>
      <c r="H2254" t="s">
        <v>48</v>
      </c>
      <c r="I2254" s="32">
        <v>44743.103750000002</v>
      </c>
      <c r="J2254" s="32">
        <v>44747.103750000002</v>
      </c>
      <c r="K2254" s="32">
        <v>44749.103750000002</v>
      </c>
      <c r="L2254" s="8">
        <f t="shared" si="898"/>
        <v>6</v>
      </c>
      <c r="M2254" s="7">
        <v>44767.103750000002</v>
      </c>
      <c r="N2254" t="s">
        <v>49</v>
      </c>
      <c r="O2254" s="34">
        <v>44756.103750000002</v>
      </c>
      <c r="P2254" t="s">
        <v>50</v>
      </c>
      <c r="Q2254" t="s">
        <v>236</v>
      </c>
      <c r="R2254" s="32" t="s">
        <v>7472</v>
      </c>
      <c r="S2254" t="s">
        <v>7476</v>
      </c>
      <c r="T2254" s="34" t="s">
        <v>7476</v>
      </c>
      <c r="U2254" s="34" t="s">
        <v>7476</v>
      </c>
      <c r="V2254" s="32">
        <v>44759.103750000002</v>
      </c>
      <c r="W2254" s="32" t="s">
        <v>7476</v>
      </c>
      <c r="X2254">
        <v>0</v>
      </c>
      <c r="Y2254" s="34" t="s">
        <v>7476</v>
      </c>
      <c r="Z2254" s="34" t="s">
        <v>7476</v>
      </c>
      <c r="AA2254" s="34" t="s">
        <v>7476</v>
      </c>
      <c r="AB2254" s="36" t="s">
        <v>52</v>
      </c>
      <c r="AD2254" t="s">
        <v>6995</v>
      </c>
      <c r="AE2254" t="s">
        <v>6996</v>
      </c>
      <c r="AF2254" s="16">
        <v>44739</v>
      </c>
      <c r="AG2254" t="s">
        <v>98</v>
      </c>
      <c r="AH2254">
        <v>3</v>
      </c>
      <c r="AI2254" s="8" t="str">
        <f>IFERROR(R2254-AF2254,"")</f>
        <v/>
      </c>
      <c r="AJ2254" s="8">
        <f>IFERROR(O2254-AF2254,"")</f>
        <v>17.103750000002037</v>
      </c>
      <c r="AK2254" s="38">
        <f t="shared" si="899"/>
        <v>44849.103750000002</v>
      </c>
      <c r="AL2254" t="str">
        <f>IFERROR(Z2254-W2254,"")</f>
        <v/>
      </c>
      <c r="AM2254" t="str">
        <f>IFERROR(R2254-J2254,"")</f>
        <v/>
      </c>
      <c r="AN2254">
        <f>IFERROR(V2254-O2254,"")</f>
        <v>3</v>
      </c>
      <c r="AO2254">
        <f>IFERROR(J2254-I2254,"")</f>
        <v>4</v>
      </c>
      <c r="AP2254">
        <f>IFERROR(AC2254-X2254,"")</f>
        <v>0</v>
      </c>
      <c r="AQ2254" t="str">
        <f>IFERROR(AA2254-W2254,"")</f>
        <v/>
      </c>
    </row>
    <row r="2255" spans="1:43" x14ac:dyDescent="0.35">
      <c r="A2255">
        <v>427</v>
      </c>
      <c r="B2255" t="s">
        <v>6997</v>
      </c>
      <c r="C2255" t="s">
        <v>6525</v>
      </c>
      <c r="D2255" t="str">
        <f t="shared" si="897"/>
        <v>Capacity Building</v>
      </c>
      <c r="E2255" t="s">
        <v>6887</v>
      </c>
      <c r="F2255" t="s">
        <v>6888</v>
      </c>
      <c r="G2255" t="s">
        <v>6889</v>
      </c>
      <c r="H2255" t="s">
        <v>48</v>
      </c>
      <c r="I2255" s="32" t="s">
        <v>7471</v>
      </c>
      <c r="J2255" s="32">
        <v>44985.544421296298</v>
      </c>
      <c r="K2255" s="32">
        <v>44987.544421296298</v>
      </c>
      <c r="L2255" s="8" t="str">
        <f t="shared" si="898"/>
        <v/>
      </c>
      <c r="M2255" s="7">
        <v>44997.544421296298</v>
      </c>
      <c r="N2255" t="s">
        <v>49</v>
      </c>
      <c r="O2255" s="34">
        <v>44999.544421296298</v>
      </c>
      <c r="P2255" t="s">
        <v>50</v>
      </c>
      <c r="Q2255" t="s">
        <v>198</v>
      </c>
      <c r="R2255" s="32" t="s">
        <v>7472</v>
      </c>
      <c r="S2255" t="s">
        <v>7476</v>
      </c>
      <c r="T2255" s="34" t="s">
        <v>7476</v>
      </c>
      <c r="U2255" s="34" t="s">
        <v>7476</v>
      </c>
      <c r="V2255" s="32">
        <v>45003.544421296298</v>
      </c>
      <c r="W2255" s="32" t="s">
        <v>7476</v>
      </c>
      <c r="X2255">
        <v>0</v>
      </c>
      <c r="Y2255" s="34" t="s">
        <v>7476</v>
      </c>
      <c r="Z2255" s="34" t="s">
        <v>7476</v>
      </c>
      <c r="AA2255" s="34" t="s">
        <v>7476</v>
      </c>
      <c r="AB2255" s="36" t="s">
        <v>95</v>
      </c>
      <c r="AD2255" t="s">
        <v>6998</v>
      </c>
      <c r="AE2255" t="s">
        <v>6999</v>
      </c>
      <c r="AF2255" s="16">
        <v>44929</v>
      </c>
      <c r="AG2255" t="s">
        <v>55</v>
      </c>
      <c r="AH2255">
        <v>3</v>
      </c>
      <c r="AK2255" s="38">
        <f t="shared" si="899"/>
        <v>45093.544421296298</v>
      </c>
    </row>
    <row r="2256" spans="1:43" x14ac:dyDescent="0.35">
      <c r="A2256">
        <v>415</v>
      </c>
      <c r="B2256" t="s">
        <v>7000</v>
      </c>
      <c r="C2256" t="s">
        <v>6531</v>
      </c>
      <c r="D2256" t="str">
        <f t="shared" si="897"/>
        <v>Capacity Building</v>
      </c>
      <c r="E2256" t="s">
        <v>6887</v>
      </c>
      <c r="F2256" t="s">
        <v>6888</v>
      </c>
      <c r="G2256" t="s">
        <v>6889</v>
      </c>
      <c r="H2256" t="s">
        <v>48</v>
      </c>
      <c r="I2256" s="32">
        <v>45093.637766203698</v>
      </c>
      <c r="J2256" s="32">
        <v>45096.637766203698</v>
      </c>
      <c r="K2256" s="32">
        <v>45100.637766203698</v>
      </c>
      <c r="L2256" s="8">
        <f t="shared" si="898"/>
        <v>7</v>
      </c>
      <c r="M2256" s="7">
        <v>45107.637766203698</v>
      </c>
      <c r="N2256" t="s">
        <v>72</v>
      </c>
      <c r="O2256" s="34" t="s">
        <v>7474</v>
      </c>
      <c r="R2256" s="32" t="s">
        <v>7472</v>
      </c>
      <c r="S2256" t="s">
        <v>7476</v>
      </c>
      <c r="T2256" s="34" t="s">
        <v>7476</v>
      </c>
      <c r="U2256" s="34" t="s">
        <v>7476</v>
      </c>
      <c r="V2256" s="32" t="s">
        <v>7476</v>
      </c>
      <c r="W2256" s="32" t="s">
        <v>7476</v>
      </c>
      <c r="X2256">
        <v>0</v>
      </c>
      <c r="Y2256" s="34" t="s">
        <v>7476</v>
      </c>
      <c r="Z2256" s="34" t="s">
        <v>7476</v>
      </c>
      <c r="AA2256" s="34" t="s">
        <v>7476</v>
      </c>
      <c r="AB2256" s="36" t="s">
        <v>7476</v>
      </c>
      <c r="AD2256" t="s">
        <v>7001</v>
      </c>
      <c r="AE2256" t="s">
        <v>7002</v>
      </c>
      <c r="AG2256" t="s">
        <v>64</v>
      </c>
      <c r="AH2256">
        <v>3</v>
      </c>
      <c r="AI2256" s="8" t="str">
        <f>IFERROR(R2256-AF2256,"")</f>
        <v/>
      </c>
      <c r="AJ2256" s="8" t="str">
        <f>IFERROR(O2256-AF2256,"")</f>
        <v/>
      </c>
      <c r="AK2256" s="38" t="str">
        <f t="shared" si="899"/>
        <v/>
      </c>
      <c r="AL2256" t="str">
        <f>IFERROR(Z2256-W2256,"")</f>
        <v/>
      </c>
      <c r="AM2256" t="str">
        <f>IFERROR(R2256-J2256,"")</f>
        <v/>
      </c>
      <c r="AN2256" t="str">
        <f>IFERROR(V2256-O2256,"")</f>
        <v/>
      </c>
      <c r="AO2256">
        <f>IFERROR(J2256-I2256,"")</f>
        <v>3</v>
      </c>
      <c r="AP2256">
        <f>IFERROR(AC2256-X2256,"")</f>
        <v>0</v>
      </c>
      <c r="AQ2256" t="str">
        <f>IFERROR(AA2256-W2256,"")</f>
        <v/>
      </c>
    </row>
    <row r="2257" spans="1:43" x14ac:dyDescent="0.35">
      <c r="A2257">
        <v>255</v>
      </c>
      <c r="B2257" t="s">
        <v>7003</v>
      </c>
      <c r="C2257" t="s">
        <v>6550</v>
      </c>
      <c r="D2257" t="str">
        <f t="shared" si="897"/>
        <v>Capacity Building</v>
      </c>
      <c r="E2257" t="s">
        <v>6887</v>
      </c>
      <c r="F2257" t="s">
        <v>6888</v>
      </c>
      <c r="G2257" t="s">
        <v>6889</v>
      </c>
      <c r="H2257" t="s">
        <v>48</v>
      </c>
      <c r="I2257" s="32">
        <v>44710.632962962962</v>
      </c>
      <c r="J2257" s="32">
        <v>44711.632962962962</v>
      </c>
      <c r="K2257" s="32">
        <v>44713.632962962962</v>
      </c>
      <c r="L2257" s="8">
        <f t="shared" si="898"/>
        <v>3</v>
      </c>
      <c r="M2257" s="7">
        <v>44735.632962962962</v>
      </c>
      <c r="N2257" t="s">
        <v>72</v>
      </c>
      <c r="O2257" s="34" t="s">
        <v>7474</v>
      </c>
      <c r="R2257" s="32" t="s">
        <v>7472</v>
      </c>
      <c r="S2257" t="s">
        <v>7476</v>
      </c>
      <c r="T2257" s="34" t="s">
        <v>7476</v>
      </c>
      <c r="U2257" s="34" t="s">
        <v>7476</v>
      </c>
      <c r="V2257" s="32" t="s">
        <v>7476</v>
      </c>
      <c r="W2257" s="32" t="s">
        <v>7476</v>
      </c>
      <c r="X2257">
        <v>0</v>
      </c>
      <c r="Y2257" s="34" t="s">
        <v>7476</v>
      </c>
      <c r="Z2257" s="34" t="s">
        <v>7476</v>
      </c>
      <c r="AA2257" s="34" t="s">
        <v>7476</v>
      </c>
      <c r="AB2257" s="36" t="s">
        <v>7476</v>
      </c>
      <c r="AD2257" t="s">
        <v>7004</v>
      </c>
      <c r="AE2257" t="s">
        <v>7005</v>
      </c>
      <c r="AG2257" t="s">
        <v>68</v>
      </c>
      <c r="AH2257">
        <v>3</v>
      </c>
      <c r="AI2257" s="8" t="str">
        <f>IFERROR(R2257-AF2257,"")</f>
        <v/>
      </c>
      <c r="AJ2257" s="8" t="str">
        <f>IFERROR(O2257-AF2257,"")</f>
        <v/>
      </c>
      <c r="AK2257" s="38" t="str">
        <f t="shared" si="899"/>
        <v/>
      </c>
      <c r="AL2257" t="str">
        <f>IFERROR(Z2257-W2257,"")</f>
        <v/>
      </c>
      <c r="AM2257" t="str">
        <f>IFERROR(R2257-J2257,"")</f>
        <v/>
      </c>
      <c r="AN2257" t="str">
        <f>IFERROR(V2257-O2257,"")</f>
        <v/>
      </c>
      <c r="AO2257">
        <f>IFERROR(J2257-I2257,"")</f>
        <v>1</v>
      </c>
      <c r="AP2257">
        <f>IFERROR(AC2257-X2257,"")</f>
        <v>0</v>
      </c>
      <c r="AQ2257" t="str">
        <f>IFERROR(AA2257-W2257,"")</f>
        <v/>
      </c>
    </row>
    <row r="2258" spans="1:43" x14ac:dyDescent="0.35">
      <c r="A2258">
        <v>252</v>
      </c>
      <c r="B2258" t="s">
        <v>7006</v>
      </c>
      <c r="C2258" t="s">
        <v>6525</v>
      </c>
      <c r="D2258" t="str">
        <f t="shared" si="897"/>
        <v>Capacity Building</v>
      </c>
      <c r="E2258" t="s">
        <v>6887</v>
      </c>
      <c r="F2258" t="s">
        <v>6888</v>
      </c>
      <c r="G2258" t="s">
        <v>6889</v>
      </c>
      <c r="H2258" t="s">
        <v>48</v>
      </c>
      <c r="I2258" s="32">
        <v>44703.632962962962</v>
      </c>
      <c r="J2258" s="32">
        <v>44707.632962962962</v>
      </c>
      <c r="K2258" s="32">
        <v>44713.632962962962</v>
      </c>
      <c r="L2258" s="8">
        <f t="shared" si="898"/>
        <v>10</v>
      </c>
      <c r="M2258" s="7">
        <v>44740.632962962962</v>
      </c>
      <c r="N2258" t="s">
        <v>49</v>
      </c>
      <c r="O2258" s="34">
        <v>44726.632962962962</v>
      </c>
      <c r="P2258" t="s">
        <v>50</v>
      </c>
      <c r="Q2258" t="s">
        <v>84</v>
      </c>
      <c r="R2258" s="32" t="s">
        <v>7472</v>
      </c>
      <c r="S2258" t="s">
        <v>7476</v>
      </c>
      <c r="T2258" s="34" t="s">
        <v>7476</v>
      </c>
      <c r="U2258" s="34" t="s">
        <v>7476</v>
      </c>
      <c r="V2258" s="32">
        <v>44728.632962962962</v>
      </c>
      <c r="W2258" s="32" t="s">
        <v>7476</v>
      </c>
      <c r="X2258">
        <v>0</v>
      </c>
      <c r="Y2258" s="34" t="s">
        <v>7476</v>
      </c>
      <c r="Z2258" s="34" t="s">
        <v>7476</v>
      </c>
      <c r="AA2258" s="34" t="s">
        <v>7476</v>
      </c>
      <c r="AB2258" s="36" t="s">
        <v>52</v>
      </c>
      <c r="AD2258" t="s">
        <v>7007</v>
      </c>
      <c r="AE2258" t="s">
        <v>7008</v>
      </c>
      <c r="AF2258" s="16">
        <v>44707</v>
      </c>
      <c r="AG2258" t="s">
        <v>98</v>
      </c>
      <c r="AH2258">
        <v>6</v>
      </c>
      <c r="AI2258" s="8" t="str">
        <f>IFERROR(R2258-AF2258,"")</f>
        <v/>
      </c>
      <c r="AJ2258" s="8">
        <f>IFERROR(O2258-AF2258,"")</f>
        <v>19.632962962961756</v>
      </c>
      <c r="AK2258" s="38">
        <f t="shared" si="899"/>
        <v>44908.632962962962</v>
      </c>
      <c r="AL2258" t="str">
        <f>IFERROR(Z2258-W2258,"")</f>
        <v/>
      </c>
      <c r="AM2258" t="str">
        <f>IFERROR(R2258-J2258,"")</f>
        <v/>
      </c>
      <c r="AN2258">
        <f>IFERROR(V2258-O2258,"")</f>
        <v>2</v>
      </c>
      <c r="AO2258">
        <f>IFERROR(J2258-I2258,"")</f>
        <v>4</v>
      </c>
      <c r="AP2258">
        <f>IFERROR(AC2258-X2258,"")</f>
        <v>0</v>
      </c>
      <c r="AQ2258" t="str">
        <f>IFERROR(AA2258-W2258,"")</f>
        <v/>
      </c>
    </row>
    <row r="2259" spans="1:43" x14ac:dyDescent="0.35">
      <c r="A2259">
        <v>230</v>
      </c>
      <c r="B2259" t="s">
        <v>7009</v>
      </c>
      <c r="C2259" t="s">
        <v>6531</v>
      </c>
      <c r="D2259" t="str">
        <f t="shared" si="897"/>
        <v>Capacity Building</v>
      </c>
      <c r="E2259" t="s">
        <v>6887</v>
      </c>
      <c r="F2259" t="s">
        <v>6888</v>
      </c>
      <c r="G2259" t="s">
        <v>6889</v>
      </c>
      <c r="H2259" t="s">
        <v>48</v>
      </c>
      <c r="I2259" s="32">
        <v>44739.447731481479</v>
      </c>
      <c r="J2259" s="32">
        <v>44743.447731481479</v>
      </c>
      <c r="K2259" s="32" t="s">
        <v>7473</v>
      </c>
      <c r="L2259" s="8" t="str">
        <f t="shared" si="898"/>
        <v/>
      </c>
      <c r="M2259" s="7">
        <v>44762.447731481479</v>
      </c>
      <c r="N2259" t="s">
        <v>49</v>
      </c>
      <c r="O2259" s="34">
        <v>44759.447731481479</v>
      </c>
      <c r="P2259" t="s">
        <v>60</v>
      </c>
      <c r="R2259" s="32">
        <v>44765.447731481479</v>
      </c>
      <c r="S2259" t="s">
        <v>61</v>
      </c>
      <c r="T2259" s="34" t="s">
        <v>7476</v>
      </c>
      <c r="U2259" s="34" t="s">
        <v>7476</v>
      </c>
      <c r="V2259" s="32">
        <v>44761.447731481479</v>
      </c>
      <c r="W2259" s="32" t="s">
        <v>7476</v>
      </c>
      <c r="X2259">
        <v>0</v>
      </c>
      <c r="Y2259" s="34" t="s">
        <v>7476</v>
      </c>
      <c r="Z2259" s="34" t="s">
        <v>7476</v>
      </c>
      <c r="AA2259" s="34" t="s">
        <v>7476</v>
      </c>
      <c r="AB2259" s="36" t="s">
        <v>7476</v>
      </c>
      <c r="AD2259" t="s">
        <v>7010</v>
      </c>
      <c r="AE2259" t="s">
        <v>7011</v>
      </c>
      <c r="AF2259" s="16">
        <v>44742</v>
      </c>
      <c r="AG2259" t="s">
        <v>68</v>
      </c>
      <c r="AH2259">
        <v>6</v>
      </c>
      <c r="AK2259" s="38">
        <f t="shared" si="899"/>
        <v>44941.447731481479</v>
      </c>
    </row>
    <row r="2260" spans="1:43" x14ac:dyDescent="0.35">
      <c r="A2260">
        <v>228</v>
      </c>
      <c r="B2260" t="s">
        <v>7012</v>
      </c>
      <c r="C2260" t="s">
        <v>6531</v>
      </c>
      <c r="D2260" t="str">
        <f t="shared" si="897"/>
        <v>Capacity Building</v>
      </c>
      <c r="E2260" t="s">
        <v>6887</v>
      </c>
      <c r="F2260" t="s">
        <v>6888</v>
      </c>
      <c r="G2260" t="s">
        <v>6889</v>
      </c>
      <c r="H2260" t="s">
        <v>48</v>
      </c>
      <c r="I2260" s="32" t="s">
        <v>7471</v>
      </c>
      <c r="J2260" s="32">
        <v>44742.447731481479</v>
      </c>
      <c r="K2260" s="32">
        <v>44744.447731481479</v>
      </c>
      <c r="L2260" s="8" t="str">
        <f t="shared" si="898"/>
        <v/>
      </c>
      <c r="M2260" s="7">
        <v>44752.447731481479</v>
      </c>
      <c r="N2260" t="s">
        <v>49</v>
      </c>
      <c r="O2260" s="34">
        <v>44759.447731481479</v>
      </c>
      <c r="P2260" t="s">
        <v>50</v>
      </c>
      <c r="Q2260" t="s">
        <v>236</v>
      </c>
      <c r="R2260" s="32" t="s">
        <v>7472</v>
      </c>
      <c r="S2260" t="s">
        <v>7476</v>
      </c>
      <c r="T2260" s="34" t="s">
        <v>7476</v>
      </c>
      <c r="U2260" s="34" t="s">
        <v>7476</v>
      </c>
      <c r="V2260" s="32" t="s">
        <v>7476</v>
      </c>
      <c r="W2260" s="32" t="s">
        <v>7476</v>
      </c>
      <c r="X2260">
        <v>0</v>
      </c>
      <c r="Y2260" s="34" t="s">
        <v>7476</v>
      </c>
      <c r="Z2260" s="34" t="s">
        <v>7476</v>
      </c>
      <c r="AA2260" s="34" t="s">
        <v>7476</v>
      </c>
      <c r="AB2260" s="36" t="s">
        <v>95</v>
      </c>
      <c r="AD2260" t="s">
        <v>7013</v>
      </c>
      <c r="AE2260" t="s">
        <v>7014</v>
      </c>
      <c r="AF2260" s="16">
        <v>44568</v>
      </c>
      <c r="AG2260" t="s">
        <v>64</v>
      </c>
      <c r="AH2260">
        <v>6</v>
      </c>
      <c r="AK2260" s="38" t="str">
        <f t="shared" si="899"/>
        <v/>
      </c>
    </row>
    <row r="2261" spans="1:43" x14ac:dyDescent="0.35">
      <c r="A2261">
        <v>226</v>
      </c>
      <c r="B2261" t="s">
        <v>7015</v>
      </c>
      <c r="C2261" t="s">
        <v>6550</v>
      </c>
      <c r="D2261" t="str">
        <f t="shared" si="897"/>
        <v>Capacity Building</v>
      </c>
      <c r="E2261" t="s">
        <v>6887</v>
      </c>
      <c r="F2261" t="s">
        <v>46</v>
      </c>
      <c r="G2261" t="s">
        <v>7016</v>
      </c>
      <c r="H2261" t="s">
        <v>48</v>
      </c>
      <c r="I2261" s="32">
        <v>44737.447731481479</v>
      </c>
      <c r="J2261" s="32" t="s">
        <v>7471</v>
      </c>
      <c r="K2261" s="32">
        <v>44744.447731481479</v>
      </c>
      <c r="L2261" s="8">
        <f t="shared" si="898"/>
        <v>7</v>
      </c>
      <c r="M2261" s="7">
        <v>44758.447731481479</v>
      </c>
      <c r="N2261" t="s">
        <v>49</v>
      </c>
      <c r="O2261" s="34">
        <v>44753.447731481479</v>
      </c>
      <c r="P2261" t="s">
        <v>50</v>
      </c>
      <c r="Q2261" t="s">
        <v>125</v>
      </c>
      <c r="R2261" s="32" t="s">
        <v>7472</v>
      </c>
      <c r="S2261" t="s">
        <v>7476</v>
      </c>
      <c r="T2261" s="34" t="s">
        <v>7476</v>
      </c>
      <c r="U2261" s="34" t="s">
        <v>7476</v>
      </c>
      <c r="V2261" s="32">
        <v>44756.447731481479</v>
      </c>
      <c r="W2261" s="32" t="s">
        <v>7476</v>
      </c>
      <c r="X2261">
        <v>0</v>
      </c>
      <c r="Y2261" s="34" t="s">
        <v>7476</v>
      </c>
      <c r="Z2261" s="34" t="s">
        <v>7476</v>
      </c>
      <c r="AA2261" s="34" t="s">
        <v>7476</v>
      </c>
      <c r="AB2261" s="36" t="s">
        <v>95</v>
      </c>
      <c r="AD2261" t="s">
        <v>7017</v>
      </c>
      <c r="AE2261" t="s">
        <v>7018</v>
      </c>
      <c r="AF2261" s="16">
        <v>44741</v>
      </c>
      <c r="AG2261" t="s">
        <v>68</v>
      </c>
      <c r="AH2261">
        <v>3</v>
      </c>
      <c r="AK2261" s="38">
        <f t="shared" si="899"/>
        <v>44846.447731481479</v>
      </c>
    </row>
    <row r="2262" spans="1:43" x14ac:dyDescent="0.35">
      <c r="A2262">
        <v>154</v>
      </c>
      <c r="B2262" t="s">
        <v>7019</v>
      </c>
      <c r="C2262" t="s">
        <v>6550</v>
      </c>
      <c r="D2262" t="str">
        <f t="shared" si="897"/>
        <v>Capacity Building</v>
      </c>
      <c r="E2262" t="s">
        <v>6887</v>
      </c>
      <c r="F2262" t="s">
        <v>46</v>
      </c>
      <c r="G2262" t="s">
        <v>7016</v>
      </c>
      <c r="H2262" t="s">
        <v>48</v>
      </c>
      <c r="I2262" s="32">
        <v>44934.64434027778</v>
      </c>
      <c r="J2262" s="32">
        <v>44937.64434027778</v>
      </c>
      <c r="K2262" s="32">
        <v>44938.64434027778</v>
      </c>
      <c r="L2262" s="8">
        <f t="shared" si="898"/>
        <v>4</v>
      </c>
      <c r="M2262" s="7">
        <v>44955.64434027778</v>
      </c>
      <c r="N2262" t="s">
        <v>49</v>
      </c>
      <c r="O2262" s="34">
        <v>44954.64434027778</v>
      </c>
      <c r="P2262" t="s">
        <v>392</v>
      </c>
      <c r="R2262" s="32">
        <v>44957.64434027778</v>
      </c>
      <c r="S2262" t="s">
        <v>392</v>
      </c>
      <c r="T2262" s="34" t="s">
        <v>7476</v>
      </c>
      <c r="U2262" s="34" t="s">
        <v>7476</v>
      </c>
      <c r="V2262" s="32">
        <v>44956.64434027778</v>
      </c>
      <c r="W2262" s="32" t="s">
        <v>7476</v>
      </c>
      <c r="X2262">
        <v>0</v>
      </c>
      <c r="Y2262" s="34" t="s">
        <v>7476</v>
      </c>
      <c r="Z2262" s="34" t="s">
        <v>7476</v>
      </c>
      <c r="AA2262" s="34" t="s">
        <v>7476</v>
      </c>
      <c r="AB2262" s="36" t="s">
        <v>7476</v>
      </c>
      <c r="AD2262" t="s">
        <v>7020</v>
      </c>
      <c r="AE2262" t="s">
        <v>7021</v>
      </c>
      <c r="AF2262" s="16">
        <v>44948</v>
      </c>
      <c r="AG2262" t="s">
        <v>64</v>
      </c>
      <c r="AH2262">
        <v>6</v>
      </c>
      <c r="AI2262" s="8">
        <f>IFERROR(R2262-AF2262,"")</f>
        <v>9.6443402777804295</v>
      </c>
      <c r="AJ2262" s="8">
        <f>IFERROR(O2262-AF2262,"")</f>
        <v>6.6443402777804295</v>
      </c>
      <c r="AK2262" s="38">
        <f t="shared" si="899"/>
        <v>45136.64434027778</v>
      </c>
      <c r="AL2262" t="str">
        <f>IFERROR(Z2262-W2262,"")</f>
        <v/>
      </c>
      <c r="AM2262">
        <f>IFERROR(R2262-J2262,"")</f>
        <v>20</v>
      </c>
      <c r="AN2262">
        <f>IFERROR(V2262-O2262,"")</f>
        <v>2</v>
      </c>
      <c r="AO2262">
        <f>IFERROR(J2262-I2262,"")</f>
        <v>3</v>
      </c>
      <c r="AP2262">
        <f>IFERROR(AC2262-X2262,"")</f>
        <v>0</v>
      </c>
      <c r="AQ2262" t="str">
        <f>IFERROR(AA2262-W2262,"")</f>
        <v/>
      </c>
    </row>
    <row r="2263" spans="1:43" x14ac:dyDescent="0.35">
      <c r="A2263">
        <v>151</v>
      </c>
      <c r="B2263" t="s">
        <v>7022</v>
      </c>
      <c r="C2263" t="s">
        <v>6531</v>
      </c>
      <c r="D2263" t="str">
        <f t="shared" si="897"/>
        <v>Capacity Building</v>
      </c>
      <c r="E2263" t="s">
        <v>6887</v>
      </c>
      <c r="F2263" t="s">
        <v>46</v>
      </c>
      <c r="G2263" t="s">
        <v>7016</v>
      </c>
      <c r="H2263" t="s">
        <v>48</v>
      </c>
      <c r="I2263" s="32">
        <v>44930.64434027778</v>
      </c>
      <c r="J2263" s="32">
        <v>44934.64434027778</v>
      </c>
      <c r="K2263" s="32" t="s">
        <v>7473</v>
      </c>
      <c r="L2263" s="8" t="str">
        <f t="shared" si="898"/>
        <v/>
      </c>
      <c r="M2263" s="7">
        <v>44947.64434027778</v>
      </c>
      <c r="N2263" t="s">
        <v>49</v>
      </c>
      <c r="O2263" s="34">
        <v>44953.64434027778</v>
      </c>
      <c r="P2263" t="s">
        <v>101</v>
      </c>
      <c r="R2263" s="32">
        <v>44958.64434027778</v>
      </c>
      <c r="S2263" t="s">
        <v>101</v>
      </c>
      <c r="T2263" s="34">
        <v>44954.64434027778</v>
      </c>
      <c r="U2263" s="34">
        <v>44957.64434027778</v>
      </c>
      <c r="V2263" s="32">
        <v>44956.64434027778</v>
      </c>
      <c r="W2263" s="32">
        <v>44963.64434027778</v>
      </c>
      <c r="X2263">
        <v>1</v>
      </c>
      <c r="Y2263" s="34">
        <v>44967.64434027778</v>
      </c>
      <c r="Z2263" s="34">
        <v>44970.64434027778</v>
      </c>
      <c r="AA2263" s="34">
        <v>44972.64434027778</v>
      </c>
      <c r="AB2263" s="36" t="s">
        <v>7476</v>
      </c>
      <c r="AC2263" s="10">
        <v>44983.64434027778</v>
      </c>
      <c r="AD2263" t="s">
        <v>7023</v>
      </c>
      <c r="AE2263" t="s">
        <v>7024</v>
      </c>
      <c r="AF2263" s="16">
        <v>44945</v>
      </c>
      <c r="AG2263" t="s">
        <v>68</v>
      </c>
      <c r="AH2263">
        <v>3</v>
      </c>
      <c r="AK2263" s="38">
        <f t="shared" si="899"/>
        <v>45046.64434027778</v>
      </c>
    </row>
    <row r="2264" spans="1:43" x14ac:dyDescent="0.35">
      <c r="A2264">
        <v>150</v>
      </c>
      <c r="B2264" t="s">
        <v>7025</v>
      </c>
      <c r="C2264" t="s">
        <v>6525</v>
      </c>
      <c r="D2264" t="str">
        <f t="shared" si="897"/>
        <v>Capacity Building</v>
      </c>
      <c r="E2264" t="s">
        <v>6887</v>
      </c>
      <c r="F2264" t="s">
        <v>46</v>
      </c>
      <c r="G2264" t="s">
        <v>7016</v>
      </c>
      <c r="H2264" t="s">
        <v>48</v>
      </c>
      <c r="I2264" s="32">
        <v>44627.982245370367</v>
      </c>
      <c r="J2264" s="32">
        <v>44630.982245370367</v>
      </c>
      <c r="K2264" s="32">
        <v>44636.982245370367</v>
      </c>
      <c r="L2264" s="8">
        <f t="shared" si="898"/>
        <v>9</v>
      </c>
      <c r="M2264" s="7">
        <v>44658.982245370367</v>
      </c>
      <c r="N2264" t="s">
        <v>49</v>
      </c>
      <c r="O2264" s="34">
        <v>44651.982245370367</v>
      </c>
      <c r="P2264" t="s">
        <v>60</v>
      </c>
      <c r="R2264" s="32">
        <v>44655.982245370367</v>
      </c>
      <c r="S2264" t="s">
        <v>61</v>
      </c>
      <c r="T2264" s="34" t="s">
        <v>7476</v>
      </c>
      <c r="U2264" s="34" t="s">
        <v>7476</v>
      </c>
      <c r="V2264" s="32">
        <v>44652.982245370367</v>
      </c>
      <c r="W2264" s="32" t="s">
        <v>7476</v>
      </c>
      <c r="X2264">
        <v>0</v>
      </c>
      <c r="Y2264" s="34" t="s">
        <v>7476</v>
      </c>
      <c r="Z2264" s="34" t="s">
        <v>7476</v>
      </c>
      <c r="AA2264" s="34" t="s">
        <v>7476</v>
      </c>
      <c r="AB2264" s="36" t="s">
        <v>7476</v>
      </c>
      <c r="AD2264" t="s">
        <v>7026</v>
      </c>
      <c r="AE2264" t="s">
        <v>7027</v>
      </c>
      <c r="AF2264" s="16">
        <v>44644</v>
      </c>
      <c r="AG2264" t="s">
        <v>68</v>
      </c>
      <c r="AH2264">
        <v>6</v>
      </c>
      <c r="AI2264" s="8">
        <f t="shared" ref="AI2264:AI2270" si="900">IFERROR(R2264-AF2264,"")</f>
        <v>11.982245370367309</v>
      </c>
      <c r="AJ2264" s="8">
        <f t="shared" ref="AJ2264:AJ2270" si="901">IFERROR(O2264-AF2264,"")</f>
        <v>7.9822453703673091</v>
      </c>
      <c r="AK2264" s="38">
        <f t="shared" si="899"/>
        <v>44832.982245370367</v>
      </c>
      <c r="AL2264" t="str">
        <f t="shared" ref="AL2264:AL2270" si="902">IFERROR(Z2264-W2264,"")</f>
        <v/>
      </c>
      <c r="AM2264">
        <f t="shared" ref="AM2264:AM2270" si="903">IFERROR(R2264-J2264,"")</f>
        <v>25</v>
      </c>
      <c r="AN2264">
        <f t="shared" ref="AN2264:AN2270" si="904">IFERROR(V2264-O2264,"")</f>
        <v>1</v>
      </c>
      <c r="AO2264">
        <f t="shared" ref="AO2264:AO2270" si="905">IFERROR(J2264-I2264,"")</f>
        <v>3</v>
      </c>
      <c r="AP2264">
        <f t="shared" ref="AP2264:AP2270" si="906">IFERROR(AC2264-X2264,"")</f>
        <v>0</v>
      </c>
      <c r="AQ2264" t="str">
        <f t="shared" ref="AQ2264:AQ2270" si="907">IFERROR(AA2264-W2264,"")</f>
        <v/>
      </c>
    </row>
    <row r="2265" spans="1:43" x14ac:dyDescent="0.35">
      <c r="A2265">
        <v>145</v>
      </c>
      <c r="B2265" t="s">
        <v>7028</v>
      </c>
      <c r="C2265" t="s">
        <v>6525</v>
      </c>
      <c r="D2265" t="str">
        <f t="shared" si="897"/>
        <v>Capacity Building</v>
      </c>
      <c r="E2265" t="s">
        <v>6887</v>
      </c>
      <c r="F2265" t="s">
        <v>46</v>
      </c>
      <c r="G2265" t="s">
        <v>7016</v>
      </c>
      <c r="H2265" t="s">
        <v>48</v>
      </c>
      <c r="I2265" s="32">
        <v>44631.982245370367</v>
      </c>
      <c r="J2265" s="32">
        <v>44633.982245370367</v>
      </c>
      <c r="K2265" s="32">
        <v>44636.982245370367</v>
      </c>
      <c r="L2265" s="8">
        <f t="shared" si="898"/>
        <v>5</v>
      </c>
      <c r="M2265" s="7">
        <v>44656.982245370367</v>
      </c>
      <c r="N2265" t="s">
        <v>49</v>
      </c>
      <c r="O2265" s="34">
        <v>44652.982245370367</v>
      </c>
      <c r="P2265" t="s">
        <v>101</v>
      </c>
      <c r="R2265" s="32">
        <v>44657.982245370367</v>
      </c>
      <c r="S2265" t="s">
        <v>101</v>
      </c>
      <c r="T2265" s="34">
        <v>44654.982245370367</v>
      </c>
      <c r="U2265" s="34">
        <v>44656.982245370367</v>
      </c>
      <c r="V2265" s="32">
        <v>44653.982245370367</v>
      </c>
      <c r="W2265" s="32">
        <v>44657.982245370367</v>
      </c>
      <c r="X2265">
        <v>1</v>
      </c>
      <c r="Y2265" s="34">
        <v>44658.982245370367</v>
      </c>
      <c r="Z2265" s="34">
        <v>44659.982245370367</v>
      </c>
      <c r="AA2265" s="34">
        <v>44661.982245370367</v>
      </c>
      <c r="AB2265" s="36" t="s">
        <v>7476</v>
      </c>
      <c r="AC2265" s="10">
        <v>44673.982245370367</v>
      </c>
      <c r="AD2265" t="s">
        <v>7029</v>
      </c>
      <c r="AE2265" t="s">
        <v>7030</v>
      </c>
      <c r="AF2265" s="16">
        <v>44641</v>
      </c>
      <c r="AG2265" t="s">
        <v>98</v>
      </c>
      <c r="AH2265">
        <v>6</v>
      </c>
      <c r="AI2265" s="8">
        <f t="shared" si="900"/>
        <v>16.982245370367309</v>
      </c>
      <c r="AJ2265" s="8">
        <f t="shared" si="901"/>
        <v>11.982245370367309</v>
      </c>
      <c r="AK2265" s="38">
        <f t="shared" si="899"/>
        <v>44833.982245370367</v>
      </c>
      <c r="AL2265">
        <f t="shared" si="902"/>
        <v>2</v>
      </c>
      <c r="AM2265">
        <f t="shared" si="903"/>
        <v>24</v>
      </c>
      <c r="AN2265">
        <f t="shared" si="904"/>
        <v>1</v>
      </c>
      <c r="AO2265">
        <f t="shared" si="905"/>
        <v>2</v>
      </c>
      <c r="AP2265">
        <f t="shared" si="906"/>
        <v>44672.982245370367</v>
      </c>
      <c r="AQ2265">
        <f t="shared" si="907"/>
        <v>4</v>
      </c>
    </row>
    <row r="2266" spans="1:43" x14ac:dyDescent="0.35">
      <c r="A2266">
        <v>141</v>
      </c>
      <c r="B2266" t="s">
        <v>7031</v>
      </c>
      <c r="C2266" t="s">
        <v>6525</v>
      </c>
      <c r="D2266" t="str">
        <f t="shared" si="897"/>
        <v>Capacity Building</v>
      </c>
      <c r="E2266" t="s">
        <v>6887</v>
      </c>
      <c r="F2266" t="s">
        <v>46</v>
      </c>
      <c r="G2266" t="s">
        <v>7016</v>
      </c>
      <c r="H2266" t="s">
        <v>48</v>
      </c>
      <c r="I2266" s="32">
        <v>44629.982245370367</v>
      </c>
      <c r="J2266" s="32">
        <v>44630.982245370367</v>
      </c>
      <c r="K2266" s="32">
        <v>44636.982245370367</v>
      </c>
      <c r="L2266" s="8">
        <f t="shared" si="898"/>
        <v>7</v>
      </c>
      <c r="M2266" s="7">
        <v>44651.982245370367</v>
      </c>
      <c r="N2266" t="s">
        <v>49</v>
      </c>
      <c r="O2266" s="34">
        <v>44650.982245370367</v>
      </c>
      <c r="P2266" t="s">
        <v>101</v>
      </c>
      <c r="R2266" s="32">
        <v>44658.982245370367</v>
      </c>
      <c r="S2266" t="s">
        <v>101</v>
      </c>
      <c r="T2266" s="34">
        <v>44651.982245370367</v>
      </c>
      <c r="U2266" s="34">
        <v>44655.982245370367</v>
      </c>
      <c r="V2266" s="32">
        <v>44654.982245370367</v>
      </c>
      <c r="W2266" s="32">
        <v>44660.982245370367</v>
      </c>
      <c r="X2266">
        <v>1</v>
      </c>
      <c r="Y2266" s="34">
        <v>44661.982245370367</v>
      </c>
      <c r="Z2266" s="34">
        <v>44662.982245370367</v>
      </c>
      <c r="AA2266" s="34">
        <v>44663.982245370367</v>
      </c>
      <c r="AB2266" s="36" t="s">
        <v>7476</v>
      </c>
      <c r="AC2266" s="10">
        <v>44685.982245370367</v>
      </c>
      <c r="AD2266" t="s">
        <v>7032</v>
      </c>
      <c r="AE2266" t="s">
        <v>7033</v>
      </c>
      <c r="AF2266" s="16">
        <v>44640</v>
      </c>
      <c r="AG2266" t="s">
        <v>98</v>
      </c>
      <c r="AH2266">
        <v>3</v>
      </c>
      <c r="AI2266" s="8">
        <f t="shared" si="900"/>
        <v>18.982245370367309</v>
      </c>
      <c r="AJ2266" s="8">
        <f t="shared" si="901"/>
        <v>10.982245370367309</v>
      </c>
      <c r="AK2266" s="38">
        <f t="shared" si="899"/>
        <v>44744.982245370367</v>
      </c>
      <c r="AL2266">
        <f t="shared" si="902"/>
        <v>2</v>
      </c>
      <c r="AM2266">
        <f t="shared" si="903"/>
        <v>28</v>
      </c>
      <c r="AN2266">
        <f t="shared" si="904"/>
        <v>4</v>
      </c>
      <c r="AO2266">
        <f t="shared" si="905"/>
        <v>1</v>
      </c>
      <c r="AP2266">
        <f t="shared" si="906"/>
        <v>44684.982245370367</v>
      </c>
      <c r="AQ2266">
        <f t="shared" si="907"/>
        <v>3</v>
      </c>
    </row>
    <row r="2267" spans="1:43" x14ac:dyDescent="0.35">
      <c r="A2267">
        <v>114</v>
      </c>
      <c r="B2267" t="s">
        <v>7034</v>
      </c>
      <c r="C2267" t="s">
        <v>6550</v>
      </c>
      <c r="D2267" t="str">
        <f t="shared" si="897"/>
        <v>Capacity Building</v>
      </c>
      <c r="E2267" t="s">
        <v>6887</v>
      </c>
      <c r="F2267" t="s">
        <v>46</v>
      </c>
      <c r="G2267" t="s">
        <v>7016</v>
      </c>
      <c r="H2267" t="s">
        <v>48</v>
      </c>
      <c r="I2267" s="32">
        <v>44738.19809027778</v>
      </c>
      <c r="J2267" s="32">
        <v>44740.19809027778</v>
      </c>
      <c r="K2267" s="32">
        <v>44746.19809027778</v>
      </c>
      <c r="L2267" s="8">
        <f t="shared" si="898"/>
        <v>8</v>
      </c>
      <c r="M2267" s="7">
        <v>44760.19809027778</v>
      </c>
      <c r="N2267" t="s">
        <v>49</v>
      </c>
      <c r="O2267" s="34">
        <v>44749.19809027778</v>
      </c>
      <c r="P2267" t="s">
        <v>101</v>
      </c>
      <c r="R2267" s="32">
        <v>44752.19809027778</v>
      </c>
      <c r="S2267" t="s">
        <v>101</v>
      </c>
      <c r="T2267" s="34">
        <v>44750.19809027778</v>
      </c>
      <c r="U2267" s="34">
        <v>44754.19809027778</v>
      </c>
      <c r="V2267" s="32">
        <v>44750.19809027778</v>
      </c>
      <c r="W2267" s="32">
        <v>44753.19809027778</v>
      </c>
      <c r="X2267">
        <v>1</v>
      </c>
      <c r="Y2267" s="34">
        <v>44754.19809027778</v>
      </c>
      <c r="Z2267" s="34">
        <v>44755.19809027778</v>
      </c>
      <c r="AA2267" s="34">
        <v>44757.19809027778</v>
      </c>
      <c r="AB2267" s="36" t="s">
        <v>7476</v>
      </c>
      <c r="AC2267" s="10">
        <v>44777.19809027778</v>
      </c>
      <c r="AD2267" t="s">
        <v>7035</v>
      </c>
      <c r="AE2267" t="s">
        <v>7036</v>
      </c>
      <c r="AF2267" s="16">
        <v>44731</v>
      </c>
      <c r="AG2267" t="s">
        <v>64</v>
      </c>
      <c r="AH2267">
        <v>3</v>
      </c>
      <c r="AI2267" s="8">
        <f t="shared" si="900"/>
        <v>21.198090277779556</v>
      </c>
      <c r="AJ2267" s="8">
        <f t="shared" si="901"/>
        <v>18.198090277779556</v>
      </c>
      <c r="AK2267" s="38">
        <f t="shared" si="899"/>
        <v>44840.19809027778</v>
      </c>
      <c r="AL2267">
        <f t="shared" si="902"/>
        <v>2</v>
      </c>
      <c r="AM2267">
        <f t="shared" si="903"/>
        <v>12</v>
      </c>
      <c r="AN2267">
        <f t="shared" si="904"/>
        <v>1</v>
      </c>
      <c r="AO2267">
        <f t="shared" si="905"/>
        <v>2</v>
      </c>
      <c r="AP2267">
        <f t="shared" si="906"/>
        <v>44776.19809027778</v>
      </c>
      <c r="AQ2267">
        <f t="shared" si="907"/>
        <v>4</v>
      </c>
    </row>
    <row r="2268" spans="1:43" x14ac:dyDescent="0.35">
      <c r="A2268">
        <v>58</v>
      </c>
      <c r="B2268" t="s">
        <v>7037</v>
      </c>
      <c r="C2268" t="s">
        <v>6550</v>
      </c>
      <c r="D2268" t="str">
        <f t="shared" si="897"/>
        <v>Capacity Building</v>
      </c>
      <c r="E2268" t="s">
        <v>6887</v>
      </c>
      <c r="F2268" t="s">
        <v>46</v>
      </c>
      <c r="G2268" t="s">
        <v>7016</v>
      </c>
      <c r="H2268" t="s">
        <v>48</v>
      </c>
      <c r="I2268" s="32">
        <v>44773.01295138889</v>
      </c>
      <c r="J2268" s="32">
        <v>44774.01295138889</v>
      </c>
      <c r="K2268" s="32">
        <v>44777.01295138889</v>
      </c>
      <c r="L2268" s="8">
        <f t="shared" si="898"/>
        <v>4</v>
      </c>
      <c r="M2268" s="7">
        <v>44786.01295138889</v>
      </c>
      <c r="N2268" t="s">
        <v>49</v>
      </c>
      <c r="O2268" s="34">
        <v>44795.01295138889</v>
      </c>
      <c r="P2268" t="s">
        <v>50</v>
      </c>
      <c r="Q2268" t="s">
        <v>84</v>
      </c>
      <c r="R2268" s="32" t="s">
        <v>7472</v>
      </c>
      <c r="S2268" t="s">
        <v>7476</v>
      </c>
      <c r="T2268" s="34" t="s">
        <v>7476</v>
      </c>
      <c r="U2268" s="34" t="s">
        <v>7476</v>
      </c>
      <c r="V2268" s="32" t="s">
        <v>7476</v>
      </c>
      <c r="W2268" s="32" t="s">
        <v>7476</v>
      </c>
      <c r="X2268">
        <v>0</v>
      </c>
      <c r="Y2268" s="34" t="s">
        <v>7476</v>
      </c>
      <c r="Z2268" s="34" t="s">
        <v>7476</v>
      </c>
      <c r="AA2268" s="34" t="s">
        <v>7476</v>
      </c>
      <c r="AB2268" s="36" t="s">
        <v>52</v>
      </c>
      <c r="AD2268" t="s">
        <v>7038</v>
      </c>
      <c r="AE2268" t="s">
        <v>7039</v>
      </c>
      <c r="AF2268" s="16">
        <v>44781</v>
      </c>
      <c r="AG2268" t="s">
        <v>64</v>
      </c>
      <c r="AH2268">
        <v>6</v>
      </c>
      <c r="AI2268" s="8" t="str">
        <f t="shared" si="900"/>
        <v/>
      </c>
      <c r="AJ2268" s="8">
        <f t="shared" si="901"/>
        <v>14.012951388889633</v>
      </c>
      <c r="AK2268" s="38" t="str">
        <f t="shared" si="899"/>
        <v/>
      </c>
      <c r="AL2268" t="str">
        <f t="shared" si="902"/>
        <v/>
      </c>
      <c r="AM2268" t="str">
        <f t="shared" si="903"/>
        <v/>
      </c>
      <c r="AN2268" t="str">
        <f t="shared" si="904"/>
        <v/>
      </c>
      <c r="AO2268">
        <f t="shared" si="905"/>
        <v>1</v>
      </c>
      <c r="AP2268">
        <f t="shared" si="906"/>
        <v>0</v>
      </c>
      <c r="AQ2268" t="str">
        <f t="shared" si="907"/>
        <v/>
      </c>
    </row>
    <row r="2269" spans="1:43" x14ac:dyDescent="0.35">
      <c r="A2269">
        <v>55</v>
      </c>
      <c r="B2269" t="s">
        <v>7040</v>
      </c>
      <c r="C2269" t="s">
        <v>6531</v>
      </c>
      <c r="D2269" t="str">
        <f t="shared" si="897"/>
        <v>Capacity Building</v>
      </c>
      <c r="E2269" t="s">
        <v>6887</v>
      </c>
      <c r="F2269" t="s">
        <v>46</v>
      </c>
      <c r="G2269" t="s">
        <v>7016</v>
      </c>
      <c r="H2269" t="s">
        <v>48</v>
      </c>
      <c r="I2269" s="32">
        <v>44769.01295138889</v>
      </c>
      <c r="J2269" s="32">
        <v>44771.01295138889</v>
      </c>
      <c r="K2269" s="32">
        <v>44777.01295138889</v>
      </c>
      <c r="L2269" s="8">
        <f t="shared" si="898"/>
        <v>8</v>
      </c>
      <c r="M2269" s="7">
        <v>44803.01295138889</v>
      </c>
      <c r="N2269" t="s">
        <v>49</v>
      </c>
      <c r="O2269" s="34">
        <v>44784.01295138889</v>
      </c>
      <c r="P2269" t="s">
        <v>101</v>
      </c>
      <c r="R2269" s="32">
        <v>44788.01295138889</v>
      </c>
      <c r="S2269" t="s">
        <v>101</v>
      </c>
      <c r="T2269" s="34">
        <v>44786.01295138889</v>
      </c>
      <c r="U2269" s="34">
        <v>44789.01295138889</v>
      </c>
      <c r="V2269" s="32">
        <v>44786.01295138889</v>
      </c>
      <c r="W2269" s="32">
        <v>44787.01295138889</v>
      </c>
      <c r="X2269">
        <v>1</v>
      </c>
      <c r="Y2269" s="34">
        <v>44790.01295138889</v>
      </c>
      <c r="Z2269" s="34">
        <v>44792.01295138889</v>
      </c>
      <c r="AA2269" s="34">
        <v>44793.01295138889</v>
      </c>
      <c r="AB2269" s="36" t="s">
        <v>7476</v>
      </c>
      <c r="AC2269" s="10">
        <v>44816.01295138889</v>
      </c>
      <c r="AD2269" t="s">
        <v>7041</v>
      </c>
      <c r="AE2269" t="s">
        <v>7042</v>
      </c>
      <c r="AF2269" s="16">
        <v>44775</v>
      </c>
      <c r="AG2269" t="s">
        <v>98</v>
      </c>
      <c r="AH2269">
        <v>6</v>
      </c>
      <c r="AI2269" s="8">
        <f t="shared" si="900"/>
        <v>13.012951388889633</v>
      </c>
      <c r="AJ2269" s="8">
        <f t="shared" si="901"/>
        <v>9.0129513888896327</v>
      </c>
      <c r="AK2269" s="38">
        <f t="shared" si="899"/>
        <v>44966.01295138889</v>
      </c>
      <c r="AL2269">
        <f t="shared" si="902"/>
        <v>5</v>
      </c>
      <c r="AM2269">
        <f t="shared" si="903"/>
        <v>17</v>
      </c>
      <c r="AN2269">
        <f t="shared" si="904"/>
        <v>2</v>
      </c>
      <c r="AO2269">
        <f t="shared" si="905"/>
        <v>2</v>
      </c>
      <c r="AP2269">
        <f t="shared" si="906"/>
        <v>44815.01295138889</v>
      </c>
      <c r="AQ2269">
        <f t="shared" si="907"/>
        <v>6</v>
      </c>
    </row>
    <row r="2270" spans="1:43" x14ac:dyDescent="0.35">
      <c r="A2270">
        <v>2992</v>
      </c>
      <c r="B2270" t="s">
        <v>7043</v>
      </c>
      <c r="C2270" t="s">
        <v>6525</v>
      </c>
      <c r="D2270" t="str">
        <f t="shared" si="897"/>
        <v>Capacity Building</v>
      </c>
      <c r="E2270" t="s">
        <v>7044</v>
      </c>
      <c r="F2270" t="s">
        <v>2984</v>
      </c>
      <c r="G2270" t="s">
        <v>7045</v>
      </c>
      <c r="H2270" t="s">
        <v>80</v>
      </c>
      <c r="I2270" s="32">
        <v>44987.039479166669</v>
      </c>
      <c r="J2270" s="32">
        <v>44990.039479166669</v>
      </c>
      <c r="K2270" s="32">
        <v>44998.039479166669</v>
      </c>
      <c r="L2270" s="8">
        <f t="shared" si="898"/>
        <v>11</v>
      </c>
      <c r="M2270" s="7">
        <v>45015.039479166669</v>
      </c>
      <c r="N2270" t="s">
        <v>72</v>
      </c>
      <c r="O2270" s="34" t="s">
        <v>7474</v>
      </c>
      <c r="R2270" s="32" t="s">
        <v>7472</v>
      </c>
      <c r="S2270" t="s">
        <v>7476</v>
      </c>
      <c r="T2270" s="34" t="s">
        <v>7476</v>
      </c>
      <c r="U2270" s="34" t="s">
        <v>7476</v>
      </c>
      <c r="V2270" s="32" t="s">
        <v>7476</v>
      </c>
      <c r="W2270" s="32" t="s">
        <v>7476</v>
      </c>
      <c r="X2270">
        <v>0</v>
      </c>
      <c r="Y2270" s="34" t="s">
        <v>7476</v>
      </c>
      <c r="Z2270" s="34" t="s">
        <v>7476</v>
      </c>
      <c r="AA2270" s="34" t="s">
        <v>7476</v>
      </c>
      <c r="AB2270" s="36" t="s">
        <v>7476</v>
      </c>
      <c r="AD2270" t="s">
        <v>7046</v>
      </c>
      <c r="AE2270" t="s">
        <v>7047</v>
      </c>
      <c r="AG2270" t="s">
        <v>64</v>
      </c>
      <c r="AH2270">
        <v>6</v>
      </c>
      <c r="AI2270" s="8" t="str">
        <f t="shared" si="900"/>
        <v/>
      </c>
      <c r="AJ2270" s="8" t="str">
        <f t="shared" si="901"/>
        <v/>
      </c>
      <c r="AK2270" s="38" t="str">
        <f t="shared" si="899"/>
        <v/>
      </c>
      <c r="AL2270" t="str">
        <f t="shared" si="902"/>
        <v/>
      </c>
      <c r="AM2270" t="str">
        <f t="shared" si="903"/>
        <v/>
      </c>
      <c r="AN2270" t="str">
        <f t="shared" si="904"/>
        <v/>
      </c>
      <c r="AO2270">
        <f t="shared" si="905"/>
        <v>3</v>
      </c>
      <c r="AP2270">
        <f t="shared" si="906"/>
        <v>0</v>
      </c>
      <c r="AQ2270" t="str">
        <f t="shared" si="907"/>
        <v/>
      </c>
    </row>
    <row r="2271" spans="1:43" x14ac:dyDescent="0.35">
      <c r="A2271">
        <v>2768</v>
      </c>
      <c r="B2271" t="s">
        <v>7048</v>
      </c>
      <c r="C2271" t="s">
        <v>6525</v>
      </c>
      <c r="D2271" t="str">
        <f t="shared" si="897"/>
        <v>Capacity Building</v>
      </c>
      <c r="E2271" t="s">
        <v>7044</v>
      </c>
      <c r="F2271" t="s">
        <v>2984</v>
      </c>
      <c r="G2271" t="s">
        <v>7045</v>
      </c>
      <c r="H2271" t="s">
        <v>80</v>
      </c>
      <c r="I2271" s="32">
        <v>44805.301701388889</v>
      </c>
      <c r="J2271" s="32">
        <v>44809.301701388889</v>
      </c>
      <c r="K2271" s="32" t="s">
        <v>7473</v>
      </c>
      <c r="L2271" s="8" t="str">
        <f t="shared" si="898"/>
        <v/>
      </c>
      <c r="M2271" s="7">
        <v>44842.301701388889</v>
      </c>
      <c r="N2271" t="s">
        <v>72</v>
      </c>
      <c r="O2271" s="34" t="s">
        <v>7474</v>
      </c>
      <c r="R2271" s="32" t="s">
        <v>7472</v>
      </c>
      <c r="S2271" t="s">
        <v>7476</v>
      </c>
      <c r="T2271" s="34" t="s">
        <v>7476</v>
      </c>
      <c r="U2271" s="34" t="s">
        <v>7476</v>
      </c>
      <c r="V2271" s="32" t="s">
        <v>7476</v>
      </c>
      <c r="W2271" s="32" t="s">
        <v>7476</v>
      </c>
      <c r="X2271">
        <v>0</v>
      </c>
      <c r="Y2271" s="34" t="s">
        <v>7476</v>
      </c>
      <c r="Z2271" s="34" t="s">
        <v>7476</v>
      </c>
      <c r="AA2271" s="34" t="s">
        <v>7476</v>
      </c>
      <c r="AB2271" s="36" t="s">
        <v>7476</v>
      </c>
      <c r="AD2271" t="s">
        <v>7049</v>
      </c>
      <c r="AE2271" t="s">
        <v>7050</v>
      </c>
      <c r="AG2271" t="s">
        <v>55</v>
      </c>
      <c r="AH2271">
        <v>6</v>
      </c>
      <c r="AK2271" s="38" t="str">
        <f t="shared" si="899"/>
        <v/>
      </c>
    </row>
    <row r="2272" spans="1:43" x14ac:dyDescent="0.35">
      <c r="A2272">
        <v>2633</v>
      </c>
      <c r="B2272" t="s">
        <v>7051</v>
      </c>
      <c r="C2272" t="s">
        <v>6550</v>
      </c>
      <c r="D2272" t="str">
        <f t="shared" si="897"/>
        <v>Capacity Building</v>
      </c>
      <c r="E2272" t="s">
        <v>7044</v>
      </c>
      <c r="F2272" t="s">
        <v>2984</v>
      </c>
      <c r="G2272" t="s">
        <v>7045</v>
      </c>
      <c r="H2272" t="s">
        <v>80</v>
      </c>
      <c r="I2272" s="32">
        <v>44581.196851851862</v>
      </c>
      <c r="J2272" s="32">
        <v>44584.196851851862</v>
      </c>
      <c r="K2272" s="32">
        <v>44588.196851851862</v>
      </c>
      <c r="L2272" s="8">
        <f t="shared" si="898"/>
        <v>7</v>
      </c>
      <c r="M2272" s="7">
        <v>44613.196851851862</v>
      </c>
      <c r="N2272" t="s">
        <v>72</v>
      </c>
      <c r="O2272" s="34" t="s">
        <v>7474</v>
      </c>
      <c r="R2272" s="32" t="s">
        <v>7472</v>
      </c>
      <c r="S2272" t="s">
        <v>7476</v>
      </c>
      <c r="T2272" s="34" t="s">
        <v>7476</v>
      </c>
      <c r="U2272" s="34" t="s">
        <v>7476</v>
      </c>
      <c r="V2272" s="32" t="s">
        <v>7476</v>
      </c>
      <c r="W2272" s="32" t="s">
        <v>7476</v>
      </c>
      <c r="X2272">
        <v>0</v>
      </c>
      <c r="Y2272" s="34" t="s">
        <v>7476</v>
      </c>
      <c r="Z2272" s="34" t="s">
        <v>7476</v>
      </c>
      <c r="AA2272" s="34" t="s">
        <v>7476</v>
      </c>
      <c r="AB2272" s="36" t="s">
        <v>7476</v>
      </c>
      <c r="AD2272" t="s">
        <v>7052</v>
      </c>
      <c r="AE2272" t="s">
        <v>7053</v>
      </c>
      <c r="AG2272" t="s">
        <v>98</v>
      </c>
      <c r="AH2272">
        <v>6</v>
      </c>
      <c r="AI2272" s="8" t="str">
        <f t="shared" ref="AI2272:AI2280" si="908">IFERROR(R2272-AF2272,"")</f>
        <v/>
      </c>
      <c r="AJ2272" s="8" t="str">
        <f t="shared" ref="AJ2272:AJ2280" si="909">IFERROR(O2272-AF2272,"")</f>
        <v/>
      </c>
      <c r="AK2272" s="38" t="str">
        <f t="shared" si="899"/>
        <v/>
      </c>
      <c r="AL2272" t="str">
        <f t="shared" ref="AL2272:AL2280" si="910">IFERROR(Z2272-W2272,"")</f>
        <v/>
      </c>
      <c r="AM2272" t="str">
        <f t="shared" ref="AM2272:AM2280" si="911">IFERROR(R2272-J2272,"")</f>
        <v/>
      </c>
      <c r="AN2272" t="str">
        <f t="shared" ref="AN2272:AN2280" si="912">IFERROR(V2272-O2272,"")</f>
        <v/>
      </c>
      <c r="AO2272">
        <f t="shared" ref="AO2272:AO2280" si="913">IFERROR(J2272-I2272,"")</f>
        <v>3</v>
      </c>
      <c r="AP2272">
        <f t="shared" ref="AP2272:AP2280" si="914">IFERROR(AC2272-X2272,"")</f>
        <v>0</v>
      </c>
      <c r="AQ2272" t="str">
        <f t="shared" ref="AQ2272:AQ2280" si="915">IFERROR(AA2272-W2272,"")</f>
        <v/>
      </c>
    </row>
    <row r="2273" spans="1:43" x14ac:dyDescent="0.35">
      <c r="A2273">
        <v>2576</v>
      </c>
      <c r="B2273" t="s">
        <v>7054</v>
      </c>
      <c r="C2273" t="s">
        <v>6531</v>
      </c>
      <c r="D2273" t="str">
        <f t="shared" si="897"/>
        <v>Capacity Building</v>
      </c>
      <c r="E2273" t="s">
        <v>7044</v>
      </c>
      <c r="F2273" t="s">
        <v>2984</v>
      </c>
      <c r="G2273" t="s">
        <v>7045</v>
      </c>
      <c r="H2273" t="s">
        <v>80</v>
      </c>
      <c r="I2273" s="32">
        <v>44637.718425925923</v>
      </c>
      <c r="J2273" s="32">
        <v>44641.718425925923</v>
      </c>
      <c r="K2273" s="32">
        <v>44645.718425925923</v>
      </c>
      <c r="L2273" s="8">
        <f t="shared" si="898"/>
        <v>8</v>
      </c>
      <c r="M2273" s="7">
        <v>44654.718425925923</v>
      </c>
      <c r="N2273" t="s">
        <v>72</v>
      </c>
      <c r="O2273" s="34" t="s">
        <v>7474</v>
      </c>
      <c r="R2273" s="32" t="s">
        <v>7472</v>
      </c>
      <c r="S2273" t="s">
        <v>7476</v>
      </c>
      <c r="T2273" s="34" t="s">
        <v>7476</v>
      </c>
      <c r="U2273" s="34" t="s">
        <v>7476</v>
      </c>
      <c r="V2273" s="32" t="s">
        <v>7476</v>
      </c>
      <c r="W2273" s="32" t="s">
        <v>7476</v>
      </c>
      <c r="X2273">
        <v>0</v>
      </c>
      <c r="Y2273" s="34" t="s">
        <v>7476</v>
      </c>
      <c r="Z2273" s="34" t="s">
        <v>7476</v>
      </c>
      <c r="AA2273" s="34" t="s">
        <v>7476</v>
      </c>
      <c r="AB2273" s="36" t="s">
        <v>7476</v>
      </c>
      <c r="AD2273" t="s">
        <v>7055</v>
      </c>
      <c r="AE2273" t="s">
        <v>7056</v>
      </c>
      <c r="AG2273" t="s">
        <v>98</v>
      </c>
      <c r="AH2273">
        <v>3</v>
      </c>
      <c r="AI2273" s="8" t="str">
        <f t="shared" si="908"/>
        <v/>
      </c>
      <c r="AJ2273" s="8" t="str">
        <f t="shared" si="909"/>
        <v/>
      </c>
      <c r="AK2273" s="38" t="str">
        <f t="shared" si="899"/>
        <v/>
      </c>
      <c r="AL2273" t="str">
        <f t="shared" si="910"/>
        <v/>
      </c>
      <c r="AM2273" t="str">
        <f t="shared" si="911"/>
        <v/>
      </c>
      <c r="AN2273" t="str">
        <f t="shared" si="912"/>
        <v/>
      </c>
      <c r="AO2273">
        <f t="shared" si="913"/>
        <v>4</v>
      </c>
      <c r="AP2273">
        <f t="shared" si="914"/>
        <v>0</v>
      </c>
      <c r="AQ2273" t="str">
        <f t="shared" si="915"/>
        <v/>
      </c>
    </row>
    <row r="2274" spans="1:43" x14ac:dyDescent="0.35">
      <c r="A2274">
        <v>2529</v>
      </c>
      <c r="B2274" t="s">
        <v>7057</v>
      </c>
      <c r="C2274" t="s">
        <v>6525</v>
      </c>
      <c r="D2274" t="str">
        <f t="shared" si="897"/>
        <v>Capacity Building</v>
      </c>
      <c r="E2274" t="s">
        <v>7044</v>
      </c>
      <c r="F2274" t="s">
        <v>2984</v>
      </c>
      <c r="G2274" t="s">
        <v>7045</v>
      </c>
      <c r="H2274" t="s">
        <v>80</v>
      </c>
      <c r="I2274" s="32">
        <v>45027.778819444437</v>
      </c>
      <c r="J2274" s="32">
        <v>45028.778819444437</v>
      </c>
      <c r="K2274" s="32">
        <v>45033.778819444437</v>
      </c>
      <c r="L2274" s="8">
        <f t="shared" si="898"/>
        <v>6</v>
      </c>
      <c r="M2274" s="7">
        <v>45055.778819444437</v>
      </c>
      <c r="N2274" t="s">
        <v>72</v>
      </c>
      <c r="O2274" s="34" t="s">
        <v>7474</v>
      </c>
      <c r="R2274" s="32" t="s">
        <v>7472</v>
      </c>
      <c r="S2274" t="s">
        <v>7476</v>
      </c>
      <c r="T2274" s="34" t="s">
        <v>7476</v>
      </c>
      <c r="U2274" s="34" t="s">
        <v>7476</v>
      </c>
      <c r="V2274" s="32" t="s">
        <v>7476</v>
      </c>
      <c r="W2274" s="32" t="s">
        <v>7476</v>
      </c>
      <c r="X2274">
        <v>0</v>
      </c>
      <c r="Y2274" s="34" t="s">
        <v>7476</v>
      </c>
      <c r="Z2274" s="34" t="s">
        <v>7476</v>
      </c>
      <c r="AA2274" s="34" t="s">
        <v>7476</v>
      </c>
      <c r="AB2274" s="36" t="s">
        <v>7476</v>
      </c>
      <c r="AD2274" t="s">
        <v>7058</v>
      </c>
      <c r="AE2274" t="s">
        <v>7059</v>
      </c>
      <c r="AG2274" t="s">
        <v>64</v>
      </c>
      <c r="AH2274">
        <v>6</v>
      </c>
      <c r="AI2274" s="8" t="str">
        <f t="shared" si="908"/>
        <v/>
      </c>
      <c r="AJ2274" s="8" t="str">
        <f t="shared" si="909"/>
        <v/>
      </c>
      <c r="AK2274" s="38" t="str">
        <f t="shared" si="899"/>
        <v/>
      </c>
      <c r="AL2274" t="str">
        <f t="shared" si="910"/>
        <v/>
      </c>
      <c r="AM2274" t="str">
        <f t="shared" si="911"/>
        <v/>
      </c>
      <c r="AN2274" t="str">
        <f t="shared" si="912"/>
        <v/>
      </c>
      <c r="AO2274">
        <f t="shared" si="913"/>
        <v>1</v>
      </c>
      <c r="AP2274">
        <f t="shared" si="914"/>
        <v>0</v>
      </c>
      <c r="AQ2274" t="str">
        <f t="shared" si="915"/>
        <v/>
      </c>
    </row>
    <row r="2275" spans="1:43" x14ac:dyDescent="0.35">
      <c r="A2275">
        <v>2092</v>
      </c>
      <c r="B2275" t="s">
        <v>7060</v>
      </c>
      <c r="C2275" t="s">
        <v>6525</v>
      </c>
      <c r="D2275" t="str">
        <f t="shared" si="897"/>
        <v>Capacity Building</v>
      </c>
      <c r="E2275" t="s">
        <v>7044</v>
      </c>
      <c r="F2275" t="s">
        <v>2984</v>
      </c>
      <c r="G2275" t="s">
        <v>7045</v>
      </c>
      <c r="H2275" t="s">
        <v>80</v>
      </c>
      <c r="I2275" s="32">
        <v>44857.987488425933</v>
      </c>
      <c r="J2275" s="32">
        <v>44858.987488425933</v>
      </c>
      <c r="K2275" s="32">
        <v>44864.987488425933</v>
      </c>
      <c r="L2275" s="8">
        <f t="shared" si="898"/>
        <v>7</v>
      </c>
      <c r="M2275" s="7">
        <v>44869.987488425933</v>
      </c>
      <c r="N2275" t="s">
        <v>72</v>
      </c>
      <c r="O2275" s="34" t="s">
        <v>7474</v>
      </c>
      <c r="R2275" s="32" t="s">
        <v>7472</v>
      </c>
      <c r="S2275" t="s">
        <v>7476</v>
      </c>
      <c r="T2275" s="34" t="s">
        <v>7476</v>
      </c>
      <c r="U2275" s="34" t="s">
        <v>7476</v>
      </c>
      <c r="V2275" s="32" t="s">
        <v>7476</v>
      </c>
      <c r="W2275" s="32" t="s">
        <v>7476</v>
      </c>
      <c r="X2275">
        <v>0</v>
      </c>
      <c r="Y2275" s="34" t="s">
        <v>7476</v>
      </c>
      <c r="Z2275" s="34" t="s">
        <v>7476</v>
      </c>
      <c r="AA2275" s="34" t="s">
        <v>7476</v>
      </c>
      <c r="AB2275" s="36" t="s">
        <v>7476</v>
      </c>
      <c r="AD2275" t="s">
        <v>7061</v>
      </c>
      <c r="AE2275" t="s">
        <v>7062</v>
      </c>
      <c r="AG2275" t="s">
        <v>98</v>
      </c>
      <c r="AH2275">
        <v>6</v>
      </c>
      <c r="AI2275" s="8" t="str">
        <f t="shared" si="908"/>
        <v/>
      </c>
      <c r="AJ2275" s="8" t="str">
        <f t="shared" si="909"/>
        <v/>
      </c>
      <c r="AK2275" s="38" t="str">
        <f t="shared" si="899"/>
        <v/>
      </c>
      <c r="AL2275" t="str">
        <f t="shared" si="910"/>
        <v/>
      </c>
      <c r="AM2275" t="str">
        <f t="shared" si="911"/>
        <v/>
      </c>
      <c r="AN2275" t="str">
        <f t="shared" si="912"/>
        <v/>
      </c>
      <c r="AO2275">
        <f t="shared" si="913"/>
        <v>1</v>
      </c>
      <c r="AP2275">
        <f t="shared" si="914"/>
        <v>0</v>
      </c>
      <c r="AQ2275" t="str">
        <f t="shared" si="915"/>
        <v/>
      </c>
    </row>
    <row r="2276" spans="1:43" x14ac:dyDescent="0.35">
      <c r="A2276">
        <v>1939</v>
      </c>
      <c r="B2276" t="s">
        <v>7063</v>
      </c>
      <c r="C2276" t="s">
        <v>6550</v>
      </c>
      <c r="D2276" t="str">
        <f t="shared" si="897"/>
        <v>Capacity Building</v>
      </c>
      <c r="E2276" t="s">
        <v>7044</v>
      </c>
      <c r="F2276" t="s">
        <v>2984</v>
      </c>
      <c r="G2276" t="s">
        <v>7045</v>
      </c>
      <c r="H2276" t="s">
        <v>80</v>
      </c>
      <c r="I2276" s="32">
        <v>45179.30609953704</v>
      </c>
      <c r="J2276" s="32">
        <v>45182.30609953704</v>
      </c>
      <c r="K2276" s="32">
        <v>45184.30609953704</v>
      </c>
      <c r="L2276" s="8">
        <f t="shared" si="898"/>
        <v>5</v>
      </c>
      <c r="M2276" s="7">
        <v>45192.30609953704</v>
      </c>
      <c r="N2276" t="s">
        <v>72</v>
      </c>
      <c r="O2276" s="34" t="s">
        <v>7474</v>
      </c>
      <c r="R2276" s="32" t="s">
        <v>7472</v>
      </c>
      <c r="S2276" t="s">
        <v>7476</v>
      </c>
      <c r="T2276" s="34" t="s">
        <v>7476</v>
      </c>
      <c r="U2276" s="34" t="s">
        <v>7476</v>
      </c>
      <c r="V2276" s="32" t="s">
        <v>7476</v>
      </c>
      <c r="W2276" s="32" t="s">
        <v>7476</v>
      </c>
      <c r="X2276">
        <v>0</v>
      </c>
      <c r="Y2276" s="34" t="s">
        <v>7476</v>
      </c>
      <c r="Z2276" s="34" t="s">
        <v>7476</v>
      </c>
      <c r="AA2276" s="34" t="s">
        <v>7476</v>
      </c>
      <c r="AB2276" s="36" t="s">
        <v>7476</v>
      </c>
      <c r="AD2276" t="s">
        <v>7064</v>
      </c>
      <c r="AE2276" t="s">
        <v>7065</v>
      </c>
      <c r="AG2276" t="s">
        <v>68</v>
      </c>
      <c r="AH2276">
        <v>6</v>
      </c>
      <c r="AI2276" s="8" t="str">
        <f t="shared" si="908"/>
        <v/>
      </c>
      <c r="AJ2276" s="8" t="str">
        <f t="shared" si="909"/>
        <v/>
      </c>
      <c r="AK2276" s="38" t="str">
        <f t="shared" si="899"/>
        <v/>
      </c>
      <c r="AL2276" t="str">
        <f t="shared" si="910"/>
        <v/>
      </c>
      <c r="AM2276" t="str">
        <f t="shared" si="911"/>
        <v/>
      </c>
      <c r="AN2276" t="str">
        <f t="shared" si="912"/>
        <v/>
      </c>
      <c r="AO2276">
        <f t="shared" si="913"/>
        <v>3</v>
      </c>
      <c r="AP2276">
        <f t="shared" si="914"/>
        <v>0</v>
      </c>
      <c r="AQ2276" t="str">
        <f t="shared" si="915"/>
        <v/>
      </c>
    </row>
    <row r="2277" spans="1:43" x14ac:dyDescent="0.35">
      <c r="A2277">
        <v>1192</v>
      </c>
      <c r="B2277" t="s">
        <v>7066</v>
      </c>
      <c r="C2277" t="s">
        <v>6550</v>
      </c>
      <c r="D2277" t="str">
        <f t="shared" si="897"/>
        <v>Capacity Building</v>
      </c>
      <c r="E2277" t="s">
        <v>7044</v>
      </c>
      <c r="F2277" t="s">
        <v>2984</v>
      </c>
      <c r="G2277" t="s">
        <v>7045</v>
      </c>
      <c r="H2277" t="s">
        <v>80</v>
      </c>
      <c r="I2277" s="32">
        <v>44765.966006944444</v>
      </c>
      <c r="J2277" s="32">
        <v>44769.966006944444</v>
      </c>
      <c r="K2277" s="32">
        <v>44771.966006944444</v>
      </c>
      <c r="L2277" s="8">
        <f t="shared" si="898"/>
        <v>6</v>
      </c>
      <c r="M2277" s="7">
        <v>44800.966006944444</v>
      </c>
      <c r="N2277" t="s">
        <v>72</v>
      </c>
      <c r="O2277" s="34" t="s">
        <v>7474</v>
      </c>
      <c r="R2277" s="32" t="s">
        <v>7472</v>
      </c>
      <c r="S2277" t="s">
        <v>7476</v>
      </c>
      <c r="T2277" s="34" t="s">
        <v>7476</v>
      </c>
      <c r="U2277" s="34" t="s">
        <v>7476</v>
      </c>
      <c r="V2277" s="32" t="s">
        <v>7476</v>
      </c>
      <c r="W2277" s="32" t="s">
        <v>7476</v>
      </c>
      <c r="X2277">
        <v>0</v>
      </c>
      <c r="Y2277" s="34" t="s">
        <v>7476</v>
      </c>
      <c r="Z2277" s="34" t="s">
        <v>7476</v>
      </c>
      <c r="AA2277" s="34" t="s">
        <v>7476</v>
      </c>
      <c r="AB2277" s="36" t="s">
        <v>7476</v>
      </c>
      <c r="AD2277" t="s">
        <v>7067</v>
      </c>
      <c r="AE2277" t="s">
        <v>7068</v>
      </c>
      <c r="AG2277" t="s">
        <v>64</v>
      </c>
      <c r="AH2277">
        <v>6</v>
      </c>
      <c r="AI2277" s="8" t="str">
        <f t="shared" si="908"/>
        <v/>
      </c>
      <c r="AJ2277" s="8" t="str">
        <f t="shared" si="909"/>
        <v/>
      </c>
      <c r="AK2277" s="38" t="str">
        <f t="shared" si="899"/>
        <v/>
      </c>
      <c r="AL2277" t="str">
        <f t="shared" si="910"/>
        <v/>
      </c>
      <c r="AM2277" t="str">
        <f t="shared" si="911"/>
        <v/>
      </c>
      <c r="AN2277" t="str">
        <f t="shared" si="912"/>
        <v/>
      </c>
      <c r="AO2277">
        <f t="shared" si="913"/>
        <v>4</v>
      </c>
      <c r="AP2277">
        <f t="shared" si="914"/>
        <v>0</v>
      </c>
      <c r="AQ2277" t="str">
        <f t="shared" si="915"/>
        <v/>
      </c>
    </row>
    <row r="2278" spans="1:43" x14ac:dyDescent="0.35">
      <c r="A2278">
        <v>929</v>
      </c>
      <c r="B2278" t="s">
        <v>7069</v>
      </c>
      <c r="C2278" t="s">
        <v>6525</v>
      </c>
      <c r="D2278" t="str">
        <f t="shared" si="897"/>
        <v>Capacity Building</v>
      </c>
      <c r="E2278" t="s">
        <v>7044</v>
      </c>
      <c r="F2278" t="s">
        <v>2984</v>
      </c>
      <c r="G2278" t="s">
        <v>7045</v>
      </c>
      <c r="H2278" t="s">
        <v>80</v>
      </c>
      <c r="I2278" s="32">
        <v>45071.494004629632</v>
      </c>
      <c r="J2278" s="32">
        <v>45075.494004629632</v>
      </c>
      <c r="K2278" s="32">
        <v>45080.494004629632</v>
      </c>
      <c r="L2278" s="8">
        <f t="shared" si="898"/>
        <v>9</v>
      </c>
      <c r="M2278" s="7">
        <v>45090.494004629632</v>
      </c>
      <c r="N2278" t="s">
        <v>49</v>
      </c>
      <c r="O2278" s="34">
        <v>45087.494004629632</v>
      </c>
      <c r="P2278" t="s">
        <v>50</v>
      </c>
      <c r="Q2278" t="s">
        <v>236</v>
      </c>
      <c r="R2278" s="32" t="s">
        <v>7472</v>
      </c>
      <c r="S2278" t="s">
        <v>7476</v>
      </c>
      <c r="T2278" s="34" t="s">
        <v>7476</v>
      </c>
      <c r="U2278" s="34" t="s">
        <v>7476</v>
      </c>
      <c r="V2278" s="32">
        <v>45090.494004629632</v>
      </c>
      <c r="W2278" s="32" t="s">
        <v>7476</v>
      </c>
      <c r="X2278">
        <v>0</v>
      </c>
      <c r="Y2278" s="34" t="s">
        <v>7476</v>
      </c>
      <c r="Z2278" s="34" t="s">
        <v>7476</v>
      </c>
      <c r="AA2278" s="34" t="s">
        <v>7476</v>
      </c>
      <c r="AB2278" s="36" t="s">
        <v>52</v>
      </c>
      <c r="AD2278" t="s">
        <v>7070</v>
      </c>
      <c r="AE2278" t="s">
        <v>7071</v>
      </c>
      <c r="AF2278" s="16">
        <v>44991</v>
      </c>
      <c r="AG2278" t="s">
        <v>64</v>
      </c>
      <c r="AH2278">
        <v>3</v>
      </c>
      <c r="AI2278" s="8" t="str">
        <f t="shared" si="908"/>
        <v/>
      </c>
      <c r="AJ2278" s="8">
        <f t="shared" si="909"/>
        <v>96.4940046296324</v>
      </c>
      <c r="AK2278" s="38">
        <f t="shared" si="899"/>
        <v>45180.494004629632</v>
      </c>
      <c r="AL2278" t="str">
        <f t="shared" si="910"/>
        <v/>
      </c>
      <c r="AM2278" t="str">
        <f t="shared" si="911"/>
        <v/>
      </c>
      <c r="AN2278">
        <f t="shared" si="912"/>
        <v>3</v>
      </c>
      <c r="AO2278">
        <f t="shared" si="913"/>
        <v>4</v>
      </c>
      <c r="AP2278">
        <f t="shared" si="914"/>
        <v>0</v>
      </c>
      <c r="AQ2278" t="str">
        <f t="shared" si="915"/>
        <v/>
      </c>
    </row>
    <row r="2279" spans="1:43" x14ac:dyDescent="0.35">
      <c r="A2279">
        <v>927</v>
      </c>
      <c r="B2279" t="s">
        <v>7072</v>
      </c>
      <c r="C2279" t="s">
        <v>6550</v>
      </c>
      <c r="D2279" t="str">
        <f t="shared" si="897"/>
        <v>Capacity Building</v>
      </c>
      <c r="E2279" t="s">
        <v>7044</v>
      </c>
      <c r="F2279" t="s">
        <v>5662</v>
      </c>
      <c r="G2279" t="s">
        <v>7073</v>
      </c>
      <c r="H2279" t="s">
        <v>80</v>
      </c>
      <c r="I2279" s="32">
        <v>45076.494004629632</v>
      </c>
      <c r="J2279" s="32">
        <v>45078.494004629632</v>
      </c>
      <c r="K2279" s="32">
        <v>45080.494004629632</v>
      </c>
      <c r="L2279" s="8">
        <f t="shared" si="898"/>
        <v>4</v>
      </c>
      <c r="M2279" s="7">
        <v>45093.494004629632</v>
      </c>
      <c r="N2279" t="s">
        <v>72</v>
      </c>
      <c r="O2279" s="34" t="s">
        <v>7474</v>
      </c>
      <c r="R2279" s="32" t="s">
        <v>7472</v>
      </c>
      <c r="S2279" t="s">
        <v>7476</v>
      </c>
      <c r="T2279" s="34" t="s">
        <v>7476</v>
      </c>
      <c r="U2279" s="34" t="s">
        <v>7476</v>
      </c>
      <c r="V2279" s="32" t="s">
        <v>7476</v>
      </c>
      <c r="W2279" s="32" t="s">
        <v>7476</v>
      </c>
      <c r="X2279">
        <v>0</v>
      </c>
      <c r="Y2279" s="34" t="s">
        <v>7476</v>
      </c>
      <c r="Z2279" s="34" t="s">
        <v>7476</v>
      </c>
      <c r="AA2279" s="34" t="s">
        <v>7476</v>
      </c>
      <c r="AB2279" s="36" t="s">
        <v>7476</v>
      </c>
      <c r="AD2279" t="s">
        <v>7074</v>
      </c>
      <c r="AE2279" t="s">
        <v>7075</v>
      </c>
      <c r="AG2279" t="s">
        <v>68</v>
      </c>
      <c r="AH2279">
        <v>6</v>
      </c>
      <c r="AI2279" s="8" t="str">
        <f t="shared" si="908"/>
        <v/>
      </c>
      <c r="AJ2279" s="8" t="str">
        <f t="shared" si="909"/>
        <v/>
      </c>
      <c r="AK2279" s="38" t="str">
        <f t="shared" si="899"/>
        <v/>
      </c>
      <c r="AL2279" t="str">
        <f t="shared" si="910"/>
        <v/>
      </c>
      <c r="AM2279" t="str">
        <f t="shared" si="911"/>
        <v/>
      </c>
      <c r="AN2279" t="str">
        <f t="shared" si="912"/>
        <v/>
      </c>
      <c r="AO2279">
        <f t="shared" si="913"/>
        <v>2</v>
      </c>
      <c r="AP2279">
        <f t="shared" si="914"/>
        <v>0</v>
      </c>
      <c r="AQ2279" t="str">
        <f t="shared" si="915"/>
        <v/>
      </c>
    </row>
    <row r="2280" spans="1:43" x14ac:dyDescent="0.35">
      <c r="A2280">
        <v>809</v>
      </c>
      <c r="B2280" t="s">
        <v>7076</v>
      </c>
      <c r="C2280" t="s">
        <v>6525</v>
      </c>
      <c r="D2280" t="str">
        <f t="shared" si="897"/>
        <v>Capacity Building</v>
      </c>
      <c r="E2280" t="s">
        <v>7044</v>
      </c>
      <c r="F2280" t="s">
        <v>5662</v>
      </c>
      <c r="G2280" t="s">
        <v>7073</v>
      </c>
      <c r="H2280" t="s">
        <v>80</v>
      </c>
      <c r="I2280" s="32">
        <v>44937.903796296298</v>
      </c>
      <c r="J2280" s="32">
        <v>44939.903796296298</v>
      </c>
      <c r="K2280" s="32">
        <v>44944.903796296298</v>
      </c>
      <c r="L2280" s="8">
        <f t="shared" si="898"/>
        <v>7</v>
      </c>
      <c r="M2280" s="7">
        <v>44950.903796296298</v>
      </c>
      <c r="N2280" t="s">
        <v>49</v>
      </c>
      <c r="O2280" s="34">
        <v>44953.903796296298</v>
      </c>
      <c r="P2280" t="s">
        <v>50</v>
      </c>
      <c r="Q2280" t="s">
        <v>125</v>
      </c>
      <c r="R2280" s="32" t="s">
        <v>7472</v>
      </c>
      <c r="S2280" t="s">
        <v>7476</v>
      </c>
      <c r="T2280" s="34" t="s">
        <v>7476</v>
      </c>
      <c r="U2280" s="34" t="s">
        <v>7476</v>
      </c>
      <c r="V2280" s="32" t="s">
        <v>7476</v>
      </c>
      <c r="W2280" s="32" t="s">
        <v>7476</v>
      </c>
      <c r="X2280">
        <v>0</v>
      </c>
      <c r="Y2280" s="34" t="s">
        <v>7476</v>
      </c>
      <c r="Z2280" s="34" t="s">
        <v>7476</v>
      </c>
      <c r="AA2280" s="34" t="s">
        <v>7476</v>
      </c>
      <c r="AB2280" s="36" t="s">
        <v>52</v>
      </c>
      <c r="AD2280" t="s">
        <v>7077</v>
      </c>
      <c r="AE2280" t="s">
        <v>7078</v>
      </c>
      <c r="AF2280" s="16">
        <v>44937</v>
      </c>
      <c r="AG2280" t="s">
        <v>64</v>
      </c>
      <c r="AH2280">
        <v>3</v>
      </c>
      <c r="AI2280" s="8" t="str">
        <f t="shared" si="908"/>
        <v/>
      </c>
      <c r="AJ2280" s="8">
        <f t="shared" si="909"/>
        <v>16.903796296297514</v>
      </c>
      <c r="AK2280" s="38" t="str">
        <f t="shared" si="899"/>
        <v/>
      </c>
      <c r="AL2280" t="str">
        <f t="shared" si="910"/>
        <v/>
      </c>
      <c r="AM2280" t="str">
        <f t="shared" si="911"/>
        <v/>
      </c>
      <c r="AN2280" t="str">
        <f t="shared" si="912"/>
        <v/>
      </c>
      <c r="AO2280">
        <f t="shared" si="913"/>
        <v>2</v>
      </c>
      <c r="AP2280">
        <f t="shared" si="914"/>
        <v>0</v>
      </c>
      <c r="AQ2280" t="str">
        <f t="shared" si="915"/>
        <v/>
      </c>
    </row>
    <row r="2281" spans="1:43" x14ac:dyDescent="0.35">
      <c r="A2281">
        <v>805</v>
      </c>
      <c r="B2281" t="s">
        <v>7079</v>
      </c>
      <c r="C2281" t="s">
        <v>6531</v>
      </c>
      <c r="D2281" t="str">
        <f t="shared" si="897"/>
        <v>Capacity Building</v>
      </c>
      <c r="E2281" t="s">
        <v>7044</v>
      </c>
      <c r="F2281" t="s">
        <v>5662</v>
      </c>
      <c r="G2281" t="s">
        <v>7073</v>
      </c>
      <c r="H2281" t="s">
        <v>80</v>
      </c>
      <c r="I2281" s="32">
        <v>44940.903796296298</v>
      </c>
      <c r="J2281" s="32">
        <v>44943.903796296298</v>
      </c>
      <c r="K2281" s="32" t="s">
        <v>7473</v>
      </c>
      <c r="L2281" s="8" t="str">
        <f t="shared" si="898"/>
        <v/>
      </c>
      <c r="M2281" s="7">
        <v>44953.903796296298</v>
      </c>
      <c r="N2281" t="s">
        <v>72</v>
      </c>
      <c r="O2281" s="34" t="s">
        <v>7474</v>
      </c>
      <c r="R2281" s="32" t="s">
        <v>7472</v>
      </c>
      <c r="S2281" t="s">
        <v>7476</v>
      </c>
      <c r="T2281" s="34" t="s">
        <v>7476</v>
      </c>
      <c r="U2281" s="34" t="s">
        <v>7476</v>
      </c>
      <c r="V2281" s="32" t="s">
        <v>7476</v>
      </c>
      <c r="W2281" s="32" t="s">
        <v>7476</v>
      </c>
      <c r="X2281">
        <v>0</v>
      </c>
      <c r="Y2281" s="34" t="s">
        <v>7476</v>
      </c>
      <c r="Z2281" s="34" t="s">
        <v>7476</v>
      </c>
      <c r="AA2281" s="34" t="s">
        <v>7476</v>
      </c>
      <c r="AB2281" s="36" t="s">
        <v>7476</v>
      </c>
      <c r="AD2281" t="s">
        <v>7080</v>
      </c>
      <c r="AE2281" t="s">
        <v>7081</v>
      </c>
      <c r="AG2281" t="s">
        <v>55</v>
      </c>
      <c r="AH2281">
        <v>3</v>
      </c>
      <c r="AK2281" s="38" t="str">
        <f t="shared" si="899"/>
        <v/>
      </c>
    </row>
    <row r="2282" spans="1:43" x14ac:dyDescent="0.35">
      <c r="A2282">
        <v>801</v>
      </c>
      <c r="B2282" t="s">
        <v>7082</v>
      </c>
      <c r="C2282" t="s">
        <v>6550</v>
      </c>
      <c r="D2282" t="str">
        <f t="shared" si="897"/>
        <v>Capacity Building</v>
      </c>
      <c r="E2282" t="s">
        <v>7044</v>
      </c>
      <c r="F2282" t="s">
        <v>5662</v>
      </c>
      <c r="G2282" t="s">
        <v>7073</v>
      </c>
      <c r="H2282" t="s">
        <v>80</v>
      </c>
      <c r="I2282" s="32">
        <v>44940.903796296298</v>
      </c>
      <c r="J2282" s="32">
        <v>44942.903796296298</v>
      </c>
      <c r="K2282" s="32">
        <v>44944.903796296298</v>
      </c>
      <c r="L2282" s="8">
        <f t="shared" si="898"/>
        <v>4</v>
      </c>
      <c r="M2282" s="7">
        <v>44968.903796296298</v>
      </c>
      <c r="N2282" t="s">
        <v>49</v>
      </c>
      <c r="O2282" s="34">
        <v>44952.903796296298</v>
      </c>
      <c r="P2282" t="s">
        <v>60</v>
      </c>
      <c r="R2282" s="32">
        <v>44958.903796296298</v>
      </c>
      <c r="S2282" t="s">
        <v>61</v>
      </c>
      <c r="T2282" s="34" t="s">
        <v>7476</v>
      </c>
      <c r="U2282" s="34" t="s">
        <v>7476</v>
      </c>
      <c r="V2282" s="32">
        <v>44955.903796296298</v>
      </c>
      <c r="W2282" s="32" t="s">
        <v>7476</v>
      </c>
      <c r="X2282">
        <v>0</v>
      </c>
      <c r="Y2282" s="34" t="s">
        <v>7476</v>
      </c>
      <c r="Z2282" s="34" t="s">
        <v>7476</v>
      </c>
      <c r="AA2282" s="34" t="s">
        <v>7476</v>
      </c>
      <c r="AB2282" s="36" t="s">
        <v>7476</v>
      </c>
      <c r="AD2282" t="s">
        <v>7083</v>
      </c>
      <c r="AE2282" t="s">
        <v>7084</v>
      </c>
      <c r="AF2282" s="16">
        <v>44943</v>
      </c>
      <c r="AG2282" t="s">
        <v>68</v>
      </c>
      <c r="AH2282">
        <v>3</v>
      </c>
      <c r="AI2282" s="8">
        <f>IFERROR(R2282-AF2282,"")</f>
        <v>15.903796296297514</v>
      </c>
      <c r="AJ2282" s="8">
        <f>IFERROR(O2282-AF2282,"")</f>
        <v>9.9037962962975143</v>
      </c>
      <c r="AK2282" s="38">
        <f t="shared" si="899"/>
        <v>45045.903796296298</v>
      </c>
      <c r="AL2282" t="str">
        <f>IFERROR(Z2282-W2282,"")</f>
        <v/>
      </c>
      <c r="AM2282">
        <f>IFERROR(R2282-J2282,"")</f>
        <v>16</v>
      </c>
      <c r="AN2282">
        <f>IFERROR(V2282-O2282,"")</f>
        <v>3</v>
      </c>
      <c r="AO2282">
        <f>IFERROR(J2282-I2282,"")</f>
        <v>2</v>
      </c>
      <c r="AP2282">
        <f>IFERROR(AC2282-X2282,"")</f>
        <v>0</v>
      </c>
      <c r="AQ2282" t="str">
        <f>IFERROR(AA2282-W2282,"")</f>
        <v/>
      </c>
    </row>
    <row r="2283" spans="1:43" x14ac:dyDescent="0.35">
      <c r="A2283">
        <v>777</v>
      </c>
      <c r="B2283" t="s">
        <v>7085</v>
      </c>
      <c r="C2283" t="s">
        <v>6531</v>
      </c>
      <c r="D2283" t="str">
        <f t="shared" si="897"/>
        <v>Capacity Building</v>
      </c>
      <c r="E2283" t="s">
        <v>7044</v>
      </c>
      <c r="F2283" t="s">
        <v>5662</v>
      </c>
      <c r="G2283" t="s">
        <v>7073</v>
      </c>
      <c r="H2283" t="s">
        <v>80</v>
      </c>
      <c r="I2283" s="32">
        <v>45006.397060185183</v>
      </c>
      <c r="J2283" s="32">
        <v>45010.397060185183</v>
      </c>
      <c r="K2283" s="32">
        <v>45012.397060185183</v>
      </c>
      <c r="L2283" s="8">
        <f t="shared" si="898"/>
        <v>6</v>
      </c>
      <c r="M2283" s="7">
        <v>45041.397060185183</v>
      </c>
      <c r="N2283" t="s">
        <v>49</v>
      </c>
      <c r="O2283" s="34">
        <v>45020.397060185183</v>
      </c>
      <c r="P2283" t="s">
        <v>101</v>
      </c>
      <c r="R2283" s="32">
        <v>45027.397060185183</v>
      </c>
      <c r="S2283" t="s">
        <v>101</v>
      </c>
      <c r="T2283" s="34">
        <v>45021.397060185183</v>
      </c>
      <c r="U2283" s="34">
        <v>45023.397060185183</v>
      </c>
      <c r="V2283" s="32">
        <v>45023.397060185183</v>
      </c>
      <c r="W2283" s="32">
        <v>45028.397060185183</v>
      </c>
      <c r="X2283">
        <v>1</v>
      </c>
      <c r="Y2283" s="34">
        <v>45031.397060185183</v>
      </c>
      <c r="Z2283" s="34">
        <v>45033.397060185183</v>
      </c>
      <c r="AA2283" s="34">
        <v>45034.397060185183</v>
      </c>
      <c r="AB2283" s="36" t="s">
        <v>7476</v>
      </c>
      <c r="AC2283" s="10">
        <v>45056.397060185183</v>
      </c>
      <c r="AD2283" t="s">
        <v>7086</v>
      </c>
      <c r="AE2283" t="s">
        <v>7087</v>
      </c>
      <c r="AF2283" s="16">
        <v>45008</v>
      </c>
      <c r="AG2283" t="s">
        <v>68</v>
      </c>
      <c r="AH2283">
        <v>6</v>
      </c>
      <c r="AI2283" s="8">
        <f>IFERROR(R2283-AF2283,"")</f>
        <v>19.397060185183364</v>
      </c>
      <c r="AJ2283" s="8">
        <f>IFERROR(O2283-AF2283,"")</f>
        <v>12.397060185183364</v>
      </c>
      <c r="AK2283" s="38">
        <f t="shared" si="899"/>
        <v>45203.397060185183</v>
      </c>
      <c r="AL2283">
        <f>IFERROR(Z2283-W2283,"")</f>
        <v>5</v>
      </c>
      <c r="AM2283">
        <f>IFERROR(R2283-J2283,"")</f>
        <v>17</v>
      </c>
      <c r="AN2283">
        <f>IFERROR(V2283-O2283,"")</f>
        <v>3</v>
      </c>
      <c r="AO2283">
        <f>IFERROR(J2283-I2283,"")</f>
        <v>4</v>
      </c>
      <c r="AP2283">
        <f>IFERROR(AC2283-X2283,"")</f>
        <v>45055.397060185183</v>
      </c>
      <c r="AQ2283">
        <f>IFERROR(AA2283-W2283,"")</f>
        <v>6</v>
      </c>
    </row>
    <row r="2284" spans="1:43" x14ac:dyDescent="0.35">
      <c r="A2284">
        <v>776</v>
      </c>
      <c r="B2284" t="s">
        <v>7088</v>
      </c>
      <c r="C2284" t="s">
        <v>6531</v>
      </c>
      <c r="D2284" t="str">
        <f t="shared" si="897"/>
        <v>Capacity Building</v>
      </c>
      <c r="E2284" t="s">
        <v>7044</v>
      </c>
      <c r="F2284" t="s">
        <v>5662</v>
      </c>
      <c r="G2284" t="s">
        <v>7073</v>
      </c>
      <c r="H2284" t="s">
        <v>80</v>
      </c>
      <c r="I2284" s="32" t="s">
        <v>7471</v>
      </c>
      <c r="J2284" s="32">
        <v>45007.397060185183</v>
      </c>
      <c r="K2284" s="32">
        <v>45012.397060185183</v>
      </c>
      <c r="L2284" s="8" t="str">
        <f t="shared" si="898"/>
        <v/>
      </c>
      <c r="M2284" s="7">
        <v>45040.397060185183</v>
      </c>
      <c r="N2284" t="s">
        <v>49</v>
      </c>
      <c r="O2284" s="34">
        <v>45027.397060185183</v>
      </c>
      <c r="P2284" t="s">
        <v>60</v>
      </c>
      <c r="R2284" s="32">
        <v>45030.397060185183</v>
      </c>
      <c r="S2284" t="s">
        <v>61</v>
      </c>
      <c r="T2284" s="34" t="s">
        <v>7476</v>
      </c>
      <c r="U2284" s="34" t="s">
        <v>7476</v>
      </c>
      <c r="V2284" s="32">
        <v>45028.397060185183</v>
      </c>
      <c r="W2284" s="32" t="s">
        <v>7476</v>
      </c>
      <c r="X2284">
        <v>0</v>
      </c>
      <c r="Y2284" s="34" t="s">
        <v>7476</v>
      </c>
      <c r="Z2284" s="34" t="s">
        <v>7476</v>
      </c>
      <c r="AA2284" s="34" t="s">
        <v>7476</v>
      </c>
      <c r="AB2284" s="36" t="s">
        <v>7476</v>
      </c>
      <c r="AD2284" t="s">
        <v>7089</v>
      </c>
      <c r="AE2284" t="s">
        <v>7090</v>
      </c>
      <c r="AF2284" s="16">
        <v>45015</v>
      </c>
      <c r="AG2284" t="s">
        <v>68</v>
      </c>
      <c r="AH2284">
        <v>6</v>
      </c>
      <c r="AK2284" s="38">
        <f t="shared" si="899"/>
        <v>45208.397060185183</v>
      </c>
    </row>
    <row r="2285" spans="1:43" x14ac:dyDescent="0.35">
      <c r="A2285">
        <v>670</v>
      </c>
      <c r="B2285" t="s">
        <v>7091</v>
      </c>
      <c r="C2285" t="s">
        <v>6531</v>
      </c>
      <c r="D2285" t="str">
        <f t="shared" si="897"/>
        <v>Capacity Building</v>
      </c>
      <c r="E2285" t="s">
        <v>7044</v>
      </c>
      <c r="F2285" t="s">
        <v>5662</v>
      </c>
      <c r="G2285" t="s">
        <v>7073</v>
      </c>
      <c r="H2285" t="s">
        <v>80</v>
      </c>
      <c r="I2285" s="32">
        <v>44570.204074074078</v>
      </c>
      <c r="J2285" s="32">
        <v>44572.204074074078</v>
      </c>
      <c r="K2285" s="32">
        <v>44576.204074074078</v>
      </c>
      <c r="L2285" s="8">
        <f t="shared" si="898"/>
        <v>6</v>
      </c>
      <c r="M2285" s="7">
        <v>44601.204074074078</v>
      </c>
      <c r="N2285" t="s">
        <v>49</v>
      </c>
      <c r="O2285" s="34">
        <v>44591.204074074078</v>
      </c>
      <c r="P2285" t="s">
        <v>50</v>
      </c>
      <c r="Q2285" t="s">
        <v>236</v>
      </c>
      <c r="R2285" s="32" t="s">
        <v>7472</v>
      </c>
      <c r="S2285" t="s">
        <v>7476</v>
      </c>
      <c r="T2285" s="34" t="s">
        <v>7476</v>
      </c>
      <c r="U2285" s="34" t="s">
        <v>7476</v>
      </c>
      <c r="V2285" s="32" t="s">
        <v>7476</v>
      </c>
      <c r="W2285" s="32" t="s">
        <v>7476</v>
      </c>
      <c r="X2285">
        <v>0</v>
      </c>
      <c r="Y2285" s="34" t="s">
        <v>7476</v>
      </c>
      <c r="Z2285" s="34" t="s">
        <v>7476</v>
      </c>
      <c r="AA2285" s="34" t="s">
        <v>7476</v>
      </c>
      <c r="AB2285" s="36" t="s">
        <v>95</v>
      </c>
      <c r="AD2285" t="s">
        <v>7092</v>
      </c>
      <c r="AE2285" t="s">
        <v>7093</v>
      </c>
      <c r="AF2285" s="16">
        <v>44576</v>
      </c>
      <c r="AG2285" t="s">
        <v>68</v>
      </c>
      <c r="AH2285">
        <v>6</v>
      </c>
      <c r="AI2285" s="8" t="str">
        <f>IFERROR(R2285-AF2285,"")</f>
        <v/>
      </c>
      <c r="AJ2285" s="8">
        <f>IFERROR(O2285-AF2285,"")</f>
        <v>15.204074074077653</v>
      </c>
      <c r="AK2285" s="38" t="str">
        <f t="shared" si="899"/>
        <v/>
      </c>
      <c r="AL2285" t="str">
        <f>IFERROR(Z2285-W2285,"")</f>
        <v/>
      </c>
      <c r="AM2285" t="str">
        <f>IFERROR(R2285-J2285,"")</f>
        <v/>
      </c>
      <c r="AN2285" t="str">
        <f>IFERROR(V2285-O2285,"")</f>
        <v/>
      </c>
      <c r="AO2285">
        <f>IFERROR(J2285-I2285,"")</f>
        <v>2</v>
      </c>
      <c r="AP2285">
        <f>IFERROR(AC2285-X2285,"")</f>
        <v>0</v>
      </c>
      <c r="AQ2285" t="str">
        <f>IFERROR(AA2285-W2285,"")</f>
        <v/>
      </c>
    </row>
    <row r="2286" spans="1:43" x14ac:dyDescent="0.35">
      <c r="A2286">
        <v>663</v>
      </c>
      <c r="B2286" t="s">
        <v>7094</v>
      </c>
      <c r="C2286" t="s">
        <v>6525</v>
      </c>
      <c r="D2286" t="str">
        <f t="shared" si="897"/>
        <v>Capacity Building</v>
      </c>
      <c r="E2286" t="s">
        <v>7044</v>
      </c>
      <c r="F2286" t="s">
        <v>5662</v>
      </c>
      <c r="G2286" t="s">
        <v>7073</v>
      </c>
      <c r="H2286" t="s">
        <v>80</v>
      </c>
      <c r="I2286" s="32">
        <v>44568.204074074078</v>
      </c>
      <c r="J2286" s="32" t="s">
        <v>7471</v>
      </c>
      <c r="K2286" s="32">
        <v>44576.204074074078</v>
      </c>
      <c r="L2286" s="8">
        <f t="shared" si="898"/>
        <v>8</v>
      </c>
      <c r="M2286" s="7">
        <v>44590.204074074078</v>
      </c>
      <c r="N2286" t="s">
        <v>49</v>
      </c>
      <c r="O2286" s="34">
        <v>44589.204074074078</v>
      </c>
      <c r="P2286" t="s">
        <v>50</v>
      </c>
      <c r="Q2286" t="s">
        <v>84</v>
      </c>
      <c r="R2286" s="32" t="s">
        <v>7472</v>
      </c>
      <c r="S2286" t="s">
        <v>7476</v>
      </c>
      <c r="T2286" s="34" t="s">
        <v>7476</v>
      </c>
      <c r="U2286" s="34" t="s">
        <v>7476</v>
      </c>
      <c r="V2286" s="32" t="s">
        <v>7476</v>
      </c>
      <c r="W2286" s="32" t="s">
        <v>7476</v>
      </c>
      <c r="X2286">
        <v>0</v>
      </c>
      <c r="Y2286" s="34" t="s">
        <v>7476</v>
      </c>
      <c r="Z2286" s="34" t="s">
        <v>7476</v>
      </c>
      <c r="AA2286" s="34" t="s">
        <v>7476</v>
      </c>
      <c r="AB2286" s="36" t="s">
        <v>52</v>
      </c>
      <c r="AD2286" t="s">
        <v>7095</v>
      </c>
      <c r="AE2286" t="s">
        <v>7096</v>
      </c>
      <c r="AF2286" s="16">
        <v>44582</v>
      </c>
      <c r="AG2286" t="s">
        <v>64</v>
      </c>
      <c r="AH2286">
        <v>6</v>
      </c>
      <c r="AK2286" s="38" t="str">
        <f t="shared" si="899"/>
        <v/>
      </c>
    </row>
    <row r="2287" spans="1:43" x14ac:dyDescent="0.35">
      <c r="A2287">
        <v>662</v>
      </c>
      <c r="B2287" t="s">
        <v>7097</v>
      </c>
      <c r="C2287" t="s">
        <v>6525</v>
      </c>
      <c r="D2287" t="str">
        <f t="shared" si="897"/>
        <v>Capacity Building</v>
      </c>
      <c r="E2287" t="s">
        <v>7044</v>
      </c>
      <c r="F2287" t="s">
        <v>5662</v>
      </c>
      <c r="G2287" t="s">
        <v>7073</v>
      </c>
      <c r="H2287" t="s">
        <v>80</v>
      </c>
      <c r="I2287" s="32">
        <v>44566.204074074078</v>
      </c>
      <c r="J2287" s="32">
        <v>44570.204074074078</v>
      </c>
      <c r="K2287" s="32">
        <v>44576.204074074078</v>
      </c>
      <c r="L2287" s="8">
        <f t="shared" si="898"/>
        <v>10</v>
      </c>
      <c r="M2287" s="7">
        <v>44586.204074074078</v>
      </c>
      <c r="N2287" t="s">
        <v>49</v>
      </c>
      <c r="O2287" s="34">
        <v>44582.204074074078</v>
      </c>
      <c r="P2287" t="s">
        <v>101</v>
      </c>
      <c r="R2287" s="32">
        <v>44587.204074074078</v>
      </c>
      <c r="S2287" t="s">
        <v>101</v>
      </c>
      <c r="T2287" s="34">
        <v>44584.204074074078</v>
      </c>
      <c r="U2287" s="34">
        <v>44587.204074074078</v>
      </c>
      <c r="V2287" s="32">
        <v>44586.204074074078</v>
      </c>
      <c r="W2287" s="32">
        <v>44587.204074074078</v>
      </c>
      <c r="X2287">
        <v>1</v>
      </c>
      <c r="Y2287" s="34">
        <v>44589.204074074078</v>
      </c>
      <c r="Z2287" s="34">
        <v>44590.204074074078</v>
      </c>
      <c r="AA2287" s="34">
        <v>44591.204074074078</v>
      </c>
      <c r="AB2287" s="36" t="s">
        <v>7476</v>
      </c>
      <c r="AC2287" s="10">
        <v>44605.204074074078</v>
      </c>
      <c r="AD2287" t="s">
        <v>7098</v>
      </c>
      <c r="AE2287" t="s">
        <v>7099</v>
      </c>
      <c r="AF2287" s="16">
        <v>44576</v>
      </c>
      <c r="AG2287" t="s">
        <v>98</v>
      </c>
      <c r="AH2287">
        <v>6</v>
      </c>
      <c r="AI2287" s="8">
        <f t="shared" ref="AI2287:AI2293" si="916">IFERROR(R2287-AF2287,"")</f>
        <v>11.204074074077653</v>
      </c>
      <c r="AJ2287" s="8">
        <f t="shared" ref="AJ2287:AJ2293" si="917">IFERROR(O2287-AF2287,"")</f>
        <v>6.2040740740776528</v>
      </c>
      <c r="AK2287" s="38">
        <f t="shared" si="899"/>
        <v>44766.204074074078</v>
      </c>
      <c r="AL2287">
        <f t="shared" ref="AL2287:AL2293" si="918">IFERROR(Z2287-W2287,"")</f>
        <v>3</v>
      </c>
      <c r="AM2287">
        <f t="shared" ref="AM2287:AM2293" si="919">IFERROR(R2287-J2287,"")</f>
        <v>17</v>
      </c>
      <c r="AN2287">
        <f t="shared" ref="AN2287:AN2293" si="920">IFERROR(V2287-O2287,"")</f>
        <v>4</v>
      </c>
      <c r="AO2287">
        <f t="shared" ref="AO2287:AO2293" si="921">IFERROR(J2287-I2287,"")</f>
        <v>4</v>
      </c>
      <c r="AP2287">
        <f t="shared" ref="AP2287:AP2293" si="922">IFERROR(AC2287-X2287,"")</f>
        <v>44604.204074074078</v>
      </c>
      <c r="AQ2287">
        <f t="shared" ref="AQ2287:AQ2293" si="923">IFERROR(AA2287-W2287,"")</f>
        <v>4</v>
      </c>
    </row>
    <row r="2288" spans="1:43" x14ac:dyDescent="0.35">
      <c r="A2288">
        <v>628</v>
      </c>
      <c r="B2288" t="s">
        <v>7100</v>
      </c>
      <c r="C2288" t="s">
        <v>6531</v>
      </c>
      <c r="D2288" t="str">
        <f t="shared" si="897"/>
        <v>Capacity Building</v>
      </c>
      <c r="E2288" t="s">
        <v>7044</v>
      </c>
      <c r="F2288" t="s">
        <v>5662</v>
      </c>
      <c r="G2288" t="s">
        <v>7073</v>
      </c>
      <c r="H2288" t="s">
        <v>80</v>
      </c>
      <c r="I2288" s="32">
        <v>44994.828541666669</v>
      </c>
      <c r="J2288" s="32">
        <v>44998.828541666669</v>
      </c>
      <c r="K2288" s="32">
        <v>45000.828541666669</v>
      </c>
      <c r="L2288" s="8">
        <f t="shared" si="898"/>
        <v>6</v>
      </c>
      <c r="M2288" s="7">
        <v>45021.828541666669</v>
      </c>
      <c r="N2288" t="s">
        <v>49</v>
      </c>
      <c r="O2288" s="34">
        <v>45006.828541666669</v>
      </c>
      <c r="P2288" t="s">
        <v>50</v>
      </c>
      <c r="Q2288" t="s">
        <v>51</v>
      </c>
      <c r="R2288" s="32" t="s">
        <v>7472</v>
      </c>
      <c r="S2288" t="s">
        <v>7476</v>
      </c>
      <c r="T2288" s="34" t="s">
        <v>7476</v>
      </c>
      <c r="U2288" s="34" t="s">
        <v>7476</v>
      </c>
      <c r="V2288" s="32">
        <v>45009.828541666669</v>
      </c>
      <c r="W2288" s="32" t="s">
        <v>7476</v>
      </c>
      <c r="X2288">
        <v>0</v>
      </c>
      <c r="Y2288" s="34" t="s">
        <v>7476</v>
      </c>
      <c r="Z2288" s="34" t="s">
        <v>7476</v>
      </c>
      <c r="AA2288" s="34" t="s">
        <v>7476</v>
      </c>
      <c r="AB2288" s="36" t="s">
        <v>52</v>
      </c>
      <c r="AD2288" t="s">
        <v>7101</v>
      </c>
      <c r="AE2288" t="s">
        <v>7102</v>
      </c>
      <c r="AF2288" s="16">
        <v>44997</v>
      </c>
      <c r="AG2288" t="s">
        <v>64</v>
      </c>
      <c r="AH2288">
        <v>6</v>
      </c>
      <c r="AI2288" s="8" t="str">
        <f t="shared" si="916"/>
        <v/>
      </c>
      <c r="AJ2288" s="8">
        <f t="shared" si="917"/>
        <v>9.82854166666948</v>
      </c>
      <c r="AK2288" s="38">
        <f t="shared" si="899"/>
        <v>45189.828541666669</v>
      </c>
      <c r="AL2288" t="str">
        <f t="shared" si="918"/>
        <v/>
      </c>
      <c r="AM2288" t="str">
        <f t="shared" si="919"/>
        <v/>
      </c>
      <c r="AN2288">
        <f t="shared" si="920"/>
        <v>3</v>
      </c>
      <c r="AO2288">
        <f t="shared" si="921"/>
        <v>4</v>
      </c>
      <c r="AP2288">
        <f t="shared" si="922"/>
        <v>0</v>
      </c>
      <c r="AQ2288" t="str">
        <f t="shared" si="923"/>
        <v/>
      </c>
    </row>
    <row r="2289" spans="1:43" x14ac:dyDescent="0.35">
      <c r="A2289">
        <v>538</v>
      </c>
      <c r="B2289" t="s">
        <v>7103</v>
      </c>
      <c r="C2289" t="s">
        <v>6531</v>
      </c>
      <c r="D2289" t="str">
        <f t="shared" si="897"/>
        <v>Capacity Building</v>
      </c>
      <c r="E2289" t="s">
        <v>7044</v>
      </c>
      <c r="F2289" t="s">
        <v>5662</v>
      </c>
      <c r="G2289" t="s">
        <v>7073</v>
      </c>
      <c r="H2289" t="s">
        <v>80</v>
      </c>
      <c r="I2289" s="32">
        <v>44570.271180555559</v>
      </c>
      <c r="J2289" s="32">
        <v>44574.271180555559</v>
      </c>
      <c r="K2289" s="32">
        <v>44578.271180555559</v>
      </c>
      <c r="L2289" s="8">
        <f t="shared" si="898"/>
        <v>8</v>
      </c>
      <c r="M2289" s="7">
        <v>44606.271180555559</v>
      </c>
      <c r="N2289" t="s">
        <v>49</v>
      </c>
      <c r="O2289" s="34">
        <v>44584.271180555559</v>
      </c>
      <c r="P2289" t="s">
        <v>50</v>
      </c>
      <c r="Q2289" t="s">
        <v>84</v>
      </c>
      <c r="R2289" s="32" t="s">
        <v>7472</v>
      </c>
      <c r="S2289" t="s">
        <v>7476</v>
      </c>
      <c r="T2289" s="34" t="s">
        <v>7476</v>
      </c>
      <c r="U2289" s="34" t="s">
        <v>7476</v>
      </c>
      <c r="V2289" s="32">
        <v>44587.271180555559</v>
      </c>
      <c r="W2289" s="32" t="s">
        <v>7476</v>
      </c>
      <c r="X2289">
        <v>0</v>
      </c>
      <c r="Y2289" s="34" t="s">
        <v>7476</v>
      </c>
      <c r="Z2289" s="34" t="s">
        <v>7476</v>
      </c>
      <c r="AA2289" s="34" t="s">
        <v>7476</v>
      </c>
      <c r="AB2289" s="36" t="s">
        <v>52</v>
      </c>
      <c r="AD2289" t="s">
        <v>7104</v>
      </c>
      <c r="AE2289" t="s">
        <v>7105</v>
      </c>
      <c r="AF2289" s="16">
        <v>44576</v>
      </c>
      <c r="AG2289" t="s">
        <v>98</v>
      </c>
      <c r="AH2289">
        <v>6</v>
      </c>
      <c r="AI2289" s="8" t="str">
        <f t="shared" si="916"/>
        <v/>
      </c>
      <c r="AJ2289" s="8">
        <f t="shared" si="917"/>
        <v>8.2711805555591127</v>
      </c>
      <c r="AK2289" s="38">
        <f t="shared" si="899"/>
        <v>44767.271180555559</v>
      </c>
      <c r="AL2289" t="str">
        <f t="shared" si="918"/>
        <v/>
      </c>
      <c r="AM2289" t="str">
        <f t="shared" si="919"/>
        <v/>
      </c>
      <c r="AN2289">
        <f t="shared" si="920"/>
        <v>3</v>
      </c>
      <c r="AO2289">
        <f t="shared" si="921"/>
        <v>4</v>
      </c>
      <c r="AP2289">
        <f t="shared" si="922"/>
        <v>0</v>
      </c>
      <c r="AQ2289" t="str">
        <f t="shared" si="923"/>
        <v/>
      </c>
    </row>
    <row r="2290" spans="1:43" x14ac:dyDescent="0.35">
      <c r="A2290">
        <v>537</v>
      </c>
      <c r="B2290" t="s">
        <v>7106</v>
      </c>
      <c r="C2290" t="s">
        <v>6531</v>
      </c>
      <c r="D2290" t="str">
        <f t="shared" si="897"/>
        <v>Capacity Building</v>
      </c>
      <c r="E2290" t="s">
        <v>7044</v>
      </c>
      <c r="F2290" t="s">
        <v>5662</v>
      </c>
      <c r="G2290" t="s">
        <v>7073</v>
      </c>
      <c r="H2290" t="s">
        <v>80</v>
      </c>
      <c r="I2290" s="32">
        <v>44573.271180555559</v>
      </c>
      <c r="J2290" s="32">
        <v>44576.271180555559</v>
      </c>
      <c r="K2290" s="32">
        <v>44578.271180555559</v>
      </c>
      <c r="L2290" s="8">
        <f t="shared" si="898"/>
        <v>5</v>
      </c>
      <c r="M2290" s="7">
        <v>44591.271180555559</v>
      </c>
      <c r="N2290" t="s">
        <v>49</v>
      </c>
      <c r="O2290" s="34">
        <v>44582.271180555559</v>
      </c>
      <c r="P2290" t="s">
        <v>50</v>
      </c>
      <c r="Q2290" t="s">
        <v>84</v>
      </c>
      <c r="R2290" s="32" t="s">
        <v>7472</v>
      </c>
      <c r="S2290" t="s">
        <v>7476</v>
      </c>
      <c r="T2290" s="34" t="s">
        <v>7476</v>
      </c>
      <c r="U2290" s="34" t="s">
        <v>7476</v>
      </c>
      <c r="V2290" s="32">
        <v>44585.271180555559</v>
      </c>
      <c r="W2290" s="32" t="s">
        <v>7476</v>
      </c>
      <c r="X2290">
        <v>0</v>
      </c>
      <c r="Y2290" s="34" t="s">
        <v>7476</v>
      </c>
      <c r="Z2290" s="34" t="s">
        <v>7476</v>
      </c>
      <c r="AA2290" s="34" t="s">
        <v>7476</v>
      </c>
      <c r="AB2290" s="36" t="s">
        <v>95</v>
      </c>
      <c r="AD2290" t="s">
        <v>7107</v>
      </c>
      <c r="AE2290" t="s">
        <v>7108</v>
      </c>
      <c r="AF2290" s="16">
        <v>44564</v>
      </c>
      <c r="AG2290" t="s">
        <v>98</v>
      </c>
      <c r="AH2290">
        <v>3</v>
      </c>
      <c r="AI2290" s="8" t="str">
        <f t="shared" si="916"/>
        <v/>
      </c>
      <c r="AJ2290" s="8">
        <f t="shared" si="917"/>
        <v>18.271180555559113</v>
      </c>
      <c r="AK2290" s="38">
        <f t="shared" si="899"/>
        <v>44675.271180555559</v>
      </c>
      <c r="AL2290" t="str">
        <f t="shared" si="918"/>
        <v/>
      </c>
      <c r="AM2290" t="str">
        <f t="shared" si="919"/>
        <v/>
      </c>
      <c r="AN2290">
        <f t="shared" si="920"/>
        <v>3</v>
      </c>
      <c r="AO2290">
        <f t="shared" si="921"/>
        <v>3</v>
      </c>
      <c r="AP2290">
        <f t="shared" si="922"/>
        <v>0</v>
      </c>
      <c r="AQ2290" t="str">
        <f t="shared" si="923"/>
        <v/>
      </c>
    </row>
    <row r="2291" spans="1:43" x14ac:dyDescent="0.35">
      <c r="A2291">
        <v>426</v>
      </c>
      <c r="B2291" t="s">
        <v>7109</v>
      </c>
      <c r="C2291" t="s">
        <v>6525</v>
      </c>
      <c r="D2291" t="str">
        <f t="shared" si="897"/>
        <v>Capacity Building</v>
      </c>
      <c r="E2291" t="s">
        <v>7044</v>
      </c>
      <c r="F2291" t="s">
        <v>5662</v>
      </c>
      <c r="G2291" t="s">
        <v>7073</v>
      </c>
      <c r="H2291" t="s">
        <v>80</v>
      </c>
      <c r="I2291" s="32">
        <v>44983.544421296298</v>
      </c>
      <c r="J2291" s="32">
        <v>44984.544421296298</v>
      </c>
      <c r="K2291" s="32">
        <v>44987.544421296298</v>
      </c>
      <c r="L2291" s="8">
        <f t="shared" si="898"/>
        <v>4</v>
      </c>
      <c r="M2291" s="7">
        <v>45011.544421296298</v>
      </c>
      <c r="N2291" t="s">
        <v>49</v>
      </c>
      <c r="O2291" s="34">
        <v>44991.544421296298</v>
      </c>
      <c r="P2291" t="s">
        <v>60</v>
      </c>
      <c r="R2291" s="32">
        <v>44994.544421296298</v>
      </c>
      <c r="S2291" t="s">
        <v>61</v>
      </c>
      <c r="T2291" s="34" t="s">
        <v>7476</v>
      </c>
      <c r="U2291" s="34" t="s">
        <v>7476</v>
      </c>
      <c r="V2291" s="32">
        <v>44992.544421296298</v>
      </c>
      <c r="W2291" s="32" t="s">
        <v>7476</v>
      </c>
      <c r="X2291">
        <v>0</v>
      </c>
      <c r="Y2291" s="34" t="s">
        <v>7476</v>
      </c>
      <c r="Z2291" s="34" t="s">
        <v>7476</v>
      </c>
      <c r="AA2291" s="34" t="s">
        <v>7476</v>
      </c>
      <c r="AB2291" s="36" t="s">
        <v>7476</v>
      </c>
      <c r="AD2291" t="s">
        <v>7110</v>
      </c>
      <c r="AE2291" t="s">
        <v>7111</v>
      </c>
      <c r="AF2291" s="16">
        <v>44976</v>
      </c>
      <c r="AG2291" t="s">
        <v>98</v>
      </c>
      <c r="AH2291">
        <v>3</v>
      </c>
      <c r="AI2291" s="8">
        <f t="shared" si="916"/>
        <v>18.544421296297514</v>
      </c>
      <c r="AJ2291" s="8">
        <f t="shared" si="917"/>
        <v>15.544421296297514</v>
      </c>
      <c r="AK2291" s="38">
        <f t="shared" si="899"/>
        <v>45082.544421296298</v>
      </c>
      <c r="AL2291" t="str">
        <f t="shared" si="918"/>
        <v/>
      </c>
      <c r="AM2291">
        <f t="shared" si="919"/>
        <v>10</v>
      </c>
      <c r="AN2291">
        <f t="shared" si="920"/>
        <v>1</v>
      </c>
      <c r="AO2291">
        <f t="shared" si="921"/>
        <v>1</v>
      </c>
      <c r="AP2291">
        <f t="shared" si="922"/>
        <v>0</v>
      </c>
      <c r="AQ2291" t="str">
        <f t="shared" si="923"/>
        <v/>
      </c>
    </row>
    <row r="2292" spans="1:43" x14ac:dyDescent="0.35">
      <c r="A2292">
        <v>424</v>
      </c>
      <c r="B2292" t="s">
        <v>7112</v>
      </c>
      <c r="C2292" t="s">
        <v>6525</v>
      </c>
      <c r="D2292" t="str">
        <f t="shared" si="897"/>
        <v>Capacity Building</v>
      </c>
      <c r="E2292" t="s">
        <v>7044</v>
      </c>
      <c r="F2292" t="s">
        <v>5662</v>
      </c>
      <c r="G2292" t="s">
        <v>7073</v>
      </c>
      <c r="H2292" t="s">
        <v>80</v>
      </c>
      <c r="I2292" s="32">
        <v>44981.544421296298</v>
      </c>
      <c r="J2292" s="32">
        <v>44984.544421296298</v>
      </c>
      <c r="K2292" s="32">
        <v>44987.544421296298</v>
      </c>
      <c r="L2292" s="8">
        <f t="shared" si="898"/>
        <v>6</v>
      </c>
      <c r="M2292" s="7">
        <v>45017.544421296298</v>
      </c>
      <c r="N2292" t="s">
        <v>72</v>
      </c>
      <c r="O2292" s="34" t="s">
        <v>7474</v>
      </c>
      <c r="R2292" s="32" t="s">
        <v>7472</v>
      </c>
      <c r="S2292" t="s">
        <v>7476</v>
      </c>
      <c r="T2292" s="34" t="s">
        <v>7476</v>
      </c>
      <c r="U2292" s="34" t="s">
        <v>7476</v>
      </c>
      <c r="V2292" s="32" t="s">
        <v>7476</v>
      </c>
      <c r="W2292" s="32" t="s">
        <v>7476</v>
      </c>
      <c r="X2292">
        <v>0</v>
      </c>
      <c r="Y2292" s="34" t="s">
        <v>7476</v>
      </c>
      <c r="Z2292" s="34" t="s">
        <v>7476</v>
      </c>
      <c r="AA2292" s="34" t="s">
        <v>7476</v>
      </c>
      <c r="AB2292" s="36" t="s">
        <v>7476</v>
      </c>
      <c r="AD2292" t="s">
        <v>7113</v>
      </c>
      <c r="AE2292" t="s">
        <v>7114</v>
      </c>
      <c r="AG2292" t="s">
        <v>64</v>
      </c>
      <c r="AH2292">
        <v>6</v>
      </c>
      <c r="AI2292" s="8" t="str">
        <f t="shared" si="916"/>
        <v/>
      </c>
      <c r="AJ2292" s="8" t="str">
        <f t="shared" si="917"/>
        <v/>
      </c>
      <c r="AK2292" s="38" t="str">
        <f t="shared" si="899"/>
        <v/>
      </c>
      <c r="AL2292" t="str">
        <f t="shared" si="918"/>
        <v/>
      </c>
      <c r="AM2292" t="str">
        <f t="shared" si="919"/>
        <v/>
      </c>
      <c r="AN2292" t="str">
        <f t="shared" si="920"/>
        <v/>
      </c>
      <c r="AO2292">
        <f t="shared" si="921"/>
        <v>3</v>
      </c>
      <c r="AP2292">
        <f t="shared" si="922"/>
        <v>0</v>
      </c>
      <c r="AQ2292" t="str">
        <f t="shared" si="923"/>
        <v/>
      </c>
    </row>
    <row r="2293" spans="1:43" x14ac:dyDescent="0.35">
      <c r="A2293">
        <v>420</v>
      </c>
      <c r="B2293" t="s">
        <v>7115</v>
      </c>
      <c r="C2293" t="s">
        <v>6531</v>
      </c>
      <c r="D2293" t="str">
        <f t="shared" si="897"/>
        <v>Capacity Building</v>
      </c>
      <c r="E2293" t="s">
        <v>7044</v>
      </c>
      <c r="F2293" t="s">
        <v>5662</v>
      </c>
      <c r="G2293" t="s">
        <v>7073</v>
      </c>
      <c r="H2293" t="s">
        <v>80</v>
      </c>
      <c r="I2293" s="32">
        <v>45095.637766203698</v>
      </c>
      <c r="J2293" s="32">
        <v>45097.637766203698</v>
      </c>
      <c r="K2293" s="32">
        <v>45100.637766203698</v>
      </c>
      <c r="L2293" s="8">
        <f t="shared" si="898"/>
        <v>5</v>
      </c>
      <c r="M2293" s="7">
        <v>45107.637766203698</v>
      </c>
      <c r="N2293" t="s">
        <v>49</v>
      </c>
      <c r="O2293" s="34">
        <v>45106.637766203698</v>
      </c>
      <c r="P2293" t="s">
        <v>60</v>
      </c>
      <c r="R2293" s="32">
        <v>45114.637766203698</v>
      </c>
      <c r="S2293" t="s">
        <v>61</v>
      </c>
      <c r="T2293" s="34" t="s">
        <v>7476</v>
      </c>
      <c r="U2293" s="34" t="s">
        <v>7476</v>
      </c>
      <c r="V2293" s="32">
        <v>45110.637766203698</v>
      </c>
      <c r="W2293" s="32" t="s">
        <v>7476</v>
      </c>
      <c r="X2293">
        <v>0</v>
      </c>
      <c r="Y2293" s="34" t="s">
        <v>7476</v>
      </c>
      <c r="Z2293" s="34" t="s">
        <v>7476</v>
      </c>
      <c r="AA2293" s="34" t="s">
        <v>7476</v>
      </c>
      <c r="AB2293" s="36" t="s">
        <v>7476</v>
      </c>
      <c r="AD2293" t="s">
        <v>7116</v>
      </c>
      <c r="AE2293" t="s">
        <v>7117</v>
      </c>
      <c r="AF2293" s="16">
        <v>45088</v>
      </c>
      <c r="AG2293" t="s">
        <v>98</v>
      </c>
      <c r="AH2293">
        <v>3</v>
      </c>
      <c r="AI2293" s="8">
        <f t="shared" si="916"/>
        <v>26.637766203697538</v>
      </c>
      <c r="AJ2293" s="8">
        <f t="shared" si="917"/>
        <v>18.637766203697538</v>
      </c>
      <c r="AK2293" s="38">
        <f t="shared" si="899"/>
        <v>45200.637766203698</v>
      </c>
      <c r="AL2293" t="str">
        <f t="shared" si="918"/>
        <v/>
      </c>
      <c r="AM2293">
        <f t="shared" si="919"/>
        <v>17</v>
      </c>
      <c r="AN2293">
        <f t="shared" si="920"/>
        <v>4</v>
      </c>
      <c r="AO2293">
        <f t="shared" si="921"/>
        <v>2</v>
      </c>
      <c r="AP2293">
        <f t="shared" si="922"/>
        <v>0</v>
      </c>
      <c r="AQ2293" t="str">
        <f t="shared" si="923"/>
        <v/>
      </c>
    </row>
    <row r="2294" spans="1:43" x14ac:dyDescent="0.35">
      <c r="A2294">
        <v>417</v>
      </c>
      <c r="B2294" t="s">
        <v>7118</v>
      </c>
      <c r="C2294" t="s">
        <v>6531</v>
      </c>
      <c r="D2294" t="str">
        <f t="shared" si="897"/>
        <v>Capacity Building</v>
      </c>
      <c r="E2294" t="s">
        <v>7044</v>
      </c>
      <c r="F2294" t="s">
        <v>5662</v>
      </c>
      <c r="G2294" t="s">
        <v>7073</v>
      </c>
      <c r="H2294" t="s">
        <v>80</v>
      </c>
      <c r="I2294" s="32" t="s">
        <v>7471</v>
      </c>
      <c r="J2294" s="32">
        <v>45098.637766203698</v>
      </c>
      <c r="K2294" s="32">
        <v>45100.637766203698</v>
      </c>
      <c r="L2294" s="8" t="str">
        <f t="shared" si="898"/>
        <v/>
      </c>
      <c r="M2294" s="7">
        <v>45112.637766203698</v>
      </c>
      <c r="N2294" t="s">
        <v>49</v>
      </c>
      <c r="O2294" s="34">
        <v>45111.637766203698</v>
      </c>
      <c r="P2294" t="s">
        <v>60</v>
      </c>
      <c r="R2294" s="32">
        <v>45116.637766203698</v>
      </c>
      <c r="S2294" t="s">
        <v>61</v>
      </c>
      <c r="T2294" s="34" t="s">
        <v>7476</v>
      </c>
      <c r="U2294" s="34" t="s">
        <v>7476</v>
      </c>
      <c r="V2294" s="32">
        <v>45112.637766203698</v>
      </c>
      <c r="W2294" s="32" t="s">
        <v>7476</v>
      </c>
      <c r="X2294">
        <v>0</v>
      </c>
      <c r="Y2294" s="34" t="s">
        <v>7476</v>
      </c>
      <c r="Z2294" s="34" t="s">
        <v>7476</v>
      </c>
      <c r="AA2294" s="34" t="s">
        <v>7476</v>
      </c>
      <c r="AB2294" s="36" t="s">
        <v>7476</v>
      </c>
      <c r="AD2294" t="s">
        <v>7119</v>
      </c>
      <c r="AE2294" t="s">
        <v>7120</v>
      </c>
      <c r="AF2294" s="16">
        <v>45106</v>
      </c>
      <c r="AG2294" t="s">
        <v>68</v>
      </c>
      <c r="AH2294">
        <v>6</v>
      </c>
      <c r="AK2294" s="38">
        <f t="shared" si="899"/>
        <v>45292.637766203698</v>
      </c>
    </row>
    <row r="2295" spans="1:43" x14ac:dyDescent="0.35">
      <c r="A2295">
        <v>414</v>
      </c>
      <c r="B2295" t="s">
        <v>7121</v>
      </c>
      <c r="C2295" t="s">
        <v>6531</v>
      </c>
      <c r="D2295" t="str">
        <f t="shared" si="897"/>
        <v>Capacity Building</v>
      </c>
      <c r="E2295" t="s">
        <v>7044</v>
      </c>
      <c r="F2295" t="s">
        <v>5662</v>
      </c>
      <c r="G2295" t="s">
        <v>7073</v>
      </c>
      <c r="H2295" t="s">
        <v>80</v>
      </c>
      <c r="I2295" s="32">
        <v>45094.637766203698</v>
      </c>
      <c r="J2295" s="32">
        <v>45098.637766203698</v>
      </c>
      <c r="K2295" s="32" t="s">
        <v>7473</v>
      </c>
      <c r="L2295" s="8" t="str">
        <f t="shared" si="898"/>
        <v/>
      </c>
      <c r="M2295" s="7">
        <v>45119.637766203698</v>
      </c>
      <c r="N2295" t="s">
        <v>72</v>
      </c>
      <c r="O2295" s="34" t="s">
        <v>7474</v>
      </c>
      <c r="R2295" s="32" t="s">
        <v>7472</v>
      </c>
      <c r="S2295" t="s">
        <v>7476</v>
      </c>
      <c r="T2295" s="34" t="s">
        <v>7476</v>
      </c>
      <c r="U2295" s="34" t="s">
        <v>7476</v>
      </c>
      <c r="V2295" s="32" t="s">
        <v>7476</v>
      </c>
      <c r="W2295" s="32" t="s">
        <v>7476</v>
      </c>
      <c r="X2295">
        <v>0</v>
      </c>
      <c r="Y2295" s="34" t="s">
        <v>7476</v>
      </c>
      <c r="Z2295" s="34" t="s">
        <v>7476</v>
      </c>
      <c r="AA2295" s="34" t="s">
        <v>7476</v>
      </c>
      <c r="AB2295" s="36" t="s">
        <v>7476</v>
      </c>
      <c r="AD2295" t="s">
        <v>7122</v>
      </c>
      <c r="AE2295" t="s">
        <v>7123</v>
      </c>
      <c r="AG2295" t="s">
        <v>93</v>
      </c>
      <c r="AH2295">
        <v>6</v>
      </c>
      <c r="AK2295" s="38" t="str">
        <f t="shared" si="899"/>
        <v/>
      </c>
    </row>
    <row r="2296" spans="1:43" x14ac:dyDescent="0.35">
      <c r="A2296">
        <v>268</v>
      </c>
      <c r="B2296" t="s">
        <v>7124</v>
      </c>
      <c r="C2296" t="s">
        <v>6525</v>
      </c>
      <c r="D2296" t="str">
        <f t="shared" si="897"/>
        <v>Capacity Building</v>
      </c>
      <c r="E2296" t="s">
        <v>7044</v>
      </c>
      <c r="F2296" t="s">
        <v>5662</v>
      </c>
      <c r="G2296" t="s">
        <v>7073</v>
      </c>
      <c r="H2296" t="s">
        <v>80</v>
      </c>
      <c r="I2296" s="32">
        <v>44767.282581018517</v>
      </c>
      <c r="J2296" s="32">
        <v>44769.282581018517</v>
      </c>
      <c r="K2296" s="32">
        <v>44770.282581018517</v>
      </c>
      <c r="L2296" s="8">
        <f t="shared" si="898"/>
        <v>3</v>
      </c>
      <c r="M2296" s="7">
        <v>44787.282581018517</v>
      </c>
      <c r="N2296" t="s">
        <v>72</v>
      </c>
      <c r="O2296" s="34" t="s">
        <v>7474</v>
      </c>
      <c r="R2296" s="32" t="s">
        <v>7472</v>
      </c>
      <c r="S2296" t="s">
        <v>7476</v>
      </c>
      <c r="T2296" s="34" t="s">
        <v>7476</v>
      </c>
      <c r="U2296" s="34" t="s">
        <v>7476</v>
      </c>
      <c r="V2296" s="32" t="s">
        <v>7476</v>
      </c>
      <c r="W2296" s="32" t="s">
        <v>7476</v>
      </c>
      <c r="X2296">
        <v>0</v>
      </c>
      <c r="Y2296" s="34" t="s">
        <v>7476</v>
      </c>
      <c r="Z2296" s="34" t="s">
        <v>7476</v>
      </c>
      <c r="AA2296" s="34" t="s">
        <v>7476</v>
      </c>
      <c r="AB2296" s="36" t="s">
        <v>7476</v>
      </c>
      <c r="AD2296" t="s">
        <v>7125</v>
      </c>
      <c r="AE2296" t="s">
        <v>7126</v>
      </c>
      <c r="AG2296" t="s">
        <v>64</v>
      </c>
      <c r="AH2296">
        <v>6</v>
      </c>
      <c r="AI2296" s="8" t="str">
        <f t="shared" ref="AI2296:AI2301" si="924">IFERROR(R2296-AF2296,"")</f>
        <v/>
      </c>
      <c r="AJ2296" s="8" t="str">
        <f t="shared" ref="AJ2296:AJ2301" si="925">IFERROR(O2296-AF2296,"")</f>
        <v/>
      </c>
      <c r="AK2296" s="38" t="str">
        <f t="shared" si="899"/>
        <v/>
      </c>
      <c r="AL2296" t="str">
        <f t="shared" ref="AL2296:AL2301" si="926">IFERROR(Z2296-W2296,"")</f>
        <v/>
      </c>
      <c r="AM2296" t="str">
        <f t="shared" ref="AM2296:AM2301" si="927">IFERROR(R2296-J2296,"")</f>
        <v/>
      </c>
      <c r="AN2296" t="str">
        <f t="shared" ref="AN2296:AN2301" si="928">IFERROR(V2296-O2296,"")</f>
        <v/>
      </c>
      <c r="AO2296">
        <f t="shared" ref="AO2296:AO2301" si="929">IFERROR(J2296-I2296,"")</f>
        <v>2</v>
      </c>
      <c r="AP2296">
        <f t="shared" ref="AP2296:AP2301" si="930">IFERROR(AC2296-X2296,"")</f>
        <v>0</v>
      </c>
      <c r="AQ2296" t="str">
        <f t="shared" ref="AQ2296:AQ2301" si="931">IFERROR(AA2296-W2296,"")</f>
        <v/>
      </c>
    </row>
    <row r="2297" spans="1:43" x14ac:dyDescent="0.35">
      <c r="A2297">
        <v>262</v>
      </c>
      <c r="B2297" t="s">
        <v>7127</v>
      </c>
      <c r="C2297" t="s">
        <v>6525</v>
      </c>
      <c r="D2297" t="str">
        <f t="shared" si="897"/>
        <v>Capacity Building</v>
      </c>
      <c r="E2297" t="s">
        <v>7044</v>
      </c>
      <c r="F2297" t="s">
        <v>5662</v>
      </c>
      <c r="G2297" t="s">
        <v>7073</v>
      </c>
      <c r="H2297" t="s">
        <v>80</v>
      </c>
      <c r="I2297" s="32">
        <v>44763.282581018517</v>
      </c>
      <c r="J2297" s="32">
        <v>44764.282581018517</v>
      </c>
      <c r="K2297" s="32">
        <v>44770.282581018517</v>
      </c>
      <c r="L2297" s="8">
        <f t="shared" si="898"/>
        <v>7</v>
      </c>
      <c r="M2297" s="7">
        <v>44788.282581018517</v>
      </c>
      <c r="N2297" t="s">
        <v>49</v>
      </c>
      <c r="O2297" s="34">
        <v>44773.282581018517</v>
      </c>
      <c r="P2297" t="s">
        <v>50</v>
      </c>
      <c r="Q2297" t="s">
        <v>84</v>
      </c>
      <c r="R2297" s="32" t="s">
        <v>7472</v>
      </c>
      <c r="S2297" t="s">
        <v>7476</v>
      </c>
      <c r="T2297" s="34" t="s">
        <v>7476</v>
      </c>
      <c r="U2297" s="34" t="s">
        <v>7476</v>
      </c>
      <c r="V2297" s="32">
        <v>44775.282581018517</v>
      </c>
      <c r="W2297" s="32" t="s">
        <v>7476</v>
      </c>
      <c r="X2297">
        <v>0</v>
      </c>
      <c r="Y2297" s="34" t="s">
        <v>7476</v>
      </c>
      <c r="Z2297" s="34" t="s">
        <v>7476</v>
      </c>
      <c r="AA2297" s="34" t="s">
        <v>7476</v>
      </c>
      <c r="AB2297" s="36" t="s">
        <v>52</v>
      </c>
      <c r="AD2297" t="s">
        <v>7128</v>
      </c>
      <c r="AE2297" t="s">
        <v>7129</v>
      </c>
      <c r="AF2297" s="16">
        <v>44761</v>
      </c>
      <c r="AG2297" t="s">
        <v>64</v>
      </c>
      <c r="AH2297">
        <v>6</v>
      </c>
      <c r="AI2297" s="8" t="str">
        <f t="shared" si="924"/>
        <v/>
      </c>
      <c r="AJ2297" s="8">
        <f t="shared" si="925"/>
        <v>12.282581018516794</v>
      </c>
      <c r="AK2297" s="38">
        <f t="shared" si="899"/>
        <v>44955.282581018517</v>
      </c>
      <c r="AL2297" t="str">
        <f t="shared" si="926"/>
        <v/>
      </c>
      <c r="AM2297" t="str">
        <f t="shared" si="927"/>
        <v/>
      </c>
      <c r="AN2297">
        <f t="shared" si="928"/>
        <v>2</v>
      </c>
      <c r="AO2297">
        <f t="shared" si="929"/>
        <v>1</v>
      </c>
      <c r="AP2297">
        <f t="shared" si="930"/>
        <v>0</v>
      </c>
      <c r="AQ2297" t="str">
        <f t="shared" si="931"/>
        <v/>
      </c>
    </row>
    <row r="2298" spans="1:43" x14ac:dyDescent="0.35">
      <c r="A2298">
        <v>257</v>
      </c>
      <c r="B2298" t="s">
        <v>7130</v>
      </c>
      <c r="C2298" t="s">
        <v>6525</v>
      </c>
      <c r="D2298" t="str">
        <f t="shared" si="897"/>
        <v>Capacity Building</v>
      </c>
      <c r="E2298" t="s">
        <v>7044</v>
      </c>
      <c r="F2298" t="s">
        <v>5662</v>
      </c>
      <c r="G2298" t="s">
        <v>7073</v>
      </c>
      <c r="H2298" t="s">
        <v>80</v>
      </c>
      <c r="I2298" s="32">
        <v>44705.632962962962</v>
      </c>
      <c r="J2298" s="32">
        <v>44708.632962962962</v>
      </c>
      <c r="K2298" s="32">
        <v>44713.632962962962</v>
      </c>
      <c r="L2298" s="8">
        <f t="shared" si="898"/>
        <v>8</v>
      </c>
      <c r="M2298" s="7">
        <v>44740.632962962962</v>
      </c>
      <c r="N2298" t="s">
        <v>49</v>
      </c>
      <c r="O2298" s="34">
        <v>44728.632962962962</v>
      </c>
      <c r="P2298" t="s">
        <v>50</v>
      </c>
      <c r="Q2298" t="s">
        <v>198</v>
      </c>
      <c r="R2298" s="32" t="s">
        <v>7472</v>
      </c>
      <c r="S2298" t="s">
        <v>7476</v>
      </c>
      <c r="T2298" s="34" t="s">
        <v>7476</v>
      </c>
      <c r="U2298" s="34" t="s">
        <v>7476</v>
      </c>
      <c r="V2298" s="32">
        <v>44732.632962962962</v>
      </c>
      <c r="W2298" s="32" t="s">
        <v>7476</v>
      </c>
      <c r="X2298">
        <v>0</v>
      </c>
      <c r="Y2298" s="34" t="s">
        <v>7476</v>
      </c>
      <c r="Z2298" s="34" t="s">
        <v>7476</v>
      </c>
      <c r="AA2298" s="34" t="s">
        <v>7476</v>
      </c>
      <c r="AB2298" s="36" t="s">
        <v>95</v>
      </c>
      <c r="AD2298" t="s">
        <v>7131</v>
      </c>
      <c r="AE2298" t="s">
        <v>7132</v>
      </c>
      <c r="AF2298" s="16">
        <v>44718</v>
      </c>
      <c r="AG2298" t="s">
        <v>98</v>
      </c>
      <c r="AH2298">
        <v>6</v>
      </c>
      <c r="AI2298" s="8" t="str">
        <f t="shared" si="924"/>
        <v/>
      </c>
      <c r="AJ2298" s="8">
        <f t="shared" si="925"/>
        <v>10.632962962961756</v>
      </c>
      <c r="AK2298" s="38">
        <f t="shared" si="899"/>
        <v>44912.632962962962</v>
      </c>
      <c r="AL2298" t="str">
        <f t="shared" si="926"/>
        <v/>
      </c>
      <c r="AM2298" t="str">
        <f t="shared" si="927"/>
        <v/>
      </c>
      <c r="AN2298">
        <f t="shared" si="928"/>
        <v>4</v>
      </c>
      <c r="AO2298">
        <f t="shared" si="929"/>
        <v>3</v>
      </c>
      <c r="AP2298">
        <f t="shared" si="930"/>
        <v>0</v>
      </c>
      <c r="AQ2298" t="str">
        <f t="shared" si="931"/>
        <v/>
      </c>
    </row>
    <row r="2299" spans="1:43" x14ac:dyDescent="0.35">
      <c r="A2299">
        <v>239</v>
      </c>
      <c r="B2299" t="s">
        <v>7133</v>
      </c>
      <c r="C2299" t="s">
        <v>6550</v>
      </c>
      <c r="D2299" t="str">
        <f t="shared" si="897"/>
        <v>Capacity Building</v>
      </c>
      <c r="E2299" t="s">
        <v>7044</v>
      </c>
      <c r="F2299" t="s">
        <v>5662</v>
      </c>
      <c r="G2299" t="s">
        <v>7073</v>
      </c>
      <c r="H2299" t="s">
        <v>80</v>
      </c>
      <c r="I2299" s="32">
        <v>44594.810960648138</v>
      </c>
      <c r="J2299" s="32">
        <v>44598.810960648138</v>
      </c>
      <c r="K2299" s="32">
        <v>44603.810960648138</v>
      </c>
      <c r="L2299" s="8">
        <f t="shared" si="898"/>
        <v>9</v>
      </c>
      <c r="M2299" s="7">
        <v>44793.810960648138</v>
      </c>
      <c r="N2299" t="s">
        <v>72</v>
      </c>
      <c r="O2299" s="34" t="s">
        <v>7474</v>
      </c>
      <c r="R2299" s="32" t="s">
        <v>7472</v>
      </c>
      <c r="S2299" t="s">
        <v>7476</v>
      </c>
      <c r="T2299" s="34" t="s">
        <v>7476</v>
      </c>
      <c r="U2299" s="34" t="s">
        <v>7476</v>
      </c>
      <c r="V2299" s="32" t="s">
        <v>7476</v>
      </c>
      <c r="W2299" s="32" t="s">
        <v>7476</v>
      </c>
      <c r="X2299">
        <v>0</v>
      </c>
      <c r="Y2299" s="34" t="s">
        <v>7476</v>
      </c>
      <c r="Z2299" s="34" t="s">
        <v>7476</v>
      </c>
      <c r="AA2299" s="34" t="s">
        <v>7476</v>
      </c>
      <c r="AB2299" s="36" t="s">
        <v>7476</v>
      </c>
      <c r="AD2299" t="s">
        <v>7134</v>
      </c>
      <c r="AE2299" t="s">
        <v>7135</v>
      </c>
      <c r="AG2299" t="s">
        <v>98</v>
      </c>
      <c r="AH2299">
        <v>3</v>
      </c>
      <c r="AI2299" s="8" t="str">
        <f t="shared" si="924"/>
        <v/>
      </c>
      <c r="AJ2299" s="8" t="str">
        <f t="shared" si="925"/>
        <v/>
      </c>
      <c r="AK2299" s="38" t="str">
        <f t="shared" si="899"/>
        <v/>
      </c>
      <c r="AL2299" t="str">
        <f t="shared" si="926"/>
        <v/>
      </c>
      <c r="AM2299" t="str">
        <f t="shared" si="927"/>
        <v/>
      </c>
      <c r="AN2299" t="str">
        <f t="shared" si="928"/>
        <v/>
      </c>
      <c r="AO2299">
        <f t="shared" si="929"/>
        <v>4</v>
      </c>
      <c r="AP2299">
        <f t="shared" si="930"/>
        <v>0</v>
      </c>
      <c r="AQ2299" t="str">
        <f t="shared" si="931"/>
        <v/>
      </c>
    </row>
    <row r="2300" spans="1:43" x14ac:dyDescent="0.35">
      <c r="A2300">
        <v>237</v>
      </c>
      <c r="B2300" t="s">
        <v>7136</v>
      </c>
      <c r="C2300" t="s">
        <v>6550</v>
      </c>
      <c r="D2300" t="str">
        <f t="shared" si="897"/>
        <v>Capacity Building</v>
      </c>
      <c r="E2300" t="s">
        <v>7044</v>
      </c>
      <c r="F2300" t="s">
        <v>5662</v>
      </c>
      <c r="G2300" t="s">
        <v>7073</v>
      </c>
      <c r="H2300" t="s">
        <v>80</v>
      </c>
      <c r="I2300" s="32">
        <v>44596.810960648138</v>
      </c>
      <c r="J2300" s="32">
        <v>44599.810960648138</v>
      </c>
      <c r="K2300" s="32">
        <v>44603.810960648138</v>
      </c>
      <c r="L2300" s="8">
        <f t="shared" si="898"/>
        <v>7</v>
      </c>
      <c r="M2300" s="7">
        <v>44793.810960648138</v>
      </c>
      <c r="N2300" t="s">
        <v>49</v>
      </c>
      <c r="O2300" s="34">
        <v>44615.810960648138</v>
      </c>
      <c r="P2300" t="s">
        <v>101</v>
      </c>
      <c r="R2300" s="32">
        <v>44619.810960648138</v>
      </c>
      <c r="S2300" t="s">
        <v>101</v>
      </c>
      <c r="T2300" s="34">
        <v>44617.810960648138</v>
      </c>
      <c r="U2300" s="34">
        <v>44620.810960648138</v>
      </c>
      <c r="V2300" s="32">
        <v>44617.810960648138</v>
      </c>
      <c r="W2300" s="32">
        <v>44618.810960648138</v>
      </c>
      <c r="X2300">
        <v>1</v>
      </c>
      <c r="Y2300" s="34">
        <v>44620.810960648138</v>
      </c>
      <c r="Z2300" s="34">
        <v>44622.810960648138</v>
      </c>
      <c r="AA2300" s="34">
        <v>44625.810960648138</v>
      </c>
      <c r="AB2300" s="36" t="s">
        <v>7476</v>
      </c>
      <c r="AC2300" s="10">
        <v>44644.810960648138</v>
      </c>
      <c r="AD2300" t="s">
        <v>7137</v>
      </c>
      <c r="AE2300" t="s">
        <v>7138</v>
      </c>
      <c r="AF2300" s="16">
        <v>44596</v>
      </c>
      <c r="AG2300" t="s">
        <v>64</v>
      </c>
      <c r="AH2300">
        <v>3</v>
      </c>
      <c r="AI2300" s="8">
        <f t="shared" si="924"/>
        <v>23.810960648137552</v>
      </c>
      <c r="AJ2300" s="8">
        <f t="shared" si="925"/>
        <v>19.810960648137552</v>
      </c>
      <c r="AK2300" s="38">
        <f t="shared" si="899"/>
        <v>44707.810960648138</v>
      </c>
      <c r="AL2300">
        <f t="shared" si="926"/>
        <v>4</v>
      </c>
      <c r="AM2300">
        <f t="shared" si="927"/>
        <v>20</v>
      </c>
      <c r="AN2300">
        <f t="shared" si="928"/>
        <v>2</v>
      </c>
      <c r="AO2300">
        <f t="shared" si="929"/>
        <v>3</v>
      </c>
      <c r="AP2300">
        <f t="shared" si="930"/>
        <v>44643.810960648138</v>
      </c>
      <c r="AQ2300">
        <f t="shared" si="931"/>
        <v>7</v>
      </c>
    </row>
    <row r="2301" spans="1:43" x14ac:dyDescent="0.35">
      <c r="A2301">
        <v>229</v>
      </c>
      <c r="B2301" t="s">
        <v>7139</v>
      </c>
      <c r="C2301" t="s">
        <v>6525</v>
      </c>
      <c r="D2301" t="str">
        <f t="shared" si="897"/>
        <v>Capacity Building</v>
      </c>
      <c r="E2301" t="s">
        <v>7044</v>
      </c>
      <c r="F2301" t="s">
        <v>5662</v>
      </c>
      <c r="G2301" t="s">
        <v>7073</v>
      </c>
      <c r="H2301" t="s">
        <v>80</v>
      </c>
      <c r="I2301" s="32">
        <v>44738.447731481479</v>
      </c>
      <c r="J2301" s="32">
        <v>44741.447731481479</v>
      </c>
      <c r="K2301" s="32">
        <v>44744.447731481479</v>
      </c>
      <c r="L2301" s="8">
        <f t="shared" si="898"/>
        <v>6</v>
      </c>
      <c r="M2301" s="7">
        <v>44934.447731481479</v>
      </c>
      <c r="N2301" t="s">
        <v>49</v>
      </c>
      <c r="O2301" s="34">
        <v>44745.447731481479</v>
      </c>
      <c r="P2301" t="s">
        <v>50</v>
      </c>
      <c r="Q2301" t="s">
        <v>236</v>
      </c>
      <c r="R2301" s="32" t="s">
        <v>7472</v>
      </c>
      <c r="S2301" t="s">
        <v>7476</v>
      </c>
      <c r="T2301" s="34" t="s">
        <v>7476</v>
      </c>
      <c r="U2301" s="34" t="s">
        <v>7476</v>
      </c>
      <c r="V2301" s="32" t="s">
        <v>7476</v>
      </c>
      <c r="W2301" s="32" t="s">
        <v>7476</v>
      </c>
      <c r="X2301">
        <v>0</v>
      </c>
      <c r="Y2301" s="34" t="s">
        <v>7476</v>
      </c>
      <c r="Z2301" s="34" t="s">
        <v>7476</v>
      </c>
      <c r="AA2301" s="34" t="s">
        <v>7476</v>
      </c>
      <c r="AB2301" s="36" t="s">
        <v>52</v>
      </c>
      <c r="AD2301" t="s">
        <v>7140</v>
      </c>
      <c r="AE2301" t="s">
        <v>7141</v>
      </c>
      <c r="AF2301" s="16">
        <v>44740</v>
      </c>
      <c r="AG2301" t="s">
        <v>98</v>
      </c>
      <c r="AH2301">
        <v>3</v>
      </c>
      <c r="AI2301" s="8" t="str">
        <f t="shared" si="924"/>
        <v/>
      </c>
      <c r="AJ2301" s="8">
        <f t="shared" si="925"/>
        <v>5.4477314814794227</v>
      </c>
      <c r="AK2301" s="38" t="str">
        <f t="shared" si="899"/>
        <v/>
      </c>
      <c r="AL2301" t="str">
        <f t="shared" si="926"/>
        <v/>
      </c>
      <c r="AM2301" t="str">
        <f t="shared" si="927"/>
        <v/>
      </c>
      <c r="AN2301" t="str">
        <f t="shared" si="928"/>
        <v/>
      </c>
      <c r="AO2301">
        <f t="shared" si="929"/>
        <v>3</v>
      </c>
      <c r="AP2301">
        <f t="shared" si="930"/>
        <v>0</v>
      </c>
      <c r="AQ2301" t="str">
        <f t="shared" si="931"/>
        <v/>
      </c>
    </row>
    <row r="2302" spans="1:43" x14ac:dyDescent="0.35">
      <c r="A2302">
        <v>222</v>
      </c>
      <c r="B2302" t="s">
        <v>7142</v>
      </c>
      <c r="C2302" t="s">
        <v>6525</v>
      </c>
      <c r="D2302" t="str">
        <f t="shared" si="897"/>
        <v>Capacity Building</v>
      </c>
      <c r="E2302" t="s">
        <v>7044</v>
      </c>
      <c r="F2302" t="s">
        <v>5662</v>
      </c>
      <c r="G2302" t="s">
        <v>7073</v>
      </c>
      <c r="H2302" t="s">
        <v>80</v>
      </c>
      <c r="I2302" s="32">
        <v>44739.447731481479</v>
      </c>
      <c r="J2302" s="32" t="s">
        <v>7471</v>
      </c>
      <c r="K2302" s="32">
        <v>44744.447731481479</v>
      </c>
      <c r="L2302" s="8">
        <f t="shared" si="898"/>
        <v>5</v>
      </c>
      <c r="M2302" s="7">
        <v>44934.447731481479</v>
      </c>
      <c r="N2302" t="s">
        <v>72</v>
      </c>
      <c r="O2302" s="34" t="s">
        <v>7474</v>
      </c>
      <c r="R2302" s="32" t="s">
        <v>7472</v>
      </c>
      <c r="S2302" t="s">
        <v>7476</v>
      </c>
      <c r="T2302" s="34" t="s">
        <v>7476</v>
      </c>
      <c r="U2302" s="34" t="s">
        <v>7476</v>
      </c>
      <c r="V2302" s="32" t="s">
        <v>7476</v>
      </c>
      <c r="W2302" s="32" t="s">
        <v>7476</v>
      </c>
      <c r="X2302">
        <v>0</v>
      </c>
      <c r="Y2302" s="34" t="s">
        <v>7476</v>
      </c>
      <c r="Z2302" s="34" t="s">
        <v>7476</v>
      </c>
      <c r="AA2302" s="34" t="s">
        <v>7476</v>
      </c>
      <c r="AB2302" s="36" t="s">
        <v>7476</v>
      </c>
      <c r="AD2302" t="s">
        <v>7143</v>
      </c>
      <c r="AE2302" t="s">
        <v>7144</v>
      </c>
      <c r="AG2302" t="s">
        <v>98</v>
      </c>
      <c r="AH2302">
        <v>3</v>
      </c>
      <c r="AK2302" s="38" t="str">
        <f t="shared" si="899"/>
        <v/>
      </c>
    </row>
    <row r="2303" spans="1:43" x14ac:dyDescent="0.35">
      <c r="A2303">
        <v>159</v>
      </c>
      <c r="B2303" t="s">
        <v>7145</v>
      </c>
      <c r="C2303" t="s">
        <v>6525</v>
      </c>
      <c r="D2303" t="str">
        <f t="shared" si="897"/>
        <v>Capacity Building</v>
      </c>
      <c r="E2303" t="s">
        <v>7044</v>
      </c>
      <c r="F2303" t="s">
        <v>5662</v>
      </c>
      <c r="G2303" t="s">
        <v>7073</v>
      </c>
      <c r="H2303" t="s">
        <v>80</v>
      </c>
      <c r="I2303" s="32">
        <v>44934.64434027778</v>
      </c>
      <c r="J2303" s="32">
        <v>44935.64434027778</v>
      </c>
      <c r="K2303" s="32">
        <v>44938.64434027778</v>
      </c>
      <c r="L2303" s="8">
        <f t="shared" si="898"/>
        <v>4</v>
      </c>
      <c r="M2303" s="7">
        <v>45128.64434027778</v>
      </c>
      <c r="N2303" t="s">
        <v>72</v>
      </c>
      <c r="O2303" s="34" t="s">
        <v>7474</v>
      </c>
      <c r="R2303" s="32" t="s">
        <v>7472</v>
      </c>
      <c r="S2303" t="s">
        <v>7476</v>
      </c>
      <c r="T2303" s="34" t="s">
        <v>7476</v>
      </c>
      <c r="U2303" s="34" t="s">
        <v>7476</v>
      </c>
      <c r="V2303" s="32" t="s">
        <v>7476</v>
      </c>
      <c r="W2303" s="32" t="s">
        <v>7476</v>
      </c>
      <c r="X2303">
        <v>0</v>
      </c>
      <c r="Y2303" s="34" t="s">
        <v>7476</v>
      </c>
      <c r="Z2303" s="34" t="s">
        <v>7476</v>
      </c>
      <c r="AA2303" s="34" t="s">
        <v>7476</v>
      </c>
      <c r="AB2303" s="36" t="s">
        <v>7476</v>
      </c>
      <c r="AD2303" t="s">
        <v>7146</v>
      </c>
      <c r="AE2303" t="s">
        <v>7147</v>
      </c>
      <c r="AG2303" t="s">
        <v>68</v>
      </c>
      <c r="AH2303">
        <v>3</v>
      </c>
      <c r="AI2303" s="8" t="str">
        <f>IFERROR(R2303-AF2303,"")</f>
        <v/>
      </c>
      <c r="AJ2303" s="8" t="str">
        <f>IFERROR(O2303-AF2303,"")</f>
        <v/>
      </c>
      <c r="AK2303" s="38" t="str">
        <f t="shared" si="899"/>
        <v/>
      </c>
      <c r="AL2303" t="str">
        <f>IFERROR(Z2303-W2303,"")</f>
        <v/>
      </c>
      <c r="AM2303" t="str">
        <f>IFERROR(R2303-J2303,"")</f>
        <v/>
      </c>
      <c r="AN2303" t="str">
        <f>IFERROR(V2303-O2303,"")</f>
        <v/>
      </c>
      <c r="AO2303">
        <f>IFERROR(J2303-I2303,"")</f>
        <v>1</v>
      </c>
      <c r="AP2303">
        <f>IFERROR(AC2303-X2303,"")</f>
        <v>0</v>
      </c>
      <c r="AQ2303" t="str">
        <f>IFERROR(AA2303-W2303,"")</f>
        <v/>
      </c>
    </row>
    <row r="2304" spans="1:43" x14ac:dyDescent="0.35">
      <c r="A2304">
        <v>156</v>
      </c>
      <c r="B2304" t="s">
        <v>7148</v>
      </c>
      <c r="C2304" t="s">
        <v>6525</v>
      </c>
      <c r="D2304" t="str">
        <f t="shared" si="897"/>
        <v>Capacity Building</v>
      </c>
      <c r="E2304" t="s">
        <v>7044</v>
      </c>
      <c r="F2304" t="s">
        <v>5662</v>
      </c>
      <c r="G2304" t="s">
        <v>7073</v>
      </c>
      <c r="H2304" t="s">
        <v>80</v>
      </c>
      <c r="I2304" s="32">
        <v>44931.64434027778</v>
      </c>
      <c r="J2304" s="32" t="s">
        <v>7471</v>
      </c>
      <c r="K2304" s="32">
        <v>44938.64434027778</v>
      </c>
      <c r="L2304" s="8">
        <f t="shared" si="898"/>
        <v>7</v>
      </c>
      <c r="M2304" s="7">
        <v>45128.64434027778</v>
      </c>
      <c r="N2304" t="s">
        <v>49</v>
      </c>
      <c r="O2304" s="34">
        <v>44951.64434027778</v>
      </c>
      <c r="P2304" t="s">
        <v>101</v>
      </c>
      <c r="R2304" s="32">
        <v>44956.64434027778</v>
      </c>
      <c r="S2304" t="s">
        <v>101</v>
      </c>
      <c r="T2304" s="34">
        <v>44952.64434027778</v>
      </c>
      <c r="U2304" s="34">
        <v>44955.64434027778</v>
      </c>
      <c r="V2304" s="32">
        <v>44954.64434027778</v>
      </c>
      <c r="W2304" s="32">
        <v>44956.64434027778</v>
      </c>
      <c r="X2304">
        <v>1</v>
      </c>
      <c r="Y2304" s="34">
        <v>44958.64434027778</v>
      </c>
      <c r="Z2304" s="34">
        <v>44961.64434027778</v>
      </c>
      <c r="AA2304" s="34">
        <v>44962.64434027778</v>
      </c>
      <c r="AB2304" s="36" t="s">
        <v>7476</v>
      </c>
      <c r="AC2304" s="10">
        <v>44981.64434027778</v>
      </c>
      <c r="AD2304" t="s">
        <v>7149</v>
      </c>
      <c r="AE2304" t="s">
        <v>7150</v>
      </c>
      <c r="AF2304" s="16">
        <v>45108</v>
      </c>
      <c r="AG2304" t="s">
        <v>68</v>
      </c>
      <c r="AH2304">
        <v>6</v>
      </c>
      <c r="AK2304" s="38">
        <f t="shared" si="899"/>
        <v>45134.64434027778</v>
      </c>
    </row>
    <row r="2305" spans="1:43" x14ac:dyDescent="0.35">
      <c r="A2305">
        <v>155</v>
      </c>
      <c r="B2305" t="s">
        <v>7151</v>
      </c>
      <c r="C2305" t="s">
        <v>6550</v>
      </c>
      <c r="D2305" t="str">
        <f t="shared" si="897"/>
        <v>Capacity Building</v>
      </c>
      <c r="E2305" t="s">
        <v>7044</v>
      </c>
      <c r="F2305" t="s">
        <v>5662</v>
      </c>
      <c r="G2305" t="s">
        <v>7073</v>
      </c>
      <c r="H2305" t="s">
        <v>80</v>
      </c>
      <c r="I2305" s="32">
        <v>44935.64434027778</v>
      </c>
      <c r="J2305" s="32">
        <v>44937.64434027778</v>
      </c>
      <c r="K2305" s="32">
        <v>44938.64434027778</v>
      </c>
      <c r="L2305" s="8">
        <f t="shared" si="898"/>
        <v>3</v>
      </c>
      <c r="M2305" s="7">
        <v>45128.64434027778</v>
      </c>
      <c r="N2305" t="s">
        <v>49</v>
      </c>
      <c r="O2305" s="34">
        <v>44946.64434027778</v>
      </c>
      <c r="P2305" t="s">
        <v>60</v>
      </c>
      <c r="R2305" s="32">
        <v>44951.64434027778</v>
      </c>
      <c r="S2305" t="s">
        <v>61</v>
      </c>
      <c r="T2305" s="34" t="s">
        <v>7476</v>
      </c>
      <c r="U2305" s="34" t="s">
        <v>7476</v>
      </c>
      <c r="V2305" s="32">
        <v>44950.64434027778</v>
      </c>
      <c r="W2305" s="32" t="s">
        <v>7476</v>
      </c>
      <c r="X2305">
        <v>0</v>
      </c>
      <c r="Y2305" s="34" t="s">
        <v>7476</v>
      </c>
      <c r="Z2305" s="34" t="s">
        <v>7476</v>
      </c>
      <c r="AA2305" s="34" t="s">
        <v>7476</v>
      </c>
      <c r="AB2305" s="36" t="s">
        <v>7476</v>
      </c>
      <c r="AD2305" t="s">
        <v>7152</v>
      </c>
      <c r="AE2305" t="s">
        <v>7153</v>
      </c>
      <c r="AF2305" s="16">
        <v>44936</v>
      </c>
      <c r="AG2305" t="s">
        <v>64</v>
      </c>
      <c r="AH2305">
        <v>3</v>
      </c>
      <c r="AI2305" s="8">
        <f t="shared" ref="AI2305:AI2311" si="932">IFERROR(R2305-AF2305,"")</f>
        <v>15.644340277780429</v>
      </c>
      <c r="AJ2305" s="8">
        <f t="shared" ref="AJ2305:AJ2311" si="933">IFERROR(O2305-AF2305,"")</f>
        <v>10.644340277780429</v>
      </c>
      <c r="AK2305" s="38">
        <f t="shared" si="899"/>
        <v>45040.64434027778</v>
      </c>
      <c r="AL2305" t="str">
        <f t="shared" ref="AL2305:AL2311" si="934">IFERROR(Z2305-W2305,"")</f>
        <v/>
      </c>
      <c r="AM2305">
        <f t="shared" ref="AM2305:AM2311" si="935">IFERROR(R2305-J2305,"")</f>
        <v>14</v>
      </c>
      <c r="AN2305">
        <f t="shared" ref="AN2305:AN2311" si="936">IFERROR(V2305-O2305,"")</f>
        <v>4</v>
      </c>
      <c r="AO2305">
        <f t="shared" ref="AO2305:AO2311" si="937">IFERROR(J2305-I2305,"")</f>
        <v>2</v>
      </c>
      <c r="AP2305">
        <f t="shared" ref="AP2305:AP2311" si="938">IFERROR(AC2305-X2305,"")</f>
        <v>0</v>
      </c>
      <c r="AQ2305" t="str">
        <f t="shared" ref="AQ2305:AQ2311" si="939">IFERROR(AA2305-W2305,"")</f>
        <v/>
      </c>
    </row>
    <row r="2306" spans="1:43" x14ac:dyDescent="0.35">
      <c r="A2306">
        <v>149</v>
      </c>
      <c r="B2306" t="s">
        <v>7154</v>
      </c>
      <c r="C2306" t="s">
        <v>6550</v>
      </c>
      <c r="D2306" t="str">
        <f t="shared" ref="D2306:D2369" si="940">TRIM(C2306)</f>
        <v>Capacity Building</v>
      </c>
      <c r="E2306" t="s">
        <v>7044</v>
      </c>
      <c r="F2306" t="s">
        <v>5662</v>
      </c>
      <c r="G2306" t="s">
        <v>7073</v>
      </c>
      <c r="H2306" t="s">
        <v>80</v>
      </c>
      <c r="I2306" s="32">
        <v>44631.982245370367</v>
      </c>
      <c r="J2306" s="32">
        <v>44633.982245370367</v>
      </c>
      <c r="K2306" s="32">
        <v>44636.982245370367</v>
      </c>
      <c r="L2306" s="8">
        <f t="shared" ref="L2306:L2369" si="941">IFERROR(K2306-I2306,"")</f>
        <v>5</v>
      </c>
      <c r="M2306" s="7">
        <v>44826.982245370367</v>
      </c>
      <c r="N2306" t="s">
        <v>72</v>
      </c>
      <c r="O2306" s="34" t="s">
        <v>7474</v>
      </c>
      <c r="R2306" s="32" t="s">
        <v>7472</v>
      </c>
      <c r="S2306" t="s">
        <v>7476</v>
      </c>
      <c r="T2306" s="34" t="s">
        <v>7476</v>
      </c>
      <c r="U2306" s="34" t="s">
        <v>7476</v>
      </c>
      <c r="V2306" s="32" t="s">
        <v>7476</v>
      </c>
      <c r="W2306" s="32" t="s">
        <v>7476</v>
      </c>
      <c r="X2306">
        <v>0</v>
      </c>
      <c r="Y2306" s="34" t="s">
        <v>7476</v>
      </c>
      <c r="Z2306" s="34" t="s">
        <v>7476</v>
      </c>
      <c r="AA2306" s="34" t="s">
        <v>7476</v>
      </c>
      <c r="AB2306" s="36" t="s">
        <v>7476</v>
      </c>
      <c r="AD2306" t="s">
        <v>7155</v>
      </c>
      <c r="AE2306" t="s">
        <v>7156</v>
      </c>
      <c r="AG2306" t="s">
        <v>64</v>
      </c>
      <c r="AH2306">
        <v>6</v>
      </c>
      <c r="AI2306" s="8" t="str">
        <f t="shared" si="932"/>
        <v/>
      </c>
      <c r="AJ2306" s="8" t="str">
        <f t="shared" si="933"/>
        <v/>
      </c>
      <c r="AK2306" s="38" t="str">
        <f t="shared" si="899"/>
        <v/>
      </c>
      <c r="AL2306" t="str">
        <f t="shared" si="934"/>
        <v/>
      </c>
      <c r="AM2306" t="str">
        <f t="shared" si="935"/>
        <v/>
      </c>
      <c r="AN2306" t="str">
        <f t="shared" si="936"/>
        <v/>
      </c>
      <c r="AO2306">
        <f t="shared" si="937"/>
        <v>2</v>
      </c>
      <c r="AP2306">
        <f t="shared" si="938"/>
        <v>0</v>
      </c>
      <c r="AQ2306" t="str">
        <f t="shared" si="939"/>
        <v/>
      </c>
    </row>
    <row r="2307" spans="1:43" x14ac:dyDescent="0.35">
      <c r="A2307">
        <v>148</v>
      </c>
      <c r="B2307" t="s">
        <v>7157</v>
      </c>
      <c r="C2307" t="s">
        <v>6531</v>
      </c>
      <c r="D2307" t="str">
        <f t="shared" si="940"/>
        <v>Capacity Building</v>
      </c>
      <c r="E2307" t="s">
        <v>7044</v>
      </c>
      <c r="F2307" t="s">
        <v>5662</v>
      </c>
      <c r="G2307" t="s">
        <v>7073</v>
      </c>
      <c r="H2307" t="s">
        <v>80</v>
      </c>
      <c r="I2307" s="32">
        <v>44630.982245370367</v>
      </c>
      <c r="J2307" s="32">
        <v>44632.982245370367</v>
      </c>
      <c r="K2307" s="32">
        <v>44636.982245370367</v>
      </c>
      <c r="L2307" s="8">
        <f t="shared" si="941"/>
        <v>6</v>
      </c>
      <c r="M2307" s="7">
        <v>44826.982245370367</v>
      </c>
      <c r="N2307" t="s">
        <v>49</v>
      </c>
      <c r="O2307" s="34">
        <v>44649.982245370367</v>
      </c>
      <c r="P2307" t="s">
        <v>60</v>
      </c>
      <c r="R2307" s="32">
        <v>44657.982245370367</v>
      </c>
      <c r="S2307" t="s">
        <v>61</v>
      </c>
      <c r="T2307" s="34" t="s">
        <v>7476</v>
      </c>
      <c r="U2307" s="34" t="s">
        <v>7476</v>
      </c>
      <c r="V2307" s="32">
        <v>44653.982245370367</v>
      </c>
      <c r="W2307" s="32" t="s">
        <v>7476</v>
      </c>
      <c r="X2307">
        <v>0</v>
      </c>
      <c r="Y2307" s="34" t="s">
        <v>7476</v>
      </c>
      <c r="Z2307" s="34" t="s">
        <v>7476</v>
      </c>
      <c r="AA2307" s="34" t="s">
        <v>7476</v>
      </c>
      <c r="AB2307" s="36" t="s">
        <v>7476</v>
      </c>
      <c r="AD2307" t="s">
        <v>7158</v>
      </c>
      <c r="AE2307" t="s">
        <v>7159</v>
      </c>
      <c r="AF2307" s="16">
        <v>44632</v>
      </c>
      <c r="AG2307" t="s">
        <v>98</v>
      </c>
      <c r="AH2307">
        <v>6</v>
      </c>
      <c r="AI2307" s="8">
        <f t="shared" si="932"/>
        <v>25.982245370367309</v>
      </c>
      <c r="AJ2307" s="8">
        <f t="shared" si="933"/>
        <v>17.982245370367309</v>
      </c>
      <c r="AK2307" s="38">
        <f t="shared" ref="AK2307:AK2370" si="942">IFERROR(V2307+(AH2307*30),"")</f>
        <v>44833.982245370367</v>
      </c>
      <c r="AL2307" t="str">
        <f t="shared" si="934"/>
        <v/>
      </c>
      <c r="AM2307">
        <f t="shared" si="935"/>
        <v>25</v>
      </c>
      <c r="AN2307">
        <f t="shared" si="936"/>
        <v>4</v>
      </c>
      <c r="AO2307">
        <f t="shared" si="937"/>
        <v>2</v>
      </c>
      <c r="AP2307">
        <f t="shared" si="938"/>
        <v>0</v>
      </c>
      <c r="AQ2307" t="str">
        <f t="shared" si="939"/>
        <v/>
      </c>
    </row>
    <row r="2308" spans="1:43" x14ac:dyDescent="0.35">
      <c r="A2308">
        <v>146</v>
      </c>
      <c r="B2308" t="s">
        <v>7160</v>
      </c>
      <c r="C2308" t="s">
        <v>6525</v>
      </c>
      <c r="D2308" t="str">
        <f t="shared" si="940"/>
        <v>Capacity Building</v>
      </c>
      <c r="E2308" t="s">
        <v>7044</v>
      </c>
      <c r="F2308" t="s">
        <v>5662</v>
      </c>
      <c r="G2308" t="s">
        <v>7073</v>
      </c>
      <c r="H2308" t="s">
        <v>80</v>
      </c>
      <c r="I2308" s="32">
        <v>44628.982245370367</v>
      </c>
      <c r="J2308" s="32">
        <v>44631.982245370367</v>
      </c>
      <c r="K2308" s="32">
        <v>44636.982245370367</v>
      </c>
      <c r="L2308" s="8">
        <f t="shared" si="941"/>
        <v>8</v>
      </c>
      <c r="M2308" s="7">
        <v>44826.982245370367</v>
      </c>
      <c r="N2308" t="s">
        <v>49</v>
      </c>
      <c r="O2308" s="34">
        <v>44650.982245370367</v>
      </c>
      <c r="P2308" t="s">
        <v>60</v>
      </c>
      <c r="R2308" s="32">
        <v>44654.982245370367</v>
      </c>
      <c r="S2308" t="s">
        <v>61</v>
      </c>
      <c r="T2308" s="34" t="s">
        <v>7476</v>
      </c>
      <c r="U2308" s="34" t="s">
        <v>7476</v>
      </c>
      <c r="V2308" s="32">
        <v>44651.982245370367</v>
      </c>
      <c r="W2308" s="32" t="s">
        <v>7476</v>
      </c>
      <c r="X2308">
        <v>0</v>
      </c>
      <c r="Y2308" s="34" t="s">
        <v>7476</v>
      </c>
      <c r="Z2308" s="34" t="s">
        <v>7476</v>
      </c>
      <c r="AA2308" s="34" t="s">
        <v>7476</v>
      </c>
      <c r="AB2308" s="36" t="s">
        <v>7476</v>
      </c>
      <c r="AD2308" t="s">
        <v>7161</v>
      </c>
      <c r="AE2308" t="s">
        <v>7162</v>
      </c>
      <c r="AF2308" s="16">
        <v>44634</v>
      </c>
      <c r="AG2308" t="s">
        <v>68</v>
      </c>
      <c r="AH2308">
        <v>6</v>
      </c>
      <c r="AI2308" s="8">
        <f t="shared" si="932"/>
        <v>20.982245370367309</v>
      </c>
      <c r="AJ2308" s="8">
        <f t="shared" si="933"/>
        <v>16.982245370367309</v>
      </c>
      <c r="AK2308" s="38">
        <f t="shared" si="942"/>
        <v>44831.982245370367</v>
      </c>
      <c r="AL2308" t="str">
        <f t="shared" si="934"/>
        <v/>
      </c>
      <c r="AM2308">
        <f t="shared" si="935"/>
        <v>23</v>
      </c>
      <c r="AN2308">
        <f t="shared" si="936"/>
        <v>1</v>
      </c>
      <c r="AO2308">
        <f t="shared" si="937"/>
        <v>3</v>
      </c>
      <c r="AP2308">
        <f t="shared" si="938"/>
        <v>0</v>
      </c>
      <c r="AQ2308" t="str">
        <f t="shared" si="939"/>
        <v/>
      </c>
    </row>
    <row r="2309" spans="1:43" x14ac:dyDescent="0.35">
      <c r="A2309">
        <v>111</v>
      </c>
      <c r="B2309" t="s">
        <v>7163</v>
      </c>
      <c r="C2309" t="s">
        <v>6531</v>
      </c>
      <c r="D2309" t="str">
        <f t="shared" si="940"/>
        <v>Capacity Building</v>
      </c>
      <c r="E2309" t="s">
        <v>7044</v>
      </c>
      <c r="F2309" t="s">
        <v>5662</v>
      </c>
      <c r="G2309" t="s">
        <v>7073</v>
      </c>
      <c r="H2309" t="s">
        <v>80</v>
      </c>
      <c r="I2309" s="32">
        <v>44741.19809027778</v>
      </c>
      <c r="J2309" s="32">
        <v>44742.19809027778</v>
      </c>
      <c r="K2309" s="32">
        <v>44746.19809027778</v>
      </c>
      <c r="L2309" s="8">
        <f t="shared" si="941"/>
        <v>5</v>
      </c>
      <c r="M2309" s="7">
        <v>44759.19809027778</v>
      </c>
      <c r="N2309" t="s">
        <v>49</v>
      </c>
      <c r="O2309" s="34">
        <v>44752.19809027778</v>
      </c>
      <c r="P2309" t="s">
        <v>50</v>
      </c>
      <c r="Q2309" t="s">
        <v>236</v>
      </c>
      <c r="R2309" s="32" t="s">
        <v>7472</v>
      </c>
      <c r="S2309" t="s">
        <v>7476</v>
      </c>
      <c r="T2309" s="34" t="s">
        <v>7476</v>
      </c>
      <c r="U2309" s="34" t="s">
        <v>7476</v>
      </c>
      <c r="V2309" s="32" t="s">
        <v>7476</v>
      </c>
      <c r="W2309" s="32" t="s">
        <v>7476</v>
      </c>
      <c r="X2309">
        <v>0</v>
      </c>
      <c r="Y2309" s="34" t="s">
        <v>7476</v>
      </c>
      <c r="Z2309" s="34" t="s">
        <v>7476</v>
      </c>
      <c r="AA2309" s="34" t="s">
        <v>7476</v>
      </c>
      <c r="AB2309" s="36" t="s">
        <v>52</v>
      </c>
      <c r="AD2309" t="s">
        <v>7164</v>
      </c>
      <c r="AE2309" t="s">
        <v>7165</v>
      </c>
      <c r="AF2309" s="16">
        <v>44627</v>
      </c>
      <c r="AG2309" t="s">
        <v>68</v>
      </c>
      <c r="AH2309">
        <v>6</v>
      </c>
      <c r="AI2309" s="8" t="str">
        <f t="shared" si="932"/>
        <v/>
      </c>
      <c r="AJ2309" s="8">
        <f t="shared" si="933"/>
        <v>125.19809027777956</v>
      </c>
      <c r="AK2309" s="38" t="str">
        <f t="shared" si="942"/>
        <v/>
      </c>
      <c r="AL2309" t="str">
        <f t="shared" si="934"/>
        <v/>
      </c>
      <c r="AM2309" t="str">
        <f t="shared" si="935"/>
        <v/>
      </c>
      <c r="AN2309" t="str">
        <f t="shared" si="936"/>
        <v/>
      </c>
      <c r="AO2309">
        <f t="shared" si="937"/>
        <v>1</v>
      </c>
      <c r="AP2309">
        <f t="shared" si="938"/>
        <v>0</v>
      </c>
      <c r="AQ2309" t="str">
        <f t="shared" si="939"/>
        <v/>
      </c>
    </row>
    <row r="2310" spans="1:43" x14ac:dyDescent="0.35">
      <c r="A2310">
        <v>52</v>
      </c>
      <c r="B2310" t="s">
        <v>7166</v>
      </c>
      <c r="C2310" t="s">
        <v>6550</v>
      </c>
      <c r="D2310" t="str">
        <f t="shared" si="940"/>
        <v>Capacity Building</v>
      </c>
      <c r="E2310" t="s">
        <v>7044</v>
      </c>
      <c r="F2310" t="s">
        <v>78</v>
      </c>
      <c r="G2310" t="s">
        <v>7167</v>
      </c>
      <c r="H2310" t="s">
        <v>80</v>
      </c>
      <c r="I2310" s="32">
        <v>44770.01295138889</v>
      </c>
      <c r="J2310" s="32">
        <v>44771.01295138889</v>
      </c>
      <c r="K2310" s="32">
        <v>44777.01295138889</v>
      </c>
      <c r="L2310" s="8">
        <f t="shared" si="941"/>
        <v>7</v>
      </c>
      <c r="M2310" s="7">
        <v>44797.01295138889</v>
      </c>
      <c r="N2310" t="s">
        <v>49</v>
      </c>
      <c r="O2310" s="34">
        <v>44781.01295138889</v>
      </c>
      <c r="P2310" t="s">
        <v>101</v>
      </c>
      <c r="R2310" s="32">
        <v>44789.01295138889</v>
      </c>
      <c r="S2310" t="s">
        <v>101</v>
      </c>
      <c r="T2310" s="34">
        <v>44783.01295138889</v>
      </c>
      <c r="U2310" s="34">
        <v>44786.01295138889</v>
      </c>
      <c r="V2310" s="32">
        <v>44785.01295138889</v>
      </c>
      <c r="W2310" s="32">
        <v>44793.01295138889</v>
      </c>
      <c r="X2310">
        <v>1</v>
      </c>
      <c r="Y2310" s="34">
        <v>44797.01295138889</v>
      </c>
      <c r="Z2310" s="34">
        <v>44798.01295138889</v>
      </c>
      <c r="AA2310" s="34">
        <v>44799.01295138889</v>
      </c>
      <c r="AB2310" s="36" t="s">
        <v>7476</v>
      </c>
      <c r="AC2310" s="10">
        <v>44814.01295138889</v>
      </c>
      <c r="AD2310" t="s">
        <v>7168</v>
      </c>
      <c r="AE2310" t="s">
        <v>7169</v>
      </c>
      <c r="AF2310" s="16">
        <v>44772</v>
      </c>
      <c r="AG2310" t="s">
        <v>64</v>
      </c>
      <c r="AH2310">
        <v>6</v>
      </c>
      <c r="AI2310" s="8">
        <f t="shared" si="932"/>
        <v>17.012951388889633</v>
      </c>
      <c r="AJ2310" s="8">
        <f t="shared" si="933"/>
        <v>9.0129513888896327</v>
      </c>
      <c r="AK2310" s="38">
        <f t="shared" si="942"/>
        <v>44965.01295138889</v>
      </c>
      <c r="AL2310">
        <f t="shared" si="934"/>
        <v>5</v>
      </c>
      <c r="AM2310">
        <f t="shared" si="935"/>
        <v>18</v>
      </c>
      <c r="AN2310">
        <f t="shared" si="936"/>
        <v>4</v>
      </c>
      <c r="AO2310">
        <f t="shared" si="937"/>
        <v>1</v>
      </c>
      <c r="AP2310">
        <f t="shared" si="938"/>
        <v>44813.01295138889</v>
      </c>
      <c r="AQ2310">
        <f t="shared" si="939"/>
        <v>6</v>
      </c>
    </row>
    <row r="2311" spans="1:43" x14ac:dyDescent="0.35">
      <c r="A2311">
        <v>2997</v>
      </c>
      <c r="B2311" t="s">
        <v>7170</v>
      </c>
      <c r="C2311" t="s">
        <v>6531</v>
      </c>
      <c r="D2311" t="str">
        <f t="shared" si="940"/>
        <v>Capacity Building</v>
      </c>
      <c r="E2311" t="s">
        <v>7171</v>
      </c>
      <c r="F2311" t="s">
        <v>78</v>
      </c>
      <c r="G2311" t="s">
        <v>7167</v>
      </c>
      <c r="H2311" t="s">
        <v>59</v>
      </c>
      <c r="I2311" s="32">
        <v>44989.039479166669</v>
      </c>
      <c r="J2311" s="32">
        <v>44991.039479166669</v>
      </c>
      <c r="K2311" s="32">
        <v>44993.039479166669</v>
      </c>
      <c r="L2311" s="8">
        <f t="shared" si="941"/>
        <v>4</v>
      </c>
      <c r="M2311" s="7">
        <v>45004.039479166669</v>
      </c>
      <c r="N2311" t="s">
        <v>72</v>
      </c>
      <c r="O2311" s="34" t="s">
        <v>7474</v>
      </c>
      <c r="R2311" s="32" t="s">
        <v>7472</v>
      </c>
      <c r="S2311" t="s">
        <v>7476</v>
      </c>
      <c r="T2311" s="34" t="s">
        <v>7476</v>
      </c>
      <c r="U2311" s="34" t="s">
        <v>7476</v>
      </c>
      <c r="V2311" s="32" t="s">
        <v>7476</v>
      </c>
      <c r="W2311" s="32" t="s">
        <v>7476</v>
      </c>
      <c r="X2311">
        <v>0</v>
      </c>
      <c r="Y2311" s="34" t="s">
        <v>7476</v>
      </c>
      <c r="Z2311" s="34" t="s">
        <v>7476</v>
      </c>
      <c r="AA2311" s="34" t="s">
        <v>7476</v>
      </c>
      <c r="AB2311" s="36" t="s">
        <v>7476</v>
      </c>
      <c r="AD2311" t="s">
        <v>7172</v>
      </c>
      <c r="AE2311" t="s">
        <v>7173</v>
      </c>
      <c r="AG2311" t="s">
        <v>68</v>
      </c>
      <c r="AH2311">
        <v>3</v>
      </c>
      <c r="AI2311" s="8" t="str">
        <f t="shared" si="932"/>
        <v/>
      </c>
      <c r="AJ2311" s="8" t="str">
        <f t="shared" si="933"/>
        <v/>
      </c>
      <c r="AK2311" s="38" t="str">
        <f t="shared" si="942"/>
        <v/>
      </c>
      <c r="AL2311" t="str">
        <f t="shared" si="934"/>
        <v/>
      </c>
      <c r="AM2311" t="str">
        <f t="shared" si="935"/>
        <v/>
      </c>
      <c r="AN2311" t="str">
        <f t="shared" si="936"/>
        <v/>
      </c>
      <c r="AO2311">
        <f t="shared" si="937"/>
        <v>2</v>
      </c>
      <c r="AP2311">
        <f t="shared" si="938"/>
        <v>0</v>
      </c>
      <c r="AQ2311" t="str">
        <f t="shared" si="939"/>
        <v/>
      </c>
    </row>
    <row r="2312" spans="1:43" x14ac:dyDescent="0.35">
      <c r="A2312">
        <v>2930</v>
      </c>
      <c r="B2312" t="s">
        <v>7174</v>
      </c>
      <c r="C2312" t="s">
        <v>6550</v>
      </c>
      <c r="D2312" t="str">
        <f t="shared" si="940"/>
        <v>Capacity Building</v>
      </c>
      <c r="E2312" t="s">
        <v>7171</v>
      </c>
      <c r="F2312" t="s">
        <v>78</v>
      </c>
      <c r="G2312" t="s">
        <v>7167</v>
      </c>
      <c r="H2312" t="s">
        <v>59</v>
      </c>
      <c r="I2312" s="32">
        <v>45180.386689814812</v>
      </c>
      <c r="J2312" s="32" t="s">
        <v>7471</v>
      </c>
      <c r="K2312" s="32">
        <v>45189.386689814812</v>
      </c>
      <c r="L2312" s="8">
        <f t="shared" si="941"/>
        <v>9</v>
      </c>
      <c r="M2312" s="7">
        <v>45234.386689814812</v>
      </c>
      <c r="N2312" t="s">
        <v>49</v>
      </c>
      <c r="O2312" s="34">
        <v>45194.386689814812</v>
      </c>
      <c r="P2312" t="s">
        <v>101</v>
      </c>
      <c r="R2312" s="32">
        <v>45198.386689814812</v>
      </c>
      <c r="S2312" t="s">
        <v>101</v>
      </c>
      <c r="T2312" s="34">
        <v>45195.386689814812</v>
      </c>
      <c r="U2312" s="34">
        <v>45196.386689814812</v>
      </c>
      <c r="V2312" s="32">
        <v>45196.386689814812</v>
      </c>
      <c r="W2312" s="32">
        <v>45200.386689814812</v>
      </c>
      <c r="X2312">
        <v>1</v>
      </c>
      <c r="Y2312" s="34">
        <v>45202.386689814812</v>
      </c>
      <c r="Z2312" s="34">
        <v>45205.386689814812</v>
      </c>
      <c r="AA2312" s="34">
        <v>45208.386689814812</v>
      </c>
      <c r="AB2312" s="36" t="s">
        <v>7476</v>
      </c>
      <c r="AC2312" s="10">
        <v>45227.386689814812</v>
      </c>
      <c r="AD2312" t="s">
        <v>7175</v>
      </c>
      <c r="AE2312" t="s">
        <v>7176</v>
      </c>
      <c r="AF2312" s="16">
        <v>45175</v>
      </c>
      <c r="AG2312" t="s">
        <v>55</v>
      </c>
      <c r="AH2312">
        <v>3</v>
      </c>
      <c r="AK2312" s="38">
        <f t="shared" si="942"/>
        <v>45286.386689814812</v>
      </c>
    </row>
    <row r="2313" spans="1:43" x14ac:dyDescent="0.35">
      <c r="A2313">
        <v>2919</v>
      </c>
      <c r="B2313" t="s">
        <v>7177</v>
      </c>
      <c r="C2313" t="s">
        <v>6525</v>
      </c>
      <c r="D2313" t="str">
        <f t="shared" si="940"/>
        <v>Capacity Building</v>
      </c>
      <c r="E2313" t="s">
        <v>7171</v>
      </c>
      <c r="F2313" t="s">
        <v>78</v>
      </c>
      <c r="G2313" t="s">
        <v>7167</v>
      </c>
      <c r="H2313" t="s">
        <v>59</v>
      </c>
      <c r="I2313" s="32">
        <v>44598.794965277782</v>
      </c>
      <c r="J2313" s="32">
        <v>44601.794965277782</v>
      </c>
      <c r="K2313" s="32">
        <v>44609.794965277782</v>
      </c>
      <c r="L2313" s="8">
        <f t="shared" si="941"/>
        <v>11</v>
      </c>
      <c r="M2313" s="7">
        <v>44654.794965277782</v>
      </c>
      <c r="N2313" t="s">
        <v>72</v>
      </c>
      <c r="O2313" s="34" t="s">
        <v>7474</v>
      </c>
      <c r="R2313" s="32" t="s">
        <v>7472</v>
      </c>
      <c r="S2313" t="s">
        <v>7476</v>
      </c>
      <c r="T2313" s="34" t="s">
        <v>7476</v>
      </c>
      <c r="U2313" s="34" t="s">
        <v>7476</v>
      </c>
      <c r="V2313" s="32" t="s">
        <v>7476</v>
      </c>
      <c r="W2313" s="32" t="s">
        <v>7476</v>
      </c>
      <c r="X2313">
        <v>0</v>
      </c>
      <c r="Y2313" s="34" t="s">
        <v>7476</v>
      </c>
      <c r="Z2313" s="34" t="s">
        <v>7476</v>
      </c>
      <c r="AA2313" s="34" t="s">
        <v>7476</v>
      </c>
      <c r="AB2313" s="36" t="s">
        <v>7476</v>
      </c>
      <c r="AD2313" t="s">
        <v>7178</v>
      </c>
      <c r="AE2313" t="s">
        <v>7179</v>
      </c>
      <c r="AG2313" t="s">
        <v>68</v>
      </c>
      <c r="AH2313">
        <v>3</v>
      </c>
      <c r="AI2313" s="8" t="str">
        <f>IFERROR(R2313-AF2313,"")</f>
        <v/>
      </c>
      <c r="AJ2313" s="8" t="str">
        <f>IFERROR(O2313-AF2313,"")</f>
        <v/>
      </c>
      <c r="AK2313" s="38" t="str">
        <f t="shared" si="942"/>
        <v/>
      </c>
      <c r="AL2313" t="str">
        <f>IFERROR(Z2313-W2313,"")</f>
        <v/>
      </c>
      <c r="AM2313" t="str">
        <f>IFERROR(R2313-J2313,"")</f>
        <v/>
      </c>
      <c r="AN2313" t="str">
        <f>IFERROR(V2313-O2313,"")</f>
        <v/>
      </c>
      <c r="AO2313">
        <f>IFERROR(J2313-I2313,"")</f>
        <v>3</v>
      </c>
      <c r="AP2313">
        <f>IFERROR(AC2313-X2313,"")</f>
        <v>0</v>
      </c>
      <c r="AQ2313" t="str">
        <f>IFERROR(AA2313-W2313,"")</f>
        <v/>
      </c>
    </row>
    <row r="2314" spans="1:43" x14ac:dyDescent="0.35">
      <c r="A2314">
        <v>2824</v>
      </c>
      <c r="B2314" t="s">
        <v>7180</v>
      </c>
      <c r="C2314" t="s">
        <v>6531</v>
      </c>
      <c r="D2314" t="str">
        <f t="shared" si="940"/>
        <v>Capacity Building</v>
      </c>
      <c r="E2314" t="s">
        <v>7171</v>
      </c>
      <c r="F2314" t="s">
        <v>78</v>
      </c>
      <c r="G2314" t="s">
        <v>7167</v>
      </c>
      <c r="H2314" t="s">
        <v>59</v>
      </c>
      <c r="I2314" s="32">
        <v>44565.055902777778</v>
      </c>
      <c r="J2314" s="32">
        <v>44568.055902777778</v>
      </c>
      <c r="K2314" s="32" t="s">
        <v>7473</v>
      </c>
      <c r="L2314" s="8" t="str">
        <f t="shared" si="941"/>
        <v/>
      </c>
      <c r="M2314" s="7">
        <v>44587.055902777778</v>
      </c>
      <c r="N2314" t="s">
        <v>49</v>
      </c>
      <c r="O2314" s="34">
        <v>44577.055902777778</v>
      </c>
      <c r="P2314" t="s">
        <v>101</v>
      </c>
      <c r="R2314" s="32">
        <v>44582.055902777778</v>
      </c>
      <c r="S2314" t="s">
        <v>101</v>
      </c>
      <c r="T2314" s="34">
        <v>44578.055902777778</v>
      </c>
      <c r="U2314" s="34">
        <v>44582.055902777778</v>
      </c>
      <c r="V2314" s="32">
        <v>44580.055902777778</v>
      </c>
      <c r="W2314" s="32">
        <v>44585.055902777778</v>
      </c>
      <c r="X2314">
        <v>1</v>
      </c>
      <c r="Y2314" s="34">
        <v>44589.055902777778</v>
      </c>
      <c r="Z2314" s="34">
        <v>44592.055902777778</v>
      </c>
      <c r="AA2314" s="34">
        <v>44593.055902777778</v>
      </c>
      <c r="AB2314" s="36" t="s">
        <v>7476</v>
      </c>
      <c r="AC2314" s="10">
        <v>44613.055902777778</v>
      </c>
      <c r="AD2314" t="s">
        <v>7181</v>
      </c>
      <c r="AE2314" t="s">
        <v>7182</v>
      </c>
      <c r="AF2314" s="16">
        <v>44562</v>
      </c>
      <c r="AG2314" t="s">
        <v>68</v>
      </c>
      <c r="AH2314">
        <v>6</v>
      </c>
      <c r="AK2314" s="38">
        <f t="shared" si="942"/>
        <v>44760.055902777778</v>
      </c>
    </row>
    <row r="2315" spans="1:43" x14ac:dyDescent="0.35">
      <c r="A2315">
        <v>2770</v>
      </c>
      <c r="B2315" t="s">
        <v>7183</v>
      </c>
      <c r="C2315" t="s">
        <v>6525</v>
      </c>
      <c r="D2315" t="str">
        <f t="shared" si="940"/>
        <v>Capacity Building</v>
      </c>
      <c r="E2315" t="s">
        <v>7171</v>
      </c>
      <c r="F2315" t="s">
        <v>78</v>
      </c>
      <c r="G2315" t="s">
        <v>7167</v>
      </c>
      <c r="H2315" t="s">
        <v>59</v>
      </c>
      <c r="I2315" s="32">
        <v>44808.301701388889</v>
      </c>
      <c r="J2315" s="32">
        <v>44811.301701388889</v>
      </c>
      <c r="K2315" s="32">
        <v>44813.301701388889</v>
      </c>
      <c r="L2315" s="8">
        <f t="shared" si="941"/>
        <v>5</v>
      </c>
      <c r="M2315" s="7">
        <v>44821.301701388889</v>
      </c>
      <c r="N2315" t="s">
        <v>72</v>
      </c>
      <c r="O2315" s="34" t="s">
        <v>7474</v>
      </c>
      <c r="R2315" s="32" t="s">
        <v>7472</v>
      </c>
      <c r="S2315" t="s">
        <v>7476</v>
      </c>
      <c r="T2315" s="34" t="s">
        <v>7476</v>
      </c>
      <c r="U2315" s="34" t="s">
        <v>7476</v>
      </c>
      <c r="V2315" s="32" t="s">
        <v>7476</v>
      </c>
      <c r="W2315" s="32" t="s">
        <v>7476</v>
      </c>
      <c r="X2315">
        <v>0</v>
      </c>
      <c r="Y2315" s="34" t="s">
        <v>7476</v>
      </c>
      <c r="Z2315" s="34" t="s">
        <v>7476</v>
      </c>
      <c r="AA2315" s="34" t="s">
        <v>7476</v>
      </c>
      <c r="AB2315" s="36" t="s">
        <v>7476</v>
      </c>
      <c r="AD2315" t="s">
        <v>7184</v>
      </c>
      <c r="AE2315" t="s">
        <v>7185</v>
      </c>
      <c r="AG2315" t="s">
        <v>68</v>
      </c>
      <c r="AH2315">
        <v>3</v>
      </c>
      <c r="AI2315" s="8" t="str">
        <f t="shared" ref="AI2315:AI2322" si="943">IFERROR(R2315-AF2315,"")</f>
        <v/>
      </c>
      <c r="AJ2315" s="8" t="str">
        <f t="shared" ref="AJ2315:AJ2322" si="944">IFERROR(O2315-AF2315,"")</f>
        <v/>
      </c>
      <c r="AK2315" s="38" t="str">
        <f t="shared" si="942"/>
        <v/>
      </c>
      <c r="AL2315" t="str">
        <f t="shared" ref="AL2315:AL2322" si="945">IFERROR(Z2315-W2315,"")</f>
        <v/>
      </c>
      <c r="AM2315" t="str">
        <f t="shared" ref="AM2315:AM2322" si="946">IFERROR(R2315-J2315,"")</f>
        <v/>
      </c>
      <c r="AN2315" t="str">
        <f t="shared" ref="AN2315:AN2322" si="947">IFERROR(V2315-O2315,"")</f>
        <v/>
      </c>
      <c r="AO2315">
        <f t="shared" ref="AO2315:AO2322" si="948">IFERROR(J2315-I2315,"")</f>
        <v>3</v>
      </c>
      <c r="AP2315">
        <f t="shared" ref="AP2315:AP2322" si="949">IFERROR(AC2315-X2315,"")</f>
        <v>0</v>
      </c>
      <c r="AQ2315" t="str">
        <f t="shared" ref="AQ2315:AQ2322" si="950">IFERROR(AA2315-W2315,"")</f>
        <v/>
      </c>
    </row>
    <row r="2316" spans="1:43" x14ac:dyDescent="0.35">
      <c r="A2316">
        <v>2628</v>
      </c>
      <c r="B2316" t="s">
        <v>7186</v>
      </c>
      <c r="C2316" t="s">
        <v>6525</v>
      </c>
      <c r="D2316" t="str">
        <f t="shared" si="940"/>
        <v>Capacity Building</v>
      </c>
      <c r="E2316" t="s">
        <v>7171</v>
      </c>
      <c r="F2316" t="s">
        <v>78</v>
      </c>
      <c r="G2316" t="s">
        <v>7167</v>
      </c>
      <c r="H2316" t="s">
        <v>59</v>
      </c>
      <c r="I2316" s="32">
        <v>45099.668356481481</v>
      </c>
      <c r="J2316" s="32">
        <v>45100.668356481481</v>
      </c>
      <c r="K2316" s="32">
        <v>45102.668356481481</v>
      </c>
      <c r="L2316" s="8">
        <f t="shared" si="941"/>
        <v>3</v>
      </c>
      <c r="M2316" s="7">
        <v>45113.668356481481</v>
      </c>
      <c r="N2316" t="s">
        <v>49</v>
      </c>
      <c r="O2316" s="34">
        <v>45111.668356481481</v>
      </c>
      <c r="P2316" t="s">
        <v>101</v>
      </c>
      <c r="R2316" s="32">
        <v>45114.668356481481</v>
      </c>
      <c r="S2316" t="s">
        <v>101</v>
      </c>
      <c r="T2316" s="34">
        <v>45113.668356481481</v>
      </c>
      <c r="U2316" s="34">
        <v>45115.668356481481</v>
      </c>
      <c r="V2316" s="32">
        <v>45113.668356481481</v>
      </c>
      <c r="W2316" s="32">
        <v>45116.668356481481</v>
      </c>
      <c r="X2316">
        <v>1</v>
      </c>
      <c r="Y2316" s="34">
        <v>45119.668356481481</v>
      </c>
      <c r="Z2316" s="34">
        <v>45120.668356481481</v>
      </c>
      <c r="AA2316" s="34">
        <v>45121.668356481481</v>
      </c>
      <c r="AB2316" s="36" t="s">
        <v>7476</v>
      </c>
      <c r="AC2316" s="10">
        <v>45130.668356481481</v>
      </c>
      <c r="AD2316" t="s">
        <v>7187</v>
      </c>
      <c r="AE2316" t="s">
        <v>7188</v>
      </c>
      <c r="AF2316" s="16">
        <v>45102</v>
      </c>
      <c r="AG2316" t="s">
        <v>98</v>
      </c>
      <c r="AH2316">
        <v>6</v>
      </c>
      <c r="AI2316" s="8">
        <f t="shared" si="943"/>
        <v>12.668356481481169</v>
      </c>
      <c r="AJ2316" s="8">
        <f t="shared" si="944"/>
        <v>9.6683564814811689</v>
      </c>
      <c r="AK2316" s="38">
        <f t="shared" si="942"/>
        <v>45293.668356481481</v>
      </c>
      <c r="AL2316">
        <f t="shared" si="945"/>
        <v>4</v>
      </c>
      <c r="AM2316">
        <f t="shared" si="946"/>
        <v>14</v>
      </c>
      <c r="AN2316">
        <f t="shared" si="947"/>
        <v>2</v>
      </c>
      <c r="AO2316">
        <f t="shared" si="948"/>
        <v>1</v>
      </c>
      <c r="AP2316">
        <f t="shared" si="949"/>
        <v>45129.668356481481</v>
      </c>
      <c r="AQ2316">
        <f t="shared" si="950"/>
        <v>5</v>
      </c>
    </row>
    <row r="2317" spans="1:43" x14ac:dyDescent="0.35">
      <c r="A2317">
        <v>2530</v>
      </c>
      <c r="B2317" t="s">
        <v>7189</v>
      </c>
      <c r="C2317" t="s">
        <v>6531</v>
      </c>
      <c r="D2317" t="str">
        <f t="shared" si="940"/>
        <v>Capacity Building</v>
      </c>
      <c r="E2317" t="s">
        <v>7171</v>
      </c>
      <c r="F2317" t="s">
        <v>78</v>
      </c>
      <c r="G2317" t="s">
        <v>7167</v>
      </c>
      <c r="H2317" t="s">
        <v>59</v>
      </c>
      <c r="I2317" s="32">
        <v>45026.778819444437</v>
      </c>
      <c r="J2317" s="32">
        <v>45028.778819444437</v>
      </c>
      <c r="K2317" s="32">
        <v>45033.778819444437</v>
      </c>
      <c r="L2317" s="8">
        <f t="shared" si="941"/>
        <v>7</v>
      </c>
      <c r="M2317" s="7">
        <v>45057.778819444437</v>
      </c>
      <c r="N2317" t="s">
        <v>49</v>
      </c>
      <c r="O2317" s="34">
        <v>45043.778819444437</v>
      </c>
      <c r="P2317" t="s">
        <v>101</v>
      </c>
      <c r="R2317" s="32">
        <v>45047.778819444437</v>
      </c>
      <c r="S2317" t="s">
        <v>101</v>
      </c>
      <c r="T2317" s="34">
        <v>45045.778819444437</v>
      </c>
      <c r="U2317" s="34">
        <v>45047.778819444437</v>
      </c>
      <c r="V2317" s="32">
        <v>45046.778819444437</v>
      </c>
      <c r="W2317" s="32">
        <v>45056.778819444437</v>
      </c>
      <c r="X2317">
        <v>1</v>
      </c>
      <c r="Y2317" s="34">
        <v>45059.778819444437</v>
      </c>
      <c r="Z2317" s="34">
        <v>45060.778819444437</v>
      </c>
      <c r="AA2317" s="34">
        <v>45062.778819444437</v>
      </c>
      <c r="AB2317" s="36" t="s">
        <v>7476</v>
      </c>
      <c r="AC2317" s="10">
        <v>45079.778819444437</v>
      </c>
      <c r="AD2317" t="s">
        <v>7190</v>
      </c>
      <c r="AE2317" t="s">
        <v>7191</v>
      </c>
      <c r="AF2317" s="16">
        <v>45030</v>
      </c>
      <c r="AG2317" t="s">
        <v>64</v>
      </c>
      <c r="AH2317">
        <v>3</v>
      </c>
      <c r="AI2317" s="8">
        <f t="shared" si="943"/>
        <v>17.778819444436522</v>
      </c>
      <c r="AJ2317" s="8">
        <f t="shared" si="944"/>
        <v>13.778819444436522</v>
      </c>
      <c r="AK2317" s="38">
        <f t="shared" si="942"/>
        <v>45136.778819444437</v>
      </c>
      <c r="AL2317">
        <f t="shared" si="945"/>
        <v>4</v>
      </c>
      <c r="AM2317">
        <f t="shared" si="946"/>
        <v>19</v>
      </c>
      <c r="AN2317">
        <f t="shared" si="947"/>
        <v>3</v>
      </c>
      <c r="AO2317">
        <f t="shared" si="948"/>
        <v>2</v>
      </c>
      <c r="AP2317">
        <f t="shared" si="949"/>
        <v>45078.778819444437</v>
      </c>
      <c r="AQ2317">
        <f t="shared" si="950"/>
        <v>6</v>
      </c>
    </row>
    <row r="2318" spans="1:43" x14ac:dyDescent="0.35">
      <c r="A2318">
        <v>2528</v>
      </c>
      <c r="B2318" t="s">
        <v>7192</v>
      </c>
      <c r="C2318" t="s">
        <v>6531</v>
      </c>
      <c r="D2318" t="str">
        <f t="shared" si="940"/>
        <v>Capacity Building</v>
      </c>
      <c r="E2318" t="s">
        <v>7171</v>
      </c>
      <c r="F2318" t="s">
        <v>78</v>
      </c>
      <c r="G2318" t="s">
        <v>7167</v>
      </c>
      <c r="H2318" t="s">
        <v>59</v>
      </c>
      <c r="I2318" s="32">
        <v>45026.778819444437</v>
      </c>
      <c r="J2318" s="32">
        <v>45030.778819444437</v>
      </c>
      <c r="K2318" s="32">
        <v>45033.778819444437</v>
      </c>
      <c r="L2318" s="8">
        <f t="shared" si="941"/>
        <v>7</v>
      </c>
      <c r="M2318" s="7">
        <v>45048.778819444437</v>
      </c>
      <c r="N2318" t="s">
        <v>72</v>
      </c>
      <c r="O2318" s="34" t="s">
        <v>7474</v>
      </c>
      <c r="R2318" s="32" t="s">
        <v>7472</v>
      </c>
      <c r="S2318" t="s">
        <v>7476</v>
      </c>
      <c r="T2318" s="34" t="s">
        <v>7476</v>
      </c>
      <c r="U2318" s="34" t="s">
        <v>7476</v>
      </c>
      <c r="V2318" s="32" t="s">
        <v>7476</v>
      </c>
      <c r="W2318" s="32" t="s">
        <v>7476</v>
      </c>
      <c r="X2318">
        <v>0</v>
      </c>
      <c r="Y2318" s="34" t="s">
        <v>7476</v>
      </c>
      <c r="Z2318" s="34" t="s">
        <v>7476</v>
      </c>
      <c r="AA2318" s="34" t="s">
        <v>7476</v>
      </c>
      <c r="AB2318" s="36" t="s">
        <v>7476</v>
      </c>
      <c r="AD2318" t="s">
        <v>7193</v>
      </c>
      <c r="AE2318" t="s">
        <v>7194</v>
      </c>
      <c r="AG2318" t="s">
        <v>64</v>
      </c>
      <c r="AH2318">
        <v>3</v>
      </c>
      <c r="AI2318" s="8" t="str">
        <f t="shared" si="943"/>
        <v/>
      </c>
      <c r="AJ2318" s="8" t="str">
        <f t="shared" si="944"/>
        <v/>
      </c>
      <c r="AK2318" s="38" t="str">
        <f t="shared" si="942"/>
        <v/>
      </c>
      <c r="AL2318" t="str">
        <f t="shared" si="945"/>
        <v/>
      </c>
      <c r="AM2318" t="str">
        <f t="shared" si="946"/>
        <v/>
      </c>
      <c r="AN2318" t="str">
        <f t="shared" si="947"/>
        <v/>
      </c>
      <c r="AO2318">
        <f t="shared" si="948"/>
        <v>4</v>
      </c>
      <c r="AP2318">
        <f t="shared" si="949"/>
        <v>0</v>
      </c>
      <c r="AQ2318" t="str">
        <f t="shared" si="950"/>
        <v/>
      </c>
    </row>
    <row r="2319" spans="1:43" x14ac:dyDescent="0.35">
      <c r="A2319">
        <v>2430</v>
      </c>
      <c r="B2319" t="s">
        <v>7195</v>
      </c>
      <c r="C2319" t="s">
        <v>6525</v>
      </c>
      <c r="D2319" t="str">
        <f t="shared" si="940"/>
        <v>Capacity Building</v>
      </c>
      <c r="E2319" t="s">
        <v>7171</v>
      </c>
      <c r="F2319" t="s">
        <v>78</v>
      </c>
      <c r="G2319" t="s">
        <v>7167</v>
      </c>
      <c r="H2319" t="s">
        <v>59</v>
      </c>
      <c r="I2319" s="32">
        <v>44836.25509259259</v>
      </c>
      <c r="J2319" s="32">
        <v>44838.25509259259</v>
      </c>
      <c r="K2319" s="32">
        <v>44841.25509259259</v>
      </c>
      <c r="L2319" s="8">
        <f t="shared" si="941"/>
        <v>5</v>
      </c>
      <c r="M2319" s="7">
        <v>44870.25509259259</v>
      </c>
      <c r="N2319" t="s">
        <v>49</v>
      </c>
      <c r="O2319" s="34">
        <v>44847.25509259259</v>
      </c>
      <c r="P2319" t="s">
        <v>101</v>
      </c>
      <c r="R2319" s="32">
        <v>44852.25509259259</v>
      </c>
      <c r="S2319" t="s">
        <v>101</v>
      </c>
      <c r="T2319" s="34">
        <v>44848.25509259259</v>
      </c>
      <c r="U2319" s="34">
        <v>44851.25509259259</v>
      </c>
      <c r="V2319" s="32">
        <v>44851.25509259259</v>
      </c>
      <c r="W2319" s="32">
        <v>44860.25509259259</v>
      </c>
      <c r="X2319">
        <v>1</v>
      </c>
      <c r="Y2319" s="34">
        <v>44862.25509259259</v>
      </c>
      <c r="Z2319" s="34">
        <v>44865.25509259259</v>
      </c>
      <c r="AA2319" s="34">
        <v>44868.25509259259</v>
      </c>
      <c r="AB2319" s="36" t="s">
        <v>7476</v>
      </c>
      <c r="AC2319" s="10">
        <v>44882.25509259259</v>
      </c>
      <c r="AD2319" t="s">
        <v>7196</v>
      </c>
      <c r="AE2319" t="s">
        <v>7197</v>
      </c>
      <c r="AF2319" s="16">
        <v>44829</v>
      </c>
      <c r="AG2319" t="s">
        <v>64</v>
      </c>
      <c r="AH2319">
        <v>6</v>
      </c>
      <c r="AI2319" s="8">
        <f t="shared" si="943"/>
        <v>23.25509259258979</v>
      </c>
      <c r="AJ2319" s="8">
        <f t="shared" si="944"/>
        <v>18.25509259258979</v>
      </c>
      <c r="AK2319" s="38">
        <f t="shared" si="942"/>
        <v>45031.25509259259</v>
      </c>
      <c r="AL2319">
        <f t="shared" si="945"/>
        <v>5</v>
      </c>
      <c r="AM2319">
        <f t="shared" si="946"/>
        <v>14</v>
      </c>
      <c r="AN2319">
        <f t="shared" si="947"/>
        <v>4</v>
      </c>
      <c r="AO2319">
        <f t="shared" si="948"/>
        <v>2</v>
      </c>
      <c r="AP2319">
        <f t="shared" si="949"/>
        <v>44881.25509259259</v>
      </c>
      <c r="AQ2319">
        <f t="shared" si="950"/>
        <v>8</v>
      </c>
    </row>
    <row r="2320" spans="1:43" x14ac:dyDescent="0.35">
      <c r="A2320">
        <v>2427</v>
      </c>
      <c r="B2320" t="s">
        <v>7198</v>
      </c>
      <c r="C2320" t="s">
        <v>6550</v>
      </c>
      <c r="D2320" t="str">
        <f t="shared" si="940"/>
        <v>Capacity Building</v>
      </c>
      <c r="E2320" t="s">
        <v>7171</v>
      </c>
      <c r="F2320" t="s">
        <v>78</v>
      </c>
      <c r="G2320" t="s">
        <v>7167</v>
      </c>
      <c r="H2320" t="s">
        <v>59</v>
      </c>
      <c r="I2320" s="32">
        <v>44839.25509259259</v>
      </c>
      <c r="J2320" s="32">
        <v>44840.25509259259</v>
      </c>
      <c r="K2320" s="32">
        <v>44841.25509259259</v>
      </c>
      <c r="L2320" s="8">
        <f t="shared" si="941"/>
        <v>2</v>
      </c>
      <c r="M2320" s="7">
        <v>44849.25509259259</v>
      </c>
      <c r="N2320" t="s">
        <v>49</v>
      </c>
      <c r="O2320" s="34">
        <v>44845.25509259259</v>
      </c>
      <c r="P2320" t="s">
        <v>101</v>
      </c>
      <c r="R2320" s="32">
        <v>44851.25509259259</v>
      </c>
      <c r="S2320" t="s">
        <v>101</v>
      </c>
      <c r="T2320" s="34">
        <v>44847.25509259259</v>
      </c>
      <c r="U2320" s="34">
        <v>44848.25509259259</v>
      </c>
      <c r="V2320" s="32">
        <v>44849.25509259259</v>
      </c>
      <c r="W2320" s="32">
        <v>44850.25509259259</v>
      </c>
      <c r="X2320">
        <v>1</v>
      </c>
      <c r="Y2320" s="34">
        <v>44853.25509259259</v>
      </c>
      <c r="Z2320" s="34">
        <v>44856.25509259259</v>
      </c>
      <c r="AA2320" s="34">
        <v>44859.25509259259</v>
      </c>
      <c r="AB2320" s="36" t="s">
        <v>7476</v>
      </c>
      <c r="AC2320" s="10">
        <v>44874.25509259259</v>
      </c>
      <c r="AD2320" t="s">
        <v>7199</v>
      </c>
      <c r="AE2320" t="s">
        <v>7200</v>
      </c>
      <c r="AF2320" s="16">
        <v>44827</v>
      </c>
      <c r="AG2320" t="s">
        <v>68</v>
      </c>
      <c r="AH2320">
        <v>3</v>
      </c>
      <c r="AI2320" s="8">
        <f t="shared" si="943"/>
        <v>24.25509259258979</v>
      </c>
      <c r="AJ2320" s="8">
        <f t="shared" si="944"/>
        <v>18.25509259258979</v>
      </c>
      <c r="AK2320" s="38">
        <f t="shared" si="942"/>
        <v>44939.25509259259</v>
      </c>
      <c r="AL2320">
        <f t="shared" si="945"/>
        <v>6</v>
      </c>
      <c r="AM2320">
        <f t="shared" si="946"/>
        <v>11</v>
      </c>
      <c r="AN2320">
        <f t="shared" si="947"/>
        <v>4</v>
      </c>
      <c r="AO2320">
        <f t="shared" si="948"/>
        <v>1</v>
      </c>
      <c r="AP2320">
        <f t="shared" si="949"/>
        <v>44873.25509259259</v>
      </c>
      <c r="AQ2320">
        <f t="shared" si="950"/>
        <v>9</v>
      </c>
    </row>
    <row r="2321" spans="1:43" x14ac:dyDescent="0.35">
      <c r="A2321">
        <v>2137</v>
      </c>
      <c r="B2321" t="s">
        <v>7201</v>
      </c>
      <c r="C2321" t="s">
        <v>6550</v>
      </c>
      <c r="D2321" t="str">
        <f t="shared" si="940"/>
        <v>Capacity Building</v>
      </c>
      <c r="E2321" t="s">
        <v>7171</v>
      </c>
      <c r="F2321" t="s">
        <v>78</v>
      </c>
      <c r="G2321" t="s">
        <v>7167</v>
      </c>
      <c r="H2321" t="s">
        <v>59</v>
      </c>
      <c r="I2321" s="32">
        <v>44774.516493055547</v>
      </c>
      <c r="J2321" s="32">
        <v>44775.516493055547</v>
      </c>
      <c r="K2321" s="32">
        <v>44781.516493055547</v>
      </c>
      <c r="L2321" s="8">
        <f t="shared" si="941"/>
        <v>7</v>
      </c>
      <c r="M2321" s="7">
        <v>44797.516493055547</v>
      </c>
      <c r="N2321" t="s">
        <v>72</v>
      </c>
      <c r="O2321" s="34" t="s">
        <v>7474</v>
      </c>
      <c r="R2321" s="32" t="s">
        <v>7472</v>
      </c>
      <c r="S2321" t="s">
        <v>7476</v>
      </c>
      <c r="T2321" s="34" t="s">
        <v>7476</v>
      </c>
      <c r="U2321" s="34" t="s">
        <v>7476</v>
      </c>
      <c r="V2321" s="32" t="s">
        <v>7476</v>
      </c>
      <c r="W2321" s="32" t="s">
        <v>7476</v>
      </c>
      <c r="X2321">
        <v>0</v>
      </c>
      <c r="Y2321" s="34" t="s">
        <v>7476</v>
      </c>
      <c r="Z2321" s="34" t="s">
        <v>7476</v>
      </c>
      <c r="AA2321" s="34" t="s">
        <v>7476</v>
      </c>
      <c r="AB2321" s="36" t="s">
        <v>7476</v>
      </c>
      <c r="AD2321" t="s">
        <v>7202</v>
      </c>
      <c r="AE2321" t="s">
        <v>7203</v>
      </c>
      <c r="AG2321" t="s">
        <v>98</v>
      </c>
      <c r="AH2321">
        <v>3</v>
      </c>
      <c r="AI2321" s="8" t="str">
        <f t="shared" si="943"/>
        <v/>
      </c>
      <c r="AJ2321" s="8" t="str">
        <f t="shared" si="944"/>
        <v/>
      </c>
      <c r="AK2321" s="38" t="str">
        <f t="shared" si="942"/>
        <v/>
      </c>
      <c r="AL2321" t="str">
        <f t="shared" si="945"/>
        <v/>
      </c>
      <c r="AM2321" t="str">
        <f t="shared" si="946"/>
        <v/>
      </c>
      <c r="AN2321" t="str">
        <f t="shared" si="947"/>
        <v/>
      </c>
      <c r="AO2321">
        <f t="shared" si="948"/>
        <v>1</v>
      </c>
      <c r="AP2321">
        <f t="shared" si="949"/>
        <v>0</v>
      </c>
      <c r="AQ2321" t="str">
        <f t="shared" si="950"/>
        <v/>
      </c>
    </row>
    <row r="2322" spans="1:43" x14ac:dyDescent="0.35">
      <c r="A2322">
        <v>2103</v>
      </c>
      <c r="B2322" t="s">
        <v>7204</v>
      </c>
      <c r="C2322" t="s">
        <v>6531</v>
      </c>
      <c r="D2322" t="str">
        <f t="shared" si="940"/>
        <v>Capacity Building</v>
      </c>
      <c r="E2322" t="s">
        <v>7171</v>
      </c>
      <c r="F2322" t="s">
        <v>78</v>
      </c>
      <c r="G2322" t="s">
        <v>7167</v>
      </c>
      <c r="H2322" t="s">
        <v>59</v>
      </c>
      <c r="I2322" s="32">
        <v>44684.022326388891</v>
      </c>
      <c r="J2322" s="32">
        <v>44687.022326388891</v>
      </c>
      <c r="K2322" s="32">
        <v>44692.022326388891</v>
      </c>
      <c r="L2322" s="8">
        <f t="shared" si="941"/>
        <v>8</v>
      </c>
      <c r="M2322" s="7">
        <v>44719.022326388891</v>
      </c>
      <c r="N2322" t="s">
        <v>72</v>
      </c>
      <c r="O2322" s="34" t="s">
        <v>7474</v>
      </c>
      <c r="R2322" s="32" t="s">
        <v>7472</v>
      </c>
      <c r="S2322" t="s">
        <v>7476</v>
      </c>
      <c r="T2322" s="34" t="s">
        <v>7476</v>
      </c>
      <c r="U2322" s="34" t="s">
        <v>7476</v>
      </c>
      <c r="V2322" s="32" t="s">
        <v>7476</v>
      </c>
      <c r="W2322" s="32" t="s">
        <v>7476</v>
      </c>
      <c r="X2322">
        <v>0</v>
      </c>
      <c r="Y2322" s="34" t="s">
        <v>7476</v>
      </c>
      <c r="Z2322" s="34" t="s">
        <v>7476</v>
      </c>
      <c r="AA2322" s="34" t="s">
        <v>7476</v>
      </c>
      <c r="AB2322" s="36" t="s">
        <v>7476</v>
      </c>
      <c r="AD2322" t="s">
        <v>7205</v>
      </c>
      <c r="AE2322" t="s">
        <v>7206</v>
      </c>
      <c r="AG2322" t="s">
        <v>98</v>
      </c>
      <c r="AH2322">
        <v>3</v>
      </c>
      <c r="AI2322" s="8" t="str">
        <f t="shared" si="943"/>
        <v/>
      </c>
      <c r="AJ2322" s="8" t="str">
        <f t="shared" si="944"/>
        <v/>
      </c>
      <c r="AK2322" s="38" t="str">
        <f t="shared" si="942"/>
        <v/>
      </c>
      <c r="AL2322" t="str">
        <f t="shared" si="945"/>
        <v/>
      </c>
      <c r="AM2322" t="str">
        <f t="shared" si="946"/>
        <v/>
      </c>
      <c r="AN2322" t="str">
        <f t="shared" si="947"/>
        <v/>
      </c>
      <c r="AO2322">
        <f t="shared" si="948"/>
        <v>3</v>
      </c>
      <c r="AP2322">
        <f t="shared" si="949"/>
        <v>0</v>
      </c>
      <c r="AQ2322" t="str">
        <f t="shared" si="950"/>
        <v/>
      </c>
    </row>
    <row r="2323" spans="1:43" x14ac:dyDescent="0.35">
      <c r="A2323">
        <v>2099</v>
      </c>
      <c r="B2323" t="s">
        <v>7207</v>
      </c>
      <c r="C2323" t="s">
        <v>6525</v>
      </c>
      <c r="D2323" t="str">
        <f t="shared" si="940"/>
        <v>Capacity Building</v>
      </c>
      <c r="E2323" t="s">
        <v>7171</v>
      </c>
      <c r="F2323" t="s">
        <v>1046</v>
      </c>
      <c r="G2323" t="s">
        <v>6588</v>
      </c>
      <c r="H2323" t="s">
        <v>59</v>
      </c>
      <c r="I2323" s="32">
        <v>44857.987488425933</v>
      </c>
      <c r="J2323" s="32">
        <v>44859.987488425933</v>
      </c>
      <c r="K2323" s="32" t="s">
        <v>7473</v>
      </c>
      <c r="L2323" s="8" t="str">
        <f t="shared" si="941"/>
        <v/>
      </c>
      <c r="M2323" s="7">
        <v>44881.987488425933</v>
      </c>
      <c r="N2323" t="s">
        <v>49</v>
      </c>
      <c r="O2323" s="34">
        <v>44868.987488425933</v>
      </c>
      <c r="P2323" t="s">
        <v>101</v>
      </c>
      <c r="R2323" s="32">
        <v>44871.987488425933</v>
      </c>
      <c r="S2323" t="s">
        <v>101</v>
      </c>
      <c r="T2323" s="34">
        <v>44869.987488425933</v>
      </c>
      <c r="U2323" s="34">
        <v>44870.987488425933</v>
      </c>
      <c r="V2323" s="32">
        <v>44869.987488425933</v>
      </c>
      <c r="W2323" s="32">
        <v>44872.987488425933</v>
      </c>
      <c r="X2323">
        <v>1</v>
      </c>
      <c r="Y2323" s="34">
        <v>44876.987488425933</v>
      </c>
      <c r="Z2323" s="34">
        <v>44879.987488425933</v>
      </c>
      <c r="AA2323" s="34">
        <v>44881.987488425933</v>
      </c>
      <c r="AB2323" s="36" t="s">
        <v>7476</v>
      </c>
      <c r="AC2323" s="10">
        <v>44889.987488425933</v>
      </c>
      <c r="AD2323" t="s">
        <v>7208</v>
      </c>
      <c r="AE2323" t="s">
        <v>7209</v>
      </c>
      <c r="AF2323" s="16">
        <v>44863</v>
      </c>
      <c r="AG2323" t="s">
        <v>68</v>
      </c>
      <c r="AH2323">
        <v>6</v>
      </c>
      <c r="AK2323" s="38">
        <f t="shared" si="942"/>
        <v>45049.987488425933</v>
      </c>
    </row>
    <row r="2324" spans="1:43" x14ac:dyDescent="0.35">
      <c r="A2324">
        <v>2097</v>
      </c>
      <c r="B2324" t="s">
        <v>7210</v>
      </c>
      <c r="C2324" t="s">
        <v>6531</v>
      </c>
      <c r="D2324" t="str">
        <f t="shared" si="940"/>
        <v>Capacity Building</v>
      </c>
      <c r="E2324" t="s">
        <v>7171</v>
      </c>
      <c r="F2324" t="s">
        <v>1046</v>
      </c>
      <c r="G2324" t="s">
        <v>6588</v>
      </c>
      <c r="H2324" t="s">
        <v>59</v>
      </c>
      <c r="I2324" s="32">
        <v>44861.987488425933</v>
      </c>
      <c r="J2324" s="32">
        <v>44863.987488425933</v>
      </c>
      <c r="K2324" s="32">
        <v>44864.987488425933</v>
      </c>
      <c r="L2324" s="8">
        <f t="shared" si="941"/>
        <v>3</v>
      </c>
      <c r="M2324" s="7">
        <v>44891.987488425933</v>
      </c>
      <c r="N2324" t="s">
        <v>72</v>
      </c>
      <c r="O2324" s="34" t="s">
        <v>7474</v>
      </c>
      <c r="R2324" s="32" t="s">
        <v>7472</v>
      </c>
      <c r="S2324" t="s">
        <v>7476</v>
      </c>
      <c r="T2324" s="34" t="s">
        <v>7476</v>
      </c>
      <c r="U2324" s="34" t="s">
        <v>7476</v>
      </c>
      <c r="V2324" s="32" t="s">
        <v>7476</v>
      </c>
      <c r="W2324" s="32" t="s">
        <v>7476</v>
      </c>
      <c r="X2324">
        <v>0</v>
      </c>
      <c r="Y2324" s="34" t="s">
        <v>7476</v>
      </c>
      <c r="Z2324" s="34" t="s">
        <v>7476</v>
      </c>
      <c r="AA2324" s="34" t="s">
        <v>7476</v>
      </c>
      <c r="AB2324" s="36" t="s">
        <v>7476</v>
      </c>
      <c r="AD2324" t="s">
        <v>7211</v>
      </c>
      <c r="AE2324" t="s">
        <v>7212</v>
      </c>
      <c r="AG2324" t="s">
        <v>98</v>
      </c>
      <c r="AH2324">
        <v>6</v>
      </c>
      <c r="AI2324" s="8" t="str">
        <f>IFERROR(R2324-AF2324,"")</f>
        <v/>
      </c>
      <c r="AJ2324" s="8" t="str">
        <f>IFERROR(O2324-AF2324,"")</f>
        <v/>
      </c>
      <c r="AK2324" s="38" t="str">
        <f t="shared" si="942"/>
        <v/>
      </c>
      <c r="AL2324" t="str">
        <f>IFERROR(Z2324-W2324,"")</f>
        <v/>
      </c>
      <c r="AM2324" t="str">
        <f>IFERROR(R2324-J2324,"")</f>
        <v/>
      </c>
      <c r="AN2324" t="str">
        <f>IFERROR(V2324-O2324,"")</f>
        <v/>
      </c>
      <c r="AO2324">
        <f>IFERROR(J2324-I2324,"")</f>
        <v>2</v>
      </c>
      <c r="AP2324">
        <f>IFERROR(AC2324-X2324,"")</f>
        <v>0</v>
      </c>
      <c r="AQ2324" t="str">
        <f>IFERROR(AA2324-W2324,"")</f>
        <v/>
      </c>
    </row>
    <row r="2325" spans="1:43" x14ac:dyDescent="0.35">
      <c r="A2325">
        <v>2034</v>
      </c>
      <c r="B2325" t="s">
        <v>7213</v>
      </c>
      <c r="C2325" t="s">
        <v>6531</v>
      </c>
      <c r="D2325" t="str">
        <f t="shared" si="940"/>
        <v>Capacity Building</v>
      </c>
      <c r="E2325" t="s">
        <v>7171</v>
      </c>
      <c r="F2325" t="s">
        <v>1046</v>
      </c>
      <c r="G2325" t="s">
        <v>6588</v>
      </c>
      <c r="H2325" t="s">
        <v>59</v>
      </c>
      <c r="I2325" s="32">
        <v>44648.861122685194</v>
      </c>
      <c r="J2325" s="32">
        <v>44649.861122685194</v>
      </c>
      <c r="K2325" s="32">
        <v>44652.861122685194</v>
      </c>
      <c r="L2325" s="8">
        <f t="shared" si="941"/>
        <v>4</v>
      </c>
      <c r="M2325" s="7">
        <v>44666.861122685194</v>
      </c>
      <c r="N2325" t="s">
        <v>49</v>
      </c>
      <c r="O2325" s="34">
        <v>44662.861122685194</v>
      </c>
      <c r="P2325" t="s">
        <v>101</v>
      </c>
      <c r="R2325" s="32">
        <v>44667.861122685194</v>
      </c>
      <c r="S2325" t="s">
        <v>101</v>
      </c>
      <c r="T2325" s="34">
        <v>44663.861122685194</v>
      </c>
      <c r="U2325" s="34">
        <v>44667.861122685194</v>
      </c>
      <c r="V2325" s="32">
        <v>44663.861122685194</v>
      </c>
      <c r="W2325" s="32">
        <v>44665.861122685194</v>
      </c>
      <c r="X2325">
        <v>1</v>
      </c>
      <c r="Y2325" s="34">
        <v>44669.861122685194</v>
      </c>
      <c r="Z2325" s="34">
        <v>44672.861122685194</v>
      </c>
      <c r="AA2325" s="34">
        <v>44673.861122685194</v>
      </c>
      <c r="AB2325" s="36" t="s">
        <v>7476</v>
      </c>
      <c r="AC2325" s="10">
        <v>44694.861122685194</v>
      </c>
      <c r="AD2325" t="s">
        <v>7214</v>
      </c>
      <c r="AE2325" t="s">
        <v>7215</v>
      </c>
      <c r="AF2325" s="16">
        <v>44644</v>
      </c>
      <c r="AG2325" t="s">
        <v>64</v>
      </c>
      <c r="AH2325">
        <v>3</v>
      </c>
      <c r="AI2325" s="8">
        <f>IFERROR(R2325-AF2325,"")</f>
        <v>23.86112268519355</v>
      </c>
      <c r="AJ2325" s="8">
        <f>IFERROR(O2325-AF2325,"")</f>
        <v>18.86112268519355</v>
      </c>
      <c r="AK2325" s="38">
        <f t="shared" si="942"/>
        <v>44753.861122685194</v>
      </c>
      <c r="AL2325">
        <f>IFERROR(Z2325-W2325,"")</f>
        <v>7</v>
      </c>
      <c r="AM2325">
        <f>IFERROR(R2325-J2325,"")</f>
        <v>18</v>
      </c>
      <c r="AN2325">
        <f>IFERROR(V2325-O2325,"")</f>
        <v>1</v>
      </c>
      <c r="AO2325">
        <f>IFERROR(J2325-I2325,"")</f>
        <v>1</v>
      </c>
      <c r="AP2325">
        <f>IFERROR(AC2325-X2325,"")</f>
        <v>44693.861122685194</v>
      </c>
      <c r="AQ2325">
        <f>IFERROR(AA2325-W2325,"")</f>
        <v>8</v>
      </c>
    </row>
    <row r="2326" spans="1:43" x14ac:dyDescent="0.35">
      <c r="A2326">
        <v>1931</v>
      </c>
      <c r="B2326" t="s">
        <v>7216</v>
      </c>
      <c r="C2326" t="s">
        <v>6525</v>
      </c>
      <c r="D2326" t="str">
        <f t="shared" si="940"/>
        <v>Capacity Building</v>
      </c>
      <c r="E2326" t="s">
        <v>7171</v>
      </c>
      <c r="F2326" t="s">
        <v>1046</v>
      </c>
      <c r="G2326" t="s">
        <v>6588</v>
      </c>
      <c r="H2326" t="s">
        <v>59</v>
      </c>
      <c r="I2326" s="32">
        <v>45178.30609953704</v>
      </c>
      <c r="J2326" s="32">
        <v>45180.30609953704</v>
      </c>
      <c r="K2326" s="32">
        <v>45184.30609953704</v>
      </c>
      <c r="L2326" s="8">
        <f t="shared" si="941"/>
        <v>6</v>
      </c>
      <c r="M2326" s="7">
        <v>45203.30609953704</v>
      </c>
      <c r="N2326" t="s">
        <v>49</v>
      </c>
      <c r="O2326" s="34">
        <v>45190.30609953704</v>
      </c>
      <c r="P2326" t="s">
        <v>101</v>
      </c>
      <c r="R2326" s="32">
        <v>45195.30609953704</v>
      </c>
      <c r="S2326" t="s">
        <v>101</v>
      </c>
      <c r="T2326" s="34">
        <v>45192.30609953704</v>
      </c>
      <c r="U2326" s="34">
        <v>45193.30609953704</v>
      </c>
      <c r="V2326" s="32">
        <v>45192.30609953704</v>
      </c>
      <c r="W2326" s="32">
        <v>45201.30609953704</v>
      </c>
      <c r="X2326">
        <v>1</v>
      </c>
      <c r="Y2326" s="34">
        <v>45203.30609953704</v>
      </c>
      <c r="Z2326" s="34">
        <v>45204.30609953704</v>
      </c>
      <c r="AA2326" s="34">
        <v>45205.30609953704</v>
      </c>
      <c r="AB2326" s="36" t="s">
        <v>7476</v>
      </c>
      <c r="AC2326" s="10">
        <v>45224.30609953704</v>
      </c>
      <c r="AD2326" t="s">
        <v>7217</v>
      </c>
      <c r="AE2326" t="s">
        <v>7218</v>
      </c>
      <c r="AF2326" s="16">
        <v>45025</v>
      </c>
      <c r="AG2326" t="s">
        <v>64</v>
      </c>
      <c r="AH2326">
        <v>6</v>
      </c>
      <c r="AI2326" s="8">
        <f>IFERROR(R2326-AF2326,"")</f>
        <v>170.3060995370397</v>
      </c>
      <c r="AJ2326" s="8">
        <f>IFERROR(O2326-AF2326,"")</f>
        <v>165.3060995370397</v>
      </c>
      <c r="AK2326" s="38">
        <f t="shared" si="942"/>
        <v>45372.30609953704</v>
      </c>
      <c r="AL2326">
        <f>IFERROR(Z2326-W2326,"")</f>
        <v>3</v>
      </c>
      <c r="AM2326">
        <f>IFERROR(R2326-J2326,"")</f>
        <v>15</v>
      </c>
      <c r="AN2326">
        <f>IFERROR(V2326-O2326,"")</f>
        <v>2</v>
      </c>
      <c r="AO2326">
        <f>IFERROR(J2326-I2326,"")</f>
        <v>2</v>
      </c>
      <c r="AP2326">
        <f>IFERROR(AC2326-X2326,"")</f>
        <v>45223.30609953704</v>
      </c>
      <c r="AQ2326">
        <f>IFERROR(AA2326-W2326,"")</f>
        <v>4</v>
      </c>
    </row>
    <row r="2327" spans="1:43" x14ac:dyDescent="0.35">
      <c r="A2327">
        <v>1691</v>
      </c>
      <c r="B2327" t="s">
        <v>7219</v>
      </c>
      <c r="C2327" t="s">
        <v>6531</v>
      </c>
      <c r="D2327" t="str">
        <f t="shared" si="940"/>
        <v>Capacity Building</v>
      </c>
      <c r="E2327" t="s">
        <v>7171</v>
      </c>
      <c r="F2327" t="s">
        <v>1046</v>
      </c>
      <c r="G2327" t="s">
        <v>6588</v>
      </c>
      <c r="H2327" t="s">
        <v>59</v>
      </c>
      <c r="I2327" s="32">
        <v>44979.764687499999</v>
      </c>
      <c r="J2327" s="32">
        <v>44983.764687499999</v>
      </c>
      <c r="K2327" s="32">
        <v>44989.764687499999</v>
      </c>
      <c r="L2327" s="8">
        <f t="shared" si="941"/>
        <v>10</v>
      </c>
      <c r="M2327" s="7">
        <v>45007.764687499999</v>
      </c>
      <c r="N2327" t="s">
        <v>72</v>
      </c>
      <c r="O2327" s="34" t="s">
        <v>7474</v>
      </c>
      <c r="R2327" s="32" t="s">
        <v>7472</v>
      </c>
      <c r="S2327" t="s">
        <v>7476</v>
      </c>
      <c r="T2327" s="34" t="s">
        <v>7476</v>
      </c>
      <c r="U2327" s="34" t="s">
        <v>7476</v>
      </c>
      <c r="V2327" s="32" t="s">
        <v>7476</v>
      </c>
      <c r="W2327" s="32" t="s">
        <v>7476</v>
      </c>
      <c r="X2327">
        <v>0</v>
      </c>
      <c r="Y2327" s="34" t="s">
        <v>7476</v>
      </c>
      <c r="Z2327" s="34" t="s">
        <v>7476</v>
      </c>
      <c r="AA2327" s="34" t="s">
        <v>7476</v>
      </c>
      <c r="AB2327" s="36" t="s">
        <v>7476</v>
      </c>
      <c r="AD2327" t="s">
        <v>7220</v>
      </c>
      <c r="AE2327" t="s">
        <v>7221</v>
      </c>
      <c r="AG2327" t="s">
        <v>98</v>
      </c>
      <c r="AH2327">
        <v>6</v>
      </c>
      <c r="AI2327" s="8" t="str">
        <f>IFERROR(R2327-AF2327,"")</f>
        <v/>
      </c>
      <c r="AJ2327" s="8" t="str">
        <f>IFERROR(O2327-AF2327,"")</f>
        <v/>
      </c>
      <c r="AK2327" s="38" t="str">
        <f t="shared" si="942"/>
        <v/>
      </c>
      <c r="AL2327" t="str">
        <f>IFERROR(Z2327-W2327,"")</f>
        <v/>
      </c>
      <c r="AM2327" t="str">
        <f>IFERROR(R2327-J2327,"")</f>
        <v/>
      </c>
      <c r="AN2327" t="str">
        <f>IFERROR(V2327-O2327,"")</f>
        <v/>
      </c>
      <c r="AO2327">
        <f>IFERROR(J2327-I2327,"")</f>
        <v>4</v>
      </c>
      <c r="AP2327">
        <f>IFERROR(AC2327-X2327,"")</f>
        <v>0</v>
      </c>
      <c r="AQ2327" t="str">
        <f>IFERROR(AA2327-W2327,"")</f>
        <v/>
      </c>
    </row>
    <row r="2328" spans="1:43" x14ac:dyDescent="0.35">
      <c r="A2328">
        <v>1556</v>
      </c>
      <c r="B2328" t="s">
        <v>7222</v>
      </c>
      <c r="C2328" t="s">
        <v>6550</v>
      </c>
      <c r="D2328" t="str">
        <f t="shared" si="940"/>
        <v>Capacity Building</v>
      </c>
      <c r="E2328" t="s">
        <v>7171</v>
      </c>
      <c r="F2328" t="s">
        <v>1046</v>
      </c>
      <c r="G2328" t="s">
        <v>6588</v>
      </c>
      <c r="H2328" t="s">
        <v>59</v>
      </c>
      <c r="I2328" s="32" t="s">
        <v>7471</v>
      </c>
      <c r="J2328" s="32">
        <v>44904.597222222219</v>
      </c>
      <c r="K2328" s="32">
        <v>44907.597222222219</v>
      </c>
      <c r="L2328" s="8" t="str">
        <f t="shared" si="941"/>
        <v/>
      </c>
      <c r="M2328" s="7">
        <v>44925.597222222219</v>
      </c>
      <c r="N2328" t="s">
        <v>72</v>
      </c>
      <c r="O2328" s="34" t="s">
        <v>7474</v>
      </c>
      <c r="R2328" s="32" t="s">
        <v>7472</v>
      </c>
      <c r="S2328" t="s">
        <v>7476</v>
      </c>
      <c r="T2328" s="34" t="s">
        <v>7476</v>
      </c>
      <c r="U2328" s="34" t="s">
        <v>7476</v>
      </c>
      <c r="V2328" s="32" t="s">
        <v>7476</v>
      </c>
      <c r="W2328" s="32" t="s">
        <v>7476</v>
      </c>
      <c r="X2328">
        <v>0</v>
      </c>
      <c r="Y2328" s="34" t="s">
        <v>7476</v>
      </c>
      <c r="Z2328" s="34" t="s">
        <v>7476</v>
      </c>
      <c r="AA2328" s="34" t="s">
        <v>7476</v>
      </c>
      <c r="AB2328" s="36" t="s">
        <v>7476</v>
      </c>
      <c r="AD2328" t="s">
        <v>7223</v>
      </c>
      <c r="AE2328" t="s">
        <v>7224</v>
      </c>
      <c r="AG2328" t="s">
        <v>68</v>
      </c>
      <c r="AH2328">
        <v>6</v>
      </c>
      <c r="AK2328" s="38" t="str">
        <f t="shared" si="942"/>
        <v/>
      </c>
    </row>
    <row r="2329" spans="1:43" x14ac:dyDescent="0.35">
      <c r="A2329">
        <v>1233</v>
      </c>
      <c r="B2329" t="s">
        <v>7225</v>
      </c>
      <c r="C2329" t="s">
        <v>6525</v>
      </c>
      <c r="D2329" t="str">
        <f t="shared" si="940"/>
        <v>Capacity Building</v>
      </c>
      <c r="E2329" t="s">
        <v>7171</v>
      </c>
      <c r="F2329" t="s">
        <v>1046</v>
      </c>
      <c r="G2329" t="s">
        <v>6588</v>
      </c>
      <c r="H2329" t="s">
        <v>59</v>
      </c>
      <c r="I2329" s="32">
        <v>44979.728877314818</v>
      </c>
      <c r="J2329" s="32">
        <v>44982.728877314818</v>
      </c>
      <c r="K2329" s="32">
        <v>44986.728877314818</v>
      </c>
      <c r="L2329" s="8">
        <f t="shared" si="941"/>
        <v>7</v>
      </c>
      <c r="M2329" s="7">
        <v>45009.728877314818</v>
      </c>
      <c r="N2329" t="s">
        <v>72</v>
      </c>
      <c r="O2329" s="34" t="s">
        <v>7474</v>
      </c>
      <c r="R2329" s="32" t="s">
        <v>7472</v>
      </c>
      <c r="S2329" t="s">
        <v>7476</v>
      </c>
      <c r="T2329" s="34" t="s">
        <v>7476</v>
      </c>
      <c r="U2329" s="34" t="s">
        <v>7476</v>
      </c>
      <c r="V2329" s="32" t="s">
        <v>7476</v>
      </c>
      <c r="W2329" s="32" t="s">
        <v>7476</v>
      </c>
      <c r="X2329">
        <v>0</v>
      </c>
      <c r="Y2329" s="34" t="s">
        <v>7476</v>
      </c>
      <c r="Z2329" s="34" t="s">
        <v>7476</v>
      </c>
      <c r="AA2329" s="34" t="s">
        <v>7476</v>
      </c>
      <c r="AB2329" s="36" t="s">
        <v>7476</v>
      </c>
      <c r="AD2329" t="s">
        <v>7226</v>
      </c>
      <c r="AE2329" t="s">
        <v>7227</v>
      </c>
      <c r="AG2329" t="s">
        <v>98</v>
      </c>
      <c r="AH2329">
        <v>3</v>
      </c>
      <c r="AI2329" s="8" t="str">
        <f>IFERROR(R2329-AF2329,"")</f>
        <v/>
      </c>
      <c r="AJ2329" s="8" t="str">
        <f>IFERROR(O2329-AF2329,"")</f>
        <v/>
      </c>
      <c r="AK2329" s="38" t="str">
        <f t="shared" si="942"/>
        <v/>
      </c>
      <c r="AL2329" t="str">
        <f>IFERROR(Z2329-W2329,"")</f>
        <v/>
      </c>
      <c r="AM2329" t="str">
        <f>IFERROR(R2329-J2329,"")</f>
        <v/>
      </c>
      <c r="AN2329" t="str">
        <f>IFERROR(V2329-O2329,"")</f>
        <v/>
      </c>
      <c r="AO2329">
        <f>IFERROR(J2329-I2329,"")</f>
        <v>3</v>
      </c>
      <c r="AP2329">
        <f>IFERROR(AC2329-X2329,"")</f>
        <v>0</v>
      </c>
      <c r="AQ2329" t="str">
        <f>IFERROR(AA2329-W2329,"")</f>
        <v/>
      </c>
    </row>
    <row r="2330" spans="1:43" x14ac:dyDescent="0.35">
      <c r="A2330">
        <v>1230</v>
      </c>
      <c r="B2330" t="s">
        <v>7228</v>
      </c>
      <c r="C2330" t="s">
        <v>6525</v>
      </c>
      <c r="D2330" t="str">
        <f t="shared" si="940"/>
        <v>Capacity Building</v>
      </c>
      <c r="E2330" t="s">
        <v>7171</v>
      </c>
      <c r="F2330" t="s">
        <v>1046</v>
      </c>
      <c r="G2330" t="s">
        <v>6588</v>
      </c>
      <c r="H2330" t="s">
        <v>59</v>
      </c>
      <c r="I2330" s="32">
        <v>44732.14203703704</v>
      </c>
      <c r="J2330" s="32" t="s">
        <v>7471</v>
      </c>
      <c r="K2330" s="32">
        <v>44741.14203703704</v>
      </c>
      <c r="L2330" s="8">
        <f t="shared" si="941"/>
        <v>9</v>
      </c>
      <c r="M2330" s="7">
        <v>44768.14203703704</v>
      </c>
      <c r="N2330" t="s">
        <v>49</v>
      </c>
      <c r="O2330" s="34">
        <v>44746.14203703704</v>
      </c>
      <c r="P2330" t="s">
        <v>101</v>
      </c>
      <c r="R2330" s="32">
        <v>44753.14203703704</v>
      </c>
      <c r="S2330" t="s">
        <v>101</v>
      </c>
      <c r="T2330" s="34">
        <v>44747.14203703704</v>
      </c>
      <c r="U2330" s="34">
        <v>44748.14203703704</v>
      </c>
      <c r="V2330" s="32">
        <v>44749.14203703704</v>
      </c>
      <c r="W2330" s="32">
        <v>44755.14203703704</v>
      </c>
      <c r="X2330">
        <v>1</v>
      </c>
      <c r="Y2330" s="34">
        <v>44756.14203703704</v>
      </c>
      <c r="Z2330" s="34">
        <v>44759.14203703704</v>
      </c>
      <c r="AA2330" s="34">
        <v>44762.14203703704</v>
      </c>
      <c r="AB2330" s="36" t="s">
        <v>7476</v>
      </c>
      <c r="AC2330" s="10">
        <v>44782.14203703704</v>
      </c>
      <c r="AD2330" t="s">
        <v>7229</v>
      </c>
      <c r="AE2330" t="s">
        <v>7230</v>
      </c>
      <c r="AF2330" s="16">
        <v>44729</v>
      </c>
      <c r="AG2330" t="s">
        <v>55</v>
      </c>
      <c r="AH2330">
        <v>3</v>
      </c>
      <c r="AK2330" s="38">
        <f t="shared" si="942"/>
        <v>44839.14203703704</v>
      </c>
    </row>
    <row r="2331" spans="1:43" x14ac:dyDescent="0.35">
      <c r="A2331">
        <v>1206</v>
      </c>
      <c r="B2331" t="s">
        <v>7231</v>
      </c>
      <c r="C2331" t="s">
        <v>6531</v>
      </c>
      <c r="D2331" t="str">
        <f t="shared" si="940"/>
        <v>Capacity Building</v>
      </c>
      <c r="E2331" t="s">
        <v>7171</v>
      </c>
      <c r="F2331" t="s">
        <v>1046</v>
      </c>
      <c r="G2331" t="s">
        <v>6588</v>
      </c>
      <c r="H2331" t="s">
        <v>59</v>
      </c>
      <c r="I2331" s="32">
        <v>44763.205266203702</v>
      </c>
      <c r="J2331" s="32">
        <v>44764.205266203702</v>
      </c>
      <c r="K2331" s="32" t="s">
        <v>7473</v>
      </c>
      <c r="L2331" s="8" t="str">
        <f t="shared" si="941"/>
        <v/>
      </c>
      <c r="M2331" s="7">
        <v>44797.205266203702</v>
      </c>
      <c r="N2331" t="s">
        <v>49</v>
      </c>
      <c r="O2331" s="34">
        <v>44786.205266203702</v>
      </c>
      <c r="P2331" t="s">
        <v>101</v>
      </c>
      <c r="R2331" s="32">
        <v>44791.205266203702</v>
      </c>
      <c r="S2331" t="s">
        <v>101</v>
      </c>
      <c r="T2331" s="34">
        <v>44787.205266203702</v>
      </c>
      <c r="U2331" s="34">
        <v>44790.205266203702</v>
      </c>
      <c r="V2331" s="32">
        <v>44790.205266203702</v>
      </c>
      <c r="W2331" s="32">
        <v>44793.205266203702</v>
      </c>
      <c r="X2331">
        <v>1</v>
      </c>
      <c r="Y2331" s="34">
        <v>44795.205266203702</v>
      </c>
      <c r="Z2331" s="34">
        <v>44797.205266203702</v>
      </c>
      <c r="AA2331" s="34">
        <v>44799.205266203702</v>
      </c>
      <c r="AB2331" s="36" t="s">
        <v>7476</v>
      </c>
      <c r="AC2331" s="10">
        <v>44808.205266203702</v>
      </c>
      <c r="AD2331" t="s">
        <v>7232</v>
      </c>
      <c r="AE2331" t="s">
        <v>7233</v>
      </c>
      <c r="AF2331" s="16">
        <v>44772</v>
      </c>
      <c r="AG2331" t="s">
        <v>55</v>
      </c>
      <c r="AH2331">
        <v>6</v>
      </c>
      <c r="AK2331" s="38">
        <f t="shared" si="942"/>
        <v>44970.205266203702</v>
      </c>
    </row>
    <row r="2332" spans="1:43" x14ac:dyDescent="0.35">
      <c r="A2332">
        <v>1193</v>
      </c>
      <c r="B2332" t="s">
        <v>7234</v>
      </c>
      <c r="C2332" t="s">
        <v>6550</v>
      </c>
      <c r="D2332" t="str">
        <f t="shared" si="940"/>
        <v>Capacity Building</v>
      </c>
      <c r="E2332" t="s">
        <v>7171</v>
      </c>
      <c r="F2332" t="s">
        <v>1046</v>
      </c>
      <c r="G2332" t="s">
        <v>6588</v>
      </c>
      <c r="H2332" t="s">
        <v>59</v>
      </c>
      <c r="I2332" s="32">
        <v>44768.966006944444</v>
      </c>
      <c r="J2332" s="32">
        <v>44769.966006944444</v>
      </c>
      <c r="K2332" s="32">
        <v>44771.966006944444</v>
      </c>
      <c r="L2332" s="8">
        <f t="shared" si="941"/>
        <v>3</v>
      </c>
      <c r="M2332" s="7">
        <v>44780.966006944444</v>
      </c>
      <c r="N2332" t="s">
        <v>49</v>
      </c>
      <c r="O2332" s="34">
        <v>44779.966006944444</v>
      </c>
      <c r="P2332" t="s">
        <v>101</v>
      </c>
      <c r="R2332" s="32">
        <v>44785.966006944444</v>
      </c>
      <c r="S2332" t="s">
        <v>101</v>
      </c>
      <c r="T2332" s="34">
        <v>44780.966006944444</v>
      </c>
      <c r="U2332" s="34">
        <v>44782.966006944444</v>
      </c>
      <c r="V2332" s="32">
        <v>44783.966006944444</v>
      </c>
      <c r="W2332" s="32">
        <v>44790.966006944444</v>
      </c>
      <c r="X2332">
        <v>1</v>
      </c>
      <c r="Y2332" s="34">
        <v>44794.966006944444</v>
      </c>
      <c r="Z2332" s="34">
        <v>44796.966006944444</v>
      </c>
      <c r="AA2332" s="34">
        <v>44799.966006944444</v>
      </c>
      <c r="AB2332" s="36" t="s">
        <v>7476</v>
      </c>
      <c r="AC2332" s="10">
        <v>44814.966006944444</v>
      </c>
      <c r="AD2332" t="s">
        <v>7235</v>
      </c>
      <c r="AE2332" t="s">
        <v>7236</v>
      </c>
      <c r="AF2332" s="16">
        <v>44768</v>
      </c>
      <c r="AG2332" t="s">
        <v>64</v>
      </c>
      <c r="AH2332">
        <v>6</v>
      </c>
      <c r="AI2332" s="8">
        <f t="shared" ref="AI2332:AI2342" si="951">IFERROR(R2332-AF2332,"")</f>
        <v>17.966006944443507</v>
      </c>
      <c r="AJ2332" s="8">
        <f t="shared" ref="AJ2332:AJ2342" si="952">IFERROR(O2332-AF2332,"")</f>
        <v>11.966006944443507</v>
      </c>
      <c r="AK2332" s="38">
        <f t="shared" si="942"/>
        <v>44963.966006944444</v>
      </c>
      <c r="AL2332">
        <f t="shared" ref="AL2332:AL2342" si="953">IFERROR(Z2332-W2332,"")</f>
        <v>6</v>
      </c>
      <c r="AM2332">
        <f t="shared" ref="AM2332:AM2342" si="954">IFERROR(R2332-J2332,"")</f>
        <v>16</v>
      </c>
      <c r="AN2332">
        <f t="shared" ref="AN2332:AN2342" si="955">IFERROR(V2332-O2332,"")</f>
        <v>4</v>
      </c>
      <c r="AO2332">
        <f t="shared" ref="AO2332:AO2342" si="956">IFERROR(J2332-I2332,"")</f>
        <v>1</v>
      </c>
      <c r="AP2332">
        <f t="shared" ref="AP2332:AP2342" si="957">IFERROR(AC2332-X2332,"")</f>
        <v>44813.966006944444</v>
      </c>
      <c r="AQ2332">
        <f t="shared" ref="AQ2332:AQ2342" si="958">IFERROR(AA2332-W2332,"")</f>
        <v>9</v>
      </c>
    </row>
    <row r="2333" spans="1:43" x14ac:dyDescent="0.35">
      <c r="A2333">
        <v>1175</v>
      </c>
      <c r="B2333" t="s">
        <v>7237</v>
      </c>
      <c r="C2333" t="s">
        <v>6550</v>
      </c>
      <c r="D2333" t="str">
        <f t="shared" si="940"/>
        <v>Capacity Building</v>
      </c>
      <c r="E2333" t="s">
        <v>7171</v>
      </c>
      <c r="F2333" t="s">
        <v>1046</v>
      </c>
      <c r="G2333" t="s">
        <v>6588</v>
      </c>
      <c r="H2333" t="s">
        <v>59</v>
      </c>
      <c r="I2333" s="32">
        <v>45061.041770833333</v>
      </c>
      <c r="J2333" s="32">
        <v>45064.041770833333</v>
      </c>
      <c r="K2333" s="32">
        <v>45066.041770833333</v>
      </c>
      <c r="L2333" s="8">
        <f t="shared" si="941"/>
        <v>5</v>
      </c>
      <c r="M2333" s="7">
        <v>45083.041770833333</v>
      </c>
      <c r="N2333" t="s">
        <v>49</v>
      </c>
      <c r="O2333" s="34">
        <v>45072.041770833333</v>
      </c>
      <c r="P2333" t="s">
        <v>101</v>
      </c>
      <c r="R2333" s="32">
        <v>45078.041770833333</v>
      </c>
      <c r="S2333" t="s">
        <v>101</v>
      </c>
      <c r="T2333" s="34">
        <v>45074.041770833333</v>
      </c>
      <c r="U2333" s="34">
        <v>45077.041770833333</v>
      </c>
      <c r="V2333" s="32">
        <v>45074.041770833333</v>
      </c>
      <c r="W2333" s="32">
        <v>45080.041770833333</v>
      </c>
      <c r="X2333">
        <v>1</v>
      </c>
      <c r="Y2333" s="34">
        <v>45082.041770833333</v>
      </c>
      <c r="Z2333" s="34">
        <v>45084.041770833333</v>
      </c>
      <c r="AA2333" s="34">
        <v>45087.041770833333</v>
      </c>
      <c r="AB2333" s="36" t="s">
        <v>7476</v>
      </c>
      <c r="AC2333" s="10">
        <v>45094.041770833333</v>
      </c>
      <c r="AD2333" t="s">
        <v>7238</v>
      </c>
      <c r="AE2333" t="s">
        <v>7239</v>
      </c>
      <c r="AF2333" s="16">
        <v>45062</v>
      </c>
      <c r="AG2333" t="s">
        <v>64</v>
      </c>
      <c r="AH2333">
        <v>6</v>
      </c>
      <c r="AI2333" s="8">
        <f t="shared" si="951"/>
        <v>16.04177083333343</v>
      </c>
      <c r="AJ2333" s="8">
        <f t="shared" si="952"/>
        <v>10.04177083333343</v>
      </c>
      <c r="AK2333" s="38">
        <f t="shared" si="942"/>
        <v>45254.041770833333</v>
      </c>
      <c r="AL2333">
        <f t="shared" si="953"/>
        <v>4</v>
      </c>
      <c r="AM2333">
        <f t="shared" si="954"/>
        <v>14</v>
      </c>
      <c r="AN2333">
        <f t="shared" si="955"/>
        <v>2</v>
      </c>
      <c r="AO2333">
        <f t="shared" si="956"/>
        <v>3</v>
      </c>
      <c r="AP2333">
        <f t="shared" si="957"/>
        <v>45093.041770833333</v>
      </c>
      <c r="AQ2333">
        <f t="shared" si="958"/>
        <v>7</v>
      </c>
    </row>
    <row r="2334" spans="1:43" x14ac:dyDescent="0.35">
      <c r="A2334">
        <v>1172</v>
      </c>
      <c r="B2334" t="s">
        <v>7240</v>
      </c>
      <c r="C2334" t="s">
        <v>6525</v>
      </c>
      <c r="D2334" t="str">
        <f t="shared" si="940"/>
        <v>Capacity Building</v>
      </c>
      <c r="E2334" t="s">
        <v>7171</v>
      </c>
      <c r="F2334" t="s">
        <v>1046</v>
      </c>
      <c r="G2334" t="s">
        <v>6588</v>
      </c>
      <c r="H2334" t="s">
        <v>59</v>
      </c>
      <c r="I2334" s="32">
        <v>45060.041770833333</v>
      </c>
      <c r="J2334" s="32">
        <v>45062.041770833333</v>
      </c>
      <c r="K2334" s="32">
        <v>45066.041770833333</v>
      </c>
      <c r="L2334" s="8">
        <f t="shared" si="941"/>
        <v>6</v>
      </c>
      <c r="M2334" s="7">
        <v>45090.041770833333</v>
      </c>
      <c r="N2334" t="s">
        <v>72</v>
      </c>
      <c r="O2334" s="34" t="s">
        <v>7474</v>
      </c>
      <c r="R2334" s="32" t="s">
        <v>7472</v>
      </c>
      <c r="S2334" t="s">
        <v>7476</v>
      </c>
      <c r="T2334" s="34" t="s">
        <v>7476</v>
      </c>
      <c r="U2334" s="34" t="s">
        <v>7476</v>
      </c>
      <c r="V2334" s="32" t="s">
        <v>7476</v>
      </c>
      <c r="W2334" s="32" t="s">
        <v>7476</v>
      </c>
      <c r="X2334">
        <v>0</v>
      </c>
      <c r="Y2334" s="34" t="s">
        <v>7476</v>
      </c>
      <c r="Z2334" s="34" t="s">
        <v>7476</v>
      </c>
      <c r="AA2334" s="34" t="s">
        <v>7476</v>
      </c>
      <c r="AB2334" s="36" t="s">
        <v>7476</v>
      </c>
      <c r="AD2334" t="s">
        <v>7241</v>
      </c>
      <c r="AE2334" t="s">
        <v>7242</v>
      </c>
      <c r="AG2334" t="s">
        <v>98</v>
      </c>
      <c r="AH2334">
        <v>3</v>
      </c>
      <c r="AI2334" s="8" t="str">
        <f t="shared" si="951"/>
        <v/>
      </c>
      <c r="AJ2334" s="8" t="str">
        <f t="shared" si="952"/>
        <v/>
      </c>
      <c r="AK2334" s="38" t="str">
        <f t="shared" si="942"/>
        <v/>
      </c>
      <c r="AL2334" t="str">
        <f t="shared" si="953"/>
        <v/>
      </c>
      <c r="AM2334" t="str">
        <f t="shared" si="954"/>
        <v/>
      </c>
      <c r="AN2334" t="str">
        <f t="shared" si="955"/>
        <v/>
      </c>
      <c r="AO2334">
        <f t="shared" si="956"/>
        <v>2</v>
      </c>
      <c r="AP2334">
        <f t="shared" si="957"/>
        <v>0</v>
      </c>
      <c r="AQ2334" t="str">
        <f t="shared" si="958"/>
        <v/>
      </c>
    </row>
    <row r="2335" spans="1:43" x14ac:dyDescent="0.35">
      <c r="A2335">
        <v>925</v>
      </c>
      <c r="B2335" t="s">
        <v>7243</v>
      </c>
      <c r="C2335" t="s">
        <v>6531</v>
      </c>
      <c r="D2335" t="str">
        <f t="shared" si="940"/>
        <v>Capacity Building</v>
      </c>
      <c r="E2335" t="s">
        <v>7171</v>
      </c>
      <c r="F2335" t="s">
        <v>1046</v>
      </c>
      <c r="G2335" t="s">
        <v>6588</v>
      </c>
      <c r="H2335" t="s">
        <v>59</v>
      </c>
      <c r="I2335" s="32">
        <v>45074.494004629632</v>
      </c>
      <c r="J2335" s="32">
        <v>45078.494004629632</v>
      </c>
      <c r="K2335" s="32">
        <v>45080.494004629632</v>
      </c>
      <c r="L2335" s="8">
        <f t="shared" si="941"/>
        <v>6</v>
      </c>
      <c r="M2335" s="7">
        <v>45088.494004629632</v>
      </c>
      <c r="N2335" t="s">
        <v>49</v>
      </c>
      <c r="O2335" s="34">
        <v>45092.494004629632</v>
      </c>
      <c r="P2335" t="s">
        <v>50</v>
      </c>
      <c r="Q2335" t="s">
        <v>51</v>
      </c>
      <c r="R2335" s="32" t="s">
        <v>7472</v>
      </c>
      <c r="S2335" t="s">
        <v>7476</v>
      </c>
      <c r="T2335" s="34" t="s">
        <v>7476</v>
      </c>
      <c r="U2335" s="34" t="s">
        <v>7476</v>
      </c>
      <c r="V2335" s="32">
        <v>45093.494004629632</v>
      </c>
      <c r="W2335" s="32" t="s">
        <v>7476</v>
      </c>
      <c r="X2335">
        <v>0</v>
      </c>
      <c r="Y2335" s="34" t="s">
        <v>7476</v>
      </c>
      <c r="Z2335" s="34" t="s">
        <v>7476</v>
      </c>
      <c r="AA2335" s="34" t="s">
        <v>7476</v>
      </c>
      <c r="AB2335" s="36" t="s">
        <v>52</v>
      </c>
      <c r="AD2335" t="s">
        <v>7244</v>
      </c>
      <c r="AE2335" t="s">
        <v>7245</v>
      </c>
      <c r="AF2335" s="16">
        <v>45175</v>
      </c>
      <c r="AG2335" t="s">
        <v>68</v>
      </c>
      <c r="AH2335">
        <v>6</v>
      </c>
      <c r="AI2335" s="8" t="str">
        <f t="shared" si="951"/>
        <v/>
      </c>
      <c r="AJ2335" s="8">
        <f t="shared" si="952"/>
        <v>-82.5059953703676</v>
      </c>
      <c r="AK2335" s="38">
        <f t="shared" si="942"/>
        <v>45273.494004629632</v>
      </c>
      <c r="AL2335" t="str">
        <f t="shared" si="953"/>
        <v/>
      </c>
      <c r="AM2335" t="str">
        <f t="shared" si="954"/>
        <v/>
      </c>
      <c r="AN2335">
        <f t="shared" si="955"/>
        <v>1</v>
      </c>
      <c r="AO2335">
        <f t="shared" si="956"/>
        <v>4</v>
      </c>
      <c r="AP2335">
        <f t="shared" si="957"/>
        <v>0</v>
      </c>
      <c r="AQ2335" t="str">
        <f t="shared" si="958"/>
        <v/>
      </c>
    </row>
    <row r="2336" spans="1:43" x14ac:dyDescent="0.35">
      <c r="A2336">
        <v>807</v>
      </c>
      <c r="B2336" t="s">
        <v>7246</v>
      </c>
      <c r="C2336" t="s">
        <v>6525</v>
      </c>
      <c r="D2336" t="str">
        <f t="shared" si="940"/>
        <v>Capacity Building</v>
      </c>
      <c r="E2336" t="s">
        <v>7171</v>
      </c>
      <c r="F2336" t="s">
        <v>1046</v>
      </c>
      <c r="G2336" t="s">
        <v>6588</v>
      </c>
      <c r="H2336" t="s">
        <v>59</v>
      </c>
      <c r="I2336" s="32">
        <v>44939.903796296298</v>
      </c>
      <c r="J2336" s="32">
        <v>44940.903796296298</v>
      </c>
      <c r="K2336" s="32">
        <v>44944.903796296298</v>
      </c>
      <c r="L2336" s="8">
        <f t="shared" si="941"/>
        <v>5</v>
      </c>
      <c r="M2336" s="7">
        <v>44949.903796296298</v>
      </c>
      <c r="N2336" t="s">
        <v>72</v>
      </c>
      <c r="O2336" s="34" t="s">
        <v>7474</v>
      </c>
      <c r="R2336" s="32" t="s">
        <v>7472</v>
      </c>
      <c r="S2336" t="s">
        <v>7476</v>
      </c>
      <c r="T2336" s="34" t="s">
        <v>7476</v>
      </c>
      <c r="U2336" s="34" t="s">
        <v>7476</v>
      </c>
      <c r="V2336" s="32" t="s">
        <v>7476</v>
      </c>
      <c r="W2336" s="32" t="s">
        <v>7476</v>
      </c>
      <c r="X2336">
        <v>0</v>
      </c>
      <c r="Y2336" s="34" t="s">
        <v>7476</v>
      </c>
      <c r="Z2336" s="34" t="s">
        <v>7476</v>
      </c>
      <c r="AA2336" s="34" t="s">
        <v>7476</v>
      </c>
      <c r="AB2336" s="36" t="s">
        <v>7476</v>
      </c>
      <c r="AD2336" t="s">
        <v>7247</v>
      </c>
      <c r="AE2336" t="s">
        <v>7248</v>
      </c>
      <c r="AG2336" t="s">
        <v>98</v>
      </c>
      <c r="AH2336">
        <v>3</v>
      </c>
      <c r="AI2336" s="8" t="str">
        <f t="shared" si="951"/>
        <v/>
      </c>
      <c r="AJ2336" s="8" t="str">
        <f t="shared" si="952"/>
        <v/>
      </c>
      <c r="AK2336" s="38" t="str">
        <f t="shared" si="942"/>
        <v/>
      </c>
      <c r="AL2336" t="str">
        <f t="shared" si="953"/>
        <v/>
      </c>
      <c r="AM2336" t="str">
        <f t="shared" si="954"/>
        <v/>
      </c>
      <c r="AN2336" t="str">
        <f t="shared" si="955"/>
        <v/>
      </c>
      <c r="AO2336">
        <f t="shared" si="956"/>
        <v>1</v>
      </c>
      <c r="AP2336">
        <f t="shared" si="957"/>
        <v>0</v>
      </c>
      <c r="AQ2336" t="str">
        <f t="shared" si="958"/>
        <v/>
      </c>
    </row>
    <row r="2337" spans="1:43" x14ac:dyDescent="0.35">
      <c r="A2337">
        <v>780</v>
      </c>
      <c r="B2337" t="s">
        <v>7249</v>
      </c>
      <c r="C2337" t="s">
        <v>6525</v>
      </c>
      <c r="D2337" t="str">
        <f t="shared" si="940"/>
        <v>Capacity Building</v>
      </c>
      <c r="E2337" t="s">
        <v>7171</v>
      </c>
      <c r="F2337" t="s">
        <v>1046</v>
      </c>
      <c r="G2337" t="s">
        <v>6588</v>
      </c>
      <c r="H2337" t="s">
        <v>59</v>
      </c>
      <c r="I2337" s="32">
        <v>45007.397060185183</v>
      </c>
      <c r="J2337" s="32">
        <v>45009.397060185183</v>
      </c>
      <c r="K2337" s="32">
        <v>45012.397060185183</v>
      </c>
      <c r="L2337" s="8">
        <f t="shared" si="941"/>
        <v>5</v>
      </c>
      <c r="M2337" s="7">
        <v>45026.397060185183</v>
      </c>
      <c r="N2337" t="s">
        <v>49</v>
      </c>
      <c r="O2337" s="34">
        <v>45017.397060185183</v>
      </c>
      <c r="P2337" t="s">
        <v>50</v>
      </c>
      <c r="Q2337" t="s">
        <v>236</v>
      </c>
      <c r="R2337" s="32" t="s">
        <v>7472</v>
      </c>
      <c r="S2337" t="s">
        <v>7476</v>
      </c>
      <c r="T2337" s="34" t="s">
        <v>7476</v>
      </c>
      <c r="U2337" s="34" t="s">
        <v>7476</v>
      </c>
      <c r="V2337" s="32">
        <v>45019.397060185183</v>
      </c>
      <c r="W2337" s="32" t="s">
        <v>7476</v>
      </c>
      <c r="X2337">
        <v>0</v>
      </c>
      <c r="Y2337" s="34" t="s">
        <v>7476</v>
      </c>
      <c r="Z2337" s="34" t="s">
        <v>7476</v>
      </c>
      <c r="AA2337" s="34" t="s">
        <v>7476</v>
      </c>
      <c r="AB2337" s="36" t="s">
        <v>95</v>
      </c>
      <c r="AD2337" t="s">
        <v>7250</v>
      </c>
      <c r="AE2337" t="s">
        <v>7251</v>
      </c>
      <c r="AF2337" s="16">
        <v>45010</v>
      </c>
      <c r="AG2337" t="s">
        <v>98</v>
      </c>
      <c r="AH2337">
        <v>6</v>
      </c>
      <c r="AI2337" s="8" t="str">
        <f t="shared" si="951"/>
        <v/>
      </c>
      <c r="AJ2337" s="8">
        <f t="shared" si="952"/>
        <v>7.3970601851833635</v>
      </c>
      <c r="AK2337" s="38">
        <f t="shared" si="942"/>
        <v>45199.397060185183</v>
      </c>
      <c r="AL2337" t="str">
        <f t="shared" si="953"/>
        <v/>
      </c>
      <c r="AM2337" t="str">
        <f t="shared" si="954"/>
        <v/>
      </c>
      <c r="AN2337">
        <f t="shared" si="955"/>
        <v>2</v>
      </c>
      <c r="AO2337">
        <f t="shared" si="956"/>
        <v>2</v>
      </c>
      <c r="AP2337">
        <f t="shared" si="957"/>
        <v>0</v>
      </c>
      <c r="AQ2337" t="str">
        <f t="shared" si="958"/>
        <v/>
      </c>
    </row>
    <row r="2338" spans="1:43" x14ac:dyDescent="0.35">
      <c r="A2338">
        <v>667</v>
      </c>
      <c r="B2338" t="s">
        <v>7252</v>
      </c>
      <c r="C2338" t="s">
        <v>6525</v>
      </c>
      <c r="D2338" t="str">
        <f t="shared" si="940"/>
        <v>Capacity Building</v>
      </c>
      <c r="E2338" t="s">
        <v>7171</v>
      </c>
      <c r="F2338" t="s">
        <v>1046</v>
      </c>
      <c r="G2338" t="s">
        <v>6588</v>
      </c>
      <c r="H2338" t="s">
        <v>59</v>
      </c>
      <c r="I2338" s="32">
        <v>44566.204074074078</v>
      </c>
      <c r="J2338" s="32">
        <v>44570.204074074078</v>
      </c>
      <c r="K2338" s="32">
        <v>44576.204074074078</v>
      </c>
      <c r="L2338" s="8">
        <f t="shared" si="941"/>
        <v>10</v>
      </c>
      <c r="M2338" s="7">
        <v>44592.204074074078</v>
      </c>
      <c r="N2338" t="s">
        <v>49</v>
      </c>
      <c r="O2338" s="34">
        <v>44588.204074074078</v>
      </c>
      <c r="P2338" t="s">
        <v>50</v>
      </c>
      <c r="Q2338" t="s">
        <v>51</v>
      </c>
      <c r="R2338" s="32" t="s">
        <v>7472</v>
      </c>
      <c r="S2338" t="s">
        <v>7476</v>
      </c>
      <c r="T2338" s="34" t="s">
        <v>7476</v>
      </c>
      <c r="U2338" s="34" t="s">
        <v>7476</v>
      </c>
      <c r="V2338" s="32">
        <v>44590.204074074078</v>
      </c>
      <c r="W2338" s="32" t="s">
        <v>7476</v>
      </c>
      <c r="X2338">
        <v>0</v>
      </c>
      <c r="Y2338" s="34" t="s">
        <v>7476</v>
      </c>
      <c r="Z2338" s="34" t="s">
        <v>7476</v>
      </c>
      <c r="AA2338" s="34" t="s">
        <v>7476</v>
      </c>
      <c r="AB2338" s="36" t="s">
        <v>52</v>
      </c>
      <c r="AD2338" t="s">
        <v>7253</v>
      </c>
      <c r="AE2338" t="s">
        <v>7254</v>
      </c>
      <c r="AF2338" s="16">
        <v>44569</v>
      </c>
      <c r="AG2338" t="s">
        <v>98</v>
      </c>
      <c r="AH2338">
        <v>3</v>
      </c>
      <c r="AI2338" s="8" t="str">
        <f t="shared" si="951"/>
        <v/>
      </c>
      <c r="AJ2338" s="8">
        <f t="shared" si="952"/>
        <v>19.204074074077653</v>
      </c>
      <c r="AK2338" s="38">
        <f t="shared" si="942"/>
        <v>44680.204074074078</v>
      </c>
      <c r="AL2338" t="str">
        <f t="shared" si="953"/>
        <v/>
      </c>
      <c r="AM2338" t="str">
        <f t="shared" si="954"/>
        <v/>
      </c>
      <c r="AN2338">
        <f t="shared" si="955"/>
        <v>2</v>
      </c>
      <c r="AO2338">
        <f t="shared" si="956"/>
        <v>4</v>
      </c>
      <c r="AP2338">
        <f t="shared" si="957"/>
        <v>0</v>
      </c>
      <c r="AQ2338" t="str">
        <f t="shared" si="958"/>
        <v/>
      </c>
    </row>
    <row r="2339" spans="1:43" x14ac:dyDescent="0.35">
      <c r="A2339">
        <v>627</v>
      </c>
      <c r="B2339" t="s">
        <v>7255</v>
      </c>
      <c r="C2339" t="s">
        <v>6531</v>
      </c>
      <c r="D2339" t="str">
        <f t="shared" si="940"/>
        <v>Capacity Building</v>
      </c>
      <c r="E2339" t="s">
        <v>7171</v>
      </c>
      <c r="F2339" t="s">
        <v>1046</v>
      </c>
      <c r="G2339" t="s">
        <v>6588</v>
      </c>
      <c r="H2339" t="s">
        <v>59</v>
      </c>
      <c r="I2339" s="32">
        <v>44993.828541666669</v>
      </c>
      <c r="J2339" s="32">
        <v>44994.828541666669</v>
      </c>
      <c r="K2339" s="32">
        <v>45000.828541666669</v>
      </c>
      <c r="L2339" s="8">
        <f t="shared" si="941"/>
        <v>7</v>
      </c>
      <c r="M2339" s="7">
        <v>45028.828541666669</v>
      </c>
      <c r="N2339" t="s">
        <v>49</v>
      </c>
      <c r="O2339" s="34">
        <v>45011.828541666669</v>
      </c>
      <c r="P2339" t="s">
        <v>50</v>
      </c>
      <c r="Q2339" t="s">
        <v>51</v>
      </c>
      <c r="R2339" s="32" t="s">
        <v>7472</v>
      </c>
      <c r="S2339" t="s">
        <v>7476</v>
      </c>
      <c r="T2339" s="34" t="s">
        <v>7476</v>
      </c>
      <c r="U2339" s="34" t="s">
        <v>7476</v>
      </c>
      <c r="V2339" s="32" t="s">
        <v>7476</v>
      </c>
      <c r="W2339" s="32" t="s">
        <v>7476</v>
      </c>
      <c r="X2339">
        <v>0</v>
      </c>
      <c r="Y2339" s="34" t="s">
        <v>7476</v>
      </c>
      <c r="Z2339" s="34" t="s">
        <v>7476</v>
      </c>
      <c r="AA2339" s="34" t="s">
        <v>7476</v>
      </c>
      <c r="AB2339" s="36" t="s">
        <v>52</v>
      </c>
      <c r="AD2339" t="s">
        <v>7256</v>
      </c>
      <c r="AE2339" t="s">
        <v>7257</v>
      </c>
      <c r="AF2339" s="16">
        <v>45000</v>
      </c>
      <c r="AG2339" t="s">
        <v>64</v>
      </c>
      <c r="AH2339">
        <v>3</v>
      </c>
      <c r="AI2339" s="8" t="str">
        <f t="shared" si="951"/>
        <v/>
      </c>
      <c r="AJ2339" s="8">
        <f t="shared" si="952"/>
        <v>11.82854166666948</v>
      </c>
      <c r="AK2339" s="38" t="str">
        <f t="shared" si="942"/>
        <v/>
      </c>
      <c r="AL2339" t="str">
        <f t="shared" si="953"/>
        <v/>
      </c>
      <c r="AM2339" t="str">
        <f t="shared" si="954"/>
        <v/>
      </c>
      <c r="AN2339" t="str">
        <f t="shared" si="955"/>
        <v/>
      </c>
      <c r="AO2339">
        <f t="shared" si="956"/>
        <v>1</v>
      </c>
      <c r="AP2339">
        <f t="shared" si="957"/>
        <v>0</v>
      </c>
      <c r="AQ2339" t="str">
        <f t="shared" si="958"/>
        <v/>
      </c>
    </row>
    <row r="2340" spans="1:43" x14ac:dyDescent="0.35">
      <c r="A2340">
        <v>621</v>
      </c>
      <c r="B2340" t="s">
        <v>7258</v>
      </c>
      <c r="C2340" t="s">
        <v>6531</v>
      </c>
      <c r="D2340" t="str">
        <f t="shared" si="940"/>
        <v>Capacity Building</v>
      </c>
      <c r="E2340" t="s">
        <v>7171</v>
      </c>
      <c r="F2340" t="s">
        <v>1046</v>
      </c>
      <c r="G2340" t="s">
        <v>6588</v>
      </c>
      <c r="H2340" t="s">
        <v>59</v>
      </c>
      <c r="I2340" s="32">
        <v>44992.828541666669</v>
      </c>
      <c r="J2340" s="32">
        <v>44995.828541666669</v>
      </c>
      <c r="K2340" s="32">
        <v>45000.828541666669</v>
      </c>
      <c r="L2340" s="8">
        <f t="shared" si="941"/>
        <v>8</v>
      </c>
      <c r="M2340" s="7">
        <v>45026.828541666669</v>
      </c>
      <c r="N2340" t="s">
        <v>49</v>
      </c>
      <c r="O2340" s="34">
        <v>45005.828541666669</v>
      </c>
      <c r="P2340" t="s">
        <v>101</v>
      </c>
      <c r="R2340" s="32">
        <v>45010.828541666669</v>
      </c>
      <c r="S2340" t="s">
        <v>101</v>
      </c>
      <c r="T2340" s="34">
        <v>45006.828541666669</v>
      </c>
      <c r="U2340" s="34">
        <v>45009.828541666669</v>
      </c>
      <c r="V2340" s="32">
        <v>45008.828541666669</v>
      </c>
      <c r="W2340" s="32">
        <v>45012.828541666669</v>
      </c>
      <c r="X2340">
        <v>1</v>
      </c>
      <c r="Y2340" s="34">
        <v>45013.828541666669</v>
      </c>
      <c r="Z2340" s="34">
        <v>45016.828541666669</v>
      </c>
      <c r="AA2340" s="34">
        <v>45019.828541666669</v>
      </c>
      <c r="AB2340" s="36" t="s">
        <v>7476</v>
      </c>
      <c r="AC2340" s="10">
        <v>45037.828541666669</v>
      </c>
      <c r="AD2340" t="s">
        <v>7259</v>
      </c>
      <c r="AE2340" t="s">
        <v>7260</v>
      </c>
      <c r="AF2340" s="16">
        <v>44992</v>
      </c>
      <c r="AG2340" t="s">
        <v>98</v>
      </c>
      <c r="AH2340">
        <v>3</v>
      </c>
      <c r="AI2340" s="8">
        <f t="shared" si="951"/>
        <v>18.82854166666948</v>
      </c>
      <c r="AJ2340" s="8">
        <f t="shared" si="952"/>
        <v>13.82854166666948</v>
      </c>
      <c r="AK2340" s="38">
        <f t="shared" si="942"/>
        <v>45098.828541666669</v>
      </c>
      <c r="AL2340">
        <f t="shared" si="953"/>
        <v>4</v>
      </c>
      <c r="AM2340">
        <f t="shared" si="954"/>
        <v>15</v>
      </c>
      <c r="AN2340">
        <f t="shared" si="955"/>
        <v>3</v>
      </c>
      <c r="AO2340">
        <f t="shared" si="956"/>
        <v>3</v>
      </c>
      <c r="AP2340">
        <f t="shared" si="957"/>
        <v>45036.828541666669</v>
      </c>
      <c r="AQ2340">
        <f t="shared" si="958"/>
        <v>7</v>
      </c>
    </row>
    <row r="2341" spans="1:43" x14ac:dyDescent="0.35">
      <c r="A2341">
        <v>531</v>
      </c>
      <c r="B2341" t="s">
        <v>7261</v>
      </c>
      <c r="C2341" t="s">
        <v>6525</v>
      </c>
      <c r="D2341" t="str">
        <f t="shared" si="940"/>
        <v>Capacity Building</v>
      </c>
      <c r="E2341" t="s">
        <v>7171</v>
      </c>
      <c r="F2341" t="s">
        <v>1046</v>
      </c>
      <c r="G2341" t="s">
        <v>6588</v>
      </c>
      <c r="H2341" t="s">
        <v>59</v>
      </c>
      <c r="I2341" s="32">
        <v>44576.271180555559</v>
      </c>
      <c r="J2341" s="32">
        <v>44577.271180555559</v>
      </c>
      <c r="K2341" s="32">
        <v>44578.271180555559</v>
      </c>
      <c r="L2341" s="8">
        <f t="shared" si="941"/>
        <v>2</v>
      </c>
      <c r="M2341" s="7">
        <v>44584.271180555559</v>
      </c>
      <c r="N2341" t="s">
        <v>49</v>
      </c>
      <c r="O2341" s="34">
        <v>44580.271180555559</v>
      </c>
      <c r="P2341" t="s">
        <v>50</v>
      </c>
      <c r="Q2341" t="s">
        <v>198</v>
      </c>
      <c r="R2341" s="32" t="s">
        <v>7472</v>
      </c>
      <c r="S2341" t="s">
        <v>7476</v>
      </c>
      <c r="T2341" s="34" t="s">
        <v>7476</v>
      </c>
      <c r="U2341" s="34" t="s">
        <v>7476</v>
      </c>
      <c r="V2341" s="32">
        <v>44581.271180555559</v>
      </c>
      <c r="W2341" s="32" t="s">
        <v>7476</v>
      </c>
      <c r="X2341">
        <v>0</v>
      </c>
      <c r="Y2341" s="34" t="s">
        <v>7476</v>
      </c>
      <c r="Z2341" s="34" t="s">
        <v>7476</v>
      </c>
      <c r="AA2341" s="34" t="s">
        <v>7476</v>
      </c>
      <c r="AB2341" s="36" t="s">
        <v>95</v>
      </c>
      <c r="AD2341" t="s">
        <v>7262</v>
      </c>
      <c r="AE2341" t="s">
        <v>7263</v>
      </c>
      <c r="AF2341" s="16">
        <v>44561</v>
      </c>
      <c r="AG2341" t="s">
        <v>98</v>
      </c>
      <c r="AH2341">
        <v>6</v>
      </c>
      <c r="AI2341" s="8" t="str">
        <f t="shared" si="951"/>
        <v/>
      </c>
      <c r="AJ2341" s="8">
        <f t="shared" si="952"/>
        <v>19.271180555559113</v>
      </c>
      <c r="AK2341" s="38">
        <f t="shared" si="942"/>
        <v>44761.271180555559</v>
      </c>
      <c r="AL2341" t="str">
        <f t="shared" si="953"/>
        <v/>
      </c>
      <c r="AM2341" t="str">
        <f t="shared" si="954"/>
        <v/>
      </c>
      <c r="AN2341">
        <f t="shared" si="955"/>
        <v>1</v>
      </c>
      <c r="AO2341">
        <f t="shared" si="956"/>
        <v>1</v>
      </c>
      <c r="AP2341">
        <f t="shared" si="957"/>
        <v>0</v>
      </c>
      <c r="AQ2341" t="str">
        <f t="shared" si="958"/>
        <v/>
      </c>
    </row>
    <row r="2342" spans="1:43" x14ac:dyDescent="0.35">
      <c r="A2342">
        <v>510</v>
      </c>
      <c r="B2342" t="s">
        <v>7264</v>
      </c>
      <c r="C2342" t="s">
        <v>6550</v>
      </c>
      <c r="D2342" t="str">
        <f t="shared" si="940"/>
        <v>Capacity Building</v>
      </c>
      <c r="E2342" t="s">
        <v>7171</v>
      </c>
      <c r="F2342" t="s">
        <v>46</v>
      </c>
      <c r="G2342" t="s">
        <v>7016</v>
      </c>
      <c r="H2342" t="s">
        <v>59</v>
      </c>
      <c r="I2342" s="32">
        <v>44742.103750000002</v>
      </c>
      <c r="J2342" s="32">
        <v>44745.103750000002</v>
      </c>
      <c r="K2342" s="32">
        <v>44749.103750000002</v>
      </c>
      <c r="L2342" s="8">
        <f t="shared" si="941"/>
        <v>7</v>
      </c>
      <c r="M2342" s="7">
        <v>44779.103750000002</v>
      </c>
      <c r="N2342" t="s">
        <v>49</v>
      </c>
      <c r="O2342" s="34">
        <v>44764.103750000002</v>
      </c>
      <c r="P2342" t="s">
        <v>50</v>
      </c>
      <c r="Q2342" t="s">
        <v>198</v>
      </c>
      <c r="R2342" s="32" t="s">
        <v>7472</v>
      </c>
      <c r="S2342" t="s">
        <v>7476</v>
      </c>
      <c r="T2342" s="34" t="s">
        <v>7476</v>
      </c>
      <c r="U2342" s="34" t="s">
        <v>7476</v>
      </c>
      <c r="V2342" s="32">
        <v>44767.103750000002</v>
      </c>
      <c r="W2342" s="32" t="s">
        <v>7476</v>
      </c>
      <c r="X2342">
        <v>0</v>
      </c>
      <c r="Y2342" s="34" t="s">
        <v>7476</v>
      </c>
      <c r="Z2342" s="34" t="s">
        <v>7476</v>
      </c>
      <c r="AA2342" s="34" t="s">
        <v>7476</v>
      </c>
      <c r="AB2342" s="36" t="s">
        <v>52</v>
      </c>
      <c r="AD2342" t="s">
        <v>7265</v>
      </c>
      <c r="AE2342" t="s">
        <v>7266</v>
      </c>
      <c r="AF2342" s="16">
        <v>44755</v>
      </c>
      <c r="AG2342" t="s">
        <v>64</v>
      </c>
      <c r="AH2342">
        <v>6</v>
      </c>
      <c r="AI2342" s="8" t="str">
        <f t="shared" si="951"/>
        <v/>
      </c>
      <c r="AJ2342" s="8">
        <f t="shared" si="952"/>
        <v>9.1037500000020373</v>
      </c>
      <c r="AK2342" s="38">
        <f t="shared" si="942"/>
        <v>44947.103750000002</v>
      </c>
      <c r="AL2342" t="str">
        <f t="shared" si="953"/>
        <v/>
      </c>
      <c r="AM2342" t="str">
        <f t="shared" si="954"/>
        <v/>
      </c>
      <c r="AN2342">
        <f t="shared" si="955"/>
        <v>3</v>
      </c>
      <c r="AO2342">
        <f t="shared" si="956"/>
        <v>3</v>
      </c>
      <c r="AP2342">
        <f t="shared" si="957"/>
        <v>0</v>
      </c>
      <c r="AQ2342" t="str">
        <f t="shared" si="958"/>
        <v/>
      </c>
    </row>
    <row r="2343" spans="1:43" x14ac:dyDescent="0.35">
      <c r="A2343">
        <v>430</v>
      </c>
      <c r="B2343" t="s">
        <v>7267</v>
      </c>
      <c r="C2343" t="s">
        <v>6531</v>
      </c>
      <c r="D2343" t="str">
        <f t="shared" si="940"/>
        <v>Capacity Building</v>
      </c>
      <c r="E2343" t="s">
        <v>7171</v>
      </c>
      <c r="F2343" t="s">
        <v>46</v>
      </c>
      <c r="G2343" t="s">
        <v>7016</v>
      </c>
      <c r="H2343" t="s">
        <v>59</v>
      </c>
      <c r="I2343" s="32">
        <v>44979.544421296298</v>
      </c>
      <c r="J2343" s="32" t="s">
        <v>7471</v>
      </c>
      <c r="K2343" s="32">
        <v>44987.544421296298</v>
      </c>
      <c r="L2343" s="8">
        <f t="shared" si="941"/>
        <v>8</v>
      </c>
      <c r="M2343" s="7">
        <v>45015.544421296298</v>
      </c>
      <c r="N2343" t="s">
        <v>49</v>
      </c>
      <c r="O2343" s="34">
        <v>44995.544421296298</v>
      </c>
      <c r="P2343" t="s">
        <v>101</v>
      </c>
      <c r="R2343" s="32">
        <v>45000.544421296298</v>
      </c>
      <c r="S2343" t="s">
        <v>101</v>
      </c>
      <c r="T2343" s="34">
        <v>44996.544421296298</v>
      </c>
      <c r="U2343" s="34">
        <v>44998.544421296298</v>
      </c>
      <c r="V2343" s="32">
        <v>44998.544421296298</v>
      </c>
      <c r="W2343" s="32">
        <v>45007.544421296298</v>
      </c>
      <c r="X2343">
        <v>1</v>
      </c>
      <c r="Y2343" s="34">
        <v>45009.544421296298</v>
      </c>
      <c r="Z2343" s="34">
        <v>45012.544421296298</v>
      </c>
      <c r="AA2343" s="34">
        <v>45013.544421296298</v>
      </c>
      <c r="AB2343" s="36" t="s">
        <v>7476</v>
      </c>
      <c r="AC2343" s="10">
        <v>45025.544421296298</v>
      </c>
      <c r="AD2343" t="s">
        <v>7268</v>
      </c>
      <c r="AE2343" t="s">
        <v>7269</v>
      </c>
      <c r="AF2343" s="16">
        <v>44978</v>
      </c>
      <c r="AG2343" t="s">
        <v>68</v>
      </c>
      <c r="AH2343">
        <v>6</v>
      </c>
      <c r="AK2343" s="38">
        <f t="shared" si="942"/>
        <v>45178.544421296298</v>
      </c>
    </row>
    <row r="2344" spans="1:43" x14ac:dyDescent="0.35">
      <c r="A2344">
        <v>425</v>
      </c>
      <c r="B2344" t="s">
        <v>7270</v>
      </c>
      <c r="C2344" t="s">
        <v>6525</v>
      </c>
      <c r="D2344" t="str">
        <f t="shared" si="940"/>
        <v>Capacity Building</v>
      </c>
      <c r="E2344" t="s">
        <v>7171</v>
      </c>
      <c r="F2344" t="s">
        <v>46</v>
      </c>
      <c r="G2344" t="s">
        <v>7016</v>
      </c>
      <c r="H2344" t="s">
        <v>59</v>
      </c>
      <c r="I2344" s="32">
        <v>44980.544421296298</v>
      </c>
      <c r="J2344" s="32">
        <v>44983.544421296298</v>
      </c>
      <c r="K2344" s="32">
        <v>44987.544421296298</v>
      </c>
      <c r="L2344" s="8">
        <f t="shared" si="941"/>
        <v>7</v>
      </c>
      <c r="M2344" s="7">
        <v>45011.544421296298</v>
      </c>
      <c r="N2344" t="s">
        <v>72</v>
      </c>
      <c r="O2344" s="34" t="s">
        <v>7474</v>
      </c>
      <c r="R2344" s="32" t="s">
        <v>7472</v>
      </c>
      <c r="S2344" t="s">
        <v>7476</v>
      </c>
      <c r="T2344" s="34" t="s">
        <v>7476</v>
      </c>
      <c r="U2344" s="34" t="s">
        <v>7476</v>
      </c>
      <c r="V2344" s="32" t="s">
        <v>7476</v>
      </c>
      <c r="W2344" s="32" t="s">
        <v>7476</v>
      </c>
      <c r="X2344">
        <v>0</v>
      </c>
      <c r="Y2344" s="34" t="s">
        <v>7476</v>
      </c>
      <c r="Z2344" s="34" t="s">
        <v>7476</v>
      </c>
      <c r="AA2344" s="34" t="s">
        <v>7476</v>
      </c>
      <c r="AB2344" s="36" t="s">
        <v>7476</v>
      </c>
      <c r="AD2344" t="s">
        <v>7271</v>
      </c>
      <c r="AE2344" t="s">
        <v>7272</v>
      </c>
      <c r="AG2344" t="s">
        <v>64</v>
      </c>
      <c r="AH2344">
        <v>3</v>
      </c>
      <c r="AI2344" s="8" t="str">
        <f>IFERROR(R2344-AF2344,"")</f>
        <v/>
      </c>
      <c r="AJ2344" s="8" t="str">
        <f>IFERROR(O2344-AF2344,"")</f>
        <v/>
      </c>
      <c r="AK2344" s="38" t="str">
        <f t="shared" si="942"/>
        <v/>
      </c>
      <c r="AL2344" t="str">
        <f>IFERROR(Z2344-W2344,"")</f>
        <v/>
      </c>
      <c r="AM2344" t="str">
        <f>IFERROR(R2344-J2344,"")</f>
        <v/>
      </c>
      <c r="AN2344" t="str">
        <f>IFERROR(V2344-O2344,"")</f>
        <v/>
      </c>
      <c r="AO2344">
        <f>IFERROR(J2344-I2344,"")</f>
        <v>3</v>
      </c>
      <c r="AP2344">
        <f>IFERROR(AC2344-X2344,"")</f>
        <v>0</v>
      </c>
      <c r="AQ2344" t="str">
        <f>IFERROR(AA2344-W2344,"")</f>
        <v/>
      </c>
    </row>
    <row r="2345" spans="1:43" x14ac:dyDescent="0.35">
      <c r="A2345">
        <v>419</v>
      </c>
      <c r="B2345" t="s">
        <v>7273</v>
      </c>
      <c r="C2345" t="s">
        <v>6531</v>
      </c>
      <c r="D2345" t="str">
        <f t="shared" si="940"/>
        <v>Capacity Building</v>
      </c>
      <c r="E2345" t="s">
        <v>7171</v>
      </c>
      <c r="F2345" t="s">
        <v>46</v>
      </c>
      <c r="G2345" t="s">
        <v>7016</v>
      </c>
      <c r="H2345" t="s">
        <v>59</v>
      </c>
      <c r="I2345" s="32">
        <v>45094.637766203698</v>
      </c>
      <c r="J2345" s="32">
        <v>45097.637766203698</v>
      </c>
      <c r="K2345" s="32">
        <v>45100.637766203698</v>
      </c>
      <c r="L2345" s="8">
        <f t="shared" si="941"/>
        <v>6</v>
      </c>
      <c r="M2345" s="7">
        <v>45118.637766203698</v>
      </c>
      <c r="N2345" t="s">
        <v>49</v>
      </c>
      <c r="O2345" s="34">
        <v>45113.637766203698</v>
      </c>
      <c r="P2345" t="s">
        <v>392</v>
      </c>
      <c r="R2345" s="32">
        <v>45116.637766203698</v>
      </c>
      <c r="S2345" t="s">
        <v>392</v>
      </c>
      <c r="T2345" s="34" t="s">
        <v>7476</v>
      </c>
      <c r="U2345" s="34" t="s">
        <v>7476</v>
      </c>
      <c r="V2345" s="32">
        <v>45114.637766203698</v>
      </c>
      <c r="W2345" s="32" t="s">
        <v>7476</v>
      </c>
      <c r="X2345">
        <v>0</v>
      </c>
      <c r="Y2345" s="34" t="s">
        <v>7476</v>
      </c>
      <c r="Z2345" s="34" t="s">
        <v>7476</v>
      </c>
      <c r="AA2345" s="34" t="s">
        <v>7476</v>
      </c>
      <c r="AB2345" s="36" t="s">
        <v>7476</v>
      </c>
      <c r="AD2345" t="s">
        <v>7274</v>
      </c>
      <c r="AE2345" t="s">
        <v>7275</v>
      </c>
      <c r="AF2345" s="16">
        <v>45097</v>
      </c>
      <c r="AG2345" t="s">
        <v>64</v>
      </c>
      <c r="AH2345">
        <v>3</v>
      </c>
      <c r="AI2345" s="8">
        <f>IFERROR(R2345-AF2345,"")</f>
        <v>19.637766203697538</v>
      </c>
      <c r="AJ2345" s="8">
        <f>IFERROR(O2345-AF2345,"")</f>
        <v>16.637766203697538</v>
      </c>
      <c r="AK2345" s="38">
        <f t="shared" si="942"/>
        <v>45204.637766203698</v>
      </c>
      <c r="AL2345" t="str">
        <f>IFERROR(Z2345-W2345,"")</f>
        <v/>
      </c>
      <c r="AM2345">
        <f>IFERROR(R2345-J2345,"")</f>
        <v>19</v>
      </c>
      <c r="AN2345">
        <f>IFERROR(V2345-O2345,"")</f>
        <v>1</v>
      </c>
      <c r="AO2345">
        <f>IFERROR(J2345-I2345,"")</f>
        <v>3</v>
      </c>
      <c r="AP2345">
        <f>IFERROR(AC2345-X2345,"")</f>
        <v>0</v>
      </c>
      <c r="AQ2345" t="str">
        <f>IFERROR(AA2345-W2345,"")</f>
        <v/>
      </c>
    </row>
    <row r="2346" spans="1:43" x14ac:dyDescent="0.35">
      <c r="A2346">
        <v>418</v>
      </c>
      <c r="B2346" t="s">
        <v>7276</v>
      </c>
      <c r="C2346" t="s">
        <v>6525</v>
      </c>
      <c r="D2346" t="str">
        <f t="shared" si="940"/>
        <v>Capacity Building</v>
      </c>
      <c r="E2346" t="s">
        <v>7171</v>
      </c>
      <c r="F2346" t="s">
        <v>46</v>
      </c>
      <c r="G2346" t="s">
        <v>7016</v>
      </c>
      <c r="H2346" t="s">
        <v>59</v>
      </c>
      <c r="I2346" s="32">
        <v>45094.637766203698</v>
      </c>
      <c r="J2346" s="32">
        <v>45096.637766203698</v>
      </c>
      <c r="K2346" s="32">
        <v>45100.637766203698</v>
      </c>
      <c r="L2346" s="8">
        <f t="shared" si="941"/>
        <v>6</v>
      </c>
      <c r="M2346" s="7">
        <v>45113.637766203698</v>
      </c>
      <c r="N2346" t="s">
        <v>72</v>
      </c>
      <c r="O2346" s="34" t="s">
        <v>7474</v>
      </c>
      <c r="R2346" s="32" t="s">
        <v>7472</v>
      </c>
      <c r="S2346" t="s">
        <v>7476</v>
      </c>
      <c r="T2346" s="34" t="s">
        <v>7476</v>
      </c>
      <c r="U2346" s="34" t="s">
        <v>7476</v>
      </c>
      <c r="V2346" s="32" t="s">
        <v>7476</v>
      </c>
      <c r="W2346" s="32" t="s">
        <v>7476</v>
      </c>
      <c r="X2346">
        <v>0</v>
      </c>
      <c r="Y2346" s="34" t="s">
        <v>7476</v>
      </c>
      <c r="Z2346" s="34" t="s">
        <v>7476</v>
      </c>
      <c r="AA2346" s="34" t="s">
        <v>7476</v>
      </c>
      <c r="AB2346" s="36" t="s">
        <v>7476</v>
      </c>
      <c r="AD2346" t="s">
        <v>7277</v>
      </c>
      <c r="AE2346" t="s">
        <v>7278</v>
      </c>
      <c r="AG2346" t="s">
        <v>64</v>
      </c>
      <c r="AH2346">
        <v>6</v>
      </c>
      <c r="AI2346" s="8" t="str">
        <f>IFERROR(R2346-AF2346,"")</f>
        <v/>
      </c>
      <c r="AJ2346" s="8" t="str">
        <f>IFERROR(O2346-AF2346,"")</f>
        <v/>
      </c>
      <c r="AK2346" s="38" t="str">
        <f t="shared" si="942"/>
        <v/>
      </c>
      <c r="AL2346" t="str">
        <f>IFERROR(Z2346-W2346,"")</f>
        <v/>
      </c>
      <c r="AM2346" t="str">
        <f>IFERROR(R2346-J2346,"")</f>
        <v/>
      </c>
      <c r="AN2346" t="str">
        <f>IFERROR(V2346-O2346,"")</f>
        <v/>
      </c>
      <c r="AO2346">
        <f>IFERROR(J2346-I2346,"")</f>
        <v>2</v>
      </c>
      <c r="AP2346">
        <f>IFERROR(AC2346-X2346,"")</f>
        <v>0</v>
      </c>
      <c r="AQ2346" t="str">
        <f>IFERROR(AA2346-W2346,"")</f>
        <v/>
      </c>
    </row>
    <row r="2347" spans="1:43" x14ac:dyDescent="0.35">
      <c r="A2347">
        <v>270</v>
      </c>
      <c r="B2347" t="s">
        <v>7279</v>
      </c>
      <c r="C2347" t="s">
        <v>6525</v>
      </c>
      <c r="D2347" t="str">
        <f t="shared" si="940"/>
        <v>Capacity Building</v>
      </c>
      <c r="E2347" t="s">
        <v>7171</v>
      </c>
      <c r="F2347" t="s">
        <v>46</v>
      </c>
      <c r="G2347" t="s">
        <v>7016</v>
      </c>
      <c r="H2347" t="s">
        <v>59</v>
      </c>
      <c r="I2347" s="32">
        <v>44765.282581018517</v>
      </c>
      <c r="J2347" s="32">
        <v>44769.282581018517</v>
      </c>
      <c r="K2347" s="32" t="s">
        <v>7473</v>
      </c>
      <c r="L2347" s="8" t="str">
        <f t="shared" si="941"/>
        <v/>
      </c>
      <c r="M2347" s="7">
        <v>44784.282581018517</v>
      </c>
      <c r="N2347" t="s">
        <v>72</v>
      </c>
      <c r="O2347" s="34" t="s">
        <v>7474</v>
      </c>
      <c r="R2347" s="32" t="s">
        <v>7472</v>
      </c>
      <c r="S2347" t="s">
        <v>7476</v>
      </c>
      <c r="T2347" s="34" t="s">
        <v>7476</v>
      </c>
      <c r="U2347" s="34" t="s">
        <v>7476</v>
      </c>
      <c r="V2347" s="32" t="s">
        <v>7476</v>
      </c>
      <c r="W2347" s="32" t="s">
        <v>7476</v>
      </c>
      <c r="X2347">
        <v>0</v>
      </c>
      <c r="Y2347" s="34" t="s">
        <v>7476</v>
      </c>
      <c r="Z2347" s="34" t="s">
        <v>7476</v>
      </c>
      <c r="AA2347" s="34" t="s">
        <v>7476</v>
      </c>
      <c r="AB2347" s="36" t="s">
        <v>7476</v>
      </c>
      <c r="AD2347" t="s">
        <v>7280</v>
      </c>
      <c r="AE2347" t="s">
        <v>7281</v>
      </c>
      <c r="AG2347" t="s">
        <v>75</v>
      </c>
      <c r="AH2347">
        <v>6</v>
      </c>
      <c r="AK2347" s="38" t="str">
        <f t="shared" si="942"/>
        <v/>
      </c>
    </row>
    <row r="2348" spans="1:43" x14ac:dyDescent="0.35">
      <c r="A2348">
        <v>259</v>
      </c>
      <c r="B2348" t="s">
        <v>7282</v>
      </c>
      <c r="C2348" t="s">
        <v>6525</v>
      </c>
      <c r="D2348" t="str">
        <f t="shared" si="940"/>
        <v>Capacity Building</v>
      </c>
      <c r="E2348" t="s">
        <v>7171</v>
      </c>
      <c r="F2348" t="s">
        <v>46</v>
      </c>
      <c r="G2348" t="s">
        <v>7016</v>
      </c>
      <c r="H2348" t="s">
        <v>59</v>
      </c>
      <c r="I2348" s="32">
        <v>44704.632962962962</v>
      </c>
      <c r="J2348" s="32">
        <v>44707.632962962962</v>
      </c>
      <c r="K2348" s="32">
        <v>44713.632962962962</v>
      </c>
      <c r="L2348" s="8">
        <f t="shared" si="941"/>
        <v>9</v>
      </c>
      <c r="M2348" s="7">
        <v>44721.632962962962</v>
      </c>
      <c r="N2348" t="s">
        <v>72</v>
      </c>
      <c r="O2348" s="34" t="s">
        <v>7474</v>
      </c>
      <c r="R2348" s="32" t="s">
        <v>7472</v>
      </c>
      <c r="S2348" t="s">
        <v>7476</v>
      </c>
      <c r="T2348" s="34" t="s">
        <v>7476</v>
      </c>
      <c r="U2348" s="34" t="s">
        <v>7476</v>
      </c>
      <c r="V2348" s="32" t="s">
        <v>7476</v>
      </c>
      <c r="W2348" s="32" t="s">
        <v>7476</v>
      </c>
      <c r="X2348">
        <v>0</v>
      </c>
      <c r="Y2348" s="34" t="s">
        <v>7476</v>
      </c>
      <c r="Z2348" s="34" t="s">
        <v>7476</v>
      </c>
      <c r="AA2348" s="34" t="s">
        <v>7476</v>
      </c>
      <c r="AB2348" s="36" t="s">
        <v>7476</v>
      </c>
      <c r="AD2348" t="s">
        <v>7283</v>
      </c>
      <c r="AE2348" t="s">
        <v>7284</v>
      </c>
      <c r="AG2348" t="s">
        <v>64</v>
      </c>
      <c r="AH2348">
        <v>6</v>
      </c>
      <c r="AI2348" s="8" t="str">
        <f>IFERROR(R2348-AF2348,"")</f>
        <v/>
      </c>
      <c r="AJ2348" s="8" t="str">
        <f>IFERROR(O2348-AF2348,"")</f>
        <v/>
      </c>
      <c r="AK2348" s="38" t="str">
        <f t="shared" si="942"/>
        <v/>
      </c>
      <c r="AL2348" t="str">
        <f>IFERROR(Z2348-W2348,"")</f>
        <v/>
      </c>
      <c r="AM2348" t="str">
        <f>IFERROR(R2348-J2348,"")</f>
        <v/>
      </c>
      <c r="AN2348" t="str">
        <f>IFERROR(V2348-O2348,"")</f>
        <v/>
      </c>
      <c r="AO2348">
        <f>IFERROR(J2348-I2348,"")</f>
        <v>3</v>
      </c>
      <c r="AP2348">
        <f>IFERROR(AC2348-X2348,"")</f>
        <v>0</v>
      </c>
      <c r="AQ2348" t="str">
        <f>IFERROR(AA2348-W2348,"")</f>
        <v/>
      </c>
    </row>
    <row r="2349" spans="1:43" x14ac:dyDescent="0.35">
      <c r="A2349">
        <v>253</v>
      </c>
      <c r="B2349" t="s">
        <v>7285</v>
      </c>
      <c r="C2349" t="s">
        <v>6525</v>
      </c>
      <c r="D2349" t="str">
        <f t="shared" si="940"/>
        <v>Capacity Building</v>
      </c>
      <c r="E2349" t="s">
        <v>7171</v>
      </c>
      <c r="F2349" t="s">
        <v>46</v>
      </c>
      <c r="G2349" t="s">
        <v>7016</v>
      </c>
      <c r="H2349" t="s">
        <v>59</v>
      </c>
      <c r="I2349" s="32" t="s">
        <v>7471</v>
      </c>
      <c r="J2349" s="32">
        <v>44707.632962962962</v>
      </c>
      <c r="K2349" s="32">
        <v>44713.632962962962</v>
      </c>
      <c r="L2349" s="8" t="str">
        <f t="shared" si="941"/>
        <v/>
      </c>
      <c r="M2349" s="7">
        <v>44721.632962962962</v>
      </c>
      <c r="N2349" t="s">
        <v>49</v>
      </c>
      <c r="O2349" s="34">
        <v>44726.632962962962</v>
      </c>
      <c r="P2349" t="s">
        <v>50</v>
      </c>
      <c r="Q2349" t="s">
        <v>125</v>
      </c>
      <c r="R2349" s="32" t="s">
        <v>7472</v>
      </c>
      <c r="S2349" t="s">
        <v>7476</v>
      </c>
      <c r="T2349" s="34" t="s">
        <v>7476</v>
      </c>
      <c r="U2349" s="34" t="s">
        <v>7476</v>
      </c>
      <c r="V2349" s="32" t="s">
        <v>7476</v>
      </c>
      <c r="W2349" s="32" t="s">
        <v>7476</v>
      </c>
      <c r="X2349">
        <v>0</v>
      </c>
      <c r="Y2349" s="34" t="s">
        <v>7476</v>
      </c>
      <c r="Z2349" s="34" t="s">
        <v>7476</v>
      </c>
      <c r="AA2349" s="34" t="s">
        <v>7476</v>
      </c>
      <c r="AB2349" s="36" t="s">
        <v>95</v>
      </c>
      <c r="AD2349" t="s">
        <v>7286</v>
      </c>
      <c r="AE2349" t="s">
        <v>7287</v>
      </c>
      <c r="AF2349" s="16">
        <v>44710</v>
      </c>
      <c r="AG2349" t="s">
        <v>68</v>
      </c>
      <c r="AH2349">
        <v>3</v>
      </c>
      <c r="AK2349" s="38" t="str">
        <f t="shared" si="942"/>
        <v/>
      </c>
    </row>
    <row r="2350" spans="1:43" x14ac:dyDescent="0.35">
      <c r="A2350">
        <v>238</v>
      </c>
      <c r="B2350" t="s">
        <v>7288</v>
      </c>
      <c r="C2350" t="s">
        <v>6525</v>
      </c>
      <c r="D2350" t="str">
        <f t="shared" si="940"/>
        <v>Capacity Building</v>
      </c>
      <c r="E2350" t="s">
        <v>7171</v>
      </c>
      <c r="F2350" t="s">
        <v>46</v>
      </c>
      <c r="G2350" t="s">
        <v>7016</v>
      </c>
      <c r="H2350" t="s">
        <v>59</v>
      </c>
      <c r="I2350" s="32">
        <v>44598.810960648138</v>
      </c>
      <c r="J2350" s="32">
        <v>44601.810960648138</v>
      </c>
      <c r="K2350" s="32">
        <v>44603.810960648138</v>
      </c>
      <c r="L2350" s="8">
        <f t="shared" si="941"/>
        <v>5</v>
      </c>
      <c r="M2350" s="7">
        <v>44619.810960648138</v>
      </c>
      <c r="N2350" t="s">
        <v>49</v>
      </c>
      <c r="O2350" s="34">
        <v>44609.810960648138</v>
      </c>
      <c r="P2350" t="s">
        <v>50</v>
      </c>
      <c r="Q2350" t="s">
        <v>51</v>
      </c>
      <c r="R2350" s="32" t="s">
        <v>7472</v>
      </c>
      <c r="S2350" t="s">
        <v>7476</v>
      </c>
      <c r="T2350" s="34" t="s">
        <v>7476</v>
      </c>
      <c r="U2350" s="34" t="s">
        <v>7476</v>
      </c>
      <c r="V2350" s="32">
        <v>44612.810960648138</v>
      </c>
      <c r="W2350" s="32" t="s">
        <v>7476</v>
      </c>
      <c r="X2350">
        <v>0</v>
      </c>
      <c r="Y2350" s="34" t="s">
        <v>7476</v>
      </c>
      <c r="Z2350" s="34" t="s">
        <v>7476</v>
      </c>
      <c r="AA2350" s="34" t="s">
        <v>7476</v>
      </c>
      <c r="AB2350" s="36" t="s">
        <v>95</v>
      </c>
      <c r="AD2350" t="s">
        <v>7289</v>
      </c>
      <c r="AE2350" t="s">
        <v>7290</v>
      </c>
      <c r="AF2350" s="16">
        <v>44598</v>
      </c>
      <c r="AG2350" t="s">
        <v>64</v>
      </c>
      <c r="AH2350">
        <v>6</v>
      </c>
      <c r="AI2350" s="8" t="str">
        <f>IFERROR(R2350-AF2350,"")</f>
        <v/>
      </c>
      <c r="AJ2350" s="8">
        <f>IFERROR(O2350-AF2350,"")</f>
        <v>11.810960648137552</v>
      </c>
      <c r="AK2350" s="38">
        <f t="shared" si="942"/>
        <v>44792.810960648138</v>
      </c>
      <c r="AL2350" t="str">
        <f>IFERROR(Z2350-W2350,"")</f>
        <v/>
      </c>
      <c r="AM2350" t="str">
        <f>IFERROR(R2350-J2350,"")</f>
        <v/>
      </c>
      <c r="AN2350">
        <f>IFERROR(V2350-O2350,"")</f>
        <v>3</v>
      </c>
      <c r="AO2350">
        <f>IFERROR(J2350-I2350,"")</f>
        <v>3</v>
      </c>
      <c r="AP2350">
        <f>IFERROR(AC2350-X2350,"")</f>
        <v>0</v>
      </c>
      <c r="AQ2350" t="str">
        <f>IFERROR(AA2350-W2350,"")</f>
        <v/>
      </c>
    </row>
    <row r="2351" spans="1:43" x14ac:dyDescent="0.35">
      <c r="A2351">
        <v>234</v>
      </c>
      <c r="B2351" t="s">
        <v>7291</v>
      </c>
      <c r="C2351" t="s">
        <v>6531</v>
      </c>
      <c r="D2351" t="str">
        <f t="shared" si="940"/>
        <v>Capacity Building</v>
      </c>
      <c r="E2351" t="s">
        <v>7171</v>
      </c>
      <c r="F2351" t="s">
        <v>46</v>
      </c>
      <c r="G2351" t="s">
        <v>7016</v>
      </c>
      <c r="H2351" t="s">
        <v>59</v>
      </c>
      <c r="I2351" s="32">
        <v>44598.810960648138</v>
      </c>
      <c r="J2351" s="32">
        <v>44600.810960648138</v>
      </c>
      <c r="K2351" s="32">
        <v>44603.810960648138</v>
      </c>
      <c r="L2351" s="8">
        <f t="shared" si="941"/>
        <v>5</v>
      </c>
      <c r="M2351" s="7">
        <v>44628.810960648138</v>
      </c>
      <c r="N2351" t="s">
        <v>49</v>
      </c>
      <c r="O2351" s="34">
        <v>44613.810960648138</v>
      </c>
      <c r="P2351" t="s">
        <v>60</v>
      </c>
      <c r="R2351" s="32">
        <v>44619.810960648138</v>
      </c>
      <c r="S2351" t="s">
        <v>61</v>
      </c>
      <c r="T2351" s="34" t="s">
        <v>7476</v>
      </c>
      <c r="U2351" s="34" t="s">
        <v>7476</v>
      </c>
      <c r="V2351" s="32">
        <v>44616.810960648138</v>
      </c>
      <c r="W2351" s="32" t="s">
        <v>7476</v>
      </c>
      <c r="X2351">
        <v>0</v>
      </c>
      <c r="Y2351" s="34" t="s">
        <v>7476</v>
      </c>
      <c r="Z2351" s="34" t="s">
        <v>7476</v>
      </c>
      <c r="AA2351" s="34" t="s">
        <v>7476</v>
      </c>
      <c r="AB2351" s="36" t="s">
        <v>7476</v>
      </c>
      <c r="AD2351" t="s">
        <v>7292</v>
      </c>
      <c r="AE2351" t="s">
        <v>7293</v>
      </c>
      <c r="AF2351" s="16">
        <v>44596</v>
      </c>
      <c r="AG2351" t="s">
        <v>98</v>
      </c>
      <c r="AH2351">
        <v>6</v>
      </c>
      <c r="AI2351" s="8">
        <f>IFERROR(R2351-AF2351,"")</f>
        <v>23.810960648137552</v>
      </c>
      <c r="AJ2351" s="8">
        <f>IFERROR(O2351-AF2351,"")</f>
        <v>17.810960648137552</v>
      </c>
      <c r="AK2351" s="38">
        <f t="shared" si="942"/>
        <v>44796.810960648138</v>
      </c>
      <c r="AL2351" t="str">
        <f>IFERROR(Z2351-W2351,"")</f>
        <v/>
      </c>
      <c r="AM2351">
        <f>IFERROR(R2351-J2351,"")</f>
        <v>19</v>
      </c>
      <c r="AN2351">
        <f>IFERROR(V2351-O2351,"")</f>
        <v>3</v>
      </c>
      <c r="AO2351">
        <f>IFERROR(J2351-I2351,"")</f>
        <v>2</v>
      </c>
      <c r="AP2351">
        <f>IFERROR(AC2351-X2351,"")</f>
        <v>0</v>
      </c>
      <c r="AQ2351" t="str">
        <f>IFERROR(AA2351-W2351,"")</f>
        <v/>
      </c>
    </row>
    <row r="2352" spans="1:43" x14ac:dyDescent="0.35">
      <c r="A2352">
        <v>227</v>
      </c>
      <c r="B2352" t="s">
        <v>7294</v>
      </c>
      <c r="C2352" t="s">
        <v>6525</v>
      </c>
      <c r="D2352" t="str">
        <f t="shared" si="940"/>
        <v>Capacity Building</v>
      </c>
      <c r="E2352" t="s">
        <v>7171</v>
      </c>
      <c r="F2352" t="s">
        <v>46</v>
      </c>
      <c r="G2352" t="s">
        <v>7016</v>
      </c>
      <c r="H2352" t="s">
        <v>59</v>
      </c>
      <c r="I2352" s="32">
        <v>44738.447731481479</v>
      </c>
      <c r="J2352" s="32">
        <v>44741.447731481479</v>
      </c>
      <c r="K2352" s="32">
        <v>44744.447731481479</v>
      </c>
      <c r="L2352" s="8">
        <f t="shared" si="941"/>
        <v>6</v>
      </c>
      <c r="M2352" s="7">
        <v>44765.447731481479</v>
      </c>
      <c r="N2352" t="s">
        <v>49</v>
      </c>
      <c r="O2352" s="34">
        <v>44759.447731481479</v>
      </c>
      <c r="P2352" t="s">
        <v>101</v>
      </c>
      <c r="R2352" s="32">
        <v>44766.447731481479</v>
      </c>
      <c r="S2352" t="s">
        <v>101</v>
      </c>
      <c r="T2352" s="34">
        <v>44760.447731481479</v>
      </c>
      <c r="U2352" s="34">
        <v>44764.447731481479</v>
      </c>
      <c r="V2352" s="32">
        <v>44763.447731481479</v>
      </c>
      <c r="W2352" s="32">
        <v>44769.447731481479</v>
      </c>
      <c r="X2352">
        <v>1</v>
      </c>
      <c r="Y2352" s="34">
        <v>44770.447731481479</v>
      </c>
      <c r="Z2352" s="34">
        <v>44773.447731481479</v>
      </c>
      <c r="AA2352" s="34">
        <v>44775.447731481479</v>
      </c>
      <c r="AB2352" s="36" t="s">
        <v>7476</v>
      </c>
      <c r="AC2352" s="10">
        <v>44793.447731481479</v>
      </c>
      <c r="AD2352" t="s">
        <v>7295</v>
      </c>
      <c r="AE2352" t="s">
        <v>7296</v>
      </c>
      <c r="AF2352" s="16">
        <v>44750</v>
      </c>
      <c r="AG2352" t="s">
        <v>64</v>
      </c>
      <c r="AH2352">
        <v>3</v>
      </c>
      <c r="AI2352" s="8">
        <f>IFERROR(R2352-AF2352,"")</f>
        <v>16.447731481479423</v>
      </c>
      <c r="AJ2352" s="8">
        <f>IFERROR(O2352-AF2352,"")</f>
        <v>9.4477314814794227</v>
      </c>
      <c r="AK2352" s="38">
        <f t="shared" si="942"/>
        <v>44853.447731481479</v>
      </c>
      <c r="AL2352">
        <f>IFERROR(Z2352-W2352,"")</f>
        <v>4</v>
      </c>
      <c r="AM2352">
        <f>IFERROR(R2352-J2352,"")</f>
        <v>25</v>
      </c>
      <c r="AN2352">
        <f>IFERROR(V2352-O2352,"")</f>
        <v>4</v>
      </c>
      <c r="AO2352">
        <f>IFERROR(J2352-I2352,"")</f>
        <v>3</v>
      </c>
      <c r="AP2352">
        <f>IFERROR(AC2352-X2352,"")</f>
        <v>44792.447731481479</v>
      </c>
      <c r="AQ2352">
        <f>IFERROR(AA2352-W2352,"")</f>
        <v>6</v>
      </c>
    </row>
    <row r="2353" spans="1:43" x14ac:dyDescent="0.35">
      <c r="A2353">
        <v>147</v>
      </c>
      <c r="B2353" t="s">
        <v>7297</v>
      </c>
      <c r="C2353" t="s">
        <v>6525</v>
      </c>
      <c r="D2353" t="str">
        <f t="shared" si="940"/>
        <v>Capacity Building</v>
      </c>
      <c r="E2353" t="s">
        <v>7171</v>
      </c>
      <c r="F2353" t="s">
        <v>46</v>
      </c>
      <c r="G2353" t="s">
        <v>7016</v>
      </c>
      <c r="H2353" t="s">
        <v>59</v>
      </c>
      <c r="I2353" s="32" t="s">
        <v>7471</v>
      </c>
      <c r="J2353" s="32">
        <v>44632.982245370367</v>
      </c>
      <c r="K2353" s="32">
        <v>44636.982245370367</v>
      </c>
      <c r="L2353" s="8" t="str">
        <f t="shared" si="941"/>
        <v/>
      </c>
      <c r="M2353" s="7">
        <v>44659.982245370367</v>
      </c>
      <c r="N2353" t="s">
        <v>49</v>
      </c>
      <c r="O2353" s="34">
        <v>44646.982245370367</v>
      </c>
      <c r="P2353" t="s">
        <v>50</v>
      </c>
      <c r="Q2353" t="s">
        <v>84</v>
      </c>
      <c r="R2353" s="32" t="s">
        <v>7472</v>
      </c>
      <c r="S2353" t="s">
        <v>7476</v>
      </c>
      <c r="T2353" s="34" t="s">
        <v>7476</v>
      </c>
      <c r="U2353" s="34" t="s">
        <v>7476</v>
      </c>
      <c r="V2353" s="32">
        <v>44649.982245370367</v>
      </c>
      <c r="W2353" s="32" t="s">
        <v>7476</v>
      </c>
      <c r="X2353">
        <v>0</v>
      </c>
      <c r="Y2353" s="34" t="s">
        <v>7476</v>
      </c>
      <c r="Z2353" s="34" t="s">
        <v>7476</v>
      </c>
      <c r="AA2353" s="34" t="s">
        <v>7476</v>
      </c>
      <c r="AB2353" s="36" t="s">
        <v>52</v>
      </c>
      <c r="AD2353" t="s">
        <v>7298</v>
      </c>
      <c r="AE2353" t="s">
        <v>7299</v>
      </c>
      <c r="AF2353" s="16">
        <v>44629</v>
      </c>
      <c r="AG2353" t="s">
        <v>75</v>
      </c>
      <c r="AH2353">
        <v>6</v>
      </c>
      <c r="AK2353" s="38">
        <f t="shared" si="942"/>
        <v>44829.982245370367</v>
      </c>
    </row>
    <row r="2354" spans="1:43" x14ac:dyDescent="0.35">
      <c r="A2354">
        <v>143</v>
      </c>
      <c r="B2354" t="s">
        <v>7300</v>
      </c>
      <c r="C2354" t="s">
        <v>6550</v>
      </c>
      <c r="D2354" t="str">
        <f t="shared" si="940"/>
        <v>Capacity Building</v>
      </c>
      <c r="E2354" t="s">
        <v>7171</v>
      </c>
      <c r="F2354" t="s">
        <v>46</v>
      </c>
      <c r="G2354" t="s">
        <v>7016</v>
      </c>
      <c r="H2354" t="s">
        <v>59</v>
      </c>
      <c r="I2354" s="32">
        <v>44627.982245370367</v>
      </c>
      <c r="J2354" s="32">
        <v>44630.982245370367</v>
      </c>
      <c r="K2354" s="32">
        <v>44636.982245370367</v>
      </c>
      <c r="L2354" s="8">
        <f t="shared" si="941"/>
        <v>9</v>
      </c>
      <c r="M2354" s="7">
        <v>44644.982245370367</v>
      </c>
      <c r="N2354" t="s">
        <v>49</v>
      </c>
      <c r="O2354" s="34">
        <v>44642.982245370367</v>
      </c>
      <c r="P2354" t="s">
        <v>50</v>
      </c>
      <c r="Q2354" t="s">
        <v>84</v>
      </c>
      <c r="R2354" s="32" t="s">
        <v>7472</v>
      </c>
      <c r="S2354" t="s">
        <v>7476</v>
      </c>
      <c r="T2354" s="34" t="s">
        <v>7476</v>
      </c>
      <c r="U2354" s="34" t="s">
        <v>7476</v>
      </c>
      <c r="V2354" s="32" t="s">
        <v>7476</v>
      </c>
      <c r="W2354" s="32" t="s">
        <v>7476</v>
      </c>
      <c r="X2354">
        <v>0</v>
      </c>
      <c r="Y2354" s="34" t="s">
        <v>7476</v>
      </c>
      <c r="Z2354" s="34" t="s">
        <v>7476</v>
      </c>
      <c r="AA2354" s="34" t="s">
        <v>7476</v>
      </c>
      <c r="AB2354" s="36" t="s">
        <v>95</v>
      </c>
      <c r="AD2354" t="s">
        <v>7301</v>
      </c>
      <c r="AE2354" t="s">
        <v>7302</v>
      </c>
      <c r="AF2354" s="16">
        <v>44623</v>
      </c>
      <c r="AG2354" t="s">
        <v>68</v>
      </c>
      <c r="AH2354">
        <v>6</v>
      </c>
      <c r="AI2354" s="8" t="str">
        <f>IFERROR(R2354-AF2354,"")</f>
        <v/>
      </c>
      <c r="AJ2354" s="8">
        <f>IFERROR(O2354-AF2354,"")</f>
        <v>19.982245370367309</v>
      </c>
      <c r="AK2354" s="38" t="str">
        <f t="shared" si="942"/>
        <v/>
      </c>
      <c r="AL2354" t="str">
        <f>IFERROR(Z2354-W2354,"")</f>
        <v/>
      </c>
      <c r="AM2354" t="str">
        <f>IFERROR(R2354-J2354,"")</f>
        <v/>
      </c>
      <c r="AN2354" t="str">
        <f>IFERROR(V2354-O2354,"")</f>
        <v/>
      </c>
      <c r="AO2354">
        <f>IFERROR(J2354-I2354,"")</f>
        <v>3</v>
      </c>
      <c r="AP2354">
        <f>IFERROR(AC2354-X2354,"")</f>
        <v>0</v>
      </c>
      <c r="AQ2354" t="str">
        <f>IFERROR(AA2354-W2354,"")</f>
        <v/>
      </c>
    </row>
    <row r="2355" spans="1:43" x14ac:dyDescent="0.35">
      <c r="A2355">
        <v>118</v>
      </c>
      <c r="B2355" t="s">
        <v>7303</v>
      </c>
      <c r="C2355" t="s">
        <v>6525</v>
      </c>
      <c r="D2355" t="str">
        <f t="shared" si="940"/>
        <v>Capacity Building</v>
      </c>
      <c r="E2355" t="s">
        <v>7171</v>
      </c>
      <c r="F2355" t="s">
        <v>46</v>
      </c>
      <c r="G2355" t="s">
        <v>7016</v>
      </c>
      <c r="H2355" t="s">
        <v>59</v>
      </c>
      <c r="I2355" s="32" t="s">
        <v>7471</v>
      </c>
      <c r="J2355" s="32">
        <v>44740.19809027778</v>
      </c>
      <c r="K2355" s="32" t="s">
        <v>7473</v>
      </c>
      <c r="L2355" s="8" t="str">
        <f t="shared" si="941"/>
        <v/>
      </c>
      <c r="M2355" s="7">
        <v>44772.19809027778</v>
      </c>
      <c r="N2355" t="s">
        <v>49</v>
      </c>
      <c r="O2355" s="34">
        <v>44753.19809027778</v>
      </c>
      <c r="P2355" t="s">
        <v>50</v>
      </c>
      <c r="Q2355" t="s">
        <v>236</v>
      </c>
      <c r="R2355" s="32" t="s">
        <v>7472</v>
      </c>
      <c r="S2355" t="s">
        <v>7476</v>
      </c>
      <c r="T2355" s="34" t="s">
        <v>7476</v>
      </c>
      <c r="U2355" s="34" t="s">
        <v>7476</v>
      </c>
      <c r="V2355" s="32" t="s">
        <v>7476</v>
      </c>
      <c r="W2355" s="32" t="s">
        <v>7476</v>
      </c>
      <c r="X2355">
        <v>0</v>
      </c>
      <c r="Y2355" s="34" t="s">
        <v>7476</v>
      </c>
      <c r="Z2355" s="34" t="s">
        <v>7476</v>
      </c>
      <c r="AA2355" s="34" t="s">
        <v>7476</v>
      </c>
      <c r="AB2355" s="36" t="s">
        <v>95</v>
      </c>
      <c r="AD2355" t="s">
        <v>7304</v>
      </c>
      <c r="AE2355" t="s">
        <v>7305</v>
      </c>
      <c r="AF2355" s="16">
        <v>44745</v>
      </c>
      <c r="AG2355" t="s">
        <v>98</v>
      </c>
      <c r="AH2355">
        <v>3</v>
      </c>
      <c r="AK2355" s="38" t="str">
        <f t="shared" si="942"/>
        <v/>
      </c>
    </row>
    <row r="2356" spans="1:43" x14ac:dyDescent="0.35">
      <c r="A2356">
        <v>116</v>
      </c>
      <c r="B2356" t="s">
        <v>7306</v>
      </c>
      <c r="C2356" t="s">
        <v>6525</v>
      </c>
      <c r="D2356" t="str">
        <f t="shared" si="940"/>
        <v>Capacity Building</v>
      </c>
      <c r="E2356" t="s">
        <v>7171</v>
      </c>
      <c r="F2356" t="s">
        <v>46</v>
      </c>
      <c r="G2356" t="s">
        <v>7016</v>
      </c>
      <c r="H2356" t="s">
        <v>59</v>
      </c>
      <c r="I2356" s="32" t="s">
        <v>7471</v>
      </c>
      <c r="J2356" s="32" t="s">
        <v>7471</v>
      </c>
      <c r="K2356" s="32">
        <v>44746.19809027778</v>
      </c>
      <c r="L2356" s="8" t="str">
        <f t="shared" si="941"/>
        <v/>
      </c>
      <c r="M2356" s="7">
        <v>44770.19809027778</v>
      </c>
      <c r="N2356" t="s">
        <v>49</v>
      </c>
      <c r="O2356" s="34">
        <v>44759.19809027778</v>
      </c>
      <c r="P2356" t="s">
        <v>50</v>
      </c>
      <c r="Q2356" t="s">
        <v>198</v>
      </c>
      <c r="R2356" s="32" t="s">
        <v>7472</v>
      </c>
      <c r="S2356" t="s">
        <v>7476</v>
      </c>
      <c r="T2356" s="34" t="s">
        <v>7476</v>
      </c>
      <c r="U2356" s="34" t="s">
        <v>7476</v>
      </c>
      <c r="V2356" s="32">
        <v>44763.19809027778</v>
      </c>
      <c r="W2356" s="32" t="s">
        <v>7476</v>
      </c>
      <c r="X2356">
        <v>0</v>
      </c>
      <c r="Y2356" s="34" t="s">
        <v>7476</v>
      </c>
      <c r="Z2356" s="34" t="s">
        <v>7476</v>
      </c>
      <c r="AA2356" s="34" t="s">
        <v>7476</v>
      </c>
      <c r="AB2356" s="36" t="s">
        <v>52</v>
      </c>
      <c r="AD2356" t="s">
        <v>7307</v>
      </c>
      <c r="AE2356" t="s">
        <v>7308</v>
      </c>
      <c r="AF2356" s="16">
        <v>44841</v>
      </c>
      <c r="AG2356" t="s">
        <v>75</v>
      </c>
      <c r="AH2356">
        <v>3</v>
      </c>
      <c r="AK2356" s="38">
        <f t="shared" si="942"/>
        <v>44853.19809027778</v>
      </c>
    </row>
    <row r="2357" spans="1:43" x14ac:dyDescent="0.35">
      <c r="A2357">
        <v>56</v>
      </c>
      <c r="B2357" t="s">
        <v>7309</v>
      </c>
      <c r="C2357" t="s">
        <v>6531</v>
      </c>
      <c r="D2357" t="str">
        <f t="shared" si="940"/>
        <v>Capacity Building</v>
      </c>
      <c r="E2357" t="s">
        <v>7171</v>
      </c>
      <c r="F2357" t="s">
        <v>46</v>
      </c>
      <c r="G2357" t="s">
        <v>7016</v>
      </c>
      <c r="H2357" t="s">
        <v>59</v>
      </c>
      <c r="I2357" s="32">
        <v>44767.01295138889</v>
      </c>
      <c r="J2357" s="32">
        <v>44771.01295138889</v>
      </c>
      <c r="K2357" s="32" t="s">
        <v>7473</v>
      </c>
      <c r="L2357" s="8" t="str">
        <f t="shared" si="941"/>
        <v/>
      </c>
      <c r="M2357" s="7">
        <v>44787.01295138889</v>
      </c>
      <c r="N2357" t="s">
        <v>49</v>
      </c>
      <c r="O2357" s="34">
        <v>44782.01295138889</v>
      </c>
      <c r="P2357" t="s">
        <v>60</v>
      </c>
      <c r="R2357" s="32">
        <v>44786.01295138889</v>
      </c>
      <c r="S2357" t="s">
        <v>61</v>
      </c>
      <c r="T2357" s="34" t="s">
        <v>7476</v>
      </c>
      <c r="U2357" s="34" t="s">
        <v>7476</v>
      </c>
      <c r="V2357" s="32">
        <v>44785.01295138889</v>
      </c>
      <c r="W2357" s="32" t="s">
        <v>7476</v>
      </c>
      <c r="X2357">
        <v>0</v>
      </c>
      <c r="Y2357" s="34" t="s">
        <v>7476</v>
      </c>
      <c r="Z2357" s="34" t="s">
        <v>7476</v>
      </c>
      <c r="AA2357" s="34" t="s">
        <v>7476</v>
      </c>
      <c r="AB2357" s="36" t="s">
        <v>7476</v>
      </c>
      <c r="AD2357" t="s">
        <v>7310</v>
      </c>
      <c r="AE2357" t="s">
        <v>7311</v>
      </c>
      <c r="AF2357" s="16">
        <v>44777</v>
      </c>
      <c r="AG2357" t="s">
        <v>93</v>
      </c>
      <c r="AH2357">
        <v>3</v>
      </c>
      <c r="AK2357" s="38">
        <f t="shared" si="942"/>
        <v>44875.01295138889</v>
      </c>
    </row>
    <row r="2358" spans="1:43" x14ac:dyDescent="0.35">
      <c r="A2358">
        <v>54</v>
      </c>
      <c r="B2358" t="s">
        <v>7312</v>
      </c>
      <c r="C2358" t="s">
        <v>6531</v>
      </c>
      <c r="D2358" t="str">
        <f t="shared" si="940"/>
        <v>Capacity Building</v>
      </c>
      <c r="E2358" t="s">
        <v>7171</v>
      </c>
      <c r="F2358" t="s">
        <v>46</v>
      </c>
      <c r="G2358" t="s">
        <v>7016</v>
      </c>
      <c r="H2358" t="s">
        <v>59</v>
      </c>
      <c r="I2358" s="32">
        <v>44769.01295138889</v>
      </c>
      <c r="J2358" s="32">
        <v>44771.01295138889</v>
      </c>
      <c r="K2358" s="32">
        <v>44777.01295138889</v>
      </c>
      <c r="L2358" s="8">
        <f t="shared" si="941"/>
        <v>8</v>
      </c>
      <c r="M2358" s="7">
        <v>44788.01295138889</v>
      </c>
      <c r="N2358" t="s">
        <v>49</v>
      </c>
      <c r="O2358" s="34">
        <v>44790.01295138889</v>
      </c>
      <c r="P2358" t="s">
        <v>50</v>
      </c>
      <c r="Q2358" t="s">
        <v>84</v>
      </c>
      <c r="R2358" s="32" t="s">
        <v>7472</v>
      </c>
      <c r="S2358" t="s">
        <v>7476</v>
      </c>
      <c r="T2358" s="34" t="s">
        <v>7476</v>
      </c>
      <c r="U2358" s="34" t="s">
        <v>7476</v>
      </c>
      <c r="V2358" s="32">
        <v>44792.01295138889</v>
      </c>
      <c r="W2358" s="32" t="s">
        <v>7476</v>
      </c>
      <c r="X2358">
        <v>0</v>
      </c>
      <c r="Y2358" s="34" t="s">
        <v>7476</v>
      </c>
      <c r="Z2358" s="34" t="s">
        <v>7476</v>
      </c>
      <c r="AA2358" s="34" t="s">
        <v>7476</v>
      </c>
      <c r="AB2358" s="36" t="s">
        <v>95</v>
      </c>
      <c r="AD2358" t="s">
        <v>7313</v>
      </c>
      <c r="AE2358" t="s">
        <v>7314</v>
      </c>
      <c r="AF2358" s="16">
        <v>44628</v>
      </c>
      <c r="AG2358" t="s">
        <v>98</v>
      </c>
      <c r="AH2358">
        <v>6</v>
      </c>
      <c r="AI2358" s="8" t="str">
        <f>IFERROR(R2358-AF2358,"")</f>
        <v/>
      </c>
      <c r="AJ2358" s="8">
        <f>IFERROR(O2358-AF2358,"")</f>
        <v>162.01295138888963</v>
      </c>
      <c r="AK2358" s="38">
        <f t="shared" si="942"/>
        <v>44972.01295138889</v>
      </c>
      <c r="AL2358" t="str">
        <f>IFERROR(Z2358-W2358,"")</f>
        <v/>
      </c>
      <c r="AM2358" t="str">
        <f>IFERROR(R2358-J2358,"")</f>
        <v/>
      </c>
      <c r="AN2358">
        <f>IFERROR(V2358-O2358,"")</f>
        <v>2</v>
      </c>
      <c r="AO2358">
        <f>IFERROR(J2358-I2358,"")</f>
        <v>2</v>
      </c>
      <c r="AP2358">
        <f>IFERROR(AC2358-X2358,"")</f>
        <v>0</v>
      </c>
      <c r="AQ2358" t="str">
        <f>IFERROR(AA2358-W2358,"")</f>
        <v/>
      </c>
    </row>
    <row r="2359" spans="1:43" x14ac:dyDescent="0.35">
      <c r="A2359">
        <v>448</v>
      </c>
      <c r="B2359" t="s">
        <v>7315</v>
      </c>
      <c r="C2359" t="s">
        <v>7316</v>
      </c>
      <c r="D2359" t="str">
        <f t="shared" si="940"/>
        <v>Administation</v>
      </c>
      <c r="E2359" t="s">
        <v>7317</v>
      </c>
      <c r="F2359" t="s">
        <v>204</v>
      </c>
      <c r="G2359" t="s">
        <v>7318</v>
      </c>
      <c r="H2359" t="s">
        <v>206</v>
      </c>
      <c r="I2359" s="32">
        <v>44892.108344907407</v>
      </c>
      <c r="J2359" s="32">
        <v>44893.108344907407</v>
      </c>
      <c r="K2359" s="32">
        <v>44895.108344907407</v>
      </c>
      <c r="L2359" s="8">
        <f t="shared" si="941"/>
        <v>3</v>
      </c>
      <c r="M2359" s="7">
        <v>44917.108344907407</v>
      </c>
      <c r="N2359" t="s">
        <v>49</v>
      </c>
      <c r="O2359" s="34">
        <v>44907.108344907407</v>
      </c>
      <c r="P2359" t="s">
        <v>60</v>
      </c>
      <c r="R2359" s="32">
        <v>44911.108344907407</v>
      </c>
      <c r="S2359" t="s">
        <v>61</v>
      </c>
      <c r="T2359" s="34" t="s">
        <v>7476</v>
      </c>
      <c r="U2359" s="34" t="s">
        <v>7476</v>
      </c>
      <c r="V2359" s="32">
        <v>44908.108344907407</v>
      </c>
      <c r="W2359" s="32" t="s">
        <v>7476</v>
      </c>
      <c r="X2359">
        <v>0</v>
      </c>
      <c r="Y2359" s="34" t="s">
        <v>7476</v>
      </c>
      <c r="Z2359" s="34" t="s">
        <v>7476</v>
      </c>
      <c r="AA2359" s="34" t="s">
        <v>7476</v>
      </c>
      <c r="AB2359" s="36" t="s">
        <v>7476</v>
      </c>
      <c r="AD2359" t="s">
        <v>7319</v>
      </c>
      <c r="AE2359" t="s">
        <v>7320</v>
      </c>
      <c r="AF2359" s="16">
        <v>44895</v>
      </c>
      <c r="AG2359" t="s">
        <v>68</v>
      </c>
      <c r="AH2359">
        <v>3</v>
      </c>
      <c r="AI2359" s="8">
        <f>IFERROR(R2359-AF2359,"")</f>
        <v>16.108344907406718</v>
      </c>
      <c r="AJ2359" s="8">
        <f>IFERROR(O2359-AF2359,"")</f>
        <v>12.108344907406718</v>
      </c>
      <c r="AK2359" s="38">
        <f t="shared" si="942"/>
        <v>44998.108344907407</v>
      </c>
      <c r="AL2359" t="str">
        <f>IFERROR(Z2359-W2359,"")</f>
        <v/>
      </c>
      <c r="AM2359">
        <f>IFERROR(R2359-J2359,"")</f>
        <v>18</v>
      </c>
      <c r="AN2359">
        <f>IFERROR(V2359-O2359,"")</f>
        <v>1</v>
      </c>
      <c r="AO2359">
        <f>IFERROR(J2359-I2359,"")</f>
        <v>1</v>
      </c>
      <c r="AP2359">
        <f>IFERROR(AC2359-X2359,"")</f>
        <v>0</v>
      </c>
      <c r="AQ2359" t="str">
        <f>IFERROR(AA2359-W2359,"")</f>
        <v/>
      </c>
    </row>
    <row r="2360" spans="1:43" x14ac:dyDescent="0.35">
      <c r="A2360">
        <v>441</v>
      </c>
      <c r="B2360" t="s">
        <v>7321</v>
      </c>
      <c r="C2360" t="s">
        <v>7322</v>
      </c>
      <c r="D2360" t="str">
        <f t="shared" si="940"/>
        <v>Administation</v>
      </c>
      <c r="E2360" t="s">
        <v>7317</v>
      </c>
      <c r="F2360" t="s">
        <v>204</v>
      </c>
      <c r="G2360" t="s">
        <v>7318</v>
      </c>
      <c r="H2360" t="s">
        <v>206</v>
      </c>
      <c r="I2360" s="32">
        <v>44891.108344907407</v>
      </c>
      <c r="J2360" s="32">
        <v>44892.108344907407</v>
      </c>
      <c r="K2360" s="32">
        <v>44895.108344907407</v>
      </c>
      <c r="L2360" s="8">
        <f t="shared" si="941"/>
        <v>4</v>
      </c>
      <c r="M2360" s="7">
        <v>44920.108344907407</v>
      </c>
      <c r="N2360" t="s">
        <v>49</v>
      </c>
      <c r="O2360" s="34">
        <v>44908.108344907407</v>
      </c>
      <c r="P2360" t="s">
        <v>101</v>
      </c>
      <c r="R2360" s="32">
        <v>44912.108344907407</v>
      </c>
      <c r="S2360" t="s">
        <v>101</v>
      </c>
      <c r="T2360" s="34">
        <v>44909.108344907407</v>
      </c>
      <c r="U2360" s="34">
        <v>44910.108344907407</v>
      </c>
      <c r="V2360" s="32">
        <v>44911.108344907407</v>
      </c>
      <c r="W2360" s="32">
        <v>44921.108344907407</v>
      </c>
      <c r="X2360">
        <v>1</v>
      </c>
      <c r="Y2360" s="34">
        <v>44923.108344907407</v>
      </c>
      <c r="Z2360" s="34">
        <v>44925.108344907407</v>
      </c>
      <c r="AA2360" s="34">
        <v>44928.108344907407</v>
      </c>
      <c r="AB2360" s="36" t="s">
        <v>7476</v>
      </c>
      <c r="AC2360" s="10">
        <v>44935.108344907407</v>
      </c>
      <c r="AD2360" t="s">
        <v>7323</v>
      </c>
      <c r="AE2360" t="s">
        <v>7324</v>
      </c>
      <c r="AF2360" s="16">
        <v>44785</v>
      </c>
      <c r="AG2360" t="s">
        <v>68</v>
      </c>
      <c r="AH2360">
        <v>3</v>
      </c>
      <c r="AI2360" s="8">
        <f>IFERROR(R2360-AF2360,"")</f>
        <v>127.10834490740672</v>
      </c>
      <c r="AJ2360" s="8">
        <f>IFERROR(O2360-AF2360,"")</f>
        <v>123.10834490740672</v>
      </c>
      <c r="AK2360" s="38">
        <f t="shared" si="942"/>
        <v>45001.108344907407</v>
      </c>
      <c r="AL2360">
        <f>IFERROR(Z2360-W2360,"")</f>
        <v>4</v>
      </c>
      <c r="AM2360">
        <f>IFERROR(R2360-J2360,"")</f>
        <v>20</v>
      </c>
      <c r="AN2360">
        <f>IFERROR(V2360-O2360,"")</f>
        <v>3</v>
      </c>
      <c r="AO2360">
        <f>IFERROR(J2360-I2360,"")</f>
        <v>1</v>
      </c>
      <c r="AP2360">
        <f>IFERROR(AC2360-X2360,"")</f>
        <v>44934.108344907407</v>
      </c>
      <c r="AQ2360">
        <f>IFERROR(AA2360-W2360,"")</f>
        <v>7</v>
      </c>
    </row>
    <row r="2361" spans="1:43" x14ac:dyDescent="0.35">
      <c r="A2361">
        <v>337</v>
      </c>
      <c r="B2361" t="s">
        <v>7325</v>
      </c>
      <c r="C2361" t="s">
        <v>7322</v>
      </c>
      <c r="D2361" t="str">
        <f t="shared" si="940"/>
        <v>Administation</v>
      </c>
      <c r="E2361" t="s">
        <v>7317</v>
      </c>
      <c r="F2361" t="s">
        <v>204</v>
      </c>
      <c r="G2361" t="s">
        <v>7318</v>
      </c>
      <c r="H2361" t="s">
        <v>206</v>
      </c>
      <c r="I2361" s="32">
        <v>44722.822210648148</v>
      </c>
      <c r="J2361" s="32">
        <v>44724.822210648148</v>
      </c>
      <c r="K2361" s="32">
        <v>44725.822210648148</v>
      </c>
      <c r="L2361" s="8">
        <f t="shared" si="941"/>
        <v>3</v>
      </c>
      <c r="M2361" s="7">
        <v>44754.822210648148</v>
      </c>
      <c r="N2361" t="s">
        <v>49</v>
      </c>
      <c r="O2361" s="34">
        <v>44737.822210648148</v>
      </c>
      <c r="P2361" t="s">
        <v>50</v>
      </c>
      <c r="Q2361" t="s">
        <v>51</v>
      </c>
      <c r="R2361" s="32" t="s">
        <v>7472</v>
      </c>
      <c r="S2361" t="s">
        <v>7476</v>
      </c>
      <c r="T2361" s="34" t="s">
        <v>7476</v>
      </c>
      <c r="U2361" s="34" t="s">
        <v>7476</v>
      </c>
      <c r="V2361" s="32" t="s">
        <v>7476</v>
      </c>
      <c r="W2361" s="32" t="s">
        <v>7476</v>
      </c>
      <c r="X2361">
        <v>0</v>
      </c>
      <c r="Y2361" s="34" t="s">
        <v>7476</v>
      </c>
      <c r="Z2361" s="34" t="s">
        <v>7476</v>
      </c>
      <c r="AA2361" s="34" t="s">
        <v>7476</v>
      </c>
      <c r="AB2361" s="36" t="s">
        <v>52</v>
      </c>
      <c r="AD2361" t="s">
        <v>7326</v>
      </c>
      <c r="AE2361" t="s">
        <v>7327</v>
      </c>
      <c r="AF2361" s="16">
        <v>44840</v>
      </c>
      <c r="AG2361" t="s">
        <v>64</v>
      </c>
      <c r="AH2361">
        <v>6</v>
      </c>
      <c r="AI2361" s="8" t="str">
        <f>IFERROR(R2361-AF2361,"")</f>
        <v/>
      </c>
      <c r="AJ2361" s="8">
        <f>IFERROR(O2361-AF2361,"")</f>
        <v>-102.17778935185197</v>
      </c>
      <c r="AK2361" s="38" t="str">
        <f t="shared" si="942"/>
        <v/>
      </c>
      <c r="AL2361" t="str">
        <f>IFERROR(Z2361-W2361,"")</f>
        <v/>
      </c>
      <c r="AM2361" t="str">
        <f>IFERROR(R2361-J2361,"")</f>
        <v/>
      </c>
      <c r="AN2361" t="str">
        <f>IFERROR(V2361-O2361,"")</f>
        <v/>
      </c>
      <c r="AO2361">
        <f>IFERROR(J2361-I2361,"")</f>
        <v>2</v>
      </c>
      <c r="AP2361">
        <f>IFERROR(AC2361-X2361,"")</f>
        <v>0</v>
      </c>
      <c r="AQ2361" t="str">
        <f>IFERROR(AA2361-W2361,"")</f>
        <v/>
      </c>
    </row>
    <row r="2362" spans="1:43" x14ac:dyDescent="0.35">
      <c r="A2362">
        <v>336</v>
      </c>
      <c r="B2362" t="s">
        <v>7328</v>
      </c>
      <c r="C2362" t="s">
        <v>7329</v>
      </c>
      <c r="D2362" t="str">
        <f t="shared" si="940"/>
        <v>Administation</v>
      </c>
      <c r="E2362" t="s">
        <v>7317</v>
      </c>
      <c r="F2362" t="s">
        <v>204</v>
      </c>
      <c r="G2362" t="s">
        <v>7318</v>
      </c>
      <c r="H2362" t="s">
        <v>206</v>
      </c>
      <c r="I2362" s="32" t="s">
        <v>7471</v>
      </c>
      <c r="J2362" s="32" t="s">
        <v>7471</v>
      </c>
      <c r="K2362" s="32" t="s">
        <v>7473</v>
      </c>
      <c r="L2362" s="8" t="str">
        <f t="shared" si="941"/>
        <v/>
      </c>
      <c r="M2362" s="7">
        <v>44753.822210648148</v>
      </c>
      <c r="N2362" t="s">
        <v>49</v>
      </c>
      <c r="O2362" s="34">
        <v>44735.822210648148</v>
      </c>
      <c r="P2362" t="s">
        <v>60</v>
      </c>
      <c r="R2362" s="32">
        <v>44741.822210648148</v>
      </c>
      <c r="S2362" t="s">
        <v>61</v>
      </c>
      <c r="T2362" s="34" t="s">
        <v>7476</v>
      </c>
      <c r="U2362" s="34" t="s">
        <v>7476</v>
      </c>
      <c r="V2362" s="32">
        <v>44739.822210648148</v>
      </c>
      <c r="W2362" s="32" t="s">
        <v>7476</v>
      </c>
      <c r="X2362">
        <v>0</v>
      </c>
      <c r="Y2362" s="34" t="s">
        <v>7476</v>
      </c>
      <c r="Z2362" s="34" t="s">
        <v>7476</v>
      </c>
      <c r="AA2362" s="34" t="s">
        <v>7476</v>
      </c>
      <c r="AB2362" s="36" t="s">
        <v>7476</v>
      </c>
      <c r="AD2362" t="s">
        <v>7330</v>
      </c>
      <c r="AE2362" t="s">
        <v>7331</v>
      </c>
      <c r="AF2362" s="16">
        <v>44720</v>
      </c>
      <c r="AG2362" t="s">
        <v>64</v>
      </c>
      <c r="AH2362">
        <v>3</v>
      </c>
      <c r="AK2362" s="38">
        <f t="shared" si="942"/>
        <v>44829.822210648148</v>
      </c>
    </row>
    <row r="2363" spans="1:43" x14ac:dyDescent="0.35">
      <c r="A2363">
        <v>333</v>
      </c>
      <c r="B2363" t="s">
        <v>7332</v>
      </c>
      <c r="C2363" t="s">
        <v>7322</v>
      </c>
      <c r="D2363" t="str">
        <f t="shared" si="940"/>
        <v>Administation</v>
      </c>
      <c r="E2363" t="s">
        <v>7317</v>
      </c>
      <c r="F2363" t="s">
        <v>204</v>
      </c>
      <c r="G2363" t="s">
        <v>7318</v>
      </c>
      <c r="H2363" t="s">
        <v>206</v>
      </c>
      <c r="I2363" s="32">
        <v>44719.822210648148</v>
      </c>
      <c r="J2363" s="32">
        <v>44722.822210648148</v>
      </c>
      <c r="K2363" s="32">
        <v>44725.822210648148</v>
      </c>
      <c r="L2363" s="8">
        <f t="shared" si="941"/>
        <v>6</v>
      </c>
      <c r="M2363" s="7">
        <v>44738.822210648148</v>
      </c>
      <c r="N2363" t="s">
        <v>49</v>
      </c>
      <c r="O2363" s="34">
        <v>44741.822210648148</v>
      </c>
      <c r="P2363" t="s">
        <v>101</v>
      </c>
      <c r="R2363" s="32">
        <v>44747.822210648148</v>
      </c>
      <c r="S2363" t="s">
        <v>101</v>
      </c>
      <c r="T2363" s="34">
        <v>44742.822210648148</v>
      </c>
      <c r="U2363" s="34">
        <v>44745.822210648148</v>
      </c>
      <c r="V2363" s="32">
        <v>44745.822210648148</v>
      </c>
      <c r="W2363" s="32">
        <v>44749.822210648148</v>
      </c>
      <c r="X2363">
        <v>1</v>
      </c>
      <c r="Y2363" s="34">
        <v>44752.822210648148</v>
      </c>
      <c r="Z2363" s="34">
        <v>44753.822210648148</v>
      </c>
      <c r="AA2363" s="34">
        <v>44756.822210648148</v>
      </c>
      <c r="AB2363" s="36" t="s">
        <v>7476</v>
      </c>
      <c r="AC2363" s="10">
        <v>44774.822210648148</v>
      </c>
      <c r="AD2363" t="s">
        <v>7333</v>
      </c>
      <c r="AE2363" t="s">
        <v>7334</v>
      </c>
      <c r="AF2363" s="16">
        <v>44729</v>
      </c>
      <c r="AG2363" t="s">
        <v>64</v>
      </c>
      <c r="AH2363">
        <v>6</v>
      </c>
      <c r="AI2363" s="8">
        <f>IFERROR(R2363-AF2363,"")</f>
        <v>18.82221064814803</v>
      </c>
      <c r="AJ2363" s="8">
        <f>IFERROR(O2363-AF2363,"")</f>
        <v>12.82221064814803</v>
      </c>
      <c r="AK2363" s="38">
        <f t="shared" si="942"/>
        <v>44925.822210648148</v>
      </c>
      <c r="AL2363">
        <f>IFERROR(Z2363-W2363,"")</f>
        <v>4</v>
      </c>
      <c r="AM2363">
        <f>IFERROR(R2363-J2363,"")</f>
        <v>25</v>
      </c>
      <c r="AN2363">
        <f>IFERROR(V2363-O2363,"")</f>
        <v>4</v>
      </c>
      <c r="AO2363">
        <f>IFERROR(J2363-I2363,"")</f>
        <v>3</v>
      </c>
      <c r="AP2363">
        <f>IFERROR(AC2363-X2363,"")</f>
        <v>44773.822210648148</v>
      </c>
      <c r="AQ2363">
        <f>IFERROR(AA2363-W2363,"")</f>
        <v>7</v>
      </c>
    </row>
    <row r="2364" spans="1:43" x14ac:dyDescent="0.35">
      <c r="A2364">
        <v>310</v>
      </c>
      <c r="B2364" t="s">
        <v>7335</v>
      </c>
      <c r="C2364" t="s">
        <v>7329</v>
      </c>
      <c r="D2364" t="str">
        <f t="shared" si="940"/>
        <v>Administation</v>
      </c>
      <c r="E2364" t="s">
        <v>7317</v>
      </c>
      <c r="F2364" t="s">
        <v>204</v>
      </c>
      <c r="G2364" t="s">
        <v>7318</v>
      </c>
      <c r="H2364" t="s">
        <v>206</v>
      </c>
      <c r="I2364" s="32">
        <v>45029.892650462964</v>
      </c>
      <c r="J2364" s="32">
        <v>45033.892650462964</v>
      </c>
      <c r="K2364" s="32">
        <v>45035.892650462964</v>
      </c>
      <c r="L2364" s="8">
        <f t="shared" si="941"/>
        <v>6</v>
      </c>
      <c r="M2364" s="7">
        <v>45053.892650462964</v>
      </c>
      <c r="N2364" t="s">
        <v>49</v>
      </c>
      <c r="O2364" s="34">
        <v>45047.892650462964</v>
      </c>
      <c r="P2364" t="s">
        <v>392</v>
      </c>
      <c r="R2364" s="32">
        <v>45054.892650462964</v>
      </c>
      <c r="S2364" t="s">
        <v>392</v>
      </c>
      <c r="T2364" s="34" t="s">
        <v>7476</v>
      </c>
      <c r="U2364" s="34" t="s">
        <v>7476</v>
      </c>
      <c r="V2364" s="32">
        <v>45050.892650462964</v>
      </c>
      <c r="W2364" s="32" t="s">
        <v>7476</v>
      </c>
      <c r="X2364">
        <v>0</v>
      </c>
      <c r="Y2364" s="34" t="s">
        <v>7476</v>
      </c>
      <c r="Z2364" s="34" t="s">
        <v>7476</v>
      </c>
      <c r="AA2364" s="34" t="s">
        <v>7476</v>
      </c>
      <c r="AB2364" s="36" t="s">
        <v>7476</v>
      </c>
      <c r="AD2364" t="s">
        <v>7336</v>
      </c>
      <c r="AE2364" t="s">
        <v>7337</v>
      </c>
      <c r="AF2364" s="16">
        <v>45029</v>
      </c>
      <c r="AG2364" t="s">
        <v>68</v>
      </c>
      <c r="AH2364">
        <v>3</v>
      </c>
      <c r="AI2364" s="8">
        <f>IFERROR(R2364-AF2364,"")</f>
        <v>25.892650462963502</v>
      </c>
      <c r="AJ2364" s="8">
        <f>IFERROR(O2364-AF2364,"")</f>
        <v>18.892650462963502</v>
      </c>
      <c r="AK2364" s="38">
        <f t="shared" si="942"/>
        <v>45140.892650462964</v>
      </c>
      <c r="AL2364" t="str">
        <f>IFERROR(Z2364-W2364,"")</f>
        <v/>
      </c>
      <c r="AM2364">
        <f>IFERROR(R2364-J2364,"")</f>
        <v>21</v>
      </c>
      <c r="AN2364">
        <f>IFERROR(V2364-O2364,"")</f>
        <v>3</v>
      </c>
      <c r="AO2364">
        <f>IFERROR(J2364-I2364,"")</f>
        <v>4</v>
      </c>
      <c r="AP2364">
        <f>IFERROR(AC2364-X2364,"")</f>
        <v>0</v>
      </c>
      <c r="AQ2364" t="str">
        <f>IFERROR(AA2364-W2364,"")</f>
        <v/>
      </c>
    </row>
    <row r="2365" spans="1:43" x14ac:dyDescent="0.35">
      <c r="A2365">
        <v>40</v>
      </c>
      <c r="B2365" t="s">
        <v>7338</v>
      </c>
      <c r="C2365" t="s">
        <v>7322</v>
      </c>
      <c r="D2365" t="str">
        <f t="shared" si="940"/>
        <v>Administation</v>
      </c>
      <c r="E2365" t="s">
        <v>7317</v>
      </c>
      <c r="F2365" t="s">
        <v>204</v>
      </c>
      <c r="G2365" t="s">
        <v>7318</v>
      </c>
      <c r="H2365" t="s">
        <v>206</v>
      </c>
      <c r="I2365" s="32">
        <v>44774.52820601852</v>
      </c>
      <c r="J2365" s="32">
        <v>44775.52820601852</v>
      </c>
      <c r="K2365" s="32">
        <v>44778.52820601852</v>
      </c>
      <c r="L2365" s="8">
        <f t="shared" si="941"/>
        <v>4</v>
      </c>
      <c r="M2365" s="7">
        <v>44801.52820601852</v>
      </c>
      <c r="N2365" t="s">
        <v>72</v>
      </c>
      <c r="O2365" s="34" t="s">
        <v>7474</v>
      </c>
      <c r="R2365" s="32" t="s">
        <v>7472</v>
      </c>
      <c r="S2365" t="s">
        <v>7476</v>
      </c>
      <c r="T2365" s="34" t="s">
        <v>7476</v>
      </c>
      <c r="U2365" s="34" t="s">
        <v>7476</v>
      </c>
      <c r="V2365" s="32" t="s">
        <v>7476</v>
      </c>
      <c r="W2365" s="32" t="s">
        <v>7476</v>
      </c>
      <c r="X2365">
        <v>0</v>
      </c>
      <c r="Y2365" s="34" t="s">
        <v>7476</v>
      </c>
      <c r="Z2365" s="34" t="s">
        <v>7476</v>
      </c>
      <c r="AA2365" s="34" t="s">
        <v>7476</v>
      </c>
      <c r="AB2365" s="36" t="s">
        <v>7476</v>
      </c>
      <c r="AD2365" t="s">
        <v>7339</v>
      </c>
      <c r="AE2365" t="s">
        <v>7340</v>
      </c>
      <c r="AG2365" t="s">
        <v>68</v>
      </c>
      <c r="AH2365">
        <v>3</v>
      </c>
      <c r="AI2365" s="8" t="str">
        <f>IFERROR(R2365-AF2365,"")</f>
        <v/>
      </c>
      <c r="AJ2365" s="8" t="str">
        <f>IFERROR(O2365-AF2365,"")</f>
        <v/>
      </c>
      <c r="AK2365" s="38" t="str">
        <f t="shared" si="942"/>
        <v/>
      </c>
      <c r="AL2365" t="str">
        <f>IFERROR(Z2365-W2365,"")</f>
        <v/>
      </c>
      <c r="AM2365" t="str">
        <f>IFERROR(R2365-J2365,"")</f>
        <v/>
      </c>
      <c r="AN2365" t="str">
        <f>IFERROR(V2365-O2365,"")</f>
        <v/>
      </c>
      <c r="AO2365">
        <f>IFERROR(J2365-I2365,"")</f>
        <v>1</v>
      </c>
      <c r="AP2365">
        <f>IFERROR(AC2365-X2365,"")</f>
        <v>0</v>
      </c>
      <c r="AQ2365" t="str">
        <f>IFERROR(AA2365-W2365,"")</f>
        <v/>
      </c>
    </row>
    <row r="2366" spans="1:43" x14ac:dyDescent="0.35">
      <c r="A2366">
        <v>38</v>
      </c>
      <c r="B2366" t="s">
        <v>7341</v>
      </c>
      <c r="C2366" t="s">
        <v>7322</v>
      </c>
      <c r="D2366" t="str">
        <f t="shared" si="940"/>
        <v>Administation</v>
      </c>
      <c r="E2366" t="s">
        <v>7317</v>
      </c>
      <c r="F2366" t="s">
        <v>204</v>
      </c>
      <c r="G2366" t="s">
        <v>7318</v>
      </c>
      <c r="H2366" t="s">
        <v>206</v>
      </c>
      <c r="I2366" s="32">
        <v>44768.52820601852</v>
      </c>
      <c r="J2366" s="32">
        <v>44772.52820601852</v>
      </c>
      <c r="K2366" s="32" t="s">
        <v>7473</v>
      </c>
      <c r="L2366" s="8" t="str">
        <f t="shared" si="941"/>
        <v/>
      </c>
      <c r="M2366" s="7">
        <v>44792.52820601852</v>
      </c>
      <c r="N2366" t="s">
        <v>49</v>
      </c>
      <c r="O2366" s="34">
        <v>44783.52820601852</v>
      </c>
      <c r="P2366" t="s">
        <v>50</v>
      </c>
      <c r="Q2366" t="s">
        <v>125</v>
      </c>
      <c r="R2366" s="32" t="s">
        <v>7472</v>
      </c>
      <c r="S2366" t="s">
        <v>7476</v>
      </c>
      <c r="T2366" s="34" t="s">
        <v>7476</v>
      </c>
      <c r="U2366" s="34" t="s">
        <v>7476</v>
      </c>
      <c r="V2366" s="32">
        <v>44785.52820601852</v>
      </c>
      <c r="W2366" s="32" t="s">
        <v>7476</v>
      </c>
      <c r="X2366">
        <v>0</v>
      </c>
      <c r="Y2366" s="34" t="s">
        <v>7476</v>
      </c>
      <c r="Z2366" s="34" t="s">
        <v>7476</v>
      </c>
      <c r="AA2366" s="34" t="s">
        <v>7476</v>
      </c>
      <c r="AB2366" s="36" t="s">
        <v>95</v>
      </c>
      <c r="AD2366" t="s">
        <v>7342</v>
      </c>
      <c r="AE2366" t="s">
        <v>7343</v>
      </c>
      <c r="AF2366" s="16">
        <v>44769</v>
      </c>
      <c r="AG2366" t="s">
        <v>55</v>
      </c>
      <c r="AH2366">
        <v>6</v>
      </c>
      <c r="AK2366" s="38">
        <f t="shared" si="942"/>
        <v>44965.52820601852</v>
      </c>
    </row>
    <row r="2367" spans="1:43" x14ac:dyDescent="0.35">
      <c r="A2367">
        <v>523</v>
      </c>
      <c r="B2367" t="s">
        <v>7344</v>
      </c>
      <c r="C2367" t="s">
        <v>7316</v>
      </c>
      <c r="D2367" t="str">
        <f t="shared" si="940"/>
        <v>Administation</v>
      </c>
      <c r="E2367" t="s">
        <v>7345</v>
      </c>
      <c r="F2367" t="s">
        <v>5433</v>
      </c>
      <c r="G2367" t="s">
        <v>7346</v>
      </c>
      <c r="H2367" t="s">
        <v>334</v>
      </c>
      <c r="I2367" s="32">
        <v>44603.83390046296</v>
      </c>
      <c r="J2367" s="32">
        <v>44605.83390046296</v>
      </c>
      <c r="K2367" s="32">
        <v>44611.83390046296</v>
      </c>
      <c r="L2367" s="8">
        <f t="shared" si="941"/>
        <v>8</v>
      </c>
      <c r="M2367" s="7">
        <v>44640.83390046296</v>
      </c>
      <c r="N2367" t="s">
        <v>49</v>
      </c>
      <c r="O2367" s="34">
        <v>44625.83390046296</v>
      </c>
      <c r="P2367" t="s">
        <v>50</v>
      </c>
      <c r="Q2367" t="s">
        <v>51</v>
      </c>
      <c r="R2367" s="32" t="s">
        <v>7472</v>
      </c>
      <c r="S2367" t="s">
        <v>7476</v>
      </c>
      <c r="T2367" s="34" t="s">
        <v>7476</v>
      </c>
      <c r="U2367" s="34" t="s">
        <v>7476</v>
      </c>
      <c r="V2367" s="32">
        <v>44628.83390046296</v>
      </c>
      <c r="W2367" s="32" t="s">
        <v>7476</v>
      </c>
      <c r="X2367">
        <v>0</v>
      </c>
      <c r="Y2367" s="34" t="s">
        <v>7476</v>
      </c>
      <c r="Z2367" s="34" t="s">
        <v>7476</v>
      </c>
      <c r="AA2367" s="34" t="s">
        <v>7476</v>
      </c>
      <c r="AB2367" s="36" t="s">
        <v>52</v>
      </c>
      <c r="AD2367" t="s">
        <v>7347</v>
      </c>
      <c r="AE2367" t="s">
        <v>7348</v>
      </c>
      <c r="AF2367" s="16">
        <v>44617</v>
      </c>
      <c r="AG2367" t="s">
        <v>98</v>
      </c>
      <c r="AH2367">
        <v>3</v>
      </c>
      <c r="AI2367" s="8" t="str">
        <f>IFERROR(R2367-AF2367,"")</f>
        <v/>
      </c>
      <c r="AJ2367" s="8">
        <f>IFERROR(O2367-AF2367,"")</f>
        <v>8.8339004629597184</v>
      </c>
      <c r="AK2367" s="38">
        <f t="shared" si="942"/>
        <v>44718.83390046296</v>
      </c>
      <c r="AL2367" t="str">
        <f>IFERROR(Z2367-W2367,"")</f>
        <v/>
      </c>
      <c r="AM2367" t="str">
        <f>IFERROR(R2367-J2367,"")</f>
        <v/>
      </c>
      <c r="AN2367">
        <f>IFERROR(V2367-O2367,"")</f>
        <v>3</v>
      </c>
      <c r="AO2367">
        <f>IFERROR(J2367-I2367,"")</f>
        <v>2</v>
      </c>
      <c r="AP2367">
        <f>IFERROR(AC2367-X2367,"")</f>
        <v>0</v>
      </c>
      <c r="AQ2367" t="str">
        <f>IFERROR(AA2367-W2367,"")</f>
        <v/>
      </c>
    </row>
    <row r="2368" spans="1:43" x14ac:dyDescent="0.35">
      <c r="A2368">
        <v>520</v>
      </c>
      <c r="B2368" t="s">
        <v>7349</v>
      </c>
      <c r="C2368" t="s">
        <v>7322</v>
      </c>
      <c r="D2368" t="str">
        <f t="shared" si="940"/>
        <v>Administation</v>
      </c>
      <c r="E2368" t="s">
        <v>7345</v>
      </c>
      <c r="F2368" t="s">
        <v>5433</v>
      </c>
      <c r="G2368" t="s">
        <v>7346</v>
      </c>
      <c r="H2368" t="s">
        <v>334</v>
      </c>
      <c r="I2368" s="32">
        <v>44848.925555555557</v>
      </c>
      <c r="J2368" s="32">
        <v>44850.925555555557</v>
      </c>
      <c r="K2368" s="32">
        <v>44856.925555555557</v>
      </c>
      <c r="L2368" s="8">
        <f t="shared" si="941"/>
        <v>8</v>
      </c>
      <c r="M2368" s="7">
        <v>44868.925555555557</v>
      </c>
      <c r="N2368" t="s">
        <v>49</v>
      </c>
      <c r="O2368" s="34">
        <v>44866.925555555557</v>
      </c>
      <c r="P2368" t="s">
        <v>50</v>
      </c>
      <c r="Q2368" t="s">
        <v>236</v>
      </c>
      <c r="R2368" s="32" t="s">
        <v>7472</v>
      </c>
      <c r="S2368" t="s">
        <v>7476</v>
      </c>
      <c r="T2368" s="34" t="s">
        <v>7476</v>
      </c>
      <c r="U2368" s="34" t="s">
        <v>7476</v>
      </c>
      <c r="V2368" s="32" t="s">
        <v>7476</v>
      </c>
      <c r="W2368" s="32" t="s">
        <v>7476</v>
      </c>
      <c r="X2368">
        <v>0</v>
      </c>
      <c r="Y2368" s="34" t="s">
        <v>7476</v>
      </c>
      <c r="Z2368" s="34" t="s">
        <v>7476</v>
      </c>
      <c r="AA2368" s="34" t="s">
        <v>7476</v>
      </c>
      <c r="AB2368" s="36" t="s">
        <v>52</v>
      </c>
      <c r="AD2368" t="s">
        <v>7350</v>
      </c>
      <c r="AE2368" t="s">
        <v>7351</v>
      </c>
      <c r="AF2368" s="16">
        <v>44850</v>
      </c>
      <c r="AG2368" t="s">
        <v>64</v>
      </c>
      <c r="AH2368">
        <v>3</v>
      </c>
      <c r="AI2368" s="8" t="str">
        <f>IFERROR(R2368-AF2368,"")</f>
        <v/>
      </c>
      <c r="AJ2368" s="8">
        <f>IFERROR(O2368-AF2368,"")</f>
        <v>16.925555555557366</v>
      </c>
      <c r="AK2368" s="38" t="str">
        <f t="shared" si="942"/>
        <v/>
      </c>
      <c r="AL2368" t="str">
        <f>IFERROR(Z2368-W2368,"")</f>
        <v/>
      </c>
      <c r="AM2368" t="str">
        <f>IFERROR(R2368-J2368,"")</f>
        <v/>
      </c>
      <c r="AN2368" t="str">
        <f>IFERROR(V2368-O2368,"")</f>
        <v/>
      </c>
      <c r="AO2368">
        <f>IFERROR(J2368-I2368,"")</f>
        <v>2</v>
      </c>
      <c r="AP2368">
        <f>IFERROR(AC2368-X2368,"")</f>
        <v>0</v>
      </c>
      <c r="AQ2368" t="str">
        <f>IFERROR(AA2368-W2368,"")</f>
        <v/>
      </c>
    </row>
    <row r="2369" spans="1:43" x14ac:dyDescent="0.35">
      <c r="A2369">
        <v>514</v>
      </c>
      <c r="B2369" t="s">
        <v>7352</v>
      </c>
      <c r="C2369" t="s">
        <v>7322</v>
      </c>
      <c r="D2369" t="str">
        <f t="shared" si="940"/>
        <v>Administation</v>
      </c>
      <c r="E2369" t="s">
        <v>7345</v>
      </c>
      <c r="F2369" t="s">
        <v>5433</v>
      </c>
      <c r="G2369" t="s">
        <v>7346</v>
      </c>
      <c r="H2369" t="s">
        <v>334</v>
      </c>
      <c r="I2369" s="32">
        <v>44850.925555555557</v>
      </c>
      <c r="J2369" s="32" t="s">
        <v>7471</v>
      </c>
      <c r="K2369" s="32">
        <v>44856.925555555557</v>
      </c>
      <c r="L2369" s="8">
        <f t="shared" si="941"/>
        <v>6</v>
      </c>
      <c r="M2369" s="7">
        <v>44873.925555555557</v>
      </c>
      <c r="N2369" t="s">
        <v>49</v>
      </c>
      <c r="O2369" s="34">
        <v>44866.925555555557</v>
      </c>
      <c r="P2369" t="s">
        <v>101</v>
      </c>
      <c r="R2369" s="32">
        <v>44871.925555555557</v>
      </c>
      <c r="S2369" t="s">
        <v>101</v>
      </c>
      <c r="T2369" s="34">
        <v>44868.925555555557</v>
      </c>
      <c r="U2369" s="34">
        <v>44871.925555555557</v>
      </c>
      <c r="V2369" s="32">
        <v>44870.925555555557</v>
      </c>
      <c r="W2369" s="32">
        <v>44879.925555555557</v>
      </c>
      <c r="X2369">
        <v>1</v>
      </c>
      <c r="Y2369" s="34">
        <v>44881.925555555557</v>
      </c>
      <c r="Z2369" s="34">
        <v>44884.925555555557</v>
      </c>
      <c r="AA2369" s="34">
        <v>44885.925555555557</v>
      </c>
      <c r="AB2369" s="36" t="s">
        <v>7476</v>
      </c>
      <c r="AC2369" s="10">
        <v>44899.925555555557</v>
      </c>
      <c r="AD2369" t="s">
        <v>7353</v>
      </c>
      <c r="AE2369" t="s">
        <v>7354</v>
      </c>
      <c r="AF2369" s="16">
        <v>44860</v>
      </c>
      <c r="AG2369" t="s">
        <v>55</v>
      </c>
      <c r="AH2369">
        <v>6</v>
      </c>
      <c r="AK2369" s="38">
        <f t="shared" si="942"/>
        <v>45050.925555555557</v>
      </c>
    </row>
    <row r="2370" spans="1:43" x14ac:dyDescent="0.35">
      <c r="A2370">
        <v>468</v>
      </c>
      <c r="B2370" t="s">
        <v>7355</v>
      </c>
      <c r="C2370" t="s">
        <v>7322</v>
      </c>
      <c r="D2370" t="str">
        <f t="shared" ref="D2370:D2401" si="959">TRIM(C2370)</f>
        <v>Administation</v>
      </c>
      <c r="E2370" t="s">
        <v>7345</v>
      </c>
      <c r="F2370" t="s">
        <v>5433</v>
      </c>
      <c r="G2370" t="s">
        <v>7346</v>
      </c>
      <c r="H2370" t="s">
        <v>334</v>
      </c>
      <c r="I2370" s="32">
        <v>44972.424490740741</v>
      </c>
      <c r="J2370" s="32">
        <v>44975.424490740741</v>
      </c>
      <c r="K2370" s="32">
        <v>44979.424490740741</v>
      </c>
      <c r="L2370" s="8">
        <f t="shared" ref="L2370:L2401" si="960">IFERROR(K2370-I2370,"")</f>
        <v>7</v>
      </c>
      <c r="M2370" s="7">
        <v>44985.424490740741</v>
      </c>
      <c r="N2370" t="s">
        <v>49</v>
      </c>
      <c r="O2370" s="34">
        <v>44988.424490740741</v>
      </c>
      <c r="P2370" t="s">
        <v>101</v>
      </c>
      <c r="R2370" s="32">
        <v>44993.424490740741</v>
      </c>
      <c r="S2370" t="s">
        <v>101</v>
      </c>
      <c r="T2370" s="34">
        <v>44990.424490740741</v>
      </c>
      <c r="U2370" s="34">
        <v>44993.424490740741</v>
      </c>
      <c r="V2370" s="32">
        <v>44991.424490740741</v>
      </c>
      <c r="W2370" s="32">
        <v>44998.424490740741</v>
      </c>
      <c r="X2370">
        <v>1</v>
      </c>
      <c r="Y2370" s="34">
        <v>45001.424490740741</v>
      </c>
      <c r="Z2370" s="34">
        <v>45003.424490740741</v>
      </c>
      <c r="AA2370" s="34">
        <v>45006.424490740741</v>
      </c>
      <c r="AB2370" s="36" t="s">
        <v>7476</v>
      </c>
      <c r="AC2370" s="10">
        <v>45020.424490740741</v>
      </c>
      <c r="AD2370" t="s">
        <v>7356</v>
      </c>
      <c r="AE2370" t="s">
        <v>7357</v>
      </c>
      <c r="AF2370" s="16">
        <v>44979</v>
      </c>
      <c r="AG2370" t="s">
        <v>64</v>
      </c>
      <c r="AH2370">
        <v>3</v>
      </c>
      <c r="AI2370" s="8">
        <f>IFERROR(R2370-AF2370,"")</f>
        <v>14.424490740741021</v>
      </c>
      <c r="AJ2370" s="8">
        <f>IFERROR(O2370-AF2370,"")</f>
        <v>9.424490740741021</v>
      </c>
      <c r="AK2370" s="38">
        <f t="shared" si="942"/>
        <v>45081.424490740741</v>
      </c>
      <c r="AL2370">
        <f>IFERROR(Z2370-W2370,"")</f>
        <v>5</v>
      </c>
      <c r="AM2370">
        <f>IFERROR(R2370-J2370,"")</f>
        <v>18</v>
      </c>
      <c r="AN2370">
        <f>IFERROR(V2370-O2370,"")</f>
        <v>3</v>
      </c>
      <c r="AO2370">
        <f>IFERROR(J2370-I2370,"")</f>
        <v>3</v>
      </c>
      <c r="AP2370">
        <f>IFERROR(AC2370-X2370,"")</f>
        <v>45019.424490740741</v>
      </c>
      <c r="AQ2370">
        <f>IFERROR(AA2370-W2370,"")</f>
        <v>8</v>
      </c>
    </row>
    <row r="2371" spans="1:43" x14ac:dyDescent="0.35">
      <c r="A2371">
        <v>464</v>
      </c>
      <c r="B2371" t="s">
        <v>7358</v>
      </c>
      <c r="C2371" t="s">
        <v>7329</v>
      </c>
      <c r="D2371" t="str">
        <f t="shared" si="959"/>
        <v>Administation</v>
      </c>
      <c r="E2371" t="s">
        <v>7345</v>
      </c>
      <c r="F2371" t="s">
        <v>5433</v>
      </c>
      <c r="G2371" t="s">
        <v>7346</v>
      </c>
      <c r="H2371" t="s">
        <v>334</v>
      </c>
      <c r="I2371" s="32">
        <v>44973.424490740741</v>
      </c>
      <c r="J2371" s="32">
        <v>44976.424490740741</v>
      </c>
      <c r="K2371" s="32" t="s">
        <v>7473</v>
      </c>
      <c r="L2371" s="8" t="str">
        <f t="shared" si="960"/>
        <v/>
      </c>
      <c r="M2371" s="7">
        <v>44994.424490740741</v>
      </c>
      <c r="N2371" t="s">
        <v>49</v>
      </c>
      <c r="O2371" s="34">
        <v>44987.424490740741</v>
      </c>
      <c r="P2371" t="s">
        <v>101</v>
      </c>
      <c r="R2371" s="32">
        <v>44991.424490740741</v>
      </c>
      <c r="S2371" t="s">
        <v>101</v>
      </c>
      <c r="T2371" s="34">
        <v>44988.424490740741</v>
      </c>
      <c r="U2371" s="34">
        <v>44990.424490740741</v>
      </c>
      <c r="V2371" s="32">
        <v>44988.424490740741</v>
      </c>
      <c r="W2371" s="32">
        <v>44993.424490740741</v>
      </c>
      <c r="X2371">
        <v>1</v>
      </c>
      <c r="Y2371" s="34">
        <v>44997.424490740741</v>
      </c>
      <c r="Z2371" s="34">
        <v>44998.424490740741</v>
      </c>
      <c r="AA2371" s="34">
        <v>44999.424490740741</v>
      </c>
      <c r="AB2371" s="36" t="s">
        <v>7476</v>
      </c>
      <c r="AC2371" s="10">
        <v>45020.424490740741</v>
      </c>
      <c r="AD2371" t="s">
        <v>7359</v>
      </c>
      <c r="AE2371" t="s">
        <v>7360</v>
      </c>
      <c r="AF2371" s="16">
        <v>44975</v>
      </c>
      <c r="AG2371" t="s">
        <v>55</v>
      </c>
      <c r="AH2371">
        <v>6</v>
      </c>
      <c r="AK2371" s="38">
        <f t="shared" ref="AK2371:AK2401" si="961">IFERROR(V2371+(AH2371*30),"")</f>
        <v>45168.424490740741</v>
      </c>
    </row>
    <row r="2372" spans="1:43" x14ac:dyDescent="0.35">
      <c r="A2372">
        <v>463</v>
      </c>
      <c r="B2372" t="s">
        <v>7361</v>
      </c>
      <c r="C2372" t="s">
        <v>7329</v>
      </c>
      <c r="D2372" t="str">
        <f t="shared" si="959"/>
        <v>Administation</v>
      </c>
      <c r="E2372" t="s">
        <v>7345</v>
      </c>
      <c r="F2372" t="s">
        <v>5433</v>
      </c>
      <c r="G2372" t="s">
        <v>7346</v>
      </c>
      <c r="H2372" t="s">
        <v>334</v>
      </c>
      <c r="I2372" s="32">
        <v>44972.424490740741</v>
      </c>
      <c r="J2372" s="32">
        <v>44975.424490740741</v>
      </c>
      <c r="K2372" s="32">
        <v>44979.424490740741</v>
      </c>
      <c r="L2372" s="8">
        <f t="shared" si="960"/>
        <v>7</v>
      </c>
      <c r="M2372" s="7">
        <v>44984.424490740741</v>
      </c>
      <c r="N2372" t="s">
        <v>49</v>
      </c>
      <c r="O2372" s="34">
        <v>44983.424490740741</v>
      </c>
      <c r="P2372" t="s">
        <v>50</v>
      </c>
      <c r="Q2372" t="s">
        <v>198</v>
      </c>
      <c r="R2372" s="32" t="s">
        <v>7472</v>
      </c>
      <c r="S2372" t="s">
        <v>7476</v>
      </c>
      <c r="T2372" s="34" t="s">
        <v>7476</v>
      </c>
      <c r="U2372" s="34" t="s">
        <v>7476</v>
      </c>
      <c r="V2372" s="32" t="s">
        <v>7476</v>
      </c>
      <c r="W2372" s="32" t="s">
        <v>7476</v>
      </c>
      <c r="X2372">
        <v>0</v>
      </c>
      <c r="Y2372" s="34" t="s">
        <v>7476</v>
      </c>
      <c r="Z2372" s="34" t="s">
        <v>7476</v>
      </c>
      <c r="AA2372" s="34" t="s">
        <v>7476</v>
      </c>
      <c r="AB2372" s="36" t="s">
        <v>95</v>
      </c>
      <c r="AD2372" t="s">
        <v>7362</v>
      </c>
      <c r="AE2372" t="s">
        <v>7363</v>
      </c>
      <c r="AF2372" s="16">
        <v>44973</v>
      </c>
      <c r="AG2372" t="s">
        <v>98</v>
      </c>
      <c r="AH2372">
        <v>6</v>
      </c>
      <c r="AI2372" s="8" t="str">
        <f>IFERROR(R2372-AF2372,"")</f>
        <v/>
      </c>
      <c r="AJ2372" s="8">
        <f>IFERROR(O2372-AF2372,"")</f>
        <v>10.424490740741021</v>
      </c>
      <c r="AK2372" s="38" t="str">
        <f t="shared" si="961"/>
        <v/>
      </c>
      <c r="AL2372" t="str">
        <f>IFERROR(Z2372-W2372,"")</f>
        <v/>
      </c>
      <c r="AM2372" t="str">
        <f>IFERROR(R2372-J2372,"")</f>
        <v/>
      </c>
      <c r="AN2372" t="str">
        <f>IFERROR(V2372-O2372,"")</f>
        <v/>
      </c>
      <c r="AO2372">
        <f>IFERROR(J2372-I2372,"")</f>
        <v>3</v>
      </c>
      <c r="AP2372">
        <f>IFERROR(AC2372-X2372,"")</f>
        <v>0</v>
      </c>
      <c r="AQ2372" t="str">
        <f>IFERROR(AA2372-W2372,"")</f>
        <v/>
      </c>
    </row>
    <row r="2373" spans="1:43" x14ac:dyDescent="0.35">
      <c r="A2373">
        <v>447</v>
      </c>
      <c r="B2373" t="s">
        <v>7364</v>
      </c>
      <c r="C2373" t="s">
        <v>7322</v>
      </c>
      <c r="D2373" t="str">
        <f t="shared" si="959"/>
        <v>Administation</v>
      </c>
      <c r="E2373" t="s">
        <v>7345</v>
      </c>
      <c r="F2373" t="s">
        <v>5433</v>
      </c>
      <c r="G2373" t="s">
        <v>7346</v>
      </c>
      <c r="H2373" t="s">
        <v>334</v>
      </c>
      <c r="I2373" s="32">
        <v>44888.108344907407</v>
      </c>
      <c r="J2373" s="32" t="s">
        <v>7471</v>
      </c>
      <c r="K2373" s="32">
        <v>44895.108344907407</v>
      </c>
      <c r="L2373" s="8">
        <f t="shared" si="960"/>
        <v>7</v>
      </c>
      <c r="M2373" s="7">
        <v>44904.108344907407</v>
      </c>
      <c r="N2373" t="s">
        <v>49</v>
      </c>
      <c r="O2373" s="34">
        <v>44906.108344907407</v>
      </c>
      <c r="P2373" t="s">
        <v>101</v>
      </c>
      <c r="R2373" s="32">
        <v>44910.108344907407</v>
      </c>
      <c r="S2373" t="s">
        <v>101</v>
      </c>
      <c r="T2373" s="34">
        <v>44907.108344907407</v>
      </c>
      <c r="U2373" s="34">
        <v>44910.108344907407</v>
      </c>
      <c r="V2373" s="32">
        <v>44909.108344907407</v>
      </c>
      <c r="W2373" s="32">
        <v>44912.108344907407</v>
      </c>
      <c r="X2373">
        <v>1</v>
      </c>
      <c r="Y2373" s="34">
        <v>44916.108344907407</v>
      </c>
      <c r="Z2373" s="34">
        <v>44919.108344907407</v>
      </c>
      <c r="AA2373" s="34">
        <v>44921.108344907407</v>
      </c>
      <c r="AB2373" s="36" t="s">
        <v>7476</v>
      </c>
      <c r="AC2373" s="10">
        <v>44941.108344907407</v>
      </c>
      <c r="AD2373" t="s">
        <v>7365</v>
      </c>
      <c r="AE2373" t="s">
        <v>7366</v>
      </c>
      <c r="AF2373" s="16">
        <v>44889</v>
      </c>
      <c r="AG2373" t="s">
        <v>75</v>
      </c>
      <c r="AH2373">
        <v>6</v>
      </c>
      <c r="AK2373" s="38">
        <f t="shared" si="961"/>
        <v>45089.108344907407</v>
      </c>
    </row>
    <row r="2374" spans="1:43" x14ac:dyDescent="0.35">
      <c r="A2374">
        <v>443</v>
      </c>
      <c r="B2374" t="s">
        <v>7367</v>
      </c>
      <c r="C2374" t="s">
        <v>7322</v>
      </c>
      <c r="D2374" t="str">
        <f t="shared" si="959"/>
        <v>Administation</v>
      </c>
      <c r="E2374" t="s">
        <v>7345</v>
      </c>
      <c r="F2374" t="s">
        <v>5433</v>
      </c>
      <c r="G2374" t="s">
        <v>7346</v>
      </c>
      <c r="H2374" t="s">
        <v>334</v>
      </c>
      <c r="I2374" s="32">
        <v>44891.108344907407</v>
      </c>
      <c r="J2374" s="32">
        <v>44892.108344907407</v>
      </c>
      <c r="K2374" s="32">
        <v>44895.108344907407</v>
      </c>
      <c r="L2374" s="8">
        <f t="shared" si="960"/>
        <v>4</v>
      </c>
      <c r="M2374" s="7">
        <v>44909.108344907407</v>
      </c>
      <c r="N2374" t="s">
        <v>49</v>
      </c>
      <c r="O2374" s="34">
        <v>44904.108344907407</v>
      </c>
      <c r="P2374" t="s">
        <v>50</v>
      </c>
      <c r="Q2374" t="s">
        <v>125</v>
      </c>
      <c r="R2374" s="32" t="s">
        <v>7472</v>
      </c>
      <c r="S2374" t="s">
        <v>7476</v>
      </c>
      <c r="T2374" s="34" t="s">
        <v>7476</v>
      </c>
      <c r="U2374" s="34" t="s">
        <v>7476</v>
      </c>
      <c r="V2374" s="32" t="s">
        <v>7476</v>
      </c>
      <c r="W2374" s="32" t="s">
        <v>7476</v>
      </c>
      <c r="X2374">
        <v>0</v>
      </c>
      <c r="Y2374" s="34" t="s">
        <v>7476</v>
      </c>
      <c r="Z2374" s="34" t="s">
        <v>7476</v>
      </c>
      <c r="AA2374" s="34" t="s">
        <v>7476</v>
      </c>
      <c r="AB2374" s="36" t="s">
        <v>95</v>
      </c>
      <c r="AD2374" t="s">
        <v>7368</v>
      </c>
      <c r="AE2374" t="s">
        <v>7369</v>
      </c>
      <c r="AF2374" s="16">
        <v>44891</v>
      </c>
      <c r="AG2374" t="s">
        <v>98</v>
      </c>
      <c r="AH2374">
        <v>3</v>
      </c>
      <c r="AI2374" s="8" t="str">
        <f>IFERROR(R2374-AF2374,"")</f>
        <v/>
      </c>
      <c r="AJ2374" s="8">
        <f>IFERROR(O2374-AF2374,"")</f>
        <v>13.108344907406718</v>
      </c>
      <c r="AK2374" s="38" t="str">
        <f t="shared" si="961"/>
        <v/>
      </c>
      <c r="AL2374" t="str">
        <f>IFERROR(Z2374-W2374,"")</f>
        <v/>
      </c>
      <c r="AM2374" t="str">
        <f>IFERROR(R2374-J2374,"")</f>
        <v/>
      </c>
      <c r="AN2374" t="str">
        <f>IFERROR(V2374-O2374,"")</f>
        <v/>
      </c>
      <c r="AO2374">
        <f>IFERROR(J2374-I2374,"")</f>
        <v>1</v>
      </c>
      <c r="AP2374">
        <f>IFERROR(AC2374-X2374,"")</f>
        <v>0</v>
      </c>
      <c r="AQ2374" t="str">
        <f>IFERROR(AA2374-W2374,"")</f>
        <v/>
      </c>
    </row>
    <row r="2375" spans="1:43" x14ac:dyDescent="0.35">
      <c r="A2375">
        <v>402</v>
      </c>
      <c r="B2375" t="s">
        <v>7370</v>
      </c>
      <c r="C2375" t="s">
        <v>7322</v>
      </c>
      <c r="D2375" t="str">
        <f t="shared" si="959"/>
        <v>Administation</v>
      </c>
      <c r="E2375" t="s">
        <v>7345</v>
      </c>
      <c r="F2375" t="s">
        <v>5433</v>
      </c>
      <c r="G2375" t="s">
        <v>7346</v>
      </c>
      <c r="H2375" t="s">
        <v>334</v>
      </c>
      <c r="I2375" s="32">
        <v>44615.210798611108</v>
      </c>
      <c r="J2375" s="32">
        <v>44618.210798611108</v>
      </c>
      <c r="K2375" s="32" t="s">
        <v>7473</v>
      </c>
      <c r="L2375" s="8" t="str">
        <f t="shared" si="960"/>
        <v/>
      </c>
      <c r="M2375" s="7">
        <v>44635.210798611108</v>
      </c>
      <c r="N2375" t="s">
        <v>49</v>
      </c>
      <c r="O2375" s="34">
        <v>44639.210798611108</v>
      </c>
      <c r="P2375" t="s">
        <v>50</v>
      </c>
      <c r="Q2375" t="s">
        <v>198</v>
      </c>
      <c r="R2375" s="32" t="s">
        <v>7472</v>
      </c>
      <c r="S2375" t="s">
        <v>7476</v>
      </c>
      <c r="T2375" s="34" t="s">
        <v>7476</v>
      </c>
      <c r="U2375" s="34" t="s">
        <v>7476</v>
      </c>
      <c r="V2375" s="32">
        <v>44642.210798611108</v>
      </c>
      <c r="W2375" s="32" t="s">
        <v>7476</v>
      </c>
      <c r="X2375">
        <v>0</v>
      </c>
      <c r="Y2375" s="34" t="s">
        <v>7476</v>
      </c>
      <c r="Z2375" s="34" t="s">
        <v>7476</v>
      </c>
      <c r="AA2375" s="34" t="s">
        <v>7476</v>
      </c>
      <c r="AB2375" s="36" t="s">
        <v>52</v>
      </c>
      <c r="AD2375" t="s">
        <v>7371</v>
      </c>
      <c r="AE2375" t="s">
        <v>7372</v>
      </c>
      <c r="AF2375" s="16">
        <v>44632</v>
      </c>
      <c r="AG2375" t="s">
        <v>68</v>
      </c>
      <c r="AH2375">
        <v>3</v>
      </c>
      <c r="AK2375" s="38">
        <f t="shared" si="961"/>
        <v>44732.210798611108</v>
      </c>
    </row>
    <row r="2376" spans="1:43" x14ac:dyDescent="0.35">
      <c r="A2376">
        <v>332</v>
      </c>
      <c r="B2376" t="s">
        <v>7373</v>
      </c>
      <c r="C2376" t="s">
        <v>7322</v>
      </c>
      <c r="D2376" t="str">
        <f t="shared" si="959"/>
        <v>Administation</v>
      </c>
      <c r="E2376" t="s">
        <v>7345</v>
      </c>
      <c r="F2376" t="s">
        <v>5433</v>
      </c>
      <c r="G2376" t="s">
        <v>7346</v>
      </c>
      <c r="H2376" t="s">
        <v>334</v>
      </c>
      <c r="I2376" s="32">
        <v>44721.822210648148</v>
      </c>
      <c r="J2376" s="32">
        <v>44724.822210648148</v>
      </c>
      <c r="K2376" s="32">
        <v>44725.822210648148</v>
      </c>
      <c r="L2376" s="8">
        <f t="shared" si="960"/>
        <v>4</v>
      </c>
      <c r="M2376" s="7">
        <v>44741.822210648148</v>
      </c>
      <c r="N2376" t="s">
        <v>49</v>
      </c>
      <c r="O2376" s="34">
        <v>44739.822210648148</v>
      </c>
      <c r="P2376" t="s">
        <v>101</v>
      </c>
      <c r="R2376" s="32">
        <v>44743.822210648148</v>
      </c>
      <c r="S2376" t="s">
        <v>101</v>
      </c>
      <c r="T2376" s="34">
        <v>44741.822210648148</v>
      </c>
      <c r="U2376" s="34">
        <v>44745.822210648148</v>
      </c>
      <c r="V2376" s="32">
        <v>44740.822210648148</v>
      </c>
      <c r="W2376" s="32">
        <v>44745.822210648148</v>
      </c>
      <c r="X2376">
        <v>1</v>
      </c>
      <c r="Y2376" s="34">
        <v>44748.822210648148</v>
      </c>
      <c r="Z2376" s="34">
        <v>44749.822210648148</v>
      </c>
      <c r="AA2376" s="34">
        <v>44752.822210648148</v>
      </c>
      <c r="AB2376" s="36" t="s">
        <v>7476</v>
      </c>
      <c r="AC2376" s="10">
        <v>44766.822210648148</v>
      </c>
      <c r="AD2376" t="s">
        <v>7374</v>
      </c>
      <c r="AE2376" t="s">
        <v>7375</v>
      </c>
      <c r="AF2376" s="16">
        <v>44731</v>
      </c>
      <c r="AG2376" t="s">
        <v>98</v>
      </c>
      <c r="AH2376">
        <v>6</v>
      </c>
      <c r="AI2376" s="8">
        <f>IFERROR(R2376-AF2376,"")</f>
        <v>12.82221064814803</v>
      </c>
      <c r="AJ2376" s="8">
        <f>IFERROR(O2376-AF2376,"")</f>
        <v>8.8222106481480296</v>
      </c>
      <c r="AK2376" s="38">
        <f t="shared" si="961"/>
        <v>44920.822210648148</v>
      </c>
      <c r="AL2376">
        <f>IFERROR(Z2376-W2376,"")</f>
        <v>4</v>
      </c>
      <c r="AM2376">
        <f>IFERROR(R2376-J2376,"")</f>
        <v>19</v>
      </c>
      <c r="AN2376">
        <f>IFERROR(V2376-O2376,"")</f>
        <v>1</v>
      </c>
      <c r="AO2376">
        <f>IFERROR(J2376-I2376,"")</f>
        <v>3</v>
      </c>
      <c r="AP2376">
        <f>IFERROR(AC2376-X2376,"")</f>
        <v>44765.822210648148</v>
      </c>
      <c r="AQ2376">
        <f>IFERROR(AA2376-W2376,"")</f>
        <v>7</v>
      </c>
    </row>
    <row r="2377" spans="1:43" x14ac:dyDescent="0.35">
      <c r="A2377">
        <v>331</v>
      </c>
      <c r="B2377" t="s">
        <v>7376</v>
      </c>
      <c r="C2377" t="s">
        <v>7322</v>
      </c>
      <c r="D2377" t="str">
        <f t="shared" si="959"/>
        <v>Administation</v>
      </c>
      <c r="E2377" t="s">
        <v>7345</v>
      </c>
      <c r="F2377" t="s">
        <v>5433</v>
      </c>
      <c r="G2377" t="s">
        <v>7346</v>
      </c>
      <c r="H2377" t="s">
        <v>334</v>
      </c>
      <c r="I2377" s="32">
        <v>44719.822210648148</v>
      </c>
      <c r="J2377" s="32" t="s">
        <v>7471</v>
      </c>
      <c r="K2377" s="32">
        <v>44725.822210648148</v>
      </c>
      <c r="L2377" s="8">
        <f t="shared" si="960"/>
        <v>6</v>
      </c>
      <c r="M2377" s="7">
        <v>44736.822210648148</v>
      </c>
      <c r="N2377" t="s">
        <v>49</v>
      </c>
      <c r="O2377" s="34">
        <v>44737.822210648148</v>
      </c>
      <c r="P2377" t="s">
        <v>50</v>
      </c>
      <c r="Q2377" t="s">
        <v>198</v>
      </c>
      <c r="R2377" s="32" t="s">
        <v>7472</v>
      </c>
      <c r="S2377" t="s">
        <v>7476</v>
      </c>
      <c r="T2377" s="34" t="s">
        <v>7476</v>
      </c>
      <c r="U2377" s="34" t="s">
        <v>7476</v>
      </c>
      <c r="V2377" s="32">
        <v>44740.822210648148</v>
      </c>
      <c r="W2377" s="32" t="s">
        <v>7476</v>
      </c>
      <c r="X2377">
        <v>0</v>
      </c>
      <c r="Y2377" s="34" t="s">
        <v>7476</v>
      </c>
      <c r="Z2377" s="34" t="s">
        <v>7476</v>
      </c>
      <c r="AA2377" s="34" t="s">
        <v>7476</v>
      </c>
      <c r="AB2377" s="36" t="s">
        <v>95</v>
      </c>
      <c r="AD2377" t="s">
        <v>7377</v>
      </c>
      <c r="AE2377" t="s">
        <v>7378</v>
      </c>
      <c r="AF2377" s="16">
        <v>44726</v>
      </c>
      <c r="AG2377" t="s">
        <v>55</v>
      </c>
      <c r="AH2377">
        <v>6</v>
      </c>
      <c r="AK2377" s="38">
        <f t="shared" si="961"/>
        <v>44920.822210648148</v>
      </c>
    </row>
    <row r="2378" spans="1:43" x14ac:dyDescent="0.35">
      <c r="A2378">
        <v>308</v>
      </c>
      <c r="B2378" t="s">
        <v>7379</v>
      </c>
      <c r="C2378" t="s">
        <v>7322</v>
      </c>
      <c r="D2378" t="str">
        <f t="shared" si="959"/>
        <v>Administation</v>
      </c>
      <c r="E2378" t="s">
        <v>7345</v>
      </c>
      <c r="F2378" t="s">
        <v>70</v>
      </c>
      <c r="G2378" t="s">
        <v>7380</v>
      </c>
      <c r="H2378" t="s">
        <v>334</v>
      </c>
      <c r="I2378" s="32">
        <v>45030.892650462964</v>
      </c>
      <c r="J2378" s="32">
        <v>45034.892650462964</v>
      </c>
      <c r="K2378" s="32">
        <v>45035.892650462964</v>
      </c>
      <c r="L2378" s="8">
        <f t="shared" si="960"/>
        <v>5</v>
      </c>
      <c r="M2378" s="7">
        <v>45051.892650462964</v>
      </c>
      <c r="N2378" t="s">
        <v>49</v>
      </c>
      <c r="O2378" s="34">
        <v>45044.892650462964</v>
      </c>
      <c r="P2378" t="s">
        <v>60</v>
      </c>
      <c r="R2378" s="32">
        <v>45050.892650462964</v>
      </c>
      <c r="S2378" t="s">
        <v>61</v>
      </c>
      <c r="T2378" s="34" t="s">
        <v>7476</v>
      </c>
      <c r="U2378" s="34" t="s">
        <v>7476</v>
      </c>
      <c r="V2378" s="32">
        <v>45046.892650462964</v>
      </c>
      <c r="W2378" s="32" t="s">
        <v>7476</v>
      </c>
      <c r="X2378">
        <v>0</v>
      </c>
      <c r="Y2378" s="34" t="s">
        <v>7476</v>
      </c>
      <c r="Z2378" s="34" t="s">
        <v>7476</v>
      </c>
      <c r="AA2378" s="34" t="s">
        <v>7476</v>
      </c>
      <c r="AB2378" s="36" t="s">
        <v>7476</v>
      </c>
      <c r="AD2378" t="s">
        <v>7381</v>
      </c>
      <c r="AE2378" t="s">
        <v>7382</v>
      </c>
      <c r="AF2378" s="16">
        <v>45034</v>
      </c>
      <c r="AG2378" t="s">
        <v>68</v>
      </c>
      <c r="AH2378">
        <v>6</v>
      </c>
      <c r="AI2378" s="8">
        <f t="shared" ref="AI2378:AI2386" si="962">IFERROR(R2378-AF2378,"")</f>
        <v>16.892650462963502</v>
      </c>
      <c r="AJ2378" s="8">
        <f t="shared" ref="AJ2378:AJ2386" si="963">IFERROR(O2378-AF2378,"")</f>
        <v>10.892650462963502</v>
      </c>
      <c r="AK2378" s="38">
        <f t="shared" si="961"/>
        <v>45226.892650462964</v>
      </c>
      <c r="AL2378" t="str">
        <f t="shared" ref="AL2378:AL2386" si="964">IFERROR(Z2378-W2378,"")</f>
        <v/>
      </c>
      <c r="AM2378">
        <f t="shared" ref="AM2378:AM2386" si="965">IFERROR(R2378-J2378,"")</f>
        <v>16</v>
      </c>
      <c r="AN2378">
        <f t="shared" ref="AN2378:AN2386" si="966">IFERROR(V2378-O2378,"")</f>
        <v>2</v>
      </c>
      <c r="AO2378">
        <f t="shared" ref="AO2378:AO2386" si="967">IFERROR(J2378-I2378,"")</f>
        <v>4</v>
      </c>
      <c r="AP2378">
        <f t="shared" ref="AP2378:AP2386" si="968">IFERROR(AC2378-X2378,"")</f>
        <v>0</v>
      </c>
      <c r="AQ2378" t="str">
        <f t="shared" ref="AQ2378:AQ2386" si="969">IFERROR(AA2378-W2378,"")</f>
        <v/>
      </c>
    </row>
    <row r="2379" spans="1:43" x14ac:dyDescent="0.35">
      <c r="A2379">
        <v>307</v>
      </c>
      <c r="B2379" t="s">
        <v>7383</v>
      </c>
      <c r="C2379" t="s">
        <v>7322</v>
      </c>
      <c r="D2379" t="str">
        <f t="shared" si="959"/>
        <v>Administation</v>
      </c>
      <c r="E2379" t="s">
        <v>7345</v>
      </c>
      <c r="F2379" t="s">
        <v>70</v>
      </c>
      <c r="G2379" t="s">
        <v>7380</v>
      </c>
      <c r="H2379" t="s">
        <v>334</v>
      </c>
      <c r="I2379" s="32">
        <v>45026.892650462964</v>
      </c>
      <c r="J2379" s="32">
        <v>45029.892650462964</v>
      </c>
      <c r="K2379" s="32">
        <v>45035.892650462964</v>
      </c>
      <c r="L2379" s="8">
        <f t="shared" si="960"/>
        <v>9</v>
      </c>
      <c r="M2379" s="7">
        <v>45058.892650462964</v>
      </c>
      <c r="N2379" t="s">
        <v>49</v>
      </c>
      <c r="O2379" s="34">
        <v>45041.892650462964</v>
      </c>
      <c r="P2379" t="s">
        <v>50</v>
      </c>
      <c r="Q2379" t="s">
        <v>236</v>
      </c>
      <c r="R2379" s="32" t="s">
        <v>7472</v>
      </c>
      <c r="S2379" t="s">
        <v>7476</v>
      </c>
      <c r="T2379" s="34" t="s">
        <v>7476</v>
      </c>
      <c r="U2379" s="34" t="s">
        <v>7476</v>
      </c>
      <c r="V2379" s="32" t="s">
        <v>7476</v>
      </c>
      <c r="W2379" s="32" t="s">
        <v>7476</v>
      </c>
      <c r="X2379">
        <v>0</v>
      </c>
      <c r="Y2379" s="34" t="s">
        <v>7476</v>
      </c>
      <c r="Z2379" s="34" t="s">
        <v>7476</v>
      </c>
      <c r="AA2379" s="34" t="s">
        <v>7476</v>
      </c>
      <c r="AB2379" s="36" t="s">
        <v>52</v>
      </c>
      <c r="AD2379" t="s">
        <v>7384</v>
      </c>
      <c r="AE2379" t="s">
        <v>7385</v>
      </c>
      <c r="AF2379" s="16">
        <v>45026</v>
      </c>
      <c r="AG2379" t="s">
        <v>68</v>
      </c>
      <c r="AH2379">
        <v>6</v>
      </c>
      <c r="AI2379" s="8" t="str">
        <f t="shared" si="962"/>
        <v/>
      </c>
      <c r="AJ2379" s="8">
        <f t="shared" si="963"/>
        <v>15.892650462963502</v>
      </c>
      <c r="AK2379" s="38" t="str">
        <f t="shared" si="961"/>
        <v/>
      </c>
      <c r="AL2379" t="str">
        <f t="shared" si="964"/>
        <v/>
      </c>
      <c r="AM2379" t="str">
        <f t="shared" si="965"/>
        <v/>
      </c>
      <c r="AN2379" t="str">
        <f t="shared" si="966"/>
        <v/>
      </c>
      <c r="AO2379">
        <f t="shared" si="967"/>
        <v>3</v>
      </c>
      <c r="AP2379">
        <f t="shared" si="968"/>
        <v>0</v>
      </c>
      <c r="AQ2379" t="str">
        <f t="shared" si="969"/>
        <v/>
      </c>
    </row>
    <row r="2380" spans="1:43" x14ac:dyDescent="0.35">
      <c r="A2380">
        <v>302</v>
      </c>
      <c r="B2380" t="s">
        <v>7386</v>
      </c>
      <c r="C2380" t="s">
        <v>7329</v>
      </c>
      <c r="D2380" t="str">
        <f t="shared" si="959"/>
        <v>Administation</v>
      </c>
      <c r="E2380" t="s">
        <v>7345</v>
      </c>
      <c r="F2380" t="s">
        <v>70</v>
      </c>
      <c r="G2380" t="s">
        <v>7380</v>
      </c>
      <c r="H2380" t="s">
        <v>334</v>
      </c>
      <c r="I2380" s="32">
        <v>45028.892650462964</v>
      </c>
      <c r="J2380" s="32">
        <v>45032.892650462964</v>
      </c>
      <c r="K2380" s="32">
        <v>45035.892650462964</v>
      </c>
      <c r="L2380" s="8">
        <f t="shared" si="960"/>
        <v>7</v>
      </c>
      <c r="M2380" s="7">
        <v>45058.892650462964</v>
      </c>
      <c r="N2380" t="s">
        <v>49</v>
      </c>
      <c r="O2380" s="34">
        <v>45042.892650462964</v>
      </c>
      <c r="P2380" t="s">
        <v>50</v>
      </c>
      <c r="Q2380" t="s">
        <v>51</v>
      </c>
      <c r="R2380" s="32" t="s">
        <v>7472</v>
      </c>
      <c r="S2380" t="s">
        <v>7476</v>
      </c>
      <c r="T2380" s="34" t="s">
        <v>7476</v>
      </c>
      <c r="U2380" s="34" t="s">
        <v>7476</v>
      </c>
      <c r="V2380" s="32">
        <v>45044.892650462964</v>
      </c>
      <c r="W2380" s="32" t="s">
        <v>7476</v>
      </c>
      <c r="X2380">
        <v>0</v>
      </c>
      <c r="Y2380" s="34" t="s">
        <v>7476</v>
      </c>
      <c r="Z2380" s="34" t="s">
        <v>7476</v>
      </c>
      <c r="AA2380" s="34" t="s">
        <v>7476</v>
      </c>
      <c r="AB2380" s="36" t="s">
        <v>95</v>
      </c>
      <c r="AD2380" t="s">
        <v>7387</v>
      </c>
      <c r="AE2380" t="s">
        <v>7388</v>
      </c>
      <c r="AF2380" s="16">
        <v>45024</v>
      </c>
      <c r="AG2380" t="s">
        <v>64</v>
      </c>
      <c r="AH2380">
        <v>3</v>
      </c>
      <c r="AI2380" s="8" t="str">
        <f t="shared" si="962"/>
        <v/>
      </c>
      <c r="AJ2380" s="8">
        <f t="shared" si="963"/>
        <v>18.892650462963502</v>
      </c>
      <c r="AK2380" s="38">
        <f t="shared" si="961"/>
        <v>45134.892650462964</v>
      </c>
      <c r="AL2380" t="str">
        <f t="shared" si="964"/>
        <v/>
      </c>
      <c r="AM2380" t="str">
        <f t="shared" si="965"/>
        <v/>
      </c>
      <c r="AN2380">
        <f t="shared" si="966"/>
        <v>2</v>
      </c>
      <c r="AO2380">
        <f t="shared" si="967"/>
        <v>4</v>
      </c>
      <c r="AP2380">
        <f t="shared" si="968"/>
        <v>0</v>
      </c>
      <c r="AQ2380" t="str">
        <f t="shared" si="969"/>
        <v/>
      </c>
    </row>
    <row r="2381" spans="1:43" x14ac:dyDescent="0.35">
      <c r="A2381">
        <v>301</v>
      </c>
      <c r="B2381" t="s">
        <v>7389</v>
      </c>
      <c r="C2381" t="s">
        <v>7329</v>
      </c>
      <c r="D2381" t="str">
        <f t="shared" si="959"/>
        <v>Administation</v>
      </c>
      <c r="E2381" t="s">
        <v>7345</v>
      </c>
      <c r="F2381" t="s">
        <v>70</v>
      </c>
      <c r="G2381" t="s">
        <v>7380</v>
      </c>
      <c r="H2381" t="s">
        <v>334</v>
      </c>
      <c r="I2381" s="32">
        <v>45026.892650462964</v>
      </c>
      <c r="J2381" s="32">
        <v>45029.892650462964</v>
      </c>
      <c r="K2381" s="32">
        <v>45035.892650462964</v>
      </c>
      <c r="L2381" s="8">
        <f t="shared" si="960"/>
        <v>9</v>
      </c>
      <c r="M2381" s="7">
        <v>45048.892650462964</v>
      </c>
      <c r="N2381" t="s">
        <v>49</v>
      </c>
      <c r="O2381" s="34">
        <v>45043.892650462964</v>
      </c>
      <c r="P2381" t="s">
        <v>50</v>
      </c>
      <c r="Q2381" t="s">
        <v>236</v>
      </c>
      <c r="R2381" s="32" t="s">
        <v>7472</v>
      </c>
      <c r="S2381" t="s">
        <v>7476</v>
      </c>
      <c r="T2381" s="34" t="s">
        <v>7476</v>
      </c>
      <c r="U2381" s="34" t="s">
        <v>7476</v>
      </c>
      <c r="V2381" s="32">
        <v>45046.892650462964</v>
      </c>
      <c r="W2381" s="32" t="s">
        <v>7476</v>
      </c>
      <c r="X2381">
        <v>0</v>
      </c>
      <c r="Y2381" s="34" t="s">
        <v>7476</v>
      </c>
      <c r="Z2381" s="34" t="s">
        <v>7476</v>
      </c>
      <c r="AA2381" s="34" t="s">
        <v>7476</v>
      </c>
      <c r="AB2381" s="36" t="s">
        <v>52</v>
      </c>
      <c r="AD2381" t="s">
        <v>7390</v>
      </c>
      <c r="AE2381" t="s">
        <v>7391</v>
      </c>
      <c r="AF2381" s="16">
        <v>45035</v>
      </c>
      <c r="AG2381" t="s">
        <v>98</v>
      </c>
      <c r="AH2381">
        <v>6</v>
      </c>
      <c r="AI2381" s="8" t="str">
        <f t="shared" si="962"/>
        <v/>
      </c>
      <c r="AJ2381" s="8">
        <f t="shared" si="963"/>
        <v>8.8926504629635019</v>
      </c>
      <c r="AK2381" s="38">
        <f t="shared" si="961"/>
        <v>45226.892650462964</v>
      </c>
      <c r="AL2381" t="str">
        <f t="shared" si="964"/>
        <v/>
      </c>
      <c r="AM2381" t="str">
        <f t="shared" si="965"/>
        <v/>
      </c>
      <c r="AN2381">
        <f t="shared" si="966"/>
        <v>3</v>
      </c>
      <c r="AO2381">
        <f t="shared" si="967"/>
        <v>3</v>
      </c>
      <c r="AP2381">
        <f t="shared" si="968"/>
        <v>0</v>
      </c>
      <c r="AQ2381" t="str">
        <f t="shared" si="969"/>
        <v/>
      </c>
    </row>
    <row r="2382" spans="1:43" x14ac:dyDescent="0.35">
      <c r="A2382">
        <v>217</v>
      </c>
      <c r="B2382" t="s">
        <v>7392</v>
      </c>
      <c r="C2382" t="s">
        <v>7329</v>
      </c>
      <c r="D2382" t="str">
        <f t="shared" si="959"/>
        <v>Administation</v>
      </c>
      <c r="E2382" t="s">
        <v>7345</v>
      </c>
      <c r="F2382" t="s">
        <v>70</v>
      </c>
      <c r="G2382" t="s">
        <v>7380</v>
      </c>
      <c r="H2382" t="s">
        <v>334</v>
      </c>
      <c r="I2382" s="32">
        <v>44664.331793981481</v>
      </c>
      <c r="J2382" s="32">
        <v>44665.331793981481</v>
      </c>
      <c r="K2382" s="32">
        <v>44666.331793981481</v>
      </c>
      <c r="L2382" s="8">
        <f t="shared" si="960"/>
        <v>2</v>
      </c>
      <c r="M2382" s="7">
        <v>44673.331793981481</v>
      </c>
      <c r="N2382" t="s">
        <v>49</v>
      </c>
      <c r="O2382" s="34">
        <v>44668.331793981481</v>
      </c>
      <c r="P2382" t="s">
        <v>50</v>
      </c>
      <c r="Q2382" t="s">
        <v>51</v>
      </c>
      <c r="R2382" s="32" t="s">
        <v>7472</v>
      </c>
      <c r="S2382" t="s">
        <v>7476</v>
      </c>
      <c r="T2382" s="34" t="s">
        <v>7476</v>
      </c>
      <c r="U2382" s="34" t="s">
        <v>7476</v>
      </c>
      <c r="V2382" s="32">
        <v>44670.331793981481</v>
      </c>
      <c r="W2382" s="32" t="s">
        <v>7476</v>
      </c>
      <c r="X2382">
        <v>0</v>
      </c>
      <c r="Y2382" s="34" t="s">
        <v>7476</v>
      </c>
      <c r="Z2382" s="34" t="s">
        <v>7476</v>
      </c>
      <c r="AA2382" s="34" t="s">
        <v>7476</v>
      </c>
      <c r="AB2382" s="36" t="s">
        <v>95</v>
      </c>
      <c r="AD2382" t="s">
        <v>7393</v>
      </c>
      <c r="AE2382" t="s">
        <v>7394</v>
      </c>
      <c r="AF2382" s="16">
        <v>44685</v>
      </c>
      <c r="AG2382" t="s">
        <v>68</v>
      </c>
      <c r="AH2382">
        <v>6</v>
      </c>
      <c r="AI2382" s="8" t="str">
        <f t="shared" si="962"/>
        <v/>
      </c>
      <c r="AJ2382" s="8">
        <f t="shared" si="963"/>
        <v>-16.668206018519413</v>
      </c>
      <c r="AK2382" s="38">
        <f t="shared" si="961"/>
        <v>44850.331793981481</v>
      </c>
      <c r="AL2382" t="str">
        <f t="shared" si="964"/>
        <v/>
      </c>
      <c r="AM2382" t="str">
        <f t="shared" si="965"/>
        <v/>
      </c>
      <c r="AN2382">
        <f t="shared" si="966"/>
        <v>2</v>
      </c>
      <c r="AO2382">
        <f t="shared" si="967"/>
        <v>1</v>
      </c>
      <c r="AP2382">
        <f t="shared" si="968"/>
        <v>0</v>
      </c>
      <c r="AQ2382" t="str">
        <f t="shared" si="969"/>
        <v/>
      </c>
    </row>
    <row r="2383" spans="1:43" x14ac:dyDescent="0.35">
      <c r="A2383">
        <v>39</v>
      </c>
      <c r="B2383" t="s">
        <v>7395</v>
      </c>
      <c r="C2383" t="s">
        <v>7329</v>
      </c>
      <c r="D2383" t="str">
        <f t="shared" si="959"/>
        <v>Administation</v>
      </c>
      <c r="E2383" t="s">
        <v>7345</v>
      </c>
      <c r="F2383" t="s">
        <v>70</v>
      </c>
      <c r="G2383" t="s">
        <v>7380</v>
      </c>
      <c r="H2383" t="s">
        <v>334</v>
      </c>
      <c r="I2383" s="32">
        <v>44771.52820601852</v>
      </c>
      <c r="J2383" s="32">
        <v>44773.52820601852</v>
      </c>
      <c r="K2383" s="32">
        <v>44778.52820601852</v>
      </c>
      <c r="L2383" s="8">
        <f t="shared" si="960"/>
        <v>7</v>
      </c>
      <c r="M2383" s="7">
        <v>44786.52820601852</v>
      </c>
      <c r="N2383" t="s">
        <v>72</v>
      </c>
      <c r="O2383" s="34" t="s">
        <v>7474</v>
      </c>
      <c r="R2383" s="32" t="s">
        <v>7472</v>
      </c>
      <c r="S2383" t="s">
        <v>7476</v>
      </c>
      <c r="T2383" s="34" t="s">
        <v>7476</v>
      </c>
      <c r="U2383" s="34" t="s">
        <v>7476</v>
      </c>
      <c r="V2383" s="32" t="s">
        <v>7476</v>
      </c>
      <c r="W2383" s="32" t="s">
        <v>7476</v>
      </c>
      <c r="X2383">
        <v>0</v>
      </c>
      <c r="Y2383" s="34" t="s">
        <v>7476</v>
      </c>
      <c r="Z2383" s="34" t="s">
        <v>7476</v>
      </c>
      <c r="AA2383" s="34" t="s">
        <v>7476</v>
      </c>
      <c r="AB2383" s="36" t="s">
        <v>7476</v>
      </c>
      <c r="AD2383" t="s">
        <v>7396</v>
      </c>
      <c r="AE2383" t="s">
        <v>7397</v>
      </c>
      <c r="AG2383" t="s">
        <v>64</v>
      </c>
      <c r="AH2383">
        <v>3</v>
      </c>
      <c r="AI2383" s="8" t="str">
        <f t="shared" si="962"/>
        <v/>
      </c>
      <c r="AJ2383" s="8" t="str">
        <f t="shared" si="963"/>
        <v/>
      </c>
      <c r="AK2383" s="38" t="str">
        <f t="shared" si="961"/>
        <v/>
      </c>
      <c r="AL2383" t="str">
        <f t="shared" si="964"/>
        <v/>
      </c>
      <c r="AM2383" t="str">
        <f t="shared" si="965"/>
        <v/>
      </c>
      <c r="AN2383" t="str">
        <f t="shared" si="966"/>
        <v/>
      </c>
      <c r="AO2383">
        <f t="shared" si="967"/>
        <v>2</v>
      </c>
      <c r="AP2383">
        <f t="shared" si="968"/>
        <v>0</v>
      </c>
      <c r="AQ2383" t="str">
        <f t="shared" si="969"/>
        <v/>
      </c>
    </row>
    <row r="2384" spans="1:43" x14ac:dyDescent="0.35">
      <c r="A2384">
        <v>31</v>
      </c>
      <c r="B2384" t="s">
        <v>7398</v>
      </c>
      <c r="C2384" t="s">
        <v>7329</v>
      </c>
      <c r="D2384" t="str">
        <f t="shared" si="959"/>
        <v>Administation</v>
      </c>
      <c r="E2384" t="s">
        <v>7345</v>
      </c>
      <c r="F2384" t="s">
        <v>70</v>
      </c>
      <c r="G2384" t="s">
        <v>7380</v>
      </c>
      <c r="H2384" t="s">
        <v>334</v>
      </c>
      <c r="I2384" s="32">
        <v>44772.52820601852</v>
      </c>
      <c r="J2384" s="32">
        <v>44775.52820601852</v>
      </c>
      <c r="K2384" s="32">
        <v>44778.52820601852</v>
      </c>
      <c r="L2384" s="8">
        <f t="shared" si="960"/>
        <v>6</v>
      </c>
      <c r="M2384" s="7">
        <v>44796.52820601852</v>
      </c>
      <c r="N2384" t="s">
        <v>49</v>
      </c>
      <c r="O2384" s="34">
        <v>44781.52820601852</v>
      </c>
      <c r="P2384" t="s">
        <v>50</v>
      </c>
      <c r="Q2384" t="s">
        <v>198</v>
      </c>
      <c r="R2384" s="32" t="s">
        <v>7472</v>
      </c>
      <c r="S2384" t="s">
        <v>7476</v>
      </c>
      <c r="T2384" s="34" t="s">
        <v>7476</v>
      </c>
      <c r="U2384" s="34" t="s">
        <v>7476</v>
      </c>
      <c r="V2384" s="32" t="s">
        <v>7476</v>
      </c>
      <c r="W2384" s="32" t="s">
        <v>7476</v>
      </c>
      <c r="X2384">
        <v>0</v>
      </c>
      <c r="Y2384" s="34" t="s">
        <v>7476</v>
      </c>
      <c r="Z2384" s="34" t="s">
        <v>7476</v>
      </c>
      <c r="AA2384" s="34" t="s">
        <v>7476</v>
      </c>
      <c r="AB2384" s="36" t="s">
        <v>95</v>
      </c>
      <c r="AD2384" t="s">
        <v>7399</v>
      </c>
      <c r="AE2384" t="s">
        <v>7400</v>
      </c>
      <c r="AF2384" s="16">
        <v>44569</v>
      </c>
      <c r="AG2384" t="s">
        <v>68</v>
      </c>
      <c r="AH2384">
        <v>3</v>
      </c>
      <c r="AI2384" s="8" t="str">
        <f t="shared" si="962"/>
        <v/>
      </c>
      <c r="AJ2384" s="8">
        <f t="shared" si="963"/>
        <v>212.52820601852</v>
      </c>
      <c r="AK2384" s="38" t="str">
        <f t="shared" si="961"/>
        <v/>
      </c>
      <c r="AL2384" t="str">
        <f t="shared" si="964"/>
        <v/>
      </c>
      <c r="AM2384" t="str">
        <f t="shared" si="965"/>
        <v/>
      </c>
      <c r="AN2384" t="str">
        <f t="shared" si="966"/>
        <v/>
      </c>
      <c r="AO2384">
        <f t="shared" si="967"/>
        <v>3</v>
      </c>
      <c r="AP2384">
        <f t="shared" si="968"/>
        <v>0</v>
      </c>
      <c r="AQ2384" t="str">
        <f t="shared" si="969"/>
        <v/>
      </c>
    </row>
    <row r="2385" spans="1:43" x14ac:dyDescent="0.35">
      <c r="A2385">
        <v>521</v>
      </c>
      <c r="B2385" t="s">
        <v>7401</v>
      </c>
      <c r="C2385" t="s">
        <v>7322</v>
      </c>
      <c r="D2385" t="str">
        <f t="shared" si="959"/>
        <v>Administation</v>
      </c>
      <c r="E2385" t="s">
        <v>7402</v>
      </c>
      <c r="F2385" t="s">
        <v>70</v>
      </c>
      <c r="G2385" t="s">
        <v>7380</v>
      </c>
      <c r="H2385" t="s">
        <v>697</v>
      </c>
      <c r="I2385" s="32">
        <v>44601.83390046296</v>
      </c>
      <c r="J2385" s="32">
        <v>44605.83390046296</v>
      </c>
      <c r="K2385" s="32">
        <v>44611.83390046296</v>
      </c>
      <c r="L2385" s="8">
        <f t="shared" si="960"/>
        <v>10</v>
      </c>
      <c r="M2385" s="7">
        <v>44625.83390046296</v>
      </c>
      <c r="N2385" t="s">
        <v>49</v>
      </c>
      <c r="O2385" s="34">
        <v>44620.83390046296</v>
      </c>
      <c r="P2385" t="s">
        <v>60</v>
      </c>
      <c r="R2385" s="32">
        <v>44627.83390046296</v>
      </c>
      <c r="S2385" t="s">
        <v>61</v>
      </c>
      <c r="T2385" s="34" t="s">
        <v>7476</v>
      </c>
      <c r="U2385" s="34" t="s">
        <v>7476</v>
      </c>
      <c r="V2385" s="32">
        <v>44624.83390046296</v>
      </c>
      <c r="W2385" s="32" t="s">
        <v>7476</v>
      </c>
      <c r="X2385">
        <v>0</v>
      </c>
      <c r="Y2385" s="34" t="s">
        <v>7476</v>
      </c>
      <c r="Z2385" s="34" t="s">
        <v>7476</v>
      </c>
      <c r="AA2385" s="34" t="s">
        <v>7476</v>
      </c>
      <c r="AB2385" s="36" t="s">
        <v>7476</v>
      </c>
      <c r="AD2385" t="s">
        <v>7403</v>
      </c>
      <c r="AE2385" t="s">
        <v>7404</v>
      </c>
      <c r="AF2385" s="16">
        <v>44603</v>
      </c>
      <c r="AG2385" t="s">
        <v>68</v>
      </c>
      <c r="AH2385">
        <v>3</v>
      </c>
      <c r="AI2385" s="8">
        <f t="shared" si="962"/>
        <v>24.833900462959718</v>
      </c>
      <c r="AJ2385" s="8">
        <f t="shared" si="963"/>
        <v>17.833900462959718</v>
      </c>
      <c r="AK2385" s="38">
        <f t="shared" si="961"/>
        <v>44714.83390046296</v>
      </c>
      <c r="AL2385" t="str">
        <f t="shared" si="964"/>
        <v/>
      </c>
      <c r="AM2385">
        <f t="shared" si="965"/>
        <v>22</v>
      </c>
      <c r="AN2385">
        <f t="shared" si="966"/>
        <v>4</v>
      </c>
      <c r="AO2385">
        <f t="shared" si="967"/>
        <v>4</v>
      </c>
      <c r="AP2385">
        <f t="shared" si="968"/>
        <v>0</v>
      </c>
      <c r="AQ2385" t="str">
        <f t="shared" si="969"/>
        <v/>
      </c>
    </row>
    <row r="2386" spans="1:43" x14ac:dyDescent="0.35">
      <c r="A2386">
        <v>516</v>
      </c>
      <c r="B2386" t="s">
        <v>7405</v>
      </c>
      <c r="C2386" t="s">
        <v>7316</v>
      </c>
      <c r="D2386" t="str">
        <f t="shared" si="959"/>
        <v>Administation</v>
      </c>
      <c r="E2386" t="s">
        <v>7402</v>
      </c>
      <c r="F2386" t="s">
        <v>70</v>
      </c>
      <c r="G2386" t="s">
        <v>7380</v>
      </c>
      <c r="H2386" t="s">
        <v>697</v>
      </c>
      <c r="I2386" s="32">
        <v>44851.925555555557</v>
      </c>
      <c r="J2386" s="32">
        <v>44852.925555555557</v>
      </c>
      <c r="K2386" s="32">
        <v>44856.925555555557</v>
      </c>
      <c r="L2386" s="8">
        <f t="shared" si="960"/>
        <v>5</v>
      </c>
      <c r="M2386" s="7">
        <v>44861.925555555557</v>
      </c>
      <c r="N2386" t="s">
        <v>49</v>
      </c>
      <c r="O2386" s="34">
        <v>44864.925555555557</v>
      </c>
      <c r="P2386" t="s">
        <v>50</v>
      </c>
      <c r="Q2386" t="s">
        <v>84</v>
      </c>
      <c r="R2386" s="32" t="s">
        <v>7472</v>
      </c>
      <c r="S2386" t="s">
        <v>7476</v>
      </c>
      <c r="T2386" s="34" t="s">
        <v>7476</v>
      </c>
      <c r="U2386" s="34" t="s">
        <v>7476</v>
      </c>
      <c r="V2386" s="32" t="s">
        <v>7476</v>
      </c>
      <c r="W2386" s="32" t="s">
        <v>7476</v>
      </c>
      <c r="X2386">
        <v>0</v>
      </c>
      <c r="Y2386" s="34" t="s">
        <v>7476</v>
      </c>
      <c r="Z2386" s="34" t="s">
        <v>7476</v>
      </c>
      <c r="AA2386" s="34" t="s">
        <v>7476</v>
      </c>
      <c r="AB2386" s="36" t="s">
        <v>52</v>
      </c>
      <c r="AD2386" t="s">
        <v>7406</v>
      </c>
      <c r="AE2386" t="s">
        <v>7407</v>
      </c>
      <c r="AF2386" s="16">
        <v>44847</v>
      </c>
      <c r="AG2386" t="s">
        <v>68</v>
      </c>
      <c r="AH2386">
        <v>6</v>
      </c>
      <c r="AI2386" s="8" t="str">
        <f t="shared" si="962"/>
        <v/>
      </c>
      <c r="AJ2386" s="8">
        <f t="shared" si="963"/>
        <v>17.925555555557366</v>
      </c>
      <c r="AK2386" s="38" t="str">
        <f t="shared" si="961"/>
        <v/>
      </c>
      <c r="AL2386" t="str">
        <f t="shared" si="964"/>
        <v/>
      </c>
      <c r="AM2386" t="str">
        <f t="shared" si="965"/>
        <v/>
      </c>
      <c r="AN2386" t="str">
        <f t="shared" si="966"/>
        <v/>
      </c>
      <c r="AO2386">
        <f t="shared" si="967"/>
        <v>1</v>
      </c>
      <c r="AP2386">
        <f t="shared" si="968"/>
        <v>0</v>
      </c>
      <c r="AQ2386" t="str">
        <f t="shared" si="969"/>
        <v/>
      </c>
    </row>
    <row r="2387" spans="1:43" x14ac:dyDescent="0.35">
      <c r="A2387">
        <v>513</v>
      </c>
      <c r="B2387" t="s">
        <v>7408</v>
      </c>
      <c r="C2387" t="s">
        <v>7316</v>
      </c>
      <c r="D2387" t="str">
        <f t="shared" si="959"/>
        <v>Administation</v>
      </c>
      <c r="E2387" t="s">
        <v>7402</v>
      </c>
      <c r="F2387" t="s">
        <v>70</v>
      </c>
      <c r="G2387" t="s">
        <v>7380</v>
      </c>
      <c r="H2387" t="s">
        <v>697</v>
      </c>
      <c r="I2387" s="32" t="s">
        <v>7471</v>
      </c>
      <c r="J2387" s="32">
        <v>44853.925555555557</v>
      </c>
      <c r="K2387" s="32">
        <v>44856.925555555557</v>
      </c>
      <c r="L2387" s="8" t="str">
        <f t="shared" si="960"/>
        <v/>
      </c>
      <c r="M2387" s="7">
        <v>44868.925555555557</v>
      </c>
      <c r="N2387" t="s">
        <v>49</v>
      </c>
      <c r="O2387" s="34">
        <v>44867.925555555557</v>
      </c>
      <c r="P2387" t="s">
        <v>60</v>
      </c>
      <c r="R2387" s="32">
        <v>44873.925555555557</v>
      </c>
      <c r="S2387" t="s">
        <v>61</v>
      </c>
      <c r="T2387" s="34" t="s">
        <v>7476</v>
      </c>
      <c r="U2387" s="34" t="s">
        <v>7476</v>
      </c>
      <c r="V2387" s="32">
        <v>44870.925555555557</v>
      </c>
      <c r="W2387" s="32" t="s">
        <v>7476</v>
      </c>
      <c r="X2387">
        <v>0</v>
      </c>
      <c r="Y2387" s="34" t="s">
        <v>7476</v>
      </c>
      <c r="Z2387" s="34" t="s">
        <v>7476</v>
      </c>
      <c r="AA2387" s="34" t="s">
        <v>7476</v>
      </c>
      <c r="AB2387" s="36" t="s">
        <v>7476</v>
      </c>
      <c r="AD2387" t="s">
        <v>7409</v>
      </c>
      <c r="AE2387" t="s">
        <v>7410</v>
      </c>
      <c r="AF2387" s="16">
        <v>44856</v>
      </c>
      <c r="AG2387" t="s">
        <v>55</v>
      </c>
      <c r="AH2387">
        <v>6</v>
      </c>
      <c r="AK2387" s="38">
        <f t="shared" si="961"/>
        <v>45050.925555555557</v>
      </c>
    </row>
    <row r="2388" spans="1:43" x14ac:dyDescent="0.35">
      <c r="A2388">
        <v>465</v>
      </c>
      <c r="B2388" t="s">
        <v>7411</v>
      </c>
      <c r="C2388" t="s">
        <v>7329</v>
      </c>
      <c r="D2388" t="str">
        <f t="shared" si="959"/>
        <v>Administation</v>
      </c>
      <c r="E2388" t="s">
        <v>7402</v>
      </c>
      <c r="F2388" t="s">
        <v>70</v>
      </c>
      <c r="G2388" t="s">
        <v>7380</v>
      </c>
      <c r="H2388" t="s">
        <v>697</v>
      </c>
      <c r="I2388" s="32">
        <v>44970.424490740741</v>
      </c>
      <c r="J2388" s="32" t="s">
        <v>7471</v>
      </c>
      <c r="K2388" s="32">
        <v>44979.424490740741</v>
      </c>
      <c r="L2388" s="8">
        <f t="shared" si="960"/>
        <v>9</v>
      </c>
      <c r="M2388" s="7">
        <v>44988.424490740741</v>
      </c>
      <c r="N2388" t="s">
        <v>49</v>
      </c>
      <c r="O2388" s="34">
        <v>44985.424490740741</v>
      </c>
      <c r="P2388" t="s">
        <v>60</v>
      </c>
      <c r="R2388" s="32">
        <v>44990.424490740741</v>
      </c>
      <c r="S2388" t="s">
        <v>61</v>
      </c>
      <c r="T2388" s="34" t="s">
        <v>7476</v>
      </c>
      <c r="U2388" s="34" t="s">
        <v>7476</v>
      </c>
      <c r="V2388" s="32">
        <v>44989.424490740741</v>
      </c>
      <c r="W2388" s="32" t="s">
        <v>7476</v>
      </c>
      <c r="X2388">
        <v>0</v>
      </c>
      <c r="Y2388" s="34" t="s">
        <v>7476</v>
      </c>
      <c r="Z2388" s="34" t="s">
        <v>7476</v>
      </c>
      <c r="AA2388" s="34" t="s">
        <v>7476</v>
      </c>
      <c r="AB2388" s="36" t="s">
        <v>7476</v>
      </c>
      <c r="AD2388" t="s">
        <v>7412</v>
      </c>
      <c r="AE2388" t="s">
        <v>7413</v>
      </c>
      <c r="AF2388" s="16">
        <v>44977</v>
      </c>
      <c r="AG2388" t="s">
        <v>75</v>
      </c>
      <c r="AH2388">
        <v>3</v>
      </c>
      <c r="AK2388" s="38">
        <f t="shared" si="961"/>
        <v>45079.424490740741</v>
      </c>
    </row>
    <row r="2389" spans="1:43" x14ac:dyDescent="0.35">
      <c r="A2389">
        <v>450</v>
      </c>
      <c r="B2389" t="s">
        <v>7414</v>
      </c>
      <c r="C2389" t="s">
        <v>7322</v>
      </c>
      <c r="D2389" t="str">
        <f t="shared" si="959"/>
        <v>Administation</v>
      </c>
      <c r="E2389" t="s">
        <v>7402</v>
      </c>
      <c r="F2389" t="s">
        <v>70</v>
      </c>
      <c r="G2389" t="s">
        <v>7380</v>
      </c>
      <c r="H2389" t="s">
        <v>697</v>
      </c>
      <c r="I2389" s="32">
        <v>44889.108344907407</v>
      </c>
      <c r="J2389" s="32">
        <v>44893.108344907407</v>
      </c>
      <c r="K2389" s="32">
        <v>44895.108344907407</v>
      </c>
      <c r="L2389" s="8">
        <f t="shared" si="960"/>
        <v>6</v>
      </c>
      <c r="M2389" s="7">
        <v>44923.108344907407</v>
      </c>
      <c r="N2389" t="s">
        <v>49</v>
      </c>
      <c r="O2389" s="34">
        <v>44900.108344907407</v>
      </c>
      <c r="P2389" t="s">
        <v>60</v>
      </c>
      <c r="R2389" s="32">
        <v>44906.108344907407</v>
      </c>
      <c r="S2389" t="s">
        <v>61</v>
      </c>
      <c r="T2389" s="34" t="s">
        <v>7476</v>
      </c>
      <c r="U2389" s="34" t="s">
        <v>7476</v>
      </c>
      <c r="V2389" s="32">
        <v>44904.108344907407</v>
      </c>
      <c r="W2389" s="32" t="s">
        <v>7476</v>
      </c>
      <c r="X2389">
        <v>0</v>
      </c>
      <c r="Y2389" s="34" t="s">
        <v>7476</v>
      </c>
      <c r="Z2389" s="34" t="s">
        <v>7476</v>
      </c>
      <c r="AA2389" s="34" t="s">
        <v>7476</v>
      </c>
      <c r="AB2389" s="36" t="s">
        <v>7476</v>
      </c>
      <c r="AD2389" t="s">
        <v>7415</v>
      </c>
      <c r="AE2389" t="s">
        <v>7416</v>
      </c>
      <c r="AF2389" s="16">
        <v>44891</v>
      </c>
      <c r="AG2389" t="s">
        <v>68</v>
      </c>
      <c r="AH2389">
        <v>6</v>
      </c>
      <c r="AI2389" s="8">
        <f>IFERROR(R2389-AF2389,"")</f>
        <v>15.108344907406718</v>
      </c>
      <c r="AJ2389" s="8">
        <f>IFERROR(O2389-AF2389,"")</f>
        <v>9.1083449074067175</v>
      </c>
      <c r="AK2389" s="38">
        <f t="shared" si="961"/>
        <v>45084.108344907407</v>
      </c>
      <c r="AL2389" t="str">
        <f>IFERROR(Z2389-W2389,"")</f>
        <v/>
      </c>
      <c r="AM2389">
        <f>IFERROR(R2389-J2389,"")</f>
        <v>13</v>
      </c>
      <c r="AN2389">
        <f>IFERROR(V2389-O2389,"")</f>
        <v>4</v>
      </c>
      <c r="AO2389">
        <f>IFERROR(J2389-I2389,"")</f>
        <v>4</v>
      </c>
      <c r="AP2389">
        <f>IFERROR(AC2389-X2389,"")</f>
        <v>0</v>
      </c>
      <c r="AQ2389" t="str">
        <f>IFERROR(AA2389-W2389,"")</f>
        <v/>
      </c>
    </row>
    <row r="2390" spans="1:43" x14ac:dyDescent="0.35">
      <c r="A2390">
        <v>446</v>
      </c>
      <c r="B2390" t="s">
        <v>7417</v>
      </c>
      <c r="C2390" t="s">
        <v>7322</v>
      </c>
      <c r="D2390" t="str">
        <f t="shared" si="959"/>
        <v>Administation</v>
      </c>
      <c r="E2390" t="s">
        <v>7402</v>
      </c>
      <c r="F2390" t="s">
        <v>70</v>
      </c>
      <c r="G2390" t="s">
        <v>7380</v>
      </c>
      <c r="H2390" t="s">
        <v>697</v>
      </c>
      <c r="I2390" s="32">
        <v>44889.108344907407</v>
      </c>
      <c r="J2390" s="32">
        <v>44890.108344907407</v>
      </c>
      <c r="K2390" s="32">
        <v>44895.108344907407</v>
      </c>
      <c r="L2390" s="8">
        <f t="shared" si="960"/>
        <v>6</v>
      </c>
      <c r="M2390" s="7">
        <v>44915.108344907407</v>
      </c>
      <c r="N2390" t="s">
        <v>49</v>
      </c>
      <c r="O2390" s="34">
        <v>44906.108344907407</v>
      </c>
      <c r="P2390" t="s">
        <v>50</v>
      </c>
      <c r="Q2390" t="s">
        <v>125</v>
      </c>
      <c r="R2390" s="32" t="s">
        <v>7472</v>
      </c>
      <c r="S2390" t="s">
        <v>7476</v>
      </c>
      <c r="T2390" s="34" t="s">
        <v>7476</v>
      </c>
      <c r="U2390" s="34" t="s">
        <v>7476</v>
      </c>
      <c r="V2390" s="32">
        <v>44909.108344907407</v>
      </c>
      <c r="W2390" s="32" t="s">
        <v>7476</v>
      </c>
      <c r="X2390">
        <v>0</v>
      </c>
      <c r="Y2390" s="34" t="s">
        <v>7476</v>
      </c>
      <c r="Z2390" s="34" t="s">
        <v>7476</v>
      </c>
      <c r="AA2390" s="34" t="s">
        <v>7476</v>
      </c>
      <c r="AB2390" s="36" t="s">
        <v>52</v>
      </c>
      <c r="AD2390" t="s">
        <v>7418</v>
      </c>
      <c r="AE2390" t="s">
        <v>7419</v>
      </c>
      <c r="AF2390" s="16">
        <v>44892</v>
      </c>
      <c r="AG2390" t="s">
        <v>64</v>
      </c>
      <c r="AH2390">
        <v>3</v>
      </c>
      <c r="AI2390" s="8" t="str">
        <f>IFERROR(R2390-AF2390,"")</f>
        <v/>
      </c>
      <c r="AJ2390" s="8">
        <f>IFERROR(O2390-AF2390,"")</f>
        <v>14.108344907406718</v>
      </c>
      <c r="AK2390" s="38">
        <f t="shared" si="961"/>
        <v>44999.108344907407</v>
      </c>
      <c r="AL2390" t="str">
        <f>IFERROR(Z2390-W2390,"")</f>
        <v/>
      </c>
      <c r="AM2390" t="str">
        <f>IFERROR(R2390-J2390,"")</f>
        <v/>
      </c>
      <c r="AN2390">
        <f>IFERROR(V2390-O2390,"")</f>
        <v>3</v>
      </c>
      <c r="AO2390">
        <f>IFERROR(J2390-I2390,"")</f>
        <v>1</v>
      </c>
      <c r="AP2390">
        <f>IFERROR(AC2390-X2390,"")</f>
        <v>0</v>
      </c>
      <c r="AQ2390" t="str">
        <f>IFERROR(AA2390-W2390,"")</f>
        <v/>
      </c>
    </row>
    <row r="2391" spans="1:43" x14ac:dyDescent="0.35">
      <c r="A2391">
        <v>445</v>
      </c>
      <c r="B2391" t="s">
        <v>7420</v>
      </c>
      <c r="C2391" t="s">
        <v>7322</v>
      </c>
      <c r="D2391" t="str">
        <f t="shared" si="959"/>
        <v>Administation</v>
      </c>
      <c r="E2391" t="s">
        <v>7402</v>
      </c>
      <c r="F2391" t="s">
        <v>70</v>
      </c>
      <c r="G2391" t="s">
        <v>7380</v>
      </c>
      <c r="H2391" t="s">
        <v>697</v>
      </c>
      <c r="I2391" s="32">
        <v>44889.108344907407</v>
      </c>
      <c r="J2391" s="32">
        <v>44892.108344907407</v>
      </c>
      <c r="K2391" s="32">
        <v>44895.108344907407</v>
      </c>
      <c r="L2391" s="8">
        <f t="shared" si="960"/>
        <v>6</v>
      </c>
      <c r="M2391" s="7">
        <v>44902.108344907407</v>
      </c>
      <c r="N2391" t="s">
        <v>49</v>
      </c>
      <c r="O2391" s="34">
        <v>44906.108344907407</v>
      </c>
      <c r="P2391" t="s">
        <v>101</v>
      </c>
      <c r="R2391" s="32">
        <v>44911.108344907407</v>
      </c>
      <c r="S2391" t="s">
        <v>101</v>
      </c>
      <c r="T2391" s="34">
        <v>44907.108344907407</v>
      </c>
      <c r="U2391" s="34">
        <v>44911.108344907407</v>
      </c>
      <c r="V2391" s="32">
        <v>44908.108344907407</v>
      </c>
      <c r="W2391" s="32">
        <v>44918.108344907407</v>
      </c>
      <c r="X2391">
        <v>1</v>
      </c>
      <c r="Y2391" s="34">
        <v>44920.108344907407</v>
      </c>
      <c r="Z2391" s="34">
        <v>44921.108344907407</v>
      </c>
      <c r="AA2391" s="34">
        <v>44923.108344907407</v>
      </c>
      <c r="AB2391" s="36" t="s">
        <v>7476</v>
      </c>
      <c r="AC2391" s="10">
        <v>44941.108344907407</v>
      </c>
      <c r="AD2391" t="s">
        <v>7421</v>
      </c>
      <c r="AE2391" t="s">
        <v>7422</v>
      </c>
      <c r="AF2391" s="16">
        <v>44901</v>
      </c>
      <c r="AG2391" t="s">
        <v>68</v>
      </c>
      <c r="AH2391">
        <v>3</v>
      </c>
      <c r="AI2391" s="8">
        <f>IFERROR(R2391-AF2391,"")</f>
        <v>10.108344907406718</v>
      </c>
      <c r="AJ2391" s="8">
        <f>IFERROR(O2391-AF2391,"")</f>
        <v>5.1083449074067175</v>
      </c>
      <c r="AK2391" s="38">
        <f t="shared" si="961"/>
        <v>44998.108344907407</v>
      </c>
      <c r="AL2391">
        <f>IFERROR(Z2391-W2391,"")</f>
        <v>3</v>
      </c>
      <c r="AM2391">
        <f>IFERROR(R2391-J2391,"")</f>
        <v>19</v>
      </c>
      <c r="AN2391">
        <f>IFERROR(V2391-O2391,"")</f>
        <v>2</v>
      </c>
      <c r="AO2391">
        <f>IFERROR(J2391-I2391,"")</f>
        <v>3</v>
      </c>
      <c r="AP2391">
        <f>IFERROR(AC2391-X2391,"")</f>
        <v>44940.108344907407</v>
      </c>
      <c r="AQ2391">
        <f>IFERROR(AA2391-W2391,"")</f>
        <v>5</v>
      </c>
    </row>
    <row r="2392" spans="1:43" x14ac:dyDescent="0.35">
      <c r="A2392">
        <v>406</v>
      </c>
      <c r="B2392" t="s">
        <v>7423</v>
      </c>
      <c r="C2392" t="s">
        <v>7322</v>
      </c>
      <c r="D2392" t="str">
        <f t="shared" si="959"/>
        <v>Administation</v>
      </c>
      <c r="E2392" t="s">
        <v>7402</v>
      </c>
      <c r="F2392" t="s">
        <v>70</v>
      </c>
      <c r="G2392" t="s">
        <v>7380</v>
      </c>
      <c r="H2392" t="s">
        <v>697</v>
      </c>
      <c r="I2392" s="32">
        <v>44617.210798611108</v>
      </c>
      <c r="J2392" s="32">
        <v>44621.210798611108</v>
      </c>
      <c r="K2392" s="32">
        <v>44622.210798611108</v>
      </c>
      <c r="L2392" s="8">
        <f t="shared" si="960"/>
        <v>5</v>
      </c>
      <c r="M2392" s="7">
        <v>44647.210798611108</v>
      </c>
      <c r="N2392" t="s">
        <v>72</v>
      </c>
      <c r="O2392" s="34" t="s">
        <v>7474</v>
      </c>
      <c r="R2392" s="32" t="s">
        <v>7472</v>
      </c>
      <c r="S2392" t="s">
        <v>7476</v>
      </c>
      <c r="T2392" s="34" t="s">
        <v>7476</v>
      </c>
      <c r="U2392" s="34" t="s">
        <v>7476</v>
      </c>
      <c r="V2392" s="32" t="s">
        <v>7476</v>
      </c>
      <c r="W2392" s="32" t="s">
        <v>7476</v>
      </c>
      <c r="X2392">
        <v>0</v>
      </c>
      <c r="Y2392" s="34" t="s">
        <v>7476</v>
      </c>
      <c r="Z2392" s="34" t="s">
        <v>7476</v>
      </c>
      <c r="AA2392" s="34" t="s">
        <v>7476</v>
      </c>
      <c r="AB2392" s="36" t="s">
        <v>7476</v>
      </c>
      <c r="AD2392" t="s">
        <v>7424</v>
      </c>
      <c r="AE2392" t="s">
        <v>7425</v>
      </c>
      <c r="AG2392" t="s">
        <v>98</v>
      </c>
      <c r="AH2392">
        <v>6</v>
      </c>
      <c r="AI2392" s="8" t="str">
        <f>IFERROR(R2392-AF2392,"")</f>
        <v/>
      </c>
      <c r="AJ2392" s="8" t="str">
        <f>IFERROR(O2392-AF2392,"")</f>
        <v/>
      </c>
      <c r="AK2392" s="38" t="str">
        <f t="shared" si="961"/>
        <v/>
      </c>
      <c r="AL2392" t="str">
        <f>IFERROR(Z2392-W2392,"")</f>
        <v/>
      </c>
      <c r="AM2392" t="str">
        <f>IFERROR(R2392-J2392,"")</f>
        <v/>
      </c>
      <c r="AN2392" t="str">
        <f>IFERROR(V2392-O2392,"")</f>
        <v/>
      </c>
      <c r="AO2392">
        <f>IFERROR(J2392-I2392,"")</f>
        <v>4</v>
      </c>
      <c r="AP2392">
        <f>IFERROR(AC2392-X2392,"")</f>
        <v>0</v>
      </c>
      <c r="AQ2392" t="str">
        <f>IFERROR(AA2392-W2392,"")</f>
        <v/>
      </c>
    </row>
    <row r="2393" spans="1:43" x14ac:dyDescent="0.35">
      <c r="A2393">
        <v>340</v>
      </c>
      <c r="B2393" t="s">
        <v>7426</v>
      </c>
      <c r="C2393" t="s">
        <v>7322</v>
      </c>
      <c r="D2393" t="str">
        <f t="shared" si="959"/>
        <v>Administation</v>
      </c>
      <c r="E2393" t="s">
        <v>7402</v>
      </c>
      <c r="F2393" t="s">
        <v>70</v>
      </c>
      <c r="G2393" t="s">
        <v>7380</v>
      </c>
      <c r="H2393" t="s">
        <v>697</v>
      </c>
      <c r="I2393" s="32">
        <v>44723.822210648148</v>
      </c>
      <c r="J2393" s="32" t="s">
        <v>7471</v>
      </c>
      <c r="K2393" s="32">
        <v>44725.822210648148</v>
      </c>
      <c r="L2393" s="8">
        <f t="shared" si="960"/>
        <v>2</v>
      </c>
      <c r="M2393" s="7">
        <v>44732.822210648148</v>
      </c>
      <c r="N2393" t="s">
        <v>49</v>
      </c>
      <c r="O2393" s="34">
        <v>44732.822210648148</v>
      </c>
      <c r="P2393" t="s">
        <v>101</v>
      </c>
      <c r="R2393" s="32">
        <v>44738.822210648148</v>
      </c>
      <c r="S2393" t="s">
        <v>101</v>
      </c>
      <c r="T2393" s="34">
        <v>44733.822210648148</v>
      </c>
      <c r="U2393" s="34">
        <v>44735.822210648148</v>
      </c>
      <c r="V2393" s="32">
        <v>44735.822210648148</v>
      </c>
      <c r="W2393" s="32">
        <v>44740.822210648148</v>
      </c>
      <c r="X2393">
        <v>1</v>
      </c>
      <c r="Y2393" s="34">
        <v>44741.822210648148</v>
      </c>
      <c r="Z2393" s="34">
        <v>44742.822210648148</v>
      </c>
      <c r="AA2393" s="34">
        <v>44744.822210648148</v>
      </c>
      <c r="AB2393" s="36" t="s">
        <v>7476</v>
      </c>
      <c r="AC2393" s="10">
        <v>44762.822210648148</v>
      </c>
      <c r="AD2393" t="s">
        <v>7427</v>
      </c>
      <c r="AE2393" t="s">
        <v>7428</v>
      </c>
      <c r="AF2393" s="16">
        <v>44727</v>
      </c>
      <c r="AG2393" t="s">
        <v>68</v>
      </c>
      <c r="AH2393">
        <v>6</v>
      </c>
      <c r="AK2393" s="38">
        <f t="shared" si="961"/>
        <v>44915.822210648148</v>
      </c>
    </row>
    <row r="2394" spans="1:43" x14ac:dyDescent="0.35">
      <c r="A2394">
        <v>334</v>
      </c>
      <c r="B2394" t="s">
        <v>7429</v>
      </c>
      <c r="C2394" t="s">
        <v>7316</v>
      </c>
      <c r="D2394" t="str">
        <f t="shared" si="959"/>
        <v>Administation</v>
      </c>
      <c r="E2394" t="s">
        <v>7402</v>
      </c>
      <c r="F2394" t="s">
        <v>70</v>
      </c>
      <c r="G2394" t="s">
        <v>7380</v>
      </c>
      <c r="H2394" t="s">
        <v>697</v>
      </c>
      <c r="I2394" s="32" t="s">
        <v>7471</v>
      </c>
      <c r="J2394" s="32">
        <v>44721.822210648148</v>
      </c>
      <c r="K2394" s="32">
        <v>44725.822210648148</v>
      </c>
      <c r="L2394" s="8" t="str">
        <f t="shared" si="960"/>
        <v/>
      </c>
      <c r="M2394" s="7">
        <v>44741.822210648148</v>
      </c>
      <c r="N2394" t="s">
        <v>49</v>
      </c>
      <c r="O2394" s="34">
        <v>44741.822210648148</v>
      </c>
      <c r="P2394" t="s">
        <v>50</v>
      </c>
      <c r="Q2394" t="s">
        <v>236</v>
      </c>
      <c r="R2394" s="32" t="s">
        <v>7472</v>
      </c>
      <c r="S2394" t="s">
        <v>7476</v>
      </c>
      <c r="T2394" s="34" t="s">
        <v>7476</v>
      </c>
      <c r="U2394" s="34" t="s">
        <v>7476</v>
      </c>
      <c r="V2394" s="32">
        <v>44743.822210648148</v>
      </c>
      <c r="W2394" s="32" t="s">
        <v>7476</v>
      </c>
      <c r="X2394">
        <v>0</v>
      </c>
      <c r="Y2394" s="34" t="s">
        <v>7476</v>
      </c>
      <c r="Z2394" s="34" t="s">
        <v>7476</v>
      </c>
      <c r="AA2394" s="34" t="s">
        <v>7476</v>
      </c>
      <c r="AB2394" s="36" t="s">
        <v>95</v>
      </c>
      <c r="AD2394" t="s">
        <v>7430</v>
      </c>
      <c r="AE2394" t="s">
        <v>7431</v>
      </c>
      <c r="AF2394" s="16">
        <v>44735</v>
      </c>
      <c r="AG2394" t="s">
        <v>93</v>
      </c>
      <c r="AH2394">
        <v>6</v>
      </c>
      <c r="AK2394" s="38">
        <f t="shared" si="961"/>
        <v>44923.822210648148</v>
      </c>
    </row>
    <row r="2395" spans="1:43" x14ac:dyDescent="0.35">
      <c r="A2395">
        <v>309</v>
      </c>
      <c r="B2395" t="s">
        <v>7432</v>
      </c>
      <c r="C2395" t="s">
        <v>7322</v>
      </c>
      <c r="D2395" t="str">
        <f t="shared" si="959"/>
        <v>Administation</v>
      </c>
      <c r="E2395" t="s">
        <v>7402</v>
      </c>
      <c r="F2395" t="s">
        <v>695</v>
      </c>
      <c r="G2395" t="s">
        <v>7433</v>
      </c>
      <c r="H2395" t="s">
        <v>697</v>
      </c>
      <c r="I2395" s="32">
        <v>45029.892650462964</v>
      </c>
      <c r="J2395" s="32">
        <v>45033.892650462964</v>
      </c>
      <c r="K2395" s="32">
        <v>45035.892650462964</v>
      </c>
      <c r="L2395" s="8">
        <f t="shared" si="960"/>
        <v>6</v>
      </c>
      <c r="M2395" s="7">
        <v>45054.892650462964</v>
      </c>
      <c r="N2395" t="s">
        <v>72</v>
      </c>
      <c r="O2395" s="34" t="s">
        <v>7474</v>
      </c>
      <c r="R2395" s="32" t="s">
        <v>7472</v>
      </c>
      <c r="S2395" t="s">
        <v>7476</v>
      </c>
      <c r="T2395" s="34" t="s">
        <v>7476</v>
      </c>
      <c r="U2395" s="34" t="s">
        <v>7476</v>
      </c>
      <c r="V2395" s="32" t="s">
        <v>7476</v>
      </c>
      <c r="W2395" s="32" t="s">
        <v>7476</v>
      </c>
      <c r="X2395">
        <v>0</v>
      </c>
      <c r="Y2395" s="34" t="s">
        <v>7476</v>
      </c>
      <c r="Z2395" s="34" t="s">
        <v>7476</v>
      </c>
      <c r="AA2395" s="34" t="s">
        <v>7476</v>
      </c>
      <c r="AB2395" s="36" t="s">
        <v>7476</v>
      </c>
      <c r="AD2395" t="s">
        <v>7434</v>
      </c>
      <c r="AE2395" t="s">
        <v>7435</v>
      </c>
      <c r="AG2395" t="s">
        <v>68</v>
      </c>
      <c r="AH2395">
        <v>3</v>
      </c>
      <c r="AI2395" s="8" t="str">
        <f t="shared" ref="AI2395:AI2401" si="970">IFERROR(R2395-AF2395,"")</f>
        <v/>
      </c>
      <c r="AJ2395" s="8" t="str">
        <f t="shared" ref="AJ2395:AJ2401" si="971">IFERROR(O2395-AF2395,"")</f>
        <v/>
      </c>
      <c r="AK2395" s="38" t="str">
        <f t="shared" si="961"/>
        <v/>
      </c>
      <c r="AL2395" t="str">
        <f t="shared" ref="AL2395:AL2401" si="972">IFERROR(Z2395-W2395,"")</f>
        <v/>
      </c>
      <c r="AM2395" t="str">
        <f t="shared" ref="AM2395:AM2401" si="973">IFERROR(R2395-J2395,"")</f>
        <v/>
      </c>
      <c r="AN2395" t="str">
        <f t="shared" ref="AN2395:AN2401" si="974">IFERROR(V2395-O2395,"")</f>
        <v/>
      </c>
      <c r="AO2395">
        <f t="shared" ref="AO2395:AO2401" si="975">IFERROR(J2395-I2395,"")</f>
        <v>4</v>
      </c>
      <c r="AP2395">
        <f t="shared" ref="AP2395:AP2401" si="976">IFERROR(AC2395-X2395,"")</f>
        <v>0</v>
      </c>
      <c r="AQ2395" t="str">
        <f t="shared" ref="AQ2395:AQ2401" si="977">IFERROR(AA2395-W2395,"")</f>
        <v/>
      </c>
    </row>
    <row r="2396" spans="1:43" x14ac:dyDescent="0.35">
      <c r="A2396">
        <v>303</v>
      </c>
      <c r="B2396" t="s">
        <v>7436</v>
      </c>
      <c r="C2396" t="s">
        <v>7316</v>
      </c>
      <c r="D2396" t="str">
        <f t="shared" si="959"/>
        <v>Administation</v>
      </c>
      <c r="E2396" t="s">
        <v>7402</v>
      </c>
      <c r="F2396" t="s">
        <v>695</v>
      </c>
      <c r="G2396" t="s">
        <v>7433</v>
      </c>
      <c r="H2396" t="s">
        <v>697</v>
      </c>
      <c r="I2396" s="32">
        <v>45030.892650462964</v>
      </c>
      <c r="J2396" s="32">
        <v>45032.892650462964</v>
      </c>
      <c r="K2396" s="32">
        <v>45035.892650462964</v>
      </c>
      <c r="L2396" s="8">
        <f t="shared" si="960"/>
        <v>5</v>
      </c>
      <c r="M2396" s="7">
        <v>45048.892650462964</v>
      </c>
      <c r="N2396" t="s">
        <v>49</v>
      </c>
      <c r="O2396" s="34">
        <v>45039.892650462964</v>
      </c>
      <c r="P2396" t="s">
        <v>101</v>
      </c>
      <c r="R2396" s="32">
        <v>45041.892650462964</v>
      </c>
      <c r="S2396" t="s">
        <v>101</v>
      </c>
      <c r="T2396" s="34">
        <v>45040.892650462964</v>
      </c>
      <c r="U2396" s="34">
        <v>45044.892650462964</v>
      </c>
      <c r="V2396" s="32">
        <v>45040.892650462964</v>
      </c>
      <c r="W2396" s="32">
        <v>45043.892650462964</v>
      </c>
      <c r="X2396">
        <v>1</v>
      </c>
      <c r="Y2396" s="34">
        <v>45046.892650462964</v>
      </c>
      <c r="Z2396" s="34">
        <v>45048.892650462964</v>
      </c>
      <c r="AA2396" s="34">
        <v>45049.892650462964</v>
      </c>
      <c r="AB2396" s="36" t="s">
        <v>7476</v>
      </c>
      <c r="AC2396" s="10">
        <v>45072.892650462964</v>
      </c>
      <c r="AD2396" t="s">
        <v>7437</v>
      </c>
      <c r="AE2396" t="s">
        <v>7438</v>
      </c>
      <c r="AF2396" s="16">
        <v>45050</v>
      </c>
      <c r="AG2396" t="s">
        <v>68</v>
      </c>
      <c r="AH2396">
        <v>6</v>
      </c>
      <c r="AI2396" s="8">
        <f t="shared" si="970"/>
        <v>-8.1073495370364981</v>
      </c>
      <c r="AJ2396" s="8">
        <f t="shared" si="971"/>
        <v>-10.107349537036498</v>
      </c>
      <c r="AK2396" s="38">
        <f t="shared" si="961"/>
        <v>45220.892650462964</v>
      </c>
      <c r="AL2396">
        <f t="shared" si="972"/>
        <v>5</v>
      </c>
      <c r="AM2396">
        <f t="shared" si="973"/>
        <v>9</v>
      </c>
      <c r="AN2396">
        <f t="shared" si="974"/>
        <v>1</v>
      </c>
      <c r="AO2396">
        <f t="shared" si="975"/>
        <v>2</v>
      </c>
      <c r="AP2396">
        <f t="shared" si="976"/>
        <v>45071.892650462964</v>
      </c>
      <c r="AQ2396">
        <f t="shared" si="977"/>
        <v>6</v>
      </c>
    </row>
    <row r="2397" spans="1:43" x14ac:dyDescent="0.35">
      <c r="A2397">
        <v>218</v>
      </c>
      <c r="B2397" t="s">
        <v>7439</v>
      </c>
      <c r="C2397" t="s">
        <v>7322</v>
      </c>
      <c r="D2397" t="str">
        <f t="shared" si="959"/>
        <v>Administation</v>
      </c>
      <c r="E2397" t="s">
        <v>7402</v>
      </c>
      <c r="F2397" t="s">
        <v>695</v>
      </c>
      <c r="G2397" t="s">
        <v>7433</v>
      </c>
      <c r="H2397" t="s">
        <v>697</v>
      </c>
      <c r="I2397" s="32">
        <v>44662.331793981481</v>
      </c>
      <c r="J2397" s="32">
        <v>44664.331793981481</v>
      </c>
      <c r="K2397" s="32">
        <v>44666.331793981481</v>
      </c>
      <c r="L2397" s="8">
        <f t="shared" si="960"/>
        <v>4</v>
      </c>
      <c r="M2397" s="7">
        <v>44672.331793981481</v>
      </c>
      <c r="N2397" t="s">
        <v>49</v>
      </c>
      <c r="O2397" s="34">
        <v>44673.331793981481</v>
      </c>
      <c r="P2397" t="s">
        <v>50</v>
      </c>
      <c r="Q2397" t="s">
        <v>198</v>
      </c>
      <c r="R2397" s="32" t="s">
        <v>7472</v>
      </c>
      <c r="S2397" t="s">
        <v>7476</v>
      </c>
      <c r="T2397" s="34" t="s">
        <v>7476</v>
      </c>
      <c r="U2397" s="34" t="s">
        <v>7476</v>
      </c>
      <c r="V2397" s="32" t="s">
        <v>7476</v>
      </c>
      <c r="W2397" s="32" t="s">
        <v>7476</v>
      </c>
      <c r="X2397">
        <v>0</v>
      </c>
      <c r="Y2397" s="34" t="s">
        <v>7476</v>
      </c>
      <c r="Z2397" s="34" t="s">
        <v>7476</v>
      </c>
      <c r="AA2397" s="34" t="s">
        <v>7476</v>
      </c>
      <c r="AB2397" s="36" t="s">
        <v>95</v>
      </c>
      <c r="AD2397" t="s">
        <v>7440</v>
      </c>
      <c r="AE2397" t="s">
        <v>7441</v>
      </c>
      <c r="AF2397" s="16">
        <v>44777</v>
      </c>
      <c r="AG2397" t="s">
        <v>64</v>
      </c>
      <c r="AH2397">
        <v>6</v>
      </c>
      <c r="AI2397" s="8" t="str">
        <f t="shared" si="970"/>
        <v/>
      </c>
      <c r="AJ2397" s="8">
        <f t="shared" si="971"/>
        <v>-103.66820601851941</v>
      </c>
      <c r="AK2397" s="38" t="str">
        <f t="shared" si="961"/>
        <v/>
      </c>
      <c r="AL2397" t="str">
        <f t="shared" si="972"/>
        <v/>
      </c>
      <c r="AM2397" t="str">
        <f t="shared" si="973"/>
        <v/>
      </c>
      <c r="AN2397" t="str">
        <f t="shared" si="974"/>
        <v/>
      </c>
      <c r="AO2397">
        <f t="shared" si="975"/>
        <v>2</v>
      </c>
      <c r="AP2397">
        <f t="shared" si="976"/>
        <v>0</v>
      </c>
      <c r="AQ2397" t="str">
        <f t="shared" si="977"/>
        <v/>
      </c>
    </row>
    <row r="2398" spans="1:43" x14ac:dyDescent="0.35">
      <c r="A2398">
        <v>214</v>
      </c>
      <c r="B2398" t="s">
        <v>7442</v>
      </c>
      <c r="C2398" t="s">
        <v>7322</v>
      </c>
      <c r="D2398" t="str">
        <f t="shared" si="959"/>
        <v>Administation</v>
      </c>
      <c r="E2398" t="s">
        <v>7402</v>
      </c>
      <c r="F2398" t="s">
        <v>695</v>
      </c>
      <c r="G2398" t="s">
        <v>7433</v>
      </c>
      <c r="H2398" t="s">
        <v>697</v>
      </c>
      <c r="I2398" s="32">
        <v>44659.331793981481</v>
      </c>
      <c r="J2398" s="32">
        <v>44660.331793981481</v>
      </c>
      <c r="K2398" s="32">
        <v>44666.331793981481</v>
      </c>
      <c r="L2398" s="8">
        <f t="shared" si="960"/>
        <v>7</v>
      </c>
      <c r="M2398" s="7">
        <v>44679.331793981481</v>
      </c>
      <c r="N2398" t="s">
        <v>49</v>
      </c>
      <c r="O2398" s="34">
        <v>44673.331793981481</v>
      </c>
      <c r="P2398" t="s">
        <v>60</v>
      </c>
      <c r="R2398" s="32">
        <v>44678.331793981481</v>
      </c>
      <c r="S2398" t="s">
        <v>61</v>
      </c>
      <c r="T2398" s="34" t="s">
        <v>7476</v>
      </c>
      <c r="U2398" s="34" t="s">
        <v>7476</v>
      </c>
      <c r="V2398" s="32">
        <v>44675.331793981481</v>
      </c>
      <c r="W2398" s="32" t="s">
        <v>7476</v>
      </c>
      <c r="X2398">
        <v>0</v>
      </c>
      <c r="Y2398" s="34" t="s">
        <v>7476</v>
      </c>
      <c r="Z2398" s="34" t="s">
        <v>7476</v>
      </c>
      <c r="AA2398" s="34" t="s">
        <v>7476</v>
      </c>
      <c r="AB2398" s="36" t="s">
        <v>7476</v>
      </c>
      <c r="AD2398" t="s">
        <v>7443</v>
      </c>
      <c r="AE2398" t="s">
        <v>7444</v>
      </c>
      <c r="AF2398" s="16">
        <v>44664</v>
      </c>
      <c r="AG2398" t="s">
        <v>98</v>
      </c>
      <c r="AH2398">
        <v>3</v>
      </c>
      <c r="AI2398" s="8">
        <f t="shared" si="970"/>
        <v>14.331793981480587</v>
      </c>
      <c r="AJ2398" s="8">
        <f t="shared" si="971"/>
        <v>9.3317939814805868</v>
      </c>
      <c r="AK2398" s="38">
        <f t="shared" si="961"/>
        <v>44765.331793981481</v>
      </c>
      <c r="AL2398" t="str">
        <f t="shared" si="972"/>
        <v/>
      </c>
      <c r="AM2398">
        <f t="shared" si="973"/>
        <v>18</v>
      </c>
      <c r="AN2398">
        <f t="shared" si="974"/>
        <v>2</v>
      </c>
      <c r="AO2398">
        <f t="shared" si="975"/>
        <v>1</v>
      </c>
      <c r="AP2398">
        <f t="shared" si="976"/>
        <v>0</v>
      </c>
      <c r="AQ2398" t="str">
        <f t="shared" si="977"/>
        <v/>
      </c>
    </row>
    <row r="2399" spans="1:43" x14ac:dyDescent="0.35">
      <c r="A2399">
        <v>213</v>
      </c>
      <c r="B2399" t="s">
        <v>7445</v>
      </c>
      <c r="C2399" t="s">
        <v>7316</v>
      </c>
      <c r="D2399" t="str">
        <f t="shared" si="959"/>
        <v>Administation</v>
      </c>
      <c r="E2399" t="s">
        <v>7402</v>
      </c>
      <c r="F2399" t="s">
        <v>695</v>
      </c>
      <c r="G2399" t="s">
        <v>7433</v>
      </c>
      <c r="H2399" t="s">
        <v>697</v>
      </c>
      <c r="I2399" s="32">
        <v>44659.331793981481</v>
      </c>
      <c r="J2399" s="32">
        <v>44662.331793981481</v>
      </c>
      <c r="K2399" s="32">
        <v>44666.331793981481</v>
      </c>
      <c r="L2399" s="8">
        <f t="shared" si="960"/>
        <v>7</v>
      </c>
      <c r="M2399" s="7">
        <v>44691.331793981481</v>
      </c>
      <c r="N2399" t="s">
        <v>72</v>
      </c>
      <c r="O2399" s="34" t="s">
        <v>7474</v>
      </c>
      <c r="R2399" s="32" t="s">
        <v>7472</v>
      </c>
      <c r="S2399" t="s">
        <v>7476</v>
      </c>
      <c r="T2399" s="34" t="s">
        <v>7476</v>
      </c>
      <c r="U2399" s="34" t="s">
        <v>7476</v>
      </c>
      <c r="V2399" s="32" t="s">
        <v>7476</v>
      </c>
      <c r="W2399" s="32" t="s">
        <v>7476</v>
      </c>
      <c r="X2399">
        <v>0</v>
      </c>
      <c r="Y2399" s="34" t="s">
        <v>7476</v>
      </c>
      <c r="Z2399" s="34" t="s">
        <v>7476</v>
      </c>
      <c r="AA2399" s="34" t="s">
        <v>7476</v>
      </c>
      <c r="AB2399" s="36" t="s">
        <v>7476</v>
      </c>
      <c r="AD2399" t="s">
        <v>7446</v>
      </c>
      <c r="AE2399" t="s">
        <v>7447</v>
      </c>
      <c r="AG2399" t="s">
        <v>98</v>
      </c>
      <c r="AH2399">
        <v>3</v>
      </c>
      <c r="AI2399" s="8" t="str">
        <f t="shared" si="970"/>
        <v/>
      </c>
      <c r="AJ2399" s="8" t="str">
        <f t="shared" si="971"/>
        <v/>
      </c>
      <c r="AK2399" s="38" t="str">
        <f t="shared" si="961"/>
        <v/>
      </c>
      <c r="AL2399" t="str">
        <f t="shared" si="972"/>
        <v/>
      </c>
      <c r="AM2399" t="str">
        <f t="shared" si="973"/>
        <v/>
      </c>
      <c r="AN2399" t="str">
        <f t="shared" si="974"/>
        <v/>
      </c>
      <c r="AO2399">
        <f t="shared" si="975"/>
        <v>3</v>
      </c>
      <c r="AP2399">
        <f t="shared" si="976"/>
        <v>0</v>
      </c>
      <c r="AQ2399" t="str">
        <f t="shared" si="977"/>
        <v/>
      </c>
    </row>
    <row r="2400" spans="1:43" x14ac:dyDescent="0.35">
      <c r="A2400">
        <v>212</v>
      </c>
      <c r="B2400" t="s">
        <v>7448</v>
      </c>
      <c r="C2400" t="s">
        <v>7329</v>
      </c>
      <c r="D2400" t="str">
        <f t="shared" si="959"/>
        <v>Administation</v>
      </c>
      <c r="E2400" t="s">
        <v>7402</v>
      </c>
      <c r="F2400" t="s">
        <v>695</v>
      </c>
      <c r="G2400" t="s">
        <v>7433</v>
      </c>
      <c r="H2400" t="s">
        <v>697</v>
      </c>
      <c r="I2400" s="32">
        <v>44657.331793981481</v>
      </c>
      <c r="J2400" s="32">
        <v>44660.331793981481</v>
      </c>
      <c r="K2400" s="32">
        <v>44666.331793981481</v>
      </c>
      <c r="L2400" s="8">
        <f t="shared" si="960"/>
        <v>9</v>
      </c>
      <c r="M2400" s="7">
        <v>44672.331793981481</v>
      </c>
      <c r="N2400" t="s">
        <v>49</v>
      </c>
      <c r="O2400" s="34">
        <v>44674.331793981481</v>
      </c>
      <c r="P2400" t="s">
        <v>60</v>
      </c>
      <c r="R2400" s="32">
        <v>44679.331793981481</v>
      </c>
      <c r="S2400" t="s">
        <v>61</v>
      </c>
      <c r="T2400" s="34" t="s">
        <v>7476</v>
      </c>
      <c r="U2400" s="34" t="s">
        <v>7476</v>
      </c>
      <c r="V2400" s="32">
        <v>44678.331793981481</v>
      </c>
      <c r="W2400" s="32" t="s">
        <v>7476</v>
      </c>
      <c r="X2400">
        <v>0</v>
      </c>
      <c r="Y2400" s="34" t="s">
        <v>7476</v>
      </c>
      <c r="Z2400" s="34" t="s">
        <v>7476</v>
      </c>
      <c r="AA2400" s="34" t="s">
        <v>7476</v>
      </c>
      <c r="AB2400" s="36" t="s">
        <v>7476</v>
      </c>
      <c r="AD2400" t="s">
        <v>7449</v>
      </c>
      <c r="AE2400" t="s">
        <v>7450</v>
      </c>
      <c r="AF2400" s="16">
        <v>44656</v>
      </c>
      <c r="AG2400" t="s">
        <v>64</v>
      </c>
      <c r="AH2400">
        <v>3</v>
      </c>
      <c r="AI2400" s="8">
        <f t="shared" si="970"/>
        <v>23.331793981480587</v>
      </c>
      <c r="AJ2400" s="8">
        <f t="shared" si="971"/>
        <v>18.331793981480587</v>
      </c>
      <c r="AK2400" s="38">
        <f t="shared" si="961"/>
        <v>44768.331793981481</v>
      </c>
      <c r="AL2400" t="str">
        <f t="shared" si="972"/>
        <v/>
      </c>
      <c r="AM2400">
        <f t="shared" si="973"/>
        <v>19</v>
      </c>
      <c r="AN2400">
        <f t="shared" si="974"/>
        <v>4</v>
      </c>
      <c r="AO2400">
        <f t="shared" si="975"/>
        <v>3</v>
      </c>
      <c r="AP2400">
        <f t="shared" si="976"/>
        <v>0</v>
      </c>
      <c r="AQ2400" t="str">
        <f t="shared" si="977"/>
        <v/>
      </c>
    </row>
    <row r="2401" spans="1:43" x14ac:dyDescent="0.35">
      <c r="A2401">
        <v>36</v>
      </c>
      <c r="B2401" t="s">
        <v>7451</v>
      </c>
      <c r="C2401" t="s">
        <v>7322</v>
      </c>
      <c r="D2401" t="str">
        <f t="shared" si="959"/>
        <v>Administation</v>
      </c>
      <c r="E2401" t="s">
        <v>7452</v>
      </c>
      <c r="F2401" t="s">
        <v>46</v>
      </c>
      <c r="G2401" t="s">
        <v>7453</v>
      </c>
      <c r="H2401" t="s">
        <v>48</v>
      </c>
      <c r="I2401" s="32">
        <v>44773.52820601852</v>
      </c>
      <c r="J2401" s="32">
        <v>44777.52820601852</v>
      </c>
      <c r="K2401" s="32">
        <v>44778.52820601852</v>
      </c>
      <c r="L2401" s="8">
        <f t="shared" si="960"/>
        <v>5</v>
      </c>
      <c r="M2401" s="7">
        <v>44789.52820601852</v>
      </c>
      <c r="N2401" t="s">
        <v>49</v>
      </c>
      <c r="O2401" s="34">
        <v>44784.52820601852</v>
      </c>
      <c r="P2401" t="s">
        <v>101</v>
      </c>
      <c r="R2401" s="32">
        <v>44787.52820601852</v>
      </c>
      <c r="S2401" t="s">
        <v>101</v>
      </c>
      <c r="T2401" s="34">
        <v>44786.52820601852</v>
      </c>
      <c r="U2401" s="34">
        <v>44790.52820601852</v>
      </c>
      <c r="V2401" s="32">
        <v>44786.52820601852</v>
      </c>
      <c r="W2401" s="32">
        <v>44789.52820601852</v>
      </c>
      <c r="X2401">
        <v>1</v>
      </c>
      <c r="Y2401" s="34">
        <v>44791.52820601852</v>
      </c>
      <c r="Z2401" s="34">
        <v>44793.52820601852</v>
      </c>
      <c r="AA2401" s="34">
        <v>44796.52820601852</v>
      </c>
      <c r="AB2401" s="36" t="s">
        <v>7476</v>
      </c>
      <c r="AC2401" s="10">
        <v>44817.52820601852</v>
      </c>
      <c r="AD2401" t="s">
        <v>7454</v>
      </c>
      <c r="AE2401" t="s">
        <v>7455</v>
      </c>
      <c r="AF2401" s="16">
        <v>44775</v>
      </c>
      <c r="AG2401" t="s">
        <v>64</v>
      </c>
      <c r="AH2401">
        <v>3</v>
      </c>
      <c r="AI2401" s="8">
        <f t="shared" si="970"/>
        <v>12.528206018519995</v>
      </c>
      <c r="AJ2401" s="8">
        <f t="shared" si="971"/>
        <v>9.5282060185199953</v>
      </c>
      <c r="AK2401" s="38">
        <f t="shared" si="961"/>
        <v>44876.52820601852</v>
      </c>
      <c r="AL2401">
        <f t="shared" si="972"/>
        <v>4</v>
      </c>
      <c r="AM2401">
        <f t="shared" si="973"/>
        <v>10</v>
      </c>
      <c r="AN2401">
        <f t="shared" si="974"/>
        <v>2</v>
      </c>
      <c r="AO2401">
        <f t="shared" si="975"/>
        <v>4</v>
      </c>
      <c r="AP2401">
        <f t="shared" si="976"/>
        <v>44816.52820601852</v>
      </c>
      <c r="AQ2401">
        <f t="shared" si="977"/>
        <v>7</v>
      </c>
    </row>
  </sheetData>
  <autoFilter ref="I1:I2401" xr:uid="{00000000-0001-0000-02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6"/>
  <sheetViews>
    <sheetView showGridLines="0" workbookViewId="0">
      <selection activeCell="K15" sqref="K15"/>
    </sheetView>
  </sheetViews>
  <sheetFormatPr defaultRowHeight="14.5" x14ac:dyDescent="0.35"/>
  <cols>
    <col min="1" max="2" width="12.54296875" customWidth="1"/>
    <col min="3" max="3" width="20.26953125" customWidth="1"/>
    <col min="4" max="12" width="12.54296875" customWidth="1"/>
  </cols>
  <sheetData>
    <row r="2" spans="1:12" ht="31" customHeight="1" x14ac:dyDescent="0.6">
      <c r="A2" s="4"/>
      <c r="B2" s="3"/>
      <c r="C2" s="5" t="s">
        <v>7458</v>
      </c>
      <c r="D2" s="3"/>
      <c r="E2" s="3"/>
      <c r="F2" s="3"/>
      <c r="G2" s="3"/>
      <c r="H2" s="3"/>
      <c r="I2" s="3"/>
      <c r="J2" s="3"/>
      <c r="K2" s="4"/>
      <c r="L2" s="4"/>
    </row>
    <row r="4" spans="1:12" ht="23.15" customHeight="1" x14ac:dyDescent="0.35">
      <c r="A4" s="24" t="s">
        <v>7459</v>
      </c>
      <c r="B4" s="19"/>
      <c r="C4" s="19"/>
      <c r="D4" s="18" t="s">
        <v>7460</v>
      </c>
      <c r="E4" s="19"/>
      <c r="F4" s="19"/>
      <c r="G4" s="21" t="s">
        <v>7469</v>
      </c>
      <c r="H4" s="19"/>
      <c r="I4" s="19"/>
      <c r="J4" s="22" t="s">
        <v>7461</v>
      </c>
      <c r="K4" s="23"/>
      <c r="L4" s="23"/>
    </row>
    <row r="5" spans="1:12" ht="23.15" customHeight="1" x14ac:dyDescent="0.35">
      <c r="A5" s="29">
        <f>COUNTA('Recruitment Data'!A2:A2401)</f>
        <v>2400</v>
      </c>
      <c r="B5" s="19"/>
      <c r="C5" s="19"/>
      <c r="D5" s="27">
        <f>COUNTIF('Recruitment Data'!S2:S2401,'Recruitment Data'!S2391)</f>
        <v>397</v>
      </c>
      <c r="E5" s="19"/>
      <c r="F5" s="19"/>
      <c r="G5" s="30">
        <f>IFERROR(D5/A5,"")</f>
        <v>0.16541666666666666</v>
      </c>
      <c r="H5" s="19"/>
      <c r="I5" s="19"/>
      <c r="J5" s="26"/>
      <c r="K5" s="23"/>
      <c r="L5" s="23"/>
    </row>
    <row r="6" spans="1:12" ht="23.15" customHeight="1" x14ac:dyDescent="0.35">
      <c r="A6" s="20"/>
      <c r="B6" s="19"/>
      <c r="C6" s="19"/>
      <c r="D6" s="25"/>
      <c r="E6" s="19"/>
      <c r="F6" s="19"/>
      <c r="G6" s="28"/>
      <c r="H6" s="19"/>
      <c r="I6" s="19"/>
      <c r="J6" s="26"/>
      <c r="K6" s="23"/>
      <c r="L6" s="23"/>
    </row>
  </sheetData>
  <mergeCells count="12">
    <mergeCell ref="D4:F4"/>
    <mergeCell ref="A6:C6"/>
    <mergeCell ref="G4:I4"/>
    <mergeCell ref="J4:L4"/>
    <mergeCell ref="A4:C4"/>
    <mergeCell ref="D6:F6"/>
    <mergeCell ref="J5:L5"/>
    <mergeCell ref="J6:L6"/>
    <mergeCell ref="D5:F5"/>
    <mergeCell ref="G6:I6"/>
    <mergeCell ref="A5:C5"/>
    <mergeCell ref="G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Hire status</vt:lpstr>
      <vt:lpstr>Application status</vt:lpstr>
      <vt:lpstr>Recruitment source</vt:lpstr>
      <vt:lpstr>Rejection Reason</vt:lpstr>
      <vt:lpstr>Recruitment Data</vt:lpstr>
      <vt:lpstr>Recruitment performan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Melody Bonareri</dc:creator>
  <cp:lastModifiedBy>mutheumbuta@gmail.com</cp:lastModifiedBy>
  <dcterms:created xsi:type="dcterms:W3CDTF">2026-03-14T05:31:13Z</dcterms:created>
  <dcterms:modified xsi:type="dcterms:W3CDTF">2026-05-16T10:24:42Z</dcterms:modified>
</cp:coreProperties>
</file>